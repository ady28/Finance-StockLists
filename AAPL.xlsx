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28F5C13A-E116-8A49-A165-25B31C0AEF2A}"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48" i="3" l="1"/>
  <c r="I13" i="1"/>
  <c r="H7" i="1"/>
  <c r="H6" i="1"/>
  <c r="C83" i="12"/>
  <c r="C81" i="12"/>
  <c r="C80" i="12"/>
  <c r="C74" i="12"/>
  <c r="C77" i="12" s="1"/>
  <c r="G36" i="12"/>
  <c r="F36" i="12"/>
  <c r="E36" i="12"/>
  <c r="D36" i="12"/>
  <c r="C36" i="12"/>
  <c r="G15" i="8"/>
  <c r="F15" i="8"/>
  <c r="E15" i="8"/>
  <c r="D15" i="8"/>
  <c r="C15" i="8"/>
  <c r="AC63" i="3"/>
  <c r="AC61" i="3"/>
  <c r="AC58" i="3"/>
  <c r="AC55" i="3"/>
  <c r="AC52" i="3"/>
  <c r="AA38" i="3"/>
  <c r="AA28" i="3"/>
  <c r="Z201" i="3"/>
  <c r="Y201" i="3"/>
  <c r="X201" i="3"/>
  <c r="W201" i="3"/>
  <c r="V201" i="3"/>
  <c r="U201" i="3"/>
  <c r="T201" i="3"/>
  <c r="Z200" i="3"/>
  <c r="Y200" i="3"/>
  <c r="X200" i="3"/>
  <c r="W200" i="3"/>
  <c r="V200" i="3"/>
  <c r="U200" i="3"/>
  <c r="T200" i="3"/>
  <c r="Z199" i="3"/>
  <c r="Y199" i="3"/>
  <c r="X199" i="3"/>
  <c r="W199" i="3"/>
  <c r="V199" i="3"/>
  <c r="U199" i="3"/>
  <c r="T199" i="3"/>
  <c r="Z198" i="3"/>
  <c r="Y198" i="3"/>
  <c r="X198" i="3"/>
  <c r="W198" i="3"/>
  <c r="V198" i="3"/>
  <c r="U198" i="3"/>
  <c r="T198" i="3"/>
  <c r="Z197" i="3"/>
  <c r="Y197" i="3"/>
  <c r="X197" i="3"/>
  <c r="W197" i="3"/>
  <c r="V197" i="3"/>
  <c r="U197" i="3"/>
  <c r="T197" i="3"/>
  <c r="Z195" i="3"/>
  <c r="Y195" i="3"/>
  <c r="X195" i="3"/>
  <c r="W195" i="3"/>
  <c r="V195" i="3"/>
  <c r="U195" i="3"/>
  <c r="T195" i="3"/>
  <c r="Z194" i="3"/>
  <c r="Y194" i="3"/>
  <c r="X194" i="3"/>
  <c r="W194" i="3"/>
  <c r="V194" i="3"/>
  <c r="U194" i="3"/>
  <c r="T194" i="3"/>
  <c r="Z193" i="3"/>
  <c r="Y193" i="3"/>
  <c r="X193" i="3"/>
  <c r="W193" i="3"/>
  <c r="V193" i="3"/>
  <c r="U193" i="3"/>
  <c r="T193" i="3"/>
  <c r="Z192" i="3"/>
  <c r="Y192" i="3"/>
  <c r="X192" i="3"/>
  <c r="W192" i="3"/>
  <c r="V192" i="3"/>
  <c r="U192" i="3"/>
  <c r="T192" i="3"/>
  <c r="Z191" i="3"/>
  <c r="Y191" i="3"/>
  <c r="X191" i="3"/>
  <c r="W191" i="3"/>
  <c r="V191" i="3"/>
  <c r="U191" i="3"/>
  <c r="T191" i="3"/>
  <c r="Z169" i="3"/>
  <c r="Y169" i="3"/>
  <c r="X169" i="3"/>
  <c r="W169" i="3"/>
  <c r="V169" i="3"/>
  <c r="U169" i="3"/>
  <c r="T169" i="3"/>
  <c r="Z168" i="3"/>
  <c r="Y168" i="3"/>
  <c r="X168" i="3"/>
  <c r="W168" i="3"/>
  <c r="V168" i="3"/>
  <c r="U168" i="3"/>
  <c r="T168" i="3"/>
  <c r="Z167" i="3"/>
  <c r="Y167" i="3"/>
  <c r="X167" i="3"/>
  <c r="W167" i="3"/>
  <c r="V167" i="3"/>
  <c r="U167" i="3"/>
  <c r="T167" i="3"/>
  <c r="Z164" i="3"/>
  <c r="Y164" i="3"/>
  <c r="X164" i="3"/>
  <c r="W164" i="3"/>
  <c r="V164" i="3"/>
  <c r="U164" i="3"/>
  <c r="T164" i="3"/>
  <c r="Z163" i="3"/>
  <c r="Y163" i="3"/>
  <c r="X163" i="3"/>
  <c r="W163" i="3"/>
  <c r="V163" i="3"/>
  <c r="U163" i="3"/>
  <c r="T163" i="3"/>
  <c r="Z147" i="3"/>
  <c r="Y147" i="3"/>
  <c r="X147" i="3"/>
  <c r="W147" i="3"/>
  <c r="V147" i="3"/>
  <c r="U147" i="3"/>
  <c r="T147" i="3"/>
  <c r="Z142" i="3"/>
  <c r="Y142" i="3"/>
  <c r="X142" i="3"/>
  <c r="W142" i="3"/>
  <c r="V142" i="3"/>
  <c r="U142" i="3"/>
  <c r="T142" i="3"/>
  <c r="Z139" i="3"/>
  <c r="Y139" i="3"/>
  <c r="X139" i="3"/>
  <c r="W139" i="3"/>
  <c r="V139" i="3"/>
  <c r="U139" i="3"/>
  <c r="T139" i="3"/>
  <c r="Z138" i="3"/>
  <c r="Y138" i="3"/>
  <c r="X138" i="3"/>
  <c r="W138" i="3"/>
  <c r="V138" i="3"/>
  <c r="U138" i="3"/>
  <c r="T138" i="3"/>
  <c r="Z133" i="3"/>
  <c r="Y133" i="3"/>
  <c r="X133" i="3"/>
  <c r="W133" i="3"/>
  <c r="V133" i="3"/>
  <c r="U133" i="3"/>
  <c r="T133" i="3"/>
  <c r="Z132" i="3"/>
  <c r="Y132" i="3"/>
  <c r="X132" i="3"/>
  <c r="W132" i="3"/>
  <c r="V132" i="3"/>
  <c r="U132" i="3"/>
  <c r="T132" i="3"/>
  <c r="Z131" i="3"/>
  <c r="Z134" i="3" s="1"/>
  <c r="Y131" i="3"/>
  <c r="Y134" i="3" s="1"/>
  <c r="X131" i="3"/>
  <c r="X134" i="3" s="1"/>
  <c r="W131" i="3"/>
  <c r="W134" i="3" s="1"/>
  <c r="V131" i="3"/>
  <c r="V134" i="3" s="1"/>
  <c r="U131" i="3"/>
  <c r="U134" i="3" s="1"/>
  <c r="T131" i="3"/>
  <c r="T134" i="3" s="1"/>
  <c r="Z115" i="3"/>
  <c r="Y115" i="3"/>
  <c r="X115" i="3"/>
  <c r="W115" i="3"/>
  <c r="V115" i="3"/>
  <c r="U115" i="3"/>
  <c r="T115" i="3"/>
  <c r="Z110" i="3"/>
  <c r="Y110" i="3"/>
  <c r="X110" i="3"/>
  <c r="W110" i="3"/>
  <c r="V110" i="3"/>
  <c r="U110" i="3"/>
  <c r="T110" i="3"/>
  <c r="Z109" i="3"/>
  <c r="Y109" i="3"/>
  <c r="X109" i="3"/>
  <c r="W109" i="3"/>
  <c r="V109" i="3"/>
  <c r="U109" i="3"/>
  <c r="T109" i="3"/>
  <c r="Z108" i="3"/>
  <c r="Y108" i="3"/>
  <c r="X108" i="3"/>
  <c r="W108" i="3"/>
  <c r="V108" i="3"/>
  <c r="U108" i="3"/>
  <c r="T108" i="3"/>
  <c r="Z104" i="3"/>
  <c r="Y104" i="3"/>
  <c r="X104" i="3"/>
  <c r="W104" i="3"/>
  <c r="V104" i="3"/>
  <c r="U104" i="3"/>
  <c r="T104" i="3"/>
  <c r="Z101" i="3"/>
  <c r="Y101" i="3"/>
  <c r="X101" i="3"/>
  <c r="W101" i="3"/>
  <c r="V101" i="3"/>
  <c r="U101" i="3"/>
  <c r="T101" i="3"/>
  <c r="Z100" i="3"/>
  <c r="Y100" i="3"/>
  <c r="X100" i="3"/>
  <c r="W100" i="3"/>
  <c r="V100" i="3"/>
  <c r="U100" i="3"/>
  <c r="T100" i="3"/>
  <c r="Z96" i="3"/>
  <c r="Y96" i="3"/>
  <c r="X96" i="3"/>
  <c r="W96" i="3"/>
  <c r="V96" i="3"/>
  <c r="U96" i="3"/>
  <c r="T96" i="3"/>
  <c r="Z95" i="3"/>
  <c r="Y95" i="3"/>
  <c r="X95" i="3"/>
  <c r="W95" i="3"/>
  <c r="V95" i="3"/>
  <c r="U95" i="3"/>
  <c r="T95" i="3"/>
  <c r="Z94" i="3"/>
  <c r="Y94" i="3"/>
  <c r="X94" i="3"/>
  <c r="W94" i="3"/>
  <c r="V94" i="3"/>
  <c r="U94" i="3"/>
  <c r="T94" i="3"/>
  <c r="Z93" i="3"/>
  <c r="Y93" i="3"/>
  <c r="X93" i="3"/>
  <c r="W93" i="3"/>
  <c r="V93" i="3"/>
  <c r="U93" i="3"/>
  <c r="T93" i="3"/>
  <c r="Z92" i="3"/>
  <c r="Y92" i="3"/>
  <c r="X92" i="3"/>
  <c r="W92" i="3"/>
  <c r="V92" i="3"/>
  <c r="U92" i="3"/>
  <c r="T92" i="3"/>
  <c r="Z91" i="3"/>
  <c r="Y91" i="3"/>
  <c r="X91" i="3"/>
  <c r="W91" i="3"/>
  <c r="V91" i="3"/>
  <c r="U91" i="3"/>
  <c r="T91" i="3"/>
  <c r="Z90" i="3"/>
  <c r="Y90" i="3"/>
  <c r="X90" i="3"/>
  <c r="W90" i="3"/>
  <c r="V90" i="3"/>
  <c r="U90" i="3"/>
  <c r="T90" i="3"/>
  <c r="Z89" i="3"/>
  <c r="Y89" i="3"/>
  <c r="X89" i="3"/>
  <c r="W89" i="3"/>
  <c r="V89" i="3"/>
  <c r="U89" i="3"/>
  <c r="T89" i="3"/>
  <c r="Z88" i="3"/>
  <c r="Y88" i="3"/>
  <c r="X88" i="3"/>
  <c r="W88" i="3"/>
  <c r="V88" i="3"/>
  <c r="U88" i="3"/>
  <c r="T88" i="3"/>
  <c r="Z82" i="3"/>
  <c r="Y82" i="3"/>
  <c r="X82" i="3"/>
  <c r="W82" i="3"/>
  <c r="V82" i="3"/>
  <c r="U82" i="3"/>
  <c r="T82" i="3"/>
  <c r="Z81" i="3"/>
  <c r="Y81" i="3"/>
  <c r="X81" i="3"/>
  <c r="W81" i="3"/>
  <c r="V81" i="3"/>
  <c r="U81" i="3"/>
  <c r="T81" i="3"/>
  <c r="Z76" i="3"/>
  <c r="Y76" i="3"/>
  <c r="X76" i="3"/>
  <c r="W76" i="3"/>
  <c r="V76" i="3"/>
  <c r="U76" i="3"/>
  <c r="T76" i="3"/>
  <c r="Z74" i="3"/>
  <c r="Z77" i="3" s="1"/>
  <c r="Z143" i="3" s="1"/>
  <c r="Z144" i="3" s="1"/>
  <c r="Y74" i="3"/>
  <c r="Y77" i="3" s="1"/>
  <c r="Y143" i="3" s="1"/>
  <c r="Y144" i="3" s="1"/>
  <c r="X74" i="3"/>
  <c r="X77" i="3" s="1"/>
  <c r="X143" i="3" s="1"/>
  <c r="X144" i="3" s="1"/>
  <c r="W74" i="3"/>
  <c r="W77" i="3" s="1"/>
  <c r="W143" i="3" s="1"/>
  <c r="W144" i="3" s="1"/>
  <c r="V74" i="3"/>
  <c r="V77" i="3" s="1"/>
  <c r="V143" i="3" s="1"/>
  <c r="V144" i="3" s="1"/>
  <c r="U74" i="3"/>
  <c r="U77" i="3" s="1"/>
  <c r="U143" i="3" s="1"/>
  <c r="U144" i="3" s="1"/>
  <c r="T74" i="3"/>
  <c r="T77" i="3" s="1"/>
  <c r="T143" i="3" s="1"/>
  <c r="T144" i="3" s="1"/>
  <c r="Z70" i="3"/>
  <c r="Y70" i="3"/>
  <c r="X70" i="3"/>
  <c r="W70" i="3"/>
  <c r="V70" i="3"/>
  <c r="U70" i="3"/>
  <c r="T70" i="3"/>
  <c r="Z41" i="3"/>
  <c r="Y41" i="3"/>
  <c r="X41" i="3"/>
  <c r="W41" i="3"/>
  <c r="V41" i="3"/>
  <c r="U41" i="3"/>
  <c r="T41" i="3"/>
  <c r="Z38" i="3"/>
  <c r="Z106" i="3" s="1"/>
  <c r="Y38" i="3"/>
  <c r="Y106" i="3" s="1"/>
  <c r="X38" i="3"/>
  <c r="X106" i="3" s="1"/>
  <c r="W38" i="3"/>
  <c r="W106" i="3" s="1"/>
  <c r="V38" i="3"/>
  <c r="V106" i="3" s="1"/>
  <c r="U38" i="3"/>
  <c r="U106" i="3" s="1"/>
  <c r="T38" i="3"/>
  <c r="T106" i="3" s="1"/>
  <c r="Z35" i="3"/>
  <c r="Y35" i="3"/>
  <c r="X35" i="3"/>
  <c r="W35" i="3"/>
  <c r="V35" i="3"/>
  <c r="U35" i="3"/>
  <c r="T35" i="3"/>
  <c r="Z28" i="3"/>
  <c r="Z105" i="3" s="1"/>
  <c r="Y28" i="3"/>
  <c r="Y105" i="3" s="1"/>
  <c r="X28" i="3"/>
  <c r="X105" i="3" s="1"/>
  <c r="W28" i="3"/>
  <c r="W105" i="3" s="1"/>
  <c r="V28" i="3"/>
  <c r="V105" i="3" s="1"/>
  <c r="U28" i="3"/>
  <c r="U105" i="3" s="1"/>
  <c r="T28" i="3"/>
  <c r="T105" i="3" s="1"/>
  <c r="Z25" i="3"/>
  <c r="Y25" i="3"/>
  <c r="X25" i="3"/>
  <c r="W25" i="3"/>
  <c r="V25" i="3"/>
  <c r="U25" i="3"/>
  <c r="T25" i="3"/>
  <c r="Z23" i="3"/>
  <c r="Y23" i="3"/>
  <c r="X23" i="3"/>
  <c r="W23" i="3"/>
  <c r="V23" i="3"/>
  <c r="U23" i="3"/>
  <c r="T23" i="3"/>
  <c r="Z21" i="3"/>
  <c r="Y21" i="3"/>
  <c r="X21" i="3"/>
  <c r="W21" i="3"/>
  <c r="V21" i="3"/>
  <c r="U21" i="3"/>
  <c r="T21" i="3"/>
  <c r="Z19" i="3"/>
  <c r="Y19" i="3"/>
  <c r="X19" i="3"/>
  <c r="W19" i="3"/>
  <c r="V19" i="3"/>
  <c r="U19" i="3"/>
  <c r="T19" i="3"/>
  <c r="Z10" i="3"/>
  <c r="Z68" i="3" s="1"/>
  <c r="Z69" i="3" s="1"/>
  <c r="Y10" i="3"/>
  <c r="Y68" i="3" s="1"/>
  <c r="Y69" i="3" s="1"/>
  <c r="X10" i="3"/>
  <c r="X68" i="3" s="1"/>
  <c r="X69" i="3" s="1"/>
  <c r="W10" i="3"/>
  <c r="W68" i="3" s="1"/>
  <c r="W69" i="3" s="1"/>
  <c r="V10" i="3"/>
  <c r="V68" i="3" s="1"/>
  <c r="V69" i="3" s="1"/>
  <c r="U10" i="3"/>
  <c r="U68" i="3" s="1"/>
  <c r="U69" i="3" s="1"/>
  <c r="T10" i="3"/>
  <c r="T68" i="3" s="1"/>
  <c r="T69" i="3" s="1"/>
  <c r="Z7" i="3"/>
  <c r="Z99" i="3" s="1"/>
  <c r="Y7" i="3"/>
  <c r="Y99" i="3" s="1"/>
  <c r="X7" i="3"/>
  <c r="X99" i="3" s="1"/>
  <c r="W7" i="3"/>
  <c r="W99" i="3" s="1"/>
  <c r="V7" i="3"/>
  <c r="V99" i="3" s="1"/>
  <c r="U7" i="3"/>
  <c r="U99" i="3" s="1"/>
  <c r="T7" i="3"/>
  <c r="T99" i="3" s="1"/>
  <c r="AA115" i="3"/>
  <c r="G7" i="21"/>
  <c r="F7" i="21"/>
  <c r="E7" i="21"/>
  <c r="D7" i="21"/>
  <c r="C7" i="21"/>
  <c r="G6" i="21"/>
  <c r="F6" i="21"/>
  <c r="E6" i="21"/>
  <c r="D6" i="21"/>
  <c r="E11" i="21" s="1"/>
  <c r="C6" i="21"/>
  <c r="G11" i="21"/>
  <c r="F11" i="21"/>
  <c r="L5" i="21"/>
  <c r="K5" i="21"/>
  <c r="J5" i="21"/>
  <c r="I5" i="21"/>
  <c r="H5" i="21"/>
  <c r="G5" i="21"/>
  <c r="F5" i="21"/>
  <c r="E5" i="21"/>
  <c r="D5" i="21"/>
  <c r="C5" i="21"/>
  <c r="G45" i="7"/>
  <c r="F45" i="7"/>
  <c r="E45" i="7"/>
  <c r="D45" i="7"/>
  <c r="C45" i="7"/>
  <c r="G19" i="5"/>
  <c r="F19" i="5"/>
  <c r="E19" i="5"/>
  <c r="D19" i="5"/>
  <c r="G18" i="5"/>
  <c r="F18" i="5"/>
  <c r="E18" i="5"/>
  <c r="D18" i="5"/>
  <c r="G17" i="5"/>
  <c r="F17" i="5"/>
  <c r="E17" i="5"/>
  <c r="Z10" i="5"/>
  <c r="AA10" i="5" s="1"/>
  <c r="Y10" i="5"/>
  <c r="X10" i="5"/>
  <c r="X19" i="5" s="1"/>
  <c r="W10" i="5"/>
  <c r="W19" i="5" s="1"/>
  <c r="V10" i="5"/>
  <c r="V19" i="5" s="1"/>
  <c r="U10" i="5"/>
  <c r="U19" i="5" s="1"/>
  <c r="T10" i="5"/>
  <c r="T19" i="5" s="1"/>
  <c r="S10" i="5"/>
  <c r="Z9" i="5"/>
  <c r="AA9" i="5" s="1"/>
  <c r="Y9" i="5"/>
  <c r="X9" i="5"/>
  <c r="X18" i="5" s="1"/>
  <c r="W9" i="5"/>
  <c r="W18" i="5" s="1"/>
  <c r="V9" i="5"/>
  <c r="V18" i="5" s="1"/>
  <c r="U9" i="5"/>
  <c r="U18" i="5" s="1"/>
  <c r="T9" i="5"/>
  <c r="T18" i="5" s="1"/>
  <c r="S9" i="5"/>
  <c r="Z8" i="5"/>
  <c r="AA8" i="5" s="1"/>
  <c r="Y8" i="5"/>
  <c r="X8" i="5"/>
  <c r="X17" i="5" s="1"/>
  <c r="W8" i="5"/>
  <c r="W17" i="5" s="1"/>
  <c r="V8" i="5"/>
  <c r="V17" i="5" s="1"/>
  <c r="U8" i="5"/>
  <c r="U17" i="5" s="1"/>
  <c r="T8" i="5"/>
  <c r="S8" i="5"/>
  <c r="Z7" i="5"/>
  <c r="AA7" i="5" s="1"/>
  <c r="Y7" i="5"/>
  <c r="X7" i="5"/>
  <c r="W7" i="5"/>
  <c r="V7" i="5"/>
  <c r="U7" i="5"/>
  <c r="T7" i="5"/>
  <c r="S7" i="5"/>
  <c r="Z6" i="5"/>
  <c r="AA6" i="5" s="1"/>
  <c r="Y6" i="5"/>
  <c r="X6" i="5"/>
  <c r="W6" i="5"/>
  <c r="V6" i="5"/>
  <c r="U6" i="5"/>
  <c r="T6" i="5"/>
  <c r="S6" i="5"/>
  <c r="J8" i="5"/>
  <c r="K8" i="5" s="1"/>
  <c r="L8" i="5" s="1"/>
  <c r="H10" i="5"/>
  <c r="I10" i="5" s="1"/>
  <c r="J10" i="5" s="1"/>
  <c r="K10" i="5" s="1"/>
  <c r="L10" i="5" s="1"/>
  <c r="H9" i="5"/>
  <c r="G10" i="5"/>
  <c r="F10" i="5"/>
  <c r="E10" i="5"/>
  <c r="D10" i="5"/>
  <c r="C10" i="5"/>
  <c r="G9" i="5"/>
  <c r="F9" i="5"/>
  <c r="E9" i="5"/>
  <c r="D9" i="5"/>
  <c r="C9" i="5"/>
  <c r="G8" i="5"/>
  <c r="F8" i="5"/>
  <c r="E8" i="5"/>
  <c r="D8" i="5"/>
  <c r="C8" i="5"/>
  <c r="G7" i="5"/>
  <c r="F7" i="5"/>
  <c r="E7" i="5"/>
  <c r="D7" i="5"/>
  <c r="C7" i="5"/>
  <c r="G6" i="5"/>
  <c r="F6" i="5"/>
  <c r="E6" i="5"/>
  <c r="D6" i="5"/>
  <c r="C6" i="5"/>
  <c r="R19" i="5"/>
  <c r="R18" i="5"/>
  <c r="R10" i="5"/>
  <c r="R9" i="5"/>
  <c r="B19" i="5"/>
  <c r="B18" i="5"/>
  <c r="B10" i="5"/>
  <c r="B9" i="5"/>
  <c r="B8" i="5"/>
  <c r="B7" i="5"/>
  <c r="B6" i="5"/>
  <c r="J72" i="20"/>
  <c r="I72" i="20"/>
  <c r="H72" i="20"/>
  <c r="G72" i="20"/>
  <c r="F72" i="20"/>
  <c r="E72" i="20"/>
  <c r="D72" i="20"/>
  <c r="C72" i="20"/>
  <c r="J71" i="20"/>
  <c r="I71" i="20"/>
  <c r="H71" i="20"/>
  <c r="G71" i="20"/>
  <c r="F71" i="20"/>
  <c r="E71" i="20"/>
  <c r="D71" i="20"/>
  <c r="C71" i="20"/>
  <c r="J70" i="20"/>
  <c r="I70" i="20"/>
  <c r="H70" i="20"/>
  <c r="G70" i="20"/>
  <c r="F70" i="20"/>
  <c r="E70" i="20"/>
  <c r="D70" i="20"/>
  <c r="C70" i="20"/>
  <c r="J69" i="20"/>
  <c r="I69" i="20"/>
  <c r="H69" i="20"/>
  <c r="G69" i="20"/>
  <c r="F69" i="20"/>
  <c r="E69" i="20"/>
  <c r="D69" i="20"/>
  <c r="C69" i="20"/>
  <c r="J68" i="20"/>
  <c r="I68" i="20"/>
  <c r="H68" i="20"/>
  <c r="G68" i="20"/>
  <c r="F68" i="20"/>
  <c r="E68" i="20"/>
  <c r="D68" i="20"/>
  <c r="C68" i="20"/>
  <c r="J67" i="20"/>
  <c r="I67" i="20"/>
  <c r="H67" i="20"/>
  <c r="G67" i="20"/>
  <c r="F67" i="20"/>
  <c r="E67" i="20"/>
  <c r="D67" i="20"/>
  <c r="C67" i="20"/>
  <c r="J66" i="20"/>
  <c r="I66" i="20"/>
  <c r="H66" i="20"/>
  <c r="G66" i="20"/>
  <c r="F66" i="20"/>
  <c r="E66" i="20"/>
  <c r="D66" i="20"/>
  <c r="C66" i="20"/>
  <c r="J65" i="20"/>
  <c r="I65" i="20"/>
  <c r="H65" i="20"/>
  <c r="G65" i="20"/>
  <c r="F65" i="20"/>
  <c r="E65" i="20"/>
  <c r="D65" i="20"/>
  <c r="L81" i="19"/>
  <c r="K81" i="19"/>
  <c r="J81" i="19"/>
  <c r="I81" i="19"/>
  <c r="H81" i="19"/>
  <c r="G81" i="19"/>
  <c r="F81" i="19"/>
  <c r="E81" i="19"/>
  <c r="D81" i="19"/>
  <c r="C81" i="19"/>
  <c r="L80" i="19"/>
  <c r="K80" i="19"/>
  <c r="J80" i="19"/>
  <c r="I80" i="19"/>
  <c r="H80" i="19"/>
  <c r="G80" i="19"/>
  <c r="F80" i="19"/>
  <c r="E80" i="19"/>
  <c r="D80" i="19"/>
  <c r="C80" i="19"/>
  <c r="L79" i="19"/>
  <c r="K79" i="19"/>
  <c r="J79" i="19"/>
  <c r="I79" i="19"/>
  <c r="H79" i="19"/>
  <c r="G79" i="19"/>
  <c r="F79" i="19"/>
  <c r="E79" i="19"/>
  <c r="D79" i="19"/>
  <c r="C79" i="19"/>
  <c r="L78" i="19"/>
  <c r="K78" i="19"/>
  <c r="J78" i="19"/>
  <c r="I78" i="19"/>
  <c r="H78" i="19"/>
  <c r="G78" i="19"/>
  <c r="F78" i="19"/>
  <c r="E78" i="19"/>
  <c r="D78" i="19"/>
  <c r="C78" i="19"/>
  <c r="L77" i="19"/>
  <c r="K77" i="19"/>
  <c r="J77" i="19"/>
  <c r="I77" i="19"/>
  <c r="H77" i="19"/>
  <c r="G77" i="19"/>
  <c r="F77" i="19"/>
  <c r="E77" i="19"/>
  <c r="D77" i="19"/>
  <c r="C77" i="19"/>
  <c r="L76" i="19"/>
  <c r="K76" i="19"/>
  <c r="J76" i="19"/>
  <c r="I76" i="19"/>
  <c r="H76" i="19"/>
  <c r="G76" i="19"/>
  <c r="F76" i="19"/>
  <c r="E76" i="19"/>
  <c r="D76" i="19"/>
  <c r="C76" i="19"/>
  <c r="L75" i="19"/>
  <c r="K75" i="19"/>
  <c r="J75" i="19"/>
  <c r="I75" i="19"/>
  <c r="H75" i="19"/>
  <c r="G75" i="19"/>
  <c r="F75" i="19"/>
  <c r="E75" i="19"/>
  <c r="D75" i="19"/>
  <c r="C75" i="19"/>
  <c r="L74" i="19"/>
  <c r="K74" i="19"/>
  <c r="J74" i="19"/>
  <c r="I74" i="19"/>
  <c r="H74" i="19"/>
  <c r="G74" i="19"/>
  <c r="F74" i="19"/>
  <c r="E74" i="19"/>
  <c r="D74" i="19"/>
  <c r="G43" i="18"/>
  <c r="F43" i="18"/>
  <c r="F44" i="18" s="1"/>
  <c r="D43" i="18"/>
  <c r="C43" i="18"/>
  <c r="C44" i="18"/>
  <c r="G41" i="18"/>
  <c r="F41" i="18"/>
  <c r="D41" i="18"/>
  <c r="C41" i="18"/>
  <c r="F42" i="18"/>
  <c r="C42" i="18"/>
  <c r="G39" i="18"/>
  <c r="F39" i="18"/>
  <c r="F40" i="18" s="1"/>
  <c r="D39" i="18"/>
  <c r="C39" i="18"/>
  <c r="G37" i="18"/>
  <c r="F37" i="18"/>
  <c r="D37" i="18"/>
  <c r="C37" i="18"/>
  <c r="F38" i="18"/>
  <c r="G35" i="18"/>
  <c r="F35" i="18"/>
  <c r="F36" i="18" s="1"/>
  <c r="D35" i="18"/>
  <c r="C35" i="18"/>
  <c r="C36" i="18"/>
  <c r="G32" i="18"/>
  <c r="F32" i="18"/>
  <c r="D32" i="18"/>
  <c r="C32" i="18"/>
  <c r="C33" i="18"/>
  <c r="G30" i="18"/>
  <c r="F30" i="18"/>
  <c r="D30" i="18"/>
  <c r="C30" i="18"/>
  <c r="F31" i="18"/>
  <c r="G99" i="17"/>
  <c r="F99" i="17"/>
  <c r="E99" i="17"/>
  <c r="D99" i="17"/>
  <c r="C99" i="17"/>
  <c r="G98" i="17"/>
  <c r="F98" i="17"/>
  <c r="E98" i="17"/>
  <c r="D98" i="17"/>
  <c r="C98" i="17"/>
  <c r="G97" i="17"/>
  <c r="F97" i="17"/>
  <c r="E97" i="17"/>
  <c r="D97" i="17"/>
  <c r="C97" i="17"/>
  <c r="G96" i="17"/>
  <c r="F96" i="17"/>
  <c r="E96" i="17"/>
  <c r="D96" i="17"/>
  <c r="C96" i="17"/>
  <c r="G95" i="17"/>
  <c r="F95" i="17"/>
  <c r="E95" i="17"/>
  <c r="D95" i="17"/>
  <c r="C95" i="17"/>
  <c r="G94" i="17"/>
  <c r="F94" i="17"/>
  <c r="E94" i="17"/>
  <c r="D94" i="17"/>
  <c r="C94" i="17"/>
  <c r="G93" i="17"/>
  <c r="F93" i="17"/>
  <c r="E93" i="17"/>
  <c r="D93" i="17"/>
  <c r="C93" i="17"/>
  <c r="G92" i="17"/>
  <c r="F92" i="17"/>
  <c r="E92" i="17"/>
  <c r="D92" i="17"/>
  <c r="C92" i="17"/>
  <c r="G91" i="17"/>
  <c r="F91" i="17"/>
  <c r="E91" i="17"/>
  <c r="D91" i="17"/>
  <c r="AA201" i="3"/>
  <c r="AA200" i="3"/>
  <c r="AA199" i="3"/>
  <c r="AA198" i="3"/>
  <c r="AA197" i="3"/>
  <c r="AA195" i="3"/>
  <c r="AA194" i="3"/>
  <c r="AA193" i="3"/>
  <c r="AC187" i="3"/>
  <c r="AC186" i="3"/>
  <c r="AC181" i="3"/>
  <c r="AC180" i="3"/>
  <c r="Q201" i="3"/>
  <c r="P201" i="3"/>
  <c r="O201" i="3"/>
  <c r="N201" i="3"/>
  <c r="M201" i="3"/>
  <c r="Q200" i="3"/>
  <c r="P200" i="3"/>
  <c r="O200" i="3"/>
  <c r="N200" i="3"/>
  <c r="M200" i="3"/>
  <c r="Q199" i="3"/>
  <c r="P199" i="3"/>
  <c r="O199" i="3"/>
  <c r="N199" i="3"/>
  <c r="M199" i="3"/>
  <c r="Q198" i="3"/>
  <c r="P198" i="3"/>
  <c r="O198" i="3"/>
  <c r="N198" i="3"/>
  <c r="M198" i="3"/>
  <c r="Q197" i="3"/>
  <c r="P197" i="3"/>
  <c r="O197" i="3"/>
  <c r="N197" i="3"/>
  <c r="M197" i="3"/>
  <c r="Q195" i="3"/>
  <c r="P195" i="3"/>
  <c r="O195" i="3"/>
  <c r="N195" i="3"/>
  <c r="M195" i="3"/>
  <c r="Q194" i="3"/>
  <c r="P194" i="3"/>
  <c r="O194" i="3"/>
  <c r="N194" i="3"/>
  <c r="M194" i="3"/>
  <c r="Q193" i="3"/>
  <c r="P193" i="3"/>
  <c r="O193" i="3"/>
  <c r="N193" i="3"/>
  <c r="AA10" i="3"/>
  <c r="AC10" i="3" s="1"/>
  <c r="Q38" i="3"/>
  <c r="Q106" i="3" s="1"/>
  <c r="P38" i="3"/>
  <c r="P106" i="3" s="1"/>
  <c r="O38" i="3"/>
  <c r="O106" i="3" s="1"/>
  <c r="E31" i="12" s="1"/>
  <c r="N38" i="3"/>
  <c r="N106" i="3" s="1"/>
  <c r="D31" i="12" s="1"/>
  <c r="M38" i="3"/>
  <c r="M106" i="3" s="1"/>
  <c r="Q28" i="3"/>
  <c r="P28" i="3"/>
  <c r="O28" i="3"/>
  <c r="N28" i="3"/>
  <c r="M28" i="3"/>
  <c r="Q10" i="3"/>
  <c r="P10" i="3"/>
  <c r="O10" i="3"/>
  <c r="N10" i="3"/>
  <c r="M10" i="3"/>
  <c r="P25" i="3"/>
  <c r="P23" i="3"/>
  <c r="H87" i="19"/>
  <c r="G87" i="19"/>
  <c r="F87" i="19"/>
  <c r="E87" i="19"/>
  <c r="D87" i="19"/>
  <c r="C87" i="19"/>
  <c r="H86" i="19"/>
  <c r="G86" i="19"/>
  <c r="F86" i="19"/>
  <c r="E86" i="19"/>
  <c r="D86" i="19"/>
  <c r="C86" i="19"/>
  <c r="H85" i="19"/>
  <c r="G85" i="19"/>
  <c r="F85" i="19"/>
  <c r="E85" i="19"/>
  <c r="D85" i="19"/>
  <c r="C85" i="19"/>
  <c r="Q170" i="3"/>
  <c r="P170" i="3"/>
  <c r="O170" i="3"/>
  <c r="N170" i="3"/>
  <c r="M170" i="3"/>
  <c r="AC33" i="3"/>
  <c r="Q210" i="3"/>
  <c r="L86" i="19" s="1"/>
  <c r="P210" i="3"/>
  <c r="K86" i="19" s="1"/>
  <c r="O210" i="3"/>
  <c r="J86" i="19" s="1"/>
  <c r="N210" i="3"/>
  <c r="I86" i="19" s="1"/>
  <c r="G10" i="16"/>
  <c r="Q115" i="3"/>
  <c r="P115" i="3"/>
  <c r="O115" i="3"/>
  <c r="N115" i="3"/>
  <c r="M115" i="3"/>
  <c r="F26" i="1" a="1"/>
  <c r="J64" i="20"/>
  <c r="I64" i="20"/>
  <c r="H64" i="20"/>
  <c r="G64" i="20"/>
  <c r="F64" i="20"/>
  <c r="E64" i="20"/>
  <c r="D64" i="20"/>
  <c r="J63" i="20"/>
  <c r="I63" i="20"/>
  <c r="H63" i="20"/>
  <c r="G63" i="20"/>
  <c r="F63" i="20"/>
  <c r="E63" i="20"/>
  <c r="D63" i="20"/>
  <c r="C65" i="20"/>
  <c r="C64" i="20"/>
  <c r="C63" i="20"/>
  <c r="J59"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G84" i="19"/>
  <c r="F84" i="19"/>
  <c r="E84" i="19"/>
  <c r="D84" i="19"/>
  <c r="C84" i="19"/>
  <c r="G83" i="19"/>
  <c r="F83" i="19"/>
  <c r="E83" i="19"/>
  <c r="D83" i="19"/>
  <c r="C83" i="19"/>
  <c r="G82" i="19"/>
  <c r="F82" i="19"/>
  <c r="E82" i="19"/>
  <c r="D82" i="19"/>
  <c r="C82" i="19"/>
  <c r="C74" i="19"/>
  <c r="L73" i="19"/>
  <c r="K73" i="19"/>
  <c r="J73" i="19"/>
  <c r="I73" i="19"/>
  <c r="H73" i="19"/>
  <c r="G73" i="19"/>
  <c r="F73" i="19"/>
  <c r="E73" i="19"/>
  <c r="D73" i="19"/>
  <c r="C73" i="19"/>
  <c r="L72" i="19"/>
  <c r="K72" i="19"/>
  <c r="J72" i="19"/>
  <c r="I72" i="19"/>
  <c r="H72" i="19"/>
  <c r="G72" i="19"/>
  <c r="F72" i="19"/>
  <c r="E72" i="19"/>
  <c r="D72" i="19"/>
  <c r="C72" i="19"/>
  <c r="G71" i="19"/>
  <c r="F71" i="19"/>
  <c r="E71" i="19"/>
  <c r="D71" i="19"/>
  <c r="G70" i="19"/>
  <c r="F70" i="19"/>
  <c r="E70" i="19"/>
  <c r="D70" i="19"/>
  <c r="G69" i="19"/>
  <c r="F69" i="19"/>
  <c r="E69" i="19"/>
  <c r="D69" i="19"/>
  <c r="C71" i="19"/>
  <c r="C70" i="19"/>
  <c r="C69" i="19"/>
  <c r="G68" i="19"/>
  <c r="F68" i="19"/>
  <c r="E68" i="19"/>
  <c r="D68" i="19"/>
  <c r="G67" i="19"/>
  <c r="F67" i="19"/>
  <c r="E67" i="19"/>
  <c r="D67" i="19"/>
  <c r="C68" i="19"/>
  <c r="C67" i="19"/>
  <c r="L66" i="19"/>
  <c r="K66" i="19"/>
  <c r="J66" i="19"/>
  <c r="I66" i="19"/>
  <c r="H66" i="19"/>
  <c r="G66" i="19"/>
  <c r="F66" i="19"/>
  <c r="E66" i="19"/>
  <c r="D66" i="19"/>
  <c r="C66" i="19"/>
  <c r="L65" i="19"/>
  <c r="K65" i="19"/>
  <c r="J65" i="19"/>
  <c r="I65" i="19"/>
  <c r="H65" i="19"/>
  <c r="G65" i="19"/>
  <c r="F65" i="19"/>
  <c r="E65" i="19"/>
  <c r="D65" i="19"/>
  <c r="C65" i="19"/>
  <c r="L64" i="19"/>
  <c r="K64" i="19"/>
  <c r="J64" i="19"/>
  <c r="I64" i="19"/>
  <c r="H64" i="19"/>
  <c r="G64" i="19"/>
  <c r="F64" i="19"/>
  <c r="E64" i="19"/>
  <c r="D64" i="19"/>
  <c r="C64" i="19"/>
  <c r="H63" i="19"/>
  <c r="G63" i="19"/>
  <c r="F63" i="19"/>
  <c r="E63" i="19"/>
  <c r="D63" i="19"/>
  <c r="L62" i="19"/>
  <c r="K62" i="19"/>
  <c r="J62" i="19"/>
  <c r="I62" i="19"/>
  <c r="H62" i="19"/>
  <c r="G62" i="19"/>
  <c r="F62" i="19"/>
  <c r="E62" i="19"/>
  <c r="D62" i="19"/>
  <c r="C63" i="19"/>
  <c r="C62" i="19"/>
  <c r="G7" i="16"/>
  <c r="F7" i="16"/>
  <c r="L70" i="3"/>
  <c r="K70" i="3"/>
  <c r="J70" i="3"/>
  <c r="I70" i="3"/>
  <c r="H70" i="3"/>
  <c r="G70" i="3"/>
  <c r="F70" i="3"/>
  <c r="E70" i="3"/>
  <c r="D70" i="3"/>
  <c r="C70" i="3"/>
  <c r="Q205" i="3"/>
  <c r="P205" i="3"/>
  <c r="O205" i="3"/>
  <c r="N205" i="3"/>
  <c r="M205" i="3"/>
  <c r="AC83" i="3"/>
  <c r="AC44" i="3"/>
  <c r="AC64" i="3"/>
  <c r="AA110" i="3"/>
  <c r="Q110" i="3"/>
  <c r="P110" i="3"/>
  <c r="O110" i="3"/>
  <c r="N110" i="3"/>
  <c r="M110" i="3"/>
  <c r="AC47" i="3"/>
  <c r="AA109" i="3"/>
  <c r="Q109" i="3"/>
  <c r="P109" i="3"/>
  <c r="O109" i="3"/>
  <c r="N109" i="3"/>
  <c r="M109" i="3"/>
  <c r="AC16" i="3"/>
  <c r="C13" i="10"/>
  <c r="C12" i="10"/>
  <c r="C11" i="10"/>
  <c r="G29" i="7"/>
  <c r="F29" i="7"/>
  <c r="E29" i="7"/>
  <c r="D29" i="7"/>
  <c r="C29" i="7"/>
  <c r="G14" i="7"/>
  <c r="F14" i="7"/>
  <c r="E14" i="7"/>
  <c r="D14" i="7"/>
  <c r="C14" i="7"/>
  <c r="AA106" i="3"/>
  <c r="AC106" i="3" s="1"/>
  <c r="AC38" i="3"/>
  <c r="AA76" i="3"/>
  <c r="H9" i="1"/>
  <c r="H8" i="1"/>
  <c r="H5" i="1"/>
  <c r="H4" i="1"/>
  <c r="H3" i="1"/>
  <c r="G28" i="18"/>
  <c r="F28" i="18"/>
  <c r="D28" i="18"/>
  <c r="C28" i="18"/>
  <c r="G26" i="18"/>
  <c r="F26" i="18"/>
  <c r="D26" i="18"/>
  <c r="C26" i="18"/>
  <c r="G24" i="18"/>
  <c r="F24" i="18"/>
  <c r="D24" i="18"/>
  <c r="C24" i="18"/>
  <c r="AA192" i="3"/>
  <c r="AA191" i="3"/>
  <c r="G16" i="18"/>
  <c r="F16" i="18"/>
  <c r="D16" i="18"/>
  <c r="C16" i="18"/>
  <c r="G14" i="18"/>
  <c r="F14" i="18"/>
  <c r="D14" i="18"/>
  <c r="C14" i="18"/>
  <c r="G8" i="18"/>
  <c r="F8" i="18"/>
  <c r="D8" i="18"/>
  <c r="C8" i="18"/>
  <c r="G6" i="18"/>
  <c r="F6" i="18"/>
  <c r="D6" i="18"/>
  <c r="C6" i="18"/>
  <c r="G5" i="18"/>
  <c r="G4" i="18"/>
  <c r="F5" i="18"/>
  <c r="F4" i="18"/>
  <c r="D5" i="18"/>
  <c r="D4" i="18"/>
  <c r="C5" i="18"/>
  <c r="C4" i="18"/>
  <c r="M193" i="3"/>
  <c r="Q192" i="3"/>
  <c r="P192" i="3"/>
  <c r="O192" i="3"/>
  <c r="N192" i="3"/>
  <c r="M192" i="3"/>
  <c r="Q191" i="3"/>
  <c r="P191" i="3"/>
  <c r="O191" i="3"/>
  <c r="N191" i="3"/>
  <c r="M191" i="3"/>
  <c r="G22" i="17"/>
  <c r="F22" i="17"/>
  <c r="E22" i="17"/>
  <c r="D22" i="17"/>
  <c r="C22" i="17"/>
  <c r="G21" i="17"/>
  <c r="F21" i="17"/>
  <c r="E21" i="17"/>
  <c r="D21" i="17"/>
  <c r="C21" i="17"/>
  <c r="G6" i="17"/>
  <c r="F6" i="17"/>
  <c r="E6" i="17"/>
  <c r="D6" i="17"/>
  <c r="C6" i="17"/>
  <c r="I3" i="17"/>
  <c r="C3" i="17"/>
  <c r="G2" i="17"/>
  <c r="F2" i="17"/>
  <c r="E2" i="17"/>
  <c r="D2" i="17"/>
  <c r="C2" i="17"/>
  <c r="Q108" i="3"/>
  <c r="P108" i="3"/>
  <c r="O108" i="3"/>
  <c r="N108" i="3"/>
  <c r="M108" i="3"/>
  <c r="AA132" i="3"/>
  <c r="Q132" i="3"/>
  <c r="P132" i="3"/>
  <c r="O132" i="3"/>
  <c r="N132" i="3"/>
  <c r="M132" i="3"/>
  <c r="AC30" i="3"/>
  <c r="Q164" i="3"/>
  <c r="P164" i="3"/>
  <c r="O164" i="3"/>
  <c r="N164" i="3"/>
  <c r="M164" i="3"/>
  <c r="Q163" i="3"/>
  <c r="P163" i="3"/>
  <c r="O163" i="3"/>
  <c r="N163" i="3"/>
  <c r="M163" i="3"/>
  <c r="AA139" i="3"/>
  <c r="Q139" i="3"/>
  <c r="P139" i="3"/>
  <c r="O139" i="3"/>
  <c r="N139" i="3"/>
  <c r="M139" i="3"/>
  <c r="AA138" i="3"/>
  <c r="Q138" i="3"/>
  <c r="P138" i="3"/>
  <c r="O138" i="3"/>
  <c r="N138" i="3"/>
  <c r="M138" i="3"/>
  <c r="AA133" i="3"/>
  <c r="Q133" i="3"/>
  <c r="P133" i="3"/>
  <c r="O133" i="3"/>
  <c r="N133" i="3"/>
  <c r="M133" i="3"/>
  <c r="G9" i="16"/>
  <c r="F6" i="16"/>
  <c r="G6" i="16"/>
  <c r="AC60" i="3"/>
  <c r="AC75" i="3"/>
  <c r="P76" i="3"/>
  <c r="O76" i="3"/>
  <c r="N76" i="3"/>
  <c r="M76" i="3"/>
  <c r="Q76" i="3"/>
  <c r="G24" i="12"/>
  <c r="F24" i="12"/>
  <c r="E24" i="12"/>
  <c r="D24" i="12"/>
  <c r="C24" i="12"/>
  <c r="L15" i="8"/>
  <c r="K15" i="8"/>
  <c r="J15" i="8"/>
  <c r="I15" i="8"/>
  <c r="H15" i="8"/>
  <c r="G42" i="7"/>
  <c r="F42" i="7"/>
  <c r="E42" i="7"/>
  <c r="D42" i="7"/>
  <c r="C42" i="7"/>
  <c r="G30" i="7"/>
  <c r="F30" i="7"/>
  <c r="E30" i="7"/>
  <c r="D30" i="7"/>
  <c r="C30" i="7"/>
  <c r="G28" i="7"/>
  <c r="F28" i="7"/>
  <c r="E28" i="7"/>
  <c r="D28" i="7"/>
  <c r="C28" i="7"/>
  <c r="G15" i="7"/>
  <c r="F15" i="7"/>
  <c r="E15" i="7"/>
  <c r="D15" i="7"/>
  <c r="C15" i="7"/>
  <c r="L23" i="7"/>
  <c r="K23" i="7"/>
  <c r="J23" i="7"/>
  <c r="I23" i="7"/>
  <c r="H23" i="7"/>
  <c r="AB5" i="6"/>
  <c r="W13" i="6"/>
  <c r="V13" i="6"/>
  <c r="U13" i="6"/>
  <c r="T13" i="6"/>
  <c r="S13" i="6"/>
  <c r="R13" i="6"/>
  <c r="Q13" i="6"/>
  <c r="P13" i="6"/>
  <c r="W12" i="6"/>
  <c r="V12" i="6"/>
  <c r="U12" i="6"/>
  <c r="T12" i="6"/>
  <c r="S12" i="6"/>
  <c r="R12" i="6"/>
  <c r="Q12" i="6"/>
  <c r="P12" i="6"/>
  <c r="W11" i="6"/>
  <c r="V11" i="6"/>
  <c r="U11" i="6"/>
  <c r="T11" i="6"/>
  <c r="S11" i="6"/>
  <c r="R11" i="6"/>
  <c r="Q11" i="6"/>
  <c r="P11" i="6"/>
  <c r="O14" i="6"/>
  <c r="O11" i="6"/>
  <c r="B22" i="6"/>
  <c r="B19" i="6"/>
  <c r="G13" i="6"/>
  <c r="F13" i="6"/>
  <c r="E13" i="6"/>
  <c r="D13" i="6"/>
  <c r="C13" i="6"/>
  <c r="G12" i="6"/>
  <c r="F12" i="6"/>
  <c r="E12" i="6"/>
  <c r="D12" i="6"/>
  <c r="C12" i="6"/>
  <c r="B13" i="6"/>
  <c r="B12" i="6"/>
  <c r="G11" i="6"/>
  <c r="F11" i="6"/>
  <c r="E11" i="6"/>
  <c r="D11" i="6"/>
  <c r="C11" i="6"/>
  <c r="B5" i="6"/>
  <c r="Z18" i="6"/>
  <c r="Y18" i="6"/>
  <c r="X18" i="6"/>
  <c r="Z10" i="6"/>
  <c r="Y10" i="6"/>
  <c r="X10" i="6"/>
  <c r="Z11" i="5"/>
  <c r="Y11" i="5"/>
  <c r="X11" i="5"/>
  <c r="W11" i="5"/>
  <c r="V11" i="5"/>
  <c r="U11" i="5"/>
  <c r="T11" i="5"/>
  <c r="S11" i="5"/>
  <c r="Z5" i="5"/>
  <c r="Y5" i="5"/>
  <c r="X5" i="5"/>
  <c r="W5" i="5"/>
  <c r="V5" i="5"/>
  <c r="U5" i="5"/>
  <c r="T5" i="5"/>
  <c r="S5" i="5"/>
  <c r="R5" i="5"/>
  <c r="H8" i="5"/>
  <c r="I8" i="5" s="1"/>
  <c r="H7" i="5"/>
  <c r="I7" i="5" s="1"/>
  <c r="J7" i="5" s="1"/>
  <c r="K7" i="5" s="1"/>
  <c r="L7" i="5" s="1"/>
  <c r="H6" i="5"/>
  <c r="G11" i="5"/>
  <c r="F11" i="5"/>
  <c r="E11" i="5"/>
  <c r="D11" i="5"/>
  <c r="C11" i="5"/>
  <c r="C5" i="5"/>
  <c r="R20" i="5"/>
  <c r="B20" i="5"/>
  <c r="AC14" i="5"/>
  <c r="AB14" i="5"/>
  <c r="AA14" i="5"/>
  <c r="AA82" i="3"/>
  <c r="O82" i="3"/>
  <c r="N82" i="3"/>
  <c r="M82" i="3"/>
  <c r="L82" i="3"/>
  <c r="K82" i="3"/>
  <c r="J82" i="3"/>
  <c r="I82" i="3"/>
  <c r="H82" i="3"/>
  <c r="G82" i="3"/>
  <c r="F82" i="3"/>
  <c r="E82" i="3"/>
  <c r="D82" i="3"/>
  <c r="C82" i="3"/>
  <c r="P82" i="3"/>
  <c r="Q82" i="3"/>
  <c r="P122" i="3"/>
  <c r="O122" i="3"/>
  <c r="N122" i="3"/>
  <c r="M122" i="3"/>
  <c r="Q122" i="3"/>
  <c r="P120" i="3"/>
  <c r="O120" i="3"/>
  <c r="N120" i="3"/>
  <c r="M120" i="3"/>
  <c r="Q120" i="3"/>
  <c r="AC185" i="3"/>
  <c r="AC184" i="3"/>
  <c r="AC183" i="3"/>
  <c r="AC179" i="3"/>
  <c r="AC178" i="3"/>
  <c r="AC177" i="3"/>
  <c r="AA100" i="3"/>
  <c r="AC80" i="3"/>
  <c r="AA81" i="3"/>
  <c r="Q81" i="3"/>
  <c r="P81" i="3"/>
  <c r="O81" i="3"/>
  <c r="N81" i="3"/>
  <c r="M81" i="3"/>
  <c r="AC49" i="3"/>
  <c r="AC48" i="3"/>
  <c r="AC46" i="3"/>
  <c r="AC45" i="3"/>
  <c r="AC43" i="3"/>
  <c r="AC42" i="3"/>
  <c r="AC40" i="3"/>
  <c r="AC39" i="3"/>
  <c r="AC37" i="3"/>
  <c r="AC36" i="3"/>
  <c r="AC34" i="3"/>
  <c r="AC32" i="3"/>
  <c r="AC31" i="3"/>
  <c r="AC29" i="3"/>
  <c r="AA41" i="3"/>
  <c r="AA35" i="3"/>
  <c r="O41" i="3"/>
  <c r="N41" i="3"/>
  <c r="M41" i="3"/>
  <c r="M35" i="3"/>
  <c r="O35" i="3"/>
  <c r="N35" i="3"/>
  <c r="P41" i="3"/>
  <c r="Q41" i="3"/>
  <c r="P35" i="3"/>
  <c r="Q35" i="3"/>
  <c r="AA96" i="3"/>
  <c r="AA95" i="3"/>
  <c r="AA94" i="3"/>
  <c r="AA92" i="3"/>
  <c r="AA91" i="3"/>
  <c r="AA89" i="3"/>
  <c r="AA88" i="3"/>
  <c r="AC24" i="3"/>
  <c r="AC22" i="3"/>
  <c r="AC20" i="3"/>
  <c r="AC18" i="3"/>
  <c r="AC17" i="3"/>
  <c r="AC15" i="3"/>
  <c r="AC14" i="3"/>
  <c r="AC13" i="3"/>
  <c r="AC12" i="3"/>
  <c r="AC11" i="3"/>
  <c r="AC9" i="3"/>
  <c r="AC8" i="3"/>
  <c r="AC6" i="3"/>
  <c r="AC5" i="3"/>
  <c r="AA25" i="3"/>
  <c r="AA23" i="3"/>
  <c r="AA21" i="3"/>
  <c r="AA19" i="3"/>
  <c r="AA7" i="3"/>
  <c r="Q100" i="3"/>
  <c r="P100" i="3"/>
  <c r="O100" i="3"/>
  <c r="N100" i="3"/>
  <c r="M100" i="3"/>
  <c r="Q96" i="3"/>
  <c r="P96" i="3"/>
  <c r="O96" i="3"/>
  <c r="N96" i="3"/>
  <c r="M96" i="3"/>
  <c r="Q95" i="3"/>
  <c r="P95" i="3"/>
  <c r="O95" i="3"/>
  <c r="N95" i="3"/>
  <c r="M95" i="3"/>
  <c r="Q94" i="3"/>
  <c r="P94" i="3"/>
  <c r="O94" i="3"/>
  <c r="N94" i="3"/>
  <c r="M94" i="3"/>
  <c r="Q92" i="3"/>
  <c r="P92" i="3"/>
  <c r="O92" i="3"/>
  <c r="N92" i="3"/>
  <c r="M92" i="3"/>
  <c r="Q91" i="3"/>
  <c r="P91" i="3"/>
  <c r="O91" i="3"/>
  <c r="N91" i="3"/>
  <c r="M91" i="3"/>
  <c r="Q89" i="3"/>
  <c r="P89" i="3"/>
  <c r="O89" i="3"/>
  <c r="N89" i="3"/>
  <c r="M89" i="3"/>
  <c r="Q88" i="3"/>
  <c r="P88" i="3"/>
  <c r="O88" i="3"/>
  <c r="N88" i="3"/>
  <c r="M88" i="3"/>
  <c r="M25" i="3"/>
  <c r="N25" i="3"/>
  <c r="O25" i="3"/>
  <c r="Q25" i="3"/>
  <c r="Q23" i="3"/>
  <c r="O23" i="3"/>
  <c r="N23" i="3"/>
  <c r="M23" i="3"/>
  <c r="Q21" i="3"/>
  <c r="P21" i="3"/>
  <c r="O21" i="3"/>
  <c r="N21" i="3"/>
  <c r="M21" i="3"/>
  <c r="Q19" i="3"/>
  <c r="P19" i="3"/>
  <c r="O19" i="3"/>
  <c r="N19" i="3"/>
  <c r="M19" i="3"/>
  <c r="Q7" i="3"/>
  <c r="L21" i="3"/>
  <c r="K21" i="3"/>
  <c r="J21" i="3"/>
  <c r="I21" i="3"/>
  <c r="H21" i="3"/>
  <c r="G21" i="3"/>
  <c r="F21" i="3"/>
  <c r="E21" i="3"/>
  <c r="D21" i="3"/>
  <c r="C21" i="3"/>
  <c r="L19" i="3"/>
  <c r="K19" i="3"/>
  <c r="J19" i="3"/>
  <c r="I19" i="3"/>
  <c r="H19" i="3"/>
  <c r="G19" i="3"/>
  <c r="F19" i="3"/>
  <c r="E19" i="3"/>
  <c r="D19" i="3"/>
  <c r="C19" i="3"/>
  <c r="P7" i="3"/>
  <c r="O7" i="3"/>
  <c r="N7" i="3"/>
  <c r="M7" i="3"/>
  <c r="L7" i="3"/>
  <c r="K7" i="3"/>
  <c r="J7" i="3"/>
  <c r="I7" i="3"/>
  <c r="H7" i="3"/>
  <c r="G7" i="3"/>
  <c r="F7" i="3"/>
  <c r="E7" i="3"/>
  <c r="D7" i="3"/>
  <c r="C7" i="3"/>
  <c r="C8" i="1" a="1"/>
  <c r="C9" i="1" a="1"/>
  <c r="C10" i="1" a="1"/>
  <c r="C14" i="1" a="1"/>
  <c r="C13" i="1" a="1"/>
  <c r="C12" i="1" a="1"/>
  <c r="C11" i="1" a="1"/>
  <c r="C7" i="1" a="1"/>
  <c r="C6" i="1" a="1"/>
  <c r="C5" i="1" a="1"/>
  <c r="C4" i="1" a="1"/>
  <c r="C40" i="18" l="1"/>
  <c r="AA108" i="3"/>
  <c r="AA147" i="3" s="1"/>
  <c r="J73" i="20" s="1"/>
  <c r="AC59" i="3"/>
  <c r="AC108" i="3" s="1"/>
  <c r="AA164" i="3"/>
  <c r="AA163" i="3"/>
  <c r="AC53" i="3"/>
  <c r="C68" i="12"/>
  <c r="C47" i="12"/>
  <c r="AE9" i="5"/>
  <c r="AE10" i="5"/>
  <c r="Z135" i="3"/>
  <c r="Z136" i="3"/>
  <c r="Y135" i="3"/>
  <c r="Y136" i="3"/>
  <c r="X135" i="3"/>
  <c r="X136" i="3"/>
  <c r="W135" i="3"/>
  <c r="W136" i="3"/>
  <c r="V135" i="3"/>
  <c r="V136" i="3"/>
  <c r="U135" i="3"/>
  <c r="U136" i="3"/>
  <c r="T135" i="3"/>
  <c r="T136" i="3"/>
  <c r="Z162" i="3"/>
  <c r="Z165" i="3"/>
  <c r="Z137" i="3"/>
  <c r="Y137" i="3"/>
  <c r="Y162" i="3"/>
  <c r="Y165" i="3"/>
  <c r="X137" i="3"/>
  <c r="X162" i="3"/>
  <c r="X165" i="3"/>
  <c r="W137" i="3"/>
  <c r="W162" i="3"/>
  <c r="W165" i="3"/>
  <c r="V137" i="3"/>
  <c r="V162" i="3"/>
  <c r="V165" i="3"/>
  <c r="U137" i="3"/>
  <c r="U162" i="3"/>
  <c r="U165" i="3"/>
  <c r="T137" i="3"/>
  <c r="T162" i="3"/>
  <c r="T165" i="3"/>
  <c r="Z19" i="5"/>
  <c r="Y19" i="5"/>
  <c r="Z18" i="5"/>
  <c r="Y18" i="5"/>
  <c r="Z17" i="5"/>
  <c r="Y17" i="5"/>
  <c r="D11" i="21"/>
  <c r="C21" i="21"/>
  <c r="C23" i="21" s="1"/>
  <c r="G16" i="21"/>
  <c r="F16" i="21"/>
  <c r="G12" i="21"/>
  <c r="E16" i="21"/>
  <c r="F12" i="21"/>
  <c r="E12" i="21"/>
  <c r="D16" i="21"/>
  <c r="C16" i="21"/>
  <c r="D12" i="21"/>
  <c r="L15" i="21"/>
  <c r="L10" i="21"/>
  <c r="K15" i="21"/>
  <c r="K10" i="21"/>
  <c r="J15" i="21"/>
  <c r="J10" i="21"/>
  <c r="I10" i="21"/>
  <c r="I15" i="21"/>
  <c r="H10" i="21"/>
  <c r="H15" i="21"/>
  <c r="G10" i="21"/>
  <c r="G15" i="21"/>
  <c r="F15" i="21"/>
  <c r="F10" i="21"/>
  <c r="E15" i="21"/>
  <c r="E10" i="21"/>
  <c r="D15" i="21"/>
  <c r="D10" i="21"/>
  <c r="C15" i="21"/>
  <c r="C10" i="21"/>
  <c r="AA11" i="5"/>
  <c r="H11" i="5"/>
  <c r="I9" i="5"/>
  <c r="J9" i="5" s="1"/>
  <c r="K9" i="5" s="1"/>
  <c r="L9" i="5" s="1"/>
  <c r="C38" i="18"/>
  <c r="C31" i="18"/>
  <c r="F33" i="18"/>
  <c r="I6" i="5"/>
  <c r="I11" i="5" s="1"/>
  <c r="C5" i="12"/>
  <c r="C6" i="11"/>
  <c r="AC170" i="3"/>
  <c r="D3" i="17"/>
  <c r="D5" i="5"/>
  <c r="I63" i="19"/>
  <c r="AC171" i="3"/>
  <c r="Q171" i="3"/>
  <c r="P171" i="3"/>
  <c r="O171" i="3"/>
  <c r="N171" i="3"/>
  <c r="M171" i="3"/>
  <c r="AA105" i="3"/>
  <c r="Q105" i="3"/>
  <c r="P105" i="3"/>
  <c r="O105" i="3"/>
  <c r="N105" i="3"/>
  <c r="M105" i="3"/>
  <c r="Q211" i="3"/>
  <c r="L87" i="19" s="1"/>
  <c r="P211" i="3"/>
  <c r="K87" i="19" s="1"/>
  <c r="O211" i="3"/>
  <c r="J87" i="19" s="1"/>
  <c r="N211" i="3"/>
  <c r="I87" i="19" s="1"/>
  <c r="Q209" i="3"/>
  <c r="L85" i="19" s="1"/>
  <c r="P209" i="3"/>
  <c r="K85" i="19" s="1"/>
  <c r="O209" i="3"/>
  <c r="J85" i="19" s="1"/>
  <c r="N209" i="3"/>
  <c r="I85" i="19" s="1"/>
  <c r="F31" i="12"/>
  <c r="C23" i="11"/>
  <c r="C25" i="14"/>
  <c r="F10" i="16"/>
  <c r="Q153" i="3"/>
  <c r="P153" i="3"/>
  <c r="O153" i="3"/>
  <c r="N153" i="3"/>
  <c r="Q152" i="3"/>
  <c r="P152" i="3"/>
  <c r="O152" i="3"/>
  <c r="N152" i="3"/>
  <c r="M153" i="3"/>
  <c r="M152" i="3"/>
  <c r="Q141" i="3"/>
  <c r="P141" i="3"/>
  <c r="O141" i="3"/>
  <c r="N141" i="3"/>
  <c r="M141" i="3"/>
  <c r="Q140" i="3"/>
  <c r="P140" i="3"/>
  <c r="O140" i="3"/>
  <c r="N140" i="3"/>
  <c r="M140" i="3"/>
  <c r="I73" i="20"/>
  <c r="H73" i="20"/>
  <c r="G73" i="20"/>
  <c r="F73" i="20"/>
  <c r="E73" i="20"/>
  <c r="D73" i="20"/>
  <c r="C73" i="20"/>
  <c r="J61" i="20"/>
  <c r="I61" i="20"/>
  <c r="H61" i="20"/>
  <c r="G61" i="20"/>
  <c r="F61" i="20"/>
  <c r="E61" i="20"/>
  <c r="D61" i="20"/>
  <c r="C61" i="20"/>
  <c r="F27" i="1" s="1"/>
  <c r="C9" i="10" s="1"/>
  <c r="L70" i="19"/>
  <c r="K70" i="19"/>
  <c r="J70" i="19"/>
  <c r="I70" i="19"/>
  <c r="H70" i="19"/>
  <c r="G34" i="8"/>
  <c r="F34" i="8"/>
  <c r="E34" i="8"/>
  <c r="D34" i="8"/>
  <c r="C34" i="8"/>
  <c r="G8" i="16"/>
  <c r="F8" i="16"/>
  <c r="AA70" i="3"/>
  <c r="O70" i="3"/>
  <c r="N70" i="3"/>
  <c r="M70" i="3"/>
  <c r="P70" i="3"/>
  <c r="Q70" i="3"/>
  <c r="Q68" i="3"/>
  <c r="P68" i="3"/>
  <c r="O68" i="3"/>
  <c r="N68" i="3"/>
  <c r="M68" i="3"/>
  <c r="L68" i="3"/>
  <c r="K68" i="3"/>
  <c r="J68" i="3"/>
  <c r="I68" i="3"/>
  <c r="H68" i="3"/>
  <c r="G68" i="3"/>
  <c r="F68" i="3"/>
  <c r="E68" i="3"/>
  <c r="D68" i="3"/>
  <c r="C68" i="3"/>
  <c r="AA68" i="3"/>
  <c r="Q147" i="3"/>
  <c r="Q157" i="3" s="1"/>
  <c r="P147" i="3"/>
  <c r="P157" i="3" s="1"/>
  <c r="O147" i="3"/>
  <c r="O157" i="3" s="1"/>
  <c r="N147" i="3"/>
  <c r="N157" i="3" s="1"/>
  <c r="M147" i="3"/>
  <c r="M157" i="3" s="1"/>
  <c r="AC110" i="3"/>
  <c r="Q119" i="3"/>
  <c r="P119" i="3"/>
  <c r="O119" i="3"/>
  <c r="N119" i="3"/>
  <c r="M119" i="3"/>
  <c r="AA101" i="3"/>
  <c r="J62" i="20" s="1"/>
  <c r="I62" i="20"/>
  <c r="H62" i="20"/>
  <c r="G62" i="20"/>
  <c r="F62" i="20"/>
  <c r="E62" i="20"/>
  <c r="D62" i="20"/>
  <c r="C62" i="20"/>
  <c r="Q101" i="3"/>
  <c r="L71" i="19" s="1"/>
  <c r="P101" i="3"/>
  <c r="K71" i="19" s="1"/>
  <c r="O101" i="3"/>
  <c r="J71" i="19" s="1"/>
  <c r="N101" i="3"/>
  <c r="I71" i="19" s="1"/>
  <c r="M101" i="3"/>
  <c r="H71" i="19" s="1"/>
  <c r="AC109" i="3"/>
  <c r="G35" i="7"/>
  <c r="AC62" i="3"/>
  <c r="G31" i="12"/>
  <c r="E35" i="7"/>
  <c r="F35" i="7"/>
  <c r="D35" i="7"/>
  <c r="C35" i="7"/>
  <c r="AC82" i="3"/>
  <c r="AC104" i="3" s="1"/>
  <c r="AA135" i="3"/>
  <c r="Q135" i="3"/>
  <c r="N135" i="3"/>
  <c r="P135" i="3"/>
  <c r="O135" i="3"/>
  <c r="M135" i="3"/>
  <c r="C31" i="12"/>
  <c r="G90" i="17"/>
  <c r="D90" i="17"/>
  <c r="C90" i="17"/>
  <c r="G89" i="17"/>
  <c r="F20" i="18"/>
  <c r="C20" i="18"/>
  <c r="F18" i="18"/>
  <c r="C18" i="18"/>
  <c r="F12" i="18"/>
  <c r="C12" i="18"/>
  <c r="F10" i="18"/>
  <c r="C10" i="18"/>
  <c r="G102" i="17"/>
  <c r="F102" i="17"/>
  <c r="E102" i="17"/>
  <c r="D102" i="17"/>
  <c r="C102" i="17"/>
  <c r="C91" i="17"/>
  <c r="F90" i="17"/>
  <c r="E90" i="17"/>
  <c r="F89" i="17"/>
  <c r="E89" i="17"/>
  <c r="D89" i="17"/>
  <c r="C89" i="17"/>
  <c r="AC28" i="3"/>
  <c r="G20" i="18"/>
  <c r="D20" i="18"/>
  <c r="G18" i="18"/>
  <c r="D18" i="18"/>
  <c r="C17" i="18"/>
  <c r="AA104" i="3"/>
  <c r="C15" i="18"/>
  <c r="G12" i="18"/>
  <c r="D12" i="18"/>
  <c r="C9" i="18"/>
  <c r="G10" i="18"/>
  <c r="C7" i="18"/>
  <c r="D10" i="18"/>
  <c r="G23" i="18"/>
  <c r="I60" i="20"/>
  <c r="H60" i="20"/>
  <c r="G60" i="20"/>
  <c r="F60" i="20"/>
  <c r="E60" i="20"/>
  <c r="D60" i="20"/>
  <c r="C60" i="20"/>
  <c r="F23" i="18"/>
  <c r="C23" i="18"/>
  <c r="F27" i="18"/>
  <c r="C27" i="18"/>
  <c r="C25" i="18"/>
  <c r="F29" i="18"/>
  <c r="C29" i="18"/>
  <c r="F25"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G48" i="17"/>
  <c r="F48" i="17"/>
  <c r="E48" i="17"/>
  <c r="D48" i="17"/>
  <c r="G47" i="17"/>
  <c r="F47" i="17"/>
  <c r="E47" i="17"/>
  <c r="D47" i="17"/>
  <c r="C48"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AA169" i="3"/>
  <c r="Q169" i="3"/>
  <c r="G77" i="17" s="1"/>
  <c r="P169" i="3"/>
  <c r="F77" i="17" s="1"/>
  <c r="O169" i="3"/>
  <c r="E77" i="17" s="1"/>
  <c r="N169" i="3"/>
  <c r="D77" i="17" s="1"/>
  <c r="M169" i="3"/>
  <c r="C77" i="17" s="1"/>
  <c r="AA168" i="3"/>
  <c r="Q168" i="3"/>
  <c r="G76" i="17" s="1"/>
  <c r="P168" i="3"/>
  <c r="F76" i="17" s="1"/>
  <c r="O168" i="3"/>
  <c r="E76" i="17" s="1"/>
  <c r="N168" i="3"/>
  <c r="D76" i="17" s="1"/>
  <c r="M168" i="3"/>
  <c r="C76" i="17" s="1"/>
  <c r="AA167" i="3"/>
  <c r="Q167" i="3"/>
  <c r="G75" i="17" s="1"/>
  <c r="P167" i="3"/>
  <c r="F75" i="17" s="1"/>
  <c r="O167" i="3"/>
  <c r="E75" i="17" s="1"/>
  <c r="N167" i="3"/>
  <c r="D75" i="17" s="1"/>
  <c r="M167" i="3"/>
  <c r="C75" i="17" s="1"/>
  <c r="D23" i="17"/>
  <c r="E23" i="17"/>
  <c r="F23" i="17"/>
  <c r="G23" i="17"/>
  <c r="C23" i="17"/>
  <c r="AC132" i="3"/>
  <c r="I39" i="17" s="1"/>
  <c r="AC78" i="3"/>
  <c r="Q79" i="3"/>
  <c r="P79" i="3"/>
  <c r="N79" i="3"/>
  <c r="M79" i="3"/>
  <c r="O79" i="3"/>
  <c r="AC139" i="3"/>
  <c r="AC138" i="3"/>
  <c r="AC135" i="3"/>
  <c r="AA131" i="3"/>
  <c r="AC133" i="3"/>
  <c r="AC131" i="3"/>
  <c r="Q131" i="3"/>
  <c r="P131" i="3"/>
  <c r="O131" i="3"/>
  <c r="N131" i="3"/>
  <c r="M131" i="3"/>
  <c r="F9" i="16"/>
  <c r="F17" i="16"/>
  <c r="AC57" i="3"/>
  <c r="F16" i="16"/>
  <c r="F18" i="16" s="1"/>
  <c r="AC76" i="3"/>
  <c r="O22" i="6"/>
  <c r="O19" i="6"/>
  <c r="AC56" i="3"/>
  <c r="AC54" i="3"/>
  <c r="O104" i="3"/>
  <c r="O107" i="3" s="1"/>
  <c r="O148" i="3" s="1"/>
  <c r="N104" i="3"/>
  <c r="N107" i="3" s="1"/>
  <c r="N148" i="3" s="1"/>
  <c r="M104" i="3"/>
  <c r="M107" i="3" s="1"/>
  <c r="M148" i="3" s="1"/>
  <c r="L104" i="3"/>
  <c r="K104" i="3"/>
  <c r="J104" i="3"/>
  <c r="I104" i="3"/>
  <c r="H104" i="3"/>
  <c r="G104" i="3"/>
  <c r="F104" i="3"/>
  <c r="E104" i="3"/>
  <c r="D104" i="3"/>
  <c r="C104" i="3"/>
  <c r="C6" i="14"/>
  <c r="G19" i="12"/>
  <c r="F19" i="12"/>
  <c r="E19" i="12"/>
  <c r="D19" i="12"/>
  <c r="C19" i="12"/>
  <c r="G6" i="12"/>
  <c r="F6" i="12"/>
  <c r="E6" i="12"/>
  <c r="D6" i="12"/>
  <c r="C6" i="12"/>
  <c r="C8" i="10"/>
  <c r="C18" i="10"/>
  <c r="E7" i="8"/>
  <c r="E6" i="8"/>
  <c r="C5" i="8"/>
  <c r="C32" i="8" s="1"/>
  <c r="E13" i="7"/>
  <c r="C13" i="7"/>
  <c r="D7" i="7"/>
  <c r="U14" i="6"/>
  <c r="T14" i="6"/>
  <c r="P14" i="6"/>
  <c r="O13" i="6"/>
  <c r="O21" i="6" s="1"/>
  <c r="O12" i="6"/>
  <c r="O20" i="6" s="1"/>
  <c r="W6" i="6"/>
  <c r="T6" i="6"/>
  <c r="V5" i="6"/>
  <c r="S5" i="6"/>
  <c r="P5" i="6"/>
  <c r="B20" i="6"/>
  <c r="E14" i="6"/>
  <c r="D14" i="6"/>
  <c r="G6" i="6"/>
  <c r="E6" i="6"/>
  <c r="C6" i="6"/>
  <c r="R6" i="5"/>
  <c r="G21" i="8"/>
  <c r="E21" i="8"/>
  <c r="G20" i="8"/>
  <c r="F20" i="8"/>
  <c r="C20" i="8"/>
  <c r="F7" i="8"/>
  <c r="C7" i="8"/>
  <c r="F6" i="8"/>
  <c r="F13" i="7"/>
  <c r="D13" i="7"/>
  <c r="F7" i="7"/>
  <c r="C6" i="7"/>
  <c r="V14" i="6"/>
  <c r="R14" i="6"/>
  <c r="U6" i="6"/>
  <c r="R6" i="6"/>
  <c r="P6" i="6"/>
  <c r="Q5" i="6"/>
  <c r="G14" i="6"/>
  <c r="C14" i="6"/>
  <c r="C5" i="6"/>
  <c r="R7" i="5"/>
  <c r="F21" i="8"/>
  <c r="D21" i="8"/>
  <c r="C21" i="8"/>
  <c r="E20" i="8"/>
  <c r="D20" i="8"/>
  <c r="G7" i="8"/>
  <c r="D7" i="8"/>
  <c r="G6" i="8"/>
  <c r="D6" i="8"/>
  <c r="C6" i="8"/>
  <c r="G13" i="7"/>
  <c r="G7" i="7"/>
  <c r="E7" i="7"/>
  <c r="C7" i="7"/>
  <c r="W14" i="6"/>
  <c r="S14" i="6"/>
  <c r="Q14" i="6"/>
  <c r="V6" i="6"/>
  <c r="S6" i="6"/>
  <c r="Q6" i="6"/>
  <c r="W5" i="6"/>
  <c r="U5" i="6"/>
  <c r="T5" i="6"/>
  <c r="R5" i="6"/>
  <c r="B21" i="6"/>
  <c r="F14" i="6"/>
  <c r="F6" i="6"/>
  <c r="D6" i="6"/>
  <c r="D21" i="6" s="1"/>
  <c r="R8" i="5"/>
  <c r="G8" i="7"/>
  <c r="E8" i="7"/>
  <c r="F8" i="7"/>
  <c r="C8" i="7"/>
  <c r="D8" i="7"/>
  <c r="G44" i="7"/>
  <c r="F44" i="7"/>
  <c r="E44" i="7"/>
  <c r="D44" i="7"/>
  <c r="C44" i="7"/>
  <c r="AB9" i="6"/>
  <c r="AB10" i="6"/>
  <c r="AE8" i="5"/>
  <c r="S14" i="5"/>
  <c r="C14" i="5"/>
  <c r="Z20" i="5"/>
  <c r="Y20" i="5"/>
  <c r="X20" i="5"/>
  <c r="W20" i="5"/>
  <c r="V20" i="5"/>
  <c r="U20" i="5"/>
  <c r="T20" i="5"/>
  <c r="G20" i="5"/>
  <c r="F20" i="5"/>
  <c r="E20" i="5"/>
  <c r="D20" i="5"/>
  <c r="T17" i="5"/>
  <c r="D17" i="5"/>
  <c r="B17" i="5"/>
  <c r="Z16" i="5"/>
  <c r="Y16" i="5"/>
  <c r="X16" i="5"/>
  <c r="W16" i="5"/>
  <c r="V16" i="5"/>
  <c r="U16" i="5"/>
  <c r="T16" i="5"/>
  <c r="G16" i="5"/>
  <c r="F16" i="5"/>
  <c r="E16" i="5"/>
  <c r="D16" i="5"/>
  <c r="B16" i="5"/>
  <c r="Z15" i="5"/>
  <c r="Y15" i="5"/>
  <c r="X15" i="5"/>
  <c r="W15" i="5"/>
  <c r="V15" i="5"/>
  <c r="U15" i="5"/>
  <c r="T15" i="5"/>
  <c r="G15" i="5"/>
  <c r="F15" i="5"/>
  <c r="E15" i="5"/>
  <c r="D15" i="5"/>
  <c r="B15" i="5"/>
  <c r="Z14" i="5"/>
  <c r="Y14" i="5"/>
  <c r="X14" i="5"/>
  <c r="W14" i="5"/>
  <c r="V14" i="5"/>
  <c r="U14" i="5"/>
  <c r="T14" i="5"/>
  <c r="P104" i="3"/>
  <c r="P107" i="3" s="1"/>
  <c r="P148" i="3" s="1"/>
  <c r="Q104" i="3"/>
  <c r="AC122" i="3"/>
  <c r="AC120" i="3"/>
  <c r="AC100" i="3"/>
  <c r="AA99" i="3"/>
  <c r="J60" i="20" s="1"/>
  <c r="AC81" i="3"/>
  <c r="AC73" i="3"/>
  <c r="AA74" i="3"/>
  <c r="M74" i="3"/>
  <c r="N74" i="3"/>
  <c r="O74" i="3"/>
  <c r="P74" i="3"/>
  <c r="Q74" i="3"/>
  <c r="AC41" i="3"/>
  <c r="AC35" i="3"/>
  <c r="AA90" i="3"/>
  <c r="C11" i="18" s="1"/>
  <c r="AA93" i="3"/>
  <c r="C13" i="18" s="1"/>
  <c r="AC7" i="3"/>
  <c r="AC99" i="3" s="1"/>
  <c r="Q99" i="3"/>
  <c r="P99" i="3"/>
  <c r="O99" i="3"/>
  <c r="N99" i="3"/>
  <c r="M99" i="3"/>
  <c r="Q93" i="3"/>
  <c r="G83" i="17" s="1"/>
  <c r="P93" i="3"/>
  <c r="F83" i="17" s="1"/>
  <c r="O93" i="3"/>
  <c r="E83" i="17" s="1"/>
  <c r="N93" i="3"/>
  <c r="D83" i="17" s="1"/>
  <c r="M93" i="3"/>
  <c r="C83" i="17" s="1"/>
  <c r="AC25" i="3"/>
  <c r="F5" i="1" s="1"/>
  <c r="AC23" i="3"/>
  <c r="AC21" i="3"/>
  <c r="AC19" i="3"/>
  <c r="Q90" i="3"/>
  <c r="G82" i="17" s="1"/>
  <c r="O90" i="3"/>
  <c r="E82" i="17" s="1"/>
  <c r="M90" i="3"/>
  <c r="C82" i="17" s="1"/>
  <c r="P90" i="3"/>
  <c r="F82" i="17" s="1"/>
  <c r="N90" i="3"/>
  <c r="D82" i="17" s="1"/>
  <c r="C10" i="10" s="1"/>
  <c r="C11" i="13" s="1"/>
  <c r="AC74" i="3" l="1"/>
  <c r="C22" i="14" s="1"/>
  <c r="AA142" i="3"/>
  <c r="AC163" i="3"/>
  <c r="I71" i="17" s="1"/>
  <c r="AC164" i="3"/>
  <c r="X6" i="6"/>
  <c r="X11" i="6" s="1"/>
  <c r="AB11" i="6" s="1"/>
  <c r="AE11" i="5"/>
  <c r="AB6" i="6" s="1"/>
  <c r="H7" i="7"/>
  <c r="H6" i="8"/>
  <c r="H6" i="6"/>
  <c r="H11" i="6" s="1"/>
  <c r="H6" i="12"/>
  <c r="H13" i="12" s="1"/>
  <c r="J6" i="5"/>
  <c r="J11" i="5" s="1"/>
  <c r="D6" i="11"/>
  <c r="D5" i="12"/>
  <c r="Q173" i="3"/>
  <c r="Q172" i="3"/>
  <c r="P173" i="3"/>
  <c r="P172" i="3"/>
  <c r="O173" i="3"/>
  <c r="O172" i="3"/>
  <c r="N173" i="3"/>
  <c r="N172" i="3"/>
  <c r="M173" i="3"/>
  <c r="M172" i="3"/>
  <c r="E3" i="17"/>
  <c r="J63" i="19"/>
  <c r="E5" i="5"/>
  <c r="D6" i="14"/>
  <c r="D6" i="7"/>
  <c r="D5" i="6"/>
  <c r="D5" i="8"/>
  <c r="D14" i="5"/>
  <c r="C52" i="16"/>
  <c r="G53" i="17"/>
  <c r="F53" i="17"/>
  <c r="E53" i="17"/>
  <c r="D53" i="17"/>
  <c r="G51" i="17"/>
  <c r="F51" i="17"/>
  <c r="E51" i="17"/>
  <c r="D51" i="17"/>
  <c r="C51" i="17"/>
  <c r="C53" i="17"/>
  <c r="Q142" i="3"/>
  <c r="P142" i="3"/>
  <c r="O142" i="3"/>
  <c r="N142" i="3"/>
  <c r="M142" i="3"/>
  <c r="AC68" i="3"/>
  <c r="AC147" i="3"/>
  <c r="AC160" i="3" s="1"/>
  <c r="M77" i="3"/>
  <c r="M143" i="3" s="1"/>
  <c r="N77" i="3"/>
  <c r="N143" i="3" s="1"/>
  <c r="O77" i="3"/>
  <c r="O143" i="3" s="1"/>
  <c r="P77" i="3"/>
  <c r="P143" i="3" s="1"/>
  <c r="Q77" i="3"/>
  <c r="Q143" i="3" s="1"/>
  <c r="F22" i="8"/>
  <c r="AC70" i="3"/>
  <c r="Q158" i="3"/>
  <c r="L67" i="19"/>
  <c r="Q160" i="3"/>
  <c r="P158" i="3"/>
  <c r="K67" i="19"/>
  <c r="P160" i="3"/>
  <c r="O158" i="3"/>
  <c r="J67" i="19"/>
  <c r="O160" i="3"/>
  <c r="N158" i="3"/>
  <c r="I67" i="19"/>
  <c r="N160" i="3"/>
  <c r="M158" i="3"/>
  <c r="H67" i="19"/>
  <c r="M160" i="3"/>
  <c r="G16" i="17"/>
  <c r="G33" i="8"/>
  <c r="L69" i="19"/>
  <c r="F16" i="17"/>
  <c r="F33" i="8"/>
  <c r="K69" i="19"/>
  <c r="E16" i="17"/>
  <c r="E33" i="8"/>
  <c r="J69" i="19"/>
  <c r="D16" i="17"/>
  <c r="D33" i="8"/>
  <c r="I69" i="19"/>
  <c r="C16" i="17"/>
  <c r="C33" i="8"/>
  <c r="H69" i="19"/>
  <c r="C19" i="10"/>
  <c r="E22" i="8"/>
  <c r="C22" i="8"/>
  <c r="G44" i="17"/>
  <c r="F44" i="17"/>
  <c r="E44" i="17"/>
  <c r="D44" i="17"/>
  <c r="C44" i="17"/>
  <c r="G26" i="17"/>
  <c r="F26" i="17"/>
  <c r="E26" i="17"/>
  <c r="D26" i="17"/>
  <c r="C26" i="17"/>
  <c r="G18" i="17"/>
  <c r="F18" i="17"/>
  <c r="E18" i="17"/>
  <c r="D18" i="17"/>
  <c r="C18" i="17"/>
  <c r="G22" i="8"/>
  <c r="D22" i="8"/>
  <c r="P121" i="3"/>
  <c r="K82" i="19" s="1"/>
  <c r="O121" i="3"/>
  <c r="J82" i="19" s="1"/>
  <c r="N121" i="3"/>
  <c r="I82" i="19" s="1"/>
  <c r="M121" i="3"/>
  <c r="H82" i="19" s="1"/>
  <c r="Q121" i="3"/>
  <c r="L82" i="19" s="1"/>
  <c r="Q69" i="3"/>
  <c r="O130" i="3"/>
  <c r="J84" i="19" s="1"/>
  <c r="N130" i="3"/>
  <c r="I84" i="19" s="1"/>
  <c r="M130" i="3"/>
  <c r="H84" i="19" s="1"/>
  <c r="K68" i="19"/>
  <c r="P130" i="3"/>
  <c r="K84" i="19" s="1"/>
  <c r="AC79" i="3"/>
  <c r="AC101" i="3"/>
  <c r="AC119" i="3"/>
  <c r="I26" i="17" s="1"/>
  <c r="C31" i="16"/>
  <c r="F21" i="18"/>
  <c r="C19" i="18"/>
  <c r="C21" i="18"/>
  <c r="F19" i="18"/>
  <c r="F11" i="18"/>
  <c r="F13" i="18"/>
  <c r="Q159" i="3"/>
  <c r="G59" i="17" s="1"/>
  <c r="P159" i="3"/>
  <c r="F59" i="17" s="1"/>
  <c r="O159" i="3"/>
  <c r="E59" i="17" s="1"/>
  <c r="N159" i="3"/>
  <c r="D59" i="17" s="1"/>
  <c r="M159" i="3"/>
  <c r="C59" i="17" s="1"/>
  <c r="AC167" i="3"/>
  <c r="AC168" i="3"/>
  <c r="AC169" i="3"/>
  <c r="I23" i="17"/>
  <c r="G22" i="7"/>
  <c r="D22" i="7"/>
  <c r="E21" i="7"/>
  <c r="C21" i="7"/>
  <c r="F34" i="16"/>
  <c r="I48" i="17"/>
  <c r="F32" i="16"/>
  <c r="I47" i="17"/>
  <c r="F30" i="16"/>
  <c r="I44" i="17"/>
  <c r="C32" i="16"/>
  <c r="I40" i="17"/>
  <c r="C30" i="16"/>
  <c r="I38" i="17"/>
  <c r="Q134" i="3"/>
  <c r="G41" i="17" s="1"/>
  <c r="G38" i="17"/>
  <c r="P134" i="3"/>
  <c r="F41" i="17" s="1"/>
  <c r="F38" i="17"/>
  <c r="O134" i="3"/>
  <c r="E41" i="17" s="1"/>
  <c r="E38" i="17"/>
  <c r="N134" i="3"/>
  <c r="D41" i="17" s="1"/>
  <c r="D38" i="17"/>
  <c r="M134" i="3"/>
  <c r="C41" i="17" s="1"/>
  <c r="C38" i="17"/>
  <c r="C25" i="16"/>
  <c r="I29" i="17"/>
  <c r="C23" i="16"/>
  <c r="I27" i="17"/>
  <c r="C17" i="16"/>
  <c r="I17" i="17"/>
  <c r="C16" i="16"/>
  <c r="I16" i="17"/>
  <c r="AA165" i="3"/>
  <c r="Q165" i="3"/>
  <c r="G67" i="17" s="1"/>
  <c r="P165" i="3"/>
  <c r="F67" i="17" s="1"/>
  <c r="O165" i="3"/>
  <c r="E67" i="17" s="1"/>
  <c r="N165" i="3"/>
  <c r="D67" i="17" s="1"/>
  <c r="M165" i="3"/>
  <c r="C67" i="17" s="1"/>
  <c r="AA134" i="3"/>
  <c r="C33" i="14"/>
  <c r="D30" i="12"/>
  <c r="F29" i="12"/>
  <c r="E20" i="12"/>
  <c r="H19" i="12"/>
  <c r="I19" i="12" s="1"/>
  <c r="J19" i="12" s="1"/>
  <c r="K19" i="12" s="1"/>
  <c r="L19" i="12" s="1"/>
  <c r="AA136" i="3"/>
  <c r="AA162" i="3"/>
  <c r="Q136" i="3"/>
  <c r="G45" i="17" s="1"/>
  <c r="Q162" i="3"/>
  <c r="G66" i="17" s="1"/>
  <c r="P136" i="3"/>
  <c r="F45" i="17" s="1"/>
  <c r="P162" i="3"/>
  <c r="F66" i="17" s="1"/>
  <c r="O136" i="3"/>
  <c r="E45" i="17" s="1"/>
  <c r="O162" i="3"/>
  <c r="E66" i="17" s="1"/>
  <c r="N136" i="3"/>
  <c r="D45" i="17" s="1"/>
  <c r="N162" i="3"/>
  <c r="D66" i="17" s="1"/>
  <c r="M136" i="3"/>
  <c r="C45" i="17" s="1"/>
  <c r="M162" i="3"/>
  <c r="C66" i="17" s="1"/>
  <c r="AC134" i="3"/>
  <c r="I41" i="17" s="1"/>
  <c r="C9" i="17"/>
  <c r="D9" i="17"/>
  <c r="E9" i="17"/>
  <c r="G10" i="17"/>
  <c r="F10" i="17"/>
  <c r="E10" i="17"/>
  <c r="D10" i="17"/>
  <c r="C10" i="17"/>
  <c r="G9" i="17"/>
  <c r="F9" i="17"/>
  <c r="C5" i="16"/>
  <c r="T21" i="6"/>
  <c r="T20" i="6"/>
  <c r="G20" i="6"/>
  <c r="AC105" i="3"/>
  <c r="AA137" i="3"/>
  <c r="G32" i="12"/>
  <c r="Q137" i="3"/>
  <c r="G46" i="17" s="1"/>
  <c r="F32" i="12"/>
  <c r="P137" i="3"/>
  <c r="F46" i="17" s="1"/>
  <c r="E32" i="12"/>
  <c r="O137" i="3"/>
  <c r="E46" i="17" s="1"/>
  <c r="D32" i="12"/>
  <c r="N137" i="3"/>
  <c r="D46" i="17" s="1"/>
  <c r="C32" i="12"/>
  <c r="M137" i="3"/>
  <c r="C46" i="17" s="1"/>
  <c r="AC107" i="3"/>
  <c r="Q107" i="3"/>
  <c r="Q148" i="3" s="1"/>
  <c r="E46" i="7"/>
  <c r="W10" i="6"/>
  <c r="U10" i="6"/>
  <c r="R10" i="6"/>
  <c r="AA77" i="3"/>
  <c r="F20" i="12"/>
  <c r="D20" i="12"/>
  <c r="G13" i="12"/>
  <c r="C30" i="12"/>
  <c r="E29" i="12"/>
  <c r="D29" i="12"/>
  <c r="G20" i="12"/>
  <c r="F13" i="12"/>
  <c r="E13" i="12"/>
  <c r="D13" i="12"/>
  <c r="G30" i="12"/>
  <c r="G8" i="8"/>
  <c r="D8" i="8"/>
  <c r="C46" i="7"/>
  <c r="G43" i="7"/>
  <c r="C43" i="7"/>
  <c r="D19" i="6"/>
  <c r="D36" i="7"/>
  <c r="D37" i="7" s="1"/>
  <c r="V19" i="6"/>
  <c r="S19" i="6"/>
  <c r="Q19" i="6"/>
  <c r="R17" i="5"/>
  <c r="R15" i="5"/>
  <c r="Q20" i="6"/>
  <c r="F21" i="6"/>
  <c r="F30" i="12"/>
  <c r="E30" i="12"/>
  <c r="G29" i="12"/>
  <c r="C29" i="12"/>
  <c r="D20" i="6"/>
  <c r="S21" i="6"/>
  <c r="Q21" i="6"/>
  <c r="V22" i="6"/>
  <c r="G46" i="7"/>
  <c r="C35" i="14"/>
  <c r="C15" i="14"/>
  <c r="AC114" i="3"/>
  <c r="AC115" i="3" s="1"/>
  <c r="C6" i="10"/>
  <c r="E22" i="6"/>
  <c r="E9" i="8"/>
  <c r="D9" i="8"/>
  <c r="D22" i="6"/>
  <c r="G22" i="6"/>
  <c r="G9" i="8"/>
  <c r="C9" i="8"/>
  <c r="C22" i="6"/>
  <c r="F22" i="6"/>
  <c r="F9" i="8"/>
  <c r="U20" i="6"/>
  <c r="P20" i="6"/>
  <c r="U22" i="6"/>
  <c r="T22" i="6"/>
  <c r="P22" i="6"/>
  <c r="G21" i="6"/>
  <c r="E20" i="6"/>
  <c r="C20" i="6"/>
  <c r="U21" i="6"/>
  <c r="P21" i="6"/>
  <c r="W21" i="6"/>
  <c r="V21" i="6"/>
  <c r="W20" i="6"/>
  <c r="V20" i="6"/>
  <c r="S20" i="6"/>
  <c r="W22" i="6"/>
  <c r="S22" i="6"/>
  <c r="Q22" i="6"/>
  <c r="E21" i="6"/>
  <c r="C21" i="6"/>
  <c r="F20" i="6"/>
  <c r="Q10" i="6"/>
  <c r="C19" i="8"/>
  <c r="C14" i="8"/>
  <c r="C8" i="8"/>
  <c r="F46" i="7"/>
  <c r="S10" i="6"/>
  <c r="P10" i="6"/>
  <c r="F8" i="8"/>
  <c r="C26" i="8"/>
  <c r="G36" i="7"/>
  <c r="G37" i="7" s="1"/>
  <c r="F20" i="7"/>
  <c r="C12" i="7"/>
  <c r="R16" i="5"/>
  <c r="E8" i="8"/>
  <c r="F43" i="7"/>
  <c r="D43" i="7"/>
  <c r="C41" i="7"/>
  <c r="C34" i="7"/>
  <c r="E19" i="6"/>
  <c r="C27" i="7"/>
  <c r="F22" i="7"/>
  <c r="F21" i="7"/>
  <c r="D21" i="7"/>
  <c r="G20" i="7"/>
  <c r="D46" i="7"/>
  <c r="E43" i="7"/>
  <c r="F36" i="7"/>
  <c r="F37" i="7" s="1"/>
  <c r="G21" i="7"/>
  <c r="C20" i="7"/>
  <c r="C19" i="7"/>
  <c r="E36" i="7"/>
  <c r="E37" i="7" s="1"/>
  <c r="C36" i="7"/>
  <c r="C37" i="7" s="1"/>
  <c r="E22" i="7"/>
  <c r="C22" i="7"/>
  <c r="E20" i="7"/>
  <c r="D20" i="7"/>
  <c r="W19" i="6"/>
  <c r="T19" i="6"/>
  <c r="F19" i="6"/>
  <c r="R19" i="6"/>
  <c r="P19" i="6"/>
  <c r="U19" i="6"/>
  <c r="G19" i="6"/>
  <c r="C19" i="6"/>
  <c r="C18" i="6"/>
  <c r="C10" i="6"/>
  <c r="W18" i="6"/>
  <c r="V18" i="6"/>
  <c r="U18" i="6"/>
  <c r="T18" i="6"/>
  <c r="S18" i="6"/>
  <c r="R18" i="6"/>
  <c r="Q18" i="6"/>
  <c r="P18" i="6"/>
  <c r="V10" i="6"/>
  <c r="T10" i="6"/>
  <c r="R21" i="6"/>
  <c r="R20" i="6"/>
  <c r="R22" i="6"/>
  <c r="AA69" i="3"/>
  <c r="P69" i="3"/>
  <c r="M69" i="3"/>
  <c r="L69" i="3"/>
  <c r="O69" i="3"/>
  <c r="N69" i="3"/>
  <c r="K69" i="3"/>
  <c r="J69" i="3"/>
  <c r="I69" i="3"/>
  <c r="H69" i="3"/>
  <c r="G69" i="3"/>
  <c r="F69" i="3"/>
  <c r="E69" i="3"/>
  <c r="D69" i="3"/>
  <c r="C69" i="3"/>
  <c r="C24" i="21" l="1"/>
  <c r="C26" i="21" s="1"/>
  <c r="I11" i="1" s="1"/>
  <c r="C54" i="12"/>
  <c r="I18" i="1" s="1"/>
  <c r="H45" i="7"/>
  <c r="H21" i="8" s="1"/>
  <c r="H36" i="7"/>
  <c r="AC77" i="3"/>
  <c r="AA143" i="3"/>
  <c r="AA144" i="3" s="1"/>
  <c r="C53" i="16"/>
  <c r="I72" i="17"/>
  <c r="C67" i="12"/>
  <c r="C46" i="12"/>
  <c r="X13" i="6"/>
  <c r="AB13" i="6" s="1"/>
  <c r="X12" i="6"/>
  <c r="H13" i="6"/>
  <c r="H12" i="6"/>
  <c r="H13" i="7"/>
  <c r="H28" i="7" s="1"/>
  <c r="H42" i="7"/>
  <c r="K6" i="5"/>
  <c r="K11" i="5" s="1"/>
  <c r="H7" i="8"/>
  <c r="H8" i="8" s="1"/>
  <c r="H33" i="8" s="1"/>
  <c r="E5" i="12"/>
  <c r="E6" i="11"/>
  <c r="AC173" i="3"/>
  <c r="AC172" i="3"/>
  <c r="AC157" i="3"/>
  <c r="AC158" i="3"/>
  <c r="F5" i="5"/>
  <c r="F3" i="17"/>
  <c r="K63" i="19"/>
  <c r="E5" i="6"/>
  <c r="E6" i="7"/>
  <c r="E14" i="5"/>
  <c r="E5" i="8"/>
  <c r="E6" i="14"/>
  <c r="D19" i="7"/>
  <c r="D27" i="7"/>
  <c r="D12" i="7"/>
  <c r="D34" i="7"/>
  <c r="D41" i="7"/>
  <c r="D18" i="6"/>
  <c r="D10" i="6"/>
  <c r="D32" i="8"/>
  <c r="D19" i="8"/>
  <c r="D26" i="8"/>
  <c r="D14" i="8"/>
  <c r="Q161" i="3"/>
  <c r="G63" i="17" s="1"/>
  <c r="D11" i="17"/>
  <c r="G58" i="17"/>
  <c r="E60" i="17"/>
  <c r="D58" i="17"/>
  <c r="D60" i="17"/>
  <c r="C58" i="17"/>
  <c r="N161" i="3"/>
  <c r="D63" i="17" s="1"/>
  <c r="C11" i="17"/>
  <c r="C60" i="17"/>
  <c r="P161" i="3"/>
  <c r="F63" i="17" s="1"/>
  <c r="G11" i="17"/>
  <c r="E11" i="17"/>
  <c r="M161" i="3"/>
  <c r="C63" i="17" s="1"/>
  <c r="O161" i="3"/>
  <c r="E63" i="17" s="1"/>
  <c r="F11" i="17"/>
  <c r="C22" i="11"/>
  <c r="C24" i="14"/>
  <c r="AC69" i="3"/>
  <c r="M155" i="3"/>
  <c r="C55" i="17" s="1"/>
  <c r="M144" i="3"/>
  <c r="M166" i="3"/>
  <c r="C68" i="17" s="1"/>
  <c r="M149" i="3"/>
  <c r="M151" i="3"/>
  <c r="C52" i="17" s="1"/>
  <c r="M154" i="3"/>
  <c r="C54" i="17" s="1"/>
  <c r="C7" i="17"/>
  <c r="N144" i="3"/>
  <c r="N149" i="3"/>
  <c r="N166" i="3"/>
  <c r="D68" i="17" s="1"/>
  <c r="N154" i="3"/>
  <c r="D54" i="17" s="1"/>
  <c r="D7" i="17"/>
  <c r="N155" i="3"/>
  <c r="D55" i="17" s="1"/>
  <c r="N151" i="3"/>
  <c r="D52" i="17" s="1"/>
  <c r="O151" i="3"/>
  <c r="E52" i="17" s="1"/>
  <c r="O166" i="3"/>
  <c r="E68" i="17" s="1"/>
  <c r="O154" i="3"/>
  <c r="E54" i="17" s="1"/>
  <c r="E7" i="17"/>
  <c r="O144" i="3"/>
  <c r="O155" i="3"/>
  <c r="E55" i="17" s="1"/>
  <c r="O149" i="3"/>
  <c r="P149" i="3"/>
  <c r="P166" i="3"/>
  <c r="F68" i="17" s="1"/>
  <c r="P154" i="3"/>
  <c r="F54" i="17" s="1"/>
  <c r="P144" i="3"/>
  <c r="P151" i="3"/>
  <c r="F52" i="17" s="1"/>
  <c r="P155" i="3"/>
  <c r="F55" i="17" s="1"/>
  <c r="F7" i="17"/>
  <c r="Q166" i="3"/>
  <c r="G68" i="17" s="1"/>
  <c r="Q154" i="3"/>
  <c r="G54" i="17" s="1"/>
  <c r="G7" i="17"/>
  <c r="Q144" i="3"/>
  <c r="Q155" i="3"/>
  <c r="G55" i="17" s="1"/>
  <c r="Q149" i="3"/>
  <c r="Q151" i="3"/>
  <c r="G52" i="17" s="1"/>
  <c r="AC153" i="3"/>
  <c r="AC152" i="3"/>
  <c r="AC142" i="3"/>
  <c r="AC141" i="3"/>
  <c r="AC140" i="3"/>
  <c r="G60" i="17"/>
  <c r="F58" i="17"/>
  <c r="F60" i="17"/>
  <c r="E58" i="17"/>
  <c r="P123" i="3"/>
  <c r="F28" i="17"/>
  <c r="F33" i="17" s="1"/>
  <c r="O123" i="3"/>
  <c r="E28" i="17"/>
  <c r="E33" i="17" s="1"/>
  <c r="N123" i="3"/>
  <c r="D28" i="17"/>
  <c r="D33" i="17" s="1"/>
  <c r="M123" i="3"/>
  <c r="C28" i="17"/>
  <c r="C33" i="17" s="1"/>
  <c r="Q123" i="3"/>
  <c r="O156" i="3"/>
  <c r="J68" i="19"/>
  <c r="N156" i="3"/>
  <c r="I68" i="19"/>
  <c r="M156" i="3"/>
  <c r="H68" i="19"/>
  <c r="G28" i="17"/>
  <c r="G33" i="17" s="1"/>
  <c r="E35" i="17"/>
  <c r="D35" i="17"/>
  <c r="C35" i="17"/>
  <c r="F35" i="17"/>
  <c r="P156" i="3"/>
  <c r="AC121" i="3"/>
  <c r="I28" i="17" s="1"/>
  <c r="I33" i="17" s="1"/>
  <c r="C22" i="16"/>
  <c r="AC130" i="3"/>
  <c r="L68" i="19"/>
  <c r="Q130" i="3"/>
  <c r="L84" i="19" s="1"/>
  <c r="C18" i="16"/>
  <c r="I18" i="17"/>
  <c r="I6" i="6"/>
  <c r="I11" i="6" s="1"/>
  <c r="I6" i="8"/>
  <c r="I7" i="7"/>
  <c r="I6" i="12"/>
  <c r="I13" i="12" s="1"/>
  <c r="F52" i="16"/>
  <c r="I75" i="17"/>
  <c r="F53" i="16"/>
  <c r="I76" i="17"/>
  <c r="F54" i="16"/>
  <c r="I77" i="17"/>
  <c r="AC159" i="3"/>
  <c r="I6" i="17"/>
  <c r="C23" i="14"/>
  <c r="C56" i="12"/>
  <c r="C33" i="16"/>
  <c r="F18" i="1"/>
  <c r="AC162" i="3"/>
  <c r="AC165" i="3"/>
  <c r="I67" i="17" s="1"/>
  <c r="C33" i="12"/>
  <c r="D33" i="12"/>
  <c r="F33" i="12"/>
  <c r="E33" i="12"/>
  <c r="G33" i="12"/>
  <c r="AC137" i="3"/>
  <c r="I46" i="17" s="1"/>
  <c r="AC136" i="3"/>
  <c r="I45" i="17" s="1"/>
  <c r="D10" i="8"/>
  <c r="G10" i="8"/>
  <c r="C5" i="10"/>
  <c r="C7" i="10" s="1"/>
  <c r="C17" i="10" s="1"/>
  <c r="C12" i="12"/>
  <c r="C23" i="12"/>
  <c r="C18" i="12"/>
  <c r="C28" i="12"/>
  <c r="C10" i="8"/>
  <c r="F10" i="8"/>
  <c r="E10" i="8"/>
  <c r="E23" i="7"/>
  <c r="D23" i="7"/>
  <c r="F23" i="7"/>
  <c r="G23" i="7"/>
  <c r="C23" i="7"/>
  <c r="H14" i="6" l="1"/>
  <c r="C25" i="11"/>
  <c r="C49" i="12"/>
  <c r="C70" i="12"/>
  <c r="AC143" i="3"/>
  <c r="AC161" i="3"/>
  <c r="AB12" i="6"/>
  <c r="X14" i="6"/>
  <c r="H20" i="8"/>
  <c r="H44" i="7"/>
  <c r="H8" i="7"/>
  <c r="L6" i="5"/>
  <c r="L11" i="5" s="1"/>
  <c r="F5" i="12"/>
  <c r="F6" i="11"/>
  <c r="G3" i="17"/>
  <c r="L63" i="19"/>
  <c r="G5" i="5"/>
  <c r="F5" i="8"/>
  <c r="F6" i="14"/>
  <c r="F6" i="7"/>
  <c r="F5" i="6"/>
  <c r="F14" i="5"/>
  <c r="E10" i="6"/>
  <c r="E18" i="6"/>
  <c r="E12" i="7"/>
  <c r="E34" i="7"/>
  <c r="E27" i="7"/>
  <c r="E41" i="7"/>
  <c r="E19" i="7"/>
  <c r="E14" i="8"/>
  <c r="E26" i="8"/>
  <c r="E19" i="8"/>
  <c r="E32" i="8"/>
  <c r="D28" i="12"/>
  <c r="D12" i="12"/>
  <c r="D18" i="12"/>
  <c r="D23" i="12"/>
  <c r="Q145" i="3"/>
  <c r="G12" i="17" s="1"/>
  <c r="Q146" i="3"/>
  <c r="G13" i="17" s="1"/>
  <c r="C8" i="17"/>
  <c r="D8" i="17"/>
  <c r="E8" i="17"/>
  <c r="F8" i="17"/>
  <c r="G8" i="17"/>
  <c r="C32" i="14"/>
  <c r="M145" i="3"/>
  <c r="C12" i="17" s="1"/>
  <c r="M146" i="3"/>
  <c r="C13" i="17" s="1"/>
  <c r="M150" i="3"/>
  <c r="N145" i="3"/>
  <c r="D12" i="17" s="1"/>
  <c r="N146" i="3"/>
  <c r="D13" i="17" s="1"/>
  <c r="N150" i="3"/>
  <c r="O145" i="3"/>
  <c r="E12" i="17" s="1"/>
  <c r="O146" i="3"/>
  <c r="E13" i="17" s="1"/>
  <c r="O150" i="3"/>
  <c r="P145" i="3"/>
  <c r="F12" i="17" s="1"/>
  <c r="P146" i="3"/>
  <c r="F13" i="17" s="1"/>
  <c r="P150" i="3"/>
  <c r="F17" i="1"/>
  <c r="C24" i="16"/>
  <c r="F22" i="16" s="1"/>
  <c r="F12" i="1"/>
  <c r="AC123" i="3"/>
  <c r="I30" i="17" s="1"/>
  <c r="I34" i="17" s="1"/>
  <c r="I10" i="17"/>
  <c r="I9" i="17"/>
  <c r="I53" i="17"/>
  <c r="I51" i="17"/>
  <c r="F30" i="17"/>
  <c r="F34" i="17" s="1"/>
  <c r="K83" i="19"/>
  <c r="E30" i="17"/>
  <c r="E34" i="17" s="1"/>
  <c r="J83" i="19"/>
  <c r="D30" i="17"/>
  <c r="D34" i="17" s="1"/>
  <c r="I83" i="19"/>
  <c r="C30" i="17"/>
  <c r="C34" i="17" s="1"/>
  <c r="H83" i="19"/>
  <c r="G30" i="17"/>
  <c r="G34" i="17" s="1"/>
  <c r="L83" i="19"/>
  <c r="I35" i="17"/>
  <c r="AC156" i="3"/>
  <c r="G35" i="17"/>
  <c r="Q156" i="3"/>
  <c r="I12" i="6"/>
  <c r="I13" i="6"/>
  <c r="I13" i="7"/>
  <c r="I28" i="7" s="1"/>
  <c r="I42" i="7"/>
  <c r="I36" i="7"/>
  <c r="I45" i="7"/>
  <c r="I21" i="8" s="1"/>
  <c r="J6" i="12"/>
  <c r="J13" i="12" s="1"/>
  <c r="J6" i="8"/>
  <c r="J7" i="7"/>
  <c r="J6" i="6"/>
  <c r="J11" i="6" s="1"/>
  <c r="I11" i="17"/>
  <c r="C10" i="16"/>
  <c r="F38" i="16"/>
  <c r="I58" i="17"/>
  <c r="F39" i="16"/>
  <c r="I59" i="17"/>
  <c r="F40" i="16"/>
  <c r="I60" i="17"/>
  <c r="F46" i="16"/>
  <c r="I66" i="17"/>
  <c r="C8" i="16"/>
  <c r="F6" i="1"/>
  <c r="C9" i="16"/>
  <c r="F7" i="1"/>
  <c r="C40" i="16"/>
  <c r="F11" i="1"/>
  <c r="F47" i="16"/>
  <c r="F16" i="1"/>
  <c r="F33" i="16"/>
  <c r="F20" i="1"/>
  <c r="F31" i="16"/>
  <c r="F19" i="1"/>
  <c r="F24" i="16"/>
  <c r="F14" i="1"/>
  <c r="C38" i="16"/>
  <c r="F9" i="1"/>
  <c r="C26" i="14"/>
  <c r="Q150" i="3"/>
  <c r="D27" i="8"/>
  <c r="D28" i="8" s="1"/>
  <c r="G27" i="8"/>
  <c r="G28" i="8" s="1"/>
  <c r="G7" i="14" s="1"/>
  <c r="G7" i="12"/>
  <c r="D7" i="12"/>
  <c r="C16" i="10"/>
  <c r="C20" i="10" s="1"/>
  <c r="C7" i="12"/>
  <c r="C27" i="8"/>
  <c r="C28" i="8" s="1"/>
  <c r="F7" i="12"/>
  <c r="F27" i="8"/>
  <c r="F28" i="8" s="1"/>
  <c r="E7" i="12"/>
  <c r="E27" i="8"/>
  <c r="E28" i="8" s="1"/>
  <c r="AE6" i="5"/>
  <c r="C21" i="14" l="1"/>
  <c r="C75" i="12"/>
  <c r="C78" i="12" s="1"/>
  <c r="H9" i="8"/>
  <c r="H10" i="8" s="1"/>
  <c r="H22" i="6"/>
  <c r="I7" i="17"/>
  <c r="AC149" i="3"/>
  <c r="AC155" i="3"/>
  <c r="AC151" i="3"/>
  <c r="AC144" i="3"/>
  <c r="AC154" i="3"/>
  <c r="AC166" i="3"/>
  <c r="F48" i="16" s="1"/>
  <c r="F3" i="1"/>
  <c r="C6" i="16"/>
  <c r="I63" i="17"/>
  <c r="C46" i="16"/>
  <c r="X22" i="6"/>
  <c r="AB14" i="6"/>
  <c r="H15" i="7"/>
  <c r="H30" i="7" s="1"/>
  <c r="H14" i="7"/>
  <c r="H29" i="7" s="1"/>
  <c r="G5" i="12"/>
  <c r="G6" i="11"/>
  <c r="H7" i="14"/>
  <c r="H5" i="5"/>
  <c r="G14" i="5"/>
  <c r="G5" i="6"/>
  <c r="G5" i="8"/>
  <c r="G6" i="7"/>
  <c r="G6" i="14"/>
  <c r="F19" i="8"/>
  <c r="F14" i="8"/>
  <c r="F26" i="8"/>
  <c r="F32" i="8"/>
  <c r="F27" i="7"/>
  <c r="F34" i="7"/>
  <c r="F41" i="7"/>
  <c r="F12" i="7"/>
  <c r="F19" i="7"/>
  <c r="F18" i="6"/>
  <c r="F10" i="6"/>
  <c r="E23" i="12"/>
  <c r="E18" i="12"/>
  <c r="E12" i="12"/>
  <c r="E28" i="12"/>
  <c r="F14" i="12"/>
  <c r="C62" i="12"/>
  <c r="C41" i="12"/>
  <c r="C15" i="11"/>
  <c r="I17" i="1" s="1"/>
  <c r="C26" i="16"/>
  <c r="F23" i="16" s="1"/>
  <c r="F13" i="1"/>
  <c r="G14" i="12"/>
  <c r="E14" i="12"/>
  <c r="C34" i="12"/>
  <c r="D14" i="12"/>
  <c r="I44" i="7"/>
  <c r="I20" i="8"/>
  <c r="J13" i="7"/>
  <c r="J28" i="7" s="1"/>
  <c r="J36" i="7"/>
  <c r="J42" i="7"/>
  <c r="J45" i="7"/>
  <c r="J21" i="8" s="1"/>
  <c r="J13" i="6"/>
  <c r="J12" i="6"/>
  <c r="I14" i="6"/>
  <c r="K6" i="12"/>
  <c r="K13" i="12" s="1"/>
  <c r="K7" i="7"/>
  <c r="K6" i="6"/>
  <c r="K11" i="6" s="1"/>
  <c r="K6" i="8"/>
  <c r="D7" i="11"/>
  <c r="D8" i="12"/>
  <c r="G7" i="11"/>
  <c r="G8" i="12"/>
  <c r="G34" i="12"/>
  <c r="D7" i="14"/>
  <c r="D34" i="12"/>
  <c r="C7" i="11"/>
  <c r="C8" i="12"/>
  <c r="C7" i="14"/>
  <c r="F34" i="12"/>
  <c r="F7" i="11"/>
  <c r="F8" i="12"/>
  <c r="F7" i="14"/>
  <c r="E34" i="12"/>
  <c r="E7" i="11"/>
  <c r="E8" i="12"/>
  <c r="E7" i="14"/>
  <c r="AE7" i="5"/>
  <c r="H20" i="5"/>
  <c r="H7" i="12" l="1"/>
  <c r="H14" i="12" s="1"/>
  <c r="H27" i="8"/>
  <c r="H28" i="8" s="1"/>
  <c r="H34" i="8"/>
  <c r="H35" i="7"/>
  <c r="H22" i="8" s="1"/>
  <c r="C42" i="16"/>
  <c r="I55" i="17"/>
  <c r="I52" i="17"/>
  <c r="C39" i="16"/>
  <c r="F8" i="1"/>
  <c r="F4" i="1"/>
  <c r="I8" i="17"/>
  <c r="I54" i="17"/>
  <c r="F10" i="1"/>
  <c r="C41" i="16"/>
  <c r="I68" i="17"/>
  <c r="F15" i="1"/>
  <c r="AC145" i="3"/>
  <c r="C7" i="16"/>
  <c r="AC146" i="3"/>
  <c r="AC150" i="3"/>
  <c r="I7" i="14"/>
  <c r="I10" i="14" s="1"/>
  <c r="H5" i="12"/>
  <c r="H6" i="11"/>
  <c r="J14" i="6"/>
  <c r="H14" i="5"/>
  <c r="I5" i="5"/>
  <c r="H6" i="14"/>
  <c r="G10" i="6"/>
  <c r="G18" i="6"/>
  <c r="H5" i="6"/>
  <c r="G19" i="8"/>
  <c r="G14" i="8"/>
  <c r="G26" i="8"/>
  <c r="H5" i="8"/>
  <c r="G32" i="8"/>
  <c r="G19" i="7"/>
  <c r="G34" i="7"/>
  <c r="G41" i="7"/>
  <c r="G12" i="7"/>
  <c r="G27" i="7"/>
  <c r="H6" i="7"/>
  <c r="F12" i="12"/>
  <c r="F28" i="12"/>
  <c r="F23" i="12"/>
  <c r="F18" i="12"/>
  <c r="F15" i="12"/>
  <c r="E15" i="12"/>
  <c r="G15" i="12"/>
  <c r="C35" i="12"/>
  <c r="D15" i="12"/>
  <c r="J44" i="7"/>
  <c r="J20" i="8"/>
  <c r="I7" i="8"/>
  <c r="I8" i="8" s="1"/>
  <c r="I33" i="8" s="1"/>
  <c r="I8" i="7"/>
  <c r="I9" i="8"/>
  <c r="I22" i="6"/>
  <c r="K42" i="7"/>
  <c r="K13" i="7"/>
  <c r="K28" i="7" s="1"/>
  <c r="K36" i="7"/>
  <c r="K45" i="7"/>
  <c r="K21" i="8" s="1"/>
  <c r="K13" i="6"/>
  <c r="K12" i="6"/>
  <c r="K14" i="6" s="1"/>
  <c r="L6" i="8"/>
  <c r="L7" i="7"/>
  <c r="L6" i="12"/>
  <c r="L6" i="6"/>
  <c r="L11" i="6" s="1"/>
  <c r="D35" i="12"/>
  <c r="G35" i="12"/>
  <c r="H10" i="14"/>
  <c r="F35" i="12"/>
  <c r="E35" i="12"/>
  <c r="AA20" i="5"/>
  <c r="C11" i="16" l="1"/>
  <c r="I12" i="17"/>
  <c r="C12" i="16"/>
  <c r="I13" i="17"/>
  <c r="H8" i="12"/>
  <c r="H15" i="12" s="1"/>
  <c r="H7" i="11"/>
  <c r="H10" i="11" s="1"/>
  <c r="H9" i="12" s="1"/>
  <c r="J22" i="6"/>
  <c r="J9" i="8"/>
  <c r="J7" i="14"/>
  <c r="I5" i="12"/>
  <c r="I6" i="11"/>
  <c r="I15" i="7"/>
  <c r="I30" i="7" s="1"/>
  <c r="I14" i="7"/>
  <c r="I29" i="7" s="1"/>
  <c r="I14" i="5"/>
  <c r="J5" i="5"/>
  <c r="I6" i="14"/>
  <c r="G28" i="12"/>
  <c r="G12" i="12"/>
  <c r="G23" i="12"/>
  <c r="G18" i="12"/>
  <c r="H18" i="6"/>
  <c r="H10" i="6"/>
  <c r="I5" i="6"/>
  <c r="H19" i="8"/>
  <c r="H14" i="8"/>
  <c r="I5" i="8"/>
  <c r="H26" i="8"/>
  <c r="H32" i="8"/>
  <c r="H12" i="7"/>
  <c r="H19" i="7"/>
  <c r="I6" i="7"/>
  <c r="H27" i="7"/>
  <c r="H34" i="7"/>
  <c r="H41" i="7"/>
  <c r="K44" i="7"/>
  <c r="K20" i="8"/>
  <c r="K9" i="8"/>
  <c r="K22" i="6"/>
  <c r="J7" i="8"/>
  <c r="J8" i="8" s="1"/>
  <c r="J8" i="7"/>
  <c r="L36" i="7"/>
  <c r="L42" i="7"/>
  <c r="L13" i="7"/>
  <c r="L28" i="7" s="1"/>
  <c r="L45" i="7"/>
  <c r="L21" i="8" s="1"/>
  <c r="L13" i="12"/>
  <c r="C53" i="12"/>
  <c r="C57" i="12" s="1"/>
  <c r="C58" i="12" s="1"/>
  <c r="C7" i="13" s="1"/>
  <c r="I5" i="1" s="1"/>
  <c r="L12" i="6"/>
  <c r="L13" i="6"/>
  <c r="I10" i="8"/>
  <c r="I34" i="8" s="1"/>
  <c r="I20" i="5"/>
  <c r="J20" i="5"/>
  <c r="I35" i="7" l="1"/>
  <c r="I22" i="8" s="1"/>
  <c r="J10" i="14"/>
  <c r="K7" i="14"/>
  <c r="J6" i="11"/>
  <c r="J5" i="12"/>
  <c r="K8" i="7"/>
  <c r="K7" i="8"/>
  <c r="K8" i="8" s="1"/>
  <c r="J10" i="8"/>
  <c r="J33" i="8"/>
  <c r="J15" i="7"/>
  <c r="J30" i="7" s="1"/>
  <c r="J14" i="7"/>
  <c r="J29" i="7" s="1"/>
  <c r="H23" i="12"/>
  <c r="H28" i="12"/>
  <c r="H12" i="12"/>
  <c r="H18" i="12"/>
  <c r="K5" i="5"/>
  <c r="J14" i="5"/>
  <c r="J6" i="14"/>
  <c r="I18" i="6"/>
  <c r="I10" i="6"/>
  <c r="J5" i="6"/>
  <c r="I14" i="8"/>
  <c r="J5" i="8"/>
  <c r="I19" i="8"/>
  <c r="I26" i="8"/>
  <c r="I32" i="8"/>
  <c r="I12" i="7"/>
  <c r="I34" i="7"/>
  <c r="I41" i="7"/>
  <c r="I19" i="7"/>
  <c r="I27" i="7"/>
  <c r="J6" i="7"/>
  <c r="L44" i="7"/>
  <c r="L20" i="8"/>
  <c r="I7" i="12"/>
  <c r="I27" i="8"/>
  <c r="L14" i="6"/>
  <c r="I28" i="8" l="1"/>
  <c r="K15" i="7"/>
  <c r="K30" i="7" s="1"/>
  <c r="K14" i="7"/>
  <c r="K29" i="7" s="1"/>
  <c r="K10" i="14"/>
  <c r="L7" i="14"/>
  <c r="K5" i="12"/>
  <c r="K6" i="11"/>
  <c r="J35" i="7"/>
  <c r="J22" i="8" s="1"/>
  <c r="K33" i="8"/>
  <c r="K10" i="8"/>
  <c r="J34" i="8"/>
  <c r="J27" i="8"/>
  <c r="J7" i="12"/>
  <c r="J14" i="12" s="1"/>
  <c r="L7" i="8"/>
  <c r="L8" i="8" s="1"/>
  <c r="L33" i="8" s="1"/>
  <c r="L8" i="7"/>
  <c r="I12" i="12"/>
  <c r="I23" i="12"/>
  <c r="I28" i="12"/>
  <c r="I18" i="12"/>
  <c r="L5" i="5"/>
  <c r="K14" i="5"/>
  <c r="K6" i="14"/>
  <c r="J10" i="6"/>
  <c r="J18" i="6"/>
  <c r="K5" i="6"/>
  <c r="K5" i="8"/>
  <c r="J14" i="8"/>
  <c r="J19" i="8"/>
  <c r="J26" i="8"/>
  <c r="J32" i="8"/>
  <c r="K6" i="7"/>
  <c r="J27" i="7"/>
  <c r="J19" i="7"/>
  <c r="J12" i="7"/>
  <c r="J41" i="7"/>
  <c r="J34" i="7"/>
  <c r="I14" i="12"/>
  <c r="L9" i="8"/>
  <c r="L22" i="6"/>
  <c r="K20" i="5"/>
  <c r="I7" i="11" l="1"/>
  <c r="I10" i="11" s="1"/>
  <c r="I9" i="12" s="1"/>
  <c r="I8" i="12"/>
  <c r="I15" i="12" s="1"/>
  <c r="L10" i="14"/>
  <c r="C29" i="14" s="1"/>
  <c r="L8" i="14"/>
  <c r="L11" i="14" s="1"/>
  <c r="C30" i="14" s="1"/>
  <c r="L5" i="12"/>
  <c r="L6" i="11"/>
  <c r="J28" i="8"/>
  <c r="K35" i="7"/>
  <c r="K22" i="8" s="1"/>
  <c r="L10" i="8"/>
  <c r="K34" i="8"/>
  <c r="K7" i="12"/>
  <c r="K14" i="12" s="1"/>
  <c r="K27" i="8"/>
  <c r="L14" i="7"/>
  <c r="L29" i="7" s="1"/>
  <c r="L15" i="7"/>
  <c r="L30" i="7" s="1"/>
  <c r="J12" i="12"/>
  <c r="J28" i="12"/>
  <c r="J23" i="12"/>
  <c r="J18" i="12"/>
  <c r="L14" i="5"/>
  <c r="L6" i="14"/>
  <c r="K10" i="6"/>
  <c r="K18" i="6"/>
  <c r="L5" i="6"/>
  <c r="K14" i="8"/>
  <c r="K19" i="8"/>
  <c r="L5" i="8"/>
  <c r="K26" i="8"/>
  <c r="K32" i="8"/>
  <c r="L6" i="7"/>
  <c r="K41" i="7"/>
  <c r="K34" i="7"/>
  <c r="K27" i="7"/>
  <c r="K19" i="7"/>
  <c r="K12" i="7"/>
  <c r="L20" i="5"/>
  <c r="J7" i="11" l="1"/>
  <c r="J10" i="11" s="1"/>
  <c r="J9" i="12" s="1"/>
  <c r="J8" i="12"/>
  <c r="J15" i="12" s="1"/>
  <c r="C31" i="14"/>
  <c r="C34" i="14" s="1"/>
  <c r="C36" i="14" s="1"/>
  <c r="C16" i="14" s="1"/>
  <c r="I14" i="1" s="1"/>
  <c r="K28" i="8"/>
  <c r="L34" i="8"/>
  <c r="L27" i="8"/>
  <c r="L7" i="12"/>
  <c r="L35" i="7"/>
  <c r="L22" i="8" s="1"/>
  <c r="K23" i="12"/>
  <c r="K18" i="12"/>
  <c r="K12" i="12"/>
  <c r="K28" i="12"/>
  <c r="L18" i="6"/>
  <c r="L10" i="6"/>
  <c r="L26" i="8"/>
  <c r="L19" i="8"/>
  <c r="L14" i="8"/>
  <c r="L32" i="8"/>
  <c r="L34" i="7"/>
  <c r="L41" i="7"/>
  <c r="L19" i="7"/>
  <c r="L27" i="7"/>
  <c r="L12" i="7"/>
  <c r="AC65" i="3"/>
  <c r="L28" i="8" l="1"/>
  <c r="K7" i="11"/>
  <c r="K10" i="11" s="1"/>
  <c r="K9" i="12" s="1"/>
  <c r="C79" i="12" s="1"/>
  <c r="C82" i="12" s="1"/>
  <c r="C84" i="12" s="1"/>
  <c r="C9" i="13" s="1"/>
  <c r="I7" i="1" s="1"/>
  <c r="K8" i="12"/>
  <c r="K15" i="12" s="1"/>
  <c r="L14" i="12"/>
  <c r="C40" i="12"/>
  <c r="C43" i="12" s="1"/>
  <c r="C44" i="12" s="1"/>
  <c r="L28" i="12"/>
  <c r="L23" i="12"/>
  <c r="L18" i="12"/>
  <c r="L12" i="12"/>
  <c r="C45" i="12" l="1"/>
  <c r="C48" i="12" s="1"/>
  <c r="C50" i="12" s="1"/>
  <c r="C6" i="13" s="1"/>
  <c r="I4" i="1" s="1"/>
  <c r="L7" i="11"/>
  <c r="L8" i="12"/>
  <c r="L8" i="11" l="1"/>
  <c r="L11" i="11" s="1"/>
  <c r="C20" i="11" s="1"/>
  <c r="L10" i="11"/>
  <c r="C61" i="12"/>
  <c r="C64" i="12" s="1"/>
  <c r="C65" i="12" s="1"/>
  <c r="C66" i="12" s="1"/>
  <c r="C69" i="12" s="1"/>
  <c r="L15" i="12"/>
  <c r="C19" i="11" l="1"/>
  <c r="C21" i="11" s="1"/>
  <c r="C24" i="11" s="1"/>
  <c r="C26" i="11" s="1"/>
  <c r="C5" i="13" s="1"/>
  <c r="L9" i="12"/>
  <c r="C71" i="12"/>
  <c r="C8" i="13" s="1"/>
  <c r="I6" i="1" s="1"/>
  <c r="C10" i="13" l="1"/>
  <c r="I3" i="1"/>
  <c r="C12" i="13" l="1"/>
  <c r="I9" i="1" s="1"/>
  <c r="I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s>
  <commentList>
    <comment ref="B83"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4"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<sst xmlns="http://schemas.openxmlformats.org/spreadsheetml/2006/main" count="834" uniqueCount="428">
  <si>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</si>
  <si>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</si>
  <si>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</si>
  <si>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</si>
  <si>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</si>
  <si>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</si>
  <si>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</si>
  <si>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</si>
  <si>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</si>
  <si>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</si>
  <si>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</si>
  <si>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</si>
  <si>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</si>
  <si>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</si>
  <si>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Financials -&gt;</t>
  </si>
  <si>
    <t>Date</t>
  </si>
  <si>
    <t>FY</t>
  </si>
  <si>
    <t>Automatic Data</t>
  </si>
  <si>
    <t>Income statement</t>
  </si>
  <si>
    <t>Revenue</t>
  </si>
  <si>
    <t>COGS</t>
  </si>
  <si>
    <t>Gross Profit</t>
  </si>
  <si>
    <t>R&amp;D</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</si>
  <si>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</si>
  <si>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</si>
  <si>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</si>
  <si>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</si>
  <si>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</si>
  <si>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</si>
  <si>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</si>
  <si>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</si>
  <si>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</si>
  <si>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</si>
  <si>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</si>
  <si>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</si>
  <si>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</si>
  <si>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</si>
  <si>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</si>
  <si>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</si>
  <si>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</si>
  <si>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</si>
  <si>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</si>
  <si>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</si>
  <si>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</si>
  <si>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</si>
  <si>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</si>
  <si>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</si>
  <si>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</si>
  <si>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</si>
  <si>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</si>
  <si>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</si>
  <si>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</si>
  <si>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</si>
  <si>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</si>
  <si>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</si>
  <si>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</si>
  <si>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</si>
  <si>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</si>
  <si>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</si>
  <si>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</si>
  <si>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</si>
  <si>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</si>
  <si>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</si>
  <si>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</si>
  <si>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</si>
  <si>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</si>
  <si>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</si>
  <si>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</si>
  <si>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</si>
  <si>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</si>
  <si>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</si>
  <si>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</si>
  <si>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</si>
  <si>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</si>
  <si>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</si>
  <si>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</si>
  <si>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</si>
  <si>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</si>
  <si>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</si>
  <si>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</si>
  <si>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</si>
  <si>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</si>
  <si>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</si>
  <si>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Q4 2025</t>
  </si>
  <si>
    <t>Q3 2025</t>
  </si>
  <si>
    <t>Q2 2026</t>
  </si>
  <si>
    <t>Q2 2025</t>
  </si>
  <si>
    <t>Q1 2026</t>
  </si>
  <si>
    <t>Unit data and other info</t>
  </si>
  <si>
    <t>Has operating lease</t>
  </si>
  <si>
    <t>Has finance lease</t>
  </si>
  <si>
    <t>No</t>
  </si>
  <si>
    <t>Has debt</t>
  </si>
  <si>
    <t>Change in accounts receivable</t>
  </si>
  <si>
    <t>Change in accounts payable</t>
  </si>
  <si>
    <t>Change in other operating NWC</t>
  </si>
  <si>
    <t>Capitalized software</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</si>
  <si>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</si>
  <si>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</si>
  <si>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</si>
  <si>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</si>
  <si>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</si>
  <si>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</si>
  <si>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</si>
  <si>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</si>
  <si>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</si>
  <si>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</si>
  <si>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</si>
  <si>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</si>
  <si>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</si>
  <si>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</si>
  <si>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</si>
  <si>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</si>
  <si>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</si>
  <si>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</si>
  <si>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</si>
  <si>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</si>
  <si>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</si>
  <si>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</si>
  <si>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</si>
  <si>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</si>
  <si>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</si>
  <si>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</si>
  <si>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</si>
  <si>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</si>
  <si>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</si>
  <si>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</si>
  <si>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</si>
  <si>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</si>
  <si>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</si>
  <si>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</si>
  <si>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</si>
  <si>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</si>
  <si>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</si>
  <si>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</si>
  <si>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</si>
  <si>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</si>
  <si>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</si>
  <si>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</si>
  <si>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</si>
  <si>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</si>
  <si>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</si>
  <si>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</si>
  <si>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</si>
  <si>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</si>
  <si>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</si>
  <si>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</si>
  <si>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</si>
  <si>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</si>
  <si>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</si>
  <si>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</si>
  <si>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</si>
  <si>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</si>
  <si>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</si>
  <si>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</si>
  <si>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</si>
  <si>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</si>
  <si>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</si>
  <si>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</si>
  <si>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</si>
  <si>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</si>
  <si>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</si>
  <si>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</si>
  <si>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</si>
  <si>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</si>
  <si>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</si>
  <si>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</si>
  <si>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</si>
  <si>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</si>
  <si>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</si>
  <si>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</si>
  <si>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</si>
  <si>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</si>
  <si>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</si>
  <si>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</si>
  <si>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</si>
  <si>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</si>
  <si>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</si>
  <si>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</si>
  <si>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</si>
  <si>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</si>
  <si>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</si>
  <si>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</si>
  <si>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</si>
  <si>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</si>
  <si>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</si>
  <si>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</si>
  <si>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</si>
  <si>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</si>
  <si>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</si>
  <si>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</si>
  <si>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</si>
  <si>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</si>
  <si>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</si>
  <si>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</si>
  <si>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</si>
  <si>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</si>
  <si>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</si>
  <si>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</si>
  <si>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</si>
  <si>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</si>
  <si>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</si>
  <si>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</si>
  <si>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</si>
  <si>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</si>
  <si>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</si>
  <si>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</si>
  <si>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</si>
  <si>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</si>
  <si>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</si>
  <si>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</si>
  <si>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</si>
  <si>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</si>
  <si>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</si>
  <si>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</si>
  <si>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</si>
  <si>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</si>
  <si>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</si>
  <si>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</si>
  <si>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</si>
  <si>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</si>
  <si>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</si>
  <si>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</si>
  <si>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</si>
  <si>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</si>
  <si>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</si>
  <si>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</si>
  <si>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</si>
  <si>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</si>
  <si>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</si>
  <si>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</si>
  <si>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</si>
  <si>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</si>
  <si>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</si>
  <si>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</si>
  <si>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</si>
  <si>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</si>
  <si>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</si>
  <si>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</si>
  <si>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</si>
  <si>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</si>
  <si>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</si>
  <si>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</si>
  <si>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</si>
  <si>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</si>
  <si>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</si>
  <si>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</si>
  <si>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</si>
  <si>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</si>
  <si>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</si>
  <si>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</si>
  <si>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</si>
  <si>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</si>
  <si>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</si>
  <si>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</si>
  <si>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</si>
  <si>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</si>
  <si>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</si>
  <si>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</si>
  <si>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</si>
  <si>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</si>
  <si>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</si>
  <si>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</si>
  <si>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</si>
  <si>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</si>
  <si>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</si>
  <si>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</si>
  <si>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</si>
  <si>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</si>
  <si>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</si>
  <si>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</si>
  <si>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</si>
  <si>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</si>
  <si>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</si>
  <si>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</si>
  <si>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</si>
  <si>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</si>
  <si>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</si>
  <si>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</si>
  <si>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</si>
  <si>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</si>
  <si>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</si>
  <si>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</si>
  <si>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</si>
  <si>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</si>
  <si>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</si>
  <si>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</si>
  <si>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</si>
  <si>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</si>
  <si>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</si>
  <si>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</si>
  <si>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</si>
  <si>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</si>
  <si>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</si>
  <si>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</si>
  <si>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</si>
  <si>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</si>
  <si>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</si>
  <si>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</si>
  <si>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</si>
  <si>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</si>
  <si>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</si>
  <si>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</si>
  <si>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</si>
  <si>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</si>
  <si>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</si>
  <si>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</si>
  <si>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</si>
  <si>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</si>
  <si>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</si>
  <si>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</si>
  <si>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</si>
  <si>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</si>
  <si>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</si>
  <si>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PV of FCFF</t>
  </si>
  <si>
    <t>EV/FCFF</t>
  </si>
  <si>
    <t>EV/FCFF valuation</t>
  </si>
  <si>
    <t>EV/FCFF price</t>
  </si>
  <si>
    <t>FCFF Growth</t>
  </si>
  <si>
    <t>Valuation</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</si>
  <si>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</si>
  <si>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</si>
  <si>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</si>
  <si>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</si>
  <si>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</si>
  <si>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</si>
  <si>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</si>
  <si>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</si>
  <si>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</si>
  <si>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</si>
  <si>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</si>
  <si>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</si>
  <si>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10 Year Bond Yield</t>
  </si>
  <si>
    <t>Percentage</t>
  </si>
  <si>
    <t>Last market price for period adjusted</t>
  </si>
  <si>
    <t>FCFF/Sales (FCFF Margin)</t>
  </si>
  <si>
    <t>FCFE/Sales (FCFE Margin)</t>
  </si>
  <si>
    <t>Manual WACC</t>
  </si>
  <si>
    <t>Discount rate</t>
  </si>
  <si>
    <t>Applied EV/FCFF ratio</t>
  </si>
  <si>
    <t>Common size growth rates</t>
  </si>
  <si>
    <t>Price 5y</t>
  </si>
  <si>
    <t>Revenue 5y</t>
  </si>
  <si>
    <t>EPS 5y</t>
  </si>
  <si>
    <t>Marketable securities and investments</t>
  </si>
  <si>
    <t>Debt/EBIT</t>
  </si>
  <si>
    <t>Net Debt/EBIT</t>
  </si>
  <si>
    <t>Sales/Invested Capital</t>
  </si>
  <si>
    <t>Sales/Assets</t>
  </si>
  <si>
    <t>M</t>
  </si>
  <si>
    <t>29.11.2024</t>
  </si>
  <si>
    <t>Q4 2024</t>
  </si>
  <si>
    <t>Q1 2025</t>
  </si>
  <si>
    <t>Services</t>
  </si>
  <si>
    <t>FY 2024</t>
  </si>
  <si>
    <t>Services Growth Rate</t>
  </si>
  <si>
    <t>25.09.2021</t>
  </si>
  <si>
    <t>24.09.2022</t>
  </si>
  <si>
    <t>30.09.2023</t>
  </si>
  <si>
    <t>28.09.2024</t>
  </si>
  <si>
    <t>27.09.2025</t>
  </si>
  <si>
    <t>SG&amp;A</t>
  </si>
  <si>
    <t>28.12.2024</t>
  </si>
  <si>
    <t>29.03.2025</t>
  </si>
  <si>
    <t>28.06.2025</t>
  </si>
  <si>
    <t>27.12.2025</t>
  </si>
  <si>
    <t>28.03.2026</t>
  </si>
  <si>
    <t>Americas</t>
  </si>
  <si>
    <t>Europe</t>
  </si>
  <si>
    <t>Greater China</t>
  </si>
  <si>
    <t>Japan</t>
  </si>
  <si>
    <t>Rest of Asia Pacific</t>
  </si>
  <si>
    <t>iPhone</t>
  </si>
  <si>
    <t>Mac</t>
  </si>
  <si>
    <t>iPad</t>
  </si>
  <si>
    <t>Wearables, Home, Accessories</t>
  </si>
  <si>
    <t>Revenue Americas</t>
  </si>
  <si>
    <t>Revenue Europe</t>
  </si>
  <si>
    <t>Revenue Greater China</t>
  </si>
  <si>
    <t>Revenue Japan</t>
  </si>
  <si>
    <t>Revenue iPhone</t>
  </si>
  <si>
    <t>Revenue Mac</t>
  </si>
  <si>
    <t>Revenue iPad</t>
  </si>
  <si>
    <t>Revenue Wearables, Home, Accessories</t>
  </si>
  <si>
    <t>Revenue Services</t>
  </si>
  <si>
    <t>Revenue Rest of Asia</t>
  </si>
  <si>
    <t>Revenue Wearables</t>
  </si>
  <si>
    <t>Revenue Rest of Asia Pacific</t>
  </si>
  <si>
    <t>iPhone Growth Rate</t>
  </si>
  <si>
    <t>Mac Growth Rate</t>
  </si>
  <si>
    <t>iPad Growth Rate</t>
  </si>
  <si>
    <t>Wearables Growth Rate</t>
  </si>
  <si>
    <t>Yes</t>
  </si>
  <si>
    <t>Manual Cost of Equity</t>
  </si>
  <si>
    <t>DDM price</t>
  </si>
  <si>
    <t>Dividend discount model</t>
  </si>
  <si>
    <t>Dividend per share</t>
  </si>
  <si>
    <t>Ratios</t>
  </si>
  <si>
    <t>Payout</t>
  </si>
  <si>
    <t>DDM valuation</t>
  </si>
  <si>
    <t>Latest dividend</t>
  </si>
  <si>
    <t>Year 1 growth rate</t>
  </si>
  <si>
    <t>Year 1 dividend</t>
  </si>
  <si>
    <t>Perpetual dividend growth</t>
  </si>
  <si>
    <t>Q3 2026</t>
  </si>
  <si>
    <t>27.06.2026</t>
  </si>
  <si>
    <t>17.07.2026</t>
  </si>
  <si>
    <t>Ernst &amp; Young</t>
  </si>
  <si>
    <t>Commited to bringing the best user experience to its customers through its innovative hardaware, software, peripherals and services</t>
  </si>
  <si>
    <t>Terminal EV</t>
  </si>
  <si>
    <t>PV of Terminal EV</t>
  </si>
  <si>
    <t>Total EV</t>
  </si>
  <si>
    <t>Year 5 FCFF</t>
  </si>
  <si>
    <t>EV/Sales</t>
  </si>
  <si>
    <t>EV/Sales valuation</t>
  </si>
  <si>
    <t>Year 5 Sales</t>
  </si>
  <si>
    <t>EV/Sales price</t>
  </si>
  <si>
    <t>Applied EV/Sales ratio</t>
  </si>
  <si>
    <t>Reverse DCF rate</t>
  </si>
  <si>
    <t>Discount rates used</t>
  </si>
  <si>
    <t>Cost of Equity</t>
  </si>
  <si>
    <t>Links</t>
  </si>
  <si>
    <t>Financials -&gt;'!B13</t>
  </si>
  <si>
    <t>Analysis -&gt;'!B13</t>
  </si>
  <si>
    <t>Forecast -&gt;'!B13</t>
  </si>
  <si>
    <t>Valuation -&gt;'!B13</t>
  </si>
  <si>
    <t>Overview'!B3</t>
  </si>
  <si>
    <t>Reverse DCF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</si>
</sst>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s>
  <fonts count="25"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0" fontId="24" fillId="0" borderId="0" applyNumberFormat="0" applyFill="0" applyBorder="0" applyAlignment="0" applyProtection="0"/>
  </cellStyleXfs>
  <cellXfs count="261">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2"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10" fontId="18" fillId="3" borderId="0" xfId="1" applyNumberFormat="1" applyFont="1" applyFill="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12" fillId="2" borderId="20" xfId="1" applyNumberFormat="1" applyFont="1" applyFill="1" applyBorder="1"/>
    <xf numFmtId="3" fontId="12" fillId="2" borderId="20" xfId="0" applyNumberFormat="1" applyFont="1" applyFill="1" applyBorder="1"/>
    <xf numFmtId="2" fontId="0" fillId="2" borderId="0" xfId="1" applyNumberFormat="1" applyFont="1" applyFill="1"/>
    <xf numFmtId="2" fontId="0" fillId="2" borderId="0" xfId="1" applyNumberFormat="1" applyFont="1" applyFill="1" applyAlignment="1">
      <alignment horizontal="right"/>
    </xf>
    <xf numFmtId="1" fontId="0" fillId="2" borderId="0" xfId="0" applyNumberFormat="1" applyFill="1"/>
    <xf numFmtId="38" fontId="9" fillId="12" borderId="0" xfId="0" applyNumberFormat="1" applyFont="1" applyFill="1"/>
    <xf numFmtId="37" fontId="7" fillId="8" borderId="0" xfId="0" applyNumberFormat="1" applyFont="1" applyFill="1"/>
    <xf numFmtId="0" fontId="9" fillId="2" borderId="0" xfId="0" applyFont="1" applyFill="1"/>
    <xf numFmtId="0" fontId="0" fillId="7" borderId="28" xfId="0" applyFill="1" applyBorder="1"/>
    <xf numFmtId="3" fontId="0" fillId="18" borderId="2" xfId="0" applyNumberFormat="1" applyFill="1" applyBorder="1"/>
    <xf numFmtId="10" fontId="23" fillId="16" borderId="0" xfId="0" applyNumberFormat="1" applyFont="1" applyFill="1"/>
    <xf numFmtId="10" fontId="23" fillId="12" borderId="0" xfId="0" applyNumberFormat="1" applyFont="1" applyFill="1"/>
    <xf numFmtId="10" fontId="23" fillId="12" borderId="14" xfId="0" applyNumberFormat="1" applyFont="1" applyFill="1" applyBorder="1"/>
    <xf numFmtId="39" fontId="17" fillId="2" borderId="0" xfId="0" applyNumberFormat="1" applyFont="1" applyFill="1"/>
    <xf numFmtId="39" fontId="17" fillId="2" borderId="14" xfId="0" applyNumberFormat="1" applyFont="1" applyFill="1" applyBorder="1"/>
    <xf numFmtId="39" fontId="0" fillId="2" borderId="0" xfId="0" applyNumberFormat="1" applyFill="1"/>
    <xf numFmtId="10" fontId="0" fillId="3" borderId="0" xfId="1" applyNumberFormat="1" applyFont="1" applyFill="1"/>
    <xf numFmtId="39" fontId="10" fillId="2" borderId="0" xfId="0" applyNumberFormat="1" applyFont="1" applyFill="1"/>
    <xf numFmtId="0" fontId="7" fillId="9" borderId="15" xfId="0" applyFont="1" applyFill="1" applyBorder="1"/>
    <xf numFmtId="167" fontId="7" fillId="9" borderId="16" xfId="0" applyNumberFormat="1" applyFont="1" applyFill="1" applyBorder="1"/>
    <xf numFmtId="168" fontId="0" fillId="17" borderId="25" xfId="1" applyNumberFormat="1" applyFont="1" applyFill="1" applyBorder="1"/>
    <xf numFmtId="168" fontId="0" fillId="17" borderId="26" xfId="1" applyNumberFormat="1" applyFont="1" applyFill="1" applyBorder="1"/>
    <xf numFmtId="0" fontId="24" fillId="8" borderId="25" xfId="2" quotePrefix="1" applyFill="1" applyBorder="1" applyAlignment="1">
      <alignment horizontal="center"/>
    </xf>
    <xf numFmtId="0" fontId="24" fillId="8" borderId="26" xfId="2" quotePrefix="1" applyFill="1" applyBorder="1" applyAlignment="1">
      <alignment horizontal="center"/>
    </xf>
    <xf numFmtId="168" fontId="0" fillId="17" borderId="2" xfId="1" applyNumberFormat="1" applyFont="1" applyFill="1" applyBorder="1"/>
    <xf numFmtId="2" fontId="0" fillId="17" borderId="6" xfId="1" applyNumberFormat="1" applyFont="1" applyFill="1" applyBorder="1"/>
    <xf numFmtId="0" fontId="0" fillId="7" borderId="27" xfId="0" applyFill="1" applyBorder="1"/>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4" fillId="4" borderId="17" xfId="0" applyFont="1" applyFill="1" applyBorder="1" applyAlignment="1">
      <alignment horizontal="center"/>
    </xf>
    <xf numFmtId="0" fontId="4" fillId="4" borderId="18" xfId="0" applyFont="1" applyFill="1" applyBorder="1" applyAlignment="1">
      <alignment horizontal="center"/>
    </xf>
    <xf numFmtId="0" fontId="0" fillId="2" borderId="0" xfId="0" applyFill="1" applyAlignment="1">
      <alignment horizontal="left"/>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Year'!$H$62:$L$62</c:f>
              <c:strCache>
                <c:ptCount val="5"/>
                <c:pt idx="0">
                  <c:v>25.09.2021</c:v>
                </c:pt>
                <c:pt idx="1">
                  <c:v>24.09.2022</c:v>
                </c:pt>
                <c:pt idx="2">
                  <c:v>30.09.2023</c:v>
                </c:pt>
                <c:pt idx="3">
                  <c:v>28.09.2024</c:v>
                </c:pt>
                <c:pt idx="4">
                  <c:v>27.09.2025</c:v>
                </c:pt>
              </c:strCache>
            </c:strRef>
          </c:cat>
          <c:val>
            <c:numRef>
              <c:f>'Graphs Year'!$H$64:$L$64</c:f>
              <c:numCache>
                <c:formatCode>#,##0_);[Red]\(#,##0\)</c:formatCode>
                <c:ptCount val="5"/>
                <c:pt idx="0">
                  <c:v>365817</c:v>
                </c:pt>
                <c:pt idx="1">
                  <c:v>394328</c:v>
                </c:pt>
                <c:pt idx="2">
                  <c:v>383285</c:v>
                </c:pt>
                <c:pt idx="3">
                  <c:v>391035</c:v>
                </c:pt>
                <c:pt idx="4">
                  <c:v>416161</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Year'!$H$62:$L$62</c:f>
              <c:strCache>
                <c:ptCount val="5"/>
                <c:pt idx="0">
                  <c:v>25.09.2021</c:v>
                </c:pt>
                <c:pt idx="1">
                  <c:v>24.09.2022</c:v>
                </c:pt>
                <c:pt idx="2">
                  <c:v>30.09.2023</c:v>
                </c:pt>
                <c:pt idx="3">
                  <c:v>28.09.2024</c:v>
                </c:pt>
                <c:pt idx="4">
                  <c:v>27.09.2025</c:v>
                </c:pt>
              </c:strCache>
            </c:strRef>
          </c:cat>
          <c:val>
            <c:numRef>
              <c:f>'Graphs Year'!$H$65:$L$65</c:f>
              <c:numCache>
                <c:formatCode>#,##0_);\(#,##0\)</c:formatCode>
                <c:ptCount val="5"/>
                <c:pt idx="0">
                  <c:v>108949</c:v>
                </c:pt>
                <c:pt idx="1">
                  <c:v>119437</c:v>
                </c:pt>
                <c:pt idx="2">
                  <c:v>114301</c:v>
                </c:pt>
                <c:pt idx="3">
                  <c:v>123216</c:v>
                </c:pt>
                <c:pt idx="4">
                  <c:v>133050</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Year'!$H$62:$L$62</c:f>
              <c:strCache>
                <c:ptCount val="5"/>
                <c:pt idx="0">
                  <c:v>25.09.2021</c:v>
                </c:pt>
                <c:pt idx="1">
                  <c:v>24.09.2022</c:v>
                </c:pt>
                <c:pt idx="2">
                  <c:v>30.09.2023</c:v>
                </c:pt>
                <c:pt idx="3">
                  <c:v>28.09.2024</c:v>
                </c:pt>
                <c:pt idx="4">
                  <c:v>27.09.2025</c:v>
                </c:pt>
              </c:strCache>
            </c:strRef>
          </c:cat>
          <c:val>
            <c:numRef>
              <c:f>'Graphs Year'!$H$66:$L$66</c:f>
              <c:numCache>
                <c:formatCode>#,##0_);\(#,##0\)</c:formatCode>
                <c:ptCount val="5"/>
                <c:pt idx="0">
                  <c:v>94680</c:v>
                </c:pt>
                <c:pt idx="1">
                  <c:v>99803</c:v>
                </c:pt>
                <c:pt idx="2">
                  <c:v>96995</c:v>
                </c:pt>
                <c:pt idx="3">
                  <c:v>93736</c:v>
                </c:pt>
                <c:pt idx="4">
                  <c:v>112010</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#,##0_);\(#,##0\)</c:formatCode>
                <c:ptCount val="5"/>
                <c:pt idx="0">
                  <c:v>85047</c:v>
                </c:pt>
                <c:pt idx="1">
                  <c:v>102405</c:v>
                </c:pt>
                <c:pt idx="2">
                  <c:v>88751</c:v>
                </c:pt>
                <c:pt idx="3">
                  <c:v>97119</c:v>
                </c:pt>
                <c:pt idx="4">
                  <c:v>85904</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#,##0_);\(#,##0\)</c:formatCode>
                <c:ptCount val="5"/>
                <c:pt idx="0">
                  <c:v>89744.319832977737</c:v>
                </c:pt>
                <c:pt idx="1">
                  <c:v>101678.87709797402</c:v>
                </c:pt>
                <c:pt idx="2">
                  <c:v>91459.836665611598</c:v>
                </c:pt>
                <c:pt idx="3">
                  <c:v>99180.80528809168</c:v>
                </c:pt>
                <c:pt idx="4">
                  <c:v>86263.891892502768</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c:formatCode>
                <c:ptCount val="5"/>
                <c:pt idx="0">
                  <c:v>0.41779359625167778</c:v>
                </c:pt>
                <c:pt idx="1">
                  <c:v>0.43309630561360085</c:v>
                </c:pt>
                <c:pt idx="2">
                  <c:v>0.44131129577207562</c:v>
                </c:pt>
                <c:pt idx="3">
                  <c:v>0.46206349815233932</c:v>
                </c:pt>
                <c:pt idx="4">
                  <c:v>0.46905164107160452</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c:formatCode>
                <c:ptCount val="5"/>
                <c:pt idx="0">
                  <c:v>0.29782377527561593</c:v>
                </c:pt>
                <c:pt idx="1">
                  <c:v>0.30288744395528594</c:v>
                </c:pt>
                <c:pt idx="2">
                  <c:v>0.29821412265024722</c:v>
                </c:pt>
                <c:pt idx="3">
                  <c:v>0.31510222870075566</c:v>
                </c:pt>
                <c:pt idx="4">
                  <c:v>0.31970799762591884</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Year'!$H$71:$L$71</c:f>
              <c:numCache>
                <c:formatCode>0%</c:formatCode>
                <c:ptCount val="5"/>
                <c:pt idx="0">
                  <c:v>0.25881793355694238</c:v>
                </c:pt>
                <c:pt idx="1">
                  <c:v>0.25309640705199732</c:v>
                </c:pt>
                <c:pt idx="2">
                  <c:v>0.25306234264320282</c:v>
                </c:pt>
                <c:pt idx="3">
                  <c:v>0.23971255769943867</c:v>
                </c:pt>
                <c:pt idx="4">
                  <c:v>0.26915064121818238</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America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Year'!$H$72:$L$72</c:f>
              <c:numCache>
                <c:formatCode>#,##0_);\(#,##0\)</c:formatCode>
                <c:ptCount val="5"/>
                <c:pt idx="0">
                  <c:v>153306</c:v>
                </c:pt>
                <c:pt idx="1">
                  <c:v>169658</c:v>
                </c:pt>
                <c:pt idx="2">
                  <c:v>162560</c:v>
                </c:pt>
                <c:pt idx="3">
                  <c:v>167045</c:v>
                </c:pt>
                <c:pt idx="4">
                  <c:v>178353</c:v>
                </c:pt>
              </c:numCache>
            </c:numRef>
          </c:val>
          <c:extLst>
            <c:ext xmlns:c16="http://schemas.microsoft.com/office/drawing/2014/chart" uri="{C3380CC4-5D6E-409C-BE32-E72D297353CC}">
              <c16:uniqueId val="{00000000-CDE5-154C-8153-319428CD8714}"/>
            </c:ext>
          </c:extLst>
        </c:ser>
        <c:ser>
          <c:idx val="1"/>
          <c:order val="1"/>
          <c:tx>
            <c:v>Europe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Year'!$H$73:$L$73</c:f>
              <c:numCache>
                <c:formatCode>#,##0_);\(#,##0\)</c:formatCode>
                <c:ptCount val="5"/>
                <c:pt idx="0">
                  <c:v>89307</c:v>
                </c:pt>
                <c:pt idx="1">
                  <c:v>95118</c:v>
                </c:pt>
                <c:pt idx="2">
                  <c:v>94294</c:v>
                </c:pt>
                <c:pt idx="3">
                  <c:v>101328</c:v>
                </c:pt>
                <c:pt idx="4">
                  <c:v>111032</c:v>
                </c:pt>
              </c:numCache>
            </c:numRef>
          </c:val>
          <c:extLst>
            <c:ext xmlns:c16="http://schemas.microsoft.com/office/drawing/2014/chart" uri="{C3380CC4-5D6E-409C-BE32-E72D297353CC}">
              <c16:uniqueId val="{00000000-CA7B-6544-82FA-B0E23A5D0C43}"/>
            </c:ext>
          </c:extLst>
        </c:ser>
        <c:ser>
          <c:idx val="2"/>
          <c:order val="2"/>
          <c:tx>
            <c:v>China</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Year'!$H$74:$L$74</c:f>
              <c:numCache>
                <c:formatCode>#,##0_);\(#,##0\)</c:formatCode>
                <c:ptCount val="5"/>
                <c:pt idx="0">
                  <c:v>68366</c:v>
                </c:pt>
                <c:pt idx="1">
                  <c:v>74200</c:v>
                </c:pt>
                <c:pt idx="2">
                  <c:v>72559</c:v>
                </c:pt>
                <c:pt idx="3">
                  <c:v>66952</c:v>
                </c:pt>
                <c:pt idx="4">
                  <c:v>64377</c:v>
                </c:pt>
              </c:numCache>
            </c:numRef>
          </c:val>
          <c:extLst>
            <c:ext xmlns:c16="http://schemas.microsoft.com/office/drawing/2014/chart" uri="{C3380CC4-5D6E-409C-BE32-E72D297353CC}">
              <c16:uniqueId val="{00000001-CA7B-6544-82FA-B0E23A5D0C43}"/>
            </c:ext>
          </c:extLst>
        </c:ser>
        <c:ser>
          <c:idx val="3"/>
          <c:order val="3"/>
          <c:tx>
            <c:v>Japan</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Year'!$H$75:$L$75</c:f>
              <c:numCache>
                <c:formatCode>#,##0_);\(#,##0\)</c:formatCode>
                <c:ptCount val="5"/>
                <c:pt idx="0">
                  <c:v>28482</c:v>
                </c:pt>
                <c:pt idx="1">
                  <c:v>25977</c:v>
                </c:pt>
                <c:pt idx="2">
                  <c:v>24257</c:v>
                </c:pt>
                <c:pt idx="3">
                  <c:v>25052</c:v>
                </c:pt>
                <c:pt idx="4">
                  <c:v>28703</c:v>
                </c:pt>
              </c:numCache>
            </c:numRef>
          </c:val>
          <c:extLst>
            <c:ext xmlns:c16="http://schemas.microsoft.com/office/drawing/2014/chart" uri="{C3380CC4-5D6E-409C-BE32-E72D297353CC}">
              <c16:uniqueId val="{00000002-CA7B-6544-82FA-B0E23A5D0C43}"/>
            </c:ext>
          </c:extLst>
        </c:ser>
        <c:ser>
          <c:idx val="4"/>
          <c:order val="4"/>
          <c:tx>
            <c:v>Rest of Asia</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Year'!$H$76:$L$76</c:f>
              <c:numCache>
                <c:formatCode>#,##0_);\(#,##0\)</c:formatCode>
                <c:ptCount val="5"/>
                <c:pt idx="0">
                  <c:v>26356</c:v>
                </c:pt>
                <c:pt idx="1">
                  <c:v>29375</c:v>
                </c:pt>
                <c:pt idx="2">
                  <c:v>29615</c:v>
                </c:pt>
                <c:pt idx="3">
                  <c:v>30658</c:v>
                </c:pt>
                <c:pt idx="4">
                  <c:v>33696</c:v>
                </c:pt>
              </c:numCache>
            </c:numRef>
          </c:val>
          <c:extLst>
            <c:ext xmlns:c16="http://schemas.microsoft.com/office/drawing/2014/chart" uri="{C3380CC4-5D6E-409C-BE32-E72D297353CC}">
              <c16:uniqueId val="{00000003-CA7B-6544-82FA-B0E23A5D0C43}"/>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Year'!$H$82:$L$82</c:f>
              <c:numCache>
                <c:formatCode>0.00%</c:formatCode>
                <c:ptCount val="5"/>
                <c:pt idx="0">
                  <c:v>0.26974205275183616</c:v>
                </c:pt>
                <c:pt idx="1">
                  <c:v>0.28292440929256846</c:v>
                </c:pt>
                <c:pt idx="2">
                  <c:v>0.2750983456377647</c:v>
                </c:pt>
                <c:pt idx="3">
                  <c:v>0.25682503150857577</c:v>
                </c:pt>
                <c:pt idx="4">
                  <c:v>0.31179625933565486</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Year'!$H$83:$L$83</c:f>
              <c:numCache>
                <c:formatCode>0.00%</c:formatCode>
                <c:ptCount val="5"/>
                <c:pt idx="0">
                  <c:v>1.5007132667617686</c:v>
                </c:pt>
                <c:pt idx="1">
                  <c:v>1.9695887275023678</c:v>
                </c:pt>
                <c:pt idx="2">
                  <c:v>1.5607601454639075</c:v>
                </c:pt>
                <c:pt idx="3">
                  <c:v>1.6459350307287091</c:v>
                </c:pt>
                <c:pt idx="4">
                  <c:v>1.5191298333175103</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Year'!$H$84:$L$84</c:f>
              <c:numCache>
                <c:formatCode>0.00%</c:formatCode>
                <c:ptCount val="5"/>
                <c:pt idx="0">
                  <c:v>-34.893357899142124</c:v>
                </c:pt>
                <c:pt idx="1">
                  <c:v>61.325292339444864</c:v>
                </c:pt>
                <c:pt idx="2">
                  <c:v>8.7540939978097523</c:v>
                </c:pt>
                <c:pt idx="3">
                  <c:v>13.498600849775102</c:v>
                </c:pt>
                <c:pt idx="4">
                  <c:v>2.8091291441706971</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Year'!$H$85:$L$85</c:f>
              <c:numCache>
                <c:formatCode>0</c:formatCode>
                <c:ptCount val="5"/>
                <c:pt idx="0">
                  <c:v>100</c:v>
                </c:pt>
                <c:pt idx="1">
                  <c:v>102.38905526817317</c:v>
                </c:pt>
                <c:pt idx="2">
                  <c:v>116.53280696977947</c:v>
                </c:pt>
                <c:pt idx="3">
                  <c:v>155.04356112169887</c:v>
                </c:pt>
                <c:pt idx="4">
                  <c:v>173.87693983120067</c:v>
                </c:pt>
              </c:numCache>
            </c:numRef>
          </c:val>
          <c:smooth val="0"/>
          <c:extLst>
            <c:ext xmlns:c16="http://schemas.microsoft.com/office/drawing/2014/chart" uri="{C3380CC4-5D6E-409C-BE32-E72D297353CC}">
              <c16:uniqueId val="{00000000-E1C7-E644-B67E-BC4064FDD05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Year'!$H$86:$L$86</c:f>
              <c:numCache>
                <c:formatCode>0</c:formatCode>
                <c:ptCount val="5"/>
                <c:pt idx="0">
                  <c:v>100</c:v>
                </c:pt>
                <c:pt idx="1">
                  <c:v>107.79378760418462</c:v>
                </c:pt>
                <c:pt idx="2">
                  <c:v>104.77506512819249</c:v>
                </c:pt>
                <c:pt idx="3">
                  <c:v>106.89361073979613</c:v>
                </c:pt>
                <c:pt idx="4">
                  <c:v>113.76207229297708</c:v>
                </c:pt>
              </c:numCache>
            </c:numRef>
          </c:val>
          <c:smooth val="0"/>
          <c:extLst>
            <c:ext xmlns:c16="http://schemas.microsoft.com/office/drawing/2014/chart" uri="{C3380CC4-5D6E-409C-BE32-E72D297353CC}">
              <c16:uniqueId val="{00000001-E1C7-E644-B67E-BC4064FDD05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Year'!$H$87:$L$87</c:f>
              <c:numCache>
                <c:formatCode>0</c:formatCode>
                <c:ptCount val="5"/>
                <c:pt idx="0">
                  <c:v>100</c:v>
                </c:pt>
                <c:pt idx="1">
                  <c:v>108.9126559714795</c:v>
                </c:pt>
                <c:pt idx="2">
                  <c:v>109.26916221033866</c:v>
                </c:pt>
                <c:pt idx="3">
                  <c:v>108.37789661319073</c:v>
                </c:pt>
                <c:pt idx="4">
                  <c:v>132.97682709447415</c:v>
                </c:pt>
              </c:numCache>
            </c:numRef>
          </c:val>
          <c:smooth val="0"/>
          <c:extLst>
            <c:ext xmlns:c16="http://schemas.microsoft.com/office/drawing/2014/chart" uri="{C3380CC4-5D6E-409C-BE32-E72D297353CC}">
              <c16:uniqueId val="{00000002-E1C7-E644-B67E-BC4064FDD059}"/>
            </c:ext>
          </c:extLst>
        </c:ser>
        <c:dLbls>
          <c:showLegendKey val="0"/>
          <c:showVal val="0"/>
          <c:showCatName val="0"/>
          <c:showSerName val="0"/>
          <c:showPercent val="0"/>
          <c:showBubbleSize val="0"/>
        </c:dLbls>
        <c:smooth val="0"/>
        <c:axId val="1656736831"/>
        <c:axId val="1848533759"/>
      </c:lineChart>
      <c:catAx>
        <c:axId val="1656736831"/>
        <c:scaling>
          <c:orientation val="minMax"/>
        </c:scaling>
        <c:delete val="1"/>
        <c:axPos val="b"/>
        <c:majorTickMark val="none"/>
        <c:minorTickMark val="none"/>
        <c:tickLblPos val="nextTo"/>
        <c:crossAx val="1848533759"/>
        <c:crosses val="autoZero"/>
        <c:auto val="1"/>
        <c:lblAlgn val="ctr"/>
        <c:lblOffset val="100"/>
        <c:noMultiLvlLbl val="0"/>
      </c:catAx>
      <c:valAx>
        <c:axId val="18485337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3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iPhone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Year'!$H$77:$L$77</c:f>
              <c:numCache>
                <c:formatCode>#,##0_);\(#,##0\)</c:formatCode>
                <c:ptCount val="5"/>
                <c:pt idx="0">
                  <c:v>191973</c:v>
                </c:pt>
                <c:pt idx="1">
                  <c:v>205489</c:v>
                </c:pt>
                <c:pt idx="2">
                  <c:v>200583</c:v>
                </c:pt>
                <c:pt idx="3">
                  <c:v>201183</c:v>
                </c:pt>
                <c:pt idx="4">
                  <c:v>209586</c:v>
                </c:pt>
              </c:numCache>
            </c:numRef>
          </c:val>
          <c:extLst>
            <c:ext xmlns:c16="http://schemas.microsoft.com/office/drawing/2014/chart" uri="{C3380CC4-5D6E-409C-BE32-E72D297353CC}">
              <c16:uniqueId val="{00000000-33C2-674C-B31F-A3CA086A4D2C}"/>
            </c:ext>
          </c:extLst>
        </c:ser>
        <c:ser>
          <c:idx val="1"/>
          <c:order val="1"/>
          <c:tx>
            <c:v>Mac</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Year'!$H$78:$L$78</c:f>
              <c:numCache>
                <c:formatCode>#,##0_);\(#,##0\)</c:formatCode>
                <c:ptCount val="5"/>
                <c:pt idx="0">
                  <c:v>35190</c:v>
                </c:pt>
                <c:pt idx="1">
                  <c:v>40177</c:v>
                </c:pt>
                <c:pt idx="2">
                  <c:v>29357</c:v>
                </c:pt>
                <c:pt idx="3">
                  <c:v>29984</c:v>
                </c:pt>
                <c:pt idx="4">
                  <c:v>33708</c:v>
                </c:pt>
              </c:numCache>
            </c:numRef>
          </c:val>
          <c:extLst>
            <c:ext xmlns:c16="http://schemas.microsoft.com/office/drawing/2014/chart" uri="{C3380CC4-5D6E-409C-BE32-E72D297353CC}">
              <c16:uniqueId val="{00000001-33C2-674C-B31F-A3CA086A4D2C}"/>
            </c:ext>
          </c:extLst>
        </c:ser>
        <c:ser>
          <c:idx val="2"/>
          <c:order val="2"/>
          <c:tx>
            <c:v>iPad</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Year'!$H$79:$L$79</c:f>
              <c:numCache>
                <c:formatCode>#,##0_);\(#,##0\)</c:formatCode>
                <c:ptCount val="5"/>
                <c:pt idx="0">
                  <c:v>31862</c:v>
                </c:pt>
                <c:pt idx="1">
                  <c:v>29292</c:v>
                </c:pt>
                <c:pt idx="2">
                  <c:v>28300</c:v>
                </c:pt>
                <c:pt idx="3">
                  <c:v>26694</c:v>
                </c:pt>
                <c:pt idx="4">
                  <c:v>28023</c:v>
                </c:pt>
              </c:numCache>
            </c:numRef>
          </c:val>
          <c:extLst>
            <c:ext xmlns:c16="http://schemas.microsoft.com/office/drawing/2014/chart" uri="{C3380CC4-5D6E-409C-BE32-E72D297353CC}">
              <c16:uniqueId val="{00000002-33C2-674C-B31F-A3CA086A4D2C}"/>
            </c:ext>
          </c:extLst>
        </c:ser>
        <c:ser>
          <c:idx val="3"/>
          <c:order val="3"/>
          <c:tx>
            <c:v>Wearables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Year'!$H$80:$L$80</c:f>
              <c:numCache>
                <c:formatCode>#,##0_);\(#,##0\)</c:formatCode>
                <c:ptCount val="5"/>
                <c:pt idx="0">
                  <c:v>38367</c:v>
                </c:pt>
                <c:pt idx="1">
                  <c:v>41241</c:v>
                </c:pt>
                <c:pt idx="2">
                  <c:v>39845</c:v>
                </c:pt>
                <c:pt idx="3">
                  <c:v>37005</c:v>
                </c:pt>
                <c:pt idx="4">
                  <c:v>35686</c:v>
                </c:pt>
              </c:numCache>
            </c:numRef>
          </c:val>
          <c:extLst>
            <c:ext xmlns:c16="http://schemas.microsoft.com/office/drawing/2014/chart" uri="{C3380CC4-5D6E-409C-BE32-E72D297353CC}">
              <c16:uniqueId val="{00000003-33C2-674C-B31F-A3CA086A4D2C}"/>
            </c:ext>
          </c:extLst>
        </c:ser>
        <c:ser>
          <c:idx val="4"/>
          <c:order val="4"/>
          <c:tx>
            <c:v>Services</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Year'!$H$81:$L$81</c:f>
              <c:numCache>
                <c:formatCode>#,##0_);\(#,##0\)</c:formatCode>
                <c:ptCount val="5"/>
                <c:pt idx="0">
                  <c:v>68425</c:v>
                </c:pt>
                <c:pt idx="1">
                  <c:v>78129</c:v>
                </c:pt>
                <c:pt idx="2">
                  <c:v>84200</c:v>
                </c:pt>
                <c:pt idx="3">
                  <c:v>96169</c:v>
                </c:pt>
                <c:pt idx="4">
                  <c:v>109158</c:v>
                </c:pt>
              </c:numCache>
            </c:numRef>
          </c:val>
          <c:extLst>
            <c:ext xmlns:c16="http://schemas.microsoft.com/office/drawing/2014/chart" uri="{C3380CC4-5D6E-409C-BE32-E72D297353CC}">
              <c16:uniqueId val="{00000004-33C2-674C-B31F-A3CA086A4D2C}"/>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94930</c:v>
                </c:pt>
                <c:pt idx="1">
                  <c:v>124300</c:v>
                </c:pt>
                <c:pt idx="2">
                  <c:v>95359</c:v>
                </c:pt>
                <c:pt idx="3">
                  <c:v>94036</c:v>
                </c:pt>
                <c:pt idx="4">
                  <c:v>102466</c:v>
                </c:pt>
                <c:pt idx="5">
                  <c:v>143756</c:v>
                </c:pt>
                <c:pt idx="6">
                  <c:v>111184</c:v>
                </c:pt>
                <c:pt idx="7">
                  <c:v>109417</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29591</c:v>
                </c:pt>
                <c:pt idx="1">
                  <c:v>42832</c:v>
                </c:pt>
                <c:pt idx="2">
                  <c:v>29589</c:v>
                </c:pt>
                <c:pt idx="3">
                  <c:v>28202</c:v>
                </c:pt>
                <c:pt idx="4">
                  <c:v>32427</c:v>
                </c:pt>
                <c:pt idx="5">
                  <c:v>50852</c:v>
                </c:pt>
                <c:pt idx="6">
                  <c:v>35885</c:v>
                </c:pt>
                <c:pt idx="7">
                  <c:v>35695</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14736</c:v>
                </c:pt>
                <c:pt idx="1">
                  <c:v>36330</c:v>
                </c:pt>
                <c:pt idx="2">
                  <c:v>24780</c:v>
                </c:pt>
                <c:pt idx="3">
                  <c:v>23434</c:v>
                </c:pt>
                <c:pt idx="4">
                  <c:v>27466</c:v>
                </c:pt>
                <c:pt idx="5">
                  <c:v>42097</c:v>
                </c:pt>
                <c:pt idx="6">
                  <c:v>29578</c:v>
                </c:pt>
                <c:pt idx="7">
                  <c:v>29789</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0.4622247972190035</c:v>
                </c:pt>
                <c:pt idx="1">
                  <c:v>0.46882542236524538</c:v>
                </c:pt>
                <c:pt idx="2">
                  <c:v>0.47050619238876246</c:v>
                </c:pt>
                <c:pt idx="3">
                  <c:v>0.46490705687183631</c:v>
                </c:pt>
                <c:pt idx="4">
                  <c:v>0.47177600374758455</c:v>
                </c:pt>
                <c:pt idx="5">
                  <c:v>0.4815868555051615</c:v>
                </c:pt>
                <c:pt idx="6">
                  <c:v>0.4927057850050367</c:v>
                </c:pt>
                <c:pt idx="7">
                  <c:v>0.50056206987945195</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0.31171389444854103</c:v>
                </c:pt>
                <c:pt idx="1">
                  <c:v>0.34458567980691873</c:v>
                </c:pt>
                <c:pt idx="2">
                  <c:v>0.31029058610094484</c:v>
                </c:pt>
                <c:pt idx="3">
                  <c:v>0.29990641881832492</c:v>
                </c:pt>
                <c:pt idx="4">
                  <c:v>0.31646594968086977</c:v>
                </c:pt>
                <c:pt idx="5">
                  <c:v>0.35373827875010433</c:v>
                </c:pt>
                <c:pt idx="6">
                  <c:v>0.32275327385235286</c:v>
                </c:pt>
                <c:pt idx="7">
                  <c:v>0.3262290137729969</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0.15523016959865163</c:v>
                </c:pt>
                <c:pt idx="1">
                  <c:v>0.29227674979887369</c:v>
                </c:pt>
                <c:pt idx="2">
                  <c:v>0.25986010759341016</c:v>
                </c:pt>
                <c:pt idx="3">
                  <c:v>0.24920243311072354</c:v>
                </c:pt>
                <c:pt idx="4">
                  <c:v>0.26804988971951671</c:v>
                </c:pt>
                <c:pt idx="5">
                  <c:v>0.29283647291243498</c:v>
                </c:pt>
                <c:pt idx="6">
                  <c:v>0.26602748596920422</c:v>
                </c:pt>
                <c:pt idx="7">
                  <c:v>0.27225202665033771</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America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41664</c:v>
                </c:pt>
                <c:pt idx="1">
                  <c:v>52648</c:v>
                </c:pt>
                <c:pt idx="2">
                  <c:v>40315</c:v>
                </c:pt>
                <c:pt idx="3">
                  <c:v>41198</c:v>
                </c:pt>
                <c:pt idx="4">
                  <c:v>44192</c:v>
                </c:pt>
                <c:pt idx="5">
                  <c:v>58529</c:v>
                </c:pt>
                <c:pt idx="6">
                  <c:v>45093</c:v>
                </c:pt>
                <c:pt idx="7">
                  <c:v>45781</c:v>
                </c:pt>
              </c:numCache>
            </c:numRef>
          </c:val>
          <c:extLst>
            <c:ext xmlns:c16="http://schemas.microsoft.com/office/drawing/2014/chart" uri="{C3380CC4-5D6E-409C-BE32-E72D297353CC}">
              <c16:uniqueId val="{00000000-2E19-FD44-9C5E-C1716B02A7E3}"/>
            </c:ext>
          </c:extLst>
        </c:ser>
        <c:ser>
          <c:idx val="1"/>
          <c:order val="1"/>
          <c:tx>
            <c:v>Europe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24924</c:v>
                </c:pt>
                <c:pt idx="1">
                  <c:v>33861</c:v>
                </c:pt>
                <c:pt idx="2">
                  <c:v>24454</c:v>
                </c:pt>
                <c:pt idx="3">
                  <c:v>24014</c:v>
                </c:pt>
                <c:pt idx="4">
                  <c:v>28703</c:v>
                </c:pt>
                <c:pt idx="5">
                  <c:v>38146</c:v>
                </c:pt>
                <c:pt idx="6">
                  <c:v>28055</c:v>
                </c:pt>
                <c:pt idx="7">
                  <c:v>29393</c:v>
                </c:pt>
              </c:numCache>
            </c:numRef>
          </c:val>
          <c:extLst>
            <c:ext xmlns:c16="http://schemas.microsoft.com/office/drawing/2014/chart" uri="{C3380CC4-5D6E-409C-BE32-E72D297353CC}">
              <c16:uniqueId val="{00000001-2E19-FD44-9C5E-C1716B02A7E3}"/>
            </c:ext>
          </c:extLst>
        </c:ser>
        <c:ser>
          <c:idx val="2"/>
          <c:order val="2"/>
          <c:tx>
            <c:v>China</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15033</c:v>
                </c:pt>
                <c:pt idx="1">
                  <c:v>18513</c:v>
                </c:pt>
                <c:pt idx="2">
                  <c:v>16002</c:v>
                </c:pt>
                <c:pt idx="3">
                  <c:v>15369</c:v>
                </c:pt>
                <c:pt idx="4">
                  <c:v>14493</c:v>
                </c:pt>
                <c:pt idx="5">
                  <c:v>25526</c:v>
                </c:pt>
                <c:pt idx="6">
                  <c:v>20497</c:v>
                </c:pt>
                <c:pt idx="7">
                  <c:v>18816</c:v>
                </c:pt>
              </c:numCache>
            </c:numRef>
          </c:val>
          <c:extLst>
            <c:ext xmlns:c16="http://schemas.microsoft.com/office/drawing/2014/chart" uri="{C3380CC4-5D6E-409C-BE32-E72D297353CC}">
              <c16:uniqueId val="{00000002-2E19-FD44-9C5E-C1716B02A7E3}"/>
            </c:ext>
          </c:extLst>
        </c:ser>
        <c:ser>
          <c:idx val="3"/>
          <c:order val="3"/>
          <c:tx>
            <c:v>Japan</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Quarter'!$C$66:$J$66</c:f>
              <c:numCache>
                <c:formatCode>#,##0_);\(#,##0\)</c:formatCode>
                <c:ptCount val="8"/>
                <c:pt idx="0">
                  <c:v>5926</c:v>
                </c:pt>
                <c:pt idx="1">
                  <c:v>8987</c:v>
                </c:pt>
                <c:pt idx="2">
                  <c:v>7298</c:v>
                </c:pt>
                <c:pt idx="3">
                  <c:v>5782</c:v>
                </c:pt>
                <c:pt idx="4">
                  <c:v>6636</c:v>
                </c:pt>
                <c:pt idx="5">
                  <c:v>9413</c:v>
                </c:pt>
                <c:pt idx="6">
                  <c:v>8401</c:v>
                </c:pt>
                <c:pt idx="7">
                  <c:v>6554</c:v>
                </c:pt>
              </c:numCache>
            </c:numRef>
          </c:val>
          <c:extLst>
            <c:ext xmlns:c16="http://schemas.microsoft.com/office/drawing/2014/chart" uri="{C3380CC4-5D6E-409C-BE32-E72D297353CC}">
              <c16:uniqueId val="{00000000-03A0-F54E-8809-9033DC71F52E}"/>
            </c:ext>
          </c:extLst>
        </c:ser>
        <c:ser>
          <c:idx val="4"/>
          <c:order val="4"/>
          <c:tx>
            <c:v>Rest of Asia</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Quarter'!$C$67:$J$67</c:f>
              <c:numCache>
                <c:formatCode>#,##0_);\(#,##0\)</c:formatCode>
                <c:ptCount val="8"/>
                <c:pt idx="0">
                  <c:v>7383</c:v>
                </c:pt>
                <c:pt idx="1">
                  <c:v>10291</c:v>
                </c:pt>
                <c:pt idx="2">
                  <c:v>7290</c:v>
                </c:pt>
                <c:pt idx="3">
                  <c:v>7673</c:v>
                </c:pt>
                <c:pt idx="4">
                  <c:v>8442</c:v>
                </c:pt>
                <c:pt idx="5">
                  <c:v>12142</c:v>
                </c:pt>
                <c:pt idx="6">
                  <c:v>9138</c:v>
                </c:pt>
                <c:pt idx="7">
                  <c:v>8871</c:v>
                </c:pt>
              </c:numCache>
            </c:numRef>
          </c:val>
          <c:extLst>
            <c:ext xmlns:c16="http://schemas.microsoft.com/office/drawing/2014/chart" uri="{C3380CC4-5D6E-409C-BE32-E72D297353CC}">
              <c16:uniqueId val="{00000001-03A0-F54E-8809-9033DC71F52E}"/>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1"/>
        <c:axPos val="b"/>
        <c:majorTickMark val="none"/>
        <c:minorTickMark val="none"/>
        <c:tickLblPos val="nextTo"/>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Quarter'!$C$73:$J$73</c:f>
              <c:numCache>
                <c:formatCode>#,##0_);\(#,##0\)</c:formatCode>
                <c:ptCount val="8"/>
                <c:pt idx="0">
                  <c:v>0</c:v>
                </c:pt>
                <c:pt idx="1">
                  <c:v>23709</c:v>
                </c:pt>
                <c:pt idx="2">
                  <c:v>17655</c:v>
                </c:pt>
                <c:pt idx="3">
                  <c:v>21237</c:v>
                </c:pt>
                <c:pt idx="4">
                  <c:v>23303</c:v>
                </c:pt>
                <c:pt idx="5">
                  <c:v>47958</c:v>
                </c:pt>
                <c:pt idx="6">
                  <c:v>23203</c:v>
                </c:pt>
                <c:pt idx="7">
                  <c:v>28513</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iPhone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Quarter'!$C$68:$J$68</c:f>
              <c:numCache>
                <c:formatCode>#,##0_);\(#,##0\)</c:formatCode>
                <c:ptCount val="8"/>
                <c:pt idx="0">
                  <c:v>46222</c:v>
                </c:pt>
                <c:pt idx="1">
                  <c:v>69138</c:v>
                </c:pt>
                <c:pt idx="2">
                  <c:v>46841</c:v>
                </c:pt>
                <c:pt idx="3">
                  <c:v>44582</c:v>
                </c:pt>
                <c:pt idx="4">
                  <c:v>49025</c:v>
                </c:pt>
                <c:pt idx="5">
                  <c:v>85269</c:v>
                </c:pt>
                <c:pt idx="6">
                  <c:v>56994</c:v>
                </c:pt>
                <c:pt idx="7">
                  <c:v>54252</c:v>
                </c:pt>
              </c:numCache>
            </c:numRef>
          </c:val>
          <c:extLst>
            <c:ext xmlns:c16="http://schemas.microsoft.com/office/drawing/2014/chart" uri="{C3380CC4-5D6E-409C-BE32-E72D297353CC}">
              <c16:uniqueId val="{00000000-8D4A-E04A-9A5A-7A343640BBBF}"/>
            </c:ext>
          </c:extLst>
        </c:ser>
        <c:ser>
          <c:idx val="1"/>
          <c:order val="1"/>
          <c:tx>
            <c:v>Mac</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Quarter'!$C$69:$J$69</c:f>
              <c:numCache>
                <c:formatCode>#,##0_);\(#,##0\)</c:formatCode>
                <c:ptCount val="8"/>
                <c:pt idx="0">
                  <c:v>7744</c:v>
                </c:pt>
                <c:pt idx="1">
                  <c:v>8987</c:v>
                </c:pt>
                <c:pt idx="2">
                  <c:v>7949</c:v>
                </c:pt>
                <c:pt idx="3">
                  <c:v>8046</c:v>
                </c:pt>
                <c:pt idx="4">
                  <c:v>8726</c:v>
                </c:pt>
                <c:pt idx="5">
                  <c:v>8386</c:v>
                </c:pt>
                <c:pt idx="6">
                  <c:v>8399</c:v>
                </c:pt>
                <c:pt idx="7">
                  <c:v>10352</c:v>
                </c:pt>
              </c:numCache>
            </c:numRef>
          </c:val>
          <c:extLst>
            <c:ext xmlns:c16="http://schemas.microsoft.com/office/drawing/2014/chart" uri="{C3380CC4-5D6E-409C-BE32-E72D297353CC}">
              <c16:uniqueId val="{00000001-8D4A-E04A-9A5A-7A343640BBBF}"/>
            </c:ext>
          </c:extLst>
        </c:ser>
        <c:ser>
          <c:idx val="2"/>
          <c:order val="2"/>
          <c:tx>
            <c:v>iPad</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Quarter'!$C$70:$J$70</c:f>
              <c:numCache>
                <c:formatCode>#,##0_);\(#,##0\)</c:formatCode>
                <c:ptCount val="8"/>
                <c:pt idx="0">
                  <c:v>6950</c:v>
                </c:pt>
                <c:pt idx="1">
                  <c:v>8088</c:v>
                </c:pt>
                <c:pt idx="2">
                  <c:v>6402</c:v>
                </c:pt>
                <c:pt idx="3">
                  <c:v>6581</c:v>
                </c:pt>
                <c:pt idx="4">
                  <c:v>6952</c:v>
                </c:pt>
                <c:pt idx="5">
                  <c:v>8595</c:v>
                </c:pt>
                <c:pt idx="6">
                  <c:v>6914</c:v>
                </c:pt>
                <c:pt idx="7">
                  <c:v>6191</c:v>
                </c:pt>
              </c:numCache>
            </c:numRef>
          </c:val>
          <c:extLst>
            <c:ext xmlns:c16="http://schemas.microsoft.com/office/drawing/2014/chart" uri="{C3380CC4-5D6E-409C-BE32-E72D297353CC}">
              <c16:uniqueId val="{00000002-8D4A-E04A-9A5A-7A343640BBBF}"/>
            </c:ext>
          </c:extLst>
        </c:ser>
        <c:ser>
          <c:idx val="3"/>
          <c:order val="3"/>
          <c:tx>
            <c:v>Wearables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Quarter'!$C$71:$J$71</c:f>
              <c:numCache>
                <c:formatCode>#,##0_);\(#,##0\)</c:formatCode>
                <c:ptCount val="8"/>
                <c:pt idx="0">
                  <c:v>9042</c:v>
                </c:pt>
                <c:pt idx="1">
                  <c:v>11747</c:v>
                </c:pt>
                <c:pt idx="2">
                  <c:v>7522</c:v>
                </c:pt>
                <c:pt idx="3">
                  <c:v>7404</c:v>
                </c:pt>
                <c:pt idx="4">
                  <c:v>9013</c:v>
                </c:pt>
                <c:pt idx="5">
                  <c:v>11493</c:v>
                </c:pt>
                <c:pt idx="6">
                  <c:v>7901</c:v>
                </c:pt>
                <c:pt idx="7">
                  <c:v>7883</c:v>
                </c:pt>
              </c:numCache>
            </c:numRef>
          </c:val>
          <c:extLst>
            <c:ext xmlns:c16="http://schemas.microsoft.com/office/drawing/2014/chart" uri="{C3380CC4-5D6E-409C-BE32-E72D297353CC}">
              <c16:uniqueId val="{00000003-8D4A-E04A-9A5A-7A343640BBBF}"/>
            </c:ext>
          </c:extLst>
        </c:ser>
        <c:ser>
          <c:idx val="4"/>
          <c:order val="4"/>
          <c:tx>
            <c:v>Services</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Quarter'!$C$72:$J$72</c:f>
              <c:numCache>
                <c:formatCode>#,##0_);\(#,##0\)</c:formatCode>
                <c:ptCount val="8"/>
                <c:pt idx="0">
                  <c:v>24972</c:v>
                </c:pt>
                <c:pt idx="1">
                  <c:v>26340</c:v>
                </c:pt>
                <c:pt idx="2">
                  <c:v>26645</c:v>
                </c:pt>
                <c:pt idx="3">
                  <c:v>27423</c:v>
                </c:pt>
                <c:pt idx="4">
                  <c:v>28750</c:v>
                </c:pt>
                <c:pt idx="5">
                  <c:v>30013</c:v>
                </c:pt>
                <c:pt idx="6">
                  <c:v>30976</c:v>
                </c:pt>
                <c:pt idx="7">
                  <c:v>30739</c:v>
                </c:pt>
              </c:numCache>
            </c:numRef>
          </c:val>
          <c:extLst>
            <c:ext xmlns:c16="http://schemas.microsoft.com/office/drawing/2014/chart" uri="{C3380CC4-5D6E-409C-BE32-E72D297353CC}">
              <c16:uniqueId val="{00000004-8D4A-E04A-9A5A-7A343640BBBF}"/>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1"/>
        <c:axPos val="b"/>
        <c:majorTickMark val="none"/>
        <c:minorTickMark val="none"/>
        <c:tickLblPos val="nextTo"/>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22364</xdr:colOff>
      <xdr:row>45</xdr:row>
      <xdr:rowOff>130035</xdr:rowOff>
    </xdr:from>
    <xdr:to>
      <xdr:col>5</xdr:col>
      <xdr:colOff>519183</xdr:colOff>
      <xdr:row>59</xdr:row>
      <xdr:rowOff>15974</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709282</xdr:colOff>
      <xdr:row>31</xdr:row>
      <xdr:rowOff>54154</xdr:rowOff>
    </xdr:from>
    <xdr:to>
      <xdr:col>11</xdr:col>
      <xdr:colOff>345056</xdr:colOff>
      <xdr:row>45</xdr:row>
      <xdr:rowOff>1757</xdr:rowOff>
    </xdr:to>
    <xdr:graphicFrame macro="">
      <xdr:nvGraphicFramePr>
        <xdr:cNvPr id="7" name="Chart 6">
          <a:extLst>
            <a:ext uri="{FF2B5EF4-FFF2-40B4-BE49-F238E27FC236}">
              <a16:creationId xmlns:a16="http://schemas.microsoft.com/office/drawing/2014/main" id="{F0680505-B7C9-318D-14CF-8CEACBFA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23961</xdr:colOff>
      <xdr:row>31</xdr:row>
      <xdr:rowOff>63899</xdr:rowOff>
    </xdr:from>
    <xdr:to>
      <xdr:col>5</xdr:col>
      <xdr:colOff>522377</xdr:colOff>
      <xdr:row>45</xdr:row>
      <xdr:rowOff>3516</xdr:rowOff>
    </xdr:to>
    <xdr:graphicFrame macro="">
      <xdr:nvGraphicFramePr>
        <xdr:cNvPr id="8" name="Chart 7">
          <a:extLst>
            <a:ext uri="{FF2B5EF4-FFF2-40B4-BE49-F238E27FC236}">
              <a16:creationId xmlns:a16="http://schemas.microsoft.com/office/drawing/2014/main" id="{7B79BD33-A762-1B44-B0F7-15D4B723C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7889</xdr:colOff>
      <xdr:row>30</xdr:row>
      <xdr:rowOff>15777</xdr:rowOff>
    </xdr:from>
    <xdr:to>
      <xdr:col>5</xdr:col>
      <xdr:colOff>645255</xdr:colOff>
      <xdr:row>43</xdr:row>
      <xdr:rowOff>92766</xdr:rowOff>
    </xdr:to>
    <xdr:graphicFrame macro="">
      <xdr:nvGraphicFramePr>
        <xdr:cNvPr id="6" name="Chart 5">
          <a:extLst>
            <a:ext uri="{FF2B5EF4-FFF2-40B4-BE49-F238E27FC236}">
              <a16:creationId xmlns:a16="http://schemas.microsoft.com/office/drawing/2014/main" id="{9D956394-3F44-9C42-8827-B8389E114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https://www.bing.com/financeapi/forcetrigger?t=a1mou2&amp;q=XNAS%3aAAPL&amp;form=skydnc</v>
    <v>Learn more on Bing</v>
  </rv>
  <rv s="1">
    <v>0</v>
    <v>APPLE INC. (XNAS:AAPL)</v>
    <v>2</v>
    <v>3</v>
    <v>Finance</v>
    <v>4</v>
    <v>en-US</v>
    <v>a1mou2</v>
    <v>268435456</v>
    <v>1</v>
    <v>Powered by Refinitiv</v>
    <v>351.73</v>
    <v>243.42</v>
    <v>1.077</v>
    <v>-0.495</v>
    <v>-1.4219999999999999E-3</v>
    <v>-0.185</v>
    <v>-5.3199999999999992E-4</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351.73</v>
    <v>Computers, Phones &amp; Household Electronics</v>
    <v>Stock</v>
    <v>46318.958116758593</v>
    <v>0</v>
    <v>345.75</v>
    <v>5074761240500</v>
    <v>APPLE INC.</v>
    <v>APPLE INC.</v>
    <v>349.11500000000001</v>
    <v>40.0687</v>
    <v>348.22</v>
    <v>347.72500000000002</v>
    <v>347.54</v>
    <v>14594180000</v>
    <v>AAPL</v>
    <v>APPLE INC. (XNAS:AAPL)</v>
    <v>39502829</v>
    <v>39174961</v>
    <v>1977</v>
  </rv>
  <rv s="2">
    <v>1</v>
  </rv>
  <rv s="0">
    <v>https://www.bing.com/financeapi/forcetrigger?t=a33knm&amp;q=10+Y+TSY+YLD+NDX&amp;form=skydnc</v>
    <v>Learn more on Bing</v>
  </rv>
  <rv s="3">
    <v>5</v>
    <v>10 Y TSY YLD NDX</v>
    <v>6</v>
    <v>7</v>
    <v>Finance</v>
    <v>8</v>
    <v>en-US</v>
    <v>a33knm</v>
    <v>268435456</v>
    <v>1</v>
    <v>Powered by Refinitiv</v>
    <v>53.64</v>
    <v>39.47</v>
    <v>-1.93</v>
    <v>-3.7505000000000004E-2</v>
    <v>US</v>
    <v>50.54</v>
    <v>Index</v>
    <v>3</v>
    <v>49.39</v>
    <v>10 Y TSY YLD NDX</v>
    <v>50.4</v>
    <v>51.46</v>
    <v>49.53</v>
    <v>TNX</v>
    <v>10 Y TSY YLD NDX</v>
  </rv>
  <rv s="2">
    <v>4</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1</v>
      <v>1</v>
      <v>1</v>
    </spb>
    <spb s="6">
      <v>1</v>
      <v>1</v>
      <v>3</v>
      <v>1</v>
      <v>1</v>
      <v>1</v>
      <v>5</v>
      <v>1</v>
      <v>1</v>
      <v>1</v>
      <v>9</v>
    </spb>
    <spb s="7">
      <v>from previous close</v>
      <v>from previous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3" dT="2026-02-17T21:45:28.65" personId="{A0F62302-F8D3-B346-B5DF-839B413AE710}" id="{22B2B3EF-EBF6-0D4F-BF74-BA371A77FD6F}">
    <text>Actual number</text>
  </threadedComment>
  <threadedComment ref="B114"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59"/>
  <sheetViews>
    <sheetView tabSelected="1" zoomScale="160" zoomScaleNormal="160" workbookViewId="0">
      <selection activeCell="F3" sqref="F3"/>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832031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43" t="s">
        <v>17</v>
      </c>
      <c r="C2" s="244"/>
      <c r="E2" s="243" t="s">
        <v>281</v>
      </c>
      <c r="F2" s="244"/>
      <c r="H2" s="243" t="s">
        <v>319</v>
      </c>
      <c r="I2" s="244"/>
      <c r="K2" s="132" t="s">
        <v>421</v>
      </c>
    </row>
    <row r="3" spans="2:11" x14ac:dyDescent="0.2">
      <c r="B3" s="179" t="s">
        <v>11</v>
      </c>
      <c r="C3" s="211" t="e" vm="1">
        <v>#VALUE!</v>
      </c>
      <c r="D3" s="2"/>
      <c r="E3" s="179" t="s">
        <v>233</v>
      </c>
      <c r="F3" s="181">
        <f ca="1">Statement!AC143</f>
        <v>5095214.4250000007</v>
      </c>
      <c r="H3" s="179" t="str">
        <f>'AVG target price'!B5</f>
        <v>DCF price</v>
      </c>
      <c r="I3" s="205">
        <f ca="1">'AVG target price'!C5</f>
        <v>117.23172915838408</v>
      </c>
      <c r="K3" s="238" t="s">
        <v>422</v>
      </c>
    </row>
    <row r="4" spans="2:11" x14ac:dyDescent="0.2">
      <c r="B4" s="179" t="s">
        <v>0</v>
      </c>
      <c r="C4" s="183" t="str" cm="1">
        <f t="array" aca="1" ref="C4" ca="1">_FV(C3,"Ticker symbol",TRUE)</f>
        <v>AAPL</v>
      </c>
      <c r="E4" s="180" t="s">
        <v>185</v>
      </c>
      <c r="F4" s="182">
        <f ca="1">Statement!AC144</f>
        <v>5033041.4250000007</v>
      </c>
      <c r="H4" s="179" t="str">
        <f>'AVG target price'!B6</f>
        <v>EV/EBIT price</v>
      </c>
      <c r="I4" s="205">
        <f ca="1">'AVG target price'!C6</f>
        <v>231.44050669254096</v>
      </c>
      <c r="K4" s="238" t="s">
        <v>423</v>
      </c>
    </row>
    <row r="5" spans="2:11" x14ac:dyDescent="0.2">
      <c r="B5" s="179" t="s">
        <v>1</v>
      </c>
      <c r="C5" s="202" cm="1">
        <f t="array" aca="1" ref="C5" ca="1">_FV(C3,"Price",TRUE)</f>
        <v>347.72500000000002</v>
      </c>
      <c r="E5" s="179" t="s">
        <v>237</v>
      </c>
      <c r="F5" s="183">
        <f>Statement!AC25</f>
        <v>8.7199999999999989</v>
      </c>
      <c r="H5" s="179" t="str">
        <f>'AVG target price'!B7</f>
        <v>PS price</v>
      </c>
      <c r="I5" s="205">
        <f ca="1">'AVG target price'!C7</f>
        <v>202.96135486625744</v>
      </c>
      <c r="K5" s="238" t="s">
        <v>424</v>
      </c>
    </row>
    <row r="6" spans="2:11" x14ac:dyDescent="0.2">
      <c r="B6" s="179" t="s">
        <v>2</v>
      </c>
      <c r="C6" s="202" cm="1">
        <f t="array" aca="1" ref="C6" ca="1">_FV(C3,"Price (Extended hours)",TRUE)</f>
        <v>347.54</v>
      </c>
      <c r="E6" s="179" t="s">
        <v>231</v>
      </c>
      <c r="F6" s="184">
        <f ca="1">Statement!AC140</f>
        <v>39.876720183486249</v>
      </c>
      <c r="H6" s="179" t="str">
        <f>'AVG target price'!B8</f>
        <v>EV/FCFF price</v>
      </c>
      <c r="I6" s="205">
        <f ca="1">'AVG target price'!C8</f>
        <v>201.21244835591099</v>
      </c>
      <c r="K6" s="239" t="s">
        <v>425</v>
      </c>
    </row>
    <row r="7" spans="2:11" x14ac:dyDescent="0.2">
      <c r="B7" s="179" t="s">
        <v>3</v>
      </c>
      <c r="C7" s="6" cm="1">
        <f t="array" aca="1" ref="C7" ca="1">_FV(C3,"Change")</f>
        <v>-0.495</v>
      </c>
      <c r="E7" s="180" t="s">
        <v>198</v>
      </c>
      <c r="F7" s="185">
        <f ca="1">Statement!AC141</f>
        <v>11.008328303768238</v>
      </c>
      <c r="H7" s="179" t="str">
        <f>'AVG target price'!B9</f>
        <v>EV/Sales price</v>
      </c>
      <c r="I7" s="205">
        <f ca="1">'AVG target price'!C9</f>
        <v>215.36625038802489</v>
      </c>
    </row>
    <row r="8" spans="2:11" x14ac:dyDescent="0.2">
      <c r="B8" s="179" t="s">
        <v>4</v>
      </c>
      <c r="C8" s="6" cm="1">
        <f t="array" aca="1" ref="C8" ca="1">_FV(C3,"Change (extended hours)",TRUE)</f>
        <v>-0.185</v>
      </c>
      <c r="E8" s="179" t="s">
        <v>259</v>
      </c>
      <c r="F8" s="186">
        <f ca="1">Statement!AC151</f>
        <v>2.4135785021451767E-2</v>
      </c>
      <c r="H8" s="178" t="str">
        <f>'AVG target price'!B10</f>
        <v>AVG price</v>
      </c>
      <c r="I8" s="206">
        <f ca="1">'AVG target price'!C10</f>
        <v>193.64245789222369</v>
      </c>
    </row>
    <row r="9" spans="2:11" x14ac:dyDescent="0.2">
      <c r="B9" s="179" t="s">
        <v>5</v>
      </c>
      <c r="C9" s="73" cm="1">
        <f t="array" aca="1" ref="C9" ca="1">_FV(C3,"Change (%)",TRUE)</f>
        <v>-1.4219999999999999E-3</v>
      </c>
      <c r="E9" s="179" t="s">
        <v>282</v>
      </c>
      <c r="F9" s="186">
        <f ca="1">Statement!AC152</f>
        <v>2.5077288086850235E-2</v>
      </c>
      <c r="H9" s="178" t="str">
        <f>'AVG target price'!B12</f>
        <v>Upside/Downside</v>
      </c>
      <c r="I9" s="207">
        <f ca="1">'AVG target price'!C12</f>
        <v>-0.44311608917327289</v>
      </c>
    </row>
    <row r="10" spans="2:11" x14ac:dyDescent="0.2">
      <c r="B10" s="179" t="s">
        <v>6</v>
      </c>
      <c r="C10" s="73" cm="1">
        <f t="array" aca="1" ref="C10" ca="1">_FV(C3,"Change % (extended hours)",TRUE)</f>
        <v>-5.3199999999999992E-4</v>
      </c>
      <c r="E10" s="179" t="s">
        <v>287</v>
      </c>
      <c r="F10" s="186">
        <f ca="1">Statement!AC154</f>
        <v>1.613788805365144E-2</v>
      </c>
    </row>
    <row r="11" spans="2:11" x14ac:dyDescent="0.2">
      <c r="B11" s="179" t="s">
        <v>7</v>
      </c>
      <c r="C11" s="203" cm="1">
        <f t="array" aca="1" ref="C11" ca="1">_FV(C3,"52 week high",TRUE)</f>
        <v>351.73</v>
      </c>
      <c r="E11" s="180" t="s">
        <v>283</v>
      </c>
      <c r="F11" s="187">
        <f ca="1">Statement!AC153</f>
        <v>3.0196275792652239E-3</v>
      </c>
      <c r="H11" s="178" t="s">
        <v>394</v>
      </c>
      <c r="I11" s="206">
        <f ca="1">DDM!C26</f>
        <v>13.600871850759665</v>
      </c>
    </row>
    <row r="12" spans="2:11" x14ac:dyDescent="0.2">
      <c r="B12" s="179" t="s">
        <v>8</v>
      </c>
      <c r="C12" s="203" cm="1">
        <f t="array" aca="1" ref="C12" ca="1">_FV(C3,"52 week low",TRUE)</f>
        <v>243.42</v>
      </c>
      <c r="E12" s="179" t="s">
        <v>99</v>
      </c>
      <c r="F12" s="186">
        <f>Statement!AC121</f>
        <v>0.33639821951334065</v>
      </c>
    </row>
    <row r="13" spans="2:11" x14ac:dyDescent="0.2">
      <c r="B13" s="179" t="s">
        <v>9</v>
      </c>
      <c r="C13" s="203" cm="1">
        <f t="array" aca="1" ref="C13" ca="1">_FV(C3,"Beta")</f>
        <v>1.077</v>
      </c>
      <c r="E13" s="179" t="s">
        <v>101</v>
      </c>
      <c r="F13" s="186">
        <f>Statement!AC123</f>
        <v>1.1991257440476193</v>
      </c>
      <c r="H13" s="242" t="s">
        <v>418</v>
      </c>
      <c r="I13" s="240">
        <f>'Reverse DCF'!C17</f>
        <v>0.41499999999999998</v>
      </c>
    </row>
    <row r="14" spans="2:11" x14ac:dyDescent="0.2">
      <c r="B14" s="180" t="s">
        <v>10</v>
      </c>
      <c r="C14" s="204" cm="1">
        <f t="array" aca="1" ref="C14" ca="1">_FV(C3,"Volume average",TRUE)</f>
        <v>39174961</v>
      </c>
      <c r="E14" s="180" t="s">
        <v>102</v>
      </c>
      <c r="F14" s="187">
        <f>Statement!AC130</f>
        <v>2.8240933164668753</v>
      </c>
      <c r="H14" s="180" t="s">
        <v>427</v>
      </c>
      <c r="I14" s="241">
        <f ca="1">'Reverse DCF'!C16</f>
        <v>351.30611132400372</v>
      </c>
    </row>
    <row r="15" spans="2:11" x14ac:dyDescent="0.2">
      <c r="E15" s="179" t="s">
        <v>284</v>
      </c>
      <c r="F15" s="186">
        <f ca="1">Statement!AC166</f>
        <v>1.220223425631395E-2</v>
      </c>
    </row>
    <row r="16" spans="2:11" x14ac:dyDescent="0.2">
      <c r="E16" s="180" t="s">
        <v>289</v>
      </c>
      <c r="F16" s="185">
        <f>Statement!AC165</f>
        <v>4.2601754145539266</v>
      </c>
      <c r="H16" s="243" t="s">
        <v>419</v>
      </c>
      <c r="I16" s="244"/>
    </row>
    <row r="17" spans="2:9" x14ac:dyDescent="0.2">
      <c r="B17" s="245" t="s">
        <v>88</v>
      </c>
      <c r="C17" s="245"/>
      <c r="E17" s="178" t="s">
        <v>290</v>
      </c>
      <c r="F17" s="188">
        <f>Statement!AC161</f>
        <v>6.1420869446529721E-4</v>
      </c>
      <c r="H17" s="179" t="s">
        <v>162</v>
      </c>
      <c r="I17" s="236">
        <f ca="1">DCF!C15</f>
        <v>9.7029602251831923E-2</v>
      </c>
    </row>
    <row r="18" spans="2:9" x14ac:dyDescent="0.2">
      <c r="B18" s="178" t="s">
        <v>12</v>
      </c>
      <c r="C18" s="69" t="s">
        <v>349</v>
      </c>
      <c r="E18" s="179" t="s">
        <v>291</v>
      </c>
      <c r="F18" s="184">
        <f>Statement!AC134</f>
        <v>-56.814895644278849</v>
      </c>
      <c r="H18" s="180" t="s">
        <v>420</v>
      </c>
      <c r="I18" s="237">
        <f ca="1">Multiples!C54</f>
        <v>9.7994999999999999E-2</v>
      </c>
    </row>
    <row r="19" spans="2:9" x14ac:dyDescent="0.2">
      <c r="B19" s="178" t="s">
        <v>13</v>
      </c>
      <c r="C19" s="70">
        <v>1000000</v>
      </c>
      <c r="E19" s="179" t="s">
        <v>252</v>
      </c>
      <c r="F19" s="184">
        <f>Statement!AC136</f>
        <v>-0.57824590773809526</v>
      </c>
      <c r="I19" s="50"/>
    </row>
    <row r="20" spans="2:9" x14ac:dyDescent="0.2">
      <c r="B20" s="178" t="s">
        <v>89</v>
      </c>
      <c r="C20" s="69" t="s">
        <v>91</v>
      </c>
      <c r="E20" s="180" t="s">
        <v>292</v>
      </c>
      <c r="F20" s="185">
        <f>Statement!AC137</f>
        <v>1.1914535981677672</v>
      </c>
    </row>
    <row r="21" spans="2:9" x14ac:dyDescent="0.2">
      <c r="B21" s="178" t="s">
        <v>90</v>
      </c>
      <c r="C21" s="69" t="s">
        <v>91</v>
      </c>
    </row>
    <row r="22" spans="2:9" x14ac:dyDescent="0.2">
      <c r="B22" s="178" t="s">
        <v>92</v>
      </c>
      <c r="C22" s="69" t="s">
        <v>392</v>
      </c>
      <c r="I22" s="50"/>
    </row>
    <row r="25" spans="2:9" x14ac:dyDescent="0.2">
      <c r="B25" s="245" t="s">
        <v>104</v>
      </c>
      <c r="C25" s="245"/>
      <c r="E25" s="243" t="s">
        <v>332</v>
      </c>
      <c r="F25" s="244"/>
    </row>
    <row r="26" spans="2:9" x14ac:dyDescent="0.2">
      <c r="B26" s="178" t="s">
        <v>105</v>
      </c>
      <c r="C26" s="164">
        <v>0.21</v>
      </c>
      <c r="E26" s="179" t="e" vm="2">
        <v>#VALUE!</v>
      </c>
      <c r="F26" s="213" cm="1">
        <f t="array" aca="1" ref="F26" ca="1">_FV(E26,"Price")</f>
        <v>49.53</v>
      </c>
    </row>
    <row r="27" spans="2:9" x14ac:dyDescent="0.2">
      <c r="B27" s="178" t="s">
        <v>169</v>
      </c>
      <c r="C27" s="215">
        <v>4.9000000000000002E-2</v>
      </c>
      <c r="E27" s="180" t="s">
        <v>333</v>
      </c>
      <c r="F27" s="214">
        <f ca="1">F26/1000</f>
        <v>4.9530000000000005E-2</v>
      </c>
    </row>
    <row r="28" spans="2:9" x14ac:dyDescent="0.2">
      <c r="B28" s="178" t="s">
        <v>337</v>
      </c>
      <c r="C28" s="215">
        <v>0</v>
      </c>
    </row>
    <row r="29" spans="2:9" x14ac:dyDescent="0.2">
      <c r="B29" s="178" t="s">
        <v>393</v>
      </c>
      <c r="C29" s="215">
        <v>0</v>
      </c>
    </row>
    <row r="33" spans="2:8" x14ac:dyDescent="0.2">
      <c r="B33" s="132" t="s">
        <v>327</v>
      </c>
      <c r="C33" s="132"/>
      <c r="D33" s="132"/>
      <c r="E33" s="132"/>
      <c r="F33" s="132"/>
      <c r="G33" s="132"/>
      <c r="H33" s="132"/>
    </row>
    <row r="35" spans="2:8" x14ac:dyDescent="0.2">
      <c r="B35" s="16" t="s">
        <v>328</v>
      </c>
      <c r="C35" s="1" t="s">
        <v>408</v>
      </c>
    </row>
    <row r="36" spans="2:8" x14ac:dyDescent="0.2">
      <c r="B36" s="16" t="s">
        <v>329</v>
      </c>
      <c r="C36" s="1" t="s">
        <v>407</v>
      </c>
    </row>
    <row r="39" spans="2:8" ht="6" customHeight="1" x14ac:dyDescent="0.2">
      <c r="B39" s="132"/>
      <c r="C39" s="132"/>
      <c r="D39" s="132"/>
      <c r="E39" s="132"/>
      <c r="F39" s="132"/>
      <c r="G39" s="132"/>
      <c r="H39" s="132"/>
    </row>
    <row r="42" spans="2:8" x14ac:dyDescent="0.2">
      <c r="B42" s="132" t="s">
        <v>330</v>
      </c>
      <c r="C42" s="132"/>
      <c r="D42" s="132"/>
      <c r="E42" s="132"/>
      <c r="F42" s="132"/>
      <c r="G42" s="132"/>
      <c r="H42" s="132"/>
    </row>
    <row r="44" spans="2:8" x14ac:dyDescent="0.2">
      <c r="B44" s="41" t="s">
        <v>331</v>
      </c>
      <c r="C44" s="41" t="s">
        <v>406</v>
      </c>
      <c r="D44" s="41"/>
      <c r="E44" s="41" t="s">
        <v>404</v>
      </c>
    </row>
    <row r="49" spans="2:8" ht="5" customHeight="1" x14ac:dyDescent="0.2">
      <c r="B49" s="132"/>
      <c r="C49" s="132"/>
      <c r="D49" s="132"/>
      <c r="E49" s="132"/>
      <c r="F49" s="132"/>
      <c r="G49" s="132"/>
      <c r="H49" s="132"/>
    </row>
    <row r="52" spans="2:8" x14ac:dyDescent="0.2">
      <c r="B52" s="132" t="s">
        <v>106</v>
      </c>
      <c r="C52" s="132"/>
      <c r="D52" s="132"/>
      <c r="E52" s="132"/>
      <c r="F52" s="132"/>
      <c r="G52" s="132"/>
      <c r="H52" s="132"/>
    </row>
    <row r="54" spans="2:8" x14ac:dyDescent="0.2">
      <c r="B54" s="41" t="s">
        <v>331</v>
      </c>
      <c r="C54" s="41" t="s">
        <v>350</v>
      </c>
      <c r="D54" s="41"/>
      <c r="E54" s="41" t="s">
        <v>354</v>
      </c>
    </row>
    <row r="59" spans="2:8" ht="5" customHeight="1" x14ac:dyDescent="0.2">
      <c r="B59" s="132"/>
      <c r="C59" s="132"/>
      <c r="D59" s="132"/>
      <c r="E59" s="132"/>
      <c r="F59" s="132"/>
      <c r="G59" s="132"/>
      <c r="H59" s="132"/>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AE234545-B8DD-1441-A2D8-05C594C6DF05}"/>
    <hyperlink ref="K4" location="'Analysis -&gt;'!B13" display="'Analysis -&gt;'!B13" xr:uid="{21F3FBA0-B697-A143-B77C-174BC5D52ED7}"/>
    <hyperlink ref="K5" location="'Forecast -&gt;'!B13" display="'Forecast -&gt;'!B13" xr:uid="{9399ACBE-A298-674C-921C-C96C9A4475C7}"/>
    <hyperlink ref="K6" location="'Valuation -&gt;'!B13" display="'Valuation -&gt;'!B13" xr:uid="{AFC00F09-27F9-8A49-AFE6-BCBC83F7D2C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6.33203125" style="1" customWidth="1"/>
    <col min="9" max="16384" width="10.83203125" style="1"/>
  </cols>
  <sheetData>
    <row r="5" spans="2:8" x14ac:dyDescent="0.2">
      <c r="H5" s="132" t="s">
        <v>421</v>
      </c>
    </row>
    <row r="6" spans="2:8" x14ac:dyDescent="0.2">
      <c r="H6" s="238" t="s">
        <v>426</v>
      </c>
    </row>
    <row r="7" spans="2:8" x14ac:dyDescent="0.2">
      <c r="H7" s="238" t="s">
        <v>422</v>
      </c>
    </row>
    <row r="8" spans="2:8" x14ac:dyDescent="0.2">
      <c r="H8" s="238" t="s">
        <v>423</v>
      </c>
    </row>
    <row r="9" spans="2:8" x14ac:dyDescent="0.2">
      <c r="H9" s="238" t="s">
        <v>424</v>
      </c>
    </row>
    <row r="10" spans="2:8" x14ac:dyDescent="0.2">
      <c r="H10" s="239" t="s">
        <v>425</v>
      </c>
    </row>
    <row r="13" spans="2:8" s="4" customFormat="1" ht="49" x14ac:dyDescent="0.2">
      <c r="B13" s="3" t="s">
        <v>14</v>
      </c>
    </row>
  </sheetData>
  <hyperlinks>
    <hyperlink ref="H6" location="Overview!B3" display="Overview'!B3" xr:uid="{BFEE9001-6FF4-F648-BE8B-7653ADE21047}"/>
    <hyperlink ref="H8" location="'Analysis -&gt;'!B13" display="'Analysis -&gt;'!B13" xr:uid="{78C2AB09-CE06-8C41-B9C8-8FA362F2C5FA}"/>
    <hyperlink ref="H9" location="'Forecast -&gt;'!B13" display="'Forecast -&gt;'!B13" xr:uid="{E448F36E-1A10-C24C-8CE0-3533F5487BFF}"/>
    <hyperlink ref="H10" location="'Valuation -&gt;'!B13" display="'Valuation -&gt;'!B13" xr:uid="{2C295BB6-FDE9-D04D-A867-57B3ACA53A98}"/>
    <hyperlink ref="H7" location="'Financials -&gt;'!B13" display="'Financials -&gt;'!B13" xr:uid="{8132A921-D1D1-1848-8BC4-49C4E1A83BB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16"/>
  <sheetViews>
    <sheetView zoomScale="170" zoomScaleNormal="150" workbookViewId="0">
      <pane xSplit="2" ySplit="3" topLeftCell="X142" activePane="bottomRight" state="frozen"/>
      <selection pane="topRight" activeCell="C1" sqref="C1"/>
      <selection pane="bottomLeft" activeCell="A4" sqref="A4"/>
      <selection pane="bottomRight" activeCell="AC148" sqref="AC148"/>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2" width="10.83203125" style="1" customWidth="1"/>
    <col min="13" max="13" width="10.6640625" style="1" customWidth="1"/>
    <col min="14" max="14" width="10.83203125" style="1" customWidth="1"/>
    <col min="15" max="16" width="12" style="1" bestFit="1" customWidth="1"/>
    <col min="17" max="17" width="11.33203125" style="1" bestFit="1" customWidth="1"/>
    <col min="18" max="18" width="2.83203125" style="1" customWidth="1"/>
    <col min="19" max="19" width="3.5" style="1" customWidth="1"/>
    <col min="20" max="27" width="10.83203125" style="1"/>
    <col min="28" max="28" width="9" style="1" customWidth="1"/>
    <col min="29" max="16384" width="10.83203125" style="1"/>
  </cols>
  <sheetData>
    <row r="1" spans="1:31" x14ac:dyDescent="0.2">
      <c r="B1" s="1"/>
    </row>
    <row r="2" spans="1:31" s="10" customFormat="1" x14ac:dyDescent="0.2">
      <c r="A2" s="7"/>
      <c r="B2" s="8" t="s">
        <v>15</v>
      </c>
      <c r="C2" s="9"/>
      <c r="D2" s="9"/>
      <c r="E2" s="9"/>
      <c r="F2" s="9"/>
      <c r="G2" s="9"/>
      <c r="H2" s="9"/>
      <c r="I2" s="9"/>
      <c r="M2" s="9" t="s">
        <v>356</v>
      </c>
      <c r="N2" s="9" t="s">
        <v>357</v>
      </c>
      <c r="O2" s="10" t="s">
        <v>358</v>
      </c>
      <c r="P2" s="10" t="s">
        <v>359</v>
      </c>
      <c r="Q2" s="10" t="s">
        <v>360</v>
      </c>
      <c r="R2" s="7"/>
      <c r="S2" s="7"/>
      <c r="T2" s="10" t="s">
        <v>359</v>
      </c>
      <c r="U2" s="10" t="s">
        <v>362</v>
      </c>
      <c r="V2" s="10" t="s">
        <v>363</v>
      </c>
      <c r="W2" s="10" t="s">
        <v>364</v>
      </c>
      <c r="X2" s="197" t="s">
        <v>360</v>
      </c>
      <c r="Y2" s="197" t="s">
        <v>365</v>
      </c>
      <c r="Z2" s="197" t="s">
        <v>366</v>
      </c>
      <c r="AA2" s="197" t="s">
        <v>405</v>
      </c>
      <c r="AB2" s="7"/>
      <c r="AD2" s="7"/>
      <c r="AE2" s="7"/>
    </row>
    <row r="3" spans="1:31" s="13" customFormat="1" x14ac:dyDescent="0.2">
      <c r="A3" s="11"/>
      <c r="B3" s="12" t="s">
        <v>16</v>
      </c>
      <c r="M3" s="13">
        <v>2021</v>
      </c>
      <c r="N3" s="13">
        <v>2022</v>
      </c>
      <c r="O3" s="13">
        <v>2023</v>
      </c>
      <c r="P3" s="13">
        <v>2024</v>
      </c>
      <c r="Q3" s="13">
        <v>2025</v>
      </c>
      <c r="R3" s="11"/>
      <c r="S3" s="11"/>
      <c r="T3" s="10" t="s">
        <v>351</v>
      </c>
      <c r="U3" s="10" t="s">
        <v>352</v>
      </c>
      <c r="V3" s="10" t="s">
        <v>86</v>
      </c>
      <c r="W3" s="10" t="s">
        <v>84</v>
      </c>
      <c r="X3" s="197" t="s">
        <v>83</v>
      </c>
      <c r="Y3" s="197" t="s">
        <v>87</v>
      </c>
      <c r="Z3" s="197" t="s">
        <v>85</v>
      </c>
      <c r="AA3" s="197" t="s">
        <v>404</v>
      </c>
      <c r="AB3" s="11"/>
      <c r="AC3" s="59" t="s">
        <v>82</v>
      </c>
      <c r="AD3" s="11"/>
      <c r="AE3" s="11"/>
    </row>
    <row r="4" spans="1:31" s="15" customFormat="1" ht="17" thickBot="1" x14ac:dyDescent="0.25">
      <c r="A4" s="11"/>
      <c r="B4" s="14" t="s">
        <v>18</v>
      </c>
      <c r="R4" s="11"/>
      <c r="S4" s="11"/>
      <c r="AB4" s="11"/>
      <c r="AD4" s="11"/>
      <c r="AE4" s="11"/>
    </row>
    <row r="5" spans="1:31" s="19" customFormat="1" x14ac:dyDescent="0.2">
      <c r="A5" s="16"/>
      <c r="B5" s="17" t="s">
        <v>19</v>
      </c>
      <c r="C5" s="18"/>
      <c r="D5" s="18"/>
      <c r="E5" s="18"/>
      <c r="F5" s="18"/>
      <c r="G5" s="18"/>
      <c r="H5" s="18"/>
      <c r="I5" s="18"/>
      <c r="J5" s="18"/>
      <c r="K5" s="18"/>
      <c r="L5" s="18"/>
      <c r="M5" s="18">
        <v>365817</v>
      </c>
      <c r="N5" s="18">
        <v>394328</v>
      </c>
      <c r="O5" s="18">
        <v>383285</v>
      </c>
      <c r="P5" s="18">
        <v>391035</v>
      </c>
      <c r="Q5" s="18">
        <v>416161</v>
      </c>
      <c r="R5" s="16"/>
      <c r="S5" s="16"/>
      <c r="T5" s="18">
        <v>94930</v>
      </c>
      <c r="U5" s="18">
        <v>124300</v>
      </c>
      <c r="V5" s="18">
        <v>95359</v>
      </c>
      <c r="W5" s="18">
        <v>94036</v>
      </c>
      <c r="X5" s="18">
        <v>102466</v>
      </c>
      <c r="Y5" s="18">
        <v>143756</v>
      </c>
      <c r="Z5" s="18">
        <v>111184</v>
      </c>
      <c r="AA5" s="18">
        <v>109417</v>
      </c>
      <c r="AB5" s="16"/>
      <c r="AC5" s="18">
        <f>SUM(X5:AA5)</f>
        <v>466823</v>
      </c>
      <c r="AD5" s="16"/>
      <c r="AE5" s="16"/>
    </row>
    <row r="6" spans="1:31" x14ac:dyDescent="0.2">
      <c r="B6" s="20" t="s">
        <v>20</v>
      </c>
      <c r="C6" s="21"/>
      <c r="D6" s="21"/>
      <c r="E6" s="21"/>
      <c r="F6" s="21"/>
      <c r="G6" s="21"/>
      <c r="H6" s="21"/>
      <c r="I6" s="21"/>
      <c r="J6" s="21"/>
      <c r="K6" s="21"/>
      <c r="L6" s="21"/>
      <c r="M6" s="21">
        <v>212981</v>
      </c>
      <c r="N6" s="21">
        <v>223546</v>
      </c>
      <c r="O6" s="21">
        <v>214137</v>
      </c>
      <c r="P6" s="21">
        <v>210352</v>
      </c>
      <c r="Q6" s="21">
        <v>220960</v>
      </c>
      <c r="T6" s="21">
        <v>51051</v>
      </c>
      <c r="U6" s="21">
        <v>66025</v>
      </c>
      <c r="V6" s="21">
        <v>50492</v>
      </c>
      <c r="W6" s="21">
        <v>50318</v>
      </c>
      <c r="X6" s="21">
        <v>54125</v>
      </c>
      <c r="Y6" s="21">
        <v>74525</v>
      </c>
      <c r="Z6" s="21">
        <v>56403</v>
      </c>
      <c r="AA6" s="21">
        <v>54647</v>
      </c>
      <c r="AC6" s="21">
        <f t="shared" ref="AC6:AC17" si="0">SUM(X6:AA6)</f>
        <v>239700</v>
      </c>
    </row>
    <row r="7" spans="1:31" s="19" customFormat="1" x14ac:dyDescent="0.2">
      <c r="A7" s="16"/>
      <c r="B7" s="17" t="s">
        <v>21</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si="1"/>
        <v>0</v>
      </c>
      <c r="M7" s="22">
        <f t="shared" si="1"/>
        <v>152836</v>
      </c>
      <c r="N7" s="22">
        <f t="shared" si="1"/>
        <v>170782</v>
      </c>
      <c r="O7" s="22">
        <f t="shared" si="1"/>
        <v>169148</v>
      </c>
      <c r="P7" s="22">
        <f t="shared" si="1"/>
        <v>180683</v>
      </c>
      <c r="Q7" s="22">
        <f t="shared" si="1"/>
        <v>195201</v>
      </c>
      <c r="R7" s="16"/>
      <c r="S7" s="16"/>
      <c r="T7" s="22">
        <f t="shared" ref="T7:Y7" si="2">T5-T6</f>
        <v>43879</v>
      </c>
      <c r="U7" s="22">
        <f t="shared" si="2"/>
        <v>58275</v>
      </c>
      <c r="V7" s="22">
        <f t="shared" si="2"/>
        <v>44867</v>
      </c>
      <c r="W7" s="22">
        <f t="shared" si="2"/>
        <v>43718</v>
      </c>
      <c r="X7" s="22">
        <f t="shared" si="2"/>
        <v>48341</v>
      </c>
      <c r="Y7" s="22">
        <f t="shared" si="2"/>
        <v>69231</v>
      </c>
      <c r="Z7" s="22">
        <f t="shared" ref="Z7:AA7" si="3">Z5-Z6</f>
        <v>54781</v>
      </c>
      <c r="AA7" s="22">
        <f t="shared" si="3"/>
        <v>54770</v>
      </c>
      <c r="AB7" s="16"/>
      <c r="AC7" s="22">
        <f t="shared" si="0"/>
        <v>227123</v>
      </c>
      <c r="AD7" s="16"/>
      <c r="AE7" s="16"/>
    </row>
    <row r="8" spans="1:31" x14ac:dyDescent="0.2">
      <c r="B8" s="20" t="s">
        <v>22</v>
      </c>
      <c r="C8" s="21"/>
      <c r="D8" s="21"/>
      <c r="E8" s="21"/>
      <c r="F8" s="21"/>
      <c r="G8" s="21"/>
      <c r="H8" s="21"/>
      <c r="I8" s="21"/>
      <c r="J8" s="21"/>
      <c r="K8" s="21"/>
      <c r="L8" s="21"/>
      <c r="M8" s="21">
        <v>21914</v>
      </c>
      <c r="N8" s="21">
        <v>26251</v>
      </c>
      <c r="O8" s="21">
        <v>29915</v>
      </c>
      <c r="P8" s="21">
        <v>31370</v>
      </c>
      <c r="Q8" s="21">
        <v>34550</v>
      </c>
      <c r="T8" s="21">
        <v>7765</v>
      </c>
      <c r="U8" s="21">
        <v>8268</v>
      </c>
      <c r="V8" s="21">
        <v>8550</v>
      </c>
      <c r="W8" s="21">
        <v>8866</v>
      </c>
      <c r="X8" s="21">
        <v>8866</v>
      </c>
      <c r="Y8" s="21">
        <v>10887</v>
      </c>
      <c r="Z8" s="21">
        <v>11419</v>
      </c>
      <c r="AA8" s="21">
        <v>11729</v>
      </c>
      <c r="AC8" s="21">
        <f t="shared" si="0"/>
        <v>42901</v>
      </c>
    </row>
    <row r="9" spans="1:31" x14ac:dyDescent="0.2">
      <c r="B9" s="20" t="s">
        <v>361</v>
      </c>
      <c r="C9" s="21"/>
      <c r="D9" s="21"/>
      <c r="E9" s="21"/>
      <c r="F9" s="21"/>
      <c r="G9" s="21"/>
      <c r="H9" s="21"/>
      <c r="I9" s="21"/>
      <c r="J9" s="21"/>
      <c r="K9" s="21"/>
      <c r="L9" s="21"/>
      <c r="M9" s="21">
        <v>21973</v>
      </c>
      <c r="N9" s="21">
        <v>25094</v>
      </c>
      <c r="O9" s="21">
        <v>24932</v>
      </c>
      <c r="P9" s="21">
        <v>26097</v>
      </c>
      <c r="Q9" s="21">
        <v>27601</v>
      </c>
      <c r="T9" s="21">
        <v>6523</v>
      </c>
      <c r="U9" s="21">
        <v>7175</v>
      </c>
      <c r="V9" s="21">
        <v>6728</v>
      </c>
      <c r="W9" s="21">
        <v>6650</v>
      </c>
      <c r="X9" s="21">
        <v>7048</v>
      </c>
      <c r="Y9" s="21">
        <v>7492</v>
      </c>
      <c r="Z9" s="21">
        <v>7477</v>
      </c>
      <c r="AA9" s="21">
        <v>7346</v>
      </c>
      <c r="AC9" s="21">
        <f t="shared" si="0"/>
        <v>29363</v>
      </c>
    </row>
    <row r="10" spans="1:31" x14ac:dyDescent="0.2">
      <c r="B10" s="23" t="s">
        <v>23</v>
      </c>
      <c r="C10" s="21"/>
      <c r="D10" s="21"/>
      <c r="E10" s="21"/>
      <c r="F10" s="21"/>
      <c r="G10" s="21"/>
      <c r="H10" s="21"/>
      <c r="I10" s="21"/>
      <c r="J10" s="21"/>
      <c r="K10" s="21"/>
      <c r="L10" s="21"/>
      <c r="M10" s="25">
        <f>SUM(M8:M9)</f>
        <v>43887</v>
      </c>
      <c r="N10" s="25">
        <f t="shared" ref="N10:Q10" si="4">SUM(N8:N9)</f>
        <v>51345</v>
      </c>
      <c r="O10" s="25">
        <f t="shared" si="4"/>
        <v>54847</v>
      </c>
      <c r="P10" s="25">
        <f t="shared" si="4"/>
        <v>57467</v>
      </c>
      <c r="Q10" s="25">
        <f t="shared" si="4"/>
        <v>62151</v>
      </c>
      <c r="T10" s="25">
        <f t="shared" ref="T10:Z10" si="5">SUM(T8:T9)</f>
        <v>14288</v>
      </c>
      <c r="U10" s="25">
        <f t="shared" si="5"/>
        <v>15443</v>
      </c>
      <c r="V10" s="25">
        <f t="shared" si="5"/>
        <v>15278</v>
      </c>
      <c r="W10" s="25">
        <f t="shared" si="5"/>
        <v>15516</v>
      </c>
      <c r="X10" s="25">
        <f t="shared" si="5"/>
        <v>15914</v>
      </c>
      <c r="Y10" s="25">
        <f t="shared" si="5"/>
        <v>18379</v>
      </c>
      <c r="Z10" s="25">
        <f t="shared" si="5"/>
        <v>18896</v>
      </c>
      <c r="AA10" s="25">
        <f t="shared" ref="AA10" si="6">SUM(AA8:AA9)</f>
        <v>19075</v>
      </c>
      <c r="AC10" s="21">
        <f t="shared" si="0"/>
        <v>72264</v>
      </c>
    </row>
    <row r="11" spans="1:31" s="19" customFormat="1" x14ac:dyDescent="0.2">
      <c r="A11" s="16"/>
      <c r="B11" s="17" t="s">
        <v>24</v>
      </c>
      <c r="C11" s="18"/>
      <c r="D11" s="18"/>
      <c r="E11" s="18"/>
      <c r="F11" s="18"/>
      <c r="G11" s="18"/>
      <c r="H11" s="18"/>
      <c r="I11" s="18"/>
      <c r="J11" s="18"/>
      <c r="K11" s="18"/>
      <c r="L11" s="18"/>
      <c r="M11" s="18">
        <v>108949</v>
      </c>
      <c r="N11" s="18">
        <v>119437</v>
      </c>
      <c r="O11" s="18">
        <v>114301</v>
      </c>
      <c r="P11" s="18">
        <v>123216</v>
      </c>
      <c r="Q11" s="18">
        <v>133050</v>
      </c>
      <c r="R11" s="16"/>
      <c r="S11" s="16"/>
      <c r="T11" s="18">
        <v>29591</v>
      </c>
      <c r="U11" s="18">
        <v>42832</v>
      </c>
      <c r="V11" s="18">
        <v>29589</v>
      </c>
      <c r="W11" s="18">
        <v>28202</v>
      </c>
      <c r="X11" s="18">
        <v>32427</v>
      </c>
      <c r="Y11" s="18">
        <v>50852</v>
      </c>
      <c r="Z11" s="18">
        <v>35885</v>
      </c>
      <c r="AA11" s="18">
        <v>35695</v>
      </c>
      <c r="AB11" s="1"/>
      <c r="AC11" s="18">
        <f t="shared" si="0"/>
        <v>154859</v>
      </c>
      <c r="AD11" s="1"/>
      <c r="AE11" s="1"/>
    </row>
    <row r="12" spans="1:31" x14ac:dyDescent="0.2">
      <c r="B12" s="23" t="s">
        <v>25</v>
      </c>
      <c r="C12" s="21"/>
      <c r="D12" s="21"/>
      <c r="E12" s="21"/>
      <c r="F12" s="21"/>
      <c r="G12" s="21"/>
      <c r="H12" s="21"/>
      <c r="I12" s="21"/>
      <c r="J12" s="21"/>
      <c r="K12" s="21"/>
      <c r="L12" s="21"/>
      <c r="M12" s="62">
        <v>0</v>
      </c>
      <c r="N12" s="62">
        <v>0</v>
      </c>
      <c r="O12" s="62">
        <v>0</v>
      </c>
      <c r="P12" s="62">
        <v>0</v>
      </c>
      <c r="Q12" s="62">
        <v>0</v>
      </c>
      <c r="T12" s="62">
        <v>0</v>
      </c>
      <c r="U12" s="62">
        <v>0</v>
      </c>
      <c r="V12" s="62">
        <v>0</v>
      </c>
      <c r="W12" s="62">
        <v>0</v>
      </c>
      <c r="X12" s="62">
        <v>0</v>
      </c>
      <c r="Y12" s="62">
        <v>0</v>
      </c>
      <c r="Z12" s="62">
        <v>0</v>
      </c>
      <c r="AA12" s="62">
        <v>0</v>
      </c>
      <c r="AC12" s="62">
        <f t="shared" si="0"/>
        <v>0</v>
      </c>
    </row>
    <row r="13" spans="1:31" x14ac:dyDescent="0.2">
      <c r="B13" s="23" t="s">
        <v>26</v>
      </c>
      <c r="C13" s="21"/>
      <c r="D13" s="21"/>
      <c r="E13" s="21"/>
      <c r="F13" s="21"/>
      <c r="G13" s="21"/>
      <c r="H13" s="21"/>
      <c r="I13" s="21"/>
      <c r="J13" s="21"/>
      <c r="K13" s="21"/>
      <c r="L13" s="21"/>
      <c r="M13" s="62">
        <v>258</v>
      </c>
      <c r="N13" s="62">
        <v>-334</v>
      </c>
      <c r="O13" s="62">
        <v>-565</v>
      </c>
      <c r="P13" s="62">
        <v>269</v>
      </c>
      <c r="Q13" s="62">
        <v>-321</v>
      </c>
      <c r="T13" s="62">
        <v>19</v>
      </c>
      <c r="U13" s="62">
        <v>-248</v>
      </c>
      <c r="V13" s="62">
        <v>-279</v>
      </c>
      <c r="W13" s="62">
        <v>-171</v>
      </c>
      <c r="X13" s="62">
        <v>377</v>
      </c>
      <c r="Y13" s="62">
        <v>150</v>
      </c>
      <c r="Z13" s="62">
        <v>-52</v>
      </c>
      <c r="AA13" s="62">
        <v>572</v>
      </c>
      <c r="AC13" s="62">
        <f t="shared" si="0"/>
        <v>1047</v>
      </c>
    </row>
    <row r="14" spans="1:31" s="19" customFormat="1" x14ac:dyDescent="0.2">
      <c r="A14" s="16"/>
      <c r="B14" s="17" t="s">
        <v>27</v>
      </c>
      <c r="C14" s="18"/>
      <c r="D14" s="18"/>
      <c r="E14" s="18"/>
      <c r="F14" s="18"/>
      <c r="G14" s="18"/>
      <c r="H14" s="18"/>
      <c r="I14" s="18"/>
      <c r="J14" s="18"/>
      <c r="K14" s="18"/>
      <c r="L14" s="18"/>
      <c r="M14" s="18">
        <v>109207</v>
      </c>
      <c r="N14" s="18">
        <v>119103</v>
      </c>
      <c r="O14" s="18">
        <v>113736</v>
      </c>
      <c r="P14" s="18">
        <v>123485</v>
      </c>
      <c r="Q14" s="18">
        <v>132729</v>
      </c>
      <c r="R14" s="1"/>
      <c r="S14" s="1"/>
      <c r="T14" s="18">
        <v>29610</v>
      </c>
      <c r="U14" s="18">
        <v>42584</v>
      </c>
      <c r="V14" s="18">
        <v>29310</v>
      </c>
      <c r="W14" s="18">
        <v>28031</v>
      </c>
      <c r="X14" s="18">
        <v>32804</v>
      </c>
      <c r="Y14" s="18">
        <v>51002</v>
      </c>
      <c r="Z14" s="18">
        <v>35833</v>
      </c>
      <c r="AA14" s="18">
        <v>36267</v>
      </c>
      <c r="AB14" s="1"/>
      <c r="AC14" s="18">
        <f t="shared" si="0"/>
        <v>155906</v>
      </c>
      <c r="AD14" s="1"/>
      <c r="AE14" s="1"/>
    </row>
    <row r="15" spans="1:31" x14ac:dyDescent="0.2">
      <c r="B15" s="23" t="s">
        <v>28</v>
      </c>
      <c r="C15" s="21"/>
      <c r="D15" s="21"/>
      <c r="E15" s="21"/>
      <c r="F15" s="21"/>
      <c r="G15" s="21"/>
      <c r="H15" s="21"/>
      <c r="I15" s="21"/>
      <c r="J15" s="21"/>
      <c r="K15" s="21"/>
      <c r="L15" s="21"/>
      <c r="M15" s="62">
        <v>-14527</v>
      </c>
      <c r="N15" s="62">
        <v>-19300</v>
      </c>
      <c r="O15" s="62">
        <v>-16741</v>
      </c>
      <c r="P15" s="62">
        <v>-29749</v>
      </c>
      <c r="Q15" s="62">
        <v>-20719</v>
      </c>
      <c r="T15" s="62">
        <v>-14874</v>
      </c>
      <c r="U15" s="62">
        <v>-6254</v>
      </c>
      <c r="V15" s="62">
        <v>-4530</v>
      </c>
      <c r="W15" s="62">
        <v>-4597</v>
      </c>
      <c r="X15" s="62">
        <v>-5338</v>
      </c>
      <c r="Y15" s="62">
        <v>-8905</v>
      </c>
      <c r="Z15" s="62">
        <v>-6255</v>
      </c>
      <c r="AA15" s="62">
        <v>-6478</v>
      </c>
      <c r="AC15" s="62">
        <f t="shared" si="0"/>
        <v>-26976</v>
      </c>
    </row>
    <row r="16" spans="1:31" x14ac:dyDescent="0.2">
      <c r="B16" s="23" t="s">
        <v>320</v>
      </c>
      <c r="C16" s="21"/>
      <c r="D16" s="21"/>
      <c r="E16" s="21"/>
      <c r="F16" s="21"/>
      <c r="G16" s="21"/>
      <c r="H16" s="21"/>
      <c r="I16" s="21"/>
      <c r="J16" s="21"/>
      <c r="K16" s="21"/>
      <c r="L16" s="21"/>
      <c r="M16" s="62">
        <v>0</v>
      </c>
      <c r="N16" s="62">
        <v>0</v>
      </c>
      <c r="O16" s="62">
        <v>0</v>
      </c>
      <c r="P16" s="62">
        <v>0</v>
      </c>
      <c r="Q16" s="62">
        <v>0</v>
      </c>
      <c r="T16" s="62">
        <v>0</v>
      </c>
      <c r="U16" s="62">
        <v>0</v>
      </c>
      <c r="V16" s="62">
        <v>0</v>
      </c>
      <c r="W16" s="62">
        <v>0</v>
      </c>
      <c r="X16" s="62">
        <v>0</v>
      </c>
      <c r="Y16" s="62">
        <v>0</v>
      </c>
      <c r="Z16" s="62">
        <v>0</v>
      </c>
      <c r="AA16" s="62">
        <v>0</v>
      </c>
      <c r="AC16" s="62">
        <f t="shared" si="0"/>
        <v>0</v>
      </c>
    </row>
    <row r="17" spans="1:31" s="19" customFormat="1" x14ac:dyDescent="0.2">
      <c r="A17" s="16"/>
      <c r="B17" s="17" t="s">
        <v>29</v>
      </c>
      <c r="C17" s="18"/>
      <c r="D17" s="18"/>
      <c r="E17" s="18"/>
      <c r="F17" s="18"/>
      <c r="G17" s="18"/>
      <c r="H17" s="18"/>
      <c r="I17" s="18"/>
      <c r="J17" s="18"/>
      <c r="K17" s="18"/>
      <c r="L17" s="18"/>
      <c r="M17" s="18">
        <v>94680</v>
      </c>
      <c r="N17" s="18">
        <v>99803</v>
      </c>
      <c r="O17" s="18">
        <v>96995</v>
      </c>
      <c r="P17" s="18">
        <v>93736</v>
      </c>
      <c r="Q17" s="18">
        <v>112010</v>
      </c>
      <c r="R17" s="60"/>
      <c r="S17" s="60"/>
      <c r="T17" s="18">
        <v>14736</v>
      </c>
      <c r="U17" s="18">
        <v>36330</v>
      </c>
      <c r="V17" s="18">
        <v>24780</v>
      </c>
      <c r="W17" s="18">
        <v>23434</v>
      </c>
      <c r="X17" s="18">
        <v>27466</v>
      </c>
      <c r="Y17" s="18">
        <v>42097</v>
      </c>
      <c r="Z17" s="18">
        <v>29578</v>
      </c>
      <c r="AA17" s="18">
        <v>29789</v>
      </c>
      <c r="AB17" s="1"/>
      <c r="AC17" s="61">
        <f t="shared" si="0"/>
        <v>128930</v>
      </c>
      <c r="AD17" s="1"/>
      <c r="AE17" s="1"/>
    </row>
    <row r="18" spans="1:31" x14ac:dyDescent="0.2">
      <c r="B18" s="23" t="s">
        <v>30</v>
      </c>
      <c r="C18" s="21"/>
      <c r="D18" s="21"/>
      <c r="E18" s="21"/>
      <c r="F18" s="21"/>
      <c r="G18" s="21"/>
      <c r="H18" s="21"/>
      <c r="I18" s="21"/>
      <c r="J18" s="21"/>
      <c r="K18" s="21"/>
      <c r="L18" s="21"/>
      <c r="M18" s="21">
        <v>16701</v>
      </c>
      <c r="N18" s="21">
        <v>16216</v>
      </c>
      <c r="O18" s="21">
        <v>15744</v>
      </c>
      <c r="P18" s="21">
        <v>15344</v>
      </c>
      <c r="Q18" s="21">
        <v>14949</v>
      </c>
      <c r="R18" s="60"/>
      <c r="S18" s="60"/>
      <c r="T18" s="21">
        <v>15172</v>
      </c>
      <c r="U18" s="21">
        <v>15082</v>
      </c>
      <c r="V18" s="21">
        <v>14994</v>
      </c>
      <c r="W18" s="21">
        <v>14903</v>
      </c>
      <c r="X18" s="21">
        <v>14815</v>
      </c>
      <c r="Y18" s="21">
        <v>14748</v>
      </c>
      <c r="Z18" s="21">
        <v>14673</v>
      </c>
      <c r="AA18" s="21">
        <v>14656</v>
      </c>
      <c r="AC18" s="62">
        <f>AVERAGE(X18:AA18)</f>
        <v>14723</v>
      </c>
    </row>
    <row r="19" spans="1:31" x14ac:dyDescent="0.2">
      <c r="B19" s="23" t="s">
        <v>31</v>
      </c>
      <c r="C19" s="25">
        <f t="shared" ref="C19:Q19" si="7">C18*C$84</f>
        <v>0</v>
      </c>
      <c r="D19" s="25">
        <f t="shared" si="7"/>
        <v>0</v>
      </c>
      <c r="E19" s="25">
        <f t="shared" si="7"/>
        <v>0</v>
      </c>
      <c r="F19" s="25">
        <f t="shared" si="7"/>
        <v>0</v>
      </c>
      <c r="G19" s="25">
        <f t="shared" si="7"/>
        <v>0</v>
      </c>
      <c r="H19" s="25">
        <f t="shared" si="7"/>
        <v>0</v>
      </c>
      <c r="I19" s="25">
        <f t="shared" si="7"/>
        <v>0</v>
      </c>
      <c r="J19" s="25">
        <f t="shared" si="7"/>
        <v>0</v>
      </c>
      <c r="K19" s="25">
        <f t="shared" si="7"/>
        <v>0</v>
      </c>
      <c r="L19" s="25">
        <f t="shared" si="7"/>
        <v>0</v>
      </c>
      <c r="M19" s="25">
        <f t="shared" si="7"/>
        <v>16701</v>
      </c>
      <c r="N19" s="25">
        <f t="shared" si="7"/>
        <v>16216</v>
      </c>
      <c r="O19" s="25">
        <f t="shared" si="7"/>
        <v>15744</v>
      </c>
      <c r="P19" s="25">
        <f t="shared" si="7"/>
        <v>15344</v>
      </c>
      <c r="Q19" s="25">
        <f t="shared" si="7"/>
        <v>14949</v>
      </c>
      <c r="T19" s="25">
        <f t="shared" ref="T19:Z19" si="8">T18*T$84</f>
        <v>15172</v>
      </c>
      <c r="U19" s="25">
        <f t="shared" si="8"/>
        <v>15082</v>
      </c>
      <c r="V19" s="25">
        <f t="shared" si="8"/>
        <v>14994</v>
      </c>
      <c r="W19" s="25">
        <f t="shared" si="8"/>
        <v>14903</v>
      </c>
      <c r="X19" s="25">
        <f t="shared" si="8"/>
        <v>14815</v>
      </c>
      <c r="Y19" s="25">
        <f t="shared" si="8"/>
        <v>14748</v>
      </c>
      <c r="Z19" s="25">
        <f t="shared" si="8"/>
        <v>14673</v>
      </c>
      <c r="AA19" s="25">
        <f t="shared" ref="AA19" si="9">AA18*AA$84</f>
        <v>14656</v>
      </c>
      <c r="AC19" s="25">
        <f>AC18*AC$84</f>
        <v>14723</v>
      </c>
    </row>
    <row r="20" spans="1:31" x14ac:dyDescent="0.2">
      <c r="B20" s="23" t="s">
        <v>32</v>
      </c>
      <c r="C20" s="21"/>
      <c r="D20" s="21"/>
      <c r="E20" s="21"/>
      <c r="F20" s="21"/>
      <c r="G20" s="21"/>
      <c r="H20" s="21"/>
      <c r="I20" s="21"/>
      <c r="J20" s="21"/>
      <c r="K20" s="21"/>
      <c r="L20" s="21"/>
      <c r="M20" s="21">
        <v>16865</v>
      </c>
      <c r="N20" s="21">
        <v>16326</v>
      </c>
      <c r="O20" s="21">
        <v>15813</v>
      </c>
      <c r="P20" s="21">
        <v>15408</v>
      </c>
      <c r="Q20" s="21">
        <v>15005</v>
      </c>
      <c r="T20" s="21">
        <v>15242</v>
      </c>
      <c r="U20" s="21">
        <v>15151</v>
      </c>
      <c r="V20" s="21">
        <v>15056</v>
      </c>
      <c r="W20" s="21">
        <v>14948</v>
      </c>
      <c r="X20" s="21">
        <v>14864</v>
      </c>
      <c r="Y20" s="21">
        <v>14810</v>
      </c>
      <c r="Z20" s="21">
        <v>14726</v>
      </c>
      <c r="AA20" s="21">
        <v>14715</v>
      </c>
      <c r="AC20" s="62">
        <f>AVERAGE(X20:AA20)</f>
        <v>14778.75</v>
      </c>
    </row>
    <row r="21" spans="1:31" x14ac:dyDescent="0.2">
      <c r="B21" s="23" t="s">
        <v>33</v>
      </c>
      <c r="C21" s="25">
        <f t="shared" ref="C21:Q21" si="10">C20*C$84</f>
        <v>0</v>
      </c>
      <c r="D21" s="25">
        <f t="shared" si="10"/>
        <v>0</v>
      </c>
      <c r="E21" s="25">
        <f t="shared" si="10"/>
        <v>0</v>
      </c>
      <c r="F21" s="25">
        <f t="shared" si="10"/>
        <v>0</v>
      </c>
      <c r="G21" s="25">
        <f t="shared" si="10"/>
        <v>0</v>
      </c>
      <c r="H21" s="25">
        <f t="shared" si="10"/>
        <v>0</v>
      </c>
      <c r="I21" s="25">
        <f t="shared" si="10"/>
        <v>0</v>
      </c>
      <c r="J21" s="25">
        <f t="shared" si="10"/>
        <v>0</v>
      </c>
      <c r="K21" s="25">
        <f t="shared" si="10"/>
        <v>0</v>
      </c>
      <c r="L21" s="25">
        <f t="shared" si="10"/>
        <v>0</v>
      </c>
      <c r="M21" s="25">
        <f t="shared" si="10"/>
        <v>16865</v>
      </c>
      <c r="N21" s="25">
        <f t="shared" si="10"/>
        <v>16326</v>
      </c>
      <c r="O21" s="25">
        <f t="shared" si="10"/>
        <v>15813</v>
      </c>
      <c r="P21" s="25">
        <f t="shared" si="10"/>
        <v>15408</v>
      </c>
      <c r="Q21" s="25">
        <f t="shared" si="10"/>
        <v>15005</v>
      </c>
      <c r="T21" s="25">
        <f t="shared" ref="T21:Z21" si="11">T20*T$84</f>
        <v>15242</v>
      </c>
      <c r="U21" s="25">
        <f t="shared" si="11"/>
        <v>15151</v>
      </c>
      <c r="V21" s="25">
        <f t="shared" si="11"/>
        <v>15056</v>
      </c>
      <c r="W21" s="25">
        <f t="shared" si="11"/>
        <v>14948</v>
      </c>
      <c r="X21" s="25">
        <f t="shared" si="11"/>
        <v>14864</v>
      </c>
      <c r="Y21" s="25">
        <f t="shared" si="11"/>
        <v>14810</v>
      </c>
      <c r="Z21" s="25">
        <f t="shared" si="11"/>
        <v>14726</v>
      </c>
      <c r="AA21" s="25">
        <f t="shared" ref="AA21" si="12">AA20*AA$84</f>
        <v>14715</v>
      </c>
      <c r="AC21" s="25">
        <f>AC20*AC$84</f>
        <v>14778.75</v>
      </c>
    </row>
    <row r="22" spans="1:31" x14ac:dyDescent="0.2">
      <c r="B22" s="23" t="s">
        <v>34</v>
      </c>
      <c r="C22" s="26"/>
      <c r="D22" s="26"/>
      <c r="E22" s="26"/>
      <c r="F22" s="26"/>
      <c r="G22" s="26"/>
      <c r="H22" s="26"/>
      <c r="I22" s="26"/>
      <c r="J22" s="26"/>
      <c r="K22" s="26"/>
      <c r="L22" s="26"/>
      <c r="M22" s="26">
        <v>5.67</v>
      </c>
      <c r="N22" s="26">
        <v>6.15</v>
      </c>
      <c r="O22" s="26">
        <v>6.16</v>
      </c>
      <c r="P22" s="26">
        <v>6.11</v>
      </c>
      <c r="Q22" s="26">
        <v>7.49</v>
      </c>
      <c r="T22" s="26">
        <v>0.97</v>
      </c>
      <c r="U22" s="26">
        <v>2.41</v>
      </c>
      <c r="V22" s="26">
        <v>1.65</v>
      </c>
      <c r="W22" s="26">
        <v>1.57</v>
      </c>
      <c r="X22" s="26">
        <v>1.85</v>
      </c>
      <c r="Y22" s="26">
        <v>2.85</v>
      </c>
      <c r="Z22" s="26">
        <v>2.02</v>
      </c>
      <c r="AA22" s="26">
        <v>2.0299999999999998</v>
      </c>
      <c r="AC22" s="26">
        <f>SUM(X22:AA22)</f>
        <v>8.75</v>
      </c>
    </row>
    <row r="23" spans="1:31" x14ac:dyDescent="0.2">
      <c r="B23" s="23" t="s">
        <v>35</v>
      </c>
      <c r="C23" s="27"/>
      <c r="D23" s="27"/>
      <c r="E23" s="27"/>
      <c r="F23" s="27"/>
      <c r="G23" s="27"/>
      <c r="H23" s="27"/>
      <c r="I23" s="27"/>
      <c r="J23" s="27"/>
      <c r="K23" s="27"/>
      <c r="L23" s="27"/>
      <c r="M23" s="65">
        <f>M22/M$84</f>
        <v>5.67</v>
      </c>
      <c r="N23" s="65">
        <f>N22/N$84</f>
        <v>6.15</v>
      </c>
      <c r="O23" s="65">
        <f>O22/O$84</f>
        <v>6.16</v>
      </c>
      <c r="P23" s="65">
        <f>P22/P$84</f>
        <v>6.11</v>
      </c>
      <c r="Q23" s="65">
        <f>Q22/Q$84</f>
        <v>7.49</v>
      </c>
      <c r="T23" s="65">
        <f t="shared" ref="T23:Z23" si="13">T22/T$84</f>
        <v>0.97</v>
      </c>
      <c r="U23" s="65">
        <f t="shared" si="13"/>
        <v>2.41</v>
      </c>
      <c r="V23" s="65">
        <f t="shared" si="13"/>
        <v>1.65</v>
      </c>
      <c r="W23" s="65">
        <f t="shared" si="13"/>
        <v>1.57</v>
      </c>
      <c r="X23" s="65">
        <f t="shared" si="13"/>
        <v>1.85</v>
      </c>
      <c r="Y23" s="65">
        <f t="shared" si="13"/>
        <v>2.85</v>
      </c>
      <c r="Z23" s="65">
        <f t="shared" si="13"/>
        <v>2.02</v>
      </c>
      <c r="AA23" s="65">
        <f t="shared" ref="AA23" si="14">AA22/AA$84</f>
        <v>2.0299999999999998</v>
      </c>
      <c r="AC23" s="65">
        <f>AC22/AC$84</f>
        <v>8.75</v>
      </c>
    </row>
    <row r="24" spans="1:31" x14ac:dyDescent="0.2">
      <c r="B24" s="23" t="s">
        <v>36</v>
      </c>
      <c r="C24" s="26"/>
      <c r="D24" s="26"/>
      <c r="E24" s="26"/>
      <c r="F24" s="26"/>
      <c r="G24" s="26"/>
      <c r="H24" s="26"/>
      <c r="I24" s="26"/>
      <c r="J24" s="26"/>
      <c r="K24" s="26"/>
      <c r="L24" s="26"/>
      <c r="M24" s="26">
        <v>5.61</v>
      </c>
      <c r="N24" s="26">
        <v>6.11</v>
      </c>
      <c r="O24" s="26">
        <v>6.13</v>
      </c>
      <c r="P24" s="26">
        <v>6.08</v>
      </c>
      <c r="Q24" s="26">
        <v>7.46</v>
      </c>
      <c r="T24" s="63">
        <v>0.97</v>
      </c>
      <c r="U24" s="26">
        <v>2.4</v>
      </c>
      <c r="V24" s="63">
        <v>1.65</v>
      </c>
      <c r="W24" s="26">
        <v>1.57</v>
      </c>
      <c r="X24" s="26">
        <v>1.85</v>
      </c>
      <c r="Y24" s="26">
        <v>2.84</v>
      </c>
      <c r="Z24" s="26">
        <v>2.0099999999999998</v>
      </c>
      <c r="AA24" s="26">
        <v>2.02</v>
      </c>
      <c r="AC24" s="26">
        <f>SUM(X24:AA24)</f>
        <v>8.7199999999999989</v>
      </c>
    </row>
    <row r="25" spans="1:31" s="30" customFormat="1" ht="17" thickBot="1" x14ac:dyDescent="0.25">
      <c r="A25" s="1"/>
      <c r="B25" s="28" t="s">
        <v>37</v>
      </c>
      <c r="C25" s="29"/>
      <c r="D25" s="29"/>
      <c r="E25" s="29"/>
      <c r="F25" s="29"/>
      <c r="G25" s="29"/>
      <c r="H25" s="29"/>
      <c r="I25" s="29"/>
      <c r="J25" s="29"/>
      <c r="K25" s="29"/>
      <c r="L25" s="29"/>
      <c r="M25" s="66">
        <f>M24/M$84</f>
        <v>5.61</v>
      </c>
      <c r="N25" s="66">
        <f>N24/N$84</f>
        <v>6.11</v>
      </c>
      <c r="O25" s="66">
        <f>O24/O$84</f>
        <v>6.13</v>
      </c>
      <c r="P25" s="66">
        <f>P24/P$84</f>
        <v>6.08</v>
      </c>
      <c r="Q25" s="66">
        <f>Q24/Q$84</f>
        <v>7.46</v>
      </c>
      <c r="R25" s="1"/>
      <c r="S25" s="1"/>
      <c r="T25" s="66">
        <f t="shared" ref="T25:Z25" si="15">T24/T$84</f>
        <v>0.97</v>
      </c>
      <c r="U25" s="66">
        <f t="shared" si="15"/>
        <v>2.4</v>
      </c>
      <c r="V25" s="66">
        <f t="shared" si="15"/>
        <v>1.65</v>
      </c>
      <c r="W25" s="66">
        <f t="shared" si="15"/>
        <v>1.57</v>
      </c>
      <c r="X25" s="66">
        <f t="shared" si="15"/>
        <v>1.85</v>
      </c>
      <c r="Y25" s="66">
        <f t="shared" si="15"/>
        <v>2.84</v>
      </c>
      <c r="Z25" s="66">
        <f t="shared" si="15"/>
        <v>2.0099999999999998</v>
      </c>
      <c r="AA25" s="66">
        <f t="shared" ref="AA25" si="16">AA24/AA$84</f>
        <v>2.02</v>
      </c>
      <c r="AB25" s="1"/>
      <c r="AC25" s="66">
        <f>AC24/AC$84</f>
        <v>8.7199999999999989</v>
      </c>
      <c r="AD25" s="1"/>
      <c r="AE25" s="1"/>
    </row>
    <row r="26" spans="1:31" s="30" customFormat="1" ht="17" thickBot="1" x14ac:dyDescent="0.25">
      <c r="A26" s="1"/>
      <c r="B26" s="31"/>
      <c r="J26" s="31"/>
      <c r="K26" s="31"/>
      <c r="L26" s="31"/>
      <c r="M26" s="31"/>
      <c r="N26" s="31"/>
      <c r="O26" s="31"/>
      <c r="P26" s="31"/>
      <c r="R26" s="1"/>
      <c r="S26" s="1"/>
      <c r="AB26" s="1"/>
      <c r="AD26" s="1"/>
      <c r="AE26" s="1"/>
    </row>
    <row r="27" spans="1:31" s="15" customFormat="1" ht="17" thickBot="1" x14ac:dyDescent="0.25">
      <c r="A27" s="11"/>
      <c r="B27" s="14" t="s">
        <v>38</v>
      </c>
      <c r="R27" s="1"/>
      <c r="S27" s="1"/>
      <c r="AB27" s="1"/>
      <c r="AD27" s="1"/>
      <c r="AE27" s="1"/>
    </row>
    <row r="28" spans="1:31" x14ac:dyDescent="0.2">
      <c r="B28" s="20" t="s">
        <v>39</v>
      </c>
      <c r="C28" s="21"/>
      <c r="D28" s="21"/>
      <c r="E28" s="21"/>
      <c r="F28" s="21"/>
      <c r="G28" s="21"/>
      <c r="H28" s="21"/>
      <c r="I28" s="21"/>
      <c r="J28" s="21"/>
      <c r="K28" s="21"/>
      <c r="L28" s="21"/>
      <c r="M28" s="21">
        <f>34940+27699</f>
        <v>62639</v>
      </c>
      <c r="N28" s="21">
        <f>23646+24658</f>
        <v>48304</v>
      </c>
      <c r="O28" s="21">
        <f>29965+31590</f>
        <v>61555</v>
      </c>
      <c r="P28" s="21">
        <f>29943+35228</f>
        <v>65171</v>
      </c>
      <c r="Q28" s="21">
        <f>35934+18763</f>
        <v>54697</v>
      </c>
      <c r="T28" s="21">
        <f>29943+35228</f>
        <v>65171</v>
      </c>
      <c r="U28" s="21">
        <f>30299+23476</f>
        <v>53775</v>
      </c>
      <c r="V28" s="21">
        <f>28162+20336</f>
        <v>48498</v>
      </c>
      <c r="W28" s="21">
        <f>36269+19103</f>
        <v>55372</v>
      </c>
      <c r="X28" s="21">
        <f>35934+18763</f>
        <v>54697</v>
      </c>
      <c r="Y28" s="21">
        <f>45317+21590</f>
        <v>66907</v>
      </c>
      <c r="Z28" s="21">
        <f>45572+22935</f>
        <v>68507</v>
      </c>
      <c r="AA28" s="21">
        <f>39544+22855</f>
        <v>62399</v>
      </c>
      <c r="AC28" s="21">
        <f>AA28</f>
        <v>62399</v>
      </c>
    </row>
    <row r="29" spans="1:31" x14ac:dyDescent="0.2">
      <c r="B29" s="20" t="s">
        <v>40</v>
      </c>
      <c r="C29" s="21"/>
      <c r="D29" s="21"/>
      <c r="E29" s="21"/>
      <c r="F29" s="21"/>
      <c r="G29" s="21"/>
      <c r="H29" s="21"/>
      <c r="I29" s="21"/>
      <c r="J29" s="21"/>
      <c r="K29" s="21"/>
      <c r="L29" s="21"/>
      <c r="M29" s="21">
        <v>26278</v>
      </c>
      <c r="N29" s="21">
        <v>28184</v>
      </c>
      <c r="O29" s="21">
        <v>29508</v>
      </c>
      <c r="P29" s="21">
        <v>33410</v>
      </c>
      <c r="Q29" s="21">
        <v>39777</v>
      </c>
      <c r="T29" s="21">
        <v>33410</v>
      </c>
      <c r="U29" s="21">
        <v>29639</v>
      </c>
      <c r="V29" s="21">
        <v>26136</v>
      </c>
      <c r="W29" s="21">
        <v>27557</v>
      </c>
      <c r="X29" s="21">
        <v>39777</v>
      </c>
      <c r="Y29" s="21">
        <v>39921</v>
      </c>
      <c r="Z29" s="21">
        <v>30339</v>
      </c>
      <c r="AA29" s="21">
        <v>31398</v>
      </c>
      <c r="AC29" s="21">
        <f t="shared" ref="AC29:AC49" si="17">AA29</f>
        <v>31398</v>
      </c>
    </row>
    <row r="30" spans="1:31" x14ac:dyDescent="0.2">
      <c r="B30" s="20" t="s">
        <v>132</v>
      </c>
      <c r="C30" s="21"/>
      <c r="D30" s="21"/>
      <c r="E30" s="21"/>
      <c r="F30" s="21"/>
      <c r="G30" s="21"/>
      <c r="H30" s="21"/>
      <c r="I30" s="21"/>
      <c r="J30" s="21"/>
      <c r="K30" s="21"/>
      <c r="L30" s="21"/>
      <c r="M30" s="21">
        <v>6580</v>
      </c>
      <c r="N30" s="21">
        <v>4946</v>
      </c>
      <c r="O30" s="21">
        <v>6331</v>
      </c>
      <c r="P30" s="21">
        <v>7286</v>
      </c>
      <c r="Q30" s="21">
        <v>5718</v>
      </c>
      <c r="T30" s="21">
        <v>7286</v>
      </c>
      <c r="U30" s="21">
        <v>6911</v>
      </c>
      <c r="V30" s="21">
        <v>6269</v>
      </c>
      <c r="W30" s="21">
        <v>5925</v>
      </c>
      <c r="X30" s="21">
        <v>5718</v>
      </c>
      <c r="Y30" s="21">
        <v>5875</v>
      </c>
      <c r="Z30" s="21">
        <v>6747</v>
      </c>
      <c r="AA30" s="21">
        <v>11092</v>
      </c>
      <c r="AC30" s="21">
        <f>AA30</f>
        <v>11092</v>
      </c>
    </row>
    <row r="31" spans="1:31" s="34" customFormat="1" x14ac:dyDescent="0.2">
      <c r="A31" s="16"/>
      <c r="B31" s="32" t="s">
        <v>41</v>
      </c>
      <c r="C31" s="33"/>
      <c r="D31" s="33"/>
      <c r="E31" s="33"/>
      <c r="F31" s="33"/>
      <c r="G31" s="33"/>
      <c r="H31" s="33"/>
      <c r="I31" s="33"/>
      <c r="J31" s="33"/>
      <c r="K31" s="33"/>
      <c r="L31" s="33"/>
      <c r="M31" s="33">
        <v>134846</v>
      </c>
      <c r="N31" s="33">
        <v>135405</v>
      </c>
      <c r="O31" s="33">
        <v>143566</v>
      </c>
      <c r="P31" s="33">
        <v>152987</v>
      </c>
      <c r="Q31" s="33">
        <v>147957</v>
      </c>
      <c r="R31" s="1"/>
      <c r="S31" s="1"/>
      <c r="T31" s="33">
        <v>152987</v>
      </c>
      <c r="U31" s="33">
        <v>133240</v>
      </c>
      <c r="V31" s="33">
        <v>118674</v>
      </c>
      <c r="W31" s="33">
        <v>122491</v>
      </c>
      <c r="X31" s="33">
        <v>147957</v>
      </c>
      <c r="Y31" s="33">
        <v>158104</v>
      </c>
      <c r="Z31" s="33">
        <v>144114</v>
      </c>
      <c r="AA31" s="33">
        <v>149818</v>
      </c>
      <c r="AB31" s="1"/>
      <c r="AC31" s="33">
        <f t="shared" si="17"/>
        <v>149818</v>
      </c>
      <c r="AD31" s="1"/>
      <c r="AE31" s="1"/>
    </row>
    <row r="32" spans="1:31" x14ac:dyDescent="0.2">
      <c r="B32" s="20" t="s">
        <v>42</v>
      </c>
      <c r="C32" s="21"/>
      <c r="D32" s="21"/>
      <c r="E32" s="21"/>
      <c r="F32" s="21"/>
      <c r="G32" s="21"/>
      <c r="H32" s="21"/>
      <c r="I32" s="21"/>
      <c r="J32" s="21"/>
      <c r="K32" s="21"/>
      <c r="L32" s="21"/>
      <c r="M32" s="21">
        <v>39440</v>
      </c>
      <c r="N32" s="21">
        <v>42117</v>
      </c>
      <c r="O32" s="21">
        <v>43715</v>
      </c>
      <c r="P32" s="21">
        <v>45680</v>
      </c>
      <c r="Q32" s="21">
        <v>49834</v>
      </c>
      <c r="T32" s="21">
        <v>45680</v>
      </c>
      <c r="U32" s="21">
        <v>46069</v>
      </c>
      <c r="V32" s="21">
        <v>46876</v>
      </c>
      <c r="W32" s="21">
        <v>48508</v>
      </c>
      <c r="X32" s="21">
        <v>49834</v>
      </c>
      <c r="Y32" s="21">
        <v>50159</v>
      </c>
      <c r="Z32" s="21">
        <v>50116</v>
      </c>
      <c r="AA32" s="21">
        <v>51431</v>
      </c>
      <c r="AC32" s="21">
        <f t="shared" si="17"/>
        <v>51431</v>
      </c>
    </row>
    <row r="33" spans="1:31" x14ac:dyDescent="0.2">
      <c r="B33" s="20" t="s">
        <v>344</v>
      </c>
      <c r="C33" s="21"/>
      <c r="D33" s="21"/>
      <c r="E33" s="21"/>
      <c r="F33" s="21"/>
      <c r="G33" s="21"/>
      <c r="H33" s="21"/>
      <c r="I33" s="21"/>
      <c r="J33" s="21"/>
      <c r="K33" s="21"/>
      <c r="L33" s="21"/>
      <c r="M33" s="21">
        <v>127877</v>
      </c>
      <c r="N33" s="21">
        <v>120805</v>
      </c>
      <c r="O33" s="21">
        <v>100544</v>
      </c>
      <c r="P33" s="21">
        <v>91479</v>
      </c>
      <c r="Q33" s="21">
        <v>77723</v>
      </c>
      <c r="T33" s="21">
        <v>91479</v>
      </c>
      <c r="U33" s="21">
        <v>87593</v>
      </c>
      <c r="V33" s="21">
        <v>84424</v>
      </c>
      <c r="W33" s="21">
        <v>77614</v>
      </c>
      <c r="X33" s="21">
        <v>77723</v>
      </c>
      <c r="Y33" s="21">
        <v>77888</v>
      </c>
      <c r="Z33" s="21">
        <v>78088</v>
      </c>
      <c r="AA33" s="21">
        <v>84118</v>
      </c>
      <c r="AC33" s="21">
        <f t="shared" si="17"/>
        <v>84118</v>
      </c>
    </row>
    <row r="34" spans="1:31" x14ac:dyDescent="0.2">
      <c r="B34" s="20" t="s">
        <v>43</v>
      </c>
      <c r="C34" s="21"/>
      <c r="D34" s="21"/>
      <c r="E34" s="21"/>
      <c r="F34" s="21"/>
      <c r="G34" s="21"/>
      <c r="H34" s="21"/>
      <c r="I34" s="21"/>
      <c r="J34" s="21"/>
      <c r="K34" s="21"/>
      <c r="L34" s="21"/>
      <c r="M34" s="21">
        <v>0</v>
      </c>
      <c r="N34" s="21">
        <v>0</v>
      </c>
      <c r="O34" s="21">
        <v>0</v>
      </c>
      <c r="P34" s="21">
        <v>0</v>
      </c>
      <c r="Q34" s="21">
        <v>0</v>
      </c>
      <c r="T34" s="21">
        <v>0</v>
      </c>
      <c r="U34" s="21">
        <v>0</v>
      </c>
      <c r="V34" s="21">
        <v>0</v>
      </c>
      <c r="W34" s="21">
        <v>0</v>
      </c>
      <c r="X34" s="221">
        <v>0</v>
      </c>
      <c r="Y34" s="221">
        <v>0</v>
      </c>
      <c r="Z34" s="221">
        <v>0</v>
      </c>
      <c r="AA34" s="221">
        <v>0</v>
      </c>
      <c r="AC34" s="21">
        <f t="shared" si="17"/>
        <v>0</v>
      </c>
    </row>
    <row r="35" spans="1:31" s="34" customFormat="1" x14ac:dyDescent="0.2">
      <c r="A35" s="16"/>
      <c r="B35" s="32" t="s">
        <v>44</v>
      </c>
      <c r="C35" s="35"/>
      <c r="D35" s="35"/>
      <c r="E35" s="35"/>
      <c r="F35" s="35"/>
      <c r="G35" s="35"/>
      <c r="H35" s="35"/>
      <c r="I35" s="35"/>
      <c r="J35" s="35"/>
      <c r="K35" s="35"/>
      <c r="L35" s="35"/>
      <c r="M35" s="222">
        <f t="shared" ref="M35:O35" si="18">M36-M31</f>
        <v>216156</v>
      </c>
      <c r="N35" s="222">
        <f t="shared" si="18"/>
        <v>217350</v>
      </c>
      <c r="O35" s="222">
        <f t="shared" si="18"/>
        <v>209017</v>
      </c>
      <c r="P35" s="222">
        <f>P36-P31</f>
        <v>211993</v>
      </c>
      <c r="Q35" s="222">
        <f>Q36-Q31</f>
        <v>211284</v>
      </c>
      <c r="R35" s="1"/>
      <c r="S35" s="1"/>
      <c r="T35" s="222">
        <f t="shared" ref="T35:Y35" si="19">T36-T31</f>
        <v>211993</v>
      </c>
      <c r="U35" s="222">
        <f t="shared" si="19"/>
        <v>210845</v>
      </c>
      <c r="V35" s="222">
        <f t="shared" si="19"/>
        <v>212559</v>
      </c>
      <c r="W35" s="222">
        <f t="shared" si="19"/>
        <v>209004</v>
      </c>
      <c r="X35" s="222">
        <f t="shared" si="19"/>
        <v>211284</v>
      </c>
      <c r="Y35" s="222">
        <f t="shared" si="19"/>
        <v>221193</v>
      </c>
      <c r="Z35" s="222">
        <f t="shared" ref="Z35:AA35" si="20">Z36-Z31</f>
        <v>226968</v>
      </c>
      <c r="AA35" s="222">
        <f t="shared" si="20"/>
        <v>233448</v>
      </c>
      <c r="AB35" s="1"/>
      <c r="AC35" s="35">
        <f t="shared" si="17"/>
        <v>233448</v>
      </c>
      <c r="AD35" s="1"/>
      <c r="AE35" s="1"/>
    </row>
    <row r="36" spans="1:31" s="19" customFormat="1" x14ac:dyDescent="0.2">
      <c r="A36" s="16"/>
      <c r="B36" s="17" t="s">
        <v>45</v>
      </c>
      <c r="C36" s="18"/>
      <c r="D36" s="18"/>
      <c r="E36" s="18"/>
      <c r="F36" s="18"/>
      <c r="G36" s="18"/>
      <c r="H36" s="18"/>
      <c r="I36" s="18"/>
      <c r="J36" s="18"/>
      <c r="K36" s="18"/>
      <c r="L36" s="18"/>
      <c r="M36" s="18">
        <v>351002</v>
      </c>
      <c r="N36" s="18">
        <v>352755</v>
      </c>
      <c r="O36" s="18">
        <v>352583</v>
      </c>
      <c r="P36" s="18">
        <v>364980</v>
      </c>
      <c r="Q36" s="18">
        <v>359241</v>
      </c>
      <c r="R36" s="1"/>
      <c r="S36" s="1"/>
      <c r="T36" s="18">
        <v>364980</v>
      </c>
      <c r="U36" s="18">
        <v>344085</v>
      </c>
      <c r="V36" s="18">
        <v>331233</v>
      </c>
      <c r="W36" s="18">
        <v>331495</v>
      </c>
      <c r="X36" s="18">
        <v>359241</v>
      </c>
      <c r="Y36" s="18">
        <v>379297</v>
      </c>
      <c r="Z36" s="18">
        <v>371082</v>
      </c>
      <c r="AA36" s="18">
        <v>383266</v>
      </c>
      <c r="AB36" s="1"/>
      <c r="AC36" s="18">
        <f t="shared" si="17"/>
        <v>383266</v>
      </c>
      <c r="AD36" s="1"/>
      <c r="AE36" s="1"/>
    </row>
    <row r="37" spans="1:31" x14ac:dyDescent="0.2">
      <c r="B37" s="20" t="s">
        <v>46</v>
      </c>
      <c r="C37" s="21"/>
      <c r="D37" s="21"/>
      <c r="E37" s="21"/>
      <c r="F37" s="21"/>
      <c r="G37" s="21"/>
      <c r="H37" s="21"/>
      <c r="I37" s="21"/>
      <c r="J37" s="21"/>
      <c r="K37" s="21"/>
      <c r="L37" s="21"/>
      <c r="M37" s="21">
        <v>54763</v>
      </c>
      <c r="N37" s="21">
        <v>64115</v>
      </c>
      <c r="O37" s="21">
        <v>62611</v>
      </c>
      <c r="P37" s="21">
        <v>68960</v>
      </c>
      <c r="Q37" s="21">
        <v>69860</v>
      </c>
      <c r="T37" s="21">
        <v>68960</v>
      </c>
      <c r="U37" s="21">
        <v>61910</v>
      </c>
      <c r="V37" s="21">
        <v>54126</v>
      </c>
      <c r="W37" s="21">
        <v>50374</v>
      </c>
      <c r="X37" s="21">
        <v>69860</v>
      </c>
      <c r="Y37" s="21">
        <v>70587</v>
      </c>
      <c r="Z37" s="21">
        <v>57349</v>
      </c>
      <c r="AA37" s="21">
        <v>64525</v>
      </c>
      <c r="AC37" s="21">
        <f t="shared" si="17"/>
        <v>64525</v>
      </c>
    </row>
    <row r="38" spans="1:31" x14ac:dyDescent="0.2">
      <c r="B38" s="20" t="s">
        <v>166</v>
      </c>
      <c r="C38" s="21"/>
      <c r="D38" s="21"/>
      <c r="E38" s="21"/>
      <c r="F38" s="21"/>
      <c r="G38" s="21"/>
      <c r="H38" s="21"/>
      <c r="I38" s="21"/>
      <c r="J38" s="21"/>
      <c r="K38" s="21"/>
      <c r="L38" s="21"/>
      <c r="M38" s="21">
        <f>6000+9613</f>
        <v>15613</v>
      </c>
      <c r="N38" s="21">
        <f>9982+11128</f>
        <v>21110</v>
      </c>
      <c r="O38" s="21">
        <f>5985+9822</f>
        <v>15807</v>
      </c>
      <c r="P38" s="21">
        <f>9967+10912</f>
        <v>20879</v>
      </c>
      <c r="Q38" s="21">
        <f>7979+12350</f>
        <v>20329</v>
      </c>
      <c r="T38" s="21">
        <f>10912+9967</f>
        <v>20879</v>
      </c>
      <c r="U38" s="21">
        <f>10848+1995</f>
        <v>12843</v>
      </c>
      <c r="V38" s="21">
        <f>13638+5982</f>
        <v>19620</v>
      </c>
      <c r="W38" s="21">
        <f>9345+9923</f>
        <v>19268</v>
      </c>
      <c r="X38" s="21">
        <f>12350+7979</f>
        <v>20329</v>
      </c>
      <c r="Y38" s="21">
        <f>11827+1997</f>
        <v>13824</v>
      </c>
      <c r="Z38" s="21">
        <f>8310+1997</f>
        <v>10307</v>
      </c>
      <c r="AA38" s="21">
        <f>1997+11007</f>
        <v>13004</v>
      </c>
      <c r="AC38" s="21">
        <f t="shared" si="17"/>
        <v>13004</v>
      </c>
    </row>
    <row r="39" spans="1:31" s="34" customFormat="1" x14ac:dyDescent="0.2">
      <c r="A39" s="16"/>
      <c r="B39" s="32" t="s">
        <v>47</v>
      </c>
      <c r="C39" s="33"/>
      <c r="D39" s="33"/>
      <c r="E39" s="33"/>
      <c r="F39" s="33"/>
      <c r="G39" s="33"/>
      <c r="H39" s="33"/>
      <c r="I39" s="33"/>
      <c r="J39" s="33"/>
      <c r="K39" s="33"/>
      <c r="L39" s="33"/>
      <c r="M39" s="33">
        <v>125481</v>
      </c>
      <c r="N39" s="33">
        <v>153982</v>
      </c>
      <c r="O39" s="33">
        <v>145308</v>
      </c>
      <c r="P39" s="33">
        <v>176392</v>
      </c>
      <c r="Q39" s="33">
        <v>165631</v>
      </c>
      <c r="R39" s="60"/>
      <c r="S39" s="60"/>
      <c r="T39" s="33">
        <v>176392</v>
      </c>
      <c r="U39" s="33">
        <v>144365</v>
      </c>
      <c r="V39" s="33">
        <v>144571</v>
      </c>
      <c r="W39" s="33">
        <v>141120</v>
      </c>
      <c r="X39" s="33">
        <v>165361</v>
      </c>
      <c r="Y39" s="33">
        <v>162367</v>
      </c>
      <c r="Z39" s="33">
        <v>134641</v>
      </c>
      <c r="AA39" s="33">
        <v>149326</v>
      </c>
      <c r="AB39" s="1"/>
      <c r="AC39" s="33">
        <f t="shared" si="17"/>
        <v>149326</v>
      </c>
      <c r="AD39" s="1"/>
      <c r="AE39" s="1"/>
    </row>
    <row r="40" spans="1:31" x14ac:dyDescent="0.2">
      <c r="B40" s="20" t="s">
        <v>166</v>
      </c>
      <c r="C40" s="21"/>
      <c r="D40" s="21"/>
      <c r="E40" s="21"/>
      <c r="F40" s="21"/>
      <c r="G40" s="21"/>
      <c r="H40" s="21"/>
      <c r="I40" s="21"/>
      <c r="J40" s="21"/>
      <c r="K40" s="21"/>
      <c r="L40" s="21"/>
      <c r="M40" s="21">
        <v>109106</v>
      </c>
      <c r="N40" s="21">
        <v>98959</v>
      </c>
      <c r="O40" s="21">
        <v>95281</v>
      </c>
      <c r="P40" s="21">
        <v>85750</v>
      </c>
      <c r="Q40" s="21">
        <v>78328</v>
      </c>
      <c r="T40" s="21">
        <v>85750</v>
      </c>
      <c r="U40" s="21">
        <v>83956</v>
      </c>
      <c r="V40" s="21">
        <v>78566</v>
      </c>
      <c r="W40" s="21">
        <v>82430</v>
      </c>
      <c r="X40" s="21">
        <v>78328</v>
      </c>
      <c r="Y40" s="21">
        <v>76685</v>
      </c>
      <c r="Z40" s="21">
        <v>74404</v>
      </c>
      <c r="AA40" s="21">
        <v>71340</v>
      </c>
      <c r="AC40" s="21">
        <f t="shared" si="17"/>
        <v>71340</v>
      </c>
    </row>
    <row r="41" spans="1:31" s="34" customFormat="1" x14ac:dyDescent="0.2">
      <c r="A41" s="16"/>
      <c r="B41" s="32" t="s">
        <v>48</v>
      </c>
      <c r="C41" s="35"/>
      <c r="D41" s="35"/>
      <c r="E41" s="35"/>
      <c r="F41" s="35"/>
      <c r="G41" s="35"/>
      <c r="H41" s="35"/>
      <c r="I41" s="35"/>
      <c r="J41" s="35"/>
      <c r="K41" s="35"/>
      <c r="L41" s="35"/>
      <c r="M41" s="222">
        <f t="shared" ref="M41:O41" si="21">M42-M39</f>
        <v>162431</v>
      </c>
      <c r="N41" s="222">
        <f t="shared" si="21"/>
        <v>148101</v>
      </c>
      <c r="O41" s="222">
        <f t="shared" si="21"/>
        <v>145129</v>
      </c>
      <c r="P41" s="222">
        <f>P42-P39</f>
        <v>131638</v>
      </c>
      <c r="Q41" s="222">
        <f>Q42-Q39</f>
        <v>119877</v>
      </c>
      <c r="R41" s="1"/>
      <c r="S41" s="1"/>
      <c r="T41" s="222">
        <f t="shared" ref="T41:Y41" si="22">T42-T39</f>
        <v>131638</v>
      </c>
      <c r="U41" s="222">
        <f t="shared" si="22"/>
        <v>132962</v>
      </c>
      <c r="V41" s="222">
        <f t="shared" si="22"/>
        <v>119866</v>
      </c>
      <c r="W41" s="222">
        <f t="shared" si="22"/>
        <v>124545</v>
      </c>
      <c r="X41" s="222">
        <f t="shared" si="22"/>
        <v>120147</v>
      </c>
      <c r="Y41" s="222">
        <f t="shared" si="22"/>
        <v>128740</v>
      </c>
      <c r="Z41" s="222">
        <f t="shared" ref="Z41:AA41" si="23">Z42-Z39</f>
        <v>129950</v>
      </c>
      <c r="AA41" s="222">
        <f t="shared" si="23"/>
        <v>126420</v>
      </c>
      <c r="AB41" s="1"/>
      <c r="AC41" s="35">
        <f t="shared" si="17"/>
        <v>126420</v>
      </c>
      <c r="AD41" s="1"/>
      <c r="AE41" s="1"/>
    </row>
    <row r="42" spans="1:31" s="19" customFormat="1" x14ac:dyDescent="0.2">
      <c r="A42" s="16"/>
      <c r="B42" s="17" t="s">
        <v>49</v>
      </c>
      <c r="C42" s="18"/>
      <c r="D42" s="18"/>
      <c r="E42" s="18"/>
      <c r="F42" s="18"/>
      <c r="G42" s="18"/>
      <c r="H42" s="18"/>
      <c r="I42" s="18"/>
      <c r="J42" s="18"/>
      <c r="K42" s="18"/>
      <c r="L42" s="18"/>
      <c r="M42" s="18">
        <v>287912</v>
      </c>
      <c r="N42" s="18">
        <v>302083</v>
      </c>
      <c r="O42" s="18">
        <v>290437</v>
      </c>
      <c r="P42" s="18">
        <v>308030</v>
      </c>
      <c r="Q42" s="18">
        <v>285508</v>
      </c>
      <c r="R42" s="1"/>
      <c r="S42" s="1"/>
      <c r="T42" s="18">
        <v>308030</v>
      </c>
      <c r="U42" s="18">
        <v>277327</v>
      </c>
      <c r="V42" s="18">
        <v>264437</v>
      </c>
      <c r="W42" s="18">
        <v>265665</v>
      </c>
      <c r="X42" s="18">
        <v>285508</v>
      </c>
      <c r="Y42" s="18">
        <v>291107</v>
      </c>
      <c r="Z42" s="18">
        <v>264591</v>
      </c>
      <c r="AA42" s="18">
        <v>275746</v>
      </c>
      <c r="AB42" s="1"/>
      <c r="AC42" s="18">
        <f t="shared" si="17"/>
        <v>275746</v>
      </c>
      <c r="AD42" s="1"/>
      <c r="AE42" s="1"/>
    </row>
    <row r="43" spans="1:31" x14ac:dyDescent="0.2">
      <c r="B43" s="20" t="s">
        <v>51</v>
      </c>
      <c r="C43" s="21"/>
      <c r="D43" s="21"/>
      <c r="E43" s="21"/>
      <c r="F43" s="21"/>
      <c r="G43" s="21"/>
      <c r="H43" s="21"/>
      <c r="I43" s="21"/>
      <c r="J43" s="21"/>
      <c r="K43" s="21"/>
      <c r="L43" s="21"/>
      <c r="M43" s="62">
        <v>0</v>
      </c>
      <c r="N43" s="62">
        <v>0</v>
      </c>
      <c r="O43" s="62">
        <v>0</v>
      </c>
      <c r="P43" s="62">
        <v>0</v>
      </c>
      <c r="Q43" s="62">
        <v>0</v>
      </c>
      <c r="T43" s="62">
        <v>0</v>
      </c>
      <c r="U43" s="62">
        <v>0</v>
      </c>
      <c r="V43" s="62">
        <v>0</v>
      </c>
      <c r="W43" s="62">
        <v>0</v>
      </c>
      <c r="X43" s="62">
        <v>0</v>
      </c>
      <c r="Y43" s="62">
        <v>0</v>
      </c>
      <c r="Z43" s="62">
        <v>0</v>
      </c>
      <c r="AA43" s="62">
        <v>0</v>
      </c>
      <c r="AC43" s="62">
        <f t="shared" si="17"/>
        <v>0</v>
      </c>
    </row>
    <row r="44" spans="1:31" x14ac:dyDescent="0.2">
      <c r="B44" s="20" t="s">
        <v>324</v>
      </c>
      <c r="C44" s="21"/>
      <c r="D44" s="21"/>
      <c r="E44" s="21"/>
      <c r="F44" s="21"/>
      <c r="G44" s="21"/>
      <c r="H44" s="21"/>
      <c r="I44" s="21"/>
      <c r="J44" s="21"/>
      <c r="K44" s="21"/>
      <c r="L44" s="21"/>
      <c r="M44" s="62">
        <v>0</v>
      </c>
      <c r="N44" s="62">
        <v>0</v>
      </c>
      <c r="O44" s="62">
        <v>0</v>
      </c>
      <c r="P44" s="62">
        <v>0</v>
      </c>
      <c r="Q44" s="62">
        <v>0</v>
      </c>
      <c r="T44" s="62">
        <v>0</v>
      </c>
      <c r="U44" s="62">
        <v>0</v>
      </c>
      <c r="V44" s="62">
        <v>0</v>
      </c>
      <c r="W44" s="62">
        <v>0</v>
      </c>
      <c r="X44" s="62">
        <v>0</v>
      </c>
      <c r="Y44" s="62">
        <v>0</v>
      </c>
      <c r="Z44" s="62">
        <v>0</v>
      </c>
      <c r="AA44" s="62">
        <v>0</v>
      </c>
      <c r="AC44" s="62">
        <f t="shared" si="17"/>
        <v>0</v>
      </c>
    </row>
    <row r="45" spans="1:31" x14ac:dyDescent="0.2">
      <c r="B45" s="20" t="s">
        <v>50</v>
      </c>
      <c r="C45" s="21"/>
      <c r="D45" s="21"/>
      <c r="E45" s="21"/>
      <c r="F45" s="21"/>
      <c r="G45" s="21"/>
      <c r="H45" s="21"/>
      <c r="I45" s="21"/>
      <c r="J45" s="21"/>
      <c r="K45" s="21"/>
      <c r="L45" s="21"/>
      <c r="M45" s="221">
        <v>57365</v>
      </c>
      <c r="N45" s="221">
        <v>64849</v>
      </c>
      <c r="O45" s="221">
        <v>73812</v>
      </c>
      <c r="P45" s="221">
        <v>83276</v>
      </c>
      <c r="Q45" s="221">
        <v>93568</v>
      </c>
      <c r="T45" s="21">
        <v>83276</v>
      </c>
      <c r="U45" s="21">
        <v>84768</v>
      </c>
      <c r="V45" s="21">
        <v>88711</v>
      </c>
      <c r="W45" s="21">
        <v>89806</v>
      </c>
      <c r="X45" s="21">
        <v>93568</v>
      </c>
      <c r="Y45" s="21">
        <v>95221</v>
      </c>
      <c r="Z45" s="21">
        <v>99507</v>
      </c>
      <c r="AA45" s="21">
        <v>100702</v>
      </c>
      <c r="AC45" s="62">
        <f t="shared" si="17"/>
        <v>100702</v>
      </c>
    </row>
    <row r="46" spans="1:31" x14ac:dyDescent="0.2">
      <c r="B46" s="20" t="s">
        <v>325</v>
      </c>
      <c r="C46" s="21"/>
      <c r="D46" s="21"/>
      <c r="E46" s="21"/>
      <c r="F46" s="21"/>
      <c r="G46" s="21"/>
      <c r="H46" s="21"/>
      <c r="I46" s="21"/>
      <c r="J46" s="21"/>
      <c r="K46" s="21"/>
      <c r="L46" s="21"/>
      <c r="M46" s="62">
        <v>5562</v>
      </c>
      <c r="N46" s="62">
        <v>-3068</v>
      </c>
      <c r="O46" s="62">
        <v>-214</v>
      </c>
      <c r="P46" s="62">
        <v>-19154</v>
      </c>
      <c r="Q46" s="62">
        <v>-14264</v>
      </c>
      <c r="T46" s="62">
        <v>-19154</v>
      </c>
      <c r="U46" s="62">
        <v>-11221</v>
      </c>
      <c r="V46" s="62">
        <v>-15552</v>
      </c>
      <c r="W46" s="62">
        <v>-17607</v>
      </c>
      <c r="X46" s="62">
        <v>-14264</v>
      </c>
      <c r="Y46" s="62">
        <v>-2177</v>
      </c>
      <c r="Z46" s="62">
        <v>12359</v>
      </c>
      <c r="AA46" s="62">
        <v>11326</v>
      </c>
      <c r="AC46" s="62">
        <f t="shared" si="17"/>
        <v>11326</v>
      </c>
    </row>
    <row r="47" spans="1:31" x14ac:dyDescent="0.2">
      <c r="B47" s="20" t="s">
        <v>320</v>
      </c>
      <c r="C47" s="21"/>
      <c r="D47" s="21"/>
      <c r="E47" s="21"/>
      <c r="F47" s="21"/>
      <c r="G47" s="21"/>
      <c r="H47" s="21"/>
      <c r="I47" s="21"/>
      <c r="J47" s="21"/>
      <c r="K47" s="21"/>
      <c r="L47" s="21"/>
      <c r="M47" s="62">
        <v>0</v>
      </c>
      <c r="N47" s="62">
        <v>0</v>
      </c>
      <c r="O47" s="62">
        <v>0</v>
      </c>
      <c r="P47" s="62">
        <v>0</v>
      </c>
      <c r="Q47" s="62">
        <v>0</v>
      </c>
      <c r="T47" s="62">
        <v>0</v>
      </c>
      <c r="U47" s="62">
        <v>0</v>
      </c>
      <c r="V47" s="62">
        <v>0</v>
      </c>
      <c r="W47" s="62">
        <v>0</v>
      </c>
      <c r="X47" s="62">
        <v>0</v>
      </c>
      <c r="Y47" s="62">
        <v>0</v>
      </c>
      <c r="Z47" s="62">
        <v>0</v>
      </c>
      <c r="AA47" s="62">
        <v>0</v>
      </c>
      <c r="AC47" s="62">
        <f t="shared" si="17"/>
        <v>0</v>
      </c>
    </row>
    <row r="48" spans="1:31" s="34" customFormat="1" x14ac:dyDescent="0.2">
      <c r="A48" s="16"/>
      <c r="B48" s="32" t="s">
        <v>52</v>
      </c>
      <c r="C48" s="33"/>
      <c r="D48" s="33"/>
      <c r="E48" s="33"/>
      <c r="F48" s="33"/>
      <c r="G48" s="33"/>
      <c r="H48" s="33"/>
      <c r="I48" s="33"/>
      <c r="J48" s="33"/>
      <c r="K48" s="33"/>
      <c r="L48" s="33"/>
      <c r="M48" s="33">
        <v>63090</v>
      </c>
      <c r="N48" s="33">
        <v>50672</v>
      </c>
      <c r="O48" s="33">
        <v>62146</v>
      </c>
      <c r="P48" s="33">
        <v>56950</v>
      </c>
      <c r="Q48" s="33">
        <v>73733</v>
      </c>
      <c r="R48" s="1"/>
      <c r="S48" s="1"/>
      <c r="T48" s="33">
        <v>56950</v>
      </c>
      <c r="U48" s="33">
        <v>66758</v>
      </c>
      <c r="V48" s="33">
        <v>66796</v>
      </c>
      <c r="W48" s="33">
        <v>65830</v>
      </c>
      <c r="X48" s="33">
        <v>73733</v>
      </c>
      <c r="Y48" s="33">
        <v>88190</v>
      </c>
      <c r="Z48" s="33">
        <v>106491</v>
      </c>
      <c r="AA48" s="33">
        <v>107520</v>
      </c>
      <c r="AB48" s="1"/>
      <c r="AC48" s="33">
        <f t="shared" si="17"/>
        <v>107520</v>
      </c>
      <c r="AD48" s="1"/>
      <c r="AE48" s="1"/>
    </row>
    <row r="49" spans="1:31" s="38" customFormat="1" ht="17" thickBot="1" x14ac:dyDescent="0.25">
      <c r="A49" s="16"/>
      <c r="B49" s="36" t="s">
        <v>53</v>
      </c>
      <c r="C49" s="37"/>
      <c r="D49" s="37"/>
      <c r="E49" s="37"/>
      <c r="F49" s="37"/>
      <c r="G49" s="37"/>
      <c r="H49" s="37"/>
      <c r="I49" s="37"/>
      <c r="J49" s="37"/>
      <c r="K49" s="37"/>
      <c r="L49" s="37"/>
      <c r="M49" s="37">
        <v>351002</v>
      </c>
      <c r="N49" s="37">
        <v>352755</v>
      </c>
      <c r="O49" s="37">
        <v>352583</v>
      </c>
      <c r="P49" s="37">
        <v>364980</v>
      </c>
      <c r="Q49" s="37">
        <v>359241</v>
      </c>
      <c r="R49" s="1"/>
      <c r="S49" s="1"/>
      <c r="T49" s="37">
        <v>364980</v>
      </c>
      <c r="U49" s="37">
        <v>344085</v>
      </c>
      <c r="V49" s="37">
        <v>331233</v>
      </c>
      <c r="W49" s="37">
        <v>331495</v>
      </c>
      <c r="X49" s="37">
        <v>359241</v>
      </c>
      <c r="Y49" s="37">
        <v>379297</v>
      </c>
      <c r="Z49" s="37">
        <v>371082</v>
      </c>
      <c r="AA49" s="37">
        <v>383266</v>
      </c>
      <c r="AB49" s="1"/>
      <c r="AC49" s="37">
        <f t="shared" si="17"/>
        <v>383266</v>
      </c>
      <c r="AD49" s="1"/>
      <c r="AE49" s="1"/>
    </row>
    <row r="50" spans="1:31" x14ac:dyDescent="0.2">
      <c r="B50" s="1"/>
    </row>
    <row r="51" spans="1:31" s="15" customFormat="1" ht="17" thickBot="1" x14ac:dyDescent="0.25">
      <c r="A51" s="11"/>
      <c r="B51" s="14" t="s">
        <v>54</v>
      </c>
      <c r="R51" s="1"/>
      <c r="S51" s="1"/>
      <c r="AB51" s="1"/>
      <c r="AD51" s="1"/>
      <c r="AE51" s="1"/>
    </row>
    <row r="52" spans="1:31" x14ac:dyDescent="0.2">
      <c r="B52" s="20" t="s">
        <v>55</v>
      </c>
      <c r="C52" s="62"/>
      <c r="D52" s="62"/>
      <c r="E52" s="62"/>
      <c r="F52" s="62"/>
      <c r="G52" s="62"/>
      <c r="H52" s="62"/>
      <c r="I52" s="62"/>
      <c r="J52" s="62"/>
      <c r="K52" s="62"/>
      <c r="L52" s="62"/>
      <c r="M52" s="21">
        <v>11284</v>
      </c>
      <c r="N52" s="21">
        <v>11104</v>
      </c>
      <c r="O52" s="21">
        <v>11519</v>
      </c>
      <c r="P52" s="21">
        <v>11445</v>
      </c>
      <c r="Q52" s="21">
        <v>11698</v>
      </c>
      <c r="T52" s="62"/>
      <c r="U52" s="21">
        <v>3080</v>
      </c>
      <c r="V52" s="21">
        <v>2661</v>
      </c>
      <c r="W52" s="21">
        <v>2830</v>
      </c>
      <c r="X52" s="21">
        <v>3127</v>
      </c>
      <c r="Y52" s="21">
        <v>3214</v>
      </c>
      <c r="Z52" s="21">
        <v>3439</v>
      </c>
      <c r="AA52" s="21">
        <v>3320</v>
      </c>
      <c r="AC52" s="62">
        <f>SUM(X52:AA52)</f>
        <v>13100</v>
      </c>
    </row>
    <row r="53" spans="1:31" x14ac:dyDescent="0.2">
      <c r="B53" s="23" t="s">
        <v>56</v>
      </c>
      <c r="C53" s="62"/>
      <c r="D53" s="62"/>
      <c r="E53" s="62"/>
      <c r="F53" s="62"/>
      <c r="G53" s="62"/>
      <c r="H53" s="62"/>
      <c r="I53" s="62"/>
      <c r="J53" s="62"/>
      <c r="K53" s="62"/>
      <c r="L53" s="62"/>
      <c r="M53" s="21">
        <v>7906</v>
      </c>
      <c r="N53" s="21">
        <v>9038</v>
      </c>
      <c r="O53" s="21">
        <v>10833</v>
      </c>
      <c r="P53" s="21">
        <v>11688</v>
      </c>
      <c r="Q53" s="21">
        <v>12863</v>
      </c>
      <c r="T53" s="62"/>
      <c r="U53" s="21">
        <v>3286</v>
      </c>
      <c r="V53" s="21">
        <v>3226</v>
      </c>
      <c r="W53" s="21">
        <v>3168</v>
      </c>
      <c r="X53" s="21">
        <v>3183</v>
      </c>
      <c r="Y53" s="21">
        <v>3594</v>
      </c>
      <c r="Z53" s="21">
        <v>3528</v>
      </c>
      <c r="AA53" s="21">
        <v>3401</v>
      </c>
      <c r="AC53" s="62">
        <f t="shared" ref="AC53:AC57" si="24">SUM(X53:AA53)</f>
        <v>13706</v>
      </c>
    </row>
    <row r="54" spans="1:31" x14ac:dyDescent="0.2">
      <c r="B54" s="23" t="s">
        <v>93</v>
      </c>
      <c r="C54" s="62"/>
      <c r="D54" s="62"/>
      <c r="E54" s="62"/>
      <c r="F54" s="62"/>
      <c r="G54" s="62"/>
      <c r="H54" s="62"/>
      <c r="I54" s="62"/>
      <c r="J54" s="62"/>
      <c r="K54" s="62"/>
      <c r="L54" s="62"/>
      <c r="M54" s="62">
        <v>-10125</v>
      </c>
      <c r="N54" s="62">
        <v>-1823</v>
      </c>
      <c r="O54" s="62">
        <v>-1688</v>
      </c>
      <c r="P54" s="62">
        <v>-3788</v>
      </c>
      <c r="Q54" s="62">
        <v>-6682</v>
      </c>
      <c r="T54" s="62"/>
      <c r="U54" s="62">
        <v>3597</v>
      </c>
      <c r="V54" s="62">
        <v>3669</v>
      </c>
      <c r="W54" s="62">
        <v>-1581</v>
      </c>
      <c r="X54" s="62">
        <v>-12367</v>
      </c>
      <c r="Y54" s="62">
        <v>-153</v>
      </c>
      <c r="Z54" s="62">
        <v>9448</v>
      </c>
      <c r="AA54" s="62">
        <v>-979</v>
      </c>
      <c r="AC54" s="62">
        <f t="shared" si="24"/>
        <v>-4051</v>
      </c>
    </row>
    <row r="55" spans="1:31" x14ac:dyDescent="0.2">
      <c r="B55" s="23" t="s">
        <v>142</v>
      </c>
      <c r="C55" s="62"/>
      <c r="D55" s="62"/>
      <c r="E55" s="62"/>
      <c r="F55" s="62"/>
      <c r="G55" s="62"/>
      <c r="H55" s="62"/>
      <c r="I55" s="62"/>
      <c r="J55" s="62"/>
      <c r="K55" s="62"/>
      <c r="L55" s="62"/>
      <c r="M55" s="62">
        <v>-2642</v>
      </c>
      <c r="N55" s="62">
        <v>1484</v>
      </c>
      <c r="O55" s="62">
        <v>-1618</v>
      </c>
      <c r="P55" s="62">
        <v>-1046</v>
      </c>
      <c r="Q55" s="62">
        <v>1400</v>
      </c>
      <c r="T55" s="62"/>
      <c r="U55" s="62">
        <v>215</v>
      </c>
      <c r="V55" s="62">
        <v>643</v>
      </c>
      <c r="W55" s="62">
        <v>365</v>
      </c>
      <c r="X55" s="62">
        <v>177</v>
      </c>
      <c r="Y55" s="62">
        <v>-211</v>
      </c>
      <c r="Z55" s="62">
        <v>-873</v>
      </c>
      <c r="AA55" s="62">
        <v>-4377</v>
      </c>
      <c r="AC55" s="62">
        <f>SUM(X55:AA55)</f>
        <v>-5284</v>
      </c>
    </row>
    <row r="56" spans="1:31" x14ac:dyDescent="0.2">
      <c r="B56" s="23" t="s">
        <v>94</v>
      </c>
      <c r="C56" s="62"/>
      <c r="D56" s="62"/>
      <c r="E56" s="62"/>
      <c r="F56" s="62"/>
      <c r="G56" s="62"/>
      <c r="H56" s="62"/>
      <c r="I56" s="62"/>
      <c r="J56" s="62"/>
      <c r="K56" s="62"/>
      <c r="L56" s="62"/>
      <c r="M56" s="62">
        <v>12326</v>
      </c>
      <c r="N56" s="62">
        <v>9448</v>
      </c>
      <c r="O56" s="62">
        <v>-1889</v>
      </c>
      <c r="P56" s="62">
        <v>6020</v>
      </c>
      <c r="Q56" s="62">
        <v>902</v>
      </c>
      <c r="T56" s="62"/>
      <c r="U56" s="62">
        <v>-6671</v>
      </c>
      <c r="V56" s="62">
        <v>-7933</v>
      </c>
      <c r="W56" s="62">
        <v>-3875</v>
      </c>
      <c r="X56" s="62">
        <v>19381</v>
      </c>
      <c r="Y56" s="62">
        <v>848</v>
      </c>
      <c r="Z56" s="62">
        <v>-13145</v>
      </c>
      <c r="AA56" s="62">
        <v>7094</v>
      </c>
      <c r="AC56" s="62">
        <f t="shared" si="24"/>
        <v>14178</v>
      </c>
    </row>
    <row r="57" spans="1:31" x14ac:dyDescent="0.2">
      <c r="B57" s="23" t="s">
        <v>95</v>
      </c>
      <c r="C57" s="62"/>
      <c r="D57" s="62"/>
      <c r="E57" s="62"/>
      <c r="F57" s="62"/>
      <c r="G57" s="62"/>
      <c r="H57" s="62"/>
      <c r="I57" s="62"/>
      <c r="J57" s="62"/>
      <c r="K57" s="62"/>
      <c r="L57" s="62"/>
      <c r="M57" s="62">
        <v>-4470</v>
      </c>
      <c r="N57" s="62">
        <v>-7909</v>
      </c>
      <c r="O57" s="62">
        <v>-1382</v>
      </c>
      <c r="P57" s="62">
        <v>2465</v>
      </c>
      <c r="Q57" s="62">
        <v>-20620</v>
      </c>
      <c r="T57" s="62"/>
      <c r="U57" s="62">
        <v>-7893</v>
      </c>
      <c r="V57" s="62">
        <v>-2886</v>
      </c>
      <c r="W57" s="62">
        <v>3057</v>
      </c>
      <c r="X57" s="62">
        <v>-12898</v>
      </c>
      <c r="Y57" s="62">
        <v>5064</v>
      </c>
      <c r="Z57" s="62">
        <v>-2084</v>
      </c>
      <c r="AA57" s="62">
        <v>-3559</v>
      </c>
      <c r="AC57" s="62">
        <f t="shared" si="24"/>
        <v>-13477</v>
      </c>
    </row>
    <row r="58" spans="1:31" s="19" customFormat="1" x14ac:dyDescent="0.2">
      <c r="A58" s="16"/>
      <c r="B58" s="17" t="s">
        <v>57</v>
      </c>
      <c r="C58" s="61"/>
      <c r="D58" s="61"/>
      <c r="E58" s="61"/>
      <c r="F58" s="61"/>
      <c r="G58" s="61"/>
      <c r="H58" s="61"/>
      <c r="I58" s="61"/>
      <c r="J58" s="61"/>
      <c r="K58" s="61"/>
      <c r="L58" s="61"/>
      <c r="M58" s="18">
        <v>104038</v>
      </c>
      <c r="N58" s="18">
        <v>122151</v>
      </c>
      <c r="O58" s="18">
        <v>110543</v>
      </c>
      <c r="P58" s="18">
        <v>118254</v>
      </c>
      <c r="Q58" s="18">
        <v>111482</v>
      </c>
      <c r="R58" s="1"/>
      <c r="S58" s="1"/>
      <c r="T58" s="61"/>
      <c r="U58" s="18">
        <v>29935</v>
      </c>
      <c r="V58" s="18">
        <v>23952</v>
      </c>
      <c r="W58" s="18">
        <v>27867</v>
      </c>
      <c r="X58" s="18">
        <v>29728</v>
      </c>
      <c r="Y58" s="18">
        <v>53925</v>
      </c>
      <c r="Z58" s="18">
        <v>28702</v>
      </c>
      <c r="AA58" s="18">
        <v>34369</v>
      </c>
      <c r="AB58" s="1"/>
      <c r="AC58" s="61">
        <f>SUM(X58:AA58)</f>
        <v>146724</v>
      </c>
      <c r="AD58" s="1"/>
      <c r="AE58" s="1"/>
    </row>
    <row r="59" spans="1:31" x14ac:dyDescent="0.2">
      <c r="B59" s="20" t="s">
        <v>58</v>
      </c>
      <c r="C59" s="62"/>
      <c r="D59" s="62"/>
      <c r="E59" s="62"/>
      <c r="F59" s="62"/>
      <c r="G59" s="62"/>
      <c r="H59" s="62"/>
      <c r="I59" s="62"/>
      <c r="J59" s="62"/>
      <c r="K59" s="62"/>
      <c r="L59" s="62"/>
      <c r="M59" s="62">
        <v>-11085</v>
      </c>
      <c r="N59" s="62">
        <v>-10708</v>
      </c>
      <c r="O59" s="62">
        <v>-10959</v>
      </c>
      <c r="P59" s="62">
        <v>-9447</v>
      </c>
      <c r="Q59" s="62">
        <v>-12715</v>
      </c>
      <c r="T59" s="62"/>
      <c r="U59" s="62">
        <v>-2940</v>
      </c>
      <c r="V59" s="62">
        <v>-3071</v>
      </c>
      <c r="W59" s="62">
        <v>-3462</v>
      </c>
      <c r="X59" s="62">
        <v>-3242</v>
      </c>
      <c r="Y59" s="62">
        <v>-2373</v>
      </c>
      <c r="Z59" s="62">
        <v>-1971</v>
      </c>
      <c r="AA59" s="62">
        <v>-2455</v>
      </c>
      <c r="AC59" s="62">
        <f>SUM(X59:AA59)</f>
        <v>-10041</v>
      </c>
    </row>
    <row r="60" spans="1:31" x14ac:dyDescent="0.2">
      <c r="B60" s="20" t="s">
        <v>96</v>
      </c>
      <c r="C60" s="62"/>
      <c r="D60" s="62"/>
      <c r="E60" s="62"/>
      <c r="F60" s="62"/>
      <c r="G60" s="62"/>
      <c r="H60" s="62"/>
      <c r="I60" s="62"/>
      <c r="J60" s="62"/>
      <c r="K60" s="62"/>
      <c r="L60" s="62"/>
      <c r="M60" s="62">
        <v>0</v>
      </c>
      <c r="N60" s="62">
        <v>0</v>
      </c>
      <c r="O60" s="62">
        <v>0</v>
      </c>
      <c r="P60" s="62">
        <v>0</v>
      </c>
      <c r="Q60" s="62">
        <v>0</v>
      </c>
      <c r="T60" s="62"/>
      <c r="U60" s="62">
        <v>0</v>
      </c>
      <c r="V60" s="62">
        <v>0</v>
      </c>
      <c r="W60" s="62">
        <v>0</v>
      </c>
      <c r="X60" s="62">
        <v>0</v>
      </c>
      <c r="Y60" s="62">
        <v>0</v>
      </c>
      <c r="Z60" s="62">
        <v>0</v>
      </c>
      <c r="AA60" s="62">
        <v>0</v>
      </c>
      <c r="AC60" s="62">
        <f t="shared" ref="AC60:AC65" si="25">SUM(X60:AA60)</f>
        <v>0</v>
      </c>
    </row>
    <row r="61" spans="1:31" s="19" customFormat="1" x14ac:dyDescent="0.2">
      <c r="A61" s="16"/>
      <c r="B61" s="17" t="s">
        <v>59</v>
      </c>
      <c r="C61" s="61"/>
      <c r="D61" s="61"/>
      <c r="E61" s="61"/>
      <c r="F61" s="61"/>
      <c r="G61" s="61"/>
      <c r="H61" s="61"/>
      <c r="I61" s="61"/>
      <c r="J61" s="61"/>
      <c r="K61" s="61"/>
      <c r="L61" s="61"/>
      <c r="M61" s="61">
        <v>-14545</v>
      </c>
      <c r="N61" s="61">
        <v>-22354</v>
      </c>
      <c r="O61" s="61">
        <v>3705</v>
      </c>
      <c r="P61" s="61">
        <v>2935</v>
      </c>
      <c r="Q61" s="61">
        <v>15195</v>
      </c>
      <c r="R61" s="1"/>
      <c r="S61" s="1"/>
      <c r="T61" s="61"/>
      <c r="U61" s="61">
        <v>9792</v>
      </c>
      <c r="V61" s="61">
        <v>2917</v>
      </c>
      <c r="W61" s="61">
        <v>5073</v>
      </c>
      <c r="X61" s="61">
        <v>-2587</v>
      </c>
      <c r="Y61" s="61">
        <v>-4886</v>
      </c>
      <c r="Z61" s="61">
        <v>-6168</v>
      </c>
      <c r="AA61" s="61">
        <v>-7757</v>
      </c>
      <c r="AB61" s="1"/>
      <c r="AC61" s="61">
        <f t="shared" si="25"/>
        <v>-21398</v>
      </c>
      <c r="AD61" s="1"/>
      <c r="AE61" s="1"/>
    </row>
    <row r="62" spans="1:31" x14ac:dyDescent="0.2">
      <c r="B62" s="20" t="s">
        <v>60</v>
      </c>
      <c r="C62" s="62"/>
      <c r="D62" s="62"/>
      <c r="E62" s="62"/>
      <c r="F62" s="62"/>
      <c r="G62" s="62"/>
      <c r="H62" s="62"/>
      <c r="I62" s="62"/>
      <c r="J62" s="62"/>
      <c r="K62" s="62"/>
      <c r="L62" s="62"/>
      <c r="M62" s="62">
        <v>-85971</v>
      </c>
      <c r="N62" s="62">
        <v>-89402</v>
      </c>
      <c r="O62" s="62">
        <v>-77550</v>
      </c>
      <c r="P62" s="62">
        <v>-94949</v>
      </c>
      <c r="Q62" s="62">
        <v>-90711</v>
      </c>
      <c r="T62" s="62"/>
      <c r="U62" s="62">
        <v>-23606</v>
      </c>
      <c r="V62" s="62">
        <v>-25898</v>
      </c>
      <c r="W62" s="62">
        <v>-21075</v>
      </c>
      <c r="X62" s="62">
        <v>-20132</v>
      </c>
      <c r="Y62" s="62">
        <v>-24701</v>
      </c>
      <c r="Z62" s="62">
        <v>-12288</v>
      </c>
      <c r="AA62" s="62">
        <v>-25105</v>
      </c>
      <c r="AC62" s="62">
        <f t="shared" si="25"/>
        <v>-82226</v>
      </c>
    </row>
    <row r="63" spans="1:31" x14ac:dyDescent="0.2">
      <c r="B63" s="20" t="s">
        <v>278</v>
      </c>
      <c r="C63" s="62"/>
      <c r="D63" s="62"/>
      <c r="E63" s="62"/>
      <c r="F63" s="62"/>
      <c r="G63" s="62"/>
      <c r="H63" s="62"/>
      <c r="I63" s="62"/>
      <c r="J63" s="62"/>
      <c r="K63" s="62"/>
      <c r="L63" s="62"/>
      <c r="M63" s="62">
        <v>-14467</v>
      </c>
      <c r="N63" s="62">
        <v>-14841</v>
      </c>
      <c r="O63" s="62">
        <v>-15025</v>
      </c>
      <c r="P63" s="62">
        <v>-15234</v>
      </c>
      <c r="Q63" s="62">
        <v>-15421</v>
      </c>
      <c r="T63" s="62"/>
      <c r="U63" s="62">
        <v>-3856</v>
      </c>
      <c r="V63" s="62">
        <v>-3758</v>
      </c>
      <c r="W63" s="62">
        <v>-3945</v>
      </c>
      <c r="X63" s="62">
        <v>-3862</v>
      </c>
      <c r="Y63" s="62">
        <v>-3921</v>
      </c>
      <c r="Z63" s="62">
        <v>-3822</v>
      </c>
      <c r="AA63" s="62">
        <v>-4035</v>
      </c>
      <c r="AC63" s="62">
        <f>SUM(X63:AA63)</f>
        <v>-15640</v>
      </c>
    </row>
    <row r="64" spans="1:31" x14ac:dyDescent="0.2">
      <c r="B64" s="20" t="s">
        <v>323</v>
      </c>
      <c r="C64" s="62"/>
      <c r="D64" s="62"/>
      <c r="E64" s="62"/>
      <c r="F64" s="62"/>
      <c r="G64" s="62"/>
      <c r="H64" s="62"/>
      <c r="I64" s="62"/>
      <c r="J64" s="62"/>
      <c r="K64" s="62"/>
      <c r="L64" s="62"/>
      <c r="M64" s="62">
        <v>0</v>
      </c>
      <c r="N64" s="62">
        <v>0</v>
      </c>
      <c r="O64" s="62">
        <v>0</v>
      </c>
      <c r="P64" s="62">
        <v>0</v>
      </c>
      <c r="Q64" s="62">
        <v>0</v>
      </c>
      <c r="T64" s="62"/>
      <c r="U64" s="62">
        <v>0</v>
      </c>
      <c r="V64" s="62">
        <v>0</v>
      </c>
      <c r="W64" s="62">
        <v>0</v>
      </c>
      <c r="X64" s="62">
        <v>0</v>
      </c>
      <c r="Y64" s="62">
        <v>0</v>
      </c>
      <c r="Z64" s="62">
        <v>0</v>
      </c>
      <c r="AA64" s="62">
        <v>0</v>
      </c>
      <c r="AC64" s="62">
        <f>SUM(X64:AA64)</f>
        <v>0</v>
      </c>
    </row>
    <row r="65" spans="1:31" s="19" customFormat="1" ht="17" thickBot="1" x14ac:dyDescent="0.25">
      <c r="A65" s="16"/>
      <c r="B65" s="36" t="s">
        <v>61</v>
      </c>
      <c r="C65" s="71"/>
      <c r="D65" s="71"/>
      <c r="E65" s="71"/>
      <c r="F65" s="71"/>
      <c r="G65" s="71"/>
      <c r="H65" s="71"/>
      <c r="I65" s="71"/>
      <c r="J65" s="71"/>
      <c r="K65" s="71"/>
      <c r="L65" s="71"/>
      <c r="M65" s="71">
        <v>-93353</v>
      </c>
      <c r="N65" s="71">
        <v>-110749</v>
      </c>
      <c r="O65" s="71">
        <v>-108488</v>
      </c>
      <c r="P65" s="71">
        <v>-121983</v>
      </c>
      <c r="Q65" s="71">
        <v>-120686</v>
      </c>
      <c r="R65" s="1"/>
      <c r="S65" s="1"/>
      <c r="T65" s="71"/>
      <c r="U65" s="71">
        <v>-39371</v>
      </c>
      <c r="V65" s="71">
        <v>-29006</v>
      </c>
      <c r="W65" s="71">
        <v>-24833</v>
      </c>
      <c r="X65" s="71">
        <v>-27476</v>
      </c>
      <c r="Y65" s="71">
        <v>-39656</v>
      </c>
      <c r="Z65" s="71">
        <v>-22279</v>
      </c>
      <c r="AA65" s="71">
        <v>-32640</v>
      </c>
      <c r="AB65" s="1"/>
      <c r="AC65" s="71">
        <f t="shared" si="25"/>
        <v>-122051</v>
      </c>
      <c r="AD65" s="1"/>
      <c r="AE65" s="1"/>
    </row>
    <row r="66" spans="1:31" x14ac:dyDescent="0.2">
      <c r="B66" s="1"/>
    </row>
    <row r="67" spans="1:31" s="15" customFormat="1" ht="17" thickBot="1" x14ac:dyDescent="0.25">
      <c r="A67" s="11"/>
      <c r="B67" s="14" t="s">
        <v>62</v>
      </c>
      <c r="R67" s="1"/>
      <c r="S67" s="1"/>
      <c r="AB67" s="1"/>
      <c r="AD67" s="1"/>
      <c r="AE67" s="1"/>
    </row>
    <row r="68" spans="1:31" x14ac:dyDescent="0.2">
      <c r="B68" s="20" t="s">
        <v>63</v>
      </c>
      <c r="C68" s="64">
        <f t="shared" ref="C68:Q68" si="26">C5-C6-C10+C12+C13+C15-C16</f>
        <v>0</v>
      </c>
      <c r="D68" s="64">
        <f t="shared" si="26"/>
        <v>0</v>
      </c>
      <c r="E68" s="64">
        <f t="shared" si="26"/>
        <v>0</v>
      </c>
      <c r="F68" s="64">
        <f t="shared" si="26"/>
        <v>0</v>
      </c>
      <c r="G68" s="64">
        <f t="shared" si="26"/>
        <v>0</v>
      </c>
      <c r="H68" s="64">
        <f t="shared" si="26"/>
        <v>0</v>
      </c>
      <c r="I68" s="64">
        <f t="shared" si="26"/>
        <v>0</v>
      </c>
      <c r="J68" s="64">
        <f t="shared" si="26"/>
        <v>0</v>
      </c>
      <c r="K68" s="64">
        <f t="shared" si="26"/>
        <v>0</v>
      </c>
      <c r="L68" s="64">
        <f t="shared" si="26"/>
        <v>0</v>
      </c>
      <c r="M68" s="64">
        <f t="shared" si="26"/>
        <v>94680</v>
      </c>
      <c r="N68" s="64">
        <f t="shared" si="26"/>
        <v>99803</v>
      </c>
      <c r="O68" s="64">
        <f t="shared" si="26"/>
        <v>96995</v>
      </c>
      <c r="P68" s="64">
        <f t="shared" si="26"/>
        <v>93736</v>
      </c>
      <c r="Q68" s="64">
        <f t="shared" si="26"/>
        <v>112010</v>
      </c>
      <c r="T68" s="64">
        <f t="shared" ref="T68:Z68" si="27">T5-T6-T10+T12+T13+T15-T16</f>
        <v>14736</v>
      </c>
      <c r="U68" s="64">
        <f t="shared" si="27"/>
        <v>36330</v>
      </c>
      <c r="V68" s="64">
        <f t="shared" si="27"/>
        <v>24780</v>
      </c>
      <c r="W68" s="64">
        <f t="shared" si="27"/>
        <v>23434</v>
      </c>
      <c r="X68" s="64">
        <f t="shared" si="27"/>
        <v>27466</v>
      </c>
      <c r="Y68" s="64">
        <f t="shared" si="27"/>
        <v>42097</v>
      </c>
      <c r="Z68" s="64">
        <f t="shared" si="27"/>
        <v>29578</v>
      </c>
      <c r="AA68" s="64">
        <f t="shared" ref="AA68" si="28">AA5-AA6-AA10+AA12+AA13+AA15-AA16</f>
        <v>29789</v>
      </c>
      <c r="AC68" s="64">
        <f>AC5-AC6-AC10+AC12+AC13+AC15-AC16</f>
        <v>128930</v>
      </c>
    </row>
    <row r="69" spans="1:31" s="41" customFormat="1" x14ac:dyDescent="0.2">
      <c r="A69" s="16"/>
      <c r="B69" s="17" t="s">
        <v>64</v>
      </c>
      <c r="C69" s="40">
        <f t="shared" ref="C69:Q69" si="29">C17-C68</f>
        <v>0</v>
      </c>
      <c r="D69" s="40">
        <f t="shared" si="29"/>
        <v>0</v>
      </c>
      <c r="E69" s="40">
        <f t="shared" si="29"/>
        <v>0</v>
      </c>
      <c r="F69" s="40">
        <f t="shared" si="29"/>
        <v>0</v>
      </c>
      <c r="G69" s="40">
        <f t="shared" si="29"/>
        <v>0</v>
      </c>
      <c r="H69" s="40">
        <f t="shared" si="29"/>
        <v>0</v>
      </c>
      <c r="I69" s="40">
        <f t="shared" si="29"/>
        <v>0</v>
      </c>
      <c r="J69" s="40">
        <f t="shared" si="29"/>
        <v>0</v>
      </c>
      <c r="K69" s="40">
        <f t="shared" si="29"/>
        <v>0</v>
      </c>
      <c r="L69" s="40">
        <f t="shared" si="29"/>
        <v>0</v>
      </c>
      <c r="M69" s="40">
        <f t="shared" si="29"/>
        <v>0</v>
      </c>
      <c r="N69" s="40">
        <f t="shared" si="29"/>
        <v>0</v>
      </c>
      <c r="O69" s="40">
        <f t="shared" si="29"/>
        <v>0</v>
      </c>
      <c r="P69" s="40">
        <f t="shared" si="29"/>
        <v>0</v>
      </c>
      <c r="Q69" s="40">
        <f t="shared" si="29"/>
        <v>0</v>
      </c>
      <c r="R69" s="1"/>
      <c r="S69" s="1"/>
      <c r="T69" s="40">
        <f t="shared" ref="T69:Y69" si="30">T17-T68</f>
        <v>0</v>
      </c>
      <c r="U69" s="40">
        <f t="shared" si="30"/>
        <v>0</v>
      </c>
      <c r="V69" s="40">
        <f t="shared" si="30"/>
        <v>0</v>
      </c>
      <c r="W69" s="40">
        <f t="shared" si="30"/>
        <v>0</v>
      </c>
      <c r="X69" s="40">
        <f t="shared" si="30"/>
        <v>0</v>
      </c>
      <c r="Y69" s="40">
        <f t="shared" si="30"/>
        <v>0</v>
      </c>
      <c r="Z69" s="40">
        <f t="shared" ref="Z69:AA69" si="31">Z17-Z68</f>
        <v>0</v>
      </c>
      <c r="AA69" s="40">
        <f t="shared" si="31"/>
        <v>0</v>
      </c>
      <c r="AB69" s="16"/>
      <c r="AC69" s="40">
        <f>AC17-AC68</f>
        <v>0</v>
      </c>
      <c r="AD69" s="1"/>
      <c r="AE69" s="1"/>
    </row>
    <row r="70" spans="1:31" s="41" customFormat="1" x14ac:dyDescent="0.2">
      <c r="A70" s="16"/>
      <c r="B70" s="17" t="s">
        <v>65</v>
      </c>
      <c r="C70" s="42">
        <f t="shared" ref="C70:Q70" si="32">C36-(C42+C110)</f>
        <v>0</v>
      </c>
      <c r="D70" s="42">
        <f t="shared" si="32"/>
        <v>0</v>
      </c>
      <c r="E70" s="42">
        <f t="shared" si="32"/>
        <v>0</v>
      </c>
      <c r="F70" s="42">
        <f t="shared" si="32"/>
        <v>0</v>
      </c>
      <c r="G70" s="42">
        <f t="shared" si="32"/>
        <v>0</v>
      </c>
      <c r="H70" s="42">
        <f t="shared" si="32"/>
        <v>0</v>
      </c>
      <c r="I70" s="42">
        <f t="shared" si="32"/>
        <v>0</v>
      </c>
      <c r="J70" s="42">
        <f t="shared" si="32"/>
        <v>0</v>
      </c>
      <c r="K70" s="42">
        <f t="shared" si="32"/>
        <v>0</v>
      </c>
      <c r="L70" s="42">
        <f t="shared" si="32"/>
        <v>0</v>
      </c>
      <c r="M70" s="42">
        <f t="shared" si="32"/>
        <v>0</v>
      </c>
      <c r="N70" s="42">
        <f t="shared" si="32"/>
        <v>0</v>
      </c>
      <c r="O70" s="42">
        <f t="shared" si="32"/>
        <v>0</v>
      </c>
      <c r="P70" s="42">
        <f t="shared" si="32"/>
        <v>0</v>
      </c>
      <c r="Q70" s="42">
        <f t="shared" si="32"/>
        <v>0</v>
      </c>
      <c r="R70" s="1"/>
      <c r="S70" s="1"/>
      <c r="T70" s="42">
        <f t="shared" ref="T70:Z70" si="33">T36-(T42+T110)</f>
        <v>0</v>
      </c>
      <c r="U70" s="42">
        <f t="shared" si="33"/>
        <v>0</v>
      </c>
      <c r="V70" s="42">
        <f t="shared" si="33"/>
        <v>0</v>
      </c>
      <c r="W70" s="42">
        <f t="shared" si="33"/>
        <v>0</v>
      </c>
      <c r="X70" s="42">
        <f t="shared" si="33"/>
        <v>0</v>
      </c>
      <c r="Y70" s="42">
        <f t="shared" si="33"/>
        <v>0</v>
      </c>
      <c r="Z70" s="42">
        <f t="shared" si="33"/>
        <v>0</v>
      </c>
      <c r="AA70" s="42">
        <f t="shared" ref="AA70" si="34">AA36-(AA42+AA110)</f>
        <v>0</v>
      </c>
      <c r="AB70" s="16"/>
      <c r="AC70" s="42">
        <f>AC36-(AC42+AC110)</f>
        <v>0</v>
      </c>
      <c r="AD70" s="1"/>
      <c r="AE70" s="1"/>
    </row>
    <row r="71" spans="1:31" x14ac:dyDescent="0.2">
      <c r="B71" s="39"/>
      <c r="J71" s="39"/>
      <c r="K71" s="39"/>
      <c r="L71" s="39"/>
      <c r="M71" s="39"/>
      <c r="N71" s="39"/>
      <c r="O71" s="39"/>
      <c r="P71" s="39"/>
    </row>
    <row r="72" spans="1:31" s="15" customFormat="1" ht="17" thickBot="1" x14ac:dyDescent="0.25">
      <c r="A72" s="11"/>
      <c r="B72" s="14" t="s">
        <v>66</v>
      </c>
      <c r="R72" s="1"/>
      <c r="S72" s="1"/>
      <c r="AB72" s="1"/>
      <c r="AD72" s="1"/>
      <c r="AE72" s="1"/>
    </row>
    <row r="73" spans="1:31" x14ac:dyDescent="0.2">
      <c r="B73" s="20" t="s">
        <v>67</v>
      </c>
      <c r="C73" s="43"/>
      <c r="D73" s="43"/>
      <c r="E73" s="43"/>
      <c r="F73" s="43"/>
      <c r="G73" s="43"/>
      <c r="H73" s="43"/>
      <c r="I73" s="43"/>
      <c r="J73" s="21"/>
      <c r="K73" s="21"/>
      <c r="L73" s="21"/>
      <c r="M73" s="43">
        <v>16406</v>
      </c>
      <c r="N73" s="43">
        <v>15908</v>
      </c>
      <c r="O73" s="21">
        <v>15553</v>
      </c>
      <c r="P73" s="21">
        <v>15116</v>
      </c>
      <c r="Q73" s="21">
        <v>14776</v>
      </c>
      <c r="T73" s="21">
        <v>15116</v>
      </c>
      <c r="U73" s="21">
        <v>15022</v>
      </c>
      <c r="V73" s="21">
        <v>14936</v>
      </c>
      <c r="W73" s="21">
        <v>14840</v>
      </c>
      <c r="X73" s="21">
        <v>14776</v>
      </c>
      <c r="Y73" s="21">
        <v>14681</v>
      </c>
      <c r="Z73" s="21">
        <v>14687</v>
      </c>
      <c r="AA73" s="21">
        <v>14594</v>
      </c>
      <c r="AC73" s="24">
        <f>AA73</f>
        <v>14594</v>
      </c>
    </row>
    <row r="74" spans="1:31" x14ac:dyDescent="0.2">
      <c r="B74" s="20" t="s">
        <v>68</v>
      </c>
      <c r="C74" s="25"/>
      <c r="D74" s="25"/>
      <c r="E74" s="25"/>
      <c r="F74" s="25"/>
      <c r="G74" s="25"/>
      <c r="H74" s="25"/>
      <c r="I74" s="25"/>
      <c r="J74" s="25"/>
      <c r="K74" s="25"/>
      <c r="L74" s="25"/>
      <c r="M74" s="25">
        <f t="shared" ref="M74:Q74" si="35">M73*M84</f>
        <v>16406</v>
      </c>
      <c r="N74" s="25">
        <f t="shared" si="35"/>
        <v>15908</v>
      </c>
      <c r="O74" s="25">
        <f t="shared" si="35"/>
        <v>15553</v>
      </c>
      <c r="P74" s="25">
        <f t="shared" si="35"/>
        <v>15116</v>
      </c>
      <c r="Q74" s="25">
        <f t="shared" si="35"/>
        <v>14776</v>
      </c>
      <c r="T74" s="25">
        <f t="shared" ref="T74" si="36">T73*T84</f>
        <v>15116</v>
      </c>
      <c r="U74" s="25">
        <f t="shared" ref="U74" si="37">U73*U84</f>
        <v>15022</v>
      </c>
      <c r="V74" s="25">
        <f t="shared" ref="V74" si="38">V73*V84</f>
        <v>14936</v>
      </c>
      <c r="W74" s="25">
        <f t="shared" ref="W74" si="39">W73*W84</f>
        <v>14840</v>
      </c>
      <c r="X74" s="25">
        <f t="shared" ref="X74:Z74" si="40">X73*X84</f>
        <v>14776</v>
      </c>
      <c r="Y74" s="25">
        <f t="shared" si="40"/>
        <v>14681</v>
      </c>
      <c r="Z74" s="25">
        <f t="shared" si="40"/>
        <v>14687</v>
      </c>
      <c r="AA74" s="25">
        <f t="shared" ref="AA74" si="41">AA73*AA84</f>
        <v>14594</v>
      </c>
      <c r="AC74" s="24">
        <f>AA74</f>
        <v>14594</v>
      </c>
    </row>
    <row r="75" spans="1:31" x14ac:dyDescent="0.2">
      <c r="B75" s="20" t="s">
        <v>228</v>
      </c>
      <c r="C75" s="25"/>
      <c r="D75" s="25"/>
      <c r="E75" s="25"/>
      <c r="F75" s="25"/>
      <c r="G75" s="25"/>
      <c r="H75" s="25"/>
      <c r="I75" s="25"/>
      <c r="J75" s="25"/>
      <c r="K75" s="25"/>
      <c r="L75" s="25"/>
      <c r="M75" s="21">
        <v>164</v>
      </c>
      <c r="N75" s="21">
        <v>110</v>
      </c>
      <c r="O75" s="21">
        <v>68</v>
      </c>
      <c r="P75" s="21">
        <v>64</v>
      </c>
      <c r="Q75" s="21">
        <v>56</v>
      </c>
      <c r="T75" s="21">
        <v>64</v>
      </c>
      <c r="U75" s="21">
        <v>69</v>
      </c>
      <c r="V75" s="21">
        <v>62</v>
      </c>
      <c r="W75" s="21">
        <v>45</v>
      </c>
      <c r="X75" s="21">
        <v>56</v>
      </c>
      <c r="Y75" s="21">
        <v>62</v>
      </c>
      <c r="Z75" s="21">
        <v>53</v>
      </c>
      <c r="AA75" s="21">
        <v>59</v>
      </c>
      <c r="AC75" s="21">
        <f>AA75</f>
        <v>59</v>
      </c>
    </row>
    <row r="76" spans="1:31" x14ac:dyDescent="0.2">
      <c r="B76" s="20" t="s">
        <v>229</v>
      </c>
      <c r="C76" s="25"/>
      <c r="D76" s="25"/>
      <c r="E76" s="25"/>
      <c r="F76" s="25"/>
      <c r="G76" s="25"/>
      <c r="H76" s="25"/>
      <c r="I76" s="25"/>
      <c r="J76" s="25"/>
      <c r="K76" s="25"/>
      <c r="L76" s="25"/>
      <c r="M76" s="25">
        <f t="shared" ref="M76:P76" si="42">M75*M84</f>
        <v>164</v>
      </c>
      <c r="N76" s="25">
        <f t="shared" si="42"/>
        <v>110</v>
      </c>
      <c r="O76" s="25">
        <f t="shared" si="42"/>
        <v>68</v>
      </c>
      <c r="P76" s="25">
        <f t="shared" si="42"/>
        <v>64</v>
      </c>
      <c r="Q76" s="25">
        <f>Q75*Q84</f>
        <v>56</v>
      </c>
      <c r="T76" s="25">
        <f t="shared" ref="T76:Y76" si="43">T75*T84</f>
        <v>64</v>
      </c>
      <c r="U76" s="25">
        <f t="shared" si="43"/>
        <v>69</v>
      </c>
      <c r="V76" s="25">
        <f t="shared" si="43"/>
        <v>62</v>
      </c>
      <c r="W76" s="25">
        <f t="shared" si="43"/>
        <v>45</v>
      </c>
      <c r="X76" s="25">
        <f t="shared" si="43"/>
        <v>56</v>
      </c>
      <c r="Y76" s="25">
        <f t="shared" si="43"/>
        <v>62</v>
      </c>
      <c r="Z76" s="25">
        <f t="shared" ref="Z76:AA76" si="44">Z75*Z84</f>
        <v>53</v>
      </c>
      <c r="AA76" s="25">
        <f t="shared" si="44"/>
        <v>59</v>
      </c>
      <c r="AC76" s="24">
        <f>AA76</f>
        <v>59</v>
      </c>
    </row>
    <row r="77" spans="1:31" x14ac:dyDescent="0.2">
      <c r="B77" s="20" t="s">
        <v>230</v>
      </c>
      <c r="C77" s="25"/>
      <c r="D77" s="25"/>
      <c r="E77" s="25"/>
      <c r="F77" s="25"/>
      <c r="G77" s="25"/>
      <c r="H77" s="25"/>
      <c r="I77" s="25"/>
      <c r="J77" s="25"/>
      <c r="K77" s="25"/>
      <c r="L77" s="25"/>
      <c r="M77" s="25">
        <f t="shared" ref="M77:P77" si="45">M74+M76</f>
        <v>16570</v>
      </c>
      <c r="N77" s="25">
        <f t="shared" si="45"/>
        <v>16018</v>
      </c>
      <c r="O77" s="25">
        <f t="shared" si="45"/>
        <v>15621</v>
      </c>
      <c r="P77" s="25">
        <f t="shared" si="45"/>
        <v>15180</v>
      </c>
      <c r="Q77" s="25">
        <f>Q74+Q76</f>
        <v>14832</v>
      </c>
      <c r="T77" s="25">
        <f t="shared" ref="T77:Y77" si="46">T74+T76</f>
        <v>15180</v>
      </c>
      <c r="U77" s="25">
        <f t="shared" si="46"/>
        <v>15091</v>
      </c>
      <c r="V77" s="25">
        <f t="shared" si="46"/>
        <v>14998</v>
      </c>
      <c r="W77" s="25">
        <f t="shared" si="46"/>
        <v>14885</v>
      </c>
      <c r="X77" s="25">
        <f t="shared" si="46"/>
        <v>14832</v>
      </c>
      <c r="Y77" s="25">
        <f t="shared" si="46"/>
        <v>14743</v>
      </c>
      <c r="Z77" s="25">
        <f t="shared" ref="Z77:AA77" si="47">Z74+Z76</f>
        <v>14740</v>
      </c>
      <c r="AA77" s="25">
        <f t="shared" si="47"/>
        <v>14653</v>
      </c>
      <c r="AC77" s="24">
        <f>AA77</f>
        <v>14653</v>
      </c>
    </row>
    <row r="78" spans="1:31" x14ac:dyDescent="0.2">
      <c r="B78" s="20" t="s">
        <v>269</v>
      </c>
      <c r="C78" s="25"/>
      <c r="D78" s="25"/>
      <c r="E78" s="25"/>
      <c r="F78" s="25"/>
      <c r="G78" s="25"/>
      <c r="H78" s="25"/>
      <c r="I78" s="25"/>
      <c r="J78" s="25"/>
      <c r="K78" s="25"/>
      <c r="L78" s="25"/>
      <c r="M78" s="21">
        <v>10</v>
      </c>
      <c r="N78" s="21">
        <v>10</v>
      </c>
      <c r="O78" s="21">
        <v>10</v>
      </c>
      <c r="P78" s="21">
        <v>8</v>
      </c>
      <c r="Q78" s="21">
        <v>9</v>
      </c>
      <c r="T78" s="68"/>
      <c r="U78" s="68"/>
      <c r="V78" s="68"/>
      <c r="W78" s="68"/>
      <c r="X78" s="68"/>
      <c r="Y78" s="68"/>
      <c r="Z78" s="68"/>
      <c r="AA78" s="68"/>
      <c r="AC78" s="24">
        <f>Q78</f>
        <v>9</v>
      </c>
    </row>
    <row r="79" spans="1:31" x14ac:dyDescent="0.2">
      <c r="B79" s="20" t="s">
        <v>270</v>
      </c>
      <c r="C79" s="25"/>
      <c r="D79" s="25"/>
      <c r="E79" s="25"/>
      <c r="F79" s="25"/>
      <c r="G79" s="25"/>
      <c r="H79" s="25"/>
      <c r="I79" s="25"/>
      <c r="J79" s="25"/>
      <c r="K79" s="25"/>
      <c r="L79" s="25"/>
      <c r="M79" s="25">
        <f t="shared" ref="M79:P79" si="48">M78*M84</f>
        <v>10</v>
      </c>
      <c r="N79" s="25">
        <f t="shared" si="48"/>
        <v>10</v>
      </c>
      <c r="O79" s="25">
        <f t="shared" si="48"/>
        <v>10</v>
      </c>
      <c r="P79" s="25">
        <f t="shared" si="48"/>
        <v>8</v>
      </c>
      <c r="Q79" s="25">
        <f>Q78*Q84</f>
        <v>9</v>
      </c>
      <c r="T79" s="68"/>
      <c r="U79" s="68"/>
      <c r="V79" s="68"/>
      <c r="W79" s="68"/>
      <c r="X79" s="68"/>
      <c r="Y79" s="68"/>
      <c r="Z79" s="68"/>
      <c r="AA79" s="68"/>
      <c r="AC79" s="24">
        <f>Q79</f>
        <v>9</v>
      </c>
    </row>
    <row r="80" spans="1:31" x14ac:dyDescent="0.2">
      <c r="B80" s="23" t="s">
        <v>69</v>
      </c>
      <c r="C80" s="44"/>
      <c r="D80" s="44"/>
      <c r="E80" s="44"/>
      <c r="F80" s="44"/>
      <c r="G80" s="44"/>
      <c r="H80" s="44"/>
      <c r="I80" s="44"/>
      <c r="J80" s="44"/>
      <c r="K80" s="44"/>
      <c r="L80" s="44"/>
      <c r="M80" s="44">
        <v>0.85</v>
      </c>
      <c r="N80" s="44">
        <v>0.9</v>
      </c>
      <c r="O80" s="44">
        <v>0.94</v>
      </c>
      <c r="P80" s="44">
        <v>0.98</v>
      </c>
      <c r="Q80" s="44">
        <v>1.02</v>
      </c>
      <c r="T80" s="223">
        <v>0.25</v>
      </c>
      <c r="U80" s="223">
        <v>0.25</v>
      </c>
      <c r="V80" s="223">
        <v>0.25</v>
      </c>
      <c r="W80" s="223">
        <v>0.26</v>
      </c>
      <c r="X80" s="223">
        <v>0.26</v>
      </c>
      <c r="Y80" s="223">
        <v>0.26</v>
      </c>
      <c r="Z80" s="223">
        <v>0.26</v>
      </c>
      <c r="AA80" s="223">
        <v>0.27</v>
      </c>
      <c r="AC80" s="72">
        <f>SUM(X80:AA80)</f>
        <v>1.05</v>
      </c>
    </row>
    <row r="81" spans="1:31" x14ac:dyDescent="0.2">
      <c r="B81" s="23" t="s">
        <v>70</v>
      </c>
      <c r="C81" s="39"/>
      <c r="D81" s="45"/>
      <c r="E81" s="45"/>
      <c r="F81" s="45"/>
      <c r="G81" s="45"/>
      <c r="H81" s="45"/>
      <c r="I81" s="45"/>
      <c r="J81" s="45"/>
      <c r="K81" s="45"/>
      <c r="L81" s="45"/>
      <c r="M81" s="45">
        <f t="shared" ref="M81:Q81" si="49">M80/M84</f>
        <v>0.85</v>
      </c>
      <c r="N81" s="45">
        <f t="shared" si="49"/>
        <v>0.9</v>
      </c>
      <c r="O81" s="45">
        <f t="shared" si="49"/>
        <v>0.94</v>
      </c>
      <c r="P81" s="45">
        <f t="shared" si="49"/>
        <v>0.98</v>
      </c>
      <c r="Q81" s="45">
        <f t="shared" si="49"/>
        <v>1.02</v>
      </c>
      <c r="T81" s="45">
        <f t="shared" ref="T81" si="50">T80/T84</f>
        <v>0.25</v>
      </c>
      <c r="U81" s="45">
        <f t="shared" ref="U81" si="51">U80/U84</f>
        <v>0.25</v>
      </c>
      <c r="V81" s="45">
        <f t="shared" ref="V81" si="52">V80/V84</f>
        <v>0.25</v>
      </c>
      <c r="W81" s="45">
        <f t="shared" ref="W81" si="53">W80/W84</f>
        <v>0.26</v>
      </c>
      <c r="X81" s="45">
        <f t="shared" ref="X81:Z81" si="54">X80/X84</f>
        <v>0.26</v>
      </c>
      <c r="Y81" s="45">
        <f t="shared" si="54"/>
        <v>0.26</v>
      </c>
      <c r="Z81" s="45">
        <f t="shared" si="54"/>
        <v>0.26</v>
      </c>
      <c r="AA81" s="45">
        <f t="shared" ref="AA81" si="55">AA80/AA84</f>
        <v>0.27</v>
      </c>
      <c r="AC81" s="72">
        <f>SUM(X81:AA81)</f>
        <v>1.05</v>
      </c>
    </row>
    <row r="82" spans="1:31" x14ac:dyDescent="0.2">
      <c r="B82" s="20" t="s">
        <v>71</v>
      </c>
      <c r="C82" s="46">
        <f t="shared" ref="C82:Q82" si="56">IF(AND(C14&gt;0,C15&lt;0),-(C15)/C14,0)</f>
        <v>0</v>
      </c>
      <c r="D82" s="46">
        <f t="shared" si="56"/>
        <v>0</v>
      </c>
      <c r="E82" s="46">
        <f t="shared" si="56"/>
        <v>0</v>
      </c>
      <c r="F82" s="46">
        <f t="shared" si="56"/>
        <v>0</v>
      </c>
      <c r="G82" s="46">
        <f t="shared" si="56"/>
        <v>0</v>
      </c>
      <c r="H82" s="46">
        <f t="shared" si="56"/>
        <v>0</v>
      </c>
      <c r="I82" s="46">
        <f t="shared" si="56"/>
        <v>0</v>
      </c>
      <c r="J82" s="46">
        <f t="shared" si="56"/>
        <v>0</v>
      </c>
      <c r="K82" s="46">
        <f t="shared" si="56"/>
        <v>0</v>
      </c>
      <c r="L82" s="46">
        <f t="shared" si="56"/>
        <v>0</v>
      </c>
      <c r="M82" s="46">
        <f t="shared" si="56"/>
        <v>0.13302260844085087</v>
      </c>
      <c r="N82" s="46">
        <f t="shared" si="56"/>
        <v>0.16204461684424407</v>
      </c>
      <c r="O82" s="46">
        <f t="shared" si="56"/>
        <v>0.14719174228036858</v>
      </c>
      <c r="P82" s="46">
        <f t="shared" si="56"/>
        <v>0.24091185164189982</v>
      </c>
      <c r="Q82" s="46">
        <f t="shared" si="56"/>
        <v>0.15610002335586043</v>
      </c>
      <c r="T82" s="46">
        <f t="shared" ref="T82:Z82" si="57">IF(AND(T14&gt;0,T15&lt;0),-(T15)/T14,0)</f>
        <v>0.50233029381965555</v>
      </c>
      <c r="U82" s="46">
        <f t="shared" si="57"/>
        <v>0.14686267142588766</v>
      </c>
      <c r="V82" s="46">
        <f t="shared" si="57"/>
        <v>0.15455475946775846</v>
      </c>
      <c r="W82" s="46">
        <f t="shared" si="57"/>
        <v>0.16399700331775535</v>
      </c>
      <c r="X82" s="46">
        <f t="shared" si="57"/>
        <v>0.16272405804170223</v>
      </c>
      <c r="Y82" s="46">
        <f t="shared" si="57"/>
        <v>0.17460099603937101</v>
      </c>
      <c r="Z82" s="46">
        <f t="shared" si="57"/>
        <v>0.17455976334663578</v>
      </c>
      <c r="AA82" s="46">
        <f t="shared" ref="AA82" si="58">IF(AND(AA14&gt;0,AA15&lt;0),-(AA15)/AA14,0)</f>
        <v>0.17861968180439519</v>
      </c>
      <c r="AC82" s="46">
        <f>IF(AND(AC14&gt;0,AC15&lt;0),-(AC15)/AC14,0)</f>
        <v>0.17302733698510642</v>
      </c>
    </row>
    <row r="83" spans="1:31" x14ac:dyDescent="0.2">
      <c r="B83" s="20" t="s">
        <v>72</v>
      </c>
      <c r="C83" s="21"/>
      <c r="D83" s="21"/>
      <c r="E83" s="21"/>
      <c r="F83" s="21"/>
      <c r="G83" s="21"/>
      <c r="H83" s="21"/>
      <c r="I83" s="21"/>
      <c r="J83" s="21"/>
      <c r="K83" s="21"/>
      <c r="L83" s="21"/>
      <c r="M83" s="21">
        <v>154000</v>
      </c>
      <c r="N83" s="21">
        <v>164000</v>
      </c>
      <c r="O83" s="21">
        <v>161000</v>
      </c>
      <c r="P83" s="21">
        <v>164000</v>
      </c>
      <c r="Q83" s="21">
        <v>166000</v>
      </c>
      <c r="T83" s="68"/>
      <c r="U83" s="68"/>
      <c r="V83" s="68"/>
      <c r="W83" s="68"/>
      <c r="X83" s="68"/>
      <c r="Y83" s="68"/>
      <c r="Z83" s="68"/>
      <c r="AA83" s="68"/>
      <c r="AC83" s="21">
        <f>Q83</f>
        <v>166000</v>
      </c>
    </row>
    <row r="84" spans="1:31" x14ac:dyDescent="0.2">
      <c r="B84" s="20" t="s">
        <v>73</v>
      </c>
      <c r="C84" s="21"/>
      <c r="D84" s="21"/>
      <c r="E84" s="21"/>
      <c r="F84" s="21"/>
      <c r="G84" s="21"/>
      <c r="H84" s="21"/>
      <c r="I84" s="21"/>
      <c r="J84" s="21"/>
      <c r="K84" s="21"/>
      <c r="L84" s="21"/>
      <c r="M84" s="21">
        <v>1</v>
      </c>
      <c r="N84" s="21">
        <v>1</v>
      </c>
      <c r="O84" s="21">
        <v>1</v>
      </c>
      <c r="P84" s="21">
        <v>1</v>
      </c>
      <c r="Q84" s="21">
        <v>1</v>
      </c>
      <c r="T84" s="21">
        <v>1</v>
      </c>
      <c r="U84" s="21">
        <v>1</v>
      </c>
      <c r="V84" s="21">
        <v>1</v>
      </c>
      <c r="W84" s="21">
        <v>1</v>
      </c>
      <c r="X84" s="21">
        <v>1</v>
      </c>
      <c r="Y84" s="21">
        <v>1</v>
      </c>
      <c r="Z84" s="21">
        <v>1</v>
      </c>
      <c r="AA84" s="21">
        <v>1</v>
      </c>
      <c r="AC84" s="21">
        <v>1</v>
      </c>
    </row>
    <row r="86" spans="1:31" x14ac:dyDescent="0.2">
      <c r="B86" s="1"/>
    </row>
    <row r="87" spans="1:31" s="15" customFormat="1" ht="17" thickBot="1" x14ac:dyDescent="0.25">
      <c r="A87" s="11"/>
      <c r="B87" s="14" t="s">
        <v>74</v>
      </c>
      <c r="R87" s="1"/>
      <c r="S87" s="1"/>
      <c r="AB87" s="1"/>
      <c r="AD87" s="1"/>
      <c r="AE87" s="1"/>
    </row>
    <row r="88" spans="1:31" s="41" customFormat="1" x14ac:dyDescent="0.2">
      <c r="A88" s="16"/>
      <c r="B88" s="17" t="s">
        <v>19</v>
      </c>
      <c r="C88" s="47"/>
      <c r="D88" s="48"/>
      <c r="E88" s="48"/>
      <c r="F88" s="48"/>
      <c r="G88" s="48"/>
      <c r="H88" s="48"/>
      <c r="I88" s="48"/>
      <c r="J88" s="48"/>
      <c r="K88" s="48"/>
      <c r="L88" s="48"/>
      <c r="M88" s="48">
        <f t="shared" ref="M88:Q94" si="59">IF(L5=0,
IF(M5=0,0,IF(M5&gt;0,1,-1)),
(M5-L5)/ABS(L5)
)</f>
        <v>1</v>
      </c>
      <c r="N88" s="48">
        <f t="shared" si="59"/>
        <v>7.7937876041846058E-2</v>
      </c>
      <c r="O88" s="48">
        <f t="shared" si="59"/>
        <v>-2.8004605303199367E-2</v>
      </c>
      <c r="P88" s="48">
        <f t="shared" si="59"/>
        <v>2.0219940775141214E-2</v>
      </c>
      <c r="Q88" s="48">
        <f t="shared" si="59"/>
        <v>6.4255117828327393E-2</v>
      </c>
      <c r="R88" s="1"/>
      <c r="S88" s="1"/>
      <c r="T88" s="48">
        <f t="shared" ref="T88:T94" si="60">IF(S5=0,
IF(T5=0,0,IF(T5&gt;0,1,-1)),
(T5-S5)/ABS(S5)
)</f>
        <v>1</v>
      </c>
      <c r="U88" s="48">
        <f t="shared" ref="U88:U94" si="61">IF(T5=0,
IF(U5=0,0,IF(U5&gt;0,1,-1)),
(U5-T5)/ABS(T5)
)</f>
        <v>0.30938586326767092</v>
      </c>
      <c r="V88" s="48">
        <f t="shared" ref="V88:V94" si="62">IF(U5=0,
IF(V5=0,0,IF(V5&gt;0,1,-1)),
(V5-U5)/ABS(U5)
)</f>
        <v>-0.23283185840707965</v>
      </c>
      <c r="W88" s="48">
        <f t="shared" ref="W88:W94" si="63">IF(V5=0,
IF(W5=0,0,IF(W5&gt;0,1,-1)),
(W5-V5)/ABS(V5)
)</f>
        <v>-1.3873887100326136E-2</v>
      </c>
      <c r="X88" s="48">
        <f t="shared" ref="X88:X94" si="64">IF(W5=0,
IF(X5=0,0,IF(X5&gt;0,1,-1)),
(X5-W5)/ABS(W5)
)</f>
        <v>8.9646518354672675E-2</v>
      </c>
      <c r="Y88" s="48">
        <f t="shared" ref="Y88:Y94" si="65">IF(X5=0,
IF(Y5=0,0,IF(Y5&gt;0,1,-1)),
(Y5-X5)/ABS(X5)
)</f>
        <v>0.40296293404641542</v>
      </c>
      <c r="Z88" s="48">
        <f t="shared" ref="Z88:Z94" si="66">IF(Y5=0,
IF(Z5=0,0,IF(Z5&gt;0,1,-1)),
(Z5-Y5)/ABS(Y5)
)</f>
        <v>-0.22657836890286318</v>
      </c>
      <c r="AA88" s="48">
        <f t="shared" ref="AA88:AA94" si="67">IF(Z5=0,
IF(AA5=0,0,IF(AA5&gt;0,1,-1)),
(AA5-Z5)/ABS(Z5)
)</f>
        <v>-1.5892574471146927E-2</v>
      </c>
      <c r="AB88" s="1"/>
      <c r="AC88" s="67"/>
      <c r="AD88" s="1"/>
      <c r="AE88" s="1"/>
    </row>
    <row r="89" spans="1:31" x14ac:dyDescent="0.2">
      <c r="B89" s="20" t="s">
        <v>20</v>
      </c>
      <c r="C89" s="49"/>
      <c r="D89" s="50"/>
      <c r="E89" s="50"/>
      <c r="F89" s="50"/>
      <c r="G89" s="50"/>
      <c r="H89" s="50"/>
      <c r="I89" s="50"/>
      <c r="J89" s="50"/>
      <c r="K89" s="50"/>
      <c r="L89" s="50"/>
      <c r="M89" s="50">
        <f t="shared" si="59"/>
        <v>1</v>
      </c>
      <c r="N89" s="50">
        <f t="shared" si="59"/>
        <v>4.9605363858747961E-2</v>
      </c>
      <c r="O89" s="50">
        <f t="shared" si="59"/>
        <v>-4.2089771232766408E-2</v>
      </c>
      <c r="P89" s="50">
        <f t="shared" si="59"/>
        <v>-1.7675600199872046E-2</v>
      </c>
      <c r="Q89" s="50">
        <f t="shared" si="59"/>
        <v>5.0429755837833726E-2</v>
      </c>
      <c r="T89" s="50">
        <f t="shared" si="60"/>
        <v>1</v>
      </c>
      <c r="U89" s="50">
        <f t="shared" si="61"/>
        <v>0.29331452860864626</v>
      </c>
      <c r="V89" s="50">
        <f t="shared" si="62"/>
        <v>-0.23525937145020825</v>
      </c>
      <c r="W89" s="50">
        <f t="shared" si="63"/>
        <v>-3.4460904697773903E-3</v>
      </c>
      <c r="X89" s="50">
        <f t="shared" si="64"/>
        <v>7.5658809968599708E-2</v>
      </c>
      <c r="Y89" s="50">
        <f t="shared" si="65"/>
        <v>0.37690531177829101</v>
      </c>
      <c r="Z89" s="50">
        <f t="shared" si="66"/>
        <v>-0.24316672257631666</v>
      </c>
      <c r="AA89" s="50">
        <f t="shared" si="67"/>
        <v>-3.1133095757317875E-2</v>
      </c>
      <c r="AC89" s="68"/>
    </row>
    <row r="90" spans="1:31" s="41" customFormat="1" x14ac:dyDescent="0.2">
      <c r="A90" s="16"/>
      <c r="B90" s="17" t="s">
        <v>21</v>
      </c>
      <c r="C90" s="47"/>
      <c r="D90" s="48"/>
      <c r="E90" s="48"/>
      <c r="F90" s="48"/>
      <c r="G90" s="48"/>
      <c r="H90" s="48"/>
      <c r="I90" s="48"/>
      <c r="J90" s="48"/>
      <c r="K90" s="48"/>
      <c r="L90" s="48"/>
      <c r="M90" s="48">
        <f t="shared" si="59"/>
        <v>1</v>
      </c>
      <c r="N90" s="48">
        <f t="shared" si="59"/>
        <v>0.11741997958596143</v>
      </c>
      <c r="O90" s="48">
        <f t="shared" si="59"/>
        <v>-9.5677530418896602E-3</v>
      </c>
      <c r="P90" s="48">
        <f t="shared" si="59"/>
        <v>6.8194717052522058E-2</v>
      </c>
      <c r="Q90" s="48">
        <f t="shared" si="59"/>
        <v>8.0350669404426533E-2</v>
      </c>
      <c r="R90" s="1"/>
      <c r="S90" s="1"/>
      <c r="T90" s="48">
        <f t="shared" si="60"/>
        <v>1</v>
      </c>
      <c r="U90" s="48">
        <f t="shared" si="61"/>
        <v>0.32808404931744112</v>
      </c>
      <c r="V90" s="48">
        <f t="shared" si="62"/>
        <v>-0.23008151008151009</v>
      </c>
      <c r="W90" s="48">
        <f t="shared" si="63"/>
        <v>-2.5609022221231639E-2</v>
      </c>
      <c r="X90" s="48">
        <f t="shared" si="64"/>
        <v>0.10574591701358708</v>
      </c>
      <c r="Y90" s="48">
        <f t="shared" si="65"/>
        <v>0.43213835046854637</v>
      </c>
      <c r="Z90" s="48">
        <f t="shared" si="66"/>
        <v>-0.2087215264838006</v>
      </c>
      <c r="AA90" s="48">
        <f t="shared" si="67"/>
        <v>-2.0079954728829339E-4</v>
      </c>
      <c r="AB90" s="1"/>
      <c r="AC90" s="67"/>
      <c r="AD90" s="1"/>
      <c r="AE90" s="1"/>
    </row>
    <row r="91" spans="1:31" x14ac:dyDescent="0.2">
      <c r="B91" s="20" t="s">
        <v>22</v>
      </c>
      <c r="C91" s="49"/>
      <c r="D91" s="50"/>
      <c r="E91" s="50"/>
      <c r="F91" s="50"/>
      <c r="G91" s="50"/>
      <c r="H91" s="50"/>
      <c r="I91" s="50"/>
      <c r="J91" s="50"/>
      <c r="K91" s="50"/>
      <c r="L91" s="50"/>
      <c r="M91" s="50">
        <f t="shared" si="59"/>
        <v>1</v>
      </c>
      <c r="N91" s="50">
        <f t="shared" si="59"/>
        <v>0.19791001186456147</v>
      </c>
      <c r="O91" s="50">
        <f t="shared" si="59"/>
        <v>0.13957563521389663</v>
      </c>
      <c r="P91" s="50">
        <f t="shared" si="59"/>
        <v>4.8637807120173827E-2</v>
      </c>
      <c r="Q91" s="50">
        <f t="shared" si="59"/>
        <v>0.10137073637233025</v>
      </c>
      <c r="T91" s="50">
        <f t="shared" si="60"/>
        <v>1</v>
      </c>
      <c r="U91" s="50">
        <f t="shared" si="61"/>
        <v>6.4777849323889247E-2</v>
      </c>
      <c r="V91" s="50">
        <f t="shared" si="62"/>
        <v>3.4107402031930335E-2</v>
      </c>
      <c r="W91" s="50">
        <f t="shared" si="63"/>
        <v>3.6959064327485379E-2</v>
      </c>
      <c r="X91" s="50">
        <f t="shared" si="64"/>
        <v>0</v>
      </c>
      <c r="Y91" s="50">
        <f t="shared" si="65"/>
        <v>0.22794946988495376</v>
      </c>
      <c r="Z91" s="50">
        <f t="shared" si="66"/>
        <v>4.8865619546247817E-2</v>
      </c>
      <c r="AA91" s="50">
        <f t="shared" si="67"/>
        <v>2.7147736229091866E-2</v>
      </c>
      <c r="AC91" s="68"/>
    </row>
    <row r="92" spans="1:31" x14ac:dyDescent="0.2">
      <c r="B92" s="20" t="s">
        <v>361</v>
      </c>
      <c r="C92" s="49"/>
      <c r="D92" s="50"/>
      <c r="E92" s="50"/>
      <c r="F92" s="50"/>
      <c r="G92" s="50"/>
      <c r="H92" s="50"/>
      <c r="I92" s="50"/>
      <c r="J92" s="50"/>
      <c r="K92" s="50"/>
      <c r="L92" s="50"/>
      <c r="M92" s="50">
        <f t="shared" si="59"/>
        <v>1</v>
      </c>
      <c r="N92" s="50">
        <f t="shared" si="59"/>
        <v>0.14203795567287125</v>
      </c>
      <c r="O92" s="50">
        <f t="shared" si="59"/>
        <v>-6.4557264684785209E-3</v>
      </c>
      <c r="P92" s="50">
        <f t="shared" si="59"/>
        <v>4.6727097705759668E-2</v>
      </c>
      <c r="Q92" s="50">
        <f t="shared" si="59"/>
        <v>5.7631145342376518E-2</v>
      </c>
      <c r="T92" s="50">
        <f t="shared" si="60"/>
        <v>1</v>
      </c>
      <c r="U92" s="50">
        <f t="shared" si="61"/>
        <v>9.9954008891614293E-2</v>
      </c>
      <c r="V92" s="50">
        <f t="shared" si="62"/>
        <v>-6.2299651567944252E-2</v>
      </c>
      <c r="W92" s="50">
        <f t="shared" si="63"/>
        <v>-1.159334126040428E-2</v>
      </c>
      <c r="X92" s="50">
        <f t="shared" si="64"/>
        <v>5.9849624060150375E-2</v>
      </c>
      <c r="Y92" s="50">
        <f t="shared" si="65"/>
        <v>6.2996594778660611E-2</v>
      </c>
      <c r="Z92" s="50">
        <f t="shared" si="66"/>
        <v>-2.0021356113187399E-3</v>
      </c>
      <c r="AA92" s="50">
        <f t="shared" si="67"/>
        <v>-1.7520395880700815E-2</v>
      </c>
      <c r="AC92" s="68"/>
    </row>
    <row r="93" spans="1:31" x14ac:dyDescent="0.2">
      <c r="B93" s="23" t="s">
        <v>23</v>
      </c>
      <c r="C93" s="49"/>
      <c r="D93" s="50"/>
      <c r="E93" s="50"/>
      <c r="F93" s="50"/>
      <c r="G93" s="50"/>
      <c r="H93" s="50"/>
      <c r="I93" s="50"/>
      <c r="J93" s="50"/>
      <c r="K93" s="50"/>
      <c r="L93" s="50"/>
      <c r="M93" s="50">
        <f t="shared" si="59"/>
        <v>1</v>
      </c>
      <c r="N93" s="50">
        <f t="shared" si="59"/>
        <v>0.16993642764372138</v>
      </c>
      <c r="O93" s="50">
        <f t="shared" si="59"/>
        <v>6.8205278021228943E-2</v>
      </c>
      <c r="P93" s="50">
        <f t="shared" si="59"/>
        <v>4.7769249001768557E-2</v>
      </c>
      <c r="Q93" s="50">
        <f t="shared" si="59"/>
        <v>8.1507647867471764E-2</v>
      </c>
      <c r="T93" s="50">
        <f t="shared" si="60"/>
        <v>1</v>
      </c>
      <c r="U93" s="50">
        <f t="shared" si="61"/>
        <v>8.0837066069428892E-2</v>
      </c>
      <c r="V93" s="50">
        <f t="shared" si="62"/>
        <v>-1.0684452502752056E-2</v>
      </c>
      <c r="W93" s="50">
        <f t="shared" si="63"/>
        <v>1.5577955229742113E-2</v>
      </c>
      <c r="X93" s="50">
        <f t="shared" si="64"/>
        <v>2.5650940964166022E-2</v>
      </c>
      <c r="Y93" s="50">
        <f t="shared" si="65"/>
        <v>0.15489506095262034</v>
      </c>
      <c r="Z93" s="50">
        <f t="shared" si="66"/>
        <v>2.8129930899396048E-2</v>
      </c>
      <c r="AA93" s="50">
        <f t="shared" si="67"/>
        <v>9.4729043183742583E-3</v>
      </c>
      <c r="AC93" s="68"/>
    </row>
    <row r="94" spans="1:31" s="41" customFormat="1" x14ac:dyDescent="0.2">
      <c r="A94" s="16"/>
      <c r="B94" s="17" t="s">
        <v>24</v>
      </c>
      <c r="C94" s="47"/>
      <c r="D94" s="48"/>
      <c r="E94" s="48"/>
      <c r="F94" s="48"/>
      <c r="G94" s="48"/>
      <c r="H94" s="48"/>
      <c r="I94" s="48"/>
      <c r="J94" s="48"/>
      <c r="K94" s="48"/>
      <c r="L94" s="48"/>
      <c r="M94" s="48">
        <f t="shared" si="59"/>
        <v>1</v>
      </c>
      <c r="N94" s="48">
        <f t="shared" si="59"/>
        <v>9.6265225013538444E-2</v>
      </c>
      <c r="O94" s="48">
        <f t="shared" si="59"/>
        <v>-4.3001749876503931E-2</v>
      </c>
      <c r="P94" s="48">
        <f t="shared" si="59"/>
        <v>7.799581805933456E-2</v>
      </c>
      <c r="Q94" s="48">
        <f t="shared" si="59"/>
        <v>7.9811063498246987E-2</v>
      </c>
      <c r="R94" s="1"/>
      <c r="S94" s="1"/>
      <c r="T94" s="48">
        <f t="shared" si="60"/>
        <v>1</v>
      </c>
      <c r="U94" s="48">
        <f t="shared" si="61"/>
        <v>0.44746713527761822</v>
      </c>
      <c r="V94" s="48">
        <f t="shared" si="62"/>
        <v>-0.30918472170339933</v>
      </c>
      <c r="W94" s="48">
        <f t="shared" si="63"/>
        <v>-4.6875528067863055E-2</v>
      </c>
      <c r="X94" s="48">
        <f t="shared" si="64"/>
        <v>0.14981207006595276</v>
      </c>
      <c r="Y94" s="48">
        <f t="shared" si="65"/>
        <v>0.56819934005612605</v>
      </c>
      <c r="Z94" s="48">
        <f t="shared" si="66"/>
        <v>-0.29432470699284197</v>
      </c>
      <c r="AA94" s="48">
        <f t="shared" si="67"/>
        <v>-5.2946913752264175E-3</v>
      </c>
      <c r="AB94" s="1"/>
      <c r="AC94" s="67"/>
      <c r="AD94" s="1"/>
      <c r="AE94" s="1"/>
    </row>
    <row r="95" spans="1:31" s="53" customFormat="1" x14ac:dyDescent="0.2">
      <c r="A95" s="16"/>
      <c r="B95" s="51" t="s">
        <v>27</v>
      </c>
      <c r="C95" s="47"/>
      <c r="D95" s="52"/>
      <c r="E95" s="52"/>
      <c r="F95" s="52"/>
      <c r="G95" s="52"/>
      <c r="H95" s="52"/>
      <c r="I95" s="52"/>
      <c r="J95" s="52"/>
      <c r="K95" s="52"/>
      <c r="L95" s="52"/>
      <c r="M95" s="52">
        <f>IF(L14=0,
IF(M14=0,0,IF(M14&gt;0,1,-1)),
(M14-L14)/ABS(L14)
)</f>
        <v>1</v>
      </c>
      <c r="N95" s="52">
        <f>IF(M14=0,
IF(N14=0,0,IF(N14&gt;0,1,-1)),
(N14-M14)/ABS(M14)
)</f>
        <v>9.0616901846951203E-2</v>
      </c>
      <c r="O95" s="52">
        <f>IF(N14=0,
IF(O14=0,0,IF(O14&gt;0,1,-1)),
(O14-N14)/ABS(N14)
)</f>
        <v>-4.5061837233319059E-2</v>
      </c>
      <c r="P95" s="52">
        <f>IF(O14=0,
IF(P14=0,0,IF(P14&gt;0,1,-1)),
(P14-O14)/ABS(O14)
)</f>
        <v>8.5716044172469585E-2</v>
      </c>
      <c r="Q95" s="52">
        <f>IF(P14=0,
IF(Q14=0,0,IF(Q14&gt;0,1,-1)),
(Q14-P14)/ABS(P14)
)</f>
        <v>7.4859294651172206E-2</v>
      </c>
      <c r="R95" s="1"/>
      <c r="S95" s="1"/>
      <c r="T95" s="52">
        <f t="shared" ref="T95" si="68">IF(S14=0,
IF(T14=0,0,IF(T14&gt;0,1,-1)),
(T14-S14)/ABS(S14)
)</f>
        <v>1</v>
      </c>
      <c r="U95" s="52">
        <f t="shared" ref="U95" si="69">IF(T14=0,
IF(U14=0,0,IF(U14&gt;0,1,-1)),
(U14-T14)/ABS(T14)
)</f>
        <v>0.43816278284363391</v>
      </c>
      <c r="V95" s="52">
        <f t="shared" ref="V95" si="70">IF(U14=0,
IF(V14=0,0,IF(V14&gt;0,1,-1)),
(V14-U14)/ABS(U14)
)</f>
        <v>-0.311713319556641</v>
      </c>
      <c r="W95" s="52">
        <f t="shared" ref="W95" si="71">IF(V14=0,
IF(W14=0,0,IF(W14&gt;0,1,-1)),
(W14-V14)/ABS(V14)
)</f>
        <v>-4.3636983964517227E-2</v>
      </c>
      <c r="X95" s="52">
        <f t="shared" ref="X95" si="72">IF(W14=0,
IF(X14=0,0,IF(X14&gt;0,1,-1)),
(X14-W14)/ABS(W14)
)</f>
        <v>0.17027576611608577</v>
      </c>
      <c r="Y95" s="52">
        <f t="shared" ref="Y95" si="73">IF(X14=0,
IF(Y14=0,0,IF(Y14&gt;0,1,-1)),
(Y14-X14)/ABS(X14)
)</f>
        <v>0.55474942080234113</v>
      </c>
      <c r="Z95" s="52">
        <f t="shared" ref="Z95" si="74">IF(Y14=0,
IF(Z14=0,0,IF(Z14&gt;0,1,-1)),
(Z14-Y14)/ABS(Y14)
)</f>
        <v>-0.29741970903101839</v>
      </c>
      <c r="AA95" s="52">
        <f t="shared" ref="AA95" si="75">IF(Z14=0,
IF(AA14=0,0,IF(AA14&gt;0,1,-1)),
(AA14-Z14)/ABS(Z14)
)</f>
        <v>1.2111740574330924E-2</v>
      </c>
      <c r="AB95" s="1"/>
      <c r="AC95" s="67"/>
      <c r="AD95" s="1"/>
      <c r="AE95" s="1"/>
    </row>
    <row r="96" spans="1:31" s="53" customFormat="1" x14ac:dyDescent="0.2">
      <c r="A96" s="16"/>
      <c r="B96" s="51" t="s">
        <v>29</v>
      </c>
      <c r="C96" s="47"/>
      <c r="D96" s="52"/>
      <c r="E96" s="52"/>
      <c r="F96" s="52"/>
      <c r="G96" s="52"/>
      <c r="H96" s="52"/>
      <c r="I96" s="52"/>
      <c r="J96" s="52"/>
      <c r="K96" s="52"/>
      <c r="L96" s="52"/>
      <c r="M96" s="52">
        <f>IF(L17=0,
IF(M17=0,0,IF(M17&gt;0,1,-1)),
(M17-L17)/ABS(L17)
)</f>
        <v>1</v>
      </c>
      <c r="N96" s="52">
        <f>IF(M17=0,
IF(N17=0,0,IF(N17&gt;0,1,-1)),
(N17-M17)/ABS(M17)
)</f>
        <v>5.4108576256865229E-2</v>
      </c>
      <c r="O96" s="52">
        <f>IF(N17=0,
IF(O17=0,0,IF(O17&gt;0,1,-1)),
(O17-N17)/ABS(N17)
)</f>
        <v>-2.8135426790777834E-2</v>
      </c>
      <c r="P96" s="52">
        <f>IF(O17=0,
IF(P17=0,0,IF(P17&gt;0,1,-1)),
(P17-O17)/ABS(O17)
)</f>
        <v>-3.3599670086086914E-2</v>
      </c>
      <c r="Q96" s="52">
        <f>IF(P17=0,
IF(Q17=0,0,IF(Q17&gt;0,1,-1)),
(Q17-P17)/ABS(P17)
)</f>
        <v>0.19495177946573355</v>
      </c>
      <c r="R96" s="1"/>
      <c r="S96" s="1"/>
      <c r="T96" s="52">
        <f t="shared" ref="T96" si="76">IF(S17=0,
IF(T17=0,0,IF(T17&gt;0,1,-1)),
(T17-S17)/ABS(S17)
)</f>
        <v>1</v>
      </c>
      <c r="U96" s="52">
        <f t="shared" ref="U96" si="77">IF(T17=0,
IF(U17=0,0,IF(U17&gt;0,1,-1)),
(U17-T17)/ABS(T17)
)</f>
        <v>1.4653908794788273</v>
      </c>
      <c r="V96" s="52">
        <f t="shared" ref="V96" si="78">IF(U17=0,
IF(V17=0,0,IF(V17&gt;0,1,-1)),
(V17-U17)/ABS(U17)
)</f>
        <v>-0.31791907514450868</v>
      </c>
      <c r="W96" s="52">
        <f t="shared" ref="W96" si="79">IF(V17=0,
IF(W17=0,0,IF(W17&gt;0,1,-1)),
(W17-V17)/ABS(V17)
)</f>
        <v>-5.4317998385794999E-2</v>
      </c>
      <c r="X96" s="52">
        <f t="shared" ref="X96" si="80">IF(W17=0,
IF(X17=0,0,IF(X17&gt;0,1,-1)),
(X17-W17)/ABS(W17)
)</f>
        <v>0.17205769394896306</v>
      </c>
      <c r="Y96" s="52">
        <f t="shared" ref="Y96" si="81">IF(X17=0,
IF(Y17=0,0,IF(Y17&gt;0,1,-1)),
(Y17-X17)/ABS(X17)
)</f>
        <v>0.53269496832447394</v>
      </c>
      <c r="Z96" s="52">
        <f t="shared" ref="Z96" si="82">IF(Y17=0,
IF(Z17=0,0,IF(Z17&gt;0,1,-1)),
(Z17-Y17)/ABS(Y17)
)</f>
        <v>-0.29738461173005204</v>
      </c>
      <c r="AA96" s="52">
        <f t="shared" ref="AA96" si="83">IF(Z17=0,
IF(AA17=0,0,IF(AA17&gt;0,1,-1)),
(AA17-Z17)/ABS(Z17)
)</f>
        <v>7.1336804381635002E-3</v>
      </c>
      <c r="AB96" s="1"/>
      <c r="AC96" s="67"/>
      <c r="AD96" s="1"/>
      <c r="AE96" s="1"/>
    </row>
    <row r="97" spans="1:31" x14ac:dyDescent="0.2">
      <c r="B97" s="1"/>
    </row>
    <row r="98" spans="1:31" s="15" customFormat="1" ht="17" thickBot="1" x14ac:dyDescent="0.25">
      <c r="A98" s="11"/>
      <c r="B98" s="14" t="s">
        <v>75</v>
      </c>
      <c r="R98" s="1"/>
      <c r="S98" s="1"/>
      <c r="AB98" s="1"/>
      <c r="AD98" s="1"/>
      <c r="AE98" s="1"/>
    </row>
    <row r="99" spans="1:31" x14ac:dyDescent="0.2">
      <c r="B99" s="20" t="s">
        <v>76</v>
      </c>
      <c r="C99" s="50"/>
      <c r="D99" s="50"/>
      <c r="E99" s="50"/>
      <c r="F99" s="50"/>
      <c r="G99" s="50"/>
      <c r="H99" s="50"/>
      <c r="I99" s="50"/>
      <c r="J99" s="50"/>
      <c r="K99" s="50"/>
      <c r="L99" s="50"/>
      <c r="M99" s="50">
        <f>M7/M5</f>
        <v>0.41779359625167778</v>
      </c>
      <c r="N99" s="50">
        <f>N7/N5</f>
        <v>0.43309630561360085</v>
      </c>
      <c r="O99" s="50">
        <f>O7/O5</f>
        <v>0.44131129577207562</v>
      </c>
      <c r="P99" s="50">
        <f>P7/P5</f>
        <v>0.46206349815233932</v>
      </c>
      <c r="Q99" s="50">
        <f>Q7/Q5</f>
        <v>0.46905164107160452</v>
      </c>
      <c r="T99" s="50">
        <f t="shared" ref="T99:Z99" si="84">T7/T5</f>
        <v>0.4622247972190035</v>
      </c>
      <c r="U99" s="50">
        <f t="shared" si="84"/>
        <v>0.46882542236524538</v>
      </c>
      <c r="V99" s="50">
        <f t="shared" si="84"/>
        <v>0.47050619238876246</v>
      </c>
      <c r="W99" s="50">
        <f t="shared" si="84"/>
        <v>0.46490705687183631</v>
      </c>
      <c r="X99" s="50">
        <f t="shared" si="84"/>
        <v>0.47177600374758455</v>
      </c>
      <c r="Y99" s="50">
        <f t="shared" si="84"/>
        <v>0.4815868555051615</v>
      </c>
      <c r="Z99" s="50">
        <f t="shared" si="84"/>
        <v>0.4927057850050367</v>
      </c>
      <c r="AA99" s="50">
        <f t="shared" ref="AA99" si="85">AA7/AA5</f>
        <v>0.50056206987945195</v>
      </c>
      <c r="AC99" s="50">
        <f>AC7/AC5</f>
        <v>0.48652915559002019</v>
      </c>
    </row>
    <row r="100" spans="1:31" x14ac:dyDescent="0.2">
      <c r="B100" s="20" t="s">
        <v>77</v>
      </c>
      <c r="C100" s="50"/>
      <c r="D100" s="50"/>
      <c r="E100" s="50"/>
      <c r="F100" s="50"/>
      <c r="G100" s="50"/>
      <c r="H100" s="50"/>
      <c r="I100" s="50"/>
      <c r="J100" s="50"/>
      <c r="K100" s="50"/>
      <c r="L100" s="50"/>
      <c r="M100" s="50">
        <f>M11/M5</f>
        <v>0.29782377527561593</v>
      </c>
      <c r="N100" s="50">
        <f>N11/N5</f>
        <v>0.30288744395528594</v>
      </c>
      <c r="O100" s="50">
        <f>O11/O5</f>
        <v>0.29821412265024722</v>
      </c>
      <c r="P100" s="50">
        <f>P11/P5</f>
        <v>0.31510222870075566</v>
      </c>
      <c r="Q100" s="50">
        <f>Q11/Q5</f>
        <v>0.31970799762591884</v>
      </c>
      <c r="T100" s="50">
        <f t="shared" ref="T100:Z100" si="86">T11/T5</f>
        <v>0.31171389444854103</v>
      </c>
      <c r="U100" s="50">
        <f t="shared" si="86"/>
        <v>0.34458567980691873</v>
      </c>
      <c r="V100" s="50">
        <f t="shared" si="86"/>
        <v>0.31029058610094484</v>
      </c>
      <c r="W100" s="50">
        <f t="shared" si="86"/>
        <v>0.29990641881832492</v>
      </c>
      <c r="X100" s="50">
        <f t="shared" si="86"/>
        <v>0.31646594968086977</v>
      </c>
      <c r="Y100" s="50">
        <f t="shared" si="86"/>
        <v>0.35373827875010433</v>
      </c>
      <c r="Z100" s="50">
        <f t="shared" si="86"/>
        <v>0.32275327385235286</v>
      </c>
      <c r="AA100" s="50">
        <f t="shared" ref="AA100" si="87">AA11/AA5</f>
        <v>0.3262290137729969</v>
      </c>
      <c r="AC100" s="50">
        <f>AC11/AC5</f>
        <v>0.33172958487478121</v>
      </c>
    </row>
    <row r="101" spans="1:31" s="56" customFormat="1" x14ac:dyDescent="0.2">
      <c r="A101" s="1"/>
      <c r="B101" s="54" t="s">
        <v>78</v>
      </c>
      <c r="C101" s="55"/>
      <c r="D101" s="55"/>
      <c r="E101" s="55"/>
      <c r="F101" s="55"/>
      <c r="G101" s="55"/>
      <c r="H101" s="55"/>
      <c r="I101" s="55"/>
      <c r="J101" s="55"/>
      <c r="K101" s="55"/>
      <c r="L101" s="55"/>
      <c r="M101" s="55">
        <f>M109/M5</f>
        <v>0.25881793355694238</v>
      </c>
      <c r="N101" s="55">
        <f>N109/N5</f>
        <v>0.25309640705199732</v>
      </c>
      <c r="O101" s="55">
        <f>O109/O5</f>
        <v>0.25306234264320282</v>
      </c>
      <c r="P101" s="55">
        <f>P109/P5</f>
        <v>0.23971255769943867</v>
      </c>
      <c r="Q101" s="55">
        <f>Q109/Q5</f>
        <v>0.26915064121818238</v>
      </c>
      <c r="R101" s="1"/>
      <c r="S101" s="1"/>
      <c r="T101" s="55">
        <f t="shared" ref="T101:Z101" si="88">T109/T5</f>
        <v>0.15523016959865163</v>
      </c>
      <c r="U101" s="55">
        <f t="shared" si="88"/>
        <v>0.29227674979887369</v>
      </c>
      <c r="V101" s="55">
        <f t="shared" si="88"/>
        <v>0.25986010759341016</v>
      </c>
      <c r="W101" s="55">
        <f t="shared" si="88"/>
        <v>0.24920243311072354</v>
      </c>
      <c r="X101" s="55">
        <f t="shared" si="88"/>
        <v>0.26804988971951671</v>
      </c>
      <c r="Y101" s="55">
        <f t="shared" si="88"/>
        <v>0.29283647291243498</v>
      </c>
      <c r="Z101" s="55">
        <f t="shared" si="88"/>
        <v>0.26602748596920422</v>
      </c>
      <c r="AA101" s="55">
        <f t="shared" ref="AA101" si="89">AA109/AA5</f>
        <v>0.27225202665033771</v>
      </c>
      <c r="AB101" s="1"/>
      <c r="AC101" s="55">
        <f>AC109/AC5</f>
        <v>0.27618604910212224</v>
      </c>
      <c r="AD101" s="1"/>
      <c r="AE101" s="1"/>
    </row>
    <row r="102" spans="1:31" x14ac:dyDescent="0.2">
      <c r="B102" s="1"/>
    </row>
    <row r="103" spans="1:31" s="15" customFormat="1" ht="17" thickBot="1" x14ac:dyDescent="0.25">
      <c r="A103" s="11"/>
      <c r="B103" s="14" t="s">
        <v>106</v>
      </c>
      <c r="R103" s="1"/>
      <c r="S103" s="1"/>
      <c r="AB103" s="1"/>
      <c r="AD103" s="1"/>
      <c r="AE103" s="1"/>
    </row>
    <row r="104" spans="1:31" x14ac:dyDescent="0.2">
      <c r="B104" s="20" t="s">
        <v>71</v>
      </c>
      <c r="C104" s="81">
        <f t="shared" ref="C104:Q104" si="90">IF(AND(C82&gt;=0,C11&gt;=0),C82,0)</f>
        <v>0</v>
      </c>
      <c r="D104" s="81">
        <f t="shared" si="90"/>
        <v>0</v>
      </c>
      <c r="E104" s="81">
        <f t="shared" si="90"/>
        <v>0</v>
      </c>
      <c r="F104" s="81">
        <f t="shared" si="90"/>
        <v>0</v>
      </c>
      <c r="G104" s="81">
        <f t="shared" si="90"/>
        <v>0</v>
      </c>
      <c r="H104" s="81">
        <f t="shared" si="90"/>
        <v>0</v>
      </c>
      <c r="I104" s="81">
        <f t="shared" si="90"/>
        <v>0</v>
      </c>
      <c r="J104" s="81">
        <f t="shared" si="90"/>
        <v>0</v>
      </c>
      <c r="K104" s="81">
        <f t="shared" si="90"/>
        <v>0</v>
      </c>
      <c r="L104" s="81">
        <f t="shared" si="90"/>
        <v>0</v>
      </c>
      <c r="M104" s="81">
        <f t="shared" si="90"/>
        <v>0.13302260844085087</v>
      </c>
      <c r="N104" s="81">
        <f t="shared" si="90"/>
        <v>0.16204461684424407</v>
      </c>
      <c r="O104" s="81">
        <f t="shared" si="90"/>
        <v>0.14719174228036858</v>
      </c>
      <c r="P104" s="81">
        <f t="shared" si="90"/>
        <v>0.24091185164189982</v>
      </c>
      <c r="Q104" s="81">
        <f t="shared" si="90"/>
        <v>0.15610002335586043</v>
      </c>
      <c r="T104" s="81">
        <f t="shared" ref="T104:Z104" si="91">IF(AND(T82&gt;=0,T11&gt;=0),T82,0)</f>
        <v>0.50233029381965555</v>
      </c>
      <c r="U104" s="81">
        <f t="shared" si="91"/>
        <v>0.14686267142588766</v>
      </c>
      <c r="V104" s="81">
        <f t="shared" si="91"/>
        <v>0.15455475946775846</v>
      </c>
      <c r="W104" s="81">
        <f t="shared" si="91"/>
        <v>0.16399700331775535</v>
      </c>
      <c r="X104" s="81">
        <f t="shared" si="91"/>
        <v>0.16272405804170223</v>
      </c>
      <c r="Y104" s="81">
        <f t="shared" si="91"/>
        <v>0.17460099603937101</v>
      </c>
      <c r="Z104" s="81">
        <f t="shared" si="91"/>
        <v>0.17455976334663578</v>
      </c>
      <c r="AA104" s="81">
        <f t="shared" ref="AA104" si="92">IF(AND(AA82&gt;=0,AA11&gt;=0),AA82,0)</f>
        <v>0.17861968180439519</v>
      </c>
      <c r="AC104" s="81">
        <f>IF(AND(AC82&gt;=0,AC11&gt;=0),AC82,0)</f>
        <v>0.17302733698510642</v>
      </c>
    </row>
    <row r="105" spans="1:31" x14ac:dyDescent="0.2">
      <c r="B105" s="20" t="s">
        <v>175</v>
      </c>
      <c r="C105" s="25"/>
      <c r="D105" s="25"/>
      <c r="E105" s="25"/>
      <c r="F105" s="25"/>
      <c r="G105" s="25"/>
      <c r="H105" s="25"/>
      <c r="I105" s="25"/>
      <c r="J105" s="25"/>
      <c r="K105" s="25"/>
      <c r="L105" s="25"/>
      <c r="M105" s="25">
        <f>M28+M33</f>
        <v>190516</v>
      </c>
      <c r="N105" s="25">
        <f>N28+N33</f>
        <v>169109</v>
      </c>
      <c r="O105" s="25">
        <f>O28+O33</f>
        <v>162099</v>
      </c>
      <c r="P105" s="25">
        <f>P28+P33</f>
        <v>156650</v>
      </c>
      <c r="Q105" s="25">
        <f>Q28+Q33</f>
        <v>132420</v>
      </c>
      <c r="T105" s="25">
        <f t="shared" ref="T105:Z105" si="93">T28+T33</f>
        <v>156650</v>
      </c>
      <c r="U105" s="25">
        <f t="shared" si="93"/>
        <v>141368</v>
      </c>
      <c r="V105" s="25">
        <f t="shared" si="93"/>
        <v>132922</v>
      </c>
      <c r="W105" s="25">
        <f t="shared" si="93"/>
        <v>132986</v>
      </c>
      <c r="X105" s="25">
        <f t="shared" si="93"/>
        <v>132420</v>
      </c>
      <c r="Y105" s="25">
        <f t="shared" si="93"/>
        <v>144795</v>
      </c>
      <c r="Z105" s="25">
        <f t="shared" si="93"/>
        <v>146595</v>
      </c>
      <c r="AA105" s="25">
        <f t="shared" ref="AA105" si="94">AA28+AA33</f>
        <v>146517</v>
      </c>
      <c r="AC105" s="25">
        <f>AA105</f>
        <v>146517</v>
      </c>
    </row>
    <row r="106" spans="1:31" x14ac:dyDescent="0.2">
      <c r="B106" s="20" t="s">
        <v>166</v>
      </c>
      <c r="C106" s="25">
        <v>0</v>
      </c>
      <c r="D106" s="25">
        <v>0</v>
      </c>
      <c r="E106" s="25">
        <v>0</v>
      </c>
      <c r="F106" s="25">
        <v>0</v>
      </c>
      <c r="G106" s="25">
        <v>0</v>
      </c>
      <c r="H106" s="25">
        <v>0</v>
      </c>
      <c r="I106" s="25">
        <v>0</v>
      </c>
      <c r="J106" s="25">
        <v>0</v>
      </c>
      <c r="K106" s="25">
        <v>0</v>
      </c>
      <c r="L106" s="25">
        <v>0</v>
      </c>
      <c r="M106" s="25">
        <f>M38+M40</f>
        <v>124719</v>
      </c>
      <c r="N106" s="25">
        <f>N38+N40</f>
        <v>120069</v>
      </c>
      <c r="O106" s="25">
        <f>O38+O40</f>
        <v>111088</v>
      </c>
      <c r="P106" s="25">
        <f>P38+P40</f>
        <v>106629</v>
      </c>
      <c r="Q106" s="25">
        <f>Q38+Q40</f>
        <v>98657</v>
      </c>
      <c r="T106" s="25">
        <f t="shared" ref="T106:Z106" si="95">T38+T40</f>
        <v>106629</v>
      </c>
      <c r="U106" s="25">
        <f t="shared" si="95"/>
        <v>96799</v>
      </c>
      <c r="V106" s="25">
        <f t="shared" si="95"/>
        <v>98186</v>
      </c>
      <c r="W106" s="25">
        <f t="shared" si="95"/>
        <v>101698</v>
      </c>
      <c r="X106" s="25">
        <f t="shared" si="95"/>
        <v>98657</v>
      </c>
      <c r="Y106" s="25">
        <f t="shared" si="95"/>
        <v>90509</v>
      </c>
      <c r="Z106" s="25">
        <f t="shared" si="95"/>
        <v>84711</v>
      </c>
      <c r="AA106" s="25">
        <f t="shared" ref="AA106" si="96">AA38+AA40</f>
        <v>84344</v>
      </c>
      <c r="AC106" s="25">
        <f>AA106</f>
        <v>84344</v>
      </c>
    </row>
    <row r="107" spans="1:31" x14ac:dyDescent="0.2">
      <c r="B107" s="20" t="s">
        <v>159</v>
      </c>
      <c r="C107" s="25"/>
      <c r="D107" s="25"/>
      <c r="E107" s="25"/>
      <c r="F107" s="25"/>
      <c r="G107" s="25"/>
      <c r="H107" s="25"/>
      <c r="I107" s="25"/>
      <c r="J107" s="25"/>
      <c r="K107" s="25"/>
      <c r="L107" s="25"/>
      <c r="M107" s="126">
        <f>M11*(1-M104)</f>
        <v>94456.319832977737</v>
      </c>
      <c r="N107" s="126">
        <f>N11*(1-N104)</f>
        <v>100082.87709797402</v>
      </c>
      <c r="O107" s="126">
        <f>O11*(1-O104)</f>
        <v>97476.836665611598</v>
      </c>
      <c r="P107" s="126">
        <f>P11*(1-P104)</f>
        <v>93531.80528809168</v>
      </c>
      <c r="Q107" s="25">
        <f>Q11*(1-Q104)</f>
        <v>112280.89189250277</v>
      </c>
      <c r="T107" s="67"/>
      <c r="U107" s="67"/>
      <c r="V107" s="67"/>
      <c r="W107" s="67"/>
      <c r="X107" s="67"/>
      <c r="Y107" s="67"/>
      <c r="Z107" s="67"/>
      <c r="AA107" s="67"/>
      <c r="AC107" s="25">
        <f>AC11*(1-AC104)</f>
        <v>128064.1596218234</v>
      </c>
    </row>
    <row r="108" spans="1:31" x14ac:dyDescent="0.2">
      <c r="B108" s="20" t="s">
        <v>293</v>
      </c>
      <c r="C108" s="25"/>
      <c r="D108" s="25"/>
      <c r="E108" s="25"/>
      <c r="F108" s="25"/>
      <c r="G108" s="25"/>
      <c r="H108" s="25"/>
      <c r="I108" s="25"/>
      <c r="J108" s="25"/>
      <c r="K108" s="25"/>
      <c r="L108" s="25"/>
      <c r="M108" s="126">
        <f>M59+M60</f>
        <v>-11085</v>
      </c>
      <c r="N108" s="126">
        <f>N59+N60</f>
        <v>-10708</v>
      </c>
      <c r="O108" s="126">
        <f>O59+O60</f>
        <v>-10959</v>
      </c>
      <c r="P108" s="126">
        <f>P59+P60</f>
        <v>-9447</v>
      </c>
      <c r="Q108" s="126">
        <f>Q59+Q60</f>
        <v>-12715</v>
      </c>
      <c r="T108" s="126">
        <f t="shared" ref="T108:Z108" si="97">T59+T60</f>
        <v>0</v>
      </c>
      <c r="U108" s="126">
        <f t="shared" si="97"/>
        <v>-2940</v>
      </c>
      <c r="V108" s="126">
        <f t="shared" si="97"/>
        <v>-3071</v>
      </c>
      <c r="W108" s="126">
        <f t="shared" si="97"/>
        <v>-3462</v>
      </c>
      <c r="X108" s="126">
        <f t="shared" si="97"/>
        <v>-3242</v>
      </c>
      <c r="Y108" s="126">
        <f t="shared" si="97"/>
        <v>-2373</v>
      </c>
      <c r="Z108" s="126">
        <f t="shared" si="97"/>
        <v>-1971</v>
      </c>
      <c r="AA108" s="126">
        <f t="shared" ref="AA108" si="98">AA59+AA60</f>
        <v>-2455</v>
      </c>
      <c r="AC108" s="126">
        <f>AC59+AC60</f>
        <v>-10041</v>
      </c>
    </row>
    <row r="109" spans="1:31" x14ac:dyDescent="0.2">
      <c r="B109" s="20" t="s">
        <v>321</v>
      </c>
      <c r="C109" s="25"/>
      <c r="D109" s="25"/>
      <c r="E109" s="25"/>
      <c r="F109" s="25"/>
      <c r="G109" s="25"/>
      <c r="H109" s="25"/>
      <c r="I109" s="25"/>
      <c r="J109" s="25"/>
      <c r="K109" s="25"/>
      <c r="L109" s="25"/>
      <c r="M109" s="126">
        <f>M16+M17</f>
        <v>94680</v>
      </c>
      <c r="N109" s="126">
        <f>N16+N17</f>
        <v>99803</v>
      </c>
      <c r="O109" s="126">
        <f>O16+O17</f>
        <v>96995</v>
      </c>
      <c r="P109" s="126">
        <f>P16+P17</f>
        <v>93736</v>
      </c>
      <c r="Q109" s="126">
        <f>Q16+Q17</f>
        <v>112010</v>
      </c>
      <c r="T109" s="126">
        <f t="shared" ref="T109:Z109" si="99">T16+T17</f>
        <v>14736</v>
      </c>
      <c r="U109" s="126">
        <f t="shared" si="99"/>
        <v>36330</v>
      </c>
      <c r="V109" s="126">
        <f t="shared" si="99"/>
        <v>24780</v>
      </c>
      <c r="W109" s="126">
        <f t="shared" si="99"/>
        <v>23434</v>
      </c>
      <c r="X109" s="126">
        <f t="shared" si="99"/>
        <v>27466</v>
      </c>
      <c r="Y109" s="126">
        <f t="shared" si="99"/>
        <v>42097</v>
      </c>
      <c r="Z109" s="126">
        <f t="shared" si="99"/>
        <v>29578</v>
      </c>
      <c r="AA109" s="126">
        <f t="shared" ref="AA109" si="100">AA16+AA17</f>
        <v>29789</v>
      </c>
      <c r="AC109" s="126">
        <f>AC16+AC17</f>
        <v>128930</v>
      </c>
    </row>
    <row r="110" spans="1:31" x14ac:dyDescent="0.2">
      <c r="B110" s="20" t="s">
        <v>322</v>
      </c>
      <c r="C110" s="25"/>
      <c r="D110" s="25"/>
      <c r="E110" s="25"/>
      <c r="F110" s="25"/>
      <c r="G110" s="25"/>
      <c r="H110" s="25"/>
      <c r="I110" s="25"/>
      <c r="J110" s="25"/>
      <c r="K110" s="25"/>
      <c r="L110" s="25"/>
      <c r="M110" s="126">
        <f>M48+M47</f>
        <v>63090</v>
      </c>
      <c r="N110" s="126">
        <f>N48+N47</f>
        <v>50672</v>
      </c>
      <c r="O110" s="126">
        <f>O48+O47</f>
        <v>62146</v>
      </c>
      <c r="P110" s="126">
        <f>P48+P47</f>
        <v>56950</v>
      </c>
      <c r="Q110" s="126">
        <f>Q48+Q47</f>
        <v>73733</v>
      </c>
      <c r="T110" s="126">
        <f t="shared" ref="T110:Z110" si="101">T48+T47</f>
        <v>56950</v>
      </c>
      <c r="U110" s="126">
        <f t="shared" si="101"/>
        <v>66758</v>
      </c>
      <c r="V110" s="126">
        <f t="shared" si="101"/>
        <v>66796</v>
      </c>
      <c r="W110" s="126">
        <f t="shared" si="101"/>
        <v>65830</v>
      </c>
      <c r="X110" s="126">
        <f t="shared" si="101"/>
        <v>73733</v>
      </c>
      <c r="Y110" s="126">
        <f t="shared" si="101"/>
        <v>88190</v>
      </c>
      <c r="Z110" s="126">
        <f t="shared" si="101"/>
        <v>106491</v>
      </c>
      <c r="AA110" s="126">
        <f t="shared" ref="AA110" si="102">AA48+AA47</f>
        <v>107520</v>
      </c>
      <c r="AC110" s="126">
        <f>AC48+AC47</f>
        <v>107520</v>
      </c>
    </row>
    <row r="111" spans="1:31" x14ac:dyDescent="0.2">
      <c r="C111" s="57"/>
      <c r="D111" s="57"/>
      <c r="E111" s="57"/>
      <c r="F111" s="57"/>
      <c r="G111" s="57"/>
      <c r="H111" s="57"/>
      <c r="I111" s="57"/>
      <c r="J111" s="57"/>
      <c r="K111" s="57"/>
    </row>
    <row r="112" spans="1:31" x14ac:dyDescent="0.2">
      <c r="B112" s="1"/>
    </row>
    <row r="113" spans="1:31" s="15" customFormat="1" ht="17" thickBot="1" x14ac:dyDescent="0.25">
      <c r="A113" s="11"/>
      <c r="B113" s="14" t="s">
        <v>80</v>
      </c>
      <c r="R113" s="1"/>
      <c r="S113" s="1"/>
      <c r="AB113" s="1"/>
      <c r="AD113" s="1"/>
      <c r="AE113" s="1"/>
    </row>
    <row r="114" spans="1:31" x14ac:dyDescent="0.2">
      <c r="B114" s="20" t="s">
        <v>81</v>
      </c>
      <c r="C114" s="26"/>
      <c r="D114" s="26"/>
      <c r="E114" s="26"/>
      <c r="F114" s="26"/>
      <c r="G114" s="26"/>
      <c r="H114" s="26"/>
      <c r="I114" s="26"/>
      <c r="J114" s="26"/>
      <c r="K114" s="26"/>
      <c r="L114" s="26"/>
      <c r="M114" s="26">
        <v>146.91999999999999</v>
      </c>
      <c r="N114" s="26">
        <v>150.43</v>
      </c>
      <c r="O114" s="26">
        <v>171.21</v>
      </c>
      <c r="P114" s="26">
        <v>227.79</v>
      </c>
      <c r="Q114" s="26">
        <v>255.46</v>
      </c>
      <c r="T114" s="26">
        <v>227.79</v>
      </c>
      <c r="U114" s="26">
        <v>255.59</v>
      </c>
      <c r="V114" s="26">
        <v>217.73</v>
      </c>
      <c r="W114" s="26">
        <v>201.08</v>
      </c>
      <c r="X114" s="26">
        <v>255.46</v>
      </c>
      <c r="Y114" s="26">
        <v>272.89</v>
      </c>
      <c r="Z114" s="26">
        <v>248.8</v>
      </c>
      <c r="AA114" s="26">
        <v>283.77999999999997</v>
      </c>
      <c r="AC114" s="63">
        <f ca="1">Overview!C5</f>
        <v>347.72500000000002</v>
      </c>
    </row>
    <row r="115" spans="1:31" x14ac:dyDescent="0.2">
      <c r="B115" s="20" t="s">
        <v>334</v>
      </c>
      <c r="C115" s="26"/>
      <c r="D115" s="26"/>
      <c r="E115" s="26"/>
      <c r="F115" s="26"/>
      <c r="G115" s="26"/>
      <c r="H115" s="26"/>
      <c r="I115" s="26"/>
      <c r="J115" s="26"/>
      <c r="K115" s="26"/>
      <c r="L115" s="26"/>
      <c r="M115" s="65">
        <f>M114/M84</f>
        <v>146.91999999999999</v>
      </c>
      <c r="N115" s="65">
        <f>N114/N84</f>
        <v>150.43</v>
      </c>
      <c r="O115" s="65">
        <f>O114/O84</f>
        <v>171.21</v>
      </c>
      <c r="P115" s="65">
        <f>P114/P84</f>
        <v>227.79</v>
      </c>
      <c r="Q115" s="65">
        <f>Q114/Q84</f>
        <v>255.46</v>
      </c>
      <c r="T115" s="65">
        <f t="shared" ref="T115:Z115" si="103">T114/T84</f>
        <v>227.79</v>
      </c>
      <c r="U115" s="65">
        <f t="shared" si="103"/>
        <v>255.59</v>
      </c>
      <c r="V115" s="65">
        <f t="shared" si="103"/>
        <v>217.73</v>
      </c>
      <c r="W115" s="65">
        <f t="shared" si="103"/>
        <v>201.08</v>
      </c>
      <c r="X115" s="65">
        <f t="shared" si="103"/>
        <v>255.46</v>
      </c>
      <c r="Y115" s="65">
        <f t="shared" si="103"/>
        <v>272.89</v>
      </c>
      <c r="Z115" s="65">
        <f t="shared" si="103"/>
        <v>248.8</v>
      </c>
      <c r="AA115" s="65">
        <f t="shared" ref="AA115" si="104">AA114/AA84</f>
        <v>283.77999999999997</v>
      </c>
      <c r="AC115" s="65">
        <f ca="1">AC114/AC84</f>
        <v>347.72500000000002</v>
      </c>
    </row>
    <row r="117" spans="1:31" x14ac:dyDescent="0.2">
      <c r="B117" s="1"/>
    </row>
    <row r="118" spans="1:31" ht="17" thickBot="1" x14ac:dyDescent="0.25">
      <c r="B118" s="14" t="s">
        <v>103</v>
      </c>
      <c r="C118" s="15"/>
      <c r="D118" s="15"/>
      <c r="E118" s="15"/>
      <c r="F118" s="15"/>
      <c r="G118" s="15"/>
      <c r="H118" s="15"/>
      <c r="I118" s="15"/>
      <c r="J118" s="15"/>
      <c r="K118" s="15"/>
      <c r="L118" s="15"/>
      <c r="M118" s="15"/>
      <c r="N118" s="15"/>
      <c r="O118" s="15"/>
      <c r="P118" s="15"/>
      <c r="Q118" s="15"/>
      <c r="T118" s="15"/>
      <c r="U118" s="15"/>
      <c r="V118" s="15"/>
      <c r="W118" s="15"/>
      <c r="X118" s="15"/>
      <c r="Y118" s="15"/>
      <c r="Z118" s="15"/>
      <c r="AA118" s="15"/>
      <c r="AC118" s="15"/>
    </row>
    <row r="119" spans="1:31" x14ac:dyDescent="0.2">
      <c r="B119" s="20" t="s">
        <v>97</v>
      </c>
      <c r="M119" s="74">
        <f>M109/M5</f>
        <v>0.25881793355694238</v>
      </c>
      <c r="N119" s="74">
        <f>N109/N5</f>
        <v>0.25309640705199732</v>
      </c>
      <c r="O119" s="74">
        <f>O109/O5</f>
        <v>0.25306234264320282</v>
      </c>
      <c r="P119" s="74">
        <f>P109/P5</f>
        <v>0.23971255769943867</v>
      </c>
      <c r="Q119" s="74">
        <f>Q109/Q5</f>
        <v>0.26915064121818238</v>
      </c>
      <c r="T119" s="77"/>
      <c r="U119" s="77"/>
      <c r="V119" s="77"/>
      <c r="W119" s="77"/>
      <c r="X119" s="77"/>
      <c r="Y119" s="77"/>
      <c r="Z119" s="77"/>
      <c r="AA119" s="77"/>
      <c r="AC119" s="74">
        <f>AC109/AC5</f>
        <v>0.27618604910212224</v>
      </c>
    </row>
    <row r="120" spans="1:31" x14ac:dyDescent="0.2">
      <c r="B120" s="20" t="s">
        <v>98</v>
      </c>
      <c r="M120" s="75">
        <f>M5/M36</f>
        <v>1.0422077367080529</v>
      </c>
      <c r="N120" s="75">
        <f>N5/N36</f>
        <v>1.1178523337727317</v>
      </c>
      <c r="O120" s="75">
        <f>O5/O36</f>
        <v>1.0870773690166571</v>
      </c>
      <c r="P120" s="75">
        <f>P5/P36</f>
        <v>1.0713874732862074</v>
      </c>
      <c r="Q120" s="75">
        <f>Q5/Q36</f>
        <v>1.1584451663368045</v>
      </c>
      <c r="T120" s="78"/>
      <c r="U120" s="78"/>
      <c r="V120" s="78"/>
      <c r="W120" s="78"/>
      <c r="X120" s="78"/>
      <c r="Y120" s="78"/>
      <c r="Z120" s="78"/>
      <c r="AA120" s="78"/>
      <c r="AC120" s="75">
        <f>AC5/AC36</f>
        <v>1.2180130770796262</v>
      </c>
    </row>
    <row r="121" spans="1:31" x14ac:dyDescent="0.2">
      <c r="B121" s="32" t="s">
        <v>99</v>
      </c>
      <c r="M121" s="76">
        <f t="shared" ref="M121:P121" si="105">M119*M120</f>
        <v>0.26974205275183616</v>
      </c>
      <c r="N121" s="76">
        <f t="shared" si="105"/>
        <v>0.28292440929256846</v>
      </c>
      <c r="O121" s="76">
        <f t="shared" si="105"/>
        <v>0.2750983456377647</v>
      </c>
      <c r="P121" s="76">
        <f t="shared" si="105"/>
        <v>0.25682503150857577</v>
      </c>
      <c r="Q121" s="76">
        <f>Q119*Q120</f>
        <v>0.31179625933565486</v>
      </c>
      <c r="T121" s="79"/>
      <c r="U121" s="79"/>
      <c r="V121" s="79"/>
      <c r="W121" s="79"/>
      <c r="X121" s="79"/>
      <c r="Y121" s="79"/>
      <c r="Z121" s="79"/>
      <c r="AA121" s="79"/>
      <c r="AC121" s="76">
        <f>AC119*AC120</f>
        <v>0.33639821951334065</v>
      </c>
    </row>
    <row r="122" spans="1:31" x14ac:dyDescent="0.2">
      <c r="B122" s="20" t="s">
        <v>100</v>
      </c>
      <c r="M122" s="75">
        <f>M36/M48</f>
        <v>5.5635124425423994</v>
      </c>
      <c r="N122" s="75">
        <f>N36/N48</f>
        <v>6.9615369434796337</v>
      </c>
      <c r="O122" s="75">
        <f>O36/O48</f>
        <v>5.6734624915521517</v>
      </c>
      <c r="P122" s="75">
        <f>P36/P48</f>
        <v>6.408779631255487</v>
      </c>
      <c r="Q122" s="75">
        <f>Q36/Q48</f>
        <v>4.8721874872852045</v>
      </c>
      <c r="T122" s="80"/>
      <c r="U122" s="80"/>
      <c r="V122" s="80"/>
      <c r="W122" s="80"/>
      <c r="X122" s="80"/>
      <c r="Y122" s="80"/>
      <c r="Z122" s="80"/>
      <c r="AA122" s="80"/>
      <c r="AC122" s="75">
        <f>AC36/AC48</f>
        <v>3.5646019345238096</v>
      </c>
    </row>
    <row r="123" spans="1:31" x14ac:dyDescent="0.2">
      <c r="B123" s="32" t="s">
        <v>101</v>
      </c>
      <c r="M123" s="76">
        <f t="shared" ref="M123:P123" si="106">M121*M122</f>
        <v>1.5007132667617686</v>
      </c>
      <c r="N123" s="76">
        <f t="shared" si="106"/>
        <v>1.9695887275023678</v>
      </c>
      <c r="O123" s="76">
        <f t="shared" si="106"/>
        <v>1.5607601454639075</v>
      </c>
      <c r="P123" s="76">
        <f t="shared" si="106"/>
        <v>1.6459350307287091</v>
      </c>
      <c r="Q123" s="76">
        <f>Q121*Q122</f>
        <v>1.5191298333175103</v>
      </c>
      <c r="T123" s="79"/>
      <c r="U123" s="79"/>
      <c r="V123" s="79"/>
      <c r="W123" s="79"/>
      <c r="X123" s="79"/>
      <c r="Y123" s="79"/>
      <c r="Z123" s="79"/>
      <c r="AA123" s="79"/>
      <c r="AC123" s="76">
        <f>AC121*AC122</f>
        <v>1.1991257440476193</v>
      </c>
    </row>
    <row r="125" spans="1:31" x14ac:dyDescent="0.2">
      <c r="B125" s="1"/>
    </row>
    <row r="126" spans="1:31" ht="17" thickBot="1" x14ac:dyDescent="0.25">
      <c r="B126" s="14" t="s">
        <v>225</v>
      </c>
      <c r="C126" s="165"/>
      <c r="D126" s="165"/>
      <c r="E126" s="165"/>
      <c r="F126" s="165"/>
      <c r="G126" s="165"/>
      <c r="H126" s="165"/>
      <c r="I126" s="165"/>
      <c r="J126" s="165"/>
      <c r="K126" s="165"/>
      <c r="L126" s="165"/>
      <c r="M126" s="165"/>
      <c r="N126" s="165"/>
      <c r="O126" s="165"/>
      <c r="P126" s="165"/>
      <c r="Q126" s="165"/>
      <c r="T126" s="165"/>
      <c r="U126" s="165"/>
      <c r="V126" s="165"/>
      <c r="W126" s="165"/>
      <c r="X126" s="165"/>
      <c r="Y126" s="165"/>
      <c r="Z126" s="165"/>
      <c r="AA126" s="165"/>
      <c r="AC126" s="165"/>
    </row>
    <row r="128" spans="1:31" x14ac:dyDescent="0.2">
      <c r="B128" s="1"/>
    </row>
    <row r="129" spans="2:29" ht="17" thickBot="1" x14ac:dyDescent="0.25">
      <c r="B129" s="14" t="s">
        <v>242</v>
      </c>
      <c r="C129" s="165"/>
      <c r="D129" s="165"/>
      <c r="E129" s="165"/>
      <c r="F129" s="165"/>
      <c r="G129" s="165"/>
      <c r="H129" s="165"/>
      <c r="I129" s="165"/>
      <c r="J129" s="165"/>
      <c r="K129" s="165"/>
      <c r="L129" s="165"/>
      <c r="M129" s="165"/>
      <c r="N129" s="165"/>
      <c r="O129" s="165"/>
      <c r="P129" s="165"/>
      <c r="Q129" s="165"/>
      <c r="T129" s="165"/>
      <c r="U129" s="165"/>
      <c r="V129" s="165"/>
      <c r="W129" s="165"/>
      <c r="X129" s="165"/>
      <c r="Y129" s="165"/>
      <c r="Z129" s="165"/>
      <c r="AA129" s="165"/>
      <c r="AC129" s="165"/>
    </row>
    <row r="130" spans="2:29" x14ac:dyDescent="0.2">
      <c r="B130" s="20" t="s">
        <v>102</v>
      </c>
      <c r="C130" s="81"/>
      <c r="D130" s="81"/>
      <c r="E130" s="81"/>
      <c r="F130" s="81"/>
      <c r="G130" s="81"/>
      <c r="H130" s="81"/>
      <c r="I130" s="81"/>
      <c r="J130" s="81"/>
      <c r="K130" s="81"/>
      <c r="L130" s="81"/>
      <c r="M130" s="81">
        <f>M107/(M106+M110-M105)</f>
        <v>-34.893357899142124</v>
      </c>
      <c r="N130" s="81">
        <f>N107/(N106+N110-N105)</f>
        <v>61.325292339444864</v>
      </c>
      <c r="O130" s="81">
        <f>O107/(O106+O110-O105)</f>
        <v>8.7540939978097523</v>
      </c>
      <c r="P130" s="81">
        <f>P107/(P106+P110-P105)</f>
        <v>13.498600849775102</v>
      </c>
      <c r="Q130" s="81">
        <f>Q107/(Q106+Q110-Q105)</f>
        <v>2.8091291441706971</v>
      </c>
      <c r="T130" s="49"/>
      <c r="U130" s="49"/>
      <c r="V130" s="49"/>
      <c r="W130" s="49"/>
      <c r="X130" s="49"/>
      <c r="Y130" s="49"/>
      <c r="Z130" s="49"/>
      <c r="AA130" s="49"/>
      <c r="AC130" s="81">
        <f>AC107/(AC106+AC110-AC105)</f>
        <v>2.8240933164668753</v>
      </c>
    </row>
    <row r="131" spans="2:29" x14ac:dyDescent="0.2">
      <c r="B131" s="20" t="s">
        <v>136</v>
      </c>
      <c r="M131" s="118">
        <f t="shared" ref="M131:Q132" si="107">M29/M5*365</f>
        <v>26.219311841713207</v>
      </c>
      <c r="N131" s="118">
        <f t="shared" si="107"/>
        <v>26.087825363656648</v>
      </c>
      <c r="O131" s="118">
        <f t="shared" si="107"/>
        <v>28.100290906244702</v>
      </c>
      <c r="P131" s="118">
        <f t="shared" si="107"/>
        <v>31.185571624023428</v>
      </c>
      <c r="Q131" s="118">
        <f t="shared" si="107"/>
        <v>34.886990852098108</v>
      </c>
      <c r="T131" s="118">
        <f t="shared" ref="T131:Z131" si="108">T29/T5*90</f>
        <v>31.674918360897504</v>
      </c>
      <c r="U131" s="118">
        <f t="shared" si="108"/>
        <v>21.46025744167337</v>
      </c>
      <c r="V131" s="118">
        <f t="shared" si="108"/>
        <v>24.667204983273734</v>
      </c>
      <c r="W131" s="118">
        <f t="shared" si="108"/>
        <v>26.374260921349272</v>
      </c>
      <c r="X131" s="118">
        <f t="shared" si="108"/>
        <v>34.937735443952143</v>
      </c>
      <c r="Y131" s="118">
        <f t="shared" si="108"/>
        <v>24.992974206294001</v>
      </c>
      <c r="Z131" s="118">
        <f t="shared" si="108"/>
        <v>24.558479637357895</v>
      </c>
      <c r="AA131" s="118">
        <f t="shared" ref="AA131" si="109">AA29/AA5*90</f>
        <v>25.826151329318112</v>
      </c>
      <c r="AC131" s="118">
        <f>AC29/AC5*365</f>
        <v>24.549497346960194</v>
      </c>
    </row>
    <row r="132" spans="2:29" x14ac:dyDescent="0.2">
      <c r="B132" s="20" t="s">
        <v>137</v>
      </c>
      <c r="M132" s="118">
        <f t="shared" si="107"/>
        <v>11.27659274770989</v>
      </c>
      <c r="N132" s="118">
        <f t="shared" si="107"/>
        <v>8.0756980666171607</v>
      </c>
      <c r="O132" s="118">
        <f t="shared" si="107"/>
        <v>10.791292490321617</v>
      </c>
      <c r="P132" s="118">
        <f t="shared" si="107"/>
        <v>12.642570548414087</v>
      </c>
      <c r="Q132" s="118">
        <f t="shared" si="107"/>
        <v>9.4454652425778427</v>
      </c>
      <c r="T132" s="118">
        <f t="shared" ref="T132:Z132" si="110">T30/T6*365</f>
        <v>52.092809151632679</v>
      </c>
      <c r="U132" s="118">
        <f t="shared" si="110"/>
        <v>38.205452480121167</v>
      </c>
      <c r="V132" s="118">
        <f t="shared" si="110"/>
        <v>45.317773112572283</v>
      </c>
      <c r="W132" s="118">
        <f t="shared" si="110"/>
        <v>42.979152589530585</v>
      </c>
      <c r="X132" s="118">
        <f t="shared" si="110"/>
        <v>38.560184757505773</v>
      </c>
      <c r="Y132" s="118">
        <f t="shared" si="110"/>
        <v>28.773901375377392</v>
      </c>
      <c r="Z132" s="118">
        <f t="shared" si="110"/>
        <v>43.661773309930325</v>
      </c>
      <c r="AA132" s="118">
        <f t="shared" ref="AA132" si="111">AA30/AA6*365</f>
        <v>74.086043149669706</v>
      </c>
      <c r="AC132" s="118">
        <f>AC30/AC6*365</f>
        <v>16.890196078431373</v>
      </c>
    </row>
    <row r="133" spans="2:29" x14ac:dyDescent="0.2">
      <c r="B133" s="20" t="s">
        <v>138</v>
      </c>
      <c r="M133" s="118">
        <f>M37/M6*365</f>
        <v>93.851071222315596</v>
      </c>
      <c r="N133" s="118">
        <f>N37/N6*365</f>
        <v>104.68527730310539</v>
      </c>
      <c r="O133" s="118">
        <f>O37/O6*365</f>
        <v>106.72146803214764</v>
      </c>
      <c r="P133" s="118">
        <f>P37/P6*365</f>
        <v>119.65847721913744</v>
      </c>
      <c r="Q133" s="118">
        <f>Q37/Q6*365</f>
        <v>115.40052498189718</v>
      </c>
      <c r="T133" s="118">
        <f t="shared" ref="T133:Z133" si="112">T37/T6*90</f>
        <v>121.57254510195688</v>
      </c>
      <c r="U133" s="118">
        <f t="shared" si="112"/>
        <v>84.390761075350255</v>
      </c>
      <c r="V133" s="118">
        <f t="shared" si="112"/>
        <v>96.477461776122951</v>
      </c>
      <c r="W133" s="118">
        <f t="shared" si="112"/>
        <v>90.10016296355181</v>
      </c>
      <c r="X133" s="118">
        <f t="shared" si="112"/>
        <v>116.16443418013857</v>
      </c>
      <c r="Y133" s="118">
        <f t="shared" si="112"/>
        <v>85.244280442804424</v>
      </c>
      <c r="Z133" s="118">
        <f t="shared" si="112"/>
        <v>91.509494175841695</v>
      </c>
      <c r="AA133" s="118">
        <f t="shared" ref="AA133" si="113">AA37/AA6*90</f>
        <v>106.26841363661318</v>
      </c>
      <c r="AC133" s="118">
        <f>AC37/AC6*365</f>
        <v>98.254589069670416</v>
      </c>
    </row>
    <row r="134" spans="2:29" x14ac:dyDescent="0.2">
      <c r="B134" s="20" t="s">
        <v>139</v>
      </c>
      <c r="M134" s="118">
        <f>M131+M132-M133</f>
        <v>-56.355166632892498</v>
      </c>
      <c r="N134" s="118">
        <f t="shared" ref="N134:Q134" si="114">N131+N132-N133</f>
        <v>-70.521753872831582</v>
      </c>
      <c r="O134" s="118">
        <f t="shared" si="114"/>
        <v>-67.829884635581323</v>
      </c>
      <c r="P134" s="118">
        <f t="shared" si="114"/>
        <v>-75.830335046699929</v>
      </c>
      <c r="Q134" s="118">
        <f t="shared" si="114"/>
        <v>-71.06806888722123</v>
      </c>
      <c r="T134" s="118">
        <f t="shared" ref="T134" si="115">T131+T132-T133</f>
        <v>-37.80481758942669</v>
      </c>
      <c r="U134" s="118">
        <f t="shared" ref="U134" si="116">U131+U132-U133</f>
        <v>-24.725051153555718</v>
      </c>
      <c r="V134" s="118">
        <f t="shared" ref="V134" si="117">V131+V132-V133</f>
        <v>-26.492483680276933</v>
      </c>
      <c r="W134" s="118">
        <f t="shared" ref="W134" si="118">W131+W132-W133</f>
        <v>-20.746749452671949</v>
      </c>
      <c r="X134" s="118">
        <f t="shared" ref="X134:Z134" si="119">X131+X132-X133</f>
        <v>-42.666513978680655</v>
      </c>
      <c r="Y134" s="118">
        <f t="shared" si="119"/>
        <v>-31.477404861133031</v>
      </c>
      <c r="Z134" s="118">
        <f t="shared" si="119"/>
        <v>-23.289241228553479</v>
      </c>
      <c r="AA134" s="118">
        <f t="shared" ref="AA134" si="120">AA131+AA132-AA133</f>
        <v>-6.356219157625361</v>
      </c>
      <c r="AC134" s="118">
        <f t="shared" ref="AC134" si="121">AC131+AC132-AC133</f>
        <v>-56.814895644278849</v>
      </c>
    </row>
    <row r="135" spans="2:29" x14ac:dyDescent="0.2">
      <c r="B135" s="20" t="s">
        <v>245</v>
      </c>
      <c r="M135" s="118">
        <f>M106/M48</f>
        <v>1.9768426058012363</v>
      </c>
      <c r="N135" s="118">
        <f>N106/N48</f>
        <v>2.3695334701610355</v>
      </c>
      <c r="O135" s="118">
        <f>O106/O48</f>
        <v>1.7875325845589418</v>
      </c>
      <c r="P135" s="118">
        <f>P106/P48</f>
        <v>1.8723266022827041</v>
      </c>
      <c r="Q135" s="118">
        <f>Q106/Q48</f>
        <v>1.3380304612588665</v>
      </c>
      <c r="T135" s="118">
        <f t="shared" ref="T135:Z135" si="122">T106/T48</f>
        <v>1.8723266022827041</v>
      </c>
      <c r="U135" s="118">
        <f t="shared" si="122"/>
        <v>1.4499985020521886</v>
      </c>
      <c r="V135" s="118">
        <f t="shared" si="122"/>
        <v>1.4699383196598599</v>
      </c>
      <c r="W135" s="118">
        <f t="shared" si="122"/>
        <v>1.5448579674920249</v>
      </c>
      <c r="X135" s="118">
        <f t="shared" si="122"/>
        <v>1.3380304612588665</v>
      </c>
      <c r="Y135" s="118">
        <f t="shared" si="122"/>
        <v>1.0262954983558226</v>
      </c>
      <c r="Z135" s="118">
        <f t="shared" si="122"/>
        <v>0.7954756740006198</v>
      </c>
      <c r="AA135" s="118">
        <f t="shared" ref="AA135" si="123">AA106/AA48</f>
        <v>0.78444940476190472</v>
      </c>
      <c r="AC135" s="118">
        <f>AC106/AC48</f>
        <v>0.78444940476190472</v>
      </c>
    </row>
    <row r="136" spans="2:29" x14ac:dyDescent="0.2">
      <c r="B136" s="20" t="s">
        <v>249</v>
      </c>
      <c r="M136" s="173">
        <f>(M106-M105)/M48</f>
        <v>-1.0429069583135204</v>
      </c>
      <c r="N136" s="173">
        <f>(N106-N105)/N48</f>
        <v>-0.96779286390906216</v>
      </c>
      <c r="O136" s="173">
        <f>(O106-O105)/O48</f>
        <v>-0.82082515367038911</v>
      </c>
      <c r="P136" s="173">
        <f>(P106-P105)/P48</f>
        <v>-0.87833187006145741</v>
      </c>
      <c r="Q136" s="173">
        <f>(Q106-Q105)/Q48</f>
        <v>-0.45790894172215968</v>
      </c>
      <c r="T136" s="173">
        <f t="shared" ref="T136:Z136" si="124">(T106-T105)/T48</f>
        <v>-0.87833187006145741</v>
      </c>
      <c r="U136" s="173">
        <f t="shared" si="124"/>
        <v>-0.66762036010665393</v>
      </c>
      <c r="V136" s="173">
        <f t="shared" si="124"/>
        <v>-0.520031139589197</v>
      </c>
      <c r="W136" s="173">
        <f t="shared" si="124"/>
        <v>-0.47528482454807841</v>
      </c>
      <c r="X136" s="173">
        <f t="shared" si="124"/>
        <v>-0.45790894172215968</v>
      </c>
      <c r="Y136" s="173">
        <f t="shared" si="124"/>
        <v>-0.61555731942397096</v>
      </c>
      <c r="Z136" s="173">
        <f t="shared" si="124"/>
        <v>-0.58111953122799109</v>
      </c>
      <c r="AA136" s="173">
        <f t="shared" ref="AA136" si="125">(AA106-AA105)/AA48</f>
        <v>-0.57824590773809526</v>
      </c>
      <c r="AC136" s="173">
        <f>(AC106-AC105)/AC48</f>
        <v>-0.57824590773809526</v>
      </c>
    </row>
    <row r="137" spans="2:29" x14ac:dyDescent="0.2">
      <c r="B137" s="20" t="s">
        <v>246</v>
      </c>
      <c r="M137" s="118">
        <f>(M105+M29)/M39</f>
        <v>1.7277037957937855</v>
      </c>
      <c r="N137" s="118">
        <f>(N105+N29)/N39</f>
        <v>1.2812731358210701</v>
      </c>
      <c r="O137" s="118">
        <f>(O105+O29)/O39</f>
        <v>1.3186266413411512</v>
      </c>
      <c r="P137" s="118">
        <f>(P105+P29)/P39</f>
        <v>1.0774865073245952</v>
      </c>
      <c r="Q137" s="118">
        <f>(Q105+Q29)/Q39</f>
        <v>1.0396423374851327</v>
      </c>
      <c r="T137" s="118">
        <f t="shared" ref="T137:Z137" si="126">(T105+T29)/T39</f>
        <v>1.0774865073245952</v>
      </c>
      <c r="U137" s="118">
        <f t="shared" si="126"/>
        <v>1.1845461157482768</v>
      </c>
      <c r="V137" s="118">
        <f t="shared" si="126"/>
        <v>1.1002068187949174</v>
      </c>
      <c r="W137" s="118">
        <f t="shared" si="126"/>
        <v>1.1376346371882087</v>
      </c>
      <c r="X137" s="118">
        <f t="shared" si="126"/>
        <v>1.0413398564353142</v>
      </c>
      <c r="Y137" s="118">
        <f t="shared" si="126"/>
        <v>1.1376449648019611</v>
      </c>
      <c r="Z137" s="118">
        <f t="shared" si="126"/>
        <v>1.3141167994890115</v>
      </c>
      <c r="AA137" s="118">
        <f t="shared" ref="AA137" si="127">(AA105+AA29)/AA39</f>
        <v>1.1914535981677672</v>
      </c>
      <c r="AC137" s="118">
        <f>(AC105+AC29)/AC39</f>
        <v>1.1914535981677672</v>
      </c>
    </row>
    <row r="138" spans="2:29" x14ac:dyDescent="0.2">
      <c r="B138" s="20" t="s">
        <v>247</v>
      </c>
      <c r="M138" s="118">
        <f>M31/M39</f>
        <v>1.0746328129358229</v>
      </c>
      <c r="N138" s="118">
        <f>N31/N39</f>
        <v>0.87935602862672257</v>
      </c>
      <c r="O138" s="118">
        <f>O31/O39</f>
        <v>0.98801167175929749</v>
      </c>
      <c r="P138" s="118">
        <f>P31/P39</f>
        <v>0.86731257653408322</v>
      </c>
      <c r="Q138" s="118">
        <f>Q31/Q39</f>
        <v>0.89329292221866674</v>
      </c>
      <c r="T138" s="118">
        <f t="shared" ref="T138:Z138" si="128">T31/T39</f>
        <v>0.86731257653408322</v>
      </c>
      <c r="U138" s="118">
        <f t="shared" si="128"/>
        <v>0.92293838534270767</v>
      </c>
      <c r="V138" s="118">
        <f t="shared" si="128"/>
        <v>0.82087002234196349</v>
      </c>
      <c r="W138" s="118">
        <f t="shared" si="128"/>
        <v>0.86799178004535149</v>
      </c>
      <c r="X138" s="118">
        <f t="shared" si="128"/>
        <v>0.8947514831187523</v>
      </c>
      <c r="Y138" s="118">
        <f t="shared" si="128"/>
        <v>0.97374466486416578</v>
      </c>
      <c r="Z138" s="118">
        <f t="shared" si="128"/>
        <v>1.07035746912159</v>
      </c>
      <c r="AA138" s="118">
        <f t="shared" ref="AA138" si="129">AA31/AA39</f>
        <v>1.0032948046555858</v>
      </c>
      <c r="AC138" s="118">
        <f>AC31/AC39</f>
        <v>1.0032948046555858</v>
      </c>
    </row>
    <row r="139" spans="2:29" x14ac:dyDescent="0.2">
      <c r="B139" s="20" t="s">
        <v>253</v>
      </c>
      <c r="M139" s="175" t="str">
        <f>IF(M12&gt;=0,"N/A",IF(M11&lt;=0,"N/A",M11/-M12))</f>
        <v>N/A</v>
      </c>
      <c r="N139" s="175" t="str">
        <f>IF(N12&gt;=0,"N/A",IF(N11&lt;=0,"N/A",N11/-N12))</f>
        <v>N/A</v>
      </c>
      <c r="O139" s="175" t="str">
        <f>IF(O12&gt;=0,"N/A",IF(O11&lt;=0,"N/A",O11/-O12))</f>
        <v>N/A</v>
      </c>
      <c r="P139" s="175" t="str">
        <f>IF(P12&gt;=0,"N/A",IF(P11&lt;=0,"N/A",P11/-P12))</f>
        <v>N/A</v>
      </c>
      <c r="Q139" s="175" t="str">
        <f>IF(Q12&gt;=0,"N/A",IF(Q11&lt;=0,"N/A",Q11/-Q12))</f>
        <v>N/A</v>
      </c>
      <c r="T139" s="175" t="str">
        <f t="shared" ref="T139:Z139" si="130">IF(T12&gt;=0,"N/A",IF(T11&lt;=0,"N/A",T11/-T12))</f>
        <v>N/A</v>
      </c>
      <c r="U139" s="175" t="str">
        <f t="shared" si="130"/>
        <v>N/A</v>
      </c>
      <c r="V139" s="175" t="str">
        <f t="shared" si="130"/>
        <v>N/A</v>
      </c>
      <c r="W139" s="175" t="str">
        <f t="shared" si="130"/>
        <v>N/A</v>
      </c>
      <c r="X139" s="175" t="str">
        <f t="shared" si="130"/>
        <v>N/A</v>
      </c>
      <c r="Y139" s="175" t="str">
        <f t="shared" si="130"/>
        <v>N/A</v>
      </c>
      <c r="Z139" s="175" t="str">
        <f t="shared" si="130"/>
        <v>N/A</v>
      </c>
      <c r="AA139" s="175" t="str">
        <f t="shared" ref="AA139" si="131">IF(AA12&gt;=0,"N/A",IF(AA11&lt;=0,"N/A",AA11/-AA12))</f>
        <v>N/A</v>
      </c>
      <c r="AC139" s="175" t="str">
        <f>IF(AC12&gt;=0,"N/A",IF(AC11&lt;=0,"N/A",AC11/-AC12))</f>
        <v>N/A</v>
      </c>
    </row>
    <row r="140" spans="2:29" x14ac:dyDescent="0.2">
      <c r="B140" s="20" t="s">
        <v>231</v>
      </c>
      <c r="M140" s="72">
        <f>M115/Statement!M25</f>
        <v>26.188948306595361</v>
      </c>
      <c r="N140" s="72">
        <f>N115/Statement!N25</f>
        <v>24.620294599018003</v>
      </c>
      <c r="O140" s="72">
        <f>O115/Statement!O25</f>
        <v>27.929853181076673</v>
      </c>
      <c r="P140" s="72">
        <f>P115/Statement!P25</f>
        <v>37.465460526315788</v>
      </c>
      <c r="Q140" s="72">
        <f>Q115/Statement!Q25</f>
        <v>34.243967828418235</v>
      </c>
      <c r="T140" s="49"/>
      <c r="U140" s="49"/>
      <c r="V140" s="49"/>
      <c r="W140" s="49"/>
      <c r="X140" s="49"/>
      <c r="Y140" s="49"/>
      <c r="Z140" s="49"/>
      <c r="AA140" s="49"/>
      <c r="AC140" s="72">
        <f ca="1">AC115/Statement!AC25</f>
        <v>39.876720183486249</v>
      </c>
    </row>
    <row r="141" spans="2:29" x14ac:dyDescent="0.2">
      <c r="B141" s="20" t="s">
        <v>198</v>
      </c>
      <c r="M141" s="72">
        <f>M115/(Statement!M5/Statement!M21)</f>
        <v>6.7733478761238537</v>
      </c>
      <c r="N141" s="72">
        <f>N115/(Statement!N5/Statement!N21)</f>
        <v>6.2281151224361446</v>
      </c>
      <c r="O141" s="72">
        <f>O115/(Statement!O5/Statement!O21)</f>
        <v>7.0635264359419239</v>
      </c>
      <c r="P141" s="72">
        <f>P115/(Statement!P5/Statement!P21)</f>
        <v>8.9756372703210712</v>
      </c>
      <c r="Q141" s="72">
        <f>Q115/(Statement!Q5/Statement!Q21)</f>
        <v>9.2108037514327386</v>
      </c>
      <c r="T141" s="49"/>
      <c r="U141" s="49"/>
      <c r="V141" s="49"/>
      <c r="W141" s="49"/>
      <c r="X141" s="49"/>
      <c r="Y141" s="49"/>
      <c r="Z141" s="49"/>
      <c r="AA141" s="49"/>
      <c r="AC141" s="72">
        <f ca="1">AC115/(Statement!AC5/Statement!AC21)</f>
        <v>11.008328303768238</v>
      </c>
    </row>
    <row r="142" spans="2:29" x14ac:dyDescent="0.2">
      <c r="B142" s="20" t="s">
        <v>232</v>
      </c>
      <c r="M142" s="72">
        <f>M115/(Statement!M48/Statement!M74)</f>
        <v>38.205254715485808</v>
      </c>
      <c r="N142" s="72">
        <f>N115/(Statement!N48/Statement!N74)</f>
        <v>47.226090148405433</v>
      </c>
      <c r="O142" s="72">
        <f>O115/(Statement!O48/Statement!O74)</f>
        <v>42.847956907926502</v>
      </c>
      <c r="P142" s="72">
        <f>P115/(Statement!P48/Statement!P74)</f>
        <v>60.461345741878837</v>
      </c>
      <c r="Q142" s="72">
        <f>Q115/(Statement!Q48/Statement!Q74)</f>
        <v>51.193861093404578</v>
      </c>
      <c r="T142" s="72">
        <f>T115/(Statement!T48/Statement!T74)</f>
        <v>60.461345741878837</v>
      </c>
      <c r="U142" s="72">
        <f>U115/(Statement!U48/Statement!U74)</f>
        <v>57.513301476976537</v>
      </c>
      <c r="V142" s="72">
        <f>V115/(Statement!V48/Statement!V74)</f>
        <v>48.685778789149047</v>
      </c>
      <c r="W142" s="72">
        <f>W115/(Statement!W48/Statement!W74)</f>
        <v>45.329290596992251</v>
      </c>
      <c r="X142" s="72">
        <f>X115/(Statement!X48/Statement!X74)</f>
        <v>51.193861093404578</v>
      </c>
      <c r="Y142" s="72">
        <f>Y115/(Statement!Y48/Statement!Y74)</f>
        <v>45.428031409456857</v>
      </c>
      <c r="Z142" s="72">
        <f>Z115/(Statement!Z48/Statement!Z74)</f>
        <v>34.313938267083607</v>
      </c>
      <c r="AA142" s="72">
        <f>AA115/(Statement!AA48/Statement!AA74)</f>
        <v>38.518278645833327</v>
      </c>
      <c r="AC142" s="72">
        <f ca="1">AC115/(Statement!AC48/Statement!AC74)</f>
        <v>47.197718098958333</v>
      </c>
    </row>
    <row r="143" spans="2:29" x14ac:dyDescent="0.2">
      <c r="B143" s="20" t="s">
        <v>233</v>
      </c>
      <c r="M143" s="141">
        <f>Statement!M115*Statement!M77</f>
        <v>2434464.4</v>
      </c>
      <c r="N143" s="141">
        <f>Statement!N115*Statement!N77</f>
        <v>2409587.7400000002</v>
      </c>
      <c r="O143" s="141">
        <f>Statement!O115*Statement!O77</f>
        <v>2674471.41</v>
      </c>
      <c r="P143" s="141">
        <f>Statement!P115*Statement!P77</f>
        <v>3457852.1999999997</v>
      </c>
      <c r="Q143" s="141">
        <f>Statement!Q115*Statement!Q77</f>
        <v>3788982.72</v>
      </c>
      <c r="T143" s="141">
        <f>Statement!T115*Statement!T77</f>
        <v>3457852.1999999997</v>
      </c>
      <c r="U143" s="141">
        <f>Statement!U115*Statement!U77</f>
        <v>3857108.69</v>
      </c>
      <c r="V143" s="141">
        <f>Statement!V115*Statement!V77</f>
        <v>3265514.54</v>
      </c>
      <c r="W143" s="141">
        <f>Statement!W115*Statement!W77</f>
        <v>2993075.8000000003</v>
      </c>
      <c r="X143" s="141">
        <f>Statement!X115*Statement!X77</f>
        <v>3788982.72</v>
      </c>
      <c r="Y143" s="141">
        <f>Statement!Y115*Statement!Y77</f>
        <v>4023217.27</v>
      </c>
      <c r="Z143" s="141">
        <f>Statement!Z115*Statement!Z77</f>
        <v>3667312</v>
      </c>
      <c r="AA143" s="141">
        <f>Statement!AA115*Statement!AA77</f>
        <v>4158228.3399999994</v>
      </c>
      <c r="AC143" s="141">
        <f ca="1">Statement!AC115*Statement!AC77</f>
        <v>5095214.4250000007</v>
      </c>
    </row>
    <row r="144" spans="2:29" x14ac:dyDescent="0.2">
      <c r="B144" s="20" t="s">
        <v>185</v>
      </c>
      <c r="M144" s="141">
        <f>M143+M106-M105+M47+M44</f>
        <v>2368667.4</v>
      </c>
      <c r="N144" s="141">
        <f>N143+N106-N105+N47+N44</f>
        <v>2360547.7400000002</v>
      </c>
      <c r="O144" s="141">
        <f>O143+O106-O105+O47+O44</f>
        <v>2623460.41</v>
      </c>
      <c r="P144" s="141">
        <f>P143+P106-P105+P47+P44</f>
        <v>3407831.1999999997</v>
      </c>
      <c r="Q144" s="141">
        <f>Q143+Q106-Q105+Q47+Q44</f>
        <v>3755219.72</v>
      </c>
      <c r="T144" s="141">
        <f t="shared" ref="T144:Z144" si="132">T143+T106-T105+T47+T44</f>
        <v>3407831.1999999997</v>
      </c>
      <c r="U144" s="141">
        <f t="shared" si="132"/>
        <v>3812539.69</v>
      </c>
      <c r="V144" s="141">
        <f t="shared" si="132"/>
        <v>3230778.54</v>
      </c>
      <c r="W144" s="141">
        <f t="shared" si="132"/>
        <v>2961787.8000000003</v>
      </c>
      <c r="X144" s="141">
        <f t="shared" si="132"/>
        <v>3755219.72</v>
      </c>
      <c r="Y144" s="141">
        <f t="shared" si="132"/>
        <v>3968931.27</v>
      </c>
      <c r="Z144" s="141">
        <f t="shared" si="132"/>
        <v>3605428</v>
      </c>
      <c r="AA144" s="141">
        <f t="shared" ref="AA144" si="133">AA143+AA106-AA105+AA47+AA44</f>
        <v>4096055.34</v>
      </c>
      <c r="AC144" s="141">
        <f ca="1">AC143+AC106-AC105+AC47+AC44</f>
        <v>5033041.4250000007</v>
      </c>
    </row>
    <row r="145" spans="2:29" x14ac:dyDescent="0.2">
      <c r="B145" s="20" t="s">
        <v>254</v>
      </c>
      <c r="M145" s="177">
        <f>M144/M5</f>
        <v>6.4750063556368342</v>
      </c>
      <c r="N145" s="177">
        <f>N144/N5</f>
        <v>5.9862544379298459</v>
      </c>
      <c r="O145" s="177">
        <f>O144/O5</f>
        <v>6.8446727891777659</v>
      </c>
      <c r="P145" s="177">
        <f>P144/P5</f>
        <v>8.7149007122124615</v>
      </c>
      <c r="Q145" s="177">
        <f>Q144/Q5</f>
        <v>9.0234782211692117</v>
      </c>
      <c r="T145" s="49"/>
      <c r="U145" s="49"/>
      <c r="V145" s="49"/>
      <c r="W145" s="49"/>
      <c r="X145" s="49"/>
      <c r="Y145" s="49"/>
      <c r="Z145" s="49"/>
      <c r="AA145" s="49"/>
      <c r="AC145" s="177">
        <f ca="1">AC144/AC5</f>
        <v>10.781476973071166</v>
      </c>
    </row>
    <row r="146" spans="2:29" x14ac:dyDescent="0.2">
      <c r="B146" s="20" t="s">
        <v>201</v>
      </c>
      <c r="M146" s="177">
        <f>M144/M11</f>
        <v>21.741066003359368</v>
      </c>
      <c r="N146" s="177">
        <f>N144/N11</f>
        <v>19.763957065231043</v>
      </c>
      <c r="O146" s="177">
        <f>O144/O11</f>
        <v>22.95220872958242</v>
      </c>
      <c r="P146" s="177">
        <f>P144/P11</f>
        <v>27.657375665497984</v>
      </c>
      <c r="Q146" s="177">
        <f>Q144/Q11</f>
        <v>28.224124163848177</v>
      </c>
      <c r="T146" s="49"/>
      <c r="U146" s="49"/>
      <c r="V146" s="49"/>
      <c r="W146" s="49"/>
      <c r="X146" s="49"/>
      <c r="Y146" s="49"/>
      <c r="Z146" s="49"/>
      <c r="AA146" s="49"/>
      <c r="AC146" s="177">
        <f ca="1">AC144/AC11</f>
        <v>32.500800244093021</v>
      </c>
    </row>
    <row r="147" spans="2:29" x14ac:dyDescent="0.2">
      <c r="B147" s="20" t="s">
        <v>255</v>
      </c>
      <c r="M147" s="64">
        <f>M58-M53+M108+M64</f>
        <v>85047</v>
      </c>
      <c r="N147" s="64">
        <f>N58-N53+N108+N64</f>
        <v>102405</v>
      </c>
      <c r="O147" s="64">
        <f>O58-O53+O108+O64</f>
        <v>88751</v>
      </c>
      <c r="P147" s="64">
        <f>P58-P53+P108+P64</f>
        <v>97119</v>
      </c>
      <c r="Q147" s="64">
        <f>Q58-Q53+Q108+Q64</f>
        <v>85904</v>
      </c>
      <c r="T147" s="64">
        <f t="shared" ref="T147:Z147" si="134">T58-T53+T108+T64</f>
        <v>0</v>
      </c>
      <c r="U147" s="64">
        <f t="shared" si="134"/>
        <v>23709</v>
      </c>
      <c r="V147" s="64">
        <f t="shared" si="134"/>
        <v>17655</v>
      </c>
      <c r="W147" s="64">
        <f t="shared" si="134"/>
        <v>21237</v>
      </c>
      <c r="X147" s="64">
        <f t="shared" si="134"/>
        <v>23303</v>
      </c>
      <c r="Y147" s="64">
        <f t="shared" si="134"/>
        <v>47958</v>
      </c>
      <c r="Z147" s="64">
        <f t="shared" si="134"/>
        <v>23203</v>
      </c>
      <c r="AA147" s="64">
        <f t="shared" ref="AA147" si="135">AA58-AA53+AA108+AA64</f>
        <v>28513</v>
      </c>
      <c r="AC147" s="64">
        <f>AC58-AC53+AC108+AC64</f>
        <v>122977</v>
      </c>
    </row>
    <row r="148" spans="2:29" x14ac:dyDescent="0.2">
      <c r="B148" s="20" t="s">
        <v>256</v>
      </c>
      <c r="M148" s="64">
        <f>M107+M52+M108+M54+M56+M57+M55</f>
        <v>89744.319832977737</v>
      </c>
      <c r="N148" s="64">
        <f>N107+N52+N108+N54+N56+N57+N55</f>
        <v>101678.87709797402</v>
      </c>
      <c r="O148" s="64">
        <f>O107+O52+O108+O54+O56+O57+O55</f>
        <v>91459.836665611598</v>
      </c>
      <c r="P148" s="64">
        <f>P107+P52+P108+P54+P56+P57+P55</f>
        <v>99180.80528809168</v>
      </c>
      <c r="Q148" s="64">
        <f>Q107+Q52+Q108+Q54+Q56+Q57+Q55</f>
        <v>86263.891892502768</v>
      </c>
      <c r="T148" s="49"/>
      <c r="U148" s="49"/>
      <c r="V148" s="49"/>
      <c r="W148" s="49"/>
      <c r="X148" s="49"/>
      <c r="Y148" s="49"/>
      <c r="Z148" s="49"/>
      <c r="AA148" s="49"/>
      <c r="AC148" s="64">
        <f>AC107+AC52+AC108+AC54+AC56+AC57+AC55</f>
        <v>122489.1596218234</v>
      </c>
    </row>
    <row r="149" spans="2:29" x14ac:dyDescent="0.2">
      <c r="B149" s="20" t="s">
        <v>257</v>
      </c>
      <c r="M149" s="72">
        <f>M143/M147</f>
        <v>28.624929744729386</v>
      </c>
      <c r="N149" s="72">
        <f t="shared" ref="N149:Q149" si="136">N143/N147</f>
        <v>23.529981348566967</v>
      </c>
      <c r="O149" s="72">
        <f t="shared" si="136"/>
        <v>30.134549582539918</v>
      </c>
      <c r="P149" s="72">
        <f t="shared" si="136"/>
        <v>35.604281345565745</v>
      </c>
      <c r="Q149" s="72">
        <f t="shared" si="136"/>
        <v>44.107174520394864</v>
      </c>
      <c r="T149" s="49"/>
      <c r="U149" s="49"/>
      <c r="V149" s="49"/>
      <c r="W149" s="49"/>
      <c r="X149" s="49"/>
      <c r="Y149" s="49"/>
      <c r="Z149" s="49"/>
      <c r="AA149" s="49"/>
      <c r="AC149" s="72">
        <f t="shared" ref="AC149:AC150" ca="1" si="137">AC143/AC147</f>
        <v>41.432255015165445</v>
      </c>
    </row>
    <row r="150" spans="2:29" x14ac:dyDescent="0.2">
      <c r="B150" s="20" t="s">
        <v>258</v>
      </c>
      <c r="M150" s="72">
        <f>M144/M148</f>
        <v>26.393507738520981</v>
      </c>
      <c r="N150" s="72">
        <f t="shared" ref="N150:Q150" si="138">N144/N148</f>
        <v>23.215714092962134</v>
      </c>
      <c r="O150" s="72">
        <f t="shared" si="138"/>
        <v>28.684289253562675</v>
      </c>
      <c r="P150" s="72">
        <f t="shared" si="138"/>
        <v>34.359785546217651</v>
      </c>
      <c r="Q150" s="72">
        <f t="shared" si="138"/>
        <v>43.5317678998247</v>
      </c>
      <c r="T150" s="49"/>
      <c r="U150" s="49"/>
      <c r="V150" s="49"/>
      <c r="W150" s="49"/>
      <c r="X150" s="49"/>
      <c r="Y150" s="49"/>
      <c r="Z150" s="49"/>
      <c r="AA150" s="49"/>
      <c r="AC150" s="72">
        <f t="shared" ca="1" si="137"/>
        <v>41.089688593987901</v>
      </c>
    </row>
    <row r="151" spans="2:29" x14ac:dyDescent="0.2">
      <c r="B151" s="20" t="s">
        <v>259</v>
      </c>
      <c r="M151" s="74">
        <f>M147/M143</f>
        <v>3.4934583557681108E-2</v>
      </c>
      <c r="N151" s="74">
        <f t="shared" ref="N151:Q151" si="139">N147/N143</f>
        <v>4.2498971214055062E-2</v>
      </c>
      <c r="O151" s="74">
        <f t="shared" si="139"/>
        <v>3.3184501306746064E-2</v>
      </c>
      <c r="P151" s="74">
        <f t="shared" si="139"/>
        <v>2.8086509886107915E-2</v>
      </c>
      <c r="Q151" s="74">
        <f t="shared" si="139"/>
        <v>2.2672048501714993E-2</v>
      </c>
      <c r="T151" s="49"/>
      <c r="U151" s="49"/>
      <c r="V151" s="49"/>
      <c r="W151" s="49"/>
      <c r="X151" s="49"/>
      <c r="Y151" s="49"/>
      <c r="Z151" s="49"/>
      <c r="AA151" s="49"/>
      <c r="AC151" s="74">
        <f t="shared" ref="AC151" ca="1" si="140">AC147/AC143</f>
        <v>2.4135785021451767E-2</v>
      </c>
    </row>
    <row r="152" spans="2:29" x14ac:dyDescent="0.2">
      <c r="B152" s="20" t="s">
        <v>260</v>
      </c>
      <c r="M152" s="74">
        <f>M25/M115</f>
        <v>3.8184045739177788E-2</v>
      </c>
      <c r="N152" s="74">
        <f>N25/N115</f>
        <v>4.0616898225088079E-2</v>
      </c>
      <c r="O152" s="74">
        <f>O25/O115</f>
        <v>3.5803983412183868E-2</v>
      </c>
      <c r="P152" s="74">
        <f>P25/P115</f>
        <v>2.6691250713376358E-2</v>
      </c>
      <c r="Q152" s="74">
        <f>Q25/Q115</f>
        <v>2.9202223440068894E-2</v>
      </c>
      <c r="T152" s="49"/>
      <c r="U152" s="49"/>
      <c r="V152" s="49"/>
      <c r="W152" s="49"/>
      <c r="X152" s="49"/>
      <c r="Y152" s="49"/>
      <c r="Z152" s="49"/>
      <c r="AA152" s="49"/>
      <c r="AC152" s="74">
        <f ca="1">AC25/AC115</f>
        <v>2.5077288086850235E-2</v>
      </c>
    </row>
    <row r="153" spans="2:29" x14ac:dyDescent="0.2">
      <c r="B153" s="20" t="s">
        <v>261</v>
      </c>
      <c r="M153" s="149">
        <f>M81/M115</f>
        <v>5.7854614756329978E-3</v>
      </c>
      <c r="N153" s="149">
        <f>N81/N115</f>
        <v>5.9828491657249218E-3</v>
      </c>
      <c r="O153" s="149">
        <f>O81/O115</f>
        <v>5.4903335085567427E-3</v>
      </c>
      <c r="P153" s="149">
        <f>P81/P115</f>
        <v>4.3022081741955313E-3</v>
      </c>
      <c r="Q153" s="149">
        <f>Q81/Q115</f>
        <v>3.9927973068190712E-3</v>
      </c>
      <c r="T153" s="49"/>
      <c r="U153" s="49"/>
      <c r="V153" s="49"/>
      <c r="W153" s="49"/>
      <c r="X153" s="49"/>
      <c r="Y153" s="49"/>
      <c r="Z153" s="49"/>
      <c r="AA153" s="49"/>
      <c r="AC153" s="149">
        <f ca="1">AC81/AC115</f>
        <v>3.0196275792652239E-3</v>
      </c>
    </row>
    <row r="154" spans="2:29" x14ac:dyDescent="0.2">
      <c r="B154" s="20" t="s">
        <v>286</v>
      </c>
      <c r="M154" s="149">
        <f>-M62/M143</f>
        <v>3.5314133162103335E-2</v>
      </c>
      <c r="N154" s="149">
        <f>-N62/N143</f>
        <v>3.7102612416180368E-2</v>
      </c>
      <c r="O154" s="149">
        <f>-O62/O143</f>
        <v>2.8996383999483469E-2</v>
      </c>
      <c r="P154" s="149">
        <f>-P62/P143</f>
        <v>2.7458952699019355E-2</v>
      </c>
      <c r="Q154" s="149">
        <f>-Q62/Q143</f>
        <v>2.3940726760559097E-2</v>
      </c>
      <c r="T154" s="49"/>
      <c r="U154" s="49"/>
      <c r="V154" s="49"/>
      <c r="W154" s="49"/>
      <c r="X154" s="49"/>
      <c r="Y154" s="49"/>
      <c r="Z154" s="49"/>
      <c r="AA154" s="49"/>
      <c r="AC154" s="149">
        <f ca="1">-AC62/AC143</f>
        <v>1.613788805365144E-2</v>
      </c>
    </row>
    <row r="155" spans="2:29" x14ac:dyDescent="0.2">
      <c r="B155" s="20" t="s">
        <v>288</v>
      </c>
      <c r="M155" s="149">
        <f>-(M62+M63)/M143</f>
        <v>4.1256713386320212E-2</v>
      </c>
      <c r="N155" s="149">
        <f>-(N62+N63)/N143</f>
        <v>4.3261757299611757E-2</v>
      </c>
      <c r="O155" s="149">
        <f>-(O62+O63)/O143</f>
        <v>3.4614316553864377E-2</v>
      </c>
      <c r="P155" s="149">
        <f>-(P62+P63)/P143</f>
        <v>3.1864577670497315E-2</v>
      </c>
      <c r="Q155" s="149">
        <f>-(Q62+Q63)/Q143</f>
        <v>2.8010684619854901E-2</v>
      </c>
      <c r="T155" s="49"/>
      <c r="U155" s="49"/>
      <c r="V155" s="49"/>
      <c r="W155" s="49"/>
      <c r="X155" s="49"/>
      <c r="Y155" s="49"/>
      <c r="Z155" s="49"/>
      <c r="AA155" s="49"/>
      <c r="AC155" s="149">
        <f ca="1">-(AC62+AC63)/AC143</f>
        <v>1.9207435023698729E-2</v>
      </c>
    </row>
    <row r="156" spans="2:29" x14ac:dyDescent="0.2">
      <c r="B156" s="20" t="s">
        <v>335</v>
      </c>
      <c r="M156" s="149">
        <f>M148/M5</f>
        <v>0.24532572251420173</v>
      </c>
      <c r="N156" s="149">
        <f>N148/N5</f>
        <v>0.25785355617144617</v>
      </c>
      <c r="O156" s="149">
        <f>O148/O5</f>
        <v>0.23862096524938778</v>
      </c>
      <c r="P156" s="149">
        <f>P148/P5</f>
        <v>0.25363664451543133</v>
      </c>
      <c r="Q156" s="149">
        <f>Q148/Q5</f>
        <v>0.20728490149846518</v>
      </c>
      <c r="T156" s="49"/>
      <c r="U156" s="49"/>
      <c r="V156" s="49"/>
      <c r="W156" s="49"/>
      <c r="X156" s="49"/>
      <c r="Y156" s="49"/>
      <c r="Z156" s="49"/>
      <c r="AA156" s="49"/>
      <c r="AC156" s="149">
        <f>AC148/AC5</f>
        <v>0.26238887034662689</v>
      </c>
    </row>
    <row r="157" spans="2:29" x14ac:dyDescent="0.2">
      <c r="B157" s="20" t="s">
        <v>336</v>
      </c>
      <c r="M157" s="149">
        <f>M147/M5</f>
        <v>0.23248509500651965</v>
      </c>
      <c r="N157" s="149">
        <f>N147/N5</f>
        <v>0.25969497474183928</v>
      </c>
      <c r="O157" s="149">
        <f>O147/O5</f>
        <v>0.23155354370768488</v>
      </c>
      <c r="P157" s="149">
        <f>P147/P5</f>
        <v>0.24836395719053281</v>
      </c>
      <c r="Q157" s="149">
        <f>Q147/Q5</f>
        <v>0.20642011144725239</v>
      </c>
      <c r="T157" s="49"/>
      <c r="U157" s="49"/>
      <c r="V157" s="49"/>
      <c r="W157" s="49"/>
      <c r="X157" s="49"/>
      <c r="Y157" s="49"/>
      <c r="Z157" s="49"/>
      <c r="AA157" s="49"/>
      <c r="AC157" s="149">
        <f>AC147/AC5</f>
        <v>0.2634338925031543</v>
      </c>
    </row>
    <row r="158" spans="2:29" x14ac:dyDescent="0.2">
      <c r="B158" s="20" t="s">
        <v>264</v>
      </c>
      <c r="M158" s="149">
        <f>-M63/M147</f>
        <v>0.17010594142062624</v>
      </c>
      <c r="N158" s="149">
        <f>-N63/N147</f>
        <v>0.1449245642302622</v>
      </c>
      <c r="O158" s="149">
        <f>-O63/O147</f>
        <v>0.16929386711135649</v>
      </c>
      <c r="P158" s="149">
        <f>-P63/P147</f>
        <v>0.15685911098755134</v>
      </c>
      <c r="Q158" s="149">
        <f>-Q63/Q147</f>
        <v>0.17951434159061277</v>
      </c>
      <c r="T158" s="49"/>
      <c r="U158" s="49"/>
      <c r="V158" s="49"/>
      <c r="W158" s="49"/>
      <c r="X158" s="49"/>
      <c r="Y158" s="49"/>
      <c r="Z158" s="49"/>
      <c r="AA158" s="49"/>
      <c r="AC158" s="149">
        <f>-AC63/AC147</f>
        <v>0.12717825284402776</v>
      </c>
    </row>
    <row r="159" spans="2:29" x14ac:dyDescent="0.2">
      <c r="B159" s="20" t="s">
        <v>266</v>
      </c>
      <c r="M159" s="149">
        <f>-M62/M147</f>
        <v>1.0108645807612262</v>
      </c>
      <c r="N159" s="149">
        <f>-N62/N147</f>
        <v>0.87302377813583321</v>
      </c>
      <c r="O159" s="149">
        <f>-O62/O147</f>
        <v>0.87379297134680167</v>
      </c>
      <c r="P159" s="149">
        <f>-P62/P147</f>
        <v>0.97765627735046701</v>
      </c>
      <c r="Q159" s="149">
        <f>-Q62/Q147</f>
        <v>1.0559578133730676</v>
      </c>
      <c r="T159" s="49"/>
      <c r="U159" s="49"/>
      <c r="V159" s="49"/>
      <c r="W159" s="49"/>
      <c r="X159" s="49"/>
      <c r="Y159" s="49"/>
      <c r="Z159" s="49"/>
      <c r="AA159" s="49"/>
      <c r="AC159" s="149">
        <f>-AC62/AC147</f>
        <v>0.66862909324507835</v>
      </c>
    </row>
    <row r="160" spans="2:29" x14ac:dyDescent="0.2">
      <c r="B160" s="20" t="s">
        <v>277</v>
      </c>
      <c r="M160" s="149">
        <f>(-M63-M62)/M147</f>
        <v>1.1809705221818523</v>
      </c>
      <c r="N160" s="149">
        <f>(-N63-N62)/N147</f>
        <v>1.0179483423660953</v>
      </c>
      <c r="O160" s="149">
        <f>(-O63-O62)/O147</f>
        <v>1.0430868384581582</v>
      </c>
      <c r="P160" s="149">
        <f>(-P63-P62)/P147</f>
        <v>1.1345153883380183</v>
      </c>
      <c r="Q160" s="149">
        <f>(-Q63-Q62)/Q147</f>
        <v>1.2354721549636805</v>
      </c>
      <c r="T160" s="49"/>
      <c r="U160" s="49"/>
      <c r="V160" s="49"/>
      <c r="W160" s="49"/>
      <c r="X160" s="49"/>
      <c r="Y160" s="49"/>
      <c r="Z160" s="49"/>
      <c r="AA160" s="49"/>
      <c r="AC160" s="149">
        <f>(-AC63-AC62)/AC147</f>
        <v>0.79580734608910608</v>
      </c>
    </row>
    <row r="161" spans="1:31" x14ac:dyDescent="0.2">
      <c r="B161" s="20" t="s">
        <v>271</v>
      </c>
      <c r="M161" s="149">
        <f>M79/M77</f>
        <v>6.0350030175015089E-4</v>
      </c>
      <c r="N161" s="149">
        <f>N79/N77</f>
        <v>6.2429766512673245E-4</v>
      </c>
      <c r="O161" s="149">
        <f>O79/O77</f>
        <v>6.4016388195378021E-4</v>
      </c>
      <c r="P161" s="149">
        <f>P79/P77</f>
        <v>5.2700922266139653E-4</v>
      </c>
      <c r="Q161" s="149">
        <f>Q79/Q77</f>
        <v>6.0679611650485432E-4</v>
      </c>
      <c r="T161" s="49"/>
      <c r="U161" s="49"/>
      <c r="V161" s="49"/>
      <c r="W161" s="49"/>
      <c r="X161" s="49"/>
      <c r="Y161" s="49"/>
      <c r="Z161" s="49"/>
      <c r="AA161" s="49"/>
      <c r="AC161" s="149">
        <f>AC79/AC77</f>
        <v>6.1420869446529721E-4</v>
      </c>
    </row>
    <row r="162" spans="1:31" x14ac:dyDescent="0.2">
      <c r="B162" s="20" t="s">
        <v>272</v>
      </c>
      <c r="M162" s="72">
        <f>M105/M74</f>
        <v>11.612580763135439</v>
      </c>
      <c r="N162" s="72">
        <f>N105/N74</f>
        <v>10.630437515715363</v>
      </c>
      <c r="O162" s="72">
        <f>O105/O74</f>
        <v>10.422362245226001</v>
      </c>
      <c r="P162" s="72">
        <f>P105/P74</f>
        <v>10.363191320455147</v>
      </c>
      <c r="Q162" s="72">
        <f>Q105/Q74</f>
        <v>8.9618299945858144</v>
      </c>
      <c r="T162" s="72">
        <f t="shared" ref="T162:Z162" si="141">T105/T74</f>
        <v>10.363191320455147</v>
      </c>
      <c r="U162" s="72">
        <f t="shared" si="141"/>
        <v>9.4107309279723079</v>
      </c>
      <c r="V162" s="72">
        <f t="shared" si="141"/>
        <v>8.8994376004284952</v>
      </c>
      <c r="W162" s="72">
        <f t="shared" si="141"/>
        <v>8.9613207547169811</v>
      </c>
      <c r="X162" s="72">
        <f t="shared" si="141"/>
        <v>8.9618299945858144</v>
      </c>
      <c r="Y162" s="72">
        <f t="shared" si="141"/>
        <v>9.8627477692255301</v>
      </c>
      <c r="Z162" s="72">
        <f t="shared" si="141"/>
        <v>9.981275958330496</v>
      </c>
      <c r="AA162" s="72">
        <f t="shared" ref="AA162" si="142">AA105/AA74</f>
        <v>10.039536795943539</v>
      </c>
      <c r="AC162" s="72">
        <f>AC105/AC74</f>
        <v>10.039536795943539</v>
      </c>
    </row>
    <row r="163" spans="1:31" x14ac:dyDescent="0.2">
      <c r="B163" s="20" t="s">
        <v>274</v>
      </c>
      <c r="M163" s="149">
        <f>M53/M58</f>
        <v>7.59914646571445E-2</v>
      </c>
      <c r="N163" s="149">
        <f>N53/N58</f>
        <v>7.3990388944830579E-2</v>
      </c>
      <c r="O163" s="149">
        <f>O53/O58</f>
        <v>9.7998064101752255E-2</v>
      </c>
      <c r="P163" s="149">
        <f>P53/P58</f>
        <v>9.8838094271652549E-2</v>
      </c>
      <c r="Q163" s="149">
        <f>Q53/Q58</f>
        <v>0.11538185536678566</v>
      </c>
      <c r="T163" s="149" t="e">
        <f t="shared" ref="T163:Z163" si="143">T53/T58</f>
        <v>#DIV/0!</v>
      </c>
      <c r="U163" s="149">
        <f t="shared" si="143"/>
        <v>0.1097711708702188</v>
      </c>
      <c r="V163" s="149">
        <f t="shared" si="143"/>
        <v>0.13468603874415497</v>
      </c>
      <c r="W163" s="149">
        <f t="shared" si="143"/>
        <v>0.11368285068360426</v>
      </c>
      <c r="X163" s="149">
        <f t="shared" si="143"/>
        <v>0.10707077502691066</v>
      </c>
      <c r="Y163" s="149">
        <f t="shared" si="143"/>
        <v>6.6648122392211406E-2</v>
      </c>
      <c r="Z163" s="149">
        <f t="shared" si="143"/>
        <v>0.12291826353564211</v>
      </c>
      <c r="AA163" s="149">
        <f t="shared" ref="AA163" si="144">AA53/AA58</f>
        <v>9.8955454042887483E-2</v>
      </c>
      <c r="AC163" s="149">
        <f>AC53/AC58</f>
        <v>9.3413483819961285E-2</v>
      </c>
    </row>
    <row r="164" spans="1:31" x14ac:dyDescent="0.2">
      <c r="B164" s="20" t="s">
        <v>275</v>
      </c>
      <c r="M164" s="149">
        <f>M53/M5</f>
        <v>2.1611898845597662E-2</v>
      </c>
      <c r="N164" s="149">
        <f>N53/N5</f>
        <v>2.2920005680550203E-2</v>
      </c>
      <c r="O164" s="149">
        <f>O53/O5</f>
        <v>2.8263563666723196E-2</v>
      </c>
      <c r="P164" s="149">
        <f>P53/P5</f>
        <v>2.9889907553032339E-2</v>
      </c>
      <c r="Q164" s="149">
        <f>Q53/Q5</f>
        <v>3.0908710811440764E-2</v>
      </c>
      <c r="T164" s="149">
        <f t="shared" ref="T164:Z164" si="145">T53/T5</f>
        <v>0</v>
      </c>
      <c r="U164" s="149">
        <f t="shared" si="145"/>
        <v>2.6436041834271923E-2</v>
      </c>
      <c r="V164" s="149">
        <f t="shared" si="145"/>
        <v>3.3830052748036368E-2</v>
      </c>
      <c r="W164" s="149">
        <f t="shared" si="145"/>
        <v>3.3689225403037135E-2</v>
      </c>
      <c r="X164" s="149">
        <f t="shared" si="145"/>
        <v>3.106396268030371E-2</v>
      </c>
      <c r="Y164" s="149">
        <f t="shared" si="145"/>
        <v>2.5000695623139207E-2</v>
      </c>
      <c r="Z164" s="149">
        <f t="shared" si="145"/>
        <v>3.1731184343070942E-2</v>
      </c>
      <c r="AA164" s="149">
        <f t="shared" ref="AA164" si="146">AA53/AA5</f>
        <v>3.108292130107753E-2</v>
      </c>
      <c r="AC164" s="149">
        <f>AC53/AC5</f>
        <v>2.9360164344944442E-2</v>
      </c>
    </row>
    <row r="165" spans="1:31" x14ac:dyDescent="0.2">
      <c r="B165" s="20" t="s">
        <v>280</v>
      </c>
      <c r="M165" s="72">
        <f>(M105-M106)/M74</f>
        <v>4.0105449225892968</v>
      </c>
      <c r="N165" s="72">
        <f>(N105-N106)/N74</f>
        <v>3.0827256726175509</v>
      </c>
      <c r="O165" s="72">
        <f>(O105-O106)/O74</f>
        <v>3.2798173985726224</v>
      </c>
      <c r="P165" s="72">
        <f>(P105-P106)/P74</f>
        <v>3.3091426303254829</v>
      </c>
      <c r="Q165" s="72">
        <f>(Q105-Q106)/Q74</f>
        <v>2.2849891716296695</v>
      </c>
      <c r="T165" s="72">
        <f t="shared" ref="T165:Z165" si="147">(T105-T106)/T74</f>
        <v>3.3091426303254829</v>
      </c>
      <c r="U165" s="72">
        <f t="shared" si="147"/>
        <v>2.966915191053122</v>
      </c>
      <c r="V165" s="72">
        <f t="shared" si="147"/>
        <v>2.3256561328334224</v>
      </c>
      <c r="W165" s="72">
        <f t="shared" si="147"/>
        <v>2.1083557951482481</v>
      </c>
      <c r="X165" s="72">
        <f t="shared" si="147"/>
        <v>2.2849891716296695</v>
      </c>
      <c r="Y165" s="72">
        <f t="shared" si="147"/>
        <v>3.6977045160411417</v>
      </c>
      <c r="Z165" s="72">
        <f t="shared" si="147"/>
        <v>4.2135221624565942</v>
      </c>
      <c r="AA165" s="72">
        <f t="shared" ref="AA165" si="148">(AA105-AA106)/AA74</f>
        <v>4.2601754145539266</v>
      </c>
      <c r="AC165" s="72">
        <f>(AC105-AC106)/AC74</f>
        <v>4.2601754145539266</v>
      </c>
    </row>
    <row r="166" spans="1:31" x14ac:dyDescent="0.2">
      <c r="B166" s="20" t="s">
        <v>285</v>
      </c>
      <c r="M166" s="149">
        <f>(M105-M106)/M143</f>
        <v>2.7027300132217994E-2</v>
      </c>
      <c r="N166" s="149">
        <f>(N105-N106)/N143</f>
        <v>2.0352029181556177E-2</v>
      </c>
      <c r="O166" s="149">
        <f>(O105-O106)/O143</f>
        <v>1.9073301665991634E-2</v>
      </c>
      <c r="P166" s="149">
        <f>(P105-P106)/P143</f>
        <v>1.4465916154542407E-2</v>
      </c>
      <c r="Q166" s="149">
        <f>(Q105-Q106)/Q143</f>
        <v>8.9108350433437702E-3</v>
      </c>
      <c r="T166" s="49"/>
      <c r="U166" s="49"/>
      <c r="V166" s="49"/>
      <c r="W166" s="49"/>
      <c r="X166" s="49"/>
      <c r="Y166" s="49"/>
      <c r="Z166" s="49"/>
      <c r="AA166" s="49"/>
      <c r="AC166" s="149">
        <f ca="1">(AC105-AC106)/AC143</f>
        <v>1.220223425631395E-2</v>
      </c>
    </row>
    <row r="167" spans="1:31" x14ac:dyDescent="0.2">
      <c r="B167" s="20" t="s">
        <v>294</v>
      </c>
      <c r="M167" s="149">
        <f>-M108/M5</f>
        <v>3.0302036264033657E-2</v>
      </c>
      <c r="N167" s="149">
        <f>-N108/N5</f>
        <v>2.7155058732831552E-2</v>
      </c>
      <c r="O167" s="149">
        <f>-O108/O5</f>
        <v>2.859230076835775E-2</v>
      </c>
      <c r="P167" s="149">
        <f>-P108/P5</f>
        <v>2.415896275269477E-2</v>
      </c>
      <c r="Q167" s="149">
        <f>-Q108/Q5</f>
        <v>3.0553079216937677E-2</v>
      </c>
      <c r="T167" s="149">
        <f t="shared" ref="T167:Z167" si="149">-T108/T5</f>
        <v>0</v>
      </c>
      <c r="U167" s="149">
        <f t="shared" si="149"/>
        <v>2.3652453740949316E-2</v>
      </c>
      <c r="V167" s="149">
        <f t="shared" si="149"/>
        <v>3.2204616239683723E-2</v>
      </c>
      <c r="W167" s="149">
        <f t="shared" si="149"/>
        <v>3.6815687609000808E-2</v>
      </c>
      <c r="X167" s="149">
        <f t="shared" si="149"/>
        <v>3.1639763433724356E-2</v>
      </c>
      <c r="Y167" s="149">
        <f t="shared" si="149"/>
        <v>1.6507137093408276E-2</v>
      </c>
      <c r="Z167" s="149">
        <f t="shared" si="149"/>
        <v>1.7727370844725861E-2</v>
      </c>
      <c r="AA167" s="149">
        <f t="shared" ref="AA167" si="150">-AA108/AA5</f>
        <v>2.2437098439913358E-2</v>
      </c>
      <c r="AC167" s="149">
        <f>-AC108/AC5</f>
        <v>2.1509222981729692E-2</v>
      </c>
    </row>
    <row r="168" spans="1:31" x14ac:dyDescent="0.2">
      <c r="B168" s="20" t="s">
        <v>295</v>
      </c>
      <c r="M168" s="149">
        <f>-(M108/M58)</f>
        <v>0.10654760760491359</v>
      </c>
      <c r="N168" s="149">
        <f>-(N108/N58)</f>
        <v>8.7661992124501639E-2</v>
      </c>
      <c r="O168" s="149">
        <f>-(O108/O58)</f>
        <v>9.9137892042010803E-2</v>
      </c>
      <c r="P168" s="149">
        <f>-(P108/P58)</f>
        <v>7.9887361104064136E-2</v>
      </c>
      <c r="Q168" s="149">
        <f>-(Q108/Q58)</f>
        <v>0.11405428679069267</v>
      </c>
      <c r="T168" s="149" t="e">
        <f t="shared" ref="T168:Z168" si="151">-(T108/T58)</f>
        <v>#DIV/0!</v>
      </c>
      <c r="U168" s="149">
        <f t="shared" si="151"/>
        <v>9.8212794387840321E-2</v>
      </c>
      <c r="V168" s="149">
        <f t="shared" si="151"/>
        <v>0.12821476285905142</v>
      </c>
      <c r="W168" s="149">
        <f t="shared" si="151"/>
        <v>0.12423296372052967</v>
      </c>
      <c r="X168" s="149">
        <f t="shared" si="151"/>
        <v>0.10905543595263724</v>
      </c>
      <c r="Y168" s="149">
        <f t="shared" si="151"/>
        <v>4.4005563282336575E-2</v>
      </c>
      <c r="Z168" s="149">
        <f t="shared" si="151"/>
        <v>6.8671172740575576E-2</v>
      </c>
      <c r="AA168" s="149">
        <f t="shared" ref="AA168" si="152">-(AA108/AA58)</f>
        <v>7.1430649713404515E-2</v>
      </c>
      <c r="AC168" s="149">
        <f>-(AC108/AC58)</f>
        <v>6.8434611924429539E-2</v>
      </c>
    </row>
    <row r="169" spans="1:31" x14ac:dyDescent="0.2">
      <c r="B169" s="20" t="s">
        <v>296</v>
      </c>
      <c r="M169" s="149">
        <f>-M108/M52</f>
        <v>0.9823644097837646</v>
      </c>
      <c r="N169" s="149">
        <f>-N108/N52</f>
        <v>0.96433717579250722</v>
      </c>
      <c r="O169" s="149">
        <f>-O108/O52</f>
        <v>0.95138466880805628</v>
      </c>
      <c r="P169" s="149">
        <f>-P108/P52</f>
        <v>0.82542595019659237</v>
      </c>
      <c r="Q169" s="149">
        <f>-Q108/Q52</f>
        <v>1.0869379381090785</v>
      </c>
      <c r="T169" s="149" t="e">
        <f t="shared" ref="T169:Z169" si="153">-T108/T52</f>
        <v>#DIV/0!</v>
      </c>
      <c r="U169" s="149">
        <f t="shared" si="153"/>
        <v>0.95454545454545459</v>
      </c>
      <c r="V169" s="149">
        <f t="shared" si="153"/>
        <v>1.1540774145058248</v>
      </c>
      <c r="W169" s="149">
        <f t="shared" si="153"/>
        <v>1.223321554770318</v>
      </c>
      <c r="X169" s="149">
        <f t="shared" si="153"/>
        <v>1.0367764630636394</v>
      </c>
      <c r="Y169" s="149">
        <f t="shared" si="153"/>
        <v>0.73833229620410701</v>
      </c>
      <c r="Z169" s="149">
        <f t="shared" si="153"/>
        <v>0.57313172433847048</v>
      </c>
      <c r="AA169" s="149">
        <f t="shared" ref="AA169" si="154">-AA108/AA52</f>
        <v>0.73945783132530118</v>
      </c>
      <c r="AC169" s="149">
        <f>-AC108/AC52</f>
        <v>0.76648854961832058</v>
      </c>
    </row>
    <row r="170" spans="1:31" x14ac:dyDescent="0.2">
      <c r="B170" s="20" t="s">
        <v>348</v>
      </c>
      <c r="M170" s="218">
        <f>M5/M36</f>
        <v>1.0422077367080529</v>
      </c>
      <c r="N170" s="218">
        <f>N5/N36</f>
        <v>1.1178523337727317</v>
      </c>
      <c r="O170" s="218">
        <f>O5/O36</f>
        <v>1.0870773690166571</v>
      </c>
      <c r="P170" s="218">
        <f>P5/P36</f>
        <v>1.0713874732862074</v>
      </c>
      <c r="Q170" s="218">
        <f>Q5/Q36</f>
        <v>1.1584451663368045</v>
      </c>
      <c r="T170" s="49"/>
      <c r="U170" s="49"/>
      <c r="V170" s="49"/>
      <c r="W170" s="49"/>
      <c r="X170" s="49"/>
      <c r="Y170" s="49"/>
      <c r="Z170" s="49"/>
      <c r="AA170" s="49"/>
      <c r="AC170" s="218">
        <f>AC5/AC36</f>
        <v>1.2180130770796262</v>
      </c>
    </row>
    <row r="171" spans="1:31" x14ac:dyDescent="0.2">
      <c r="B171" s="20" t="s">
        <v>345</v>
      </c>
      <c r="M171" s="219">
        <f>IF(AND(M11&gt;0,M106&gt;0),M106/M11,"N/A")</f>
        <v>1.1447466245674582</v>
      </c>
      <c r="N171" s="219">
        <f>IF(AND(N11&gt;0,N106&gt;0),N106/N11,"N/A")</f>
        <v>1.0052914925860494</v>
      </c>
      <c r="O171" s="219">
        <f>IF(AND(O11&gt;0,O106&gt;0),O106/O11,"N/A")</f>
        <v>0.9718900097112011</v>
      </c>
      <c r="P171" s="219">
        <f>IF(AND(P11&gt;0,P106&gt;0),P106/P11,"N/A")</f>
        <v>0.86538274250097391</v>
      </c>
      <c r="Q171" s="219">
        <f>IF(AND(Q11&gt;0,Q106&gt;0),Q106/Q11,"N/A")</f>
        <v>0.74150319428786171</v>
      </c>
      <c r="T171" s="49"/>
      <c r="U171" s="49"/>
      <c r="V171" s="49"/>
      <c r="W171" s="49"/>
      <c r="X171" s="49"/>
      <c r="Y171" s="49"/>
      <c r="Z171" s="49"/>
      <c r="AA171" s="49"/>
      <c r="AC171" s="219">
        <f>IF(AND(AC11&gt;0,AC106&gt;0),AC106/AC11,"N/A")</f>
        <v>0.54465029478428761</v>
      </c>
    </row>
    <row r="172" spans="1:31" x14ac:dyDescent="0.2">
      <c r="B172" s="20" t="s">
        <v>346</v>
      </c>
      <c r="M172" s="219">
        <f>IF(AND(M11&gt;0,M106&gt;0),(M106-M105)/M11,"N/A")</f>
        <v>-0.60392477214109352</v>
      </c>
      <c r="N172" s="219">
        <f>IF(AND(N11&gt;0,N106&gt;0),(N106-N105)/N11,"N/A")</f>
        <v>-0.41059303230992072</v>
      </c>
      <c r="O172" s="219">
        <f>IF(AND(O11&gt;0,O106&gt;0),(O106-O105)/O11,"N/A")</f>
        <v>-0.44628655917271065</v>
      </c>
      <c r="P172" s="219">
        <f>IF(AND(P11&gt;0,P106&gt;0),(P106-P105)/P11,"N/A")</f>
        <v>-0.40596188806648487</v>
      </c>
      <c r="Q172" s="219">
        <f>IF(AND(Q11&gt;0,Q106&gt;0),(Q106-Q105)/Q11,"N/A")</f>
        <v>-0.25376174370537391</v>
      </c>
      <c r="T172" s="49"/>
      <c r="U172" s="49"/>
      <c r="V172" s="49"/>
      <c r="W172" s="49"/>
      <c r="X172" s="49"/>
      <c r="Y172" s="49"/>
      <c r="Z172" s="49"/>
      <c r="AA172" s="49"/>
      <c r="AC172" s="219">
        <f>IF(AND(AC11&gt;0,AC106&gt;0),(AC106-AC105)/AC11,"N/A")</f>
        <v>-0.40148134754841502</v>
      </c>
    </row>
    <row r="173" spans="1:31" x14ac:dyDescent="0.2">
      <c r="B173" s="20" t="s">
        <v>347</v>
      </c>
      <c r="M173" s="219">
        <f>M5/(M106+M110-M105)</f>
        <v>-135.1374214998153</v>
      </c>
      <c r="N173" s="219">
        <f>N5/(N106+N110-N105)</f>
        <v>241.62254901960785</v>
      </c>
      <c r="O173" s="219">
        <f>O5/(O106+O110-O105)</f>
        <v>34.421643466546925</v>
      </c>
      <c r="P173" s="219">
        <f>P5/(P106+P110-P105)</f>
        <v>56.43455044017896</v>
      </c>
      <c r="Q173" s="219">
        <f>Q5/(Q106+Q110-Q105)</f>
        <v>10.411833875406554</v>
      </c>
      <c r="T173" s="49"/>
      <c r="U173" s="49"/>
      <c r="V173" s="49"/>
      <c r="W173" s="49"/>
      <c r="X173" s="49"/>
      <c r="Y173" s="49"/>
      <c r="Z173" s="49"/>
      <c r="AA173" s="49"/>
      <c r="AC173" s="219">
        <f>AC5/(AC106+AC110-AC105)</f>
        <v>10.294462698745232</v>
      </c>
    </row>
    <row r="175" spans="1:31" x14ac:dyDescent="0.2">
      <c r="B175" s="1"/>
    </row>
    <row r="176" spans="1:31" s="15" customFormat="1" ht="17" thickBot="1" x14ac:dyDescent="0.25">
      <c r="A176" s="11"/>
      <c r="B176" s="14" t="s">
        <v>79</v>
      </c>
      <c r="R176" s="1"/>
      <c r="S176" s="1"/>
      <c r="AB176" s="1"/>
      <c r="AD176" s="1"/>
      <c r="AE176" s="1"/>
    </row>
    <row r="177" spans="2:29" x14ac:dyDescent="0.2">
      <c r="B177" s="20" t="s">
        <v>367</v>
      </c>
      <c r="C177" s="62"/>
      <c r="D177" s="62"/>
      <c r="E177" s="62"/>
      <c r="F177" s="62"/>
      <c r="G177" s="62"/>
      <c r="H177" s="62"/>
      <c r="I177" s="62"/>
      <c r="J177" s="62"/>
      <c r="K177" s="62"/>
      <c r="L177" s="62"/>
      <c r="M177" s="21">
        <v>153306</v>
      </c>
      <c r="N177" s="21">
        <v>169658</v>
      </c>
      <c r="O177" s="21">
        <v>162560</v>
      </c>
      <c r="P177" s="21">
        <v>167045</v>
      </c>
      <c r="Q177" s="21">
        <v>178353</v>
      </c>
      <c r="T177" s="21">
        <v>41664</v>
      </c>
      <c r="U177" s="21">
        <v>52648</v>
      </c>
      <c r="V177" s="21">
        <v>40315</v>
      </c>
      <c r="W177" s="21">
        <v>41198</v>
      </c>
      <c r="X177" s="21">
        <v>44192</v>
      </c>
      <c r="Y177" s="21">
        <v>58529</v>
      </c>
      <c r="Z177" s="21">
        <v>45093</v>
      </c>
      <c r="AA177" s="21">
        <v>45781</v>
      </c>
      <c r="AC177" s="62">
        <f>SUM(X177:AA177)</f>
        <v>193595</v>
      </c>
    </row>
    <row r="178" spans="2:29" x14ac:dyDescent="0.2">
      <c r="B178" s="20" t="s">
        <v>368</v>
      </c>
      <c r="C178" s="62"/>
      <c r="D178" s="62"/>
      <c r="E178" s="62"/>
      <c r="F178" s="62"/>
      <c r="G178" s="62"/>
      <c r="H178" s="62"/>
      <c r="I178" s="62"/>
      <c r="J178" s="62"/>
      <c r="K178" s="62"/>
      <c r="L178" s="62"/>
      <c r="M178" s="21">
        <v>89307</v>
      </c>
      <c r="N178" s="21">
        <v>95118</v>
      </c>
      <c r="O178" s="21">
        <v>94294</v>
      </c>
      <c r="P178" s="21">
        <v>101328</v>
      </c>
      <c r="Q178" s="21">
        <v>111032</v>
      </c>
      <c r="T178" s="21">
        <v>24924</v>
      </c>
      <c r="U178" s="21">
        <v>33861</v>
      </c>
      <c r="V178" s="21">
        <v>24454</v>
      </c>
      <c r="W178" s="21">
        <v>24014</v>
      </c>
      <c r="X178" s="21">
        <v>28703</v>
      </c>
      <c r="Y178" s="21">
        <v>38146</v>
      </c>
      <c r="Z178" s="21">
        <v>28055</v>
      </c>
      <c r="AA178" s="21">
        <v>29393</v>
      </c>
      <c r="AC178" s="62">
        <f t="shared" ref="AC178:AC187" si="155">SUM(X178:AA178)</f>
        <v>124297</v>
      </c>
    </row>
    <row r="179" spans="2:29" x14ac:dyDescent="0.2">
      <c r="B179" s="20" t="s">
        <v>369</v>
      </c>
      <c r="C179" s="62"/>
      <c r="D179" s="62"/>
      <c r="E179" s="62"/>
      <c r="F179" s="62"/>
      <c r="G179" s="62"/>
      <c r="H179" s="62"/>
      <c r="I179" s="62"/>
      <c r="J179" s="62"/>
      <c r="K179" s="62"/>
      <c r="L179" s="62"/>
      <c r="M179" s="21">
        <v>68366</v>
      </c>
      <c r="N179" s="21">
        <v>74200</v>
      </c>
      <c r="O179" s="21">
        <v>72559</v>
      </c>
      <c r="P179" s="21">
        <v>66952</v>
      </c>
      <c r="Q179" s="21">
        <v>64377</v>
      </c>
      <c r="T179" s="21">
        <v>15033</v>
      </c>
      <c r="U179" s="21">
        <v>18513</v>
      </c>
      <c r="V179" s="21">
        <v>16002</v>
      </c>
      <c r="W179" s="21">
        <v>15369</v>
      </c>
      <c r="X179" s="21">
        <v>14493</v>
      </c>
      <c r="Y179" s="21">
        <v>25526</v>
      </c>
      <c r="Z179" s="21">
        <v>20497</v>
      </c>
      <c r="AA179" s="21">
        <v>18816</v>
      </c>
      <c r="AC179" s="62">
        <f t="shared" si="155"/>
        <v>79332</v>
      </c>
    </row>
    <row r="180" spans="2:29" x14ac:dyDescent="0.2">
      <c r="B180" s="20" t="s">
        <v>370</v>
      </c>
      <c r="C180" s="62"/>
      <c r="D180" s="62"/>
      <c r="E180" s="62"/>
      <c r="F180" s="62"/>
      <c r="G180" s="62"/>
      <c r="H180" s="62"/>
      <c r="I180" s="62"/>
      <c r="J180" s="62"/>
      <c r="K180" s="62"/>
      <c r="L180" s="62"/>
      <c r="M180" s="21">
        <v>28482</v>
      </c>
      <c r="N180" s="21">
        <v>25977</v>
      </c>
      <c r="O180" s="21">
        <v>24257</v>
      </c>
      <c r="P180" s="21">
        <v>25052</v>
      </c>
      <c r="Q180" s="21">
        <v>28703</v>
      </c>
      <c r="T180" s="21">
        <v>5926</v>
      </c>
      <c r="U180" s="21">
        <v>8987</v>
      </c>
      <c r="V180" s="21">
        <v>7298</v>
      </c>
      <c r="W180" s="21">
        <v>5782</v>
      </c>
      <c r="X180" s="21">
        <v>6636</v>
      </c>
      <c r="Y180" s="21">
        <v>9413</v>
      </c>
      <c r="Z180" s="21">
        <v>8401</v>
      </c>
      <c r="AA180" s="21">
        <v>6554</v>
      </c>
      <c r="AC180" s="62">
        <f t="shared" si="155"/>
        <v>31004</v>
      </c>
    </row>
    <row r="181" spans="2:29" x14ac:dyDescent="0.2">
      <c r="B181" s="20" t="s">
        <v>371</v>
      </c>
      <c r="C181" s="62"/>
      <c r="D181" s="62"/>
      <c r="E181" s="62"/>
      <c r="F181" s="62"/>
      <c r="G181" s="62"/>
      <c r="H181" s="62"/>
      <c r="I181" s="62"/>
      <c r="J181" s="62"/>
      <c r="K181" s="62"/>
      <c r="L181" s="62"/>
      <c r="M181" s="21">
        <v>26356</v>
      </c>
      <c r="N181" s="21">
        <v>29375</v>
      </c>
      <c r="O181" s="21">
        <v>29615</v>
      </c>
      <c r="P181" s="21">
        <v>30658</v>
      </c>
      <c r="Q181" s="21">
        <v>33696</v>
      </c>
      <c r="T181" s="21">
        <v>7383</v>
      </c>
      <c r="U181" s="21">
        <v>10291</v>
      </c>
      <c r="V181" s="21">
        <v>7290</v>
      </c>
      <c r="W181" s="21">
        <v>7673</v>
      </c>
      <c r="X181" s="21">
        <v>8442</v>
      </c>
      <c r="Y181" s="21">
        <v>12142</v>
      </c>
      <c r="Z181" s="21">
        <v>9138</v>
      </c>
      <c r="AA181" s="21">
        <v>8871</v>
      </c>
      <c r="AC181" s="62">
        <f t="shared" si="155"/>
        <v>38593</v>
      </c>
    </row>
    <row r="182" spans="2:29" x14ac:dyDescent="0.2">
      <c r="C182" s="21"/>
      <c r="D182" s="21"/>
      <c r="E182" s="21"/>
      <c r="F182" s="21"/>
      <c r="G182" s="21"/>
      <c r="H182" s="21"/>
      <c r="I182" s="21"/>
      <c r="J182" s="21"/>
      <c r="K182" s="21"/>
      <c r="L182" s="21"/>
      <c r="M182" s="21"/>
      <c r="N182" s="21"/>
      <c r="O182" s="21"/>
      <c r="P182" s="21"/>
      <c r="Q182" s="21"/>
      <c r="AC182" s="62"/>
    </row>
    <row r="183" spans="2:29" x14ac:dyDescent="0.2">
      <c r="B183" s="20" t="s">
        <v>372</v>
      </c>
      <c r="C183" s="62"/>
      <c r="D183" s="62"/>
      <c r="E183" s="62"/>
      <c r="F183" s="62"/>
      <c r="G183" s="62"/>
      <c r="H183" s="62"/>
      <c r="I183" s="62"/>
      <c r="J183" s="62"/>
      <c r="K183" s="62"/>
      <c r="L183" s="62"/>
      <c r="M183" s="21">
        <v>191973</v>
      </c>
      <c r="N183" s="21">
        <v>205489</v>
      </c>
      <c r="O183" s="21">
        <v>200583</v>
      </c>
      <c r="P183" s="21">
        <v>201183</v>
      </c>
      <c r="Q183" s="21">
        <v>209586</v>
      </c>
      <c r="T183" s="21">
        <v>46222</v>
      </c>
      <c r="U183" s="21">
        <v>69138</v>
      </c>
      <c r="V183" s="21">
        <v>46841</v>
      </c>
      <c r="W183" s="21">
        <v>44582</v>
      </c>
      <c r="X183" s="21">
        <v>49025</v>
      </c>
      <c r="Y183" s="21">
        <v>85269</v>
      </c>
      <c r="Z183" s="21">
        <v>56994</v>
      </c>
      <c r="AA183" s="21">
        <v>54252</v>
      </c>
      <c r="AC183" s="62">
        <f t="shared" si="155"/>
        <v>245540</v>
      </c>
    </row>
    <row r="184" spans="2:29" x14ac:dyDescent="0.2">
      <c r="B184" s="20" t="s">
        <v>373</v>
      </c>
      <c r="C184" s="62"/>
      <c r="D184" s="62"/>
      <c r="E184" s="62"/>
      <c r="F184" s="62"/>
      <c r="G184" s="62"/>
      <c r="H184" s="62"/>
      <c r="I184" s="62"/>
      <c r="J184" s="62"/>
      <c r="K184" s="62"/>
      <c r="L184" s="62"/>
      <c r="M184" s="21">
        <v>35190</v>
      </c>
      <c r="N184" s="21">
        <v>40177</v>
      </c>
      <c r="O184" s="21">
        <v>29357</v>
      </c>
      <c r="P184" s="21">
        <v>29984</v>
      </c>
      <c r="Q184" s="21">
        <v>33708</v>
      </c>
      <c r="T184" s="21">
        <v>7744</v>
      </c>
      <c r="U184" s="21">
        <v>8987</v>
      </c>
      <c r="V184" s="21">
        <v>7949</v>
      </c>
      <c r="W184" s="21">
        <v>8046</v>
      </c>
      <c r="X184" s="21">
        <v>8726</v>
      </c>
      <c r="Y184" s="21">
        <v>8386</v>
      </c>
      <c r="Z184" s="21">
        <v>8399</v>
      </c>
      <c r="AA184" s="21">
        <v>10352</v>
      </c>
      <c r="AC184" s="62">
        <f t="shared" si="155"/>
        <v>35863</v>
      </c>
    </row>
    <row r="185" spans="2:29" x14ac:dyDescent="0.2">
      <c r="B185" s="20" t="s">
        <v>374</v>
      </c>
      <c r="C185" s="62"/>
      <c r="D185" s="62"/>
      <c r="E185" s="62"/>
      <c r="F185" s="62"/>
      <c r="G185" s="62"/>
      <c r="H185" s="62"/>
      <c r="I185" s="62"/>
      <c r="J185" s="62"/>
      <c r="K185" s="62"/>
      <c r="L185" s="62"/>
      <c r="M185" s="21">
        <v>31862</v>
      </c>
      <c r="N185" s="21">
        <v>29292</v>
      </c>
      <c r="O185" s="21">
        <v>28300</v>
      </c>
      <c r="P185" s="21">
        <v>26694</v>
      </c>
      <c r="Q185" s="21">
        <v>28023</v>
      </c>
      <c r="T185" s="21">
        <v>6950</v>
      </c>
      <c r="U185" s="21">
        <v>8088</v>
      </c>
      <c r="V185" s="21">
        <v>6402</v>
      </c>
      <c r="W185" s="21">
        <v>6581</v>
      </c>
      <c r="X185" s="21">
        <v>6952</v>
      </c>
      <c r="Y185" s="21">
        <v>8595</v>
      </c>
      <c r="Z185" s="21">
        <v>6914</v>
      </c>
      <c r="AA185" s="21">
        <v>6191</v>
      </c>
      <c r="AC185" s="62">
        <f t="shared" si="155"/>
        <v>28652</v>
      </c>
    </row>
    <row r="186" spans="2:29" x14ac:dyDescent="0.2">
      <c r="B186" s="20" t="s">
        <v>375</v>
      </c>
      <c r="C186" s="62"/>
      <c r="D186" s="62"/>
      <c r="E186" s="62"/>
      <c r="F186" s="62"/>
      <c r="G186" s="62"/>
      <c r="H186" s="62"/>
      <c r="I186" s="62"/>
      <c r="J186" s="62"/>
      <c r="K186" s="62"/>
      <c r="L186" s="62"/>
      <c r="M186" s="21">
        <v>38367</v>
      </c>
      <c r="N186" s="21">
        <v>41241</v>
      </c>
      <c r="O186" s="21">
        <v>39845</v>
      </c>
      <c r="P186" s="21">
        <v>37005</v>
      </c>
      <c r="Q186" s="21">
        <v>35686</v>
      </c>
      <c r="T186" s="21">
        <v>9042</v>
      </c>
      <c r="U186" s="21">
        <v>11747</v>
      </c>
      <c r="V186" s="21">
        <v>7522</v>
      </c>
      <c r="W186" s="21">
        <v>7404</v>
      </c>
      <c r="X186" s="21">
        <v>9013</v>
      </c>
      <c r="Y186" s="21">
        <v>11493</v>
      </c>
      <c r="Z186" s="21">
        <v>7901</v>
      </c>
      <c r="AA186" s="21">
        <v>7883</v>
      </c>
      <c r="AC186" s="62">
        <f t="shared" si="155"/>
        <v>36290</v>
      </c>
    </row>
    <row r="187" spans="2:29" x14ac:dyDescent="0.2">
      <c r="B187" s="20" t="s">
        <v>353</v>
      </c>
      <c r="C187" s="62"/>
      <c r="D187" s="62"/>
      <c r="E187" s="62"/>
      <c r="F187" s="62"/>
      <c r="G187" s="62"/>
      <c r="H187" s="62"/>
      <c r="I187" s="62"/>
      <c r="J187" s="62"/>
      <c r="K187" s="62"/>
      <c r="L187" s="62"/>
      <c r="M187" s="21">
        <v>68425</v>
      </c>
      <c r="N187" s="21">
        <v>78129</v>
      </c>
      <c r="O187" s="21">
        <v>84200</v>
      </c>
      <c r="P187" s="21">
        <v>96169</v>
      </c>
      <c r="Q187" s="21">
        <v>109158</v>
      </c>
      <c r="T187" s="21">
        <v>24972</v>
      </c>
      <c r="U187" s="21">
        <v>26340</v>
      </c>
      <c r="V187" s="21">
        <v>26645</v>
      </c>
      <c r="W187" s="21">
        <v>27423</v>
      </c>
      <c r="X187" s="21">
        <v>28750</v>
      </c>
      <c r="Y187" s="21">
        <v>30013</v>
      </c>
      <c r="Z187" s="21">
        <v>30976</v>
      </c>
      <c r="AA187" s="21">
        <v>30739</v>
      </c>
      <c r="AC187" s="62">
        <f t="shared" si="155"/>
        <v>120478</v>
      </c>
    </row>
    <row r="188" spans="2:29" x14ac:dyDescent="0.2">
      <c r="C188" s="21"/>
      <c r="D188" s="21"/>
      <c r="E188" s="21"/>
      <c r="F188" s="21"/>
      <c r="G188" s="21"/>
      <c r="H188" s="21"/>
      <c r="I188" s="21"/>
      <c r="J188" s="21"/>
      <c r="K188" s="21"/>
      <c r="L188" s="21"/>
      <c r="M188" s="21"/>
    </row>
    <row r="189" spans="2:29" x14ac:dyDescent="0.2">
      <c r="B189" s="1"/>
    </row>
    <row r="190" spans="2:29" ht="17" thickBot="1" x14ac:dyDescent="0.25">
      <c r="B190" s="14" t="s">
        <v>305</v>
      </c>
      <c r="C190" s="165"/>
      <c r="D190" s="165"/>
      <c r="E190" s="165"/>
      <c r="F190" s="165"/>
      <c r="G190" s="165"/>
      <c r="H190" s="165"/>
      <c r="I190" s="165"/>
      <c r="J190" s="165"/>
      <c r="K190" s="165"/>
      <c r="L190" s="165"/>
      <c r="M190" s="165"/>
      <c r="N190" s="165"/>
      <c r="O190" s="165"/>
      <c r="P190" s="165"/>
      <c r="Q190" s="165"/>
      <c r="T190" s="165"/>
      <c r="U190" s="165"/>
      <c r="V190" s="165"/>
      <c r="W190" s="165"/>
      <c r="X190" s="165"/>
      <c r="Y190" s="165"/>
      <c r="Z190" s="165"/>
      <c r="AA190" s="165"/>
      <c r="AC190" s="165"/>
    </row>
    <row r="191" spans="2:29" x14ac:dyDescent="0.2">
      <c r="B191" s="20" t="s">
        <v>367</v>
      </c>
      <c r="C191" s="81"/>
      <c r="D191" s="81"/>
      <c r="E191" s="81"/>
      <c r="F191" s="81"/>
      <c r="G191" s="81"/>
      <c r="H191" s="81"/>
      <c r="I191" s="81"/>
      <c r="J191" s="81"/>
      <c r="K191" s="81"/>
      <c r="L191" s="81"/>
      <c r="M191" s="81">
        <f t="shared" ref="M191:Q193" si="156">IF(L177=0,
IF(M177=0,0,IF(M177&gt;0,1,-1)),
(M177-L177)/ABS(L177)
)</f>
        <v>1</v>
      </c>
      <c r="N191" s="81">
        <f t="shared" si="156"/>
        <v>0.10666249200944516</v>
      </c>
      <c r="O191" s="81">
        <f t="shared" si="156"/>
        <v>-4.1837107592922231E-2</v>
      </c>
      <c r="P191" s="81">
        <f t="shared" si="156"/>
        <v>2.7589812992125984E-2</v>
      </c>
      <c r="Q191" s="81">
        <f t="shared" si="156"/>
        <v>6.7694333862132958E-2</v>
      </c>
      <c r="T191" s="81">
        <f t="shared" ref="T191:T195" si="157">IF(S177=0,
IF(T177=0,0,IF(T177&gt;0,1,-1)),
(T177-S177)/ABS(S177)
)</f>
        <v>1</v>
      </c>
      <c r="U191" s="81">
        <f t="shared" ref="U191:U195" si="158">IF(T177=0,
IF(U177=0,0,IF(U177&gt;0,1,-1)),
(U177-T177)/ABS(T177)
)</f>
        <v>0.26363287250384027</v>
      </c>
      <c r="V191" s="81">
        <f t="shared" ref="V191:V195" si="159">IF(U177=0,
IF(V177=0,0,IF(V177&gt;0,1,-1)),
(V177-U177)/ABS(U177)
)</f>
        <v>-0.2342539127792129</v>
      </c>
      <c r="W191" s="81">
        <f t="shared" ref="W191:W195" si="160">IF(V177=0,
IF(W177=0,0,IF(W177&gt;0,1,-1)),
(W177-V177)/ABS(V177)
)</f>
        <v>2.1902517673322585E-2</v>
      </c>
      <c r="X191" s="81">
        <f t="shared" ref="X191:X195" si="161">IF(W177=0,
IF(X177=0,0,IF(X177&gt;0,1,-1)),
(X177-W177)/ABS(W177)
)</f>
        <v>7.2673430749065487E-2</v>
      </c>
      <c r="Y191" s="81">
        <f t="shared" ref="Y191:Y195" si="162">IF(X177=0,
IF(Y177=0,0,IF(Y177&gt;0,1,-1)),
(Y177-X177)/ABS(X177)
)</f>
        <v>0.32442523533671253</v>
      </c>
      <c r="Z191" s="81">
        <f t="shared" ref="Z191:Z195" si="163">IF(Y177=0,
IF(Z177=0,0,IF(Z177&gt;0,1,-1)),
(Z177-Y177)/ABS(Y177)
)</f>
        <v>-0.22956141399989749</v>
      </c>
      <c r="AA191" s="81">
        <f t="shared" ref="AA191:AA192" si="164">IF(Z177=0,
IF(AA177=0,0,IF(AA177&gt;0,1,-1)),
(AA177-Z177)/ABS(Z177)
)</f>
        <v>1.5257357017718937E-2</v>
      </c>
      <c r="AC191" s="49"/>
    </row>
    <row r="192" spans="2:29" x14ac:dyDescent="0.2">
      <c r="B192" s="20" t="s">
        <v>368</v>
      </c>
      <c r="M192" s="81">
        <f t="shared" si="156"/>
        <v>1</v>
      </c>
      <c r="N192" s="81">
        <f t="shared" si="156"/>
        <v>6.5067687863213416E-2</v>
      </c>
      <c r="O192" s="81">
        <f t="shared" si="156"/>
        <v>-8.6629239470972889E-3</v>
      </c>
      <c r="P192" s="81">
        <f t="shared" si="156"/>
        <v>7.459647485524E-2</v>
      </c>
      <c r="Q192" s="81">
        <f t="shared" si="156"/>
        <v>9.5768198326227696E-2</v>
      </c>
      <c r="T192" s="81">
        <f t="shared" si="157"/>
        <v>1</v>
      </c>
      <c r="U192" s="81">
        <f t="shared" si="158"/>
        <v>0.35857005296100142</v>
      </c>
      <c r="V192" s="81">
        <f t="shared" si="159"/>
        <v>-0.27781223236171404</v>
      </c>
      <c r="W192" s="81">
        <f t="shared" si="160"/>
        <v>-1.7992966385867344E-2</v>
      </c>
      <c r="X192" s="81">
        <f t="shared" si="161"/>
        <v>0.19526109769301242</v>
      </c>
      <c r="Y192" s="81">
        <f t="shared" si="162"/>
        <v>0.32899000104518694</v>
      </c>
      <c r="Z192" s="81">
        <f t="shared" si="163"/>
        <v>-0.26453625543962672</v>
      </c>
      <c r="AA192" s="81">
        <f t="shared" si="164"/>
        <v>4.7692033505613969E-2</v>
      </c>
      <c r="AC192" s="49"/>
    </row>
    <row r="193" spans="2:29" x14ac:dyDescent="0.2">
      <c r="B193" s="20" t="s">
        <v>369</v>
      </c>
      <c r="M193" s="81">
        <f t="shared" si="156"/>
        <v>1</v>
      </c>
      <c r="N193" s="81">
        <f t="shared" ref="N193:N195" si="165">IF(M179=0,
IF(N179=0,0,IF(N179&gt;0,1,-1)),
(N179-M179)/ABS(M179)
)</f>
        <v>8.5334815551589976E-2</v>
      </c>
      <c r="O193" s="81">
        <f t="shared" ref="O193:O195" si="166">IF(N179=0,
IF(O179=0,0,IF(O179&gt;0,1,-1)),
(O179-N179)/ABS(N179)
)</f>
        <v>-2.211590296495957E-2</v>
      </c>
      <c r="P193" s="81">
        <f t="shared" ref="P193:P195" si="167">IF(O179=0,
IF(P179=0,0,IF(P179&gt;0,1,-1)),
(P179-O179)/ABS(O179)
)</f>
        <v>-7.7275045135682688E-2</v>
      </c>
      <c r="Q193" s="81">
        <f t="shared" ref="Q193:Q195" si="168">IF(P179=0,
IF(Q179=0,0,IF(Q179&gt;0,1,-1)),
(Q179-P179)/ABS(P179)
)</f>
        <v>-3.8460389532799615E-2</v>
      </c>
      <c r="T193" s="81">
        <f t="shared" si="157"/>
        <v>1</v>
      </c>
      <c r="U193" s="81">
        <f t="shared" si="158"/>
        <v>0.23149072041508681</v>
      </c>
      <c r="V193" s="81">
        <f t="shared" si="159"/>
        <v>-0.13563441905687895</v>
      </c>
      <c r="W193" s="81">
        <f t="shared" si="160"/>
        <v>-3.95575553055868E-2</v>
      </c>
      <c r="X193" s="81">
        <f t="shared" si="161"/>
        <v>-5.699785282061292E-2</v>
      </c>
      <c r="Y193" s="81">
        <f t="shared" si="162"/>
        <v>0.76126405851100531</v>
      </c>
      <c r="Z193" s="81">
        <f t="shared" si="163"/>
        <v>-0.19701480843061975</v>
      </c>
      <c r="AA193" s="81">
        <f t="shared" ref="AA193:AA195" si="169">IF(Z179=0,
IF(AA179=0,0,IF(AA179&gt;0,1,-1)),
(AA179-Z179)/ABS(Z179)
)</f>
        <v>-8.2012001756354591E-2</v>
      </c>
      <c r="AC193" s="49"/>
    </row>
    <row r="194" spans="2:29" x14ac:dyDescent="0.2">
      <c r="B194" s="20" t="s">
        <v>370</v>
      </c>
      <c r="M194" s="81">
        <f t="shared" ref="M194:M195" si="170">IF(L180=0,
IF(M180=0,0,IF(M180&gt;0,1,-1)),
(M180-L180)/ABS(L180)
)</f>
        <v>1</v>
      </c>
      <c r="N194" s="81">
        <f t="shared" si="165"/>
        <v>-8.7950284390141145E-2</v>
      </c>
      <c r="O194" s="81">
        <f t="shared" si="166"/>
        <v>-6.6212418678061366E-2</v>
      </c>
      <c r="P194" s="81">
        <f t="shared" si="167"/>
        <v>3.2774044605680834E-2</v>
      </c>
      <c r="Q194" s="81">
        <f t="shared" si="168"/>
        <v>0.14573686731598276</v>
      </c>
      <c r="T194" s="81">
        <f t="shared" si="157"/>
        <v>1</v>
      </c>
      <c r="U194" s="81">
        <f t="shared" si="158"/>
        <v>0.51653729328383391</v>
      </c>
      <c r="V194" s="81">
        <f t="shared" si="159"/>
        <v>-0.1879381328585735</v>
      </c>
      <c r="W194" s="81">
        <f t="shared" si="160"/>
        <v>-0.20772814469717732</v>
      </c>
      <c r="X194" s="81">
        <f t="shared" si="161"/>
        <v>0.14769975786924938</v>
      </c>
      <c r="Y194" s="81">
        <f t="shared" si="162"/>
        <v>0.41847498493068114</v>
      </c>
      <c r="Z194" s="81">
        <f t="shared" si="163"/>
        <v>-0.10751088919579305</v>
      </c>
      <c r="AA194" s="81">
        <f t="shared" si="169"/>
        <v>-0.21985477919295321</v>
      </c>
      <c r="AC194" s="49"/>
    </row>
    <row r="195" spans="2:29" x14ac:dyDescent="0.2">
      <c r="B195" s="20" t="s">
        <v>371</v>
      </c>
      <c r="M195" s="81">
        <f t="shared" si="170"/>
        <v>1</v>
      </c>
      <c r="N195" s="81">
        <f t="shared" si="165"/>
        <v>0.114546972226438</v>
      </c>
      <c r="O195" s="81">
        <f t="shared" si="166"/>
        <v>8.1702127659574464E-3</v>
      </c>
      <c r="P195" s="81">
        <f t="shared" si="167"/>
        <v>3.5218639203106535E-2</v>
      </c>
      <c r="Q195" s="81">
        <f t="shared" si="168"/>
        <v>9.9093221997521033E-2</v>
      </c>
      <c r="T195" s="81">
        <f t="shared" si="157"/>
        <v>1</v>
      </c>
      <c r="U195" s="81">
        <f t="shared" si="158"/>
        <v>0.39387782744141947</v>
      </c>
      <c r="V195" s="81">
        <f t="shared" si="159"/>
        <v>-0.29161403167816541</v>
      </c>
      <c r="W195" s="81">
        <f t="shared" si="160"/>
        <v>5.2537722908093276E-2</v>
      </c>
      <c r="X195" s="81">
        <f t="shared" si="161"/>
        <v>0.10022155610582562</v>
      </c>
      <c r="Y195" s="81">
        <f t="shared" si="162"/>
        <v>0.43828476664297561</v>
      </c>
      <c r="Z195" s="81">
        <f t="shared" si="163"/>
        <v>-0.2474056992258277</v>
      </c>
      <c r="AA195" s="81">
        <f t="shared" si="169"/>
        <v>-2.9218647406434668E-2</v>
      </c>
      <c r="AC195" s="49"/>
    </row>
    <row r="196" spans="2:29" x14ac:dyDescent="0.2">
      <c r="M196" s="81"/>
      <c r="N196" s="81"/>
      <c r="O196" s="81"/>
      <c r="P196" s="81"/>
      <c r="Q196" s="81"/>
      <c r="T196" s="81"/>
      <c r="U196" s="81"/>
      <c r="V196" s="81"/>
      <c r="W196" s="81"/>
      <c r="X196" s="81"/>
      <c r="Y196" s="81"/>
      <c r="Z196" s="81"/>
      <c r="AA196" s="81"/>
      <c r="AC196" s="49"/>
    </row>
    <row r="197" spans="2:29" x14ac:dyDescent="0.2">
      <c r="B197" s="20" t="s">
        <v>372</v>
      </c>
      <c r="M197" s="81">
        <f t="shared" ref="M197:M201" si="171">IF(L183=0,
IF(M183=0,0,IF(M183&gt;0,1,-1)),
(M183-L183)/ABS(L183)
)</f>
        <v>1</v>
      </c>
      <c r="N197" s="81">
        <f t="shared" ref="N197:N201" si="172">IF(M183=0,
IF(N183=0,0,IF(N183&gt;0,1,-1)),
(N183-M183)/ABS(M183)
)</f>
        <v>7.0405734139696724E-2</v>
      </c>
      <c r="O197" s="81">
        <f t="shared" ref="O197:O201" si="173">IF(N183=0,
IF(O183=0,0,IF(O183&gt;0,1,-1)),
(O183-N183)/ABS(N183)
)</f>
        <v>-2.3874757286278098E-2</v>
      </c>
      <c r="P197" s="81">
        <f t="shared" ref="P197:P201" si="174">IF(O183=0,
IF(P183=0,0,IF(P183&gt;0,1,-1)),
(P183-O183)/ABS(O183)
)</f>
        <v>2.9912804175827464E-3</v>
      </c>
      <c r="Q197" s="81">
        <f t="shared" ref="Q197:Q201" si="175">IF(P183=0,
IF(Q183=0,0,IF(Q183&gt;0,1,-1)),
(Q183-P183)/ABS(P183)
)</f>
        <v>4.1767942619406209E-2</v>
      </c>
      <c r="T197" s="81">
        <f t="shared" ref="T197:T201" si="176">IF(S183=0,
IF(T183=0,0,IF(T183&gt;0,1,-1)),
(T183-S183)/ABS(S183)
)</f>
        <v>1</v>
      </c>
      <c r="U197" s="81">
        <f t="shared" ref="U197:U201" si="177">IF(T183=0,
IF(U183=0,0,IF(U183&gt;0,1,-1)),
(U183-T183)/ABS(T183)
)</f>
        <v>0.49578122971745059</v>
      </c>
      <c r="V197" s="81">
        <f t="shared" ref="V197:V201" si="178">IF(U183=0,
IF(V183=0,0,IF(V183&gt;0,1,-1)),
(V183-U183)/ABS(U183)
)</f>
        <v>-0.32249992768087016</v>
      </c>
      <c r="W197" s="81">
        <f t="shared" ref="W197:W201" si="179">IF(V183=0,
IF(W183=0,0,IF(W183&gt;0,1,-1)),
(W183-V183)/ABS(V183)
)</f>
        <v>-4.8226980636621765E-2</v>
      </c>
      <c r="X197" s="81">
        <f t="shared" ref="X197:X201" si="180">IF(W183=0,
IF(X183=0,0,IF(X183&gt;0,1,-1)),
(X183-W183)/ABS(W183)
)</f>
        <v>9.9659055224081472E-2</v>
      </c>
      <c r="Y197" s="81">
        <f t="shared" ref="Y197:Y201" si="181">IF(X183=0,
IF(Y183=0,0,IF(Y183&gt;0,1,-1)),
(Y183-X183)/ABS(X183)
)</f>
        <v>0.739296277409485</v>
      </c>
      <c r="Z197" s="81">
        <f t="shared" ref="Z197:Z201" si="182">IF(Y183=0,
IF(Z183=0,0,IF(Z183&gt;0,1,-1)),
(Z183-Y183)/ABS(Y183)
)</f>
        <v>-0.33159764979066247</v>
      </c>
      <c r="AA197" s="81">
        <f t="shared" ref="AA197:AA201" si="183">IF(Z183=0,
IF(AA183=0,0,IF(AA183&gt;0,1,-1)),
(AA183-Z183)/ABS(Z183)
)</f>
        <v>-4.8110327402884512E-2</v>
      </c>
      <c r="AC197" s="49"/>
    </row>
    <row r="198" spans="2:29" x14ac:dyDescent="0.2">
      <c r="B198" s="20" t="s">
        <v>373</v>
      </c>
      <c r="M198" s="81">
        <f t="shared" si="171"/>
        <v>1</v>
      </c>
      <c r="N198" s="81">
        <f t="shared" si="172"/>
        <v>0.14171639670360897</v>
      </c>
      <c r="O198" s="81">
        <f t="shared" si="173"/>
        <v>-0.26930831072504169</v>
      </c>
      <c r="P198" s="81">
        <f t="shared" si="174"/>
        <v>2.1357768164321968E-2</v>
      </c>
      <c r="Q198" s="81">
        <f t="shared" si="175"/>
        <v>0.12419957310565635</v>
      </c>
      <c r="T198" s="81">
        <f t="shared" si="176"/>
        <v>1</v>
      </c>
      <c r="U198" s="81">
        <f t="shared" si="177"/>
        <v>0.16051136363636365</v>
      </c>
      <c r="V198" s="81">
        <f t="shared" si="178"/>
        <v>-0.11550016690775565</v>
      </c>
      <c r="W198" s="81">
        <f t="shared" si="179"/>
        <v>1.2202792804126306E-2</v>
      </c>
      <c r="X198" s="81">
        <f t="shared" si="180"/>
        <v>8.4514044245587866E-2</v>
      </c>
      <c r="Y198" s="81">
        <f t="shared" si="181"/>
        <v>-3.8964015585606235E-2</v>
      </c>
      <c r="Z198" s="81">
        <f t="shared" si="182"/>
        <v>1.550202718817076E-3</v>
      </c>
      <c r="AA198" s="81">
        <f t="shared" si="183"/>
        <v>0.23252768186688891</v>
      </c>
      <c r="AC198" s="49"/>
    </row>
    <row r="199" spans="2:29" x14ac:dyDescent="0.2">
      <c r="B199" s="20" t="s">
        <v>374</v>
      </c>
      <c r="M199" s="81">
        <f t="shared" si="171"/>
        <v>1</v>
      </c>
      <c r="N199" s="81">
        <f t="shared" si="172"/>
        <v>-8.0660347749670458E-2</v>
      </c>
      <c r="O199" s="81">
        <f t="shared" si="173"/>
        <v>-3.3865901952751604E-2</v>
      </c>
      <c r="P199" s="81">
        <f t="shared" si="174"/>
        <v>-5.6749116607773854E-2</v>
      </c>
      <c r="Q199" s="81">
        <f t="shared" si="175"/>
        <v>4.9786468869408858E-2</v>
      </c>
      <c r="T199" s="81">
        <f t="shared" si="176"/>
        <v>1</v>
      </c>
      <c r="U199" s="81">
        <f t="shared" si="177"/>
        <v>0.16374100719424461</v>
      </c>
      <c r="V199" s="81">
        <f t="shared" si="178"/>
        <v>-0.20845697329376855</v>
      </c>
      <c r="W199" s="81">
        <f t="shared" si="179"/>
        <v>2.796001249609497E-2</v>
      </c>
      <c r="X199" s="81">
        <f t="shared" si="180"/>
        <v>5.6374411183710685E-2</v>
      </c>
      <c r="Y199" s="81">
        <f t="shared" si="181"/>
        <v>0.2363348676639816</v>
      </c>
      <c r="Z199" s="81">
        <f t="shared" si="182"/>
        <v>-0.19557882489819661</v>
      </c>
      <c r="AA199" s="81">
        <f t="shared" si="183"/>
        <v>-0.10457043679490888</v>
      </c>
      <c r="AC199" s="49"/>
    </row>
    <row r="200" spans="2:29" x14ac:dyDescent="0.2">
      <c r="B200" s="20" t="s">
        <v>375</v>
      </c>
      <c r="M200" s="81">
        <f t="shared" si="171"/>
        <v>1</v>
      </c>
      <c r="N200" s="81">
        <f t="shared" si="172"/>
        <v>7.4908124169207918E-2</v>
      </c>
      <c r="O200" s="81">
        <f t="shared" si="173"/>
        <v>-3.3849809655439975E-2</v>
      </c>
      <c r="P200" s="81">
        <f t="shared" si="174"/>
        <v>-7.1276195256619407E-2</v>
      </c>
      <c r="Q200" s="81">
        <f t="shared" si="175"/>
        <v>-3.5643831914606135E-2</v>
      </c>
      <c r="T200" s="81">
        <f t="shared" si="176"/>
        <v>1</v>
      </c>
      <c r="U200" s="81">
        <f t="shared" si="177"/>
        <v>0.29915947799159476</v>
      </c>
      <c r="V200" s="81">
        <f t="shared" si="178"/>
        <v>-0.35966629777815612</v>
      </c>
      <c r="W200" s="81">
        <f t="shared" si="179"/>
        <v>-1.5687317202871576E-2</v>
      </c>
      <c r="X200" s="81">
        <f t="shared" si="180"/>
        <v>0.21731496488384658</v>
      </c>
      <c r="Y200" s="81">
        <f t="shared" si="181"/>
        <v>0.27515810495950294</v>
      </c>
      <c r="Z200" s="81">
        <f t="shared" si="182"/>
        <v>-0.31253806664926476</v>
      </c>
      <c r="AA200" s="81">
        <f t="shared" si="183"/>
        <v>-2.2781926338438173E-3</v>
      </c>
      <c r="AC200" s="49"/>
    </row>
    <row r="201" spans="2:29" x14ac:dyDescent="0.2">
      <c r="B201" s="20" t="s">
        <v>353</v>
      </c>
      <c r="M201" s="81">
        <f t="shared" si="171"/>
        <v>1</v>
      </c>
      <c r="N201" s="81">
        <f t="shared" si="172"/>
        <v>0.14181951041286078</v>
      </c>
      <c r="O201" s="81">
        <f t="shared" si="173"/>
        <v>7.7704821513138525E-2</v>
      </c>
      <c r="P201" s="81">
        <f t="shared" si="174"/>
        <v>0.14214964370546318</v>
      </c>
      <c r="Q201" s="81">
        <f t="shared" si="175"/>
        <v>0.135064313864135</v>
      </c>
      <c r="T201" s="81">
        <f t="shared" si="176"/>
        <v>1</v>
      </c>
      <c r="U201" s="81">
        <f t="shared" si="177"/>
        <v>5.4781355117731863E-2</v>
      </c>
      <c r="V201" s="81">
        <f t="shared" si="178"/>
        <v>1.1579347000759301E-2</v>
      </c>
      <c r="W201" s="81">
        <f t="shared" si="179"/>
        <v>2.9198723963220118E-2</v>
      </c>
      <c r="X201" s="81">
        <f t="shared" si="180"/>
        <v>4.8390037559712648E-2</v>
      </c>
      <c r="Y201" s="81">
        <f t="shared" si="181"/>
        <v>4.3930434782608697E-2</v>
      </c>
      <c r="Z201" s="81">
        <f t="shared" si="182"/>
        <v>3.2086096025055806E-2</v>
      </c>
      <c r="AA201" s="81">
        <f t="shared" si="183"/>
        <v>-7.6510847107438013E-3</v>
      </c>
      <c r="AC201" s="49"/>
    </row>
    <row r="203" spans="2:29" x14ac:dyDescent="0.2">
      <c r="B203" s="1"/>
    </row>
    <row r="204" spans="2:29" ht="17" thickBot="1" x14ac:dyDescent="0.25">
      <c r="B204" s="14" t="s">
        <v>306</v>
      </c>
      <c r="C204" s="165"/>
      <c r="D204" s="165"/>
      <c r="E204" s="165"/>
      <c r="F204" s="165"/>
      <c r="G204" s="165"/>
      <c r="H204" s="165"/>
      <c r="I204" s="165"/>
      <c r="J204" s="165"/>
      <c r="K204" s="165"/>
      <c r="L204" s="165"/>
      <c r="M204" s="165"/>
      <c r="N204" s="165"/>
      <c r="O204" s="165"/>
      <c r="P204" s="165"/>
      <c r="Q204" s="165"/>
      <c r="T204" s="165"/>
      <c r="U204" s="165"/>
      <c r="V204" s="165"/>
      <c r="W204" s="165"/>
      <c r="X204" s="165"/>
      <c r="Y204" s="165"/>
      <c r="Z204" s="165"/>
      <c r="AA204" s="165"/>
      <c r="AC204" s="165"/>
    </row>
    <row r="205" spans="2:29" x14ac:dyDescent="0.2">
      <c r="B205" s="20" t="s">
        <v>278</v>
      </c>
      <c r="C205" s="81"/>
      <c r="D205" s="81"/>
      <c r="E205" s="81"/>
      <c r="F205" s="81"/>
      <c r="G205" s="81"/>
      <c r="H205" s="81"/>
      <c r="I205" s="81"/>
      <c r="J205" s="81"/>
      <c r="K205" s="81"/>
      <c r="L205" s="81"/>
      <c r="M205" s="81">
        <f>IF(L63=0,
IF(M63=0,0,IF(M63&gt;0,1,-1)),
(M63-L63)/L63
)</f>
        <v>-1</v>
      </c>
      <c r="N205" s="81">
        <f>IF(M63=0,
IF(N63=0,0,IF(N63&gt;0,1,-1)),
(N63-M63)/M63
)</f>
        <v>2.5851938895417155E-2</v>
      </c>
      <c r="O205" s="81">
        <f>IF(N63=0,
IF(O63=0,0,IF(O63&gt;0,1,-1)),
(O63-N63)/N63
)</f>
        <v>1.239808638231925E-2</v>
      </c>
      <c r="P205" s="81">
        <f>IF(O63=0,
IF(P63=0,0,IF(P63&gt;0,1,-1)),
(P63-O63)/O63
)</f>
        <v>1.3910149750415973E-2</v>
      </c>
      <c r="Q205" s="81">
        <f>IF(P63=0,
IF(Q63=0,0,IF(Q63&gt;0,1,-1)),
(Q63-P63)/P63
)</f>
        <v>1.2275173952999869E-2</v>
      </c>
      <c r="T205" s="49"/>
      <c r="U205" s="49"/>
      <c r="V205" s="49"/>
      <c r="W205" s="49"/>
      <c r="X205" s="49"/>
      <c r="Y205" s="49"/>
      <c r="Z205" s="49"/>
      <c r="AA205" s="49"/>
      <c r="AC205" s="49"/>
    </row>
    <row r="207" spans="2:29" x14ac:dyDescent="0.2">
      <c r="B207" s="1"/>
    </row>
    <row r="208" spans="2:29" ht="17" thickBot="1" x14ac:dyDescent="0.25">
      <c r="B208" s="14" t="s">
        <v>340</v>
      </c>
      <c r="C208" s="165"/>
      <c r="D208" s="165"/>
      <c r="E208" s="165"/>
      <c r="F208" s="165"/>
      <c r="G208" s="165"/>
      <c r="H208" s="165"/>
      <c r="I208" s="165"/>
      <c r="J208" s="165"/>
      <c r="K208" s="165"/>
      <c r="L208" s="165"/>
      <c r="M208" s="165"/>
      <c r="N208" s="165"/>
      <c r="O208" s="165"/>
      <c r="P208" s="165"/>
      <c r="Q208" s="165"/>
      <c r="T208" s="165"/>
      <c r="U208" s="165"/>
      <c r="V208" s="165"/>
      <c r="W208" s="165"/>
      <c r="X208" s="165"/>
      <c r="Y208" s="165"/>
      <c r="Z208" s="165"/>
      <c r="AA208" s="165"/>
      <c r="AC208" s="165"/>
    </row>
    <row r="209" spans="1:31" x14ac:dyDescent="0.2">
      <c r="B209" s="20" t="s">
        <v>341</v>
      </c>
      <c r="M209" s="141">
        <v>100</v>
      </c>
      <c r="N209" s="141">
        <f>100*(1+((N115-$M115)/ABS($M115)))</f>
        <v>102.38905526817317</v>
      </c>
      <c r="O209" s="141">
        <f t="shared" ref="O209:Q209" si="184">100*(1+((O115-$M115)/ABS($M115)))</f>
        <v>116.53280696977947</v>
      </c>
      <c r="P209" s="141">
        <f t="shared" si="184"/>
        <v>155.04356112169887</v>
      </c>
      <c r="Q209" s="141">
        <f t="shared" si="184"/>
        <v>173.87693983120067</v>
      </c>
      <c r="T209" s="49"/>
      <c r="U209" s="49"/>
      <c r="V209" s="49"/>
      <c r="W209" s="49"/>
      <c r="X209" s="49"/>
      <c r="Y209" s="49"/>
      <c r="Z209" s="49"/>
      <c r="AA209" s="49"/>
      <c r="AC209" s="49"/>
    </row>
    <row r="210" spans="1:31" x14ac:dyDescent="0.2">
      <c r="B210" s="20" t="s">
        <v>342</v>
      </c>
      <c r="M210" s="141">
        <v>100</v>
      </c>
      <c r="N210" s="141">
        <f>100*(1+((N5-$M5)/ABS($M5)))</f>
        <v>107.79378760418462</v>
      </c>
      <c r="O210" s="141">
        <f>100*(1+((O5-$M5)/ABS($M5)))</f>
        <v>104.77506512819249</v>
      </c>
      <c r="P210" s="141">
        <f>100*(1+((P5-$M5)/ABS($M5)))</f>
        <v>106.89361073979613</v>
      </c>
      <c r="Q210" s="141">
        <f>100*(1+((Q5-$M5)/ABS($M5)))</f>
        <v>113.76207229297708</v>
      </c>
      <c r="T210" s="49"/>
      <c r="U210" s="49"/>
      <c r="V210" s="49"/>
      <c r="W210" s="49"/>
      <c r="X210" s="49"/>
      <c r="Y210" s="49"/>
      <c r="Z210" s="49"/>
      <c r="AA210" s="49"/>
      <c r="AC210" s="49"/>
    </row>
    <row r="211" spans="1:31" x14ac:dyDescent="0.2">
      <c r="B211" s="20" t="s">
        <v>343</v>
      </c>
      <c r="M211" s="141">
        <v>100</v>
      </c>
      <c r="N211" s="141">
        <f>100*(1+((N25-$M25)/ABS($M25)))</f>
        <v>108.9126559714795</v>
      </c>
      <c r="O211" s="141">
        <f t="shared" ref="O211:Q211" si="185">100*(1+((O25-$M25)/ABS($M25)))</f>
        <v>109.26916221033866</v>
      </c>
      <c r="P211" s="141">
        <f t="shared" si="185"/>
        <v>108.37789661319073</v>
      </c>
      <c r="Q211" s="141">
        <f t="shared" si="185"/>
        <v>132.97682709447415</v>
      </c>
      <c r="T211" s="49"/>
      <c r="U211" s="49"/>
      <c r="V211" s="49"/>
      <c r="W211" s="49"/>
      <c r="X211" s="49"/>
      <c r="Y211" s="49"/>
      <c r="Z211" s="49"/>
      <c r="AA211" s="49"/>
      <c r="AC211" s="49"/>
    </row>
    <row r="213" spans="1:31" x14ac:dyDescent="0.2">
      <c r="B213" s="1"/>
    </row>
    <row r="214" spans="1:31" s="15" customFormat="1" ht="17" thickBot="1" x14ac:dyDescent="0.25">
      <c r="A214" s="11"/>
      <c r="B214" s="14" t="s">
        <v>107</v>
      </c>
      <c r="R214" s="1"/>
      <c r="S214" s="1"/>
      <c r="AB214" s="1"/>
      <c r="AD214" s="1"/>
      <c r="AE214" s="1"/>
    </row>
    <row r="215" spans="1:31" x14ac:dyDescent="0.2">
      <c r="C215" s="62"/>
      <c r="D215" s="62"/>
      <c r="E215" s="62"/>
      <c r="F215" s="62"/>
      <c r="G215" s="62"/>
      <c r="H215" s="62"/>
      <c r="I215" s="62"/>
      <c r="J215" s="62"/>
      <c r="K215" s="62"/>
      <c r="L215" s="62"/>
      <c r="M215" s="62"/>
      <c r="N215" s="62"/>
      <c r="O215" s="62"/>
      <c r="P215" s="62"/>
      <c r="Q215" s="62"/>
      <c r="T215" s="62"/>
      <c r="U215" s="62"/>
      <c r="V215" s="62"/>
      <c r="W215" s="62"/>
      <c r="X215" s="62"/>
      <c r="Y215" s="62"/>
      <c r="Z215" s="62"/>
      <c r="AA215" s="62"/>
      <c r="AC215" s="62"/>
    </row>
    <row r="216" spans="1:31" x14ac:dyDescent="0.2">
      <c r="B216" s="1"/>
    </row>
  </sheetData>
  <pageMargins left="0.7" right="0.7" top="0.75" bottom="0.75" header="0.3" footer="0.3"/>
  <ignoredErrors>
    <ignoredError sqref="AC22 AC80 AC65 AC52:AC56 AC58:AC61 AC5:AC9 AC63:AC64 AC10:AC18" formulaRange="1"/>
    <ignoredError sqref="AC19:AC20 AC23:AC24" formula="1" formulaRange="1"/>
    <ignoredError sqref="M122:Q122"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5.33203125" style="1" customWidth="1"/>
    <col min="9" max="16384" width="10.83203125" style="1"/>
  </cols>
  <sheetData>
    <row r="5" spans="2:8" x14ac:dyDescent="0.2">
      <c r="H5" s="132" t="s">
        <v>421</v>
      </c>
    </row>
    <row r="6" spans="2:8" x14ac:dyDescent="0.2">
      <c r="H6" s="238" t="s">
        <v>426</v>
      </c>
    </row>
    <row r="7" spans="2:8" x14ac:dyDescent="0.2">
      <c r="H7" s="238" t="s">
        <v>422</v>
      </c>
    </row>
    <row r="8" spans="2:8" x14ac:dyDescent="0.2">
      <c r="H8" s="238" t="s">
        <v>423</v>
      </c>
    </row>
    <row r="9" spans="2:8" x14ac:dyDescent="0.2">
      <c r="H9" s="238" t="s">
        <v>424</v>
      </c>
    </row>
    <row r="10" spans="2:8" x14ac:dyDescent="0.2">
      <c r="H10" s="239" t="s">
        <v>425</v>
      </c>
    </row>
    <row r="13" spans="2:8" s="4" customFormat="1" ht="49" x14ac:dyDescent="0.2">
      <c r="B13" s="3" t="s">
        <v>226</v>
      </c>
    </row>
  </sheetData>
  <hyperlinks>
    <hyperlink ref="H6" location="Overview!B3" display="Overview'!B3" xr:uid="{A080AF01-DFE7-3744-909C-DBF9BFA33E62}"/>
    <hyperlink ref="H8" location="'Analysis -&gt;'!B13" display="'Analysis -&gt;'!B13" xr:uid="{A031DF02-925C-E84E-9F77-697F34179C56}"/>
    <hyperlink ref="H9" location="'Forecast -&gt;'!B13" display="'Forecast -&gt;'!B13" xr:uid="{D40DD6AD-121C-DA4E-9EA5-D10A20FFC96A}"/>
    <hyperlink ref="H10" location="'Valuation -&gt;'!B13" display="'Valuation -&gt;'!B13" xr:uid="{1037D27B-0ADB-FB4A-8CB4-85CE0D3ABA2D}"/>
    <hyperlink ref="H7" location="'Financials -&gt;'!B13" display="'Financials -&gt;'!B13" xr:uid="{24BEE560-CF54-994E-B69A-9DA0A678B7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topLeftCell="A11" zoomScale="173" workbookViewId="0">
      <selection activeCell="C12" sqref="C12"/>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2" t="s">
        <v>268</v>
      </c>
    </row>
    <row r="4" spans="2:7" x14ac:dyDescent="0.2">
      <c r="B4" s="246" t="s">
        <v>227</v>
      </c>
      <c r="C4" s="246"/>
      <c r="E4" s="246" t="s">
        <v>234</v>
      </c>
      <c r="F4" s="246"/>
      <c r="G4" s="246"/>
    </row>
    <row r="5" spans="2:7" x14ac:dyDescent="0.2">
      <c r="B5" s="20" t="s">
        <v>1</v>
      </c>
      <c r="C5" s="166">
        <f ca="1">Overview!C5</f>
        <v>347.72500000000002</v>
      </c>
      <c r="E5" s="12"/>
      <c r="F5" s="132" t="s">
        <v>235</v>
      </c>
      <c r="G5" s="132" t="s">
        <v>236</v>
      </c>
    </row>
    <row r="6" spans="2:7" x14ac:dyDescent="0.2">
      <c r="B6" s="20" t="s">
        <v>233</v>
      </c>
      <c r="C6" s="167">
        <f ca="1">Statement!AC143</f>
        <v>5095214.4250000007</v>
      </c>
      <c r="E6" s="20" t="s">
        <v>19</v>
      </c>
      <c r="F6" s="172">
        <f>IF(Statement!M5&lt;=0,"N/A",_xlfn.RRI(4,Statement!M5,Statement!Q5))</f>
        <v>3.275991627577457E-2</v>
      </c>
      <c r="G6" s="172" t="str">
        <f>IF(Statement!H5&lt;=0,"N/A",_xlfn.RRI(9,Statement!H5,Statement!Q5))</f>
        <v>N/A</v>
      </c>
    </row>
    <row r="7" spans="2:7" x14ac:dyDescent="0.2">
      <c r="B7" s="20" t="s">
        <v>185</v>
      </c>
      <c r="C7" s="167">
        <f ca="1">Statement!AC144</f>
        <v>5033041.4250000007</v>
      </c>
      <c r="E7" s="20" t="s">
        <v>29</v>
      </c>
      <c r="F7" s="172">
        <f>IF(OR(Statement!M17&lt;=0, Statement!Q17&lt;=0), "N/A", _xlfn.RRI(4, Statement!M17, Statement!Q17))</f>
        <v>4.2916736540760114E-2</v>
      </c>
      <c r="G7" s="172" t="str">
        <f>IF(OR(Statement!H17&lt;=0, Statement!Q17&lt;=0), "N/A", _xlfn.RRI(9, Statement!H17, Statement!Q17))</f>
        <v>N/A</v>
      </c>
    </row>
    <row r="8" spans="2:7" x14ac:dyDescent="0.2">
      <c r="B8" s="20" t="s">
        <v>231</v>
      </c>
      <c r="C8" s="168">
        <f ca="1">Statement!AC140</f>
        <v>39.876720183486249</v>
      </c>
      <c r="E8" s="20" t="s">
        <v>237</v>
      </c>
      <c r="F8" s="172">
        <f>IF(OR(Statement!M25&lt;=0, Statement!Q25&lt;=0), "N/A", _xlfn.RRI(4, Statement!M25, Statement!Q25))</f>
        <v>7.3850915073183421E-2</v>
      </c>
      <c r="G8" s="172" t="str">
        <f>IF(OR(Statement!H25&lt;=0, Statement!Q25&lt;=0), "N/A", _xlfn.RRI(9, Statement!H25, Statement!Q25))</f>
        <v>N/A</v>
      </c>
    </row>
    <row r="9" spans="2:7" x14ac:dyDescent="0.2">
      <c r="B9" s="20" t="s">
        <v>198</v>
      </c>
      <c r="C9" s="168">
        <f ca="1">Statement!AC141</f>
        <v>11.008328303768238</v>
      </c>
      <c r="E9" s="20" t="s">
        <v>238</v>
      </c>
      <c r="F9" s="172">
        <f>IF(Statement!M81&lt;=0,"N/A",_xlfn.RRI(4,Statement!M81,Statement!Q81))</f>
        <v>4.6635139392105618E-2</v>
      </c>
      <c r="G9" s="172" t="str">
        <f>IF(Statement!H81&lt;=0,"N/A",_xlfn.RRI(9,Statement!H81,Statement!Q81))</f>
        <v>N/A</v>
      </c>
    </row>
    <row r="10" spans="2:7" x14ac:dyDescent="0.2">
      <c r="B10" s="20" t="s">
        <v>232</v>
      </c>
      <c r="C10" s="168">
        <f ca="1">Statement!AC142</f>
        <v>47.197718098958333</v>
      </c>
      <c r="E10" s="20" t="s">
        <v>1</v>
      </c>
      <c r="F10" s="172">
        <f>IF(Statement!M115&lt;=0,"N/A",_xlfn.RRI(4,Statement!M115,Statement!Q115))</f>
        <v>0.14831356996131073</v>
      </c>
      <c r="G10" s="172" t="str">
        <f>IF(Statement!H115&lt;=0,"N/A",_xlfn.RRI(9,Statement!H115,Statement!Q115))</f>
        <v>N/A</v>
      </c>
    </row>
    <row r="11" spans="2:7" x14ac:dyDescent="0.2">
      <c r="B11" s="20" t="s">
        <v>254</v>
      </c>
      <c r="C11" s="168">
        <f ca="1">Statement!AC145</f>
        <v>10.781476973071166</v>
      </c>
    </row>
    <row r="12" spans="2:7" x14ac:dyDescent="0.2">
      <c r="B12" s="20" t="s">
        <v>201</v>
      </c>
      <c r="C12" s="168">
        <f ca="1">Statement!AC146</f>
        <v>32.500800244093021</v>
      </c>
    </row>
    <row r="15" spans="2:7" x14ac:dyDescent="0.2">
      <c r="B15" s="246" t="s">
        <v>75</v>
      </c>
      <c r="C15" s="246"/>
      <c r="E15" s="246" t="s">
        <v>240</v>
      </c>
      <c r="F15" s="246"/>
    </row>
    <row r="16" spans="2:7" x14ac:dyDescent="0.2">
      <c r="B16" s="20" t="s">
        <v>76</v>
      </c>
      <c r="C16" s="169">
        <f>Statement!AC99</f>
        <v>0.48652915559002019</v>
      </c>
      <c r="E16" s="20" t="s">
        <v>29</v>
      </c>
      <c r="F16" s="167">
        <f>Statement!AC17</f>
        <v>128930</v>
      </c>
    </row>
    <row r="17" spans="2:6" x14ac:dyDescent="0.2">
      <c r="B17" s="20" t="s">
        <v>77</v>
      </c>
      <c r="C17" s="169">
        <f>Statement!AC100</f>
        <v>0.33172958487478121</v>
      </c>
      <c r="E17" s="20" t="s">
        <v>241</v>
      </c>
      <c r="F17" s="167">
        <f>Statement!AC58</f>
        <v>146724</v>
      </c>
    </row>
    <row r="18" spans="2:6" x14ac:dyDescent="0.2">
      <c r="B18" s="20" t="s">
        <v>78</v>
      </c>
      <c r="C18" s="169">
        <f>Statement!AC101</f>
        <v>0.27618604910212224</v>
      </c>
      <c r="E18" s="20" t="s">
        <v>248</v>
      </c>
      <c r="F18" s="171">
        <f>IF(OR(F16&lt;=0, F17&lt;=0),"N/A",F16-F17)</f>
        <v>-17794</v>
      </c>
    </row>
    <row r="21" spans="2:6" x14ac:dyDescent="0.2">
      <c r="B21" s="246" t="s">
        <v>239</v>
      </c>
      <c r="C21" s="246"/>
      <c r="E21" s="246" t="s">
        <v>243</v>
      </c>
      <c r="F21" s="246"/>
    </row>
    <row r="22" spans="2:6" x14ac:dyDescent="0.2">
      <c r="B22" s="20" t="s">
        <v>97</v>
      </c>
      <c r="C22" s="169">
        <f>Statement!AC119</f>
        <v>0.27618604910212224</v>
      </c>
      <c r="E22" s="20" t="s">
        <v>99</v>
      </c>
      <c r="F22" s="169">
        <f>C24</f>
        <v>0.33639821951334065</v>
      </c>
    </row>
    <row r="23" spans="2:6" x14ac:dyDescent="0.2">
      <c r="B23" s="20" t="s">
        <v>98</v>
      </c>
      <c r="C23" s="168">
        <f>Statement!AC120</f>
        <v>1.2180130770796262</v>
      </c>
      <c r="E23" s="20" t="s">
        <v>101</v>
      </c>
      <c r="F23" s="169">
        <f>C26</f>
        <v>1.1991257440476193</v>
      </c>
    </row>
    <row r="24" spans="2:6" x14ac:dyDescent="0.2">
      <c r="B24" s="32" t="s">
        <v>99</v>
      </c>
      <c r="C24" s="170">
        <f>Statement!AC121</f>
        <v>0.33639821951334065</v>
      </c>
      <c r="E24" s="20" t="s">
        <v>102</v>
      </c>
      <c r="F24" s="169">
        <f>Statement!AC130</f>
        <v>2.8240933164668753</v>
      </c>
    </row>
    <row r="25" spans="2:6" x14ac:dyDescent="0.2">
      <c r="B25" s="20" t="s">
        <v>100</v>
      </c>
      <c r="C25" s="168">
        <f>Statement!AC122</f>
        <v>3.5646019345238096</v>
      </c>
    </row>
    <row r="26" spans="2:6" x14ac:dyDescent="0.2">
      <c r="B26" s="32" t="s">
        <v>101</v>
      </c>
      <c r="C26" s="170">
        <f>Statement!AC123</f>
        <v>1.1991257440476193</v>
      </c>
    </row>
    <row r="29" spans="2:6" x14ac:dyDescent="0.2">
      <c r="B29" s="246" t="s">
        <v>244</v>
      </c>
      <c r="C29" s="246"/>
      <c r="E29" s="246" t="s">
        <v>250</v>
      </c>
      <c r="F29" s="246"/>
    </row>
    <row r="30" spans="2:6" x14ac:dyDescent="0.2">
      <c r="B30" s="20" t="s">
        <v>136</v>
      </c>
      <c r="C30" s="168">
        <f>Statement!AC131</f>
        <v>24.549497346960194</v>
      </c>
      <c r="E30" s="20" t="s">
        <v>251</v>
      </c>
      <c r="F30" s="174">
        <f>Statement!AC135</f>
        <v>0.78444940476190472</v>
      </c>
    </row>
    <row r="31" spans="2:6" x14ac:dyDescent="0.2">
      <c r="B31" s="20" t="s">
        <v>137</v>
      </c>
      <c r="C31" s="168">
        <f>Statement!AC132</f>
        <v>16.890196078431373</v>
      </c>
      <c r="E31" s="20" t="s">
        <v>252</v>
      </c>
      <c r="F31" s="174">
        <f>Statement!AC136</f>
        <v>-0.57824590773809526</v>
      </c>
    </row>
    <row r="32" spans="2:6" x14ac:dyDescent="0.2">
      <c r="B32" s="20" t="s">
        <v>138</v>
      </c>
      <c r="C32" s="168">
        <f>Statement!AC133</f>
        <v>98.254589069670416</v>
      </c>
      <c r="E32" s="20" t="s">
        <v>247</v>
      </c>
      <c r="F32" s="174">
        <f>Statement!AC138</f>
        <v>1.0032948046555858</v>
      </c>
    </row>
    <row r="33" spans="2:6" x14ac:dyDescent="0.2">
      <c r="B33" s="20" t="s">
        <v>139</v>
      </c>
      <c r="C33" s="168">
        <f>Statement!AC134</f>
        <v>-56.814895644278849</v>
      </c>
      <c r="E33" s="20" t="s">
        <v>246</v>
      </c>
      <c r="F33" s="174">
        <f>Statement!AC137</f>
        <v>1.1914535981677672</v>
      </c>
    </row>
    <row r="34" spans="2:6" x14ac:dyDescent="0.2">
      <c r="E34" s="20" t="s">
        <v>253</v>
      </c>
      <c r="F34" s="176" t="str">
        <f>Statement!AC139</f>
        <v>N/A</v>
      </c>
    </row>
    <row r="37" spans="2:6" x14ac:dyDescent="0.2">
      <c r="B37" s="246" t="s">
        <v>262</v>
      </c>
      <c r="C37" s="246"/>
      <c r="E37" s="246" t="s">
        <v>265</v>
      </c>
      <c r="F37" s="246"/>
    </row>
    <row r="38" spans="2:6" x14ac:dyDescent="0.2">
      <c r="B38" s="20" t="s">
        <v>260</v>
      </c>
      <c r="C38" s="169">
        <f ca="1">Statement!AC152</f>
        <v>2.5077288086850235E-2</v>
      </c>
      <c r="E38" s="20" t="s">
        <v>264</v>
      </c>
      <c r="F38" s="169">
        <f>Statement!AC158</f>
        <v>0.12717825284402776</v>
      </c>
    </row>
    <row r="39" spans="2:6" x14ac:dyDescent="0.2">
      <c r="B39" s="54" t="s">
        <v>263</v>
      </c>
      <c r="C39" s="209">
        <f ca="1">Statement!AC151</f>
        <v>2.4135785021451767E-2</v>
      </c>
      <c r="E39" s="20" t="s">
        <v>266</v>
      </c>
      <c r="F39" s="169">
        <f>Statement!AC159</f>
        <v>0.66862909324507835</v>
      </c>
    </row>
    <row r="40" spans="2:6" x14ac:dyDescent="0.2">
      <c r="B40" s="20" t="s">
        <v>261</v>
      </c>
      <c r="C40" s="169">
        <f ca="1">Statement!AC153</f>
        <v>3.0196275792652239E-3</v>
      </c>
      <c r="E40" s="20" t="s">
        <v>267</v>
      </c>
      <c r="F40" s="169">
        <f>Statement!AC160</f>
        <v>0.79580734608910608</v>
      </c>
    </row>
    <row r="41" spans="2:6" x14ac:dyDescent="0.2">
      <c r="B41" s="20" t="s">
        <v>286</v>
      </c>
      <c r="C41" s="169">
        <f ca="1">Statement!AC154</f>
        <v>1.613788805365144E-2</v>
      </c>
    </row>
    <row r="42" spans="2:6" x14ac:dyDescent="0.2">
      <c r="B42" s="20" t="s">
        <v>288</v>
      </c>
      <c r="C42" s="169">
        <f ca="1">Statement!AC155</f>
        <v>1.9207435023698729E-2</v>
      </c>
    </row>
    <row r="45" spans="2:6" x14ac:dyDescent="0.2">
      <c r="B45" s="246" t="s">
        <v>273</v>
      </c>
      <c r="C45" s="246"/>
      <c r="E45" s="246" t="s">
        <v>279</v>
      </c>
      <c r="F45" s="246"/>
    </row>
    <row r="46" spans="2:6" x14ac:dyDescent="0.2">
      <c r="B46" s="20" t="s">
        <v>271</v>
      </c>
      <c r="C46" s="169">
        <f>Statement!AC161</f>
        <v>6.1420869446529721E-4</v>
      </c>
      <c r="E46" s="20" t="s">
        <v>272</v>
      </c>
      <c r="F46" s="168">
        <f>Statement!AC162</f>
        <v>10.039536795943539</v>
      </c>
    </row>
    <row r="47" spans="2:6" x14ac:dyDescent="0.2">
      <c r="E47" s="20" t="s">
        <v>280</v>
      </c>
      <c r="F47" s="168">
        <f>Statement!AC165</f>
        <v>4.2601754145539266</v>
      </c>
    </row>
    <row r="48" spans="2:6" x14ac:dyDescent="0.2">
      <c r="E48" s="20" t="s">
        <v>285</v>
      </c>
      <c r="F48" s="169">
        <f ca="1">Statement!AC166</f>
        <v>1.220223425631395E-2</v>
      </c>
    </row>
    <row r="51" spans="2:6" x14ac:dyDescent="0.2">
      <c r="B51" s="246" t="s">
        <v>276</v>
      </c>
      <c r="C51" s="246"/>
      <c r="E51" s="246" t="s">
        <v>297</v>
      </c>
      <c r="F51" s="246"/>
    </row>
    <row r="52" spans="2:6" x14ac:dyDescent="0.2">
      <c r="B52" s="20" t="s">
        <v>274</v>
      </c>
      <c r="C52" s="169">
        <f>Statement!AC163</f>
        <v>9.3413483819961285E-2</v>
      </c>
      <c r="E52" s="20" t="s">
        <v>298</v>
      </c>
      <c r="F52" s="169">
        <f>Statement!AC167</f>
        <v>2.1509222981729692E-2</v>
      </c>
    </row>
    <row r="53" spans="2:6" x14ac:dyDescent="0.2">
      <c r="B53" s="20" t="s">
        <v>275</v>
      </c>
      <c r="C53" s="169">
        <f>Statement!AC164</f>
        <v>2.9360164344944442E-2</v>
      </c>
      <c r="E53" s="20" t="s">
        <v>295</v>
      </c>
      <c r="F53" s="169">
        <f>Statement!AC168</f>
        <v>6.8434611924429539E-2</v>
      </c>
    </row>
    <row r="54" spans="2:6" x14ac:dyDescent="0.2">
      <c r="E54" s="20" t="s">
        <v>296</v>
      </c>
      <c r="F54" s="169">
        <f>Statement!AC169</f>
        <v>0.76648854961832058</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102"/>
  <sheetViews>
    <sheetView zoomScale="159" zoomScaleNormal="230" workbookViewId="0">
      <pane xSplit="2" ySplit="3" topLeftCell="C4" activePane="bottomRight" state="frozen"/>
      <selection pane="topRight" activeCell="C1" sqref="C1"/>
      <selection pane="bottomLeft" activeCell="A4" sqref="A4"/>
      <selection pane="bottomRight" activeCell="B89" sqref="B89:B99"/>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25.09.2021</v>
      </c>
      <c r="D2" s="10" t="str">
        <f>Statement!N2</f>
        <v>24.09.2022</v>
      </c>
      <c r="E2" s="10" t="str">
        <f>Statement!O2</f>
        <v>30.09.2023</v>
      </c>
      <c r="F2" s="10" t="str">
        <f>Statement!P2</f>
        <v>28.09.2024</v>
      </c>
      <c r="G2" s="10" t="str">
        <f>Statement!Q2</f>
        <v>27.09.2025</v>
      </c>
      <c r="I2" s="10"/>
    </row>
    <row r="3" spans="2:9" x14ac:dyDescent="0.2">
      <c r="B3" s="10"/>
      <c r="C3" s="10">
        <f>Statement!M3</f>
        <v>2021</v>
      </c>
      <c r="D3" s="10">
        <f>Statement!N3</f>
        <v>2022</v>
      </c>
      <c r="E3" s="10">
        <f>Statement!O3</f>
        <v>2023</v>
      </c>
      <c r="F3" s="10">
        <f>Statement!P3</f>
        <v>2024</v>
      </c>
      <c r="G3" s="10">
        <f>Statement!Q3</f>
        <v>2025</v>
      </c>
      <c r="I3" s="10" t="str">
        <f>Statement!AC3</f>
        <v>TTM/YTD</v>
      </c>
    </row>
    <row r="5" spans="2:9" ht="17" thickBot="1" x14ac:dyDescent="0.25">
      <c r="B5" s="14" t="s">
        <v>227</v>
      </c>
      <c r="C5" s="14"/>
      <c r="D5" s="14"/>
      <c r="E5" s="14"/>
      <c r="F5" s="14"/>
      <c r="G5" s="14"/>
      <c r="I5" s="14"/>
    </row>
    <row r="6" spans="2:9" x14ac:dyDescent="0.2">
      <c r="B6" s="20" t="s">
        <v>1</v>
      </c>
      <c r="C6" s="166">
        <f>Statement!M114</f>
        <v>146.91999999999999</v>
      </c>
      <c r="D6" s="166">
        <f>Statement!N114</f>
        <v>150.43</v>
      </c>
      <c r="E6" s="166">
        <f>Statement!O114</f>
        <v>171.21</v>
      </c>
      <c r="F6" s="166">
        <f>Statement!P114</f>
        <v>227.79</v>
      </c>
      <c r="G6" s="166">
        <f>Statement!Q114</f>
        <v>255.46</v>
      </c>
      <c r="I6" s="166">
        <f ca="1">Statement!AC114</f>
        <v>347.72500000000002</v>
      </c>
    </row>
    <row r="7" spans="2:9" x14ac:dyDescent="0.2">
      <c r="B7" s="20" t="s">
        <v>233</v>
      </c>
      <c r="C7" s="167">
        <f>Statement!M143</f>
        <v>2434464.4</v>
      </c>
      <c r="D7" s="167">
        <f>Statement!N143</f>
        <v>2409587.7400000002</v>
      </c>
      <c r="E7" s="167">
        <f>Statement!O143</f>
        <v>2674471.41</v>
      </c>
      <c r="F7" s="167">
        <f>Statement!P143</f>
        <v>3457852.1999999997</v>
      </c>
      <c r="G7" s="167">
        <f>Statement!Q143</f>
        <v>3788982.72</v>
      </c>
      <c r="I7" s="167">
        <f ca="1">Statement!AC143</f>
        <v>5095214.4250000007</v>
      </c>
    </row>
    <row r="8" spans="2:9" x14ac:dyDescent="0.2">
      <c r="B8" s="20" t="s">
        <v>185</v>
      </c>
      <c r="C8" s="167">
        <f>Statement!M144</f>
        <v>2368667.4</v>
      </c>
      <c r="D8" s="167">
        <f>Statement!N144</f>
        <v>2360547.7400000002</v>
      </c>
      <c r="E8" s="167">
        <f>Statement!O144</f>
        <v>2623460.41</v>
      </c>
      <c r="F8" s="167">
        <f>Statement!P144</f>
        <v>3407831.1999999997</v>
      </c>
      <c r="G8" s="167">
        <f>Statement!Q144</f>
        <v>3755219.72</v>
      </c>
      <c r="I8" s="167">
        <f ca="1">Statement!AC144</f>
        <v>5033041.4250000007</v>
      </c>
    </row>
    <row r="9" spans="2:9" x14ac:dyDescent="0.2">
      <c r="B9" s="20" t="s">
        <v>231</v>
      </c>
      <c r="C9" s="168">
        <f>Statement!M140</f>
        <v>26.188948306595361</v>
      </c>
      <c r="D9" s="168">
        <f>Statement!N140</f>
        <v>24.620294599018003</v>
      </c>
      <c r="E9" s="168">
        <f>Statement!O140</f>
        <v>27.929853181076673</v>
      </c>
      <c r="F9" s="168">
        <f>Statement!P140</f>
        <v>37.465460526315788</v>
      </c>
      <c r="G9" s="168">
        <f>Statement!Q140</f>
        <v>34.243967828418235</v>
      </c>
      <c r="I9" s="168">
        <f ca="1">Statement!AC140</f>
        <v>39.876720183486249</v>
      </c>
    </row>
    <row r="10" spans="2:9" x14ac:dyDescent="0.2">
      <c r="B10" s="20" t="s">
        <v>198</v>
      </c>
      <c r="C10" s="168">
        <f>Statement!M141</f>
        <v>6.7733478761238537</v>
      </c>
      <c r="D10" s="168">
        <f>Statement!N141</f>
        <v>6.2281151224361446</v>
      </c>
      <c r="E10" s="168">
        <f>Statement!O141</f>
        <v>7.0635264359419239</v>
      </c>
      <c r="F10" s="168">
        <f>Statement!P141</f>
        <v>8.9756372703210712</v>
      </c>
      <c r="G10" s="168">
        <f>Statement!Q141</f>
        <v>9.2108037514327386</v>
      </c>
      <c r="I10" s="168">
        <f ca="1">Statement!AC141</f>
        <v>11.008328303768238</v>
      </c>
    </row>
    <row r="11" spans="2:9" x14ac:dyDescent="0.2">
      <c r="B11" s="20" t="s">
        <v>232</v>
      </c>
      <c r="C11" s="168">
        <f>Statement!M142</f>
        <v>38.205254715485808</v>
      </c>
      <c r="D11" s="168">
        <f>Statement!N142</f>
        <v>47.226090148405433</v>
      </c>
      <c r="E11" s="168">
        <f>Statement!O142</f>
        <v>42.847956907926502</v>
      </c>
      <c r="F11" s="168">
        <f>Statement!P142</f>
        <v>60.461345741878837</v>
      </c>
      <c r="G11" s="168">
        <f>Statement!Q142</f>
        <v>51.193861093404578</v>
      </c>
      <c r="I11" s="168">
        <f ca="1">Statement!AC142</f>
        <v>47.197718098958333</v>
      </c>
    </row>
    <row r="12" spans="2:9" x14ac:dyDescent="0.2">
      <c r="B12" s="20" t="s">
        <v>254</v>
      </c>
      <c r="C12" s="168">
        <f>Statement!M145</f>
        <v>6.4750063556368342</v>
      </c>
      <c r="D12" s="168">
        <f>Statement!N145</f>
        <v>5.9862544379298459</v>
      </c>
      <c r="E12" s="168">
        <f>Statement!O145</f>
        <v>6.8446727891777659</v>
      </c>
      <c r="F12" s="168">
        <f>Statement!P145</f>
        <v>8.7149007122124615</v>
      </c>
      <c r="G12" s="168">
        <f>Statement!Q145</f>
        <v>9.0234782211692117</v>
      </c>
      <c r="I12" s="168">
        <f ca="1">Statement!AC145</f>
        <v>10.781476973071166</v>
      </c>
    </row>
    <row r="13" spans="2:9" x14ac:dyDescent="0.2">
      <c r="B13" s="20" t="s">
        <v>201</v>
      </c>
      <c r="C13" s="168">
        <f>Statement!M146</f>
        <v>21.741066003359368</v>
      </c>
      <c r="D13" s="168">
        <f>Statement!N146</f>
        <v>19.763957065231043</v>
      </c>
      <c r="E13" s="168">
        <f>Statement!O146</f>
        <v>22.95220872958242</v>
      </c>
      <c r="F13" s="168">
        <f>Statement!P146</f>
        <v>27.657375665497984</v>
      </c>
      <c r="G13" s="168">
        <f>Statement!Q146</f>
        <v>28.224124163848177</v>
      </c>
      <c r="I13" s="168">
        <f ca="1">Statement!AC146</f>
        <v>32.500800244093021</v>
      </c>
    </row>
    <row r="15" spans="2:9" ht="17" thickBot="1" x14ac:dyDescent="0.25">
      <c r="B15" s="14" t="s">
        <v>75</v>
      </c>
      <c r="C15" s="14"/>
      <c r="D15" s="14"/>
      <c r="E15" s="14"/>
      <c r="F15" s="14"/>
      <c r="G15" s="14"/>
      <c r="I15" s="14"/>
    </row>
    <row r="16" spans="2:9" x14ac:dyDescent="0.2">
      <c r="B16" s="20" t="s">
        <v>76</v>
      </c>
      <c r="C16" s="169">
        <f>Statement!M99</f>
        <v>0.41779359625167778</v>
      </c>
      <c r="D16" s="169">
        <f>Statement!N99</f>
        <v>0.43309630561360085</v>
      </c>
      <c r="E16" s="169">
        <f>Statement!O99</f>
        <v>0.44131129577207562</v>
      </c>
      <c r="F16" s="169">
        <f>Statement!P99</f>
        <v>0.46206349815233932</v>
      </c>
      <c r="G16" s="169">
        <f>Statement!Q99</f>
        <v>0.46905164107160452</v>
      </c>
      <c r="I16" s="169">
        <f>Statement!AC99</f>
        <v>0.48652915559002019</v>
      </c>
    </row>
    <row r="17" spans="2:9" x14ac:dyDescent="0.2">
      <c r="B17" s="20" t="s">
        <v>77</v>
      </c>
      <c r="C17" s="169">
        <f>Statement!M100</f>
        <v>0.29782377527561593</v>
      </c>
      <c r="D17" s="169">
        <f>Statement!N100</f>
        <v>0.30288744395528594</v>
      </c>
      <c r="E17" s="169">
        <f>Statement!O100</f>
        <v>0.29821412265024722</v>
      </c>
      <c r="F17" s="169">
        <f>Statement!P100</f>
        <v>0.31510222870075566</v>
      </c>
      <c r="G17" s="169">
        <f>Statement!Q100</f>
        <v>0.31970799762591884</v>
      </c>
      <c r="I17" s="169">
        <f>Statement!AC100</f>
        <v>0.33172958487478121</v>
      </c>
    </row>
    <row r="18" spans="2:9" x14ac:dyDescent="0.2">
      <c r="B18" s="20" t="s">
        <v>78</v>
      </c>
      <c r="C18" s="169">
        <f>Statement!M101</f>
        <v>0.25881793355694238</v>
      </c>
      <c r="D18" s="169">
        <f>Statement!N101</f>
        <v>0.25309640705199732</v>
      </c>
      <c r="E18" s="169">
        <f>Statement!O101</f>
        <v>0.25306234264320282</v>
      </c>
      <c r="F18" s="169">
        <f>Statement!P101</f>
        <v>0.23971255769943867</v>
      </c>
      <c r="G18" s="169">
        <f>Statement!Q101</f>
        <v>0.26915064121818238</v>
      </c>
      <c r="I18" s="169">
        <f>Statement!AC101</f>
        <v>0.27618604910212224</v>
      </c>
    </row>
    <row r="20" spans="2:9" ht="17" thickBot="1" x14ac:dyDescent="0.25">
      <c r="B20" s="14" t="s">
        <v>240</v>
      </c>
      <c r="C20" s="14"/>
      <c r="D20" s="14"/>
      <c r="E20" s="14"/>
      <c r="F20" s="14"/>
      <c r="G20" s="14"/>
      <c r="I20" s="14"/>
    </row>
    <row r="21" spans="2:9" x14ac:dyDescent="0.2">
      <c r="B21" s="20" t="s">
        <v>29</v>
      </c>
      <c r="C21" s="171">
        <f>Statement!M17</f>
        <v>94680</v>
      </c>
      <c r="D21" s="171">
        <f>Statement!N17</f>
        <v>99803</v>
      </c>
      <c r="E21" s="171">
        <f>Statement!O17</f>
        <v>96995</v>
      </c>
      <c r="F21" s="171">
        <f>Statement!P17</f>
        <v>93736</v>
      </c>
      <c r="G21" s="171">
        <f>Statement!Q17</f>
        <v>112010</v>
      </c>
      <c r="I21" s="171">
        <f>Statement!AC17</f>
        <v>128930</v>
      </c>
    </row>
    <row r="22" spans="2:9" x14ac:dyDescent="0.2">
      <c r="B22" s="20" t="s">
        <v>241</v>
      </c>
      <c r="C22" s="171">
        <f>Statement!M58</f>
        <v>104038</v>
      </c>
      <c r="D22" s="171">
        <f>Statement!N58</f>
        <v>122151</v>
      </c>
      <c r="E22" s="171">
        <f>Statement!O58</f>
        <v>110543</v>
      </c>
      <c r="F22" s="171">
        <f>Statement!P58</f>
        <v>118254</v>
      </c>
      <c r="G22" s="171">
        <f>Statement!Q58</f>
        <v>111482</v>
      </c>
      <c r="I22" s="171">
        <f>Statement!AC58</f>
        <v>146724</v>
      </c>
    </row>
    <row r="23" spans="2:9" x14ac:dyDescent="0.2">
      <c r="B23" s="20" t="s">
        <v>248</v>
      </c>
      <c r="C23" s="189">
        <f>IF(OR(C21&lt;=0, C22&lt;=0),"N/A",C21-C22)</f>
        <v>-9358</v>
      </c>
      <c r="D23" s="189">
        <f t="shared" ref="D23:I23" si="0">IF(OR(D21&lt;=0, D22&lt;=0),"N/A",D21-D22)</f>
        <v>-22348</v>
      </c>
      <c r="E23" s="189">
        <f t="shared" si="0"/>
        <v>-13548</v>
      </c>
      <c r="F23" s="189">
        <f t="shared" si="0"/>
        <v>-24518</v>
      </c>
      <c r="G23" s="189">
        <f t="shared" si="0"/>
        <v>528</v>
      </c>
      <c r="I23" s="189">
        <f t="shared" si="0"/>
        <v>-17794</v>
      </c>
    </row>
    <row r="25" spans="2:9" ht="17" thickBot="1" x14ac:dyDescent="0.25">
      <c r="B25" s="14" t="s">
        <v>239</v>
      </c>
      <c r="C25" s="14"/>
      <c r="D25" s="14"/>
      <c r="E25" s="14"/>
      <c r="F25" s="14"/>
      <c r="G25" s="14"/>
      <c r="I25" s="14"/>
    </row>
    <row r="26" spans="2:9" x14ac:dyDescent="0.2">
      <c r="B26" s="20" t="s">
        <v>97</v>
      </c>
      <c r="C26" s="169">
        <f>Statement!M119</f>
        <v>0.25881793355694238</v>
      </c>
      <c r="D26" s="169">
        <f>Statement!N119</f>
        <v>0.25309640705199732</v>
      </c>
      <c r="E26" s="169">
        <f>Statement!O119</f>
        <v>0.25306234264320282</v>
      </c>
      <c r="F26" s="169">
        <f>Statement!P119</f>
        <v>0.23971255769943867</v>
      </c>
      <c r="G26" s="169">
        <f>Statement!Q119</f>
        <v>0.26915064121818238</v>
      </c>
      <c r="I26" s="169">
        <f>Statement!AC119</f>
        <v>0.27618604910212224</v>
      </c>
    </row>
    <row r="27" spans="2:9" x14ac:dyDescent="0.2">
      <c r="B27" s="20" t="s">
        <v>98</v>
      </c>
      <c r="C27" s="208">
        <f>Statement!M120</f>
        <v>1.0422077367080529</v>
      </c>
      <c r="D27" s="208">
        <f>Statement!N120</f>
        <v>1.1178523337727317</v>
      </c>
      <c r="E27" s="208">
        <f>Statement!O120</f>
        <v>1.0870773690166571</v>
      </c>
      <c r="F27" s="208">
        <f>Statement!P120</f>
        <v>1.0713874732862074</v>
      </c>
      <c r="G27" s="208">
        <f>Statement!Q120</f>
        <v>1.1584451663368045</v>
      </c>
      <c r="I27" s="208">
        <f>Statement!AC120</f>
        <v>1.2180130770796262</v>
      </c>
    </row>
    <row r="28" spans="2:9" x14ac:dyDescent="0.2">
      <c r="B28" s="32" t="s">
        <v>99</v>
      </c>
      <c r="C28" s="170">
        <f>Statement!M121</f>
        <v>0.26974205275183616</v>
      </c>
      <c r="D28" s="170">
        <f>Statement!N121</f>
        <v>0.28292440929256846</v>
      </c>
      <c r="E28" s="170">
        <f>Statement!O121</f>
        <v>0.2750983456377647</v>
      </c>
      <c r="F28" s="170">
        <f>Statement!P121</f>
        <v>0.25682503150857577</v>
      </c>
      <c r="G28" s="170">
        <f>Statement!Q121</f>
        <v>0.31179625933565486</v>
      </c>
      <c r="I28" s="170">
        <f>Statement!AC121</f>
        <v>0.33639821951334065</v>
      </c>
    </row>
    <row r="29" spans="2:9" x14ac:dyDescent="0.2">
      <c r="B29" s="20" t="s">
        <v>100</v>
      </c>
      <c r="C29" s="208">
        <f>Statement!M122</f>
        <v>5.5635124425423994</v>
      </c>
      <c r="D29" s="208">
        <f>Statement!N122</f>
        <v>6.9615369434796337</v>
      </c>
      <c r="E29" s="208">
        <f>Statement!O122</f>
        <v>5.6734624915521517</v>
      </c>
      <c r="F29" s="208">
        <f>Statement!P122</f>
        <v>6.408779631255487</v>
      </c>
      <c r="G29" s="208">
        <f>Statement!Q122</f>
        <v>4.8721874872852045</v>
      </c>
      <c r="I29" s="208">
        <f>Statement!AC122</f>
        <v>3.5646019345238096</v>
      </c>
    </row>
    <row r="30" spans="2:9" x14ac:dyDescent="0.2">
      <c r="B30" s="32" t="s">
        <v>101</v>
      </c>
      <c r="C30" s="170">
        <f>Statement!M123</f>
        <v>1.5007132667617686</v>
      </c>
      <c r="D30" s="170">
        <f>Statement!N123</f>
        <v>1.9695887275023678</v>
      </c>
      <c r="E30" s="170">
        <f>Statement!O123</f>
        <v>1.5607601454639075</v>
      </c>
      <c r="F30" s="170">
        <f>Statement!P123</f>
        <v>1.6459350307287091</v>
      </c>
      <c r="G30" s="170">
        <f>Statement!Q123</f>
        <v>1.5191298333175103</v>
      </c>
      <c r="I30" s="170">
        <f>Statement!AC123</f>
        <v>1.1991257440476193</v>
      </c>
    </row>
    <row r="32" spans="2:9" ht="17" thickBot="1" x14ac:dyDescent="0.25">
      <c r="B32" s="14" t="s">
        <v>299</v>
      </c>
      <c r="C32" s="14"/>
      <c r="D32" s="14"/>
      <c r="E32" s="14"/>
      <c r="F32" s="14"/>
      <c r="G32" s="14"/>
      <c r="I32" s="14"/>
    </row>
    <row r="33" spans="2:9" x14ac:dyDescent="0.2">
      <c r="B33" s="20" t="s">
        <v>99</v>
      </c>
      <c r="C33" s="169">
        <f>C28</f>
        <v>0.26974205275183616</v>
      </c>
      <c r="D33" s="169">
        <f t="shared" ref="D33:G33" si="1">D28</f>
        <v>0.28292440929256846</v>
      </c>
      <c r="E33" s="169">
        <f t="shared" si="1"/>
        <v>0.2750983456377647</v>
      </c>
      <c r="F33" s="169">
        <f t="shared" si="1"/>
        <v>0.25682503150857577</v>
      </c>
      <c r="G33" s="169">
        <f t="shared" si="1"/>
        <v>0.31179625933565486</v>
      </c>
      <c r="I33" s="169">
        <f>I28</f>
        <v>0.33639821951334065</v>
      </c>
    </row>
    <row r="34" spans="2:9" x14ac:dyDescent="0.2">
      <c r="B34" s="20" t="s">
        <v>101</v>
      </c>
      <c r="C34" s="169">
        <f>C30</f>
        <v>1.5007132667617686</v>
      </c>
      <c r="D34" s="169">
        <f t="shared" ref="D34:G34" si="2">D30</f>
        <v>1.9695887275023678</v>
      </c>
      <c r="E34" s="169">
        <f t="shared" si="2"/>
        <v>1.5607601454639075</v>
      </c>
      <c r="F34" s="169">
        <f t="shared" si="2"/>
        <v>1.6459350307287091</v>
      </c>
      <c r="G34" s="169">
        <f t="shared" si="2"/>
        <v>1.5191298333175103</v>
      </c>
      <c r="I34" s="169">
        <f>I30</f>
        <v>1.1991257440476193</v>
      </c>
    </row>
    <row r="35" spans="2:9" x14ac:dyDescent="0.2">
      <c r="B35" s="20" t="s">
        <v>102</v>
      </c>
      <c r="C35" s="169">
        <f>Statement!M130</f>
        <v>-34.893357899142124</v>
      </c>
      <c r="D35" s="169">
        <f>Statement!N130</f>
        <v>61.325292339444864</v>
      </c>
      <c r="E35" s="169">
        <f>Statement!O130</f>
        <v>8.7540939978097523</v>
      </c>
      <c r="F35" s="169">
        <f>Statement!P130</f>
        <v>13.498600849775102</v>
      </c>
      <c r="G35" s="169">
        <f>Statement!Q130</f>
        <v>2.8091291441706971</v>
      </c>
      <c r="I35" s="169">
        <f>Statement!AC130</f>
        <v>2.8240933164668753</v>
      </c>
    </row>
    <row r="37" spans="2:9" ht="17" thickBot="1" x14ac:dyDescent="0.25">
      <c r="B37" s="14" t="s">
        <v>244</v>
      </c>
      <c r="C37" s="14"/>
      <c r="D37" s="14"/>
      <c r="E37" s="14"/>
      <c r="F37" s="14"/>
      <c r="G37" s="14"/>
      <c r="I37" s="14"/>
    </row>
    <row r="38" spans="2:9" x14ac:dyDescent="0.2">
      <c r="B38" s="20" t="s">
        <v>136</v>
      </c>
      <c r="C38" s="168">
        <f>Statement!M131</f>
        <v>26.219311841713207</v>
      </c>
      <c r="D38" s="168">
        <f>Statement!N131</f>
        <v>26.087825363656648</v>
      </c>
      <c r="E38" s="168">
        <f>Statement!O131</f>
        <v>28.100290906244702</v>
      </c>
      <c r="F38" s="168">
        <f>Statement!P131</f>
        <v>31.185571624023428</v>
      </c>
      <c r="G38" s="168">
        <f>Statement!Q131</f>
        <v>34.886990852098108</v>
      </c>
      <c r="I38" s="168">
        <f>Statement!AC131</f>
        <v>24.549497346960194</v>
      </c>
    </row>
    <row r="39" spans="2:9" x14ac:dyDescent="0.2">
      <c r="B39" s="20" t="s">
        <v>137</v>
      </c>
      <c r="C39" s="168">
        <f>Statement!M132</f>
        <v>11.27659274770989</v>
      </c>
      <c r="D39" s="168">
        <f>Statement!N132</f>
        <v>8.0756980666171607</v>
      </c>
      <c r="E39" s="168">
        <f>Statement!O132</f>
        <v>10.791292490321617</v>
      </c>
      <c r="F39" s="168">
        <f>Statement!P132</f>
        <v>12.642570548414087</v>
      </c>
      <c r="G39" s="168">
        <f>Statement!Q132</f>
        <v>9.4454652425778427</v>
      </c>
      <c r="I39" s="168">
        <f>Statement!AC132</f>
        <v>16.890196078431373</v>
      </c>
    </row>
    <row r="40" spans="2:9" x14ac:dyDescent="0.2">
      <c r="B40" s="20" t="s">
        <v>138</v>
      </c>
      <c r="C40" s="168">
        <f>Statement!M133</f>
        <v>93.851071222315596</v>
      </c>
      <c r="D40" s="168">
        <f>Statement!N133</f>
        <v>104.68527730310539</v>
      </c>
      <c r="E40" s="168">
        <f>Statement!O133</f>
        <v>106.72146803214764</v>
      </c>
      <c r="F40" s="168">
        <f>Statement!P133</f>
        <v>119.65847721913744</v>
      </c>
      <c r="G40" s="168">
        <f>Statement!Q133</f>
        <v>115.40052498189718</v>
      </c>
      <c r="I40" s="168">
        <f>Statement!AC133</f>
        <v>98.254589069670416</v>
      </c>
    </row>
    <row r="41" spans="2:9" x14ac:dyDescent="0.2">
      <c r="B41" s="20" t="s">
        <v>139</v>
      </c>
      <c r="C41" s="168">
        <f>Statement!M134</f>
        <v>-56.355166632892498</v>
      </c>
      <c r="D41" s="168">
        <f>Statement!N134</f>
        <v>-70.521753872831582</v>
      </c>
      <c r="E41" s="168">
        <f>Statement!O134</f>
        <v>-67.829884635581323</v>
      </c>
      <c r="F41" s="168">
        <f>Statement!P134</f>
        <v>-75.830335046699929</v>
      </c>
      <c r="G41" s="168">
        <f>Statement!Q134</f>
        <v>-71.06806888722123</v>
      </c>
      <c r="I41" s="168">
        <f>Statement!AC134</f>
        <v>-56.814895644278849</v>
      </c>
    </row>
    <row r="43" spans="2:9" ht="17" thickBot="1" x14ac:dyDescent="0.25">
      <c r="B43" s="14" t="s">
        <v>250</v>
      </c>
      <c r="C43" s="14"/>
      <c r="D43" s="14"/>
      <c r="E43" s="14"/>
      <c r="F43" s="14"/>
      <c r="G43" s="14"/>
      <c r="I43" s="14"/>
    </row>
    <row r="44" spans="2:9" x14ac:dyDescent="0.2">
      <c r="B44" s="20" t="s">
        <v>251</v>
      </c>
      <c r="C44" s="174">
        <f>Statement!M135</f>
        <v>1.9768426058012363</v>
      </c>
      <c r="D44" s="174">
        <f>Statement!N135</f>
        <v>2.3695334701610355</v>
      </c>
      <c r="E44" s="174">
        <f>Statement!O135</f>
        <v>1.7875325845589418</v>
      </c>
      <c r="F44" s="174">
        <f>Statement!P135</f>
        <v>1.8723266022827041</v>
      </c>
      <c r="G44" s="174">
        <f>Statement!Q135</f>
        <v>1.3380304612588665</v>
      </c>
      <c r="I44" s="174">
        <f>Statement!AC135</f>
        <v>0.78444940476190472</v>
      </c>
    </row>
    <row r="45" spans="2:9" x14ac:dyDescent="0.2">
      <c r="B45" s="20" t="s">
        <v>252</v>
      </c>
      <c r="C45" s="174">
        <f>Statement!M136</f>
        <v>-1.0429069583135204</v>
      </c>
      <c r="D45" s="174">
        <f>Statement!N136</f>
        <v>-0.96779286390906216</v>
      </c>
      <c r="E45" s="174">
        <f>Statement!O136</f>
        <v>-0.82082515367038911</v>
      </c>
      <c r="F45" s="174">
        <f>Statement!P136</f>
        <v>-0.87833187006145741</v>
      </c>
      <c r="G45" s="174">
        <f>Statement!Q136</f>
        <v>-0.45790894172215968</v>
      </c>
      <c r="I45" s="174">
        <f>Statement!AC136</f>
        <v>-0.57824590773809526</v>
      </c>
    </row>
    <row r="46" spans="2:9" x14ac:dyDescent="0.2">
      <c r="B46" s="20" t="s">
        <v>246</v>
      </c>
      <c r="C46" s="174">
        <f>Statement!M137</f>
        <v>1.7277037957937855</v>
      </c>
      <c r="D46" s="174">
        <f>Statement!N137</f>
        <v>1.2812731358210701</v>
      </c>
      <c r="E46" s="174">
        <f>Statement!O137</f>
        <v>1.3186266413411512</v>
      </c>
      <c r="F46" s="174">
        <f>Statement!P137</f>
        <v>1.0774865073245952</v>
      </c>
      <c r="G46" s="174">
        <f>Statement!Q137</f>
        <v>1.0396423374851327</v>
      </c>
      <c r="I46" s="174">
        <f>Statement!AC137</f>
        <v>1.1914535981677672</v>
      </c>
    </row>
    <row r="47" spans="2:9" x14ac:dyDescent="0.2">
      <c r="B47" s="20" t="s">
        <v>247</v>
      </c>
      <c r="C47" s="174">
        <f>Statement!M138</f>
        <v>1.0746328129358229</v>
      </c>
      <c r="D47" s="174">
        <f>Statement!N138</f>
        <v>0.87935602862672257</v>
      </c>
      <c r="E47" s="174">
        <f>Statement!O138</f>
        <v>0.98801167175929749</v>
      </c>
      <c r="F47" s="174">
        <f>Statement!P138</f>
        <v>0.86731257653408322</v>
      </c>
      <c r="G47" s="174">
        <f>Statement!Q138</f>
        <v>0.89329292221866674</v>
      </c>
      <c r="I47" s="174">
        <f>Statement!AC138</f>
        <v>1.0032948046555858</v>
      </c>
    </row>
    <row r="48" spans="2:9" x14ac:dyDescent="0.2">
      <c r="B48" s="20" t="s">
        <v>253</v>
      </c>
      <c r="C48" s="176" t="str">
        <f>Statement!M139</f>
        <v>N/A</v>
      </c>
      <c r="D48" s="176" t="str">
        <f>Statement!N139</f>
        <v>N/A</v>
      </c>
      <c r="E48" s="176" t="str">
        <f>Statement!O139</f>
        <v>N/A</v>
      </c>
      <c r="F48" s="176" t="str">
        <f>Statement!P139</f>
        <v>N/A</v>
      </c>
      <c r="G48" s="176" t="str">
        <f>Statement!Q139</f>
        <v>N/A</v>
      </c>
      <c r="I48" s="176" t="str">
        <f>Statement!AC139</f>
        <v>N/A</v>
      </c>
    </row>
    <row r="50" spans="2:9" ht="17" thickBot="1" x14ac:dyDescent="0.25">
      <c r="B50" s="14" t="s">
        <v>262</v>
      </c>
      <c r="C50" s="14"/>
      <c r="D50" s="14"/>
      <c r="E50" s="14"/>
      <c r="F50" s="14"/>
      <c r="G50" s="14"/>
      <c r="I50" s="14"/>
    </row>
    <row r="51" spans="2:9" x14ac:dyDescent="0.2">
      <c r="B51" s="20" t="s">
        <v>260</v>
      </c>
      <c r="C51" s="169">
        <f>Statement!M152</f>
        <v>3.8184045739177788E-2</v>
      </c>
      <c r="D51" s="169">
        <f>Statement!N152</f>
        <v>4.0616898225088079E-2</v>
      </c>
      <c r="E51" s="169">
        <f>Statement!O152</f>
        <v>3.5803983412183868E-2</v>
      </c>
      <c r="F51" s="169">
        <f>Statement!P152</f>
        <v>2.6691250713376358E-2</v>
      </c>
      <c r="G51" s="169">
        <f>Statement!Q152</f>
        <v>2.9202223440068894E-2</v>
      </c>
      <c r="I51" s="169">
        <f ca="1">Statement!AC152</f>
        <v>2.5077288086850235E-2</v>
      </c>
    </row>
    <row r="52" spans="2:9" x14ac:dyDescent="0.2">
      <c r="B52" s="20" t="s">
        <v>263</v>
      </c>
      <c r="C52" s="169">
        <f>Statement!M151</f>
        <v>3.4934583557681108E-2</v>
      </c>
      <c r="D52" s="169">
        <f>Statement!N151</f>
        <v>4.2498971214055062E-2</v>
      </c>
      <c r="E52" s="169">
        <f>Statement!O151</f>
        <v>3.3184501306746064E-2</v>
      </c>
      <c r="F52" s="169">
        <f>Statement!P151</f>
        <v>2.8086509886107915E-2</v>
      </c>
      <c r="G52" s="169">
        <f>Statement!Q151</f>
        <v>2.2672048501714993E-2</v>
      </c>
      <c r="I52" s="169">
        <f ca="1">Statement!AC151</f>
        <v>2.4135785021451767E-2</v>
      </c>
    </row>
    <row r="53" spans="2:9" x14ac:dyDescent="0.2">
      <c r="B53" s="20" t="s">
        <v>261</v>
      </c>
      <c r="C53" s="169">
        <f>Statement!M153</f>
        <v>5.7854614756329978E-3</v>
      </c>
      <c r="D53" s="169">
        <f>Statement!N153</f>
        <v>5.9828491657249218E-3</v>
      </c>
      <c r="E53" s="169">
        <f>Statement!O153</f>
        <v>5.4903335085567427E-3</v>
      </c>
      <c r="F53" s="169">
        <f>Statement!P153</f>
        <v>4.3022081741955313E-3</v>
      </c>
      <c r="G53" s="169">
        <f>Statement!Q153</f>
        <v>3.9927973068190712E-3</v>
      </c>
      <c r="I53" s="169">
        <f ca="1">Statement!AC153</f>
        <v>3.0196275792652239E-3</v>
      </c>
    </row>
    <row r="54" spans="2:9" x14ac:dyDescent="0.2">
      <c r="B54" s="20" t="s">
        <v>286</v>
      </c>
      <c r="C54" s="169">
        <f>Statement!M154</f>
        <v>3.5314133162103335E-2</v>
      </c>
      <c r="D54" s="169">
        <f>Statement!N154</f>
        <v>3.7102612416180368E-2</v>
      </c>
      <c r="E54" s="169">
        <f>Statement!O154</f>
        <v>2.8996383999483469E-2</v>
      </c>
      <c r="F54" s="169">
        <f>Statement!P154</f>
        <v>2.7458952699019355E-2</v>
      </c>
      <c r="G54" s="169">
        <f>Statement!Q154</f>
        <v>2.3940726760559097E-2</v>
      </c>
      <c r="I54" s="169">
        <f ca="1">Statement!AC154</f>
        <v>1.613788805365144E-2</v>
      </c>
    </row>
    <row r="55" spans="2:9" x14ac:dyDescent="0.2">
      <c r="B55" s="20" t="s">
        <v>288</v>
      </c>
      <c r="C55" s="169">
        <f>Statement!M155</f>
        <v>4.1256713386320212E-2</v>
      </c>
      <c r="D55" s="169">
        <f>Statement!N155</f>
        <v>4.3261757299611757E-2</v>
      </c>
      <c r="E55" s="169">
        <f>Statement!O155</f>
        <v>3.4614316553864377E-2</v>
      </c>
      <c r="F55" s="169">
        <f>Statement!P155</f>
        <v>3.1864577670497315E-2</v>
      </c>
      <c r="G55" s="169">
        <f>Statement!Q155</f>
        <v>2.8010684619854901E-2</v>
      </c>
      <c r="I55" s="169">
        <f ca="1">Statement!AC155</f>
        <v>1.9207435023698729E-2</v>
      </c>
    </row>
    <row r="57" spans="2:9" ht="17" thickBot="1" x14ac:dyDescent="0.25">
      <c r="B57" s="14" t="s">
        <v>265</v>
      </c>
      <c r="C57" s="14"/>
      <c r="D57" s="14"/>
      <c r="E57" s="14"/>
      <c r="F57" s="14"/>
      <c r="G57" s="14"/>
      <c r="I57" s="14"/>
    </row>
    <row r="58" spans="2:9" x14ac:dyDescent="0.2">
      <c r="B58" s="20" t="s">
        <v>264</v>
      </c>
      <c r="C58" s="169">
        <f>Statement!M158</f>
        <v>0.17010594142062624</v>
      </c>
      <c r="D58" s="169">
        <f>Statement!N158</f>
        <v>0.1449245642302622</v>
      </c>
      <c r="E58" s="169">
        <f>Statement!O158</f>
        <v>0.16929386711135649</v>
      </c>
      <c r="F58" s="169">
        <f>Statement!P158</f>
        <v>0.15685911098755134</v>
      </c>
      <c r="G58" s="169">
        <f>Statement!Q158</f>
        <v>0.17951434159061277</v>
      </c>
      <c r="I58" s="169">
        <f>Statement!AC158</f>
        <v>0.12717825284402776</v>
      </c>
    </row>
    <row r="59" spans="2:9" x14ac:dyDescent="0.2">
      <c r="B59" s="20" t="s">
        <v>266</v>
      </c>
      <c r="C59" s="169">
        <f>Statement!M159</f>
        <v>1.0108645807612262</v>
      </c>
      <c r="D59" s="169">
        <f>Statement!N159</f>
        <v>0.87302377813583321</v>
      </c>
      <c r="E59" s="169">
        <f>Statement!O159</f>
        <v>0.87379297134680167</v>
      </c>
      <c r="F59" s="169">
        <f>Statement!P159</f>
        <v>0.97765627735046701</v>
      </c>
      <c r="G59" s="169">
        <f>Statement!Q159</f>
        <v>1.0559578133730676</v>
      </c>
      <c r="I59" s="169">
        <f>Statement!AC159</f>
        <v>0.66862909324507835</v>
      </c>
    </row>
    <row r="60" spans="2:9" x14ac:dyDescent="0.2">
      <c r="B60" s="20" t="s">
        <v>267</v>
      </c>
      <c r="C60" s="169">
        <f>Statement!M160</f>
        <v>1.1809705221818523</v>
      </c>
      <c r="D60" s="169">
        <f>Statement!N160</f>
        <v>1.0179483423660953</v>
      </c>
      <c r="E60" s="169">
        <f>Statement!O160</f>
        <v>1.0430868384581582</v>
      </c>
      <c r="F60" s="169">
        <f>Statement!P160</f>
        <v>1.1345153883380183</v>
      </c>
      <c r="G60" s="169">
        <f>Statement!Q160</f>
        <v>1.2354721549636805</v>
      </c>
      <c r="I60" s="169">
        <f>Statement!AC160</f>
        <v>0.79580734608910608</v>
      </c>
    </row>
    <row r="62" spans="2:9" ht="17" thickBot="1" x14ac:dyDescent="0.25">
      <c r="B62" s="14" t="s">
        <v>273</v>
      </c>
      <c r="C62" s="14"/>
      <c r="D62" s="14"/>
      <c r="E62" s="14"/>
      <c r="F62" s="14"/>
      <c r="G62" s="14"/>
      <c r="I62" s="14"/>
    </row>
    <row r="63" spans="2:9" x14ac:dyDescent="0.2">
      <c r="B63" s="20" t="s">
        <v>271</v>
      </c>
      <c r="C63" s="169">
        <f>Statement!M161</f>
        <v>6.0350030175015089E-4</v>
      </c>
      <c r="D63" s="169">
        <f>Statement!N161</f>
        <v>6.2429766512673245E-4</v>
      </c>
      <c r="E63" s="169">
        <f>Statement!O161</f>
        <v>6.4016388195378021E-4</v>
      </c>
      <c r="F63" s="169">
        <f>Statement!P161</f>
        <v>5.2700922266139653E-4</v>
      </c>
      <c r="G63" s="169">
        <f>Statement!Q161</f>
        <v>6.0679611650485432E-4</v>
      </c>
      <c r="I63" s="169">
        <f>Statement!AC161</f>
        <v>6.1420869446529721E-4</v>
      </c>
    </row>
    <row r="65" spans="2:9" ht="17" thickBot="1" x14ac:dyDescent="0.25">
      <c r="B65" s="14" t="s">
        <v>279</v>
      </c>
      <c r="C65" s="14"/>
      <c r="D65" s="14"/>
      <c r="E65" s="14"/>
      <c r="F65" s="14"/>
      <c r="G65" s="14"/>
      <c r="I65" s="14"/>
    </row>
    <row r="66" spans="2:9" x14ac:dyDescent="0.2">
      <c r="B66" s="20" t="s">
        <v>272</v>
      </c>
      <c r="C66" s="168">
        <f>Statement!M162</f>
        <v>11.612580763135439</v>
      </c>
      <c r="D66" s="168">
        <f>Statement!N162</f>
        <v>10.630437515715363</v>
      </c>
      <c r="E66" s="168">
        <f>Statement!O162</f>
        <v>10.422362245226001</v>
      </c>
      <c r="F66" s="168">
        <f>Statement!P162</f>
        <v>10.363191320455147</v>
      </c>
      <c r="G66" s="168">
        <f>Statement!Q162</f>
        <v>8.9618299945858144</v>
      </c>
      <c r="I66" s="168">
        <f>Statement!AC162</f>
        <v>10.039536795943539</v>
      </c>
    </row>
    <row r="67" spans="2:9" x14ac:dyDescent="0.2">
      <c r="B67" s="20" t="s">
        <v>280</v>
      </c>
      <c r="C67" s="168">
        <f>Statement!M165</f>
        <v>4.0105449225892968</v>
      </c>
      <c r="D67" s="168">
        <f>Statement!N165</f>
        <v>3.0827256726175509</v>
      </c>
      <c r="E67" s="168">
        <f>Statement!O165</f>
        <v>3.2798173985726224</v>
      </c>
      <c r="F67" s="168">
        <f>Statement!P165</f>
        <v>3.3091426303254829</v>
      </c>
      <c r="G67" s="168">
        <f>Statement!Q165</f>
        <v>2.2849891716296695</v>
      </c>
      <c r="I67" s="168">
        <f>Statement!AC165</f>
        <v>4.2601754145539266</v>
      </c>
    </row>
    <row r="68" spans="2:9" x14ac:dyDescent="0.2">
      <c r="B68" s="20" t="s">
        <v>285</v>
      </c>
      <c r="C68" s="190">
        <f>Statement!M166</f>
        <v>2.7027300132217994E-2</v>
      </c>
      <c r="D68" s="190">
        <f>Statement!N166</f>
        <v>2.0352029181556177E-2</v>
      </c>
      <c r="E68" s="190">
        <f>Statement!O166</f>
        <v>1.9073301665991634E-2</v>
      </c>
      <c r="F68" s="190">
        <f>Statement!P166</f>
        <v>1.4465916154542407E-2</v>
      </c>
      <c r="G68" s="190">
        <f>Statement!Q166</f>
        <v>8.9108350433437702E-3</v>
      </c>
      <c r="I68" s="190">
        <f ca="1">Statement!AC166</f>
        <v>1.220223425631395E-2</v>
      </c>
    </row>
    <row r="70" spans="2:9" ht="17" thickBot="1" x14ac:dyDescent="0.25">
      <c r="B70" s="14" t="s">
        <v>300</v>
      </c>
      <c r="C70" s="14"/>
      <c r="D70" s="14"/>
      <c r="E70" s="14"/>
      <c r="F70" s="14"/>
      <c r="G70" s="14"/>
      <c r="I70" s="14"/>
    </row>
    <row r="71" spans="2:9" x14ac:dyDescent="0.2">
      <c r="B71" s="20" t="s">
        <v>274</v>
      </c>
      <c r="C71" s="169">
        <f>Statement!M163</f>
        <v>7.59914646571445E-2</v>
      </c>
      <c r="D71" s="169">
        <f>Statement!N163</f>
        <v>7.3990388944830579E-2</v>
      </c>
      <c r="E71" s="169">
        <f>Statement!O163</f>
        <v>9.7998064101752255E-2</v>
      </c>
      <c r="F71" s="169">
        <f>Statement!P163</f>
        <v>9.8838094271652549E-2</v>
      </c>
      <c r="G71" s="169">
        <f>Statement!Q163</f>
        <v>0.11538185536678566</v>
      </c>
      <c r="I71" s="169">
        <f>Statement!AC163</f>
        <v>9.3413483819961285E-2</v>
      </c>
    </row>
    <row r="72" spans="2:9" x14ac:dyDescent="0.2">
      <c r="B72" s="20" t="s">
        <v>275</v>
      </c>
      <c r="C72" s="169">
        <f>Statement!M164</f>
        <v>2.1611898845597662E-2</v>
      </c>
      <c r="D72" s="169">
        <f>Statement!N164</f>
        <v>2.2920005680550203E-2</v>
      </c>
      <c r="E72" s="169">
        <f>Statement!O164</f>
        <v>2.8263563666723196E-2</v>
      </c>
      <c r="F72" s="169">
        <f>Statement!P164</f>
        <v>2.9889907553032339E-2</v>
      </c>
      <c r="G72" s="169">
        <f>Statement!Q164</f>
        <v>3.0908710811440764E-2</v>
      </c>
      <c r="I72" s="169">
        <f>Statement!AC164</f>
        <v>2.9360164344944442E-2</v>
      </c>
    </row>
    <row r="74" spans="2:9" ht="17" thickBot="1" x14ac:dyDescent="0.25">
      <c r="B74" s="14" t="s">
        <v>301</v>
      </c>
      <c r="C74" s="14"/>
      <c r="D74" s="14"/>
      <c r="E74" s="14"/>
      <c r="F74" s="14"/>
      <c r="G74" s="14"/>
      <c r="I74" s="14"/>
    </row>
    <row r="75" spans="2:9" x14ac:dyDescent="0.2">
      <c r="B75" s="20" t="s">
        <v>298</v>
      </c>
      <c r="C75" s="169">
        <f>Statement!M167</f>
        <v>3.0302036264033657E-2</v>
      </c>
      <c r="D75" s="169">
        <f>Statement!N167</f>
        <v>2.7155058732831552E-2</v>
      </c>
      <c r="E75" s="169">
        <f>Statement!O167</f>
        <v>2.859230076835775E-2</v>
      </c>
      <c r="F75" s="169">
        <f>Statement!P167</f>
        <v>2.415896275269477E-2</v>
      </c>
      <c r="G75" s="169">
        <f>Statement!Q167</f>
        <v>3.0553079216937677E-2</v>
      </c>
      <c r="I75" s="169">
        <f>Statement!AC167</f>
        <v>2.1509222981729692E-2</v>
      </c>
    </row>
    <row r="76" spans="2:9" x14ac:dyDescent="0.2">
      <c r="B76" s="20" t="s">
        <v>295</v>
      </c>
      <c r="C76" s="169">
        <f>Statement!M168</f>
        <v>0.10654760760491359</v>
      </c>
      <c r="D76" s="169">
        <f>Statement!N168</f>
        <v>8.7661992124501639E-2</v>
      </c>
      <c r="E76" s="169">
        <f>Statement!O168</f>
        <v>9.9137892042010803E-2</v>
      </c>
      <c r="F76" s="169">
        <f>Statement!P168</f>
        <v>7.9887361104064136E-2</v>
      </c>
      <c r="G76" s="169">
        <f>Statement!Q168</f>
        <v>0.11405428679069267</v>
      </c>
      <c r="I76" s="169">
        <f>Statement!AC168</f>
        <v>6.8434611924429539E-2</v>
      </c>
    </row>
    <row r="77" spans="2:9" x14ac:dyDescent="0.2">
      <c r="B77" s="20" t="s">
        <v>296</v>
      </c>
      <c r="C77" s="169">
        <f>Statement!M169</f>
        <v>0.9823644097837646</v>
      </c>
      <c r="D77" s="169">
        <f>Statement!N169</f>
        <v>0.96433717579250722</v>
      </c>
      <c r="E77" s="169">
        <f>Statement!O169</f>
        <v>0.95138466880805628</v>
      </c>
      <c r="F77" s="169">
        <f>Statement!P169</f>
        <v>0.82542595019659237</v>
      </c>
      <c r="G77" s="169">
        <f>Statement!Q169</f>
        <v>1.0869379381090785</v>
      </c>
      <c r="I77" s="169">
        <f>Statement!AC169</f>
        <v>0.76648854961832058</v>
      </c>
    </row>
    <row r="79" spans="2:9" ht="17" thickBot="1" x14ac:dyDescent="0.25">
      <c r="B79" s="14" t="s">
        <v>119</v>
      </c>
      <c r="C79" s="14"/>
      <c r="D79" s="14"/>
      <c r="E79" s="14"/>
      <c r="F79" s="14"/>
      <c r="G79" s="14"/>
      <c r="I79" s="14"/>
    </row>
    <row r="80" spans="2:9" x14ac:dyDescent="0.2">
      <c r="B80" s="20" t="s">
        <v>19</v>
      </c>
      <c r="C80" s="169">
        <f>Statement!M88</f>
        <v>1</v>
      </c>
      <c r="D80" s="169">
        <f>Statement!N88</f>
        <v>7.7937876041846058E-2</v>
      </c>
      <c r="E80" s="169">
        <f>Statement!O88</f>
        <v>-2.8004605303199367E-2</v>
      </c>
      <c r="F80" s="169">
        <f>Statement!P88</f>
        <v>2.0219940775141214E-2</v>
      </c>
      <c r="G80" s="169">
        <f>Statement!Q88</f>
        <v>6.4255117828327393E-2</v>
      </c>
      <c r="I80" s="191"/>
    </row>
    <row r="81" spans="2:9" x14ac:dyDescent="0.2">
      <c r="B81" s="20" t="s">
        <v>20</v>
      </c>
      <c r="C81" s="169">
        <f>Statement!M89</f>
        <v>1</v>
      </c>
      <c r="D81" s="169">
        <f>Statement!N89</f>
        <v>4.9605363858747961E-2</v>
      </c>
      <c r="E81" s="169">
        <f>Statement!O89</f>
        <v>-4.2089771232766408E-2</v>
      </c>
      <c r="F81" s="169">
        <f>Statement!P89</f>
        <v>-1.7675600199872046E-2</v>
      </c>
      <c r="G81" s="169">
        <f>Statement!Q89</f>
        <v>5.0429755837833726E-2</v>
      </c>
      <c r="I81" s="191"/>
    </row>
    <row r="82" spans="2:9" x14ac:dyDescent="0.2">
      <c r="B82" s="20" t="s">
        <v>21</v>
      </c>
      <c r="C82" s="169">
        <f>Statement!M90</f>
        <v>1</v>
      </c>
      <c r="D82" s="169">
        <f>Statement!N90</f>
        <v>0.11741997958596143</v>
      </c>
      <c r="E82" s="169">
        <f>Statement!O90</f>
        <v>-9.5677530418896602E-3</v>
      </c>
      <c r="F82" s="169">
        <f>Statement!P90</f>
        <v>6.8194717052522058E-2</v>
      </c>
      <c r="G82" s="169">
        <f>Statement!Q90</f>
        <v>8.0350669404426533E-2</v>
      </c>
      <c r="I82" s="191"/>
    </row>
    <row r="83" spans="2:9" x14ac:dyDescent="0.2">
      <c r="B83" s="20" t="s">
        <v>23</v>
      </c>
      <c r="C83" s="169">
        <f>Statement!M93</f>
        <v>1</v>
      </c>
      <c r="D83" s="169">
        <f>Statement!N93</f>
        <v>0.16993642764372138</v>
      </c>
      <c r="E83" s="169">
        <f>Statement!O93</f>
        <v>6.8205278021228943E-2</v>
      </c>
      <c r="F83" s="169">
        <f>Statement!P93</f>
        <v>4.7769249001768557E-2</v>
      </c>
      <c r="G83" s="169">
        <f>Statement!Q93</f>
        <v>8.1507647867471764E-2</v>
      </c>
      <c r="I83" s="191"/>
    </row>
    <row r="84" spans="2:9" x14ac:dyDescent="0.2">
      <c r="B84" s="20" t="s">
        <v>302</v>
      </c>
      <c r="C84" s="169">
        <f>Statement!M94</f>
        <v>1</v>
      </c>
      <c r="D84" s="169">
        <f>Statement!N94</f>
        <v>9.6265225013538444E-2</v>
      </c>
      <c r="E84" s="169">
        <f>Statement!O94</f>
        <v>-4.3001749876503931E-2</v>
      </c>
      <c r="F84" s="169">
        <f>Statement!P94</f>
        <v>7.799581805933456E-2</v>
      </c>
      <c r="G84" s="169">
        <f>Statement!Q94</f>
        <v>7.9811063498246987E-2</v>
      </c>
      <c r="I84" s="191"/>
    </row>
    <row r="85" spans="2:9" x14ac:dyDescent="0.2">
      <c r="B85" s="20" t="s">
        <v>303</v>
      </c>
      <c r="C85" s="169">
        <f>Statement!M96</f>
        <v>1</v>
      </c>
      <c r="D85" s="169">
        <f>Statement!N96</f>
        <v>5.4108576256865229E-2</v>
      </c>
      <c r="E85" s="169">
        <f>Statement!O96</f>
        <v>-2.8135426790777834E-2</v>
      </c>
      <c r="F85" s="169">
        <f>Statement!P96</f>
        <v>-3.3599670086086914E-2</v>
      </c>
      <c r="G85" s="169">
        <f>Statement!Q96</f>
        <v>0.19495177946573355</v>
      </c>
      <c r="I85" s="191"/>
    </row>
    <row r="88" spans="2:9" ht="17" thickBot="1" x14ac:dyDescent="0.25">
      <c r="B88" s="14" t="s">
        <v>304</v>
      </c>
      <c r="C88" s="14"/>
      <c r="D88" s="14"/>
      <c r="E88" s="14"/>
      <c r="F88" s="14"/>
      <c r="G88" s="14"/>
      <c r="I88" s="14"/>
    </row>
    <row r="89" spans="2:9" x14ac:dyDescent="0.2">
      <c r="B89" s="20" t="s">
        <v>367</v>
      </c>
      <c r="C89" s="169">
        <f>Statement!M191</f>
        <v>1</v>
      </c>
      <c r="D89" s="169">
        <f>Statement!N191</f>
        <v>0.10666249200944516</v>
      </c>
      <c r="E89" s="169">
        <f>Statement!O191</f>
        <v>-4.1837107592922231E-2</v>
      </c>
      <c r="F89" s="169">
        <f>Statement!P191</f>
        <v>2.7589812992125984E-2</v>
      </c>
      <c r="G89" s="169">
        <f>Statement!Q191</f>
        <v>6.7694333862132958E-2</v>
      </c>
      <c r="I89" s="191"/>
    </row>
    <row r="90" spans="2:9" x14ac:dyDescent="0.2">
      <c r="B90" s="20" t="s">
        <v>368</v>
      </c>
      <c r="C90" s="169">
        <f>Statement!M192</f>
        <v>1</v>
      </c>
      <c r="D90" s="169">
        <f>Statement!N192</f>
        <v>6.5067687863213416E-2</v>
      </c>
      <c r="E90" s="169">
        <f>Statement!O192</f>
        <v>-8.6629239470972889E-3</v>
      </c>
      <c r="F90" s="169">
        <f>Statement!P192</f>
        <v>7.459647485524E-2</v>
      </c>
      <c r="G90" s="169">
        <f>Statement!Q192</f>
        <v>9.5768198326227696E-2</v>
      </c>
      <c r="I90" s="191"/>
    </row>
    <row r="91" spans="2:9" x14ac:dyDescent="0.2">
      <c r="B91" s="20" t="s">
        <v>369</v>
      </c>
      <c r="C91" s="169">
        <f>Statement!M193</f>
        <v>1</v>
      </c>
      <c r="D91" s="169">
        <f>Statement!N193</f>
        <v>8.5334815551589976E-2</v>
      </c>
      <c r="E91" s="169">
        <f>Statement!O193</f>
        <v>-2.211590296495957E-2</v>
      </c>
      <c r="F91" s="169">
        <f>Statement!P193</f>
        <v>-7.7275045135682688E-2</v>
      </c>
      <c r="G91" s="169">
        <f>Statement!Q193</f>
        <v>-3.8460389532799615E-2</v>
      </c>
      <c r="I91" s="191"/>
    </row>
    <row r="92" spans="2:9" x14ac:dyDescent="0.2">
      <c r="B92" s="20" t="s">
        <v>370</v>
      </c>
      <c r="C92" s="169">
        <f>Statement!M194</f>
        <v>1</v>
      </c>
      <c r="D92" s="169">
        <f>Statement!N194</f>
        <v>-8.7950284390141145E-2</v>
      </c>
      <c r="E92" s="169">
        <f>Statement!O194</f>
        <v>-6.6212418678061366E-2</v>
      </c>
      <c r="F92" s="169">
        <f>Statement!P194</f>
        <v>3.2774044605680834E-2</v>
      </c>
      <c r="G92" s="169">
        <f>Statement!Q194</f>
        <v>0.14573686731598276</v>
      </c>
      <c r="I92" s="191"/>
    </row>
    <row r="93" spans="2:9" x14ac:dyDescent="0.2">
      <c r="B93" s="20" t="s">
        <v>371</v>
      </c>
      <c r="C93" s="169">
        <f>Statement!M195</f>
        <v>1</v>
      </c>
      <c r="D93" s="169">
        <f>Statement!N195</f>
        <v>0.114546972226438</v>
      </c>
      <c r="E93" s="169">
        <f>Statement!O195</f>
        <v>8.1702127659574464E-3</v>
      </c>
      <c r="F93" s="169">
        <f>Statement!P195</f>
        <v>3.5218639203106535E-2</v>
      </c>
      <c r="G93" s="169">
        <f>Statement!Q195</f>
        <v>9.9093221997521033E-2</v>
      </c>
      <c r="I93" s="191"/>
    </row>
    <row r="94" spans="2:9" x14ac:dyDescent="0.2">
      <c r="B94" s="20"/>
      <c r="C94" s="169">
        <f>Statement!M196</f>
        <v>0</v>
      </c>
      <c r="D94" s="169">
        <f>Statement!N196</f>
        <v>0</v>
      </c>
      <c r="E94" s="169">
        <f>Statement!O196</f>
        <v>0</v>
      </c>
      <c r="F94" s="169">
        <f>Statement!P196</f>
        <v>0</v>
      </c>
      <c r="G94" s="169">
        <f>Statement!Q196</f>
        <v>0</v>
      </c>
      <c r="I94" s="191"/>
    </row>
    <row r="95" spans="2:9" x14ac:dyDescent="0.2">
      <c r="B95" s="20" t="s">
        <v>372</v>
      </c>
      <c r="C95" s="169">
        <f>Statement!M197</f>
        <v>1</v>
      </c>
      <c r="D95" s="169">
        <f>Statement!N197</f>
        <v>7.0405734139696724E-2</v>
      </c>
      <c r="E95" s="169">
        <f>Statement!O197</f>
        <v>-2.3874757286278098E-2</v>
      </c>
      <c r="F95" s="169">
        <f>Statement!P197</f>
        <v>2.9912804175827464E-3</v>
      </c>
      <c r="G95" s="169">
        <f>Statement!Q197</f>
        <v>4.1767942619406209E-2</v>
      </c>
      <c r="I95" s="191"/>
    </row>
    <row r="96" spans="2:9" x14ac:dyDescent="0.2">
      <c r="B96" s="20" t="s">
        <v>373</v>
      </c>
      <c r="C96" s="169">
        <f>Statement!M198</f>
        <v>1</v>
      </c>
      <c r="D96" s="169">
        <f>Statement!N198</f>
        <v>0.14171639670360897</v>
      </c>
      <c r="E96" s="169">
        <f>Statement!O198</f>
        <v>-0.26930831072504169</v>
      </c>
      <c r="F96" s="169">
        <f>Statement!P198</f>
        <v>2.1357768164321968E-2</v>
      </c>
      <c r="G96" s="169">
        <f>Statement!Q198</f>
        <v>0.12419957310565635</v>
      </c>
      <c r="I96" s="191"/>
    </row>
    <row r="97" spans="2:9" x14ac:dyDescent="0.2">
      <c r="B97" s="20" t="s">
        <v>374</v>
      </c>
      <c r="C97" s="169">
        <f>Statement!M199</f>
        <v>1</v>
      </c>
      <c r="D97" s="169">
        <f>Statement!N199</f>
        <v>-8.0660347749670458E-2</v>
      </c>
      <c r="E97" s="169">
        <f>Statement!O199</f>
        <v>-3.3865901952751604E-2</v>
      </c>
      <c r="F97" s="169">
        <f>Statement!P199</f>
        <v>-5.6749116607773854E-2</v>
      </c>
      <c r="G97" s="169">
        <f>Statement!Q199</f>
        <v>4.9786468869408858E-2</v>
      </c>
      <c r="I97" s="191"/>
    </row>
    <row r="98" spans="2:9" x14ac:dyDescent="0.2">
      <c r="B98" s="20" t="s">
        <v>375</v>
      </c>
      <c r="C98" s="169">
        <f>Statement!M200</f>
        <v>1</v>
      </c>
      <c r="D98" s="169">
        <f>Statement!N200</f>
        <v>7.4908124169207918E-2</v>
      </c>
      <c r="E98" s="169">
        <f>Statement!O200</f>
        <v>-3.3849809655439975E-2</v>
      </c>
      <c r="F98" s="169">
        <f>Statement!P200</f>
        <v>-7.1276195256619407E-2</v>
      </c>
      <c r="G98" s="169">
        <f>Statement!Q200</f>
        <v>-3.5643831914606135E-2</v>
      </c>
      <c r="I98" s="191"/>
    </row>
    <row r="99" spans="2:9" x14ac:dyDescent="0.2">
      <c r="B99" s="20" t="s">
        <v>353</v>
      </c>
      <c r="C99" s="169">
        <f>Statement!M201</f>
        <v>1</v>
      </c>
      <c r="D99" s="169">
        <f>Statement!N201</f>
        <v>0.14181951041286078</v>
      </c>
      <c r="E99" s="169">
        <f>Statement!O201</f>
        <v>7.7704821513138525E-2</v>
      </c>
      <c r="F99" s="169">
        <f>Statement!P201</f>
        <v>0.14214964370546318</v>
      </c>
      <c r="G99" s="169">
        <f>Statement!Q201</f>
        <v>0.135064313864135</v>
      </c>
      <c r="I99" s="191"/>
    </row>
    <row r="101" spans="2:9" ht="17" thickBot="1" x14ac:dyDescent="0.25">
      <c r="B101" s="14" t="s">
        <v>306</v>
      </c>
      <c r="C101" s="14"/>
      <c r="D101" s="14"/>
      <c r="E101" s="14"/>
      <c r="F101" s="14"/>
      <c r="G101" s="14"/>
      <c r="I101" s="14"/>
    </row>
    <row r="102" spans="2:9" x14ac:dyDescent="0.2">
      <c r="B102" s="20" t="s">
        <v>278</v>
      </c>
      <c r="C102" s="169">
        <f>Statement!M205</f>
        <v>-1</v>
      </c>
      <c r="D102" s="169">
        <f>Statement!N205</f>
        <v>2.5851938895417155E-2</v>
      </c>
      <c r="E102" s="169">
        <f>Statement!O205</f>
        <v>1.239808638231925E-2</v>
      </c>
      <c r="F102" s="169">
        <f>Statement!P205</f>
        <v>1.3910149750415973E-2</v>
      </c>
      <c r="G102" s="169">
        <f>Statement!Q205</f>
        <v>1.2275173952999869E-2</v>
      </c>
      <c r="I102" s="19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44"/>
  <sheetViews>
    <sheetView topLeftCell="A9" zoomScale="180" workbookViewId="0">
      <selection activeCell="B46" sqref="B46"/>
    </sheetView>
  </sheetViews>
  <sheetFormatPr baseColWidth="10" defaultRowHeight="16" x14ac:dyDescent="0.2"/>
  <cols>
    <col min="1" max="1" width="3.6640625" style="1" customWidth="1"/>
    <col min="2" max="2" width="26.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47" t="s">
        <v>307</v>
      </c>
      <c r="D3" s="248"/>
      <c r="F3" s="249" t="s">
        <v>308</v>
      </c>
      <c r="G3" s="248"/>
    </row>
    <row r="4" spans="2:7" x14ac:dyDescent="0.2">
      <c r="B4" s="8"/>
      <c r="C4" s="10" t="str">
        <f>Statement!Z2</f>
        <v>28.03.2026</v>
      </c>
      <c r="D4" s="197" t="str">
        <f>Statement!AA2</f>
        <v>27.06.2026</v>
      </c>
      <c r="F4" s="198" t="str">
        <f>Statement!W2</f>
        <v>28.06.2025</v>
      </c>
      <c r="G4" s="197" t="str">
        <f>Statement!AA2</f>
        <v>27.06.2026</v>
      </c>
    </row>
    <row r="5" spans="2:7" x14ac:dyDescent="0.2">
      <c r="B5" s="8" t="s">
        <v>313</v>
      </c>
      <c r="C5" s="10" t="str">
        <f>Statement!Z3</f>
        <v>Q2 2026</v>
      </c>
      <c r="D5" s="197" t="str">
        <f>Statement!AA3</f>
        <v>Q3 2026</v>
      </c>
      <c r="F5" s="198" t="str">
        <f>Statement!W3</f>
        <v>Q3 2025</v>
      </c>
      <c r="G5" s="197" t="str">
        <f>Statement!AA3</f>
        <v>Q3 2026</v>
      </c>
    </row>
    <row r="6" spans="2:7" x14ac:dyDescent="0.2">
      <c r="B6" s="199" t="s">
        <v>19</v>
      </c>
      <c r="C6" s="193">
        <f>Statement!Z5</f>
        <v>111184</v>
      </c>
      <c r="D6" s="192">
        <f>Statement!AA5</f>
        <v>109417</v>
      </c>
      <c r="F6" s="193">
        <f>Statement!W5</f>
        <v>94036</v>
      </c>
      <c r="G6" s="192">
        <f>Statement!AA5</f>
        <v>109417</v>
      </c>
    </row>
    <row r="7" spans="2:7" x14ac:dyDescent="0.2">
      <c r="B7" s="200" t="s">
        <v>309</v>
      </c>
      <c r="C7" s="250">
        <f>Statement!AA88</f>
        <v>-1.5892574471146927E-2</v>
      </c>
      <c r="D7" s="251"/>
      <c r="F7" s="250">
        <f>IF(F6=0,
IF(G6=0,0,IF(G6&gt;0,1,-1)),
(G6-F6)/ABS(F6)
)</f>
        <v>0.16356501765281381</v>
      </c>
      <c r="G7" s="251"/>
    </row>
    <row r="8" spans="2:7" x14ac:dyDescent="0.2">
      <c r="B8" s="201" t="s">
        <v>20</v>
      </c>
      <c r="C8" s="194">
        <f>Statement!Z6</f>
        <v>56403</v>
      </c>
      <c r="D8" s="192">
        <f>Statement!AA6</f>
        <v>54647</v>
      </c>
      <c r="F8" s="194">
        <f>Statement!W6</f>
        <v>50318</v>
      </c>
      <c r="G8" s="192">
        <f>Statement!AA6</f>
        <v>54647</v>
      </c>
    </row>
    <row r="9" spans="2:7" x14ac:dyDescent="0.2">
      <c r="B9" s="200" t="s">
        <v>309</v>
      </c>
      <c r="C9" s="250">
        <f>Statement!AA89</f>
        <v>-3.1133095757317875E-2</v>
      </c>
      <c r="D9" s="251"/>
      <c r="F9" s="250">
        <f>IF(F8=0,
IF(G8=0,0,IF(G8&gt;0,1,-1)),
(G8-F8)/ABS(F8)
)</f>
        <v>8.6032831193608647E-2</v>
      </c>
      <c r="G9" s="251"/>
    </row>
    <row r="10" spans="2:7" x14ac:dyDescent="0.2">
      <c r="B10" s="201" t="s">
        <v>21</v>
      </c>
      <c r="C10" s="194">
        <f>Statement!Z7</f>
        <v>54781</v>
      </c>
      <c r="D10" s="192">
        <f>Statement!AA7</f>
        <v>54770</v>
      </c>
      <c r="F10" s="194">
        <f>Statement!W7</f>
        <v>43718</v>
      </c>
      <c r="G10" s="192">
        <f>Statement!AA7</f>
        <v>54770</v>
      </c>
    </row>
    <row r="11" spans="2:7" x14ac:dyDescent="0.2">
      <c r="B11" s="200" t="s">
        <v>309</v>
      </c>
      <c r="C11" s="250">
        <f>Statement!AA90</f>
        <v>-2.0079954728829339E-4</v>
      </c>
      <c r="D11" s="251"/>
      <c r="F11" s="250">
        <f>IF(F10=0,
IF(G10=0,0,IF(G10&gt;0,1,-1)),
(G10-F10)/ABS(F10)
)</f>
        <v>0.25280204949906215</v>
      </c>
      <c r="G11" s="251"/>
    </row>
    <row r="12" spans="2:7" x14ac:dyDescent="0.2">
      <c r="B12" s="201" t="s">
        <v>23</v>
      </c>
      <c r="C12" s="194">
        <f>Statement!Z10</f>
        <v>18896</v>
      </c>
      <c r="D12" s="192">
        <f>Statement!AA10</f>
        <v>19075</v>
      </c>
      <c r="F12" s="194">
        <f>Statement!W10</f>
        <v>15516</v>
      </c>
      <c r="G12" s="192">
        <f>Statement!AA10</f>
        <v>19075</v>
      </c>
    </row>
    <row r="13" spans="2:7" x14ac:dyDescent="0.2">
      <c r="B13" s="200" t="s">
        <v>309</v>
      </c>
      <c r="C13" s="250">
        <f>Statement!AA93</f>
        <v>9.4729043183742583E-3</v>
      </c>
      <c r="D13" s="251"/>
      <c r="F13" s="250">
        <f>IF(F12=0,
IF(G12=0,0,IF(G12&gt;0,1,-1)),
(G12-F12)/ABS(F12)
)</f>
        <v>0.22937612786800721</v>
      </c>
      <c r="G13" s="251"/>
    </row>
    <row r="14" spans="2:7" x14ac:dyDescent="0.2">
      <c r="B14" s="201" t="s">
        <v>310</v>
      </c>
      <c r="C14" s="194">
        <f>Statement!Z11</f>
        <v>35885</v>
      </c>
      <c r="D14" s="192">
        <f>Statement!AA11</f>
        <v>35695</v>
      </c>
      <c r="F14" s="194">
        <f>Statement!W11</f>
        <v>28202</v>
      </c>
      <c r="G14" s="192">
        <f>Statement!AA11</f>
        <v>35695</v>
      </c>
    </row>
    <row r="15" spans="2:7" x14ac:dyDescent="0.2">
      <c r="B15" s="200" t="s">
        <v>309</v>
      </c>
      <c r="C15" s="250">
        <f>Statement!AA94</f>
        <v>-5.2946913752264175E-3</v>
      </c>
      <c r="D15" s="251"/>
      <c r="F15" s="250">
        <f>IF(F14=0,
IF(G14=0,0,IF(G14&gt;0,1,-1)),
(G14-F14)/ABS(F14)
)</f>
        <v>0.26569037656903766</v>
      </c>
      <c r="G15" s="251"/>
    </row>
    <row r="16" spans="2:7" x14ac:dyDescent="0.2">
      <c r="B16" s="201" t="s">
        <v>29</v>
      </c>
      <c r="C16" s="194">
        <f>Statement!Z17</f>
        <v>29578</v>
      </c>
      <c r="D16" s="192">
        <f>Statement!AA17</f>
        <v>29789</v>
      </c>
      <c r="F16" s="194">
        <f>Statement!W17</f>
        <v>23434</v>
      </c>
      <c r="G16" s="192">
        <f>Statement!AA17</f>
        <v>29789</v>
      </c>
    </row>
    <row r="17" spans="2:7" x14ac:dyDescent="0.2">
      <c r="B17" s="200" t="s">
        <v>309</v>
      </c>
      <c r="C17" s="250">
        <f>Statement!AA96</f>
        <v>7.1336804381635002E-3</v>
      </c>
      <c r="D17" s="251"/>
      <c r="F17" s="250">
        <f>IF(F16=0,
IF(G16=0,0,IF(G16&gt;0,1,-1)),
(G16-F16)/ABS(F16)
)</f>
        <v>0.27118716394981651</v>
      </c>
      <c r="G17" s="251"/>
    </row>
    <row r="18" spans="2:7" x14ac:dyDescent="0.2">
      <c r="B18" s="201" t="s">
        <v>311</v>
      </c>
      <c r="C18" s="194">
        <f>Statement!Z21</f>
        <v>14726</v>
      </c>
      <c r="D18" s="192">
        <f>Statement!AA21</f>
        <v>14715</v>
      </c>
      <c r="F18" s="194">
        <f>Statement!W21</f>
        <v>14948</v>
      </c>
      <c r="G18" s="192">
        <f>Statement!AA21</f>
        <v>14715</v>
      </c>
    </row>
    <row r="19" spans="2:7" x14ac:dyDescent="0.2">
      <c r="B19" s="200" t="s">
        <v>309</v>
      </c>
      <c r="C19" s="250">
        <f>IF(C18=0,
IF(D18=0,0,IF(D18&gt;0,1,-1)),
(D18-C18)/ABS(C18)
)</f>
        <v>-7.4697813391280731E-4</v>
      </c>
      <c r="D19" s="251"/>
      <c r="F19" s="250">
        <f>IF(F18=0,
IF(G18=0,0,IF(G18&gt;0,1,-1)),
(G18-F18)/ABS(F18)
)</f>
        <v>-1.5587369547765587E-2</v>
      </c>
      <c r="G19" s="251"/>
    </row>
    <row r="20" spans="2:7" x14ac:dyDescent="0.2">
      <c r="B20" s="201" t="s">
        <v>36</v>
      </c>
      <c r="C20" s="195">
        <f>Statement!Z25</f>
        <v>2.0099999999999998</v>
      </c>
      <c r="D20" s="196">
        <f>Statement!AA25</f>
        <v>2.02</v>
      </c>
      <c r="F20" s="195">
        <f>Statement!W25</f>
        <v>1.57</v>
      </c>
      <c r="G20" s="196">
        <f>Statement!AA25</f>
        <v>2.02</v>
      </c>
    </row>
    <row r="21" spans="2:7" x14ac:dyDescent="0.2">
      <c r="B21" s="200" t="s">
        <v>309</v>
      </c>
      <c r="C21" s="250">
        <f>IF(C20=0,
IF(D20=0,0,IF(D20&gt;0,1,-1)),
(D20-C20)/ABS(C20)
)</f>
        <v>4.975124378109568E-3</v>
      </c>
      <c r="D21" s="251"/>
      <c r="F21" s="250">
        <f>IF(F20=0,
IF(G20=0,0,IF(G20&gt;0,1,-1)),
(G20-F20)/ABS(F20)
)</f>
        <v>0.28662420382165599</v>
      </c>
      <c r="G21" s="251"/>
    </row>
    <row r="23" spans="2:7" x14ac:dyDescent="0.2">
      <c r="B23" s="8" t="s">
        <v>312</v>
      </c>
      <c r="C23" s="10" t="str">
        <f>C5</f>
        <v>Q2 2026</v>
      </c>
      <c r="D23" s="197" t="str">
        <f>D5</f>
        <v>Q3 2026</v>
      </c>
      <c r="F23" s="198" t="str">
        <f>F5</f>
        <v>Q3 2025</v>
      </c>
      <c r="G23" s="197" t="str">
        <f>G5</f>
        <v>Q3 2026</v>
      </c>
    </row>
    <row r="24" spans="2:7" x14ac:dyDescent="0.2">
      <c r="B24" s="20" t="s">
        <v>367</v>
      </c>
      <c r="C24" s="194">
        <f>Statement!Z177</f>
        <v>45093</v>
      </c>
      <c r="D24" s="192">
        <f>Statement!AA177</f>
        <v>45781</v>
      </c>
      <c r="F24" s="194">
        <f>Statement!W177</f>
        <v>41198</v>
      </c>
      <c r="G24" s="192">
        <f>Statement!AA177</f>
        <v>45781</v>
      </c>
    </row>
    <row r="25" spans="2:7" x14ac:dyDescent="0.2">
      <c r="B25" s="200" t="s">
        <v>309</v>
      </c>
      <c r="C25" s="250">
        <f>IF(C24=0,
IF(D24=0,0,IF(D24&gt;0,1,-1)),
(D24-C24)/ABS(C24)
)</f>
        <v>1.5257357017718937E-2</v>
      </c>
      <c r="D25" s="251"/>
      <c r="F25" s="250">
        <f>IF(F24=0,
IF(G24=0,0,IF(G24&gt;0,1,-1)),
(G24-F24)/ABS(F24)
)</f>
        <v>0.11124326423612797</v>
      </c>
      <c r="G25" s="251"/>
    </row>
    <row r="26" spans="2:7" x14ac:dyDescent="0.2">
      <c r="B26" s="20" t="s">
        <v>368</v>
      </c>
      <c r="C26" s="194">
        <f>Statement!Z178</f>
        <v>28055</v>
      </c>
      <c r="D26" s="192">
        <f>Statement!AA178</f>
        <v>29393</v>
      </c>
      <c r="F26" s="194">
        <f>Statement!W178</f>
        <v>24014</v>
      </c>
      <c r="G26" s="192">
        <f>Statement!AA178</f>
        <v>29393</v>
      </c>
    </row>
    <row r="27" spans="2:7" x14ac:dyDescent="0.2">
      <c r="B27" s="200" t="s">
        <v>309</v>
      </c>
      <c r="C27" s="250">
        <f>IF(C26=0,
IF(D26=0,0,IF(D26&gt;0,1,-1)),
(D26-C26)/ABS(C26)
)</f>
        <v>4.7692033505613969E-2</v>
      </c>
      <c r="D27" s="251"/>
      <c r="F27" s="250">
        <f>IF(F26=0,
IF(G26=0,0,IF(G26&gt;0,1,-1)),
(G26-F26)/ABS(F26)
)</f>
        <v>0.22399433663696178</v>
      </c>
      <c r="G27" s="251"/>
    </row>
    <row r="28" spans="2:7" x14ac:dyDescent="0.2">
      <c r="B28" s="20" t="s">
        <v>369</v>
      </c>
      <c r="C28" s="194">
        <f>Statement!Z179</f>
        <v>20497</v>
      </c>
      <c r="D28" s="192">
        <f>Statement!AA179</f>
        <v>18816</v>
      </c>
      <c r="F28" s="194">
        <f>Statement!W179</f>
        <v>15369</v>
      </c>
      <c r="G28" s="192">
        <f>Statement!AA179</f>
        <v>18816</v>
      </c>
    </row>
    <row r="29" spans="2:7" x14ac:dyDescent="0.2">
      <c r="B29" s="200" t="s">
        <v>309</v>
      </c>
      <c r="C29" s="250">
        <f>IF(C28=0,
IF(D28=0,0,IF(D28&gt;0,1,-1)),
(D28-C28)/ABS(C28)
)</f>
        <v>-8.2012001756354591E-2</v>
      </c>
      <c r="D29" s="251"/>
      <c r="F29" s="250">
        <f>IF(F28=0,
IF(G28=0,0,IF(G28&gt;0,1,-1)),
(G28-F28)/ABS(F28)
)</f>
        <v>0.22428264688658989</v>
      </c>
      <c r="G29" s="251"/>
    </row>
    <row r="30" spans="2:7" x14ac:dyDescent="0.2">
      <c r="B30" s="20" t="s">
        <v>370</v>
      </c>
      <c r="C30" s="194">
        <f>Statement!Z180</f>
        <v>8401</v>
      </c>
      <c r="D30" s="192">
        <f>Statement!AA180</f>
        <v>6554</v>
      </c>
      <c r="F30" s="194">
        <f>Statement!W180</f>
        <v>5782</v>
      </c>
      <c r="G30" s="192">
        <f>Statement!AA180</f>
        <v>6554</v>
      </c>
    </row>
    <row r="31" spans="2:7" x14ac:dyDescent="0.2">
      <c r="B31" s="200" t="s">
        <v>309</v>
      </c>
      <c r="C31" s="250">
        <f>IF(C30=0,
IF(D30=0,0,IF(D30&gt;0,1,-1)),
(D30-C30)/ABS(C30)
)</f>
        <v>-0.21985477919295321</v>
      </c>
      <c r="D31" s="251"/>
      <c r="F31" s="250">
        <f>IF(F30=0,
IF(G30=0,0,IF(G30&gt;0,1,-1)),
(G30-F30)/ABS(F30)
)</f>
        <v>0.1335178139052231</v>
      </c>
      <c r="G31" s="251"/>
    </row>
    <row r="32" spans="2:7" x14ac:dyDescent="0.2">
      <c r="B32" s="20" t="s">
        <v>371</v>
      </c>
      <c r="C32" s="194">
        <f>Statement!Z181</f>
        <v>9138</v>
      </c>
      <c r="D32" s="192">
        <f>Statement!AA181</f>
        <v>8871</v>
      </c>
      <c r="F32" s="194">
        <f>Statement!W181</f>
        <v>7673</v>
      </c>
      <c r="G32" s="192">
        <f>Statement!AA181</f>
        <v>8871</v>
      </c>
    </row>
    <row r="33" spans="2:7" x14ac:dyDescent="0.2">
      <c r="B33" s="200" t="s">
        <v>309</v>
      </c>
      <c r="C33" s="250">
        <f>IF(C32=0,
IF(D32=0,0,IF(D32&gt;0,1,-1)),
(D32-C32)/ABS(C32)
)</f>
        <v>-2.9218647406434668E-2</v>
      </c>
      <c r="D33" s="251"/>
      <c r="F33" s="250">
        <f>IF(F32=0,
IF(G32=0,0,IF(G32&gt;0,1,-1)),
(G32-F32)/ABS(F32)
)</f>
        <v>0.15613189104652678</v>
      </c>
      <c r="G33" s="251"/>
    </row>
    <row r="35" spans="2:7" x14ac:dyDescent="0.2">
      <c r="B35" s="224" t="s">
        <v>372</v>
      </c>
      <c r="C35" s="194">
        <f>Statement!Z183</f>
        <v>56994</v>
      </c>
      <c r="D35" s="225">
        <f>Statement!AA183</f>
        <v>54252</v>
      </c>
      <c r="F35" s="194">
        <f>Statement!W183</f>
        <v>44582</v>
      </c>
      <c r="G35" s="225">
        <f>Statement!AA183</f>
        <v>54252</v>
      </c>
    </row>
    <row r="36" spans="2:7" x14ac:dyDescent="0.2">
      <c r="B36" s="200" t="s">
        <v>309</v>
      </c>
      <c r="C36" s="250">
        <f>IF(C35=0,
IF(D35=0,0,IF(D35&gt;0,1,-1)),
(D35-C35)/ABS(C35)
)</f>
        <v>-4.8110327402884512E-2</v>
      </c>
      <c r="D36" s="251"/>
      <c r="F36" s="250">
        <f>IF(F35=0,
IF(G35=0,0,IF(G35&gt;0,1,-1)),
(G35-F35)/ABS(F35)
)</f>
        <v>0.21690368310080302</v>
      </c>
      <c r="G36" s="251"/>
    </row>
    <row r="37" spans="2:7" x14ac:dyDescent="0.2">
      <c r="B37" s="224" t="s">
        <v>373</v>
      </c>
      <c r="C37" s="194">
        <f>Statement!Z184</f>
        <v>8399</v>
      </c>
      <c r="D37" s="225">
        <f>Statement!AA184</f>
        <v>10352</v>
      </c>
      <c r="F37" s="194">
        <f>Statement!W184</f>
        <v>8046</v>
      </c>
      <c r="G37" s="225">
        <f>Statement!AA184</f>
        <v>10352</v>
      </c>
    </row>
    <row r="38" spans="2:7" x14ac:dyDescent="0.2">
      <c r="B38" s="200" t="s">
        <v>309</v>
      </c>
      <c r="C38" s="250">
        <f>IF(C37=0,
IF(D37=0,0,IF(D37&gt;0,1,-1)),
(D37-C37)/ABS(C37)
)</f>
        <v>0.23252768186688891</v>
      </c>
      <c r="D38" s="251"/>
      <c r="F38" s="250">
        <f>IF(F37=0,
IF(G37=0,0,IF(G37&gt;0,1,-1)),
(G37-F37)/ABS(F37)
)</f>
        <v>0.28660203827989061</v>
      </c>
      <c r="G38" s="251"/>
    </row>
    <row r="39" spans="2:7" x14ac:dyDescent="0.2">
      <c r="B39" s="224" t="s">
        <v>374</v>
      </c>
      <c r="C39" s="194">
        <f>Statement!Z185</f>
        <v>6914</v>
      </c>
      <c r="D39" s="225">
        <f>Statement!AA185</f>
        <v>6191</v>
      </c>
      <c r="F39" s="194">
        <f>Statement!W185</f>
        <v>6581</v>
      </c>
      <c r="G39" s="225">
        <f>Statement!AA185</f>
        <v>6191</v>
      </c>
    </row>
    <row r="40" spans="2:7" x14ac:dyDescent="0.2">
      <c r="B40" s="200" t="s">
        <v>309</v>
      </c>
      <c r="C40" s="250">
        <f>IF(C39=0,
IF(D39=0,0,IF(D39&gt;0,1,-1)),
(D39-C39)/ABS(C39)
)</f>
        <v>-0.10457043679490888</v>
      </c>
      <c r="D40" s="251"/>
      <c r="F40" s="250">
        <f>IF(F39=0,
IF(G39=0,0,IF(G39&gt;0,1,-1)),
(G39-F39)/ABS(F39)
)</f>
        <v>-5.9261510408752466E-2</v>
      </c>
      <c r="G40" s="251"/>
    </row>
    <row r="41" spans="2:7" x14ac:dyDescent="0.2">
      <c r="B41" s="224" t="s">
        <v>375</v>
      </c>
      <c r="C41" s="194">
        <f>Statement!Z186</f>
        <v>7901</v>
      </c>
      <c r="D41" s="225">
        <f>Statement!AA186</f>
        <v>7883</v>
      </c>
      <c r="F41" s="194">
        <f>Statement!W186</f>
        <v>7404</v>
      </c>
      <c r="G41" s="225">
        <f>Statement!AA186</f>
        <v>7883</v>
      </c>
    </row>
    <row r="42" spans="2:7" x14ac:dyDescent="0.2">
      <c r="B42" s="200" t="s">
        <v>309</v>
      </c>
      <c r="C42" s="250">
        <f>IF(C41=0,
IF(D41=0,0,IF(D41&gt;0,1,-1)),
(D41-C41)/ABS(C41)
)</f>
        <v>-2.2781926338438173E-3</v>
      </c>
      <c r="D42" s="251"/>
      <c r="F42" s="250">
        <f>IF(F41=0,
IF(G41=0,0,IF(G41&gt;0,1,-1)),
(G41-F41)/ABS(F41)
)</f>
        <v>6.4694759589411135E-2</v>
      </c>
      <c r="G42" s="251"/>
    </row>
    <row r="43" spans="2:7" x14ac:dyDescent="0.2">
      <c r="B43" s="224" t="s">
        <v>353</v>
      </c>
      <c r="C43" s="194">
        <f>Statement!Z187</f>
        <v>30976</v>
      </c>
      <c r="D43" s="225">
        <f>Statement!AA187</f>
        <v>30739</v>
      </c>
      <c r="F43" s="194">
        <f>Statement!W187</f>
        <v>27423</v>
      </c>
      <c r="G43" s="225">
        <f>Statement!AA187</f>
        <v>30739</v>
      </c>
    </row>
    <row r="44" spans="2:7" x14ac:dyDescent="0.2">
      <c r="B44" s="200" t="s">
        <v>309</v>
      </c>
      <c r="C44" s="250">
        <f>IF(C43=0,
IF(D43=0,0,IF(D43&gt;0,1,-1)),
(D43-C43)/ABS(C43)
)</f>
        <v>-7.6510847107438013E-3</v>
      </c>
      <c r="D44" s="251"/>
      <c r="F44" s="250">
        <f>IF(F43=0,
IF(G43=0,0,IF(G43&gt;0,1,-1)),
(G43-F43)/ABS(F43)
)</f>
        <v>0.12092039528862633</v>
      </c>
      <c r="G44" s="251"/>
    </row>
  </sheetData>
  <mergeCells count="38">
    <mergeCell ref="C44:D44"/>
    <mergeCell ref="F44:G44"/>
    <mergeCell ref="C38:D38"/>
    <mergeCell ref="F38:G38"/>
    <mergeCell ref="C40:D40"/>
    <mergeCell ref="F40:G40"/>
    <mergeCell ref="C42:D42"/>
    <mergeCell ref="F42:G42"/>
    <mergeCell ref="C31:D31"/>
    <mergeCell ref="F31:G31"/>
    <mergeCell ref="C33:D33"/>
    <mergeCell ref="F33:G33"/>
    <mergeCell ref="C36:D36"/>
    <mergeCell ref="F36:G36"/>
    <mergeCell ref="C25:D25"/>
    <mergeCell ref="F25:G25"/>
    <mergeCell ref="C27:D27"/>
    <mergeCell ref="F27:G27"/>
    <mergeCell ref="C29:D29"/>
    <mergeCell ref="F29:G29"/>
    <mergeCell ref="C17:D17"/>
    <mergeCell ref="F17:G17"/>
    <mergeCell ref="F19:G19"/>
    <mergeCell ref="C19:D19"/>
    <mergeCell ref="C21:D21"/>
    <mergeCell ref="F21:G21"/>
    <mergeCell ref="C11:D11"/>
    <mergeCell ref="F11:G11"/>
    <mergeCell ref="C13:D13"/>
    <mergeCell ref="F13:G13"/>
    <mergeCell ref="C15:D15"/>
    <mergeCell ref="F15:G15"/>
    <mergeCell ref="C3:D3"/>
    <mergeCell ref="F3:G3"/>
    <mergeCell ref="C7:D7"/>
    <mergeCell ref="F7:G7"/>
    <mergeCell ref="C9:D9"/>
    <mergeCell ref="F9:G9"/>
  </mergeCells>
  <pageMargins left="0.7" right="0.7" top="0.75" bottom="0.75" header="0.3" footer="0.3"/>
  <ignoredErrors>
    <ignoredError sqref="F8 F10 F12 F14 F16 F18 C20 F20 C26 F26 C28 F2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62:L87"/>
  <sheetViews>
    <sheetView topLeftCell="A31" zoomScale="159" workbookViewId="0">
      <selection activeCell="B76" sqref="B76"/>
    </sheetView>
  </sheetViews>
  <sheetFormatPr baseColWidth="10" defaultRowHeight="16" x14ac:dyDescent="0.2"/>
  <cols>
    <col min="1" max="1" width="2.6640625" style="1" customWidth="1"/>
    <col min="2" max="2" width="37" style="1" customWidth="1"/>
    <col min="3" max="16384" width="10.83203125" style="1"/>
  </cols>
  <sheetData>
    <row r="62" spans="2:12" x14ac:dyDescent="0.2">
      <c r="B62" s="10"/>
      <c r="C62" s="10">
        <f>Statement!H2</f>
        <v>0</v>
      </c>
      <c r="D62" s="10">
        <f>Statement!I2</f>
        <v>0</v>
      </c>
      <c r="E62" s="10">
        <f>Statement!J2</f>
        <v>0</v>
      </c>
      <c r="F62" s="10">
        <f>Statement!K2</f>
        <v>0</v>
      </c>
      <c r="G62" s="10">
        <f>Statement!L2</f>
        <v>0</v>
      </c>
      <c r="H62" s="10" t="str">
        <f>Statement!M2</f>
        <v>25.09.2021</v>
      </c>
      <c r="I62" s="10" t="str">
        <f>Statement!N2</f>
        <v>24.09.2022</v>
      </c>
      <c r="J62" s="10" t="str">
        <f>Statement!O2</f>
        <v>30.09.2023</v>
      </c>
      <c r="K62" s="10" t="str">
        <f>Statement!P2</f>
        <v>28.09.2024</v>
      </c>
      <c r="L62" s="10" t="str">
        <f>Statement!Q2</f>
        <v>27.09.2025</v>
      </c>
    </row>
    <row r="63" spans="2:12" x14ac:dyDescent="0.2">
      <c r="B63" s="10"/>
      <c r="C63" s="10">
        <f>Statement!H3</f>
        <v>0</v>
      </c>
      <c r="D63" s="10">
        <f>Statement!I3</f>
        <v>0</v>
      </c>
      <c r="E63" s="10">
        <f>Statement!J3</f>
        <v>0</v>
      </c>
      <c r="F63" s="10">
        <f>Statement!K3</f>
        <v>0</v>
      </c>
      <c r="G63" s="10">
        <f>Statement!L3</f>
        <v>0</v>
      </c>
      <c r="H63" s="10">
        <f>Statement!M3</f>
        <v>2021</v>
      </c>
      <c r="I63" s="10">
        <f>Statement!N3</f>
        <v>2022</v>
      </c>
      <c r="J63" s="10">
        <f>Statement!O3</f>
        <v>2023</v>
      </c>
      <c r="K63" s="10">
        <f>Statement!P3</f>
        <v>2024</v>
      </c>
      <c r="L63" s="10">
        <f>Statement!Q3</f>
        <v>2025</v>
      </c>
    </row>
    <row r="64" spans="2:12" x14ac:dyDescent="0.2">
      <c r="B64" s="20" t="s">
        <v>19</v>
      </c>
      <c r="C64" s="64">
        <f>Statement!H5</f>
        <v>0</v>
      </c>
      <c r="D64" s="64">
        <f>Statement!I5</f>
        <v>0</v>
      </c>
      <c r="E64" s="64">
        <f>Statement!J5</f>
        <v>0</v>
      </c>
      <c r="F64" s="64">
        <f>Statement!K5</f>
        <v>0</v>
      </c>
      <c r="G64" s="64">
        <f>Statement!L5</f>
        <v>0</v>
      </c>
      <c r="H64" s="24">
        <f>Statement!M5</f>
        <v>365817</v>
      </c>
      <c r="I64" s="24">
        <f>Statement!N5</f>
        <v>394328</v>
      </c>
      <c r="J64" s="24">
        <f>Statement!O5</f>
        <v>383285</v>
      </c>
      <c r="K64" s="24">
        <f>Statement!P5</f>
        <v>391035</v>
      </c>
      <c r="L64" s="24">
        <f>Statement!Q5</f>
        <v>416161</v>
      </c>
    </row>
    <row r="65" spans="2:12" x14ac:dyDescent="0.2">
      <c r="B65" s="20" t="s">
        <v>24</v>
      </c>
      <c r="C65" s="64">
        <f>Statement!H11</f>
        <v>0</v>
      </c>
      <c r="D65" s="64">
        <f>Statement!I11</f>
        <v>0</v>
      </c>
      <c r="E65" s="64">
        <f>Statement!J11</f>
        <v>0</v>
      </c>
      <c r="F65" s="64">
        <f>Statement!K11</f>
        <v>0</v>
      </c>
      <c r="G65" s="64">
        <f>Statement!L11</f>
        <v>0</v>
      </c>
      <c r="H65" s="64">
        <f>Statement!M11</f>
        <v>108949</v>
      </c>
      <c r="I65" s="64">
        <f>Statement!N11</f>
        <v>119437</v>
      </c>
      <c r="J65" s="64">
        <f>Statement!O11</f>
        <v>114301</v>
      </c>
      <c r="K65" s="64">
        <f>Statement!P11</f>
        <v>123216</v>
      </c>
      <c r="L65" s="64">
        <f>Statement!Q11</f>
        <v>133050</v>
      </c>
    </row>
    <row r="66" spans="2:12" x14ac:dyDescent="0.2">
      <c r="B66" s="20" t="s">
        <v>29</v>
      </c>
      <c r="C66" s="64">
        <f>Statement!H17</f>
        <v>0</v>
      </c>
      <c r="D66" s="64">
        <f>Statement!I17</f>
        <v>0</v>
      </c>
      <c r="E66" s="64">
        <f>Statement!J17</f>
        <v>0</v>
      </c>
      <c r="F66" s="64">
        <f>Statement!K17</f>
        <v>0</v>
      </c>
      <c r="G66" s="64">
        <f>Statement!L17</f>
        <v>0</v>
      </c>
      <c r="H66" s="64">
        <f>Statement!M17</f>
        <v>94680</v>
      </c>
      <c r="I66" s="64">
        <f>Statement!N17</f>
        <v>99803</v>
      </c>
      <c r="J66" s="64">
        <f>Statement!O17</f>
        <v>96995</v>
      </c>
      <c r="K66" s="64">
        <f>Statement!P17</f>
        <v>93736</v>
      </c>
      <c r="L66" s="64">
        <f>Statement!Q17</f>
        <v>112010</v>
      </c>
    </row>
    <row r="67" spans="2:12" x14ac:dyDescent="0.2">
      <c r="B67" s="20" t="s">
        <v>255</v>
      </c>
      <c r="C67" s="64">
        <f>Statement!H147</f>
        <v>0</v>
      </c>
      <c r="D67" s="64">
        <f>Statement!I147</f>
        <v>0</v>
      </c>
      <c r="E67" s="64">
        <f>Statement!J147</f>
        <v>0</v>
      </c>
      <c r="F67" s="64">
        <f>Statement!K147</f>
        <v>0</v>
      </c>
      <c r="G67" s="64">
        <f>Statement!L147</f>
        <v>0</v>
      </c>
      <c r="H67" s="64">
        <f>Statement!M147</f>
        <v>85047</v>
      </c>
      <c r="I67" s="64">
        <f>Statement!N147</f>
        <v>102405</v>
      </c>
      <c r="J67" s="64">
        <f>Statement!O147</f>
        <v>88751</v>
      </c>
      <c r="K67" s="64">
        <f>Statement!P147</f>
        <v>97119</v>
      </c>
      <c r="L67" s="64">
        <f>Statement!Q147</f>
        <v>85904</v>
      </c>
    </row>
    <row r="68" spans="2:12" x14ac:dyDescent="0.2">
      <c r="B68" s="20" t="s">
        <v>256</v>
      </c>
      <c r="C68" s="64">
        <f>Statement!H148</f>
        <v>0</v>
      </c>
      <c r="D68" s="64">
        <f>Statement!I148</f>
        <v>0</v>
      </c>
      <c r="E68" s="64">
        <f>Statement!J148</f>
        <v>0</v>
      </c>
      <c r="F68" s="64">
        <f>Statement!K148</f>
        <v>0</v>
      </c>
      <c r="G68" s="64">
        <f>Statement!L148</f>
        <v>0</v>
      </c>
      <c r="H68" s="64">
        <f>Statement!M148</f>
        <v>89744.319832977737</v>
      </c>
      <c r="I68" s="64">
        <f>Statement!N148</f>
        <v>101678.87709797402</v>
      </c>
      <c r="J68" s="64">
        <f>Statement!O148</f>
        <v>91459.836665611598</v>
      </c>
      <c r="K68" s="64">
        <f>Statement!P148</f>
        <v>99180.80528809168</v>
      </c>
      <c r="L68" s="64">
        <f>Statement!Q148</f>
        <v>86263.891892502768</v>
      </c>
    </row>
    <row r="69" spans="2:12" x14ac:dyDescent="0.2">
      <c r="B69" s="20" t="s">
        <v>76</v>
      </c>
      <c r="C69" s="58">
        <f>Statement!H99</f>
        <v>0</v>
      </c>
      <c r="D69" s="58">
        <f>Statement!I99</f>
        <v>0</v>
      </c>
      <c r="E69" s="58">
        <f>Statement!J99</f>
        <v>0</v>
      </c>
      <c r="F69" s="58">
        <f>Statement!K99</f>
        <v>0</v>
      </c>
      <c r="G69" s="58">
        <f>Statement!L99</f>
        <v>0</v>
      </c>
      <c r="H69" s="58">
        <f>Statement!M99</f>
        <v>0.41779359625167778</v>
      </c>
      <c r="I69" s="58">
        <f>Statement!N99</f>
        <v>0.43309630561360085</v>
      </c>
      <c r="J69" s="58">
        <f>Statement!O99</f>
        <v>0.44131129577207562</v>
      </c>
      <c r="K69" s="58">
        <f>Statement!P99</f>
        <v>0.46206349815233932</v>
      </c>
      <c r="L69" s="58">
        <f>Statement!Q99</f>
        <v>0.46905164107160452</v>
      </c>
    </row>
    <row r="70" spans="2:12" x14ac:dyDescent="0.2">
      <c r="B70" s="20" t="s">
        <v>77</v>
      </c>
      <c r="C70" s="58">
        <f>Statement!H100</f>
        <v>0</v>
      </c>
      <c r="D70" s="58">
        <f>Statement!I100</f>
        <v>0</v>
      </c>
      <c r="E70" s="58">
        <f>Statement!J100</f>
        <v>0</v>
      </c>
      <c r="F70" s="58">
        <f>Statement!K100</f>
        <v>0</v>
      </c>
      <c r="G70" s="58">
        <f>Statement!L100</f>
        <v>0</v>
      </c>
      <c r="H70" s="58">
        <f>Statement!M100</f>
        <v>0.29782377527561593</v>
      </c>
      <c r="I70" s="58">
        <f>Statement!N100</f>
        <v>0.30288744395528594</v>
      </c>
      <c r="J70" s="58">
        <f>Statement!O100</f>
        <v>0.29821412265024722</v>
      </c>
      <c r="K70" s="58">
        <f>Statement!P100</f>
        <v>0.31510222870075566</v>
      </c>
      <c r="L70" s="58">
        <f>Statement!Q100</f>
        <v>0.31970799762591884</v>
      </c>
    </row>
    <row r="71" spans="2:12" x14ac:dyDescent="0.2">
      <c r="B71" s="20" t="s">
        <v>78</v>
      </c>
      <c r="C71" s="58">
        <f>Statement!H101</f>
        <v>0</v>
      </c>
      <c r="D71" s="58">
        <f>Statement!I101</f>
        <v>0</v>
      </c>
      <c r="E71" s="58">
        <f>Statement!J101</f>
        <v>0</v>
      </c>
      <c r="F71" s="58">
        <f>Statement!K101</f>
        <v>0</v>
      </c>
      <c r="G71" s="58">
        <f>Statement!L101</f>
        <v>0</v>
      </c>
      <c r="H71" s="58">
        <f>Statement!M101</f>
        <v>0.25881793355694238</v>
      </c>
      <c r="I71" s="58">
        <f>Statement!N101</f>
        <v>0.25309640705199732</v>
      </c>
      <c r="J71" s="58">
        <f>Statement!O101</f>
        <v>0.25306234264320282</v>
      </c>
      <c r="K71" s="58">
        <f>Statement!P101</f>
        <v>0.23971255769943867</v>
      </c>
      <c r="L71" s="58">
        <f>Statement!Q101</f>
        <v>0.26915064121818238</v>
      </c>
    </row>
    <row r="72" spans="2:12" x14ac:dyDescent="0.2">
      <c r="B72" s="20" t="s">
        <v>376</v>
      </c>
      <c r="C72" s="64">
        <f>Statement!H177</f>
        <v>0</v>
      </c>
      <c r="D72" s="64">
        <f>Statement!I177</f>
        <v>0</v>
      </c>
      <c r="E72" s="64">
        <f>Statement!J177</f>
        <v>0</v>
      </c>
      <c r="F72" s="64">
        <f>Statement!K177</f>
        <v>0</v>
      </c>
      <c r="G72" s="64">
        <f>Statement!L177</f>
        <v>0</v>
      </c>
      <c r="H72" s="64">
        <f>Statement!M177</f>
        <v>153306</v>
      </c>
      <c r="I72" s="64">
        <f>Statement!N177</f>
        <v>169658</v>
      </c>
      <c r="J72" s="64">
        <f>Statement!O177</f>
        <v>162560</v>
      </c>
      <c r="K72" s="64">
        <f>Statement!P177</f>
        <v>167045</v>
      </c>
      <c r="L72" s="64">
        <f>Statement!Q177</f>
        <v>178353</v>
      </c>
    </row>
    <row r="73" spans="2:12" x14ac:dyDescent="0.2">
      <c r="B73" s="20" t="s">
        <v>377</v>
      </c>
      <c r="C73" s="64">
        <f>Statement!H178</f>
        <v>0</v>
      </c>
      <c r="D73" s="64">
        <f>Statement!I178</f>
        <v>0</v>
      </c>
      <c r="E73" s="64">
        <f>Statement!J178</f>
        <v>0</v>
      </c>
      <c r="F73" s="64">
        <f>Statement!K178</f>
        <v>0</v>
      </c>
      <c r="G73" s="64">
        <f>Statement!L178</f>
        <v>0</v>
      </c>
      <c r="H73" s="64">
        <f>Statement!M178</f>
        <v>89307</v>
      </c>
      <c r="I73" s="64">
        <f>Statement!N178</f>
        <v>95118</v>
      </c>
      <c r="J73" s="64">
        <f>Statement!O178</f>
        <v>94294</v>
      </c>
      <c r="K73" s="64">
        <f>Statement!P178</f>
        <v>101328</v>
      </c>
      <c r="L73" s="64">
        <f>Statement!Q178</f>
        <v>111032</v>
      </c>
    </row>
    <row r="74" spans="2:12" x14ac:dyDescent="0.2">
      <c r="B74" s="20" t="s">
        <v>378</v>
      </c>
      <c r="C74" s="64">
        <f>Statement!H179</f>
        <v>0</v>
      </c>
      <c r="D74" s="64">
        <f>Statement!I179</f>
        <v>0</v>
      </c>
      <c r="E74" s="64">
        <f>Statement!J179</f>
        <v>0</v>
      </c>
      <c r="F74" s="64">
        <f>Statement!K179</f>
        <v>0</v>
      </c>
      <c r="G74" s="64">
        <f>Statement!L179</f>
        <v>0</v>
      </c>
      <c r="H74" s="64">
        <f>Statement!M179</f>
        <v>68366</v>
      </c>
      <c r="I74" s="64">
        <f>Statement!N179</f>
        <v>74200</v>
      </c>
      <c r="J74" s="64">
        <f>Statement!O179</f>
        <v>72559</v>
      </c>
      <c r="K74" s="64">
        <f>Statement!P179</f>
        <v>66952</v>
      </c>
      <c r="L74" s="64">
        <f>Statement!Q179</f>
        <v>64377</v>
      </c>
    </row>
    <row r="75" spans="2:12" x14ac:dyDescent="0.2">
      <c r="B75" s="20" t="s">
        <v>379</v>
      </c>
      <c r="C75" s="64">
        <f>Statement!H180</f>
        <v>0</v>
      </c>
      <c r="D75" s="64">
        <f>Statement!I180</f>
        <v>0</v>
      </c>
      <c r="E75" s="64">
        <f>Statement!J180</f>
        <v>0</v>
      </c>
      <c r="F75" s="64">
        <f>Statement!K180</f>
        <v>0</v>
      </c>
      <c r="G75" s="64">
        <f>Statement!L180</f>
        <v>0</v>
      </c>
      <c r="H75" s="64">
        <f>Statement!M180</f>
        <v>28482</v>
      </c>
      <c r="I75" s="64">
        <f>Statement!N180</f>
        <v>25977</v>
      </c>
      <c r="J75" s="64">
        <f>Statement!O180</f>
        <v>24257</v>
      </c>
      <c r="K75" s="64">
        <f>Statement!P180</f>
        <v>25052</v>
      </c>
      <c r="L75" s="64">
        <f>Statement!Q180</f>
        <v>28703</v>
      </c>
    </row>
    <row r="76" spans="2:12" x14ac:dyDescent="0.2">
      <c r="B76" s="20" t="s">
        <v>387</v>
      </c>
      <c r="C76" s="64">
        <f>Statement!H181</f>
        <v>0</v>
      </c>
      <c r="D76" s="64">
        <f>Statement!I181</f>
        <v>0</v>
      </c>
      <c r="E76" s="64">
        <f>Statement!J181</f>
        <v>0</v>
      </c>
      <c r="F76" s="64">
        <f>Statement!K181</f>
        <v>0</v>
      </c>
      <c r="G76" s="64">
        <f>Statement!L181</f>
        <v>0</v>
      </c>
      <c r="H76" s="64">
        <f>Statement!M181</f>
        <v>26356</v>
      </c>
      <c r="I76" s="64">
        <f>Statement!N181</f>
        <v>29375</v>
      </c>
      <c r="J76" s="64">
        <f>Statement!O181</f>
        <v>29615</v>
      </c>
      <c r="K76" s="64">
        <f>Statement!P181</f>
        <v>30658</v>
      </c>
      <c r="L76" s="64">
        <f>Statement!Q181</f>
        <v>33696</v>
      </c>
    </row>
    <row r="77" spans="2:12" x14ac:dyDescent="0.2">
      <c r="B77" s="20" t="s">
        <v>380</v>
      </c>
      <c r="C77" s="64">
        <f>Statement!H183</f>
        <v>0</v>
      </c>
      <c r="D77" s="64">
        <f>Statement!I183</f>
        <v>0</v>
      </c>
      <c r="E77" s="64">
        <f>Statement!J183</f>
        <v>0</v>
      </c>
      <c r="F77" s="64">
        <f>Statement!K183</f>
        <v>0</v>
      </c>
      <c r="G77" s="64">
        <f>Statement!L183</f>
        <v>0</v>
      </c>
      <c r="H77" s="64">
        <f>Statement!M183</f>
        <v>191973</v>
      </c>
      <c r="I77" s="64">
        <f>Statement!N183</f>
        <v>205489</v>
      </c>
      <c r="J77" s="64">
        <f>Statement!O183</f>
        <v>200583</v>
      </c>
      <c r="K77" s="64">
        <f>Statement!P183</f>
        <v>201183</v>
      </c>
      <c r="L77" s="64">
        <f>Statement!Q183</f>
        <v>209586</v>
      </c>
    </row>
    <row r="78" spans="2:12" x14ac:dyDescent="0.2">
      <c r="B78" s="20" t="s">
        <v>381</v>
      </c>
      <c r="C78" s="64">
        <f>Statement!H184</f>
        <v>0</v>
      </c>
      <c r="D78" s="64">
        <f>Statement!I184</f>
        <v>0</v>
      </c>
      <c r="E78" s="64">
        <f>Statement!J184</f>
        <v>0</v>
      </c>
      <c r="F78" s="64">
        <f>Statement!K184</f>
        <v>0</v>
      </c>
      <c r="G78" s="64">
        <f>Statement!L184</f>
        <v>0</v>
      </c>
      <c r="H78" s="64">
        <f>Statement!M184</f>
        <v>35190</v>
      </c>
      <c r="I78" s="64">
        <f>Statement!N184</f>
        <v>40177</v>
      </c>
      <c r="J78" s="64">
        <f>Statement!O184</f>
        <v>29357</v>
      </c>
      <c r="K78" s="64">
        <f>Statement!P184</f>
        <v>29984</v>
      </c>
      <c r="L78" s="64">
        <f>Statement!Q184</f>
        <v>33708</v>
      </c>
    </row>
    <row r="79" spans="2:12" x14ac:dyDescent="0.2">
      <c r="B79" s="20" t="s">
        <v>382</v>
      </c>
      <c r="C79" s="64">
        <f>Statement!H185</f>
        <v>0</v>
      </c>
      <c r="D79" s="64">
        <f>Statement!I185</f>
        <v>0</v>
      </c>
      <c r="E79" s="64">
        <f>Statement!J185</f>
        <v>0</v>
      </c>
      <c r="F79" s="64">
        <f>Statement!K185</f>
        <v>0</v>
      </c>
      <c r="G79" s="64">
        <f>Statement!L185</f>
        <v>0</v>
      </c>
      <c r="H79" s="64">
        <f>Statement!M185</f>
        <v>31862</v>
      </c>
      <c r="I79" s="64">
        <f>Statement!N185</f>
        <v>29292</v>
      </c>
      <c r="J79" s="64">
        <f>Statement!O185</f>
        <v>28300</v>
      </c>
      <c r="K79" s="64">
        <f>Statement!P185</f>
        <v>26694</v>
      </c>
      <c r="L79" s="64">
        <f>Statement!Q185</f>
        <v>28023</v>
      </c>
    </row>
    <row r="80" spans="2:12" x14ac:dyDescent="0.2">
      <c r="B80" s="20" t="s">
        <v>383</v>
      </c>
      <c r="C80" s="64">
        <f>Statement!H186</f>
        <v>0</v>
      </c>
      <c r="D80" s="64">
        <f>Statement!I186</f>
        <v>0</v>
      </c>
      <c r="E80" s="64">
        <f>Statement!J186</f>
        <v>0</v>
      </c>
      <c r="F80" s="64">
        <f>Statement!K186</f>
        <v>0</v>
      </c>
      <c r="G80" s="64">
        <f>Statement!L186</f>
        <v>0</v>
      </c>
      <c r="H80" s="64">
        <f>Statement!M186</f>
        <v>38367</v>
      </c>
      <c r="I80" s="64">
        <f>Statement!N186</f>
        <v>41241</v>
      </c>
      <c r="J80" s="64">
        <f>Statement!O186</f>
        <v>39845</v>
      </c>
      <c r="K80" s="64">
        <f>Statement!P186</f>
        <v>37005</v>
      </c>
      <c r="L80" s="64">
        <f>Statement!Q186</f>
        <v>35686</v>
      </c>
    </row>
    <row r="81" spans="2:12" x14ac:dyDescent="0.2">
      <c r="B81" s="20" t="s">
        <v>384</v>
      </c>
      <c r="C81" s="64">
        <f>Statement!H187</f>
        <v>0</v>
      </c>
      <c r="D81" s="64">
        <f>Statement!I187</f>
        <v>0</v>
      </c>
      <c r="E81" s="64">
        <f>Statement!J187</f>
        <v>0</v>
      </c>
      <c r="F81" s="64">
        <f>Statement!K187</f>
        <v>0</v>
      </c>
      <c r="G81" s="64">
        <f>Statement!L187</f>
        <v>0</v>
      </c>
      <c r="H81" s="64">
        <f>Statement!M187</f>
        <v>68425</v>
      </c>
      <c r="I81" s="64">
        <f>Statement!N187</f>
        <v>78129</v>
      </c>
      <c r="J81" s="64">
        <f>Statement!O187</f>
        <v>84200</v>
      </c>
      <c r="K81" s="64">
        <f>Statement!P187</f>
        <v>96169</v>
      </c>
      <c r="L81" s="64">
        <f>Statement!Q187</f>
        <v>109158</v>
      </c>
    </row>
    <row r="82" spans="2:12" x14ac:dyDescent="0.2">
      <c r="B82" s="20" t="s">
        <v>99</v>
      </c>
      <c r="C82" s="212">
        <f>Statement!H121</f>
        <v>0</v>
      </c>
      <c r="D82" s="212">
        <f>Statement!I121</f>
        <v>0</v>
      </c>
      <c r="E82" s="212">
        <f>Statement!J121</f>
        <v>0</v>
      </c>
      <c r="F82" s="212">
        <f>Statement!K121</f>
        <v>0</v>
      </c>
      <c r="G82" s="212">
        <f>Statement!L121</f>
        <v>0</v>
      </c>
      <c r="H82" s="212">
        <f>Statement!M121</f>
        <v>0.26974205275183616</v>
      </c>
      <c r="I82" s="212">
        <f>Statement!N121</f>
        <v>0.28292440929256846</v>
      </c>
      <c r="J82" s="212">
        <f>Statement!O121</f>
        <v>0.2750983456377647</v>
      </c>
      <c r="K82" s="212">
        <f>Statement!P121</f>
        <v>0.25682503150857577</v>
      </c>
      <c r="L82" s="212">
        <f>Statement!Q121</f>
        <v>0.31179625933565486</v>
      </c>
    </row>
    <row r="83" spans="2:12" x14ac:dyDescent="0.2">
      <c r="B83" s="20" t="s">
        <v>101</v>
      </c>
      <c r="C83" s="212">
        <f>Statement!H123</f>
        <v>0</v>
      </c>
      <c r="D83" s="212">
        <f>Statement!I123</f>
        <v>0</v>
      </c>
      <c r="E83" s="212">
        <f>Statement!J123</f>
        <v>0</v>
      </c>
      <c r="F83" s="212">
        <f>Statement!K123</f>
        <v>0</v>
      </c>
      <c r="G83" s="212">
        <f>Statement!L123</f>
        <v>0</v>
      </c>
      <c r="H83" s="212">
        <f>Statement!M123</f>
        <v>1.5007132667617686</v>
      </c>
      <c r="I83" s="212">
        <f>Statement!N123</f>
        <v>1.9695887275023678</v>
      </c>
      <c r="J83" s="212">
        <f>Statement!O123</f>
        <v>1.5607601454639075</v>
      </c>
      <c r="K83" s="212">
        <f>Statement!P123</f>
        <v>1.6459350307287091</v>
      </c>
      <c r="L83" s="212">
        <f>Statement!Q123</f>
        <v>1.5191298333175103</v>
      </c>
    </row>
    <row r="84" spans="2:12" x14ac:dyDescent="0.2">
      <c r="B84" s="20" t="s">
        <v>102</v>
      </c>
      <c r="C84" s="212">
        <f>Statement!H130</f>
        <v>0</v>
      </c>
      <c r="D84" s="212">
        <f>Statement!I130</f>
        <v>0</v>
      </c>
      <c r="E84" s="212">
        <f>Statement!J130</f>
        <v>0</v>
      </c>
      <c r="F84" s="212">
        <f>Statement!K130</f>
        <v>0</v>
      </c>
      <c r="G84" s="212">
        <f>Statement!L130</f>
        <v>0</v>
      </c>
      <c r="H84" s="212">
        <f>Statement!M130</f>
        <v>-34.893357899142124</v>
      </c>
      <c r="I84" s="212">
        <f>Statement!N130</f>
        <v>61.325292339444864</v>
      </c>
      <c r="J84" s="212">
        <f>Statement!O130</f>
        <v>8.7540939978097523</v>
      </c>
      <c r="K84" s="212">
        <f>Statement!P130</f>
        <v>13.498600849775102</v>
      </c>
      <c r="L84" s="212">
        <f>Statement!Q130</f>
        <v>2.8091291441706971</v>
      </c>
    </row>
    <row r="85" spans="2:12" x14ac:dyDescent="0.2">
      <c r="B85" s="20" t="s">
        <v>341</v>
      </c>
      <c r="C85" s="220">
        <f>Statement!H209</f>
        <v>0</v>
      </c>
      <c r="D85" s="220">
        <f>Statement!I209</f>
        <v>0</v>
      </c>
      <c r="E85" s="220">
        <f>Statement!J209</f>
        <v>0</v>
      </c>
      <c r="F85" s="220">
        <f>Statement!K209</f>
        <v>0</v>
      </c>
      <c r="G85" s="220">
        <f>Statement!L209</f>
        <v>0</v>
      </c>
      <c r="H85" s="220">
        <f>Statement!M209</f>
        <v>100</v>
      </c>
      <c r="I85" s="220">
        <f>Statement!N209</f>
        <v>102.38905526817317</v>
      </c>
      <c r="J85" s="220">
        <f>Statement!O209</f>
        <v>116.53280696977947</v>
      </c>
      <c r="K85" s="220">
        <f>Statement!P209</f>
        <v>155.04356112169887</v>
      </c>
      <c r="L85" s="220">
        <f>Statement!Q209</f>
        <v>173.87693983120067</v>
      </c>
    </row>
    <row r="86" spans="2:12" x14ac:dyDescent="0.2">
      <c r="B86" s="20" t="s">
        <v>342</v>
      </c>
      <c r="C86" s="220">
        <f>Statement!H210</f>
        <v>0</v>
      </c>
      <c r="D86" s="220">
        <f>Statement!I210</f>
        <v>0</v>
      </c>
      <c r="E86" s="220">
        <f>Statement!J210</f>
        <v>0</v>
      </c>
      <c r="F86" s="220">
        <f>Statement!K210</f>
        <v>0</v>
      </c>
      <c r="G86" s="220">
        <f>Statement!L210</f>
        <v>0</v>
      </c>
      <c r="H86" s="220">
        <f>Statement!M210</f>
        <v>100</v>
      </c>
      <c r="I86" s="220">
        <f>Statement!N210</f>
        <v>107.79378760418462</v>
      </c>
      <c r="J86" s="220">
        <f>Statement!O210</f>
        <v>104.77506512819249</v>
      </c>
      <c r="K86" s="220">
        <f>Statement!P210</f>
        <v>106.89361073979613</v>
      </c>
      <c r="L86" s="220">
        <f>Statement!Q210</f>
        <v>113.76207229297708</v>
      </c>
    </row>
    <row r="87" spans="2:12" x14ac:dyDescent="0.2">
      <c r="B87" s="20" t="s">
        <v>343</v>
      </c>
      <c r="C87" s="220">
        <f>Statement!H211</f>
        <v>0</v>
      </c>
      <c r="D87" s="220">
        <f>Statement!I211</f>
        <v>0</v>
      </c>
      <c r="E87" s="220">
        <f>Statement!J211</f>
        <v>0</v>
      </c>
      <c r="F87" s="220">
        <f>Statement!K211</f>
        <v>0</v>
      </c>
      <c r="G87" s="220">
        <f>Statement!L211</f>
        <v>0</v>
      </c>
      <c r="H87" s="220">
        <f>Statement!M211</f>
        <v>100</v>
      </c>
      <c r="I87" s="220">
        <f>Statement!N211</f>
        <v>108.9126559714795</v>
      </c>
      <c r="J87" s="220">
        <f>Statement!O211</f>
        <v>109.26916221033866</v>
      </c>
      <c r="K87" s="220">
        <f>Statement!P211</f>
        <v>108.37789661319073</v>
      </c>
      <c r="L87" s="220">
        <f>Statement!Q211</f>
        <v>132.97682709447415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73"/>
  <sheetViews>
    <sheetView topLeftCell="A51" zoomScale="161" workbookViewId="0">
      <selection activeCell="H44" sqref="H44"/>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28.09.2024</v>
      </c>
      <c r="D55" s="10" t="str">
        <f>Statement!U2</f>
        <v>28.12.2024</v>
      </c>
      <c r="E55" s="10" t="str">
        <f>Statement!V2</f>
        <v>29.03.2025</v>
      </c>
      <c r="F55" s="10" t="str">
        <f>Statement!W2</f>
        <v>28.06.2025</v>
      </c>
      <c r="G55" s="10" t="str">
        <f>Statement!X2</f>
        <v>27.09.2025</v>
      </c>
      <c r="H55" s="10" t="str">
        <f>Statement!Y2</f>
        <v>27.12.2025</v>
      </c>
      <c r="I55" s="10" t="str">
        <f>Statement!Z2</f>
        <v>28.03.2026</v>
      </c>
      <c r="J55" s="10" t="str">
        <f>Statement!AA2</f>
        <v>27.06.2026</v>
      </c>
    </row>
    <row r="56" spans="2:10" x14ac:dyDescent="0.2">
      <c r="B56" s="10"/>
      <c r="C56" s="10" t="str">
        <f>Statement!T3</f>
        <v>Q4 2024</v>
      </c>
      <c r="D56" s="10" t="str">
        <f>Statement!U3</f>
        <v>Q1 2025</v>
      </c>
      <c r="E56" s="10" t="str">
        <f>Statement!V3</f>
        <v>Q2 2025</v>
      </c>
      <c r="F56" s="10" t="str">
        <f>Statement!W3</f>
        <v>Q3 2025</v>
      </c>
      <c r="G56" s="10" t="str">
        <f>Statement!X3</f>
        <v>Q4 2025</v>
      </c>
      <c r="H56" s="10" t="str">
        <f>Statement!Y3</f>
        <v>Q1 2026</v>
      </c>
      <c r="I56" s="10" t="str">
        <f>Statement!Z3</f>
        <v>Q2 2026</v>
      </c>
      <c r="J56" s="10" t="str">
        <f>Statement!AA3</f>
        <v>Q3 2026</v>
      </c>
    </row>
    <row r="57" spans="2:10" x14ac:dyDescent="0.2">
      <c r="B57" s="20" t="s">
        <v>19</v>
      </c>
      <c r="C57" s="64">
        <f>Statement!T5</f>
        <v>94930</v>
      </c>
      <c r="D57" s="64">
        <f>Statement!U5</f>
        <v>124300</v>
      </c>
      <c r="E57" s="64">
        <f>Statement!V5</f>
        <v>95359</v>
      </c>
      <c r="F57" s="64">
        <f>Statement!W5</f>
        <v>94036</v>
      </c>
      <c r="G57" s="64">
        <f>Statement!X5</f>
        <v>102466</v>
      </c>
      <c r="H57" s="64">
        <f>Statement!Y5</f>
        <v>143756</v>
      </c>
      <c r="I57" s="64">
        <f>Statement!Z5</f>
        <v>111184</v>
      </c>
      <c r="J57" s="64">
        <f>Statement!AA5</f>
        <v>109417</v>
      </c>
    </row>
    <row r="58" spans="2:10" x14ac:dyDescent="0.2">
      <c r="B58" s="20" t="s">
        <v>24</v>
      </c>
      <c r="C58" s="64">
        <f>Statement!T11</f>
        <v>29591</v>
      </c>
      <c r="D58" s="64">
        <f>Statement!U11</f>
        <v>42832</v>
      </c>
      <c r="E58" s="64">
        <f>Statement!V11</f>
        <v>29589</v>
      </c>
      <c r="F58" s="64">
        <f>Statement!W11</f>
        <v>28202</v>
      </c>
      <c r="G58" s="64">
        <f>Statement!X11</f>
        <v>32427</v>
      </c>
      <c r="H58" s="64">
        <f>Statement!Y11</f>
        <v>50852</v>
      </c>
      <c r="I58" s="64">
        <f>Statement!Z11</f>
        <v>35885</v>
      </c>
      <c r="J58" s="64">
        <f>Statement!AA11</f>
        <v>35695</v>
      </c>
    </row>
    <row r="59" spans="2:10" x14ac:dyDescent="0.2">
      <c r="B59" s="20" t="s">
        <v>29</v>
      </c>
      <c r="C59" s="64">
        <f>Statement!T17</f>
        <v>14736</v>
      </c>
      <c r="D59" s="64">
        <f>Statement!U17</f>
        <v>36330</v>
      </c>
      <c r="E59" s="64">
        <f>Statement!V17</f>
        <v>24780</v>
      </c>
      <c r="F59" s="64">
        <f>Statement!W17</f>
        <v>23434</v>
      </c>
      <c r="G59" s="64">
        <f>Statement!X17</f>
        <v>27466</v>
      </c>
      <c r="H59" s="64">
        <f>Statement!Y17</f>
        <v>42097</v>
      </c>
      <c r="I59" s="64">
        <f>Statement!Z17</f>
        <v>29578</v>
      </c>
      <c r="J59" s="64">
        <f>Statement!AA17</f>
        <v>29789</v>
      </c>
    </row>
    <row r="60" spans="2:10" x14ac:dyDescent="0.2">
      <c r="B60" s="20" t="s">
        <v>76</v>
      </c>
      <c r="C60" s="58">
        <f>Statement!T99</f>
        <v>0.4622247972190035</v>
      </c>
      <c r="D60" s="58">
        <f>Statement!U99</f>
        <v>0.46882542236524538</v>
      </c>
      <c r="E60" s="58">
        <f>Statement!V99</f>
        <v>0.47050619238876246</v>
      </c>
      <c r="F60" s="58">
        <f>Statement!W99</f>
        <v>0.46490705687183631</v>
      </c>
      <c r="G60" s="58">
        <f>Statement!X99</f>
        <v>0.47177600374758455</v>
      </c>
      <c r="H60" s="58">
        <f>Statement!Y99</f>
        <v>0.4815868555051615</v>
      </c>
      <c r="I60" s="58">
        <f>Statement!Z99</f>
        <v>0.4927057850050367</v>
      </c>
      <c r="J60" s="58">
        <f>Statement!AA99</f>
        <v>0.50056206987945195</v>
      </c>
    </row>
    <row r="61" spans="2:10" x14ac:dyDescent="0.2">
      <c r="B61" s="20" t="s">
        <v>77</v>
      </c>
      <c r="C61" s="58">
        <f>Statement!T100</f>
        <v>0.31171389444854103</v>
      </c>
      <c r="D61" s="58">
        <f>Statement!U100</f>
        <v>0.34458567980691873</v>
      </c>
      <c r="E61" s="58">
        <f>Statement!V100</f>
        <v>0.31029058610094484</v>
      </c>
      <c r="F61" s="58">
        <f>Statement!W100</f>
        <v>0.29990641881832492</v>
      </c>
      <c r="G61" s="58">
        <f>Statement!X100</f>
        <v>0.31646594968086977</v>
      </c>
      <c r="H61" s="58">
        <f>Statement!Y100</f>
        <v>0.35373827875010433</v>
      </c>
      <c r="I61" s="58">
        <f>Statement!Z100</f>
        <v>0.32275327385235286</v>
      </c>
      <c r="J61" s="58">
        <f>Statement!AA100</f>
        <v>0.3262290137729969</v>
      </c>
    </row>
    <row r="62" spans="2:10" x14ac:dyDescent="0.2">
      <c r="B62" s="20" t="s">
        <v>78</v>
      </c>
      <c r="C62" s="58">
        <f>Statement!T101</f>
        <v>0.15523016959865163</v>
      </c>
      <c r="D62" s="58">
        <f>Statement!U101</f>
        <v>0.29227674979887369</v>
      </c>
      <c r="E62" s="58">
        <f>Statement!V101</f>
        <v>0.25986010759341016</v>
      </c>
      <c r="F62" s="58">
        <f>Statement!W101</f>
        <v>0.24920243311072354</v>
      </c>
      <c r="G62" s="58">
        <f>Statement!X101</f>
        <v>0.26804988971951671</v>
      </c>
      <c r="H62" s="58">
        <f>Statement!Y101</f>
        <v>0.29283647291243498</v>
      </c>
      <c r="I62" s="58">
        <f>Statement!Z101</f>
        <v>0.26602748596920422</v>
      </c>
      <c r="J62" s="58">
        <f>Statement!AA101</f>
        <v>0.27225202665033771</v>
      </c>
    </row>
    <row r="63" spans="2:10" x14ac:dyDescent="0.2">
      <c r="B63" s="20" t="s">
        <v>376</v>
      </c>
      <c r="C63" s="64">
        <f>Statement!T177</f>
        <v>41664</v>
      </c>
      <c r="D63" s="64">
        <f>Statement!U177</f>
        <v>52648</v>
      </c>
      <c r="E63" s="64">
        <f>Statement!V177</f>
        <v>40315</v>
      </c>
      <c r="F63" s="64">
        <f>Statement!W177</f>
        <v>41198</v>
      </c>
      <c r="G63" s="64">
        <f>Statement!X177</f>
        <v>44192</v>
      </c>
      <c r="H63" s="64">
        <f>Statement!Y177</f>
        <v>58529</v>
      </c>
      <c r="I63" s="64">
        <f>Statement!Z177</f>
        <v>45093</v>
      </c>
      <c r="J63" s="64">
        <f>Statement!AA177</f>
        <v>45781</v>
      </c>
    </row>
    <row r="64" spans="2:10" x14ac:dyDescent="0.2">
      <c r="B64" s="20" t="s">
        <v>377</v>
      </c>
      <c r="C64" s="64">
        <f>Statement!T178</f>
        <v>24924</v>
      </c>
      <c r="D64" s="64">
        <f>Statement!U178</f>
        <v>33861</v>
      </c>
      <c r="E64" s="64">
        <f>Statement!V178</f>
        <v>24454</v>
      </c>
      <c r="F64" s="64">
        <f>Statement!W178</f>
        <v>24014</v>
      </c>
      <c r="G64" s="64">
        <f>Statement!X178</f>
        <v>28703</v>
      </c>
      <c r="H64" s="64">
        <f>Statement!Y178</f>
        <v>38146</v>
      </c>
      <c r="I64" s="64">
        <f>Statement!Z178</f>
        <v>28055</v>
      </c>
      <c r="J64" s="64">
        <f>Statement!AA178</f>
        <v>29393</v>
      </c>
    </row>
    <row r="65" spans="2:10" x14ac:dyDescent="0.2">
      <c r="B65" s="20" t="s">
        <v>378</v>
      </c>
      <c r="C65" s="64">
        <f>Statement!T179</f>
        <v>15033</v>
      </c>
      <c r="D65" s="64">
        <f>Statement!U179</f>
        <v>18513</v>
      </c>
      <c r="E65" s="64">
        <f>Statement!V179</f>
        <v>16002</v>
      </c>
      <c r="F65" s="64">
        <f>Statement!W179</f>
        <v>15369</v>
      </c>
      <c r="G65" s="64">
        <f>Statement!X179</f>
        <v>14493</v>
      </c>
      <c r="H65" s="64">
        <f>Statement!Y179</f>
        <v>25526</v>
      </c>
      <c r="I65" s="64">
        <f>Statement!Z179</f>
        <v>20497</v>
      </c>
      <c r="J65" s="64">
        <f>Statement!AA179</f>
        <v>18816</v>
      </c>
    </row>
    <row r="66" spans="2:10" x14ac:dyDescent="0.2">
      <c r="B66" s="20" t="s">
        <v>379</v>
      </c>
      <c r="C66" s="64">
        <f>Statement!T180</f>
        <v>5926</v>
      </c>
      <c r="D66" s="64">
        <f>Statement!U180</f>
        <v>8987</v>
      </c>
      <c r="E66" s="64">
        <f>Statement!V180</f>
        <v>7298</v>
      </c>
      <c r="F66" s="64">
        <f>Statement!W180</f>
        <v>5782</v>
      </c>
      <c r="G66" s="64">
        <f>Statement!X180</f>
        <v>6636</v>
      </c>
      <c r="H66" s="64">
        <f>Statement!Y180</f>
        <v>9413</v>
      </c>
      <c r="I66" s="64">
        <f>Statement!Z180</f>
        <v>8401</v>
      </c>
      <c r="J66" s="64">
        <f>Statement!AA180</f>
        <v>6554</v>
      </c>
    </row>
    <row r="67" spans="2:10" x14ac:dyDescent="0.2">
      <c r="B67" s="20" t="s">
        <v>385</v>
      </c>
      <c r="C67" s="64">
        <f>Statement!T181</f>
        <v>7383</v>
      </c>
      <c r="D67" s="64">
        <f>Statement!U181</f>
        <v>10291</v>
      </c>
      <c r="E67" s="64">
        <f>Statement!V181</f>
        <v>7290</v>
      </c>
      <c r="F67" s="64">
        <f>Statement!W181</f>
        <v>7673</v>
      </c>
      <c r="G67" s="64">
        <f>Statement!X181</f>
        <v>8442</v>
      </c>
      <c r="H67" s="64">
        <f>Statement!Y181</f>
        <v>12142</v>
      </c>
      <c r="I67" s="64">
        <f>Statement!Z181</f>
        <v>9138</v>
      </c>
      <c r="J67" s="64">
        <f>Statement!AA181</f>
        <v>8871</v>
      </c>
    </row>
    <row r="68" spans="2:10" x14ac:dyDescent="0.2">
      <c r="B68" s="20" t="s">
        <v>380</v>
      </c>
      <c r="C68" s="64">
        <f>Statement!T183</f>
        <v>46222</v>
      </c>
      <c r="D68" s="64">
        <f>Statement!U183</f>
        <v>69138</v>
      </c>
      <c r="E68" s="64">
        <f>Statement!V183</f>
        <v>46841</v>
      </c>
      <c r="F68" s="64">
        <f>Statement!W183</f>
        <v>44582</v>
      </c>
      <c r="G68" s="64">
        <f>Statement!X183</f>
        <v>49025</v>
      </c>
      <c r="H68" s="64">
        <f>Statement!Y183</f>
        <v>85269</v>
      </c>
      <c r="I68" s="64">
        <f>Statement!Z183</f>
        <v>56994</v>
      </c>
      <c r="J68" s="64">
        <f>Statement!AA183</f>
        <v>54252</v>
      </c>
    </row>
    <row r="69" spans="2:10" x14ac:dyDescent="0.2">
      <c r="B69" s="20" t="s">
        <v>381</v>
      </c>
      <c r="C69" s="64">
        <f>Statement!T184</f>
        <v>7744</v>
      </c>
      <c r="D69" s="64">
        <f>Statement!U184</f>
        <v>8987</v>
      </c>
      <c r="E69" s="64">
        <f>Statement!V184</f>
        <v>7949</v>
      </c>
      <c r="F69" s="64">
        <f>Statement!W184</f>
        <v>8046</v>
      </c>
      <c r="G69" s="64">
        <f>Statement!X184</f>
        <v>8726</v>
      </c>
      <c r="H69" s="64">
        <f>Statement!Y184</f>
        <v>8386</v>
      </c>
      <c r="I69" s="64">
        <f>Statement!Z184</f>
        <v>8399</v>
      </c>
      <c r="J69" s="64">
        <f>Statement!AA184</f>
        <v>10352</v>
      </c>
    </row>
    <row r="70" spans="2:10" x14ac:dyDescent="0.2">
      <c r="B70" s="20" t="s">
        <v>382</v>
      </c>
      <c r="C70" s="64">
        <f>Statement!T185</f>
        <v>6950</v>
      </c>
      <c r="D70" s="64">
        <f>Statement!U185</f>
        <v>8088</v>
      </c>
      <c r="E70" s="64">
        <f>Statement!V185</f>
        <v>6402</v>
      </c>
      <c r="F70" s="64">
        <f>Statement!W185</f>
        <v>6581</v>
      </c>
      <c r="G70" s="64">
        <f>Statement!X185</f>
        <v>6952</v>
      </c>
      <c r="H70" s="64">
        <f>Statement!Y185</f>
        <v>8595</v>
      </c>
      <c r="I70" s="64">
        <f>Statement!Z185</f>
        <v>6914</v>
      </c>
      <c r="J70" s="64">
        <f>Statement!AA185</f>
        <v>6191</v>
      </c>
    </row>
    <row r="71" spans="2:10" x14ac:dyDescent="0.2">
      <c r="B71" s="20" t="s">
        <v>386</v>
      </c>
      <c r="C71" s="64">
        <f>Statement!T186</f>
        <v>9042</v>
      </c>
      <c r="D71" s="64">
        <f>Statement!U186</f>
        <v>11747</v>
      </c>
      <c r="E71" s="64">
        <f>Statement!V186</f>
        <v>7522</v>
      </c>
      <c r="F71" s="64">
        <f>Statement!W186</f>
        <v>7404</v>
      </c>
      <c r="G71" s="64">
        <f>Statement!X186</f>
        <v>9013</v>
      </c>
      <c r="H71" s="64">
        <f>Statement!Y186</f>
        <v>11493</v>
      </c>
      <c r="I71" s="64">
        <f>Statement!Z186</f>
        <v>7901</v>
      </c>
      <c r="J71" s="64">
        <f>Statement!AA186</f>
        <v>7883</v>
      </c>
    </row>
    <row r="72" spans="2:10" x14ac:dyDescent="0.2">
      <c r="B72" s="20" t="s">
        <v>384</v>
      </c>
      <c r="C72" s="64">
        <f>Statement!T187</f>
        <v>24972</v>
      </c>
      <c r="D72" s="64">
        <f>Statement!U187</f>
        <v>26340</v>
      </c>
      <c r="E72" s="64">
        <f>Statement!V187</f>
        <v>26645</v>
      </c>
      <c r="F72" s="64">
        <f>Statement!W187</f>
        <v>27423</v>
      </c>
      <c r="G72" s="64">
        <f>Statement!X187</f>
        <v>28750</v>
      </c>
      <c r="H72" s="64">
        <f>Statement!Y187</f>
        <v>30013</v>
      </c>
      <c r="I72" s="64">
        <f>Statement!Z187</f>
        <v>30976</v>
      </c>
      <c r="J72" s="64">
        <f>Statement!AA187</f>
        <v>30739</v>
      </c>
    </row>
    <row r="73" spans="2:10" x14ac:dyDescent="0.2">
      <c r="B73" s="20" t="s">
        <v>255</v>
      </c>
      <c r="C73" s="64">
        <f>Statement!T147</f>
        <v>0</v>
      </c>
      <c r="D73" s="64">
        <f>Statement!U147</f>
        <v>23709</v>
      </c>
      <c r="E73" s="64">
        <f>Statement!V147</f>
        <v>17655</v>
      </c>
      <c r="F73" s="64">
        <f>Statement!W147</f>
        <v>21237</v>
      </c>
      <c r="G73" s="64">
        <f>Statement!X147</f>
        <v>23303</v>
      </c>
      <c r="H73" s="64">
        <f>Statement!Y147</f>
        <v>47958</v>
      </c>
      <c r="I73" s="64">
        <f>Statement!Z147</f>
        <v>23203</v>
      </c>
      <c r="J73" s="64">
        <f>Statement!AA147</f>
        <v>28513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5.83203125" style="1" customWidth="1"/>
    <col min="9" max="16384" width="10.83203125" style="1"/>
  </cols>
  <sheetData>
    <row r="5" spans="2:8" x14ac:dyDescent="0.2">
      <c r="H5" s="132" t="s">
        <v>421</v>
      </c>
    </row>
    <row r="6" spans="2:8" x14ac:dyDescent="0.2">
      <c r="H6" s="238" t="s">
        <v>426</v>
      </c>
    </row>
    <row r="7" spans="2:8" x14ac:dyDescent="0.2">
      <c r="H7" s="238" t="s">
        <v>422</v>
      </c>
    </row>
    <row r="8" spans="2:8" x14ac:dyDescent="0.2">
      <c r="H8" s="238" t="s">
        <v>423</v>
      </c>
    </row>
    <row r="9" spans="2:8" x14ac:dyDescent="0.2">
      <c r="H9" s="238" t="s">
        <v>424</v>
      </c>
    </row>
    <row r="10" spans="2:8" x14ac:dyDescent="0.2">
      <c r="H10" s="239" t="s">
        <v>425</v>
      </c>
    </row>
    <row r="13" spans="2:8" s="4" customFormat="1" ht="49" x14ac:dyDescent="0.2">
      <c r="B13" s="3" t="s">
        <v>108</v>
      </c>
    </row>
  </sheetData>
  <hyperlinks>
    <hyperlink ref="H6" location="Overview!B3" display="Overview'!B3" xr:uid="{43E9F232-9BA2-E847-9E40-BB10D84B4FCB}"/>
    <hyperlink ref="H8" location="'Analysis -&gt;'!B13" display="'Analysis -&gt;'!B13" xr:uid="{549E473E-F154-C142-B126-E3EED41DED4E}"/>
    <hyperlink ref="H9" location="'Forecast -&gt;'!B13" display="'Forecast -&gt;'!B13" xr:uid="{56DA308D-4269-B544-8691-FA8EA4BC7D01}"/>
    <hyperlink ref="H10" location="'Valuation -&gt;'!B13" display="'Valuation -&gt;'!B13" xr:uid="{21C251FC-5BC6-C545-9606-991F5FBB8C27}"/>
    <hyperlink ref="H7" location="'Financials -&gt;'!B13" display="'Financials -&gt;'!B13" xr:uid="{3C83CC8C-4C84-B042-BAAE-7986AE01459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22"/>
  <sheetViews>
    <sheetView topLeftCell="E10" zoomScale="184" zoomScaleNormal="75" workbookViewId="0">
      <selection activeCell="L20" sqref="L20"/>
    </sheetView>
  </sheetViews>
  <sheetFormatPr baseColWidth="10" defaultRowHeight="16" x14ac:dyDescent="0.2"/>
  <cols>
    <col min="1" max="1" width="2" style="83"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109</v>
      </c>
      <c r="O1" s="84"/>
    </row>
    <row r="2" spans="1:31" x14ac:dyDescent="0.2">
      <c r="A2" s="4"/>
      <c r="C2" s="246" t="s">
        <v>110</v>
      </c>
      <c r="D2" s="246"/>
      <c r="E2" s="246"/>
      <c r="F2" s="246"/>
      <c r="G2" s="255"/>
      <c r="H2" s="256" t="s">
        <v>111</v>
      </c>
      <c r="I2" s="246"/>
      <c r="J2" s="246"/>
      <c r="K2" s="246"/>
      <c r="L2" s="246"/>
      <c r="O2" s="5"/>
      <c r="S2" s="246" t="s">
        <v>110</v>
      </c>
      <c r="T2" s="246"/>
      <c r="U2" s="246"/>
      <c r="V2" s="246"/>
      <c r="W2" s="246"/>
      <c r="X2" s="246"/>
      <c r="Y2" s="246"/>
      <c r="Z2" s="246"/>
      <c r="AA2" s="246" t="s">
        <v>111</v>
      </c>
      <c r="AB2" s="246"/>
      <c r="AC2" s="246"/>
      <c r="AE2" s="85" t="s">
        <v>112</v>
      </c>
    </row>
    <row r="3" spans="1:31" ht="10" customHeight="1" x14ac:dyDescent="0.2">
      <c r="O3" s="5"/>
    </row>
    <row r="4" spans="1:31" ht="16" customHeight="1" x14ac:dyDescent="0.2">
      <c r="A4" s="86"/>
      <c r="B4" s="60"/>
      <c r="C4" s="252" t="s">
        <v>113</v>
      </c>
      <c r="D4" s="252"/>
      <c r="E4" s="252"/>
      <c r="F4" s="252"/>
      <c r="G4" s="252"/>
      <c r="H4" s="252"/>
      <c r="I4" s="252"/>
      <c r="J4" s="252"/>
      <c r="K4" s="252"/>
      <c r="L4" s="252"/>
      <c r="O4" s="5"/>
      <c r="S4" s="253" t="s">
        <v>113</v>
      </c>
      <c r="T4" s="254"/>
      <c r="U4" s="254"/>
      <c r="V4" s="254"/>
      <c r="W4" s="254"/>
      <c r="X4" s="254"/>
      <c r="Y4" s="254"/>
      <c r="Z4" s="254"/>
      <c r="AA4" s="254"/>
      <c r="AB4" s="254"/>
      <c r="AC4" s="254"/>
      <c r="AE4" s="87"/>
    </row>
    <row r="5" spans="1:31" x14ac:dyDescent="0.2">
      <c r="B5" s="16" t="s">
        <v>114</v>
      </c>
      <c r="C5" s="12">
        <f>Statement!M3</f>
        <v>2021</v>
      </c>
      <c r="D5" s="12">
        <f>Statement!N3</f>
        <v>2022</v>
      </c>
      <c r="E5" s="12">
        <f>Statement!O3</f>
        <v>2023</v>
      </c>
      <c r="F5" s="12">
        <f>Statement!P3</f>
        <v>2024</v>
      </c>
      <c r="G5" s="12">
        <f>Statement!Q3</f>
        <v>2025</v>
      </c>
      <c r="H5" s="12">
        <f>G5+1</f>
        <v>2026</v>
      </c>
      <c r="I5" s="12">
        <f t="shared" ref="I5:L5" si="0">H5+1</f>
        <v>2027</v>
      </c>
      <c r="J5" s="12">
        <f t="shared" si="0"/>
        <v>2028</v>
      </c>
      <c r="K5" s="12">
        <f t="shared" si="0"/>
        <v>2029</v>
      </c>
      <c r="L5" s="12">
        <f t="shared" si="0"/>
        <v>2030</v>
      </c>
      <c r="O5" s="5"/>
      <c r="R5" s="16" t="str">
        <f>B5</f>
        <v>Revenues (thousand)</v>
      </c>
      <c r="S5" s="12" t="str">
        <f>Statement!T3</f>
        <v>Q4 2024</v>
      </c>
      <c r="T5" s="12" t="str">
        <f>Statement!U3</f>
        <v>Q1 2025</v>
      </c>
      <c r="U5" s="12" t="str">
        <f>Statement!V3</f>
        <v>Q2 2025</v>
      </c>
      <c r="V5" s="12" t="str">
        <f>Statement!W3</f>
        <v>Q3 2025</v>
      </c>
      <c r="W5" s="12" t="str">
        <f>Statement!X3</f>
        <v>Q4 2025</v>
      </c>
      <c r="X5" s="12" t="str">
        <f>Statement!Y3</f>
        <v>Q1 2026</v>
      </c>
      <c r="Y5" s="12" t="str">
        <f>Statement!Z3</f>
        <v>Q2 2026</v>
      </c>
      <c r="Z5" s="12" t="str">
        <f>Statement!AA3</f>
        <v>Q3 2026</v>
      </c>
      <c r="AA5" s="12" t="s">
        <v>115</v>
      </c>
      <c r="AB5" s="12" t="s">
        <v>116</v>
      </c>
      <c r="AC5" s="12" t="s">
        <v>117</v>
      </c>
      <c r="AE5" s="8" t="s">
        <v>115</v>
      </c>
    </row>
    <row r="6" spans="1:31" x14ac:dyDescent="0.2">
      <c r="B6" s="1" t="str">
        <f>Statement!B183</f>
        <v>iPhone</v>
      </c>
      <c r="C6" s="88">
        <f>Statement!M183</f>
        <v>191973</v>
      </c>
      <c r="D6" s="88">
        <f>Statement!N183</f>
        <v>205489</v>
      </c>
      <c r="E6" s="88">
        <f>Statement!O183</f>
        <v>200583</v>
      </c>
      <c r="F6" s="88">
        <f>Statement!P183</f>
        <v>201183</v>
      </c>
      <c r="G6" s="89">
        <f>Statement!Q183</f>
        <v>209586</v>
      </c>
      <c r="H6" s="64">
        <f>G6*(1+H15)</f>
        <v>247311.47999999998</v>
      </c>
      <c r="I6" s="64">
        <f t="shared" ref="I6:L6" si="1">H6*(1+I15)</f>
        <v>264623.28360000002</v>
      </c>
      <c r="J6" s="64">
        <f t="shared" si="1"/>
        <v>277854.44778000005</v>
      </c>
      <c r="K6" s="64">
        <f t="shared" si="1"/>
        <v>288968.62569120008</v>
      </c>
      <c r="L6" s="64">
        <f t="shared" si="1"/>
        <v>297637.68446193612</v>
      </c>
      <c r="N6" s="90" t="s">
        <v>388</v>
      </c>
      <c r="O6" s="5"/>
      <c r="Q6" s="90" t="s">
        <v>388</v>
      </c>
      <c r="R6" s="1" t="str">
        <f>B6</f>
        <v>iPhone</v>
      </c>
      <c r="S6" s="88">
        <f>Statement!T183</f>
        <v>46222</v>
      </c>
      <c r="T6" s="88">
        <f>Statement!U183</f>
        <v>69138</v>
      </c>
      <c r="U6" s="88">
        <f>Statement!V183</f>
        <v>46841</v>
      </c>
      <c r="V6" s="88">
        <f>Statement!W183</f>
        <v>44582</v>
      </c>
      <c r="W6" s="88">
        <f>Statement!X183</f>
        <v>49025</v>
      </c>
      <c r="X6" s="88">
        <f>Statement!Y183</f>
        <v>85269</v>
      </c>
      <c r="Y6" s="88">
        <f>Statement!Z183</f>
        <v>56994</v>
      </c>
      <c r="Z6" s="89">
        <f>Statement!AA183</f>
        <v>54252</v>
      </c>
      <c r="AA6" s="64">
        <f>Z6*(1+AA15)</f>
        <v>51539.399999999994</v>
      </c>
      <c r="AB6" s="64"/>
      <c r="AC6" s="64"/>
      <c r="AE6" s="64">
        <f>SUM(X6:AA6)</f>
        <v>248054.39999999999</v>
      </c>
    </row>
    <row r="7" spans="1:31" x14ac:dyDescent="0.2">
      <c r="B7" s="1" t="str">
        <f>Statement!B184</f>
        <v>Mac</v>
      </c>
      <c r="C7" s="88">
        <f>Statement!M184</f>
        <v>35190</v>
      </c>
      <c r="D7" s="88">
        <f>Statement!N184</f>
        <v>40177</v>
      </c>
      <c r="E7" s="88">
        <f>Statement!O184</f>
        <v>29357</v>
      </c>
      <c r="F7" s="88">
        <f>Statement!P184</f>
        <v>29984</v>
      </c>
      <c r="G7" s="89">
        <f>Statement!Q184</f>
        <v>33708</v>
      </c>
      <c r="H7" s="64">
        <f t="shared" ref="H7:L10" si="2">G7*(1+H16)</f>
        <v>37415.880000000005</v>
      </c>
      <c r="I7" s="64">
        <f t="shared" si="2"/>
        <v>39286.674000000006</v>
      </c>
      <c r="J7" s="64">
        <f t="shared" si="2"/>
        <v>42036.741180000012</v>
      </c>
      <c r="K7" s="64">
        <f t="shared" si="2"/>
        <v>43297.843415400013</v>
      </c>
      <c r="L7" s="64">
        <f t="shared" si="2"/>
        <v>47194.649322786019</v>
      </c>
      <c r="N7" s="90" t="s">
        <v>389</v>
      </c>
      <c r="O7" s="5"/>
      <c r="Q7" s="90" t="s">
        <v>389</v>
      </c>
      <c r="R7" s="1" t="str">
        <f t="shared" ref="R7:R10" si="3">B7</f>
        <v>Mac</v>
      </c>
      <c r="S7" s="88">
        <f>Statement!T184</f>
        <v>7744</v>
      </c>
      <c r="T7" s="88">
        <f>Statement!U184</f>
        <v>8987</v>
      </c>
      <c r="U7" s="88">
        <f>Statement!V184</f>
        <v>7949</v>
      </c>
      <c r="V7" s="88">
        <f>Statement!W184</f>
        <v>8046</v>
      </c>
      <c r="W7" s="88">
        <f>Statement!X184</f>
        <v>8726</v>
      </c>
      <c r="X7" s="88">
        <f>Statement!Y184</f>
        <v>8386</v>
      </c>
      <c r="Y7" s="88">
        <f>Statement!Z184</f>
        <v>8399</v>
      </c>
      <c r="Z7" s="89">
        <f>Statement!AA184</f>
        <v>10352</v>
      </c>
      <c r="AA7" s="64">
        <f>Z7*(1+AA16)</f>
        <v>10455.52</v>
      </c>
      <c r="AB7" s="64"/>
      <c r="AC7" s="64"/>
      <c r="AE7" s="64">
        <f t="shared" ref="AE7:AE10" si="4">SUM(X7:AA7)</f>
        <v>37592.520000000004</v>
      </c>
    </row>
    <row r="8" spans="1:31" x14ac:dyDescent="0.2">
      <c r="B8" s="1" t="str">
        <f>Statement!B185</f>
        <v>iPad</v>
      </c>
      <c r="C8" s="88">
        <f>Statement!M185</f>
        <v>31862</v>
      </c>
      <c r="D8" s="88">
        <f>Statement!N185</f>
        <v>29292</v>
      </c>
      <c r="E8" s="88">
        <f>Statement!O185</f>
        <v>28300</v>
      </c>
      <c r="F8" s="88">
        <f>Statement!P185</f>
        <v>26694</v>
      </c>
      <c r="G8" s="89">
        <f>Statement!Q185</f>
        <v>28023</v>
      </c>
      <c r="H8" s="64">
        <f t="shared" ref="H8:I10" si="5">G8*(1+H17)</f>
        <v>28863.690000000002</v>
      </c>
      <c r="I8" s="64">
        <f t="shared" si="5"/>
        <v>29008.008449999998</v>
      </c>
      <c r="J8" s="64">
        <f t="shared" si="2"/>
        <v>29153.048492249993</v>
      </c>
      <c r="K8" s="64">
        <f t="shared" si="2"/>
        <v>29298.813734711239</v>
      </c>
      <c r="L8" s="64">
        <f t="shared" si="2"/>
        <v>29445.307803384792</v>
      </c>
      <c r="N8" s="90" t="s">
        <v>390</v>
      </c>
      <c r="O8" s="5"/>
      <c r="Q8" s="90" t="s">
        <v>390</v>
      </c>
      <c r="R8" s="1" t="str">
        <f t="shared" si="3"/>
        <v>iPad</v>
      </c>
      <c r="S8" s="88">
        <f>Statement!T185</f>
        <v>6950</v>
      </c>
      <c r="T8" s="88">
        <f>Statement!U185</f>
        <v>8088</v>
      </c>
      <c r="U8" s="88">
        <f>Statement!V185</f>
        <v>6402</v>
      </c>
      <c r="V8" s="88">
        <f>Statement!W185</f>
        <v>6581</v>
      </c>
      <c r="W8" s="88">
        <f>Statement!X185</f>
        <v>6952</v>
      </c>
      <c r="X8" s="88">
        <f>Statement!Y185</f>
        <v>8595</v>
      </c>
      <c r="Y8" s="88">
        <f>Statement!Z185</f>
        <v>6914</v>
      </c>
      <c r="Z8" s="89">
        <f>Statement!AA185</f>
        <v>6191</v>
      </c>
      <c r="AA8" s="64">
        <f>Z8*(1+AA17)</f>
        <v>6376.7300000000005</v>
      </c>
      <c r="AB8" s="64"/>
      <c r="AC8" s="64"/>
      <c r="AE8" s="64">
        <f t="shared" si="4"/>
        <v>28076.73</v>
      </c>
    </row>
    <row r="9" spans="1:31" x14ac:dyDescent="0.2">
      <c r="B9" s="1" t="str">
        <f>Statement!B186</f>
        <v>Wearables, Home, Accessories</v>
      </c>
      <c r="C9" s="88">
        <f>Statement!M186</f>
        <v>38367</v>
      </c>
      <c r="D9" s="88">
        <f>Statement!N186</f>
        <v>41241</v>
      </c>
      <c r="E9" s="88">
        <f>Statement!O186</f>
        <v>39845</v>
      </c>
      <c r="F9" s="88">
        <f>Statement!P186</f>
        <v>37005</v>
      </c>
      <c r="G9" s="89">
        <f>Statement!Q186</f>
        <v>35686</v>
      </c>
      <c r="H9" s="64">
        <f t="shared" si="5"/>
        <v>35864.429999999993</v>
      </c>
      <c r="I9" s="64">
        <f t="shared" ref="I9:I10" si="6">H9*(1+I18)</f>
        <v>36043.752149999986</v>
      </c>
      <c r="J9" s="64">
        <f t="shared" si="2"/>
        <v>36223.97091074998</v>
      </c>
      <c r="K9" s="64">
        <f t="shared" si="2"/>
        <v>36405.090765303728</v>
      </c>
      <c r="L9" s="64">
        <f t="shared" si="2"/>
        <v>36587.116219130243</v>
      </c>
      <c r="N9" s="90" t="s">
        <v>391</v>
      </c>
      <c r="O9" s="5"/>
      <c r="Q9" s="90" t="s">
        <v>391</v>
      </c>
      <c r="R9" s="1" t="str">
        <f t="shared" si="3"/>
        <v>Wearables, Home, Accessories</v>
      </c>
      <c r="S9" s="88">
        <f>Statement!T186</f>
        <v>9042</v>
      </c>
      <c r="T9" s="88">
        <f>Statement!U186</f>
        <v>11747</v>
      </c>
      <c r="U9" s="88">
        <f>Statement!V186</f>
        <v>7522</v>
      </c>
      <c r="V9" s="88">
        <f>Statement!W186</f>
        <v>7404</v>
      </c>
      <c r="W9" s="88">
        <f>Statement!X186</f>
        <v>9013</v>
      </c>
      <c r="X9" s="88">
        <f>Statement!Y186</f>
        <v>11493</v>
      </c>
      <c r="Y9" s="88">
        <f>Statement!Z186</f>
        <v>7901</v>
      </c>
      <c r="Z9" s="89">
        <f>Statement!AA186</f>
        <v>7883</v>
      </c>
      <c r="AA9" s="64">
        <f t="shared" ref="AA9:AA10" si="7">Z9*(1+AA18)</f>
        <v>7725.34</v>
      </c>
      <c r="AB9" s="64"/>
      <c r="AC9" s="64"/>
      <c r="AE9" s="64">
        <f t="shared" si="4"/>
        <v>35002.339999999997</v>
      </c>
    </row>
    <row r="10" spans="1:31" x14ac:dyDescent="0.2">
      <c r="B10" s="1" t="str">
        <f>Statement!B187</f>
        <v>Services</v>
      </c>
      <c r="C10" s="88">
        <f>Statement!M187</f>
        <v>68425</v>
      </c>
      <c r="D10" s="88">
        <f>Statement!N187</f>
        <v>78129</v>
      </c>
      <c r="E10" s="88">
        <f>Statement!O187</f>
        <v>84200</v>
      </c>
      <c r="F10" s="88">
        <f>Statement!P187</f>
        <v>96169</v>
      </c>
      <c r="G10" s="89">
        <f>Statement!Q187</f>
        <v>109158</v>
      </c>
      <c r="H10" s="64">
        <f t="shared" si="5"/>
        <v>123348.54</v>
      </c>
      <c r="I10" s="64">
        <f t="shared" si="6"/>
        <v>139383.85019999999</v>
      </c>
      <c r="J10" s="64">
        <f t="shared" si="2"/>
        <v>156109.912224</v>
      </c>
      <c r="K10" s="64">
        <f t="shared" si="2"/>
        <v>179526.39905759998</v>
      </c>
      <c r="L10" s="64">
        <f t="shared" si="2"/>
        <v>204660.09492566399</v>
      </c>
      <c r="N10" s="90" t="s">
        <v>355</v>
      </c>
      <c r="O10" s="5"/>
      <c r="Q10" s="90" t="s">
        <v>355</v>
      </c>
      <c r="R10" s="1" t="str">
        <f t="shared" si="3"/>
        <v>Services</v>
      </c>
      <c r="S10" s="88">
        <f>Statement!T187</f>
        <v>24972</v>
      </c>
      <c r="T10" s="88">
        <f>Statement!U187</f>
        <v>26340</v>
      </c>
      <c r="U10" s="88">
        <f>Statement!V187</f>
        <v>26645</v>
      </c>
      <c r="V10" s="88">
        <f>Statement!W187</f>
        <v>27423</v>
      </c>
      <c r="W10" s="88">
        <f>Statement!X187</f>
        <v>28750</v>
      </c>
      <c r="X10" s="88">
        <f>Statement!Y187</f>
        <v>30013</v>
      </c>
      <c r="Y10" s="88">
        <f>Statement!Z187</f>
        <v>30976</v>
      </c>
      <c r="Z10" s="89">
        <f>Statement!AA187</f>
        <v>30739</v>
      </c>
      <c r="AA10" s="64">
        <f t="shared" si="7"/>
        <v>31353.78</v>
      </c>
      <c r="AB10" s="64"/>
      <c r="AC10" s="64"/>
      <c r="AE10" s="64">
        <f t="shared" si="4"/>
        <v>123081.78</v>
      </c>
    </row>
    <row r="11" spans="1:31" x14ac:dyDescent="0.2">
      <c r="B11" s="16" t="s">
        <v>118</v>
      </c>
      <c r="C11" s="92">
        <f>Statement!M5</f>
        <v>365817</v>
      </c>
      <c r="D11" s="92">
        <f>Statement!N5</f>
        <v>394328</v>
      </c>
      <c r="E11" s="92">
        <f>Statement!O5</f>
        <v>383285</v>
      </c>
      <c r="F11" s="92">
        <f>Statement!P5</f>
        <v>391035</v>
      </c>
      <c r="G11" s="93">
        <f>Statement!Q5</f>
        <v>416161</v>
      </c>
      <c r="H11" s="94">
        <f>SUM(H6:H10)</f>
        <v>472804.01999999996</v>
      </c>
      <c r="I11" s="94">
        <f t="shared" ref="I11:L11" si="8">SUM(I6:I10)</f>
        <v>508345.56839999999</v>
      </c>
      <c r="J11" s="94">
        <f t="shared" si="8"/>
        <v>541378.12058700004</v>
      </c>
      <c r="K11" s="94">
        <f t="shared" si="8"/>
        <v>577496.77266421507</v>
      </c>
      <c r="L11" s="94">
        <f t="shared" si="8"/>
        <v>615524.85273290111</v>
      </c>
      <c r="O11" s="5"/>
      <c r="R11" s="16" t="s">
        <v>118</v>
      </c>
      <c r="S11" s="92">
        <f>Statement!T5</f>
        <v>94930</v>
      </c>
      <c r="T11" s="92">
        <f>Statement!U5</f>
        <v>124300</v>
      </c>
      <c r="U11" s="92">
        <f>Statement!V5</f>
        <v>95359</v>
      </c>
      <c r="V11" s="92">
        <f>Statement!W5</f>
        <v>94036</v>
      </c>
      <c r="W11" s="92">
        <f>Statement!X5</f>
        <v>102466</v>
      </c>
      <c r="X11" s="92">
        <f>Statement!Y5</f>
        <v>143756</v>
      </c>
      <c r="Y11" s="92">
        <f>Statement!Z5</f>
        <v>111184</v>
      </c>
      <c r="Z11" s="93">
        <f>Statement!AA5</f>
        <v>109417</v>
      </c>
      <c r="AA11" s="94">
        <f>SUM(AA6:AA10)</f>
        <v>107450.76999999999</v>
      </c>
      <c r="AB11" s="94"/>
      <c r="AC11" s="94"/>
      <c r="AE11" s="94">
        <f>SUM(X11:AA11)</f>
        <v>471807.77</v>
      </c>
    </row>
    <row r="12" spans="1:31" x14ac:dyDescent="0.2">
      <c r="O12" s="5"/>
      <c r="Q12" s="91"/>
    </row>
    <row r="13" spans="1:31" x14ac:dyDescent="0.2">
      <c r="C13" s="252" t="s">
        <v>119</v>
      </c>
      <c r="D13" s="252"/>
      <c r="E13" s="252"/>
      <c r="F13" s="252"/>
      <c r="G13" s="252"/>
      <c r="H13" s="252"/>
      <c r="I13" s="252"/>
      <c r="J13" s="252"/>
      <c r="K13" s="252"/>
      <c r="L13" s="252"/>
      <c r="O13" s="5"/>
      <c r="Q13" s="91"/>
      <c r="S13" s="253" t="s">
        <v>119</v>
      </c>
      <c r="T13" s="254"/>
      <c r="U13" s="254"/>
      <c r="V13" s="254"/>
      <c r="W13" s="254"/>
      <c r="X13" s="254"/>
      <c r="Y13" s="254"/>
      <c r="Z13" s="254"/>
      <c r="AA13" s="254"/>
      <c r="AB13" s="254"/>
      <c r="AC13" s="254"/>
    </row>
    <row r="14" spans="1:31" x14ac:dyDescent="0.2">
      <c r="B14" s="16" t="s">
        <v>120</v>
      </c>
      <c r="C14" s="12">
        <f t="shared" ref="C14:L14" si="9">C5</f>
        <v>2021</v>
      </c>
      <c r="D14" s="12">
        <f t="shared" si="9"/>
        <v>2022</v>
      </c>
      <c r="E14" s="12">
        <f t="shared" si="9"/>
        <v>2023</v>
      </c>
      <c r="F14" s="12">
        <f t="shared" si="9"/>
        <v>2024</v>
      </c>
      <c r="G14" s="12">
        <f t="shared" si="9"/>
        <v>2025</v>
      </c>
      <c r="H14" s="12">
        <f t="shared" si="9"/>
        <v>2026</v>
      </c>
      <c r="I14" s="12">
        <f t="shared" si="9"/>
        <v>2027</v>
      </c>
      <c r="J14" s="12">
        <f t="shared" si="9"/>
        <v>2028</v>
      </c>
      <c r="K14" s="12">
        <f t="shared" si="9"/>
        <v>2029</v>
      </c>
      <c r="L14" s="12">
        <f t="shared" si="9"/>
        <v>2030</v>
      </c>
      <c r="O14" s="5"/>
      <c r="Q14" s="91"/>
      <c r="R14" s="16" t="s">
        <v>120</v>
      </c>
      <c r="S14" s="12" t="str">
        <f t="shared" ref="S14:AC14" si="10">S5</f>
        <v>Q4 2024</v>
      </c>
      <c r="T14" s="12" t="str">
        <f t="shared" si="10"/>
        <v>Q1 2025</v>
      </c>
      <c r="U14" s="12" t="str">
        <f t="shared" si="10"/>
        <v>Q2 2025</v>
      </c>
      <c r="V14" s="12" t="str">
        <f t="shared" si="10"/>
        <v>Q3 2025</v>
      </c>
      <c r="W14" s="12" t="str">
        <f t="shared" si="10"/>
        <v>Q4 2025</v>
      </c>
      <c r="X14" s="12" t="str">
        <f t="shared" si="10"/>
        <v>Q1 2026</v>
      </c>
      <c r="Y14" s="12" t="str">
        <f t="shared" si="10"/>
        <v>Q2 2026</v>
      </c>
      <c r="Z14" s="12" t="str">
        <f t="shared" si="10"/>
        <v>Q3 2026</v>
      </c>
      <c r="AA14" s="12" t="str">
        <f t="shared" si="10"/>
        <v>FQ1</v>
      </c>
      <c r="AB14" s="12" t="str">
        <f t="shared" si="10"/>
        <v>FQ2</v>
      </c>
      <c r="AC14" s="12" t="str">
        <f t="shared" si="10"/>
        <v>FQ3</v>
      </c>
    </row>
    <row r="15" spans="1:31" x14ac:dyDescent="0.2">
      <c r="B15" s="1" t="str">
        <f>B6</f>
        <v>iPhone</v>
      </c>
      <c r="C15" s="47"/>
      <c r="D15" s="95">
        <f t="shared" ref="D15:G15" si="11">D6/C6-1</f>
        <v>7.0405734139696641E-2</v>
      </c>
      <c r="E15" s="95">
        <f t="shared" si="11"/>
        <v>-2.3874757286278081E-2</v>
      </c>
      <c r="F15" s="95">
        <f t="shared" si="11"/>
        <v>2.9912804175826757E-3</v>
      </c>
      <c r="G15" s="96">
        <f t="shared" si="11"/>
        <v>4.1767942619406195E-2</v>
      </c>
      <c r="H15" s="97">
        <v>0.18</v>
      </c>
      <c r="I15" s="97">
        <v>7.0000000000000007E-2</v>
      </c>
      <c r="J15" s="97">
        <v>0.05</v>
      </c>
      <c r="K15" s="97">
        <v>0.04</v>
      </c>
      <c r="L15" s="97">
        <v>0.03</v>
      </c>
      <c r="O15" s="5"/>
      <c r="Q15" s="91"/>
      <c r="R15" s="1" t="str">
        <f>R6</f>
        <v>iPhone</v>
      </c>
      <c r="S15" s="47"/>
      <c r="T15" s="95">
        <f t="shared" ref="T15:Z16" si="12">T6/S6-1</f>
        <v>0.49578122971745064</v>
      </c>
      <c r="U15" s="95">
        <f t="shared" si="12"/>
        <v>-0.3224999276808701</v>
      </c>
      <c r="V15" s="95">
        <f t="shared" si="12"/>
        <v>-4.8226980636621786E-2</v>
      </c>
      <c r="W15" s="95">
        <f t="shared" si="12"/>
        <v>9.9659055224081472E-2</v>
      </c>
      <c r="X15" s="95">
        <f t="shared" si="12"/>
        <v>0.73929627740948489</v>
      </c>
      <c r="Y15" s="95">
        <f t="shared" si="12"/>
        <v>-0.33159764979066253</v>
      </c>
      <c r="Z15" s="96">
        <f t="shared" si="12"/>
        <v>-4.8110327402884567E-2</v>
      </c>
      <c r="AA15" s="97">
        <v>-0.05</v>
      </c>
      <c r="AB15" s="95"/>
      <c r="AC15" s="95"/>
    </row>
    <row r="16" spans="1:31" x14ac:dyDescent="0.2">
      <c r="B16" s="1" t="str">
        <f>B7</f>
        <v>Mac</v>
      </c>
      <c r="C16" s="47"/>
      <c r="D16" s="95">
        <f t="shared" ref="D16:G19" si="13">D7/C7-1</f>
        <v>0.14171639670360903</v>
      </c>
      <c r="E16" s="95">
        <f t="shared" si="13"/>
        <v>-0.26930831072504169</v>
      </c>
      <c r="F16" s="95">
        <f t="shared" si="13"/>
        <v>2.1357768164322E-2</v>
      </c>
      <c r="G16" s="96">
        <f t="shared" si="13"/>
        <v>0.12419957310565644</v>
      </c>
      <c r="H16" s="97">
        <v>0.11</v>
      </c>
      <c r="I16" s="97">
        <v>0.05</v>
      </c>
      <c r="J16" s="97">
        <v>7.0000000000000007E-2</v>
      </c>
      <c r="K16" s="97">
        <v>0.03</v>
      </c>
      <c r="L16" s="97">
        <v>0.09</v>
      </c>
      <c r="O16" s="5"/>
      <c r="Q16" s="91"/>
      <c r="R16" s="1" t="str">
        <f>R7</f>
        <v>Mac</v>
      </c>
      <c r="S16" s="47"/>
      <c r="T16" s="95">
        <f t="shared" si="12"/>
        <v>0.16051136363636354</v>
      </c>
      <c r="U16" s="95">
        <f t="shared" si="12"/>
        <v>-0.11550016690775566</v>
      </c>
      <c r="V16" s="95">
        <f t="shared" si="12"/>
        <v>1.2202792804126394E-2</v>
      </c>
      <c r="W16" s="95">
        <f t="shared" si="12"/>
        <v>8.4514044245587838E-2</v>
      </c>
      <c r="X16" s="95">
        <f t="shared" si="12"/>
        <v>-3.8964015585606249E-2</v>
      </c>
      <c r="Y16" s="95">
        <f t="shared" si="12"/>
        <v>1.5502027188170064E-3</v>
      </c>
      <c r="Z16" s="96">
        <f t="shared" si="12"/>
        <v>0.23252768186688888</v>
      </c>
      <c r="AA16" s="97">
        <v>0.01</v>
      </c>
      <c r="AB16" s="95"/>
      <c r="AC16" s="95"/>
    </row>
    <row r="17" spans="2:29" x14ac:dyDescent="0.2">
      <c r="B17" s="1" t="str">
        <f>B8</f>
        <v>iPad</v>
      </c>
      <c r="C17" s="47"/>
      <c r="D17" s="95">
        <f t="shared" ref="D17" si="14">D8/C8-1</f>
        <v>-8.0660347749670458E-2</v>
      </c>
      <c r="E17" s="95">
        <f t="shared" si="13"/>
        <v>-3.3865901952751631E-2</v>
      </c>
      <c r="F17" s="95">
        <f t="shared" si="13"/>
        <v>-5.674911660777382E-2</v>
      </c>
      <c r="G17" s="96">
        <f t="shared" si="13"/>
        <v>4.9786468869408962E-2</v>
      </c>
      <c r="H17" s="97">
        <v>0.03</v>
      </c>
      <c r="I17" s="97">
        <v>5.0000000000000001E-3</v>
      </c>
      <c r="J17" s="97">
        <v>5.0000000000000001E-3</v>
      </c>
      <c r="K17" s="97">
        <v>5.0000000000000001E-3</v>
      </c>
      <c r="L17" s="97">
        <v>5.0000000000000001E-3</v>
      </c>
      <c r="O17" s="5"/>
      <c r="Q17" s="91"/>
      <c r="R17" s="1" t="str">
        <f>R8</f>
        <v>iPad</v>
      </c>
      <c r="S17" s="47"/>
      <c r="T17" s="95">
        <f>T8/S8-1</f>
        <v>0.16374100719424467</v>
      </c>
      <c r="U17" s="95">
        <f t="shared" ref="U17:Z17" si="15">U8/T8-1</f>
        <v>-0.20845697329376855</v>
      </c>
      <c r="V17" s="95">
        <f t="shared" si="15"/>
        <v>2.7960012496095032E-2</v>
      </c>
      <c r="W17" s="95">
        <f t="shared" si="15"/>
        <v>5.6374411183710782E-2</v>
      </c>
      <c r="X17" s="95">
        <f t="shared" si="15"/>
        <v>0.2363348676639816</v>
      </c>
      <c r="Y17" s="95">
        <f t="shared" si="15"/>
        <v>-0.19557882489819667</v>
      </c>
      <c r="Z17" s="96">
        <f t="shared" si="15"/>
        <v>-0.10457043679490885</v>
      </c>
      <c r="AA17" s="97">
        <v>0.03</v>
      </c>
      <c r="AB17" s="95"/>
      <c r="AC17" s="95"/>
    </row>
    <row r="18" spans="2:29" x14ac:dyDescent="0.2">
      <c r="B18" s="1" t="str">
        <f t="shared" ref="B18:B19" si="16">B9</f>
        <v>Wearables, Home, Accessories</v>
      </c>
      <c r="C18" s="47"/>
      <c r="D18" s="95">
        <f t="shared" ref="D18:D19" si="17">D9/C9-1</f>
        <v>7.4908124169208001E-2</v>
      </c>
      <c r="E18" s="95">
        <f t="shared" si="13"/>
        <v>-3.3849809655439933E-2</v>
      </c>
      <c r="F18" s="95">
        <f t="shared" si="13"/>
        <v>-7.1276195256619435E-2</v>
      </c>
      <c r="G18" s="96">
        <f t="shared" si="13"/>
        <v>-3.5643831914606183E-2</v>
      </c>
      <c r="H18" s="97">
        <v>5.0000000000000001E-3</v>
      </c>
      <c r="I18" s="97">
        <v>5.0000000000000001E-3</v>
      </c>
      <c r="J18" s="97">
        <v>5.0000000000000001E-3</v>
      </c>
      <c r="K18" s="97">
        <v>5.0000000000000001E-3</v>
      </c>
      <c r="L18" s="97">
        <v>5.0000000000000001E-3</v>
      </c>
      <c r="O18" s="5"/>
      <c r="Q18" s="91"/>
      <c r="R18" s="1" t="str">
        <f t="shared" ref="R18:R19" si="18">R9</f>
        <v>Wearables, Home, Accessories</v>
      </c>
      <c r="S18" s="47"/>
      <c r="T18" s="95">
        <f t="shared" ref="T18:Z18" si="19">T9/S9-1</f>
        <v>0.2991594779915947</v>
      </c>
      <c r="U18" s="95">
        <f t="shared" si="19"/>
        <v>-0.35966629777815617</v>
      </c>
      <c r="V18" s="95">
        <f t="shared" si="19"/>
        <v>-1.5687317202871531E-2</v>
      </c>
      <c r="W18" s="95">
        <f t="shared" si="19"/>
        <v>0.21731496488384661</v>
      </c>
      <c r="X18" s="95">
        <f t="shared" si="19"/>
        <v>0.27515810495950288</v>
      </c>
      <c r="Y18" s="95">
        <f t="shared" si="19"/>
        <v>-0.31253806664926476</v>
      </c>
      <c r="Z18" s="96">
        <f t="shared" si="19"/>
        <v>-2.2781926338437675E-3</v>
      </c>
      <c r="AA18" s="97">
        <v>-0.02</v>
      </c>
      <c r="AB18" s="95"/>
      <c r="AC18" s="95"/>
    </row>
    <row r="19" spans="2:29" x14ac:dyDescent="0.2">
      <c r="B19" s="1" t="str">
        <f t="shared" si="16"/>
        <v>Services</v>
      </c>
      <c r="C19" s="47"/>
      <c r="D19" s="95">
        <f t="shared" si="17"/>
        <v>0.14181951041286078</v>
      </c>
      <c r="E19" s="95">
        <f t="shared" si="13"/>
        <v>7.7704821513138622E-2</v>
      </c>
      <c r="F19" s="95">
        <f t="shared" si="13"/>
        <v>0.14214964370546324</v>
      </c>
      <c r="G19" s="96">
        <f t="shared" si="13"/>
        <v>0.13506431386413498</v>
      </c>
      <c r="H19" s="97">
        <v>0.13</v>
      </c>
      <c r="I19" s="97">
        <v>0.13</v>
      </c>
      <c r="J19" s="97">
        <v>0.12</v>
      </c>
      <c r="K19" s="97">
        <v>0.15</v>
      </c>
      <c r="L19" s="97">
        <v>0.14000000000000001</v>
      </c>
      <c r="O19" s="5"/>
      <c r="Q19" s="91"/>
      <c r="R19" s="1" t="str">
        <f t="shared" si="18"/>
        <v>Services</v>
      </c>
      <c r="S19" s="47"/>
      <c r="T19" s="95">
        <f t="shared" ref="T19:Z19" si="20">T10/S10-1</f>
        <v>5.4781355117731856E-2</v>
      </c>
      <c r="U19" s="95">
        <f t="shared" si="20"/>
        <v>1.1579347000759244E-2</v>
      </c>
      <c r="V19" s="95">
        <f t="shared" si="20"/>
        <v>2.9198723963220097E-2</v>
      </c>
      <c r="W19" s="95">
        <f t="shared" si="20"/>
        <v>4.8390037559712606E-2</v>
      </c>
      <c r="X19" s="95">
        <f t="shared" si="20"/>
        <v>4.3930434782608607E-2</v>
      </c>
      <c r="Y19" s="95">
        <f t="shared" si="20"/>
        <v>3.2086096025055744E-2</v>
      </c>
      <c r="Z19" s="96">
        <f t="shared" si="20"/>
        <v>-7.6510847107438273E-3</v>
      </c>
      <c r="AA19" s="97">
        <v>0.02</v>
      </c>
      <c r="AB19" s="95"/>
      <c r="AC19" s="95"/>
    </row>
    <row r="20" spans="2:29" x14ac:dyDescent="0.2">
      <c r="B20" s="16" t="str">
        <f>B11</f>
        <v>Total</v>
      </c>
      <c r="C20" s="47"/>
      <c r="D20" s="103">
        <f t="shared" ref="D20:L20" si="21">D11/C11-1</f>
        <v>7.7937876041846099E-2</v>
      </c>
      <c r="E20" s="103">
        <f t="shared" si="21"/>
        <v>-2.800460530319937E-2</v>
      </c>
      <c r="F20" s="103">
        <f t="shared" si="21"/>
        <v>2.021994077514111E-2</v>
      </c>
      <c r="G20" s="104">
        <f t="shared" si="21"/>
        <v>6.425511782832749E-2</v>
      </c>
      <c r="H20" s="103">
        <f t="shared" si="21"/>
        <v>0.13610842918966459</v>
      </c>
      <c r="I20" s="103">
        <f t="shared" si="21"/>
        <v>7.5171840543995394E-2</v>
      </c>
      <c r="J20" s="103">
        <f t="shared" si="21"/>
        <v>6.4980505861335303E-2</v>
      </c>
      <c r="K20" s="103">
        <f t="shared" si="21"/>
        <v>6.671612816205541E-2</v>
      </c>
      <c r="L20" s="103">
        <f t="shared" si="21"/>
        <v>6.5849857295734893E-2</v>
      </c>
      <c r="O20" s="5"/>
      <c r="Q20" s="91"/>
      <c r="R20" s="16" t="str">
        <f>R11</f>
        <v>Total</v>
      </c>
      <c r="S20" s="47"/>
      <c r="T20" s="103">
        <f t="shared" ref="T20:AA20" si="22">T11/S11-1</f>
        <v>0.30938586326767092</v>
      </c>
      <c r="U20" s="103">
        <f t="shared" si="22"/>
        <v>-0.23283185840707965</v>
      </c>
      <c r="V20" s="103">
        <f t="shared" si="22"/>
        <v>-1.387388710032611E-2</v>
      </c>
      <c r="W20" s="103">
        <f t="shared" si="22"/>
        <v>8.9646518354672633E-2</v>
      </c>
      <c r="X20" s="103">
        <f t="shared" si="22"/>
        <v>0.40296293404641537</v>
      </c>
      <c r="Y20" s="103">
        <f t="shared" si="22"/>
        <v>-0.2265783689028632</v>
      </c>
      <c r="Z20" s="104">
        <f t="shared" si="22"/>
        <v>-1.5892574471146892E-2</v>
      </c>
      <c r="AA20" s="103">
        <f t="shared" si="22"/>
        <v>-1.7970059497153135E-2</v>
      </c>
      <c r="AB20" s="103"/>
      <c r="AC20" s="103"/>
    </row>
    <row r="21" spans="2:29" x14ac:dyDescent="0.2">
      <c r="O21" s="5"/>
      <c r="Q21" s="91"/>
    </row>
    <row r="22" spans="2:29" x14ac:dyDescent="0.2">
      <c r="O22" s="5"/>
      <c r="Q22" s="91"/>
    </row>
  </sheetData>
  <mergeCells count="8">
    <mergeCell ref="C13:L13"/>
    <mergeCell ref="S13:AC13"/>
    <mergeCell ref="C2:G2"/>
    <mergeCell ref="H2:L2"/>
    <mergeCell ref="S2:Z2"/>
    <mergeCell ref="AA2:AC2"/>
    <mergeCell ref="C4:L4"/>
    <mergeCell ref="S4:AC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B22"/>
  <sheetViews>
    <sheetView topLeftCell="A4" zoomScale="178" zoomScaleNormal="100" workbookViewId="0">
      <selection activeCell="Y12" sqref="Y12"/>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121</v>
      </c>
    </row>
    <row r="2" spans="1:28" x14ac:dyDescent="0.2">
      <c r="A2" s="4"/>
      <c r="C2" s="246" t="s">
        <v>110</v>
      </c>
      <c r="D2" s="246"/>
      <c r="E2" s="246"/>
      <c r="F2" s="246"/>
      <c r="G2" s="255"/>
      <c r="H2" s="256" t="s">
        <v>111</v>
      </c>
      <c r="I2" s="246"/>
      <c r="J2" s="246"/>
      <c r="K2" s="246"/>
      <c r="L2" s="246"/>
      <c r="P2" s="246" t="s">
        <v>110</v>
      </c>
      <c r="Q2" s="246"/>
      <c r="R2" s="246"/>
      <c r="S2" s="246"/>
      <c r="T2" s="246"/>
      <c r="U2" s="246"/>
      <c r="V2" s="246"/>
      <c r="W2" s="246"/>
      <c r="X2" s="246" t="s">
        <v>111</v>
      </c>
      <c r="Y2" s="246"/>
      <c r="Z2" s="246"/>
      <c r="AB2" s="85" t="s">
        <v>112</v>
      </c>
    </row>
    <row r="3" spans="1:28" ht="10" customHeight="1" x14ac:dyDescent="0.2"/>
    <row r="4" spans="1:28" ht="16" customHeight="1" x14ac:dyDescent="0.2">
      <c r="A4" s="86"/>
      <c r="B4" s="60"/>
      <c r="C4" s="252" t="s">
        <v>113</v>
      </c>
      <c r="D4" s="252"/>
      <c r="E4" s="252"/>
      <c r="F4" s="252"/>
      <c r="G4" s="252"/>
      <c r="H4" s="252"/>
      <c r="I4" s="252"/>
      <c r="J4" s="252"/>
      <c r="K4" s="252"/>
      <c r="L4" s="252"/>
      <c r="P4" s="254" t="s">
        <v>113</v>
      </c>
      <c r="Q4" s="254"/>
      <c r="R4" s="254"/>
      <c r="S4" s="254"/>
      <c r="T4" s="254"/>
      <c r="U4" s="254"/>
      <c r="V4" s="254"/>
      <c r="W4" s="254"/>
      <c r="X4" s="254"/>
      <c r="Y4" s="254"/>
      <c r="Z4" s="254"/>
      <c r="AB4" s="87"/>
    </row>
    <row r="5" spans="1:28" x14ac:dyDescent="0.2">
      <c r="B5" s="16" t="str">
        <f>Revenue!B5</f>
        <v>Revenues (thousand)</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O5" s="16" t="s">
        <v>114</v>
      </c>
      <c r="P5" s="12" t="str">
        <f>Revenue!S5</f>
        <v>Q4 2024</v>
      </c>
      <c r="Q5" s="12" t="str">
        <f>Revenue!T5</f>
        <v>Q1 2025</v>
      </c>
      <c r="R5" s="12" t="str">
        <f>Revenue!U5</f>
        <v>Q2 2025</v>
      </c>
      <c r="S5" s="12" t="str">
        <f>Revenue!V5</f>
        <v>Q3 2025</v>
      </c>
      <c r="T5" s="12" t="str">
        <f>Revenue!W5</f>
        <v>Q4 2025</v>
      </c>
      <c r="U5" s="12" t="str">
        <f>Revenue!X5</f>
        <v>Q1 2026</v>
      </c>
      <c r="V5" s="12" t="str">
        <f>Revenue!Y5</f>
        <v>Q2 2026</v>
      </c>
      <c r="W5" s="12" t="str">
        <f>Revenue!Z5</f>
        <v>Q3 2026</v>
      </c>
      <c r="X5" s="12" t="s">
        <v>115</v>
      </c>
      <c r="Y5" s="12" t="s">
        <v>116</v>
      </c>
      <c r="Z5" s="12" t="s">
        <v>117</v>
      </c>
      <c r="AB5" s="87" t="str">
        <f>Revenue!AE5</f>
        <v>FQ1</v>
      </c>
    </row>
    <row r="6" spans="1:28" x14ac:dyDescent="0.2">
      <c r="B6" s="16" t="s">
        <v>19</v>
      </c>
      <c r="C6" s="92">
        <f>Revenue!C11</f>
        <v>365817</v>
      </c>
      <c r="D6" s="92">
        <f>Revenue!D11</f>
        <v>394328</v>
      </c>
      <c r="E6" s="92">
        <f>Revenue!E11</f>
        <v>383285</v>
      </c>
      <c r="F6" s="92">
        <f>Revenue!F11</f>
        <v>391035</v>
      </c>
      <c r="G6" s="93">
        <f>Revenue!G11</f>
        <v>416161</v>
      </c>
      <c r="H6" s="92">
        <f>Revenue!H11</f>
        <v>472804.01999999996</v>
      </c>
      <c r="I6" s="92">
        <f>Revenue!I11</f>
        <v>508345.56839999999</v>
      </c>
      <c r="J6" s="92">
        <f>Revenue!J11</f>
        <v>541378.12058700004</v>
      </c>
      <c r="K6" s="92">
        <f>Revenue!K11</f>
        <v>577496.77266421507</v>
      </c>
      <c r="L6" s="92">
        <f>Revenue!L11</f>
        <v>615524.85273290111</v>
      </c>
      <c r="N6" s="91"/>
      <c r="O6" s="16" t="s">
        <v>19</v>
      </c>
      <c r="P6" s="92">
        <f>Revenue!S11</f>
        <v>94930</v>
      </c>
      <c r="Q6" s="92">
        <f>Revenue!T11</f>
        <v>124300</v>
      </c>
      <c r="R6" s="92">
        <f>Revenue!U11</f>
        <v>95359</v>
      </c>
      <c r="S6" s="92">
        <f>Revenue!V11</f>
        <v>94036</v>
      </c>
      <c r="T6" s="92">
        <f>Revenue!W11</f>
        <v>102466</v>
      </c>
      <c r="U6" s="92">
        <f>Revenue!X11</f>
        <v>143756</v>
      </c>
      <c r="V6" s="92">
        <f>Revenue!Y11</f>
        <v>111184</v>
      </c>
      <c r="W6" s="93">
        <f>Revenue!Z11</f>
        <v>109417</v>
      </c>
      <c r="X6" s="92">
        <f>Revenue!AA11</f>
        <v>107450.76999999999</v>
      </c>
      <c r="Y6" s="94"/>
      <c r="Z6" s="94"/>
      <c r="AB6" s="92">
        <f>Revenue!AE11</f>
        <v>471807.77</v>
      </c>
    </row>
    <row r="7" spans="1:28" x14ac:dyDescent="0.2">
      <c r="N7" s="91"/>
    </row>
    <row r="8" spans="1:28" x14ac:dyDescent="0.2">
      <c r="N8" s="91"/>
    </row>
    <row r="9" spans="1:28" x14ac:dyDescent="0.2">
      <c r="C9" s="252" t="s">
        <v>122</v>
      </c>
      <c r="D9" s="252"/>
      <c r="E9" s="252"/>
      <c r="F9" s="252"/>
      <c r="G9" s="252"/>
      <c r="H9" s="252"/>
      <c r="I9" s="252"/>
      <c r="J9" s="252"/>
      <c r="K9" s="252"/>
      <c r="L9" s="252"/>
      <c r="N9" s="91"/>
      <c r="P9" s="254" t="s">
        <v>123</v>
      </c>
      <c r="Q9" s="254"/>
      <c r="R9" s="254"/>
      <c r="S9" s="254"/>
      <c r="T9" s="254"/>
      <c r="U9" s="254"/>
      <c r="V9" s="254"/>
      <c r="W9" s="254"/>
      <c r="X9" s="254"/>
      <c r="Y9" s="254"/>
      <c r="Z9" s="254"/>
      <c r="AB9" s="87">
        <f>AB4</f>
        <v>0</v>
      </c>
    </row>
    <row r="10" spans="1:28" x14ac:dyDescent="0.2">
      <c r="B10" s="16" t="s">
        <v>127</v>
      </c>
      <c r="C10" s="12">
        <f t="shared" ref="C10:L10" si="1">C5</f>
        <v>2021</v>
      </c>
      <c r="D10" s="12">
        <f t="shared" si="1"/>
        <v>2022</v>
      </c>
      <c r="E10" s="12">
        <f t="shared" si="1"/>
        <v>2023</v>
      </c>
      <c r="F10" s="12">
        <f t="shared" si="1"/>
        <v>2024</v>
      </c>
      <c r="G10" s="12">
        <f t="shared" si="1"/>
        <v>2025</v>
      </c>
      <c r="H10" s="12">
        <f t="shared" si="1"/>
        <v>2026</v>
      </c>
      <c r="I10" s="12">
        <f t="shared" si="1"/>
        <v>2027</v>
      </c>
      <c r="J10" s="12">
        <f t="shared" si="1"/>
        <v>2028</v>
      </c>
      <c r="K10" s="12">
        <f t="shared" si="1"/>
        <v>2029</v>
      </c>
      <c r="L10" s="12">
        <f t="shared" si="1"/>
        <v>2030</v>
      </c>
      <c r="N10" s="91"/>
      <c r="O10" s="16" t="s">
        <v>124</v>
      </c>
      <c r="P10" s="12" t="str">
        <f t="shared" ref="P10:Z10" si="2">P5</f>
        <v>Q4 2024</v>
      </c>
      <c r="Q10" s="12" t="str">
        <f t="shared" si="2"/>
        <v>Q1 2025</v>
      </c>
      <c r="R10" s="12" t="str">
        <f t="shared" si="2"/>
        <v>Q2 2025</v>
      </c>
      <c r="S10" s="12" t="str">
        <f t="shared" si="2"/>
        <v>Q3 2025</v>
      </c>
      <c r="T10" s="12" t="str">
        <f t="shared" si="2"/>
        <v>Q4 2025</v>
      </c>
      <c r="U10" s="12" t="str">
        <f t="shared" si="2"/>
        <v>Q1 2026</v>
      </c>
      <c r="V10" s="12" t="str">
        <f t="shared" si="2"/>
        <v>Q2 2026</v>
      </c>
      <c r="W10" s="12" t="str">
        <f t="shared" si="2"/>
        <v>Q3 2026</v>
      </c>
      <c r="X10" s="12" t="str">
        <f t="shared" si="2"/>
        <v>FQ1</v>
      </c>
      <c r="Y10" s="12" t="str">
        <f t="shared" si="2"/>
        <v>FQ2</v>
      </c>
      <c r="Z10" s="12" t="str">
        <f t="shared" si="2"/>
        <v>FQ3</v>
      </c>
      <c r="AB10" s="8" t="str">
        <f>AB5</f>
        <v>FQ1</v>
      </c>
    </row>
    <row r="11" spans="1:28" x14ac:dyDescent="0.2">
      <c r="B11" s="16" t="s">
        <v>20</v>
      </c>
      <c r="C11" s="106">
        <f>Statement!M6</f>
        <v>212981</v>
      </c>
      <c r="D11" s="106">
        <f>Statement!N6</f>
        <v>223546</v>
      </c>
      <c r="E11" s="106">
        <f>Statement!O6</f>
        <v>214137</v>
      </c>
      <c r="F11" s="106">
        <f>Statement!P6</f>
        <v>210352</v>
      </c>
      <c r="G11" s="107">
        <f>Statement!Q6</f>
        <v>220960</v>
      </c>
      <c r="H11" s="108">
        <f>H6*H19</f>
        <v>249640.52255999998</v>
      </c>
      <c r="I11" s="108">
        <f>I6*I19</f>
        <v>266881.42340999999</v>
      </c>
      <c r="J11" s="108">
        <f>J6*J19</f>
        <v>282058.00082582701</v>
      </c>
      <c r="K11" s="108">
        <f>K6*K19</f>
        <v>300298.32178539183</v>
      </c>
      <c r="L11" s="108">
        <f>L6*L19</f>
        <v>316995.2991574441</v>
      </c>
      <c r="N11" s="91"/>
      <c r="O11" s="16" t="str">
        <f t="shared" ref="O11:O14" si="3">B11</f>
        <v>COGS</v>
      </c>
      <c r="P11" s="106">
        <f>Statement!T6</f>
        <v>51051</v>
      </c>
      <c r="Q11" s="106">
        <f>Statement!U6</f>
        <v>66025</v>
      </c>
      <c r="R11" s="106">
        <f>Statement!V6</f>
        <v>50492</v>
      </c>
      <c r="S11" s="106">
        <f>Statement!W6</f>
        <v>50318</v>
      </c>
      <c r="T11" s="106">
        <f>Statement!X6</f>
        <v>54125</v>
      </c>
      <c r="U11" s="106">
        <f>Statement!Y6</f>
        <v>74525</v>
      </c>
      <c r="V11" s="106">
        <f>Statement!Z6</f>
        <v>56403</v>
      </c>
      <c r="W11" s="107">
        <f>Statement!AA6</f>
        <v>54647</v>
      </c>
      <c r="X11" s="108">
        <f>X6*X19</f>
        <v>53725.384999999995</v>
      </c>
      <c r="Y11" s="108"/>
      <c r="Z11" s="108"/>
      <c r="AB11" s="108">
        <f t="shared" ref="AB11:AB14" si="4">SUM(U11:X11)</f>
        <v>239300.38500000001</v>
      </c>
    </row>
    <row r="12" spans="1:28" x14ac:dyDescent="0.2">
      <c r="B12" s="1" t="str">
        <f>Statement!B8</f>
        <v>R&amp;D</v>
      </c>
      <c r="C12" s="98">
        <f>Statement!M8</f>
        <v>21914</v>
      </c>
      <c r="D12" s="98">
        <f>Statement!N8</f>
        <v>26251</v>
      </c>
      <c r="E12" s="98">
        <f>Statement!O8</f>
        <v>29915</v>
      </c>
      <c r="F12" s="98">
        <f>Statement!P8</f>
        <v>31370</v>
      </c>
      <c r="G12" s="99">
        <f>Statement!Q8</f>
        <v>34550</v>
      </c>
      <c r="H12" s="24">
        <f>H6*H20</f>
        <v>41606.753759999992</v>
      </c>
      <c r="I12" s="24">
        <f>I6*I20</f>
        <v>46767.792292799997</v>
      </c>
      <c r="J12" s="24">
        <f>J6*J20</f>
        <v>51430.921455765005</v>
      </c>
      <c r="K12" s="24">
        <f>K6*K20</f>
        <v>57749.67726642151</v>
      </c>
      <c r="L12" s="24">
        <f>L6*L20</f>
        <v>61552.485273290113</v>
      </c>
      <c r="N12" s="91"/>
      <c r="O12" s="39" t="str">
        <f t="shared" si="3"/>
        <v>R&amp;D</v>
      </c>
      <c r="P12" s="98">
        <f>Statement!T8</f>
        <v>7765</v>
      </c>
      <c r="Q12" s="98">
        <f>Statement!U8</f>
        <v>8268</v>
      </c>
      <c r="R12" s="98">
        <f>Statement!V8</f>
        <v>8550</v>
      </c>
      <c r="S12" s="98">
        <f>Statement!W8</f>
        <v>8866</v>
      </c>
      <c r="T12" s="98">
        <f>Statement!X8</f>
        <v>8866</v>
      </c>
      <c r="U12" s="98">
        <f>Statement!Y8</f>
        <v>10887</v>
      </c>
      <c r="V12" s="98">
        <f>Statement!Z8</f>
        <v>11419</v>
      </c>
      <c r="W12" s="99">
        <f>Statement!AA8</f>
        <v>11729</v>
      </c>
      <c r="X12" s="25">
        <f>X20*X$6</f>
        <v>9670.5692999999992</v>
      </c>
      <c r="Y12" s="24"/>
      <c r="Z12" s="24"/>
      <c r="AB12" s="24">
        <f t="shared" si="4"/>
        <v>43705.569300000003</v>
      </c>
    </row>
    <row r="13" spans="1:28" x14ac:dyDescent="0.2">
      <c r="B13" s="1" t="str">
        <f>Statement!B9</f>
        <v>SG&amp;A</v>
      </c>
      <c r="C13" s="98">
        <f>Statement!M9</f>
        <v>21973</v>
      </c>
      <c r="D13" s="98">
        <f>Statement!N9</f>
        <v>25094</v>
      </c>
      <c r="E13" s="98">
        <f>Statement!O9</f>
        <v>24932</v>
      </c>
      <c r="F13" s="98">
        <f>Statement!P9</f>
        <v>26097</v>
      </c>
      <c r="G13" s="99">
        <f>Statement!Q9</f>
        <v>27601</v>
      </c>
      <c r="H13" s="24">
        <f>H6*H21</f>
        <v>32150.673360000001</v>
      </c>
      <c r="I13" s="24">
        <f>I6*I21</f>
        <v>34059.153082800003</v>
      </c>
      <c r="J13" s="24">
        <f>J6*J21</f>
        <v>37355.090320503004</v>
      </c>
      <c r="K13" s="24">
        <f>K6*K21</f>
        <v>40424.774086495061</v>
      </c>
      <c r="L13" s="24">
        <f>L6*L21</f>
        <v>41855.689985837278</v>
      </c>
      <c r="M13" s="90"/>
      <c r="N13" s="90"/>
      <c r="O13" s="39" t="str">
        <f t="shared" si="3"/>
        <v>SG&amp;A</v>
      </c>
      <c r="P13" s="98">
        <f>Statement!T9</f>
        <v>6523</v>
      </c>
      <c r="Q13" s="98">
        <f>Statement!U9</f>
        <v>7175</v>
      </c>
      <c r="R13" s="98">
        <f>Statement!V9</f>
        <v>6728</v>
      </c>
      <c r="S13" s="98">
        <f>Statement!W9</f>
        <v>6650</v>
      </c>
      <c r="T13" s="98">
        <f>Statement!X9</f>
        <v>7048</v>
      </c>
      <c r="U13" s="98">
        <f>Statement!Y9</f>
        <v>7492</v>
      </c>
      <c r="V13" s="98">
        <f>Statement!Z9</f>
        <v>7477</v>
      </c>
      <c r="W13" s="99">
        <f>Statement!AA9</f>
        <v>7346</v>
      </c>
      <c r="X13" s="25">
        <f>X21*X$6</f>
        <v>7521.5538999999999</v>
      </c>
      <c r="Y13" s="24"/>
      <c r="Z13" s="24"/>
      <c r="AB13" s="24">
        <f t="shared" si="4"/>
        <v>29836.553899999999</v>
      </c>
    </row>
    <row r="14" spans="1:28" x14ac:dyDescent="0.2">
      <c r="B14" s="16" t="s">
        <v>23</v>
      </c>
      <c r="C14" s="106">
        <f>Statement!M10</f>
        <v>43887</v>
      </c>
      <c r="D14" s="106">
        <f>Statement!N10</f>
        <v>51345</v>
      </c>
      <c r="E14" s="106">
        <f>Statement!O10</f>
        <v>54847</v>
      </c>
      <c r="F14" s="106">
        <f>Statement!P10</f>
        <v>57467</v>
      </c>
      <c r="G14" s="107">
        <f>Statement!Q10</f>
        <v>62151</v>
      </c>
      <c r="H14" s="108">
        <f>SUM(H12:H13)</f>
        <v>73757.427119999993</v>
      </c>
      <c r="I14" s="108">
        <f>SUM(I12:I13)</f>
        <v>80826.9453756</v>
      </c>
      <c r="J14" s="108">
        <f>SUM(J12:J13)</f>
        <v>88786.011776268017</v>
      </c>
      <c r="K14" s="108">
        <f>SUM(K12:K13)</f>
        <v>98174.451352916571</v>
      </c>
      <c r="L14" s="108">
        <f>SUM(L12:L13)</f>
        <v>103408.1752591274</v>
      </c>
      <c r="M14" s="90"/>
      <c r="N14" s="90"/>
      <c r="O14" s="16" t="str">
        <f t="shared" si="3"/>
        <v>OpEx</v>
      </c>
      <c r="P14" s="106">
        <f>Statement!T10</f>
        <v>14288</v>
      </c>
      <c r="Q14" s="106">
        <f>Statement!U10</f>
        <v>15443</v>
      </c>
      <c r="R14" s="106">
        <f>Statement!V10</f>
        <v>15278</v>
      </c>
      <c r="S14" s="106">
        <f>Statement!W10</f>
        <v>15516</v>
      </c>
      <c r="T14" s="106">
        <f>Statement!X10</f>
        <v>15914</v>
      </c>
      <c r="U14" s="106">
        <f>Statement!Y10</f>
        <v>18379</v>
      </c>
      <c r="V14" s="106">
        <f>Statement!Z10</f>
        <v>18896</v>
      </c>
      <c r="W14" s="107">
        <f>Statement!AA10</f>
        <v>19075</v>
      </c>
      <c r="X14" s="108">
        <f>SUM(X12:X13)</f>
        <v>17192.123199999998</v>
      </c>
      <c r="Y14" s="108"/>
      <c r="Z14" s="108"/>
      <c r="AB14" s="108">
        <f t="shared" si="4"/>
        <v>73542.123200000002</v>
      </c>
    </row>
    <row r="17" spans="2:26" x14ac:dyDescent="0.2">
      <c r="C17" s="252" t="s">
        <v>125</v>
      </c>
      <c r="D17" s="252"/>
      <c r="E17" s="252"/>
      <c r="F17" s="252"/>
      <c r="G17" s="252"/>
      <c r="H17" s="252"/>
      <c r="I17" s="252"/>
      <c r="J17" s="252"/>
      <c r="K17" s="252"/>
      <c r="L17" s="252"/>
      <c r="P17" s="254" t="s">
        <v>125</v>
      </c>
      <c r="Q17" s="254"/>
      <c r="R17" s="254"/>
      <c r="S17" s="254"/>
      <c r="T17" s="254"/>
      <c r="U17" s="254"/>
      <c r="V17" s="254"/>
      <c r="W17" s="254"/>
      <c r="X17" s="254"/>
      <c r="Y17" s="254"/>
      <c r="Z17" s="254"/>
    </row>
    <row r="18" spans="2:26" x14ac:dyDescent="0.2">
      <c r="B18" s="16" t="s">
        <v>126</v>
      </c>
      <c r="C18" s="12">
        <f t="shared" ref="C18:L18" si="5">C5</f>
        <v>2021</v>
      </c>
      <c r="D18" s="12">
        <f t="shared" si="5"/>
        <v>2022</v>
      </c>
      <c r="E18" s="12">
        <f t="shared" si="5"/>
        <v>2023</v>
      </c>
      <c r="F18" s="12">
        <f t="shared" si="5"/>
        <v>2024</v>
      </c>
      <c r="G18" s="12">
        <f t="shared" si="5"/>
        <v>2025</v>
      </c>
      <c r="H18" s="12">
        <f t="shared" si="5"/>
        <v>2026</v>
      </c>
      <c r="I18" s="12">
        <f t="shared" si="5"/>
        <v>2027</v>
      </c>
      <c r="J18" s="12">
        <f t="shared" si="5"/>
        <v>2028</v>
      </c>
      <c r="K18" s="12">
        <f t="shared" si="5"/>
        <v>2029</v>
      </c>
      <c r="L18" s="12">
        <f t="shared" si="5"/>
        <v>2030</v>
      </c>
      <c r="O18" s="16" t="s">
        <v>126</v>
      </c>
      <c r="P18" s="12" t="str">
        <f t="shared" ref="P18:Z18" si="6">P5</f>
        <v>Q4 2024</v>
      </c>
      <c r="Q18" s="12" t="str">
        <f t="shared" si="6"/>
        <v>Q1 2025</v>
      </c>
      <c r="R18" s="12" t="str">
        <f t="shared" si="6"/>
        <v>Q2 2025</v>
      </c>
      <c r="S18" s="12" t="str">
        <f t="shared" si="6"/>
        <v>Q3 2025</v>
      </c>
      <c r="T18" s="12" t="str">
        <f t="shared" si="6"/>
        <v>Q4 2025</v>
      </c>
      <c r="U18" s="12" t="str">
        <f t="shared" si="6"/>
        <v>Q1 2026</v>
      </c>
      <c r="V18" s="12" t="str">
        <f t="shared" si="6"/>
        <v>Q2 2026</v>
      </c>
      <c r="W18" s="12" t="str">
        <f t="shared" si="6"/>
        <v>Q3 2026</v>
      </c>
      <c r="X18" s="12" t="str">
        <f t="shared" si="6"/>
        <v>FQ1</v>
      </c>
      <c r="Y18" s="12" t="str">
        <f t="shared" si="6"/>
        <v>FQ2</v>
      </c>
      <c r="Z18" s="12" t="str">
        <f t="shared" si="6"/>
        <v>FQ3</v>
      </c>
    </row>
    <row r="19" spans="2:26" x14ac:dyDescent="0.2">
      <c r="B19" s="16" t="str">
        <f>B11</f>
        <v>COGS</v>
      </c>
      <c r="C19" s="103">
        <f t="shared" ref="C19:G21" si="7">C11/C$6</f>
        <v>0.58220640374832222</v>
      </c>
      <c r="D19" s="103">
        <f t="shared" si="7"/>
        <v>0.56690369438639909</v>
      </c>
      <c r="E19" s="103">
        <f t="shared" si="7"/>
        <v>0.55868870422792438</v>
      </c>
      <c r="F19" s="103">
        <f t="shared" si="7"/>
        <v>0.53793650184766073</v>
      </c>
      <c r="G19" s="104">
        <f t="shared" si="7"/>
        <v>0.53094835892839554</v>
      </c>
      <c r="H19" s="97">
        <v>0.52800000000000002</v>
      </c>
      <c r="I19" s="97">
        <v>0.52500000000000002</v>
      </c>
      <c r="J19" s="97">
        <v>0.52100000000000002</v>
      </c>
      <c r="K19" s="97">
        <v>0.52</v>
      </c>
      <c r="L19" s="97">
        <v>0.51500000000000001</v>
      </c>
      <c r="O19" s="16" t="str">
        <f>O11</f>
        <v>COGS</v>
      </c>
      <c r="P19" s="103">
        <f t="shared" ref="P19:W21" si="8">P11/P$6</f>
        <v>0.53777520278099655</v>
      </c>
      <c r="Q19" s="103">
        <f t="shared" si="8"/>
        <v>0.53117457763475462</v>
      </c>
      <c r="R19" s="103">
        <f t="shared" si="8"/>
        <v>0.52949380761123754</v>
      </c>
      <c r="S19" s="103">
        <f t="shared" si="8"/>
        <v>0.53509294312816369</v>
      </c>
      <c r="T19" s="103">
        <f t="shared" si="8"/>
        <v>0.52822399625241545</v>
      </c>
      <c r="U19" s="103">
        <f t="shared" si="8"/>
        <v>0.51841314449483844</v>
      </c>
      <c r="V19" s="103">
        <f t="shared" si="8"/>
        <v>0.5072942149949633</v>
      </c>
      <c r="W19" s="104">
        <f t="shared" si="8"/>
        <v>0.49943793012054799</v>
      </c>
      <c r="X19" s="97">
        <v>0.5</v>
      </c>
      <c r="Y19" s="97"/>
      <c r="Z19" s="97"/>
    </row>
    <row r="20" spans="2:26" x14ac:dyDescent="0.2">
      <c r="B20" s="1" t="str">
        <f>B12</f>
        <v>R&amp;D</v>
      </c>
      <c r="C20" s="95">
        <f t="shared" si="7"/>
        <v>5.9904269074427925E-2</v>
      </c>
      <c r="D20" s="95">
        <f t="shared" si="7"/>
        <v>6.657148363798665E-2</v>
      </c>
      <c r="E20" s="95">
        <f t="shared" si="7"/>
        <v>7.8048971392045086E-2</v>
      </c>
      <c r="F20" s="95">
        <f t="shared" si="7"/>
        <v>8.0222997941360744E-2</v>
      </c>
      <c r="G20" s="96">
        <f t="shared" si="7"/>
        <v>8.3020753987038676E-2</v>
      </c>
      <c r="H20" s="97">
        <v>8.7999999999999995E-2</v>
      </c>
      <c r="I20" s="97">
        <v>9.1999999999999998E-2</v>
      </c>
      <c r="J20" s="97">
        <v>9.5000000000000001E-2</v>
      </c>
      <c r="K20" s="97">
        <v>0.1</v>
      </c>
      <c r="L20" s="97">
        <v>0.1</v>
      </c>
      <c r="O20" s="1" t="str">
        <f>O12</f>
        <v>R&amp;D</v>
      </c>
      <c r="P20" s="95">
        <f t="shared" si="8"/>
        <v>8.1797113662698831E-2</v>
      </c>
      <c r="Q20" s="95">
        <f t="shared" si="8"/>
        <v>6.6516492357200321E-2</v>
      </c>
      <c r="R20" s="95">
        <f t="shared" si="8"/>
        <v>8.9661175138162102E-2</v>
      </c>
      <c r="S20" s="95">
        <f t="shared" si="8"/>
        <v>9.4283040537666424E-2</v>
      </c>
      <c r="T20" s="95">
        <f t="shared" si="8"/>
        <v>8.6526262369956863E-2</v>
      </c>
      <c r="U20" s="95">
        <f t="shared" si="8"/>
        <v>7.5732491165586127E-2</v>
      </c>
      <c r="V20" s="95">
        <f t="shared" si="8"/>
        <v>0.10270362642106778</v>
      </c>
      <c r="W20" s="96">
        <f t="shared" si="8"/>
        <v>0.107195408391749</v>
      </c>
      <c r="X20" s="97">
        <v>0.09</v>
      </c>
      <c r="Y20" s="97"/>
      <c r="Z20" s="97"/>
    </row>
    <row r="21" spans="2:26" x14ac:dyDescent="0.2">
      <c r="B21" s="1" t="str">
        <f>B13</f>
        <v>SG&amp;A</v>
      </c>
      <c r="C21" s="95">
        <f t="shared" si="7"/>
        <v>6.006555190163388E-2</v>
      </c>
      <c r="D21" s="95">
        <f t="shared" si="7"/>
        <v>6.3637378020328261E-2</v>
      </c>
      <c r="E21" s="95">
        <f t="shared" si="7"/>
        <v>6.5048201729783317E-2</v>
      </c>
      <c r="F21" s="95">
        <f t="shared" si="7"/>
        <v>6.6738271510222866E-2</v>
      </c>
      <c r="G21" s="96">
        <f t="shared" si="7"/>
        <v>6.6322889458647019E-2</v>
      </c>
      <c r="H21" s="97">
        <v>6.8000000000000005E-2</v>
      </c>
      <c r="I21" s="97">
        <v>6.7000000000000004E-2</v>
      </c>
      <c r="J21" s="97">
        <v>6.9000000000000006E-2</v>
      </c>
      <c r="K21" s="97">
        <v>7.0000000000000007E-2</v>
      </c>
      <c r="L21" s="97">
        <v>6.8000000000000005E-2</v>
      </c>
      <c r="O21" s="1" t="str">
        <f>O13</f>
        <v>SG&amp;A</v>
      </c>
      <c r="P21" s="95">
        <f t="shared" si="8"/>
        <v>6.8713789107763615E-2</v>
      </c>
      <c r="Q21" s="95">
        <f t="shared" si="8"/>
        <v>5.7723250201126307E-2</v>
      </c>
      <c r="R21" s="95">
        <f t="shared" si="8"/>
        <v>7.0554431149655511E-2</v>
      </c>
      <c r="S21" s="95">
        <f t="shared" si="8"/>
        <v>7.0717597515844999E-2</v>
      </c>
      <c r="T21" s="95">
        <f t="shared" si="8"/>
        <v>6.8783791696757954E-2</v>
      </c>
      <c r="U21" s="95">
        <f t="shared" si="8"/>
        <v>5.2116085589471048E-2</v>
      </c>
      <c r="V21" s="95">
        <f t="shared" si="8"/>
        <v>6.7248884731616054E-2</v>
      </c>
      <c r="W21" s="96">
        <f t="shared" si="8"/>
        <v>6.7137647714706122E-2</v>
      </c>
      <c r="X21" s="97">
        <v>7.0000000000000007E-2</v>
      </c>
      <c r="Y21" s="97"/>
      <c r="Z21" s="97"/>
    </row>
    <row r="22" spans="2:26" x14ac:dyDescent="0.2">
      <c r="B22" s="16" t="str">
        <f t="shared" ref="B22" si="9">B14</f>
        <v>OpEx</v>
      </c>
      <c r="C22" s="103">
        <f>C14/C$6</f>
        <v>0.11996982097606181</v>
      </c>
      <c r="D22" s="103">
        <f t="shared" ref="D22:L22" si="10">D14/D$6</f>
        <v>0.13020886165831491</v>
      </c>
      <c r="E22" s="103">
        <f t="shared" si="10"/>
        <v>0.1430971731218284</v>
      </c>
      <c r="F22" s="103">
        <f t="shared" si="10"/>
        <v>0.14696126945158361</v>
      </c>
      <c r="G22" s="104">
        <f t="shared" si="10"/>
        <v>0.14934364344568568</v>
      </c>
      <c r="H22" s="103">
        <f t="shared" si="10"/>
        <v>0.156</v>
      </c>
      <c r="I22" s="103">
        <f t="shared" si="10"/>
        <v>0.159</v>
      </c>
      <c r="J22" s="103">
        <f t="shared" si="10"/>
        <v>0.16400000000000001</v>
      </c>
      <c r="K22" s="103">
        <f t="shared" si="10"/>
        <v>0.17</v>
      </c>
      <c r="L22" s="103">
        <f t="shared" si="10"/>
        <v>0.16800000000000001</v>
      </c>
      <c r="O22" s="16" t="str">
        <f t="shared" ref="O22" si="11">O14</f>
        <v>OpEx</v>
      </c>
      <c r="P22" s="103">
        <f t="shared" ref="P22:V22" si="12">P14/P$6</f>
        <v>0.15051090277046245</v>
      </c>
      <c r="Q22" s="103">
        <f t="shared" si="12"/>
        <v>0.12423974255832664</v>
      </c>
      <c r="R22" s="103">
        <f t="shared" si="12"/>
        <v>0.16021560628781761</v>
      </c>
      <c r="S22" s="103">
        <f t="shared" si="12"/>
        <v>0.16500063805351142</v>
      </c>
      <c r="T22" s="103">
        <f t="shared" si="12"/>
        <v>0.1553100540667148</v>
      </c>
      <c r="U22" s="103">
        <f t="shared" si="12"/>
        <v>0.12784857675505718</v>
      </c>
      <c r="V22" s="103">
        <f t="shared" si="12"/>
        <v>0.16995251115268384</v>
      </c>
      <c r="W22" s="104">
        <f t="shared" ref="W22:X22" si="13">W14/W$6</f>
        <v>0.17433305610645511</v>
      </c>
      <c r="X22" s="103">
        <f t="shared" si="13"/>
        <v>0.16</v>
      </c>
      <c r="Y22" s="16"/>
      <c r="Z22" s="16"/>
    </row>
  </sheetData>
  <mergeCells count="10">
    <mergeCell ref="C9:L9"/>
    <mergeCell ref="P9:Z9"/>
    <mergeCell ref="C17:L17"/>
    <mergeCell ref="P17:Z17"/>
    <mergeCell ref="C2:G2"/>
    <mergeCell ref="H2:L2"/>
    <mergeCell ref="P2:W2"/>
    <mergeCell ref="X2:Z2"/>
    <mergeCell ref="C4:L4"/>
    <mergeCell ref="P4:Z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A37" zoomScale="189" zoomScaleNormal="100" workbookViewId="0">
      <selection activeCell="F44" sqref="F44"/>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128</v>
      </c>
    </row>
    <row r="2" spans="1:28" s="83" customFormat="1" ht="18" customHeight="1" x14ac:dyDescent="0.2">
      <c r="A2" s="4"/>
      <c r="B2" s="82"/>
    </row>
    <row r="3" spans="1:28" x14ac:dyDescent="0.2">
      <c r="A3" s="4"/>
      <c r="C3" s="246" t="s">
        <v>110</v>
      </c>
      <c r="D3" s="246"/>
      <c r="E3" s="246"/>
      <c r="F3" s="246"/>
      <c r="G3" s="255"/>
      <c r="H3" s="256" t="s">
        <v>111</v>
      </c>
      <c r="I3" s="246"/>
      <c r="J3" s="246"/>
      <c r="K3" s="246"/>
      <c r="L3" s="246"/>
      <c r="P3" s="257"/>
      <c r="Q3" s="257"/>
      <c r="R3" s="257"/>
      <c r="S3" s="257"/>
      <c r="T3" s="257"/>
      <c r="U3" s="257"/>
      <c r="V3" s="257"/>
      <c r="W3" s="257"/>
      <c r="X3" s="257"/>
      <c r="Y3" s="257"/>
      <c r="Z3" s="257"/>
      <c r="AB3" s="109"/>
    </row>
    <row r="4" spans="1:28" ht="10" customHeight="1" x14ac:dyDescent="0.2"/>
    <row r="5" spans="1:28" ht="16" customHeight="1" x14ac:dyDescent="0.2">
      <c r="A5" s="86"/>
      <c r="B5" s="60"/>
      <c r="C5" s="252" t="s">
        <v>113</v>
      </c>
      <c r="D5" s="252"/>
      <c r="E5" s="252"/>
      <c r="F5" s="252"/>
      <c r="G5" s="252"/>
      <c r="H5" s="252"/>
      <c r="I5" s="252"/>
      <c r="J5" s="252"/>
      <c r="K5" s="252"/>
      <c r="L5" s="252"/>
      <c r="P5" s="257"/>
      <c r="Q5" s="257"/>
      <c r="R5" s="257"/>
      <c r="S5" s="257"/>
      <c r="T5" s="257"/>
      <c r="U5" s="257"/>
      <c r="V5" s="257"/>
      <c r="W5" s="257"/>
      <c r="X5" s="257"/>
      <c r="Y5" s="257"/>
      <c r="Z5" s="257"/>
      <c r="AB5" s="110"/>
    </row>
    <row r="6" spans="1:28" x14ac:dyDescent="0.2">
      <c r="B6" s="16" t="s">
        <v>114</v>
      </c>
      <c r="C6" s="12">
        <f>Revenue!C5</f>
        <v>2021</v>
      </c>
      <c r="D6" s="12">
        <f>Revenue!D5</f>
        <v>2022</v>
      </c>
      <c r="E6" s="12">
        <f>Revenue!E5</f>
        <v>2023</v>
      </c>
      <c r="F6" s="12">
        <f>Revenue!F5</f>
        <v>2024</v>
      </c>
      <c r="G6" s="12">
        <f>Revenue!G5</f>
        <v>2025</v>
      </c>
      <c r="H6" s="12">
        <f>G6+1</f>
        <v>2026</v>
      </c>
      <c r="I6" s="12">
        <f t="shared" ref="I6:L6" si="0">H6+1</f>
        <v>2027</v>
      </c>
      <c r="J6" s="12">
        <f t="shared" si="0"/>
        <v>2028</v>
      </c>
      <c r="K6" s="12">
        <f t="shared" si="0"/>
        <v>2029</v>
      </c>
      <c r="L6" s="12">
        <f t="shared" si="0"/>
        <v>2030</v>
      </c>
      <c r="O6" s="16"/>
      <c r="P6" s="111"/>
      <c r="Q6" s="111"/>
      <c r="R6" s="111"/>
      <c r="S6" s="111"/>
      <c r="T6" s="111"/>
      <c r="U6" s="111"/>
      <c r="V6" s="111"/>
      <c r="W6" s="111"/>
      <c r="X6" s="111"/>
      <c r="Y6" s="111"/>
      <c r="Z6" s="111"/>
      <c r="AB6" s="110"/>
    </row>
    <row r="7" spans="1:28" x14ac:dyDescent="0.2">
      <c r="B7" s="16" t="s">
        <v>19</v>
      </c>
      <c r="C7" s="92">
        <f>Revenue!C11</f>
        <v>365817</v>
      </c>
      <c r="D7" s="92">
        <f>Revenue!D11</f>
        <v>394328</v>
      </c>
      <c r="E7" s="92">
        <f>Revenue!E11</f>
        <v>383285</v>
      </c>
      <c r="F7" s="92">
        <f>Revenue!F11</f>
        <v>391035</v>
      </c>
      <c r="G7" s="93">
        <f>Revenue!G11</f>
        <v>416161</v>
      </c>
      <c r="H7" s="92">
        <f>Revenue!H11</f>
        <v>472804.01999999996</v>
      </c>
      <c r="I7" s="92">
        <f>Revenue!I11</f>
        <v>508345.56839999999</v>
      </c>
      <c r="J7" s="92">
        <f>Revenue!J11</f>
        <v>541378.12058700004</v>
      </c>
      <c r="K7" s="92">
        <f>Revenue!K11</f>
        <v>577496.77266421507</v>
      </c>
      <c r="L7" s="92">
        <f>Revenue!L11</f>
        <v>615524.85273290111</v>
      </c>
      <c r="N7" s="91"/>
      <c r="O7" s="16"/>
      <c r="P7" s="92"/>
      <c r="Q7" s="92"/>
      <c r="R7" s="92"/>
      <c r="S7" s="92"/>
      <c r="T7" s="92"/>
      <c r="U7" s="92"/>
      <c r="V7" s="92"/>
      <c r="W7" s="92"/>
      <c r="X7" s="94"/>
      <c r="Y7" s="94"/>
      <c r="Z7" s="94"/>
      <c r="AB7" s="94"/>
    </row>
    <row r="8" spans="1:28" x14ac:dyDescent="0.2">
      <c r="B8" s="39" t="s">
        <v>20</v>
      </c>
      <c r="C8" s="112">
        <f>'COGS &amp; OpEx'!C11</f>
        <v>212981</v>
      </c>
      <c r="D8" s="112">
        <f>'COGS &amp; OpEx'!D11</f>
        <v>223546</v>
      </c>
      <c r="E8" s="112">
        <f>'COGS &amp; OpEx'!E11</f>
        <v>214137</v>
      </c>
      <c r="F8" s="112">
        <f>'COGS &amp; OpEx'!F11</f>
        <v>210352</v>
      </c>
      <c r="G8" s="113">
        <f>'COGS &amp; OpEx'!G11</f>
        <v>220960</v>
      </c>
      <c r="H8" s="112">
        <f>'COGS &amp; OpEx'!H11</f>
        <v>249640.52255999998</v>
      </c>
      <c r="I8" s="112">
        <f>'COGS &amp; OpEx'!I11</f>
        <v>266881.42340999999</v>
      </c>
      <c r="J8" s="112">
        <f>'COGS &amp; OpEx'!J11</f>
        <v>282058.00082582701</v>
      </c>
      <c r="K8" s="112">
        <f>'COGS &amp; OpEx'!K11</f>
        <v>300298.32178539183</v>
      </c>
      <c r="L8" s="112">
        <f>'COGS &amp; OpEx'!L11</f>
        <v>316995.2991574441</v>
      </c>
      <c r="N8" s="91"/>
      <c r="O8" s="16"/>
      <c r="P8" s="92"/>
      <c r="Q8" s="92"/>
      <c r="R8" s="92"/>
      <c r="S8" s="92"/>
      <c r="T8" s="92"/>
      <c r="U8" s="92"/>
      <c r="V8" s="92"/>
      <c r="W8" s="92"/>
      <c r="X8" s="94"/>
      <c r="Y8" s="94"/>
      <c r="Z8" s="94"/>
      <c r="AB8" s="94"/>
    </row>
    <row r="9" spans="1:28" x14ac:dyDescent="0.2">
      <c r="N9" s="91"/>
    </row>
    <row r="10" spans="1:28" x14ac:dyDescent="0.2">
      <c r="N10" s="91"/>
    </row>
    <row r="11" spans="1:28" x14ac:dyDescent="0.2">
      <c r="C11" s="252" t="s">
        <v>129</v>
      </c>
      <c r="D11" s="252"/>
      <c r="E11" s="252"/>
      <c r="F11" s="252"/>
      <c r="G11" s="252"/>
      <c r="H11" s="252"/>
      <c r="I11" s="252"/>
      <c r="J11" s="252"/>
      <c r="K11" s="252"/>
      <c r="L11" s="252"/>
      <c r="N11" s="91"/>
      <c r="P11" s="257"/>
      <c r="Q11" s="257"/>
      <c r="R11" s="257"/>
      <c r="S11" s="257"/>
      <c r="T11" s="257"/>
      <c r="U11" s="257"/>
      <c r="V11" s="257"/>
      <c r="W11" s="257"/>
      <c r="X11" s="257"/>
      <c r="Y11" s="257"/>
      <c r="Z11" s="257"/>
      <c r="AB11" s="110"/>
    </row>
    <row r="12" spans="1:28" x14ac:dyDescent="0.2">
      <c r="B12" s="16" t="s">
        <v>130</v>
      </c>
      <c r="C12" s="12">
        <f t="shared" ref="C12:L12" si="1">C6</f>
        <v>2021</v>
      </c>
      <c r="D12" s="12">
        <f t="shared" si="1"/>
        <v>2022</v>
      </c>
      <c r="E12" s="12">
        <f t="shared" si="1"/>
        <v>2023</v>
      </c>
      <c r="F12" s="12">
        <f t="shared" si="1"/>
        <v>2024</v>
      </c>
      <c r="G12" s="12">
        <f t="shared" si="1"/>
        <v>2025</v>
      </c>
      <c r="H12" s="12">
        <f t="shared" si="1"/>
        <v>2026</v>
      </c>
      <c r="I12" s="12">
        <f t="shared" si="1"/>
        <v>2027</v>
      </c>
      <c r="J12" s="12">
        <f t="shared" si="1"/>
        <v>2028</v>
      </c>
      <c r="K12" s="12">
        <f t="shared" si="1"/>
        <v>2029</v>
      </c>
      <c r="L12" s="12">
        <f t="shared" si="1"/>
        <v>2030</v>
      </c>
      <c r="N12" s="91"/>
      <c r="O12" s="16"/>
      <c r="P12" s="111"/>
      <c r="Q12" s="111"/>
      <c r="R12" s="111"/>
      <c r="S12" s="111"/>
      <c r="T12" s="111"/>
      <c r="U12" s="111"/>
      <c r="V12" s="111"/>
      <c r="W12" s="111"/>
      <c r="X12" s="111"/>
      <c r="Y12" s="111"/>
      <c r="Z12" s="111"/>
      <c r="AB12" s="110"/>
    </row>
    <row r="13" spans="1:28" x14ac:dyDescent="0.2">
      <c r="B13" s="39" t="s">
        <v>131</v>
      </c>
      <c r="C13" s="114">
        <f>Statement!M29</f>
        <v>26278</v>
      </c>
      <c r="D13" s="114">
        <f>Statement!N29</f>
        <v>28184</v>
      </c>
      <c r="E13" s="114">
        <f>Statement!O29</f>
        <v>29508</v>
      </c>
      <c r="F13" s="114">
        <f>Statement!P29</f>
        <v>33410</v>
      </c>
      <c r="G13" s="115">
        <f>Statement!Q29</f>
        <v>39777</v>
      </c>
      <c r="H13" s="25">
        <f>H20*H7/365</f>
        <v>47928.078739726021</v>
      </c>
      <c r="I13" s="25">
        <f>I20*I7/365</f>
        <v>55709.103386301373</v>
      </c>
      <c r="J13" s="25">
        <f>J20*J7/365</f>
        <v>63778.792288331511</v>
      </c>
      <c r="K13" s="25">
        <f>K20*K7/365</f>
        <v>71198.232246273095</v>
      </c>
      <c r="L13" s="25">
        <f>L20*L7/365</f>
        <v>75886.62567939877</v>
      </c>
      <c r="N13" s="91"/>
      <c r="O13" s="16"/>
      <c r="P13" s="116"/>
      <c r="Q13" s="116"/>
      <c r="R13" s="116"/>
      <c r="S13" s="116"/>
      <c r="T13" s="116"/>
      <c r="U13" s="116"/>
      <c r="V13" s="116"/>
      <c r="W13" s="116"/>
      <c r="X13" s="108"/>
      <c r="Y13" s="108"/>
      <c r="Z13" s="108"/>
      <c r="AB13" s="24"/>
    </row>
    <row r="14" spans="1:28" x14ac:dyDescent="0.2">
      <c r="B14" s="39" t="s">
        <v>132</v>
      </c>
      <c r="C14" s="114">
        <f>Statement!M30</f>
        <v>6580</v>
      </c>
      <c r="D14" s="114">
        <f>Statement!N30</f>
        <v>4946</v>
      </c>
      <c r="E14" s="114">
        <f>Statement!O30</f>
        <v>6331</v>
      </c>
      <c r="F14" s="114">
        <f>Statement!P30</f>
        <v>7286</v>
      </c>
      <c r="G14" s="115">
        <f>Statement!Q30</f>
        <v>5718</v>
      </c>
      <c r="H14" s="126">
        <f>H21*H8/365</f>
        <v>6839.4663715068491</v>
      </c>
      <c r="I14" s="126">
        <f t="shared" ref="I14:L14" si="2">I21*I8/365</f>
        <v>8043.0018013972594</v>
      </c>
      <c r="J14" s="126">
        <f t="shared" si="2"/>
        <v>8500.3781070797177</v>
      </c>
      <c r="K14" s="126">
        <f t="shared" si="2"/>
        <v>9872.8215381498685</v>
      </c>
      <c r="L14" s="126">
        <f t="shared" si="2"/>
        <v>10421.763259970765</v>
      </c>
      <c r="N14" s="91"/>
      <c r="O14" s="16"/>
      <c r="P14" s="116"/>
      <c r="Q14" s="116"/>
      <c r="R14" s="116"/>
      <c r="S14" s="116"/>
      <c r="T14" s="116"/>
      <c r="U14" s="116"/>
      <c r="V14" s="116"/>
      <c r="W14" s="116"/>
      <c r="X14" s="108"/>
      <c r="Y14" s="108"/>
      <c r="Z14" s="108"/>
      <c r="AB14" s="24"/>
    </row>
    <row r="15" spans="1:28" x14ac:dyDescent="0.2">
      <c r="B15" s="1" t="s">
        <v>133</v>
      </c>
      <c r="C15" s="114">
        <f>Statement!M37</f>
        <v>54763</v>
      </c>
      <c r="D15" s="114">
        <f>Statement!N37</f>
        <v>64115</v>
      </c>
      <c r="E15" s="114">
        <f>Statement!O37</f>
        <v>62611</v>
      </c>
      <c r="F15" s="114">
        <f>Statement!P37</f>
        <v>68960</v>
      </c>
      <c r="G15" s="115">
        <f>Statement!Q37</f>
        <v>69860</v>
      </c>
      <c r="H15" s="24">
        <f>H22*H8/365</f>
        <v>81389.649820931503</v>
      </c>
      <c r="I15" s="24">
        <f>I22*I8/365</f>
        <v>91397.747743150685</v>
      </c>
      <c r="J15" s="24">
        <f>J22*J8/365</f>
        <v>100459.0139927603</v>
      </c>
      <c r="K15" s="24">
        <f>K22*K8/365</f>
        <v>110246.50717600687</v>
      </c>
      <c r="L15" s="24">
        <f>L22*L8/365</f>
        <v>116376.35640300688</v>
      </c>
      <c r="N15" s="91"/>
      <c r="P15" s="117"/>
      <c r="Q15" s="117"/>
      <c r="R15" s="117"/>
      <c r="S15" s="117"/>
      <c r="T15" s="117"/>
      <c r="U15" s="117"/>
      <c r="V15" s="117"/>
      <c r="W15" s="117"/>
      <c r="X15" s="25"/>
      <c r="Y15" s="24"/>
      <c r="Z15" s="24"/>
      <c r="AB15" s="24"/>
    </row>
    <row r="16" spans="1:28" x14ac:dyDescent="0.2">
      <c r="D16" s="24"/>
    </row>
    <row r="18" spans="2:12" x14ac:dyDescent="0.2">
      <c r="C18" s="252" t="s">
        <v>134</v>
      </c>
      <c r="D18" s="252"/>
      <c r="E18" s="252"/>
      <c r="F18" s="252"/>
      <c r="G18" s="252"/>
      <c r="H18" s="252"/>
      <c r="I18" s="252"/>
      <c r="J18" s="252"/>
      <c r="K18" s="252"/>
      <c r="L18" s="252"/>
    </row>
    <row r="19" spans="2:12" x14ac:dyDescent="0.2">
      <c r="B19" s="16" t="s">
        <v>135</v>
      </c>
      <c r="C19" s="12">
        <f t="shared" ref="C19:L19" si="3">C6</f>
        <v>2021</v>
      </c>
      <c r="D19" s="12">
        <f t="shared" si="3"/>
        <v>2022</v>
      </c>
      <c r="E19" s="12">
        <f t="shared" si="3"/>
        <v>2023</v>
      </c>
      <c r="F19" s="12">
        <f t="shared" si="3"/>
        <v>2024</v>
      </c>
      <c r="G19" s="12">
        <f t="shared" si="3"/>
        <v>2025</v>
      </c>
      <c r="H19" s="12">
        <f t="shared" si="3"/>
        <v>2026</v>
      </c>
      <c r="I19" s="12">
        <f t="shared" si="3"/>
        <v>2027</v>
      </c>
      <c r="J19" s="12">
        <f t="shared" si="3"/>
        <v>2028</v>
      </c>
      <c r="K19" s="12">
        <f t="shared" si="3"/>
        <v>2029</v>
      </c>
      <c r="L19" s="12">
        <f t="shared" si="3"/>
        <v>2030</v>
      </c>
    </row>
    <row r="20" spans="2:12" x14ac:dyDescent="0.2">
      <c r="B20" s="1" t="s">
        <v>136</v>
      </c>
      <c r="C20" s="118">
        <f>C13/C7*365</f>
        <v>26.219311841713207</v>
      </c>
      <c r="D20" s="118">
        <f>D13/D7*365</f>
        <v>26.087825363656648</v>
      </c>
      <c r="E20" s="118">
        <f>E13/E7*365</f>
        <v>28.100290906244702</v>
      </c>
      <c r="F20" s="118">
        <f>F13/F7*365</f>
        <v>31.185571624023428</v>
      </c>
      <c r="G20" s="119">
        <f>G13/G7*365</f>
        <v>34.886990852098108</v>
      </c>
      <c r="H20" s="102">
        <v>37</v>
      </c>
      <c r="I20" s="102">
        <v>40</v>
      </c>
      <c r="J20" s="102">
        <v>43</v>
      </c>
      <c r="K20" s="102">
        <v>45</v>
      </c>
      <c r="L20" s="102">
        <v>45</v>
      </c>
    </row>
    <row r="21" spans="2:12" x14ac:dyDescent="0.2">
      <c r="B21" s="1" t="s">
        <v>137</v>
      </c>
      <c r="C21" s="118">
        <f>C14/C8*365</f>
        <v>11.27659274770989</v>
      </c>
      <c r="D21" s="118">
        <f t="shared" ref="D21:G21" si="4">D14/D8*365</f>
        <v>8.0756980666171607</v>
      </c>
      <c r="E21" s="118">
        <f t="shared" si="4"/>
        <v>10.791292490321617</v>
      </c>
      <c r="F21" s="118">
        <f t="shared" si="4"/>
        <v>12.642570548414087</v>
      </c>
      <c r="G21" s="119">
        <f t="shared" si="4"/>
        <v>9.4454652425778427</v>
      </c>
      <c r="H21" s="102">
        <v>10</v>
      </c>
      <c r="I21" s="102">
        <v>11</v>
      </c>
      <c r="J21" s="102">
        <v>11</v>
      </c>
      <c r="K21" s="102">
        <v>12</v>
      </c>
      <c r="L21" s="102">
        <v>12</v>
      </c>
    </row>
    <row r="22" spans="2:12" x14ac:dyDescent="0.2">
      <c r="B22" s="1" t="s">
        <v>138</v>
      </c>
      <c r="C22" s="118">
        <f>C15/C8*365</f>
        <v>93.851071222315596</v>
      </c>
      <c r="D22" s="118">
        <f>D15/D8*365</f>
        <v>104.68527730310539</v>
      </c>
      <c r="E22" s="118">
        <f>E15/E8*365</f>
        <v>106.72146803214764</v>
      </c>
      <c r="F22" s="118">
        <f>F15/F8*365</f>
        <v>119.65847721913744</v>
      </c>
      <c r="G22" s="119">
        <f>G15/G8*365</f>
        <v>115.40052498189718</v>
      </c>
      <c r="H22" s="102">
        <v>119</v>
      </c>
      <c r="I22" s="102">
        <v>125</v>
      </c>
      <c r="J22" s="102">
        <v>130</v>
      </c>
      <c r="K22" s="102">
        <v>134</v>
      </c>
      <c r="L22" s="102">
        <v>134</v>
      </c>
    </row>
    <row r="23" spans="2:12" x14ac:dyDescent="0.2">
      <c r="B23" s="1" t="s">
        <v>139</v>
      </c>
      <c r="C23" s="118">
        <f>C20+C21-C22</f>
        <v>-56.355166632892498</v>
      </c>
      <c r="D23" s="118">
        <f t="shared" ref="D23:L23" si="5">D20+D21-D22</f>
        <v>-70.521753872831582</v>
      </c>
      <c r="E23" s="118">
        <f t="shared" si="5"/>
        <v>-67.829884635581323</v>
      </c>
      <c r="F23" s="118">
        <f t="shared" si="5"/>
        <v>-75.830335046699929</v>
      </c>
      <c r="G23" s="119">
        <f t="shared" si="5"/>
        <v>-71.06806888722123</v>
      </c>
      <c r="H23" s="118">
        <f t="shared" si="5"/>
        <v>-72</v>
      </c>
      <c r="I23" s="118">
        <f t="shared" si="5"/>
        <v>-74</v>
      </c>
      <c r="J23" s="118">
        <f t="shared" si="5"/>
        <v>-76</v>
      </c>
      <c r="K23" s="118">
        <f t="shared" si="5"/>
        <v>-77</v>
      </c>
      <c r="L23" s="118">
        <f t="shared" si="5"/>
        <v>-77</v>
      </c>
    </row>
    <row r="25" spans="2:12" x14ac:dyDescent="0.2">
      <c r="B25" s="257"/>
      <c r="C25" s="257"/>
    </row>
    <row r="26" spans="2:12" x14ac:dyDescent="0.2">
      <c r="B26" s="109"/>
      <c r="C26" s="252" t="s">
        <v>140</v>
      </c>
      <c r="D26" s="252"/>
      <c r="E26" s="252"/>
      <c r="F26" s="252"/>
      <c r="G26" s="252"/>
      <c r="H26" s="252"/>
      <c r="I26" s="252"/>
      <c r="J26" s="252"/>
      <c r="K26" s="252"/>
      <c r="L26" s="252"/>
    </row>
    <row r="27" spans="2:12" x14ac:dyDescent="0.2">
      <c r="B27" s="16" t="s">
        <v>130</v>
      </c>
      <c r="C27" s="12">
        <f t="shared" ref="C27:L27" si="6">C6</f>
        <v>2021</v>
      </c>
      <c r="D27" s="12">
        <f t="shared" si="6"/>
        <v>2022</v>
      </c>
      <c r="E27" s="12">
        <f t="shared" si="6"/>
        <v>2023</v>
      </c>
      <c r="F27" s="12">
        <f t="shared" si="6"/>
        <v>2024</v>
      </c>
      <c r="G27" s="12">
        <f t="shared" si="6"/>
        <v>2025</v>
      </c>
      <c r="H27" s="12">
        <f t="shared" si="6"/>
        <v>2026</v>
      </c>
      <c r="I27" s="12">
        <f t="shared" si="6"/>
        <v>2027</v>
      </c>
      <c r="J27" s="12">
        <f t="shared" si="6"/>
        <v>2028</v>
      </c>
      <c r="K27" s="12">
        <f t="shared" si="6"/>
        <v>2029</v>
      </c>
      <c r="L27" s="12">
        <f t="shared" si="6"/>
        <v>2030</v>
      </c>
    </row>
    <row r="28" spans="2:12" x14ac:dyDescent="0.2">
      <c r="B28" s="1" t="s">
        <v>141</v>
      </c>
      <c r="C28" s="114">
        <f>Statement!M54</f>
        <v>-10125</v>
      </c>
      <c r="D28" s="114">
        <f>Statement!N54</f>
        <v>-1823</v>
      </c>
      <c r="E28" s="114">
        <f>Statement!O54</f>
        <v>-1688</v>
      </c>
      <c r="F28" s="114">
        <f>Statement!P54</f>
        <v>-3788</v>
      </c>
      <c r="G28" s="115">
        <f>Statement!Q54</f>
        <v>-6682</v>
      </c>
      <c r="H28" s="126">
        <f>-(H13-G13)</f>
        <v>-8151.078739726021</v>
      </c>
      <c r="I28" s="126">
        <f t="shared" ref="I28:L29" si="7">-(I13-H13)</f>
        <v>-7781.0246465753517</v>
      </c>
      <c r="J28" s="126">
        <f t="shared" si="7"/>
        <v>-8069.6889020301387</v>
      </c>
      <c r="K28" s="126">
        <f t="shared" si="7"/>
        <v>-7419.439957941584</v>
      </c>
      <c r="L28" s="126">
        <f t="shared" si="7"/>
        <v>-4688.3934331256751</v>
      </c>
    </row>
    <row r="29" spans="2:12" x14ac:dyDescent="0.2">
      <c r="B29" s="1" t="s">
        <v>142</v>
      </c>
      <c r="C29" s="114">
        <f>Statement!M55</f>
        <v>-2642</v>
      </c>
      <c r="D29" s="114">
        <f>Statement!N55</f>
        <v>1484</v>
      </c>
      <c r="E29" s="114">
        <f>Statement!O55</f>
        <v>-1618</v>
      </c>
      <c r="F29" s="114">
        <f>Statement!P55</f>
        <v>-1046</v>
      </c>
      <c r="G29" s="115">
        <f>Statement!Q55</f>
        <v>1400</v>
      </c>
      <c r="H29" s="126">
        <f>-(H14-G14)</f>
        <v>-1121.4663715068491</v>
      </c>
      <c r="I29" s="126">
        <f t="shared" si="7"/>
        <v>-1203.5354298904103</v>
      </c>
      <c r="J29" s="126">
        <f t="shared" si="7"/>
        <v>-457.37630568245822</v>
      </c>
      <c r="K29" s="126">
        <f t="shared" si="7"/>
        <v>-1372.4434310701508</v>
      </c>
      <c r="L29" s="126">
        <f t="shared" si="7"/>
        <v>-548.94172182089642</v>
      </c>
    </row>
    <row r="30" spans="2:12" x14ac:dyDescent="0.2">
      <c r="B30" s="1" t="s">
        <v>143</v>
      </c>
      <c r="C30" s="114">
        <f>Statement!M56</f>
        <v>12326</v>
      </c>
      <c r="D30" s="114">
        <f>Statement!N56</f>
        <v>9448</v>
      </c>
      <c r="E30" s="114">
        <f>Statement!O56</f>
        <v>-1889</v>
      </c>
      <c r="F30" s="114">
        <f>Statement!P56</f>
        <v>6020</v>
      </c>
      <c r="G30" s="115">
        <f>Statement!Q56</f>
        <v>902</v>
      </c>
      <c r="H30" s="64">
        <f>H15-G15</f>
        <v>11529.649820931503</v>
      </c>
      <c r="I30" s="64">
        <f t="shared" ref="I30:L30" si="8">I15-H15</f>
        <v>10008.097922219182</v>
      </c>
      <c r="J30" s="64">
        <f t="shared" si="8"/>
        <v>9061.2662496096164</v>
      </c>
      <c r="K30" s="64">
        <f t="shared" si="8"/>
        <v>9787.4931832465663</v>
      </c>
      <c r="L30" s="64">
        <f t="shared" si="8"/>
        <v>6129.8492270000133</v>
      </c>
    </row>
    <row r="31" spans="2:12" x14ac:dyDescent="0.2">
      <c r="B31" s="109"/>
      <c r="C31" s="109"/>
    </row>
    <row r="32" spans="2:12" x14ac:dyDescent="0.2">
      <c r="B32" s="109"/>
      <c r="C32" s="109"/>
    </row>
    <row r="33" spans="2:12" x14ac:dyDescent="0.2">
      <c r="B33" s="109"/>
      <c r="C33" s="252" t="s">
        <v>144</v>
      </c>
      <c r="D33" s="252"/>
      <c r="E33" s="252"/>
      <c r="F33" s="252"/>
      <c r="G33" s="252"/>
      <c r="H33" s="252"/>
      <c r="I33" s="252"/>
      <c r="J33" s="252"/>
      <c r="K33" s="252"/>
      <c r="L33" s="252"/>
    </row>
    <row r="34" spans="2:12" x14ac:dyDescent="0.2">
      <c r="B34" s="16" t="s">
        <v>130</v>
      </c>
      <c r="C34" s="12">
        <f t="shared" ref="C34:L34" si="9">C6</f>
        <v>2021</v>
      </c>
      <c r="D34" s="12">
        <f t="shared" si="9"/>
        <v>2022</v>
      </c>
      <c r="E34" s="12">
        <f t="shared" si="9"/>
        <v>2023</v>
      </c>
      <c r="F34" s="12">
        <f t="shared" si="9"/>
        <v>2024</v>
      </c>
      <c r="G34" s="12">
        <f t="shared" si="9"/>
        <v>2025</v>
      </c>
      <c r="H34" s="12">
        <f t="shared" si="9"/>
        <v>2026</v>
      </c>
      <c r="I34" s="12">
        <f t="shared" si="9"/>
        <v>2027</v>
      </c>
      <c r="J34" s="12">
        <f t="shared" si="9"/>
        <v>2028</v>
      </c>
      <c r="K34" s="12">
        <f t="shared" si="9"/>
        <v>2029</v>
      </c>
      <c r="L34" s="12">
        <f t="shared" si="9"/>
        <v>2030</v>
      </c>
    </row>
    <row r="35" spans="2:12" x14ac:dyDescent="0.2">
      <c r="B35" s="1" t="s">
        <v>145</v>
      </c>
      <c r="C35" s="114">
        <f>Statement!M54+Statement!M55+Statement!M56+Statement!M57</f>
        <v>-4911</v>
      </c>
      <c r="D35" s="114">
        <f>Statement!N54+Statement!N55+Statement!N56+Statement!N57</f>
        <v>1200</v>
      </c>
      <c r="E35" s="114">
        <f>Statement!O54+Statement!O55+Statement!O56+Statement!O57</f>
        <v>-6577</v>
      </c>
      <c r="F35" s="114">
        <f>Statement!P54+Statement!P55+Statement!P56+Statement!P57</f>
        <v>3651</v>
      </c>
      <c r="G35" s="115">
        <f>Statement!Q54+Statement!Q55+Statement!Q56+Statement!Q57</f>
        <v>-25000</v>
      </c>
      <c r="H35" s="126">
        <f>H36+H28+H29+H30</f>
        <v>-7198.9756903013658</v>
      </c>
      <c r="I35" s="126">
        <f t="shared" ref="I35:L35" si="10">I36+I28+I29+I30</f>
        <v>-9143.3735222465803</v>
      </c>
      <c r="J35" s="126">
        <f t="shared" si="10"/>
        <v>-10293.36136984298</v>
      </c>
      <c r="K35" s="126">
        <f t="shared" si="10"/>
        <v>-10554.325659049468</v>
      </c>
      <c r="L35" s="126">
        <f t="shared" si="10"/>
        <v>-11417.982982604583</v>
      </c>
    </row>
    <row r="36" spans="2:12" x14ac:dyDescent="0.2">
      <c r="B36" s="1" t="s">
        <v>146</v>
      </c>
      <c r="C36" s="120">
        <f>C35-C28-C29-C30</f>
        <v>-4470</v>
      </c>
      <c r="D36" s="120">
        <f t="shared" ref="D36:G36" si="11">D35-D28-D29-D30</f>
        <v>-7909</v>
      </c>
      <c r="E36" s="120">
        <f t="shared" si="11"/>
        <v>-1382</v>
      </c>
      <c r="F36" s="120">
        <f t="shared" si="11"/>
        <v>2465</v>
      </c>
      <c r="G36" s="121">
        <f t="shared" si="11"/>
        <v>-20620</v>
      </c>
      <c r="H36" s="64">
        <f>H7*H37</f>
        <v>-9456.0803999999989</v>
      </c>
      <c r="I36" s="64">
        <f>I7*I37</f>
        <v>-10166.911367999999</v>
      </c>
      <c r="J36" s="64">
        <f>J7*J37</f>
        <v>-10827.56241174</v>
      </c>
      <c r="K36" s="64">
        <f>K7*K37</f>
        <v>-11549.935453284301</v>
      </c>
      <c r="L36" s="64">
        <f>L7*L37</f>
        <v>-12310.497054658023</v>
      </c>
    </row>
    <row r="37" spans="2:12" x14ac:dyDescent="0.2">
      <c r="B37" s="122" t="s">
        <v>126</v>
      </c>
      <c r="C37" s="123">
        <f>C36/C7</f>
        <v>-1.2219224366281501E-2</v>
      </c>
      <c r="D37" s="123">
        <f>D36/D7</f>
        <v>-2.0056906940415085E-2</v>
      </c>
      <c r="E37" s="123">
        <f>E36/E7</f>
        <v>-3.6056720195155041E-3</v>
      </c>
      <c r="F37" s="123">
        <f>F36/F7</f>
        <v>6.3037835487871931E-3</v>
      </c>
      <c r="G37" s="124">
        <f>G36/G7</f>
        <v>-4.9548131612524964E-2</v>
      </c>
      <c r="H37" s="97">
        <v>-0.02</v>
      </c>
      <c r="I37" s="97">
        <v>-0.02</v>
      </c>
      <c r="J37" s="97">
        <v>-0.02</v>
      </c>
      <c r="K37" s="97">
        <v>-0.02</v>
      </c>
      <c r="L37" s="97">
        <v>-0.02</v>
      </c>
    </row>
    <row r="38" spans="2:12" x14ac:dyDescent="0.2">
      <c r="C38" s="64"/>
    </row>
    <row r="39" spans="2:12" x14ac:dyDescent="0.2">
      <c r="C39" s="125"/>
    </row>
    <row r="40" spans="2:12" x14ac:dyDescent="0.2">
      <c r="C40" s="252" t="s">
        <v>147</v>
      </c>
      <c r="D40" s="252"/>
      <c r="E40" s="252"/>
      <c r="F40" s="252"/>
      <c r="G40" s="252"/>
      <c r="H40" s="252"/>
      <c r="I40" s="252"/>
      <c r="J40" s="252"/>
      <c r="K40" s="252"/>
      <c r="L40" s="252"/>
    </row>
    <row r="41" spans="2:12" x14ac:dyDescent="0.2">
      <c r="B41" s="16" t="s">
        <v>130</v>
      </c>
      <c r="C41" s="12">
        <f t="shared" ref="C41:L41" si="12">C6</f>
        <v>2021</v>
      </c>
      <c r="D41" s="12">
        <f t="shared" si="12"/>
        <v>2022</v>
      </c>
      <c r="E41" s="12">
        <f t="shared" si="12"/>
        <v>2023</v>
      </c>
      <c r="F41" s="12">
        <f t="shared" si="12"/>
        <v>2024</v>
      </c>
      <c r="G41" s="12">
        <f t="shared" si="12"/>
        <v>2025</v>
      </c>
      <c r="H41" s="12">
        <f t="shared" si="12"/>
        <v>2026</v>
      </c>
      <c r="I41" s="12">
        <f t="shared" si="12"/>
        <v>2027</v>
      </c>
      <c r="J41" s="12">
        <f t="shared" si="12"/>
        <v>2028</v>
      </c>
      <c r="K41" s="12">
        <f t="shared" si="12"/>
        <v>2029</v>
      </c>
      <c r="L41" s="12">
        <f t="shared" si="12"/>
        <v>2030</v>
      </c>
    </row>
    <row r="42" spans="2:12" x14ac:dyDescent="0.2">
      <c r="B42" s="1" t="s">
        <v>55</v>
      </c>
      <c r="C42" s="114">
        <f>Statement!M52</f>
        <v>11284</v>
      </c>
      <c r="D42" s="114">
        <f>Statement!N52</f>
        <v>11104</v>
      </c>
      <c r="E42" s="114">
        <f>Statement!O52</f>
        <v>11519</v>
      </c>
      <c r="F42" s="114">
        <f>Statement!P52</f>
        <v>11445</v>
      </c>
      <c r="G42" s="115">
        <f>Statement!Q52</f>
        <v>11698</v>
      </c>
      <c r="H42" s="25">
        <f>H7*H43</f>
        <v>13711.316579999999</v>
      </c>
      <c r="I42" s="25">
        <f>I7*I43</f>
        <v>14742.0214836</v>
      </c>
      <c r="J42" s="25">
        <f>J7*J43</f>
        <v>15699.965497023002</v>
      </c>
      <c r="K42" s="25">
        <f>K7*K43</f>
        <v>16747.406407262239</v>
      </c>
      <c r="L42" s="25">
        <f>L7*L43</f>
        <v>17850.220729254132</v>
      </c>
    </row>
    <row r="43" spans="2:12" x14ac:dyDescent="0.2">
      <c r="B43" s="122" t="s">
        <v>148</v>
      </c>
      <c r="C43" s="123">
        <f>C42/C7</f>
        <v>3.084602410494865E-2</v>
      </c>
      <c r="D43" s="123">
        <f>D42/D7</f>
        <v>2.8159298857803657E-2</v>
      </c>
      <c r="E43" s="123">
        <f>E42/E7</f>
        <v>3.0053354553400212E-2</v>
      </c>
      <c r="F43" s="123">
        <f>F42/F7</f>
        <v>2.9268479803598143E-2</v>
      </c>
      <c r="G43" s="124">
        <f>G42/G7</f>
        <v>2.8109313462818475E-2</v>
      </c>
      <c r="H43" s="97">
        <v>2.9000000000000001E-2</v>
      </c>
      <c r="I43" s="97">
        <v>2.9000000000000001E-2</v>
      </c>
      <c r="J43" s="97">
        <v>2.9000000000000001E-2</v>
      </c>
      <c r="K43" s="97">
        <v>2.9000000000000001E-2</v>
      </c>
      <c r="L43" s="97">
        <v>2.9000000000000001E-2</v>
      </c>
    </row>
    <row r="44" spans="2:12" x14ac:dyDescent="0.2">
      <c r="B44" s="122" t="s">
        <v>149</v>
      </c>
      <c r="C44" s="123">
        <f>C42/C45</f>
        <v>1.0179521876409563</v>
      </c>
      <c r="D44" s="123">
        <f t="shared" ref="D44:L44" si="13">D42/D45</f>
        <v>1.0369816959282778</v>
      </c>
      <c r="E44" s="123">
        <f t="shared" si="13"/>
        <v>1.0510995528789122</v>
      </c>
      <c r="F44" s="123">
        <f t="shared" si="13"/>
        <v>1.2114957129247381</v>
      </c>
      <c r="G44" s="124">
        <f t="shared" si="13"/>
        <v>0.92001572945340149</v>
      </c>
      <c r="H44" s="123">
        <f t="shared" si="13"/>
        <v>0.96666666666666667</v>
      </c>
      <c r="I44" s="123">
        <f t="shared" si="13"/>
        <v>0.96666666666666667</v>
      </c>
      <c r="J44" s="123">
        <f t="shared" si="13"/>
        <v>0.96666666666666679</v>
      </c>
      <c r="K44" s="123">
        <f t="shared" si="13"/>
        <v>0.96666666666666679</v>
      </c>
      <c r="L44" s="123">
        <f t="shared" si="13"/>
        <v>0.96666666666666656</v>
      </c>
    </row>
    <row r="45" spans="2:12" x14ac:dyDescent="0.2">
      <c r="B45" s="1" t="s">
        <v>58</v>
      </c>
      <c r="C45" s="114">
        <f>-Statement!M108</f>
        <v>11085</v>
      </c>
      <c r="D45" s="114">
        <f>-Statement!N108</f>
        <v>10708</v>
      </c>
      <c r="E45" s="114">
        <f>-Statement!O108</f>
        <v>10959</v>
      </c>
      <c r="F45" s="114">
        <f>-Statement!P108</f>
        <v>9447</v>
      </c>
      <c r="G45" s="115">
        <f>-Statement!Q108</f>
        <v>12715</v>
      </c>
      <c r="H45" s="25">
        <f>H7*H46</f>
        <v>14184.120599999998</v>
      </c>
      <c r="I45" s="25">
        <f>I7*I46</f>
        <v>15250.367052</v>
      </c>
      <c r="J45" s="25">
        <f>J7*J46</f>
        <v>16241.34361761</v>
      </c>
      <c r="K45" s="25">
        <f>K7*K46</f>
        <v>17324.903179926452</v>
      </c>
      <c r="L45" s="25">
        <f>L7*L46</f>
        <v>18465.745581987034</v>
      </c>
    </row>
    <row r="46" spans="2:12" x14ac:dyDescent="0.2">
      <c r="B46" s="122" t="s">
        <v>148</v>
      </c>
      <c r="C46" s="123">
        <f>C45/C7</f>
        <v>3.0302036264033657E-2</v>
      </c>
      <c r="D46" s="123">
        <f>D45/D7</f>
        <v>2.7155058732831552E-2</v>
      </c>
      <c r="E46" s="123">
        <f>E45/E7</f>
        <v>2.859230076835775E-2</v>
      </c>
      <c r="F46" s="123">
        <f>F45/F7</f>
        <v>2.415896275269477E-2</v>
      </c>
      <c r="G46" s="124">
        <f>G45/G7</f>
        <v>3.0553079216937677E-2</v>
      </c>
      <c r="H46" s="97">
        <v>0.03</v>
      </c>
      <c r="I46" s="97">
        <v>0.03</v>
      </c>
      <c r="J46" s="97">
        <v>0.03</v>
      </c>
      <c r="K46" s="97">
        <v>0.03</v>
      </c>
      <c r="L46" s="97">
        <v>0.03</v>
      </c>
    </row>
  </sheetData>
  <mergeCells count="13">
    <mergeCell ref="C40:L40"/>
    <mergeCell ref="C11:L11"/>
    <mergeCell ref="P11:Z11"/>
    <mergeCell ref="C18:L18"/>
    <mergeCell ref="B25:C25"/>
    <mergeCell ref="C26:L26"/>
    <mergeCell ref="C33:L33"/>
    <mergeCell ref="C3:G3"/>
    <mergeCell ref="H3:L3"/>
    <mergeCell ref="P3:W3"/>
    <mergeCell ref="X3:Z3"/>
    <mergeCell ref="C5:L5"/>
    <mergeCell ref="P5:Z5"/>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A12" zoomScale="183" workbookViewId="0">
      <selection activeCell="G17" sqref="G17"/>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150</v>
      </c>
    </row>
    <row r="2" spans="1:31" x14ac:dyDescent="0.2">
      <c r="A2" s="4"/>
      <c r="C2" s="246" t="s">
        <v>110</v>
      </c>
      <c r="D2" s="246"/>
      <c r="E2" s="246"/>
      <c r="F2" s="246"/>
      <c r="G2" s="255"/>
      <c r="H2" s="256" t="s">
        <v>111</v>
      </c>
      <c r="I2" s="246"/>
      <c r="J2" s="246"/>
      <c r="K2" s="246"/>
      <c r="L2" s="246"/>
      <c r="S2" s="257"/>
      <c r="T2" s="257"/>
      <c r="U2" s="257"/>
      <c r="V2" s="257"/>
      <c r="W2" s="257"/>
      <c r="X2" s="257"/>
      <c r="Y2" s="257"/>
      <c r="Z2" s="257"/>
      <c r="AA2" s="257"/>
      <c r="AB2" s="257"/>
      <c r="AC2" s="257"/>
      <c r="AE2" s="109"/>
    </row>
    <row r="3" spans="1:31" ht="10" customHeight="1" x14ac:dyDescent="0.2"/>
    <row r="4" spans="1:31" ht="16" customHeight="1" x14ac:dyDescent="0.2">
      <c r="A4" s="86"/>
      <c r="B4" s="60"/>
      <c r="C4" s="252" t="s">
        <v>18</v>
      </c>
      <c r="D4" s="252"/>
      <c r="E4" s="252"/>
      <c r="F4" s="252"/>
      <c r="G4" s="252"/>
      <c r="H4" s="252"/>
      <c r="I4" s="252"/>
      <c r="J4" s="252"/>
      <c r="K4" s="252"/>
      <c r="L4" s="252"/>
      <c r="S4" s="257"/>
      <c r="T4" s="257"/>
      <c r="U4" s="257"/>
      <c r="V4" s="257"/>
      <c r="W4" s="257"/>
      <c r="X4" s="257"/>
      <c r="Y4" s="257"/>
      <c r="Z4" s="257"/>
      <c r="AA4" s="257"/>
      <c r="AB4" s="257"/>
      <c r="AC4" s="257"/>
      <c r="AE4" s="110"/>
    </row>
    <row r="5" spans="1:31" x14ac:dyDescent="0.2">
      <c r="B5" s="16" t="s">
        <v>130</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R5" s="16"/>
      <c r="S5" s="111"/>
      <c r="T5" s="111"/>
      <c r="U5" s="111"/>
      <c r="V5" s="111"/>
      <c r="W5" s="111"/>
      <c r="X5" s="111"/>
      <c r="Y5" s="111"/>
      <c r="Z5" s="111"/>
      <c r="AA5" s="111"/>
      <c r="AB5" s="111"/>
      <c r="AC5" s="111"/>
      <c r="AE5" s="110"/>
    </row>
    <row r="6" spans="1:31" x14ac:dyDescent="0.2">
      <c r="B6" s="16" t="s">
        <v>19</v>
      </c>
      <c r="C6" s="92">
        <f>Revenue!C11</f>
        <v>365817</v>
      </c>
      <c r="D6" s="92">
        <f>Revenue!D11</f>
        <v>394328</v>
      </c>
      <c r="E6" s="92">
        <f>Revenue!E11</f>
        <v>383285</v>
      </c>
      <c r="F6" s="92">
        <f>Revenue!F11</f>
        <v>391035</v>
      </c>
      <c r="G6" s="93">
        <f>Revenue!G11</f>
        <v>416161</v>
      </c>
      <c r="H6" s="92">
        <f>Revenue!H11</f>
        <v>472804.01999999996</v>
      </c>
      <c r="I6" s="92">
        <f>Revenue!I11</f>
        <v>508345.56839999999</v>
      </c>
      <c r="J6" s="92">
        <f>Revenue!J11</f>
        <v>541378.12058700004</v>
      </c>
      <c r="K6" s="92">
        <f>Revenue!K11</f>
        <v>577496.77266421507</v>
      </c>
      <c r="L6" s="92">
        <f>Revenue!L11</f>
        <v>615524.85273290111</v>
      </c>
      <c r="N6" s="90" t="s">
        <v>151</v>
      </c>
      <c r="Q6" s="90"/>
      <c r="S6" s="88"/>
      <c r="T6" s="88"/>
      <c r="U6" s="88"/>
      <c r="V6" s="88"/>
      <c r="W6" s="88"/>
      <c r="X6" s="88"/>
      <c r="Y6" s="88"/>
      <c r="Z6" s="88"/>
      <c r="AA6" s="64"/>
      <c r="AB6" s="64"/>
      <c r="AC6" s="64"/>
      <c r="AE6" s="64"/>
    </row>
    <row r="7" spans="1:31" x14ac:dyDescent="0.2">
      <c r="B7" s="1" t="s">
        <v>20</v>
      </c>
      <c r="C7" s="88">
        <f>'COGS &amp; OpEx'!C11</f>
        <v>212981</v>
      </c>
      <c r="D7" s="88">
        <f>'COGS &amp; OpEx'!D11</f>
        <v>223546</v>
      </c>
      <c r="E7" s="88">
        <f>'COGS &amp; OpEx'!E11</f>
        <v>214137</v>
      </c>
      <c r="F7" s="88">
        <f>'COGS &amp; OpEx'!F11</f>
        <v>210352</v>
      </c>
      <c r="G7" s="89">
        <f>'COGS &amp; OpEx'!G11</f>
        <v>220960</v>
      </c>
      <c r="H7" s="112">
        <f>'COGS &amp; OpEx'!H11</f>
        <v>249640.52255999998</v>
      </c>
      <c r="I7" s="112">
        <f>'COGS &amp; OpEx'!I11</f>
        <v>266881.42340999999</v>
      </c>
      <c r="J7" s="112">
        <f>'COGS &amp; OpEx'!J11</f>
        <v>282058.00082582701</v>
      </c>
      <c r="K7" s="112">
        <f>'COGS &amp; OpEx'!K11</f>
        <v>300298.32178539183</v>
      </c>
      <c r="L7" s="112">
        <f>'COGS &amp; OpEx'!L11</f>
        <v>316995.2991574441</v>
      </c>
      <c r="N7" s="90" t="s">
        <v>152</v>
      </c>
      <c r="Q7" s="90"/>
      <c r="S7" s="88"/>
      <c r="T7" s="88"/>
      <c r="U7" s="88"/>
      <c r="V7" s="88"/>
      <c r="W7" s="88"/>
      <c r="X7" s="88"/>
      <c r="Y7" s="88"/>
      <c r="Z7" s="88"/>
      <c r="AA7" s="64"/>
      <c r="AB7" s="64"/>
      <c r="AC7" s="64"/>
      <c r="AE7" s="64"/>
    </row>
    <row r="8" spans="1:31" x14ac:dyDescent="0.2">
      <c r="B8" s="16" t="s">
        <v>153</v>
      </c>
      <c r="C8" s="94">
        <f>C6-C7</f>
        <v>152836</v>
      </c>
      <c r="D8" s="94">
        <f t="shared" ref="D8:L8" si="1">D6-D7</f>
        <v>170782</v>
      </c>
      <c r="E8" s="94">
        <f t="shared" si="1"/>
        <v>169148</v>
      </c>
      <c r="F8" s="94">
        <f t="shared" si="1"/>
        <v>180683</v>
      </c>
      <c r="G8" s="127">
        <f t="shared" si="1"/>
        <v>195201</v>
      </c>
      <c r="H8" s="94">
        <f t="shared" si="1"/>
        <v>223163.49743999998</v>
      </c>
      <c r="I8" s="94">
        <f t="shared" si="1"/>
        <v>241464.14499</v>
      </c>
      <c r="J8" s="94">
        <f t="shared" si="1"/>
        <v>259320.11976117303</v>
      </c>
      <c r="K8" s="94">
        <f t="shared" si="1"/>
        <v>277198.45087882323</v>
      </c>
      <c r="L8" s="94">
        <f t="shared" si="1"/>
        <v>298529.55357545702</v>
      </c>
      <c r="N8" s="90"/>
      <c r="Q8" s="90"/>
      <c r="S8" s="88"/>
      <c r="T8" s="88"/>
      <c r="U8" s="88"/>
      <c r="V8" s="88"/>
      <c r="W8" s="88"/>
      <c r="X8" s="88"/>
      <c r="Y8" s="88"/>
      <c r="Z8" s="88"/>
      <c r="AA8" s="64"/>
      <c r="AB8" s="64"/>
      <c r="AC8" s="64"/>
      <c r="AE8" s="64"/>
    </row>
    <row r="9" spans="1:31" x14ac:dyDescent="0.2">
      <c r="B9" s="1" t="s">
        <v>23</v>
      </c>
      <c r="C9" s="88">
        <f>'COGS &amp; OpEx'!C14</f>
        <v>43887</v>
      </c>
      <c r="D9" s="88">
        <f>'COGS &amp; OpEx'!D14</f>
        <v>51345</v>
      </c>
      <c r="E9" s="88">
        <f>'COGS &amp; OpEx'!E14</f>
        <v>54847</v>
      </c>
      <c r="F9" s="88">
        <f>'COGS &amp; OpEx'!F14</f>
        <v>57467</v>
      </c>
      <c r="G9" s="89">
        <f>'COGS &amp; OpEx'!G14</f>
        <v>62151</v>
      </c>
      <c r="H9" s="112">
        <f>'COGS &amp; OpEx'!H14</f>
        <v>73757.427119999993</v>
      </c>
      <c r="I9" s="112">
        <f>'COGS &amp; OpEx'!I14</f>
        <v>80826.9453756</v>
      </c>
      <c r="J9" s="112">
        <f>'COGS &amp; OpEx'!J14</f>
        <v>88786.011776268017</v>
      </c>
      <c r="K9" s="112">
        <f>'COGS &amp; OpEx'!K14</f>
        <v>98174.451352916571</v>
      </c>
      <c r="L9" s="112">
        <f>'COGS &amp; OpEx'!L14</f>
        <v>103408.1752591274</v>
      </c>
      <c r="N9" s="128" t="s">
        <v>152</v>
      </c>
      <c r="Q9" s="90"/>
      <c r="S9" s="88"/>
      <c r="T9" s="88"/>
      <c r="U9" s="88"/>
      <c r="V9" s="88"/>
      <c r="W9" s="88"/>
      <c r="X9" s="88"/>
      <c r="Y9" s="88"/>
      <c r="Z9" s="88"/>
      <c r="AA9" s="64"/>
      <c r="AB9" s="64"/>
      <c r="AC9" s="64"/>
      <c r="AE9" s="64"/>
    </row>
    <row r="10" spans="1:31" x14ac:dyDescent="0.2">
      <c r="B10" s="16" t="s">
        <v>154</v>
      </c>
      <c r="C10" s="94">
        <f t="shared" ref="C10:L10" si="2">C8-C9</f>
        <v>108949</v>
      </c>
      <c r="D10" s="94">
        <f t="shared" si="2"/>
        <v>119437</v>
      </c>
      <c r="E10" s="94">
        <f t="shared" si="2"/>
        <v>114301</v>
      </c>
      <c r="F10" s="94">
        <f t="shared" si="2"/>
        <v>123216</v>
      </c>
      <c r="G10" s="127">
        <f t="shared" si="2"/>
        <v>133050</v>
      </c>
      <c r="H10" s="94">
        <f t="shared" si="2"/>
        <v>149406.07032</v>
      </c>
      <c r="I10" s="94">
        <f t="shared" si="2"/>
        <v>160637.19961439999</v>
      </c>
      <c r="J10" s="94">
        <f t="shared" si="2"/>
        <v>170534.10798490501</v>
      </c>
      <c r="K10" s="94">
        <f t="shared" si="2"/>
        <v>179023.99952590666</v>
      </c>
      <c r="L10" s="94">
        <f t="shared" si="2"/>
        <v>195121.37831632962</v>
      </c>
      <c r="N10" s="90"/>
      <c r="Q10" s="90"/>
      <c r="S10" s="88"/>
      <c r="T10" s="88"/>
      <c r="U10" s="88"/>
      <c r="V10" s="88"/>
      <c r="W10" s="88"/>
      <c r="X10" s="88"/>
      <c r="Y10" s="88"/>
      <c r="Z10" s="88"/>
      <c r="AA10" s="64"/>
      <c r="AB10" s="64"/>
      <c r="AC10" s="64"/>
      <c r="AE10" s="64"/>
    </row>
    <row r="13" spans="1:31" x14ac:dyDescent="0.2">
      <c r="C13" s="252" t="s">
        <v>155</v>
      </c>
      <c r="D13" s="252"/>
      <c r="E13" s="252"/>
      <c r="F13" s="252"/>
      <c r="G13" s="252"/>
      <c r="H13" s="252"/>
      <c r="I13" s="252"/>
      <c r="J13" s="252"/>
      <c r="K13" s="252"/>
      <c r="L13" s="252"/>
    </row>
    <row r="14" spans="1:31" x14ac:dyDescent="0.2">
      <c r="C14" s="12">
        <f t="shared" ref="C14:L14" si="3">C5</f>
        <v>2021</v>
      </c>
      <c r="D14" s="12">
        <f t="shared" si="3"/>
        <v>2022</v>
      </c>
      <c r="E14" s="12">
        <f t="shared" si="3"/>
        <v>2023</v>
      </c>
      <c r="F14" s="12">
        <f t="shared" si="3"/>
        <v>2024</v>
      </c>
      <c r="G14" s="12">
        <f t="shared" si="3"/>
        <v>2025</v>
      </c>
      <c r="H14" s="12">
        <f t="shared" si="3"/>
        <v>2026</v>
      </c>
      <c r="I14" s="12">
        <f t="shared" si="3"/>
        <v>2027</v>
      </c>
      <c r="J14" s="12">
        <f t="shared" si="3"/>
        <v>2028</v>
      </c>
      <c r="K14" s="12">
        <f t="shared" si="3"/>
        <v>2029</v>
      </c>
      <c r="L14" s="12">
        <f t="shared" si="3"/>
        <v>2030</v>
      </c>
    </row>
    <row r="15" spans="1:31" x14ac:dyDescent="0.2">
      <c r="B15" s="1" t="s">
        <v>71</v>
      </c>
      <c r="C15" s="129">
        <f>Statement!M82</f>
        <v>0.13302260844085087</v>
      </c>
      <c r="D15" s="129">
        <f>Statement!N82</f>
        <v>0.16204461684424407</v>
      </c>
      <c r="E15" s="129">
        <f>Statement!O82</f>
        <v>0.14719174228036858</v>
      </c>
      <c r="F15" s="129">
        <f>Statement!P82</f>
        <v>0.24091185164189982</v>
      </c>
      <c r="G15" s="130">
        <f>Statement!Q82</f>
        <v>0.15610002335586043</v>
      </c>
      <c r="H15" s="129">
        <f>Overview!$C$26</f>
        <v>0.21</v>
      </c>
      <c r="I15" s="129">
        <f>Overview!$C$26</f>
        <v>0.21</v>
      </c>
      <c r="J15" s="129">
        <f>Overview!$C$26</f>
        <v>0.21</v>
      </c>
      <c r="K15" s="129">
        <f>Overview!$C$26</f>
        <v>0.21</v>
      </c>
      <c r="L15" s="129">
        <f>Overview!$C$26</f>
        <v>0.21</v>
      </c>
      <c r="N15" s="1" t="s">
        <v>160</v>
      </c>
    </row>
    <row r="18" spans="2:14" x14ac:dyDescent="0.2">
      <c r="C18" s="252" t="s">
        <v>156</v>
      </c>
      <c r="D18" s="252"/>
      <c r="E18" s="252"/>
      <c r="F18" s="252"/>
      <c r="G18" s="252"/>
      <c r="H18" s="252"/>
      <c r="I18" s="252"/>
      <c r="J18" s="252"/>
      <c r="K18" s="252"/>
      <c r="L18" s="252"/>
    </row>
    <row r="19" spans="2:14" x14ac:dyDescent="0.2">
      <c r="B19" s="16" t="s">
        <v>130</v>
      </c>
      <c r="C19" s="12">
        <f t="shared" ref="C19:L19" si="4">C5</f>
        <v>2021</v>
      </c>
      <c r="D19" s="12">
        <f t="shared" si="4"/>
        <v>2022</v>
      </c>
      <c r="E19" s="12">
        <f t="shared" si="4"/>
        <v>2023</v>
      </c>
      <c r="F19" s="12">
        <f t="shared" si="4"/>
        <v>2024</v>
      </c>
      <c r="G19" s="12">
        <f t="shared" si="4"/>
        <v>2025</v>
      </c>
      <c r="H19" s="12">
        <f t="shared" si="4"/>
        <v>2026</v>
      </c>
      <c r="I19" s="12">
        <f t="shared" si="4"/>
        <v>2027</v>
      </c>
      <c r="J19" s="12">
        <f t="shared" si="4"/>
        <v>2028</v>
      </c>
      <c r="K19" s="12">
        <f t="shared" si="4"/>
        <v>2029</v>
      </c>
      <c r="L19" s="12">
        <f t="shared" si="4"/>
        <v>2030</v>
      </c>
    </row>
    <row r="20" spans="2:14" x14ac:dyDescent="0.2">
      <c r="B20" s="1" t="s">
        <v>55</v>
      </c>
      <c r="C20" s="88">
        <f>'WC &amp; Investments'!C42</f>
        <v>11284</v>
      </c>
      <c r="D20" s="88">
        <f>'WC &amp; Investments'!D42</f>
        <v>11104</v>
      </c>
      <c r="E20" s="88">
        <f>'WC &amp; Investments'!E42</f>
        <v>11519</v>
      </c>
      <c r="F20" s="88">
        <f>'WC &amp; Investments'!F42</f>
        <v>11445</v>
      </c>
      <c r="G20" s="89">
        <f>'WC &amp; Investments'!G42</f>
        <v>11698</v>
      </c>
      <c r="H20" s="88">
        <f>'WC &amp; Investments'!H42</f>
        <v>13711.316579999999</v>
      </c>
      <c r="I20" s="88">
        <f>'WC &amp; Investments'!I42</f>
        <v>14742.0214836</v>
      </c>
      <c r="J20" s="88">
        <f>'WC &amp; Investments'!J42</f>
        <v>15699.965497023002</v>
      </c>
      <c r="K20" s="88">
        <f>'WC &amp; Investments'!K42</f>
        <v>16747.406407262239</v>
      </c>
      <c r="L20" s="88">
        <f>'WC &amp; Investments'!L42</f>
        <v>17850.220729254132</v>
      </c>
      <c r="N20" s="1" t="s">
        <v>157</v>
      </c>
    </row>
    <row r="21" spans="2:14" x14ac:dyDescent="0.2">
      <c r="B21" s="1" t="s">
        <v>58</v>
      </c>
      <c r="C21" s="88">
        <f>'WC &amp; Investments'!C45</f>
        <v>11085</v>
      </c>
      <c r="D21" s="88">
        <f>'WC &amp; Investments'!D45</f>
        <v>10708</v>
      </c>
      <c r="E21" s="88">
        <f>'WC &amp; Investments'!E45</f>
        <v>10959</v>
      </c>
      <c r="F21" s="88">
        <f>'WC &amp; Investments'!F45</f>
        <v>9447</v>
      </c>
      <c r="G21" s="89">
        <f>'WC &amp; Investments'!G45</f>
        <v>12715</v>
      </c>
      <c r="H21" s="88">
        <f>'WC &amp; Investments'!H45</f>
        <v>14184.120599999998</v>
      </c>
      <c r="I21" s="88">
        <f>'WC &amp; Investments'!I45</f>
        <v>15250.367052</v>
      </c>
      <c r="J21" s="88">
        <f>'WC &amp; Investments'!J45</f>
        <v>16241.34361761</v>
      </c>
      <c r="K21" s="88">
        <f>'WC &amp; Investments'!K45</f>
        <v>17324.903179926452</v>
      </c>
      <c r="L21" s="88">
        <f>'WC &amp; Investments'!L45</f>
        <v>18465.745581987034</v>
      </c>
      <c r="N21" s="1" t="s">
        <v>157</v>
      </c>
    </row>
    <row r="22" spans="2:14" x14ac:dyDescent="0.2">
      <c r="B22" s="1" t="s">
        <v>158</v>
      </c>
      <c r="C22" s="88">
        <f>'WC &amp; Investments'!C35</f>
        <v>-4911</v>
      </c>
      <c r="D22" s="88">
        <f>'WC &amp; Investments'!D35</f>
        <v>1200</v>
      </c>
      <c r="E22" s="88">
        <f>'WC &amp; Investments'!E35</f>
        <v>-6577</v>
      </c>
      <c r="F22" s="88">
        <f>'WC &amp; Investments'!F35</f>
        <v>3651</v>
      </c>
      <c r="G22" s="89">
        <f>'WC &amp; Investments'!G35</f>
        <v>-25000</v>
      </c>
      <c r="H22" s="88">
        <f>'WC &amp; Investments'!H35</f>
        <v>-7198.9756903013658</v>
      </c>
      <c r="I22" s="88">
        <f>'WC &amp; Investments'!I35</f>
        <v>-9143.3735222465803</v>
      </c>
      <c r="J22" s="88">
        <f>'WC &amp; Investments'!J35</f>
        <v>-10293.36136984298</v>
      </c>
      <c r="K22" s="88">
        <f>'WC &amp; Investments'!K35</f>
        <v>-10554.325659049468</v>
      </c>
      <c r="L22" s="88">
        <f>'WC &amp; Investments'!L35</f>
        <v>-11417.982982604583</v>
      </c>
      <c r="N22" s="1" t="s">
        <v>157</v>
      </c>
    </row>
    <row r="25" spans="2:14" x14ac:dyDescent="0.2">
      <c r="C25" s="252" t="s">
        <v>256</v>
      </c>
      <c r="D25" s="252"/>
      <c r="E25" s="252"/>
      <c r="F25" s="252"/>
      <c r="G25" s="252"/>
      <c r="H25" s="252"/>
      <c r="I25" s="252"/>
      <c r="J25" s="252"/>
      <c r="K25" s="252"/>
      <c r="L25" s="252"/>
    </row>
    <row r="26" spans="2:14" x14ac:dyDescent="0.2">
      <c r="B26" s="16" t="s">
        <v>130</v>
      </c>
      <c r="C26" s="12">
        <f t="shared" ref="C26:L26" si="5">C5</f>
        <v>2021</v>
      </c>
      <c r="D26" s="12">
        <f t="shared" si="5"/>
        <v>2022</v>
      </c>
      <c r="E26" s="12">
        <f t="shared" si="5"/>
        <v>2023</v>
      </c>
      <c r="F26" s="12">
        <f t="shared" si="5"/>
        <v>2024</v>
      </c>
      <c r="G26" s="12">
        <f t="shared" si="5"/>
        <v>2025</v>
      </c>
      <c r="H26" s="12">
        <f t="shared" si="5"/>
        <v>2026</v>
      </c>
      <c r="I26" s="12">
        <f t="shared" si="5"/>
        <v>2027</v>
      </c>
      <c r="J26" s="12">
        <f t="shared" si="5"/>
        <v>2028</v>
      </c>
      <c r="K26" s="12">
        <f t="shared" si="5"/>
        <v>2029</v>
      </c>
      <c r="L26" s="12">
        <f t="shared" si="5"/>
        <v>2030</v>
      </c>
    </row>
    <row r="27" spans="2:14" x14ac:dyDescent="0.2">
      <c r="B27" s="1" t="s">
        <v>159</v>
      </c>
      <c r="C27" s="126">
        <f>C10*(1-C15)</f>
        <v>94456.319832977737</v>
      </c>
      <c r="D27" s="126">
        <f t="shared" ref="D27:L27" si="6">D10*(1-D15)</f>
        <v>100082.87709797402</v>
      </c>
      <c r="E27" s="126">
        <f t="shared" si="6"/>
        <v>97476.836665611598</v>
      </c>
      <c r="F27" s="126">
        <f t="shared" si="6"/>
        <v>93531.80528809168</v>
      </c>
      <c r="G27" s="131">
        <f t="shared" si="6"/>
        <v>112280.89189250277</v>
      </c>
      <c r="H27" s="126">
        <f t="shared" si="6"/>
        <v>118030.7955528</v>
      </c>
      <c r="I27" s="126">
        <f t="shared" si="6"/>
        <v>126903.38769537599</v>
      </c>
      <c r="J27" s="126">
        <f t="shared" si="6"/>
        <v>134721.94530807497</v>
      </c>
      <c r="K27" s="126">
        <f t="shared" si="6"/>
        <v>141428.95962546626</v>
      </c>
      <c r="L27" s="126">
        <f t="shared" si="6"/>
        <v>154145.8888699004</v>
      </c>
    </row>
    <row r="28" spans="2:14" x14ac:dyDescent="0.2">
      <c r="B28" s="16" t="s">
        <v>256</v>
      </c>
      <c r="C28" s="94">
        <f>C27+C20-C21+C22</f>
        <v>89744.319832977737</v>
      </c>
      <c r="D28" s="94">
        <f t="shared" ref="D28:L28" si="7">D27+D20-D21+D22</f>
        <v>101678.87709797402</v>
      </c>
      <c r="E28" s="94">
        <f t="shared" si="7"/>
        <v>91459.836665611598</v>
      </c>
      <c r="F28" s="94">
        <f t="shared" si="7"/>
        <v>99180.80528809168</v>
      </c>
      <c r="G28" s="127">
        <f t="shared" si="7"/>
        <v>86263.891892502768</v>
      </c>
      <c r="H28" s="94">
        <f t="shared" si="7"/>
        <v>110359.01584249863</v>
      </c>
      <c r="I28" s="94">
        <f t="shared" si="7"/>
        <v>117251.66860472942</v>
      </c>
      <c r="J28" s="94">
        <f t="shared" si="7"/>
        <v>123887.20581764498</v>
      </c>
      <c r="K28" s="94">
        <f t="shared" si="7"/>
        <v>130297.13719375257</v>
      </c>
      <c r="L28" s="94">
        <f t="shared" si="7"/>
        <v>142112.38103456292</v>
      </c>
    </row>
    <row r="31" spans="2:14" x14ac:dyDescent="0.2">
      <c r="C31" s="252" t="s">
        <v>75</v>
      </c>
      <c r="D31" s="252"/>
      <c r="E31" s="252"/>
      <c r="F31" s="252"/>
      <c r="G31" s="252"/>
      <c r="H31" s="252"/>
      <c r="I31" s="252"/>
      <c r="J31" s="252"/>
      <c r="K31" s="252"/>
      <c r="L31" s="252"/>
    </row>
    <row r="32" spans="2:14" x14ac:dyDescent="0.2">
      <c r="B32" s="16" t="s">
        <v>326</v>
      </c>
      <c r="C32" s="12">
        <f>C5</f>
        <v>2021</v>
      </c>
      <c r="D32" s="12">
        <f t="shared" ref="D32:L32" si="8">D5</f>
        <v>2022</v>
      </c>
      <c r="E32" s="12">
        <f t="shared" si="8"/>
        <v>2023</v>
      </c>
      <c r="F32" s="12">
        <f t="shared" si="8"/>
        <v>2024</v>
      </c>
      <c r="G32" s="12">
        <f t="shared" si="8"/>
        <v>2025</v>
      </c>
      <c r="H32" s="12">
        <f t="shared" si="8"/>
        <v>2026</v>
      </c>
      <c r="I32" s="12">
        <f t="shared" si="8"/>
        <v>2027</v>
      </c>
      <c r="J32" s="12">
        <f t="shared" si="8"/>
        <v>2028</v>
      </c>
      <c r="K32" s="12">
        <f t="shared" si="8"/>
        <v>2029</v>
      </c>
      <c r="L32" s="12">
        <f t="shared" si="8"/>
        <v>2030</v>
      </c>
    </row>
    <row r="33" spans="2:12" x14ac:dyDescent="0.2">
      <c r="B33" s="1" t="s">
        <v>76</v>
      </c>
      <c r="C33" s="129">
        <f>Statement!M99</f>
        <v>0.41779359625167778</v>
      </c>
      <c r="D33" s="129">
        <f>Statement!N99</f>
        <v>0.43309630561360085</v>
      </c>
      <c r="E33" s="129">
        <f>Statement!O99</f>
        <v>0.44131129577207562</v>
      </c>
      <c r="F33" s="129">
        <f>Statement!P99</f>
        <v>0.46206349815233932</v>
      </c>
      <c r="G33" s="130">
        <f>Statement!Q99</f>
        <v>0.46905164107160452</v>
      </c>
      <c r="H33" s="210">
        <f>H8/H6</f>
        <v>0.47199999999999998</v>
      </c>
      <c r="I33" s="210">
        <f t="shared" ref="I33:L33" si="9">I8/I6</f>
        <v>0.47500000000000003</v>
      </c>
      <c r="J33" s="210">
        <f t="shared" si="9"/>
        <v>0.47900000000000004</v>
      </c>
      <c r="K33" s="210">
        <f t="shared" si="9"/>
        <v>0.48</v>
      </c>
      <c r="L33" s="210">
        <f t="shared" si="9"/>
        <v>0.48499999999999999</v>
      </c>
    </row>
    <row r="34" spans="2:12" x14ac:dyDescent="0.2">
      <c r="B34" s="1" t="s">
        <v>77</v>
      </c>
      <c r="C34" s="129">
        <f>Statement!M100</f>
        <v>0.29782377527561593</v>
      </c>
      <c r="D34" s="129">
        <f>Statement!N100</f>
        <v>0.30288744395528594</v>
      </c>
      <c r="E34" s="129">
        <f>Statement!O100</f>
        <v>0.29821412265024722</v>
      </c>
      <c r="F34" s="129">
        <f>Statement!P100</f>
        <v>0.31510222870075566</v>
      </c>
      <c r="G34" s="130">
        <f>Statement!Q100</f>
        <v>0.31970799762591884</v>
      </c>
      <c r="H34" s="210">
        <f>H10/H6</f>
        <v>0.316</v>
      </c>
      <c r="I34" s="210">
        <f t="shared" ref="I34:L34" si="10">I10/I6</f>
        <v>0.316</v>
      </c>
      <c r="J34" s="210">
        <f t="shared" si="10"/>
        <v>0.315</v>
      </c>
      <c r="K34" s="210">
        <f t="shared" si="10"/>
        <v>0.31</v>
      </c>
      <c r="L34" s="210">
        <f t="shared" si="10"/>
        <v>0.31699999999999995</v>
      </c>
    </row>
  </sheetData>
  <mergeCells count="10">
    <mergeCell ref="C31:L31"/>
    <mergeCell ref="C25:L25"/>
    <mergeCell ref="C2:G2"/>
    <mergeCell ref="H2:L2"/>
    <mergeCell ref="S2:Z2"/>
    <mergeCell ref="AA2:AC2"/>
    <mergeCell ref="C4:L4"/>
    <mergeCell ref="S4:AC4"/>
    <mergeCell ref="C13:L13"/>
    <mergeCell ref="C18:L18"/>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6.33203125" style="1" customWidth="1"/>
    <col min="9" max="16384" width="10.83203125" style="1"/>
  </cols>
  <sheetData>
    <row r="5" spans="2:8" x14ac:dyDescent="0.2">
      <c r="H5" s="132" t="s">
        <v>421</v>
      </c>
    </row>
    <row r="6" spans="2:8" x14ac:dyDescent="0.2">
      <c r="H6" s="238" t="s">
        <v>426</v>
      </c>
    </row>
    <row r="7" spans="2:8" x14ac:dyDescent="0.2">
      <c r="H7" s="238" t="s">
        <v>422</v>
      </c>
    </row>
    <row r="8" spans="2:8" x14ac:dyDescent="0.2">
      <c r="H8" s="238" t="s">
        <v>423</v>
      </c>
    </row>
    <row r="9" spans="2:8" x14ac:dyDescent="0.2">
      <c r="H9" s="238" t="s">
        <v>424</v>
      </c>
    </row>
    <row r="10" spans="2:8" x14ac:dyDescent="0.2">
      <c r="H10" s="239" t="s">
        <v>425</v>
      </c>
    </row>
    <row r="13" spans="2:8" s="4" customFormat="1" ht="49" x14ac:dyDescent="0.2">
      <c r="B13" s="3" t="s">
        <v>161</v>
      </c>
    </row>
  </sheetData>
  <hyperlinks>
    <hyperlink ref="H6" location="Overview!B3" display="Overview'!B3" xr:uid="{702C65B7-0DC1-1945-AD20-6DB846C06AF6}"/>
    <hyperlink ref="H8" location="'Analysis -&gt;'!B13" display="'Analysis -&gt;'!B13" xr:uid="{F5D2F504-8FE9-7242-BDA8-545FF0614D91}"/>
    <hyperlink ref="H9" location="'Forecast -&gt;'!B13" display="'Forecast -&gt;'!B13" xr:uid="{1FC82CE0-4B7E-CE42-BCD0-D7A6C18353B0}"/>
    <hyperlink ref="H10" location="'Valuation -&gt;'!B13" display="'Valuation -&gt;'!B13" xr:uid="{A12E42FD-5CA7-BF40-8E34-014BB797E49B}"/>
    <hyperlink ref="H7" location="'Financials -&gt;'!B13" display="'Financials -&gt;'!B13" xr:uid="{F50AA8E2-EDCE-4048-AC38-D5A6282DBC2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7" zoomScale="171" zoomScaleNormal="65" workbookViewId="0">
      <selection activeCell="C19" sqref="C19"/>
    </sheetView>
  </sheetViews>
  <sheetFormatPr baseColWidth="10" defaultRowHeight="16" x14ac:dyDescent="0.2"/>
  <cols>
    <col min="1" max="1" width="2" style="83"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3" customFormat="1" ht="18" customHeight="1" x14ac:dyDescent="0.2">
      <c r="A1" s="4"/>
      <c r="B1" s="82" t="s">
        <v>162</v>
      </c>
    </row>
    <row r="2" spans="1:3" s="83" customFormat="1" ht="18" customHeight="1" x14ac:dyDescent="0.2">
      <c r="A2" s="4"/>
      <c r="B2" s="82"/>
    </row>
    <row r="3" spans="1:3" ht="17" customHeight="1" x14ac:dyDescent="0.2"/>
    <row r="4" spans="1:3" ht="17" customHeight="1" x14ac:dyDescent="0.2">
      <c r="B4" s="246" t="s">
        <v>163</v>
      </c>
      <c r="C4" s="246"/>
    </row>
    <row r="5" spans="1:3" ht="17" customHeight="1" x14ac:dyDescent="0.2">
      <c r="B5" s="1" t="s">
        <v>164</v>
      </c>
      <c r="C5" s="136">
        <f>Statement!AC77</f>
        <v>14653</v>
      </c>
    </row>
    <row r="6" spans="1:3" ht="17" customHeight="1" x14ac:dyDescent="0.2">
      <c r="B6" s="1" t="s">
        <v>1</v>
      </c>
      <c r="C6" s="133">
        <f ca="1">Overview!C5</f>
        <v>347.72500000000002</v>
      </c>
    </row>
    <row r="7" spans="1:3" ht="17" customHeight="1" x14ac:dyDescent="0.2">
      <c r="B7" s="1" t="s">
        <v>165</v>
      </c>
      <c r="C7" s="134">
        <f ca="1">C5*C6</f>
        <v>5095214.4250000007</v>
      </c>
    </row>
    <row r="8" spans="1:3" ht="17" customHeight="1" x14ac:dyDescent="0.2">
      <c r="B8" s="1" t="s">
        <v>166</v>
      </c>
      <c r="C8" s="112">
        <f>Statement!AC106</f>
        <v>84344</v>
      </c>
    </row>
    <row r="9" spans="1:3" ht="17" customHeight="1" x14ac:dyDescent="0.2">
      <c r="B9" s="1" t="s">
        <v>167</v>
      </c>
      <c r="C9" s="135">
        <f ca="1">Overview!F27</f>
        <v>4.9530000000000005E-2</v>
      </c>
    </row>
    <row r="10" spans="1:3" ht="17" customHeight="1" x14ac:dyDescent="0.2">
      <c r="B10" s="1" t="s">
        <v>9</v>
      </c>
      <c r="C10" s="133">
        <f ca="1">Overview!C13</f>
        <v>1.077</v>
      </c>
    </row>
    <row r="11" spans="1:3" ht="17" customHeight="1" x14ac:dyDescent="0.2">
      <c r="B11" s="1" t="s">
        <v>168</v>
      </c>
      <c r="C11" s="135">
        <f>[1]Sheet1!$C$12</f>
        <v>4.4999999999999998E-2</v>
      </c>
    </row>
    <row r="12" spans="1:3" ht="17" customHeight="1" x14ac:dyDescent="0.2">
      <c r="B12" s="1" t="s">
        <v>71</v>
      </c>
      <c r="C12" s="135">
        <f>Overview!C26</f>
        <v>0.21</v>
      </c>
    </row>
    <row r="13" spans="1:3" ht="17" customHeight="1" x14ac:dyDescent="0.2">
      <c r="B13" s="1" t="s">
        <v>169</v>
      </c>
      <c r="C13" s="135">
        <f>Overview!C27</f>
        <v>4.9000000000000002E-2</v>
      </c>
    </row>
    <row r="14" spans="1:3" ht="17" customHeight="1" x14ac:dyDescent="0.2"/>
    <row r="15" spans="1:3" ht="17" customHeight="1" x14ac:dyDescent="0.2">
      <c r="B15" s="246" t="s">
        <v>170</v>
      </c>
      <c r="C15" s="246"/>
    </row>
    <row r="16" spans="1:3" ht="17" customHeight="1" x14ac:dyDescent="0.2">
      <c r="B16" s="1" t="s">
        <v>171</v>
      </c>
      <c r="C16" s="46">
        <f ca="1">C8/(C8+C7)</f>
        <v>1.6284013631914961E-2</v>
      </c>
    </row>
    <row r="17" spans="2:3" ht="17" customHeight="1" x14ac:dyDescent="0.2">
      <c r="B17" s="1" t="s">
        <v>172</v>
      </c>
      <c r="C17" s="46">
        <f ca="1">C7/(C8+C7)</f>
        <v>0.98371598636808499</v>
      </c>
    </row>
    <row r="18" spans="2:3" ht="17" customHeight="1" x14ac:dyDescent="0.2">
      <c r="B18" s="1" t="s">
        <v>173</v>
      </c>
      <c r="C18" s="46">
        <f>C13*(1-C12)</f>
        <v>3.8710000000000001E-2</v>
      </c>
    </row>
    <row r="19" spans="2:3" ht="17" customHeight="1" x14ac:dyDescent="0.2">
      <c r="B19" s="1" t="s">
        <v>174</v>
      </c>
      <c r="C19" s="46">
        <f ca="1">C9+C10*C11</f>
        <v>9.7994999999999999E-2</v>
      </c>
    </row>
    <row r="20" spans="2:3" ht="17" customHeight="1" x14ac:dyDescent="0.2">
      <c r="B20" s="1" t="s">
        <v>162</v>
      </c>
      <c r="C20" s="46">
        <f ca="1">(C17*C19)+(C16*C18)</f>
        <v>9.7029602251831923E-2</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A23" zoomScale="213" zoomScaleNormal="121" workbookViewId="0">
      <selection activeCell="D22" sqref="D22"/>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176</v>
      </c>
    </row>
    <row r="2" spans="1:28" s="83" customFormat="1" ht="18" customHeight="1" x14ac:dyDescent="0.2">
      <c r="A2" s="4"/>
      <c r="B2" s="82"/>
    </row>
    <row r="3" spans="1:28" x14ac:dyDescent="0.2">
      <c r="A3" s="4"/>
      <c r="C3" s="246" t="s">
        <v>110</v>
      </c>
      <c r="D3" s="246"/>
      <c r="E3" s="246"/>
      <c r="F3" s="246"/>
      <c r="G3" s="255"/>
      <c r="H3" s="256" t="s">
        <v>111</v>
      </c>
      <c r="I3" s="246"/>
      <c r="J3" s="246"/>
      <c r="K3" s="246"/>
      <c r="L3" s="246"/>
      <c r="P3" s="257"/>
      <c r="Q3" s="257"/>
      <c r="R3" s="257"/>
      <c r="S3" s="257"/>
      <c r="T3" s="257"/>
      <c r="U3" s="257"/>
      <c r="V3" s="257"/>
      <c r="W3" s="257"/>
      <c r="X3" s="257"/>
      <c r="Y3" s="257"/>
      <c r="Z3" s="257"/>
      <c r="AB3" s="109"/>
    </row>
    <row r="4" spans="1:28" ht="10" customHeight="1" x14ac:dyDescent="0.2"/>
    <row r="5" spans="1:28" ht="16" customHeight="1" x14ac:dyDescent="0.2">
      <c r="A5" s="86"/>
      <c r="B5" s="60"/>
      <c r="C5" s="252" t="s">
        <v>177</v>
      </c>
      <c r="D5" s="252"/>
      <c r="E5" s="252"/>
      <c r="F5" s="252"/>
      <c r="G5" s="252"/>
      <c r="H5" s="252"/>
      <c r="I5" s="252"/>
      <c r="J5" s="252"/>
      <c r="K5" s="252"/>
      <c r="L5" s="252"/>
      <c r="P5" s="257"/>
      <c r="Q5" s="257"/>
      <c r="R5" s="257"/>
      <c r="S5" s="257"/>
      <c r="T5" s="257"/>
      <c r="U5" s="257"/>
      <c r="V5" s="257"/>
      <c r="W5" s="257"/>
      <c r="X5" s="257"/>
      <c r="Y5" s="257"/>
      <c r="Z5" s="257"/>
      <c r="AB5" s="110"/>
    </row>
    <row r="6" spans="1:28" x14ac:dyDescent="0.2">
      <c r="B6" s="16" t="s">
        <v>130</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1"/>
      <c r="Q6" s="111"/>
      <c r="R6" s="111"/>
      <c r="S6" s="111"/>
      <c r="T6" s="111"/>
      <c r="U6" s="111"/>
      <c r="V6" s="111"/>
      <c r="W6" s="111"/>
      <c r="X6" s="111"/>
      <c r="Y6" s="111"/>
      <c r="Z6" s="111"/>
      <c r="AB6" s="110"/>
    </row>
    <row r="7" spans="1:28" x14ac:dyDescent="0.2">
      <c r="B7" s="39" t="s">
        <v>256</v>
      </c>
      <c r="C7" s="112">
        <f>'FCF &amp; Other'!C28</f>
        <v>89744.319832977737</v>
      </c>
      <c r="D7" s="112">
        <f>'FCF &amp; Other'!D28</f>
        <v>101678.87709797402</v>
      </c>
      <c r="E7" s="112">
        <f>'FCF &amp; Other'!E28</f>
        <v>91459.836665611598</v>
      </c>
      <c r="F7" s="112">
        <f>'FCF &amp; Other'!F28</f>
        <v>99180.80528809168</v>
      </c>
      <c r="G7" s="113">
        <f>'FCF &amp; Other'!G28</f>
        <v>86263.891892502768</v>
      </c>
      <c r="H7" s="112">
        <f>'FCF &amp; Other'!H28</f>
        <v>110359.01584249863</v>
      </c>
      <c r="I7" s="112">
        <f>'FCF &amp; Other'!I28</f>
        <v>117251.66860472942</v>
      </c>
      <c r="J7" s="112">
        <f>'FCF &amp; Other'!J28</f>
        <v>123887.20581764498</v>
      </c>
      <c r="K7" s="112">
        <f>'FCF &amp; Other'!K28</f>
        <v>130297.13719375257</v>
      </c>
      <c r="L7" s="112">
        <f>'FCF &amp; Other'!L28</f>
        <v>142112.38103456292</v>
      </c>
      <c r="N7" s="91"/>
      <c r="O7" s="16"/>
      <c r="P7" s="92"/>
      <c r="Q7" s="92"/>
      <c r="R7" s="92"/>
      <c r="S7" s="92"/>
      <c r="T7" s="92"/>
      <c r="U7" s="92"/>
      <c r="V7" s="92"/>
      <c r="W7" s="92"/>
      <c r="X7" s="94"/>
      <c r="Y7" s="94"/>
      <c r="Z7" s="94"/>
      <c r="AB7" s="94"/>
    </row>
    <row r="8" spans="1:28" x14ac:dyDescent="0.2">
      <c r="B8" s="39" t="s">
        <v>178</v>
      </c>
      <c r="C8" s="126">
        <v>0</v>
      </c>
      <c r="D8" s="126">
        <v>0</v>
      </c>
      <c r="E8" s="126">
        <v>0</v>
      </c>
      <c r="F8" s="126">
        <v>0</v>
      </c>
      <c r="G8" s="131">
        <v>0</v>
      </c>
      <c r="H8" s="126">
        <v>0</v>
      </c>
      <c r="I8" s="126">
        <v>0</v>
      </c>
      <c r="J8" s="126">
        <v>0</v>
      </c>
      <c r="K8" s="126">
        <v>0</v>
      </c>
      <c r="L8" s="126">
        <f ca="1">L7*(1+C14)/(C15-C14)</f>
        <v>1881804.1949815061</v>
      </c>
      <c r="N8" s="91"/>
      <c r="O8" s="16"/>
      <c r="P8" s="92"/>
      <c r="Q8" s="92"/>
      <c r="R8" s="92"/>
      <c r="S8" s="92"/>
      <c r="T8" s="92"/>
      <c r="U8" s="92"/>
      <c r="V8" s="92"/>
      <c r="W8" s="92"/>
      <c r="X8" s="94"/>
      <c r="Y8" s="94"/>
      <c r="Z8" s="94"/>
      <c r="AB8" s="94"/>
    </row>
    <row r="9" spans="1:28" x14ac:dyDescent="0.2">
      <c r="B9" s="1" t="s">
        <v>179</v>
      </c>
      <c r="C9" s="137"/>
      <c r="D9" s="137"/>
      <c r="E9" s="137"/>
      <c r="F9" s="137"/>
      <c r="G9" s="138"/>
      <c r="H9" s="139">
        <v>1</v>
      </c>
      <c r="I9" s="139">
        <v>2</v>
      </c>
      <c r="J9" s="139">
        <v>3</v>
      </c>
      <c r="K9" s="139">
        <v>4</v>
      </c>
      <c r="L9" s="139">
        <v>5</v>
      </c>
      <c r="N9" s="91"/>
    </row>
    <row r="10" spans="1:28" x14ac:dyDescent="0.2">
      <c r="B10" s="1" t="s">
        <v>314</v>
      </c>
      <c r="C10" s="137"/>
      <c r="D10" s="137"/>
      <c r="E10" s="137"/>
      <c r="F10" s="137"/>
      <c r="G10" s="138"/>
      <c r="H10" s="126">
        <f ca="1">H7/(1+$C$15)^H9</f>
        <v>100598.02909234971</v>
      </c>
      <c r="I10" s="126">
        <f t="shared" ref="I10:L10" ca="1" si="0">I7/(1+$C$15)^I9</f>
        <v>97427.674922636434</v>
      </c>
      <c r="J10" s="126">
        <f t="shared" ca="1" si="0"/>
        <v>93836.417239063201</v>
      </c>
      <c r="K10" s="126">
        <f t="shared" ca="1" si="0"/>
        <v>89962.494019650287</v>
      </c>
      <c r="L10" s="126">
        <f t="shared" ca="1" si="0"/>
        <v>89441.728231623725</v>
      </c>
      <c r="N10" s="91"/>
    </row>
    <row r="11" spans="1:28" x14ac:dyDescent="0.2">
      <c r="B11" s="1" t="s">
        <v>180</v>
      </c>
      <c r="C11" s="137"/>
      <c r="D11" s="137"/>
      <c r="E11" s="137"/>
      <c r="F11" s="137"/>
      <c r="G11" s="138"/>
      <c r="H11" s="137"/>
      <c r="I11" s="137"/>
      <c r="J11" s="137"/>
      <c r="K11" s="137"/>
      <c r="L11" s="126">
        <f ca="1">L8/(1+C15)^L9</f>
        <v>1184357.1838524786</v>
      </c>
    </row>
    <row r="13" spans="1:28" x14ac:dyDescent="0.2">
      <c r="B13" s="246" t="s">
        <v>181</v>
      </c>
      <c r="C13" s="246"/>
    </row>
    <row r="14" spans="1:28" x14ac:dyDescent="0.2">
      <c r="B14" s="1" t="s">
        <v>182</v>
      </c>
      <c r="C14" s="140">
        <v>0.02</v>
      </c>
    </row>
    <row r="15" spans="1:28" x14ac:dyDescent="0.2">
      <c r="B15" s="1" t="s">
        <v>162</v>
      </c>
      <c r="C15" s="135">
        <f ca="1">IF(Overview!C28&gt;0,Overview!C28,WACC!C20)</f>
        <v>9.7029602251831923E-2</v>
      </c>
    </row>
    <row r="18" spans="2:3" x14ac:dyDescent="0.2">
      <c r="B18" s="246" t="s">
        <v>183</v>
      </c>
      <c r="C18" s="246"/>
    </row>
    <row r="19" spans="2:3" x14ac:dyDescent="0.2">
      <c r="B19" s="1" t="s">
        <v>184</v>
      </c>
      <c r="C19" s="64">
        <f ca="1">SUM(H10:L10)</f>
        <v>471266.34350532334</v>
      </c>
    </row>
    <row r="20" spans="2:3" x14ac:dyDescent="0.2">
      <c r="B20" s="1" t="s">
        <v>180</v>
      </c>
      <c r="C20" s="64">
        <f ca="1">L11</f>
        <v>1184357.1838524786</v>
      </c>
    </row>
    <row r="21" spans="2:3" x14ac:dyDescent="0.2">
      <c r="B21" s="16" t="s">
        <v>185</v>
      </c>
      <c r="C21" s="94">
        <f ca="1">C19+C20</f>
        <v>1655623.527357802</v>
      </c>
    </row>
    <row r="22" spans="2:3" x14ac:dyDescent="0.2">
      <c r="B22" s="1" t="s">
        <v>186</v>
      </c>
      <c r="C22" s="88">
        <f>Statement!AC105</f>
        <v>146517</v>
      </c>
    </row>
    <row r="23" spans="2:3" x14ac:dyDescent="0.2">
      <c r="B23" s="1" t="s">
        <v>187</v>
      </c>
      <c r="C23" s="88">
        <f>Statement!AC106</f>
        <v>84344</v>
      </c>
    </row>
    <row r="24" spans="2:3" x14ac:dyDescent="0.2">
      <c r="B24" s="16" t="s">
        <v>188</v>
      </c>
      <c r="C24" s="94">
        <f ca="1">C21+C22-C23</f>
        <v>1717796.527357802</v>
      </c>
    </row>
    <row r="25" spans="2:3" x14ac:dyDescent="0.2">
      <c r="B25" s="1" t="s">
        <v>67</v>
      </c>
      <c r="C25" s="88">
        <f>Statement!AC77</f>
        <v>14653</v>
      </c>
    </row>
    <row r="26" spans="2:3" x14ac:dyDescent="0.2">
      <c r="B26" s="234" t="s">
        <v>189</v>
      </c>
      <c r="C26" s="235">
        <f ca="1">C24/C25</f>
        <v>117.23172915838408</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71" zoomScale="192" zoomScaleNormal="100" workbookViewId="0">
      <selection activeCell="B76" sqref="B76"/>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190</v>
      </c>
    </row>
    <row r="2" spans="1:14" x14ac:dyDescent="0.2">
      <c r="A2" s="4"/>
      <c r="C2" s="246" t="s">
        <v>110</v>
      </c>
      <c r="D2" s="246"/>
      <c r="E2" s="246"/>
      <c r="F2" s="246"/>
      <c r="G2" s="255"/>
      <c r="H2" s="256" t="s">
        <v>111</v>
      </c>
      <c r="I2" s="246"/>
      <c r="J2" s="246"/>
      <c r="K2" s="246"/>
      <c r="L2" s="246"/>
    </row>
    <row r="3" spans="1:14" ht="10" customHeight="1" x14ac:dyDescent="0.2"/>
    <row r="4" spans="1:14" ht="16" customHeight="1" x14ac:dyDescent="0.2">
      <c r="A4" s="86"/>
      <c r="B4" s="60"/>
      <c r="C4" s="252" t="s">
        <v>191</v>
      </c>
      <c r="D4" s="252"/>
      <c r="E4" s="252"/>
      <c r="F4" s="252"/>
      <c r="G4" s="252"/>
      <c r="H4" s="252"/>
      <c r="I4" s="252"/>
      <c r="J4" s="252"/>
      <c r="K4" s="252"/>
      <c r="L4" s="252"/>
    </row>
    <row r="5" spans="1:14" x14ac:dyDescent="0.2">
      <c r="B5" s="16" t="s">
        <v>114</v>
      </c>
      <c r="C5" s="12">
        <f>Revenue!C5</f>
        <v>2021</v>
      </c>
      <c r="D5" s="12">
        <f>Revenue!D5</f>
        <v>2022</v>
      </c>
      <c r="E5" s="12">
        <f>Revenue!E5</f>
        <v>2023</v>
      </c>
      <c r="F5" s="12">
        <f>Revenue!F5</f>
        <v>2024</v>
      </c>
      <c r="G5" s="12">
        <f>Revenue!G5</f>
        <v>2025</v>
      </c>
      <c r="H5" s="12">
        <f>Revenue!H5</f>
        <v>2026</v>
      </c>
      <c r="I5" s="12">
        <f>Revenue!I5</f>
        <v>2027</v>
      </c>
      <c r="J5" s="12">
        <f>Revenue!J5</f>
        <v>2028</v>
      </c>
      <c r="K5" s="12">
        <f>Revenue!K5</f>
        <v>2029</v>
      </c>
      <c r="L5" s="12">
        <f>Revenue!L5</f>
        <v>2030</v>
      </c>
    </row>
    <row r="6" spans="1:14" x14ac:dyDescent="0.2">
      <c r="B6" s="16" t="s">
        <v>19</v>
      </c>
      <c r="C6" s="92">
        <f>Revenue!C11</f>
        <v>365817</v>
      </c>
      <c r="D6" s="92">
        <f>Revenue!D11</f>
        <v>394328</v>
      </c>
      <c r="E6" s="92">
        <f>Revenue!E11</f>
        <v>383285</v>
      </c>
      <c r="F6" s="92">
        <f>Revenue!F11</f>
        <v>391035</v>
      </c>
      <c r="G6" s="93">
        <f>Revenue!G11</f>
        <v>416161</v>
      </c>
      <c r="H6" s="92">
        <f>Revenue!H11</f>
        <v>472804.01999999996</v>
      </c>
      <c r="I6" s="92">
        <f>Revenue!I11</f>
        <v>508345.56839999999</v>
      </c>
      <c r="J6" s="92">
        <f>Revenue!J11</f>
        <v>541378.12058700004</v>
      </c>
      <c r="K6" s="92">
        <f>Revenue!K11</f>
        <v>577496.77266421507</v>
      </c>
      <c r="L6" s="92">
        <f>Revenue!L11</f>
        <v>615524.85273290111</v>
      </c>
      <c r="N6" s="91"/>
    </row>
    <row r="7" spans="1:14" x14ac:dyDescent="0.2">
      <c r="B7" s="16" t="s">
        <v>154</v>
      </c>
      <c r="C7" s="92">
        <f>'FCF &amp; Other'!C10</f>
        <v>108949</v>
      </c>
      <c r="D7" s="92">
        <f>'FCF &amp; Other'!D10</f>
        <v>119437</v>
      </c>
      <c r="E7" s="92">
        <f>'FCF &amp; Other'!E10</f>
        <v>114301</v>
      </c>
      <c r="F7" s="92">
        <f>'FCF &amp; Other'!F10</f>
        <v>123216</v>
      </c>
      <c r="G7" s="93">
        <f>'FCF &amp; Other'!G10</f>
        <v>133050</v>
      </c>
      <c r="H7" s="92">
        <f>'FCF &amp; Other'!H10</f>
        <v>149406.07032</v>
      </c>
      <c r="I7" s="92">
        <f>'FCF &amp; Other'!I10</f>
        <v>160637.19961439999</v>
      </c>
      <c r="J7" s="92">
        <f>'FCF &amp; Other'!J10</f>
        <v>170534.10798490501</v>
      </c>
      <c r="K7" s="92">
        <f>'FCF &amp; Other'!K10</f>
        <v>179023.99952590666</v>
      </c>
      <c r="L7" s="92">
        <f>'FCF &amp; Other'!L10</f>
        <v>195121.37831632962</v>
      </c>
      <c r="N7" s="91"/>
    </row>
    <row r="8" spans="1:14" x14ac:dyDescent="0.2">
      <c r="B8" s="16" t="s">
        <v>256</v>
      </c>
      <c r="C8" s="92">
        <f>'FCF &amp; Other'!C28</f>
        <v>89744.319832977737</v>
      </c>
      <c r="D8" s="92">
        <f>'FCF &amp; Other'!D28</f>
        <v>101678.87709797402</v>
      </c>
      <c r="E8" s="92">
        <f>'FCF &amp; Other'!E28</f>
        <v>91459.836665611598</v>
      </c>
      <c r="F8" s="92">
        <f>'FCF &amp; Other'!F28</f>
        <v>99180.80528809168</v>
      </c>
      <c r="G8" s="93">
        <f>'FCF &amp; Other'!G28</f>
        <v>86263.891892502768</v>
      </c>
      <c r="H8" s="92">
        <f>'FCF &amp; Other'!H28</f>
        <v>110359.01584249863</v>
      </c>
      <c r="I8" s="92">
        <f>'FCF &amp; Other'!I28</f>
        <v>117251.66860472942</v>
      </c>
      <c r="J8" s="92">
        <f>'FCF &amp; Other'!J28</f>
        <v>123887.20581764498</v>
      </c>
      <c r="K8" s="92">
        <f>'FCF &amp; Other'!K28</f>
        <v>130297.13719375257</v>
      </c>
      <c r="L8" s="92">
        <f>'FCF &amp; Other'!L28</f>
        <v>142112.38103456292</v>
      </c>
      <c r="N8" s="91"/>
    </row>
    <row r="9" spans="1:14" x14ac:dyDescent="0.2">
      <c r="B9" s="16" t="s">
        <v>314</v>
      </c>
      <c r="C9" s="137"/>
      <c r="D9" s="137"/>
      <c r="E9" s="137"/>
      <c r="F9" s="137"/>
      <c r="G9" s="138"/>
      <c r="H9" s="92">
        <f ca="1">DCF!H10</f>
        <v>100598.02909234971</v>
      </c>
      <c r="I9" s="92">
        <f ca="1">DCF!I10</f>
        <v>97427.674922636434</v>
      </c>
      <c r="J9" s="92">
        <f ca="1">DCF!J10</f>
        <v>93836.417239063201</v>
      </c>
      <c r="K9" s="92">
        <f ca="1">DCF!K10</f>
        <v>89962.494019650287</v>
      </c>
      <c r="L9" s="92">
        <f ca="1">DCF!L10</f>
        <v>89441.728231623725</v>
      </c>
      <c r="N9" s="91"/>
    </row>
    <row r="10" spans="1:14" x14ac:dyDescent="0.2">
      <c r="N10" s="91"/>
    </row>
    <row r="11" spans="1:14" x14ac:dyDescent="0.2">
      <c r="C11" s="252" t="s">
        <v>119</v>
      </c>
      <c r="D11" s="252"/>
      <c r="E11" s="252"/>
      <c r="F11" s="252"/>
      <c r="G11" s="252"/>
      <c r="H11" s="252"/>
      <c r="I11" s="252"/>
      <c r="J11" s="252"/>
      <c r="K11" s="252"/>
      <c r="L11" s="252"/>
      <c r="N11" s="91"/>
    </row>
    <row r="12" spans="1:14" x14ac:dyDescent="0.2">
      <c r="B12" s="16" t="s">
        <v>192</v>
      </c>
      <c r="C12" s="12">
        <f>C5</f>
        <v>2021</v>
      </c>
      <c r="D12" s="12">
        <f t="shared" ref="D12:L12" si="0">D5</f>
        <v>2022</v>
      </c>
      <c r="E12" s="12">
        <f t="shared" si="0"/>
        <v>2023</v>
      </c>
      <c r="F12" s="12">
        <f t="shared" si="0"/>
        <v>2024</v>
      </c>
      <c r="G12" s="12">
        <f t="shared" si="0"/>
        <v>2025</v>
      </c>
      <c r="H12" s="12">
        <f t="shared" si="0"/>
        <v>2026</v>
      </c>
      <c r="I12" s="12">
        <f t="shared" si="0"/>
        <v>2027</v>
      </c>
      <c r="J12" s="12">
        <f t="shared" si="0"/>
        <v>2028</v>
      </c>
      <c r="K12" s="12">
        <f t="shared" si="0"/>
        <v>2029</v>
      </c>
      <c r="L12" s="12">
        <f t="shared" si="0"/>
        <v>2030</v>
      </c>
      <c r="N12" s="91"/>
    </row>
    <row r="13" spans="1:14" x14ac:dyDescent="0.2">
      <c r="B13" s="1" t="s">
        <v>19</v>
      </c>
      <c r="C13" s="137"/>
      <c r="D13" s="95">
        <f>(D6-C6)/C6</f>
        <v>7.7937876041846058E-2</v>
      </c>
      <c r="E13" s="95">
        <f t="shared" ref="E13:L13" si="1">(E6-D6)/D6</f>
        <v>-2.8004605303199367E-2</v>
      </c>
      <c r="F13" s="95">
        <f t="shared" si="1"/>
        <v>2.0219940775141214E-2</v>
      </c>
      <c r="G13" s="96">
        <f t="shared" si="1"/>
        <v>6.4255117828327393E-2</v>
      </c>
      <c r="H13" s="95">
        <f t="shared" si="1"/>
        <v>0.13610842918966448</v>
      </c>
      <c r="I13" s="95">
        <f t="shared" si="1"/>
        <v>7.5171840543995436E-2</v>
      </c>
      <c r="J13" s="95">
        <f t="shared" si="1"/>
        <v>6.4980505861335358E-2</v>
      </c>
      <c r="K13" s="95">
        <f t="shared" si="1"/>
        <v>6.6716128162055494E-2</v>
      </c>
      <c r="L13" s="95">
        <f t="shared" si="1"/>
        <v>6.5849857295734948E-2</v>
      </c>
      <c r="N13" s="91"/>
    </row>
    <row r="14" spans="1:14" x14ac:dyDescent="0.2">
      <c r="B14" s="1" t="s">
        <v>154</v>
      </c>
      <c r="C14" s="137"/>
      <c r="D14" s="95">
        <f>IF(C7=0,
IF(D7=0,0,IF(D7&gt;0,1,-1)),
(D7-C7)/ABS(C7)
)</f>
        <v>9.6265225013538444E-2</v>
      </c>
      <c r="E14" s="95">
        <f t="shared" ref="E14:L14" si="2">IF(D7=0,
IF(E7=0,0,IF(E7&gt;0,1,-1)),
(E7-D7)/ABS(D7)
)</f>
        <v>-4.3001749876503931E-2</v>
      </c>
      <c r="F14" s="95">
        <f t="shared" si="2"/>
        <v>7.799581805933456E-2</v>
      </c>
      <c r="G14" s="96">
        <f t="shared" si="2"/>
        <v>7.9811063498246987E-2</v>
      </c>
      <c r="H14" s="95">
        <f t="shared" si="2"/>
        <v>0.12293175738444193</v>
      </c>
      <c r="I14" s="95">
        <f t="shared" si="2"/>
        <v>7.5171840543995283E-2</v>
      </c>
      <c r="J14" s="95">
        <f t="shared" si="2"/>
        <v>6.1610314387090706E-2</v>
      </c>
      <c r="K14" s="95">
        <f t="shared" si="2"/>
        <v>4.9784126127737097E-2</v>
      </c>
      <c r="L14" s="95">
        <f t="shared" si="2"/>
        <v>8.9917434718541703E-2</v>
      </c>
      <c r="N14" s="91"/>
    </row>
    <row r="15" spans="1:14" x14ac:dyDescent="0.2">
      <c r="B15" s="1" t="s">
        <v>256</v>
      </c>
      <c r="C15" s="137"/>
      <c r="D15" s="95">
        <f>IF(C8=0,
IF(D8=0,0,IF(D8&gt;0,1,-1)),
(D8-C8)/ABS(C8)
)</f>
        <v>0.13298398480491658</v>
      </c>
      <c r="E15" s="95">
        <f t="shared" ref="E15:L15" si="3">IF(D8=0,
IF(E8=0,0,IF(E8&gt;0,1,-1)),
(E8-D8)/ABS(D8)
)</f>
        <v>-0.10050308111207536</v>
      </c>
      <c r="F15" s="95">
        <f t="shared" si="3"/>
        <v>8.4419226011838322E-2</v>
      </c>
      <c r="G15" s="96">
        <f t="shared" si="3"/>
        <v>-0.13023602054922823</v>
      </c>
      <c r="H15" s="95">
        <f t="shared" si="3"/>
        <v>0.27931876734731437</v>
      </c>
      <c r="I15" s="95">
        <f t="shared" si="3"/>
        <v>6.2456634916605247E-2</v>
      </c>
      <c r="J15" s="95">
        <f t="shared" si="3"/>
        <v>5.6592262539860431E-2</v>
      </c>
      <c r="K15" s="95">
        <f t="shared" si="3"/>
        <v>5.1740059304773163E-2</v>
      </c>
      <c r="L15" s="95">
        <f t="shared" si="3"/>
        <v>9.0679228226181324E-2</v>
      </c>
      <c r="N15" s="91"/>
    </row>
    <row r="16" spans="1:14" x14ac:dyDescent="0.2">
      <c r="N16" s="91"/>
    </row>
    <row r="17" spans="2:14" x14ac:dyDescent="0.2">
      <c r="C17" s="252" t="s">
        <v>193</v>
      </c>
      <c r="D17" s="252"/>
      <c r="E17" s="252"/>
      <c r="F17" s="252"/>
      <c r="G17" s="252"/>
      <c r="H17" s="252"/>
      <c r="I17" s="252"/>
      <c r="J17" s="252"/>
      <c r="K17" s="252"/>
      <c r="L17" s="252"/>
      <c r="N17" s="91"/>
    </row>
    <row r="18" spans="2:14" x14ac:dyDescent="0.2">
      <c r="C18" s="12">
        <f t="shared" ref="C18:L18" si="4">C5</f>
        <v>2021</v>
      </c>
      <c r="D18" s="12">
        <f t="shared" si="4"/>
        <v>2022</v>
      </c>
      <c r="E18" s="12">
        <f t="shared" si="4"/>
        <v>2023</v>
      </c>
      <c r="F18" s="12">
        <f t="shared" si="4"/>
        <v>2024</v>
      </c>
      <c r="G18" s="12">
        <f t="shared" si="4"/>
        <v>2025</v>
      </c>
      <c r="H18" s="12">
        <f t="shared" si="4"/>
        <v>2026</v>
      </c>
      <c r="I18" s="12">
        <f t="shared" si="4"/>
        <v>2027</v>
      </c>
      <c r="J18" s="12">
        <f t="shared" si="4"/>
        <v>2028</v>
      </c>
      <c r="K18" s="12">
        <f t="shared" si="4"/>
        <v>2029</v>
      </c>
      <c r="L18" s="12">
        <f t="shared" si="4"/>
        <v>2030</v>
      </c>
      <c r="N18" s="91"/>
    </row>
    <row r="19" spans="2:14" x14ac:dyDescent="0.2">
      <c r="B19" s="1" t="s">
        <v>194</v>
      </c>
      <c r="C19" s="100">
        <f>Statement!M21</f>
        <v>16865</v>
      </c>
      <c r="D19" s="100">
        <f>Statement!N21</f>
        <v>16326</v>
      </c>
      <c r="E19" s="100">
        <f>Statement!O21</f>
        <v>15813</v>
      </c>
      <c r="F19" s="100">
        <f>Statement!P21</f>
        <v>15408</v>
      </c>
      <c r="G19" s="101">
        <f>Statement!Q21</f>
        <v>15005</v>
      </c>
      <c r="H19" s="141">
        <f>G19*(1+H20)</f>
        <v>14629.875</v>
      </c>
      <c r="I19" s="141">
        <f t="shared" ref="I19:L19" si="5">H19*(1+I20)</f>
        <v>14264.128124999999</v>
      </c>
      <c r="J19" s="141">
        <f t="shared" si="5"/>
        <v>13921.789049999999</v>
      </c>
      <c r="K19" s="141">
        <f t="shared" si="5"/>
        <v>13601.58790185</v>
      </c>
      <c r="L19" s="141">
        <f t="shared" si="5"/>
        <v>13302.3529680093</v>
      </c>
      <c r="N19" s="91"/>
    </row>
    <row r="20" spans="2:14" x14ac:dyDescent="0.2">
      <c r="B20" s="1" t="s">
        <v>195</v>
      </c>
      <c r="C20" s="137"/>
      <c r="D20" s="227">
        <f>D19/C19-1</f>
        <v>-3.1959679810257935E-2</v>
      </c>
      <c r="E20" s="227">
        <f t="shared" ref="E20:G20" si="6">E19/D19-1</f>
        <v>-3.1422271223814802E-2</v>
      </c>
      <c r="F20" s="227">
        <f t="shared" si="6"/>
        <v>-2.5611838360842354E-2</v>
      </c>
      <c r="G20" s="228">
        <f t="shared" si="6"/>
        <v>-2.6155244029075764E-2</v>
      </c>
      <c r="H20" s="226">
        <v>-2.5000000000000001E-2</v>
      </c>
      <c r="I20" s="163">
        <v>-2.5000000000000001E-2</v>
      </c>
      <c r="J20" s="163">
        <v>-2.4E-2</v>
      </c>
      <c r="K20" s="163">
        <v>-2.3E-2</v>
      </c>
      <c r="L20" s="163">
        <v>-2.1999999999999999E-2</v>
      </c>
      <c r="N20" s="91"/>
    </row>
    <row r="21" spans="2:14" x14ac:dyDescent="0.2">
      <c r="N21" s="91"/>
    </row>
    <row r="22" spans="2:14" x14ac:dyDescent="0.2">
      <c r="C22" s="252" t="s">
        <v>196</v>
      </c>
      <c r="D22" s="252"/>
      <c r="E22" s="252"/>
      <c r="F22" s="252"/>
      <c r="G22" s="252"/>
      <c r="H22" s="252"/>
      <c r="I22" s="252"/>
      <c r="J22" s="252"/>
      <c r="K22" s="252"/>
      <c r="L22" s="252"/>
      <c r="N22" s="91"/>
    </row>
    <row r="23" spans="2:14" x14ac:dyDescent="0.2">
      <c r="C23" s="12">
        <f>C5</f>
        <v>2021</v>
      </c>
      <c r="D23" s="12">
        <f t="shared" ref="D23:L23" si="7">D5</f>
        <v>2022</v>
      </c>
      <c r="E23" s="12">
        <f t="shared" si="7"/>
        <v>2023</v>
      </c>
      <c r="F23" s="12">
        <f t="shared" si="7"/>
        <v>2024</v>
      </c>
      <c r="G23" s="12">
        <f t="shared" si="7"/>
        <v>2025</v>
      </c>
      <c r="H23" s="12">
        <f t="shared" si="7"/>
        <v>2026</v>
      </c>
      <c r="I23" s="12">
        <f t="shared" si="7"/>
        <v>2027</v>
      </c>
      <c r="J23" s="12">
        <f t="shared" si="7"/>
        <v>2028</v>
      </c>
      <c r="K23" s="12">
        <f t="shared" si="7"/>
        <v>2029</v>
      </c>
      <c r="L23" s="12">
        <f t="shared" si="7"/>
        <v>2030</v>
      </c>
      <c r="N23" s="91"/>
    </row>
    <row r="24" spans="2:14" x14ac:dyDescent="0.2">
      <c r="B24" s="1" t="s">
        <v>1</v>
      </c>
      <c r="C24" s="142">
        <f>Statement!M114</f>
        <v>146.91999999999999</v>
      </c>
      <c r="D24" s="142">
        <f>Statement!N114</f>
        <v>150.43</v>
      </c>
      <c r="E24" s="142">
        <f>Statement!O114</f>
        <v>171.21</v>
      </c>
      <c r="F24" s="142">
        <f>Statement!P114</f>
        <v>227.79</v>
      </c>
      <c r="G24" s="143">
        <f>Statement!Q114</f>
        <v>255.46</v>
      </c>
      <c r="H24" s="137"/>
      <c r="I24" s="137"/>
      <c r="J24" s="137"/>
      <c r="K24" s="137"/>
      <c r="L24" s="137"/>
      <c r="N24" s="91"/>
    </row>
    <row r="25" spans="2:14" x14ac:dyDescent="0.2">
      <c r="N25" s="91"/>
    </row>
    <row r="26" spans="2:14" x14ac:dyDescent="0.2">
      <c r="N26" s="91"/>
    </row>
    <row r="27" spans="2:14" x14ac:dyDescent="0.2">
      <c r="C27" s="252" t="s">
        <v>197</v>
      </c>
      <c r="D27" s="252"/>
      <c r="E27" s="252"/>
      <c r="F27" s="252"/>
      <c r="G27" s="252"/>
      <c r="H27" s="252"/>
      <c r="I27" s="252"/>
      <c r="J27" s="252"/>
      <c r="K27" s="252"/>
      <c r="L27" s="252"/>
      <c r="N27" s="91"/>
    </row>
    <row r="28" spans="2:14" x14ac:dyDescent="0.2">
      <c r="C28" s="12">
        <f>C5</f>
        <v>2021</v>
      </c>
      <c r="D28" s="12">
        <f t="shared" ref="D28:L28" si="8">D5</f>
        <v>2022</v>
      </c>
      <c r="E28" s="12">
        <f t="shared" si="8"/>
        <v>2023</v>
      </c>
      <c r="F28" s="12">
        <f t="shared" si="8"/>
        <v>2024</v>
      </c>
      <c r="G28" s="12">
        <f t="shared" si="8"/>
        <v>2025</v>
      </c>
      <c r="H28" s="12">
        <f t="shared" si="8"/>
        <v>2026</v>
      </c>
      <c r="I28" s="12">
        <f t="shared" si="8"/>
        <v>2027</v>
      </c>
      <c r="J28" s="12">
        <f t="shared" si="8"/>
        <v>2028</v>
      </c>
      <c r="K28" s="12">
        <f t="shared" si="8"/>
        <v>2029</v>
      </c>
      <c r="L28" s="12">
        <f t="shared" si="8"/>
        <v>2030</v>
      </c>
      <c r="N28" s="91"/>
    </row>
    <row r="29" spans="2:14" x14ac:dyDescent="0.2">
      <c r="B29" s="16" t="s">
        <v>198</v>
      </c>
      <c r="C29" s="144">
        <f>C24/(C6/C19)</f>
        <v>6.7733478761238537</v>
      </c>
      <c r="D29" s="144">
        <f t="shared" ref="D29:G29" si="9">D24/(D6/D19)</f>
        <v>6.2281151224361446</v>
      </c>
      <c r="E29" s="144">
        <f t="shared" si="9"/>
        <v>7.0635264359419239</v>
      </c>
      <c r="F29" s="144">
        <f t="shared" si="9"/>
        <v>8.9756372703210712</v>
      </c>
      <c r="G29" s="145">
        <f t="shared" si="9"/>
        <v>9.2108037514327386</v>
      </c>
      <c r="H29" s="137"/>
      <c r="I29" s="137"/>
      <c r="J29" s="137"/>
      <c r="K29" s="137"/>
      <c r="L29" s="137"/>
      <c r="N29" s="91"/>
    </row>
    <row r="30" spans="2:14" x14ac:dyDescent="0.2">
      <c r="B30" s="1" t="s">
        <v>199</v>
      </c>
      <c r="C30" s="141">
        <f>C24*C19</f>
        <v>2477805.7999999998</v>
      </c>
      <c r="D30" s="141">
        <f t="shared" ref="D30:G30" si="10">D24*D19</f>
        <v>2455920.1800000002</v>
      </c>
      <c r="E30" s="141">
        <f t="shared" si="10"/>
        <v>2707343.73</v>
      </c>
      <c r="F30" s="141">
        <f t="shared" si="10"/>
        <v>3509788.32</v>
      </c>
      <c r="G30" s="146">
        <f t="shared" si="10"/>
        <v>3833177.3000000003</v>
      </c>
      <c r="H30" s="137"/>
      <c r="I30" s="137"/>
      <c r="J30" s="137"/>
      <c r="K30" s="137"/>
      <c r="L30" s="137"/>
      <c r="N30" s="91"/>
    </row>
    <row r="31" spans="2:14" x14ac:dyDescent="0.2">
      <c r="B31" s="1" t="s">
        <v>166</v>
      </c>
      <c r="C31" s="88">
        <f>Statement!M106</f>
        <v>124719</v>
      </c>
      <c r="D31" s="147">
        <f>Statement!N106</f>
        <v>120069</v>
      </c>
      <c r="E31" s="147">
        <f>Statement!O106</f>
        <v>111088</v>
      </c>
      <c r="F31" s="147">
        <f>Statement!P106</f>
        <v>106629</v>
      </c>
      <c r="G31" s="148">
        <f>Statement!Q106</f>
        <v>98657</v>
      </c>
      <c r="H31" s="137"/>
      <c r="I31" s="137"/>
      <c r="J31" s="137"/>
      <c r="K31" s="137"/>
      <c r="L31" s="137"/>
      <c r="N31" s="91"/>
    </row>
    <row r="32" spans="2:14" x14ac:dyDescent="0.2">
      <c r="B32" s="1" t="s">
        <v>175</v>
      </c>
      <c r="C32" s="147">
        <f>Statement!M105</f>
        <v>190516</v>
      </c>
      <c r="D32" s="147">
        <f>Statement!N105</f>
        <v>169109</v>
      </c>
      <c r="E32" s="147">
        <f>Statement!O105</f>
        <v>162099</v>
      </c>
      <c r="F32" s="147">
        <f>Statement!P105</f>
        <v>156650</v>
      </c>
      <c r="G32" s="148">
        <f>Statement!Q105</f>
        <v>132420</v>
      </c>
      <c r="H32" s="137"/>
      <c r="I32" s="137"/>
      <c r="J32" s="137"/>
      <c r="K32" s="137"/>
      <c r="L32" s="137"/>
      <c r="N32" s="91"/>
    </row>
    <row r="33" spans="2:14" x14ac:dyDescent="0.2">
      <c r="B33" s="1" t="s">
        <v>200</v>
      </c>
      <c r="C33" s="141">
        <f>C30+C31-C32</f>
        <v>2412008.7999999998</v>
      </c>
      <c r="D33" s="141">
        <f t="shared" ref="D33:G33" si="11">D30+D31-D32</f>
        <v>2406880.1800000002</v>
      </c>
      <c r="E33" s="141">
        <f t="shared" si="11"/>
        <v>2656332.73</v>
      </c>
      <c r="F33" s="141">
        <f t="shared" si="11"/>
        <v>3459767.32</v>
      </c>
      <c r="G33" s="146">
        <f t="shared" si="11"/>
        <v>3799414.3000000003</v>
      </c>
      <c r="H33" s="137"/>
      <c r="I33" s="137"/>
      <c r="J33" s="137"/>
      <c r="K33" s="137"/>
      <c r="L33" s="137"/>
      <c r="N33" s="91"/>
    </row>
    <row r="34" spans="2:14" x14ac:dyDescent="0.2">
      <c r="B34" s="16" t="s">
        <v>201</v>
      </c>
      <c r="C34" s="144">
        <f>C33/C7</f>
        <v>22.138879659290126</v>
      </c>
      <c r="D34" s="144">
        <f t="shared" ref="D34:G34" si="12">D33/D7</f>
        <v>20.151880740474059</v>
      </c>
      <c r="E34" s="144">
        <f t="shared" si="12"/>
        <v>23.23980306384021</v>
      </c>
      <c r="F34" s="144">
        <f t="shared" si="12"/>
        <v>28.078880340215555</v>
      </c>
      <c r="G34" s="145">
        <f t="shared" si="12"/>
        <v>28.556289364900415</v>
      </c>
      <c r="H34" s="137"/>
      <c r="I34" s="137"/>
      <c r="J34" s="137"/>
      <c r="K34" s="137"/>
      <c r="L34" s="137"/>
      <c r="N34" s="91"/>
    </row>
    <row r="35" spans="2:14" x14ac:dyDescent="0.2">
      <c r="B35" s="16" t="s">
        <v>315</v>
      </c>
      <c r="C35" s="144">
        <f>C33/C8</f>
        <v>26.876450838214222</v>
      </c>
      <c r="D35" s="144">
        <f t="shared" ref="D35:G35" si="13">D33/D8</f>
        <v>23.671388283338526</v>
      </c>
      <c r="E35" s="144">
        <f t="shared" si="13"/>
        <v>29.043707345683099</v>
      </c>
      <c r="F35" s="144">
        <f t="shared" si="13"/>
        <v>34.883436466868481</v>
      </c>
      <c r="G35" s="145">
        <f t="shared" si="13"/>
        <v>44.044086310580767</v>
      </c>
      <c r="H35" s="137"/>
      <c r="I35" s="137"/>
      <c r="J35" s="137"/>
      <c r="K35" s="137"/>
      <c r="L35" s="137"/>
      <c r="N35" s="91"/>
    </row>
    <row r="36" spans="2:14" x14ac:dyDescent="0.2">
      <c r="B36" s="16" t="s">
        <v>413</v>
      </c>
      <c r="C36" s="144">
        <f>C33/C6</f>
        <v>6.5934847205023273</v>
      </c>
      <c r="D36" s="144">
        <f t="shared" ref="D36:G36" si="14">D33/D6</f>
        <v>6.1037516483739429</v>
      </c>
      <c r="E36" s="144">
        <f t="shared" si="14"/>
        <v>6.9304374812476359</v>
      </c>
      <c r="F36" s="144">
        <f t="shared" si="14"/>
        <v>8.8477177746237547</v>
      </c>
      <c r="G36" s="145">
        <f t="shared" si="14"/>
        <v>9.1296740924786324</v>
      </c>
      <c r="H36" s="137"/>
      <c r="I36" s="137"/>
      <c r="J36" s="137"/>
      <c r="K36" s="137"/>
      <c r="L36" s="137"/>
      <c r="N36" s="91"/>
    </row>
    <row r="37" spans="2:14" x14ac:dyDescent="0.2">
      <c r="N37" s="91"/>
    </row>
    <row r="38" spans="2:14" x14ac:dyDescent="0.2">
      <c r="N38" s="91"/>
    </row>
    <row r="39" spans="2:14" x14ac:dyDescent="0.2">
      <c r="B39" s="246" t="s">
        <v>202</v>
      </c>
      <c r="C39" s="246"/>
      <c r="N39" s="91"/>
    </row>
    <row r="40" spans="2:14" x14ac:dyDescent="0.2">
      <c r="B40" s="1" t="s">
        <v>203</v>
      </c>
      <c r="C40" s="64">
        <f>L7</f>
        <v>195121.37831632962</v>
      </c>
    </row>
    <row r="41" spans="2:14" x14ac:dyDescent="0.2">
      <c r="B41" s="1" t="s">
        <v>162</v>
      </c>
      <c r="C41" s="135">
        <f ca="1">IF(Overview!C28&gt;0,Overview!C28,WACC!C20)</f>
        <v>9.7029602251831923E-2</v>
      </c>
    </row>
    <row r="42" spans="2:14" x14ac:dyDescent="0.2">
      <c r="B42" s="39" t="s">
        <v>204</v>
      </c>
      <c r="C42" s="105">
        <v>24</v>
      </c>
    </row>
    <row r="43" spans="2:14" x14ac:dyDescent="0.2">
      <c r="B43" s="1" t="s">
        <v>409</v>
      </c>
      <c r="C43" s="24">
        <f>(C40*C42)</f>
        <v>4682913.0795919113</v>
      </c>
    </row>
    <row r="44" spans="2:14" x14ac:dyDescent="0.2">
      <c r="B44" s="1" t="s">
        <v>410</v>
      </c>
      <c r="C44" s="24">
        <f ca="1">C43/(1+C41)^5</f>
        <v>2947300.129292103</v>
      </c>
    </row>
    <row r="45" spans="2:14" x14ac:dyDescent="0.2">
      <c r="B45" s="16" t="s">
        <v>411</v>
      </c>
      <c r="C45" s="108">
        <f ca="1">SUM(H9:K9)+C44</f>
        <v>3329124.7445658026</v>
      </c>
    </row>
    <row r="46" spans="2:14" x14ac:dyDescent="0.2">
      <c r="B46" s="1" t="s">
        <v>186</v>
      </c>
      <c r="C46" s="88">
        <f>Statement!AC105</f>
        <v>146517</v>
      </c>
    </row>
    <row r="47" spans="2:14" x14ac:dyDescent="0.2">
      <c r="B47" s="1" t="s">
        <v>187</v>
      </c>
      <c r="C47" s="88">
        <f>Statement!AC106</f>
        <v>84344</v>
      </c>
    </row>
    <row r="48" spans="2:14" x14ac:dyDescent="0.2">
      <c r="B48" s="16" t="s">
        <v>188</v>
      </c>
      <c r="C48" s="94">
        <f ca="1">C45+C46-C47</f>
        <v>3391297.7445658026</v>
      </c>
    </row>
    <row r="49" spans="2:3" x14ac:dyDescent="0.2">
      <c r="B49" s="1" t="s">
        <v>67</v>
      </c>
      <c r="C49" s="88">
        <f>Statement!AC77</f>
        <v>14653</v>
      </c>
    </row>
    <row r="50" spans="2:3" x14ac:dyDescent="0.2">
      <c r="B50" s="234" t="s">
        <v>206</v>
      </c>
      <c r="C50" s="235">
        <f ca="1">C48/C49</f>
        <v>231.44050669254096</v>
      </c>
    </row>
    <row r="52" spans="2:3" x14ac:dyDescent="0.2">
      <c r="B52" s="246" t="s">
        <v>207</v>
      </c>
      <c r="C52" s="246"/>
    </row>
    <row r="53" spans="2:3" x14ac:dyDescent="0.2">
      <c r="B53" s="1" t="s">
        <v>208</v>
      </c>
      <c r="C53" s="64">
        <f>L6</f>
        <v>615524.85273290111</v>
      </c>
    </row>
    <row r="54" spans="2:3" x14ac:dyDescent="0.2">
      <c r="B54" s="1" t="s">
        <v>338</v>
      </c>
      <c r="C54" s="135">
        <f ca="1">IF(Overview!C29&gt;0,Overview!C29,WACC!C19)</f>
        <v>9.7994999999999999E-2</v>
      </c>
    </row>
    <row r="55" spans="2:3" x14ac:dyDescent="0.2">
      <c r="B55" s="39" t="s">
        <v>209</v>
      </c>
      <c r="C55" s="105">
        <v>7</v>
      </c>
    </row>
    <row r="56" spans="2:3" x14ac:dyDescent="0.2">
      <c r="B56" s="1" t="s">
        <v>205</v>
      </c>
      <c r="C56" s="24">
        <f>L19</f>
        <v>13302.3529680093</v>
      </c>
    </row>
    <row r="57" spans="2:3" x14ac:dyDescent="0.2">
      <c r="B57" s="1" t="s">
        <v>189</v>
      </c>
      <c r="C57" s="24">
        <f>(C53*C55)/C56</f>
        <v>323.90314551810462</v>
      </c>
    </row>
    <row r="58" spans="2:3" x14ac:dyDescent="0.2">
      <c r="B58" s="234" t="s">
        <v>206</v>
      </c>
      <c r="C58" s="235">
        <f ca="1">C57/(1+C54)^5</f>
        <v>202.96135486625744</v>
      </c>
    </row>
    <row r="60" spans="2:3" x14ac:dyDescent="0.2">
      <c r="B60" s="246" t="s">
        <v>316</v>
      </c>
      <c r="C60" s="246"/>
    </row>
    <row r="61" spans="2:3" x14ac:dyDescent="0.2">
      <c r="B61" s="1" t="s">
        <v>412</v>
      </c>
      <c r="C61" s="64">
        <f>L8</f>
        <v>142112.38103456292</v>
      </c>
    </row>
    <row r="62" spans="2:3" x14ac:dyDescent="0.2">
      <c r="B62" s="1" t="s">
        <v>162</v>
      </c>
      <c r="C62" s="135">
        <f ca="1">IF(Overview!C28&gt;0,Overview!C28,WACC!C20)</f>
        <v>9.7029602251831923E-2</v>
      </c>
    </row>
    <row r="63" spans="2:3" x14ac:dyDescent="0.2">
      <c r="B63" s="39" t="s">
        <v>339</v>
      </c>
      <c r="C63" s="105">
        <v>28</v>
      </c>
    </row>
    <row r="64" spans="2:3" x14ac:dyDescent="0.2">
      <c r="B64" s="1" t="s">
        <v>409</v>
      </c>
      <c r="C64" s="24">
        <f>(C61*C63)</f>
        <v>3979146.6689677616</v>
      </c>
    </row>
    <row r="65" spans="2:3" x14ac:dyDescent="0.2">
      <c r="B65" s="1" t="s">
        <v>410</v>
      </c>
      <c r="C65" s="24">
        <f ca="1">C64/(1+C62)^5</f>
        <v>2504368.3904854641</v>
      </c>
    </row>
    <row r="66" spans="2:3" x14ac:dyDescent="0.2">
      <c r="B66" s="16" t="s">
        <v>411</v>
      </c>
      <c r="C66" s="108">
        <f ca="1">SUM(H9:K9)+C65</f>
        <v>2886193.0057591638</v>
      </c>
    </row>
    <row r="67" spans="2:3" x14ac:dyDescent="0.2">
      <c r="B67" s="1" t="s">
        <v>186</v>
      </c>
      <c r="C67" s="88">
        <f>Statement!AC105</f>
        <v>146517</v>
      </c>
    </row>
    <row r="68" spans="2:3" x14ac:dyDescent="0.2">
      <c r="B68" s="1" t="s">
        <v>187</v>
      </c>
      <c r="C68" s="88">
        <f>Statement!AC106</f>
        <v>84344</v>
      </c>
    </row>
    <row r="69" spans="2:3" x14ac:dyDescent="0.2">
      <c r="B69" s="16" t="s">
        <v>188</v>
      </c>
      <c r="C69" s="94">
        <f ca="1">C66+C67-C68</f>
        <v>2948366.0057591638</v>
      </c>
    </row>
    <row r="70" spans="2:3" x14ac:dyDescent="0.2">
      <c r="B70" s="1" t="s">
        <v>67</v>
      </c>
      <c r="C70" s="88">
        <f>Statement!AC77</f>
        <v>14653</v>
      </c>
    </row>
    <row r="71" spans="2:3" x14ac:dyDescent="0.2">
      <c r="B71" s="234" t="s">
        <v>206</v>
      </c>
      <c r="C71" s="235">
        <f ca="1">C69/C70</f>
        <v>201.21244835591099</v>
      </c>
    </row>
    <row r="73" spans="2:3" x14ac:dyDescent="0.2">
      <c r="B73" s="246" t="s">
        <v>414</v>
      </c>
      <c r="C73" s="246"/>
    </row>
    <row r="74" spans="2:3" x14ac:dyDescent="0.2">
      <c r="B74" s="1" t="s">
        <v>415</v>
      </c>
      <c r="C74" s="64">
        <f>L6</f>
        <v>615524.85273290111</v>
      </c>
    </row>
    <row r="75" spans="2:3" x14ac:dyDescent="0.2">
      <c r="B75" s="1" t="s">
        <v>162</v>
      </c>
      <c r="C75" s="135">
        <f ca="1">IF(Overview!C28&gt;0,Overview!C28,WACC!C20)</f>
        <v>9.7029602251831923E-2</v>
      </c>
    </row>
    <row r="76" spans="2:3" x14ac:dyDescent="0.2">
      <c r="B76" s="39" t="s">
        <v>417</v>
      </c>
      <c r="C76" s="105">
        <v>7</v>
      </c>
    </row>
    <row r="77" spans="2:3" x14ac:dyDescent="0.2">
      <c r="B77" s="1" t="s">
        <v>409</v>
      </c>
      <c r="C77" s="24">
        <f>(C74*C76)</f>
        <v>4308673.9691303074</v>
      </c>
    </row>
    <row r="78" spans="2:3" x14ac:dyDescent="0.2">
      <c r="B78" s="1" t="s">
        <v>410</v>
      </c>
      <c r="C78" s="24">
        <f ca="1">C77/(1+C75)^5</f>
        <v>2711764.0516620292</v>
      </c>
    </row>
    <row r="79" spans="2:3" x14ac:dyDescent="0.2">
      <c r="B79" s="16" t="s">
        <v>411</v>
      </c>
      <c r="C79" s="108">
        <f ca="1">SUM(H9:K9)+C78</f>
        <v>3093588.6669357289</v>
      </c>
    </row>
    <row r="80" spans="2:3" x14ac:dyDescent="0.2">
      <c r="B80" s="1" t="s">
        <v>186</v>
      </c>
      <c r="C80" s="88">
        <f>Statement!AC105</f>
        <v>146517</v>
      </c>
    </row>
    <row r="81" spans="2:3" x14ac:dyDescent="0.2">
      <c r="B81" s="1" t="s">
        <v>187</v>
      </c>
      <c r="C81" s="88">
        <f>Statement!AC106</f>
        <v>84344</v>
      </c>
    </row>
    <row r="82" spans="2:3" x14ac:dyDescent="0.2">
      <c r="B82" s="16" t="s">
        <v>188</v>
      </c>
      <c r="C82" s="94">
        <f ca="1">C79+C80-C81</f>
        <v>3155761.6669357289</v>
      </c>
    </row>
    <row r="83" spans="2:3" x14ac:dyDescent="0.2">
      <c r="B83" s="1" t="s">
        <v>67</v>
      </c>
      <c r="C83" s="88">
        <f>Statement!AC77</f>
        <v>14653</v>
      </c>
    </row>
    <row r="84" spans="2:3" x14ac:dyDescent="0.2">
      <c r="B84" s="234" t="s">
        <v>206</v>
      </c>
      <c r="C84" s="235">
        <f ca="1">C82/C83</f>
        <v>215.36625038802489</v>
      </c>
    </row>
  </sheetData>
  <mergeCells count="11">
    <mergeCell ref="C22:L22"/>
    <mergeCell ref="C2:G2"/>
    <mergeCell ref="H2:L2"/>
    <mergeCell ref="C4:L4"/>
    <mergeCell ref="C11:L11"/>
    <mergeCell ref="C17:L17"/>
    <mergeCell ref="B73:C73"/>
    <mergeCell ref="C27:L27"/>
    <mergeCell ref="B39:C39"/>
    <mergeCell ref="B52:C52"/>
    <mergeCell ref="B60:C60"/>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210</v>
      </c>
    </row>
    <row r="2" spans="1:14" x14ac:dyDescent="0.2">
      <c r="N2" s="91"/>
    </row>
    <row r="3" spans="1:14" x14ac:dyDescent="0.2">
      <c r="N3" s="91"/>
    </row>
    <row r="4" spans="1:14" x14ac:dyDescent="0.2">
      <c r="B4" s="246" t="s">
        <v>211</v>
      </c>
      <c r="C4" s="246"/>
      <c r="N4" s="91"/>
    </row>
    <row r="5" spans="1:14" x14ac:dyDescent="0.2">
      <c r="B5" s="1" t="s">
        <v>212</v>
      </c>
      <c r="C5" s="133">
        <f ca="1">DCF!C26</f>
        <v>117.23172915838408</v>
      </c>
    </row>
    <row r="6" spans="1:14" x14ac:dyDescent="0.2">
      <c r="B6" s="1" t="s">
        <v>213</v>
      </c>
      <c r="C6" s="133">
        <f ca="1">Multiples!C50</f>
        <v>231.44050669254096</v>
      </c>
    </row>
    <row r="7" spans="1:14" x14ac:dyDescent="0.2">
      <c r="B7" s="1" t="s">
        <v>214</v>
      </c>
      <c r="C7" s="133">
        <f ca="1">Multiples!C58</f>
        <v>202.96135486625744</v>
      </c>
    </row>
    <row r="8" spans="1:14" x14ac:dyDescent="0.2">
      <c r="B8" s="1" t="s">
        <v>317</v>
      </c>
      <c r="C8" s="133">
        <f ca="1">Multiples!C71</f>
        <v>201.21244835591099</v>
      </c>
    </row>
    <row r="9" spans="1:14" x14ac:dyDescent="0.2">
      <c r="B9" s="1" t="s">
        <v>416</v>
      </c>
      <c r="C9" s="133">
        <f ca="1">Multiples!C84</f>
        <v>215.36625038802489</v>
      </c>
    </row>
    <row r="10" spans="1:14" x14ac:dyDescent="0.2">
      <c r="B10" s="234" t="s">
        <v>215</v>
      </c>
      <c r="C10" s="235">
        <f ca="1">AVERAGE(C5:C9)</f>
        <v>193.64245789222369</v>
      </c>
    </row>
    <row r="11" spans="1:14" x14ac:dyDescent="0.2">
      <c r="B11" s="1" t="s">
        <v>216</v>
      </c>
      <c r="C11" s="133">
        <f ca="1">Overview!C5</f>
        <v>347.72500000000002</v>
      </c>
    </row>
    <row r="12" spans="1:14" x14ac:dyDescent="0.2">
      <c r="B12" s="1" t="s">
        <v>217</v>
      </c>
      <c r="C12" s="149">
        <f ca="1">(C10-C11)/C11</f>
        <v>-0.44311608917327289</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8DA5-299F-1343-8F22-D98E787B4AC7}">
  <dimension ref="A1:N26"/>
  <sheetViews>
    <sheetView topLeftCell="A17" zoomScale="192" zoomScaleNormal="100" workbookViewId="0">
      <selection activeCell="D21" sqref="D21"/>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395</v>
      </c>
    </row>
    <row r="2" spans="1:14" x14ac:dyDescent="0.2">
      <c r="A2" s="4"/>
      <c r="C2" s="246" t="s">
        <v>110</v>
      </c>
      <c r="D2" s="246"/>
      <c r="E2" s="246"/>
      <c r="F2" s="246"/>
      <c r="G2" s="255"/>
      <c r="H2" s="256" t="s">
        <v>111</v>
      </c>
      <c r="I2" s="246"/>
      <c r="J2" s="246"/>
      <c r="K2" s="246"/>
      <c r="L2" s="246"/>
    </row>
    <row r="3" spans="1:14" ht="10" customHeight="1" x14ac:dyDescent="0.2"/>
    <row r="4" spans="1:14" ht="16" customHeight="1" x14ac:dyDescent="0.2">
      <c r="A4" s="86"/>
      <c r="B4" s="60"/>
      <c r="C4" s="252" t="s">
        <v>191</v>
      </c>
      <c r="D4" s="252"/>
      <c r="E4" s="252"/>
      <c r="F4" s="252"/>
      <c r="G4" s="252"/>
      <c r="H4" s="252"/>
      <c r="I4" s="252"/>
      <c r="J4" s="252"/>
      <c r="K4" s="252"/>
      <c r="L4" s="252"/>
    </row>
    <row r="5" spans="1:14" x14ac:dyDescent="0.2">
      <c r="B5" s="16" t="s">
        <v>114</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237</v>
      </c>
      <c r="C6" s="229">
        <f>Statement!M25</f>
        <v>5.61</v>
      </c>
      <c r="D6" s="229">
        <f>Statement!N25</f>
        <v>6.11</v>
      </c>
      <c r="E6" s="229">
        <f>Statement!O25</f>
        <v>6.13</v>
      </c>
      <c r="F6" s="229">
        <f>Statement!P25</f>
        <v>6.08</v>
      </c>
      <c r="G6" s="230">
        <f>Statement!Q25</f>
        <v>7.46</v>
      </c>
      <c r="H6" s="137"/>
      <c r="I6" s="137"/>
      <c r="J6" s="137"/>
      <c r="K6" s="137"/>
      <c r="L6" s="137"/>
      <c r="N6" s="91"/>
    </row>
    <row r="7" spans="1:14" x14ac:dyDescent="0.2">
      <c r="B7" s="16" t="s">
        <v>396</v>
      </c>
      <c r="C7" s="229">
        <f>Statement!M81</f>
        <v>0.85</v>
      </c>
      <c r="D7" s="229">
        <f>Statement!N81</f>
        <v>0.9</v>
      </c>
      <c r="E7" s="229">
        <f>Statement!O81</f>
        <v>0.94</v>
      </c>
      <c r="F7" s="229">
        <f>Statement!P81</f>
        <v>0.98</v>
      </c>
      <c r="G7" s="230">
        <f>Statement!Q81</f>
        <v>1.02</v>
      </c>
      <c r="H7" s="137"/>
      <c r="I7" s="137"/>
      <c r="J7" s="137"/>
      <c r="K7" s="137"/>
      <c r="L7" s="137"/>
      <c r="N7" s="91"/>
    </row>
    <row r="8" spans="1:14" x14ac:dyDescent="0.2">
      <c r="N8" s="91"/>
    </row>
    <row r="9" spans="1:14" x14ac:dyDescent="0.2">
      <c r="C9" s="252" t="s">
        <v>119</v>
      </c>
      <c r="D9" s="252"/>
      <c r="E9" s="252"/>
      <c r="F9" s="252"/>
      <c r="G9" s="252"/>
      <c r="H9" s="252"/>
      <c r="I9" s="252"/>
      <c r="J9" s="252"/>
      <c r="K9" s="252"/>
      <c r="L9" s="252"/>
      <c r="N9" s="91"/>
    </row>
    <row r="10" spans="1:14" x14ac:dyDescent="0.2">
      <c r="B10" s="16" t="s">
        <v>192</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1"/>
    </row>
    <row r="11" spans="1:14" x14ac:dyDescent="0.2">
      <c r="B11" s="1" t="s">
        <v>237</v>
      </c>
      <c r="C11" s="137"/>
      <c r="D11" s="95">
        <f>(D6-C6)/C6</f>
        <v>8.9126559714795009E-2</v>
      </c>
      <c r="E11" s="95">
        <f>(E6-D6)/D6</f>
        <v>3.2733224222585224E-3</v>
      </c>
      <c r="F11" s="95">
        <f>(F6-E6)/E6</f>
        <v>-8.1566068515497268E-3</v>
      </c>
      <c r="G11" s="96">
        <f>(G6-F6)/F6</f>
        <v>0.2269736842105263</v>
      </c>
      <c r="H11" s="137"/>
      <c r="I11" s="137"/>
      <c r="J11" s="137"/>
      <c r="K11" s="137"/>
      <c r="L11" s="137"/>
      <c r="N11" s="91"/>
    </row>
    <row r="12" spans="1:14" x14ac:dyDescent="0.2">
      <c r="B12" s="1" t="s">
        <v>238</v>
      </c>
      <c r="C12" s="137"/>
      <c r="D12" s="95">
        <f>IF(C7=0,
IF(D7=0,0,IF(D7&gt;0,1,-1)),
(D7-C7)/ABS(C7)
)</f>
        <v>5.8823529411764761E-2</v>
      </c>
      <c r="E12" s="95">
        <f>IF(D7=0,
IF(E7=0,0,IF(E7&gt;0,1,-1)),
(E7-D7)/ABS(D7)
)</f>
        <v>4.4444444444444363E-2</v>
      </c>
      <c r="F12" s="95">
        <f>IF(E7=0,
IF(F7=0,0,IF(F7&gt;0,1,-1)),
(F7-E7)/ABS(E7)
)</f>
        <v>4.2553191489361743E-2</v>
      </c>
      <c r="G12" s="96">
        <f>IF(F7=0,
IF(G7=0,0,IF(G7&gt;0,1,-1)),
(G7-F7)/ABS(F7)
)</f>
        <v>4.0816326530612283E-2</v>
      </c>
      <c r="H12" s="137"/>
      <c r="I12" s="137"/>
      <c r="J12" s="137"/>
      <c r="K12" s="137"/>
      <c r="L12" s="137"/>
      <c r="N12" s="91"/>
    </row>
    <row r="13" spans="1:14" x14ac:dyDescent="0.2">
      <c r="N13" s="91"/>
    </row>
    <row r="14" spans="1:14" x14ac:dyDescent="0.2">
      <c r="C14" s="252" t="s">
        <v>397</v>
      </c>
      <c r="D14" s="252"/>
      <c r="E14" s="252"/>
      <c r="F14" s="252"/>
      <c r="G14" s="252"/>
      <c r="H14" s="252"/>
      <c r="I14" s="252"/>
      <c r="J14" s="252"/>
      <c r="K14" s="252"/>
      <c r="L14" s="252"/>
      <c r="N14" s="91"/>
    </row>
    <row r="15" spans="1:14" x14ac:dyDescent="0.2">
      <c r="B15" s="16" t="s">
        <v>326</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1"/>
    </row>
    <row r="16" spans="1:14" x14ac:dyDescent="0.2">
      <c r="B16" s="1" t="s">
        <v>398</v>
      </c>
      <c r="C16" s="95">
        <f>C7/C6</f>
        <v>0.15151515151515149</v>
      </c>
      <c r="D16" s="95">
        <f t="shared" ref="D16:G16" si="2">D7/D6</f>
        <v>0.14729950900163666</v>
      </c>
      <c r="E16" s="95">
        <f t="shared" si="2"/>
        <v>0.15334420880913541</v>
      </c>
      <c r="F16" s="95">
        <f t="shared" si="2"/>
        <v>0.16118421052631579</v>
      </c>
      <c r="G16" s="96">
        <f t="shared" si="2"/>
        <v>0.13672922252010725</v>
      </c>
      <c r="H16" s="137"/>
      <c r="I16" s="137"/>
      <c r="J16" s="137"/>
      <c r="K16" s="137"/>
      <c r="L16" s="137"/>
      <c r="N16" s="91"/>
    </row>
    <row r="17" spans="2:14" x14ac:dyDescent="0.2">
      <c r="N17" s="91"/>
    </row>
    <row r="18" spans="2:14" x14ac:dyDescent="0.2">
      <c r="N18" s="91"/>
    </row>
    <row r="19" spans="2:14" x14ac:dyDescent="0.2">
      <c r="N19" s="91"/>
    </row>
    <row r="20" spans="2:14" x14ac:dyDescent="0.2">
      <c r="B20" s="246" t="s">
        <v>399</v>
      </c>
      <c r="C20" s="246"/>
      <c r="N20" s="91"/>
    </row>
    <row r="21" spans="2:14" x14ac:dyDescent="0.2">
      <c r="B21" s="1" t="s">
        <v>400</v>
      </c>
      <c r="C21" s="231">
        <f>G7</f>
        <v>1.02</v>
      </c>
    </row>
    <row r="22" spans="2:14" x14ac:dyDescent="0.2">
      <c r="B22" s="1" t="s">
        <v>401</v>
      </c>
      <c r="C22" s="232">
        <v>0.04</v>
      </c>
    </row>
    <row r="23" spans="2:14" x14ac:dyDescent="0.2">
      <c r="B23" s="39" t="s">
        <v>402</v>
      </c>
      <c r="C23" s="233">
        <f>C21*(1+C22)</f>
        <v>1.0608</v>
      </c>
    </row>
    <row r="24" spans="2:14" x14ac:dyDescent="0.2">
      <c r="B24" s="1" t="s">
        <v>338</v>
      </c>
      <c r="C24" s="135">
        <f ca="1">IF(Overview!C29&gt;0,Overview!C29,WACC!C19)</f>
        <v>9.7994999999999999E-2</v>
      </c>
    </row>
    <row r="25" spans="2:14" x14ac:dyDescent="0.2">
      <c r="B25" s="39" t="s">
        <v>403</v>
      </c>
      <c r="C25" s="232">
        <v>0.02</v>
      </c>
    </row>
    <row r="26" spans="2:14" x14ac:dyDescent="0.2">
      <c r="B26" s="234" t="s">
        <v>206</v>
      </c>
      <c r="C26" s="235">
        <f ca="1">C23/(C24-C25)</f>
        <v>13.600871850759665</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topLeftCell="A13" zoomScale="209" zoomScaleNormal="100" workbookViewId="0">
      <selection activeCell="B7" sqref="A7:B7"/>
    </sheetView>
  </sheetViews>
  <sheetFormatPr baseColWidth="10" defaultRowHeight="16" x14ac:dyDescent="0.2"/>
  <cols>
    <col min="1" max="1" width="2" style="83"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218</v>
      </c>
    </row>
    <row r="2" spans="1:28" s="83" customFormat="1" ht="18" customHeight="1" x14ac:dyDescent="0.2">
      <c r="A2" s="4"/>
      <c r="B2" s="82"/>
    </row>
    <row r="3" spans="1:28" x14ac:dyDescent="0.2">
      <c r="A3" s="4"/>
      <c r="C3" s="246" t="s">
        <v>110</v>
      </c>
      <c r="D3" s="246"/>
      <c r="E3" s="246"/>
      <c r="F3" s="246"/>
      <c r="G3" s="255"/>
      <c r="H3" s="256" t="s">
        <v>111</v>
      </c>
      <c r="I3" s="246"/>
      <c r="J3" s="246"/>
      <c r="K3" s="246"/>
      <c r="L3" s="246"/>
      <c r="P3" s="257"/>
      <c r="Q3" s="257"/>
      <c r="R3" s="257"/>
      <c r="S3" s="257"/>
      <c r="T3" s="257"/>
      <c r="U3" s="257"/>
      <c r="V3" s="257"/>
      <c r="W3" s="257"/>
      <c r="X3" s="257"/>
      <c r="Y3" s="257"/>
      <c r="Z3" s="257"/>
      <c r="AB3" s="109"/>
    </row>
    <row r="4" spans="1:28" ht="10" customHeight="1" x14ac:dyDescent="0.2"/>
    <row r="5" spans="1:28" ht="16" customHeight="1" x14ac:dyDescent="0.2">
      <c r="A5" s="86"/>
      <c r="B5" s="60"/>
      <c r="C5" s="252" t="s">
        <v>177</v>
      </c>
      <c r="D5" s="252"/>
      <c r="E5" s="252"/>
      <c r="F5" s="252"/>
      <c r="G5" s="252"/>
      <c r="H5" s="252"/>
      <c r="I5" s="252"/>
      <c r="J5" s="252"/>
      <c r="K5" s="252"/>
      <c r="L5" s="252"/>
      <c r="P5" s="257"/>
      <c r="Q5" s="257"/>
      <c r="R5" s="257"/>
      <c r="S5" s="257"/>
      <c r="T5" s="257"/>
      <c r="U5" s="257"/>
      <c r="V5" s="257"/>
      <c r="W5" s="257"/>
      <c r="X5" s="257"/>
      <c r="Y5" s="257"/>
      <c r="Z5" s="257"/>
      <c r="AB5" s="110"/>
    </row>
    <row r="6" spans="1:28" x14ac:dyDescent="0.2">
      <c r="B6" s="16" t="s">
        <v>130</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1"/>
      <c r="Q6" s="111"/>
      <c r="R6" s="111"/>
      <c r="S6" s="111"/>
      <c r="T6" s="111"/>
      <c r="U6" s="111"/>
      <c r="V6" s="111"/>
      <c r="W6" s="111"/>
      <c r="X6" s="111"/>
      <c r="Y6" s="111"/>
      <c r="Z6" s="111"/>
      <c r="AB6" s="110"/>
    </row>
    <row r="7" spans="1:28" x14ac:dyDescent="0.2">
      <c r="B7" s="39" t="s">
        <v>256</v>
      </c>
      <c r="C7" s="112">
        <f>'FCF &amp; Other'!C28</f>
        <v>89744.319832977737</v>
      </c>
      <c r="D7" s="112">
        <f>'FCF &amp; Other'!D28</f>
        <v>101678.87709797402</v>
      </c>
      <c r="E7" s="112">
        <f>'FCF &amp; Other'!E28</f>
        <v>91459.836665611598</v>
      </c>
      <c r="F7" s="112">
        <f>'FCF &amp; Other'!F28</f>
        <v>99180.80528809168</v>
      </c>
      <c r="G7" s="113">
        <f>'FCF &amp; Other'!G28</f>
        <v>86263.891892502768</v>
      </c>
      <c r="H7" s="126">
        <f>G7*(1+$C$17)</f>
        <v>122063.40702789142</v>
      </c>
      <c r="I7" s="126">
        <f t="shared" ref="I7:L7" si="0">H7*(1+$C$17)</f>
        <v>172719.72094446636</v>
      </c>
      <c r="J7" s="126">
        <f t="shared" si="0"/>
        <v>244398.4051364199</v>
      </c>
      <c r="K7" s="126">
        <f t="shared" si="0"/>
        <v>345823.74326803419</v>
      </c>
      <c r="L7" s="126">
        <f t="shared" si="0"/>
        <v>489340.5967242684</v>
      </c>
      <c r="N7" s="91"/>
      <c r="O7" s="16"/>
      <c r="P7" s="92"/>
      <c r="Q7" s="92"/>
      <c r="R7" s="92"/>
      <c r="S7" s="92"/>
      <c r="T7" s="92"/>
      <c r="U7" s="92"/>
      <c r="V7" s="92"/>
      <c r="W7" s="92"/>
      <c r="X7" s="94"/>
      <c r="Y7" s="94"/>
      <c r="Z7" s="94"/>
      <c r="AB7" s="94"/>
    </row>
    <row r="8" spans="1:28" x14ac:dyDescent="0.2">
      <c r="B8" s="39" t="s">
        <v>178</v>
      </c>
      <c r="C8" s="137"/>
      <c r="D8" s="137"/>
      <c r="E8" s="137"/>
      <c r="F8" s="137"/>
      <c r="G8" s="138"/>
      <c r="H8" s="137"/>
      <c r="I8" s="137"/>
      <c r="J8" s="137"/>
      <c r="K8" s="137"/>
      <c r="L8" s="126">
        <f ca="1">L7*(1+C20)/(C21-C20)</f>
        <v>6479683.0577803422</v>
      </c>
      <c r="N8" s="91"/>
      <c r="O8" s="16"/>
      <c r="P8" s="92"/>
      <c r="Q8" s="92"/>
      <c r="R8" s="92"/>
      <c r="S8" s="92"/>
      <c r="T8" s="92"/>
      <c r="U8" s="92"/>
      <c r="V8" s="92"/>
      <c r="W8" s="92"/>
      <c r="X8" s="94"/>
      <c r="Y8" s="94"/>
      <c r="Z8" s="94"/>
      <c r="AB8" s="94"/>
    </row>
    <row r="9" spans="1:28" x14ac:dyDescent="0.2">
      <c r="B9" s="1" t="s">
        <v>179</v>
      </c>
      <c r="C9" s="137"/>
      <c r="D9" s="137"/>
      <c r="E9" s="137"/>
      <c r="F9" s="137"/>
      <c r="G9" s="138"/>
      <c r="H9" s="139">
        <v>1</v>
      </c>
      <c r="I9" s="139">
        <v>2</v>
      </c>
      <c r="J9" s="139">
        <v>3</v>
      </c>
      <c r="K9" s="139">
        <v>4</v>
      </c>
      <c r="L9" s="139">
        <v>5</v>
      </c>
      <c r="N9" s="91"/>
    </row>
    <row r="10" spans="1:28" x14ac:dyDescent="0.2">
      <c r="B10" s="1" t="s">
        <v>314</v>
      </c>
      <c r="C10" s="137"/>
      <c r="D10" s="137"/>
      <c r="E10" s="137"/>
      <c r="F10" s="137"/>
      <c r="G10" s="138"/>
      <c r="H10" s="126">
        <f ca="1">H7/(1+$C$21)^H9</f>
        <v>111267.19532211016</v>
      </c>
      <c r="I10" s="126">
        <f t="shared" ref="I10:L10" ca="1" si="1">I7/(1+$C$21)^I9</f>
        <v>143517.62346030437</v>
      </c>
      <c r="J10" s="126">
        <f t="shared" ca="1" si="1"/>
        <v>185115.73140732135</v>
      </c>
      <c r="K10" s="126">
        <f t="shared" ca="1" si="1"/>
        <v>238770.91320388051</v>
      </c>
      <c r="L10" s="126">
        <f t="shared" ca="1" si="1"/>
        <v>307977.87178210734</v>
      </c>
      <c r="N10" s="91"/>
    </row>
    <row r="11" spans="1:28" x14ac:dyDescent="0.2">
      <c r="B11" s="1" t="s">
        <v>180</v>
      </c>
      <c r="C11" s="137"/>
      <c r="D11" s="137"/>
      <c r="E11" s="137"/>
      <c r="F11" s="137"/>
      <c r="G11" s="138"/>
      <c r="H11" s="137"/>
      <c r="I11" s="137"/>
      <c r="J11" s="137"/>
      <c r="K11" s="137"/>
      <c r="L11" s="126">
        <f ca="1">L8/(1+C21)^L9</f>
        <v>4078139.0534867868</v>
      </c>
    </row>
    <row r="13" spans="1:28" ht="17" thickBot="1" x14ac:dyDescent="0.25"/>
    <row r="14" spans="1:28" x14ac:dyDescent="0.2">
      <c r="B14" s="258" t="s">
        <v>219</v>
      </c>
      <c r="C14" s="259"/>
    </row>
    <row r="15" spans="1:28" x14ac:dyDescent="0.2">
      <c r="B15" s="150" t="s">
        <v>220</v>
      </c>
      <c r="C15" s="151">
        <f ca="1">Overview!C5</f>
        <v>347.72500000000002</v>
      </c>
    </row>
    <row r="16" spans="1:28" x14ac:dyDescent="0.2">
      <c r="B16" s="150" t="s">
        <v>221</v>
      </c>
      <c r="C16" s="151">
        <f ca="1">C36</f>
        <v>351.30611132400372</v>
      </c>
    </row>
    <row r="17" spans="2:9" ht="17" thickBot="1" x14ac:dyDescent="0.25">
      <c r="B17" s="152" t="s">
        <v>318</v>
      </c>
      <c r="C17" s="153">
        <v>0.41499999999999998</v>
      </c>
      <c r="E17" s="260" t="s">
        <v>222</v>
      </c>
      <c r="F17" s="260"/>
      <c r="G17" s="260"/>
      <c r="H17" s="260"/>
      <c r="I17" s="260"/>
    </row>
    <row r="18" spans="2:9" ht="17" thickBot="1" x14ac:dyDescent="0.25"/>
    <row r="19" spans="2:9" x14ac:dyDescent="0.2">
      <c r="B19" s="258" t="s">
        <v>181</v>
      </c>
      <c r="C19" s="259"/>
    </row>
    <row r="20" spans="2:9" x14ac:dyDescent="0.2">
      <c r="B20" s="154" t="s">
        <v>182</v>
      </c>
      <c r="C20" s="155">
        <v>0.02</v>
      </c>
    </row>
    <row r="21" spans="2:9" x14ac:dyDescent="0.2">
      <c r="B21" s="154" t="s">
        <v>162</v>
      </c>
      <c r="C21" s="216">
        <f ca="1">IF(Overview!C28&gt;0,Overview!C28,WACC!C20)</f>
        <v>9.7029602251831923E-2</v>
      </c>
    </row>
    <row r="22" spans="2:9" x14ac:dyDescent="0.2">
      <c r="B22" s="154" t="s">
        <v>67</v>
      </c>
      <c r="C22" s="217">
        <f>Statement!AC74</f>
        <v>14594</v>
      </c>
    </row>
    <row r="23" spans="2:9" x14ac:dyDescent="0.2">
      <c r="B23" s="154" t="s">
        <v>223</v>
      </c>
      <c r="C23" s="156">
        <f ca="1">C15*C22</f>
        <v>5074698.6500000004</v>
      </c>
    </row>
    <row r="24" spans="2:9" x14ac:dyDescent="0.2">
      <c r="B24" s="154" t="s">
        <v>175</v>
      </c>
      <c r="C24" s="217">
        <f>Statement!AC105</f>
        <v>146517</v>
      </c>
    </row>
    <row r="25" spans="2:9" x14ac:dyDescent="0.2">
      <c r="B25" s="154" t="s">
        <v>166</v>
      </c>
      <c r="C25" s="217">
        <f>Statement!AC106</f>
        <v>84344</v>
      </c>
    </row>
    <row r="26" spans="2:9" ht="17" thickBot="1" x14ac:dyDescent="0.25">
      <c r="B26" s="152" t="s">
        <v>224</v>
      </c>
      <c r="C26" s="157">
        <f ca="1">C23+C25-C24</f>
        <v>5012525.6500000004</v>
      </c>
    </row>
    <row r="27" spans="2:9" ht="17" thickBot="1" x14ac:dyDescent="0.25"/>
    <row r="28" spans="2:9" x14ac:dyDescent="0.2">
      <c r="B28" s="258" t="s">
        <v>183</v>
      </c>
      <c r="C28" s="259"/>
    </row>
    <row r="29" spans="2:9" x14ac:dyDescent="0.2">
      <c r="B29" s="154" t="s">
        <v>184</v>
      </c>
      <c r="C29" s="156">
        <f ca="1">SUM(H10:L10)</f>
        <v>986649.33517572377</v>
      </c>
    </row>
    <row r="30" spans="2:9" x14ac:dyDescent="0.2">
      <c r="B30" s="154" t="s">
        <v>180</v>
      </c>
      <c r="C30" s="156">
        <f ca="1">L11</f>
        <v>4078139.0534867868</v>
      </c>
    </row>
    <row r="31" spans="2:9" x14ac:dyDescent="0.2">
      <c r="B31" s="158" t="s">
        <v>185</v>
      </c>
      <c r="C31" s="159">
        <f ca="1">C29+C30</f>
        <v>5064788.3886625106</v>
      </c>
    </row>
    <row r="32" spans="2:9" x14ac:dyDescent="0.2">
      <c r="B32" s="154" t="s">
        <v>186</v>
      </c>
      <c r="C32" s="160">
        <f>C24</f>
        <v>146517</v>
      </c>
    </row>
    <row r="33" spans="2:3" x14ac:dyDescent="0.2">
      <c r="B33" s="154" t="s">
        <v>187</v>
      </c>
      <c r="C33" s="160">
        <f>C25</f>
        <v>84344</v>
      </c>
    </row>
    <row r="34" spans="2:3" x14ac:dyDescent="0.2">
      <c r="B34" s="158" t="s">
        <v>188</v>
      </c>
      <c r="C34" s="159">
        <f ca="1">C31+C32-C33</f>
        <v>5126961.3886625106</v>
      </c>
    </row>
    <row r="35" spans="2:3" x14ac:dyDescent="0.2">
      <c r="B35" s="154" t="s">
        <v>67</v>
      </c>
      <c r="C35" s="156">
        <f>C22</f>
        <v>14594</v>
      </c>
    </row>
    <row r="36" spans="2:3" ht="17" thickBot="1" x14ac:dyDescent="0.25">
      <c r="B36" s="161" t="s">
        <v>189</v>
      </c>
      <c r="C36" s="162">
        <f ca="1">C34/C35</f>
        <v>351.30611132400372</v>
      </c>
    </row>
  </sheetData>
  <mergeCells count="10">
    <mergeCell ref="E17:I17"/>
    <mergeCell ref="B19:C19"/>
    <mergeCell ref="B28:C28"/>
    <mergeCell ref="C3:G3"/>
    <mergeCell ref="H3:L3"/>
    <mergeCell ref="P3:W3"/>
    <mergeCell ref="X3:Z3"/>
    <mergeCell ref="C5:L5"/>
    <mergeCell ref="P5:Z5"/>
    <mergeCell ref="B14:C14"/>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2026-10-23T23:00:07Z</dcterms:modified>
</cp:coreProperties>
</file>