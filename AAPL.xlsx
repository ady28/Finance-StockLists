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AD86634-215F-6E46-B728-67C9769C9DDE}" xr6:coauthVersionLast="47" xr6:coauthVersionMax="47" xr10:uidLastSave="{00000000-0000-0000-0000-000000000000}"/>
  <bookViews>
    <workbookView xWindow="0" yWindow="0" windowWidth="25600" windowHeight="14400" firstSheet="3" activeTab="9"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 i="23" l="1"/>
  <c r="W75" i="23" s="1"/>
  <c r="U13" i="23"/>
  <c r="T13" i="23"/>
  <c r="S13" i="23"/>
  <c r="R13" i="23"/>
  <c r="Q13" i="23"/>
  <c r="P13" i="23"/>
  <c r="O13" i="23"/>
  <c r="N13" i="23"/>
  <c r="U65" i="23"/>
  <c r="U63" i="23"/>
  <c r="W63" i="23" s="1"/>
  <c r="U62" i="23"/>
  <c r="W62" i="23" s="1"/>
  <c r="U57" i="23"/>
  <c r="U54" i="23"/>
  <c r="U52" i="23"/>
  <c r="U51" i="23"/>
  <c r="I108" i="3"/>
  <c r="H108" i="3"/>
  <c r="G108" i="3"/>
  <c r="F108" i="3"/>
  <c r="E108" i="3"/>
  <c r="D108" i="3"/>
  <c r="C108" i="3"/>
  <c r="I107" i="3"/>
  <c r="H107" i="3"/>
  <c r="G107" i="3"/>
  <c r="F107" i="3"/>
  <c r="E107" i="3"/>
  <c r="D107" i="3"/>
  <c r="C107" i="3"/>
  <c r="I96" i="3"/>
  <c r="I97" i="3" s="1"/>
  <c r="H96" i="3"/>
  <c r="H97" i="3" s="1"/>
  <c r="G96" i="3"/>
  <c r="G97" i="3" s="1"/>
  <c r="F96" i="3"/>
  <c r="F97" i="3" s="1"/>
  <c r="E96" i="3"/>
  <c r="E97" i="3" s="1"/>
  <c r="D96" i="3"/>
  <c r="D97" i="3" s="1"/>
  <c r="C96" i="3"/>
  <c r="C97" i="3" s="1"/>
  <c r="I94" i="3"/>
  <c r="I95" i="3" s="1"/>
  <c r="H94" i="3"/>
  <c r="H95" i="3" s="1"/>
  <c r="G94" i="3"/>
  <c r="G95" i="3" s="1"/>
  <c r="F94" i="3"/>
  <c r="F95" i="3" s="1"/>
  <c r="E94" i="3"/>
  <c r="E95" i="3" s="1"/>
  <c r="D94" i="3"/>
  <c r="D95" i="3" s="1"/>
  <c r="C94" i="3"/>
  <c r="C95" i="3" s="1"/>
  <c r="I92" i="3"/>
  <c r="I93" i="3" s="1"/>
  <c r="H92" i="3"/>
  <c r="H93"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I90" i="3" s="1"/>
  <c r="I91" i="3" s="1"/>
  <c r="H51" i="3"/>
  <c r="H90" i="3" s="1"/>
  <c r="H91" i="3" s="1"/>
  <c r="G51" i="3"/>
  <c r="G90" i="3" s="1"/>
  <c r="G91" i="3" s="1"/>
  <c r="F51" i="3"/>
  <c r="F90" i="3" s="1"/>
  <c r="F91" i="3" s="1"/>
  <c r="E51" i="3"/>
  <c r="E90" i="3" s="1"/>
  <c r="E91" i="3" s="1"/>
  <c r="D51" i="3"/>
  <c r="D90" i="3" s="1"/>
  <c r="D91" i="3" s="1"/>
  <c r="C51" i="3"/>
  <c r="C90" i="3" s="1"/>
  <c r="C91" i="3" s="1"/>
  <c r="I42" i="3"/>
  <c r="T41" i="23" s="1"/>
  <c r="H42" i="3"/>
  <c r="S41" i="23" s="1"/>
  <c r="G42" i="3"/>
  <c r="R41" i="23" s="1"/>
  <c r="F42" i="3"/>
  <c r="Q41" i="23" s="1"/>
  <c r="E42" i="3"/>
  <c r="P41" i="23" s="1"/>
  <c r="D42" i="3"/>
  <c r="O41" i="23" s="1"/>
  <c r="C42" i="3"/>
  <c r="N41" i="23" s="1"/>
  <c r="I32" i="3"/>
  <c r="T31" i="23" s="1"/>
  <c r="H32" i="3"/>
  <c r="S31" i="23" s="1"/>
  <c r="G32" i="3"/>
  <c r="R31" i="23" s="1"/>
  <c r="F32" i="3"/>
  <c r="Q31" i="23" s="1"/>
  <c r="E32" i="3"/>
  <c r="P31" i="23" s="1"/>
  <c r="D32" i="3"/>
  <c r="O31" i="23" s="1"/>
  <c r="C32" i="3"/>
  <c r="N31" i="23" s="1"/>
  <c r="I10" i="3"/>
  <c r="I81" i="3" s="1"/>
  <c r="I82" i="3" s="1"/>
  <c r="H10" i="3"/>
  <c r="H81" i="3" s="1"/>
  <c r="H82" i="3" s="1"/>
  <c r="G10" i="3"/>
  <c r="G81" i="3" s="1"/>
  <c r="G82" i="3" s="1"/>
  <c r="F10" i="3"/>
  <c r="F81" i="3" s="1"/>
  <c r="F82" i="3" s="1"/>
  <c r="E10" i="3"/>
  <c r="E81" i="3" s="1"/>
  <c r="E82" i="3" s="1"/>
  <c r="D10" i="3"/>
  <c r="D81" i="3" s="1"/>
  <c r="D82" i="3" s="1"/>
  <c r="C10" i="3"/>
  <c r="C81" i="3" s="1"/>
  <c r="C82" i="3" s="1"/>
  <c r="I7" i="3"/>
  <c r="H7" i="3"/>
  <c r="S7" i="23" s="1"/>
  <c r="G7" i="3"/>
  <c r="R7" i="23" s="1"/>
  <c r="F7" i="3"/>
  <c r="Q7" i="23" s="1"/>
  <c r="E7" i="3"/>
  <c r="P7" i="23" s="1"/>
  <c r="D7" i="3"/>
  <c r="O7" i="23" s="1"/>
  <c r="C7" i="3"/>
  <c r="N7" i="23" s="1"/>
  <c r="L75" i="23"/>
  <c r="K75" i="23"/>
  <c r="J75" i="23"/>
  <c r="I75" i="23"/>
  <c r="H75" i="23"/>
  <c r="G75" i="23"/>
  <c r="F75" i="23"/>
  <c r="E75" i="23"/>
  <c r="D75" i="23"/>
  <c r="C75" i="23"/>
  <c r="C21" i="30"/>
  <c r="C56" i="28"/>
  <c r="C48" i="28"/>
  <c r="C39" i="28"/>
  <c r="C15" i="22"/>
  <c r="D49" i="30"/>
  <c r="E49" i="30"/>
  <c r="F49" i="30"/>
  <c r="G49" i="30"/>
  <c r="C49" i="30"/>
  <c r="G48" i="30"/>
  <c r="F48" i="30"/>
  <c r="E48" i="30"/>
  <c r="D48" i="30"/>
  <c r="G47" i="30"/>
  <c r="F47" i="30"/>
  <c r="E47" i="30"/>
  <c r="D47" i="30"/>
  <c r="G44" i="30"/>
  <c r="F44" i="30"/>
  <c r="E44" i="30"/>
  <c r="D44" i="30"/>
  <c r="C44" i="30"/>
  <c r="D42" i="30"/>
  <c r="E42" i="30"/>
  <c r="F42" i="30"/>
  <c r="G42" i="30"/>
  <c r="C42" i="30"/>
  <c r="L40" i="30"/>
  <c r="K40" i="30"/>
  <c r="J40" i="30"/>
  <c r="I40" i="30"/>
  <c r="H40" i="30"/>
  <c r="G40" i="30"/>
  <c r="F40" i="30"/>
  <c r="E40" i="30"/>
  <c r="D40" i="30"/>
  <c r="C40" i="30"/>
  <c r="L6" i="30"/>
  <c r="K6" i="30"/>
  <c r="J6" i="30"/>
  <c r="I6" i="30"/>
  <c r="H6" i="30"/>
  <c r="G6" i="30"/>
  <c r="F6" i="30"/>
  <c r="E6" i="30"/>
  <c r="D6" i="30"/>
  <c r="C6" i="30"/>
  <c r="G23" i="28"/>
  <c r="F23" i="28"/>
  <c r="E23" i="28"/>
  <c r="D23" i="28"/>
  <c r="C23" i="28"/>
  <c r="G18" i="28"/>
  <c r="F18" i="28"/>
  <c r="E18" i="28"/>
  <c r="D18" i="28"/>
  <c r="C18" i="28"/>
  <c r="G7" i="28"/>
  <c r="F7" i="28"/>
  <c r="E7" i="28"/>
  <c r="D7" i="28"/>
  <c r="C7" i="28"/>
  <c r="G6" i="28"/>
  <c r="F6" i="28"/>
  <c r="E6" i="28"/>
  <c r="D6" i="28"/>
  <c r="C6" i="28"/>
  <c r="L5" i="28"/>
  <c r="K5" i="28"/>
  <c r="J5" i="28"/>
  <c r="I5" i="28"/>
  <c r="H5" i="28"/>
  <c r="G5" i="28"/>
  <c r="F5" i="28"/>
  <c r="E5" i="28"/>
  <c r="D5" i="28"/>
  <c r="C5" i="28"/>
  <c r="F19" i="28"/>
  <c r="E19" i="28"/>
  <c r="G13" i="28"/>
  <c r="F13" i="28"/>
  <c r="E13" i="28"/>
  <c r="D13" i="28"/>
  <c r="G12" i="28"/>
  <c r="F12" i="28"/>
  <c r="E12" i="28"/>
  <c r="L6" i="22"/>
  <c r="K6" i="22"/>
  <c r="J6" i="22"/>
  <c r="I6" i="22"/>
  <c r="H6" i="22"/>
  <c r="G6" i="22"/>
  <c r="F6" i="22"/>
  <c r="E6" i="22"/>
  <c r="D6" i="22"/>
  <c r="C6" i="22"/>
  <c r="C10" i="21"/>
  <c r="C3" i="2"/>
  <c r="C9" i="21"/>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F8" i="27"/>
  <c r="F12" i="27" s="1"/>
  <c r="F29" i="27" s="1"/>
  <c r="E8" i="27"/>
  <c r="E12" i="27" s="1"/>
  <c r="E29" i="27" s="1"/>
  <c r="D8" i="27"/>
  <c r="D12" i="27" s="1"/>
  <c r="D29" i="27" s="1"/>
  <c r="C8" i="27"/>
  <c r="C12" i="27" s="1"/>
  <c r="C29" i="27" s="1"/>
  <c r="G30" i="26"/>
  <c r="F30" i="26"/>
  <c r="E30" i="26"/>
  <c r="D30" i="26"/>
  <c r="C30" i="26"/>
  <c r="G29" i="26"/>
  <c r="F29" i="26"/>
  <c r="E29" i="26"/>
  <c r="D29" i="26"/>
  <c r="C29" i="26"/>
  <c r="G28" i="26"/>
  <c r="F28" i="26"/>
  <c r="E28" i="26"/>
  <c r="D28" i="26"/>
  <c r="C28" i="26"/>
  <c r="L23" i="26"/>
  <c r="K23" i="26"/>
  <c r="J23" i="26"/>
  <c r="I23" i="26"/>
  <c r="H23" i="26"/>
  <c r="G8" i="26"/>
  <c r="F8" i="26"/>
  <c r="E8" i="26"/>
  <c r="D8" i="26"/>
  <c r="C8" i="26"/>
  <c r="G7" i="26"/>
  <c r="F7" i="26"/>
  <c r="E7" i="26"/>
  <c r="D7" i="26"/>
  <c r="C7" i="26"/>
  <c r="L6" i="26"/>
  <c r="K6" i="26"/>
  <c r="J6" i="26"/>
  <c r="I6" i="26"/>
  <c r="H6" i="26"/>
  <c r="G6" i="26"/>
  <c r="F6" i="26"/>
  <c r="E6" i="26"/>
  <c r="D6" i="26"/>
  <c r="C6" i="26"/>
  <c r="C25" i="2"/>
  <c r="N101" i="3"/>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T63" i="23"/>
  <c r="S63" i="23"/>
  <c r="R63" i="23"/>
  <c r="Q63" i="23"/>
  <c r="P63" i="23"/>
  <c r="O63" i="23"/>
  <c r="N63" i="23"/>
  <c r="T62" i="23"/>
  <c r="S62" i="23"/>
  <c r="R62" i="23"/>
  <c r="Q62" i="23"/>
  <c r="P62" i="23"/>
  <c r="O62" i="23"/>
  <c r="N62" i="23"/>
  <c r="U61" i="23"/>
  <c r="T61" i="23"/>
  <c r="S61" i="23"/>
  <c r="R61" i="23"/>
  <c r="Q61" i="23"/>
  <c r="P61" i="23"/>
  <c r="O61" i="23"/>
  <c r="N61" i="23"/>
  <c r="U60" i="23"/>
  <c r="T60" i="23"/>
  <c r="S60" i="23"/>
  <c r="R60" i="23"/>
  <c r="Q60" i="23"/>
  <c r="P60" i="23"/>
  <c r="O60" i="23"/>
  <c r="N60" i="23"/>
  <c r="L63" i="23"/>
  <c r="K63" i="23"/>
  <c r="J63" i="23"/>
  <c r="I63" i="23"/>
  <c r="H63" i="23"/>
  <c r="G63" i="23"/>
  <c r="F63" i="23"/>
  <c r="E63" i="23"/>
  <c r="D63" i="23"/>
  <c r="C63" i="23"/>
  <c r="L62" i="23"/>
  <c r="K62" i="23"/>
  <c r="J62" i="23"/>
  <c r="I62" i="23"/>
  <c r="H62" i="23"/>
  <c r="G62" i="23"/>
  <c r="F62" i="23"/>
  <c r="E62" i="23"/>
  <c r="D62" i="23"/>
  <c r="C62" i="23"/>
  <c r="L61" i="23"/>
  <c r="K61" i="23"/>
  <c r="J61" i="23"/>
  <c r="I61" i="23"/>
  <c r="H61" i="23"/>
  <c r="G61" i="23"/>
  <c r="F61" i="23"/>
  <c r="E61" i="23"/>
  <c r="D61" i="23"/>
  <c r="C61" i="23"/>
  <c r="T57" i="23"/>
  <c r="S57" i="23"/>
  <c r="R57" i="23"/>
  <c r="Q57" i="23"/>
  <c r="P57" i="23"/>
  <c r="O57" i="23"/>
  <c r="N57" i="23"/>
  <c r="L57" i="23"/>
  <c r="G45" i="26" s="1"/>
  <c r="K57" i="23"/>
  <c r="F45" i="26" s="1"/>
  <c r="J57" i="23"/>
  <c r="E45" i="26" s="1"/>
  <c r="I57" i="23"/>
  <c r="D45" i="26" s="1"/>
  <c r="H57" i="23"/>
  <c r="C45" i="26" s="1"/>
  <c r="C23" i="27" s="1"/>
  <c r="G57" i="23"/>
  <c r="F57" i="23"/>
  <c r="E57" i="23"/>
  <c r="D57" i="23"/>
  <c r="C57" i="23"/>
  <c r="T54" i="23"/>
  <c r="S54" i="23"/>
  <c r="R54" i="23"/>
  <c r="Q54" i="23"/>
  <c r="P54" i="23"/>
  <c r="O54" i="23"/>
  <c r="N54" i="23"/>
  <c r="T52" i="23"/>
  <c r="S52" i="23"/>
  <c r="R52" i="23"/>
  <c r="Q52" i="23"/>
  <c r="P52" i="23"/>
  <c r="O52" i="23"/>
  <c r="T51" i="23"/>
  <c r="S51" i="23"/>
  <c r="R51" i="23"/>
  <c r="Q51" i="23"/>
  <c r="P51" i="23"/>
  <c r="O51" i="23"/>
  <c r="N52" i="23"/>
  <c r="L54" i="23"/>
  <c r="K54" i="23"/>
  <c r="J54" i="23"/>
  <c r="I54" i="23"/>
  <c r="H54" i="23"/>
  <c r="G54" i="23"/>
  <c r="F54" i="23"/>
  <c r="E54" i="23"/>
  <c r="D54" i="23"/>
  <c r="L53" i="23"/>
  <c r="K53" i="23"/>
  <c r="J53" i="23"/>
  <c r="I53" i="23"/>
  <c r="H53" i="23"/>
  <c r="G53" i="23"/>
  <c r="F53" i="23"/>
  <c r="E53" i="23"/>
  <c r="D53" i="23"/>
  <c r="L52" i="23"/>
  <c r="K52" i="23"/>
  <c r="J52" i="23"/>
  <c r="I52" i="23"/>
  <c r="H52" i="23"/>
  <c r="G52" i="23"/>
  <c r="F52" i="23"/>
  <c r="E52" i="23"/>
  <c r="D52" i="23"/>
  <c r="L51" i="23"/>
  <c r="G42" i="26" s="1"/>
  <c r="G22" i="27" s="1"/>
  <c r="K51" i="23"/>
  <c r="F42" i="26" s="1"/>
  <c r="F22" i="27" s="1"/>
  <c r="J51" i="23"/>
  <c r="E42" i="26" s="1"/>
  <c r="E22" i="27" s="1"/>
  <c r="I51" i="23"/>
  <c r="D42" i="26" s="1"/>
  <c r="D22" i="27" s="1"/>
  <c r="H51" i="23"/>
  <c r="C42" i="26" s="1"/>
  <c r="C22" i="27" s="1"/>
  <c r="G51" i="23"/>
  <c r="F51" i="23"/>
  <c r="E51" i="23"/>
  <c r="D51" i="23"/>
  <c r="C54" i="23"/>
  <c r="C53" i="23"/>
  <c r="C52" i="23"/>
  <c r="T65" i="23"/>
  <c r="N74" i="3"/>
  <c r="N73" i="3"/>
  <c r="N72" i="3"/>
  <c r="N70" i="3"/>
  <c r="N69" i="3"/>
  <c r="N67" i="3"/>
  <c r="N65" i="3"/>
  <c r="T58" i="23"/>
  <c r="N60" i="3"/>
  <c r="N59" i="3"/>
  <c r="N58" i="3"/>
  <c r="N57" i="3"/>
  <c r="N56" i="3"/>
  <c r="N55" i="3"/>
  <c r="N54" i="3"/>
  <c r="N53" i="3"/>
  <c r="T56" i="23"/>
  <c r="T55" i="23"/>
  <c r="S64" i="23"/>
  <c r="N71" i="3"/>
  <c r="S58" i="23"/>
  <c r="N64" i="3"/>
  <c r="N63" i="3"/>
  <c r="S56" i="23"/>
  <c r="S55" i="23"/>
  <c r="R65" i="23"/>
  <c r="R64" i="23"/>
  <c r="R58" i="23"/>
  <c r="R56" i="23"/>
  <c r="T19" i="23"/>
  <c r="T17" i="23"/>
  <c r="U37" i="23"/>
  <c r="W37" i="23" s="1"/>
  <c r="T37" i="23"/>
  <c r="S37" i="23"/>
  <c r="R37" i="23"/>
  <c r="Q37" i="23"/>
  <c r="P37" i="23"/>
  <c r="O37" i="23"/>
  <c r="N37"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L37" i="23"/>
  <c r="K37" i="23"/>
  <c r="J37" i="23"/>
  <c r="I37" i="23"/>
  <c r="H37" i="23"/>
  <c r="G37" i="23"/>
  <c r="F37" i="23"/>
  <c r="E37" i="23"/>
  <c r="D37" i="23"/>
  <c r="C37"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G15" i="26" s="1"/>
  <c r="K33" i="23"/>
  <c r="F15" i="26" s="1"/>
  <c r="J33" i="23"/>
  <c r="E15" i="26" s="1"/>
  <c r="I33" i="23"/>
  <c r="D15" i="26" s="1"/>
  <c r="H33" i="23"/>
  <c r="C15" i="26" s="1"/>
  <c r="G33" i="23"/>
  <c r="F33" i="23"/>
  <c r="E33" i="23"/>
  <c r="D33" i="23"/>
  <c r="U30" i="23"/>
  <c r="W30" i="23" s="1"/>
  <c r="T30" i="23"/>
  <c r="S30" i="23"/>
  <c r="R30" i="23"/>
  <c r="Q30" i="23"/>
  <c r="P30" i="23"/>
  <c r="O30" i="23"/>
  <c r="N30" i="23"/>
  <c r="C30" i="23"/>
  <c r="C22" i="23"/>
  <c r="N37" i="3"/>
  <c r="L67" i="23"/>
  <c r="K67" i="23"/>
  <c r="J67" i="23"/>
  <c r="L66" i="23"/>
  <c r="K66" i="23"/>
  <c r="J66" i="23"/>
  <c r="L65" i="23"/>
  <c r="K65" i="23"/>
  <c r="J65" i="23"/>
  <c r="L64" i="23"/>
  <c r="K64" i="23"/>
  <c r="J64" i="23"/>
  <c r="L60" i="23"/>
  <c r="K60" i="23"/>
  <c r="J60" i="23"/>
  <c r="L59" i="23"/>
  <c r="K59" i="23"/>
  <c r="J59" i="23"/>
  <c r="L58" i="23"/>
  <c r="K58" i="23"/>
  <c r="J58" i="23"/>
  <c r="L56" i="23"/>
  <c r="K56" i="23"/>
  <c r="J56" i="23"/>
  <c r="L55" i="23"/>
  <c r="G35" i="26" s="1"/>
  <c r="K55" i="23"/>
  <c r="F35" i="26" s="1"/>
  <c r="J55" i="23"/>
  <c r="E35" i="26" s="1"/>
  <c r="L47" i="23"/>
  <c r="K47" i="23"/>
  <c r="J47" i="23"/>
  <c r="L46" i="23"/>
  <c r="K46" i="23"/>
  <c r="J46" i="23"/>
  <c r="L45" i="23"/>
  <c r="K45" i="23"/>
  <c r="J45" i="23"/>
  <c r="L44" i="23"/>
  <c r="K44" i="23"/>
  <c r="J44" i="23"/>
  <c r="L43" i="23"/>
  <c r="K43" i="23"/>
  <c r="J43" i="23"/>
  <c r="L42" i="23"/>
  <c r="K42" i="23"/>
  <c r="J42" i="23"/>
  <c r="L40" i="23"/>
  <c r="K40" i="23"/>
  <c r="J40" i="23"/>
  <c r="L39" i="23"/>
  <c r="K39" i="23"/>
  <c r="J39" i="23"/>
  <c r="L38" i="23"/>
  <c r="K38" i="23"/>
  <c r="J38" i="23"/>
  <c r="L32" i="23"/>
  <c r="K32" i="23"/>
  <c r="J32" i="23"/>
  <c r="L30" i="23"/>
  <c r="K30" i="23"/>
  <c r="J30" i="23"/>
  <c r="L29" i="23"/>
  <c r="K29" i="23"/>
  <c r="J29" i="23"/>
  <c r="L28" i="23"/>
  <c r="K28" i="23"/>
  <c r="J28" i="23"/>
  <c r="L27" i="23"/>
  <c r="K27" i="23"/>
  <c r="J27" i="23"/>
  <c r="L26" i="23"/>
  <c r="K26" i="23"/>
  <c r="J26" i="23"/>
  <c r="L25" i="23"/>
  <c r="G14" i="26" s="1"/>
  <c r="G21" i="26" s="1"/>
  <c r="K25" i="23"/>
  <c r="F14" i="26" s="1"/>
  <c r="F21" i="26" s="1"/>
  <c r="J25" i="23"/>
  <c r="E14" i="26" s="1"/>
  <c r="E21" i="26" s="1"/>
  <c r="L24" i="23"/>
  <c r="K24" i="23"/>
  <c r="J24" i="23"/>
  <c r="L23" i="23"/>
  <c r="G13" i="26" s="1"/>
  <c r="G20" i="26" s="1"/>
  <c r="K23" i="23"/>
  <c r="F13" i="26" s="1"/>
  <c r="F20" i="26" s="1"/>
  <c r="J23" i="23"/>
  <c r="E13" i="26" s="1"/>
  <c r="E20" i="26" s="1"/>
  <c r="L22" i="23"/>
  <c r="G31" i="28" s="1"/>
  <c r="K22" i="23"/>
  <c r="F31" i="28" s="1"/>
  <c r="J22" i="23"/>
  <c r="E31" i="28" s="1"/>
  <c r="L17" i="23"/>
  <c r="K17" i="23"/>
  <c r="J17" i="23"/>
  <c r="L16" i="23"/>
  <c r="K16" i="23"/>
  <c r="J16" i="23"/>
  <c r="L15" i="23"/>
  <c r="K15" i="23"/>
  <c r="L83" i="23" s="1"/>
  <c r="J15" i="23"/>
  <c r="L14" i="23"/>
  <c r="K14" i="23"/>
  <c r="J14" i="23"/>
  <c r="L11" i="23"/>
  <c r="L13" i="23" s="1"/>
  <c r="K11" i="23"/>
  <c r="K13" i="23" s="1"/>
  <c r="J11" i="23"/>
  <c r="J13" i="23" s="1"/>
  <c r="L9" i="23"/>
  <c r="K9" i="23"/>
  <c r="J9" i="23"/>
  <c r="L8" i="23"/>
  <c r="K8" i="23"/>
  <c r="J8" i="23"/>
  <c r="L6" i="23"/>
  <c r="K6" i="23"/>
  <c r="J6" i="23"/>
  <c r="L5" i="23"/>
  <c r="K5" i="23"/>
  <c r="J5" i="23"/>
  <c r="L2" i="23"/>
  <c r="K2" i="23"/>
  <c r="J2" i="23"/>
  <c r="I67" i="23"/>
  <c r="H67" i="23"/>
  <c r="G67" i="23"/>
  <c r="F67" i="23"/>
  <c r="E67" i="23"/>
  <c r="D67" i="23"/>
  <c r="I66" i="23"/>
  <c r="H66" i="23"/>
  <c r="G66" i="23"/>
  <c r="F66" i="23"/>
  <c r="E66" i="23"/>
  <c r="D66" i="23"/>
  <c r="I65" i="23"/>
  <c r="H65" i="23"/>
  <c r="G65" i="23"/>
  <c r="F65" i="23"/>
  <c r="E65" i="23"/>
  <c r="D65" i="23"/>
  <c r="I64" i="23"/>
  <c r="H64" i="23"/>
  <c r="G64" i="23"/>
  <c r="F64" i="23"/>
  <c r="E64" i="23"/>
  <c r="D64" i="23"/>
  <c r="I60" i="23"/>
  <c r="H60" i="23"/>
  <c r="G60" i="23"/>
  <c r="F60" i="23"/>
  <c r="E60" i="23"/>
  <c r="D60" i="23"/>
  <c r="I59" i="23"/>
  <c r="H59" i="23"/>
  <c r="G59" i="23"/>
  <c r="F59" i="23"/>
  <c r="E59" i="23"/>
  <c r="D59" i="23"/>
  <c r="I58" i="23"/>
  <c r="H58" i="23"/>
  <c r="G58" i="23"/>
  <c r="F58" i="23"/>
  <c r="E58" i="23"/>
  <c r="D58" i="23"/>
  <c r="I56" i="23"/>
  <c r="H56" i="23"/>
  <c r="G56" i="23"/>
  <c r="F56" i="23"/>
  <c r="E56" i="23"/>
  <c r="D56" i="23"/>
  <c r="I55" i="23"/>
  <c r="D35" i="26" s="1"/>
  <c r="H55" i="23"/>
  <c r="C35" i="26" s="1"/>
  <c r="G55" i="23"/>
  <c r="F55" i="23"/>
  <c r="E55" i="23"/>
  <c r="D55" i="23"/>
  <c r="I47" i="23"/>
  <c r="H47" i="23"/>
  <c r="G47" i="23"/>
  <c r="F47" i="23"/>
  <c r="E47" i="23"/>
  <c r="D47"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0" i="23"/>
  <c r="H40" i="23"/>
  <c r="G40" i="23"/>
  <c r="F40" i="23"/>
  <c r="E40" i="23"/>
  <c r="D40" i="23"/>
  <c r="I39" i="23"/>
  <c r="H39" i="23"/>
  <c r="G39" i="23"/>
  <c r="F39" i="23"/>
  <c r="E39" i="23"/>
  <c r="D39" i="23"/>
  <c r="I38" i="23"/>
  <c r="H38" i="23"/>
  <c r="G38" i="23"/>
  <c r="F38" i="23"/>
  <c r="E38" i="23"/>
  <c r="D38" i="23"/>
  <c r="I32" i="23"/>
  <c r="I73" i="23" s="1"/>
  <c r="H32" i="23"/>
  <c r="G32" i="23"/>
  <c r="G73" i="23" s="1"/>
  <c r="F32" i="23"/>
  <c r="E32" i="23"/>
  <c r="D32" i="23"/>
  <c r="I30" i="23"/>
  <c r="H30" i="23"/>
  <c r="G30" i="23"/>
  <c r="F30" i="23"/>
  <c r="E30" i="23"/>
  <c r="D30"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D14" i="26" s="1"/>
  <c r="D21" i="26" s="1"/>
  <c r="H25" i="23"/>
  <c r="C14" i="26" s="1"/>
  <c r="C21" i="26" s="1"/>
  <c r="G25" i="23"/>
  <c r="F25" i="23"/>
  <c r="E25" i="23"/>
  <c r="D25" i="23"/>
  <c r="I24" i="23"/>
  <c r="H24" i="23"/>
  <c r="G24" i="23"/>
  <c r="F24" i="23"/>
  <c r="E24" i="23"/>
  <c r="D24" i="23"/>
  <c r="I23" i="23"/>
  <c r="D13" i="26" s="1"/>
  <c r="D20" i="26" s="1"/>
  <c r="H23" i="23"/>
  <c r="C13" i="26" s="1"/>
  <c r="C20" i="26" s="1"/>
  <c r="G23" i="23"/>
  <c r="F23" i="23"/>
  <c r="E23" i="23"/>
  <c r="D23" i="23"/>
  <c r="I22" i="23"/>
  <c r="D31" i="28" s="1"/>
  <c r="H22" i="23"/>
  <c r="C31" i="28" s="1"/>
  <c r="G22" i="23"/>
  <c r="F22" i="23"/>
  <c r="E22" i="23"/>
  <c r="D22" i="23"/>
  <c r="I17" i="23"/>
  <c r="I16" i="23"/>
  <c r="I15" i="23"/>
  <c r="I14" i="23"/>
  <c r="I11" i="23"/>
  <c r="I13" i="23" s="1"/>
  <c r="I9" i="23"/>
  <c r="I8" i="23"/>
  <c r="I6" i="23"/>
  <c r="I5" i="23"/>
  <c r="I2" i="23"/>
  <c r="H17" i="23"/>
  <c r="G17" i="23"/>
  <c r="F17" i="23"/>
  <c r="E17" i="23"/>
  <c r="D17" i="23"/>
  <c r="H16" i="23"/>
  <c r="G16" i="23"/>
  <c r="F16" i="23"/>
  <c r="E16" i="23"/>
  <c r="D16" i="23"/>
  <c r="H15" i="23"/>
  <c r="G15" i="23"/>
  <c r="H83" i="23" s="1"/>
  <c r="F15" i="23"/>
  <c r="E15" i="23"/>
  <c r="D15" i="23"/>
  <c r="H14" i="23"/>
  <c r="G14" i="23"/>
  <c r="F14" i="23"/>
  <c r="E14" i="23"/>
  <c r="D14" i="23"/>
  <c r="H11" i="23"/>
  <c r="H13" i="23" s="1"/>
  <c r="G11" i="23"/>
  <c r="G13" i="23" s="1"/>
  <c r="F11" i="23"/>
  <c r="F13" i="23" s="1"/>
  <c r="E11" i="23"/>
  <c r="E13" i="23" s="1"/>
  <c r="D11" i="23"/>
  <c r="D13" i="23" s="1"/>
  <c r="H9" i="23"/>
  <c r="G9" i="23"/>
  <c r="F9" i="23"/>
  <c r="E9" i="23"/>
  <c r="D9" i="23"/>
  <c r="H8" i="23"/>
  <c r="G8" i="23"/>
  <c r="F8" i="23"/>
  <c r="E8" i="23"/>
  <c r="D8" i="23"/>
  <c r="H6" i="23"/>
  <c r="G6" i="23"/>
  <c r="F6" i="23"/>
  <c r="E6" i="23"/>
  <c r="D6" i="23"/>
  <c r="H5" i="23"/>
  <c r="G5" i="23"/>
  <c r="F5" i="23"/>
  <c r="E5" i="23"/>
  <c r="D5" i="23"/>
  <c r="H2" i="23"/>
  <c r="G2" i="23"/>
  <c r="F2" i="23"/>
  <c r="E2" i="23"/>
  <c r="D2" i="23"/>
  <c r="U14" i="23"/>
  <c r="T14" i="23"/>
  <c r="S14" i="23"/>
  <c r="R14" i="23"/>
  <c r="Q14" i="23"/>
  <c r="P14" i="23"/>
  <c r="O14" i="23"/>
  <c r="N14" i="23"/>
  <c r="C14"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1" i="23" s="1"/>
  <c r="K36" i="1"/>
  <c r="K31" i="23" s="1"/>
  <c r="L23" i="1"/>
  <c r="L19" i="23" s="1"/>
  <c r="K23" i="1"/>
  <c r="K19" i="23" s="1"/>
  <c r="J23" i="1"/>
  <c r="J19" i="23" s="1"/>
  <c r="I23" i="1"/>
  <c r="I19" i="23" s="1"/>
  <c r="H23" i="1"/>
  <c r="H19" i="23" s="1"/>
  <c r="G23" i="1"/>
  <c r="G19" i="23" s="1"/>
  <c r="F23" i="1"/>
  <c r="F19" i="23" s="1"/>
  <c r="E23" i="1"/>
  <c r="E19" i="23" s="1"/>
  <c r="D23" i="1"/>
  <c r="D19" i="23" s="1"/>
  <c r="C23" i="1"/>
  <c r="C19" i="23" s="1"/>
  <c r="C23" i="2"/>
  <c r="L21" i="1"/>
  <c r="K21" i="1"/>
  <c r="J21" i="1"/>
  <c r="I21" i="1"/>
  <c r="H21" i="1"/>
  <c r="G21" i="1"/>
  <c r="F21" i="1"/>
  <c r="E21" i="1"/>
  <c r="D21" i="1"/>
  <c r="C21" i="1"/>
  <c r="L19" i="1"/>
  <c r="L18" i="23" s="1"/>
  <c r="K19" i="1"/>
  <c r="K18" i="23" s="1"/>
  <c r="J19" i="1"/>
  <c r="J18" i="23" s="1"/>
  <c r="I19" i="1"/>
  <c r="I18" i="23" s="1"/>
  <c r="H19" i="1"/>
  <c r="H18" i="23" s="1"/>
  <c r="H85" i="23" s="1"/>
  <c r="G19" i="1"/>
  <c r="G18" i="23" s="1"/>
  <c r="F19" i="1"/>
  <c r="F18" i="23" s="1"/>
  <c r="E19" i="1"/>
  <c r="E18" i="23" s="1"/>
  <c r="D19" i="1"/>
  <c r="D18" i="23" s="1"/>
  <c r="C19" i="1"/>
  <c r="C18"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1" i="23" s="1"/>
  <c r="K46" i="1"/>
  <c r="K41" i="23" s="1"/>
  <c r="J46" i="1"/>
  <c r="J41" i="23" s="1"/>
  <c r="I46" i="1"/>
  <c r="I41" i="23" s="1"/>
  <c r="H46" i="1"/>
  <c r="H41" i="23" s="1"/>
  <c r="G46" i="1"/>
  <c r="G41" i="23" s="1"/>
  <c r="F46" i="1"/>
  <c r="F41" i="23" s="1"/>
  <c r="E46" i="1"/>
  <c r="E41" i="23" s="1"/>
  <c r="D46" i="1"/>
  <c r="D41" i="23" s="1"/>
  <c r="P36" i="1"/>
  <c r="O36" i="1"/>
  <c r="N36" i="1"/>
  <c r="M36" i="1"/>
  <c r="J36" i="1"/>
  <c r="J31" i="23" s="1"/>
  <c r="I36" i="1"/>
  <c r="I31" i="23" s="1"/>
  <c r="H36" i="1"/>
  <c r="H31" i="23" s="1"/>
  <c r="G36" i="1"/>
  <c r="G31" i="23" s="1"/>
  <c r="F36" i="1"/>
  <c r="F31" i="23" s="1"/>
  <c r="E36" i="1"/>
  <c r="E31" i="23" s="1"/>
  <c r="D36" i="1"/>
  <c r="D31"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7" i="23"/>
  <c r="W67" i="23" s="1"/>
  <c r="T67" i="23"/>
  <c r="S67" i="23"/>
  <c r="R67" i="23"/>
  <c r="Q67" i="23"/>
  <c r="P67" i="23"/>
  <c r="O67" i="23"/>
  <c r="N67" i="23"/>
  <c r="U66" i="23"/>
  <c r="T66" i="23"/>
  <c r="S66" i="23"/>
  <c r="R66" i="23"/>
  <c r="W66" i="23" s="1"/>
  <c r="Q66" i="23"/>
  <c r="P66" i="23"/>
  <c r="O66" i="23"/>
  <c r="N66" i="23"/>
  <c r="Q65" i="23"/>
  <c r="P65" i="23"/>
  <c r="O65" i="23"/>
  <c r="N65" i="23"/>
  <c r="U64" i="23"/>
  <c r="Q64" i="23"/>
  <c r="P64" i="23"/>
  <c r="O64" i="23"/>
  <c r="W59" i="23"/>
  <c r="N64" i="23"/>
  <c r="U58" i="23"/>
  <c r="Q58" i="23"/>
  <c r="P58" i="23"/>
  <c r="O58" i="23"/>
  <c r="N58" i="23"/>
  <c r="U56" i="23"/>
  <c r="Q56" i="23"/>
  <c r="P56" i="23"/>
  <c r="O56" i="23"/>
  <c r="U55" i="23"/>
  <c r="R55" i="23"/>
  <c r="Q55" i="23"/>
  <c r="P55" i="23"/>
  <c r="O55" i="23"/>
  <c r="N56" i="23"/>
  <c r="N55" i="23"/>
  <c r="N51" i="23"/>
  <c r="C67" i="23"/>
  <c r="C66" i="23"/>
  <c r="C65" i="23"/>
  <c r="C64" i="23"/>
  <c r="C60" i="23"/>
  <c r="C59" i="23"/>
  <c r="C58" i="23"/>
  <c r="C56" i="23"/>
  <c r="C55" i="23"/>
  <c r="C51" i="23"/>
  <c r="U47" i="23"/>
  <c r="W47" i="23" s="1"/>
  <c r="T47" i="23"/>
  <c r="S47" i="23"/>
  <c r="R47" i="23"/>
  <c r="Q47" i="23"/>
  <c r="P47" i="23"/>
  <c r="O47" i="23"/>
  <c r="N47" i="23"/>
  <c r="U46" i="23"/>
  <c r="W46" i="23" s="1"/>
  <c r="C46" i="2"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N33" i="23"/>
  <c r="U32" i="23"/>
  <c r="W32" i="23" s="1"/>
  <c r="T32" i="23"/>
  <c r="S32" i="23"/>
  <c r="R32" i="23"/>
  <c r="Q32" i="23"/>
  <c r="P32" i="23"/>
  <c r="O32" i="23"/>
  <c r="N32"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C47" i="2" s="1"/>
  <c r="T22" i="23"/>
  <c r="S22" i="23"/>
  <c r="R22" i="23"/>
  <c r="Q22" i="23"/>
  <c r="P22" i="23"/>
  <c r="O22" i="23"/>
  <c r="N22" i="23"/>
  <c r="C47" i="23"/>
  <c r="C46" i="23"/>
  <c r="C45" i="23"/>
  <c r="C44" i="23"/>
  <c r="C43" i="23"/>
  <c r="C42" i="23"/>
  <c r="C40" i="23"/>
  <c r="C39" i="23"/>
  <c r="C38" i="23"/>
  <c r="C33" i="23"/>
  <c r="C32" i="23"/>
  <c r="C29" i="23"/>
  <c r="C28" i="23"/>
  <c r="C27" i="23"/>
  <c r="C26" i="23"/>
  <c r="C25" i="23"/>
  <c r="C24" i="23"/>
  <c r="C23" i="23"/>
  <c r="U19" i="23"/>
  <c r="S19" i="23"/>
  <c r="R19" i="23"/>
  <c r="S86" i="23" s="1"/>
  <c r="Q19" i="23"/>
  <c r="P19" i="23"/>
  <c r="O19" i="23"/>
  <c r="N19" i="23"/>
  <c r="U18" i="23"/>
  <c r="T18" i="23"/>
  <c r="S18" i="23"/>
  <c r="R18" i="23"/>
  <c r="Q18" i="23"/>
  <c r="P18" i="23"/>
  <c r="O18" i="23"/>
  <c r="N18" i="23"/>
  <c r="U17" i="23"/>
  <c r="S17" i="23"/>
  <c r="R17" i="23"/>
  <c r="Q17" i="23"/>
  <c r="P17" i="23"/>
  <c r="O17" i="23"/>
  <c r="N17" i="23"/>
  <c r="U16" i="23"/>
  <c r="T16" i="23"/>
  <c r="S16" i="23"/>
  <c r="R16" i="23"/>
  <c r="Q16" i="23"/>
  <c r="P16" i="23"/>
  <c r="O16" i="23"/>
  <c r="N16" i="23"/>
  <c r="U15" i="23"/>
  <c r="T15" i="23"/>
  <c r="S15" i="23"/>
  <c r="R15" i="23"/>
  <c r="Q15" i="23"/>
  <c r="R83" i="23" s="1"/>
  <c r="P15" i="23"/>
  <c r="O15" i="23"/>
  <c r="P83" i="23" s="1"/>
  <c r="N15"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6" i="23"/>
  <c r="C17" i="23"/>
  <c r="C15" i="23"/>
  <c r="C6" i="23"/>
  <c r="C8" i="23"/>
  <c r="C9" i="23"/>
  <c r="C11" i="23"/>
  <c r="C13" i="23" s="1"/>
  <c r="C5" i="23"/>
  <c r="U3" i="23"/>
  <c r="T3" i="23"/>
  <c r="S3" i="23"/>
  <c r="R3" i="23"/>
  <c r="Q3" i="23"/>
  <c r="P3" i="23"/>
  <c r="O3" i="23"/>
  <c r="U2" i="23"/>
  <c r="T2" i="23"/>
  <c r="S2" i="23"/>
  <c r="R2" i="23"/>
  <c r="Q2" i="23"/>
  <c r="P2" i="23"/>
  <c r="O2" i="23"/>
  <c r="N3" i="23"/>
  <c r="N2" i="23"/>
  <c r="C3" i="23"/>
  <c r="C2" i="23"/>
  <c r="N100" i="3"/>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50" i="23" s="1"/>
  <c r="Q17" i="3"/>
  <c r="Q16" i="3"/>
  <c r="C46" i="1"/>
  <c r="C41"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1" i="23" s="1"/>
  <c r="C10" i="1"/>
  <c r="C7" i="1"/>
  <c r="C5" i="21" l="1"/>
  <c r="C22" i="30"/>
  <c r="C35" i="30" s="1"/>
  <c r="C25" i="22"/>
  <c r="W61" i="23"/>
  <c r="W60" i="23"/>
  <c r="G30" i="28"/>
  <c r="F30" i="28"/>
  <c r="E30" i="28"/>
  <c r="D30" i="28"/>
  <c r="C30" i="28"/>
  <c r="L85" i="23"/>
  <c r="K85" i="23"/>
  <c r="J85" i="23"/>
  <c r="I85" i="23"/>
  <c r="G85" i="23"/>
  <c r="F85" i="23"/>
  <c r="E85" i="23"/>
  <c r="D85" i="23"/>
  <c r="U85" i="23"/>
  <c r="T85" i="23"/>
  <c r="S85" i="23"/>
  <c r="Q85" i="23"/>
  <c r="P85" i="23"/>
  <c r="O85" i="23"/>
  <c r="G46" i="26"/>
  <c r="G23" i="27"/>
  <c r="F46" i="26"/>
  <c r="F23" i="27"/>
  <c r="E46" i="26"/>
  <c r="E23" i="27"/>
  <c r="D46" i="26"/>
  <c r="D23" i="27"/>
  <c r="C33" i="30"/>
  <c r="C25" i="30"/>
  <c r="C45" i="2"/>
  <c r="C8" i="21"/>
  <c r="C23" i="22"/>
  <c r="C17" i="2"/>
  <c r="G36" i="26"/>
  <c r="G24" i="27"/>
  <c r="G30" i="27" s="1"/>
  <c r="F36" i="26"/>
  <c r="F24" i="27"/>
  <c r="F30" i="27" s="1"/>
  <c r="E36" i="26"/>
  <c r="E24" i="27"/>
  <c r="E30" i="27" s="1"/>
  <c r="D36" i="26"/>
  <c r="D24" i="27"/>
  <c r="D30" i="27" s="1"/>
  <c r="C36" i="26"/>
  <c r="C24" i="27"/>
  <c r="C30" i="27" s="1"/>
  <c r="C24" i="30"/>
  <c r="C22" i="22"/>
  <c r="C16" i="2"/>
  <c r="C19" i="2" s="1"/>
  <c r="C32" i="30"/>
  <c r="W18" i="23"/>
  <c r="R85" i="23"/>
  <c r="C15" i="30"/>
  <c r="C10" i="29"/>
  <c r="C23" i="30"/>
  <c r="C26" i="30"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4" i="23"/>
  <c r="L73" i="23"/>
  <c r="K73" i="23"/>
  <c r="J73" i="23"/>
  <c r="T64" i="23"/>
  <c r="N75" i="3"/>
  <c r="N68" i="3"/>
  <c r="N61" i="3"/>
  <c r="S65" i="23"/>
  <c r="W65" i="23" s="1"/>
  <c r="N76" i="3"/>
  <c r="W64" i="23"/>
  <c r="W53" i="23"/>
  <c r="W58" i="23"/>
  <c r="N66" i="3"/>
  <c r="W57" i="23"/>
  <c r="N62" i="3"/>
  <c r="N52" i="3"/>
  <c r="W16" i="23"/>
  <c r="C15" i="2"/>
  <c r="U86" i="23"/>
  <c r="L86" i="23"/>
  <c r="F86" i="23"/>
  <c r="L103" i="1"/>
  <c r="L104" i="1" s="1"/>
  <c r="L50" i="23"/>
  <c r="K103" i="1"/>
  <c r="K104" i="1" s="1"/>
  <c r="K50" i="23"/>
  <c r="J103" i="1"/>
  <c r="J104" i="1" s="1"/>
  <c r="J50" i="23"/>
  <c r="I103" i="1"/>
  <c r="I104" i="1" s="1"/>
  <c r="I50" i="23"/>
  <c r="H103" i="1"/>
  <c r="H104" i="1" s="1"/>
  <c r="H50" i="23"/>
  <c r="G103" i="1"/>
  <c r="G104" i="1" s="1"/>
  <c r="G50" i="23"/>
  <c r="F103" i="1"/>
  <c r="F104" i="1" s="1"/>
  <c r="F50" i="23"/>
  <c r="E103" i="1"/>
  <c r="E104" i="1" s="1"/>
  <c r="E50" i="23"/>
  <c r="D103" i="1"/>
  <c r="D104" i="1" s="1"/>
  <c r="D50" i="23"/>
  <c r="L94" i="1"/>
  <c r="L95" i="1" s="1"/>
  <c r="L10" i="23"/>
  <c r="L81" i="23" s="1"/>
  <c r="H134" i="1"/>
  <c r="G10" i="23"/>
  <c r="G134" i="1"/>
  <c r="F10" i="23"/>
  <c r="L140" i="1"/>
  <c r="L7" i="23"/>
  <c r="L80" i="23" s="1"/>
  <c r="K131" i="1"/>
  <c r="J7" i="23"/>
  <c r="J131" i="1"/>
  <c r="I7" i="23"/>
  <c r="I131" i="1"/>
  <c r="H7" i="23"/>
  <c r="E3" i="1"/>
  <c r="D3" i="23"/>
  <c r="L89" i="23"/>
  <c r="L79" i="23"/>
  <c r="K79" i="23"/>
  <c r="J79" i="23"/>
  <c r="U10" i="23"/>
  <c r="J81" i="3"/>
  <c r="J82" i="3" s="1"/>
  <c r="K86" i="23"/>
  <c r="J86" i="23"/>
  <c r="L70" i="23"/>
  <c r="L91" i="23"/>
  <c r="K70" i="23"/>
  <c r="L84" i="23"/>
  <c r="K91" i="23"/>
  <c r="J84" i="23"/>
  <c r="K84" i="23"/>
  <c r="J91" i="23"/>
  <c r="J70" i="23"/>
  <c r="K83" i="23"/>
  <c r="J83" i="23"/>
  <c r="L90" i="23"/>
  <c r="L12" i="23"/>
  <c r="K90" i="23"/>
  <c r="L82" i="23"/>
  <c r="K12" i="23"/>
  <c r="K82" i="23"/>
  <c r="J82" i="23"/>
  <c r="J12" i="23"/>
  <c r="J90" i="23"/>
  <c r="K81" i="23"/>
  <c r="J81" i="23"/>
  <c r="K89" i="23"/>
  <c r="L71" i="23"/>
  <c r="L78" i="23"/>
  <c r="K78" i="23"/>
  <c r="K71" i="23"/>
  <c r="J71" i="23"/>
  <c r="J78" i="23"/>
  <c r="I86" i="23"/>
  <c r="I83" i="23"/>
  <c r="I79" i="23"/>
  <c r="I91" i="23"/>
  <c r="I70" i="23"/>
  <c r="I84" i="23"/>
  <c r="I82" i="23"/>
  <c r="I90" i="23"/>
  <c r="I12" i="23"/>
  <c r="I81" i="23"/>
  <c r="I71" i="23"/>
  <c r="I78" i="23"/>
  <c r="H12" i="23"/>
  <c r="G12" i="23"/>
  <c r="F12" i="23"/>
  <c r="E12" i="23"/>
  <c r="D12" i="23"/>
  <c r="W52" i="23"/>
  <c r="W9" i="23"/>
  <c r="R86" i="23"/>
  <c r="O86" i="23"/>
  <c r="O83" i="23"/>
  <c r="P86" i="23"/>
  <c r="Q78" i="23"/>
  <c r="T83" i="23"/>
  <c r="Q83" i="23"/>
  <c r="U83" i="23"/>
  <c r="W56" i="23"/>
  <c r="W55" i="23"/>
  <c r="S79" i="23"/>
  <c r="U79" i="23"/>
  <c r="F83" i="23"/>
  <c r="F15" i="6"/>
  <c r="E15" i="6"/>
  <c r="C73" i="23"/>
  <c r="D73" i="23"/>
  <c r="E73" i="23"/>
  <c r="F73" i="23"/>
  <c r="H73"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9" i="23" s="1"/>
  <c r="D131" i="1"/>
  <c r="C10" i="23"/>
  <c r="C94" i="1"/>
  <c r="C95" i="1" s="1"/>
  <c r="F94" i="1"/>
  <c r="F95" i="1" s="1"/>
  <c r="G94" i="1"/>
  <c r="G95" i="1" s="1"/>
  <c r="D86" i="23"/>
  <c r="E83" i="23"/>
  <c r="G86" i="23"/>
  <c r="G83" i="23"/>
  <c r="E86" i="23"/>
  <c r="G79" i="23"/>
  <c r="F89" i="23"/>
  <c r="J140" i="1"/>
  <c r="I140" i="1"/>
  <c r="H140" i="1"/>
  <c r="T79" i="23"/>
  <c r="P78" i="23"/>
  <c r="Q86" i="23"/>
  <c r="O78" i="23"/>
  <c r="T50" i="23"/>
  <c r="S50" i="23"/>
  <c r="R50" i="23"/>
  <c r="Q50" i="23"/>
  <c r="P50" i="23"/>
  <c r="O50" i="23"/>
  <c r="N50" i="23"/>
  <c r="U12" i="23"/>
  <c r="R12" i="23"/>
  <c r="P12" i="23"/>
  <c r="N12" i="23"/>
  <c r="T12" i="23"/>
  <c r="Q12" i="23"/>
  <c r="O12" i="23"/>
  <c r="N42" i="3"/>
  <c r="U41" i="23"/>
  <c r="W41" i="23" s="1"/>
  <c r="N32" i="3"/>
  <c r="U31" i="23"/>
  <c r="W31" i="23" s="1"/>
  <c r="T86" i="23"/>
  <c r="W14" i="23"/>
  <c r="T10" i="23"/>
  <c r="S10" i="23"/>
  <c r="R10" i="23"/>
  <c r="Q10" i="23"/>
  <c r="P10" i="23"/>
  <c r="O10" i="23"/>
  <c r="N10" i="23"/>
  <c r="U90" i="23"/>
  <c r="Q79" i="23"/>
  <c r="P79" i="23"/>
  <c r="O79" i="23"/>
  <c r="U78" i="23"/>
  <c r="S78" i="23"/>
  <c r="P7" i="3"/>
  <c r="T7" i="23"/>
  <c r="Q7" i="3"/>
  <c r="U7" i="23"/>
  <c r="U89" i="23" s="1"/>
  <c r="H79" i="23"/>
  <c r="D19" i="6"/>
  <c r="C12" i="23"/>
  <c r="H86" i="23"/>
  <c r="D83" i="23"/>
  <c r="C103" i="1"/>
  <c r="C104" i="1" s="1"/>
  <c r="C50" i="23"/>
  <c r="G14" i="9"/>
  <c r="F14" i="9"/>
  <c r="E14" i="9"/>
  <c r="D14" i="9"/>
  <c r="C14" i="9"/>
  <c r="H90" i="23"/>
  <c r="F79" i="23"/>
  <c r="E79" i="23"/>
  <c r="D79" i="23"/>
  <c r="C19" i="21"/>
  <c r="W73" i="23"/>
  <c r="U84" i="23"/>
  <c r="U91" i="23"/>
  <c r="T84" i="23"/>
  <c r="S91" i="23"/>
  <c r="W17" i="23"/>
  <c r="S84" i="23"/>
  <c r="R91" i="23"/>
  <c r="R84" i="23"/>
  <c r="Q91" i="23"/>
  <c r="Q84" i="23"/>
  <c r="P91" i="23"/>
  <c r="P84" i="23"/>
  <c r="O91" i="23"/>
  <c r="O84" i="23"/>
  <c r="N91" i="23"/>
  <c r="W15" i="23"/>
  <c r="S83" i="23"/>
  <c r="T90" i="23"/>
  <c r="U82" i="23"/>
  <c r="S90" i="23"/>
  <c r="T82" i="23"/>
  <c r="W11" i="23"/>
  <c r="C44" i="2" s="1"/>
  <c r="R90" i="23"/>
  <c r="S82" i="23"/>
  <c r="R82" i="23"/>
  <c r="Q90" i="23"/>
  <c r="P90" i="23"/>
  <c r="Q82" i="23"/>
  <c r="P82" i="23"/>
  <c r="O90" i="23"/>
  <c r="O82" i="23"/>
  <c r="N90" i="23"/>
  <c r="S89" i="23"/>
  <c r="R89" i="23"/>
  <c r="S80" i="23"/>
  <c r="Q89" i="23"/>
  <c r="R80" i="23"/>
  <c r="Q80" i="23"/>
  <c r="P89" i="23"/>
  <c r="P80" i="23"/>
  <c r="O89" i="23"/>
  <c r="N89" i="23"/>
  <c r="O80" i="23"/>
  <c r="W6" i="23"/>
  <c r="R79" i="23"/>
  <c r="T91" i="23"/>
  <c r="T78" i="23"/>
  <c r="W5" i="23"/>
  <c r="W71" i="23" s="1"/>
  <c r="R78" i="23"/>
  <c r="G91" i="23"/>
  <c r="H84" i="23"/>
  <c r="G70" i="23"/>
  <c r="G84" i="23"/>
  <c r="F91" i="23"/>
  <c r="F70" i="23"/>
  <c r="E91" i="23"/>
  <c r="E70" i="23"/>
  <c r="F84" i="23"/>
  <c r="E84" i="23"/>
  <c r="D91" i="23"/>
  <c r="D70" i="23"/>
  <c r="H82" i="23"/>
  <c r="G90" i="23"/>
  <c r="F90" i="23"/>
  <c r="G82" i="23"/>
  <c r="E90" i="23"/>
  <c r="F82" i="23"/>
  <c r="D90" i="23"/>
  <c r="E82" i="23"/>
  <c r="H91" i="23"/>
  <c r="H71" i="23"/>
  <c r="H78" i="23"/>
  <c r="H70" i="23"/>
  <c r="G71" i="23"/>
  <c r="G78" i="23"/>
  <c r="F78" i="23"/>
  <c r="F71" i="23"/>
  <c r="E78" i="23"/>
  <c r="E71" i="23"/>
  <c r="D71" i="23"/>
  <c r="D78" i="23"/>
  <c r="C70" i="23"/>
  <c r="C91" i="23"/>
  <c r="D84" i="23"/>
  <c r="C90" i="23"/>
  <c r="D82" i="23"/>
  <c r="C71"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C48" i="2" l="1"/>
  <c r="W19" i="23"/>
  <c r="C12" i="2" s="1"/>
  <c r="G7" i="30"/>
  <c r="G8" i="28"/>
  <c r="G7" i="22"/>
  <c r="F7" i="30"/>
  <c r="F41" i="30" s="1"/>
  <c r="F8" i="28"/>
  <c r="F7" i="22"/>
  <c r="E7" i="30"/>
  <c r="E41" i="30" s="1"/>
  <c r="E8" i="28"/>
  <c r="E7" i="22"/>
  <c r="D7" i="30"/>
  <c r="D41" i="30" s="1"/>
  <c r="D8" i="28"/>
  <c r="D7" i="22"/>
  <c r="C7" i="30"/>
  <c r="C41" i="30" s="1"/>
  <c r="C8" i="28"/>
  <c r="C7" i="22"/>
  <c r="O81" i="23"/>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9" i="23"/>
  <c r="J80" i="23"/>
  <c r="W51" i="23"/>
  <c r="S12" i="23"/>
  <c r="W12" i="23" s="1"/>
  <c r="J89" i="23"/>
  <c r="K80" i="23"/>
  <c r="H89" i="23"/>
  <c r="I80" i="23"/>
  <c r="E3" i="23"/>
  <c r="F3" i="1"/>
  <c r="W50" i="23"/>
  <c r="K72" i="23"/>
  <c r="K74" i="23" s="1"/>
  <c r="J72" i="23"/>
  <c r="J74" i="23" s="1"/>
  <c r="L72" i="23"/>
  <c r="L74" i="23" s="1"/>
  <c r="I72" i="23"/>
  <c r="I74" i="23" s="1"/>
  <c r="H72" i="23"/>
  <c r="H74" i="23" s="1"/>
  <c r="F80" i="23"/>
  <c r="E89" i="23"/>
  <c r="E80" i="23"/>
  <c r="D89" i="23"/>
  <c r="D80" i="23"/>
  <c r="R7" i="3"/>
  <c r="C18" i="2"/>
  <c r="T89" i="23"/>
  <c r="U80" i="23"/>
  <c r="T80" i="23"/>
  <c r="W7" i="23"/>
  <c r="W89" i="23" s="1"/>
  <c r="U81" i="23"/>
  <c r="T81" i="23"/>
  <c r="W10" i="23"/>
  <c r="S81" i="23"/>
  <c r="R81" i="23"/>
  <c r="Q81" i="23"/>
  <c r="P81" i="23"/>
  <c r="G89" i="23"/>
  <c r="G80" i="23"/>
  <c r="H80" i="23"/>
  <c r="C72" i="23"/>
  <c r="C74" i="23" s="1"/>
  <c r="H81" i="23"/>
  <c r="G81" i="23"/>
  <c r="F81" i="23"/>
  <c r="D81" i="23"/>
  <c r="E81" i="23"/>
  <c r="W70" i="23"/>
  <c r="W72" i="23" s="1"/>
  <c r="W74" i="23" s="1"/>
  <c r="W91" i="23"/>
  <c r="W90" i="23"/>
  <c r="E72" i="23"/>
  <c r="E74" i="23" s="1"/>
  <c r="G72" i="23"/>
  <c r="G74" i="23" s="1"/>
  <c r="F72" i="23"/>
  <c r="F74" i="23" s="1"/>
  <c r="D72" i="23"/>
  <c r="D74" i="23" s="1"/>
  <c r="C17" i="21"/>
  <c r="C16" i="21"/>
  <c r="AA9" i="6"/>
  <c r="R10" i="3"/>
  <c r="G41" i="30" l="1"/>
  <c r="H7" i="30"/>
  <c r="F43" i="30"/>
  <c r="F45" i="30"/>
  <c r="F46" i="30"/>
  <c r="E43" i="30"/>
  <c r="E45" i="30"/>
  <c r="E46" i="30"/>
  <c r="D43" i="30"/>
  <c r="D45" i="30"/>
  <c r="D46" i="30"/>
  <c r="C43" i="30"/>
  <c r="C45" i="30"/>
  <c r="G14" i="28"/>
  <c r="F14" i="28"/>
  <c r="E14" i="28"/>
  <c r="D14" i="28"/>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G43" i="30" l="1"/>
  <c r="G45" i="30"/>
  <c r="G46" i="30"/>
  <c r="I7" i="30"/>
  <c r="H41" i="30"/>
  <c r="I10" i="30"/>
  <c r="H10" i="30"/>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I41" i="30" l="1"/>
  <c r="J7" i="30"/>
  <c r="H46" i="30"/>
  <c r="H44" i="30"/>
  <c r="H48" i="30" s="1"/>
  <c r="H42"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I46" i="30" l="1"/>
  <c r="I42" i="30"/>
  <c r="I44" i="30"/>
  <c r="I48" i="30" s="1"/>
  <c r="J10" i="30"/>
  <c r="K7" i="30"/>
  <c r="J41" i="30"/>
  <c r="H49" i="30"/>
  <c r="H47" i="30"/>
  <c r="J44" i="26"/>
  <c r="J22" i="27"/>
  <c r="K13" i="26"/>
  <c r="K28" i="26" s="1"/>
  <c r="K45" i="26"/>
  <c r="K23" i="27" s="1"/>
  <c r="K36" i="26"/>
  <c r="K42" i="26"/>
  <c r="C47" i="28"/>
  <c r="C51" i="28" s="1"/>
  <c r="C52" i="28" s="1"/>
  <c r="C7" i="29" s="1"/>
  <c r="L12" i="28"/>
  <c r="L13" i="26"/>
  <c r="L36" i="26"/>
  <c r="L45" i="26"/>
  <c r="L23" i="27" s="1"/>
  <c r="L42" i="26"/>
  <c r="L17" i="28"/>
  <c r="L11" i="28"/>
  <c r="L22" i="28"/>
  <c r="L27" i="28"/>
  <c r="L27" i="26"/>
  <c r="L34" i="26"/>
  <c r="L41" i="26"/>
  <c r="L12" i="26"/>
  <c r="L19" i="26"/>
  <c r="C14" i="6"/>
  <c r="C18" i="9"/>
  <c r="C10" i="9"/>
  <c r="D5" i="6"/>
  <c r="D5" i="9"/>
  <c r="I3" i="23"/>
  <c r="J3" i="1"/>
  <c r="X6" i="9"/>
  <c r="L28" i="26" l="1"/>
  <c r="I49" i="30"/>
  <c r="I47" i="30"/>
  <c r="K10" i="30"/>
  <c r="L7" i="30"/>
  <c r="K41" i="30"/>
  <c r="J44" i="30"/>
  <c r="J48" i="30" s="1"/>
  <c r="J46" i="30"/>
  <c r="J42" i="30"/>
  <c r="K44" i="26"/>
  <c r="K22" i="27"/>
  <c r="L44" i="26"/>
  <c r="L22" i="27"/>
  <c r="D14" i="6"/>
  <c r="D10" i="9"/>
  <c r="D18" i="9"/>
  <c r="E5" i="9"/>
  <c r="E5" i="6"/>
  <c r="J3" i="23"/>
  <c r="K3" i="1"/>
  <c r="X13" i="9"/>
  <c r="AB13" i="9" s="1"/>
  <c r="X11" i="9"/>
  <c r="AB11" i="9" s="1"/>
  <c r="X12" i="9"/>
  <c r="AB6" i="9"/>
  <c r="L8" i="30" l="1"/>
  <c r="L11" i="30" s="1"/>
  <c r="C30" i="30" s="1"/>
  <c r="L10" i="30"/>
  <c r="C29" i="30" s="1"/>
  <c r="L41" i="30"/>
  <c r="K46" i="30"/>
  <c r="K44" i="30"/>
  <c r="K48" i="30" s="1"/>
  <c r="K42" i="30"/>
  <c r="J49" i="30"/>
  <c r="J47" i="30"/>
  <c r="E10" i="9"/>
  <c r="E18" i="9"/>
  <c r="E14" i="6"/>
  <c r="F5" i="9"/>
  <c r="F5" i="6"/>
  <c r="K3" i="23"/>
  <c r="L3" i="1"/>
  <c r="X14" i="9"/>
  <c r="AB14" i="9" s="1"/>
  <c r="AB12" i="9"/>
  <c r="H6" i="9"/>
  <c r="L44" i="30" l="1"/>
  <c r="L48" i="30" s="1"/>
  <c r="L46" i="30"/>
  <c r="L42" i="30"/>
  <c r="K49" i="30"/>
  <c r="K47" i="30"/>
  <c r="C31" i="30"/>
  <c r="C34" i="30" s="1"/>
  <c r="C36" i="30" s="1"/>
  <c r="C16" i="30" s="1"/>
  <c r="F10" i="9"/>
  <c r="F18" i="9"/>
  <c r="F14" i="6"/>
  <c r="G5" i="9"/>
  <c r="G5" i="6"/>
  <c r="L3" i="23"/>
  <c r="M3" i="1"/>
  <c r="N3" i="1" s="1"/>
  <c r="O3" i="1" s="1"/>
  <c r="P3" i="1" s="1"/>
  <c r="I6" i="9"/>
  <c r="H13" i="9"/>
  <c r="H10" i="27" s="1"/>
  <c r="H12" i="9"/>
  <c r="H9" i="27" s="1"/>
  <c r="H11" i="9"/>
  <c r="L49" i="30" l="1"/>
  <c r="L47" i="30"/>
  <c r="H8" i="26"/>
  <c r="H7" i="27"/>
  <c r="H8" i="27" s="1"/>
  <c r="G18" i="9"/>
  <c r="H5" i="9"/>
  <c r="G10" i="9"/>
  <c r="G14" i="6"/>
  <c r="H5" i="6"/>
  <c r="J6" i="9"/>
  <c r="H14" i="9"/>
  <c r="H11" i="27" s="1"/>
  <c r="I13" i="9"/>
  <c r="I10" i="27" s="1"/>
  <c r="I12" i="9"/>
  <c r="I9" i="27" s="1"/>
  <c r="I11" i="9"/>
  <c r="H12" i="27" l="1"/>
  <c r="H15" i="26"/>
  <c r="H30" i="26" s="1"/>
  <c r="H14" i="26"/>
  <c r="H29" i="26" s="1"/>
  <c r="I7" i="27"/>
  <c r="I8" i="27" s="1"/>
  <c r="I8" i="26"/>
  <c r="H10" i="9"/>
  <c r="I5" i="9"/>
  <c r="H18" i="9"/>
  <c r="I5" i="6"/>
  <c r="H14" i="6"/>
  <c r="K6" i="9"/>
  <c r="L6" i="9"/>
  <c r="I14" i="9"/>
  <c r="I11" i="27" s="1"/>
  <c r="J11" i="9"/>
  <c r="J13" i="9"/>
  <c r="J10" i="27" s="1"/>
  <c r="J12" i="9"/>
  <c r="J9" i="27" s="1"/>
  <c r="H29" i="27" l="1"/>
  <c r="H7" i="28"/>
  <c r="H13" i="28" s="1"/>
  <c r="I12" i="27"/>
  <c r="I29" i="27"/>
  <c r="I7" i="28"/>
  <c r="I15" i="26"/>
  <c r="I30" i="26" s="1"/>
  <c r="I14" i="26"/>
  <c r="I29" i="26" s="1"/>
  <c r="I35" i="26" s="1"/>
  <c r="I24" i="27" s="1"/>
  <c r="H35" i="26"/>
  <c r="H24" i="27" s="1"/>
  <c r="J8" i="26"/>
  <c r="J7" i="27"/>
  <c r="J8" i="27" s="1"/>
  <c r="J5" i="9"/>
  <c r="I18" i="9"/>
  <c r="I10" i="9"/>
  <c r="I14" i="6"/>
  <c r="J5" i="6"/>
  <c r="K13" i="9"/>
  <c r="K10" i="27" s="1"/>
  <c r="K12" i="9"/>
  <c r="K9" i="27" s="1"/>
  <c r="K11" i="9"/>
  <c r="J14" i="9"/>
  <c r="J11" i="27" s="1"/>
  <c r="L11" i="9"/>
  <c r="L12" i="9"/>
  <c r="L9" i="27" s="1"/>
  <c r="L13" i="9"/>
  <c r="L10" i="27" s="1"/>
  <c r="I13" i="28" l="1"/>
  <c r="H30" i="27"/>
  <c r="J12" i="27"/>
  <c r="J15" i="26"/>
  <c r="J30" i="26" s="1"/>
  <c r="J14" i="26"/>
  <c r="J29" i="26" s="1"/>
  <c r="I30" i="27"/>
  <c r="K7" i="27"/>
  <c r="K8" i="27" s="1"/>
  <c r="K8" i="26"/>
  <c r="L8" i="26"/>
  <c r="L7" i="27"/>
  <c r="L8" i="27" s="1"/>
  <c r="J18" i="9"/>
  <c r="K5" i="9"/>
  <c r="J10" i="9"/>
  <c r="K5" i="6"/>
  <c r="J14" i="6"/>
  <c r="K14" i="9"/>
  <c r="K11" i="27" s="1"/>
  <c r="L14" i="9"/>
  <c r="L11" i="27" s="1"/>
  <c r="H7" i="22" l="1"/>
  <c r="H8" i="28"/>
  <c r="H14" i="28" s="1"/>
  <c r="J29" i="27"/>
  <c r="J7" i="28"/>
  <c r="J13" i="28" s="1"/>
  <c r="K12" i="27"/>
  <c r="L12" i="27"/>
  <c r="I8" i="28"/>
  <c r="I7" i="22"/>
  <c r="K15" i="26"/>
  <c r="K30" i="26" s="1"/>
  <c r="K14" i="26"/>
  <c r="K29" i="26" s="1"/>
  <c r="L15" i="26"/>
  <c r="L14" i="26"/>
  <c r="J35" i="26"/>
  <c r="J24" i="27" s="1"/>
  <c r="K18" i="9"/>
  <c r="K10" i="9"/>
  <c r="L5" i="9"/>
  <c r="L5" i="6"/>
  <c r="K14" i="6"/>
  <c r="I14" i="28" l="1"/>
  <c r="J30" i="27"/>
  <c r="K29" i="27"/>
  <c r="K7" i="28"/>
  <c r="K13" i="28" s="1"/>
  <c r="L29" i="27"/>
  <c r="L7" i="28"/>
  <c r="L29" i="26"/>
  <c r="K35" i="26"/>
  <c r="K24" i="27" s="1"/>
  <c r="L30" i="26"/>
  <c r="L18" i="9"/>
  <c r="L10" i="9"/>
  <c r="L14" i="6"/>
  <c r="J7" i="22" l="1"/>
  <c r="J10" i="22" s="1"/>
  <c r="J8" i="28"/>
  <c r="J14" i="28" s="1"/>
  <c r="K30" i="27"/>
  <c r="L13" i="28"/>
  <c r="C38" i="28"/>
  <c r="C42" i="28" s="1"/>
  <c r="C43" i="28" s="1"/>
  <c r="C44" i="28" s="1"/>
  <c r="C6" i="29" s="1"/>
  <c r="L35" i="26"/>
  <c r="L24" i="27" s="1"/>
  <c r="L30" i="27" s="1"/>
  <c r="K7" i="22" l="1"/>
  <c r="K10" i="22" s="1"/>
  <c r="K8" i="28"/>
  <c r="K14" i="28" s="1"/>
  <c r="L8" i="28"/>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<sst xmlns="http://schemas.openxmlformats.org/spreadsheetml/2006/main" count="672" uniqueCount="350">
  <si>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</si>
  <si>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</si>
  <si>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</si>
  <si>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</si>
  <si>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</si>
  <si>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</si>
  <si>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</si>
  <si>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</si>
  <si>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</si>
  <si>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</si>
  <si>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</si>
  <si>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</si>
  <si>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</si>
  <si>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</si>
  <si>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</si>
  <si>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</si>
  <si>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</si>
  <si>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</si>
  <si>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</si>
  <si>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</si>
  <si>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</si>
  <si>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</si>
  <si>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</si>
  <si>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</si>
  <si>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</si>
  <si>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</si>
  <si>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</si>
  <si>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</si>
  <si>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</si>
  <si>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</si>
  <si>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</si>
  <si>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</si>
  <si>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</si>
  <si>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</si>
  <si>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</si>
  <si>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</si>
  <si>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</si>
  <si>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</si>
  <si>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</si>
  <si>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</si>
  <si>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</si>
  <si>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</si>
  <si>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</si>
  <si>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</si>
  <si>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</si>
  <si>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</si>
  <si>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</si>
  <si>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</si>
  <si>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</si>
  <si>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</si>
  <si>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</si>
  <si>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</si>
  <si>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</si>
  <si>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</si>
  <si>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</si>
  <si>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</si>
  <si>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</si>
  <si>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</si>
  <si>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</si>
  <si>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</si>
  <si>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</si>
  <si>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</si>
  <si>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</si>
  <si>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</si>
  <si>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</si>
  <si>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</si>
  <si>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</si>
  <si>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</si>
  <si>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</si>
  <si>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</si>
  <si>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</si>
  <si>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</si>
  <si>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</si>
  <si>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</si>
  <si>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</si>
  <si>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</si>
  <si>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</si>
  <si>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</si>
  <si>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</si>
  <si>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</si>
  <si>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</si>
  <si>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</si>
  <si>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</si>
  <si>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</si>
  <si>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</si>
  <si>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</si>
  <si>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</si>
  <si>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</si>
  <si>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</si>
  <si>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</si>
  <si>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</si>
  <si>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</si>
  <si>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</si>
  <si>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</si>
  <si>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</si>
  <si>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</si>
  <si>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</si>
  <si>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</si>
  <si>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</si>
  <si>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</si>
  <si>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</si>
  <si>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</si>
  <si>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</si>
  <si>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</si>
  <si>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</si>
  <si>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</si>
  <si>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</si>
  <si>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</si>
  <si>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</si>
  <si>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</si>
  <si>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</si>
  <si>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</si>
  <si>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</si>
  <si>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</si>
  <si>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</si>
  <si>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</si>
  <si>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</si>
  <si>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</si>
  <si>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</si>
  <si>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</si>
  <si>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</si>
  <si>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</si>
  <si>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</si>
  <si>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</si>
  <si>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</si>
  <si>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</si>
  <si>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</si>
  <si>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</si>
  <si>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</si>
  <si>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</si>
  <si>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</si>
  <si>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</si>
  <si>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</si>
  <si>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</si>
  <si>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</si>
  <si>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</si>
  <si>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</si>
  <si>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</si>
  <si>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</si>
  <si>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</si>
  <si>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</si>
  <si>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</si>
  <si>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</si>
  <si>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</si>
  <si>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</si>
  <si>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</si>
  <si>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</si>
  <si>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</si>
  <si>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</si>
  <si>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</si>
  <si>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</si>
  <si>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</si>
  <si>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</si>
  <si>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</si>
  <si>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</si>
  <si>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</si>
  <si>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</si>
  <si>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</si>
  <si>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</si>
  <si>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</si>
  <si>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</si>
  <si>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</si>
  <si>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</si>
  <si>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</si>
  <si>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</si>
  <si>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</si>
  <si>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</si>
  <si>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</si>
  <si>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</si>
  <si>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</si>
  <si>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</si>
  <si>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</si>
  <si>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</si>
  <si>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</si>
  <si>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</si>
  <si>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</si>
  <si>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</si>
  <si>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</si>
  <si>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</si>
  <si>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</si>
  <si>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</si>
  <si>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</si>
  <si>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</si>
  <si>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</si>
  <si>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</si>
  <si>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</si>
  <si>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</si>
  <si>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</si>
  <si>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</si>
  <si>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</si>
  <si>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</si>
  <si>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</si>
  <si>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</si>
  <si>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</si>
  <si>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</si>
  <si>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</si>
  <si>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</si>
  <si>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</si>
  <si>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</si>
  <si>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</si>
  <si>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</si>
  <si>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</si>
  <si>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</si>
  <si>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</si>
  <si>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</si>
  <si>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</si>
  <si>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</si>
  <si>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</si>
  <si>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</si>
  <si>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</si>
  <si>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</si>
  <si>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</si>
  <si>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</si>
  <si>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</si>
  <si>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</si>
  <si>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</si>
  <si>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</si>
  <si>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</si>
  <si>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</si>
  <si>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</si>
  <si>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</si>
  <si>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</si>
  <si>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</si>
  <si>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</si>
  <si>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</si>
  <si>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</si>
  <si>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</si>
  <si>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</si>
  <si>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</si>
  <si>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</si>
  <si>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</si>
  <si>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</si>
  <si>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</si>
  <si>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</si>
  <si>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</si>
  <si>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</si>
  <si>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</si>
  <si>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</si>
  <si>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</si>
  <si>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</si>
  <si>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</si>
  <si>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</si>
  <si>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</si>
  <si>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</si>
  <si>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</si>
  <si>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</si>
  <si>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</si>
  <si>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</si>
  <si>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</si>
  <si>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</si>
  <si>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</si>
  <si>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</si>
  <si>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</si>
  <si>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</si>
  <si>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</si>
  <si>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</si>
  <si>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</si>
  <si>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</si>
  <si>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</si>
  <si>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</si>
  <si>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</si>
  <si>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</si>
  <si>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</si>
  <si>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</si>
  <si>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</si>
  <si>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</si>
  <si>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</si>
  <si>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</si>
  <si>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</si>
  <si>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</si>
  <si>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</si>
  <si>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</si>
  <si>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</si>
  <si>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</si>
  <si>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</si>
  <si>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</si>
  <si>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</si>
  <si>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</si>
  <si>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</si>
  <si>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</si>
  <si>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</si>
  <si>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</si>
  <si>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</si>
  <si>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</si>
  <si>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</si>
  <si>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</si>
  <si>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</si>
  <si>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</si>
  <si>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</si>
  <si>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</si>
  <si>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</si>
  <si>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</si>
  <si>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</si>
  <si>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</si>
  <si>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</si>
  <si>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</si>
  <si>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</si>
  <si>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</si>
  <si>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</si>
  <si>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</si>
  <si>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</si>
  <si>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</si>
  <si>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</si>
  <si>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</si>
  <si>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</si>
  <si>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</si>
  <si>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</si>
  <si>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</si>
  <si>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</si>
  <si>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</si>
  <si>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</si>
  <si>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</si>
  <si>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</si>
  <si>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</si>
  <si>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</si>
  <si>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</si>
  <si>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</si>
  <si>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</si>
  <si>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</si>
  <si>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</si>
  <si>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</si>
  <si>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</si>
  <si>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</si>
  <si>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</si>
  <si>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</si>
  <si>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</si>
  <si>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</si>
  <si>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</si>
  <si>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</si>
  <si>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</si>
  <si>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</si>
  <si>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</si>
  <si>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</si>
  <si>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</si>
  <si>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</si>
  <si>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</si>
  <si>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</si>
  <si>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</si>
  <si>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</si>
  <si>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</si>
  <si>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</si>
  <si>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</si>
  <si>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</si>
  <si>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</si>
  <si>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</si>
  <si>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</si>
  <si>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</si>
  <si>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</si>
  <si>
    <t>Q2 2026</t>
  </si>
  <si>
    <t>28.03.2026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</si>
</sst>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4" fillId="3" borderId="0" xfId="0" applyFont="1" applyFill="1" applyAlignment="1">
      <alignment horizontal="center"/>
    </xf>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43.9</v>
          </cell>
        </row>
        <row r="17">
          <cell r="C17">
            <v>280.25</v>
          </cell>
          <cell r="F17">
            <v>1.0647</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33"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219</v>
      </c>
    </row>
    <row r="3" spans="2:5" x14ac:dyDescent="0.2">
      <c r="B3" s="1" t="s">
        <v>73</v>
      </c>
      <c r="C3" s="35">
        <f>[1]Sheet1!$C$17</f>
        <v>280.25</v>
      </c>
    </row>
    <row r="4" spans="2:5" x14ac:dyDescent="0.2">
      <c r="E4" s="93"/>
    </row>
    <row r="6" spans="2:5" x14ac:dyDescent="0.2">
      <c r="E6" s="35"/>
    </row>
    <row r="7" spans="2:5" x14ac:dyDescent="0.2">
      <c r="B7" s="1" t="s">
        <v>3</v>
      </c>
      <c r="C7" s="1" t="s">
        <v>220</v>
      </c>
    </row>
    <row r="10" spans="2:5" x14ac:dyDescent="0.2">
      <c r="C10" s="93"/>
    </row>
    <row r="11" spans="2:5" x14ac:dyDescent="0.2">
      <c r="B11" s="1" t="s">
        <v>109</v>
      </c>
      <c r="C11" s="93">
        <f>$C$3/'Statement Q'!$N$19</f>
        <v>33.922653477462774</v>
      </c>
    </row>
    <row r="12" spans="2:5" x14ac:dyDescent="0.2">
      <c r="B12" s="1" t="s">
        <v>189</v>
      </c>
      <c r="C12" s="93">
        <f>$C$3/Statements!W19</f>
        <v>33.922653477462774</v>
      </c>
    </row>
    <row r="13" spans="2:5" x14ac:dyDescent="0.2">
      <c r="B13" s="1" t="s">
        <v>110</v>
      </c>
      <c r="C13" s="98">
        <f>$C$3/('Statement Q'!$N$5/'Statement Q'!$N$17)</f>
        <v>9.2106389082096936</v>
      </c>
    </row>
    <row r="15" spans="2:5" x14ac:dyDescent="0.2">
      <c r="B15" s="1" t="s">
        <v>148</v>
      </c>
      <c r="C15" s="20">
        <f>C3*'Statement Q'!N100</f>
        <v>4116031.75</v>
      </c>
    </row>
    <row r="16" spans="2:5" x14ac:dyDescent="0.2">
      <c r="B16" s="1" t="s">
        <v>149</v>
      </c>
      <c r="C16" s="20">
        <f>Statements!W22+Statements!W28</f>
        <v>146595</v>
      </c>
    </row>
    <row r="17" spans="1:4" x14ac:dyDescent="0.2">
      <c r="B17" s="1" t="s">
        <v>145</v>
      </c>
      <c r="C17" s="20">
        <f>Statements!W36+Statements!W37+Statements!W39</f>
        <v>84711</v>
      </c>
    </row>
    <row r="18" spans="1:4" x14ac:dyDescent="0.2">
      <c r="B18" s="1" t="s">
        <v>150</v>
      </c>
      <c r="C18" s="20">
        <f>C15+C17-C16</f>
        <v>4054147.75</v>
      </c>
    </row>
    <row r="19" spans="1:4" x14ac:dyDescent="0.2">
      <c r="B19" s="1" t="s">
        <v>151</v>
      </c>
      <c r="C19" s="93">
        <f>C16/'Statement Q'!J100</f>
        <v>9.981275958330496</v>
      </c>
    </row>
    <row r="21" spans="1:4" x14ac:dyDescent="0.2">
      <c r="B21" s="1" t="s">
        <v>190</v>
      </c>
      <c r="C21" s="159">
        <f>_xlfn.RRI(9,'Statement Y'!C5,'Statement Y'!L5)</f>
        <v>7.5786296031959077E-2</v>
      </c>
      <c r="D21" s="159"/>
    </row>
    <row r="22" spans="1:4" x14ac:dyDescent="0.2">
      <c r="B22" s="1" t="s">
        <v>232</v>
      </c>
      <c r="C22" s="159">
        <f>_xlfn.RRI(9,'Statement Y'!C15,'Statement Y'!L15)</f>
        <v>0.10477489081683444</v>
      </c>
    </row>
    <row r="23" spans="1:4" x14ac:dyDescent="0.2">
      <c r="B23" s="1" t="s">
        <v>233</v>
      </c>
      <c r="C23" s="159">
        <f>_xlfn.RRI(9,'Statement Y'!C23,'Statement Y'!L23)</f>
        <v>0.15262661592678528</v>
      </c>
    </row>
    <row r="24" spans="1:4" x14ac:dyDescent="0.2">
      <c r="B24" s="1" t="s">
        <v>251</v>
      </c>
      <c r="C24" s="89">
        <f>_xlfn.RRI(9,'Statement Y'!C116,'Statement Y'!L116)</f>
        <v>7.2123590592434006E-2</v>
      </c>
    </row>
    <row r="25" spans="1:4" x14ac:dyDescent="0.2">
      <c r="B25" s="1" t="s">
        <v>298</v>
      </c>
      <c r="C25" s="89">
        <f>_xlfn.RRI(9,'Statement Y'!C165,'Statement Y'!L165)</f>
        <v>0.27754371215377716</v>
      </c>
    </row>
    <row r="28" spans="1:4" x14ac:dyDescent="0.2">
      <c r="B28" s="1" t="s">
        <v>201</v>
      </c>
    </row>
    <row r="29" spans="1:4" x14ac:dyDescent="0.2">
      <c r="A29"/>
      <c r="B29" s="1" t="s">
        <v>202</v>
      </c>
    </row>
    <row r="30" spans="1:4" x14ac:dyDescent="0.2">
      <c r="B30" s="1" t="s">
        <v>203</v>
      </c>
    </row>
    <row r="31" spans="1:4" x14ac:dyDescent="0.2">
      <c r="B31" s="1" t="s">
        <v>207</v>
      </c>
    </row>
    <row r="33" spans="2:4" x14ac:dyDescent="0.2">
      <c r="B33" s="1" t="s">
        <v>204</v>
      </c>
      <c r="C33" s="20"/>
    </row>
    <row r="34" spans="2:4" x14ac:dyDescent="0.2">
      <c r="B34" s="1" t="s">
        <v>205</v>
      </c>
      <c r="C34" s="20">
        <f>'Statement Y'!L113</f>
        <v>14776</v>
      </c>
    </row>
    <row r="35" spans="2:4" x14ac:dyDescent="0.2">
      <c r="B35" s="1" t="s">
        <v>206</v>
      </c>
      <c r="C35" s="159">
        <f>C33/C34</f>
        <v>0</v>
      </c>
    </row>
    <row r="37" spans="2:4" x14ac:dyDescent="0.2">
      <c r="B37" s="1" t="s">
        <v>208</v>
      </c>
    </row>
    <row r="38" spans="2:4" x14ac:dyDescent="0.2">
      <c r="B38" s="1" t="s">
        <v>209</v>
      </c>
    </row>
    <row r="39" spans="2:4" x14ac:dyDescent="0.2">
      <c r="B39" s="1" t="s">
        <v>210</v>
      </c>
    </row>
    <row r="40" spans="2:4" x14ac:dyDescent="0.2">
      <c r="B40" s="1" t="s">
        <v>211</v>
      </c>
    </row>
    <row r="41" spans="2:4" x14ac:dyDescent="0.2">
      <c r="B41" s="1" t="s">
        <v>212</v>
      </c>
    </row>
    <row r="42" spans="2:4" x14ac:dyDescent="0.2">
      <c r="B42" s="1" t="s">
        <v>215</v>
      </c>
    </row>
    <row r="44" spans="2:4" x14ac:dyDescent="0.2">
      <c r="B44" s="1" t="s">
        <v>142</v>
      </c>
      <c r="C44" s="20">
        <f>Statements!W11*(1-'Statement Y'!L119)</f>
        <v>124362.16395814027</v>
      </c>
    </row>
    <row r="45" spans="2:4" x14ac:dyDescent="0.2">
      <c r="B45" s="1" t="s">
        <v>145</v>
      </c>
      <c r="C45" s="20">
        <f>Statements!W36+Statements!W37+Statements!W39</f>
        <v>84711</v>
      </c>
    </row>
    <row r="46" spans="2:4" x14ac:dyDescent="0.2">
      <c r="B46" s="1" t="s">
        <v>146</v>
      </c>
      <c r="C46" s="20">
        <f>Statements!W46</f>
        <v>106491</v>
      </c>
    </row>
    <row r="47" spans="2:4" x14ac:dyDescent="0.2">
      <c r="B47" s="1" t="s">
        <v>149</v>
      </c>
      <c r="C47" s="20">
        <f>Statements!W22</f>
        <v>68507</v>
      </c>
      <c r="D47" s="20"/>
    </row>
    <row r="48" spans="2:4" x14ac:dyDescent="0.2">
      <c r="B48" s="1" t="s">
        <v>213</v>
      </c>
      <c r="C48" s="159">
        <f>C44/(C45+C46-C47)</f>
        <v>1.013587872025268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213" zoomScaleNormal="150" workbookViewId="0">
      <pane xSplit="2" ySplit="3" topLeftCell="H4"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231</v>
      </c>
      <c r="D2" s="175" t="s">
        <v>230</v>
      </c>
      <c r="E2" s="175" t="s">
        <v>226</v>
      </c>
      <c r="F2" s="175" t="s">
        <v>225</v>
      </c>
      <c r="G2" s="175" t="s">
        <v>224</v>
      </c>
      <c r="H2" s="175" t="s">
        <v>229</v>
      </c>
      <c r="I2" s="175" t="s">
        <v>228</v>
      </c>
      <c r="J2" s="3" t="s">
        <v>227</v>
      </c>
      <c r="K2" s="3" t="s">
        <v>222</v>
      </c>
      <c r="L2" s="3" t="s">
        <v>221</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223</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181</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71</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235</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236</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237</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238</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239</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240</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241</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242</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239</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243</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94</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244</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245</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245</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246</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248</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247</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96</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266</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252</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253</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254</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255</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97</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256</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257</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258</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259</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143</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267</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268</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269</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271</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272</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252</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270</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273</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260</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261</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262</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263</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264</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265</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252</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249</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70</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250</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85</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86</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92</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93</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128</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129</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130</v>
      </c>
      <c r="C123" s="27"/>
      <c r="D123" s="27"/>
      <c r="E123" s="27"/>
      <c r="F123" s="27"/>
      <c r="G123" s="27"/>
      <c r="H123" s="27"/>
      <c r="I123" s="27"/>
      <c r="J123" s="27"/>
      <c r="K123" s="27"/>
      <c r="L123" s="27"/>
      <c r="M123" s="27"/>
      <c r="N123" s="27"/>
      <c r="O123" s="27"/>
      <c r="P123" s="27"/>
    </row>
    <row r="124" spans="1:16" outlineLevel="1" x14ac:dyDescent="0.2">
      <c r="B124" s="9" t="s">
        <v>131</v>
      </c>
      <c r="C124" s="27"/>
      <c r="D124" s="27"/>
      <c r="E124" s="27"/>
      <c r="F124" s="27"/>
      <c r="G124" s="27"/>
      <c r="H124" s="27"/>
      <c r="I124" s="27"/>
      <c r="J124" s="27"/>
      <c r="K124" s="27"/>
      <c r="L124" s="27"/>
      <c r="M124" s="27"/>
      <c r="N124" s="27"/>
      <c r="O124" s="27"/>
      <c r="P124" s="27"/>
    </row>
    <row r="125" spans="1:16" outlineLevel="1" x14ac:dyDescent="0.2">
      <c r="B125" s="9" t="s">
        <v>234</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87</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88</v>
      </c>
    </row>
    <row r="140" spans="1:16" outlineLevel="1" x14ac:dyDescent="0.2">
      <c r="B140" s="9" t="s">
        <v>89</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90</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91</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101</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100</v>
      </c>
    </row>
    <row r="148" spans="1:14" outlineLevel="1" x14ac:dyDescent="0.2">
      <c r="B148" s="9" t="s">
        <v>274</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275</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276</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277</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278</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279</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280</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281</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282</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283</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102</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296</v>
      </c>
    </row>
    <row r="165" spans="1:15" x14ac:dyDescent="0.2">
      <c r="B165" s="9" t="s">
        <v>297</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86" workbookViewId="0">
      <pane xSplit="2" ySplit="3" topLeftCell="I113" activePane="bottomRight" state="frozen"/>
      <selection pane="topRight" activeCell="C1" sqref="C1"/>
      <selection pane="bottomLeft" activeCell="A4" sqref="A4"/>
      <selection pane="bottomRight" activeCell="J107" sqref="J107"/>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288</v>
      </c>
      <c r="D2" s="3" t="s">
        <v>222</v>
      </c>
      <c r="E2" s="3" t="s">
        <v>286</v>
      </c>
      <c r="F2" s="3" t="s">
        <v>289</v>
      </c>
      <c r="G2" s="3" t="s">
        <v>287</v>
      </c>
      <c r="H2" s="37" t="s">
        <v>221</v>
      </c>
      <c r="I2" s="37" t="s">
        <v>284</v>
      </c>
      <c r="J2" s="37" t="s">
        <v>349</v>
      </c>
      <c r="K2" s="2"/>
      <c r="L2" s="2"/>
      <c r="M2" s="2"/>
      <c r="N2" s="42"/>
      <c r="O2" s="2"/>
      <c r="P2" s="44"/>
      <c r="Q2" s="45"/>
      <c r="R2" s="46"/>
      <c r="S2" s="2"/>
    </row>
    <row r="3" spans="1:19" s="5" customFormat="1" x14ac:dyDescent="0.2">
      <c r="A3" s="4"/>
      <c r="B3" s="62" t="s">
        <v>65</v>
      </c>
      <c r="C3" s="3" t="s">
        <v>67</v>
      </c>
      <c r="D3" s="3" t="s">
        <v>72</v>
      </c>
      <c r="E3" s="3" t="s">
        <v>66</v>
      </c>
      <c r="F3" s="3" t="s">
        <v>68</v>
      </c>
      <c r="G3" s="3" t="s">
        <v>69</v>
      </c>
      <c r="H3" s="37" t="s">
        <v>152</v>
      </c>
      <c r="I3" s="37" t="s">
        <v>285</v>
      </c>
      <c r="J3" s="37" t="s">
        <v>348</v>
      </c>
      <c r="K3" s="4"/>
      <c r="L3" s="4"/>
      <c r="M3" s="4"/>
      <c r="N3" s="43"/>
      <c r="O3" s="4"/>
      <c r="P3" s="47" t="str">
        <f>I3</f>
        <v>Q1 2026</v>
      </c>
      <c r="Q3" s="5" t="str">
        <f>J3</f>
        <v>Q2 2026</v>
      </c>
      <c r="R3" s="48" t="s">
        <v>76</v>
      </c>
      <c r="S3" s="4"/>
    </row>
    <row r="4" spans="1:19" s="14" customFormat="1" ht="17" thickBot="1" x14ac:dyDescent="0.25">
      <c r="A4" s="4"/>
      <c r="B4" s="15" t="s">
        <v>5</v>
      </c>
      <c r="K4" s="4"/>
      <c r="L4" s="4"/>
      <c r="M4" s="4"/>
      <c r="N4" s="38" t="s">
        <v>74</v>
      </c>
      <c r="O4" s="4"/>
      <c r="P4" s="213" t="s">
        <v>75</v>
      </c>
      <c r="Q4" s="214"/>
      <c r="R4" s="215"/>
      <c r="S4" s="4"/>
    </row>
    <row r="5" spans="1:19" s="18" customFormat="1" outlineLevel="1" x14ac:dyDescent="0.2">
      <c r="A5" s="7"/>
      <c r="B5" s="17" t="s">
        <v>6</v>
      </c>
      <c r="C5" s="51">
        <v>85777</v>
      </c>
      <c r="D5" s="51">
        <v>94930</v>
      </c>
      <c r="E5" s="51">
        <v>124300</v>
      </c>
      <c r="F5" s="51">
        <v>95359</v>
      </c>
      <c r="G5" s="51">
        <v>94036</v>
      </c>
      <c r="H5" s="51">
        <v>102466</v>
      </c>
      <c r="I5" s="51">
        <v>143756</v>
      </c>
      <c r="J5" s="51">
        <v>111184</v>
      </c>
      <c r="K5" s="21"/>
      <c r="L5" s="21"/>
      <c r="M5" s="21"/>
      <c r="N5" s="59">
        <f t="shared" ref="N5:N15" si="0">SUM(G5:J5)</f>
        <v>451442</v>
      </c>
      <c r="O5" s="7"/>
      <c r="P5" s="69">
        <f t="shared" ref="P5:P19" si="1">I5</f>
        <v>143756</v>
      </c>
      <c r="Q5" s="54">
        <f t="shared" ref="Q5:Q19" si="2">J5</f>
        <v>111184</v>
      </c>
      <c r="R5" s="66">
        <f t="shared" ref="R5:R19" si="3">IF(P5=0,
IF(Q5=0,0,IF(Q5&gt;0,1,-1)),
(Q5-P5)/ABS(P5)
)</f>
        <v>-0.22657836890286318</v>
      </c>
      <c r="S5" s="7"/>
    </row>
    <row r="6" spans="1:19" outlineLevel="1" x14ac:dyDescent="0.2">
      <c r="B6" s="9" t="s">
        <v>7</v>
      </c>
      <c r="C6" s="27">
        <v>46099</v>
      </c>
      <c r="D6" s="27">
        <v>51051</v>
      </c>
      <c r="E6" s="27">
        <v>66025</v>
      </c>
      <c r="F6" s="27">
        <v>50492</v>
      </c>
      <c r="G6" s="27">
        <v>50318</v>
      </c>
      <c r="H6" s="27">
        <v>54125</v>
      </c>
      <c r="I6" s="27">
        <v>74525</v>
      </c>
      <c r="J6" s="27">
        <v>56403</v>
      </c>
      <c r="K6" s="20"/>
      <c r="L6" s="20"/>
      <c r="M6" s="20"/>
      <c r="N6" s="39">
        <f>SUM(G6:J6)</f>
        <v>235371</v>
      </c>
      <c r="P6" s="49">
        <f t="shared" si="1"/>
        <v>74525</v>
      </c>
      <c r="Q6" s="20">
        <f t="shared" si="2"/>
        <v>56403</v>
      </c>
      <c r="R6" s="50">
        <f t="shared" si="3"/>
        <v>-0.24316672257631666</v>
      </c>
    </row>
    <row r="7" spans="1:19" s="18" customFormat="1" outlineLevel="1" x14ac:dyDescent="0.2">
      <c r="A7" s="7"/>
      <c r="B7" s="17" t="s">
        <v>8</v>
      </c>
      <c r="C7" s="54">
        <f>C5-C6</f>
        <v>39678</v>
      </c>
      <c r="D7" s="54">
        <f t="shared" ref="D7:H7" si="4">D5-D6</f>
        <v>43879</v>
      </c>
      <c r="E7" s="54">
        <f t="shared" si="4"/>
        <v>58275</v>
      </c>
      <c r="F7" s="54">
        <f t="shared" si="4"/>
        <v>44867</v>
      </c>
      <c r="G7" s="54">
        <f t="shared" si="4"/>
        <v>43718</v>
      </c>
      <c r="H7" s="54">
        <f t="shared" si="4"/>
        <v>48341</v>
      </c>
      <c r="I7" s="54">
        <f t="shared" ref="I7:J7" si="5">I5-I6</f>
        <v>69231</v>
      </c>
      <c r="J7" s="54">
        <f t="shared" si="5"/>
        <v>54781</v>
      </c>
      <c r="K7" s="21"/>
      <c r="L7" s="21"/>
      <c r="M7" s="21"/>
      <c r="N7" s="59">
        <f t="shared" si="0"/>
        <v>216071</v>
      </c>
      <c r="O7" s="7"/>
      <c r="P7" s="69">
        <f t="shared" si="1"/>
        <v>69231</v>
      </c>
      <c r="Q7" s="54">
        <f t="shared" si="2"/>
        <v>54781</v>
      </c>
      <c r="R7" s="66">
        <f t="shared" si="3"/>
        <v>-0.2087215264838006</v>
      </c>
      <c r="S7" s="7"/>
    </row>
    <row r="8" spans="1:19" outlineLevel="1" x14ac:dyDescent="0.2">
      <c r="B8" s="9" t="s">
        <v>9</v>
      </c>
      <c r="C8" s="27">
        <v>8006</v>
      </c>
      <c r="D8" s="27">
        <v>7765</v>
      </c>
      <c r="E8" s="27">
        <v>8268</v>
      </c>
      <c r="F8" s="27">
        <v>8550</v>
      </c>
      <c r="G8" s="27">
        <v>8866</v>
      </c>
      <c r="H8" s="27">
        <v>8866</v>
      </c>
      <c r="I8" s="27">
        <v>10887</v>
      </c>
      <c r="J8" s="27">
        <v>11419</v>
      </c>
      <c r="K8" s="20"/>
      <c r="L8" s="20"/>
      <c r="M8" s="20"/>
      <c r="N8" s="39">
        <f t="shared" si="0"/>
        <v>40038</v>
      </c>
      <c r="P8" s="49">
        <f t="shared" si="1"/>
        <v>10887</v>
      </c>
      <c r="Q8" s="20">
        <f t="shared" si="2"/>
        <v>11419</v>
      </c>
      <c r="R8" s="50">
        <f t="shared" si="3"/>
        <v>4.8865619546247817E-2</v>
      </c>
    </row>
    <row r="9" spans="1:19" s="8" customFormat="1" outlineLevel="1" x14ac:dyDescent="0.2">
      <c r="B9" s="12" t="s">
        <v>223</v>
      </c>
      <c r="C9" s="27">
        <v>6320</v>
      </c>
      <c r="D9" s="27">
        <v>6523</v>
      </c>
      <c r="E9" s="27">
        <v>7175</v>
      </c>
      <c r="F9" s="27">
        <v>6728</v>
      </c>
      <c r="G9" s="27">
        <v>6650</v>
      </c>
      <c r="H9" s="27">
        <v>7048</v>
      </c>
      <c r="I9" s="27">
        <v>7492</v>
      </c>
      <c r="J9" s="27">
        <v>7477</v>
      </c>
      <c r="K9" s="20"/>
      <c r="L9" s="20"/>
      <c r="M9" s="20"/>
      <c r="N9" s="39">
        <f t="shared" si="0"/>
        <v>28667</v>
      </c>
      <c r="P9" s="70">
        <f t="shared" si="1"/>
        <v>7492</v>
      </c>
      <c r="Q9" s="34">
        <f t="shared" si="2"/>
        <v>7477</v>
      </c>
      <c r="R9" s="67">
        <f t="shared" si="3"/>
        <v>-2.0021356113187399E-3</v>
      </c>
    </row>
    <row r="10" spans="1:19" outlineLevel="1" x14ac:dyDescent="0.2">
      <c r="B10" s="12" t="s">
        <v>11</v>
      </c>
      <c r="C10" s="20">
        <f t="shared" ref="C10:I10" si="6">SUM(C8:C9)</f>
        <v>14326</v>
      </c>
      <c r="D10" s="20">
        <f t="shared" si="6"/>
        <v>14288</v>
      </c>
      <c r="E10" s="20">
        <f t="shared" si="6"/>
        <v>15443</v>
      </c>
      <c r="F10" s="20">
        <f t="shared" si="6"/>
        <v>15278</v>
      </c>
      <c r="G10" s="20">
        <f t="shared" si="6"/>
        <v>15516</v>
      </c>
      <c r="H10" s="20">
        <f t="shared" si="6"/>
        <v>15914</v>
      </c>
      <c r="I10" s="20">
        <f t="shared" si="6"/>
        <v>18379</v>
      </c>
      <c r="J10" s="20">
        <f t="shared" ref="C10:J10" si="7">SUM(J8:J9)</f>
        <v>18896</v>
      </c>
      <c r="K10" s="20"/>
      <c r="L10" s="20"/>
      <c r="M10" s="20"/>
      <c r="N10" s="39">
        <f t="shared" si="0"/>
        <v>68705</v>
      </c>
      <c r="P10" s="49">
        <f t="shared" si="1"/>
        <v>18379</v>
      </c>
      <c r="Q10" s="20">
        <f>J10</f>
        <v>18896</v>
      </c>
      <c r="R10" s="50">
        <f t="shared" si="3"/>
        <v>2.8129930899396048E-2</v>
      </c>
    </row>
    <row r="11" spans="1:19" s="18" customFormat="1" outlineLevel="1" x14ac:dyDescent="0.2">
      <c r="A11" s="7"/>
      <c r="B11" s="17" t="s">
        <v>12</v>
      </c>
      <c r="C11" s="51">
        <v>25352</v>
      </c>
      <c r="D11" s="51">
        <v>29591</v>
      </c>
      <c r="E11" s="51">
        <v>42832</v>
      </c>
      <c r="F11" s="51">
        <v>29589</v>
      </c>
      <c r="G11" s="51">
        <v>28202</v>
      </c>
      <c r="H11" s="51">
        <v>32427</v>
      </c>
      <c r="I11" s="51">
        <v>50852</v>
      </c>
      <c r="J11" s="51">
        <v>35885</v>
      </c>
      <c r="K11" s="21"/>
      <c r="L11" s="21"/>
      <c r="M11" s="21"/>
      <c r="N11" s="59">
        <f t="shared" si="0"/>
        <v>147366</v>
      </c>
      <c r="O11" s="7"/>
      <c r="P11" s="69">
        <f t="shared" si="1"/>
        <v>50852</v>
      </c>
      <c r="Q11" s="54">
        <f t="shared" si="2"/>
        <v>35885</v>
      </c>
      <c r="R11" s="66">
        <f t="shared" si="3"/>
        <v>-0.29432470699284197</v>
      </c>
      <c r="S11" s="7"/>
    </row>
    <row r="12" spans="1:19" outlineLevel="1" x14ac:dyDescent="0.2">
      <c r="B12" s="12" t="s">
        <v>181</v>
      </c>
      <c r="C12" s="27">
        <v>142</v>
      </c>
      <c r="D12" s="27">
        <v>19</v>
      </c>
      <c r="E12" s="27">
        <v>-248</v>
      </c>
      <c r="F12" s="27">
        <v>-279</v>
      </c>
      <c r="G12" s="27">
        <v>-171</v>
      </c>
      <c r="H12" s="27">
        <v>377</v>
      </c>
      <c r="I12" s="27">
        <v>150</v>
      </c>
      <c r="J12" s="27">
        <v>-52</v>
      </c>
      <c r="K12" s="20"/>
      <c r="L12" s="20"/>
      <c r="M12" s="20"/>
      <c r="N12" s="39">
        <f t="shared" si="0"/>
        <v>304</v>
      </c>
      <c r="P12" s="49">
        <f t="shared" si="1"/>
        <v>150</v>
      </c>
      <c r="Q12" s="20">
        <f t="shared" si="2"/>
        <v>-52</v>
      </c>
      <c r="R12" s="50">
        <f t="shared" si="3"/>
        <v>-1.3466666666666667</v>
      </c>
    </row>
    <row r="13" spans="1:19" s="18" customFormat="1" outlineLevel="1" x14ac:dyDescent="0.2">
      <c r="A13" s="7"/>
      <c r="B13" s="17" t="s">
        <v>13</v>
      </c>
      <c r="C13" s="51">
        <v>25494</v>
      </c>
      <c r="D13" s="51">
        <v>29610</v>
      </c>
      <c r="E13" s="51">
        <v>42584</v>
      </c>
      <c r="F13" s="51">
        <v>29310</v>
      </c>
      <c r="G13" s="51">
        <v>28031</v>
      </c>
      <c r="H13" s="51">
        <v>32804</v>
      </c>
      <c r="I13" s="51">
        <v>51002</v>
      </c>
      <c r="J13" s="51">
        <v>35833</v>
      </c>
      <c r="K13" s="21"/>
      <c r="L13" s="21"/>
      <c r="M13" s="21"/>
      <c r="N13" s="59">
        <f t="shared" si="0"/>
        <v>147670</v>
      </c>
      <c r="O13" s="7"/>
      <c r="P13" s="69">
        <f t="shared" si="1"/>
        <v>51002</v>
      </c>
      <c r="Q13" s="54">
        <f t="shared" si="2"/>
        <v>35833</v>
      </c>
      <c r="R13" s="66">
        <f t="shared" si="3"/>
        <v>-0.29741970903101839</v>
      </c>
      <c r="S13" s="7"/>
    </row>
    <row r="14" spans="1:19" outlineLevel="1" x14ac:dyDescent="0.2">
      <c r="B14" s="12" t="s">
        <v>71</v>
      </c>
      <c r="C14" s="27">
        <v>-4046</v>
      </c>
      <c r="D14" s="27">
        <v>-14874</v>
      </c>
      <c r="E14" s="27">
        <v>-6254</v>
      </c>
      <c r="F14" s="27">
        <v>-4530</v>
      </c>
      <c r="G14" s="27">
        <v>-4597</v>
      </c>
      <c r="H14" s="27">
        <v>-5338</v>
      </c>
      <c r="I14" s="27">
        <v>-8905</v>
      </c>
      <c r="J14" s="27">
        <v>-6255</v>
      </c>
      <c r="K14" s="20"/>
      <c r="L14" s="20"/>
      <c r="M14" s="20"/>
      <c r="N14" s="39">
        <f t="shared" si="0"/>
        <v>-25095</v>
      </c>
      <c r="P14" s="49">
        <f t="shared" si="1"/>
        <v>-8905</v>
      </c>
      <c r="Q14" s="20">
        <f t="shared" si="2"/>
        <v>-6255</v>
      </c>
      <c r="R14" s="50">
        <f t="shared" si="3"/>
        <v>0.29758562605277933</v>
      </c>
    </row>
    <row r="15" spans="1:19" s="18" customFormat="1" outlineLevel="1" x14ac:dyDescent="0.2">
      <c r="A15" s="7"/>
      <c r="B15" s="17" t="s">
        <v>14</v>
      </c>
      <c r="C15" s="51">
        <v>21448</v>
      </c>
      <c r="D15" s="51">
        <v>14736</v>
      </c>
      <c r="E15" s="51">
        <v>36330</v>
      </c>
      <c r="F15" s="51">
        <v>24780</v>
      </c>
      <c r="G15" s="51">
        <v>23434</v>
      </c>
      <c r="H15" s="51">
        <v>27466</v>
      </c>
      <c r="I15" s="51">
        <v>42097</v>
      </c>
      <c r="J15" s="51">
        <v>29578</v>
      </c>
      <c r="K15" s="21"/>
      <c r="L15" s="21"/>
      <c r="M15" s="21"/>
      <c r="N15" s="59">
        <f t="shared" si="0"/>
        <v>122575</v>
      </c>
      <c r="O15" s="7"/>
      <c r="P15" s="69">
        <f t="shared" si="1"/>
        <v>42097</v>
      </c>
      <c r="Q15" s="54">
        <f t="shared" si="2"/>
        <v>29578</v>
      </c>
      <c r="R15" s="66">
        <f t="shared" si="3"/>
        <v>-0.29738461173005204</v>
      </c>
      <c r="S15" s="7"/>
    </row>
    <row r="16" spans="1:19" outlineLevel="1" x14ac:dyDescent="0.2">
      <c r="B16" s="12" t="s">
        <v>15</v>
      </c>
      <c r="C16" s="27">
        <v>15288</v>
      </c>
      <c r="D16" s="27">
        <v>15172</v>
      </c>
      <c r="E16" s="27">
        <v>15082</v>
      </c>
      <c r="F16" s="27">
        <v>14994</v>
      </c>
      <c r="G16" s="27">
        <v>14903</v>
      </c>
      <c r="H16" s="27">
        <v>14815</v>
      </c>
      <c r="I16" s="27">
        <v>14748</v>
      </c>
      <c r="J16" s="27">
        <v>14673</v>
      </c>
      <c r="K16" s="20"/>
      <c r="L16" s="20"/>
      <c r="M16" s="20"/>
      <c r="N16" s="39">
        <f>AVERAGE(G16:J16)</f>
        <v>14784.75</v>
      </c>
      <c r="P16" s="49">
        <f t="shared" si="1"/>
        <v>14748</v>
      </c>
      <c r="Q16" s="20">
        <f t="shared" si="2"/>
        <v>14673</v>
      </c>
      <c r="R16" s="50">
        <f t="shared" si="3"/>
        <v>-5.0854353132628151E-3</v>
      </c>
    </row>
    <row r="17" spans="1:19" outlineLevel="1" x14ac:dyDescent="0.2">
      <c r="B17" s="12" t="s">
        <v>16</v>
      </c>
      <c r="C17" s="27">
        <v>15348</v>
      </c>
      <c r="D17" s="27">
        <v>15242</v>
      </c>
      <c r="E17" s="27">
        <v>15151</v>
      </c>
      <c r="F17" s="27">
        <v>15056</v>
      </c>
      <c r="G17" s="27">
        <v>14948</v>
      </c>
      <c r="H17" s="27">
        <v>14864</v>
      </c>
      <c r="I17" s="27">
        <v>14810</v>
      </c>
      <c r="J17" s="27">
        <v>14726</v>
      </c>
      <c r="K17" s="20"/>
      <c r="L17" s="20"/>
      <c r="M17" s="20"/>
      <c r="N17" s="39">
        <f>AVERAGE((G17:J17))</f>
        <v>14837</v>
      </c>
      <c r="P17" s="49">
        <f t="shared" si="1"/>
        <v>14810</v>
      </c>
      <c r="Q17" s="20">
        <f t="shared" si="2"/>
        <v>14726</v>
      </c>
      <c r="R17" s="50">
        <f t="shared" si="3"/>
        <v>-5.6718433490884537E-3</v>
      </c>
    </row>
    <row r="18" spans="1:19" outlineLevel="1" x14ac:dyDescent="0.2">
      <c r="B18" s="12" t="s">
        <v>17</v>
      </c>
      <c r="C18" s="31">
        <v>1.4</v>
      </c>
      <c r="D18" s="31">
        <v>0.97</v>
      </c>
      <c r="E18" s="31">
        <v>2.41</v>
      </c>
      <c r="F18" s="31">
        <v>1.65</v>
      </c>
      <c r="G18" s="31">
        <v>1.57</v>
      </c>
      <c r="H18" s="31">
        <v>1.85</v>
      </c>
      <c r="I18" s="31">
        <v>2.85</v>
      </c>
      <c r="J18" s="31">
        <v>2.02</v>
      </c>
      <c r="K18" s="25"/>
      <c r="L18" s="25"/>
      <c r="M18" s="25"/>
      <c r="N18" s="40">
        <f>N15/N16</f>
        <v>8.2906373120952335</v>
      </c>
      <c r="P18" s="71">
        <f t="shared" si="1"/>
        <v>2.85</v>
      </c>
      <c r="Q18" s="72">
        <f t="shared" si="2"/>
        <v>2.02</v>
      </c>
      <c r="R18" s="50">
        <f t="shared" si="3"/>
        <v>-0.29122807017543861</v>
      </c>
    </row>
    <row r="19" spans="1:19" s="16" customFormat="1" ht="17" outlineLevel="1" thickBot="1" x14ac:dyDescent="0.25">
      <c r="A19" s="1"/>
      <c r="B19" s="10" t="s">
        <v>18</v>
      </c>
      <c r="C19" s="32">
        <v>1.4</v>
      </c>
      <c r="D19" s="32">
        <v>0.97</v>
      </c>
      <c r="E19" s="32">
        <v>2.4</v>
      </c>
      <c r="F19" s="32">
        <v>1.65</v>
      </c>
      <c r="G19" s="32">
        <v>1.57</v>
      </c>
      <c r="H19" s="32">
        <v>1.85</v>
      </c>
      <c r="I19" s="32">
        <v>2.84</v>
      </c>
      <c r="J19" s="32">
        <v>2.0099999999999998</v>
      </c>
      <c r="K19" s="25"/>
      <c r="L19" s="25"/>
      <c r="M19" s="25"/>
      <c r="N19" s="41">
        <f>N15/N17</f>
        <v>8.2614409921143093</v>
      </c>
      <c r="O19" s="1"/>
      <c r="P19" s="73">
        <f t="shared" si="1"/>
        <v>2.84</v>
      </c>
      <c r="Q19" s="74">
        <f t="shared" si="2"/>
        <v>2.0099999999999998</v>
      </c>
      <c r="R19" s="68">
        <f t="shared" si="3"/>
        <v>-0.29225352112676062</v>
      </c>
      <c r="S19" s="1"/>
    </row>
    <row r="20" spans="1:19" s="16" customFormat="1" ht="17" thickBot="1" x14ac:dyDescent="0.25">
      <c r="A20" s="1"/>
      <c r="B20" s="6"/>
      <c r="D20" s="6"/>
      <c r="E20" s="6"/>
      <c r="F20" s="6"/>
      <c r="G20" s="6"/>
      <c r="H20" s="6"/>
      <c r="I20" s="8"/>
      <c r="J20" s="8"/>
      <c r="K20" s="8"/>
      <c r="L20" s="8"/>
      <c r="M20" s="8"/>
      <c r="O20" s="1"/>
      <c r="S20" s="1"/>
    </row>
    <row r="21" spans="1:19" s="14" customFormat="1" ht="17" thickBot="1" x14ac:dyDescent="0.25">
      <c r="A21" s="4"/>
      <c r="B21" s="15" t="s">
        <v>19</v>
      </c>
      <c r="H21" s="144"/>
      <c r="I21" s="144"/>
      <c r="J21" s="144"/>
      <c r="K21" s="4"/>
      <c r="L21" s="4"/>
      <c r="M21" s="4"/>
      <c r="O21" s="4"/>
      <c r="S21" s="4"/>
    </row>
    <row r="22" spans="1:19" outlineLevel="1" x14ac:dyDescent="0.2">
      <c r="B22" s="9" t="s">
        <v>20</v>
      </c>
      <c r="C22" s="27">
        <v>25565</v>
      </c>
      <c r="D22" s="27">
        <v>29943</v>
      </c>
      <c r="E22" s="27">
        <v>30299</v>
      </c>
      <c r="F22" s="27">
        <v>28162</v>
      </c>
      <c r="G22" s="27">
        <v>36269</v>
      </c>
      <c r="H22" s="27">
        <v>35934</v>
      </c>
      <c r="I22" s="27">
        <v>45317</v>
      </c>
      <c r="J22" s="27">
        <v>45572</v>
      </c>
      <c r="K22" s="20"/>
      <c r="L22" s="20"/>
      <c r="M22" s="20"/>
      <c r="N22" s="20">
        <f>J22</f>
        <v>45572</v>
      </c>
    </row>
    <row r="23" spans="1:19" outlineLevel="1" x14ac:dyDescent="0.2">
      <c r="B23" s="9" t="s">
        <v>239</v>
      </c>
      <c r="C23" s="27">
        <v>36236</v>
      </c>
      <c r="D23" s="27">
        <v>35228</v>
      </c>
      <c r="E23" s="27">
        <v>23476</v>
      </c>
      <c r="F23" s="27">
        <v>20336</v>
      </c>
      <c r="G23" s="27">
        <v>19103</v>
      </c>
      <c r="H23" s="27">
        <v>18763</v>
      </c>
      <c r="I23" s="27">
        <v>21590</v>
      </c>
      <c r="J23" s="27">
        <v>22935</v>
      </c>
      <c r="K23" s="20"/>
      <c r="L23" s="20"/>
      <c r="M23" s="20"/>
      <c r="N23" s="20">
        <f t="shared" ref="N23:N48" si="8">J23</f>
        <v>22935</v>
      </c>
    </row>
    <row r="24" spans="1:19" outlineLevel="1" x14ac:dyDescent="0.2">
      <c r="B24" s="9" t="s">
        <v>21</v>
      </c>
      <c r="C24" s="27">
        <v>22795</v>
      </c>
      <c r="D24" s="27">
        <v>33410</v>
      </c>
      <c r="E24" s="27">
        <v>29639</v>
      </c>
      <c r="F24" s="27">
        <v>26136</v>
      </c>
      <c r="G24" s="27">
        <v>27557</v>
      </c>
      <c r="H24" s="27">
        <v>39777</v>
      </c>
      <c r="I24" s="27">
        <v>39921</v>
      </c>
      <c r="J24" s="27">
        <v>30339</v>
      </c>
      <c r="K24" s="20"/>
      <c r="L24" s="20"/>
      <c r="M24" s="20"/>
      <c r="N24" s="20">
        <f t="shared" si="8"/>
        <v>30339</v>
      </c>
    </row>
    <row r="25" spans="1:19" outlineLevel="1" x14ac:dyDescent="0.2">
      <c r="B25" s="9" t="s">
        <v>240</v>
      </c>
      <c r="C25" s="27">
        <v>20377</v>
      </c>
      <c r="D25" s="27">
        <v>32833</v>
      </c>
      <c r="E25" s="27">
        <v>29667</v>
      </c>
      <c r="F25" s="27">
        <v>23662</v>
      </c>
      <c r="G25" s="27">
        <v>19278</v>
      </c>
      <c r="H25" s="27">
        <v>33180</v>
      </c>
      <c r="I25" s="27">
        <v>30399</v>
      </c>
      <c r="J25" s="27">
        <v>23172</v>
      </c>
      <c r="K25" s="20"/>
      <c r="L25" s="20"/>
      <c r="M25" s="20"/>
      <c r="N25" s="20">
        <f t="shared" si="8"/>
        <v>23172</v>
      </c>
    </row>
    <row r="26" spans="1:19" outlineLevel="1" x14ac:dyDescent="0.2">
      <c r="B26" s="9" t="s">
        <v>241</v>
      </c>
      <c r="C26" s="27">
        <v>6165</v>
      </c>
      <c r="D26" s="27">
        <v>7286</v>
      </c>
      <c r="E26" s="27">
        <v>6911</v>
      </c>
      <c r="F26" s="27">
        <v>6269</v>
      </c>
      <c r="G26" s="27">
        <v>5925</v>
      </c>
      <c r="H26" s="27">
        <v>5718</v>
      </c>
      <c r="I26" s="27">
        <v>5875</v>
      </c>
      <c r="J26" s="27">
        <v>6747</v>
      </c>
      <c r="K26" s="20"/>
      <c r="L26" s="20"/>
      <c r="M26" s="20"/>
      <c r="N26" s="20">
        <f t="shared" si="8"/>
        <v>6747</v>
      </c>
    </row>
    <row r="27" spans="1:19" outlineLevel="1" x14ac:dyDescent="0.2">
      <c r="B27" s="9" t="s">
        <v>242</v>
      </c>
      <c r="C27" s="27">
        <v>14297</v>
      </c>
      <c r="D27" s="27">
        <v>14287</v>
      </c>
      <c r="E27" s="27">
        <v>13248</v>
      </c>
      <c r="F27" s="27">
        <v>14109</v>
      </c>
      <c r="G27" s="27">
        <v>14359</v>
      </c>
      <c r="H27" s="27">
        <v>14585</v>
      </c>
      <c r="I27" s="27">
        <v>15002</v>
      </c>
      <c r="J27" s="27">
        <v>15349</v>
      </c>
      <c r="K27" s="20"/>
      <c r="L27" s="20"/>
      <c r="M27" s="20"/>
      <c r="N27" s="20">
        <f t="shared" si="8"/>
        <v>15349</v>
      </c>
    </row>
    <row r="28" spans="1:19" s="7" customFormat="1" outlineLevel="1" x14ac:dyDescent="0.2">
      <c r="B28" s="11" t="s">
        <v>22</v>
      </c>
      <c r="C28" s="55">
        <v>125435</v>
      </c>
      <c r="D28" s="55">
        <v>152987</v>
      </c>
      <c r="E28" s="55">
        <v>133240</v>
      </c>
      <c r="F28" s="55">
        <v>118674</v>
      </c>
      <c r="G28" s="55">
        <v>122491</v>
      </c>
      <c r="H28" s="55">
        <v>147957</v>
      </c>
      <c r="I28" s="55">
        <v>158104</v>
      </c>
      <c r="J28" s="55">
        <v>144114</v>
      </c>
      <c r="K28" s="21"/>
      <c r="L28" s="21"/>
      <c r="M28" s="21"/>
      <c r="N28" s="85">
        <f t="shared" si="8"/>
        <v>144114</v>
      </c>
    </row>
    <row r="29" spans="1:19" outlineLevel="1" x14ac:dyDescent="0.2">
      <c r="B29" s="9" t="s">
        <v>239</v>
      </c>
      <c r="C29" s="27">
        <v>91240</v>
      </c>
      <c r="D29" s="27">
        <v>91479</v>
      </c>
      <c r="E29" s="27">
        <v>87593</v>
      </c>
      <c r="F29" s="27">
        <v>84424</v>
      </c>
      <c r="G29" s="27">
        <v>77614</v>
      </c>
      <c r="H29" s="27">
        <v>77723</v>
      </c>
      <c r="I29" s="27">
        <v>77888</v>
      </c>
      <c r="J29" s="27">
        <v>78088</v>
      </c>
      <c r="K29" s="20"/>
      <c r="L29" s="20"/>
      <c r="M29" s="20"/>
      <c r="N29" s="20">
        <f t="shared" si="8"/>
        <v>78088</v>
      </c>
    </row>
    <row r="30" spans="1:19" outlineLevel="1" x14ac:dyDescent="0.2">
      <c r="B30" s="9" t="s">
        <v>23</v>
      </c>
      <c r="C30" s="27">
        <v>44502</v>
      </c>
      <c r="D30" s="27">
        <v>45680</v>
      </c>
      <c r="E30" s="27">
        <v>46069</v>
      </c>
      <c r="F30" s="27">
        <v>46876</v>
      </c>
      <c r="G30" s="27">
        <v>48508</v>
      </c>
      <c r="H30" s="27">
        <v>49834</v>
      </c>
      <c r="I30" s="27">
        <v>50159</v>
      </c>
      <c r="J30" s="27">
        <v>50116</v>
      </c>
      <c r="K30" s="20"/>
      <c r="L30" s="20"/>
      <c r="M30" s="20"/>
      <c r="N30" s="20">
        <f t="shared" si="8"/>
        <v>50116</v>
      </c>
    </row>
    <row r="31" spans="1:19" outlineLevel="1" x14ac:dyDescent="0.2">
      <c r="B31" s="9" t="s">
        <v>24</v>
      </c>
      <c r="C31" s="27">
        <v>70435</v>
      </c>
      <c r="D31" s="27">
        <v>74834</v>
      </c>
      <c r="E31" s="27">
        <v>77183</v>
      </c>
      <c r="F31" s="27">
        <v>81259</v>
      </c>
      <c r="G31" s="27">
        <v>82882</v>
      </c>
      <c r="H31" s="27">
        <v>83727</v>
      </c>
      <c r="I31" s="27">
        <v>93146</v>
      </c>
      <c r="J31" s="27">
        <v>98764</v>
      </c>
      <c r="K31" s="20"/>
      <c r="L31" s="20"/>
      <c r="M31" s="20"/>
      <c r="N31" s="20">
        <f t="shared" si="8"/>
        <v>98764</v>
      </c>
    </row>
    <row r="32" spans="1:19" s="7" customFormat="1" outlineLevel="1" x14ac:dyDescent="0.2">
      <c r="B32" s="11" t="s">
        <v>25</v>
      </c>
      <c r="C32" s="56">
        <f t="shared" ref="C32:I32" si="9">SUM(C29:C31)</f>
        <v>206177</v>
      </c>
      <c r="D32" s="56">
        <f t="shared" si="9"/>
        <v>211993</v>
      </c>
      <c r="E32" s="56">
        <f t="shared" si="9"/>
        <v>210845</v>
      </c>
      <c r="F32" s="56">
        <f t="shared" si="9"/>
        <v>212559</v>
      </c>
      <c r="G32" s="56">
        <f t="shared" si="9"/>
        <v>209004</v>
      </c>
      <c r="H32" s="56">
        <f t="shared" si="9"/>
        <v>211284</v>
      </c>
      <c r="I32" s="56">
        <f t="shared" si="9"/>
        <v>221193</v>
      </c>
      <c r="J32" s="56">
        <f t="shared" ref="C32:J32" si="10">SUM(J29:J31)</f>
        <v>226968</v>
      </c>
      <c r="K32" s="21"/>
      <c r="L32" s="21"/>
      <c r="M32" s="21"/>
      <c r="N32" s="86">
        <f t="shared" si="8"/>
        <v>226968</v>
      </c>
    </row>
    <row r="33" spans="1:19" s="18" customFormat="1" outlineLevel="1" x14ac:dyDescent="0.2">
      <c r="A33" s="7"/>
      <c r="B33" s="17" t="s">
        <v>26</v>
      </c>
      <c r="C33" s="51">
        <v>331612</v>
      </c>
      <c r="D33" s="51">
        <v>364980</v>
      </c>
      <c r="E33" s="51">
        <v>344085</v>
      </c>
      <c r="F33" s="51">
        <v>331233</v>
      </c>
      <c r="G33" s="51">
        <v>331495</v>
      </c>
      <c r="H33" s="51">
        <v>359241</v>
      </c>
      <c r="I33" s="51">
        <v>379297</v>
      </c>
      <c r="J33" s="51">
        <v>371082</v>
      </c>
      <c r="K33" s="21"/>
      <c r="L33" s="21"/>
      <c r="M33" s="21"/>
      <c r="N33" s="60">
        <f t="shared" si="8"/>
        <v>371082</v>
      </c>
      <c r="O33" s="7"/>
      <c r="S33" s="7"/>
    </row>
    <row r="34" spans="1:19" outlineLevel="1" x14ac:dyDescent="0.2">
      <c r="B34" s="9" t="s">
        <v>27</v>
      </c>
      <c r="C34" s="27">
        <v>47574</v>
      </c>
      <c r="D34" s="27">
        <v>68960</v>
      </c>
      <c r="E34" s="27">
        <v>61910</v>
      </c>
      <c r="F34" s="27">
        <v>54126</v>
      </c>
      <c r="G34" s="27">
        <v>50374</v>
      </c>
      <c r="H34" s="27">
        <v>69860</v>
      </c>
      <c r="I34" s="27">
        <v>70587</v>
      </c>
      <c r="J34" s="27">
        <v>57349</v>
      </c>
      <c r="K34" s="20"/>
      <c r="L34" s="20"/>
      <c r="M34" s="20"/>
      <c r="N34" s="20">
        <f t="shared" si="8"/>
        <v>57349</v>
      </c>
    </row>
    <row r="35" spans="1:19" outlineLevel="1" x14ac:dyDescent="0.2">
      <c r="B35" s="9" t="s">
        <v>243</v>
      </c>
      <c r="C35" s="27">
        <v>60889</v>
      </c>
      <c r="D35" s="27">
        <v>78304</v>
      </c>
      <c r="E35" s="27">
        <v>61151</v>
      </c>
      <c r="F35" s="27">
        <v>61849</v>
      </c>
      <c r="G35" s="27">
        <v>62499</v>
      </c>
      <c r="H35" s="27">
        <v>66387</v>
      </c>
      <c r="I35" s="27">
        <v>68543</v>
      </c>
      <c r="J35" s="27">
        <v>57654</v>
      </c>
      <c r="K35" s="20"/>
      <c r="L35" s="20"/>
      <c r="M35" s="20"/>
      <c r="N35" s="20">
        <f t="shared" si="8"/>
        <v>57654</v>
      </c>
    </row>
    <row r="36" spans="1:19" outlineLevel="1" x14ac:dyDescent="0.2">
      <c r="B36" s="9" t="s">
        <v>94</v>
      </c>
      <c r="C36" s="27">
        <v>8053</v>
      </c>
      <c r="D36" s="27">
        <v>8249</v>
      </c>
      <c r="E36" s="27">
        <v>8461</v>
      </c>
      <c r="F36" s="27">
        <v>8976</v>
      </c>
      <c r="G36" s="27">
        <v>8979</v>
      </c>
      <c r="H36" s="27">
        <v>9055</v>
      </c>
      <c r="I36" s="27">
        <v>9413</v>
      </c>
      <c r="J36" s="27">
        <v>9331</v>
      </c>
      <c r="K36" s="20"/>
      <c r="L36" s="20"/>
      <c r="M36" s="20"/>
      <c r="N36" s="20">
        <f t="shared" si="8"/>
        <v>9331</v>
      </c>
    </row>
    <row r="37" spans="1:19" outlineLevel="1" x14ac:dyDescent="0.2">
      <c r="B37" s="9" t="s">
        <v>244</v>
      </c>
      <c r="C37" s="27">
        <v>2994</v>
      </c>
      <c r="D37" s="27">
        <v>9967</v>
      </c>
      <c r="E37" s="27">
        <v>1995</v>
      </c>
      <c r="F37" s="27">
        <v>5982</v>
      </c>
      <c r="G37" s="27">
        <v>9923</v>
      </c>
      <c r="H37" s="27">
        <v>7979</v>
      </c>
      <c r="I37" s="27">
        <v>1997</v>
      </c>
      <c r="J37" s="27">
        <v>1997</v>
      </c>
      <c r="K37" s="20"/>
      <c r="L37" s="20"/>
      <c r="M37" s="20"/>
      <c r="N37" s="20">
        <f t="shared" si="8"/>
        <v>1997</v>
      </c>
    </row>
    <row r="38" spans="1:19" outlineLevel="1" x14ac:dyDescent="0.2">
      <c r="B38" s="9" t="s">
        <v>245</v>
      </c>
      <c r="C38" s="27">
        <v>12114</v>
      </c>
      <c r="D38" s="27">
        <v>10912</v>
      </c>
      <c r="E38" s="27">
        <v>10848</v>
      </c>
      <c r="F38" s="27">
        <v>13638</v>
      </c>
      <c r="G38" s="27">
        <v>9345</v>
      </c>
      <c r="H38" s="27">
        <v>12350</v>
      </c>
      <c r="I38" s="27">
        <v>11827</v>
      </c>
      <c r="J38" s="27">
        <v>8310</v>
      </c>
      <c r="K38" s="20"/>
      <c r="L38" s="20"/>
      <c r="M38" s="20"/>
      <c r="N38" s="20">
        <f t="shared" si="8"/>
        <v>8310</v>
      </c>
    </row>
    <row r="39" spans="1:19" s="7" customFormat="1" outlineLevel="1" x14ac:dyDescent="0.2">
      <c r="B39" s="11" t="s">
        <v>30</v>
      </c>
      <c r="C39" s="55">
        <v>131624</v>
      </c>
      <c r="D39" s="55">
        <v>176392</v>
      </c>
      <c r="E39" s="55">
        <v>144365</v>
      </c>
      <c r="F39" s="55">
        <v>144571</v>
      </c>
      <c r="G39" s="55">
        <v>141120</v>
      </c>
      <c r="H39" s="55">
        <v>165361</v>
      </c>
      <c r="I39" s="55">
        <v>162367</v>
      </c>
      <c r="J39" s="55">
        <v>134641</v>
      </c>
      <c r="K39" s="21"/>
      <c r="L39" s="21"/>
      <c r="M39" s="21"/>
      <c r="N39" s="85">
        <f t="shared" si="8"/>
        <v>134641</v>
      </c>
    </row>
    <row r="40" spans="1:19" outlineLevel="1" x14ac:dyDescent="0.2">
      <c r="B40" s="9" t="s">
        <v>245</v>
      </c>
      <c r="C40" s="27">
        <v>86196</v>
      </c>
      <c r="D40" s="27">
        <v>85750</v>
      </c>
      <c r="E40" s="27">
        <v>83956</v>
      </c>
      <c r="F40" s="27">
        <v>78566</v>
      </c>
      <c r="G40" s="27">
        <v>82430</v>
      </c>
      <c r="H40" s="27">
        <v>78328</v>
      </c>
      <c r="I40" s="27">
        <v>76685</v>
      </c>
      <c r="J40" s="27">
        <v>74404</v>
      </c>
      <c r="K40" s="20"/>
      <c r="L40" s="20"/>
      <c r="M40" s="20"/>
      <c r="N40" s="20">
        <f t="shared" si="8"/>
        <v>74404</v>
      </c>
    </row>
    <row r="41" spans="1:19" outlineLevel="1" x14ac:dyDescent="0.2">
      <c r="B41" s="9" t="s">
        <v>246</v>
      </c>
      <c r="C41" s="27">
        <v>47084</v>
      </c>
      <c r="D41" s="27">
        <v>45888</v>
      </c>
      <c r="E41" s="27">
        <v>49006</v>
      </c>
      <c r="F41" s="27">
        <v>41300</v>
      </c>
      <c r="G41" s="27">
        <v>42115</v>
      </c>
      <c r="H41" s="27">
        <v>41549</v>
      </c>
      <c r="I41" s="27">
        <v>52055</v>
      </c>
      <c r="J41" s="27">
        <v>55546</v>
      </c>
      <c r="K41" s="20"/>
      <c r="L41" s="20"/>
      <c r="M41" s="20"/>
      <c r="N41" s="20">
        <f t="shared" si="8"/>
        <v>55546</v>
      </c>
    </row>
    <row r="42" spans="1:19" s="7" customFormat="1" outlineLevel="1" x14ac:dyDescent="0.2">
      <c r="B42" s="11" t="s">
        <v>28</v>
      </c>
      <c r="C42" s="56">
        <f t="shared" ref="C42:I42" si="11">SUM(C40:C41)</f>
        <v>133280</v>
      </c>
      <c r="D42" s="56">
        <f t="shared" si="11"/>
        <v>131638</v>
      </c>
      <c r="E42" s="56">
        <f t="shared" si="11"/>
        <v>132962</v>
      </c>
      <c r="F42" s="56">
        <f t="shared" si="11"/>
        <v>119866</v>
      </c>
      <c r="G42" s="56">
        <f t="shared" si="11"/>
        <v>124545</v>
      </c>
      <c r="H42" s="56">
        <f t="shared" si="11"/>
        <v>119877</v>
      </c>
      <c r="I42" s="56">
        <f t="shared" ref="I42:J42" si="12">SUM(I40:I41)</f>
        <v>128740</v>
      </c>
      <c r="J42" s="56">
        <f t="shared" si="12"/>
        <v>129950</v>
      </c>
      <c r="K42" s="21"/>
      <c r="L42" s="21"/>
      <c r="M42" s="21"/>
      <c r="N42" s="20">
        <f t="shared" si="8"/>
        <v>129950</v>
      </c>
    </row>
    <row r="43" spans="1:19" s="18" customFormat="1" outlineLevel="1" x14ac:dyDescent="0.2">
      <c r="A43" s="7"/>
      <c r="B43" s="17" t="s">
        <v>29</v>
      </c>
      <c r="C43" s="51">
        <v>264904</v>
      </c>
      <c r="D43" s="51">
        <v>308030</v>
      </c>
      <c r="E43" s="51">
        <v>277327</v>
      </c>
      <c r="F43" s="51">
        <v>264437</v>
      </c>
      <c r="G43" s="51">
        <v>265665</v>
      </c>
      <c r="H43" s="51">
        <v>285508</v>
      </c>
      <c r="I43" s="51">
        <v>291107</v>
      </c>
      <c r="J43" s="51">
        <v>264591</v>
      </c>
      <c r="K43" s="21"/>
      <c r="L43" s="21"/>
      <c r="M43" s="21"/>
      <c r="N43" s="60">
        <f t="shared" si="8"/>
        <v>264591</v>
      </c>
      <c r="O43" s="7"/>
      <c r="S43" s="7"/>
    </row>
    <row r="44" spans="1:19" outlineLevel="1" x14ac:dyDescent="0.2">
      <c r="B44" s="9" t="s">
        <v>31</v>
      </c>
      <c r="C44" s="27">
        <v>79850</v>
      </c>
      <c r="D44" s="27">
        <v>83276</v>
      </c>
      <c r="E44" s="27">
        <v>84768</v>
      </c>
      <c r="F44" s="27">
        <v>88711</v>
      </c>
      <c r="G44" s="27">
        <v>89806</v>
      </c>
      <c r="H44" s="27">
        <v>93568</v>
      </c>
      <c r="I44" s="27">
        <v>95221</v>
      </c>
      <c r="J44" s="27">
        <v>99507</v>
      </c>
      <c r="K44" s="20"/>
      <c r="L44" s="20"/>
      <c r="M44" s="20"/>
      <c r="N44" s="20">
        <f t="shared" si="8"/>
        <v>99507</v>
      </c>
    </row>
    <row r="45" spans="1:19" outlineLevel="1" x14ac:dyDescent="0.2">
      <c r="B45" s="9" t="s">
        <v>95</v>
      </c>
      <c r="C45" s="27">
        <v>-4726</v>
      </c>
      <c r="D45" s="27">
        <v>-19154</v>
      </c>
      <c r="E45" s="27">
        <v>-11221</v>
      </c>
      <c r="F45" s="27">
        <v>-15552</v>
      </c>
      <c r="G45" s="27">
        <v>-17607</v>
      </c>
      <c r="H45" s="27">
        <v>-14264</v>
      </c>
      <c r="I45" s="27">
        <v>-2177</v>
      </c>
      <c r="J45" s="27">
        <v>12359</v>
      </c>
      <c r="K45" s="20"/>
      <c r="L45" s="20"/>
      <c r="M45" s="20"/>
      <c r="N45" s="20">
        <f t="shared" si="8"/>
        <v>12359</v>
      </c>
    </row>
    <row r="46" spans="1:19" outlineLevel="1" x14ac:dyDescent="0.2">
      <c r="B46" s="9" t="s">
        <v>32</v>
      </c>
      <c r="C46" s="27">
        <v>-8416</v>
      </c>
      <c r="D46" s="27">
        <v>-7172</v>
      </c>
      <c r="E46" s="27">
        <v>-6789</v>
      </c>
      <c r="F46" s="27">
        <v>-6363</v>
      </c>
      <c r="G46" s="27">
        <v>-6369</v>
      </c>
      <c r="H46" s="27">
        <v>-5571</v>
      </c>
      <c r="I46" s="27">
        <v>-4854</v>
      </c>
      <c r="J46" s="27">
        <v>-5375</v>
      </c>
      <c r="K46" s="20"/>
      <c r="L46" s="20"/>
      <c r="M46" s="20"/>
      <c r="N46" s="20">
        <f t="shared" si="8"/>
        <v>-5375</v>
      </c>
    </row>
    <row r="47" spans="1:19" s="7" customFormat="1" outlineLevel="1" x14ac:dyDescent="0.2">
      <c r="B47" s="11" t="s">
        <v>33</v>
      </c>
      <c r="C47" s="55">
        <v>66708</v>
      </c>
      <c r="D47" s="55">
        <v>56950</v>
      </c>
      <c r="E47" s="55">
        <v>66758</v>
      </c>
      <c r="F47" s="55">
        <v>66796</v>
      </c>
      <c r="G47" s="55">
        <v>65830</v>
      </c>
      <c r="H47" s="55">
        <v>73733</v>
      </c>
      <c r="I47" s="55">
        <v>88190</v>
      </c>
      <c r="J47" s="55">
        <v>106491</v>
      </c>
      <c r="K47" s="21"/>
      <c r="L47" s="21"/>
      <c r="M47" s="21"/>
      <c r="N47" s="85">
        <f t="shared" si="8"/>
        <v>106491</v>
      </c>
    </row>
    <row r="48" spans="1:19" s="13" customFormat="1" ht="17" outlineLevel="1" thickBot="1" x14ac:dyDescent="0.25">
      <c r="A48" s="7"/>
      <c r="B48" s="19" t="s">
        <v>34</v>
      </c>
      <c r="C48" s="58">
        <v>331612</v>
      </c>
      <c r="D48" s="58">
        <v>364980</v>
      </c>
      <c r="E48" s="58">
        <v>344085</v>
      </c>
      <c r="F48" s="58">
        <v>331233</v>
      </c>
      <c r="G48" s="58">
        <v>331495</v>
      </c>
      <c r="H48" s="58">
        <v>359241</v>
      </c>
      <c r="I48" s="58">
        <v>379297</v>
      </c>
      <c r="J48" s="58">
        <v>371082</v>
      </c>
      <c r="K48" s="21"/>
      <c r="L48" s="21"/>
      <c r="M48" s="21"/>
      <c r="N48" s="87">
        <f t="shared" si="8"/>
        <v>371082</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I51" si="13">C15</f>
        <v>21448</v>
      </c>
      <c r="D51" s="20">
        <f t="shared" si="13"/>
        <v>14736</v>
      </c>
      <c r="E51" s="20">
        <f t="shared" si="13"/>
        <v>36330</v>
      </c>
      <c r="F51" s="20">
        <f t="shared" si="13"/>
        <v>24780</v>
      </c>
      <c r="G51" s="20">
        <f t="shared" si="13"/>
        <v>23434</v>
      </c>
      <c r="H51" s="20">
        <f t="shared" si="13"/>
        <v>27466</v>
      </c>
      <c r="I51" s="20">
        <f t="shared" si="13"/>
        <v>42097</v>
      </c>
      <c r="J51" s="20">
        <f t="shared" ref="C51:J51" si="14">J15</f>
        <v>29578</v>
      </c>
      <c r="K51" s="20"/>
      <c r="L51" s="20"/>
      <c r="M51" s="20"/>
      <c r="N51" s="20">
        <f>SUM(G51:J51)</f>
        <v>122575</v>
      </c>
    </row>
    <row r="52" spans="1:19" outlineLevel="1" x14ac:dyDescent="0.2">
      <c r="B52" s="9" t="s">
        <v>36</v>
      </c>
      <c r="C52" s="27"/>
      <c r="D52" s="27"/>
      <c r="E52" s="27">
        <v>3080</v>
      </c>
      <c r="F52" s="27">
        <v>2661</v>
      </c>
      <c r="G52" s="27">
        <v>2830</v>
      </c>
      <c r="H52" s="27">
        <v>3127</v>
      </c>
      <c r="I52" s="27">
        <v>3214</v>
      </c>
      <c r="J52" s="27">
        <v>3439</v>
      </c>
      <c r="K52" s="27"/>
      <c r="L52" s="27"/>
      <c r="M52" s="20"/>
      <c r="N52" s="27">
        <f t="shared" ref="N52:N76" si="15">SUM(G52:J52)</f>
        <v>12610</v>
      </c>
    </row>
    <row r="53" spans="1:19" outlineLevel="1" x14ac:dyDescent="0.2">
      <c r="B53" s="12" t="s">
        <v>96</v>
      </c>
      <c r="C53" s="27"/>
      <c r="D53" s="27"/>
      <c r="E53" s="27">
        <v>3286</v>
      </c>
      <c r="F53" s="27">
        <v>3226</v>
      </c>
      <c r="G53" s="27">
        <v>3168</v>
      </c>
      <c r="H53" s="27">
        <v>3183</v>
      </c>
      <c r="I53" s="27">
        <v>3594</v>
      </c>
      <c r="J53" s="27">
        <v>3528</v>
      </c>
      <c r="K53" s="27"/>
      <c r="L53" s="27"/>
      <c r="M53" s="20"/>
      <c r="N53" s="27">
        <f t="shared" si="15"/>
        <v>13473</v>
      </c>
    </row>
    <row r="54" spans="1:19" outlineLevel="1" x14ac:dyDescent="0.2">
      <c r="B54" s="12" t="s">
        <v>252</v>
      </c>
      <c r="C54" s="27"/>
      <c r="D54" s="27"/>
      <c r="E54" s="27">
        <v>-2009</v>
      </c>
      <c r="F54" s="27">
        <v>-208</v>
      </c>
      <c r="G54" s="27">
        <v>469</v>
      </c>
      <c r="H54" s="27">
        <v>1659</v>
      </c>
      <c r="I54" s="27">
        <v>-528</v>
      </c>
      <c r="J54" s="27">
        <v>-1189</v>
      </c>
      <c r="K54" s="27"/>
      <c r="L54" s="27"/>
      <c r="M54" s="20"/>
      <c r="N54" s="27">
        <f t="shared" si="15"/>
        <v>411</v>
      </c>
    </row>
    <row r="55" spans="1:19" outlineLevel="1" x14ac:dyDescent="0.2">
      <c r="B55" s="9" t="s">
        <v>37</v>
      </c>
      <c r="C55" s="27"/>
      <c r="D55" s="27"/>
      <c r="E55" s="27">
        <v>3597</v>
      </c>
      <c r="F55" s="27">
        <v>3669</v>
      </c>
      <c r="G55" s="27">
        <v>-1581</v>
      </c>
      <c r="H55" s="27">
        <v>-12367</v>
      </c>
      <c r="I55" s="27">
        <v>-153</v>
      </c>
      <c r="J55" s="27">
        <v>9448</v>
      </c>
      <c r="K55" s="27"/>
      <c r="L55" s="27"/>
      <c r="M55" s="20"/>
      <c r="N55" s="27">
        <f t="shared" si="15"/>
        <v>-4653</v>
      </c>
    </row>
    <row r="56" spans="1:19" outlineLevel="1" x14ac:dyDescent="0.2">
      <c r="B56" s="9" t="s">
        <v>290</v>
      </c>
      <c r="C56" s="27"/>
      <c r="D56" s="27"/>
      <c r="E56" s="27">
        <v>3166</v>
      </c>
      <c r="F56" s="27">
        <v>6005</v>
      </c>
      <c r="G56" s="27">
        <v>4384</v>
      </c>
      <c r="H56" s="27">
        <v>-13902</v>
      </c>
      <c r="I56" s="27">
        <v>2781</v>
      </c>
      <c r="J56" s="27">
        <v>7227</v>
      </c>
      <c r="K56" s="27"/>
      <c r="L56" s="27"/>
      <c r="M56" s="20"/>
      <c r="N56" s="27">
        <f t="shared" si="15"/>
        <v>490</v>
      </c>
    </row>
    <row r="57" spans="1:19" outlineLevel="1" x14ac:dyDescent="0.2">
      <c r="B57" s="9" t="s">
        <v>254</v>
      </c>
      <c r="C57" s="27"/>
      <c r="D57" s="27"/>
      <c r="E57" s="27">
        <v>215</v>
      </c>
      <c r="F57" s="27">
        <v>643</v>
      </c>
      <c r="G57" s="27">
        <v>365</v>
      </c>
      <c r="H57" s="27">
        <v>177</v>
      </c>
      <c r="I57" s="27">
        <v>-211</v>
      </c>
      <c r="J57" s="27">
        <v>-873</v>
      </c>
      <c r="K57" s="27"/>
      <c r="L57" s="27"/>
      <c r="M57" s="20"/>
      <c r="N57" s="27">
        <f t="shared" si="15"/>
        <v>-542</v>
      </c>
    </row>
    <row r="58" spans="1:19" outlineLevel="1" x14ac:dyDescent="0.2">
      <c r="B58" s="9" t="s">
        <v>255</v>
      </c>
      <c r="C58" s="27"/>
      <c r="D58" s="27"/>
      <c r="E58" s="27">
        <v>939</v>
      </c>
      <c r="F58" s="27">
        <v>-5310</v>
      </c>
      <c r="G58" s="27">
        <v>-1745</v>
      </c>
      <c r="H58" s="27">
        <v>-3081</v>
      </c>
      <c r="I58" s="27">
        <v>-10250</v>
      </c>
      <c r="J58" s="27">
        <v>-4079</v>
      </c>
      <c r="K58" s="27"/>
      <c r="L58" s="27"/>
      <c r="M58" s="20"/>
      <c r="N58" s="27">
        <f t="shared" si="15"/>
        <v>-19155</v>
      </c>
    </row>
    <row r="59" spans="1:19" outlineLevel="1" x14ac:dyDescent="0.2">
      <c r="B59" s="9" t="s">
        <v>38</v>
      </c>
      <c r="C59" s="27"/>
      <c r="D59" s="27"/>
      <c r="E59" s="27">
        <v>-6671</v>
      </c>
      <c r="F59" s="27">
        <v>-7933</v>
      </c>
      <c r="G59" s="27">
        <v>-3875</v>
      </c>
      <c r="H59" s="27">
        <v>19381</v>
      </c>
      <c r="I59" s="27">
        <v>848</v>
      </c>
      <c r="J59" s="27">
        <v>-13145</v>
      </c>
      <c r="K59" s="27"/>
      <c r="L59" s="27"/>
      <c r="M59" s="20"/>
      <c r="N59" s="27">
        <f t="shared" si="15"/>
        <v>3209</v>
      </c>
    </row>
    <row r="60" spans="1:19" outlineLevel="1" x14ac:dyDescent="0.2">
      <c r="B60" s="9" t="s">
        <v>256</v>
      </c>
      <c r="C60" s="27"/>
      <c r="D60" s="27"/>
      <c r="E60" s="27">
        <v>-11998</v>
      </c>
      <c r="F60" s="27">
        <v>-3581</v>
      </c>
      <c r="G60" s="27">
        <v>418</v>
      </c>
      <c r="H60" s="27">
        <v>4085</v>
      </c>
      <c r="I60" s="27">
        <v>12533</v>
      </c>
      <c r="J60" s="27">
        <v>-5232</v>
      </c>
      <c r="K60" s="27"/>
      <c r="L60" s="27"/>
      <c r="M60" s="20"/>
      <c r="N60" s="27">
        <f t="shared" si="15"/>
        <v>11804</v>
      </c>
    </row>
    <row r="61" spans="1:19" s="18" customFormat="1" outlineLevel="1" x14ac:dyDescent="0.2">
      <c r="A61" s="7"/>
      <c r="B61" s="17" t="s">
        <v>39</v>
      </c>
      <c r="C61" s="51"/>
      <c r="D61" s="51"/>
      <c r="E61" s="51">
        <v>29935</v>
      </c>
      <c r="F61" s="51">
        <v>23952</v>
      </c>
      <c r="G61" s="51">
        <v>27867</v>
      </c>
      <c r="H61" s="51">
        <v>29728</v>
      </c>
      <c r="I61" s="51">
        <v>53925</v>
      </c>
      <c r="J61" s="51">
        <v>28702</v>
      </c>
      <c r="K61" s="33"/>
      <c r="L61" s="33"/>
      <c r="M61" s="21"/>
      <c r="N61" s="51">
        <f t="shared" si="15"/>
        <v>140222</v>
      </c>
      <c r="O61" s="7"/>
      <c r="S61" s="7"/>
    </row>
    <row r="62" spans="1:19" outlineLevel="1" x14ac:dyDescent="0.2">
      <c r="B62" s="9" t="s">
        <v>257</v>
      </c>
      <c r="C62" s="27"/>
      <c r="D62" s="27"/>
      <c r="E62" s="27">
        <v>-6124</v>
      </c>
      <c r="F62" s="27">
        <v>-6318</v>
      </c>
      <c r="G62" s="27">
        <v>-5149</v>
      </c>
      <c r="H62" s="27">
        <v>-6816</v>
      </c>
      <c r="I62" s="27">
        <v>-12693</v>
      </c>
      <c r="J62" s="27">
        <v>-19739</v>
      </c>
      <c r="K62" s="27"/>
      <c r="L62" s="27"/>
      <c r="M62" s="20"/>
      <c r="N62" s="27">
        <f t="shared" si="15"/>
        <v>-44397</v>
      </c>
    </row>
    <row r="63" spans="1:19" outlineLevel="1" x14ac:dyDescent="0.2">
      <c r="B63" s="9" t="s">
        <v>258</v>
      </c>
      <c r="C63" s="27"/>
      <c r="D63" s="27"/>
      <c r="E63" s="27">
        <v>15967</v>
      </c>
      <c r="F63" s="27">
        <v>10620</v>
      </c>
      <c r="G63" s="27">
        <v>8449</v>
      </c>
      <c r="H63" s="27">
        <v>5871</v>
      </c>
      <c r="I63" s="27">
        <v>7510</v>
      </c>
      <c r="J63" s="27">
        <v>11181</v>
      </c>
      <c r="K63" s="27"/>
      <c r="L63" s="27"/>
      <c r="M63" s="20"/>
      <c r="N63" s="27">
        <f t="shared" si="15"/>
        <v>33011</v>
      </c>
    </row>
    <row r="64" spans="1:19" outlineLevel="1" x14ac:dyDescent="0.2">
      <c r="B64" s="9" t="s">
        <v>259</v>
      </c>
      <c r="C64" s="27"/>
      <c r="D64" s="27"/>
      <c r="E64" s="27">
        <v>3492</v>
      </c>
      <c r="F64" s="27">
        <v>1718</v>
      </c>
      <c r="G64" s="27">
        <v>5575</v>
      </c>
      <c r="H64" s="27">
        <v>2105</v>
      </c>
      <c r="I64" s="27">
        <v>2824</v>
      </c>
      <c r="J64" s="27">
        <v>5791</v>
      </c>
      <c r="K64" s="27"/>
      <c r="L64" s="27"/>
      <c r="M64" s="20"/>
      <c r="N64" s="27">
        <f t="shared" si="15"/>
        <v>16295</v>
      </c>
    </row>
    <row r="65" spans="1:19" outlineLevel="1" x14ac:dyDescent="0.2">
      <c r="B65" s="9" t="s">
        <v>40</v>
      </c>
      <c r="C65" s="27"/>
      <c r="D65" s="27"/>
      <c r="E65" s="27">
        <v>-2940</v>
      </c>
      <c r="F65" s="27">
        <v>-3071</v>
      </c>
      <c r="G65" s="27">
        <v>-3462</v>
      </c>
      <c r="H65" s="27">
        <v>-3242</v>
      </c>
      <c r="I65" s="27">
        <v>-2373</v>
      </c>
      <c r="J65" s="27">
        <v>-1971</v>
      </c>
      <c r="K65" s="27"/>
      <c r="L65" s="27"/>
      <c r="M65" s="20"/>
      <c r="N65" s="27">
        <f t="shared" si="15"/>
        <v>-11048</v>
      </c>
    </row>
    <row r="66" spans="1:19" outlineLevel="1" x14ac:dyDescent="0.2">
      <c r="B66" s="12" t="s">
        <v>252</v>
      </c>
      <c r="C66" s="27"/>
      <c r="D66" s="27"/>
      <c r="E66" s="27">
        <v>-603</v>
      </c>
      <c r="F66" s="27">
        <v>-32</v>
      </c>
      <c r="G66" s="27">
        <v>-340</v>
      </c>
      <c r="H66" s="27">
        <v>-505</v>
      </c>
      <c r="I66" s="27">
        <v>-154</v>
      </c>
      <c r="J66" s="27">
        <v>-1430</v>
      </c>
      <c r="K66" s="27"/>
      <c r="L66" s="27"/>
      <c r="M66" s="20"/>
      <c r="N66" s="27">
        <f t="shared" si="15"/>
        <v>-2429</v>
      </c>
    </row>
    <row r="67" spans="1:19" s="18" customFormat="1" outlineLevel="1" x14ac:dyDescent="0.2">
      <c r="A67" s="7"/>
      <c r="B67" s="17" t="s">
        <v>41</v>
      </c>
      <c r="C67" s="51"/>
      <c r="D67" s="51"/>
      <c r="E67" s="51">
        <v>9792</v>
      </c>
      <c r="F67" s="51">
        <v>2917</v>
      </c>
      <c r="G67" s="51">
        <v>5073</v>
      </c>
      <c r="H67" s="51">
        <v>-2587</v>
      </c>
      <c r="I67" s="51">
        <v>-4886</v>
      </c>
      <c r="J67" s="51">
        <v>-6168</v>
      </c>
      <c r="K67" s="33"/>
      <c r="L67" s="33"/>
      <c r="M67" s="21"/>
      <c r="N67" s="51">
        <f t="shared" si="15"/>
        <v>-8568</v>
      </c>
      <c r="O67" s="7"/>
      <c r="S67" s="7"/>
    </row>
    <row r="68" spans="1:19" outlineLevel="1" x14ac:dyDescent="0.2">
      <c r="B68" s="9" t="s">
        <v>260</v>
      </c>
      <c r="C68" s="27"/>
      <c r="D68" s="27"/>
      <c r="E68" s="27">
        <v>-2921</v>
      </c>
      <c r="F68" s="27">
        <v>-284</v>
      </c>
      <c r="G68" s="27">
        <v>-2514</v>
      </c>
      <c r="H68" s="27">
        <v>-241</v>
      </c>
      <c r="I68" s="27">
        <v>-2922</v>
      </c>
      <c r="J68" s="27">
        <v>-330</v>
      </c>
      <c r="K68" s="27"/>
      <c r="L68" s="27"/>
      <c r="M68" s="20"/>
      <c r="N68" s="27">
        <f t="shared" si="15"/>
        <v>-6007</v>
      </c>
    </row>
    <row r="69" spans="1:19" outlineLevel="1" x14ac:dyDescent="0.2">
      <c r="B69" s="9" t="s">
        <v>261</v>
      </c>
      <c r="C69" s="27"/>
      <c r="D69" s="27"/>
      <c r="E69" s="27">
        <v>-3856</v>
      </c>
      <c r="F69" s="27">
        <v>-3758</v>
      </c>
      <c r="G69" s="27">
        <v>-3945</v>
      </c>
      <c r="H69" s="27">
        <v>-3862</v>
      </c>
      <c r="I69" s="27">
        <v>-3921</v>
      </c>
      <c r="J69" s="27">
        <v>-3822</v>
      </c>
      <c r="K69" s="27"/>
      <c r="L69" s="27"/>
      <c r="M69" s="20"/>
      <c r="N69" s="27">
        <f t="shared" si="15"/>
        <v>-15550</v>
      </c>
    </row>
    <row r="70" spans="1:19" outlineLevel="1" x14ac:dyDescent="0.2">
      <c r="B70" s="9" t="s">
        <v>262</v>
      </c>
      <c r="C70" s="27"/>
      <c r="D70" s="27"/>
      <c r="E70" s="27">
        <v>-23606</v>
      </c>
      <c r="F70" s="27">
        <v>-25898</v>
      </c>
      <c r="G70" s="27">
        <v>-21075</v>
      </c>
      <c r="H70" s="27">
        <v>-20132</v>
      </c>
      <c r="I70" s="27">
        <v>-24701</v>
      </c>
      <c r="J70" s="27">
        <v>-12288</v>
      </c>
      <c r="K70" s="27"/>
      <c r="L70" s="27"/>
      <c r="M70" s="20"/>
      <c r="N70" s="27">
        <f t="shared" si="15"/>
        <v>-78196</v>
      </c>
    </row>
    <row r="71" spans="1:19" outlineLevel="1" x14ac:dyDescent="0.2">
      <c r="B71" s="9" t="s">
        <v>263</v>
      </c>
      <c r="C71" s="27">
        <v>0</v>
      </c>
      <c r="D71" s="27">
        <v>0</v>
      </c>
      <c r="E71" s="27">
        <v>0</v>
      </c>
      <c r="F71" s="27">
        <v>0</v>
      </c>
      <c r="G71" s="27">
        <v>4481</v>
      </c>
      <c r="H71" s="27">
        <v>0</v>
      </c>
      <c r="I71" s="27">
        <v>0</v>
      </c>
      <c r="J71" s="27">
        <v>0</v>
      </c>
      <c r="K71" s="27"/>
      <c r="L71" s="27"/>
      <c r="M71" s="20"/>
      <c r="N71" s="27">
        <f t="shared" si="15"/>
        <v>4481</v>
      </c>
    </row>
    <row r="72" spans="1:19" outlineLevel="1" x14ac:dyDescent="0.2">
      <c r="B72" s="9" t="s">
        <v>264</v>
      </c>
      <c r="C72" s="27"/>
      <c r="D72" s="27"/>
      <c r="E72" s="27">
        <v>-1009</v>
      </c>
      <c r="F72" s="27">
        <v>-3000</v>
      </c>
      <c r="G72" s="27">
        <v>-5673</v>
      </c>
      <c r="H72" s="27">
        <v>-1250</v>
      </c>
      <c r="I72" s="27">
        <v>-2164</v>
      </c>
      <c r="J72" s="27">
        <v>-5750</v>
      </c>
      <c r="K72" s="27"/>
      <c r="L72" s="27"/>
      <c r="M72" s="20"/>
      <c r="N72" s="27">
        <f t="shared" si="15"/>
        <v>-14837</v>
      </c>
    </row>
    <row r="73" spans="1:19" outlineLevel="1" x14ac:dyDescent="0.2">
      <c r="B73" s="9" t="s">
        <v>265</v>
      </c>
      <c r="C73" s="27"/>
      <c r="D73" s="27"/>
      <c r="E73" s="27">
        <v>-7944</v>
      </c>
      <c r="F73" s="27">
        <v>3976</v>
      </c>
      <c r="G73" s="27">
        <v>3903</v>
      </c>
      <c r="H73" s="27">
        <v>-1967</v>
      </c>
      <c r="I73" s="27">
        <v>-5910</v>
      </c>
      <c r="J73" s="27">
        <v>-1</v>
      </c>
      <c r="K73" s="27"/>
      <c r="L73" s="27"/>
      <c r="M73" s="20"/>
      <c r="N73" s="27">
        <f t="shared" si="15"/>
        <v>-3975</v>
      </c>
    </row>
    <row r="74" spans="1:19" outlineLevel="1" x14ac:dyDescent="0.2">
      <c r="B74" s="9" t="s">
        <v>252</v>
      </c>
      <c r="C74" s="27"/>
      <c r="D74" s="27"/>
      <c r="E74" s="27">
        <v>-35</v>
      </c>
      <c r="F74" s="27">
        <v>-42</v>
      </c>
      <c r="G74" s="27">
        <v>-10</v>
      </c>
      <c r="H74" s="27">
        <v>-24</v>
      </c>
      <c r="I74" s="27">
        <v>-38</v>
      </c>
      <c r="J74" s="27">
        <v>-88</v>
      </c>
      <c r="K74" s="27"/>
      <c r="L74" s="27"/>
      <c r="M74" s="20"/>
      <c r="N74" s="27">
        <f t="shared" si="15"/>
        <v>-160</v>
      </c>
    </row>
    <row r="75" spans="1:19" s="18" customFormat="1" outlineLevel="1" x14ac:dyDescent="0.2">
      <c r="A75" s="7"/>
      <c r="B75" s="17" t="s">
        <v>42</v>
      </c>
      <c r="C75" s="51"/>
      <c r="D75" s="51"/>
      <c r="E75" s="51">
        <v>-39371</v>
      </c>
      <c r="F75" s="51">
        <v>-29006</v>
      </c>
      <c r="G75" s="51">
        <v>-24833</v>
      </c>
      <c r="H75" s="51">
        <v>-27476</v>
      </c>
      <c r="I75" s="51">
        <v>-39656</v>
      </c>
      <c r="J75" s="51">
        <v>-22279</v>
      </c>
      <c r="K75" s="33"/>
      <c r="L75" s="33"/>
      <c r="M75" s="21"/>
      <c r="N75" s="51">
        <f t="shared" si="15"/>
        <v>-114244</v>
      </c>
      <c r="O75" s="7"/>
      <c r="S75" s="7"/>
    </row>
    <row r="76" spans="1:19" s="7" customFormat="1" outlineLevel="1" x14ac:dyDescent="0.2">
      <c r="B76" s="11" t="s">
        <v>43</v>
      </c>
      <c r="C76" s="55"/>
      <c r="D76" s="55"/>
      <c r="E76" s="55">
        <v>356</v>
      </c>
      <c r="F76" s="55">
        <v>-2137</v>
      </c>
      <c r="G76" s="55">
        <v>8107</v>
      </c>
      <c r="H76" s="55">
        <v>-335</v>
      </c>
      <c r="I76" s="55">
        <v>9383</v>
      </c>
      <c r="J76" s="55">
        <v>255</v>
      </c>
      <c r="K76" s="33"/>
      <c r="L76" s="33"/>
      <c r="M76" s="21"/>
      <c r="N76" s="55">
        <f t="shared" si="15"/>
        <v>17410</v>
      </c>
    </row>
    <row r="77" spans="1:19" s="7" customFormat="1" outlineLevel="1" x14ac:dyDescent="0.2">
      <c r="B77" s="11" t="s">
        <v>44</v>
      </c>
      <c r="C77" s="55"/>
      <c r="D77" s="55"/>
      <c r="E77" s="55">
        <v>29943</v>
      </c>
      <c r="F77" s="55">
        <v>30299</v>
      </c>
      <c r="G77" s="55">
        <v>28162</v>
      </c>
      <c r="H77" s="55">
        <v>36269</v>
      </c>
      <c r="I77" s="55">
        <v>35934</v>
      </c>
      <c r="J77" s="55">
        <v>45317</v>
      </c>
      <c r="K77" s="21"/>
      <c r="L77" s="21"/>
      <c r="M77" s="21"/>
      <c r="N77" s="55">
        <f>G77</f>
        <v>28162</v>
      </c>
    </row>
    <row r="78" spans="1:19" s="13" customFormat="1" ht="17" outlineLevel="1" thickBot="1" x14ac:dyDescent="0.25">
      <c r="A78" s="7"/>
      <c r="B78" s="19" t="s">
        <v>45</v>
      </c>
      <c r="C78" s="58"/>
      <c r="D78" s="58"/>
      <c r="E78" s="58">
        <v>30299</v>
      </c>
      <c r="F78" s="58">
        <v>28162</v>
      </c>
      <c r="G78" s="58">
        <v>36269</v>
      </c>
      <c r="H78" s="58">
        <v>35934</v>
      </c>
      <c r="I78" s="58">
        <v>45317</v>
      </c>
      <c r="J78" s="58">
        <v>45572</v>
      </c>
      <c r="K78" s="21"/>
      <c r="L78" s="21"/>
      <c r="M78" s="21"/>
      <c r="N78" s="58">
        <f>J78</f>
        <v>45572</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I81" si="16">C5-C6-C10+C12+C14</f>
        <v>21448</v>
      </c>
      <c r="D81" s="20">
        <f t="shared" si="16"/>
        <v>14736</v>
      </c>
      <c r="E81" s="20">
        <f t="shared" si="16"/>
        <v>36330</v>
      </c>
      <c r="F81" s="20">
        <f t="shared" si="16"/>
        <v>24780</v>
      </c>
      <c r="G81" s="20">
        <f t="shared" si="16"/>
        <v>23434</v>
      </c>
      <c r="H81" s="20">
        <f t="shared" si="16"/>
        <v>27466</v>
      </c>
      <c r="I81" s="20">
        <f t="shared" si="16"/>
        <v>42097</v>
      </c>
      <c r="J81" s="20">
        <f t="shared" ref="C81:J81" si="17">J5-J6-J10+J12+J14</f>
        <v>29578</v>
      </c>
      <c r="K81" s="20"/>
      <c r="L81" s="20"/>
      <c r="M81" s="20"/>
    </row>
    <row r="82" spans="1:19" s="18" customFormat="1" outlineLevel="1" collapsed="1" x14ac:dyDescent="0.2">
      <c r="A82" s="7"/>
      <c r="B82" s="17" t="s">
        <v>48</v>
      </c>
      <c r="C82" s="24">
        <f t="shared" ref="C82:I82" si="18">C15-C81</f>
        <v>0</v>
      </c>
      <c r="D82" s="24">
        <f t="shared" si="18"/>
        <v>0</v>
      </c>
      <c r="E82" s="24">
        <f t="shared" si="18"/>
        <v>0</v>
      </c>
      <c r="F82" s="24">
        <f t="shared" si="18"/>
        <v>0</v>
      </c>
      <c r="G82" s="24">
        <f t="shared" si="18"/>
        <v>0</v>
      </c>
      <c r="H82" s="24">
        <f t="shared" si="18"/>
        <v>0</v>
      </c>
      <c r="I82" s="24">
        <f t="shared" si="18"/>
        <v>0</v>
      </c>
      <c r="J82" s="24">
        <f t="shared" ref="C82:J82" si="19">J15-J81</f>
        <v>0</v>
      </c>
      <c r="K82" s="26"/>
      <c r="L82" s="26"/>
      <c r="M82" s="26"/>
      <c r="O82" s="7"/>
      <c r="S82" s="7"/>
    </row>
    <row r="83" spans="1:19" hidden="1" outlineLevel="2" x14ac:dyDescent="0.2">
      <c r="B83" s="9" t="s">
        <v>49</v>
      </c>
      <c r="C83" s="20">
        <f t="shared" ref="C83:I83" si="20">SUM(C22:C27)+SUM(C29:C31)</f>
        <v>331612</v>
      </c>
      <c r="D83" s="20">
        <f t="shared" si="20"/>
        <v>364980</v>
      </c>
      <c r="E83" s="20">
        <f t="shared" si="20"/>
        <v>344085</v>
      </c>
      <c r="F83" s="20">
        <f t="shared" si="20"/>
        <v>331233</v>
      </c>
      <c r="G83" s="20">
        <f t="shared" si="20"/>
        <v>331495</v>
      </c>
      <c r="H83" s="20">
        <f t="shared" si="20"/>
        <v>359241</v>
      </c>
      <c r="I83" s="20">
        <f t="shared" si="20"/>
        <v>379297</v>
      </c>
      <c r="J83" s="20">
        <f t="shared" ref="C83:J83" si="21">SUM(J22:J27)+SUM(J29:J31)</f>
        <v>371082</v>
      </c>
      <c r="K83" s="20"/>
      <c r="L83" s="20"/>
      <c r="M83" s="20"/>
    </row>
    <row r="84" spans="1:19" s="7" customFormat="1" outlineLevel="1" collapsed="1" x14ac:dyDescent="0.2">
      <c r="B84" s="11" t="s">
        <v>50</v>
      </c>
      <c r="C84" s="23">
        <f t="shared" ref="C84:I84" si="22">C33-C83</f>
        <v>0</v>
      </c>
      <c r="D84" s="23">
        <f t="shared" si="22"/>
        <v>0</v>
      </c>
      <c r="E84" s="23">
        <f t="shared" si="22"/>
        <v>0</v>
      </c>
      <c r="F84" s="23">
        <f t="shared" si="22"/>
        <v>0</v>
      </c>
      <c r="G84" s="23">
        <f t="shared" si="22"/>
        <v>0</v>
      </c>
      <c r="H84" s="23">
        <f t="shared" si="22"/>
        <v>0</v>
      </c>
      <c r="I84" s="23">
        <f t="shared" si="22"/>
        <v>0</v>
      </c>
      <c r="J84" s="23">
        <f t="shared" ref="C84:J84" si="23">J33-J83</f>
        <v>0</v>
      </c>
      <c r="K84" s="26"/>
      <c r="L84" s="26"/>
      <c r="M84" s="26"/>
    </row>
    <row r="85" spans="1:19" hidden="1" outlineLevel="2" x14ac:dyDescent="0.2">
      <c r="B85" s="9" t="s">
        <v>51</v>
      </c>
      <c r="C85" s="20">
        <f t="shared" ref="C85:I85" si="24">SUM(C34:C38)+SUM(C40:C41)</f>
        <v>264904</v>
      </c>
      <c r="D85" s="20">
        <f t="shared" si="24"/>
        <v>308030</v>
      </c>
      <c r="E85" s="20">
        <f t="shared" si="24"/>
        <v>277327</v>
      </c>
      <c r="F85" s="20">
        <f t="shared" si="24"/>
        <v>264437</v>
      </c>
      <c r="G85" s="20">
        <f t="shared" si="24"/>
        <v>265665</v>
      </c>
      <c r="H85" s="20">
        <f t="shared" si="24"/>
        <v>285508</v>
      </c>
      <c r="I85" s="20">
        <f t="shared" si="24"/>
        <v>291107</v>
      </c>
      <c r="J85" s="20">
        <f t="shared" ref="C85:J85" si="25">SUM(J34:J38)+SUM(J40:J41)</f>
        <v>264591</v>
      </c>
      <c r="K85" s="20"/>
      <c r="L85" s="20"/>
      <c r="M85" s="20"/>
    </row>
    <row r="86" spans="1:19" s="7" customFormat="1" outlineLevel="1" collapsed="1" x14ac:dyDescent="0.2">
      <c r="B86" s="11" t="s">
        <v>52</v>
      </c>
      <c r="C86" s="23">
        <f t="shared" ref="C86:I86" si="26">C43-C85</f>
        <v>0</v>
      </c>
      <c r="D86" s="23">
        <f t="shared" si="26"/>
        <v>0</v>
      </c>
      <c r="E86" s="23">
        <f t="shared" si="26"/>
        <v>0</v>
      </c>
      <c r="F86" s="23">
        <f t="shared" si="26"/>
        <v>0</v>
      </c>
      <c r="G86" s="23">
        <f t="shared" si="26"/>
        <v>0</v>
      </c>
      <c r="H86" s="23">
        <f t="shared" si="26"/>
        <v>0</v>
      </c>
      <c r="I86" s="23">
        <f t="shared" si="26"/>
        <v>0</v>
      </c>
      <c r="J86" s="23">
        <f t="shared" ref="C86:J86" si="27">J43-J85</f>
        <v>0</v>
      </c>
      <c r="K86" s="26"/>
      <c r="L86" s="26"/>
      <c r="M86" s="26"/>
    </row>
    <row r="87" spans="1:19" hidden="1" outlineLevel="2" x14ac:dyDescent="0.2">
      <c r="B87" s="9" t="s">
        <v>53</v>
      </c>
      <c r="C87" s="20">
        <f t="shared" ref="C87:I87" si="28">SUM(C44:C46)</f>
        <v>66708</v>
      </c>
      <c r="D87" s="20">
        <f t="shared" si="28"/>
        <v>56950</v>
      </c>
      <c r="E87" s="20">
        <f t="shared" si="28"/>
        <v>66758</v>
      </c>
      <c r="F87" s="20">
        <f t="shared" si="28"/>
        <v>66796</v>
      </c>
      <c r="G87" s="20">
        <f t="shared" si="28"/>
        <v>65830</v>
      </c>
      <c r="H87" s="20">
        <f t="shared" si="28"/>
        <v>73733</v>
      </c>
      <c r="I87" s="20">
        <f t="shared" si="28"/>
        <v>88190</v>
      </c>
      <c r="J87" s="20">
        <f t="shared" ref="C87:J87" si="29">SUM(J44:J46)</f>
        <v>106491</v>
      </c>
      <c r="K87" s="20"/>
      <c r="L87" s="20"/>
      <c r="M87" s="20"/>
    </row>
    <row r="88" spans="1:19" s="7" customFormat="1" outlineLevel="1" collapsed="1" x14ac:dyDescent="0.2">
      <c r="B88" s="11" t="s">
        <v>54</v>
      </c>
      <c r="C88" s="23">
        <f t="shared" ref="C88:I88" si="30">C47-C87</f>
        <v>0</v>
      </c>
      <c r="D88" s="23">
        <f t="shared" si="30"/>
        <v>0</v>
      </c>
      <c r="E88" s="23">
        <f t="shared" si="30"/>
        <v>0</v>
      </c>
      <c r="F88" s="23">
        <f t="shared" si="30"/>
        <v>0</v>
      </c>
      <c r="G88" s="23">
        <f t="shared" si="30"/>
        <v>0</v>
      </c>
      <c r="H88" s="23">
        <f t="shared" si="30"/>
        <v>0</v>
      </c>
      <c r="I88" s="23">
        <f t="shared" si="30"/>
        <v>0</v>
      </c>
      <c r="J88" s="23">
        <f t="shared" ref="C88:J88" si="31">J47-J87</f>
        <v>0</v>
      </c>
      <c r="K88" s="26"/>
      <c r="L88" s="26"/>
      <c r="M88" s="26"/>
    </row>
    <row r="89" spans="1:19" s="18" customFormat="1" outlineLevel="1" x14ac:dyDescent="0.2">
      <c r="A89" s="7"/>
      <c r="B89" s="17" t="s">
        <v>64</v>
      </c>
      <c r="C89" s="22">
        <f t="shared" ref="C89:I89" si="32">C33-(C43+C47)</f>
        <v>0</v>
      </c>
      <c r="D89" s="22">
        <f t="shared" si="32"/>
        <v>0</v>
      </c>
      <c r="E89" s="22">
        <f t="shared" si="32"/>
        <v>0</v>
      </c>
      <c r="F89" s="22">
        <f t="shared" si="32"/>
        <v>0</v>
      </c>
      <c r="G89" s="22">
        <f t="shared" si="32"/>
        <v>0</v>
      </c>
      <c r="H89" s="22">
        <f t="shared" si="32"/>
        <v>0</v>
      </c>
      <c r="I89" s="22">
        <f t="shared" si="32"/>
        <v>0</v>
      </c>
      <c r="J89" s="22">
        <f t="shared" ref="C89:J89" si="33">J33-(J43+J47)</f>
        <v>0</v>
      </c>
      <c r="K89" s="26"/>
      <c r="L89" s="26"/>
      <c r="M89" s="26"/>
      <c r="O89" s="7"/>
      <c r="S89" s="7"/>
    </row>
    <row r="90" spans="1:19" hidden="1" outlineLevel="2" x14ac:dyDescent="0.2">
      <c r="B90" s="9" t="s">
        <v>55</v>
      </c>
      <c r="C90" s="20">
        <f t="shared" ref="C90:I90" si="34">SUM(C51:C60)</f>
        <v>21448</v>
      </c>
      <c r="D90" s="20">
        <f t="shared" si="34"/>
        <v>14736</v>
      </c>
      <c r="E90" s="20">
        <f t="shared" si="34"/>
        <v>29935</v>
      </c>
      <c r="F90" s="20">
        <f t="shared" si="34"/>
        <v>23952</v>
      </c>
      <c r="G90" s="20">
        <f t="shared" si="34"/>
        <v>27867</v>
      </c>
      <c r="H90" s="20">
        <f t="shared" si="34"/>
        <v>29728</v>
      </c>
      <c r="I90" s="20">
        <f t="shared" si="34"/>
        <v>53925</v>
      </c>
      <c r="J90" s="20">
        <f t="shared" ref="C90:J90" si="35">SUM(J51:J60)</f>
        <v>28702</v>
      </c>
      <c r="K90" s="20"/>
      <c r="L90" s="20"/>
      <c r="M90" s="20"/>
    </row>
    <row r="91" spans="1:19" s="7" customFormat="1" outlineLevel="1" collapsed="1" x14ac:dyDescent="0.2">
      <c r="B91" s="11" t="s">
        <v>56</v>
      </c>
      <c r="C91" s="23">
        <f t="shared" ref="C91:I91" si="36">C61-C90</f>
        <v>-21448</v>
      </c>
      <c r="D91" s="23">
        <f t="shared" si="36"/>
        <v>-14736</v>
      </c>
      <c r="E91" s="23">
        <f t="shared" si="36"/>
        <v>0</v>
      </c>
      <c r="F91" s="23">
        <f t="shared" si="36"/>
        <v>0</v>
      </c>
      <c r="G91" s="23">
        <f t="shared" si="36"/>
        <v>0</v>
      </c>
      <c r="H91" s="23">
        <f t="shared" si="36"/>
        <v>0</v>
      </c>
      <c r="I91" s="23">
        <f t="shared" si="36"/>
        <v>0</v>
      </c>
      <c r="J91" s="23">
        <f t="shared" ref="C91:J91" si="37">J61-J90</f>
        <v>0</v>
      </c>
      <c r="K91" s="26"/>
      <c r="L91" s="26"/>
      <c r="M91" s="26"/>
    </row>
    <row r="92" spans="1:19" hidden="1" outlineLevel="2" x14ac:dyDescent="0.2">
      <c r="B92" s="9" t="s">
        <v>57</v>
      </c>
      <c r="C92" s="20">
        <f t="shared" ref="C92:I92" si="38">SUM(C62:C66)</f>
        <v>0</v>
      </c>
      <c r="D92" s="20">
        <f t="shared" si="38"/>
        <v>0</v>
      </c>
      <c r="E92" s="20">
        <f t="shared" si="38"/>
        <v>9792</v>
      </c>
      <c r="F92" s="20">
        <f t="shared" si="38"/>
        <v>2917</v>
      </c>
      <c r="G92" s="20">
        <f t="shared" si="38"/>
        <v>5073</v>
      </c>
      <c r="H92" s="20">
        <f t="shared" si="38"/>
        <v>-2587</v>
      </c>
      <c r="I92" s="20">
        <f t="shared" si="38"/>
        <v>-4886</v>
      </c>
      <c r="J92" s="20">
        <f t="shared" ref="C92:J92" si="39">SUM(J62:J66)</f>
        <v>-6168</v>
      </c>
      <c r="K92" s="20"/>
      <c r="L92" s="20"/>
      <c r="M92" s="20"/>
    </row>
    <row r="93" spans="1:19" s="7" customFormat="1" outlineLevel="1" collapsed="1" x14ac:dyDescent="0.2">
      <c r="B93" s="11" t="s">
        <v>58</v>
      </c>
      <c r="C93" s="23">
        <f t="shared" ref="C93:I93" si="40">C67-C92</f>
        <v>0</v>
      </c>
      <c r="D93" s="23">
        <f t="shared" si="40"/>
        <v>0</v>
      </c>
      <c r="E93" s="23">
        <f t="shared" si="40"/>
        <v>0</v>
      </c>
      <c r="F93" s="23">
        <f t="shared" si="40"/>
        <v>0</v>
      </c>
      <c r="G93" s="23">
        <f t="shared" si="40"/>
        <v>0</v>
      </c>
      <c r="H93" s="23">
        <f t="shared" si="40"/>
        <v>0</v>
      </c>
      <c r="I93" s="23">
        <f t="shared" si="40"/>
        <v>0</v>
      </c>
      <c r="J93" s="23">
        <f t="shared" ref="C93:J93" si="41">J67-J92</f>
        <v>0</v>
      </c>
      <c r="K93" s="26"/>
      <c r="L93" s="26"/>
      <c r="M93" s="26"/>
    </row>
    <row r="94" spans="1:19" hidden="1" outlineLevel="2" x14ac:dyDescent="0.2">
      <c r="B94" s="9" t="s">
        <v>59</v>
      </c>
      <c r="C94" s="20">
        <f t="shared" ref="C94:I94" si="42">SUM(C68:C74)</f>
        <v>0</v>
      </c>
      <c r="D94" s="20">
        <f t="shared" si="42"/>
        <v>0</v>
      </c>
      <c r="E94" s="20">
        <f t="shared" si="42"/>
        <v>-39371</v>
      </c>
      <c r="F94" s="20">
        <f t="shared" si="42"/>
        <v>-29006</v>
      </c>
      <c r="G94" s="20">
        <f t="shared" si="42"/>
        <v>-24833</v>
      </c>
      <c r="H94" s="20">
        <f t="shared" si="42"/>
        <v>-27476</v>
      </c>
      <c r="I94" s="20">
        <f t="shared" si="42"/>
        <v>-39656</v>
      </c>
      <c r="J94" s="20">
        <f t="shared" ref="C94:J94" si="43">SUM(J68:J74)</f>
        <v>-22279</v>
      </c>
      <c r="K94" s="20"/>
      <c r="L94" s="20"/>
      <c r="M94" s="20"/>
    </row>
    <row r="95" spans="1:19" s="7" customFormat="1" outlineLevel="1" collapsed="1" x14ac:dyDescent="0.2">
      <c r="B95" s="11" t="s">
        <v>60</v>
      </c>
      <c r="C95" s="23">
        <f t="shared" ref="C95:I95" si="44">C75-C94</f>
        <v>0</v>
      </c>
      <c r="D95" s="23">
        <f t="shared" si="44"/>
        <v>0</v>
      </c>
      <c r="E95" s="23">
        <f t="shared" si="44"/>
        <v>0</v>
      </c>
      <c r="F95" s="23">
        <f t="shared" si="44"/>
        <v>0</v>
      </c>
      <c r="G95" s="23">
        <f t="shared" si="44"/>
        <v>0</v>
      </c>
      <c r="H95" s="23">
        <f t="shared" si="44"/>
        <v>0</v>
      </c>
      <c r="I95" s="23">
        <f t="shared" ref="I95:J95" si="45">I75-I94</f>
        <v>0</v>
      </c>
      <c r="J95" s="23">
        <f t="shared" si="45"/>
        <v>0</v>
      </c>
      <c r="K95" s="26"/>
      <c r="L95" s="26"/>
      <c r="M95" s="26"/>
    </row>
    <row r="96" spans="1:19" hidden="1" outlineLevel="2" x14ac:dyDescent="0.2">
      <c r="B96" s="9" t="s">
        <v>62</v>
      </c>
      <c r="C96" s="20">
        <f t="shared" ref="C96:I96" si="46">C61+C67+C75+C77</f>
        <v>0</v>
      </c>
      <c r="D96" s="20">
        <f t="shared" si="46"/>
        <v>0</v>
      </c>
      <c r="E96" s="20">
        <f t="shared" si="46"/>
        <v>30299</v>
      </c>
      <c r="F96" s="20">
        <f t="shared" si="46"/>
        <v>28162</v>
      </c>
      <c r="G96" s="20">
        <f t="shared" si="46"/>
        <v>36269</v>
      </c>
      <c r="H96" s="20">
        <f t="shared" si="46"/>
        <v>35934</v>
      </c>
      <c r="I96" s="20">
        <f t="shared" si="46"/>
        <v>45317</v>
      </c>
      <c r="J96" s="20">
        <f t="shared" ref="C96:J96" si="47">J61+J67+J75+J77</f>
        <v>45572</v>
      </c>
      <c r="K96" s="20"/>
      <c r="L96" s="20"/>
      <c r="M96" s="20"/>
    </row>
    <row r="97" spans="1:19" s="18" customFormat="1" outlineLevel="1" collapsed="1" x14ac:dyDescent="0.2">
      <c r="A97" s="7"/>
      <c r="B97" s="17" t="s">
        <v>61</v>
      </c>
      <c r="C97" s="22">
        <f t="shared" ref="C97:I97" si="48">C78-C96</f>
        <v>0</v>
      </c>
      <c r="D97" s="22">
        <f t="shared" si="48"/>
        <v>0</v>
      </c>
      <c r="E97" s="22">
        <f t="shared" si="48"/>
        <v>0</v>
      </c>
      <c r="F97" s="22">
        <f t="shared" si="48"/>
        <v>0</v>
      </c>
      <c r="G97" s="22">
        <f t="shared" si="48"/>
        <v>0</v>
      </c>
      <c r="H97" s="22">
        <f t="shared" si="48"/>
        <v>0</v>
      </c>
      <c r="I97" s="22">
        <f t="shared" ref="I97:J97" si="49">I78-I96</f>
        <v>0</v>
      </c>
      <c r="J97" s="22">
        <f t="shared" si="49"/>
        <v>0</v>
      </c>
      <c r="K97" s="26"/>
      <c r="L97" s="26"/>
      <c r="M97" s="26"/>
      <c r="O97" s="7"/>
      <c r="S97" s="7"/>
    </row>
    <row r="98" spans="1:19" x14ac:dyDescent="0.2">
      <c r="B98" s="8"/>
      <c r="D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15204</v>
      </c>
      <c r="D100" s="27">
        <v>15116</v>
      </c>
      <c r="E100" s="27">
        <v>15022</v>
      </c>
      <c r="F100" s="27">
        <v>14936</v>
      </c>
      <c r="G100" s="27">
        <v>14840</v>
      </c>
      <c r="H100" s="27">
        <v>14776</v>
      </c>
      <c r="I100" s="27">
        <v>14681</v>
      </c>
      <c r="J100" s="27">
        <v>14687</v>
      </c>
      <c r="K100" s="20"/>
      <c r="L100" s="20"/>
      <c r="M100" s="20"/>
      <c r="N100" s="20">
        <f>J100</f>
        <v>14687</v>
      </c>
    </row>
    <row r="101" spans="1:19" outlineLevel="1" x14ac:dyDescent="0.2">
      <c r="B101" s="12" t="s">
        <v>70</v>
      </c>
      <c r="C101" s="28">
        <v>0.25</v>
      </c>
      <c r="D101" s="28">
        <v>0.25</v>
      </c>
      <c r="E101" s="28">
        <v>0.25</v>
      </c>
      <c r="F101" s="28">
        <v>0.25</v>
      </c>
      <c r="G101" s="28">
        <v>0.26</v>
      </c>
      <c r="H101" s="28">
        <v>0.26</v>
      </c>
      <c r="I101" s="28">
        <v>0.26</v>
      </c>
      <c r="J101" s="28">
        <v>0.26</v>
      </c>
      <c r="K101" s="8"/>
      <c r="L101" s="8"/>
      <c r="M101" s="8"/>
      <c r="N101" s="1">
        <f>SUM(G101:J101)</f>
        <v>1.04</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84</v>
      </c>
      <c r="C104" s="65"/>
      <c r="D104" s="65"/>
      <c r="E104" s="65"/>
      <c r="F104" s="65"/>
      <c r="G104" s="65"/>
      <c r="H104" s="65"/>
      <c r="I104" s="65"/>
      <c r="J104" s="65"/>
      <c r="K104" s="1"/>
      <c r="L104" s="1"/>
      <c r="M104" s="1"/>
      <c r="O104" s="4"/>
      <c r="S104" s="4"/>
    </row>
    <row r="105" spans="1:19" outlineLevel="1" x14ac:dyDescent="0.2">
      <c r="B105" s="9" t="s">
        <v>77</v>
      </c>
      <c r="C105" s="27"/>
      <c r="D105" s="27"/>
      <c r="E105" s="27"/>
      <c r="F105" s="27"/>
      <c r="G105" s="27"/>
      <c r="H105" s="27"/>
      <c r="I105" s="27"/>
      <c r="J105" s="27"/>
    </row>
    <row r="106" spans="1:19" outlineLevel="1" x14ac:dyDescent="0.2">
      <c r="B106" s="9" t="s">
        <v>78</v>
      </c>
      <c r="C106" s="27"/>
      <c r="D106" s="27"/>
      <c r="E106" s="27"/>
      <c r="F106" s="27"/>
      <c r="G106" s="27"/>
      <c r="H106" s="27"/>
      <c r="I106" s="27"/>
      <c r="J106" s="27"/>
    </row>
    <row r="107" spans="1:19" outlineLevel="1" x14ac:dyDescent="0.2">
      <c r="B107" s="9" t="s">
        <v>82</v>
      </c>
      <c r="C107" s="34">
        <f t="shared" ref="C107" si="50">D5</f>
        <v>94930</v>
      </c>
      <c r="D107" s="34">
        <f t="shared" ref="D107" si="51">E5</f>
        <v>124300</v>
      </c>
      <c r="E107" s="34">
        <f t="shared" ref="E107" si="52">F5</f>
        <v>95359</v>
      </c>
      <c r="F107" s="34">
        <f t="shared" ref="F107" si="53">G5</f>
        <v>94036</v>
      </c>
      <c r="G107" s="34">
        <f t="shared" ref="G107" si="54">H5</f>
        <v>102466</v>
      </c>
      <c r="H107" s="34">
        <f t="shared" ref="H107" si="55">I5</f>
        <v>143756</v>
      </c>
      <c r="I107" s="34">
        <f t="shared" ref="I107" si="56">J5</f>
        <v>111184</v>
      </c>
      <c r="J107" s="34">
        <f t="shared" ref="C107:J107" si="57">K5</f>
        <v>0</v>
      </c>
    </row>
    <row r="108" spans="1:19" outlineLevel="1" x14ac:dyDescent="0.2">
      <c r="B108" s="9" t="s">
        <v>79</v>
      </c>
      <c r="C108" s="64" t="str">
        <f t="shared" ref="C108" si="58">IF(D5&gt;C106, "BEAT", IF(D5&lt;C105, "MISSED", "MET"))</f>
        <v>BEAT</v>
      </c>
      <c r="D108" s="64" t="str">
        <f t="shared" ref="D108" si="59">IF(E5&gt;D106, "BEAT", IF(E5&lt;D105, "MISSED", "MET"))</f>
        <v>BEAT</v>
      </c>
      <c r="E108" s="64" t="str">
        <f t="shared" ref="E108" si="60">IF(F5&gt;E106, "BEAT", IF(F5&lt;E105, "MISSED", "MET"))</f>
        <v>BEAT</v>
      </c>
      <c r="F108" s="64" t="str">
        <f t="shared" ref="F108" si="61">IF(G5&gt;F106, "BEAT", IF(G5&lt;F105, "MISSED", "MET"))</f>
        <v>BEAT</v>
      </c>
      <c r="G108" s="64" t="str">
        <f t="shared" ref="G108" si="62">IF(H5&gt;G106, "BEAT", IF(H5&lt;G105, "MISSED", "MET"))</f>
        <v>BEAT</v>
      </c>
      <c r="H108" s="64" t="str">
        <f t="shared" ref="H108" si="63">IF(I5&gt;H106, "BEAT", IF(I5&lt;H105, "MISSED", "MET"))</f>
        <v>BEAT</v>
      </c>
      <c r="I108" s="64" t="str">
        <f t="shared" ref="I108" si="64">IF(J5&gt;I106, "BEAT", IF(J5&lt;I105, "MISSED", "MET"))</f>
        <v>BEAT</v>
      </c>
      <c r="J108" s="64" t="str">
        <f t="shared" ref="C108:J108" si="65">IF(K5&gt;J106, "BEAT", IF(K5&lt;J105, "MISSED", "MET"))</f>
        <v>MET</v>
      </c>
    </row>
    <row r="109" spans="1:19" outlineLevel="1" x14ac:dyDescent="0.2">
      <c r="B109" s="9" t="s">
        <v>80</v>
      </c>
      <c r="C109" s="31"/>
      <c r="D109" s="31"/>
      <c r="E109" s="31"/>
      <c r="F109" s="31"/>
      <c r="G109" s="31"/>
      <c r="H109" s="31"/>
      <c r="I109" s="31"/>
      <c r="J109" s="31"/>
    </row>
    <row r="110" spans="1:19" outlineLevel="1" x14ac:dyDescent="0.2">
      <c r="B110" s="9" t="s">
        <v>81</v>
      </c>
      <c r="C110" s="31"/>
      <c r="D110" s="31"/>
      <c r="E110" s="31"/>
      <c r="F110" s="31"/>
      <c r="G110" s="31"/>
      <c r="H110" s="31"/>
      <c r="I110" s="31"/>
      <c r="J110" s="31"/>
    </row>
    <row r="111" spans="1:19" outlineLevel="1" x14ac:dyDescent="0.2">
      <c r="B111" s="9" t="s">
        <v>83</v>
      </c>
      <c r="C111" s="25"/>
      <c r="D111" s="25"/>
      <c r="E111" s="25"/>
      <c r="F111" s="25"/>
      <c r="G111" s="25"/>
      <c r="H111" s="25"/>
      <c r="I111" s="25"/>
      <c r="J111" s="25"/>
      <c r="K111" s="20"/>
      <c r="L111" s="20"/>
      <c r="M111" s="20"/>
    </row>
    <row r="112" spans="1:19" outlineLevel="1" x14ac:dyDescent="0.2">
      <c r="B112" s="12" t="s">
        <v>79</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101</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100</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102</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J32 N5:N6 N8:N9 N11:N17 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1"/>
  <sheetViews>
    <sheetView zoomScale="179" workbookViewId="0">
      <pane xSplit="2" ySplit="3" topLeftCell="Q4" activePane="bottomRight" state="frozen"/>
      <selection pane="topRight" activeCell="C1" sqref="C1"/>
      <selection pane="bottomLeft" activeCell="A4" sqref="A4"/>
      <selection pane="bottomRight" activeCell="W13" sqref="W1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29.06.2024</v>
      </c>
      <c r="O2" s="3" t="str">
        <f>'Statement Q'!D2</f>
        <v>28.09.2024</v>
      </c>
      <c r="P2" s="3" t="str">
        <f>'Statement Q'!E2</f>
        <v>28.12.2024</v>
      </c>
      <c r="Q2" s="3" t="str">
        <f>'Statement Q'!F2</f>
        <v>29.03.2025</v>
      </c>
      <c r="R2" s="3" t="str">
        <f>'Statement Q'!G2</f>
        <v>28.06.2025</v>
      </c>
      <c r="S2" s="3" t="str">
        <f>'Statement Q'!H2</f>
        <v>27.09.2025</v>
      </c>
      <c r="T2" s="3" t="str">
        <f>'Statement Q'!I2</f>
        <v>27.12.2025</v>
      </c>
      <c r="U2" s="3" t="str">
        <f>'Statement Q'!J2</f>
        <v>28.03.2026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85777</v>
      </c>
      <c r="O5" s="153">
        <f>'Statement Q'!D5</f>
        <v>94930</v>
      </c>
      <c r="P5" s="153">
        <f>'Statement Q'!E5</f>
        <v>124300</v>
      </c>
      <c r="Q5" s="153">
        <f>'Statement Q'!F5</f>
        <v>95359</v>
      </c>
      <c r="R5" s="153">
        <f>'Statement Q'!G5</f>
        <v>94036</v>
      </c>
      <c r="S5" s="153">
        <f>'Statement Q'!H5</f>
        <v>102466</v>
      </c>
      <c r="T5" s="153">
        <f>'Statement Q'!I5</f>
        <v>143756</v>
      </c>
      <c r="U5" s="153">
        <f>'Statement Q'!J5</f>
        <v>111184</v>
      </c>
      <c r="W5" s="153">
        <f>SUM(R5:U5)</f>
        <v>451442</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46099</v>
      </c>
      <c r="O6" s="133">
        <f>'Statement Q'!D6</f>
        <v>51051</v>
      </c>
      <c r="P6" s="133">
        <f>'Statement Q'!E6</f>
        <v>66025</v>
      </c>
      <c r="Q6" s="133">
        <f>'Statement Q'!F6</f>
        <v>50492</v>
      </c>
      <c r="R6" s="133">
        <f>'Statement Q'!G6</f>
        <v>50318</v>
      </c>
      <c r="S6" s="133">
        <f>'Statement Q'!H6</f>
        <v>54125</v>
      </c>
      <c r="T6" s="133">
        <f>'Statement Q'!I6</f>
        <v>74525</v>
      </c>
      <c r="U6" s="133">
        <f>'Statement Q'!J6</f>
        <v>56403</v>
      </c>
      <c r="W6" s="133">
        <f t="shared" ref="W6:W17" si="0">SUM(R6:U6)</f>
        <v>235371</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39678</v>
      </c>
      <c r="O7" s="153">
        <f>'Statement Q'!D7</f>
        <v>43879</v>
      </c>
      <c r="P7" s="153">
        <f>'Statement Q'!E7</f>
        <v>58275</v>
      </c>
      <c r="Q7" s="153">
        <f>'Statement Q'!F7</f>
        <v>44867</v>
      </c>
      <c r="R7" s="153">
        <f>'Statement Q'!G7</f>
        <v>43718</v>
      </c>
      <c r="S7" s="153">
        <f>'Statement Q'!H7</f>
        <v>48341</v>
      </c>
      <c r="T7" s="153">
        <f>'Statement Q'!I7</f>
        <v>69231</v>
      </c>
      <c r="U7" s="153">
        <f>'Statement Q'!J7</f>
        <v>54781</v>
      </c>
      <c r="W7" s="153">
        <f t="shared" si="0"/>
        <v>216071</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8006</v>
      </c>
      <c r="O8" s="133">
        <f>'Statement Q'!D8</f>
        <v>7765</v>
      </c>
      <c r="P8" s="133">
        <f>'Statement Q'!E8</f>
        <v>8268</v>
      </c>
      <c r="Q8" s="133">
        <f>'Statement Q'!F8</f>
        <v>8550</v>
      </c>
      <c r="R8" s="133">
        <f>'Statement Q'!G8</f>
        <v>8866</v>
      </c>
      <c r="S8" s="133">
        <f>'Statement Q'!H8</f>
        <v>8866</v>
      </c>
      <c r="T8" s="133">
        <f>'Statement Q'!I8</f>
        <v>10887</v>
      </c>
      <c r="U8" s="133">
        <f>'Statement Q'!J8</f>
        <v>11419</v>
      </c>
      <c r="W8" s="133">
        <f t="shared" si="0"/>
        <v>40038</v>
      </c>
    </row>
    <row r="9" spans="2:23" outlineLevel="1" x14ac:dyDescent="0.2">
      <c r="B9" s="12" t="s">
        <v>223</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6320</v>
      </c>
      <c r="O9" s="133">
        <f>'Statement Q'!D9</f>
        <v>6523</v>
      </c>
      <c r="P9" s="133">
        <f>'Statement Q'!E9</f>
        <v>7175</v>
      </c>
      <c r="Q9" s="133">
        <f>'Statement Q'!F9</f>
        <v>6728</v>
      </c>
      <c r="R9" s="133">
        <f>'Statement Q'!G9</f>
        <v>6650</v>
      </c>
      <c r="S9" s="133">
        <f>'Statement Q'!H9</f>
        <v>7048</v>
      </c>
      <c r="T9" s="133">
        <f>'Statement Q'!I9</f>
        <v>7492</v>
      </c>
      <c r="U9" s="133">
        <f>'Statement Q'!J9</f>
        <v>7477</v>
      </c>
      <c r="W9" s="133">
        <f t="shared" si="0"/>
        <v>28667</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14326</v>
      </c>
      <c r="O10" s="133">
        <f>'Statement Q'!D10</f>
        <v>14288</v>
      </c>
      <c r="P10" s="133">
        <f>'Statement Q'!E10</f>
        <v>15443</v>
      </c>
      <c r="Q10" s="133">
        <f>'Statement Q'!F10</f>
        <v>15278</v>
      </c>
      <c r="R10" s="133">
        <f>'Statement Q'!G10</f>
        <v>15516</v>
      </c>
      <c r="S10" s="133">
        <f>'Statement Q'!H10</f>
        <v>15914</v>
      </c>
      <c r="T10" s="133">
        <f>'Statement Q'!I10</f>
        <v>18379</v>
      </c>
      <c r="U10" s="133">
        <f>'Statement Q'!J10</f>
        <v>18896</v>
      </c>
      <c r="W10" s="133">
        <f t="shared" si="0"/>
        <v>68705</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25352</v>
      </c>
      <c r="O11" s="153">
        <f>'Statement Q'!D11</f>
        <v>29591</v>
      </c>
      <c r="P11" s="153">
        <f>'Statement Q'!E11</f>
        <v>42832</v>
      </c>
      <c r="Q11" s="153">
        <f>'Statement Q'!F11</f>
        <v>29589</v>
      </c>
      <c r="R11" s="153">
        <f>'Statement Q'!G11</f>
        <v>28202</v>
      </c>
      <c r="S11" s="153">
        <f>'Statement Q'!H11</f>
        <v>32427</v>
      </c>
      <c r="T11" s="153">
        <f>'Statement Q'!I11</f>
        <v>50852</v>
      </c>
      <c r="U11" s="153">
        <f>'Statement Q'!J11</f>
        <v>35885</v>
      </c>
      <c r="W11" s="153">
        <f t="shared" si="0"/>
        <v>147366</v>
      </c>
    </row>
    <row r="12" spans="2:23" outlineLevel="1" x14ac:dyDescent="0.2">
      <c r="B12" s="78" t="s">
        <v>214</v>
      </c>
      <c r="C12" s="169">
        <f t="shared" ref="C12:L12" si="1">C11+C51</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N11+N51</f>
        <v>25352</v>
      </c>
      <c r="O12" s="169">
        <f t="shared" si="2"/>
        <v>29591</v>
      </c>
      <c r="P12" s="169">
        <f t="shared" si="2"/>
        <v>45912</v>
      </c>
      <c r="Q12" s="169">
        <f t="shared" si="2"/>
        <v>32250</v>
      </c>
      <c r="R12" s="169">
        <f t="shared" si="2"/>
        <v>31032</v>
      </c>
      <c r="S12" s="169">
        <f t="shared" si="2"/>
        <v>35554</v>
      </c>
      <c r="T12" s="169">
        <f t="shared" si="2"/>
        <v>54066</v>
      </c>
      <c r="U12" s="169">
        <f t="shared" si="2"/>
        <v>39324</v>
      </c>
      <c r="W12" s="169">
        <f>SUM(R12:U12)</f>
        <v>159976</v>
      </c>
    </row>
    <row r="13" spans="2:23" outlineLevel="1" x14ac:dyDescent="0.2">
      <c r="B13" s="78" t="s">
        <v>142</v>
      </c>
      <c r="C13" s="169">
        <f>C11*(1-'Statement Y'!C119)</f>
        <v>44683.511829498791</v>
      </c>
      <c r="D13" s="169">
        <f>D11*(1-'Statement Y'!D119)</f>
        <v>46280.075270327201</v>
      </c>
      <c r="E13" s="169">
        <f>E11*(1-'Statement Y'!E119)</f>
        <v>57893.760723152685</v>
      </c>
      <c r="F13" s="169">
        <f>F11*(1-'Statement Y'!F119)</f>
        <v>53737.105131052529</v>
      </c>
      <c r="G13" s="169">
        <f>G11*(1-'Statement Y'!G119)</f>
        <v>56723.858162793818</v>
      </c>
      <c r="H13" s="169">
        <f>H11*(1-'Statement Y'!H119)</f>
        <v>94456.319832977737</v>
      </c>
      <c r="I13" s="169">
        <f>I11*(1-'Statement Y'!I119)</f>
        <v>100082.87709797402</v>
      </c>
      <c r="J13" s="169">
        <f>J11*(1-'Statement Y'!J119)</f>
        <v>97476.836665611598</v>
      </c>
      <c r="K13" s="169">
        <f>K11*(1-'Statement Y'!K119)</f>
        <v>93531.80528809168</v>
      </c>
      <c r="L13" s="169">
        <f>L11*(1-'Statement Y'!L119)</f>
        <v>112280.89189250277</v>
      </c>
      <c r="N13" s="169">
        <f>N11*(1-'Statement Y'!$L119)</f>
        <v>21394.552207882225</v>
      </c>
      <c r="O13" s="169">
        <f>O11*(1-'Statement Y'!$L119)</f>
        <v>24971.844208876733</v>
      </c>
      <c r="P13" s="169">
        <f>P11*(1-'Statement Y'!$L119)</f>
        <v>36145.923799621785</v>
      </c>
      <c r="Q13" s="169">
        <f>Q11*(1-'Statement Y'!$L119)</f>
        <v>24970.156408923445</v>
      </c>
      <c r="R13" s="169">
        <f>R11*(1-'Statement Y'!$L119)</f>
        <v>23799.667141318023</v>
      </c>
      <c r="S13" s="169">
        <f>S11*(1-'Statement Y'!$L119)</f>
        <v>27365.144542639511</v>
      </c>
      <c r="T13" s="169">
        <f>T11*(1-'Statement Y'!$L119)</f>
        <v>42914.00161230778</v>
      </c>
      <c r="U13" s="169">
        <f>U11*(1-'Statement Y'!$L119)</f>
        <v>30283.350661874945</v>
      </c>
      <c r="W13" s="169">
        <f>W11*(1-'Statement Y'!$L119)</f>
        <v>124362.16395814027</v>
      </c>
    </row>
    <row r="14" spans="2:23" outlineLevel="1" x14ac:dyDescent="0.2">
      <c r="B14" s="12" t="s">
        <v>181</v>
      </c>
      <c r="C14" s="133">
        <f>'Statement Y'!C12</f>
        <v>1348</v>
      </c>
      <c r="D14" s="133">
        <f>'Statement Y'!D12</f>
        <v>2745</v>
      </c>
      <c r="E14" s="133">
        <f>'Statement Y'!E12</f>
        <v>2005</v>
      </c>
      <c r="F14" s="133">
        <f>'Statement Y'!F12</f>
        <v>1807</v>
      </c>
      <c r="G14" s="133">
        <f>'Statement Y'!G12</f>
        <v>803</v>
      </c>
      <c r="H14" s="133">
        <f>'Statement Y'!H12</f>
        <v>258</v>
      </c>
      <c r="I14" s="133">
        <f>'Statement Y'!I12</f>
        <v>-334</v>
      </c>
      <c r="J14" s="133">
        <f>'Statement Y'!J12</f>
        <v>-565</v>
      </c>
      <c r="K14" s="133">
        <f>'Statement Y'!K12</f>
        <v>269</v>
      </c>
      <c r="L14" s="133">
        <f>'Statement Y'!L12</f>
        <v>-321</v>
      </c>
      <c r="N14" s="133">
        <f>'Statement Q'!C12</f>
        <v>142</v>
      </c>
      <c r="O14" s="133">
        <f>'Statement Q'!D12</f>
        <v>19</v>
      </c>
      <c r="P14" s="133">
        <f>'Statement Q'!E12</f>
        <v>-248</v>
      </c>
      <c r="Q14" s="133">
        <f>'Statement Q'!F12</f>
        <v>-279</v>
      </c>
      <c r="R14" s="133">
        <f>'Statement Q'!G12</f>
        <v>-171</v>
      </c>
      <c r="S14" s="133">
        <f>'Statement Q'!H12</f>
        <v>377</v>
      </c>
      <c r="T14" s="133">
        <f>'Statement Q'!I12</f>
        <v>150</v>
      </c>
      <c r="U14" s="133">
        <f>'Statement Q'!J12</f>
        <v>-52</v>
      </c>
      <c r="W14" s="133">
        <f t="shared" si="0"/>
        <v>304</v>
      </c>
    </row>
    <row r="15" spans="2:23" outlineLevel="1" x14ac:dyDescent="0.2">
      <c r="B15" s="17" t="s">
        <v>13</v>
      </c>
      <c r="C15" s="153">
        <f>'Statement Y'!C13</f>
        <v>61372</v>
      </c>
      <c r="D15" s="153">
        <f>'Statement Y'!D13</f>
        <v>64089</v>
      </c>
      <c r="E15" s="153">
        <f>'Statement Y'!E13</f>
        <v>72903</v>
      </c>
      <c r="F15" s="153">
        <f>'Statement Y'!F13</f>
        <v>65737</v>
      </c>
      <c r="G15" s="153">
        <f>'Statement Y'!G13</f>
        <v>67091</v>
      </c>
      <c r="H15" s="153">
        <f>'Statement Y'!H13</f>
        <v>109207</v>
      </c>
      <c r="I15" s="153">
        <f>'Statement Y'!I13</f>
        <v>119103</v>
      </c>
      <c r="J15" s="153">
        <f>'Statement Y'!J13</f>
        <v>113736</v>
      </c>
      <c r="K15" s="153">
        <f>'Statement Y'!K13</f>
        <v>123485</v>
      </c>
      <c r="L15" s="153">
        <f>'Statement Y'!L13</f>
        <v>132729</v>
      </c>
      <c r="N15" s="153">
        <f>'Statement Q'!C13</f>
        <v>25494</v>
      </c>
      <c r="O15" s="153">
        <f>'Statement Q'!D13</f>
        <v>29610</v>
      </c>
      <c r="P15" s="153">
        <f>'Statement Q'!E13</f>
        <v>42584</v>
      </c>
      <c r="Q15" s="153">
        <f>'Statement Q'!F13</f>
        <v>29310</v>
      </c>
      <c r="R15" s="153">
        <f>'Statement Q'!G13</f>
        <v>28031</v>
      </c>
      <c r="S15" s="153">
        <f>'Statement Q'!H13</f>
        <v>32804</v>
      </c>
      <c r="T15" s="153">
        <f>'Statement Q'!I13</f>
        <v>51002</v>
      </c>
      <c r="U15" s="153">
        <f>'Statement Q'!J13</f>
        <v>35833</v>
      </c>
      <c r="W15" s="153">
        <f t="shared" si="0"/>
        <v>147670</v>
      </c>
    </row>
    <row r="16" spans="2:23" outlineLevel="1" x14ac:dyDescent="0.2">
      <c r="B16" s="12" t="s">
        <v>71</v>
      </c>
      <c r="C16" s="133">
        <f>'Statement Y'!C14</f>
        <v>-15685</v>
      </c>
      <c r="D16" s="133">
        <f>'Statement Y'!D14</f>
        <v>-15738</v>
      </c>
      <c r="E16" s="133">
        <f>'Statement Y'!E14</f>
        <v>-13372</v>
      </c>
      <c r="F16" s="133">
        <f>'Statement Y'!F14</f>
        <v>-10481</v>
      </c>
      <c r="G16" s="133">
        <f>'Statement Y'!G14</f>
        <v>-9680</v>
      </c>
      <c r="H16" s="133">
        <f>'Statement Y'!H14</f>
        <v>-14527</v>
      </c>
      <c r="I16" s="133">
        <f>'Statement Y'!I14</f>
        <v>-19300</v>
      </c>
      <c r="J16" s="133">
        <f>'Statement Y'!J14</f>
        <v>-16741</v>
      </c>
      <c r="K16" s="133">
        <f>'Statement Y'!K14</f>
        <v>-29749</v>
      </c>
      <c r="L16" s="133">
        <f>'Statement Y'!L14</f>
        <v>-20719</v>
      </c>
      <c r="N16" s="133">
        <f>'Statement Q'!C14</f>
        <v>-4046</v>
      </c>
      <c r="O16" s="133">
        <f>'Statement Q'!D14</f>
        <v>-14874</v>
      </c>
      <c r="P16" s="133">
        <f>'Statement Q'!E14</f>
        <v>-6254</v>
      </c>
      <c r="Q16" s="133">
        <f>'Statement Q'!F14</f>
        <v>-4530</v>
      </c>
      <c r="R16" s="133">
        <f>'Statement Q'!G14</f>
        <v>-4597</v>
      </c>
      <c r="S16" s="133">
        <f>'Statement Q'!H14</f>
        <v>-5338</v>
      </c>
      <c r="T16" s="133">
        <f>'Statement Q'!I14</f>
        <v>-8905</v>
      </c>
      <c r="U16" s="133">
        <f>'Statement Q'!J14</f>
        <v>-6255</v>
      </c>
      <c r="W16" s="133">
        <f t="shared" si="0"/>
        <v>-25095</v>
      </c>
    </row>
    <row r="17" spans="2:23" outlineLevel="1" x14ac:dyDescent="0.2">
      <c r="B17" s="17" t="s">
        <v>14</v>
      </c>
      <c r="C17" s="153">
        <f>'Statement Y'!C15</f>
        <v>45687</v>
      </c>
      <c r="D17" s="153">
        <f>'Statement Y'!D15</f>
        <v>48351</v>
      </c>
      <c r="E17" s="153">
        <f>'Statement Y'!E15</f>
        <v>59531</v>
      </c>
      <c r="F17" s="153">
        <f>'Statement Y'!F15</f>
        <v>55256</v>
      </c>
      <c r="G17" s="153">
        <f>'Statement Y'!G15</f>
        <v>57411</v>
      </c>
      <c r="H17" s="153">
        <f>'Statement Y'!H15</f>
        <v>94680</v>
      </c>
      <c r="I17" s="153">
        <f>'Statement Y'!I15</f>
        <v>99803</v>
      </c>
      <c r="J17" s="153">
        <f>'Statement Y'!J15</f>
        <v>96995</v>
      </c>
      <c r="K17" s="153">
        <f>'Statement Y'!K15</f>
        <v>93736</v>
      </c>
      <c r="L17" s="153">
        <f>'Statement Y'!L15</f>
        <v>112010</v>
      </c>
      <c r="N17" s="153">
        <f>'Statement Q'!C15</f>
        <v>21448</v>
      </c>
      <c r="O17" s="153">
        <f>'Statement Q'!D15</f>
        <v>14736</v>
      </c>
      <c r="P17" s="153">
        <f>'Statement Q'!E15</f>
        <v>36330</v>
      </c>
      <c r="Q17" s="153">
        <f>'Statement Q'!F15</f>
        <v>24780</v>
      </c>
      <c r="R17" s="153">
        <f>'Statement Q'!G15</f>
        <v>23434</v>
      </c>
      <c r="S17" s="153">
        <f>'Statement Q'!H15</f>
        <v>27466</v>
      </c>
      <c r="T17" s="153">
        <f>'Statement Q'!I15</f>
        <v>42097</v>
      </c>
      <c r="U17" s="153">
        <f>'Statement Q'!J15</f>
        <v>29578</v>
      </c>
      <c r="W17" s="153">
        <f t="shared" si="0"/>
        <v>122575</v>
      </c>
    </row>
    <row r="18" spans="2:23" outlineLevel="1" x14ac:dyDescent="0.2">
      <c r="B18" s="12" t="s">
        <v>16</v>
      </c>
      <c r="C18" s="133">
        <f>'Statement Y'!C19</f>
        <v>22000</v>
      </c>
      <c r="D18" s="133">
        <f>'Statement Y'!D19</f>
        <v>21008</v>
      </c>
      <c r="E18" s="133">
        <f>'Statement Y'!E19</f>
        <v>20000</v>
      </c>
      <c r="F18" s="133">
        <f>'Statement Y'!F19</f>
        <v>18596</v>
      </c>
      <c r="G18" s="133">
        <f>'Statement Y'!G19</f>
        <v>17528</v>
      </c>
      <c r="H18" s="133">
        <f>'Statement Y'!H19</f>
        <v>16865</v>
      </c>
      <c r="I18" s="133">
        <f>'Statement Y'!I19</f>
        <v>16326</v>
      </c>
      <c r="J18" s="133">
        <f>'Statement Y'!J19</f>
        <v>15813</v>
      </c>
      <c r="K18" s="133">
        <f>'Statement Y'!K19</f>
        <v>15408</v>
      </c>
      <c r="L18" s="133">
        <f>'Statement Y'!L19</f>
        <v>15005</v>
      </c>
      <c r="N18" s="133">
        <f>'Statement Q'!C17</f>
        <v>15348</v>
      </c>
      <c r="O18" s="133">
        <f>'Statement Q'!D17</f>
        <v>15242</v>
      </c>
      <c r="P18" s="133">
        <f>'Statement Q'!E17</f>
        <v>15151</v>
      </c>
      <c r="Q18" s="133">
        <f>'Statement Q'!F17</f>
        <v>15056</v>
      </c>
      <c r="R18" s="133">
        <f>'Statement Q'!G17</f>
        <v>14948</v>
      </c>
      <c r="S18" s="133">
        <f>'Statement Q'!H17</f>
        <v>14864</v>
      </c>
      <c r="T18" s="133">
        <f>'Statement Q'!I17</f>
        <v>14810</v>
      </c>
      <c r="U18" s="133">
        <f>'Statement Q'!J17</f>
        <v>14726</v>
      </c>
      <c r="W18" s="133">
        <f>AVERAGE(R18:U18)</f>
        <v>14837</v>
      </c>
    </row>
    <row r="19" spans="2:23" ht="17" outlineLevel="1" thickBot="1" x14ac:dyDescent="0.25">
      <c r="B19" s="10" t="s">
        <v>18</v>
      </c>
      <c r="C19" s="154">
        <f>'Statement Y'!C23</f>
        <v>2.0775000000000001</v>
      </c>
      <c r="D19" s="154">
        <f>'Statement Y'!D23</f>
        <v>2.3025000000000002</v>
      </c>
      <c r="E19" s="154">
        <f>'Statement Y'!E23</f>
        <v>2.9775</v>
      </c>
      <c r="F19" s="154">
        <f>'Statement Y'!F23</f>
        <v>2.9725000000000001</v>
      </c>
      <c r="G19" s="154">
        <f>'Statement Y'!G23</f>
        <v>3.28</v>
      </c>
      <c r="H19" s="154">
        <f>'Statement Y'!H23</f>
        <v>5.61</v>
      </c>
      <c r="I19" s="154">
        <f>'Statement Y'!I23</f>
        <v>6.11</v>
      </c>
      <c r="J19" s="154">
        <f>'Statement Y'!J23</f>
        <v>6.13</v>
      </c>
      <c r="K19" s="154">
        <f>'Statement Y'!K23</f>
        <v>6.08</v>
      </c>
      <c r="L19" s="154">
        <f>'Statement Y'!L23</f>
        <v>7.46</v>
      </c>
      <c r="N19" s="155">
        <f>'Statement Q'!C19</f>
        <v>1.4</v>
      </c>
      <c r="O19" s="155">
        <f>'Statement Q'!D19</f>
        <v>0.97</v>
      </c>
      <c r="P19" s="155">
        <f>'Statement Q'!E19</f>
        <v>2.4</v>
      </c>
      <c r="Q19" s="155">
        <f>'Statement Q'!F19</f>
        <v>1.65</v>
      </c>
      <c r="R19" s="155">
        <f>'Statement Q'!G19</f>
        <v>1.57</v>
      </c>
      <c r="S19" s="155">
        <f>'Statement Q'!H19</f>
        <v>1.85</v>
      </c>
      <c r="T19" s="155">
        <f>'Statement Q'!I19</f>
        <v>2.84</v>
      </c>
      <c r="U19" s="155">
        <f>'Statement Q'!J19</f>
        <v>2.0099999999999998</v>
      </c>
      <c r="W19" s="155">
        <f>W17/W18</f>
        <v>8.2614409921143093</v>
      </c>
    </row>
    <row r="21" spans="2:23" ht="17" thickBot="1" x14ac:dyDescent="0.25">
      <c r="B21" s="15" t="s">
        <v>19</v>
      </c>
      <c r="C21" s="14"/>
      <c r="D21" s="14"/>
      <c r="E21" s="14"/>
      <c r="F21" s="14"/>
      <c r="G21" s="14"/>
      <c r="H21" s="14"/>
      <c r="I21" s="14"/>
      <c r="J21" s="14"/>
      <c r="K21" s="14"/>
      <c r="L21" s="14"/>
      <c r="N21" s="14"/>
      <c r="O21" s="14"/>
      <c r="P21" s="14"/>
      <c r="Q21" s="14"/>
      <c r="R21" s="14"/>
      <c r="S21" s="14"/>
      <c r="T21" s="14"/>
      <c r="U21" s="14"/>
      <c r="W21" s="14"/>
    </row>
    <row r="22" spans="2:23" outlineLevel="1" x14ac:dyDescent="0.2">
      <c r="B22" s="9" t="s">
        <v>20</v>
      </c>
      <c r="C22" s="133">
        <f>'Statement Y'!C26+'Statement Y'!C27</f>
        <v>67155</v>
      </c>
      <c r="D22" s="133">
        <f>'Statement Y'!D26+'Statement Y'!D27</f>
        <v>74181</v>
      </c>
      <c r="E22" s="133">
        <f>'Statement Y'!E26+'Statement Y'!E27</f>
        <v>66301</v>
      </c>
      <c r="F22" s="133">
        <f>'Statement Y'!F26+'Statement Y'!F27</f>
        <v>100557</v>
      </c>
      <c r="G22" s="133">
        <f>'Statement Y'!G26+'Statement Y'!G27</f>
        <v>90943</v>
      </c>
      <c r="H22" s="133">
        <f>'Statement Y'!H26+'Statement Y'!H27</f>
        <v>62639</v>
      </c>
      <c r="I22" s="133">
        <f>'Statement Y'!I26+'Statement Y'!I27</f>
        <v>48304</v>
      </c>
      <c r="J22" s="133">
        <f>'Statement Y'!J26+'Statement Y'!J27</f>
        <v>61555</v>
      </c>
      <c r="K22" s="133">
        <f>'Statement Y'!K26+'Statement Y'!K27</f>
        <v>65171</v>
      </c>
      <c r="L22" s="133">
        <f>'Statement Y'!L26+'Statement Y'!L27</f>
        <v>54697</v>
      </c>
      <c r="N22" s="133">
        <f>'Statement Q'!C22+'Statement Q'!C23</f>
        <v>61801</v>
      </c>
      <c r="O22" s="133">
        <f>'Statement Q'!D22+'Statement Q'!D23</f>
        <v>65171</v>
      </c>
      <c r="P22" s="133">
        <f>'Statement Q'!E22+'Statement Q'!E23</f>
        <v>53775</v>
      </c>
      <c r="Q22" s="133">
        <f>'Statement Q'!F22+'Statement Q'!F23</f>
        <v>48498</v>
      </c>
      <c r="R22" s="133">
        <f>'Statement Q'!G22+'Statement Q'!G23</f>
        <v>55372</v>
      </c>
      <c r="S22" s="133">
        <f>'Statement Q'!H22+'Statement Q'!H23</f>
        <v>54697</v>
      </c>
      <c r="T22" s="133">
        <f>'Statement Q'!I22+'Statement Q'!I23</f>
        <v>66907</v>
      </c>
      <c r="U22" s="133">
        <f>'Statement Q'!J22+'Statement Q'!J23</f>
        <v>68507</v>
      </c>
      <c r="W22" s="133">
        <f>U22</f>
        <v>68507</v>
      </c>
    </row>
    <row r="23" spans="2:23" outlineLevel="1" x14ac:dyDescent="0.2">
      <c r="B23" s="9" t="s">
        <v>21</v>
      </c>
      <c r="C23" s="133">
        <f>'Statement Y'!C28</f>
        <v>15754</v>
      </c>
      <c r="D23" s="133">
        <f>'Statement Y'!D28</f>
        <v>17874</v>
      </c>
      <c r="E23" s="133">
        <f>'Statement Y'!E28</f>
        <v>23186</v>
      </c>
      <c r="F23" s="133">
        <f>'Statement Y'!F28</f>
        <v>22926</v>
      </c>
      <c r="G23" s="133">
        <f>'Statement Y'!G28</f>
        <v>16120</v>
      </c>
      <c r="H23" s="133">
        <f>'Statement Y'!H28</f>
        <v>26278</v>
      </c>
      <c r="I23" s="133">
        <f>'Statement Y'!I28</f>
        <v>28184</v>
      </c>
      <c r="J23" s="133">
        <f>'Statement Y'!J28</f>
        <v>29508</v>
      </c>
      <c r="K23" s="133">
        <f>'Statement Y'!K28</f>
        <v>33410</v>
      </c>
      <c r="L23" s="133">
        <f>'Statement Y'!L28</f>
        <v>39777</v>
      </c>
      <c r="N23" s="133">
        <f>'Statement Q'!C24</f>
        <v>22795</v>
      </c>
      <c r="O23" s="133">
        <f>'Statement Q'!D24</f>
        <v>33410</v>
      </c>
      <c r="P23" s="133">
        <f>'Statement Q'!E24</f>
        <v>29639</v>
      </c>
      <c r="Q23" s="133">
        <f>'Statement Q'!F24</f>
        <v>26136</v>
      </c>
      <c r="R23" s="133">
        <f>'Statement Q'!G24</f>
        <v>27557</v>
      </c>
      <c r="S23" s="133">
        <f>'Statement Q'!H24</f>
        <v>39777</v>
      </c>
      <c r="T23" s="133">
        <f>'Statement Q'!I24</f>
        <v>39921</v>
      </c>
      <c r="U23" s="133">
        <f>'Statement Q'!J24</f>
        <v>30339</v>
      </c>
      <c r="W23" s="133">
        <f t="shared" ref="W23:W47" si="3">U23</f>
        <v>30339</v>
      </c>
    </row>
    <row r="24" spans="2:23" outlineLevel="1" x14ac:dyDescent="0.2">
      <c r="B24" s="9" t="s">
        <v>240</v>
      </c>
      <c r="C24" s="133">
        <f>'Statement Y'!C29</f>
        <v>13545</v>
      </c>
      <c r="D24" s="133">
        <f>'Statement Y'!D29</f>
        <v>17799</v>
      </c>
      <c r="E24" s="133">
        <f>'Statement Y'!E29</f>
        <v>25809</v>
      </c>
      <c r="F24" s="133">
        <f>'Statement Y'!F29</f>
        <v>22878</v>
      </c>
      <c r="G24" s="133">
        <f>'Statement Y'!G29</f>
        <v>21325</v>
      </c>
      <c r="H24" s="133">
        <f>'Statement Y'!H29</f>
        <v>25228</v>
      </c>
      <c r="I24" s="133">
        <f>'Statement Y'!I29</f>
        <v>32748</v>
      </c>
      <c r="J24" s="133">
        <f>'Statement Y'!J29</f>
        <v>31477</v>
      </c>
      <c r="K24" s="133">
        <f>'Statement Y'!K29</f>
        <v>32833</v>
      </c>
      <c r="L24" s="133">
        <f>'Statement Y'!L29</f>
        <v>33180</v>
      </c>
      <c r="N24" s="133">
        <f>'Statement Q'!C25</f>
        <v>20377</v>
      </c>
      <c r="O24" s="133">
        <f>'Statement Q'!D25</f>
        <v>32833</v>
      </c>
      <c r="P24" s="133">
        <f>'Statement Q'!E25</f>
        <v>29667</v>
      </c>
      <c r="Q24" s="133">
        <f>'Statement Q'!F25</f>
        <v>23662</v>
      </c>
      <c r="R24" s="133">
        <f>'Statement Q'!G25</f>
        <v>19278</v>
      </c>
      <c r="S24" s="133">
        <f>'Statement Q'!H25</f>
        <v>33180</v>
      </c>
      <c r="T24" s="133">
        <f>'Statement Q'!I25</f>
        <v>30399</v>
      </c>
      <c r="U24" s="133">
        <f>'Statement Q'!J25</f>
        <v>23172</v>
      </c>
      <c r="W24" s="133">
        <f t="shared" si="3"/>
        <v>23172</v>
      </c>
    </row>
    <row r="25" spans="2:23" outlineLevel="1" x14ac:dyDescent="0.2">
      <c r="B25" s="9" t="s">
        <v>241</v>
      </c>
      <c r="C25" s="133">
        <f>'Statement Y'!C30</f>
        <v>2132</v>
      </c>
      <c r="D25" s="133">
        <f>'Statement Y'!D30</f>
        <v>4855</v>
      </c>
      <c r="E25" s="133">
        <f>'Statement Y'!E30</f>
        <v>3956</v>
      </c>
      <c r="F25" s="133">
        <f>'Statement Y'!F30</f>
        <v>4106</v>
      </c>
      <c r="G25" s="133">
        <f>'Statement Y'!G30</f>
        <v>4061</v>
      </c>
      <c r="H25" s="133">
        <f>'Statement Y'!H30</f>
        <v>6580</v>
      </c>
      <c r="I25" s="133">
        <f>'Statement Y'!I30</f>
        <v>4946</v>
      </c>
      <c r="J25" s="133">
        <f>'Statement Y'!J30</f>
        <v>6331</v>
      </c>
      <c r="K25" s="133">
        <f>'Statement Y'!K30</f>
        <v>7286</v>
      </c>
      <c r="L25" s="133">
        <f>'Statement Y'!L30</f>
        <v>5718</v>
      </c>
      <c r="N25" s="133">
        <f>'Statement Q'!C26</f>
        <v>6165</v>
      </c>
      <c r="O25" s="133">
        <f>'Statement Q'!D26</f>
        <v>7286</v>
      </c>
      <c r="P25" s="133">
        <f>'Statement Q'!E26</f>
        <v>6911</v>
      </c>
      <c r="Q25" s="133">
        <f>'Statement Q'!F26</f>
        <v>6269</v>
      </c>
      <c r="R25" s="133">
        <f>'Statement Q'!G26</f>
        <v>5925</v>
      </c>
      <c r="S25" s="133">
        <f>'Statement Q'!H26</f>
        <v>5718</v>
      </c>
      <c r="T25" s="133">
        <f>'Statement Q'!I26</f>
        <v>5875</v>
      </c>
      <c r="U25" s="133">
        <f>'Statement Q'!J26</f>
        <v>6747</v>
      </c>
      <c r="W25" s="133">
        <f t="shared" si="3"/>
        <v>6747</v>
      </c>
    </row>
    <row r="26" spans="2:23" outlineLevel="1" x14ac:dyDescent="0.2">
      <c r="B26" s="9" t="s">
        <v>242</v>
      </c>
      <c r="C26" s="133">
        <f>'Statement Y'!C31</f>
        <v>8283</v>
      </c>
      <c r="D26" s="133">
        <f>'Statement Y'!D31</f>
        <v>13936</v>
      </c>
      <c r="E26" s="133">
        <f>'Statement Y'!E31</f>
        <v>12087</v>
      </c>
      <c r="F26" s="133">
        <f>'Statement Y'!F31</f>
        <v>12352</v>
      </c>
      <c r="G26" s="133">
        <f>'Statement Y'!G31</f>
        <v>11264</v>
      </c>
      <c r="H26" s="133">
        <f>'Statement Y'!H31</f>
        <v>14111</v>
      </c>
      <c r="I26" s="133">
        <f>'Statement Y'!I31</f>
        <v>21223</v>
      </c>
      <c r="J26" s="133">
        <f>'Statement Y'!J31</f>
        <v>14695</v>
      </c>
      <c r="K26" s="133">
        <f>'Statement Y'!K31</f>
        <v>14287</v>
      </c>
      <c r="L26" s="133">
        <f>'Statement Y'!L31</f>
        <v>14585</v>
      </c>
      <c r="N26" s="133">
        <f>'Statement Q'!C27</f>
        <v>14297</v>
      </c>
      <c r="O26" s="133">
        <f>'Statement Q'!D27</f>
        <v>14287</v>
      </c>
      <c r="P26" s="133">
        <f>'Statement Q'!E27</f>
        <v>13248</v>
      </c>
      <c r="Q26" s="133">
        <f>'Statement Q'!F27</f>
        <v>14109</v>
      </c>
      <c r="R26" s="133">
        <f>'Statement Q'!G27</f>
        <v>14359</v>
      </c>
      <c r="S26" s="133">
        <f>'Statement Q'!H27</f>
        <v>14585</v>
      </c>
      <c r="T26" s="133">
        <f>'Statement Q'!I27</f>
        <v>15002</v>
      </c>
      <c r="U26" s="133">
        <f>'Statement Q'!J27</f>
        <v>15349</v>
      </c>
      <c r="W26" s="133">
        <f t="shared" si="3"/>
        <v>15349</v>
      </c>
    </row>
    <row r="27" spans="2:23" outlineLevel="1" x14ac:dyDescent="0.2">
      <c r="B27" s="11" t="s">
        <v>22</v>
      </c>
      <c r="C27" s="156">
        <f>'Statement Y'!C32</f>
        <v>106869</v>
      </c>
      <c r="D27" s="156">
        <f>'Statement Y'!D32</f>
        <v>128645</v>
      </c>
      <c r="E27" s="156">
        <f>'Statement Y'!E32</f>
        <v>131339</v>
      </c>
      <c r="F27" s="156">
        <f>'Statement Y'!F32</f>
        <v>162819</v>
      </c>
      <c r="G27" s="156">
        <f>'Statement Y'!G32</f>
        <v>143713</v>
      </c>
      <c r="H27" s="156">
        <f>'Statement Y'!H32</f>
        <v>134846</v>
      </c>
      <c r="I27" s="156">
        <f>'Statement Y'!I32</f>
        <v>135405</v>
      </c>
      <c r="J27" s="156">
        <f>'Statement Y'!J32</f>
        <v>143566</v>
      </c>
      <c r="K27" s="156">
        <f>'Statement Y'!K32</f>
        <v>152987</v>
      </c>
      <c r="L27" s="156">
        <f>'Statement Y'!L32</f>
        <v>147957</v>
      </c>
      <c r="N27" s="156">
        <f>'Statement Q'!C28</f>
        <v>125435</v>
      </c>
      <c r="O27" s="156">
        <f>'Statement Q'!D28</f>
        <v>152987</v>
      </c>
      <c r="P27" s="156">
        <f>'Statement Q'!E28</f>
        <v>133240</v>
      </c>
      <c r="Q27" s="156">
        <f>'Statement Q'!F28</f>
        <v>118674</v>
      </c>
      <c r="R27" s="156">
        <f>'Statement Q'!G28</f>
        <v>122491</v>
      </c>
      <c r="S27" s="156">
        <f>'Statement Q'!H28</f>
        <v>147957</v>
      </c>
      <c r="T27" s="156">
        <f>'Statement Q'!I28</f>
        <v>158104</v>
      </c>
      <c r="U27" s="156">
        <f>'Statement Q'!J28</f>
        <v>144114</v>
      </c>
      <c r="W27" s="156">
        <f t="shared" si="3"/>
        <v>144114</v>
      </c>
    </row>
    <row r="28" spans="2:23" outlineLevel="1" x14ac:dyDescent="0.2">
      <c r="B28" s="9" t="s">
        <v>239</v>
      </c>
      <c r="C28" s="133">
        <f>'Statement Y'!C33</f>
        <v>170430</v>
      </c>
      <c r="D28" s="133">
        <f>'Statement Y'!D33</f>
        <v>194714</v>
      </c>
      <c r="E28" s="133">
        <f>'Statement Y'!E33</f>
        <v>170799</v>
      </c>
      <c r="F28" s="133">
        <f>'Statement Y'!F33</f>
        <v>105341</v>
      </c>
      <c r="G28" s="133">
        <f>'Statement Y'!G33</f>
        <v>100887</v>
      </c>
      <c r="H28" s="133">
        <f>'Statement Y'!H33</f>
        <v>127877</v>
      </c>
      <c r="I28" s="133">
        <f>'Statement Y'!I33</f>
        <v>120805</v>
      </c>
      <c r="J28" s="133">
        <f>'Statement Y'!J33</f>
        <v>100544</v>
      </c>
      <c r="K28" s="133">
        <f>'Statement Y'!K33</f>
        <v>91479</v>
      </c>
      <c r="L28" s="133">
        <f>'Statement Y'!L33</f>
        <v>77723</v>
      </c>
      <c r="N28" s="133">
        <f>'Statement Q'!C29</f>
        <v>91240</v>
      </c>
      <c r="O28" s="133">
        <f>'Statement Q'!D29</f>
        <v>91479</v>
      </c>
      <c r="P28" s="133">
        <f>'Statement Q'!E29</f>
        <v>87593</v>
      </c>
      <c r="Q28" s="133">
        <f>'Statement Q'!F29</f>
        <v>84424</v>
      </c>
      <c r="R28" s="133">
        <f>'Statement Q'!G29</f>
        <v>77614</v>
      </c>
      <c r="S28" s="133">
        <f>'Statement Q'!H29</f>
        <v>77723</v>
      </c>
      <c r="T28" s="133">
        <f>'Statement Q'!I29</f>
        <v>77888</v>
      </c>
      <c r="U28" s="133">
        <f>'Statement Q'!J29</f>
        <v>78088</v>
      </c>
      <c r="W28" s="133">
        <f t="shared" si="3"/>
        <v>78088</v>
      </c>
    </row>
    <row r="29" spans="2:23" outlineLevel="1" x14ac:dyDescent="0.2">
      <c r="B29" s="9" t="s">
        <v>23</v>
      </c>
      <c r="C29" s="133">
        <f>'Statement Y'!C34</f>
        <v>27010</v>
      </c>
      <c r="D29" s="133">
        <f>'Statement Y'!D34</f>
        <v>33783</v>
      </c>
      <c r="E29" s="133">
        <f>'Statement Y'!E34</f>
        <v>41304</v>
      </c>
      <c r="F29" s="133">
        <f>'Statement Y'!F34</f>
        <v>37378</v>
      </c>
      <c r="G29" s="133">
        <f>'Statement Y'!G34</f>
        <v>36766</v>
      </c>
      <c r="H29" s="133">
        <f>'Statement Y'!H34</f>
        <v>39440</v>
      </c>
      <c r="I29" s="133">
        <f>'Statement Y'!I34</f>
        <v>42117</v>
      </c>
      <c r="J29" s="133">
        <f>'Statement Y'!J34</f>
        <v>43715</v>
      </c>
      <c r="K29" s="133">
        <f>'Statement Y'!K34</f>
        <v>45680</v>
      </c>
      <c r="L29" s="133">
        <f>'Statement Y'!L34</f>
        <v>49834</v>
      </c>
      <c r="N29" s="133">
        <f>'Statement Q'!C30</f>
        <v>44502</v>
      </c>
      <c r="O29" s="133">
        <f>'Statement Q'!D30</f>
        <v>45680</v>
      </c>
      <c r="P29" s="133">
        <f>'Statement Q'!E30</f>
        <v>46069</v>
      </c>
      <c r="Q29" s="133">
        <f>'Statement Q'!F30</f>
        <v>46876</v>
      </c>
      <c r="R29" s="133">
        <f>'Statement Q'!G30</f>
        <v>48508</v>
      </c>
      <c r="S29" s="133">
        <f>'Statement Q'!H30</f>
        <v>49834</v>
      </c>
      <c r="T29" s="133">
        <f>'Statement Q'!I30</f>
        <v>50159</v>
      </c>
      <c r="U29" s="133">
        <f>'Statement Q'!J30</f>
        <v>50116</v>
      </c>
      <c r="W29" s="133">
        <f t="shared" si="3"/>
        <v>50116</v>
      </c>
    </row>
    <row r="30" spans="2:23" outlineLevel="1" x14ac:dyDescent="0.2">
      <c r="B30" s="9" t="s">
        <v>24</v>
      </c>
      <c r="C30" s="133">
        <f>'Statement Y'!C35</f>
        <v>17377</v>
      </c>
      <c r="D30" s="133">
        <f>'Statement Y'!D35</f>
        <v>18177</v>
      </c>
      <c r="E30" s="133">
        <f>'Statement Y'!E35</f>
        <v>22283</v>
      </c>
      <c r="F30" s="133">
        <f>'Statement Y'!F35</f>
        <v>32978</v>
      </c>
      <c r="G30" s="133">
        <f>'Statement Y'!G35</f>
        <v>42522</v>
      </c>
      <c r="H30" s="133">
        <f>'Statement Y'!H35</f>
        <v>48849</v>
      </c>
      <c r="I30" s="133">
        <f>'Statement Y'!I35</f>
        <v>54428</v>
      </c>
      <c r="J30" s="133">
        <f>'Statement Y'!J35</f>
        <v>64758</v>
      </c>
      <c r="K30" s="133">
        <f>'Statement Y'!K35</f>
        <v>74834</v>
      </c>
      <c r="L30" s="133">
        <f>'Statement Y'!L35</f>
        <v>83727</v>
      </c>
      <c r="N30" s="133">
        <f>'Statement Q'!C31</f>
        <v>70435</v>
      </c>
      <c r="O30" s="133">
        <f>'Statement Q'!D31</f>
        <v>74834</v>
      </c>
      <c r="P30" s="133">
        <f>'Statement Q'!E31</f>
        <v>77183</v>
      </c>
      <c r="Q30" s="133">
        <f>'Statement Q'!F31</f>
        <v>81259</v>
      </c>
      <c r="R30" s="133">
        <f>'Statement Q'!G31</f>
        <v>82882</v>
      </c>
      <c r="S30" s="133">
        <f>'Statement Q'!H31</f>
        <v>83727</v>
      </c>
      <c r="T30" s="133">
        <f>'Statement Q'!I31</f>
        <v>93146</v>
      </c>
      <c r="U30" s="133">
        <f>'Statement Q'!J31</f>
        <v>98764</v>
      </c>
      <c r="W30" s="133">
        <f t="shared" si="3"/>
        <v>98764</v>
      </c>
    </row>
    <row r="31" spans="2:23" outlineLevel="1" x14ac:dyDescent="0.2">
      <c r="B31" s="11" t="s">
        <v>25</v>
      </c>
      <c r="C31" s="156">
        <f>'Statement Y'!C36</f>
        <v>214817</v>
      </c>
      <c r="D31" s="156">
        <f>'Statement Y'!D36</f>
        <v>246674</v>
      </c>
      <c r="E31" s="156">
        <f>'Statement Y'!E36</f>
        <v>234386</v>
      </c>
      <c r="F31" s="156">
        <f>'Statement Y'!F36</f>
        <v>175697</v>
      </c>
      <c r="G31" s="156">
        <f>'Statement Y'!G36</f>
        <v>180175</v>
      </c>
      <c r="H31" s="156">
        <f>'Statement Y'!H36</f>
        <v>216166</v>
      </c>
      <c r="I31" s="156">
        <f>'Statement Y'!I36</f>
        <v>217350</v>
      </c>
      <c r="J31" s="156">
        <f>'Statement Y'!J36</f>
        <v>209017</v>
      </c>
      <c r="K31" s="156">
        <f>'Statement Y'!K36</f>
        <v>211993</v>
      </c>
      <c r="L31" s="156">
        <f>'Statement Y'!L36</f>
        <v>211284</v>
      </c>
      <c r="N31" s="156">
        <f>'Statement Q'!C32</f>
        <v>206177</v>
      </c>
      <c r="O31" s="156">
        <f>'Statement Q'!D32</f>
        <v>211993</v>
      </c>
      <c r="P31" s="156">
        <f>'Statement Q'!E32</f>
        <v>210845</v>
      </c>
      <c r="Q31" s="156">
        <f>'Statement Q'!F32</f>
        <v>212559</v>
      </c>
      <c r="R31" s="156">
        <f>'Statement Q'!G32</f>
        <v>209004</v>
      </c>
      <c r="S31" s="156">
        <f>'Statement Q'!H32</f>
        <v>211284</v>
      </c>
      <c r="T31" s="156">
        <f>'Statement Q'!I32</f>
        <v>221193</v>
      </c>
      <c r="U31" s="156">
        <f>'Statement Q'!J32</f>
        <v>226968</v>
      </c>
      <c r="W31" s="156">
        <f t="shared" si="3"/>
        <v>226968</v>
      </c>
    </row>
    <row r="32" spans="2:23" outlineLevel="1" x14ac:dyDescent="0.2">
      <c r="B32" s="17" t="s">
        <v>26</v>
      </c>
      <c r="C32" s="153">
        <f>'Statement Y'!C37</f>
        <v>321686</v>
      </c>
      <c r="D32" s="153">
        <f>'Statement Y'!D37</f>
        <v>375319</v>
      </c>
      <c r="E32" s="153">
        <f>'Statement Y'!E37</f>
        <v>365725</v>
      </c>
      <c r="F32" s="153">
        <f>'Statement Y'!F37</f>
        <v>338516</v>
      </c>
      <c r="G32" s="153">
        <f>'Statement Y'!G37</f>
        <v>323888</v>
      </c>
      <c r="H32" s="153">
        <f>'Statement Y'!H37</f>
        <v>351002</v>
      </c>
      <c r="I32" s="153">
        <f>'Statement Y'!I37</f>
        <v>352755</v>
      </c>
      <c r="J32" s="153">
        <f>'Statement Y'!J37</f>
        <v>352583</v>
      </c>
      <c r="K32" s="153">
        <f>'Statement Y'!K37</f>
        <v>364980</v>
      </c>
      <c r="L32" s="153">
        <f>'Statement Y'!L37</f>
        <v>359241</v>
      </c>
      <c r="N32" s="153">
        <f>'Statement Q'!C33</f>
        <v>331612</v>
      </c>
      <c r="O32" s="153">
        <f>'Statement Q'!D33</f>
        <v>364980</v>
      </c>
      <c r="P32" s="153">
        <f>'Statement Q'!E33</f>
        <v>344085</v>
      </c>
      <c r="Q32" s="153">
        <f>'Statement Q'!F33</f>
        <v>331233</v>
      </c>
      <c r="R32" s="153">
        <f>'Statement Q'!G33</f>
        <v>331495</v>
      </c>
      <c r="S32" s="153">
        <f>'Statement Q'!H33</f>
        <v>359241</v>
      </c>
      <c r="T32" s="153">
        <f>'Statement Q'!I33</f>
        <v>379297</v>
      </c>
      <c r="U32" s="153">
        <f>'Statement Q'!J33</f>
        <v>371082</v>
      </c>
      <c r="W32" s="153">
        <f t="shared" si="3"/>
        <v>371082</v>
      </c>
    </row>
    <row r="33" spans="2:23" outlineLevel="1" x14ac:dyDescent="0.2">
      <c r="B33" s="9" t="s">
        <v>27</v>
      </c>
      <c r="C33" s="133">
        <f>'Statement Y'!C38</f>
        <v>37294</v>
      </c>
      <c r="D33" s="133">
        <f>'Statement Y'!D38</f>
        <v>49049</v>
      </c>
      <c r="E33" s="133">
        <f>'Statement Y'!E38</f>
        <v>55888</v>
      </c>
      <c r="F33" s="133">
        <f>'Statement Y'!F38</f>
        <v>46236</v>
      </c>
      <c r="G33" s="133">
        <f>'Statement Y'!G38</f>
        <v>42296</v>
      </c>
      <c r="H33" s="133">
        <f>'Statement Y'!H38</f>
        <v>54763</v>
      </c>
      <c r="I33" s="133">
        <f>'Statement Y'!I38</f>
        <v>64115</v>
      </c>
      <c r="J33" s="133">
        <f>'Statement Y'!J38</f>
        <v>62611</v>
      </c>
      <c r="K33" s="133">
        <f>'Statement Y'!K38</f>
        <v>68960</v>
      </c>
      <c r="L33" s="133">
        <f>'Statement Y'!L38</f>
        <v>69860</v>
      </c>
      <c r="N33" s="133">
        <f>'Statement Q'!C34</f>
        <v>47574</v>
      </c>
      <c r="O33" s="133">
        <f>'Statement Q'!D34</f>
        <v>68960</v>
      </c>
      <c r="P33" s="133">
        <f>'Statement Q'!E34</f>
        <v>61910</v>
      </c>
      <c r="Q33" s="133">
        <f>'Statement Q'!F34</f>
        <v>54126</v>
      </c>
      <c r="R33" s="133">
        <f>'Statement Q'!G34</f>
        <v>50374</v>
      </c>
      <c r="S33" s="133">
        <f>'Statement Q'!H34</f>
        <v>69860</v>
      </c>
      <c r="T33" s="133">
        <f>'Statement Q'!I34</f>
        <v>70587</v>
      </c>
      <c r="U33" s="133">
        <f>'Statement Q'!J34</f>
        <v>57349</v>
      </c>
      <c r="W33" s="133">
        <f t="shared" si="3"/>
        <v>57349</v>
      </c>
    </row>
    <row r="34" spans="2:23" outlineLevel="1" x14ac:dyDescent="0.2">
      <c r="B34" s="9" t="s">
        <v>243</v>
      </c>
      <c r="C34" s="133">
        <f>'Statement Y'!C39</f>
        <v>22027</v>
      </c>
      <c r="D34" s="133">
        <f>'Statement Y'!D39</f>
        <v>25744</v>
      </c>
      <c r="E34" s="133">
        <f>'Statement Y'!E39</f>
        <v>33327</v>
      </c>
      <c r="F34" s="133">
        <f>'Statement Y'!F39</f>
        <v>37720</v>
      </c>
      <c r="G34" s="133">
        <f>'Statement Y'!G39</f>
        <v>42684</v>
      </c>
      <c r="H34" s="133">
        <f>'Statement Y'!H39</f>
        <v>47493</v>
      </c>
      <c r="I34" s="133">
        <f>'Statement Y'!I39</f>
        <v>60845</v>
      </c>
      <c r="J34" s="133">
        <f>'Statement Y'!J39</f>
        <v>58829</v>
      </c>
      <c r="K34" s="133">
        <f>'Statement Y'!K39</f>
        <v>78304</v>
      </c>
      <c r="L34" s="133">
        <f>'Statement Y'!L39</f>
        <v>66387</v>
      </c>
      <c r="N34" s="133">
        <f>'Statement Q'!C35</f>
        <v>60889</v>
      </c>
      <c r="O34" s="133">
        <f>'Statement Q'!D35</f>
        <v>78304</v>
      </c>
      <c r="P34" s="133">
        <f>'Statement Q'!E35</f>
        <v>61151</v>
      </c>
      <c r="Q34" s="133">
        <f>'Statement Q'!F35</f>
        <v>61849</v>
      </c>
      <c r="R34" s="133">
        <f>'Statement Q'!G35</f>
        <v>62499</v>
      </c>
      <c r="S34" s="133">
        <f>'Statement Q'!H35</f>
        <v>66387</v>
      </c>
      <c r="T34" s="133">
        <f>'Statement Q'!I35</f>
        <v>68543</v>
      </c>
      <c r="U34" s="133">
        <f>'Statement Q'!J35</f>
        <v>57654</v>
      </c>
      <c r="W34" s="133">
        <f t="shared" si="3"/>
        <v>57654</v>
      </c>
    </row>
    <row r="35" spans="2:23" outlineLevel="1" x14ac:dyDescent="0.2">
      <c r="B35" s="9" t="s">
        <v>94</v>
      </c>
      <c r="C35" s="133">
        <f>'Statement Y'!C40</f>
        <v>8080</v>
      </c>
      <c r="D35" s="133">
        <f>'Statement Y'!D40</f>
        <v>7548</v>
      </c>
      <c r="E35" s="133">
        <f>'Statement Y'!E40</f>
        <v>5966</v>
      </c>
      <c r="F35" s="133">
        <f>'Statement Y'!F40</f>
        <v>5522</v>
      </c>
      <c r="G35" s="133">
        <f>'Statement Y'!G40</f>
        <v>6643</v>
      </c>
      <c r="H35" s="133">
        <f>'Statement Y'!H40</f>
        <v>7612</v>
      </c>
      <c r="I35" s="133">
        <f>'Statement Y'!I40</f>
        <v>7912</v>
      </c>
      <c r="J35" s="133">
        <f>'Statement Y'!J40</f>
        <v>8061</v>
      </c>
      <c r="K35" s="133">
        <f>'Statement Y'!K40</f>
        <v>8249</v>
      </c>
      <c r="L35" s="133">
        <f>'Statement Y'!L40</f>
        <v>9055</v>
      </c>
      <c r="N35" s="133">
        <f>'Statement Q'!C36</f>
        <v>8053</v>
      </c>
      <c r="O35" s="133">
        <f>'Statement Q'!D36</f>
        <v>8249</v>
      </c>
      <c r="P35" s="133">
        <f>'Statement Q'!E36</f>
        <v>8461</v>
      </c>
      <c r="Q35" s="133">
        <f>'Statement Q'!F36</f>
        <v>8976</v>
      </c>
      <c r="R35" s="133">
        <f>'Statement Q'!G36</f>
        <v>8979</v>
      </c>
      <c r="S35" s="133">
        <f>'Statement Q'!H36</f>
        <v>9055</v>
      </c>
      <c r="T35" s="133">
        <f>'Statement Q'!I36</f>
        <v>9413</v>
      </c>
      <c r="U35" s="133">
        <f>'Statement Q'!J36</f>
        <v>9331</v>
      </c>
      <c r="W35" s="133">
        <f t="shared" si="3"/>
        <v>9331</v>
      </c>
    </row>
    <row r="36" spans="2:23" outlineLevel="1" x14ac:dyDescent="0.2">
      <c r="B36" s="9" t="s">
        <v>244</v>
      </c>
      <c r="C36" s="133">
        <f>'Statement Y'!C41</f>
        <v>8105</v>
      </c>
      <c r="D36" s="133">
        <f>'Statement Y'!D41</f>
        <v>11977</v>
      </c>
      <c r="E36" s="133">
        <f>'Statement Y'!E41</f>
        <v>11964</v>
      </c>
      <c r="F36" s="133">
        <f>'Statement Y'!F41</f>
        <v>5980</v>
      </c>
      <c r="G36" s="133">
        <f>'Statement Y'!G41</f>
        <v>4996</v>
      </c>
      <c r="H36" s="133">
        <f>'Statement Y'!H41</f>
        <v>6000</v>
      </c>
      <c r="I36" s="133">
        <f>'Statement Y'!I41</f>
        <v>9982</v>
      </c>
      <c r="J36" s="133">
        <f>'Statement Y'!J41</f>
        <v>5985</v>
      </c>
      <c r="K36" s="133">
        <f>'Statement Y'!K41</f>
        <v>9967</v>
      </c>
      <c r="L36" s="133">
        <f>'Statement Y'!L41</f>
        <v>7979</v>
      </c>
      <c r="N36" s="133">
        <f>'Statement Q'!C37</f>
        <v>2994</v>
      </c>
      <c r="O36" s="133">
        <f>'Statement Q'!D37</f>
        <v>9967</v>
      </c>
      <c r="P36" s="133">
        <f>'Statement Q'!E37</f>
        <v>1995</v>
      </c>
      <c r="Q36" s="133">
        <f>'Statement Q'!F37</f>
        <v>5982</v>
      </c>
      <c r="R36" s="133">
        <f>'Statement Q'!G37</f>
        <v>9923</v>
      </c>
      <c r="S36" s="133">
        <f>'Statement Q'!H37</f>
        <v>7979</v>
      </c>
      <c r="T36" s="133">
        <f>'Statement Q'!I37</f>
        <v>1997</v>
      </c>
      <c r="U36" s="133">
        <f>'Statement Q'!J37</f>
        <v>1997</v>
      </c>
      <c r="W36" s="133">
        <f t="shared" si="3"/>
        <v>1997</v>
      </c>
    </row>
    <row r="37" spans="2:23" outlineLevel="1" x14ac:dyDescent="0.2">
      <c r="B37" s="9" t="s">
        <v>245</v>
      </c>
      <c r="C37" s="133">
        <f>'Statement Y'!C42</f>
        <v>3500</v>
      </c>
      <c r="D37" s="133">
        <f>'Statement Y'!D42</f>
        <v>6496</v>
      </c>
      <c r="E37" s="133">
        <f>'Statement Y'!E42</f>
        <v>8784</v>
      </c>
      <c r="F37" s="133">
        <f>'Statement Y'!F42</f>
        <v>10260</v>
      </c>
      <c r="G37" s="133">
        <f>'Statement Y'!G42</f>
        <v>8773</v>
      </c>
      <c r="H37" s="133">
        <f>'Statement Y'!H42</f>
        <v>9613</v>
      </c>
      <c r="I37" s="133">
        <f>'Statement Y'!I42</f>
        <v>11128</v>
      </c>
      <c r="J37" s="133">
        <f>'Statement Y'!J42</f>
        <v>9822</v>
      </c>
      <c r="K37" s="133">
        <f>'Statement Y'!K42</f>
        <v>10912</v>
      </c>
      <c r="L37" s="133">
        <f>'Statement Y'!L42</f>
        <v>12350</v>
      </c>
      <c r="N37" s="133">
        <f>'Statement Q'!C38</f>
        <v>12114</v>
      </c>
      <c r="O37" s="133">
        <f>'Statement Q'!D38</f>
        <v>10912</v>
      </c>
      <c r="P37" s="133">
        <f>'Statement Q'!E38</f>
        <v>10848</v>
      </c>
      <c r="Q37" s="133">
        <f>'Statement Q'!F38</f>
        <v>13638</v>
      </c>
      <c r="R37" s="133">
        <f>'Statement Q'!G38</f>
        <v>9345</v>
      </c>
      <c r="S37" s="133">
        <f>'Statement Q'!H38</f>
        <v>12350</v>
      </c>
      <c r="T37" s="133">
        <f>'Statement Q'!I38</f>
        <v>11827</v>
      </c>
      <c r="U37" s="133">
        <f>'Statement Q'!J38</f>
        <v>8310</v>
      </c>
      <c r="W37" s="133">
        <f>U37</f>
        <v>8310</v>
      </c>
    </row>
    <row r="38" spans="2:23" outlineLevel="1" x14ac:dyDescent="0.2">
      <c r="B38" s="11" t="s">
        <v>30</v>
      </c>
      <c r="C38" s="156">
        <f>'Statement Y'!C43</f>
        <v>79006</v>
      </c>
      <c r="D38" s="156">
        <f>'Statement Y'!D43</f>
        <v>100814</v>
      </c>
      <c r="E38" s="156">
        <f>'Statement Y'!E43</f>
        <v>115929</v>
      </c>
      <c r="F38" s="156">
        <f>'Statement Y'!F43</f>
        <v>105718</v>
      </c>
      <c r="G38" s="156">
        <f>'Statement Y'!G43</f>
        <v>105392</v>
      </c>
      <c r="H38" s="156">
        <f>'Statement Y'!H43</f>
        <v>125481</v>
      </c>
      <c r="I38" s="156">
        <f>'Statement Y'!I43</f>
        <v>153982</v>
      </c>
      <c r="J38" s="156">
        <f>'Statement Y'!J43</f>
        <v>145308</v>
      </c>
      <c r="K38" s="156">
        <f>'Statement Y'!K43</f>
        <v>176392</v>
      </c>
      <c r="L38" s="156">
        <f>'Statement Y'!L43</f>
        <v>165631</v>
      </c>
      <c r="N38" s="156">
        <f>'Statement Q'!C39</f>
        <v>131624</v>
      </c>
      <c r="O38" s="156">
        <f>'Statement Q'!D39</f>
        <v>176392</v>
      </c>
      <c r="P38" s="156">
        <f>'Statement Q'!E39</f>
        <v>144365</v>
      </c>
      <c r="Q38" s="156">
        <f>'Statement Q'!F39</f>
        <v>144571</v>
      </c>
      <c r="R38" s="156">
        <f>'Statement Q'!G39</f>
        <v>141120</v>
      </c>
      <c r="S38" s="156">
        <f>'Statement Q'!H39</f>
        <v>165361</v>
      </c>
      <c r="T38" s="156">
        <f>'Statement Q'!I39</f>
        <v>162367</v>
      </c>
      <c r="U38" s="156">
        <f>'Statement Q'!J39</f>
        <v>134641</v>
      </c>
      <c r="W38" s="156">
        <f t="shared" si="3"/>
        <v>134641</v>
      </c>
    </row>
    <row r="39" spans="2:23" outlineLevel="1" x14ac:dyDescent="0.2">
      <c r="B39" s="9" t="s">
        <v>245</v>
      </c>
      <c r="C39" s="133">
        <f>'Statement Y'!C44</f>
        <v>75427</v>
      </c>
      <c r="D39" s="133">
        <f>'Statement Y'!D44</f>
        <v>97207</v>
      </c>
      <c r="E39" s="133">
        <f>'Statement Y'!E44</f>
        <v>93735</v>
      </c>
      <c r="F39" s="133">
        <f>'Statement Y'!F44</f>
        <v>91807</v>
      </c>
      <c r="G39" s="133">
        <f>'Statement Y'!G44</f>
        <v>98667</v>
      </c>
      <c r="H39" s="133">
        <f>'Statement Y'!H44</f>
        <v>109106</v>
      </c>
      <c r="I39" s="133">
        <f>'Statement Y'!I44</f>
        <v>98959</v>
      </c>
      <c r="J39" s="133">
        <f>'Statement Y'!J44</f>
        <v>95281</v>
      </c>
      <c r="K39" s="133">
        <f>'Statement Y'!K44</f>
        <v>85750</v>
      </c>
      <c r="L39" s="133">
        <f>'Statement Y'!L44</f>
        <v>78328</v>
      </c>
      <c r="N39" s="133">
        <f>'Statement Q'!C40</f>
        <v>86196</v>
      </c>
      <c r="O39" s="133">
        <f>'Statement Q'!D40</f>
        <v>85750</v>
      </c>
      <c r="P39" s="133">
        <f>'Statement Q'!E40</f>
        <v>83956</v>
      </c>
      <c r="Q39" s="133">
        <f>'Statement Q'!F40</f>
        <v>78566</v>
      </c>
      <c r="R39" s="133">
        <f>'Statement Q'!G40</f>
        <v>82430</v>
      </c>
      <c r="S39" s="133">
        <f>'Statement Q'!H40</f>
        <v>78328</v>
      </c>
      <c r="T39" s="133">
        <f>'Statement Q'!I40</f>
        <v>76685</v>
      </c>
      <c r="U39" s="133">
        <f>'Statement Q'!J40</f>
        <v>74404</v>
      </c>
      <c r="W39" s="133">
        <f t="shared" si="3"/>
        <v>74404</v>
      </c>
    </row>
    <row r="40" spans="2:23" outlineLevel="1" x14ac:dyDescent="0.2">
      <c r="B40" s="9" t="s">
        <v>246</v>
      </c>
      <c r="C40" s="133">
        <f>'Statement Y'!C45</f>
        <v>39004</v>
      </c>
      <c r="D40" s="133">
        <f>'Statement Y'!D45</f>
        <v>43251</v>
      </c>
      <c r="E40" s="133">
        <f>'Statement Y'!E45</f>
        <v>48914</v>
      </c>
      <c r="F40" s="133">
        <f>'Statement Y'!F45</f>
        <v>50503</v>
      </c>
      <c r="G40" s="133">
        <f>'Statement Y'!G45</f>
        <v>54490</v>
      </c>
      <c r="H40" s="133">
        <f>'Statement Y'!H45</f>
        <v>53325</v>
      </c>
      <c r="I40" s="133">
        <f>'Statement Y'!I45</f>
        <v>49142</v>
      </c>
      <c r="J40" s="133">
        <f>'Statement Y'!J45</f>
        <v>49848</v>
      </c>
      <c r="K40" s="133">
        <f>'Statement Y'!K45</f>
        <v>45888</v>
      </c>
      <c r="L40" s="133">
        <f>'Statement Y'!L45</f>
        <v>41549</v>
      </c>
      <c r="N40" s="133">
        <f>'Statement Q'!C41</f>
        <v>47084</v>
      </c>
      <c r="O40" s="133">
        <f>'Statement Q'!D41</f>
        <v>45888</v>
      </c>
      <c r="P40" s="133">
        <f>'Statement Q'!E41</f>
        <v>49006</v>
      </c>
      <c r="Q40" s="133">
        <f>'Statement Q'!F41</f>
        <v>41300</v>
      </c>
      <c r="R40" s="133">
        <f>'Statement Q'!G41</f>
        <v>42115</v>
      </c>
      <c r="S40" s="133">
        <f>'Statement Q'!H41</f>
        <v>41549</v>
      </c>
      <c r="T40" s="133">
        <f>'Statement Q'!I41</f>
        <v>52055</v>
      </c>
      <c r="U40" s="133">
        <f>'Statement Q'!J41</f>
        <v>55546</v>
      </c>
      <c r="W40" s="133">
        <f t="shared" si="3"/>
        <v>55546</v>
      </c>
    </row>
    <row r="41" spans="2:23" outlineLevel="1" x14ac:dyDescent="0.2">
      <c r="B41" s="11" t="s">
        <v>28</v>
      </c>
      <c r="C41" s="156">
        <f>'Statement Y'!C46</f>
        <v>114431</v>
      </c>
      <c r="D41" s="156">
        <f>'Statement Y'!D46</f>
        <v>140458</v>
      </c>
      <c r="E41" s="156">
        <f>'Statement Y'!E46</f>
        <v>142649</v>
      </c>
      <c r="F41" s="156">
        <f>'Statement Y'!F46</f>
        <v>142310</v>
      </c>
      <c r="G41" s="156">
        <f>'Statement Y'!G46</f>
        <v>153157</v>
      </c>
      <c r="H41" s="156">
        <f>'Statement Y'!H46</f>
        <v>162431</v>
      </c>
      <c r="I41" s="156">
        <f>'Statement Y'!I46</f>
        <v>148101</v>
      </c>
      <c r="J41" s="156">
        <f>'Statement Y'!J46</f>
        <v>145129</v>
      </c>
      <c r="K41" s="156">
        <f>'Statement Y'!K46</f>
        <v>131638</v>
      </c>
      <c r="L41" s="156">
        <f>'Statement Y'!L46</f>
        <v>119877</v>
      </c>
      <c r="N41" s="156">
        <f>'Statement Q'!C42</f>
        <v>133280</v>
      </c>
      <c r="O41" s="156">
        <f>'Statement Q'!D42</f>
        <v>131638</v>
      </c>
      <c r="P41" s="156">
        <f>'Statement Q'!E42</f>
        <v>132962</v>
      </c>
      <c r="Q41" s="156">
        <f>'Statement Q'!F42</f>
        <v>119866</v>
      </c>
      <c r="R41" s="156">
        <f>'Statement Q'!G42</f>
        <v>124545</v>
      </c>
      <c r="S41" s="156">
        <f>'Statement Q'!H42</f>
        <v>119877</v>
      </c>
      <c r="T41" s="156">
        <f>'Statement Q'!I42</f>
        <v>128740</v>
      </c>
      <c r="U41" s="156">
        <f>'Statement Q'!J42</f>
        <v>129950</v>
      </c>
      <c r="W41" s="156">
        <f t="shared" si="3"/>
        <v>129950</v>
      </c>
    </row>
    <row r="42" spans="2:23" outlineLevel="1" x14ac:dyDescent="0.2">
      <c r="B42" s="17" t="s">
        <v>29</v>
      </c>
      <c r="C42" s="153">
        <f>'Statement Y'!C47</f>
        <v>193437</v>
      </c>
      <c r="D42" s="153">
        <f>'Statement Y'!D47</f>
        <v>241272</v>
      </c>
      <c r="E42" s="153">
        <f>'Statement Y'!E47</f>
        <v>258578</v>
      </c>
      <c r="F42" s="153">
        <f>'Statement Y'!F47</f>
        <v>248028</v>
      </c>
      <c r="G42" s="153">
        <f>'Statement Y'!G47</f>
        <v>258549</v>
      </c>
      <c r="H42" s="153">
        <f>'Statement Y'!H47</f>
        <v>287912</v>
      </c>
      <c r="I42" s="153">
        <f>'Statement Y'!I47</f>
        <v>302083</v>
      </c>
      <c r="J42" s="153">
        <f>'Statement Y'!J47</f>
        <v>290437</v>
      </c>
      <c r="K42" s="153">
        <f>'Statement Y'!K47</f>
        <v>308030</v>
      </c>
      <c r="L42" s="153">
        <f>'Statement Y'!L47</f>
        <v>285508</v>
      </c>
      <c r="N42" s="153">
        <f>'Statement Q'!C43</f>
        <v>264904</v>
      </c>
      <c r="O42" s="153">
        <f>'Statement Q'!D43</f>
        <v>308030</v>
      </c>
      <c r="P42" s="153">
        <f>'Statement Q'!E43</f>
        <v>277327</v>
      </c>
      <c r="Q42" s="153">
        <f>'Statement Q'!F43</f>
        <v>264437</v>
      </c>
      <c r="R42" s="153">
        <f>'Statement Q'!G43</f>
        <v>265665</v>
      </c>
      <c r="S42" s="153">
        <f>'Statement Q'!H43</f>
        <v>285508</v>
      </c>
      <c r="T42" s="153">
        <f>'Statement Q'!I43</f>
        <v>291107</v>
      </c>
      <c r="U42" s="153">
        <f>'Statement Q'!J43</f>
        <v>264591</v>
      </c>
      <c r="W42" s="153">
        <f t="shared" si="3"/>
        <v>264591</v>
      </c>
    </row>
    <row r="43" spans="2:23" outlineLevel="1" x14ac:dyDescent="0.2">
      <c r="B43" s="9" t="s">
        <v>248</v>
      </c>
      <c r="C43" s="133">
        <f>'Statement Y'!C48</f>
        <v>31251</v>
      </c>
      <c r="D43" s="133">
        <f>'Statement Y'!D48</f>
        <v>35867</v>
      </c>
      <c r="E43" s="133">
        <f>'Statement Y'!E48</f>
        <v>40201</v>
      </c>
      <c r="F43" s="133">
        <f>'Statement Y'!F48</f>
        <v>45174</v>
      </c>
      <c r="G43" s="133">
        <f>'Statement Y'!G48</f>
        <v>50779</v>
      </c>
      <c r="H43" s="133">
        <f>'Statement Y'!H48</f>
        <v>57365</v>
      </c>
      <c r="I43" s="133">
        <f>'Statement Y'!I48</f>
        <v>64849</v>
      </c>
      <c r="J43" s="133">
        <f>'Statement Y'!J48</f>
        <v>73812</v>
      </c>
      <c r="K43" s="133">
        <f>'Statement Y'!K48</f>
        <v>83276</v>
      </c>
      <c r="L43" s="133">
        <f>'Statement Y'!L48</f>
        <v>93568</v>
      </c>
      <c r="N43" s="133">
        <f>'Statement Q'!C44</f>
        <v>79850</v>
      </c>
      <c r="O43" s="133">
        <f>'Statement Q'!D44</f>
        <v>83276</v>
      </c>
      <c r="P43" s="133">
        <f>'Statement Q'!E44</f>
        <v>84768</v>
      </c>
      <c r="Q43" s="133">
        <f>'Statement Q'!F44</f>
        <v>88711</v>
      </c>
      <c r="R43" s="133">
        <f>'Statement Q'!G44</f>
        <v>89806</v>
      </c>
      <c r="S43" s="133">
        <f>'Statement Q'!H44</f>
        <v>93568</v>
      </c>
      <c r="T43" s="133">
        <f>'Statement Q'!I44</f>
        <v>95221</v>
      </c>
      <c r="U43" s="133">
        <f>'Statement Q'!J44</f>
        <v>99507</v>
      </c>
      <c r="W43" s="133">
        <f t="shared" si="3"/>
        <v>99507</v>
      </c>
    </row>
    <row r="44" spans="2:23" outlineLevel="1" x14ac:dyDescent="0.2">
      <c r="B44" s="9" t="s">
        <v>32</v>
      </c>
      <c r="C44" s="133">
        <f>'Statement Y'!C49</f>
        <v>96364</v>
      </c>
      <c r="D44" s="133">
        <f>'Statement Y'!D49</f>
        <v>98330</v>
      </c>
      <c r="E44" s="133">
        <f>'Statement Y'!E49</f>
        <v>70400</v>
      </c>
      <c r="F44" s="133">
        <f>'Statement Y'!F49</f>
        <v>45898</v>
      </c>
      <c r="G44" s="133">
        <f>'Statement Y'!G49</f>
        <v>14966</v>
      </c>
      <c r="H44" s="133">
        <f>'Statement Y'!H49</f>
        <v>5562</v>
      </c>
      <c r="I44" s="133">
        <f>'Statement Y'!I49</f>
        <v>-3068</v>
      </c>
      <c r="J44" s="133">
        <f>'Statement Y'!J49</f>
        <v>-214</v>
      </c>
      <c r="K44" s="133">
        <f>'Statement Y'!K49</f>
        <v>-19154</v>
      </c>
      <c r="L44" s="133">
        <f>'Statement Y'!L49</f>
        <v>-14264</v>
      </c>
      <c r="N44" s="133">
        <f>'Statement Q'!C45</f>
        <v>-4726</v>
      </c>
      <c r="O44" s="133">
        <f>'Statement Q'!D45</f>
        <v>-19154</v>
      </c>
      <c r="P44" s="133">
        <f>'Statement Q'!E45</f>
        <v>-11221</v>
      </c>
      <c r="Q44" s="133">
        <f>'Statement Q'!F45</f>
        <v>-15552</v>
      </c>
      <c r="R44" s="133">
        <f>'Statement Q'!G45</f>
        <v>-17607</v>
      </c>
      <c r="S44" s="133">
        <f>'Statement Q'!H45</f>
        <v>-14264</v>
      </c>
      <c r="T44" s="133">
        <f>'Statement Q'!I45</f>
        <v>-2177</v>
      </c>
      <c r="U44" s="133">
        <f>'Statement Q'!J45</f>
        <v>12359</v>
      </c>
      <c r="W44" s="133">
        <f t="shared" si="3"/>
        <v>12359</v>
      </c>
    </row>
    <row r="45" spans="2:23" outlineLevel="1" x14ac:dyDescent="0.2">
      <c r="B45" s="9" t="s">
        <v>247</v>
      </c>
      <c r="C45" s="133">
        <f>'Statement Y'!C50</f>
        <v>634</v>
      </c>
      <c r="D45" s="133">
        <f>'Statement Y'!D50</f>
        <v>-150</v>
      </c>
      <c r="E45" s="133">
        <f>'Statement Y'!E50</f>
        <v>-3454</v>
      </c>
      <c r="F45" s="133">
        <f>'Statement Y'!F50</f>
        <v>-584</v>
      </c>
      <c r="G45" s="133">
        <f>'Statement Y'!G50</f>
        <v>-406</v>
      </c>
      <c r="H45" s="133">
        <f>'Statement Y'!H50</f>
        <v>163</v>
      </c>
      <c r="I45" s="133">
        <f>'Statement Y'!I50</f>
        <v>-11109</v>
      </c>
      <c r="J45" s="133">
        <f>'Statement Y'!J50</f>
        <v>-11452</v>
      </c>
      <c r="K45" s="133">
        <f>'Statement Y'!K50</f>
        <v>-7172</v>
      </c>
      <c r="L45" s="133">
        <f>'Statement Y'!L50</f>
        <v>-5571</v>
      </c>
      <c r="N45" s="133">
        <f>'Statement Q'!C46</f>
        <v>-8416</v>
      </c>
      <c r="O45" s="133">
        <f>'Statement Q'!D46</f>
        <v>-7172</v>
      </c>
      <c r="P45" s="133">
        <f>'Statement Q'!E46</f>
        <v>-6789</v>
      </c>
      <c r="Q45" s="133">
        <f>'Statement Q'!F46</f>
        <v>-6363</v>
      </c>
      <c r="R45" s="133">
        <f>'Statement Q'!G46</f>
        <v>-6369</v>
      </c>
      <c r="S45" s="133">
        <f>'Statement Q'!H46</f>
        <v>-5571</v>
      </c>
      <c r="T45" s="133">
        <f>'Statement Q'!I46</f>
        <v>-4854</v>
      </c>
      <c r="U45" s="133">
        <f>'Statement Q'!J46</f>
        <v>-5375</v>
      </c>
      <c r="W45" s="133">
        <f t="shared" si="3"/>
        <v>-5375</v>
      </c>
    </row>
    <row r="46" spans="2:23" outlineLevel="1" x14ac:dyDescent="0.2">
      <c r="B46" s="11" t="s">
        <v>33</v>
      </c>
      <c r="C46" s="156">
        <f>'Statement Y'!C51</f>
        <v>128249</v>
      </c>
      <c r="D46" s="156">
        <f>'Statement Y'!D51</f>
        <v>134047</v>
      </c>
      <c r="E46" s="156">
        <f>'Statement Y'!E51</f>
        <v>107147</v>
      </c>
      <c r="F46" s="156">
        <f>'Statement Y'!F51</f>
        <v>90488</v>
      </c>
      <c r="G46" s="156">
        <f>'Statement Y'!G51</f>
        <v>65339</v>
      </c>
      <c r="H46" s="156">
        <f>'Statement Y'!H51</f>
        <v>63090</v>
      </c>
      <c r="I46" s="156">
        <f>'Statement Y'!I51</f>
        <v>50672</v>
      </c>
      <c r="J46" s="156">
        <f>'Statement Y'!J51</f>
        <v>62146</v>
      </c>
      <c r="K46" s="156">
        <f>'Statement Y'!K51</f>
        <v>56950</v>
      </c>
      <c r="L46" s="156">
        <f>'Statement Y'!L51</f>
        <v>73733</v>
      </c>
      <c r="N46" s="156">
        <f>'Statement Q'!C47</f>
        <v>66708</v>
      </c>
      <c r="O46" s="156">
        <f>'Statement Q'!D47</f>
        <v>56950</v>
      </c>
      <c r="P46" s="156">
        <f>'Statement Q'!E47</f>
        <v>66758</v>
      </c>
      <c r="Q46" s="156">
        <f>'Statement Q'!F47</f>
        <v>66796</v>
      </c>
      <c r="R46" s="156">
        <f>'Statement Q'!G47</f>
        <v>65830</v>
      </c>
      <c r="S46" s="156">
        <f>'Statement Q'!H47</f>
        <v>73733</v>
      </c>
      <c r="T46" s="156">
        <f>'Statement Q'!I47</f>
        <v>88190</v>
      </c>
      <c r="U46" s="156">
        <f>'Statement Q'!J47</f>
        <v>106491</v>
      </c>
      <c r="W46" s="156">
        <f t="shared" si="3"/>
        <v>106491</v>
      </c>
    </row>
    <row r="47" spans="2:23" ht="17" outlineLevel="1" thickBot="1" x14ac:dyDescent="0.25">
      <c r="B47" s="19" t="s">
        <v>34</v>
      </c>
      <c r="C47" s="157">
        <f>'Statement Y'!C52</f>
        <v>321686</v>
      </c>
      <c r="D47" s="157">
        <f>'Statement Y'!D52</f>
        <v>375319</v>
      </c>
      <c r="E47" s="157">
        <f>'Statement Y'!E52</f>
        <v>365725</v>
      </c>
      <c r="F47" s="157">
        <f>'Statement Y'!F52</f>
        <v>338516</v>
      </c>
      <c r="G47" s="157">
        <f>'Statement Y'!G52</f>
        <v>323888</v>
      </c>
      <c r="H47" s="157">
        <f>'Statement Y'!H52</f>
        <v>351002</v>
      </c>
      <c r="I47" s="157">
        <f>'Statement Y'!I52</f>
        <v>352755</v>
      </c>
      <c r="J47" s="157">
        <f>'Statement Y'!J52</f>
        <v>352583</v>
      </c>
      <c r="K47" s="157">
        <f>'Statement Y'!K52</f>
        <v>364980</v>
      </c>
      <c r="L47" s="157">
        <f>'Statement Y'!L52</f>
        <v>359241</v>
      </c>
      <c r="N47" s="157">
        <f>'Statement Q'!C48</f>
        <v>331612</v>
      </c>
      <c r="O47" s="157">
        <f>'Statement Q'!D48</f>
        <v>364980</v>
      </c>
      <c r="P47" s="157">
        <f>'Statement Q'!E48</f>
        <v>344085</v>
      </c>
      <c r="Q47" s="157">
        <f>'Statement Q'!F48</f>
        <v>331233</v>
      </c>
      <c r="R47" s="157">
        <f>'Statement Q'!G48</f>
        <v>331495</v>
      </c>
      <c r="S47" s="157">
        <f>'Statement Q'!H48</f>
        <v>359241</v>
      </c>
      <c r="T47" s="157">
        <f>'Statement Q'!I48</f>
        <v>379297</v>
      </c>
      <c r="U47" s="157">
        <f>'Statement Q'!J48</f>
        <v>371082</v>
      </c>
      <c r="W47" s="157">
        <f t="shared" si="3"/>
        <v>371082</v>
      </c>
    </row>
    <row r="49" spans="2:23" ht="17" thickBot="1" x14ac:dyDescent="0.25">
      <c r="B49" s="15" t="s">
        <v>35</v>
      </c>
      <c r="C49" s="14"/>
      <c r="D49" s="14"/>
      <c r="E49" s="14"/>
      <c r="F49" s="14"/>
      <c r="G49" s="14"/>
      <c r="H49" s="14"/>
      <c r="I49" s="14"/>
      <c r="J49" s="14"/>
      <c r="K49" s="14"/>
      <c r="L49" s="14"/>
      <c r="N49" s="14"/>
      <c r="O49" s="14"/>
      <c r="P49" s="14"/>
      <c r="Q49" s="14"/>
      <c r="R49" s="14"/>
      <c r="S49" s="14"/>
      <c r="T49" s="14"/>
      <c r="U49" s="14"/>
      <c r="W49" s="14"/>
    </row>
    <row r="50" spans="2:23" outlineLevel="1" x14ac:dyDescent="0.2">
      <c r="B50" s="9" t="s">
        <v>14</v>
      </c>
      <c r="C50" s="133">
        <f>'Statement Y'!C55</f>
        <v>45687</v>
      </c>
      <c r="D50" s="133">
        <f>'Statement Y'!D55</f>
        <v>48351</v>
      </c>
      <c r="E50" s="133">
        <f>'Statement Y'!E55</f>
        <v>59531</v>
      </c>
      <c r="F50" s="133">
        <f>'Statement Y'!F55</f>
        <v>55256</v>
      </c>
      <c r="G50" s="133">
        <f>'Statement Y'!G55</f>
        <v>57411</v>
      </c>
      <c r="H50" s="133">
        <f>'Statement Y'!H55</f>
        <v>94680</v>
      </c>
      <c r="I50" s="133">
        <f>'Statement Y'!I55</f>
        <v>99803</v>
      </c>
      <c r="J50" s="133">
        <f>'Statement Y'!J55</f>
        <v>96995</v>
      </c>
      <c r="K50" s="133">
        <f>'Statement Y'!K55</f>
        <v>93736</v>
      </c>
      <c r="L50" s="133">
        <f>'Statement Y'!L55</f>
        <v>112010</v>
      </c>
      <c r="N50" s="133">
        <f>'Statement Q'!C51</f>
        <v>21448</v>
      </c>
      <c r="O50" s="133">
        <f>'Statement Q'!D51</f>
        <v>14736</v>
      </c>
      <c r="P50" s="133">
        <f>'Statement Q'!E51</f>
        <v>36330</v>
      </c>
      <c r="Q50" s="133">
        <f>'Statement Q'!F51</f>
        <v>24780</v>
      </c>
      <c r="R50" s="133">
        <f>'Statement Q'!G51</f>
        <v>23434</v>
      </c>
      <c r="S50" s="133">
        <f>'Statement Q'!H51</f>
        <v>27466</v>
      </c>
      <c r="T50" s="133">
        <f>'Statement Q'!I51</f>
        <v>42097</v>
      </c>
      <c r="U50" s="133">
        <f>'Statement Q'!J51</f>
        <v>29578</v>
      </c>
      <c r="W50" s="133">
        <f>SUM(R50:U50)</f>
        <v>122575</v>
      </c>
    </row>
    <row r="51" spans="2:23" outlineLevel="1" x14ac:dyDescent="0.2">
      <c r="B51" s="9" t="s">
        <v>36</v>
      </c>
      <c r="C51" s="133">
        <f>'Statement Y'!C56</f>
        <v>10505</v>
      </c>
      <c r="D51" s="133">
        <f>'Statement Y'!D56</f>
        <v>10157</v>
      </c>
      <c r="E51" s="133">
        <f>'Statement Y'!E56</f>
        <v>10903</v>
      </c>
      <c r="F51" s="133">
        <f>'Statement Y'!F56</f>
        <v>12547</v>
      </c>
      <c r="G51" s="133">
        <f>'Statement Y'!G56</f>
        <v>11056</v>
      </c>
      <c r="H51" s="133">
        <f>'Statement Y'!H56</f>
        <v>11284</v>
      </c>
      <c r="I51" s="133">
        <f>'Statement Y'!I56</f>
        <v>11104</v>
      </c>
      <c r="J51" s="133">
        <f>'Statement Y'!J56</f>
        <v>11519</v>
      </c>
      <c r="K51" s="133">
        <f>'Statement Y'!K56</f>
        <v>11445</v>
      </c>
      <c r="L51" s="133">
        <f>'Statement Y'!L56</f>
        <v>11698</v>
      </c>
      <c r="N51" s="133">
        <f>'Statement Q'!C52</f>
        <v>0</v>
      </c>
      <c r="O51" s="133">
        <f>'Statement Q'!D52</f>
        <v>0</v>
      </c>
      <c r="P51" s="133">
        <f>'Statement Q'!E52</f>
        <v>3080</v>
      </c>
      <c r="Q51" s="133">
        <f>'Statement Q'!F52</f>
        <v>2661</v>
      </c>
      <c r="R51" s="133">
        <f>'Statement Q'!G52</f>
        <v>2830</v>
      </c>
      <c r="S51" s="133">
        <f>'Statement Q'!H52</f>
        <v>3127</v>
      </c>
      <c r="T51" s="133">
        <f>'Statement Q'!I52</f>
        <v>3214</v>
      </c>
      <c r="U51" s="133">
        <f>'Statement Q'!J52</f>
        <v>3439</v>
      </c>
      <c r="W51" s="133">
        <f t="shared" ref="W51:W65" si="4">SUM(R51:U51)</f>
        <v>12610</v>
      </c>
    </row>
    <row r="52" spans="2:23" outlineLevel="1" x14ac:dyDescent="0.2">
      <c r="B52" s="12" t="s">
        <v>96</v>
      </c>
      <c r="C52" s="133">
        <f>'Statement Y'!C57</f>
        <v>4210</v>
      </c>
      <c r="D52" s="133">
        <f>'Statement Y'!D57</f>
        <v>4840</v>
      </c>
      <c r="E52" s="133">
        <f>'Statement Y'!E57</f>
        <v>5340</v>
      </c>
      <c r="F52" s="133">
        <f>'Statement Y'!F57</f>
        <v>6068</v>
      </c>
      <c r="G52" s="133">
        <f>'Statement Y'!G57</f>
        <v>6829</v>
      </c>
      <c r="H52" s="133">
        <f>'Statement Y'!H57</f>
        <v>7906</v>
      </c>
      <c r="I52" s="133">
        <f>'Statement Y'!I57</f>
        <v>9038</v>
      </c>
      <c r="J52" s="133">
        <f>'Statement Y'!J57</f>
        <v>10833</v>
      </c>
      <c r="K52" s="133">
        <f>'Statement Y'!K57</f>
        <v>11688</v>
      </c>
      <c r="L52" s="133">
        <f>'Statement Y'!L57</f>
        <v>12863</v>
      </c>
      <c r="N52" s="133">
        <f>'Statement Q'!C53</f>
        <v>0</v>
      </c>
      <c r="O52" s="133">
        <f>'Statement Q'!D53</f>
        <v>0</v>
      </c>
      <c r="P52" s="133">
        <f>'Statement Q'!E53</f>
        <v>3286</v>
      </c>
      <c r="Q52" s="133">
        <f>'Statement Q'!F53</f>
        <v>3226</v>
      </c>
      <c r="R52" s="133">
        <f>'Statement Q'!G53</f>
        <v>3168</v>
      </c>
      <c r="S52" s="133">
        <f>'Statement Q'!H53</f>
        <v>3183</v>
      </c>
      <c r="T52" s="133">
        <f>'Statement Q'!I53</f>
        <v>3594</v>
      </c>
      <c r="U52" s="133">
        <f>'Statement Q'!J53</f>
        <v>3528</v>
      </c>
      <c r="W52" s="133">
        <f t="shared" si="4"/>
        <v>13473</v>
      </c>
    </row>
    <row r="53" spans="2:23" outlineLevel="1" x14ac:dyDescent="0.2">
      <c r="B53" s="12" t="s">
        <v>266</v>
      </c>
      <c r="C53" s="133">
        <f>'Statement Y'!C58</f>
        <v>4938</v>
      </c>
      <c r="D53" s="133">
        <f>'Statement Y'!D58</f>
        <v>5966</v>
      </c>
      <c r="E53" s="133">
        <f>'Statement Y'!E58</f>
        <v>-32590</v>
      </c>
      <c r="F53" s="133">
        <f>'Statement Y'!F58</f>
        <v>-340</v>
      </c>
      <c r="G53" s="133">
        <f>'Statement Y'!G58</f>
        <v>-215</v>
      </c>
      <c r="H53" s="133">
        <f>'Statement Y'!H58</f>
        <v>-4774</v>
      </c>
      <c r="I53" s="133">
        <f>'Statement Y'!I58</f>
        <v>895</v>
      </c>
      <c r="J53" s="133">
        <f>'Statement Y'!J58</f>
        <v>0</v>
      </c>
      <c r="K53" s="133">
        <f>'Statement Y'!K58</f>
        <v>0</v>
      </c>
      <c r="L53" s="133">
        <f>'Statement Y'!L58</f>
        <v>0</v>
      </c>
      <c r="N53" s="133">
        <v>0</v>
      </c>
      <c r="O53" s="133">
        <v>0</v>
      </c>
      <c r="P53" s="133">
        <v>0</v>
      </c>
      <c r="Q53" s="133">
        <v>0</v>
      </c>
      <c r="R53" s="133">
        <v>0</v>
      </c>
      <c r="S53" s="133">
        <v>0</v>
      </c>
      <c r="T53" s="133">
        <v>0</v>
      </c>
      <c r="U53" s="133">
        <v>0</v>
      </c>
      <c r="W53" s="133">
        <f t="shared" si="4"/>
        <v>0</v>
      </c>
    </row>
    <row r="54" spans="2:23" outlineLevel="1" x14ac:dyDescent="0.2">
      <c r="B54" s="12" t="s">
        <v>252</v>
      </c>
      <c r="C54" s="133">
        <f>'Statement Y'!C59</f>
        <v>0</v>
      </c>
      <c r="D54" s="133">
        <f>'Statement Y'!D59</f>
        <v>-166</v>
      </c>
      <c r="E54" s="133">
        <f>'Statement Y'!E59</f>
        <v>-444</v>
      </c>
      <c r="F54" s="133">
        <f>'Statement Y'!F59</f>
        <v>-652</v>
      </c>
      <c r="G54" s="133">
        <f>'Statement Y'!G59</f>
        <v>-97</v>
      </c>
      <c r="H54" s="133">
        <f>'Statement Y'!H59</f>
        <v>-147</v>
      </c>
      <c r="I54" s="133">
        <f>'Statement Y'!I59</f>
        <v>111</v>
      </c>
      <c r="J54" s="133">
        <f>'Statement Y'!J59</f>
        <v>-2227</v>
      </c>
      <c r="K54" s="133">
        <f>'Statement Y'!K59</f>
        <v>-2266</v>
      </c>
      <c r="L54" s="133">
        <f>'Statement Y'!L59</f>
        <v>-89</v>
      </c>
      <c r="N54" s="133">
        <f>'Statement Q'!C54</f>
        <v>0</v>
      </c>
      <c r="O54" s="133">
        <f>'Statement Q'!D54</f>
        <v>0</v>
      </c>
      <c r="P54" s="133">
        <f>'Statement Q'!E54</f>
        <v>-2009</v>
      </c>
      <c r="Q54" s="133">
        <f>'Statement Q'!F54</f>
        <v>-208</v>
      </c>
      <c r="R54" s="133">
        <f>'Statement Q'!G54</f>
        <v>469</v>
      </c>
      <c r="S54" s="133">
        <f>'Statement Q'!H54</f>
        <v>1659</v>
      </c>
      <c r="T54" s="133">
        <f>'Statement Q'!I54</f>
        <v>-528</v>
      </c>
      <c r="U54" s="133">
        <f>'Statement Q'!J54</f>
        <v>-1189</v>
      </c>
      <c r="W54" s="133">
        <f t="shared" si="4"/>
        <v>411</v>
      </c>
    </row>
    <row r="55" spans="2:23" outlineLevel="1" x14ac:dyDescent="0.2">
      <c r="B55" s="9" t="s">
        <v>182</v>
      </c>
      <c r="C55" s="133">
        <f>SUM('Statement Y'!C60:C66)</f>
        <v>484</v>
      </c>
      <c r="D55" s="133">
        <f>SUM('Statement Y'!D60:D66)</f>
        <v>-4923</v>
      </c>
      <c r="E55" s="133">
        <f>SUM('Statement Y'!E60:E66)</f>
        <v>34694</v>
      </c>
      <c r="F55" s="133">
        <f>SUM('Statement Y'!F60:F66)</f>
        <v>-3488</v>
      </c>
      <c r="G55" s="133">
        <f>SUM('Statement Y'!G60:G66)</f>
        <v>5690</v>
      </c>
      <c r="H55" s="133">
        <f>SUM('Statement Y'!H60:H66)</f>
        <v>-4911</v>
      </c>
      <c r="I55" s="133">
        <f>SUM('Statement Y'!I60:I66)</f>
        <v>1200</v>
      </c>
      <c r="J55" s="133">
        <f>SUM('Statement Y'!J60:J66)</f>
        <v>-6577</v>
      </c>
      <c r="K55" s="133">
        <f>SUM('Statement Y'!K60:K66)</f>
        <v>3651</v>
      </c>
      <c r="L55" s="133">
        <f>SUM('Statement Y'!L60:L66)</f>
        <v>-25000</v>
      </c>
      <c r="N55" s="133">
        <f>SUM('Statement Q'!C55:C60)</f>
        <v>0</v>
      </c>
      <c r="O55" s="133">
        <f>SUM('Statement Q'!D55:D60)</f>
        <v>0</v>
      </c>
      <c r="P55" s="133">
        <f>SUM('Statement Q'!E55:E60)</f>
        <v>-10752</v>
      </c>
      <c r="Q55" s="133">
        <f>SUM('Statement Q'!F55:F60)</f>
        <v>-6507</v>
      </c>
      <c r="R55" s="133">
        <f>SUM('Statement Q'!G55:G60)</f>
        <v>-2034</v>
      </c>
      <c r="S55" s="133">
        <f>SUM('Statement Q'!H55:H60)</f>
        <v>-5707</v>
      </c>
      <c r="T55" s="133">
        <f>SUM('Statement Q'!I55:I60)</f>
        <v>5548</v>
      </c>
      <c r="U55" s="133">
        <f>SUM('Statement Q'!J55:J60)</f>
        <v>-6654</v>
      </c>
      <c r="W55" s="133">
        <f t="shared" si="4"/>
        <v>-8847</v>
      </c>
    </row>
    <row r="56" spans="2:23" outlineLevel="1" x14ac:dyDescent="0.2">
      <c r="B56" s="17" t="s">
        <v>39</v>
      </c>
      <c r="C56" s="153">
        <f>'Statement Y'!C67</f>
        <v>65824</v>
      </c>
      <c r="D56" s="153">
        <f>'Statement Y'!D67</f>
        <v>64225</v>
      </c>
      <c r="E56" s="153">
        <f>'Statement Y'!E67</f>
        <v>77434</v>
      </c>
      <c r="F56" s="153">
        <f>'Statement Y'!F67</f>
        <v>69391</v>
      </c>
      <c r="G56" s="153">
        <f>'Statement Y'!G67</f>
        <v>80674</v>
      </c>
      <c r="H56" s="153">
        <f>'Statement Y'!H67</f>
        <v>104038</v>
      </c>
      <c r="I56" s="153">
        <f>'Statement Y'!I67</f>
        <v>122151</v>
      </c>
      <c r="J56" s="153">
        <f>'Statement Y'!J67</f>
        <v>110543</v>
      </c>
      <c r="K56" s="153">
        <f>'Statement Y'!K67</f>
        <v>118254</v>
      </c>
      <c r="L56" s="153">
        <f>'Statement Y'!L67</f>
        <v>111482</v>
      </c>
      <c r="N56" s="153">
        <f>'Statement Q'!C61</f>
        <v>0</v>
      </c>
      <c r="O56" s="153">
        <f>'Statement Q'!D61</f>
        <v>0</v>
      </c>
      <c r="P56" s="153">
        <f>'Statement Q'!E61</f>
        <v>29935</v>
      </c>
      <c r="Q56" s="153">
        <f>'Statement Q'!F61</f>
        <v>23952</v>
      </c>
      <c r="R56" s="153">
        <f>'Statement Q'!G61</f>
        <v>27867</v>
      </c>
      <c r="S56" s="153">
        <f>'Statement Q'!H61</f>
        <v>29728</v>
      </c>
      <c r="T56" s="153">
        <f>'Statement Q'!I61</f>
        <v>53925</v>
      </c>
      <c r="U56" s="153">
        <f>'Statement Q'!J61</f>
        <v>28702</v>
      </c>
      <c r="W56" s="153">
        <f t="shared" si="4"/>
        <v>140222</v>
      </c>
    </row>
    <row r="57" spans="2:23" outlineLevel="1" x14ac:dyDescent="0.2">
      <c r="B57" s="9" t="s">
        <v>40</v>
      </c>
      <c r="C57" s="133">
        <f>'Statement Y'!C71</f>
        <v>-12734</v>
      </c>
      <c r="D57" s="133">
        <f>'Statement Y'!D71</f>
        <v>-12451</v>
      </c>
      <c r="E57" s="133">
        <f>'Statement Y'!E71</f>
        <v>-13313</v>
      </c>
      <c r="F57" s="133">
        <f>'Statement Y'!F71</f>
        <v>-10495</v>
      </c>
      <c r="G57" s="133">
        <f>'Statement Y'!G71</f>
        <v>-7309</v>
      </c>
      <c r="H57" s="133">
        <f>'Statement Y'!H71</f>
        <v>-11085</v>
      </c>
      <c r="I57" s="133">
        <f>'Statement Y'!I71</f>
        <v>-10708</v>
      </c>
      <c r="J57" s="133">
        <f>'Statement Y'!J71</f>
        <v>-10959</v>
      </c>
      <c r="K57" s="133">
        <f>'Statement Y'!K71</f>
        <v>-9447</v>
      </c>
      <c r="L57" s="133">
        <f>'Statement Y'!L71</f>
        <v>-12715</v>
      </c>
      <c r="N57" s="133">
        <f>'Statement Q'!C65</f>
        <v>0</v>
      </c>
      <c r="O57" s="133">
        <f>'Statement Q'!D65</f>
        <v>0</v>
      </c>
      <c r="P57" s="133">
        <f>'Statement Q'!E65</f>
        <v>-2940</v>
      </c>
      <c r="Q57" s="133">
        <f>'Statement Q'!F65</f>
        <v>-3071</v>
      </c>
      <c r="R57" s="133">
        <f>'Statement Q'!G65</f>
        <v>-3462</v>
      </c>
      <c r="S57" s="133">
        <f>'Statement Q'!H65</f>
        <v>-3242</v>
      </c>
      <c r="T57" s="133">
        <f>'Statement Q'!I65</f>
        <v>-2373</v>
      </c>
      <c r="U57" s="133">
        <f>'Statement Q'!J65</f>
        <v>-1971</v>
      </c>
      <c r="W57" s="133">
        <f t="shared" si="4"/>
        <v>-11048</v>
      </c>
    </row>
    <row r="58" spans="2:23" outlineLevel="1" x14ac:dyDescent="0.2">
      <c r="B58" s="17" t="s">
        <v>41</v>
      </c>
      <c r="C58" s="153">
        <f>'Statement Y'!C78</f>
        <v>-45977</v>
      </c>
      <c r="D58" s="153">
        <f>'Statement Y'!D78</f>
        <v>-46446</v>
      </c>
      <c r="E58" s="153">
        <f>'Statement Y'!E78</f>
        <v>16066</v>
      </c>
      <c r="F58" s="153">
        <f>'Statement Y'!F78</f>
        <v>45896</v>
      </c>
      <c r="G58" s="153">
        <f>'Statement Y'!G78</f>
        <v>-4289</v>
      </c>
      <c r="H58" s="153">
        <f>'Statement Y'!H78</f>
        <v>-14545</v>
      </c>
      <c r="I58" s="153">
        <f>'Statement Y'!I78</f>
        <v>-22354</v>
      </c>
      <c r="J58" s="153">
        <f>'Statement Y'!J78</f>
        <v>3705</v>
      </c>
      <c r="K58" s="153">
        <f>'Statement Y'!K78</f>
        <v>2935</v>
      </c>
      <c r="L58" s="153">
        <f>'Statement Y'!L78</f>
        <v>15195</v>
      </c>
      <c r="N58" s="153">
        <f>'Statement Q'!C67</f>
        <v>0</v>
      </c>
      <c r="O58" s="153">
        <f>'Statement Q'!D67</f>
        <v>0</v>
      </c>
      <c r="P58" s="153">
        <f>'Statement Q'!E67</f>
        <v>9792</v>
      </c>
      <c r="Q58" s="153">
        <f>'Statement Q'!F67</f>
        <v>2917</v>
      </c>
      <c r="R58" s="153">
        <f>'Statement Q'!G67</f>
        <v>5073</v>
      </c>
      <c r="S58" s="153">
        <f>'Statement Q'!H67</f>
        <v>-2587</v>
      </c>
      <c r="T58" s="153">
        <f>'Statement Q'!I67</f>
        <v>-4886</v>
      </c>
      <c r="U58" s="153">
        <f>'Statement Q'!J67</f>
        <v>-6168</v>
      </c>
      <c r="W58" s="153">
        <f t="shared" si="4"/>
        <v>-8568</v>
      </c>
    </row>
    <row r="59" spans="2:23" outlineLevel="1" x14ac:dyDescent="0.2">
      <c r="B59" s="9" t="s">
        <v>98</v>
      </c>
      <c r="C59" s="133">
        <f>'Statement Y'!C79</f>
        <v>495</v>
      </c>
      <c r="D59" s="133">
        <f>'Statement Y'!D79</f>
        <v>555</v>
      </c>
      <c r="E59" s="133">
        <f>'Statement Y'!E79</f>
        <v>669</v>
      </c>
      <c r="F59" s="133">
        <f>'Statement Y'!F79</f>
        <v>781</v>
      </c>
      <c r="G59" s="133">
        <f>'Statement Y'!G79</f>
        <v>0</v>
      </c>
      <c r="H59" s="133">
        <f>'Statement Y'!H79</f>
        <v>0</v>
      </c>
      <c r="I59" s="133">
        <f>'Statement Y'!I79</f>
        <v>0</v>
      </c>
      <c r="J59" s="133">
        <f>'Statement Y'!J79</f>
        <v>0</v>
      </c>
      <c r="K59" s="133">
        <f>'Statement Y'!K79</f>
        <v>0</v>
      </c>
      <c r="L59" s="133">
        <f>'Statement Y'!L79</f>
        <v>0</v>
      </c>
      <c r="N59" s="133">
        <v>0</v>
      </c>
      <c r="O59" s="133">
        <v>0</v>
      </c>
      <c r="P59" s="133">
        <v>0</v>
      </c>
      <c r="Q59" s="133">
        <v>0</v>
      </c>
      <c r="R59" s="133">
        <v>0</v>
      </c>
      <c r="S59" s="133">
        <v>0</v>
      </c>
      <c r="T59" s="133">
        <v>0</v>
      </c>
      <c r="U59" s="133">
        <v>0</v>
      </c>
      <c r="W59" s="133">
        <f t="shared" si="4"/>
        <v>0</v>
      </c>
    </row>
    <row r="60" spans="2:23" outlineLevel="1" x14ac:dyDescent="0.2">
      <c r="B60" s="9" t="s">
        <v>99</v>
      </c>
      <c r="C60" s="133">
        <f>'Statement Y'!C86</f>
        <v>-397</v>
      </c>
      <c r="D60" s="133">
        <f>'Statement Y'!D86</f>
        <v>3852</v>
      </c>
      <c r="E60" s="133">
        <f>'Statement Y'!E86</f>
        <v>-37</v>
      </c>
      <c r="F60" s="133">
        <f>'Statement Y'!F86</f>
        <v>-5977</v>
      </c>
      <c r="G60" s="133">
        <f>'Statement Y'!G86</f>
        <v>-963</v>
      </c>
      <c r="H60" s="133">
        <f>'Statement Y'!H86</f>
        <v>1022</v>
      </c>
      <c r="I60" s="133">
        <f>'Statement Y'!I86</f>
        <v>3955</v>
      </c>
      <c r="J60" s="133">
        <f>'Statement Y'!J86</f>
        <v>-3978</v>
      </c>
      <c r="K60" s="133">
        <f>'Statement Y'!K86</f>
        <v>3960</v>
      </c>
      <c r="L60" s="133">
        <f>'Statement Y'!L86</f>
        <v>-2032</v>
      </c>
      <c r="N60" s="133">
        <f>'Statement Q'!C70</f>
        <v>0</v>
      </c>
      <c r="O60" s="133">
        <f>'Statement Q'!D70</f>
        <v>0</v>
      </c>
      <c r="P60" s="133">
        <f>'Statement Q'!E70</f>
        <v>-23606</v>
      </c>
      <c r="Q60" s="133">
        <f>'Statement Q'!F70</f>
        <v>-25898</v>
      </c>
      <c r="R60" s="133">
        <f>'Statement Q'!G70</f>
        <v>-21075</v>
      </c>
      <c r="S60" s="133">
        <f>'Statement Q'!H70</f>
        <v>-20132</v>
      </c>
      <c r="T60" s="133">
        <f>'Statement Q'!I70</f>
        <v>-24701</v>
      </c>
      <c r="U60" s="133">
        <f>'Statement Q'!J70</f>
        <v>-12288</v>
      </c>
      <c r="W60" s="133">
        <f t="shared" si="4"/>
        <v>-78196</v>
      </c>
    </row>
    <row r="61" spans="2:23" outlineLevel="1" x14ac:dyDescent="0.2">
      <c r="B61" s="9" t="s">
        <v>291</v>
      </c>
      <c r="C61" s="133">
        <f>'Statement Y'!C82</f>
        <v>-12150</v>
      </c>
      <c r="D61" s="133">
        <f>'Statement Y'!D82</f>
        <v>-12769</v>
      </c>
      <c r="E61" s="133">
        <f>'Statement Y'!E82</f>
        <v>-13712</v>
      </c>
      <c r="F61" s="133">
        <f>'Statement Y'!F82</f>
        <v>-14119</v>
      </c>
      <c r="G61" s="133">
        <f>'Statement Y'!G82</f>
        <v>-14081</v>
      </c>
      <c r="H61" s="133">
        <f>'Statement Y'!H82</f>
        <v>-14467</v>
      </c>
      <c r="I61" s="133">
        <f>'Statement Y'!I82</f>
        <v>-14841</v>
      </c>
      <c r="J61" s="133">
        <f>'Statement Y'!J82</f>
        <v>-15025</v>
      </c>
      <c r="K61" s="133">
        <f>'Statement Y'!K82</f>
        <v>-15234</v>
      </c>
      <c r="L61" s="133">
        <f>'Statement Y'!L82</f>
        <v>-15421</v>
      </c>
      <c r="N61" s="133">
        <f>'Statement Q'!C69</f>
        <v>0</v>
      </c>
      <c r="O61" s="133">
        <f>'Statement Q'!D69</f>
        <v>0</v>
      </c>
      <c r="P61" s="133">
        <f>'Statement Q'!E69</f>
        <v>-3856</v>
      </c>
      <c r="Q61" s="133">
        <f>'Statement Q'!F69</f>
        <v>-3758</v>
      </c>
      <c r="R61" s="133">
        <f>'Statement Q'!G69</f>
        <v>-3945</v>
      </c>
      <c r="S61" s="133">
        <f>'Statement Q'!H69</f>
        <v>-3862</v>
      </c>
      <c r="T61" s="133">
        <f>'Statement Q'!I69</f>
        <v>-3921</v>
      </c>
      <c r="U61" s="133">
        <f>'Statement Q'!J69</f>
        <v>-3822</v>
      </c>
      <c r="W61" s="133">
        <f t="shared" si="4"/>
        <v>-15550</v>
      </c>
    </row>
    <row r="62" spans="2:23" outlineLevel="1" x14ac:dyDescent="0.2">
      <c r="B62" s="9" t="s">
        <v>292</v>
      </c>
      <c r="C62" s="133">
        <f>'Statement Y'!C84</f>
        <v>24954</v>
      </c>
      <c r="D62" s="133">
        <f>'Statement Y'!D84</f>
        <v>28662</v>
      </c>
      <c r="E62" s="133">
        <f>'Statement Y'!E84</f>
        <v>6969</v>
      </c>
      <c r="F62" s="133">
        <f>'Statement Y'!F84</f>
        <v>6963</v>
      </c>
      <c r="G62" s="133">
        <f>'Statement Y'!G84</f>
        <v>16091</v>
      </c>
      <c r="H62" s="133">
        <f>'Statement Y'!H84</f>
        <v>20393</v>
      </c>
      <c r="I62" s="133">
        <f>'Statement Y'!I84</f>
        <v>5465</v>
      </c>
      <c r="J62" s="133">
        <f>'Statement Y'!J84</f>
        <v>5228</v>
      </c>
      <c r="K62" s="133">
        <f>'Statement Y'!K84</f>
        <v>0</v>
      </c>
      <c r="L62" s="133">
        <f>'Statement Y'!L84</f>
        <v>4481</v>
      </c>
      <c r="N62" s="133">
        <f>'Statement Q'!C71</f>
        <v>0</v>
      </c>
      <c r="O62" s="133">
        <f>'Statement Q'!D71</f>
        <v>0</v>
      </c>
      <c r="P62" s="133">
        <f>'Statement Q'!E71</f>
        <v>0</v>
      </c>
      <c r="Q62" s="133">
        <f>'Statement Q'!F71</f>
        <v>0</v>
      </c>
      <c r="R62" s="133">
        <f>'Statement Q'!G71</f>
        <v>4481</v>
      </c>
      <c r="S62" s="133">
        <f>'Statement Q'!H71</f>
        <v>0</v>
      </c>
      <c r="T62" s="133">
        <f>'Statement Q'!I71</f>
        <v>0</v>
      </c>
      <c r="U62" s="133">
        <f>'Statement Q'!J71</f>
        <v>0</v>
      </c>
      <c r="W62" s="133">
        <f t="shared" si="4"/>
        <v>4481</v>
      </c>
    </row>
    <row r="63" spans="2:23" outlineLevel="1" x14ac:dyDescent="0.2">
      <c r="B63" s="9" t="s">
        <v>293</v>
      </c>
      <c r="C63" s="133">
        <f>'Statement Y'!C85</f>
        <v>-2500</v>
      </c>
      <c r="D63" s="133">
        <f>'Statement Y'!D85</f>
        <v>-3500</v>
      </c>
      <c r="E63" s="133">
        <f>'Statement Y'!E85</f>
        <v>-6500</v>
      </c>
      <c r="F63" s="133">
        <f>'Statement Y'!F85</f>
        <v>-8805</v>
      </c>
      <c r="G63" s="133">
        <f>'Statement Y'!G85</f>
        <v>-12629</v>
      </c>
      <c r="H63" s="133">
        <f>'Statement Y'!H85</f>
        <v>-8750</v>
      </c>
      <c r="I63" s="133">
        <f>'Statement Y'!I85</f>
        <v>-9543</v>
      </c>
      <c r="J63" s="133">
        <f>'Statement Y'!J85</f>
        <v>-11151</v>
      </c>
      <c r="K63" s="133">
        <f>'Statement Y'!K85</f>
        <v>-9958</v>
      </c>
      <c r="L63" s="133">
        <f>'Statement Y'!L85</f>
        <v>-10932</v>
      </c>
      <c r="N63" s="133">
        <f>'Statement Q'!C72</f>
        <v>0</v>
      </c>
      <c r="O63" s="133">
        <f>'Statement Q'!D72</f>
        <v>0</v>
      </c>
      <c r="P63" s="133">
        <f>'Statement Q'!E72</f>
        <v>-1009</v>
      </c>
      <c r="Q63" s="133">
        <f>'Statement Q'!F72</f>
        <v>-3000</v>
      </c>
      <c r="R63" s="133">
        <f>'Statement Q'!G72</f>
        <v>-5673</v>
      </c>
      <c r="S63" s="133">
        <f>'Statement Q'!H72</f>
        <v>-1250</v>
      </c>
      <c r="T63" s="133">
        <f>'Statement Q'!I72</f>
        <v>-2164</v>
      </c>
      <c r="U63" s="133">
        <f>'Statement Q'!J72</f>
        <v>-5750</v>
      </c>
      <c r="W63" s="133">
        <f t="shared" si="4"/>
        <v>-14837</v>
      </c>
    </row>
    <row r="64" spans="2:23" outlineLevel="1" x14ac:dyDescent="0.2">
      <c r="B64" s="17" t="s">
        <v>42</v>
      </c>
      <c r="C64" s="153">
        <f>'Statement Y'!C88</f>
        <v>-20483</v>
      </c>
      <c r="D64" s="153">
        <f>'Statement Y'!D88</f>
        <v>-17974</v>
      </c>
      <c r="E64" s="153">
        <f>'Statement Y'!E88</f>
        <v>-87876</v>
      </c>
      <c r="F64" s="153">
        <f>'Statement Y'!F88</f>
        <v>-90976</v>
      </c>
      <c r="G64" s="153">
        <f>'Statement Y'!G88</f>
        <v>-86820</v>
      </c>
      <c r="H64" s="153">
        <f>'Statement Y'!H88</f>
        <v>-93353</v>
      </c>
      <c r="I64" s="153">
        <f>'Statement Y'!I88</f>
        <v>-110749</v>
      </c>
      <c r="J64" s="153">
        <f>'Statement Y'!J88</f>
        <v>-108488</v>
      </c>
      <c r="K64" s="153">
        <f>'Statement Y'!K88</f>
        <v>-121983</v>
      </c>
      <c r="L64" s="153">
        <f>'Statement Y'!L88</f>
        <v>-120686</v>
      </c>
      <c r="N64" s="153">
        <f>'Statement Q'!C75</f>
        <v>0</v>
      </c>
      <c r="O64" s="153">
        <f>'Statement Q'!D75</f>
        <v>0</v>
      </c>
      <c r="P64" s="153">
        <f>'Statement Q'!E75</f>
        <v>-39371</v>
      </c>
      <c r="Q64" s="153">
        <f>'Statement Q'!F75</f>
        <v>-29006</v>
      </c>
      <c r="R64" s="153">
        <f>'Statement Q'!G75</f>
        <v>-24833</v>
      </c>
      <c r="S64" s="153">
        <f>'Statement Q'!H75</f>
        <v>-27476</v>
      </c>
      <c r="T64" s="153">
        <f>'Statement Q'!I75</f>
        <v>-39656</v>
      </c>
      <c r="U64" s="153">
        <f>'Statement Q'!J75</f>
        <v>-22279</v>
      </c>
      <c r="W64" s="153">
        <f t="shared" si="4"/>
        <v>-114244</v>
      </c>
    </row>
    <row r="65" spans="2:23" outlineLevel="1" x14ac:dyDescent="0.2">
      <c r="B65" s="11" t="s">
        <v>43</v>
      </c>
      <c r="C65" s="156">
        <f>'Statement Y'!C89</f>
        <v>-636</v>
      </c>
      <c r="D65" s="156">
        <f>'Statement Y'!D89</f>
        <v>-195</v>
      </c>
      <c r="E65" s="156">
        <f>'Statement Y'!E89</f>
        <v>5624</v>
      </c>
      <c r="F65" s="156">
        <f>'Statement Y'!F89</f>
        <v>24311</v>
      </c>
      <c r="G65" s="156">
        <f>'Statement Y'!G89</f>
        <v>-10435</v>
      </c>
      <c r="H65" s="156">
        <f>'Statement Y'!H89</f>
        <v>-3860</v>
      </c>
      <c r="I65" s="156">
        <f>'Statement Y'!I89</f>
        <v>-10952</v>
      </c>
      <c r="J65" s="156">
        <f>'Statement Y'!J89</f>
        <v>5760</v>
      </c>
      <c r="K65" s="156">
        <f>'Statement Y'!K89</f>
        <v>-794</v>
      </c>
      <c r="L65" s="156">
        <f>'Statement Y'!L89</f>
        <v>5991</v>
      </c>
      <c r="N65" s="156">
        <f>'Statement Q'!C76</f>
        <v>0</v>
      </c>
      <c r="O65" s="156">
        <f>'Statement Q'!D76</f>
        <v>0</v>
      </c>
      <c r="P65" s="156">
        <f>'Statement Q'!E76</f>
        <v>356</v>
      </c>
      <c r="Q65" s="156">
        <f>'Statement Q'!F76</f>
        <v>-2137</v>
      </c>
      <c r="R65" s="156">
        <f>'Statement Q'!G76</f>
        <v>8107</v>
      </c>
      <c r="S65" s="156">
        <f>'Statement Q'!H76</f>
        <v>-335</v>
      </c>
      <c r="T65" s="156">
        <f>'Statement Q'!I76</f>
        <v>9383</v>
      </c>
      <c r="U65" s="156">
        <f>'Statement Q'!J76</f>
        <v>255</v>
      </c>
      <c r="W65" s="156">
        <f t="shared" si="4"/>
        <v>17410</v>
      </c>
    </row>
    <row r="66" spans="2:23" outlineLevel="1" x14ac:dyDescent="0.2">
      <c r="B66" s="11" t="s">
        <v>44</v>
      </c>
      <c r="C66" s="156">
        <f>'Statement Y'!C90</f>
        <v>21120</v>
      </c>
      <c r="D66" s="156">
        <f>'Statement Y'!D90</f>
        <v>20484</v>
      </c>
      <c r="E66" s="156">
        <f>'Statement Y'!E90</f>
        <v>20289</v>
      </c>
      <c r="F66" s="156">
        <f>'Statement Y'!F90</f>
        <v>25913</v>
      </c>
      <c r="G66" s="156">
        <f>'Statement Y'!G90</f>
        <v>50224</v>
      </c>
      <c r="H66" s="156">
        <f>'Statement Y'!H90</f>
        <v>39789</v>
      </c>
      <c r="I66" s="156">
        <f>'Statement Y'!I90</f>
        <v>35929</v>
      </c>
      <c r="J66" s="156">
        <f>'Statement Y'!J90</f>
        <v>24977</v>
      </c>
      <c r="K66" s="156">
        <f>'Statement Y'!K90</f>
        <v>30737</v>
      </c>
      <c r="L66" s="156">
        <f>'Statement Y'!L90</f>
        <v>29943</v>
      </c>
      <c r="N66" s="156">
        <f>'Statement Q'!C77</f>
        <v>0</v>
      </c>
      <c r="O66" s="156">
        <f>'Statement Q'!D77</f>
        <v>0</v>
      </c>
      <c r="P66" s="156">
        <f>'Statement Q'!E77</f>
        <v>29943</v>
      </c>
      <c r="Q66" s="156">
        <f>'Statement Q'!F77</f>
        <v>30299</v>
      </c>
      <c r="R66" s="156">
        <f>'Statement Q'!G77</f>
        <v>28162</v>
      </c>
      <c r="S66" s="156">
        <f>'Statement Q'!H77</f>
        <v>36269</v>
      </c>
      <c r="T66" s="156">
        <f>'Statement Q'!I77</f>
        <v>35934</v>
      </c>
      <c r="U66" s="156">
        <f>'Statement Q'!J77</f>
        <v>45317</v>
      </c>
      <c r="W66" s="156">
        <f>R66</f>
        <v>28162</v>
      </c>
    </row>
    <row r="67" spans="2:23" ht="17" outlineLevel="1" thickBot="1" x14ac:dyDescent="0.25">
      <c r="B67" s="19" t="s">
        <v>45</v>
      </c>
      <c r="C67" s="157">
        <f>'Statement Y'!C91</f>
        <v>20484</v>
      </c>
      <c r="D67" s="157">
        <f>'Statement Y'!D91</f>
        <v>20289</v>
      </c>
      <c r="E67" s="157">
        <f>'Statement Y'!E91</f>
        <v>25913</v>
      </c>
      <c r="F67" s="157">
        <f>'Statement Y'!F91</f>
        <v>50224</v>
      </c>
      <c r="G67" s="157">
        <f>'Statement Y'!G91</f>
        <v>39789</v>
      </c>
      <c r="H67" s="157">
        <f>'Statement Y'!H91</f>
        <v>35929</v>
      </c>
      <c r="I67" s="157">
        <f>'Statement Y'!I91</f>
        <v>24977</v>
      </c>
      <c r="J67" s="157">
        <f>'Statement Y'!J91</f>
        <v>30737</v>
      </c>
      <c r="K67" s="157">
        <f>'Statement Y'!K91</f>
        <v>29943</v>
      </c>
      <c r="L67" s="157">
        <f>'Statement Y'!L91</f>
        <v>35934</v>
      </c>
      <c r="N67" s="157">
        <f>'Statement Q'!C78</f>
        <v>0</v>
      </c>
      <c r="O67" s="157">
        <f>'Statement Q'!D78</f>
        <v>0</v>
      </c>
      <c r="P67" s="157">
        <f>'Statement Q'!E78</f>
        <v>30299</v>
      </c>
      <c r="Q67" s="157">
        <f>'Statement Q'!F78</f>
        <v>28162</v>
      </c>
      <c r="R67" s="157">
        <f>'Statement Q'!G78</f>
        <v>36269</v>
      </c>
      <c r="S67" s="157">
        <f>'Statement Q'!H78</f>
        <v>35934</v>
      </c>
      <c r="T67" s="157">
        <f>'Statement Q'!I78</f>
        <v>45317</v>
      </c>
      <c r="U67" s="157">
        <f>'Statement Q'!J78</f>
        <v>45572</v>
      </c>
      <c r="W67" s="157">
        <f>U67</f>
        <v>45572</v>
      </c>
    </row>
    <row r="69" spans="2:23" ht="17" thickBot="1" x14ac:dyDescent="0.25">
      <c r="B69" s="15" t="s">
        <v>183</v>
      </c>
      <c r="C69" s="158"/>
      <c r="D69" s="158"/>
      <c r="E69" s="158"/>
      <c r="F69" s="158"/>
      <c r="G69" s="158"/>
      <c r="H69" s="158"/>
      <c r="I69" s="158"/>
      <c r="J69" s="158"/>
      <c r="K69" s="158"/>
      <c r="L69" s="158"/>
      <c r="N69" s="158"/>
      <c r="O69" s="158"/>
      <c r="P69" s="158"/>
      <c r="Q69" s="158"/>
      <c r="R69" s="158"/>
      <c r="S69" s="158"/>
      <c r="T69" s="158"/>
      <c r="U69" s="158"/>
      <c r="W69" s="158"/>
    </row>
    <row r="70" spans="2:23" x14ac:dyDescent="0.2">
      <c r="B70" s="9" t="s">
        <v>184</v>
      </c>
      <c r="C70" s="159">
        <f t="shared" ref="C70:L70" si="5">C17/C5</f>
        <v>0.211867983064288</v>
      </c>
      <c r="D70" s="159">
        <f t="shared" si="5"/>
        <v>0.21092420845075338</v>
      </c>
      <c r="E70" s="159">
        <f t="shared" si="5"/>
        <v>0.22414202074587247</v>
      </c>
      <c r="F70" s="159">
        <f t="shared" si="5"/>
        <v>0.21238094505984456</v>
      </c>
      <c r="G70" s="159">
        <f t="shared" si="5"/>
        <v>0.20913611278072236</v>
      </c>
      <c r="H70" s="159">
        <f t="shared" si="5"/>
        <v>0.25881793355694238</v>
      </c>
      <c r="I70" s="159">
        <f t="shared" si="5"/>
        <v>0.25309640705199732</v>
      </c>
      <c r="J70" s="159">
        <f t="shared" si="5"/>
        <v>0.25306234264320282</v>
      </c>
      <c r="K70" s="159">
        <f t="shared" si="5"/>
        <v>0.23971255769943867</v>
      </c>
      <c r="L70" s="159">
        <f t="shared" si="5"/>
        <v>0.26915064121818238</v>
      </c>
      <c r="N70" s="162"/>
      <c r="O70" s="162"/>
      <c r="P70" s="162"/>
      <c r="Q70" s="162"/>
      <c r="R70" s="162"/>
      <c r="S70" s="162"/>
      <c r="T70" s="162"/>
      <c r="U70" s="162"/>
      <c r="W70" s="89">
        <f>W17/W5</f>
        <v>0.27151882190846222</v>
      </c>
    </row>
    <row r="71" spans="2:23" x14ac:dyDescent="0.2">
      <c r="B71" s="9" t="s">
        <v>185</v>
      </c>
      <c r="C71" s="160">
        <f t="shared" ref="C71:L71" si="6">C5/C32</f>
        <v>0.67034002101428103</v>
      </c>
      <c r="D71" s="160">
        <f t="shared" si="6"/>
        <v>0.61077110404749024</v>
      </c>
      <c r="E71" s="160">
        <f t="shared" si="6"/>
        <v>0.7262150522933899</v>
      </c>
      <c r="F71" s="160">
        <f t="shared" si="6"/>
        <v>0.76857223883066084</v>
      </c>
      <c r="G71" s="160">
        <f t="shared" si="6"/>
        <v>0.84756150274168851</v>
      </c>
      <c r="H71" s="160">
        <f t="shared" si="6"/>
        <v>1.0422077367080529</v>
      </c>
      <c r="I71" s="160">
        <f t="shared" si="6"/>
        <v>1.1178523337727317</v>
      </c>
      <c r="J71" s="160">
        <f t="shared" si="6"/>
        <v>1.0870773690166571</v>
      </c>
      <c r="K71" s="160">
        <f t="shared" si="6"/>
        <v>1.0713874732862074</v>
      </c>
      <c r="L71" s="160">
        <f t="shared" si="6"/>
        <v>1.1584451663368045</v>
      </c>
      <c r="N71" s="163"/>
      <c r="O71" s="163"/>
      <c r="P71" s="163"/>
      <c r="Q71" s="163"/>
      <c r="R71" s="163"/>
      <c r="S71" s="163"/>
      <c r="T71" s="163"/>
      <c r="U71" s="163"/>
      <c r="W71" s="166">
        <f>W5/W32</f>
        <v>1.2165559094755336</v>
      </c>
    </row>
    <row r="72" spans="2:23" x14ac:dyDescent="0.2">
      <c r="B72" s="11" t="s">
        <v>186</v>
      </c>
      <c r="C72" s="161">
        <f>C70*C71</f>
        <v>0.14202358821956815</v>
      </c>
      <c r="D72" s="161">
        <f t="shared" ref="D72:H72" si="7">D70*D71</f>
        <v>0.1288264116658096</v>
      </c>
      <c r="E72" s="161">
        <f t="shared" si="7"/>
        <v>0.16277530931710987</v>
      </c>
      <c r="F72" s="161">
        <f t="shared" si="7"/>
        <v>0.1632300984296163</v>
      </c>
      <c r="G72" s="161">
        <f t="shared" si="7"/>
        <v>0.1772557180259843</v>
      </c>
      <c r="H72" s="161">
        <f t="shared" si="7"/>
        <v>0.26974205275183616</v>
      </c>
      <c r="I72" s="161">
        <f t="shared" ref="I72:L72" si="8">I70*I71</f>
        <v>0.28292440929256846</v>
      </c>
      <c r="J72" s="161">
        <f t="shared" si="8"/>
        <v>0.2750983456377647</v>
      </c>
      <c r="K72" s="161">
        <f t="shared" si="8"/>
        <v>0.25682503150857577</v>
      </c>
      <c r="L72" s="161">
        <f t="shared" si="8"/>
        <v>0.31179625933565486</v>
      </c>
      <c r="N72" s="164"/>
      <c r="O72" s="164"/>
      <c r="P72" s="164"/>
      <c r="Q72" s="164"/>
      <c r="R72" s="164"/>
      <c r="S72" s="164"/>
      <c r="T72" s="164"/>
      <c r="U72" s="164"/>
      <c r="W72" s="161">
        <f t="shared" ref="W72" si="9">W70*W71</f>
        <v>0.33031782732657466</v>
      </c>
    </row>
    <row r="73" spans="2:23" x14ac:dyDescent="0.2">
      <c r="B73" s="9" t="s">
        <v>187</v>
      </c>
      <c r="C73" s="160">
        <f t="shared" ref="C73:L73" si="10">C32/C46</f>
        <v>2.5082924623193943</v>
      </c>
      <c r="D73" s="160">
        <f t="shared" si="10"/>
        <v>2.7999060031183092</v>
      </c>
      <c r="E73" s="160">
        <f t="shared" si="10"/>
        <v>3.4133013523477094</v>
      </c>
      <c r="F73" s="160">
        <f t="shared" si="10"/>
        <v>3.7410043320661304</v>
      </c>
      <c r="G73" s="160">
        <f t="shared" si="10"/>
        <v>4.9570394404566951</v>
      </c>
      <c r="H73" s="160">
        <f t="shared" si="10"/>
        <v>5.5635124425423994</v>
      </c>
      <c r="I73" s="160">
        <f t="shared" si="10"/>
        <v>6.9615369434796337</v>
      </c>
      <c r="J73" s="160">
        <f t="shared" si="10"/>
        <v>5.6734624915521517</v>
      </c>
      <c r="K73" s="160">
        <f t="shared" si="10"/>
        <v>6.408779631255487</v>
      </c>
      <c r="L73" s="160">
        <f t="shared" si="10"/>
        <v>4.8721874872852045</v>
      </c>
      <c r="N73" s="165"/>
      <c r="O73" s="165"/>
      <c r="P73" s="165"/>
      <c r="Q73" s="165"/>
      <c r="R73" s="165"/>
      <c r="S73" s="165"/>
      <c r="T73" s="165"/>
      <c r="U73" s="165"/>
      <c r="W73" s="160">
        <f>W32/W46</f>
        <v>3.4846325041552806</v>
      </c>
    </row>
    <row r="74" spans="2:23" x14ac:dyDescent="0.2">
      <c r="B74" s="11" t="s">
        <v>188</v>
      </c>
      <c r="C74" s="161">
        <f>C72*C73</f>
        <v>0.35623669580269629</v>
      </c>
      <c r="D74" s="161">
        <f t="shared" ref="D74:H74" si="11">D72*D73</f>
        <v>0.36070184338329087</v>
      </c>
      <c r="E74" s="161">
        <f t="shared" si="11"/>
        <v>0.55560118342090781</v>
      </c>
      <c r="F74" s="161">
        <f t="shared" si="11"/>
        <v>0.61064450534877546</v>
      </c>
      <c r="G74" s="161">
        <f t="shared" si="11"/>
        <v>0.87866358530127497</v>
      </c>
      <c r="H74" s="161">
        <f t="shared" si="11"/>
        <v>1.5007132667617686</v>
      </c>
      <c r="I74" s="161">
        <f t="shared" ref="I74:L74" si="12">I72*I73</f>
        <v>1.9695887275023678</v>
      </c>
      <c r="J74" s="161">
        <f t="shared" si="12"/>
        <v>1.5607601454639075</v>
      </c>
      <c r="K74" s="161">
        <f t="shared" si="12"/>
        <v>1.6459350307287091</v>
      </c>
      <c r="L74" s="161">
        <f t="shared" si="12"/>
        <v>1.5191298333175103</v>
      </c>
      <c r="N74" s="164"/>
      <c r="O74" s="164"/>
      <c r="P74" s="164"/>
      <c r="Q74" s="164"/>
      <c r="R74" s="164"/>
      <c r="S74" s="164"/>
      <c r="T74" s="164"/>
      <c r="U74" s="164"/>
      <c r="W74" s="161">
        <f t="shared" ref="W74" si="13">W72*W73</f>
        <v>1.1510362378041334</v>
      </c>
    </row>
    <row r="75" spans="2:23" x14ac:dyDescent="0.2">
      <c r="B75" s="11" t="s">
        <v>213</v>
      </c>
      <c r="C75" s="161">
        <f>C13/(C36+C37+C39+C46-C22)</f>
        <v>0.30165880284014146</v>
      </c>
      <c r="D75" s="161">
        <f t="shared" ref="D75:L75" si="14">D13/(D36+D37+D39+D46-D22)</f>
        <v>0.26363503167447394</v>
      </c>
      <c r="E75" s="161">
        <f t="shared" si="14"/>
        <v>0.37271701178242755</v>
      </c>
      <c r="F75" s="161">
        <f t="shared" si="14"/>
        <v>0.54846093134226592</v>
      </c>
      <c r="G75" s="161">
        <f t="shared" si="14"/>
        <v>0.65325983695865375</v>
      </c>
      <c r="H75" s="161">
        <f t="shared" si="14"/>
        <v>0.75462426965708829</v>
      </c>
      <c r="I75" s="161">
        <f t="shared" si="14"/>
        <v>0.81742346756269768</v>
      </c>
      <c r="J75" s="161">
        <f t="shared" si="14"/>
        <v>0.8728304933390485</v>
      </c>
      <c r="K75" s="161">
        <f t="shared" si="14"/>
        <v>0.95044920421197143</v>
      </c>
      <c r="L75" s="161">
        <f t="shared" si="14"/>
        <v>0.95401503821385103</v>
      </c>
      <c r="N75" s="164"/>
      <c r="O75" s="164"/>
      <c r="P75" s="164"/>
      <c r="Q75" s="164"/>
      <c r="R75" s="164"/>
      <c r="S75" s="164"/>
      <c r="T75" s="164"/>
      <c r="U75" s="164"/>
      <c r="W75" s="161">
        <f t="shared" ref="W75" si="15">W13/(W36+W37+W39+W46-W22)</f>
        <v>1.013587872025268</v>
      </c>
    </row>
    <row r="77" spans="2:23" ht="17" thickBot="1" x14ac:dyDescent="0.25">
      <c r="B77" s="158" t="s">
        <v>115</v>
      </c>
      <c r="C77" s="158"/>
      <c r="D77" s="158"/>
      <c r="E77" s="158"/>
      <c r="F77" s="158"/>
      <c r="G77" s="158"/>
      <c r="H77" s="158"/>
      <c r="I77" s="158"/>
      <c r="J77" s="158"/>
      <c r="K77" s="158"/>
      <c r="L77" s="158"/>
      <c r="N77" s="158"/>
      <c r="O77" s="158"/>
      <c r="P77" s="158"/>
      <c r="Q77" s="158"/>
      <c r="R77" s="158"/>
      <c r="S77" s="158"/>
      <c r="T77" s="158"/>
      <c r="U77" s="158"/>
      <c r="W77" s="158"/>
    </row>
    <row r="78" spans="2:23" x14ac:dyDescent="0.2">
      <c r="B78" s="11" t="s">
        <v>6</v>
      </c>
      <c r="C78" s="163"/>
      <c r="D78" s="161">
        <f t="shared" ref="D78:L78" si="16">(D5-C5)/C5</f>
        <v>6.3045181993980681E-2</v>
      </c>
      <c r="E78" s="161">
        <f t="shared" si="16"/>
        <v>0.15861957650261305</v>
      </c>
      <c r="F78" s="161">
        <f t="shared" si="16"/>
        <v>-2.0410775805267418E-2</v>
      </c>
      <c r="G78" s="161">
        <f t="shared" si="16"/>
        <v>5.5120803769784836E-2</v>
      </c>
      <c r="H78" s="161">
        <f t="shared" si="16"/>
        <v>0.33259384733074693</v>
      </c>
      <c r="I78" s="161">
        <f t="shared" si="16"/>
        <v>7.7937876041846058E-2</v>
      </c>
      <c r="J78" s="161">
        <f t="shared" si="16"/>
        <v>-2.8004605303199367E-2</v>
      </c>
      <c r="K78" s="161">
        <f t="shared" si="16"/>
        <v>2.0219940775141214E-2</v>
      </c>
      <c r="L78" s="161">
        <f t="shared" si="16"/>
        <v>6.4255117828327393E-2</v>
      </c>
      <c r="N78" s="163"/>
      <c r="O78" s="161">
        <f t="shared" ref="O78:U79" si="17">(O5-N5)/N5</f>
        <v>0.10670692609907084</v>
      </c>
      <c r="P78" s="161">
        <f t="shared" si="17"/>
        <v>0.30938586326767092</v>
      </c>
      <c r="Q78" s="161">
        <f t="shared" si="17"/>
        <v>-0.23283185840707965</v>
      </c>
      <c r="R78" s="161">
        <f t="shared" si="17"/>
        <v>-1.3873887100326136E-2</v>
      </c>
      <c r="S78" s="161">
        <f t="shared" si="17"/>
        <v>8.9646518354672675E-2</v>
      </c>
      <c r="T78" s="161">
        <f t="shared" si="17"/>
        <v>0.40296293404641542</v>
      </c>
      <c r="U78" s="161">
        <f t="shared" si="17"/>
        <v>-0.22657836890286318</v>
      </c>
      <c r="W78" s="163"/>
    </row>
    <row r="79" spans="2:23" x14ac:dyDescent="0.2">
      <c r="B79" s="9" t="s">
        <v>7</v>
      </c>
      <c r="C79" s="163"/>
      <c r="D79" s="159">
        <f t="shared" ref="D79:L79" si="18">(D6-C6)/C6</f>
        <v>7.3620752648885637E-2</v>
      </c>
      <c r="E79" s="159">
        <f t="shared" si="18"/>
        <v>0.16099483863649255</v>
      </c>
      <c r="F79" s="159">
        <f t="shared" si="18"/>
        <v>-1.2054520139720071E-2</v>
      </c>
      <c r="G79" s="159">
        <f t="shared" si="18"/>
        <v>4.8070860787973943E-2</v>
      </c>
      <c r="H79" s="159">
        <f t="shared" si="18"/>
        <v>0.25608785142634716</v>
      </c>
      <c r="I79" s="159">
        <f t="shared" si="18"/>
        <v>4.9605363858747961E-2</v>
      </c>
      <c r="J79" s="159">
        <f t="shared" si="18"/>
        <v>-4.2089771232766408E-2</v>
      </c>
      <c r="K79" s="159">
        <f t="shared" si="18"/>
        <v>-1.7675600199872046E-2</v>
      </c>
      <c r="L79" s="159">
        <f t="shared" si="18"/>
        <v>5.0429755837833726E-2</v>
      </c>
      <c r="N79" s="163"/>
      <c r="O79" s="159">
        <f t="shared" si="17"/>
        <v>0.10742098527083017</v>
      </c>
      <c r="P79" s="159">
        <f t="shared" si="17"/>
        <v>0.29331452860864626</v>
      </c>
      <c r="Q79" s="159">
        <f t="shared" si="17"/>
        <v>-0.23525937145020825</v>
      </c>
      <c r="R79" s="159">
        <f t="shared" si="17"/>
        <v>-3.4460904697773903E-3</v>
      </c>
      <c r="S79" s="159">
        <f t="shared" si="17"/>
        <v>7.5658809968599708E-2</v>
      </c>
      <c r="T79" s="159">
        <f t="shared" si="17"/>
        <v>0.37690531177829101</v>
      </c>
      <c r="U79" s="159">
        <f t="shared" si="17"/>
        <v>-0.24316672257631666</v>
      </c>
      <c r="W79" s="163"/>
    </row>
    <row r="80" spans="2:23" x14ac:dyDescent="0.2">
      <c r="B80" s="11" t="s">
        <v>8</v>
      </c>
      <c r="C80" s="163"/>
      <c r="D80" s="161">
        <f t="shared" ref="D80:L80" si="19">IF(C7=0,
IF(D7=0,0,IF(D7&gt;0,1,-1)),
(D7-C7)/ABS(C7)
)</f>
        <v>4.6556614409645987E-2</v>
      </c>
      <c r="E80" s="161">
        <f t="shared" si="19"/>
        <v>0.15482049304878326</v>
      </c>
      <c r="F80" s="161">
        <f t="shared" si="19"/>
        <v>-3.3847543671874231E-2</v>
      </c>
      <c r="G80" s="161">
        <f t="shared" si="19"/>
        <v>6.6712740873241722E-2</v>
      </c>
      <c r="H80" s="161">
        <f t="shared" si="19"/>
        <v>0.45619116582186819</v>
      </c>
      <c r="I80" s="161">
        <f t="shared" si="19"/>
        <v>0.11741997958596143</v>
      </c>
      <c r="J80" s="161">
        <f t="shared" si="19"/>
        <v>-9.5677530418896602E-3</v>
      </c>
      <c r="K80" s="161">
        <f t="shared" si="19"/>
        <v>6.8194717052522058E-2</v>
      </c>
      <c r="L80" s="161">
        <f t="shared" si="19"/>
        <v>8.0350669404426533E-2</v>
      </c>
      <c r="N80" s="163"/>
      <c r="O80" s="161">
        <f t="shared" ref="O80:U80" si="20">IF(N7=0,
IF(O7=0,0,IF(O7&gt;0,1,-1)),
(O7-N7)/ABS(N7)
)</f>
        <v>0.1058773123645345</v>
      </c>
      <c r="P80" s="161">
        <f t="shared" si="20"/>
        <v>0.32808404931744112</v>
      </c>
      <c r="Q80" s="161">
        <f t="shared" si="20"/>
        <v>-0.23008151008151009</v>
      </c>
      <c r="R80" s="161">
        <f t="shared" si="20"/>
        <v>-2.5609022221231639E-2</v>
      </c>
      <c r="S80" s="161">
        <f t="shared" si="20"/>
        <v>0.10574591701358708</v>
      </c>
      <c r="T80" s="161">
        <f t="shared" si="20"/>
        <v>0.43213835046854637</v>
      </c>
      <c r="U80" s="161">
        <f t="shared" si="20"/>
        <v>-0.2087215264838006</v>
      </c>
      <c r="W80" s="163"/>
    </row>
    <row r="81" spans="2:23" x14ac:dyDescent="0.2">
      <c r="B81" s="12" t="s">
        <v>11</v>
      </c>
      <c r="C81" s="163"/>
      <c r="D81" s="159">
        <f t="shared" ref="D81:L81" si="21">IF(C10=0,
IF(D10=0,0,IF(D10&gt;0,1,-1)),
(D10-C10)/ABS(C10)
)</f>
        <v>0.10738891868476422</v>
      </c>
      <c r="E81" s="159">
        <f t="shared" si="21"/>
        <v>0.15270844199389016</v>
      </c>
      <c r="F81" s="159">
        <f t="shared" si="21"/>
        <v>0.11379722698038201</v>
      </c>
      <c r="G81" s="159">
        <f t="shared" si="21"/>
        <v>0.12204747257849226</v>
      </c>
      <c r="H81" s="159">
        <f t="shared" si="21"/>
        <v>0.13496948381090307</v>
      </c>
      <c r="I81" s="159">
        <f t="shared" si="21"/>
        <v>0.16993642764372138</v>
      </c>
      <c r="J81" s="159">
        <f t="shared" si="21"/>
        <v>6.8205278021228943E-2</v>
      </c>
      <c r="K81" s="159">
        <f t="shared" si="21"/>
        <v>4.7769249001768557E-2</v>
      </c>
      <c r="L81" s="159">
        <f t="shared" si="21"/>
        <v>8.1507647867471764E-2</v>
      </c>
      <c r="N81" s="163"/>
      <c r="O81" s="159">
        <f t="shared" ref="O81:U82" si="22">IF(N10=0,
IF(O10=0,0,IF(O10&gt;0,1,-1)),
(O10-N10)/ABS(N10)
)</f>
        <v>-2.6525198938992041E-3</v>
      </c>
      <c r="P81" s="159">
        <f t="shared" si="22"/>
        <v>8.0837066069428892E-2</v>
      </c>
      <c r="Q81" s="159">
        <f t="shared" si="22"/>
        <v>-1.0684452502752056E-2</v>
      </c>
      <c r="R81" s="159">
        <f t="shared" si="22"/>
        <v>1.5577955229742113E-2</v>
      </c>
      <c r="S81" s="159">
        <f t="shared" si="22"/>
        <v>2.5650940964166022E-2</v>
      </c>
      <c r="T81" s="159">
        <f t="shared" si="22"/>
        <v>0.15489506095262034</v>
      </c>
      <c r="U81" s="159">
        <f t="shared" si="22"/>
        <v>2.8129930899396048E-2</v>
      </c>
      <c r="W81" s="163"/>
    </row>
    <row r="82" spans="2:23" x14ac:dyDescent="0.2">
      <c r="B82" s="11" t="s">
        <v>12</v>
      </c>
      <c r="C82" s="163"/>
      <c r="D82" s="161">
        <f t="shared" ref="D82:L82" si="23">IF(C11=0,
IF(D11=0,0,IF(D11&gt;0,1,-1)),
(D11-C11)/ABS(C11)
)</f>
        <v>2.1991203518592562E-2</v>
      </c>
      <c r="E82" s="161">
        <f t="shared" si="23"/>
        <v>0.15574465310380803</v>
      </c>
      <c r="F82" s="161">
        <f t="shared" si="23"/>
        <v>-9.8282038985584921E-2</v>
      </c>
      <c r="G82" s="161">
        <f t="shared" si="23"/>
        <v>3.6884091975598311E-2</v>
      </c>
      <c r="H82" s="161">
        <f t="shared" si="23"/>
        <v>0.64357048032826458</v>
      </c>
      <c r="I82" s="161">
        <f t="shared" si="23"/>
        <v>9.6265225013538444E-2</v>
      </c>
      <c r="J82" s="161">
        <f t="shared" si="23"/>
        <v>-4.3001749876503931E-2</v>
      </c>
      <c r="K82" s="161">
        <f t="shared" si="23"/>
        <v>7.799581805933456E-2</v>
      </c>
      <c r="L82" s="161">
        <f t="shared" si="23"/>
        <v>7.9811063498246987E-2</v>
      </c>
      <c r="N82" s="163"/>
      <c r="O82" s="161">
        <f t="shared" si="22"/>
        <v>0.16720574313663616</v>
      </c>
      <c r="P82" s="161">
        <f t="shared" si="22"/>
        <v>0.44746713527761822</v>
      </c>
      <c r="Q82" s="161">
        <f t="shared" si="22"/>
        <v>-0.30918472170339933</v>
      </c>
      <c r="R82" s="161">
        <f t="shared" si="22"/>
        <v>-4.6875528067863055E-2</v>
      </c>
      <c r="S82" s="161">
        <f t="shared" si="22"/>
        <v>0.14981207006595276</v>
      </c>
      <c r="T82" s="161">
        <f t="shared" si="22"/>
        <v>0.56819934005612605</v>
      </c>
      <c r="U82" s="161">
        <f t="shared" si="22"/>
        <v>-0.29432470699284197</v>
      </c>
      <c r="W82" s="163"/>
    </row>
    <row r="83" spans="2:23" x14ac:dyDescent="0.2">
      <c r="B83" s="11" t="s">
        <v>13</v>
      </c>
      <c r="C83" s="163"/>
      <c r="D83" s="161">
        <f t="shared" ref="D83:L83" si="24">IF(C15=0,
IF(D15=0,0,IF(D15&gt;0,1,-1)),
(D15-C15)/ABS(C15)
)</f>
        <v>4.4271003063286192E-2</v>
      </c>
      <c r="E83" s="161">
        <f t="shared" si="24"/>
        <v>0.13752750081917334</v>
      </c>
      <c r="F83" s="161">
        <f t="shared" si="24"/>
        <v>-9.8294994719010195E-2</v>
      </c>
      <c r="G83" s="161">
        <f t="shared" si="24"/>
        <v>2.0597228349331427E-2</v>
      </c>
      <c r="H83" s="161">
        <f t="shared" si="24"/>
        <v>0.62774440685039723</v>
      </c>
      <c r="I83" s="161">
        <f t="shared" si="24"/>
        <v>9.0616901846951203E-2</v>
      </c>
      <c r="J83" s="161">
        <f t="shared" si="24"/>
        <v>-4.5061837233319059E-2</v>
      </c>
      <c r="K83" s="161">
        <f t="shared" si="24"/>
        <v>8.5716044172469585E-2</v>
      </c>
      <c r="L83" s="161">
        <f t="shared" si="24"/>
        <v>7.4859294651172206E-2</v>
      </c>
      <c r="N83" s="163"/>
      <c r="O83" s="161">
        <f t="shared" ref="O83:U83" si="25">IF(N15=0,
IF(O15=0,0,IF(O15&gt;0,1,-1)),
(O15-N15)/ABS(N15)
)</f>
        <v>0.16144975288303129</v>
      </c>
      <c r="P83" s="161">
        <f t="shared" si="25"/>
        <v>0.43816278284363391</v>
      </c>
      <c r="Q83" s="161">
        <f t="shared" si="25"/>
        <v>-0.311713319556641</v>
      </c>
      <c r="R83" s="161">
        <f t="shared" si="25"/>
        <v>-4.3636983964517227E-2</v>
      </c>
      <c r="S83" s="161">
        <f t="shared" si="25"/>
        <v>0.17027576611608577</v>
      </c>
      <c r="T83" s="161">
        <f t="shared" si="25"/>
        <v>0.55474942080234113</v>
      </c>
      <c r="U83" s="161">
        <f t="shared" si="25"/>
        <v>-0.29741970903101839</v>
      </c>
      <c r="W83" s="163"/>
    </row>
    <row r="84" spans="2:23" x14ac:dyDescent="0.2">
      <c r="B84" s="11" t="s">
        <v>14</v>
      </c>
      <c r="C84" s="163"/>
      <c r="D84" s="161">
        <f t="shared" ref="D84:L84" si="26">IF(C17=0,
IF(D17=0,0,IF(D17&gt;0,1,-1)),
(D17-C17)/ABS(C17)
)</f>
        <v>5.8309803664061986E-2</v>
      </c>
      <c r="E84" s="161">
        <f t="shared" si="26"/>
        <v>0.23122582780087278</v>
      </c>
      <c r="F84" s="161">
        <f t="shared" si="26"/>
        <v>-7.1811325191916811E-2</v>
      </c>
      <c r="G84" s="161">
        <f t="shared" si="26"/>
        <v>3.9000289561314606E-2</v>
      </c>
      <c r="H84" s="161">
        <f t="shared" si="26"/>
        <v>0.64916131055024295</v>
      </c>
      <c r="I84" s="161">
        <f t="shared" si="26"/>
        <v>5.4108576256865229E-2</v>
      </c>
      <c r="J84" s="161">
        <f t="shared" si="26"/>
        <v>-2.8135426790777834E-2</v>
      </c>
      <c r="K84" s="161">
        <f t="shared" si="26"/>
        <v>-3.3599670086086914E-2</v>
      </c>
      <c r="L84" s="161">
        <f t="shared" si="26"/>
        <v>0.19495177946573355</v>
      </c>
      <c r="N84" s="163"/>
      <c r="O84" s="161">
        <f t="shared" ref="O84:U84" si="27">IF(N17=0,
IF(O17=0,0,IF(O17&gt;0,1,-1)),
(O17-N17)/ABS(N17)
)</f>
        <v>-0.31294293174188736</v>
      </c>
      <c r="P84" s="161">
        <f t="shared" si="27"/>
        <v>1.4653908794788273</v>
      </c>
      <c r="Q84" s="161">
        <f t="shared" si="27"/>
        <v>-0.31791907514450868</v>
      </c>
      <c r="R84" s="161">
        <f t="shared" si="27"/>
        <v>-5.4317998385794999E-2</v>
      </c>
      <c r="S84" s="161">
        <f t="shared" si="27"/>
        <v>0.17205769394896306</v>
      </c>
      <c r="T84" s="161">
        <f t="shared" si="27"/>
        <v>0.53269496832447394</v>
      </c>
      <c r="U84" s="161">
        <f t="shared" si="27"/>
        <v>-0.29738461173005204</v>
      </c>
      <c r="W84" s="163"/>
    </row>
    <row r="85" spans="2:23" x14ac:dyDescent="0.2">
      <c r="B85" s="12" t="s">
        <v>16</v>
      </c>
      <c r="C85" s="163"/>
      <c r="D85" s="159">
        <f>(D18-C18)/C18</f>
        <v>-4.5090909090909091E-2</v>
      </c>
      <c r="E85" s="159">
        <f t="shared" ref="E85:L85" si="28">(E18-D18)/D18</f>
        <v>-4.7981721249047982E-2</v>
      </c>
      <c r="F85" s="159">
        <f t="shared" si="28"/>
        <v>-7.0199999999999999E-2</v>
      </c>
      <c r="G85" s="159">
        <f t="shared" si="28"/>
        <v>-5.7431705743170573E-2</v>
      </c>
      <c r="H85" s="159">
        <f t="shared" si="28"/>
        <v>-3.7825193975353721E-2</v>
      </c>
      <c r="I85" s="159">
        <f t="shared" si="28"/>
        <v>-3.1959679810257928E-2</v>
      </c>
      <c r="J85" s="159">
        <f t="shared" si="28"/>
        <v>-3.1422271223814774E-2</v>
      </c>
      <c r="K85" s="159">
        <f t="shared" si="28"/>
        <v>-2.5611838360842343E-2</v>
      </c>
      <c r="L85" s="159">
        <f t="shared" si="28"/>
        <v>-2.6155244029075805E-2</v>
      </c>
      <c r="N85" s="163"/>
      <c r="O85" s="159">
        <f>(O18-N18)/N18</f>
        <v>-6.9064373208235601E-3</v>
      </c>
      <c r="P85" s="159">
        <f t="shared" ref="P85:U85" si="29">(P18-O18)/O18</f>
        <v>-5.9703450990683639E-3</v>
      </c>
      <c r="Q85" s="159">
        <f t="shared" si="29"/>
        <v>-6.2702131872483663E-3</v>
      </c>
      <c r="R85" s="159">
        <f t="shared" si="29"/>
        <v>-7.1732199787460146E-3</v>
      </c>
      <c r="S85" s="159">
        <f t="shared" si="29"/>
        <v>-5.6194808670056197E-3</v>
      </c>
      <c r="T85" s="159">
        <f t="shared" si="29"/>
        <v>-3.6329386437029061E-3</v>
      </c>
      <c r="U85" s="159">
        <f t="shared" si="29"/>
        <v>-5.6718433490884537E-3</v>
      </c>
      <c r="W85" s="163"/>
    </row>
    <row r="86" spans="2:23" x14ac:dyDescent="0.2">
      <c r="B86" s="12" t="s">
        <v>18</v>
      </c>
      <c r="C86" s="163"/>
      <c r="D86" s="159">
        <f t="shared" ref="D86:L86" si="30">IF(C19=0,
IF(D19=0,0,IF(D19&gt;0,1,-1)),
(D19-C19)/ABS(C19)
)</f>
        <v>0.10830324909747296</v>
      </c>
      <c r="E86" s="159">
        <f t="shared" si="30"/>
        <v>0.29315960912052108</v>
      </c>
      <c r="F86" s="159">
        <f t="shared" si="30"/>
        <v>-1.679261125104918E-3</v>
      </c>
      <c r="G86" s="159">
        <f t="shared" si="30"/>
        <v>0.10344827586206885</v>
      </c>
      <c r="H86" s="159">
        <f t="shared" si="30"/>
        <v>0.71036585365853677</v>
      </c>
      <c r="I86" s="159">
        <f t="shared" si="30"/>
        <v>8.9126559714795009E-2</v>
      </c>
      <c r="J86" s="159">
        <f t="shared" si="30"/>
        <v>3.2733224222585224E-3</v>
      </c>
      <c r="K86" s="159">
        <f t="shared" si="30"/>
        <v>-8.1566068515497268E-3</v>
      </c>
      <c r="L86" s="159">
        <f t="shared" si="30"/>
        <v>0.2269736842105263</v>
      </c>
      <c r="N86" s="163"/>
      <c r="O86" s="159">
        <f t="shared" ref="O86:U86" si="31">IF(N19=0,
IF(O19=0,0,IF(O19&gt;0,1,-1)),
(O19-N19)/ABS(N19)
)</f>
        <v>-0.30714285714285711</v>
      </c>
      <c r="P86" s="159">
        <f t="shared" si="31"/>
        <v>1.4742268041237112</v>
      </c>
      <c r="Q86" s="159">
        <f t="shared" si="31"/>
        <v>-0.3125</v>
      </c>
      <c r="R86" s="159">
        <f t="shared" si="31"/>
        <v>-4.8484848484848395E-2</v>
      </c>
      <c r="S86" s="159">
        <f t="shared" si="31"/>
        <v>0.178343949044586</v>
      </c>
      <c r="T86" s="159">
        <f t="shared" si="31"/>
        <v>0.535135135135135</v>
      </c>
      <c r="U86" s="159">
        <f t="shared" si="31"/>
        <v>-0.29225352112676062</v>
      </c>
      <c r="W86" s="163"/>
    </row>
    <row r="88" spans="2:23" ht="17" thickBot="1" x14ac:dyDescent="0.25">
      <c r="B88" s="15" t="s">
        <v>88</v>
      </c>
      <c r="C88" s="14"/>
      <c r="D88" s="14"/>
      <c r="E88" s="14"/>
      <c r="F88" s="14"/>
      <c r="G88" s="14"/>
      <c r="H88" s="14"/>
      <c r="I88" s="14"/>
      <c r="J88" s="14"/>
      <c r="K88" s="14"/>
      <c r="L88" s="14"/>
      <c r="N88" s="14"/>
      <c r="O88" s="14"/>
      <c r="P88" s="14"/>
      <c r="Q88" s="14"/>
      <c r="R88" s="14"/>
      <c r="S88" s="14"/>
      <c r="T88" s="14"/>
      <c r="U88" s="14"/>
      <c r="W88" s="14"/>
    </row>
    <row r="89" spans="2:23" x14ac:dyDescent="0.2">
      <c r="B89" s="9" t="s">
        <v>89</v>
      </c>
      <c r="C89" s="75">
        <f t="shared" ref="C89:I89" si="32">C7/C5</f>
        <v>0.39075955648097049</v>
      </c>
      <c r="D89" s="75">
        <f t="shared" si="32"/>
        <v>0.38469860491899105</v>
      </c>
      <c r="E89" s="75">
        <f t="shared" si="32"/>
        <v>0.38343718820007905</v>
      </c>
      <c r="F89" s="75">
        <f t="shared" si="32"/>
        <v>0.37817768109034722</v>
      </c>
      <c r="G89" s="75">
        <f t="shared" si="32"/>
        <v>0.38233247727810865</v>
      </c>
      <c r="H89" s="75">
        <f t="shared" si="32"/>
        <v>0.41779359625167778</v>
      </c>
      <c r="I89" s="75">
        <f t="shared" si="32"/>
        <v>0.43309630561360085</v>
      </c>
      <c r="J89" s="75">
        <f t="shared" ref="J89:L89" si="33">J7/J5</f>
        <v>0.44131129577207562</v>
      </c>
      <c r="K89" s="75">
        <f t="shared" si="33"/>
        <v>0.46206349815233932</v>
      </c>
      <c r="L89" s="75">
        <f t="shared" si="33"/>
        <v>0.46905164107160452</v>
      </c>
      <c r="N89" s="75">
        <f t="shared" ref="N89:U89" si="34">N7/N5</f>
        <v>0.46257155181458898</v>
      </c>
      <c r="O89" s="75">
        <f t="shared" si="34"/>
        <v>0.4622247972190035</v>
      </c>
      <c r="P89" s="75">
        <f t="shared" si="34"/>
        <v>0.46882542236524538</v>
      </c>
      <c r="Q89" s="75">
        <f t="shared" si="34"/>
        <v>0.47050619238876246</v>
      </c>
      <c r="R89" s="75">
        <f t="shared" si="34"/>
        <v>0.46490705687183631</v>
      </c>
      <c r="S89" s="75">
        <f t="shared" si="34"/>
        <v>0.47177600374758455</v>
      </c>
      <c r="T89" s="75">
        <f t="shared" si="34"/>
        <v>0.4815868555051615</v>
      </c>
      <c r="U89" s="75">
        <f t="shared" si="34"/>
        <v>0.4927057850050367</v>
      </c>
      <c r="W89" s="75">
        <f>W7/W5</f>
        <v>0.47862405358827936</v>
      </c>
    </row>
    <row r="90" spans="2:23" x14ac:dyDescent="0.2">
      <c r="B90" s="9" t="s">
        <v>90</v>
      </c>
      <c r="C90" s="75">
        <f t="shared" ref="C90:I90" si="35">C11/C5</f>
        <v>0.27835410106706115</v>
      </c>
      <c r="D90" s="75">
        <f t="shared" si="35"/>
        <v>0.26760428208729942</v>
      </c>
      <c r="E90" s="75">
        <f t="shared" si="35"/>
        <v>0.26694026619477024</v>
      </c>
      <c r="F90" s="75">
        <f t="shared" si="35"/>
        <v>0.24572017188496928</v>
      </c>
      <c r="G90" s="75">
        <f t="shared" si="35"/>
        <v>0.24147314354406862</v>
      </c>
      <c r="H90" s="75">
        <f t="shared" si="35"/>
        <v>0.29782377527561593</v>
      </c>
      <c r="I90" s="75">
        <f t="shared" si="35"/>
        <v>0.30288744395528594</v>
      </c>
      <c r="J90" s="75">
        <f t="shared" ref="J90:L90" si="36">J11/J5</f>
        <v>0.29821412265024722</v>
      </c>
      <c r="K90" s="75">
        <f t="shared" si="36"/>
        <v>0.31510222870075566</v>
      </c>
      <c r="L90" s="75">
        <f t="shared" si="36"/>
        <v>0.31970799762591884</v>
      </c>
      <c r="N90" s="75">
        <f t="shared" ref="N90:U90" si="37">N11/N5</f>
        <v>0.29555708406682446</v>
      </c>
      <c r="O90" s="75">
        <f t="shared" si="37"/>
        <v>0.31171389444854103</v>
      </c>
      <c r="P90" s="75">
        <f t="shared" si="37"/>
        <v>0.34458567980691873</v>
      </c>
      <c r="Q90" s="75">
        <f t="shared" si="37"/>
        <v>0.31029058610094484</v>
      </c>
      <c r="R90" s="75">
        <f t="shared" si="37"/>
        <v>0.29990641881832492</v>
      </c>
      <c r="S90" s="75">
        <f t="shared" si="37"/>
        <v>0.31646594968086977</v>
      </c>
      <c r="T90" s="75">
        <f t="shared" si="37"/>
        <v>0.35373827875010433</v>
      </c>
      <c r="U90" s="75">
        <f t="shared" si="37"/>
        <v>0.32275327385235286</v>
      </c>
      <c r="W90" s="75">
        <f>W11/W5</f>
        <v>0.32643396050876966</v>
      </c>
    </row>
    <row r="91" spans="2:23" x14ac:dyDescent="0.2">
      <c r="B91" s="82" t="s">
        <v>91</v>
      </c>
      <c r="C91" s="168">
        <f t="shared" ref="C91:I91" si="38">C17/C5</f>
        <v>0.211867983064288</v>
      </c>
      <c r="D91" s="168">
        <f t="shared" si="38"/>
        <v>0.21092420845075338</v>
      </c>
      <c r="E91" s="168">
        <f t="shared" si="38"/>
        <v>0.22414202074587247</v>
      </c>
      <c r="F91" s="168">
        <f t="shared" si="38"/>
        <v>0.21238094505984456</v>
      </c>
      <c r="G91" s="168">
        <f t="shared" si="38"/>
        <v>0.20913611278072236</v>
      </c>
      <c r="H91" s="168">
        <f t="shared" si="38"/>
        <v>0.25881793355694238</v>
      </c>
      <c r="I91" s="168">
        <f t="shared" si="38"/>
        <v>0.25309640705199732</v>
      </c>
      <c r="J91" s="168">
        <f t="shared" ref="J91:L91" si="39">J17/J5</f>
        <v>0.25306234264320282</v>
      </c>
      <c r="K91" s="168">
        <f t="shared" si="39"/>
        <v>0.23971255769943867</v>
      </c>
      <c r="L91" s="168">
        <f t="shared" si="39"/>
        <v>0.26915064121818238</v>
      </c>
      <c r="N91" s="168">
        <f t="shared" ref="N91:U91" si="40">N17/N5</f>
        <v>0.25004371801298714</v>
      </c>
      <c r="O91" s="168">
        <f t="shared" si="40"/>
        <v>0.15523016959865163</v>
      </c>
      <c r="P91" s="168">
        <f t="shared" si="40"/>
        <v>0.29227674979887369</v>
      </c>
      <c r="Q91" s="168">
        <f t="shared" si="40"/>
        <v>0.25986010759341016</v>
      </c>
      <c r="R91" s="168">
        <f t="shared" si="40"/>
        <v>0.24920243311072354</v>
      </c>
      <c r="S91" s="168">
        <f t="shared" si="40"/>
        <v>0.26804988971951671</v>
      </c>
      <c r="T91" s="168">
        <f t="shared" si="40"/>
        <v>0.29283647291243498</v>
      </c>
      <c r="U91" s="168">
        <f t="shared" si="40"/>
        <v>0.26602748596920422</v>
      </c>
      <c r="W91" s="168">
        <f>W17/W5</f>
        <v>0.27151882190846222</v>
      </c>
    </row>
  </sheetData>
  <pageMargins left="0.7" right="0.7" top="0.75" bottom="0.75" header="0.3" footer="0.3"/>
  <ignoredErrors>
    <ignoredError sqref="W18 C73:H73 W73 I73:L73 D85:L85 O85:U85 W13" formula="1"/>
    <ignoredError sqref="N55:U55"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B4" zoomScale="163" zoomScaleNormal="75" workbookViewId="0">
      <selection activeCell="H19" sqref="H19"/>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112</v>
      </c>
      <c r="O1" s="116"/>
    </row>
    <row r="2" spans="1:31" x14ac:dyDescent="0.2">
      <c r="A2" s="100"/>
      <c r="C2" s="210" t="s">
        <v>104</v>
      </c>
      <c r="D2" s="210"/>
      <c r="E2" s="210"/>
      <c r="F2" s="210"/>
      <c r="G2" s="211"/>
      <c r="H2" s="212" t="s">
        <v>105</v>
      </c>
      <c r="I2" s="210"/>
      <c r="J2" s="210"/>
      <c r="K2" s="210"/>
      <c r="L2" s="210"/>
      <c r="O2" s="90"/>
      <c r="S2" s="210" t="s">
        <v>104</v>
      </c>
      <c r="T2" s="210"/>
      <c r="U2" s="210"/>
      <c r="V2" s="210"/>
      <c r="W2" s="210"/>
      <c r="X2" s="210"/>
      <c r="Y2" s="210"/>
      <c r="Z2" s="210"/>
      <c r="AA2" s="210" t="s">
        <v>105</v>
      </c>
      <c r="AB2" s="210"/>
      <c r="AC2" s="210"/>
      <c r="AE2" s="117" t="s">
        <v>74</v>
      </c>
    </row>
    <row r="3" spans="1:31" ht="10" customHeight="1" x14ac:dyDescent="0.2">
      <c r="O3" s="90"/>
    </row>
    <row r="4" spans="1:31" ht="16" customHeight="1" x14ac:dyDescent="0.2">
      <c r="A4" s="105"/>
      <c r="B4" s="92"/>
      <c r="C4" s="209" t="s">
        <v>113</v>
      </c>
      <c r="D4" s="209"/>
      <c r="E4" s="209"/>
      <c r="F4" s="209"/>
      <c r="G4" s="209"/>
      <c r="H4" s="209"/>
      <c r="I4" s="209"/>
      <c r="J4" s="209"/>
      <c r="K4" s="209"/>
      <c r="L4" s="209"/>
      <c r="O4" s="90"/>
      <c r="S4" s="216" t="s">
        <v>113</v>
      </c>
      <c r="T4" s="217"/>
      <c r="U4" s="217"/>
      <c r="V4" s="217"/>
      <c r="W4" s="217"/>
      <c r="X4" s="217"/>
      <c r="Y4" s="217"/>
      <c r="Z4" s="217"/>
      <c r="AA4" s="217"/>
      <c r="AB4" s="217"/>
      <c r="AC4" s="217"/>
      <c r="AE4" s="119" t="s">
        <v>120</v>
      </c>
    </row>
    <row r="5" spans="1:31"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114</v>
      </c>
      <c r="S5" s="62" t="str">
        <f>'Statement Q'!C3</f>
        <v>Q3 2024</v>
      </c>
      <c r="T5" s="62" t="str">
        <f>'Statement Q'!D3</f>
        <v>Q4 2024</v>
      </c>
      <c r="U5" s="62" t="str">
        <f>'Statement Q'!E3</f>
        <v>Q1 2025</v>
      </c>
      <c r="V5" s="62" t="str">
        <f>'Statement Q'!F3</f>
        <v>Q2 2025</v>
      </c>
      <c r="W5" s="62" t="str">
        <f>'Statement Q'!G3</f>
        <v>Q3 2025</v>
      </c>
      <c r="X5" s="62" t="str">
        <f>'Statement Q'!H3</f>
        <v>Q4 2025</v>
      </c>
      <c r="Y5" s="62" t="str">
        <f>'Statement Q'!I3</f>
        <v>Q1 2026</v>
      </c>
      <c r="Z5" s="62" t="str">
        <f>'Statement Q'!J3</f>
        <v>Q2 2026</v>
      </c>
      <c r="AA5" s="62" t="s">
        <v>117</v>
      </c>
      <c r="AB5" s="62" t="s">
        <v>118</v>
      </c>
      <c r="AC5" s="62" t="s">
        <v>119</v>
      </c>
      <c r="AE5" s="61" t="s">
        <v>117</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222161.16</v>
      </c>
      <c r="I6" s="104">
        <f t="shared" ref="I6:L6" si="1">H6*(1+I15)</f>
        <v>231714.08987999998</v>
      </c>
      <c r="J6" s="104">
        <f t="shared" si="1"/>
        <v>241446.08165496</v>
      </c>
      <c r="K6" s="104">
        <f t="shared" si="1"/>
        <v>252311.15532943318</v>
      </c>
      <c r="L6" s="104">
        <f t="shared" si="1"/>
        <v>263665.15731925768</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40449.599999999999</v>
      </c>
      <c r="I7" s="104">
        <f t="shared" ref="I7:L7" si="2">H7*(1+I16)</f>
        <v>42472.08</v>
      </c>
      <c r="J7" s="104">
        <f t="shared" si="2"/>
        <v>46719.288000000008</v>
      </c>
      <c r="K7" s="104">
        <f t="shared" si="2"/>
        <v>48120.866640000007</v>
      </c>
      <c r="L7" s="104">
        <f t="shared" si="2"/>
        <v>52451.744637600015</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28863.690000000002</v>
      </c>
      <c r="I8" s="104">
        <f t="shared" si="4"/>
        <v>29008.008449999998</v>
      </c>
      <c r="J8" s="104">
        <f t="shared" si="4"/>
        <v>29153.048492249993</v>
      </c>
      <c r="K8" s="104">
        <f t="shared" si="4"/>
        <v>29298.813734711239</v>
      </c>
      <c r="L8" s="104">
        <f t="shared" si="4"/>
        <v>29445.307803384792</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36042.86</v>
      </c>
      <c r="I9" s="104">
        <f t="shared" si="5"/>
        <v>36223.0743</v>
      </c>
      <c r="J9" s="104">
        <f t="shared" si="5"/>
        <v>36404.189671499997</v>
      </c>
      <c r="K9" s="104">
        <f t="shared" si="5"/>
        <v>36586.210619857491</v>
      </c>
      <c r="L9" s="104">
        <f t="shared" si="5"/>
        <v>36769.141672956772</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127714.85999999999</v>
      </c>
      <c r="I10" s="104">
        <f t="shared" si="6"/>
        <v>144317.79179999998</v>
      </c>
      <c r="J10" s="104">
        <f t="shared" si="6"/>
        <v>161635.92681599999</v>
      </c>
      <c r="K10" s="104">
        <f t="shared" si="6"/>
        <v>185881.31583839998</v>
      </c>
      <c r="L10" s="104">
        <f t="shared" si="6"/>
        <v>211904.70005577602</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103</v>
      </c>
      <c r="C11" s="107">
        <f>'Statement Y'!H5</f>
        <v>365817</v>
      </c>
      <c r="D11" s="107">
        <f>'Statement Y'!I5</f>
        <v>394328</v>
      </c>
      <c r="E11" s="107">
        <f>'Statement Y'!J5</f>
        <v>383285</v>
      </c>
      <c r="F11" s="107">
        <f>'Statement Y'!K5</f>
        <v>391035</v>
      </c>
      <c r="G11" s="108">
        <f>'Statement Y'!L5</f>
        <v>416161</v>
      </c>
      <c r="H11" s="109">
        <f>SUM(H6:H10)</f>
        <v>455232.17</v>
      </c>
      <c r="I11" s="109">
        <f t="shared" ref="I11:L11" si="7">SUM(I6:I10)</f>
        <v>483735.04443000001</v>
      </c>
      <c r="J11" s="109">
        <f t="shared" si="7"/>
        <v>515358.53463470994</v>
      </c>
      <c r="K11" s="109">
        <f t="shared" si="7"/>
        <v>552198.3621624019</v>
      </c>
      <c r="L11" s="109">
        <f t="shared" si="7"/>
        <v>594236.0514889753</v>
      </c>
      <c r="O11" s="90"/>
      <c r="Q11" s="91"/>
      <c r="R11" s="7" t="s">
        <v>103</v>
      </c>
      <c r="S11" s="107">
        <f>'Statement Q'!C5</f>
        <v>85777</v>
      </c>
      <c r="T11" s="107">
        <f>'Statement Q'!D5</f>
        <v>94930</v>
      </c>
      <c r="U11" s="107">
        <f>'Statement Q'!E5</f>
        <v>124300</v>
      </c>
      <c r="V11" s="107">
        <f>'Statement Q'!F5</f>
        <v>95359</v>
      </c>
      <c r="W11" s="107">
        <f>'Statement Q'!G5</f>
        <v>94036</v>
      </c>
      <c r="X11" s="107">
        <f>'Statement Q'!H5</f>
        <v>102466</v>
      </c>
      <c r="Y11" s="107">
        <f>'Statement Q'!I5</f>
        <v>143756</v>
      </c>
      <c r="Z11" s="108">
        <f>'Statement Q'!J5</f>
        <v>111184</v>
      </c>
      <c r="AA11" s="109" t="e">
        <f>AA6+#REF!</f>
        <v>#REF!</v>
      </c>
      <c r="AB11" s="109" t="e">
        <f>AB6+#REF!</f>
        <v>#REF!</v>
      </c>
      <c r="AC11" s="109" t="e">
        <f>AC6+#REF!</f>
        <v>#REF!</v>
      </c>
      <c r="AE11" s="109" t="e">
        <f>AE6+#REF!</f>
        <v>#REF!</v>
      </c>
    </row>
    <row r="12" spans="1:31" x14ac:dyDescent="0.2">
      <c r="O12" s="90"/>
      <c r="Q12" s="91"/>
    </row>
    <row r="13" spans="1:31" x14ac:dyDescent="0.2">
      <c r="C13" s="209" t="s">
        <v>115</v>
      </c>
      <c r="D13" s="209"/>
      <c r="E13" s="209"/>
      <c r="F13" s="209"/>
      <c r="G13" s="209"/>
      <c r="H13" s="209"/>
      <c r="I13" s="209"/>
      <c r="J13" s="209"/>
      <c r="K13" s="209"/>
      <c r="L13" s="209"/>
      <c r="O13" s="90"/>
      <c r="Q13" s="91"/>
      <c r="S13" s="216" t="s">
        <v>115</v>
      </c>
      <c r="T13" s="217"/>
      <c r="U13" s="217"/>
      <c r="V13" s="217"/>
      <c r="W13" s="217"/>
      <c r="X13" s="217"/>
      <c r="Y13" s="217"/>
      <c r="Z13" s="217"/>
      <c r="AA13" s="217"/>
      <c r="AB13" s="217"/>
      <c r="AC13" s="217"/>
    </row>
    <row r="14" spans="1:31" x14ac:dyDescent="0.2">
      <c r="B14" s="7" t="s">
        <v>116</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116</v>
      </c>
      <c r="S14" s="62" t="str">
        <f t="shared" ref="S14:AC14" si="9">S5</f>
        <v>Q3 2024</v>
      </c>
      <c r="T14" s="62" t="str">
        <f t="shared" si="9"/>
        <v>Q4 2024</v>
      </c>
      <c r="U14" s="62" t="str">
        <f t="shared" si="9"/>
        <v>Q1 2025</v>
      </c>
      <c r="V14" s="62" t="str">
        <f t="shared" si="9"/>
        <v>Q2 2025</v>
      </c>
      <c r="W14" s="62" t="str">
        <f t="shared" si="9"/>
        <v>Q3 2025</v>
      </c>
      <c r="X14" s="62" t="str">
        <f t="shared" si="9"/>
        <v>Q4 2025</v>
      </c>
      <c r="Y14" s="62" t="str">
        <f t="shared" si="9"/>
        <v>Q1 2026</v>
      </c>
      <c r="Z14" s="62" t="str">
        <f t="shared" si="9"/>
        <v>Q2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0.06</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0.2</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0.03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0.01</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0.17</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103</v>
      </c>
      <c r="C20" s="81"/>
      <c r="D20" s="179">
        <f t="shared" si="10"/>
        <v>7.7937876041846099E-2</v>
      </c>
      <c r="E20" s="179">
        <f t="shared" si="10"/>
        <v>-2.800460530319937E-2</v>
      </c>
      <c r="F20" s="179">
        <f t="shared" si="10"/>
        <v>2.021994077514111E-2</v>
      </c>
      <c r="G20" s="180">
        <f t="shared" si="10"/>
        <v>6.425511782832749E-2</v>
      </c>
      <c r="H20" s="179">
        <f t="shared" si="10"/>
        <v>9.3884746528386742E-2</v>
      </c>
      <c r="I20" s="179">
        <f t="shared" ref="I20" si="12">I11/H11-1</f>
        <v>6.2611731569849338E-2</v>
      </c>
      <c r="J20" s="179">
        <f t="shared" ref="J20" si="13">J11/I11-1</f>
        <v>6.5373577062155741E-2</v>
      </c>
      <c r="K20" s="179">
        <f t="shared" ref="K20" si="14">K11/J11-1</f>
        <v>7.1483879768876379E-2</v>
      </c>
      <c r="L20" s="179">
        <f t="shared" ref="L20" si="15">L11/K11-1</f>
        <v>7.6127877601726901E-2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121</v>
      </c>
    </row>
    <row r="2" spans="1:28" x14ac:dyDescent="0.2">
      <c r="A2" s="100"/>
      <c r="C2" s="210" t="s">
        <v>104</v>
      </c>
      <c r="D2" s="210"/>
      <c r="E2" s="210"/>
      <c r="F2" s="210"/>
      <c r="G2" s="211"/>
      <c r="H2" s="212" t="s">
        <v>105</v>
      </c>
      <c r="I2" s="210"/>
      <c r="J2" s="210"/>
      <c r="K2" s="210"/>
      <c r="L2" s="210"/>
      <c r="P2" s="210" t="s">
        <v>104</v>
      </c>
      <c r="Q2" s="210"/>
      <c r="R2" s="210"/>
      <c r="S2" s="210"/>
      <c r="T2" s="210"/>
      <c r="U2" s="210"/>
      <c r="V2" s="210"/>
      <c r="W2" s="210"/>
      <c r="X2" s="210" t="s">
        <v>105</v>
      </c>
      <c r="Y2" s="210"/>
      <c r="Z2" s="210"/>
      <c r="AB2" s="117" t="s">
        <v>74</v>
      </c>
    </row>
    <row r="3" spans="1:28" ht="10" customHeight="1" x14ac:dyDescent="0.2"/>
    <row r="4" spans="1:28" ht="16" customHeight="1" x14ac:dyDescent="0.2">
      <c r="A4" s="105"/>
      <c r="B4" s="92"/>
      <c r="C4" s="209" t="s">
        <v>113</v>
      </c>
      <c r="D4" s="209"/>
      <c r="E4" s="209"/>
      <c r="F4" s="209"/>
      <c r="G4" s="209"/>
      <c r="H4" s="209"/>
      <c r="I4" s="209"/>
      <c r="J4" s="209"/>
      <c r="K4" s="209"/>
      <c r="L4" s="209"/>
      <c r="P4" s="217" t="s">
        <v>113</v>
      </c>
      <c r="Q4" s="217"/>
      <c r="R4" s="217"/>
      <c r="S4" s="217"/>
      <c r="T4" s="217"/>
      <c r="U4" s="217"/>
      <c r="V4" s="217"/>
      <c r="W4" s="217"/>
      <c r="X4" s="217"/>
      <c r="Y4" s="217"/>
      <c r="Z4" s="217"/>
      <c r="AB4" s="119" t="s">
        <v>120</v>
      </c>
    </row>
    <row r="5" spans="1:28"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114</v>
      </c>
      <c r="P5" s="62" t="str">
        <f>'Statement Q'!C3</f>
        <v>Q3 2024</v>
      </c>
      <c r="Q5" s="62" t="str">
        <f>'Statement Q'!D3</f>
        <v>Q4 2024</v>
      </c>
      <c r="R5" s="62" t="str">
        <f>'Statement Q'!E3</f>
        <v>Q1 2025</v>
      </c>
      <c r="S5" s="62" t="str">
        <f>'Statement Q'!F3</f>
        <v>Q2 2025</v>
      </c>
      <c r="T5" s="62" t="str">
        <f>'Statement Q'!G3</f>
        <v>Q3 2025</v>
      </c>
      <c r="U5" s="62" t="str">
        <f>'Statement Q'!H3</f>
        <v>Q4 2025</v>
      </c>
      <c r="V5" s="62" t="str">
        <f>'Statement Q'!I3</f>
        <v>Q1 2026</v>
      </c>
      <c r="W5" s="62" t="str">
        <f>'Statement Q'!J3</f>
        <v>Q2 2026</v>
      </c>
      <c r="X5" s="62" t="s">
        <v>117</v>
      </c>
      <c r="Y5" s="62" t="s">
        <v>118</v>
      </c>
      <c r="Z5" s="62" t="s">
        <v>119</v>
      </c>
      <c r="AB5" s="61" t="s">
        <v>117</v>
      </c>
    </row>
    <row r="6" spans="1:28" x14ac:dyDescent="0.2">
      <c r="B6" s="7" t="s">
        <v>6</v>
      </c>
      <c r="C6" s="107">
        <f>'Statement Y'!H5</f>
        <v>365817</v>
      </c>
      <c r="D6" s="107">
        <f>'Statement Y'!I5</f>
        <v>394328</v>
      </c>
      <c r="E6" s="107">
        <f>'Statement Y'!J5</f>
        <v>383285</v>
      </c>
      <c r="F6" s="107">
        <f>'Statement Y'!K5</f>
        <v>391035</v>
      </c>
      <c r="G6" s="108">
        <f>'Statement Y'!L5</f>
        <v>416161</v>
      </c>
      <c r="H6" s="107">
        <f>Revenue!H11</f>
        <v>455232.17</v>
      </c>
      <c r="I6" s="107">
        <f>Revenue!I11</f>
        <v>483735.04443000001</v>
      </c>
      <c r="J6" s="107">
        <f>Revenue!J11</f>
        <v>515358.53463470994</v>
      </c>
      <c r="K6" s="107">
        <f>Revenue!K11</f>
        <v>552198.3621624019</v>
      </c>
      <c r="L6" s="107">
        <f>Revenue!L11</f>
        <v>594236.0514889753</v>
      </c>
      <c r="N6" s="91"/>
      <c r="O6" s="7" t="s">
        <v>6</v>
      </c>
      <c r="P6" s="107">
        <f>'Statement Q'!C5</f>
        <v>85777</v>
      </c>
      <c r="Q6" s="107">
        <f>'Statement Q'!D5</f>
        <v>94930</v>
      </c>
      <c r="R6" s="107">
        <f>'Statement Q'!E5</f>
        <v>124300</v>
      </c>
      <c r="S6" s="107">
        <f>'Statement Q'!F5</f>
        <v>95359</v>
      </c>
      <c r="T6" s="107">
        <f>'Statement Q'!G5</f>
        <v>94036</v>
      </c>
      <c r="U6" s="107">
        <f>'Statement Q'!H5</f>
        <v>102466</v>
      </c>
      <c r="V6" s="107">
        <f>'Statement Q'!I5</f>
        <v>143756</v>
      </c>
      <c r="W6" s="108">
        <f>'Statement Q'!J5</f>
        <v>111184</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09" t="s">
        <v>122</v>
      </c>
      <c r="D9" s="209"/>
      <c r="E9" s="209"/>
      <c r="F9" s="209"/>
      <c r="G9" s="209"/>
      <c r="H9" s="209"/>
      <c r="I9" s="209"/>
      <c r="J9" s="209"/>
      <c r="K9" s="209"/>
      <c r="L9" s="209"/>
      <c r="N9" s="91"/>
      <c r="P9" s="217" t="s">
        <v>127</v>
      </c>
      <c r="Q9" s="217"/>
      <c r="R9" s="217"/>
      <c r="S9" s="217"/>
      <c r="T9" s="217"/>
      <c r="U9" s="217"/>
      <c r="V9" s="217"/>
      <c r="W9" s="217"/>
      <c r="X9" s="217"/>
      <c r="Y9" s="217"/>
      <c r="Z9" s="217"/>
      <c r="AB9" s="119" t="str">
        <f>AB4</f>
        <v>Q1-Q2-Q3</v>
      </c>
    </row>
    <row r="10" spans="1:28" x14ac:dyDescent="0.2">
      <c r="B10" s="7" t="s">
        <v>295</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124</v>
      </c>
      <c r="P10" s="62" t="str">
        <f t="shared" ref="P10:Z10" si="2">P5</f>
        <v>Q3 2024</v>
      </c>
      <c r="Q10" s="62" t="str">
        <f t="shared" si="2"/>
        <v>Q4 2024</v>
      </c>
      <c r="R10" s="62" t="str">
        <f t="shared" si="2"/>
        <v>Q1 2025</v>
      </c>
      <c r="S10" s="62" t="str">
        <f t="shared" si="2"/>
        <v>Q2 2025</v>
      </c>
      <c r="T10" s="62" t="str">
        <f t="shared" si="2"/>
        <v>Q3 2025</v>
      </c>
      <c r="U10" s="62" t="str">
        <f t="shared" si="2"/>
        <v>Q4 2025</v>
      </c>
      <c r="V10" s="62" t="str">
        <f t="shared" si="2"/>
        <v>Q1 2026</v>
      </c>
      <c r="W10" s="62" t="str">
        <f t="shared" si="2"/>
        <v>Q2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240362.58576000002</v>
      </c>
      <c r="I11" s="21">
        <f t="shared" si="3"/>
        <v>253960.89832575002</v>
      </c>
      <c r="J11" s="21">
        <f t="shared" si="3"/>
        <v>268501.79654468386</v>
      </c>
      <c r="K11" s="21">
        <f t="shared" si="3"/>
        <v>287143.14832444902</v>
      </c>
      <c r="L11" s="21">
        <f t="shared" si="3"/>
        <v>306031.56651682226</v>
      </c>
      <c r="N11" s="91"/>
      <c r="O11" s="7" t="s">
        <v>7</v>
      </c>
      <c r="P11" s="120">
        <f>'Statement Q'!C6</f>
        <v>46099</v>
      </c>
      <c r="Q11" s="120">
        <f>'Statement Q'!D6</f>
        <v>51051</v>
      </c>
      <c r="R11" s="120">
        <f>'Statement Q'!E6</f>
        <v>66025</v>
      </c>
      <c r="S11" s="120">
        <f>'Statement Q'!F6</f>
        <v>50492</v>
      </c>
      <c r="T11" s="120">
        <f>'Statement Q'!G6</f>
        <v>50318</v>
      </c>
      <c r="U11" s="120">
        <f>'Statement Q'!H6</f>
        <v>54125</v>
      </c>
      <c r="V11" s="120">
        <f>'Statement Q'!I6</f>
        <v>74525</v>
      </c>
      <c r="W11" s="121">
        <f>'Statement Q'!J6</f>
        <v>56403</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40060.430959999998</v>
      </c>
      <c r="I12" s="20">
        <f t="shared" si="3"/>
        <v>44503.624087559998</v>
      </c>
      <c r="J12" s="20">
        <f t="shared" si="3"/>
        <v>48959.060790297444</v>
      </c>
      <c r="K12" s="20">
        <f t="shared" si="3"/>
        <v>55219.83621624019</v>
      </c>
      <c r="L12" s="20">
        <f t="shared" si="3"/>
        <v>59423.605148897535</v>
      </c>
      <c r="N12" s="91"/>
      <c r="O12" s="1" t="s">
        <v>9</v>
      </c>
      <c r="P12" s="110">
        <f>'Statement Q'!C8</f>
        <v>8006</v>
      </c>
      <c r="Q12" s="110">
        <f>'Statement Q'!D8</f>
        <v>7765</v>
      </c>
      <c r="R12" s="110">
        <f>'Statement Q'!E8</f>
        <v>8268</v>
      </c>
      <c r="S12" s="110">
        <f>'Statement Q'!F8</f>
        <v>8550</v>
      </c>
      <c r="T12" s="110">
        <f>'Statement Q'!G8</f>
        <v>8866</v>
      </c>
      <c r="U12" s="110">
        <f>'Statement Q'!H8</f>
        <v>8866</v>
      </c>
      <c r="V12" s="110">
        <f>'Statement Q'!I8</f>
        <v>10887</v>
      </c>
      <c r="W12" s="114">
        <f>'Statement Q'!J8</f>
        <v>11419</v>
      </c>
      <c r="X12" s="34" t="e">
        <f>X20*X$6</f>
        <v>#REF!</v>
      </c>
      <c r="Y12" s="20"/>
      <c r="Z12" s="20"/>
      <c r="AB12" s="20" t="e">
        <f t="shared" ref="AB12:AB14" si="4">SUM(U12:X12)</f>
        <v>#REF!</v>
      </c>
    </row>
    <row r="13" spans="1:28" x14ac:dyDescent="0.2">
      <c r="B13" s="1" t="s">
        <v>123</v>
      </c>
      <c r="C13" s="110">
        <f>'Statement Y'!H9</f>
        <v>21973</v>
      </c>
      <c r="D13" s="110">
        <f>'Statement Y'!I9</f>
        <v>25094</v>
      </c>
      <c r="E13" s="110">
        <f>'Statement Y'!J9</f>
        <v>24932</v>
      </c>
      <c r="F13" s="110">
        <f>'Statement Y'!K9</f>
        <v>26097</v>
      </c>
      <c r="G13" s="114">
        <f>'Statement Y'!L9</f>
        <v>27601</v>
      </c>
      <c r="H13" s="20">
        <f t="shared" si="3"/>
        <v>30955.787560000001</v>
      </c>
      <c r="I13" s="20">
        <f t="shared" si="3"/>
        <v>32410.247976810002</v>
      </c>
      <c r="J13" s="20">
        <f t="shared" si="3"/>
        <v>35559.738889794986</v>
      </c>
      <c r="K13" s="20">
        <f t="shared" si="3"/>
        <v>38653.885351368139</v>
      </c>
      <c r="L13" s="20">
        <f t="shared" si="3"/>
        <v>40408.051501250324</v>
      </c>
      <c r="M13" s="115"/>
      <c r="N13" s="115"/>
      <c r="O13" s="1" t="s">
        <v>123</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71016.218519999995</v>
      </c>
      <c r="I14" s="21">
        <f>SUM(I12:I13)</f>
        <v>76913.872064369993</v>
      </c>
      <c r="J14" s="21">
        <f>SUM(J12:J13)</f>
        <v>84518.79968009243</v>
      </c>
      <c r="K14" s="21">
        <f>SUM(K12:K13)</f>
        <v>93873.721567608329</v>
      </c>
      <c r="L14" s="21">
        <f>SUM(L12:L13)</f>
        <v>99831.656650147866</v>
      </c>
      <c r="M14" s="115"/>
      <c r="N14" s="115"/>
      <c r="O14" s="7" t="s">
        <v>11</v>
      </c>
      <c r="P14" s="120">
        <f>'Statement Q'!C10</f>
        <v>14326</v>
      </c>
      <c r="Q14" s="120">
        <f>'Statement Q'!D10</f>
        <v>14288</v>
      </c>
      <c r="R14" s="120">
        <f>'Statement Q'!E10</f>
        <v>15443</v>
      </c>
      <c r="S14" s="120">
        <f>'Statement Q'!F10</f>
        <v>15278</v>
      </c>
      <c r="T14" s="120">
        <f>'Statement Q'!G10</f>
        <v>15516</v>
      </c>
      <c r="U14" s="120">
        <f>'Statement Q'!H10</f>
        <v>15914</v>
      </c>
      <c r="V14" s="120">
        <f>'Statement Q'!I10</f>
        <v>18379</v>
      </c>
      <c r="W14" s="121">
        <f>'Statement Q'!J10</f>
        <v>18896</v>
      </c>
      <c r="X14" s="21" t="e">
        <f>SUM(X12:X13)</f>
        <v>#REF!</v>
      </c>
      <c r="Y14" s="21"/>
      <c r="Z14" s="21"/>
      <c r="AB14" s="20" t="e">
        <f t="shared" si="4"/>
        <v>#REF!</v>
      </c>
    </row>
    <row r="17" spans="2:26" x14ac:dyDescent="0.2">
      <c r="C17" s="209" t="s">
        <v>125</v>
      </c>
      <c r="D17" s="209"/>
      <c r="E17" s="209"/>
      <c r="F17" s="209"/>
      <c r="G17" s="209"/>
      <c r="H17" s="209"/>
      <c r="I17" s="209"/>
      <c r="J17" s="209"/>
      <c r="K17" s="209"/>
      <c r="L17" s="209"/>
      <c r="P17" s="217" t="s">
        <v>125</v>
      </c>
      <c r="Q17" s="217"/>
      <c r="R17" s="217"/>
      <c r="S17" s="217"/>
      <c r="T17" s="217"/>
      <c r="U17" s="217"/>
      <c r="V17" s="217"/>
      <c r="W17" s="217"/>
      <c r="X17" s="217"/>
      <c r="Y17" s="217"/>
      <c r="Z17" s="217"/>
    </row>
    <row r="18" spans="2:26" x14ac:dyDescent="0.2">
      <c r="B18" s="7" t="s">
        <v>106</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106</v>
      </c>
      <c r="P18" s="62" t="str">
        <f t="shared" ref="P18:Z18" si="6">P5</f>
        <v>Q3 2024</v>
      </c>
      <c r="Q18" s="62" t="str">
        <f t="shared" si="6"/>
        <v>Q4 2024</v>
      </c>
      <c r="R18" s="62" t="str">
        <f t="shared" si="6"/>
        <v>Q1 2025</v>
      </c>
      <c r="S18" s="62" t="str">
        <f t="shared" si="6"/>
        <v>Q2 2025</v>
      </c>
      <c r="T18" s="62" t="str">
        <f t="shared" si="6"/>
        <v>Q3 2025</v>
      </c>
      <c r="U18" s="62" t="str">
        <f t="shared" si="6"/>
        <v>Q4 2025</v>
      </c>
      <c r="V18" s="62" t="str">
        <f t="shared" si="6"/>
        <v>Q1 2026</v>
      </c>
      <c r="W18" s="62" t="str">
        <f t="shared" si="6"/>
        <v>Q2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0.53742844818541102</v>
      </c>
      <c r="Q19" s="111">
        <f t="shared" si="8"/>
        <v>0.53777520278099655</v>
      </c>
      <c r="R19" s="111">
        <f t="shared" si="8"/>
        <v>0.53117457763475462</v>
      </c>
      <c r="S19" s="111">
        <f t="shared" si="8"/>
        <v>0.52949380761123754</v>
      </c>
      <c r="T19" s="111">
        <f t="shared" si="8"/>
        <v>0.53509294312816369</v>
      </c>
      <c r="U19" s="111">
        <f t="shared" si="8"/>
        <v>0.52822399625241545</v>
      </c>
      <c r="V19" s="111">
        <f t="shared" si="8"/>
        <v>0.51841314449483844</v>
      </c>
      <c r="W19" s="112">
        <f t="shared" si="8"/>
        <v>0.5072942149949633</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9.3335043193396833E-2</v>
      </c>
      <c r="Q20" s="111">
        <f t="shared" si="8"/>
        <v>8.1797113662698831E-2</v>
      </c>
      <c r="R20" s="111">
        <f t="shared" si="8"/>
        <v>6.6516492357200321E-2</v>
      </c>
      <c r="S20" s="111">
        <f t="shared" si="8"/>
        <v>8.9661175138162102E-2</v>
      </c>
      <c r="T20" s="111">
        <f t="shared" si="8"/>
        <v>9.4283040537666424E-2</v>
      </c>
      <c r="U20" s="111">
        <f t="shared" si="8"/>
        <v>8.6526262369956863E-2</v>
      </c>
      <c r="V20" s="111">
        <f t="shared" si="8"/>
        <v>7.5732491165586127E-2</v>
      </c>
      <c r="W20" s="112">
        <f t="shared" si="8"/>
        <v>0.10270362642106778</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299</v>
      </c>
    </row>
    <row r="2" spans="1:28" s="99" customFormat="1" ht="18" customHeight="1" x14ac:dyDescent="0.2">
      <c r="A2" s="100"/>
      <c r="B2" s="101"/>
    </row>
    <row r="3" spans="1:28" x14ac:dyDescent="0.2">
      <c r="A3" s="100"/>
      <c r="C3" s="210" t="s">
        <v>104</v>
      </c>
      <c r="D3" s="210"/>
      <c r="E3" s="210"/>
      <c r="F3" s="210"/>
      <c r="G3" s="211"/>
      <c r="H3" s="212" t="s">
        <v>105</v>
      </c>
      <c r="I3" s="210"/>
      <c r="J3" s="210"/>
      <c r="K3" s="210"/>
      <c r="L3" s="210"/>
      <c r="P3" s="208"/>
      <c r="Q3" s="208"/>
      <c r="R3" s="208"/>
      <c r="S3" s="208"/>
      <c r="T3" s="208"/>
      <c r="U3" s="208"/>
      <c r="V3" s="208"/>
      <c r="W3" s="208"/>
      <c r="X3" s="208"/>
      <c r="Y3" s="208"/>
      <c r="Z3" s="208"/>
      <c r="AB3" s="122"/>
    </row>
    <row r="4" spans="1:28" ht="10" customHeight="1" x14ac:dyDescent="0.2"/>
    <row r="5" spans="1:28" ht="16" customHeight="1" x14ac:dyDescent="0.2">
      <c r="A5" s="105"/>
      <c r="B5" s="92"/>
      <c r="C5" s="209" t="s">
        <v>113</v>
      </c>
      <c r="D5" s="209"/>
      <c r="E5" s="209"/>
      <c r="F5" s="209"/>
      <c r="G5" s="209"/>
      <c r="H5" s="209"/>
      <c r="I5" s="209"/>
      <c r="J5" s="209"/>
      <c r="K5" s="209"/>
      <c r="L5" s="209"/>
      <c r="P5" s="208"/>
      <c r="Q5" s="208"/>
      <c r="R5" s="208"/>
      <c r="S5" s="208"/>
      <c r="T5" s="208"/>
      <c r="U5" s="208"/>
      <c r="V5" s="208"/>
      <c r="W5" s="208"/>
      <c r="X5" s="208"/>
      <c r="Y5" s="208"/>
      <c r="Z5" s="208"/>
      <c r="AB5" s="123"/>
    </row>
    <row r="6" spans="1:28" x14ac:dyDescent="0.2">
      <c r="B6" s="7" t="s">
        <v>114</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455232.17</v>
      </c>
      <c r="I7" s="107">
        <f>Revenue!I11</f>
        <v>483735.04443000001</v>
      </c>
      <c r="J7" s="107">
        <f>Revenue!J11</f>
        <v>515358.53463470994</v>
      </c>
      <c r="K7" s="107">
        <f>Revenue!K11</f>
        <v>552198.3621624019</v>
      </c>
      <c r="L7" s="107">
        <f>Revenue!L11</f>
        <v>594236.0514889753</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240362.58576000002</v>
      </c>
      <c r="I8" s="132">
        <f>'COGS &amp; OpEx'!I11</f>
        <v>253960.89832575002</v>
      </c>
      <c r="J8" s="132">
        <f>'COGS &amp; OpEx'!J11</f>
        <v>268501.79654468386</v>
      </c>
      <c r="K8" s="132">
        <f>'COGS &amp; OpEx'!K11</f>
        <v>287143.14832444902</v>
      </c>
      <c r="L8" s="132">
        <f>'COGS &amp; OpEx'!L11</f>
        <v>306031.56651682226</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9" t="s">
        <v>133</v>
      </c>
      <c r="D11" s="209"/>
      <c r="E11" s="209"/>
      <c r="F11" s="209"/>
      <c r="G11" s="209"/>
      <c r="H11" s="209"/>
      <c r="I11" s="209"/>
      <c r="J11" s="209"/>
      <c r="K11" s="209"/>
      <c r="L11" s="209"/>
      <c r="N11" s="91"/>
      <c r="P11" s="208"/>
      <c r="Q11" s="208"/>
      <c r="R11" s="208"/>
      <c r="S11" s="208"/>
      <c r="T11" s="208"/>
      <c r="U11" s="208"/>
      <c r="V11" s="208"/>
      <c r="W11" s="208"/>
      <c r="X11" s="208"/>
      <c r="Y11" s="208"/>
      <c r="Z11" s="208"/>
      <c r="AB11" s="123"/>
    </row>
    <row r="12" spans="1:28" x14ac:dyDescent="0.2">
      <c r="B12" s="7" t="s">
        <v>132</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134</v>
      </c>
      <c r="C13" s="127">
        <f>Statements!H23</f>
        <v>26278</v>
      </c>
      <c r="D13" s="127">
        <f>Statements!I23</f>
        <v>28184</v>
      </c>
      <c r="E13" s="127">
        <f>Statements!J23</f>
        <v>29508</v>
      </c>
      <c r="F13" s="127">
        <f>Statements!K23</f>
        <v>33410</v>
      </c>
      <c r="G13" s="128">
        <f>Statements!L23</f>
        <v>39777</v>
      </c>
      <c r="H13" s="34">
        <f>H20*H7/365</f>
        <v>46146.822712328765</v>
      </c>
      <c r="I13" s="34">
        <f>I20*I7/365</f>
        <v>53012.059663561638</v>
      </c>
      <c r="J13" s="34">
        <f>J20*J7/365</f>
        <v>60713.471203541172</v>
      </c>
      <c r="K13" s="34">
        <f>K20*K7/365</f>
        <v>68079.250129611202</v>
      </c>
      <c r="L13" s="34">
        <f>L20*L7/365</f>
        <v>73261.978950695586</v>
      </c>
      <c r="N13" s="91"/>
      <c r="O13" s="7"/>
      <c r="P13" s="125"/>
      <c r="Q13" s="125"/>
      <c r="R13" s="125"/>
      <c r="S13" s="125"/>
      <c r="T13" s="125"/>
      <c r="U13" s="125"/>
      <c r="V13" s="125"/>
      <c r="W13" s="125"/>
      <c r="X13" s="21"/>
      <c r="Y13" s="21"/>
      <c r="Z13" s="21"/>
      <c r="AB13" s="20"/>
    </row>
    <row r="14" spans="1:28" x14ac:dyDescent="0.2">
      <c r="B14" s="8" t="s">
        <v>241</v>
      </c>
      <c r="C14" s="127">
        <f>Statements!H25</f>
        <v>6580</v>
      </c>
      <c r="D14" s="127">
        <f>Statements!I25</f>
        <v>4946</v>
      </c>
      <c r="E14" s="127">
        <f>Statements!J25</f>
        <v>6331</v>
      </c>
      <c r="F14" s="127">
        <f>Statements!K25</f>
        <v>7286</v>
      </c>
      <c r="G14" s="128">
        <f>Statements!L25</f>
        <v>5718</v>
      </c>
      <c r="H14" s="34">
        <f>H21*H8/365</f>
        <v>6585.2763221917812</v>
      </c>
      <c r="I14" s="34">
        <f t="shared" ref="I14:L14" si="1">I21*I8/365</f>
        <v>7653.6161139267124</v>
      </c>
      <c r="J14" s="34">
        <f t="shared" si="1"/>
        <v>8091.8349643603351</v>
      </c>
      <c r="K14" s="34">
        <f t="shared" si="1"/>
        <v>9440.3226846394191</v>
      </c>
      <c r="L14" s="34">
        <f t="shared" si="1"/>
        <v>10061.311775895527</v>
      </c>
      <c r="N14" s="91"/>
      <c r="O14" s="7"/>
      <c r="P14" s="125"/>
      <c r="Q14" s="125"/>
      <c r="R14" s="125"/>
      <c r="S14" s="125"/>
      <c r="T14" s="125"/>
      <c r="U14" s="125"/>
      <c r="V14" s="125"/>
      <c r="W14" s="125"/>
      <c r="X14" s="21"/>
      <c r="Y14" s="21"/>
      <c r="Z14" s="21"/>
      <c r="AB14" s="20"/>
    </row>
    <row r="15" spans="1:28" x14ac:dyDescent="0.2">
      <c r="B15" s="1" t="s">
        <v>135</v>
      </c>
      <c r="C15" s="127">
        <f>Statements!H33</f>
        <v>54763</v>
      </c>
      <c r="D15" s="127">
        <f>Statements!I33</f>
        <v>64115</v>
      </c>
      <c r="E15" s="127">
        <f>Statements!J33</f>
        <v>62611</v>
      </c>
      <c r="F15" s="127">
        <f>Statements!K33</f>
        <v>68960</v>
      </c>
      <c r="G15" s="128">
        <f>Statements!L33</f>
        <v>69860</v>
      </c>
      <c r="H15" s="20">
        <f>H22*H8/365</f>
        <v>78364.788234082196</v>
      </c>
      <c r="I15" s="20">
        <f>I22*I8/365</f>
        <v>86972.910385530835</v>
      </c>
      <c r="J15" s="20">
        <f>J22*J8/365</f>
        <v>95630.776851531235</v>
      </c>
      <c r="K15" s="20">
        <f>K22*K8/365</f>
        <v>105416.93664514019</v>
      </c>
      <c r="L15" s="20">
        <f>L22*L8/365</f>
        <v>112351.31483083339</v>
      </c>
      <c r="N15" s="91"/>
      <c r="P15" s="126"/>
      <c r="Q15" s="126"/>
      <c r="R15" s="126"/>
      <c r="S15" s="126"/>
      <c r="T15" s="126"/>
      <c r="U15" s="126"/>
      <c r="V15" s="126"/>
      <c r="W15" s="126"/>
      <c r="X15" s="34"/>
      <c r="Y15" s="20"/>
      <c r="Z15" s="20"/>
      <c r="AB15" s="20"/>
    </row>
    <row r="16" spans="1:28" x14ac:dyDescent="0.2">
      <c r="D16" s="20"/>
    </row>
    <row r="18" spans="2:12" x14ac:dyDescent="0.2">
      <c r="C18" s="209" t="s">
        <v>140</v>
      </c>
      <c r="D18" s="209"/>
      <c r="E18" s="209"/>
      <c r="F18" s="209"/>
      <c r="G18" s="209"/>
      <c r="H18" s="209"/>
      <c r="I18" s="209"/>
      <c r="J18" s="209"/>
      <c r="K18" s="209"/>
      <c r="L18" s="209"/>
    </row>
    <row r="19" spans="2:12" x14ac:dyDescent="0.2">
      <c r="B19" s="7" t="s">
        <v>137</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138</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309</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139</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136</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08"/>
      <c r="C25" s="208"/>
    </row>
    <row r="26" spans="2:12" x14ac:dyDescent="0.2">
      <c r="B26" s="122"/>
      <c r="C26" s="209" t="s">
        <v>300</v>
      </c>
      <c r="D26" s="209"/>
      <c r="E26" s="209"/>
      <c r="F26" s="209"/>
      <c r="G26" s="209"/>
      <c r="H26" s="209"/>
      <c r="I26" s="209"/>
      <c r="J26" s="209"/>
      <c r="K26" s="209"/>
      <c r="L26" s="209"/>
    </row>
    <row r="27" spans="2:12" x14ac:dyDescent="0.2">
      <c r="B27" s="7" t="s">
        <v>132</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301</v>
      </c>
      <c r="C28" s="127">
        <f>'Statement Y'!H60</f>
        <v>-10125</v>
      </c>
      <c r="D28" s="127">
        <f>'Statement Y'!I60</f>
        <v>-1823</v>
      </c>
      <c r="E28" s="127">
        <f>'Statement Y'!J60</f>
        <v>-1688</v>
      </c>
      <c r="F28" s="127">
        <f>'Statement Y'!K60</f>
        <v>-3788</v>
      </c>
      <c r="G28" s="128">
        <f>'Statement Y'!L60</f>
        <v>-6682</v>
      </c>
      <c r="H28" s="34">
        <f>-(H13-G13)</f>
        <v>-6369.8227123287652</v>
      </c>
      <c r="I28" s="34">
        <f t="shared" ref="I28:L28" si="6">-(I13-H13)</f>
        <v>-6865.2369512328733</v>
      </c>
      <c r="J28" s="34">
        <f t="shared" si="6"/>
        <v>-7701.4115399795337</v>
      </c>
      <c r="K28" s="34">
        <f t="shared" si="6"/>
        <v>-7365.7789260700301</v>
      </c>
      <c r="L28" s="34">
        <f t="shared" si="6"/>
        <v>-5182.7288210843835</v>
      </c>
    </row>
    <row r="29" spans="2:12" x14ac:dyDescent="0.2">
      <c r="B29" s="1" t="s">
        <v>310</v>
      </c>
      <c r="C29" s="127">
        <f>'Statement Y'!H62</f>
        <v>-2642</v>
      </c>
      <c r="D29" s="127">
        <f>'Statement Y'!I62</f>
        <v>1484</v>
      </c>
      <c r="E29" s="127">
        <f>'Statement Y'!J62</f>
        <v>-1618</v>
      </c>
      <c r="F29" s="127">
        <f>'Statement Y'!K62</f>
        <v>-1046</v>
      </c>
      <c r="G29" s="128">
        <f>'Statement Y'!L62</f>
        <v>1400</v>
      </c>
      <c r="H29" s="34">
        <f>-(H14-G14)</f>
        <v>-867.27632219178122</v>
      </c>
      <c r="I29" s="34">
        <f t="shared" ref="I29:L29" si="7">-(I14-H14)</f>
        <v>-1068.3397917349312</v>
      </c>
      <c r="J29" s="34">
        <f t="shared" si="7"/>
        <v>-438.21885043362272</v>
      </c>
      <c r="K29" s="34">
        <f t="shared" si="7"/>
        <v>-1348.487720279084</v>
      </c>
      <c r="L29" s="34">
        <f t="shared" si="7"/>
        <v>-620.98909125610771</v>
      </c>
    </row>
    <row r="30" spans="2:12" x14ac:dyDescent="0.2">
      <c r="B30" s="1" t="s">
        <v>302</v>
      </c>
      <c r="C30" s="127">
        <f>'Statement Y'!H64</f>
        <v>12326</v>
      </c>
      <c r="D30" s="127">
        <f>'Statement Y'!I64</f>
        <v>9448</v>
      </c>
      <c r="E30" s="127">
        <f>'Statement Y'!J64</f>
        <v>-1889</v>
      </c>
      <c r="F30" s="127">
        <f>'Statement Y'!K64</f>
        <v>6020</v>
      </c>
      <c r="G30" s="128">
        <f>'Statement Y'!L64</f>
        <v>902</v>
      </c>
      <c r="H30" s="20">
        <f>H15-G15</f>
        <v>8504.7882340821961</v>
      </c>
      <c r="I30" s="20">
        <f t="shared" ref="I30:L30" si="8">I15-H15</f>
        <v>8608.1221514486388</v>
      </c>
      <c r="J30" s="20">
        <f t="shared" si="8"/>
        <v>8657.8664660003997</v>
      </c>
      <c r="K30" s="20">
        <f t="shared" si="8"/>
        <v>9786.1597936089529</v>
      </c>
      <c r="L30" s="20">
        <f t="shared" si="8"/>
        <v>6934.3781856932037</v>
      </c>
    </row>
    <row r="31" spans="2:12" x14ac:dyDescent="0.2">
      <c r="B31" s="122"/>
      <c r="C31" s="122"/>
    </row>
    <row r="32" spans="2:12" x14ac:dyDescent="0.2">
      <c r="B32" s="122"/>
      <c r="C32" s="122"/>
    </row>
    <row r="33" spans="2:12" x14ac:dyDescent="0.2">
      <c r="B33" s="122"/>
      <c r="C33" s="209" t="s">
        <v>303</v>
      </c>
      <c r="D33" s="209"/>
      <c r="E33" s="209"/>
      <c r="F33" s="209"/>
      <c r="G33" s="209"/>
      <c r="H33" s="209"/>
      <c r="I33" s="209"/>
      <c r="J33" s="209"/>
      <c r="K33" s="209"/>
      <c r="L33" s="209"/>
    </row>
    <row r="34" spans="2:12" x14ac:dyDescent="0.2">
      <c r="B34" s="7" t="s">
        <v>132</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304</v>
      </c>
      <c r="C35" s="127">
        <f>Statements!H55</f>
        <v>-4911</v>
      </c>
      <c r="D35" s="127">
        <f>Statements!I55</f>
        <v>1200</v>
      </c>
      <c r="E35" s="127">
        <f>Statements!J55</f>
        <v>-6577</v>
      </c>
      <c r="F35" s="127">
        <f>Statements!K55</f>
        <v>3651</v>
      </c>
      <c r="G35" s="128">
        <f>Statements!L55</f>
        <v>-25000</v>
      </c>
      <c r="H35" s="34">
        <f>H36+H28+H29+H30</f>
        <v>-7836.9542004383493</v>
      </c>
      <c r="I35" s="34">
        <f t="shared" ref="I35:L35" si="10">I36+I28+I29+I30</f>
        <v>-9000.1554801191669</v>
      </c>
      <c r="J35" s="34">
        <f t="shared" si="10"/>
        <v>-9788.9346171069556</v>
      </c>
      <c r="K35" s="34">
        <f t="shared" si="10"/>
        <v>-9972.0740959881987</v>
      </c>
      <c r="L35" s="34">
        <f t="shared" si="10"/>
        <v>-10754.060756426792</v>
      </c>
    </row>
    <row r="36" spans="2:12" x14ac:dyDescent="0.2">
      <c r="B36" s="1" t="s">
        <v>305</v>
      </c>
      <c r="C36" s="141">
        <f>C35-C28-C29-C30</f>
        <v>-4470</v>
      </c>
      <c r="D36" s="141">
        <f t="shared" ref="D36:G36" si="11">D35-D28-D29-D30</f>
        <v>-7909</v>
      </c>
      <c r="E36" s="141">
        <f t="shared" si="11"/>
        <v>-1382</v>
      </c>
      <c r="F36" s="141">
        <f t="shared" si="11"/>
        <v>2465</v>
      </c>
      <c r="G36" s="142">
        <f t="shared" si="11"/>
        <v>-20620</v>
      </c>
      <c r="H36" s="20">
        <f>H7*H37</f>
        <v>-9104.643399999999</v>
      </c>
      <c r="I36" s="20">
        <f>I7*I37</f>
        <v>-9674.7008886000003</v>
      </c>
      <c r="J36" s="20">
        <f>J7*J37</f>
        <v>-10307.170692694199</v>
      </c>
      <c r="K36" s="20">
        <f>K7*K37</f>
        <v>-11043.967243248038</v>
      </c>
      <c r="L36" s="20">
        <f>L7*L37</f>
        <v>-11884.721029779506</v>
      </c>
    </row>
    <row r="37" spans="2:12" x14ac:dyDescent="0.2">
      <c r="B37" s="181" t="s">
        <v>106</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09" t="s">
        <v>306</v>
      </c>
      <c r="D40" s="209"/>
      <c r="E40" s="209"/>
      <c r="F40" s="209"/>
      <c r="G40" s="209"/>
      <c r="H40" s="209"/>
      <c r="I40" s="209"/>
      <c r="J40" s="209"/>
      <c r="K40" s="209"/>
      <c r="L40" s="209"/>
    </row>
    <row r="41" spans="2:12" x14ac:dyDescent="0.2">
      <c r="B41" s="7" t="s">
        <v>132</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Statements!H51</f>
        <v>11284</v>
      </c>
      <c r="D42" s="127">
        <f>Statements!I51</f>
        <v>11104</v>
      </c>
      <c r="E42" s="127">
        <f>Statements!J51</f>
        <v>11519</v>
      </c>
      <c r="F42" s="127">
        <f>Statements!K51</f>
        <v>11445</v>
      </c>
      <c r="G42" s="128">
        <f>Statements!L51</f>
        <v>11698</v>
      </c>
      <c r="H42" s="34">
        <f>H7*H43</f>
        <v>13201.73293</v>
      </c>
      <c r="I42" s="34">
        <f>I7*I43</f>
        <v>14028.316288470001</v>
      </c>
      <c r="J42" s="34">
        <f>J7*J43</f>
        <v>14945.397504406588</v>
      </c>
      <c r="K42" s="34">
        <f>K7*K43</f>
        <v>16013.752502709656</v>
      </c>
      <c r="L42" s="34">
        <f>L7*L43</f>
        <v>17232.845493180284</v>
      </c>
    </row>
    <row r="43" spans="2:12" x14ac:dyDescent="0.2">
      <c r="B43" s="181" t="s">
        <v>307</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308</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0.96666666666666667</v>
      </c>
      <c r="J44" s="182">
        <f t="shared" si="13"/>
        <v>0.96666666666666667</v>
      </c>
      <c r="K44" s="182">
        <f t="shared" si="13"/>
        <v>0.9666666666666669</v>
      </c>
      <c r="L44" s="182">
        <f t="shared" si="13"/>
        <v>0.96666666666666679</v>
      </c>
    </row>
    <row r="45" spans="2:12" x14ac:dyDescent="0.2">
      <c r="B45" s="1" t="s">
        <v>40</v>
      </c>
      <c r="C45" s="127">
        <f>-Statements!H57</f>
        <v>11085</v>
      </c>
      <c r="D45" s="127">
        <f>-Statements!I57</f>
        <v>10708</v>
      </c>
      <c r="E45" s="127">
        <f>-Statements!J57</f>
        <v>10959</v>
      </c>
      <c r="F45" s="127">
        <f>-Statements!K57</f>
        <v>9447</v>
      </c>
      <c r="G45" s="128">
        <f>-Statements!L57</f>
        <v>12715</v>
      </c>
      <c r="H45" s="34">
        <f>H7*H46</f>
        <v>13656.965099999999</v>
      </c>
      <c r="I45" s="34">
        <f>I7*I46</f>
        <v>14512.0513329</v>
      </c>
      <c r="J45" s="34">
        <f>J7*J46</f>
        <v>15460.756039041298</v>
      </c>
      <c r="K45" s="34">
        <f>K7*K46</f>
        <v>16565.950864872055</v>
      </c>
      <c r="L45" s="34">
        <f>L7*L46</f>
        <v>17827.081544669258</v>
      </c>
    </row>
    <row r="46" spans="2:12" x14ac:dyDescent="0.2">
      <c r="B46" s="181" t="s">
        <v>307</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abSelected="1" topLeftCell="A8" zoomScale="150" workbookViewId="0">
      <selection activeCell="H6" sqref="H6"/>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311</v>
      </c>
    </row>
    <row r="2" spans="1:31" x14ac:dyDescent="0.2">
      <c r="A2" s="100"/>
      <c r="C2" s="210" t="s">
        <v>104</v>
      </c>
      <c r="D2" s="210"/>
      <c r="E2" s="210"/>
      <c r="F2" s="210"/>
      <c r="G2" s="211"/>
      <c r="H2" s="212" t="s">
        <v>105</v>
      </c>
      <c r="I2" s="210"/>
      <c r="J2" s="210"/>
      <c r="K2" s="210"/>
      <c r="L2" s="210"/>
      <c r="S2" s="208"/>
      <c r="T2" s="208"/>
      <c r="U2" s="208"/>
      <c r="V2" s="208"/>
      <c r="W2" s="208"/>
      <c r="X2" s="208"/>
      <c r="Y2" s="208"/>
      <c r="Z2" s="208"/>
      <c r="AA2" s="208"/>
      <c r="AB2" s="208"/>
      <c r="AC2" s="208"/>
      <c r="AE2" s="122"/>
    </row>
    <row r="3" spans="1:31" ht="10" customHeight="1" x14ac:dyDescent="0.2"/>
    <row r="4" spans="1:31" ht="16" customHeight="1" x14ac:dyDescent="0.2">
      <c r="A4" s="105"/>
      <c r="B4" s="92"/>
      <c r="C4" s="209" t="s">
        <v>5</v>
      </c>
      <c r="D4" s="209"/>
      <c r="E4" s="209"/>
      <c r="F4" s="209"/>
      <c r="G4" s="209"/>
      <c r="H4" s="209"/>
      <c r="I4" s="209"/>
      <c r="J4" s="209"/>
      <c r="K4" s="209"/>
      <c r="L4" s="209"/>
      <c r="S4" s="208"/>
      <c r="T4" s="208"/>
      <c r="U4" s="208"/>
      <c r="V4" s="208"/>
      <c r="W4" s="208"/>
      <c r="X4" s="208"/>
      <c r="Y4" s="208"/>
      <c r="Z4" s="208"/>
      <c r="AA4" s="208"/>
      <c r="AB4" s="208"/>
      <c r="AC4" s="208"/>
      <c r="AE4" s="123"/>
    </row>
    <row r="5" spans="1:31" x14ac:dyDescent="0.2">
      <c r="B5" s="7" t="s">
        <v>132</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115" t="s">
        <v>153</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240362.58576000002</v>
      </c>
      <c r="I7" s="132">
        <f>'COGS &amp; OpEx'!I11</f>
        <v>253960.89832575002</v>
      </c>
      <c r="J7" s="132">
        <f>'COGS &amp; OpEx'!J11</f>
        <v>268501.79654468386</v>
      </c>
      <c r="K7" s="132">
        <f>'COGS &amp; OpEx'!K11</f>
        <v>287143.14832444902</v>
      </c>
      <c r="L7" s="132">
        <f>'COGS &amp; OpEx'!L11</f>
        <v>306031.56651682226</v>
      </c>
      <c r="N7" s="115" t="s">
        <v>147</v>
      </c>
      <c r="Q7" s="115"/>
      <c r="S7" s="103"/>
      <c r="T7" s="103"/>
      <c r="U7" s="103"/>
      <c r="V7" s="103"/>
      <c r="W7" s="103"/>
      <c r="X7" s="103"/>
      <c r="Y7" s="103"/>
      <c r="Z7" s="103"/>
      <c r="AA7" s="104"/>
      <c r="AB7" s="104"/>
      <c r="AC7" s="104"/>
      <c r="AE7" s="104"/>
    </row>
    <row r="8" spans="1:31" x14ac:dyDescent="0.2">
      <c r="B8" s="7" t="s">
        <v>107</v>
      </c>
      <c r="C8" s="109">
        <f>C6-C7</f>
        <v>152836</v>
      </c>
      <c r="D8" s="109">
        <f t="shared" ref="D8:L8" si="0">D6-D7</f>
        <v>170782</v>
      </c>
      <c r="E8" s="109">
        <f t="shared" si="0"/>
        <v>169148</v>
      </c>
      <c r="F8" s="109">
        <f t="shared" si="0"/>
        <v>180683</v>
      </c>
      <c r="G8" s="136">
        <f t="shared" si="0"/>
        <v>195201</v>
      </c>
      <c r="H8" s="109">
        <f t="shared" si="0"/>
        <v>214869.58423999997</v>
      </c>
      <c r="I8" s="109">
        <f t="shared" si="0"/>
        <v>229774.14610424999</v>
      </c>
      <c r="J8" s="109">
        <f t="shared" si="0"/>
        <v>246856.73809002608</v>
      </c>
      <c r="K8" s="109">
        <f t="shared" si="0"/>
        <v>265055.21383795288</v>
      </c>
      <c r="L8" s="109">
        <f t="shared" si="0"/>
        <v>288204.48497215303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40060.430959999998</v>
      </c>
      <c r="I9" s="132">
        <f>'COGS &amp; OpEx'!I12</f>
        <v>44503.624087559998</v>
      </c>
      <c r="J9" s="132">
        <f>'COGS &amp; OpEx'!J12</f>
        <v>48959.060790297444</v>
      </c>
      <c r="K9" s="132">
        <f>'COGS &amp; OpEx'!K12</f>
        <v>55219.83621624019</v>
      </c>
      <c r="L9" s="132">
        <f>'COGS &amp; OpEx'!L12</f>
        <v>59423.605148897535</v>
      </c>
      <c r="N9" s="115" t="s">
        <v>147</v>
      </c>
      <c r="Q9" s="115"/>
      <c r="S9" s="103"/>
      <c r="T9" s="103"/>
      <c r="U9" s="103"/>
      <c r="V9" s="103"/>
      <c r="W9" s="103"/>
      <c r="X9" s="103"/>
      <c r="Y9" s="103"/>
      <c r="Z9" s="103"/>
      <c r="AA9" s="104"/>
      <c r="AB9" s="104"/>
      <c r="AC9" s="104"/>
      <c r="AE9" s="104"/>
    </row>
    <row r="10" spans="1:31" x14ac:dyDescent="0.2">
      <c r="B10" s="1" t="s">
        <v>123</v>
      </c>
      <c r="C10" s="103">
        <f>'COGS &amp; OpEx'!C13</f>
        <v>21973</v>
      </c>
      <c r="D10" s="103">
        <f>'COGS &amp; OpEx'!D13</f>
        <v>25094</v>
      </c>
      <c r="E10" s="103">
        <f>'COGS &amp; OpEx'!E13</f>
        <v>24932</v>
      </c>
      <c r="F10" s="103">
        <f>'COGS &amp; OpEx'!F13</f>
        <v>26097</v>
      </c>
      <c r="G10" s="106">
        <f>'COGS &amp; OpEx'!G13</f>
        <v>27601</v>
      </c>
      <c r="H10" s="132">
        <f>'COGS &amp; OpEx'!H13</f>
        <v>30955.787560000001</v>
      </c>
      <c r="I10" s="132">
        <f>'COGS &amp; OpEx'!I13</f>
        <v>32410.247976810002</v>
      </c>
      <c r="J10" s="132">
        <f>'COGS &amp; OpEx'!J13</f>
        <v>35559.738889794986</v>
      </c>
      <c r="K10" s="132">
        <f>'COGS &amp; OpEx'!K13</f>
        <v>38653.885351368139</v>
      </c>
      <c r="L10" s="132">
        <f>'COGS &amp; OpEx'!L13</f>
        <v>40408.051501250324</v>
      </c>
      <c r="N10" s="115" t="s">
        <v>147</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71016.218519999995</v>
      </c>
      <c r="I11" s="132">
        <f>'COGS &amp; OpEx'!I14</f>
        <v>76913.872064369993</v>
      </c>
      <c r="J11" s="132">
        <f>'COGS &amp; OpEx'!J14</f>
        <v>84518.79968009243</v>
      </c>
      <c r="K11" s="132">
        <f>'COGS &amp; OpEx'!K14</f>
        <v>93873.721567608329</v>
      </c>
      <c r="L11" s="132">
        <f>'COGS &amp; OpEx'!L14</f>
        <v>99831.656650147866</v>
      </c>
      <c r="N11" s="143" t="s">
        <v>147</v>
      </c>
      <c r="Q11" s="115"/>
      <c r="S11" s="103"/>
      <c r="T11" s="103"/>
      <c r="U11" s="103"/>
      <c r="V11" s="103"/>
      <c r="W11" s="103"/>
      <c r="X11" s="103"/>
      <c r="Y11" s="103"/>
      <c r="Z11" s="103"/>
      <c r="AA11" s="104"/>
      <c r="AB11" s="104"/>
      <c r="AC11" s="104"/>
      <c r="AE11" s="104"/>
    </row>
    <row r="12" spans="1:31" x14ac:dyDescent="0.2">
      <c r="B12" s="7" t="s">
        <v>108</v>
      </c>
      <c r="C12" s="109">
        <f t="shared" ref="C12:L12" si="1">C8-C11</f>
        <v>108949</v>
      </c>
      <c r="D12" s="109">
        <f t="shared" si="1"/>
        <v>119437</v>
      </c>
      <c r="E12" s="109">
        <f t="shared" si="1"/>
        <v>114301</v>
      </c>
      <c r="F12" s="109">
        <f t="shared" si="1"/>
        <v>123216</v>
      </c>
      <c r="G12" s="136">
        <f t="shared" si="1"/>
        <v>133050</v>
      </c>
      <c r="H12" s="109">
        <f t="shared" si="1"/>
        <v>143853.36571999997</v>
      </c>
      <c r="I12" s="109">
        <f t="shared" si="1"/>
        <v>152860.27403987999</v>
      </c>
      <c r="J12" s="109">
        <f t="shared" si="1"/>
        <v>162337.93840993365</v>
      </c>
      <c r="K12" s="109">
        <f t="shared" si="1"/>
        <v>171181.49227034455</v>
      </c>
      <c r="L12" s="109">
        <f t="shared" si="1"/>
        <v>188372.82832200517</v>
      </c>
      <c r="N12" s="115"/>
      <c r="Q12" s="115"/>
      <c r="S12" s="103"/>
      <c r="T12" s="103"/>
      <c r="U12" s="103"/>
      <c r="V12" s="103"/>
      <c r="W12" s="103"/>
      <c r="X12" s="103"/>
      <c r="Y12" s="103"/>
      <c r="Z12" s="103"/>
      <c r="AA12" s="104"/>
      <c r="AB12" s="104"/>
      <c r="AC12" s="104"/>
      <c r="AE12" s="104"/>
    </row>
    <row r="15" spans="1:31" x14ac:dyDescent="0.2">
      <c r="C15" s="209" t="s">
        <v>141</v>
      </c>
      <c r="D15" s="209"/>
      <c r="E15" s="209"/>
      <c r="F15" s="209"/>
      <c r="G15" s="209"/>
      <c r="H15" s="209"/>
      <c r="I15" s="209"/>
      <c r="J15" s="209"/>
      <c r="K15" s="209"/>
      <c r="L15" s="209"/>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92</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09" t="s">
        <v>312</v>
      </c>
      <c r="D20" s="209"/>
      <c r="E20" s="209"/>
      <c r="F20" s="209"/>
      <c r="G20" s="209"/>
      <c r="H20" s="209"/>
      <c r="I20" s="209"/>
      <c r="J20" s="209"/>
      <c r="K20" s="209"/>
      <c r="L20" s="209"/>
    </row>
    <row r="21" spans="2:14" x14ac:dyDescent="0.2">
      <c r="B21" s="7" t="s">
        <v>132</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13201.73293</v>
      </c>
      <c r="I22" s="103">
        <f>'WC &amp; Investments'!I42</f>
        <v>14028.316288470001</v>
      </c>
      <c r="J22" s="103">
        <f>'WC &amp; Investments'!J42</f>
        <v>14945.397504406588</v>
      </c>
      <c r="K22" s="103">
        <f>'WC &amp; Investments'!K42</f>
        <v>16013.752502709656</v>
      </c>
      <c r="L22" s="103">
        <f>'WC &amp; Investments'!L42</f>
        <v>17232.845493180284</v>
      </c>
      <c r="N22" s="1" t="s">
        <v>313</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13656.965099999999</v>
      </c>
      <c r="I23" s="103">
        <f>'WC &amp; Investments'!I45</f>
        <v>14512.0513329</v>
      </c>
      <c r="J23" s="103">
        <f>'WC &amp; Investments'!J45</f>
        <v>15460.756039041298</v>
      </c>
      <c r="K23" s="103">
        <f>'WC &amp; Investments'!K45</f>
        <v>16565.950864872055</v>
      </c>
      <c r="L23" s="103">
        <f>'WC &amp; Investments'!L45</f>
        <v>17827.081544669258</v>
      </c>
      <c r="N23" s="1" t="s">
        <v>313</v>
      </c>
    </row>
    <row r="24" spans="2:14" x14ac:dyDescent="0.2">
      <c r="B24" s="1" t="s">
        <v>314</v>
      </c>
      <c r="C24" s="103">
        <f>'WC &amp; Investments'!C35</f>
        <v>-4911</v>
      </c>
      <c r="D24" s="103">
        <f>'WC &amp; Investments'!D35</f>
        <v>1200</v>
      </c>
      <c r="E24" s="103">
        <f>'WC &amp; Investments'!E35</f>
        <v>-6577</v>
      </c>
      <c r="F24" s="103">
        <f>'WC &amp; Investments'!F35</f>
        <v>3651</v>
      </c>
      <c r="G24" s="106">
        <f>'WC &amp; Investments'!G35</f>
        <v>-25000</v>
      </c>
      <c r="H24" s="103">
        <f>'WC &amp; Investments'!H35</f>
        <v>-7836.9542004383493</v>
      </c>
      <c r="I24" s="103">
        <f>'WC &amp; Investments'!I35</f>
        <v>-9000.1554801191669</v>
      </c>
      <c r="J24" s="103">
        <f>'WC &amp; Investments'!J35</f>
        <v>-9788.9346171069556</v>
      </c>
      <c r="K24" s="103">
        <f>'WC &amp; Investments'!K35</f>
        <v>-9972.0740959881987</v>
      </c>
      <c r="L24" s="103">
        <f>'WC &amp; Investments'!L35</f>
        <v>-10754.060756426792</v>
      </c>
      <c r="N24" s="1" t="s">
        <v>313</v>
      </c>
    </row>
    <row r="27" spans="2:14" x14ac:dyDescent="0.2">
      <c r="C27" s="209" t="s">
        <v>144</v>
      </c>
      <c r="D27" s="209"/>
      <c r="E27" s="209"/>
      <c r="F27" s="209"/>
      <c r="G27" s="209"/>
      <c r="H27" s="209"/>
      <c r="I27" s="209"/>
      <c r="J27" s="209"/>
      <c r="K27" s="209"/>
      <c r="L27" s="209"/>
    </row>
    <row r="28" spans="2:14" x14ac:dyDescent="0.2">
      <c r="B28" s="7" t="s">
        <v>132</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142</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113644.15891879998</v>
      </c>
      <c r="I29" s="133">
        <f t="shared" si="5"/>
        <v>120759.61649150521</v>
      </c>
      <c r="J29" s="133">
        <f t="shared" si="5"/>
        <v>128246.97134384759</v>
      </c>
      <c r="K29" s="133">
        <f t="shared" si="5"/>
        <v>135233.3788935722</v>
      </c>
      <c r="L29" s="133">
        <f t="shared" si="5"/>
        <v>148814.53437438409</v>
      </c>
    </row>
    <row r="30" spans="2:14" x14ac:dyDescent="0.2">
      <c r="B30" s="7" t="s">
        <v>144</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105351.97254836162</v>
      </c>
      <c r="I30" s="109">
        <f t="shared" si="6"/>
        <v>111275.72596695604</v>
      </c>
      <c r="J30" s="109">
        <f t="shared" si="6"/>
        <v>117942.67819210593</v>
      </c>
      <c r="K30" s="109">
        <f t="shared" si="6"/>
        <v>124709.10643542161</v>
      </c>
      <c r="L30" s="109">
        <f t="shared" si="6"/>
        <v>137466.23756646831</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2" zoomScale="187" zoomScaleNormal="100" workbookViewId="0">
      <selection activeCell="C5" sqref="C5"/>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155</v>
      </c>
    </row>
    <row r="2" spans="1:3" s="99" customFormat="1" ht="18" customHeight="1" x14ac:dyDescent="0.2">
      <c r="A2" s="100"/>
      <c r="B2" s="101"/>
    </row>
    <row r="3" spans="1:3" ht="17" customHeight="1" x14ac:dyDescent="0.2"/>
    <row r="4" spans="1:3" ht="17" customHeight="1" x14ac:dyDescent="0.2">
      <c r="B4" s="210" t="s">
        <v>159</v>
      </c>
      <c r="C4" s="210"/>
    </row>
    <row r="5" spans="1:3" ht="17" customHeight="1" x14ac:dyDescent="0.2">
      <c r="B5" s="1" t="s">
        <v>160</v>
      </c>
      <c r="C5" s="132">
        <f>'Statement Q'!N100</f>
        <v>14687</v>
      </c>
    </row>
    <row r="6" spans="1:3" ht="17" customHeight="1" x14ac:dyDescent="0.2">
      <c r="B6" s="1" t="s">
        <v>73</v>
      </c>
      <c r="C6" s="145">
        <f>Overview!C3</f>
        <v>280.25</v>
      </c>
    </row>
    <row r="7" spans="1:3" ht="17" customHeight="1" x14ac:dyDescent="0.2">
      <c r="B7" s="1" t="s">
        <v>146</v>
      </c>
      <c r="C7" s="147">
        <f>C5*C6</f>
        <v>4116031.75</v>
      </c>
    </row>
    <row r="8" spans="1:3" ht="17" customHeight="1" x14ac:dyDescent="0.2">
      <c r="B8" s="1" t="s">
        <v>145</v>
      </c>
      <c r="C8" s="132">
        <f>Statements!W36+Statements!W37+Statements!W39</f>
        <v>84711</v>
      </c>
    </row>
    <row r="9" spans="1:3" ht="17" customHeight="1" x14ac:dyDescent="0.2">
      <c r="B9" s="1" t="s">
        <v>161</v>
      </c>
      <c r="C9" s="170">
        <f>[1]Sheet1!$C$10/1000</f>
        <v>4.3900000000000002E-2</v>
      </c>
    </row>
    <row r="10" spans="1:3" ht="17" customHeight="1" x14ac:dyDescent="0.2">
      <c r="B10" s="1" t="s">
        <v>162</v>
      </c>
      <c r="C10" s="145">
        <f>[1]Sheet1!$F$17</f>
        <v>1.0647</v>
      </c>
    </row>
    <row r="11" spans="1:3" ht="17" customHeight="1" x14ac:dyDescent="0.2">
      <c r="B11" s="1" t="s">
        <v>163</v>
      </c>
      <c r="C11" s="146">
        <v>0.05</v>
      </c>
    </row>
    <row r="12" spans="1:3" ht="17" customHeight="1" x14ac:dyDescent="0.2">
      <c r="B12" s="1" t="s">
        <v>92</v>
      </c>
      <c r="C12" s="146">
        <v>0.21</v>
      </c>
    </row>
    <row r="13" spans="1:3" ht="17" customHeight="1" x14ac:dyDescent="0.2">
      <c r="B13" s="1" t="s">
        <v>164</v>
      </c>
      <c r="C13" s="146">
        <v>4.4999999999999998E-2</v>
      </c>
    </row>
    <row r="14" spans="1:3" ht="17" customHeight="1" x14ac:dyDescent="0.2"/>
    <row r="15" spans="1:3" ht="17" customHeight="1" x14ac:dyDescent="0.2">
      <c r="B15" s="210" t="s">
        <v>165</v>
      </c>
      <c r="C15" s="210"/>
    </row>
    <row r="16" spans="1:3" ht="17" customHeight="1" x14ac:dyDescent="0.2">
      <c r="B16" s="1" t="s">
        <v>156</v>
      </c>
      <c r="C16" s="148">
        <f>C8/(C8+C7)</f>
        <v>2.0165719502818875E-2</v>
      </c>
    </row>
    <row r="17" spans="2:3" ht="17" customHeight="1" x14ac:dyDescent="0.2">
      <c r="B17" s="1" t="s">
        <v>157</v>
      </c>
      <c r="C17" s="148">
        <f>C7/(C8+C7)</f>
        <v>0.97983428049718113</v>
      </c>
    </row>
    <row r="18" spans="2:3" ht="17" customHeight="1" x14ac:dyDescent="0.2">
      <c r="B18" s="1" t="s">
        <v>166</v>
      </c>
      <c r="C18" s="148">
        <f>C13*(1-C12)</f>
        <v>3.5549999999999998E-2</v>
      </c>
    </row>
    <row r="19" spans="2:3" ht="17" customHeight="1" x14ac:dyDescent="0.2">
      <c r="B19" s="1" t="s">
        <v>158</v>
      </c>
      <c r="C19" s="148">
        <f>C9+C10*C11</f>
        <v>9.7134999999999999E-2</v>
      </c>
    </row>
    <row r="20" spans="2:3" ht="17" customHeight="1" x14ac:dyDescent="0.2">
      <c r="B20" s="1" t="s">
        <v>155</v>
      </c>
      <c r="C20" s="148">
        <f>(C17*C19)+(C16*C18)</f>
        <v>9.5893094164418893E-2</v>
      </c>
    </row>
    <row r="21" spans="2:3" ht="17" customHeight="1" x14ac:dyDescent="0.2">
      <c r="B21" s="1" t="s">
        <v>347</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6" zoomScale="188" zoomScaleNormal="100" workbookViewId="0">
      <selection activeCell="C25" sqref="C2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167</v>
      </c>
    </row>
    <row r="2" spans="1:28" s="99" customFormat="1" ht="18" customHeight="1" x14ac:dyDescent="0.2">
      <c r="A2" s="100"/>
      <c r="B2" s="101"/>
    </row>
    <row r="3" spans="1:28" x14ac:dyDescent="0.2">
      <c r="A3" s="100"/>
      <c r="C3" s="210" t="s">
        <v>104</v>
      </c>
      <c r="D3" s="210"/>
      <c r="E3" s="210"/>
      <c r="F3" s="210"/>
      <c r="G3" s="211"/>
      <c r="H3" s="212" t="s">
        <v>105</v>
      </c>
      <c r="I3" s="210"/>
      <c r="J3" s="210"/>
      <c r="K3" s="210"/>
      <c r="L3" s="210"/>
      <c r="P3" s="208"/>
      <c r="Q3" s="208"/>
      <c r="R3" s="208"/>
      <c r="S3" s="208"/>
      <c r="T3" s="208"/>
      <c r="U3" s="208"/>
      <c r="V3" s="208"/>
      <c r="W3" s="208"/>
      <c r="X3" s="208"/>
      <c r="Y3" s="208"/>
      <c r="Z3" s="208"/>
      <c r="AB3" s="122"/>
    </row>
    <row r="4" spans="1:28" ht="10" customHeight="1" x14ac:dyDescent="0.2"/>
    <row r="5" spans="1:28" ht="16" customHeight="1" x14ac:dyDescent="0.2">
      <c r="A5" s="105"/>
      <c r="B5" s="92"/>
      <c r="C5" s="209" t="s">
        <v>179</v>
      </c>
      <c r="D5" s="209"/>
      <c r="E5" s="209"/>
      <c r="F5" s="209"/>
      <c r="G5" s="209"/>
      <c r="H5" s="209"/>
      <c r="I5" s="209"/>
      <c r="J5" s="209"/>
      <c r="K5" s="209"/>
      <c r="L5" s="209"/>
      <c r="P5" s="208"/>
      <c r="Q5" s="208"/>
      <c r="R5" s="208"/>
      <c r="S5" s="208"/>
      <c r="T5" s="208"/>
      <c r="U5" s="208"/>
      <c r="V5" s="208"/>
      <c r="W5" s="208"/>
      <c r="X5" s="208"/>
      <c r="Y5" s="208"/>
      <c r="Z5" s="208"/>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105351.97254836162</v>
      </c>
      <c r="I7" s="132">
        <f>'FCF &amp; Other'!I30</f>
        <v>111275.72596695604</v>
      </c>
      <c r="J7" s="132">
        <f>'FCF &amp; Other'!J30</f>
        <v>117942.67819210593</v>
      </c>
      <c r="K7" s="132">
        <f>'FCF &amp; Other'!K30</f>
        <v>124709.10643542161</v>
      </c>
      <c r="L7" s="132">
        <f>'FCF &amp; Other'!L30</f>
        <v>137466.23756646831</v>
      </c>
      <c r="N7" s="91"/>
      <c r="O7" s="7"/>
      <c r="P7" s="107"/>
      <c r="Q7" s="107"/>
      <c r="R7" s="107"/>
      <c r="S7" s="107"/>
      <c r="T7" s="107"/>
      <c r="U7" s="107"/>
      <c r="V7" s="107"/>
      <c r="W7" s="107"/>
      <c r="X7" s="109"/>
      <c r="Y7" s="109"/>
      <c r="Z7" s="109"/>
      <c r="AB7" s="109"/>
    </row>
    <row r="8" spans="1:28" x14ac:dyDescent="0.2">
      <c r="B8" s="8" t="s">
        <v>168</v>
      </c>
      <c r="C8" s="133">
        <v>0</v>
      </c>
      <c r="D8" s="133">
        <v>0</v>
      </c>
      <c r="E8" s="133">
        <v>0</v>
      </c>
      <c r="F8" s="133">
        <v>0</v>
      </c>
      <c r="G8" s="140">
        <v>0</v>
      </c>
      <c r="H8" s="133">
        <v>0</v>
      </c>
      <c r="I8" s="133">
        <v>0</v>
      </c>
      <c r="J8" s="133">
        <v>0</v>
      </c>
      <c r="K8" s="133">
        <v>0</v>
      </c>
      <c r="L8" s="133">
        <f>L7*(1+C14)/(C15-C14)</f>
        <v>2561870.7910114545</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H7/(1+$C$15)^H9</f>
        <v>97548.122729964452</v>
      </c>
      <c r="I10" s="133">
        <f t="shared" ref="I10:L10" si="0">I7/(1+$C$15)^I9</f>
        <v>95400.9996287346</v>
      </c>
      <c r="J10" s="133">
        <f t="shared" si="0"/>
        <v>93626.700541160128</v>
      </c>
      <c r="K10" s="133">
        <f t="shared" si="0"/>
        <v>91664.916145605166</v>
      </c>
      <c r="L10" s="133">
        <f t="shared" si="0"/>
        <v>93557.211447188398</v>
      </c>
      <c r="N10" s="91"/>
    </row>
    <row r="11" spans="1:28" x14ac:dyDescent="0.2">
      <c r="B11" s="1" t="s">
        <v>172</v>
      </c>
      <c r="C11" s="130"/>
      <c r="D11" s="130"/>
      <c r="E11" s="130"/>
      <c r="F11" s="130"/>
      <c r="G11" s="150"/>
      <c r="H11" s="130"/>
      <c r="I11" s="130"/>
      <c r="J11" s="130"/>
      <c r="K11" s="130"/>
      <c r="L11" s="133">
        <f>L8/(1+C15)^L9</f>
        <v>1743566.2133339655</v>
      </c>
    </row>
    <row r="13" spans="1:28" x14ac:dyDescent="0.2">
      <c r="B13" s="210" t="s">
        <v>180</v>
      </c>
      <c r="C13" s="210"/>
    </row>
    <row r="14" spans="1:28" x14ac:dyDescent="0.2">
      <c r="B14" s="1" t="s">
        <v>169</v>
      </c>
      <c r="C14" s="139">
        <v>2.5000000000000001E-2</v>
      </c>
    </row>
    <row r="15" spans="1:28" x14ac:dyDescent="0.2">
      <c r="B15" s="1" t="s">
        <v>155</v>
      </c>
      <c r="C15" s="149">
        <f>WACC!C21</f>
        <v>0.08</v>
      </c>
    </row>
    <row r="18" spans="2:3" x14ac:dyDescent="0.2">
      <c r="B18" s="210" t="s">
        <v>79</v>
      </c>
      <c r="C18" s="210"/>
    </row>
    <row r="19" spans="2:3" x14ac:dyDescent="0.2">
      <c r="B19" s="1" t="s">
        <v>178</v>
      </c>
      <c r="C19" s="104">
        <f>SUM(H10:L10)</f>
        <v>471797.95049265272</v>
      </c>
    </row>
    <row r="20" spans="2:3" x14ac:dyDescent="0.2">
      <c r="B20" s="1" t="s">
        <v>172</v>
      </c>
      <c r="C20" s="104">
        <f>L11</f>
        <v>1743566.2133339655</v>
      </c>
    </row>
    <row r="21" spans="2:3" x14ac:dyDescent="0.2">
      <c r="B21" s="7" t="s">
        <v>175</v>
      </c>
      <c r="C21" s="109">
        <f>C19+C20</f>
        <v>2215364.1638266183</v>
      </c>
    </row>
    <row r="22" spans="2:3" x14ac:dyDescent="0.2">
      <c r="B22" s="1" t="s">
        <v>173</v>
      </c>
      <c r="C22" s="20">
        <f>Statements!W22+Statements!W28</f>
        <v>146595</v>
      </c>
    </row>
    <row r="23" spans="2:3" x14ac:dyDescent="0.2">
      <c r="B23" s="1" t="s">
        <v>174</v>
      </c>
      <c r="C23" s="20">
        <f>Statements!W36+Statements!W37+Statements!W39</f>
        <v>84711</v>
      </c>
    </row>
    <row r="24" spans="2:3" x14ac:dyDescent="0.2">
      <c r="B24" s="7" t="s">
        <v>176</v>
      </c>
      <c r="C24" s="109">
        <f>C21+C22-C23</f>
        <v>2277248.1638266183</v>
      </c>
    </row>
    <row r="25" spans="2:3" x14ac:dyDescent="0.2">
      <c r="B25" s="1" t="s">
        <v>4</v>
      </c>
      <c r="C25" s="104">
        <f>'Statement Q'!N100</f>
        <v>14687</v>
      </c>
    </row>
    <row r="26" spans="2:3" x14ac:dyDescent="0.2">
      <c r="B26" s="151" t="s">
        <v>177</v>
      </c>
      <c r="C26" s="152">
        <f>C24/C25</f>
        <v>155.05196185923731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315</v>
      </c>
    </row>
    <row r="2" spans="1:14" x14ac:dyDescent="0.2">
      <c r="A2" s="100"/>
      <c r="C2" s="210" t="s">
        <v>104</v>
      </c>
      <c r="D2" s="210"/>
      <c r="E2" s="210"/>
      <c r="F2" s="210"/>
      <c r="G2" s="211"/>
      <c r="H2" s="212" t="s">
        <v>105</v>
      </c>
      <c r="I2" s="210"/>
      <c r="J2" s="210"/>
      <c r="K2" s="210"/>
      <c r="L2" s="210"/>
    </row>
    <row r="3" spans="1:14" ht="10" customHeight="1" x14ac:dyDescent="0.2"/>
    <row r="4" spans="1:14" ht="16" customHeight="1" x14ac:dyDescent="0.2">
      <c r="A4" s="105"/>
      <c r="B4" s="92"/>
      <c r="C4" s="209" t="s">
        <v>316</v>
      </c>
      <c r="D4" s="209"/>
      <c r="E4" s="209"/>
      <c r="F4" s="209"/>
      <c r="G4" s="209"/>
      <c r="H4" s="209"/>
      <c r="I4" s="209"/>
      <c r="J4" s="209"/>
      <c r="K4" s="209"/>
      <c r="L4" s="209"/>
    </row>
    <row r="5" spans="1:14" x14ac:dyDescent="0.2">
      <c r="B5" s="7" t="s">
        <v>114</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91"/>
    </row>
    <row r="7" spans="1:14" x14ac:dyDescent="0.2">
      <c r="B7" s="7" t="s">
        <v>108</v>
      </c>
      <c r="C7" s="107">
        <f>'FCF &amp; Other'!C12</f>
        <v>108949</v>
      </c>
      <c r="D7" s="107">
        <f>'FCF &amp; Other'!D12</f>
        <v>119437</v>
      </c>
      <c r="E7" s="107">
        <f>'FCF &amp; Other'!E12</f>
        <v>114301</v>
      </c>
      <c r="F7" s="107">
        <f>'FCF &amp; Other'!F12</f>
        <v>123216</v>
      </c>
      <c r="G7" s="108">
        <f>'FCF &amp; Other'!G12</f>
        <v>133050</v>
      </c>
      <c r="H7" s="107">
        <f>'FCF &amp; Other'!H12</f>
        <v>143853.36571999997</v>
      </c>
      <c r="I7" s="107">
        <f>'FCF &amp; Other'!I12</f>
        <v>152860.27403987999</v>
      </c>
      <c r="J7" s="107">
        <f>'FCF &amp; Other'!J12</f>
        <v>162337.93840993365</v>
      </c>
      <c r="K7" s="107">
        <f>'FCF &amp; Other'!K12</f>
        <v>171181.49227034455</v>
      </c>
      <c r="L7" s="107">
        <f>'FCF &amp; Other'!L12</f>
        <v>188372.82832200517</v>
      </c>
      <c r="N7" s="91"/>
    </row>
    <row r="8" spans="1:14" x14ac:dyDescent="0.2">
      <c r="B8" s="7" t="s">
        <v>144</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105351.97254836162</v>
      </c>
      <c r="I8" s="107">
        <f>'FCF &amp; Other'!I30</f>
        <v>111275.72596695604</v>
      </c>
      <c r="J8" s="107">
        <f>'FCF &amp; Other'!J30</f>
        <v>117942.67819210593</v>
      </c>
      <c r="K8" s="107">
        <f>'FCF &amp; Other'!K30</f>
        <v>124709.10643542161</v>
      </c>
      <c r="L8" s="107">
        <f>'FCF &amp; Other'!L30</f>
        <v>137466.23756646831</v>
      </c>
      <c r="N8" s="91"/>
    </row>
    <row r="9" spans="1:14" x14ac:dyDescent="0.2">
      <c r="N9" s="91"/>
    </row>
    <row r="10" spans="1:14" x14ac:dyDescent="0.2">
      <c r="C10" s="209" t="s">
        <v>115</v>
      </c>
      <c r="D10" s="209"/>
      <c r="E10" s="209"/>
      <c r="F10" s="209"/>
      <c r="G10" s="209"/>
      <c r="H10" s="209"/>
      <c r="I10" s="209"/>
      <c r="J10" s="209"/>
      <c r="K10" s="209"/>
      <c r="L10" s="209"/>
      <c r="N10" s="91"/>
    </row>
    <row r="11" spans="1:14" x14ac:dyDescent="0.2">
      <c r="B11" s="7" t="s">
        <v>191</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9.3884746528386812E-2</v>
      </c>
      <c r="I12" s="111">
        <f t="shared" si="1"/>
        <v>6.2611731569849352E-2</v>
      </c>
      <c r="J12" s="111">
        <f t="shared" si="1"/>
        <v>6.5373577062155727E-2</v>
      </c>
      <c r="K12" s="111">
        <f t="shared" si="1"/>
        <v>7.1483879768876463E-2</v>
      </c>
      <c r="L12" s="111">
        <f t="shared" si="1"/>
        <v>7.6127877601726901E-2</v>
      </c>
      <c r="N12" s="91"/>
    </row>
    <row r="13" spans="1:14" x14ac:dyDescent="0.2">
      <c r="B13" s="1" t="s">
        <v>108</v>
      </c>
      <c r="C13" s="130"/>
      <c r="D13" s="111">
        <f t="shared" ref="D13:D14" si="2">(D7-C7)/C7</f>
        <v>9.6265225013538444E-2</v>
      </c>
      <c r="E13" s="111">
        <f t="shared" si="1"/>
        <v>-4.3001749876503931E-2</v>
      </c>
      <c r="F13" s="111">
        <f t="shared" si="1"/>
        <v>7.799581805933456E-2</v>
      </c>
      <c r="G13" s="112">
        <f t="shared" si="1"/>
        <v>7.9811063498246987E-2</v>
      </c>
      <c r="H13" s="111">
        <f t="shared" si="1"/>
        <v>8.1197788199924639E-2</v>
      </c>
      <c r="I13" s="111">
        <f t="shared" si="1"/>
        <v>6.2611731569849449E-2</v>
      </c>
      <c r="J13" s="111">
        <f t="shared" si="1"/>
        <v>6.2002141691706023E-2</v>
      </c>
      <c r="K13" s="111">
        <f t="shared" si="1"/>
        <v>5.4476199137624103E-2</v>
      </c>
      <c r="L13" s="111">
        <f t="shared" si="1"/>
        <v>0.10042753935402421</v>
      </c>
      <c r="N13" s="91"/>
    </row>
    <row r="14" spans="1:14" x14ac:dyDescent="0.2">
      <c r="B14" s="1" t="s">
        <v>144</v>
      </c>
      <c r="C14" s="130"/>
      <c r="D14" s="111">
        <f t="shared" si="2"/>
        <v>0.13298398480491658</v>
      </c>
      <c r="E14" s="111">
        <f t="shared" si="1"/>
        <v>-0.10050308111207536</v>
      </c>
      <c r="F14" s="111">
        <f t="shared" si="1"/>
        <v>8.4419226011838322E-2</v>
      </c>
      <c r="G14" s="112">
        <f t="shared" si="1"/>
        <v>-0.13023602054922823</v>
      </c>
      <c r="H14" s="111">
        <f t="shared" si="1"/>
        <v>0.22127544024613854</v>
      </c>
      <c r="I14" s="111">
        <f t="shared" si="1"/>
        <v>5.6228215526530713E-2</v>
      </c>
      <c r="J14" s="111">
        <f t="shared" si="1"/>
        <v>5.9913805703947283E-2</v>
      </c>
      <c r="K14" s="111">
        <f t="shared" si="1"/>
        <v>5.7370481551169007E-2</v>
      </c>
      <c r="L14" s="111">
        <f t="shared" si="1"/>
        <v>0.10229510495011647</v>
      </c>
      <c r="N14" s="91"/>
    </row>
    <row r="15" spans="1:14" x14ac:dyDescent="0.2">
      <c r="N15" s="91"/>
    </row>
    <row r="16" spans="1:14" x14ac:dyDescent="0.2">
      <c r="C16" s="209" t="s">
        <v>216</v>
      </c>
      <c r="D16" s="209"/>
      <c r="E16" s="209"/>
      <c r="F16" s="209"/>
      <c r="G16" s="209"/>
      <c r="H16" s="209"/>
      <c r="I16" s="209"/>
      <c r="J16" s="209"/>
      <c r="K16" s="209"/>
      <c r="L16" s="209"/>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217</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218</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09" t="s">
        <v>317</v>
      </c>
      <c r="D21" s="209"/>
      <c r="E21" s="209"/>
      <c r="F21" s="209"/>
      <c r="G21" s="209"/>
      <c r="H21" s="209"/>
      <c r="I21" s="209"/>
      <c r="J21" s="209"/>
      <c r="K21" s="209"/>
      <c r="L21" s="209"/>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73</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09" t="s">
        <v>318</v>
      </c>
      <c r="D26" s="209"/>
      <c r="E26" s="209"/>
      <c r="F26" s="209"/>
      <c r="G26" s="209"/>
      <c r="H26" s="209"/>
      <c r="I26" s="209"/>
      <c r="J26" s="209"/>
      <c r="K26" s="209"/>
      <c r="L26" s="209"/>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110</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319</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145</v>
      </c>
      <c r="C30" s="103">
        <f>Statements!H36+Statements!H37+Statements!H39</f>
        <v>124719</v>
      </c>
      <c r="D30" s="191">
        <f>Statements!I36+Statements!I37+Statements!I39</f>
        <v>120069</v>
      </c>
      <c r="E30" s="191">
        <f>Statements!J36+Statements!J37+Statements!J39</f>
        <v>111088</v>
      </c>
      <c r="F30" s="191">
        <f>Statements!K36+Statements!K37+Statements!K39</f>
        <v>106629</v>
      </c>
      <c r="G30" s="192">
        <f>Statements!L36+Statements!L37+Statements!L39</f>
        <v>98657</v>
      </c>
      <c r="H30" s="130"/>
      <c r="I30" s="130"/>
      <c r="J30" s="130"/>
      <c r="K30" s="130"/>
      <c r="L30" s="130"/>
      <c r="N30" s="91"/>
    </row>
    <row r="31" spans="2:14" x14ac:dyDescent="0.2">
      <c r="B31" s="1" t="s">
        <v>149</v>
      </c>
      <c r="C31" s="191">
        <f>Statements!H22</f>
        <v>62639</v>
      </c>
      <c r="D31" s="191">
        <f>Statements!I22</f>
        <v>48304</v>
      </c>
      <c r="E31" s="191">
        <f>Statements!J22</f>
        <v>61555</v>
      </c>
      <c r="F31" s="191">
        <f>Statements!K22</f>
        <v>65171</v>
      </c>
      <c r="G31" s="192">
        <f>Statements!L22</f>
        <v>54697</v>
      </c>
      <c r="H31" s="130"/>
      <c r="I31" s="130"/>
      <c r="J31" s="130"/>
      <c r="K31" s="130"/>
      <c r="L31" s="130"/>
      <c r="N31" s="91"/>
    </row>
    <row r="32" spans="2:14" x14ac:dyDescent="0.2">
      <c r="B32" s="1" t="s">
        <v>150</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320</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321</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10" t="s">
        <v>322</v>
      </c>
      <c r="C37" s="210"/>
      <c r="N37" s="91"/>
    </row>
    <row r="38" spans="2:14" x14ac:dyDescent="0.2">
      <c r="B38" s="1" t="s">
        <v>323</v>
      </c>
      <c r="C38" s="104">
        <f>L7</f>
        <v>188372.82832200517</v>
      </c>
    </row>
    <row r="39" spans="2:14" x14ac:dyDescent="0.2">
      <c r="B39" s="1" t="s">
        <v>155</v>
      </c>
      <c r="C39" s="138">
        <f>WACC!C21</f>
        <v>0.08</v>
      </c>
    </row>
    <row r="40" spans="2:14" x14ac:dyDescent="0.2">
      <c r="B40" s="8" t="s">
        <v>324</v>
      </c>
      <c r="C40" s="118">
        <v>25</v>
      </c>
    </row>
    <row r="41" spans="2:14" x14ac:dyDescent="0.2">
      <c r="B41" s="1" t="s">
        <v>195</v>
      </c>
      <c r="C41" s="20">
        <f>L18</f>
        <v>13302.3529680093</v>
      </c>
    </row>
    <row r="42" spans="2:14" x14ac:dyDescent="0.2">
      <c r="B42" s="1" t="s">
        <v>150</v>
      </c>
      <c r="C42" s="20">
        <f>(C38*C40)-G30+G31</f>
        <v>4665360.708050129</v>
      </c>
    </row>
    <row r="43" spans="2:14" x14ac:dyDescent="0.2">
      <c r="B43" s="1" t="s">
        <v>177</v>
      </c>
      <c r="C43" s="20">
        <f>C42/C41</f>
        <v>350.71695355474401</v>
      </c>
    </row>
    <row r="44" spans="2:14" x14ac:dyDescent="0.2">
      <c r="B44" s="151" t="s">
        <v>325</v>
      </c>
      <c r="C44" s="152">
        <f>C43/(1+C48)^5</f>
        <v>238.69206550422595</v>
      </c>
    </row>
    <row r="46" spans="2:14" x14ac:dyDescent="0.2">
      <c r="B46" s="210" t="s">
        <v>192</v>
      </c>
      <c r="C46" s="210"/>
    </row>
    <row r="47" spans="2:14" x14ac:dyDescent="0.2">
      <c r="B47" s="1" t="s">
        <v>193</v>
      </c>
      <c r="C47" s="104">
        <f>L6</f>
        <v>594236.0514889753</v>
      </c>
    </row>
    <row r="48" spans="2:14" x14ac:dyDescent="0.2">
      <c r="B48" s="1" t="s">
        <v>155</v>
      </c>
      <c r="C48" s="138">
        <f>WACC!C21</f>
        <v>0.08</v>
      </c>
    </row>
    <row r="49" spans="2:3" x14ac:dyDescent="0.2">
      <c r="B49" s="8" t="s">
        <v>194</v>
      </c>
      <c r="C49" s="118">
        <v>7</v>
      </c>
    </row>
    <row r="50" spans="2:3" x14ac:dyDescent="0.2">
      <c r="B50" s="1" t="s">
        <v>195</v>
      </c>
      <c r="C50" s="20">
        <f>L18</f>
        <v>13302.3529680093</v>
      </c>
    </row>
    <row r="51" spans="2:3" x14ac:dyDescent="0.2">
      <c r="B51" s="1" t="s">
        <v>177</v>
      </c>
      <c r="C51" s="20">
        <f>(C47*C49)/C50</f>
        <v>312.7004952000849</v>
      </c>
    </row>
    <row r="52" spans="2:3" x14ac:dyDescent="0.2">
      <c r="B52" s="151" t="s">
        <v>325</v>
      </c>
      <c r="C52" s="152">
        <f>C51/(1+C48)^5</f>
        <v>212.81870273731153</v>
      </c>
    </row>
    <row r="54" spans="2:3" x14ac:dyDescent="0.2">
      <c r="B54" s="210" t="s">
        <v>326</v>
      </c>
      <c r="C54" s="210"/>
    </row>
    <row r="55" spans="2:3" x14ac:dyDescent="0.2">
      <c r="B55" s="1" t="s">
        <v>327</v>
      </c>
      <c r="C55" s="104">
        <f>L8</f>
        <v>137466.23756646831</v>
      </c>
    </row>
    <row r="56" spans="2:3" x14ac:dyDescent="0.2">
      <c r="B56" s="1" t="s">
        <v>155</v>
      </c>
      <c r="C56" s="138">
        <f>WACC!C21</f>
        <v>0.08</v>
      </c>
    </row>
    <row r="57" spans="2:3" x14ac:dyDescent="0.2">
      <c r="B57" s="8" t="s">
        <v>328</v>
      </c>
      <c r="C57" s="118">
        <v>30</v>
      </c>
    </row>
    <row r="58" spans="2:3" x14ac:dyDescent="0.2">
      <c r="B58" s="1" t="s">
        <v>195</v>
      </c>
      <c r="C58" s="20">
        <f>L18</f>
        <v>13302.3529680093</v>
      </c>
    </row>
    <row r="59" spans="2:3" x14ac:dyDescent="0.2">
      <c r="B59" s="1" t="s">
        <v>150</v>
      </c>
      <c r="C59" s="20">
        <f>(C55*C57)-G30+G31</f>
        <v>4080027.1269940492</v>
      </c>
    </row>
    <row r="60" spans="2:3" x14ac:dyDescent="0.2">
      <c r="B60" s="1" t="s">
        <v>177</v>
      </c>
      <c r="C60" s="20">
        <f>C59/C58</f>
        <v>306.71469452104202</v>
      </c>
    </row>
    <row r="61" spans="2:3" x14ac:dyDescent="0.2">
      <c r="B61" s="151" t="s">
        <v>325</v>
      </c>
      <c r="C61" s="152">
        <f>C60/(1+C56)^5</f>
        <v>208.74486737436172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B10" sqref="B10: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199</v>
      </c>
    </row>
    <row r="2" spans="1:14" x14ac:dyDescent="0.2">
      <c r="N2" s="91"/>
    </row>
    <row r="3" spans="1:14" x14ac:dyDescent="0.2">
      <c r="N3" s="91"/>
    </row>
    <row r="4" spans="1:14" x14ac:dyDescent="0.2">
      <c r="B4" s="210" t="s">
        <v>200</v>
      </c>
      <c r="C4" s="210"/>
      <c r="N4" s="91"/>
    </row>
    <row r="5" spans="1:14" x14ac:dyDescent="0.2">
      <c r="B5" s="1" t="s">
        <v>197</v>
      </c>
      <c r="C5" s="167">
        <f>DCF!C26</f>
        <v>155.05196185923731</v>
      </c>
    </row>
    <row r="6" spans="1:14" x14ac:dyDescent="0.2">
      <c r="B6" s="1" t="s">
        <v>329</v>
      </c>
      <c r="C6" s="167">
        <f>Multiples!C44</f>
        <v>238.69206550422595</v>
      </c>
    </row>
    <row r="7" spans="1:14" x14ac:dyDescent="0.2">
      <c r="B7" s="1" t="s">
        <v>198</v>
      </c>
      <c r="C7" s="167">
        <f>Multiples!C52</f>
        <v>212.81870273731153</v>
      </c>
    </row>
    <row r="8" spans="1:14" x14ac:dyDescent="0.2">
      <c r="B8" s="1" t="s">
        <v>330</v>
      </c>
      <c r="C8" s="167">
        <f>Multiples!C61</f>
        <v>208.74486737436172</v>
      </c>
    </row>
    <row r="9" spans="1:14" x14ac:dyDescent="0.2">
      <c r="B9" s="151" t="s">
        <v>196</v>
      </c>
      <c r="C9" s="152">
        <f>AVERAGE(C5:C8)</f>
        <v>203.82689936878415</v>
      </c>
    </row>
    <row r="10" spans="1:14" x14ac:dyDescent="0.2">
      <c r="B10" s="1" t="s">
        <v>344</v>
      </c>
      <c r="C10" s="35">
        <f>Overview!C3</f>
        <v>280.25</v>
      </c>
    </row>
    <row r="11" spans="1:14" x14ac:dyDescent="0.2">
      <c r="B11" s="1" t="s">
        <v>345</v>
      </c>
      <c r="C11" s="89">
        <f>(C9-C10)/C10</f>
        <v>-0.27269616639149274</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opLeftCell="B35"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331</v>
      </c>
    </row>
    <row r="2" spans="1:28" s="99" customFormat="1" ht="18" customHeight="1" x14ac:dyDescent="0.2">
      <c r="A2" s="100"/>
      <c r="B2" s="101"/>
    </row>
    <row r="3" spans="1:28" x14ac:dyDescent="0.2">
      <c r="A3" s="100"/>
      <c r="C3" s="210" t="s">
        <v>104</v>
      </c>
      <c r="D3" s="210"/>
      <c r="E3" s="210"/>
      <c r="F3" s="210"/>
      <c r="G3" s="211"/>
      <c r="H3" s="212" t="s">
        <v>105</v>
      </c>
      <c r="I3" s="210"/>
      <c r="J3" s="210"/>
      <c r="K3" s="210"/>
      <c r="L3" s="210"/>
      <c r="P3" s="208"/>
      <c r="Q3" s="208"/>
      <c r="R3" s="208"/>
      <c r="S3" s="208"/>
      <c r="T3" s="208"/>
      <c r="U3" s="208"/>
      <c r="V3" s="208"/>
      <c r="W3" s="208"/>
      <c r="X3" s="208"/>
      <c r="Y3" s="208"/>
      <c r="Z3" s="208"/>
      <c r="AB3" s="122"/>
    </row>
    <row r="4" spans="1:28" ht="10" customHeight="1" x14ac:dyDescent="0.2"/>
    <row r="5" spans="1:28" ht="16" customHeight="1" x14ac:dyDescent="0.2">
      <c r="A5" s="105"/>
      <c r="B5" s="92"/>
      <c r="C5" s="209" t="s">
        <v>179</v>
      </c>
      <c r="D5" s="209"/>
      <c r="E5" s="209"/>
      <c r="F5" s="209"/>
      <c r="G5" s="209"/>
      <c r="H5" s="209"/>
      <c r="I5" s="209"/>
      <c r="J5" s="209"/>
      <c r="K5" s="209"/>
      <c r="L5" s="209"/>
      <c r="P5" s="208"/>
      <c r="Q5" s="208"/>
      <c r="R5" s="208"/>
      <c r="S5" s="208"/>
      <c r="T5" s="208"/>
      <c r="U5" s="208"/>
      <c r="V5" s="208"/>
      <c r="W5" s="208"/>
      <c r="X5" s="208"/>
      <c r="Y5" s="208"/>
      <c r="Z5" s="208"/>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108002.39264941346</v>
      </c>
      <c r="I7" s="133">
        <f t="shared" ref="I7:L7" si="0">H7*(1+$C$17)</f>
        <v>135218.99559706566</v>
      </c>
      <c r="J7" s="133">
        <f t="shared" si="0"/>
        <v>169294.18248752621</v>
      </c>
      <c r="K7" s="133">
        <f t="shared" si="0"/>
        <v>211956.31647438282</v>
      </c>
      <c r="L7" s="133">
        <f t="shared" si="0"/>
        <v>265369.30822592729</v>
      </c>
      <c r="N7" s="91"/>
      <c r="O7" s="7"/>
      <c r="P7" s="107"/>
      <c r="Q7" s="107"/>
      <c r="R7" s="107"/>
      <c r="S7" s="107"/>
      <c r="T7" s="107"/>
      <c r="U7" s="107"/>
      <c r="V7" s="107"/>
      <c r="W7" s="107"/>
      <c r="X7" s="109"/>
      <c r="Y7" s="109"/>
      <c r="Z7" s="109"/>
      <c r="AB7" s="109"/>
    </row>
    <row r="8" spans="1:28" x14ac:dyDescent="0.2">
      <c r="B8" s="8" t="s">
        <v>168</v>
      </c>
      <c r="C8" s="130"/>
      <c r="D8" s="130"/>
      <c r="E8" s="130"/>
      <c r="F8" s="130"/>
      <c r="G8" s="150"/>
      <c r="H8" s="130"/>
      <c r="I8" s="130"/>
      <c r="J8" s="130"/>
      <c r="K8" s="130"/>
      <c r="L8" s="133">
        <f>L7*(1+C20)/(C21-C20)</f>
        <v>4945518.9260286447</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H7/(1+$C$21)^H9</f>
        <v>100002.21541612357</v>
      </c>
      <c r="I10" s="133">
        <f t="shared" ref="I10:L10" si="1">I7/(1+$C$21)^I9</f>
        <v>115928.49416758028</v>
      </c>
      <c r="J10" s="133">
        <f t="shared" si="1"/>
        <v>134391.18027575049</v>
      </c>
      <c r="K10" s="133">
        <f t="shared" si="1"/>
        <v>155794.22009744408</v>
      </c>
      <c r="L10" s="133">
        <f t="shared" si="1"/>
        <v>180605.89218703701</v>
      </c>
      <c r="N10" s="91"/>
    </row>
    <row r="11" spans="1:28" x14ac:dyDescent="0.2">
      <c r="B11" s="1" t="s">
        <v>172</v>
      </c>
      <c r="C11" s="130"/>
      <c r="D11" s="130"/>
      <c r="E11" s="130"/>
      <c r="F11" s="130"/>
      <c r="G11" s="150"/>
      <c r="H11" s="130"/>
      <c r="I11" s="130"/>
      <c r="J11" s="130"/>
      <c r="K11" s="130"/>
      <c r="L11" s="133">
        <f>L8/(1+C21)^L9</f>
        <v>3365837.0816675075</v>
      </c>
    </row>
    <row r="13" spans="1:28" ht="17" thickBot="1" x14ac:dyDescent="0.25"/>
    <row r="14" spans="1:28" x14ac:dyDescent="0.2">
      <c r="B14" s="218" t="s">
        <v>332</v>
      </c>
      <c r="C14" s="219"/>
    </row>
    <row r="15" spans="1:28" x14ac:dyDescent="0.2">
      <c r="B15" s="193" t="s">
        <v>333</v>
      </c>
      <c r="C15" s="194">
        <f>Overview!C3</f>
        <v>280.25</v>
      </c>
    </row>
    <row r="16" spans="1:28" x14ac:dyDescent="0.2">
      <c r="B16" s="193" t="s">
        <v>334</v>
      </c>
      <c r="C16" s="194">
        <f>C36</f>
        <v>280.14183181122377</v>
      </c>
    </row>
    <row r="17" spans="2:9" ht="17" thickBot="1" x14ac:dyDescent="0.25">
      <c r="B17" s="195" t="s">
        <v>335</v>
      </c>
      <c r="C17" s="196">
        <v>0.252</v>
      </c>
      <c r="E17" s="220" t="s">
        <v>336</v>
      </c>
      <c r="F17" s="220"/>
      <c r="G17" s="220"/>
      <c r="H17" s="220"/>
      <c r="I17" s="220"/>
    </row>
    <row r="18" spans="2:9" ht="17" thickBot="1" x14ac:dyDescent="0.25"/>
    <row r="19" spans="2:9" x14ac:dyDescent="0.2">
      <c r="B19" s="218" t="s">
        <v>180</v>
      </c>
      <c r="C19" s="219"/>
    </row>
    <row r="20" spans="2:9" x14ac:dyDescent="0.2">
      <c r="B20" s="197" t="s">
        <v>169</v>
      </c>
      <c r="C20" s="198">
        <v>2.5000000000000001E-2</v>
      </c>
    </row>
    <row r="21" spans="2:9" x14ac:dyDescent="0.2">
      <c r="B21" s="197" t="s">
        <v>155</v>
      </c>
      <c r="C21" s="199">
        <f>WACC!C21</f>
        <v>0.08</v>
      </c>
    </row>
    <row r="22" spans="2:9" x14ac:dyDescent="0.2">
      <c r="B22" s="197" t="s">
        <v>4</v>
      </c>
      <c r="C22" s="200">
        <f>'Statement Q'!N100</f>
        <v>14687</v>
      </c>
    </row>
    <row r="23" spans="2:9" x14ac:dyDescent="0.2">
      <c r="B23" s="197" t="s">
        <v>148</v>
      </c>
      <c r="C23" s="200">
        <f>C15*C22</f>
        <v>4116031.75</v>
      </c>
    </row>
    <row r="24" spans="2:9" x14ac:dyDescent="0.2">
      <c r="B24" s="197" t="s">
        <v>149</v>
      </c>
      <c r="C24" s="200">
        <f>Statements!W22+Statements!W28</f>
        <v>146595</v>
      </c>
    </row>
    <row r="25" spans="2:9" x14ac:dyDescent="0.2">
      <c r="B25" s="197" t="s">
        <v>145</v>
      </c>
      <c r="C25" s="200">
        <f>Statements!W36+Statements!W37+Statements!W39</f>
        <v>84711</v>
      </c>
    </row>
    <row r="26" spans="2:9" ht="17" thickBot="1" x14ac:dyDescent="0.25">
      <c r="B26" s="195" t="s">
        <v>337</v>
      </c>
      <c r="C26" s="201">
        <f>C23+C25-C24</f>
        <v>4054147.75</v>
      </c>
    </row>
    <row r="27" spans="2:9" ht="17" thickBot="1" x14ac:dyDescent="0.25"/>
    <row r="28" spans="2:9" x14ac:dyDescent="0.2">
      <c r="B28" s="218" t="s">
        <v>79</v>
      </c>
      <c r="C28" s="219"/>
    </row>
    <row r="29" spans="2:9" x14ac:dyDescent="0.2">
      <c r="B29" s="197" t="s">
        <v>178</v>
      </c>
      <c r="C29" s="200">
        <f>SUM(H10:L10)</f>
        <v>686722.00214393542</v>
      </c>
    </row>
    <row r="30" spans="2:9" x14ac:dyDescent="0.2">
      <c r="B30" s="197" t="s">
        <v>172</v>
      </c>
      <c r="C30" s="200">
        <f>L11</f>
        <v>3365837.0816675075</v>
      </c>
    </row>
    <row r="31" spans="2:9" x14ac:dyDescent="0.2">
      <c r="B31" s="202" t="s">
        <v>175</v>
      </c>
      <c r="C31" s="203">
        <f>C29+C30</f>
        <v>4052559.0838114428</v>
      </c>
    </row>
    <row r="32" spans="2:9" x14ac:dyDescent="0.2">
      <c r="B32" s="197" t="s">
        <v>173</v>
      </c>
      <c r="C32" s="204">
        <f>Statements!W22+Statements!W28</f>
        <v>146595</v>
      </c>
    </row>
    <row r="33" spans="2:12" x14ac:dyDescent="0.2">
      <c r="B33" s="197" t="s">
        <v>174</v>
      </c>
      <c r="C33" s="204">
        <f>Statements!W36+Statements!W37+Statements!W39</f>
        <v>84711</v>
      </c>
    </row>
    <row r="34" spans="2:12" x14ac:dyDescent="0.2">
      <c r="B34" s="202" t="s">
        <v>176</v>
      </c>
      <c r="C34" s="203">
        <f>C31+C32-C33</f>
        <v>4114443.0838114433</v>
      </c>
    </row>
    <row r="35" spans="2:12" x14ac:dyDescent="0.2">
      <c r="B35" s="197" t="s">
        <v>4</v>
      </c>
      <c r="C35" s="200">
        <f>C22</f>
        <v>14687</v>
      </c>
    </row>
    <row r="36" spans="2:12" ht="17" thickBot="1" x14ac:dyDescent="0.25">
      <c r="B36" s="205" t="s">
        <v>177</v>
      </c>
      <c r="C36" s="206">
        <f>C34/C35</f>
        <v>280.14183181122377</v>
      </c>
    </row>
    <row r="39" spans="2:12" x14ac:dyDescent="0.2">
      <c r="C39" s="209" t="s">
        <v>338</v>
      </c>
      <c r="D39" s="209"/>
      <c r="E39" s="209"/>
      <c r="F39" s="209"/>
      <c r="G39" s="209"/>
      <c r="H39" s="209"/>
      <c r="I39" s="209"/>
      <c r="J39" s="209"/>
      <c r="K39" s="209"/>
      <c r="L39" s="209"/>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144</v>
      </c>
      <c r="C41" s="132">
        <f>C7</f>
        <v>89744.319832977737</v>
      </c>
      <c r="D41" s="132">
        <f t="shared" ref="D41:L41" si="3">D7</f>
        <v>101678.87709797402</v>
      </c>
      <c r="E41" s="132">
        <f t="shared" si="3"/>
        <v>91459.836665611598</v>
      </c>
      <c r="F41" s="132">
        <f t="shared" si="3"/>
        <v>99180.80528809168</v>
      </c>
      <c r="G41" s="134">
        <f t="shared" si="3"/>
        <v>86263.891892502768</v>
      </c>
      <c r="H41" s="174">
        <f t="shared" si="3"/>
        <v>108002.39264941346</v>
      </c>
      <c r="I41" s="174">
        <f t="shared" si="3"/>
        <v>135218.99559706566</v>
      </c>
      <c r="J41" s="174">
        <f t="shared" si="3"/>
        <v>169294.18248752621</v>
      </c>
      <c r="K41" s="174">
        <f t="shared" si="3"/>
        <v>211956.31647438282</v>
      </c>
      <c r="L41" s="174">
        <f t="shared" si="3"/>
        <v>265369.30822592729</v>
      </c>
    </row>
    <row r="42" spans="2:12" x14ac:dyDescent="0.2">
      <c r="B42" s="1" t="s">
        <v>108</v>
      </c>
      <c r="C42" s="132">
        <f>'FCF &amp; Other'!C12</f>
        <v>108949</v>
      </c>
      <c r="D42" s="132">
        <f>'FCF &amp; Other'!D12</f>
        <v>119437</v>
      </c>
      <c r="E42" s="132">
        <f>'FCF &amp; Other'!E12</f>
        <v>114301</v>
      </c>
      <c r="F42" s="132">
        <f>'FCF &amp; Other'!F12</f>
        <v>123216</v>
      </c>
      <c r="G42" s="134">
        <f>'FCF &amp; Other'!G12</f>
        <v>133050</v>
      </c>
      <c r="H42" s="174">
        <f>H41/H43</f>
        <v>135002.99081176682</v>
      </c>
      <c r="I42" s="174">
        <f t="shared" ref="I42:L42" si="4">I41/I43</f>
        <v>169023.74449633207</v>
      </c>
      <c r="J42" s="174">
        <f t="shared" si="4"/>
        <v>211617.72810940776</v>
      </c>
      <c r="K42" s="174">
        <f t="shared" si="4"/>
        <v>264945.39559297852</v>
      </c>
      <c r="L42" s="174">
        <f t="shared" si="4"/>
        <v>331711.63528240909</v>
      </c>
    </row>
    <row r="43" spans="2:12" x14ac:dyDescent="0.2">
      <c r="B43" s="181" t="s">
        <v>339</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469575.62021484115</v>
      </c>
      <c r="I44" s="174">
        <f t="shared" ref="I44:L44" si="6">I41/I45</f>
        <v>587908.67650898115</v>
      </c>
      <c r="J44" s="174">
        <f t="shared" si="6"/>
        <v>736061.66298924433</v>
      </c>
      <c r="K44" s="174">
        <f t="shared" si="6"/>
        <v>921549.20206253394</v>
      </c>
      <c r="L44" s="174">
        <f t="shared" si="6"/>
        <v>1153779.6009822926</v>
      </c>
    </row>
    <row r="45" spans="2:12" x14ac:dyDescent="0.2">
      <c r="B45" s="181" t="s">
        <v>340</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341</v>
      </c>
      <c r="C46" s="130"/>
      <c r="D46" s="111">
        <f>D41/C41-1</f>
        <v>0.13298398480491658</v>
      </c>
      <c r="E46" s="111">
        <f t="shared" ref="E46:L46" si="8">E41/D41-1</f>
        <v>-0.1005030811120754</v>
      </c>
      <c r="F46" s="111">
        <f t="shared" si="8"/>
        <v>8.4419226011838377E-2</v>
      </c>
      <c r="G46" s="112">
        <f t="shared" si="8"/>
        <v>-0.13023602054922823</v>
      </c>
      <c r="H46" s="207">
        <f t="shared" si="8"/>
        <v>0.252</v>
      </c>
      <c r="I46" s="207">
        <f t="shared" si="8"/>
        <v>0.252</v>
      </c>
      <c r="J46" s="207">
        <f t="shared" si="8"/>
        <v>0.252</v>
      </c>
      <c r="K46" s="207">
        <f t="shared" si="8"/>
        <v>0.252</v>
      </c>
      <c r="L46" s="207">
        <f t="shared" si="8"/>
        <v>0.252</v>
      </c>
    </row>
    <row r="47" spans="2:12" x14ac:dyDescent="0.2">
      <c r="B47" s="181" t="s">
        <v>342</v>
      </c>
      <c r="C47" s="130"/>
      <c r="D47" s="111">
        <f>D42/C42-1</f>
        <v>9.6265225013538513E-2</v>
      </c>
      <c r="E47" s="111">
        <f t="shared" ref="E47:L47" si="9">E42/D42-1</f>
        <v>-4.3001749876503959E-2</v>
      </c>
      <c r="F47" s="111">
        <f t="shared" si="9"/>
        <v>7.7995818059334532E-2</v>
      </c>
      <c r="G47" s="112">
        <f t="shared" si="9"/>
        <v>7.9811063498246959E-2</v>
      </c>
      <c r="H47" s="207">
        <f t="shared" si="9"/>
        <v>1.4678623162471371E-2</v>
      </c>
      <c r="I47" s="207">
        <f t="shared" si="9"/>
        <v>0.252</v>
      </c>
      <c r="J47" s="207">
        <f t="shared" si="9"/>
        <v>0.252</v>
      </c>
      <c r="K47" s="207">
        <f t="shared" si="9"/>
        <v>0.252</v>
      </c>
      <c r="L47" s="207">
        <f t="shared" si="9"/>
        <v>0.252</v>
      </c>
    </row>
    <row r="48" spans="2:12" x14ac:dyDescent="0.2">
      <c r="B48" s="181" t="s">
        <v>343</v>
      </c>
      <c r="C48" s="130"/>
      <c r="D48" s="111">
        <f>D44/C44-1</f>
        <v>7.7937876041846099E-2</v>
      </c>
      <c r="E48" s="111">
        <f t="shared" ref="E48:L48" si="10">E44/D44-1</f>
        <v>-2.800460530319937E-2</v>
      </c>
      <c r="F48" s="111">
        <f t="shared" si="10"/>
        <v>2.021994077514111E-2</v>
      </c>
      <c r="G48" s="112">
        <f t="shared" si="10"/>
        <v>6.425511782832749E-2</v>
      </c>
      <c r="H48" s="207">
        <f t="shared" si="10"/>
        <v>0.12835085511338429</v>
      </c>
      <c r="I48" s="207">
        <f t="shared" si="10"/>
        <v>0.252</v>
      </c>
      <c r="J48" s="207">
        <f t="shared" si="10"/>
        <v>0.25199999999999978</v>
      </c>
      <c r="K48" s="207">
        <f t="shared" si="10"/>
        <v>0.252</v>
      </c>
      <c r="L48" s="207">
        <f t="shared" si="10"/>
        <v>0.252</v>
      </c>
    </row>
    <row r="49" spans="2:12" x14ac:dyDescent="0.2">
      <c r="B49" s="181" t="s">
        <v>346</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0.28749999999999998</v>
      </c>
      <c r="J49" s="207">
        <f t="shared" si="11"/>
        <v>0.28750000000000003</v>
      </c>
      <c r="K49" s="207">
        <f t="shared" si="11"/>
        <v>0.28750000000000003</v>
      </c>
      <c r="L49" s="207">
        <f t="shared" si="11"/>
        <v>0.28749999999999998</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2026-05-03T14:04:11Z</dcterms:modified>
</cp:coreProperties>
</file>