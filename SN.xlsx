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/MyStockData/Finance-StockLists/"/>
    </mc:Choice>
  </mc:AlternateContent>
  <xr:revisionPtr revIDLastSave="0" documentId="13_ncr:1_{C5DC03B6-843A-5347-ABAC-474744D2F8CA}" xr6:coauthVersionLast="47" xr6:coauthVersionMax="47" xr10:uidLastSave="{00000000-0000-0000-0000-000000000000}"/>
  <bookViews>
    <workbookView xWindow="0" yWindow="0" windowWidth="25600" windowHeight="14400" xr2:uid="{AEC0C047-6E16-294C-82BD-58123BA913A1}"/>
  </bookViews>
  <sheets>
    <sheet name="Overview" sheetId="2" r:id="rId1"/>
    <sheet name="Statement Y" sheetId="1" r:id="rId2"/>
    <sheet name="Statement Q" sheetId="3" r:id="rId3"/>
    <sheet name="Statements" sheetId="6" r:id="rId4"/>
  </sheets>
  <externalReferences>
    <externalReference r:id="rId5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9" i="2" s="1"/>
  <c r="G98" i="6"/>
  <c r="G97" i="6"/>
  <c r="G96" i="6"/>
  <c r="G93" i="6"/>
  <c r="G92" i="6"/>
  <c r="G91" i="6"/>
  <c r="G90" i="6"/>
  <c r="G89" i="6"/>
  <c r="G88" i="6"/>
  <c r="G87" i="6"/>
  <c r="G86" i="6"/>
  <c r="G85" i="6"/>
  <c r="G81" i="6"/>
  <c r="G79" i="6"/>
  <c r="G78" i="6"/>
  <c r="G80" i="6" s="1"/>
  <c r="G82" i="6" s="1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138" i="1"/>
  <c r="G137" i="1"/>
  <c r="G136" i="1"/>
  <c r="G133" i="1"/>
  <c r="G132" i="1"/>
  <c r="G131" i="1"/>
  <c r="G130" i="1"/>
  <c r="G129" i="1"/>
  <c r="G128" i="1"/>
  <c r="G127" i="1"/>
  <c r="G126" i="1"/>
  <c r="G125" i="1"/>
  <c r="G124" i="1"/>
  <c r="G119" i="1"/>
  <c r="J93" i="3"/>
  <c r="P75" i="6" s="1"/>
  <c r="R75" i="6" s="1"/>
  <c r="P73" i="6"/>
  <c r="P72" i="6"/>
  <c r="P70" i="6"/>
  <c r="P69" i="6"/>
  <c r="P67" i="6"/>
  <c r="P66" i="6"/>
  <c r="P60" i="6"/>
  <c r="P65" i="6"/>
  <c r="P63" i="6"/>
  <c r="P62" i="6"/>
  <c r="P61" i="6"/>
  <c r="P59" i="6"/>
  <c r="P58" i="6"/>
  <c r="P57" i="6"/>
  <c r="G20" i="6"/>
  <c r="G19" i="6"/>
  <c r="G18" i="6"/>
  <c r="G17" i="6"/>
  <c r="G16" i="6"/>
  <c r="G15" i="6"/>
  <c r="G14" i="6"/>
  <c r="G12" i="6"/>
  <c r="G13" i="6" s="1"/>
  <c r="G10" i="6"/>
  <c r="G9" i="6"/>
  <c r="G8" i="6"/>
  <c r="G6" i="6"/>
  <c r="G5" i="6"/>
  <c r="G2" i="6"/>
  <c r="P68" i="6"/>
  <c r="O68" i="6"/>
  <c r="N68" i="6"/>
  <c r="M68" i="6"/>
  <c r="R68" i="6" s="1"/>
  <c r="L68" i="6"/>
  <c r="K68" i="6"/>
  <c r="J68" i="6"/>
  <c r="I68" i="6"/>
  <c r="O75" i="6"/>
  <c r="I91" i="3"/>
  <c r="O73" i="6" s="1"/>
  <c r="O70" i="6"/>
  <c r="O64" i="6"/>
  <c r="O63" i="6"/>
  <c r="O62" i="6"/>
  <c r="O61" i="6"/>
  <c r="O59" i="6"/>
  <c r="O58" i="6"/>
  <c r="O65" i="6"/>
  <c r="O60" i="6"/>
  <c r="N73" i="6"/>
  <c r="N72" i="6"/>
  <c r="N70" i="6"/>
  <c r="N69" i="6"/>
  <c r="N57" i="6"/>
  <c r="P71" i="6"/>
  <c r="O71" i="6"/>
  <c r="N71" i="6"/>
  <c r="M71" i="6"/>
  <c r="R71" i="6" s="1"/>
  <c r="L71" i="6"/>
  <c r="K71" i="6"/>
  <c r="J71" i="6"/>
  <c r="I71" i="6"/>
  <c r="F71" i="6"/>
  <c r="E71" i="6"/>
  <c r="D71" i="6"/>
  <c r="C71" i="6"/>
  <c r="P51" i="6"/>
  <c r="R51" i="6" s="1"/>
  <c r="O51" i="6"/>
  <c r="N51" i="6"/>
  <c r="M51" i="6"/>
  <c r="L51" i="6"/>
  <c r="K51" i="6"/>
  <c r="J51" i="6"/>
  <c r="I51" i="6"/>
  <c r="P50" i="6"/>
  <c r="R50" i="6" s="1"/>
  <c r="O50" i="6"/>
  <c r="N50" i="6"/>
  <c r="M50" i="6"/>
  <c r="L50" i="6"/>
  <c r="K50" i="6"/>
  <c r="J50" i="6"/>
  <c r="I50" i="6"/>
  <c r="P49" i="6"/>
  <c r="R49" i="6" s="1"/>
  <c r="O49" i="6"/>
  <c r="N49" i="6"/>
  <c r="M49" i="6"/>
  <c r="L49" i="6"/>
  <c r="K49" i="6"/>
  <c r="J49" i="6"/>
  <c r="I49" i="6"/>
  <c r="P48" i="6"/>
  <c r="R48" i="6" s="1"/>
  <c r="O48" i="6"/>
  <c r="N48" i="6"/>
  <c r="M48" i="6"/>
  <c r="L48" i="6"/>
  <c r="K48" i="6"/>
  <c r="J48" i="6"/>
  <c r="I48" i="6"/>
  <c r="F51" i="6"/>
  <c r="E51" i="6"/>
  <c r="D51" i="6"/>
  <c r="C51" i="6"/>
  <c r="F50" i="6"/>
  <c r="E50" i="6"/>
  <c r="D50" i="6"/>
  <c r="C50" i="6"/>
  <c r="F49" i="6"/>
  <c r="E49" i="6"/>
  <c r="D49" i="6"/>
  <c r="C49" i="6"/>
  <c r="F48" i="6"/>
  <c r="E48" i="6"/>
  <c r="D48" i="6"/>
  <c r="C48" i="6"/>
  <c r="F45" i="6"/>
  <c r="E45" i="6"/>
  <c r="D45" i="6"/>
  <c r="C45" i="6"/>
  <c r="F44" i="6"/>
  <c r="E44" i="6"/>
  <c r="D44" i="6"/>
  <c r="C44" i="6"/>
  <c r="F43" i="6"/>
  <c r="E43" i="6"/>
  <c r="D43" i="6"/>
  <c r="C43" i="6"/>
  <c r="F42" i="6"/>
  <c r="E42" i="6"/>
  <c r="D42" i="6"/>
  <c r="C42" i="6"/>
  <c r="F40" i="6"/>
  <c r="E40" i="6"/>
  <c r="D40" i="6"/>
  <c r="C40" i="6"/>
  <c r="F39" i="6"/>
  <c r="E39" i="6"/>
  <c r="D39" i="6"/>
  <c r="C39" i="6"/>
  <c r="F38" i="6"/>
  <c r="E38" i="6"/>
  <c r="D38" i="6"/>
  <c r="C38" i="6"/>
  <c r="F37" i="6"/>
  <c r="E37" i="6"/>
  <c r="D37" i="6"/>
  <c r="C37" i="6"/>
  <c r="P34" i="6"/>
  <c r="R34" i="6" s="1"/>
  <c r="O34" i="6"/>
  <c r="N34" i="6"/>
  <c r="M34" i="6"/>
  <c r="L34" i="6"/>
  <c r="K34" i="6"/>
  <c r="J34" i="6"/>
  <c r="I34" i="6"/>
  <c r="P33" i="6"/>
  <c r="R33" i="6" s="1"/>
  <c r="O33" i="6"/>
  <c r="N33" i="6"/>
  <c r="M33" i="6"/>
  <c r="L33" i="6"/>
  <c r="K33" i="6"/>
  <c r="J33" i="6"/>
  <c r="I33" i="6"/>
  <c r="P32" i="6"/>
  <c r="O32" i="6"/>
  <c r="N32" i="6"/>
  <c r="M32" i="6"/>
  <c r="L32" i="6"/>
  <c r="K32" i="6"/>
  <c r="J32" i="6"/>
  <c r="I32" i="6"/>
  <c r="P31" i="6"/>
  <c r="O31" i="6"/>
  <c r="N31" i="6"/>
  <c r="M31" i="6"/>
  <c r="L31" i="6"/>
  <c r="K31" i="6"/>
  <c r="J31" i="6"/>
  <c r="I31" i="6"/>
  <c r="P30" i="6"/>
  <c r="O30" i="6"/>
  <c r="N30" i="6"/>
  <c r="M30" i="6"/>
  <c r="L30" i="6"/>
  <c r="K30" i="6"/>
  <c r="J30" i="6"/>
  <c r="I30" i="6"/>
  <c r="P29" i="6"/>
  <c r="O29" i="6"/>
  <c r="N29" i="6"/>
  <c r="M29" i="6"/>
  <c r="L29" i="6"/>
  <c r="K29" i="6"/>
  <c r="J29" i="6"/>
  <c r="I29" i="6"/>
  <c r="R32" i="6"/>
  <c r="R31" i="6"/>
  <c r="R30" i="6"/>
  <c r="R29" i="6"/>
  <c r="F34" i="6"/>
  <c r="E34" i="6"/>
  <c r="D34" i="6"/>
  <c r="C34" i="6"/>
  <c r="F33" i="6"/>
  <c r="E33" i="6"/>
  <c r="D33" i="6"/>
  <c r="C33" i="6"/>
  <c r="F32" i="6"/>
  <c r="E32" i="6"/>
  <c r="D32" i="6"/>
  <c r="C32" i="6"/>
  <c r="F31" i="6"/>
  <c r="E31" i="6"/>
  <c r="D31" i="6"/>
  <c r="C31" i="6"/>
  <c r="F30" i="6"/>
  <c r="E30" i="6"/>
  <c r="D30" i="6"/>
  <c r="C30" i="6"/>
  <c r="F29" i="6"/>
  <c r="E29" i="6"/>
  <c r="D29" i="6"/>
  <c r="F129" i="1"/>
  <c r="E129" i="1"/>
  <c r="D129" i="1"/>
  <c r="D119" i="1"/>
  <c r="E119" i="1"/>
  <c r="F119" i="1"/>
  <c r="C119" i="1"/>
  <c r="D107" i="1"/>
  <c r="E107" i="1"/>
  <c r="F107" i="1"/>
  <c r="G107" i="1"/>
  <c r="H107" i="1"/>
  <c r="I107" i="1"/>
  <c r="J107" i="1"/>
  <c r="C107" i="1"/>
  <c r="G57" i="1"/>
  <c r="F57" i="1"/>
  <c r="F56" i="6" s="1"/>
  <c r="E57" i="1"/>
  <c r="E56" i="6" s="1"/>
  <c r="G47" i="1"/>
  <c r="F47" i="1"/>
  <c r="F46" i="6" s="1"/>
  <c r="E47" i="1"/>
  <c r="E46" i="6" s="1"/>
  <c r="G36" i="1"/>
  <c r="F36" i="1"/>
  <c r="F35" i="6" s="1"/>
  <c r="E36" i="1"/>
  <c r="E35" i="6" s="1"/>
  <c r="G11" i="1"/>
  <c r="G11" i="6" s="1"/>
  <c r="F11" i="1"/>
  <c r="E11" i="1"/>
  <c r="G7" i="1"/>
  <c r="G7" i="6" s="1"/>
  <c r="F7" i="1"/>
  <c r="F7" i="6" s="1"/>
  <c r="E7" i="1"/>
  <c r="E7" i="6" s="1"/>
  <c r="N75" i="6"/>
  <c r="M75" i="6"/>
  <c r="L75" i="6"/>
  <c r="K75" i="6"/>
  <c r="J75" i="6"/>
  <c r="I75" i="6"/>
  <c r="P74" i="6"/>
  <c r="O74" i="6"/>
  <c r="N74" i="6"/>
  <c r="M74" i="6"/>
  <c r="R74" i="6" s="1"/>
  <c r="L74" i="6"/>
  <c r="K74" i="6"/>
  <c r="J74" i="6"/>
  <c r="I74" i="6"/>
  <c r="M73" i="6"/>
  <c r="L73" i="6"/>
  <c r="K73" i="6"/>
  <c r="J73" i="6"/>
  <c r="I73" i="6"/>
  <c r="O72" i="6"/>
  <c r="M72" i="6"/>
  <c r="L72" i="6"/>
  <c r="K72" i="6"/>
  <c r="J72" i="6"/>
  <c r="I72" i="6"/>
  <c r="M70" i="6"/>
  <c r="L70" i="6"/>
  <c r="K70" i="6"/>
  <c r="J70" i="6"/>
  <c r="I70" i="6"/>
  <c r="O69" i="6"/>
  <c r="M69" i="6"/>
  <c r="L69" i="6"/>
  <c r="K69" i="6"/>
  <c r="J69" i="6"/>
  <c r="I69" i="6"/>
  <c r="O67" i="6"/>
  <c r="N67" i="6"/>
  <c r="M67" i="6"/>
  <c r="L67" i="6"/>
  <c r="K67" i="6"/>
  <c r="J67" i="6"/>
  <c r="I67" i="6"/>
  <c r="O66" i="6"/>
  <c r="N66" i="6"/>
  <c r="M66" i="6"/>
  <c r="L66" i="6"/>
  <c r="K66" i="6"/>
  <c r="J66" i="6"/>
  <c r="I66" i="6"/>
  <c r="N65" i="6"/>
  <c r="M65" i="6"/>
  <c r="L65" i="6"/>
  <c r="K65" i="6"/>
  <c r="J65" i="6"/>
  <c r="I65" i="6"/>
  <c r="P64" i="6"/>
  <c r="N64" i="6"/>
  <c r="M64" i="6"/>
  <c r="L64" i="6"/>
  <c r="K64" i="6"/>
  <c r="J64" i="6"/>
  <c r="I64" i="6"/>
  <c r="N63" i="6"/>
  <c r="M63" i="6"/>
  <c r="L63" i="6"/>
  <c r="K63" i="6"/>
  <c r="J63" i="6"/>
  <c r="I63" i="6"/>
  <c r="N62" i="6"/>
  <c r="M62" i="6"/>
  <c r="L62" i="6"/>
  <c r="K62" i="6"/>
  <c r="J62" i="6"/>
  <c r="I62" i="6"/>
  <c r="N61" i="6"/>
  <c r="M61" i="6"/>
  <c r="L61" i="6"/>
  <c r="K61" i="6"/>
  <c r="J61" i="6"/>
  <c r="I61" i="6"/>
  <c r="N60" i="6"/>
  <c r="M60" i="6"/>
  <c r="L60" i="6"/>
  <c r="K60" i="6"/>
  <c r="J60" i="6"/>
  <c r="I60" i="6"/>
  <c r="N59" i="6"/>
  <c r="M59" i="6"/>
  <c r="L59" i="6"/>
  <c r="K59" i="6"/>
  <c r="J59" i="6"/>
  <c r="I59" i="6"/>
  <c r="N58" i="6"/>
  <c r="M58" i="6"/>
  <c r="L58" i="6"/>
  <c r="K58" i="6"/>
  <c r="J58" i="6"/>
  <c r="I58" i="6"/>
  <c r="O57" i="6"/>
  <c r="M57" i="6"/>
  <c r="L57" i="6"/>
  <c r="K57" i="6"/>
  <c r="J57" i="6"/>
  <c r="I57" i="6"/>
  <c r="P53" i="6"/>
  <c r="R53" i="6" s="1"/>
  <c r="O53" i="6"/>
  <c r="N53" i="6"/>
  <c r="M53" i="6"/>
  <c r="L53" i="6"/>
  <c r="K53" i="6"/>
  <c r="J53" i="6"/>
  <c r="I53" i="6"/>
  <c r="P52" i="6"/>
  <c r="R52" i="6" s="1"/>
  <c r="O52" i="6"/>
  <c r="N52" i="6"/>
  <c r="M52" i="6"/>
  <c r="L52" i="6"/>
  <c r="K52" i="6"/>
  <c r="J52" i="6"/>
  <c r="I52" i="6"/>
  <c r="P47" i="6"/>
  <c r="R47" i="6" s="1"/>
  <c r="O47" i="6"/>
  <c r="N47" i="6"/>
  <c r="M47" i="6"/>
  <c r="L47" i="6"/>
  <c r="K47" i="6"/>
  <c r="J47" i="6"/>
  <c r="I47" i="6"/>
  <c r="P45" i="6"/>
  <c r="R45" i="6" s="1"/>
  <c r="O45" i="6"/>
  <c r="N45" i="6"/>
  <c r="M45" i="6"/>
  <c r="L45" i="6"/>
  <c r="K45" i="6"/>
  <c r="J45" i="6"/>
  <c r="I45" i="6"/>
  <c r="P44" i="6"/>
  <c r="R44" i="6" s="1"/>
  <c r="O44" i="6"/>
  <c r="N44" i="6"/>
  <c r="M44" i="6"/>
  <c r="L44" i="6"/>
  <c r="K44" i="6"/>
  <c r="J44" i="6"/>
  <c r="I44" i="6"/>
  <c r="P43" i="6"/>
  <c r="R43" i="6" s="1"/>
  <c r="O43" i="6"/>
  <c r="N43" i="6"/>
  <c r="M43" i="6"/>
  <c r="L43" i="6"/>
  <c r="K43" i="6"/>
  <c r="J43" i="6"/>
  <c r="I43" i="6"/>
  <c r="P42" i="6"/>
  <c r="R42" i="6" s="1"/>
  <c r="O42" i="6"/>
  <c r="N42" i="6"/>
  <c r="M42" i="6"/>
  <c r="L42" i="6"/>
  <c r="K42" i="6"/>
  <c r="J42" i="6"/>
  <c r="I42" i="6"/>
  <c r="P41" i="6"/>
  <c r="R41" i="6" s="1"/>
  <c r="O41" i="6"/>
  <c r="N41" i="6"/>
  <c r="M41" i="6"/>
  <c r="L41" i="6"/>
  <c r="K41" i="6"/>
  <c r="J41" i="6"/>
  <c r="I41" i="6"/>
  <c r="P40" i="6"/>
  <c r="R40" i="6" s="1"/>
  <c r="O40" i="6"/>
  <c r="N40" i="6"/>
  <c r="M40" i="6"/>
  <c r="L40" i="6"/>
  <c r="K40" i="6"/>
  <c r="J40" i="6"/>
  <c r="I40" i="6"/>
  <c r="P39" i="6"/>
  <c r="R39" i="6" s="1"/>
  <c r="O39" i="6"/>
  <c r="N39" i="6"/>
  <c r="M39" i="6"/>
  <c r="L39" i="6"/>
  <c r="K39" i="6"/>
  <c r="J39" i="6"/>
  <c r="I39" i="6"/>
  <c r="P38" i="6"/>
  <c r="R38" i="6" s="1"/>
  <c r="O38" i="6"/>
  <c r="N38" i="6"/>
  <c r="M38" i="6"/>
  <c r="L38" i="6"/>
  <c r="K38" i="6"/>
  <c r="J38" i="6"/>
  <c r="I38" i="6"/>
  <c r="P37" i="6"/>
  <c r="R37" i="6" s="1"/>
  <c r="O37" i="6"/>
  <c r="N37" i="6"/>
  <c r="M37" i="6"/>
  <c r="L37" i="6"/>
  <c r="K37" i="6"/>
  <c r="J37" i="6"/>
  <c r="I37" i="6"/>
  <c r="P36" i="6"/>
  <c r="R36" i="6" s="1"/>
  <c r="O36" i="6"/>
  <c r="N36" i="6"/>
  <c r="M36" i="6"/>
  <c r="L36" i="6"/>
  <c r="K36" i="6"/>
  <c r="J36" i="6"/>
  <c r="I36" i="6"/>
  <c r="P28" i="6"/>
  <c r="R28" i="6" s="1"/>
  <c r="O28" i="6"/>
  <c r="N28" i="6"/>
  <c r="M28" i="6"/>
  <c r="L28" i="6"/>
  <c r="K28" i="6"/>
  <c r="J28" i="6"/>
  <c r="I28" i="6"/>
  <c r="P27" i="6"/>
  <c r="R27" i="6" s="1"/>
  <c r="O27" i="6"/>
  <c r="N27" i="6"/>
  <c r="M27" i="6"/>
  <c r="L27" i="6"/>
  <c r="K27" i="6"/>
  <c r="J27" i="6"/>
  <c r="I27" i="6"/>
  <c r="P26" i="6"/>
  <c r="R26" i="6" s="1"/>
  <c r="O26" i="6"/>
  <c r="N26" i="6"/>
  <c r="M26" i="6"/>
  <c r="L26" i="6"/>
  <c r="K26" i="6"/>
  <c r="J26" i="6"/>
  <c r="I26" i="6"/>
  <c r="P25" i="6"/>
  <c r="R25" i="6" s="1"/>
  <c r="O25" i="6"/>
  <c r="N25" i="6"/>
  <c r="M25" i="6"/>
  <c r="L25" i="6"/>
  <c r="K25" i="6"/>
  <c r="J25" i="6"/>
  <c r="I25" i="6"/>
  <c r="P24" i="6"/>
  <c r="R24" i="6" s="1"/>
  <c r="O24" i="6"/>
  <c r="N24" i="6"/>
  <c r="M24" i="6"/>
  <c r="L24" i="6"/>
  <c r="K24" i="6"/>
  <c r="J24" i="6"/>
  <c r="I24" i="6"/>
  <c r="P23" i="6"/>
  <c r="R23" i="6" s="1"/>
  <c r="O23" i="6"/>
  <c r="N23" i="6"/>
  <c r="M23" i="6"/>
  <c r="L23" i="6"/>
  <c r="K23" i="6"/>
  <c r="J23" i="6"/>
  <c r="I23" i="6"/>
  <c r="P20" i="6"/>
  <c r="O20" i="6"/>
  <c r="P93" i="6" s="1"/>
  <c r="N20" i="6"/>
  <c r="M20" i="6"/>
  <c r="L20" i="6"/>
  <c r="K20" i="6"/>
  <c r="J20" i="6"/>
  <c r="I20" i="6"/>
  <c r="P19" i="6"/>
  <c r="O19" i="6"/>
  <c r="N19" i="6"/>
  <c r="M19" i="6"/>
  <c r="L19" i="6"/>
  <c r="K19" i="6"/>
  <c r="J19" i="6"/>
  <c r="I19" i="6"/>
  <c r="P18" i="6"/>
  <c r="P98" i="6" s="1"/>
  <c r="O18" i="6"/>
  <c r="O98" i="6" s="1"/>
  <c r="N18" i="6"/>
  <c r="M18" i="6"/>
  <c r="M98" i="6" s="1"/>
  <c r="L18" i="6"/>
  <c r="K18" i="6"/>
  <c r="K98" i="6" s="1"/>
  <c r="J18" i="6"/>
  <c r="J98" i="6" s="1"/>
  <c r="I18" i="6"/>
  <c r="I98" i="6" s="1"/>
  <c r="P17" i="6"/>
  <c r="O17" i="6"/>
  <c r="N17" i="6"/>
  <c r="M17" i="6"/>
  <c r="R17" i="6" s="1"/>
  <c r="L17" i="6"/>
  <c r="K17" i="6"/>
  <c r="J17" i="6"/>
  <c r="I17" i="6"/>
  <c r="P16" i="6"/>
  <c r="O16" i="6"/>
  <c r="N16" i="6"/>
  <c r="M16" i="6"/>
  <c r="L16" i="6"/>
  <c r="M90" i="6" s="1"/>
  <c r="K16" i="6"/>
  <c r="J16" i="6"/>
  <c r="K90" i="6" s="1"/>
  <c r="I16" i="6"/>
  <c r="P15" i="6"/>
  <c r="O15" i="6"/>
  <c r="N15" i="6"/>
  <c r="M15" i="6"/>
  <c r="L15" i="6"/>
  <c r="K15" i="6"/>
  <c r="J15" i="6"/>
  <c r="I15" i="6"/>
  <c r="P14" i="6"/>
  <c r="O14" i="6"/>
  <c r="N14" i="6"/>
  <c r="M14" i="6"/>
  <c r="L14" i="6"/>
  <c r="K14" i="6"/>
  <c r="J14" i="6"/>
  <c r="I14" i="6"/>
  <c r="P12" i="6"/>
  <c r="O12" i="6"/>
  <c r="N12" i="6"/>
  <c r="M12" i="6"/>
  <c r="L12" i="6"/>
  <c r="K12" i="6"/>
  <c r="J12" i="6"/>
  <c r="I12" i="6"/>
  <c r="P10" i="6"/>
  <c r="O10" i="6"/>
  <c r="N10" i="6"/>
  <c r="M10" i="6"/>
  <c r="L10" i="6"/>
  <c r="K10" i="6"/>
  <c r="J10" i="6"/>
  <c r="I10" i="6"/>
  <c r="P9" i="6"/>
  <c r="O9" i="6"/>
  <c r="N9" i="6"/>
  <c r="M9" i="6"/>
  <c r="L9" i="6"/>
  <c r="K9" i="6"/>
  <c r="J9" i="6"/>
  <c r="I9" i="6"/>
  <c r="P8" i="6"/>
  <c r="O8" i="6"/>
  <c r="N8" i="6"/>
  <c r="M8" i="6"/>
  <c r="R8" i="6" s="1"/>
  <c r="L8" i="6"/>
  <c r="K8" i="6"/>
  <c r="J8" i="6"/>
  <c r="I8" i="6"/>
  <c r="P6" i="6"/>
  <c r="O6" i="6"/>
  <c r="N6" i="6"/>
  <c r="M6" i="6"/>
  <c r="L6" i="6"/>
  <c r="K6" i="6"/>
  <c r="J6" i="6"/>
  <c r="I6" i="6"/>
  <c r="P5" i="6"/>
  <c r="O5" i="6"/>
  <c r="N5" i="6"/>
  <c r="M5" i="6"/>
  <c r="L5" i="6"/>
  <c r="K5" i="6"/>
  <c r="J5" i="6"/>
  <c r="I5" i="6"/>
  <c r="P3" i="6"/>
  <c r="O3" i="6"/>
  <c r="N3" i="6"/>
  <c r="M3" i="6"/>
  <c r="L3" i="6"/>
  <c r="K3" i="6"/>
  <c r="J3" i="6"/>
  <c r="I3" i="6"/>
  <c r="P2" i="6"/>
  <c r="O2" i="6"/>
  <c r="N2" i="6"/>
  <c r="M2" i="6"/>
  <c r="L2" i="6"/>
  <c r="K2" i="6"/>
  <c r="J2" i="6"/>
  <c r="I2" i="6"/>
  <c r="F75" i="6"/>
  <c r="E75" i="6"/>
  <c r="D75" i="6"/>
  <c r="C75" i="6"/>
  <c r="F74" i="6"/>
  <c r="E74" i="6"/>
  <c r="D74" i="6"/>
  <c r="C74" i="6"/>
  <c r="F73" i="6"/>
  <c r="E73" i="6"/>
  <c r="D73" i="6"/>
  <c r="C73" i="6"/>
  <c r="F72" i="6"/>
  <c r="E72" i="6"/>
  <c r="D72" i="6"/>
  <c r="C72" i="6"/>
  <c r="F70" i="6"/>
  <c r="E70" i="6"/>
  <c r="D70" i="6"/>
  <c r="C70" i="6"/>
  <c r="F69" i="6"/>
  <c r="E69" i="6"/>
  <c r="D69" i="6"/>
  <c r="C69" i="6"/>
  <c r="F68" i="6"/>
  <c r="E68" i="6"/>
  <c r="D68" i="6"/>
  <c r="C68" i="6"/>
  <c r="F67" i="6"/>
  <c r="E67" i="6"/>
  <c r="D67" i="6"/>
  <c r="C67" i="6"/>
  <c r="F66" i="6"/>
  <c r="E66" i="6"/>
  <c r="D66" i="6"/>
  <c r="C66" i="6"/>
  <c r="F65" i="6"/>
  <c r="E65" i="6"/>
  <c r="D65" i="6"/>
  <c r="C65" i="6"/>
  <c r="F64" i="6"/>
  <c r="E64" i="6"/>
  <c r="D64" i="6"/>
  <c r="C64" i="6"/>
  <c r="F63" i="6"/>
  <c r="E63" i="6"/>
  <c r="D63" i="6"/>
  <c r="C63" i="6"/>
  <c r="F62" i="6"/>
  <c r="E62" i="6"/>
  <c r="D62" i="6"/>
  <c r="C62" i="6"/>
  <c r="F61" i="6"/>
  <c r="E61" i="6"/>
  <c r="D61" i="6"/>
  <c r="C61" i="6"/>
  <c r="F60" i="6"/>
  <c r="E60" i="6"/>
  <c r="D60" i="6"/>
  <c r="C60" i="6"/>
  <c r="F59" i="6"/>
  <c r="E59" i="6"/>
  <c r="D59" i="6"/>
  <c r="C59" i="6"/>
  <c r="F58" i="6"/>
  <c r="E58" i="6"/>
  <c r="D58" i="6"/>
  <c r="C58" i="6"/>
  <c r="F57" i="6"/>
  <c r="E57" i="6"/>
  <c r="D57" i="6"/>
  <c r="C57" i="6"/>
  <c r="F53" i="6"/>
  <c r="E53" i="6"/>
  <c r="D53" i="6"/>
  <c r="C53" i="6"/>
  <c r="F52" i="6"/>
  <c r="E52" i="6"/>
  <c r="D52" i="6"/>
  <c r="C52" i="6"/>
  <c r="F47" i="6"/>
  <c r="E47" i="6"/>
  <c r="D47" i="6"/>
  <c r="C47" i="6"/>
  <c r="F41" i="6"/>
  <c r="E41" i="6"/>
  <c r="D41" i="6"/>
  <c r="C41" i="6"/>
  <c r="F36" i="6"/>
  <c r="E36" i="6"/>
  <c r="D36" i="6"/>
  <c r="C36" i="6"/>
  <c r="C29" i="6"/>
  <c r="F28" i="6"/>
  <c r="E28" i="6"/>
  <c r="D28" i="6"/>
  <c r="C28" i="6"/>
  <c r="F27" i="6"/>
  <c r="E27" i="6"/>
  <c r="D27" i="6"/>
  <c r="C27" i="6"/>
  <c r="F26" i="6"/>
  <c r="E26" i="6"/>
  <c r="D26" i="6"/>
  <c r="C26" i="6"/>
  <c r="F25" i="6"/>
  <c r="E25" i="6"/>
  <c r="D25" i="6"/>
  <c r="C25" i="6"/>
  <c r="F24" i="6"/>
  <c r="E24" i="6"/>
  <c r="D24" i="6"/>
  <c r="C24" i="6"/>
  <c r="F23" i="6"/>
  <c r="E23" i="6"/>
  <c r="D23" i="6"/>
  <c r="C23" i="6"/>
  <c r="F20" i="6"/>
  <c r="E20" i="6"/>
  <c r="D20" i="6"/>
  <c r="E93" i="6" s="1"/>
  <c r="C20" i="6"/>
  <c r="F19" i="6"/>
  <c r="E19" i="6"/>
  <c r="D19" i="6"/>
  <c r="C19" i="6"/>
  <c r="F18" i="6"/>
  <c r="E18" i="6"/>
  <c r="D18" i="6"/>
  <c r="C18" i="6"/>
  <c r="F17" i="6"/>
  <c r="E17" i="6"/>
  <c r="D17" i="6"/>
  <c r="C17" i="6"/>
  <c r="F16" i="6"/>
  <c r="E16" i="6"/>
  <c r="D16" i="6"/>
  <c r="C16" i="6"/>
  <c r="F15" i="6"/>
  <c r="E15" i="6"/>
  <c r="D15" i="6"/>
  <c r="C15" i="6"/>
  <c r="F14" i="6"/>
  <c r="E14" i="6"/>
  <c r="D14" i="6"/>
  <c r="C14" i="6"/>
  <c r="F12" i="6"/>
  <c r="F13" i="6" s="1"/>
  <c r="E12" i="6"/>
  <c r="E13" i="6" s="1"/>
  <c r="D12" i="6"/>
  <c r="D13" i="6" s="1"/>
  <c r="C12" i="6"/>
  <c r="C13" i="6" s="1"/>
  <c r="F10" i="6"/>
  <c r="E10" i="6"/>
  <c r="D10" i="6"/>
  <c r="C10" i="6"/>
  <c r="F9" i="6"/>
  <c r="E9" i="6"/>
  <c r="D9" i="6"/>
  <c r="C9" i="6"/>
  <c r="F8" i="6"/>
  <c r="E8" i="6"/>
  <c r="D8" i="6"/>
  <c r="C8" i="6"/>
  <c r="F6" i="6"/>
  <c r="E6" i="6"/>
  <c r="D6" i="6"/>
  <c r="C6" i="6"/>
  <c r="F5" i="6"/>
  <c r="E5" i="6"/>
  <c r="D5" i="6"/>
  <c r="C5" i="6"/>
  <c r="F2" i="6"/>
  <c r="E2" i="6"/>
  <c r="D2" i="6"/>
  <c r="C3" i="6"/>
  <c r="C2" i="6"/>
  <c r="P13" i="6" l="1"/>
  <c r="O13" i="6"/>
  <c r="N13" i="6"/>
  <c r="M13" i="6"/>
  <c r="L13" i="6"/>
  <c r="K13" i="6"/>
  <c r="J13" i="6"/>
  <c r="I13" i="6"/>
  <c r="E96" i="6"/>
  <c r="C10" i="2"/>
  <c r="F96" i="6"/>
  <c r="R66" i="6"/>
  <c r="P97" i="6"/>
  <c r="O97" i="6"/>
  <c r="N97" i="6"/>
  <c r="M97" i="6"/>
  <c r="L97" i="6"/>
  <c r="J97" i="6"/>
  <c r="I97" i="6"/>
  <c r="F98" i="6"/>
  <c r="E98" i="6"/>
  <c r="D98" i="6"/>
  <c r="C98" i="6"/>
  <c r="F97" i="6"/>
  <c r="E97" i="6"/>
  <c r="D97" i="6"/>
  <c r="C11" i="2"/>
  <c r="O91" i="6"/>
  <c r="N98" i="6"/>
  <c r="M91" i="6"/>
  <c r="L98" i="6"/>
  <c r="L89" i="6"/>
  <c r="K97" i="6"/>
  <c r="D89" i="6"/>
  <c r="C97" i="6"/>
  <c r="R73" i="6"/>
  <c r="R65" i="6"/>
  <c r="R60" i="6"/>
  <c r="R57" i="6"/>
  <c r="R63" i="6"/>
  <c r="R61" i="6"/>
  <c r="R62" i="6"/>
  <c r="R59" i="6"/>
  <c r="R14" i="6"/>
  <c r="M89" i="6"/>
  <c r="R69" i="6"/>
  <c r="R70" i="6"/>
  <c r="R58" i="6"/>
  <c r="R67" i="6"/>
  <c r="M93" i="6"/>
  <c r="J93" i="6"/>
  <c r="J91" i="6"/>
  <c r="J90" i="6"/>
  <c r="R10" i="6"/>
  <c r="R64" i="6"/>
  <c r="J85" i="6"/>
  <c r="K93" i="6"/>
  <c r="O93" i="6"/>
  <c r="K91" i="6"/>
  <c r="O90" i="6"/>
  <c r="O89" i="6"/>
  <c r="L93" i="6"/>
  <c r="J92" i="6"/>
  <c r="L86" i="6"/>
  <c r="K86" i="6"/>
  <c r="P92" i="6"/>
  <c r="O86" i="6"/>
  <c r="J86" i="6"/>
  <c r="L85" i="6"/>
  <c r="P86" i="6"/>
  <c r="N86" i="6"/>
  <c r="O85" i="6"/>
  <c r="K85" i="6"/>
  <c r="R9" i="6"/>
  <c r="R72" i="6"/>
  <c r="L91" i="6"/>
  <c r="P91" i="6"/>
  <c r="L90" i="6"/>
  <c r="P90" i="6"/>
  <c r="R15" i="6"/>
  <c r="P89" i="6"/>
  <c r="O92" i="6"/>
  <c r="L92" i="6"/>
  <c r="K92" i="6"/>
  <c r="N92" i="6"/>
  <c r="P85" i="6"/>
  <c r="N85" i="6"/>
  <c r="R20" i="6"/>
  <c r="N93" i="6"/>
  <c r="M92" i="6"/>
  <c r="R19" i="6"/>
  <c r="N91" i="6"/>
  <c r="R18" i="6"/>
  <c r="N90" i="6"/>
  <c r="R16" i="6"/>
  <c r="N89" i="6"/>
  <c r="R12" i="6"/>
  <c r="J89" i="6"/>
  <c r="K89" i="6"/>
  <c r="M86" i="6"/>
  <c r="R6" i="6"/>
  <c r="M85" i="6"/>
  <c r="R5" i="6"/>
  <c r="R79" i="6" s="1"/>
  <c r="R81" i="6"/>
  <c r="G96" i="1"/>
  <c r="G97" i="1" s="1"/>
  <c r="F11" i="6"/>
  <c r="F96" i="1"/>
  <c r="E11" i="6"/>
  <c r="E96" i="1"/>
  <c r="F93" i="6"/>
  <c r="F90" i="6"/>
  <c r="F89" i="6"/>
  <c r="F88" i="6"/>
  <c r="D93" i="6"/>
  <c r="D92" i="6"/>
  <c r="E90" i="6"/>
  <c r="D90" i="6"/>
  <c r="E89" i="6"/>
  <c r="F87" i="6"/>
  <c r="F86" i="6"/>
  <c r="F85" i="6"/>
  <c r="D85" i="6"/>
  <c r="E85" i="6"/>
  <c r="F92" i="6"/>
  <c r="E92" i="6"/>
  <c r="D86" i="6"/>
  <c r="E86" i="6"/>
  <c r="F78" i="6"/>
  <c r="F91" i="6"/>
  <c r="E78" i="6"/>
  <c r="E91" i="6"/>
  <c r="D78" i="6"/>
  <c r="D91" i="6"/>
  <c r="C78" i="6"/>
  <c r="F81" i="6"/>
  <c r="F79" i="6"/>
  <c r="E81" i="6"/>
  <c r="E79" i="6"/>
  <c r="D81" i="6"/>
  <c r="D79" i="6"/>
  <c r="P10" i="3"/>
  <c r="C111" i="3"/>
  <c r="C112" i="3" s="1"/>
  <c r="D111" i="3"/>
  <c r="D112" i="3" s="1"/>
  <c r="E111" i="3"/>
  <c r="E112" i="3" s="1"/>
  <c r="F111" i="3"/>
  <c r="F112" i="3" s="1"/>
  <c r="G111" i="3"/>
  <c r="G112" i="3" s="1"/>
  <c r="H111" i="3"/>
  <c r="H112" i="3" s="1"/>
  <c r="I111" i="3"/>
  <c r="I112" i="3" s="1"/>
  <c r="J111" i="3"/>
  <c r="J112" i="3" s="1"/>
  <c r="N10" i="3"/>
  <c r="Q10" i="3"/>
  <c r="C47" i="1"/>
  <c r="C46" i="6" s="1"/>
  <c r="D47" i="1"/>
  <c r="D46" i="6" s="1"/>
  <c r="C111" i="1"/>
  <c r="C112" i="1" s="1"/>
  <c r="D111" i="1"/>
  <c r="D112" i="1" s="1"/>
  <c r="E111" i="1"/>
  <c r="E112" i="1" s="1"/>
  <c r="F111" i="1"/>
  <c r="F112" i="1" s="1"/>
  <c r="G111" i="1"/>
  <c r="G112" i="1" s="1"/>
  <c r="G109" i="3"/>
  <c r="G110" i="3" s="1"/>
  <c r="G107" i="3"/>
  <c r="G108" i="3" s="1"/>
  <c r="G105" i="1"/>
  <c r="G106" i="1" s="1"/>
  <c r="F107" i="3"/>
  <c r="F108" i="3" s="1"/>
  <c r="I107" i="3"/>
  <c r="C109" i="3"/>
  <c r="C110" i="3" s="1"/>
  <c r="D109" i="3"/>
  <c r="D110" i="3" s="1"/>
  <c r="E109" i="3"/>
  <c r="E110" i="3" s="1"/>
  <c r="F109" i="3"/>
  <c r="F110" i="3" s="1"/>
  <c r="I109" i="3"/>
  <c r="J109" i="3"/>
  <c r="J110" i="3" s="1"/>
  <c r="H109" i="3"/>
  <c r="P14" i="3"/>
  <c r="C104" i="3"/>
  <c r="D104" i="3"/>
  <c r="E104" i="3"/>
  <c r="F104" i="3"/>
  <c r="G104" i="3"/>
  <c r="H104" i="3"/>
  <c r="I104" i="3"/>
  <c r="J104" i="3"/>
  <c r="C102" i="3"/>
  <c r="C103" i="3" s="1"/>
  <c r="D102" i="3"/>
  <c r="D103" i="3" s="1"/>
  <c r="E102" i="3"/>
  <c r="E103" i="3" s="1"/>
  <c r="F102" i="3"/>
  <c r="F103" i="3" s="1"/>
  <c r="G102" i="3"/>
  <c r="G103" i="3" s="1"/>
  <c r="H102" i="3"/>
  <c r="H103" i="3" s="1"/>
  <c r="I102" i="3"/>
  <c r="I103" i="3" s="1"/>
  <c r="J102" i="3"/>
  <c r="J103" i="3" s="1"/>
  <c r="N14" i="3"/>
  <c r="Q14" i="3"/>
  <c r="H111" i="1"/>
  <c r="H112" i="1" s="1"/>
  <c r="I111" i="1"/>
  <c r="I112" i="1" s="1"/>
  <c r="J111" i="1"/>
  <c r="J112" i="1" s="1"/>
  <c r="K111" i="1"/>
  <c r="K112" i="1" s="1"/>
  <c r="F109" i="1"/>
  <c r="F110" i="1" s="1"/>
  <c r="G109" i="1"/>
  <c r="G110" i="1" s="1"/>
  <c r="H109" i="1"/>
  <c r="H110" i="1" s="1"/>
  <c r="I109" i="1"/>
  <c r="I110" i="1" s="1"/>
  <c r="J109" i="1"/>
  <c r="J110" i="1" s="1"/>
  <c r="K109" i="1"/>
  <c r="K110" i="1" s="1"/>
  <c r="G104" i="1"/>
  <c r="H104" i="1"/>
  <c r="I104" i="1"/>
  <c r="J104" i="1"/>
  <c r="K104" i="1"/>
  <c r="G102" i="1"/>
  <c r="G103" i="1" s="1"/>
  <c r="H102" i="1"/>
  <c r="H103" i="1" s="1"/>
  <c r="I102" i="1"/>
  <c r="I103" i="1" s="1"/>
  <c r="J102" i="1"/>
  <c r="J103" i="1" s="1"/>
  <c r="K102" i="1"/>
  <c r="K103" i="1" s="1"/>
  <c r="C100" i="1"/>
  <c r="C101" i="1" s="1"/>
  <c r="D100" i="1"/>
  <c r="D101" i="1" s="1"/>
  <c r="E100" i="1"/>
  <c r="E101" i="1" s="1"/>
  <c r="G100" i="1"/>
  <c r="G101" i="1" s="1"/>
  <c r="F100" i="1"/>
  <c r="F101" i="1" s="1"/>
  <c r="F104" i="1"/>
  <c r="F102" i="1"/>
  <c r="F103" i="1" s="1"/>
  <c r="C109" i="1"/>
  <c r="C110" i="1" s="1"/>
  <c r="D109" i="1"/>
  <c r="D110" i="1" s="1"/>
  <c r="E109" i="1"/>
  <c r="E110" i="1" s="1"/>
  <c r="E104" i="1"/>
  <c r="E102" i="1"/>
  <c r="E103" i="1" s="1"/>
  <c r="D104" i="1"/>
  <c r="D102" i="1"/>
  <c r="D103" i="1" s="1"/>
  <c r="C104" i="1"/>
  <c r="C102" i="1"/>
  <c r="C103" i="1" s="1"/>
  <c r="C138" i="1"/>
  <c r="D138" i="1"/>
  <c r="E138" i="1"/>
  <c r="F138" i="1"/>
  <c r="C137" i="1"/>
  <c r="D137" i="1"/>
  <c r="E137" i="1"/>
  <c r="F137" i="1"/>
  <c r="D133" i="1"/>
  <c r="E133" i="1"/>
  <c r="F133" i="1"/>
  <c r="D132" i="1"/>
  <c r="E132" i="1"/>
  <c r="F132" i="1"/>
  <c r="D131" i="1"/>
  <c r="E131" i="1"/>
  <c r="F131" i="1"/>
  <c r="D128" i="1"/>
  <c r="E128" i="1"/>
  <c r="F128" i="1"/>
  <c r="D127" i="1"/>
  <c r="E127" i="1"/>
  <c r="F127" i="1"/>
  <c r="D125" i="1"/>
  <c r="E125" i="1"/>
  <c r="F125" i="1"/>
  <c r="D124" i="1"/>
  <c r="E124" i="1"/>
  <c r="F124" i="1"/>
  <c r="P5" i="3"/>
  <c r="P6" i="3"/>
  <c r="P8" i="3"/>
  <c r="P9" i="3"/>
  <c r="P12" i="3"/>
  <c r="P13" i="3"/>
  <c r="P15" i="3"/>
  <c r="P16" i="3"/>
  <c r="P17" i="3"/>
  <c r="P18" i="3"/>
  <c r="P19" i="3"/>
  <c r="P20" i="3"/>
  <c r="P21" i="3"/>
  <c r="P3" i="3"/>
  <c r="Q5" i="3"/>
  <c r="Q6" i="3"/>
  <c r="Q8" i="3"/>
  <c r="Q9" i="3"/>
  <c r="Q12" i="3"/>
  <c r="Q13" i="3"/>
  <c r="Q15" i="3"/>
  <c r="Q16" i="3"/>
  <c r="Q17" i="3"/>
  <c r="Q18" i="3"/>
  <c r="Q19" i="3"/>
  <c r="Q20" i="3"/>
  <c r="Q21" i="3"/>
  <c r="Q3" i="3"/>
  <c r="N19" i="3"/>
  <c r="N18" i="3"/>
  <c r="N13" i="3"/>
  <c r="N15" i="3"/>
  <c r="N16" i="3"/>
  <c r="N17" i="3"/>
  <c r="N8" i="3"/>
  <c r="N9" i="3"/>
  <c r="N12" i="3"/>
  <c r="N6" i="3"/>
  <c r="N5" i="3"/>
  <c r="E107" i="3"/>
  <c r="E108" i="3" s="1"/>
  <c r="D107" i="3"/>
  <c r="D108" i="3" s="1"/>
  <c r="I57" i="3"/>
  <c r="O56" i="6" s="1"/>
  <c r="J57" i="3"/>
  <c r="P56" i="6" s="1"/>
  <c r="H107" i="3"/>
  <c r="H108" i="3" s="1"/>
  <c r="C107" i="3"/>
  <c r="C108" i="3" s="1"/>
  <c r="J100" i="3"/>
  <c r="J101" i="3" s="1"/>
  <c r="I100" i="3"/>
  <c r="I101" i="3" s="1"/>
  <c r="H100" i="3"/>
  <c r="H101" i="3" s="1"/>
  <c r="G100" i="3"/>
  <c r="G101" i="3" s="1"/>
  <c r="F100" i="3"/>
  <c r="F101" i="3" s="1"/>
  <c r="E100" i="3"/>
  <c r="E101" i="3" s="1"/>
  <c r="D100" i="3"/>
  <c r="D101" i="3" s="1"/>
  <c r="C100" i="3"/>
  <c r="C101" i="3" s="1"/>
  <c r="J98" i="3"/>
  <c r="J99" i="3" s="1"/>
  <c r="I98" i="3"/>
  <c r="I99" i="3" s="1"/>
  <c r="H98" i="3"/>
  <c r="H99" i="3" s="1"/>
  <c r="G98" i="3"/>
  <c r="G99" i="3" s="1"/>
  <c r="F98" i="3"/>
  <c r="F99" i="3" s="1"/>
  <c r="E98" i="3"/>
  <c r="E99" i="3" s="1"/>
  <c r="D98" i="3"/>
  <c r="D99" i="3" s="1"/>
  <c r="C98" i="3"/>
  <c r="C99" i="3" s="1"/>
  <c r="H57" i="3"/>
  <c r="N56" i="6" s="1"/>
  <c r="G57" i="3"/>
  <c r="F57" i="3"/>
  <c r="L56" i="6" s="1"/>
  <c r="E57" i="3"/>
  <c r="K56" i="6" s="1"/>
  <c r="D57" i="3"/>
  <c r="J56" i="6" s="1"/>
  <c r="C57" i="3"/>
  <c r="J47" i="3"/>
  <c r="P46" i="6" s="1"/>
  <c r="R46" i="6" s="1"/>
  <c r="I47" i="3"/>
  <c r="O46" i="6" s="1"/>
  <c r="H47" i="3"/>
  <c r="N46" i="6" s="1"/>
  <c r="G47" i="3"/>
  <c r="M46" i="6" s="1"/>
  <c r="F47" i="3"/>
  <c r="L46" i="6" s="1"/>
  <c r="E47" i="3"/>
  <c r="K46" i="6" s="1"/>
  <c r="D47" i="3"/>
  <c r="J46" i="6" s="1"/>
  <c r="C47" i="3"/>
  <c r="I46" i="6" s="1"/>
  <c r="J36" i="3"/>
  <c r="P35" i="6" s="1"/>
  <c r="R35" i="6" s="1"/>
  <c r="I36" i="3"/>
  <c r="O35" i="6" s="1"/>
  <c r="H36" i="3"/>
  <c r="N35" i="6" s="1"/>
  <c r="G36" i="3"/>
  <c r="M35" i="6" s="1"/>
  <c r="F36" i="3"/>
  <c r="L35" i="6" s="1"/>
  <c r="E36" i="3"/>
  <c r="K35" i="6" s="1"/>
  <c r="D36" i="3"/>
  <c r="J35" i="6" s="1"/>
  <c r="C36" i="3"/>
  <c r="I35" i="6" s="1"/>
  <c r="J11" i="3"/>
  <c r="J96" i="3" s="1"/>
  <c r="I11" i="3"/>
  <c r="I96" i="3" s="1"/>
  <c r="H11" i="3"/>
  <c r="H96" i="3" s="1"/>
  <c r="G11" i="3"/>
  <c r="G96" i="3" s="1"/>
  <c r="F11" i="3"/>
  <c r="F96" i="3" s="1"/>
  <c r="E11" i="3"/>
  <c r="E96" i="3" s="1"/>
  <c r="D11" i="3"/>
  <c r="D96" i="3" s="1"/>
  <c r="C11" i="3"/>
  <c r="C96" i="3" s="1"/>
  <c r="J7" i="3"/>
  <c r="I7" i="3"/>
  <c r="H7" i="3"/>
  <c r="N7" i="6" s="1"/>
  <c r="N96" i="6" s="1"/>
  <c r="G7" i="3"/>
  <c r="M7" i="6" s="1"/>
  <c r="M96" i="6" s="1"/>
  <c r="F7" i="3"/>
  <c r="L7" i="6" s="1"/>
  <c r="L96" i="6" s="1"/>
  <c r="E7" i="3"/>
  <c r="K7" i="6" s="1"/>
  <c r="K96" i="6" s="1"/>
  <c r="D7" i="3"/>
  <c r="J7" i="6" s="1"/>
  <c r="J96" i="6" s="1"/>
  <c r="C7" i="3"/>
  <c r="I7" i="6" s="1"/>
  <c r="I108" i="1"/>
  <c r="J108" i="1"/>
  <c r="K107" i="1"/>
  <c r="K108" i="1" s="1"/>
  <c r="C108" i="1"/>
  <c r="D108" i="1"/>
  <c r="E108" i="1"/>
  <c r="F108" i="1"/>
  <c r="G108" i="1"/>
  <c r="H108" i="1"/>
  <c r="H100" i="1"/>
  <c r="H101" i="1" s="1"/>
  <c r="I100" i="1"/>
  <c r="I101" i="1" s="1"/>
  <c r="J100" i="1"/>
  <c r="J101" i="1" s="1"/>
  <c r="K100" i="1"/>
  <c r="K101" i="1" s="1"/>
  <c r="J98" i="1"/>
  <c r="J99" i="1" s="1"/>
  <c r="K98" i="1"/>
  <c r="K99" i="1" s="1"/>
  <c r="C98" i="1"/>
  <c r="C99" i="1" s="1"/>
  <c r="D98" i="1"/>
  <c r="D99" i="1" s="1"/>
  <c r="E98" i="1"/>
  <c r="E99" i="1" s="1"/>
  <c r="F98" i="1"/>
  <c r="F99" i="1" s="1"/>
  <c r="G98" i="1"/>
  <c r="G99" i="1" s="1"/>
  <c r="H98" i="1"/>
  <c r="H99" i="1" s="1"/>
  <c r="I98" i="1"/>
  <c r="I99" i="1" s="1"/>
  <c r="D7" i="1"/>
  <c r="C57" i="1"/>
  <c r="D57" i="1"/>
  <c r="E105" i="1"/>
  <c r="E106" i="1" s="1"/>
  <c r="F105" i="1"/>
  <c r="F106" i="1" s="1"/>
  <c r="H57" i="1"/>
  <c r="H105" i="1" s="1"/>
  <c r="H106" i="1" s="1"/>
  <c r="I57" i="1"/>
  <c r="I105" i="1" s="1"/>
  <c r="I106" i="1" s="1"/>
  <c r="J57" i="1"/>
  <c r="J105" i="1" s="1"/>
  <c r="J106" i="1" s="1"/>
  <c r="K57" i="1"/>
  <c r="K105" i="1" s="1"/>
  <c r="K106" i="1" s="1"/>
  <c r="K47" i="1"/>
  <c r="K36" i="1"/>
  <c r="J47" i="1"/>
  <c r="J36" i="1"/>
  <c r="I47" i="1"/>
  <c r="I36" i="1"/>
  <c r="H47" i="1"/>
  <c r="H36" i="1"/>
  <c r="D36" i="1"/>
  <c r="D35" i="6" s="1"/>
  <c r="C36" i="1"/>
  <c r="C35" i="6" s="1"/>
  <c r="K11" i="1"/>
  <c r="K96" i="1" s="1"/>
  <c r="K97" i="1" s="1"/>
  <c r="K7" i="1"/>
  <c r="J11" i="1"/>
  <c r="J96" i="1" s="1"/>
  <c r="J97" i="1" s="1"/>
  <c r="J7" i="1"/>
  <c r="I11" i="1"/>
  <c r="I96" i="1" s="1"/>
  <c r="I97" i="1" s="1"/>
  <c r="I7" i="1"/>
  <c r="H11" i="1"/>
  <c r="H96" i="1" s="1"/>
  <c r="H97" i="1" s="1"/>
  <c r="H7" i="1"/>
  <c r="E136" i="1"/>
  <c r="D11" i="1"/>
  <c r="D96" i="1" s="1"/>
  <c r="C11" i="1"/>
  <c r="C96" i="1" s="1"/>
  <c r="C7" i="1"/>
  <c r="R13" i="6" l="1"/>
  <c r="R98" i="6"/>
  <c r="R97" i="6"/>
  <c r="J87" i="6"/>
  <c r="I96" i="6"/>
  <c r="C14" i="2"/>
  <c r="M87" i="6"/>
  <c r="K87" i="6"/>
  <c r="L87" i="6"/>
  <c r="R78" i="6"/>
  <c r="R80" i="6" s="1"/>
  <c r="R82" i="6" s="1"/>
  <c r="G105" i="3"/>
  <c r="G106" i="3" s="1"/>
  <c r="M56" i="6"/>
  <c r="R56" i="6" s="1"/>
  <c r="C105" i="3"/>
  <c r="C106" i="3" s="1"/>
  <c r="I56" i="6"/>
  <c r="J97" i="3"/>
  <c r="P11" i="6"/>
  <c r="I97" i="3"/>
  <c r="O11" i="6"/>
  <c r="P88" i="6" s="1"/>
  <c r="H97" i="3"/>
  <c r="N11" i="6"/>
  <c r="O88" i="6" s="1"/>
  <c r="G97" i="3"/>
  <c r="M11" i="6"/>
  <c r="F97" i="3"/>
  <c r="L11" i="6"/>
  <c r="M88" i="6" s="1"/>
  <c r="E97" i="3"/>
  <c r="K11" i="6"/>
  <c r="D97" i="3"/>
  <c r="J11" i="6"/>
  <c r="C97" i="3"/>
  <c r="I11" i="6"/>
  <c r="Q7" i="3"/>
  <c r="P7" i="6"/>
  <c r="P96" i="6" s="1"/>
  <c r="P7" i="3"/>
  <c r="O7" i="6"/>
  <c r="O96" i="6" s="1"/>
  <c r="N87" i="6"/>
  <c r="E80" i="6"/>
  <c r="E82" i="6" s="1"/>
  <c r="D80" i="6"/>
  <c r="D82" i="6" s="1"/>
  <c r="F80" i="6"/>
  <c r="F82" i="6" s="1"/>
  <c r="C105" i="1"/>
  <c r="C106" i="1" s="1"/>
  <c r="C56" i="6"/>
  <c r="D105" i="1"/>
  <c r="D106" i="1" s="1"/>
  <c r="D56" i="6"/>
  <c r="D97" i="1"/>
  <c r="D11" i="6"/>
  <c r="E88" i="6" s="1"/>
  <c r="C97" i="1"/>
  <c r="C11" i="6"/>
  <c r="D136" i="1"/>
  <c r="D7" i="6"/>
  <c r="C136" i="1"/>
  <c r="C7" i="6"/>
  <c r="R10" i="3"/>
  <c r="I108" i="3"/>
  <c r="R14" i="3"/>
  <c r="R15" i="3"/>
  <c r="R19" i="3"/>
  <c r="R6" i="3"/>
  <c r="P11" i="3"/>
  <c r="F97" i="1"/>
  <c r="R20" i="3"/>
  <c r="D130" i="1"/>
  <c r="E130" i="1"/>
  <c r="E126" i="1"/>
  <c r="F136" i="1"/>
  <c r="D126" i="1"/>
  <c r="F126" i="1"/>
  <c r="F130" i="1"/>
  <c r="R13" i="3"/>
  <c r="R16" i="3"/>
  <c r="R12" i="3"/>
  <c r="R21" i="3"/>
  <c r="R17" i="3"/>
  <c r="R9" i="3"/>
  <c r="R5" i="3"/>
  <c r="R18" i="3"/>
  <c r="R8" i="3"/>
  <c r="N21" i="3"/>
  <c r="C13" i="2" s="1"/>
  <c r="Q11" i="3"/>
  <c r="N7" i="3"/>
  <c r="N20" i="3"/>
  <c r="N11" i="3"/>
  <c r="F105" i="3"/>
  <c r="F106" i="3" s="1"/>
  <c r="E105" i="3"/>
  <c r="E106" i="3" s="1"/>
  <c r="J107" i="3"/>
  <c r="J108" i="3" s="1"/>
  <c r="D105" i="3"/>
  <c r="D106" i="3" s="1"/>
  <c r="E97" i="1"/>
  <c r="I110" i="3"/>
  <c r="I105" i="3"/>
  <c r="I106" i="3" s="1"/>
  <c r="J105" i="3"/>
  <c r="J106" i="3" s="1"/>
  <c r="H110" i="3"/>
  <c r="H105" i="3"/>
  <c r="H106" i="3" s="1"/>
  <c r="E87" i="6" l="1"/>
  <c r="D96" i="6"/>
  <c r="D87" i="6"/>
  <c r="C96" i="6"/>
  <c r="J88" i="6"/>
  <c r="R7" i="6"/>
  <c r="R96" i="6" s="1"/>
  <c r="R7" i="3"/>
  <c r="L88" i="6"/>
  <c r="R11" i="6"/>
  <c r="N88" i="6"/>
  <c r="O87" i="6"/>
  <c r="P87" i="6"/>
  <c r="K88" i="6"/>
  <c r="D88" i="6"/>
  <c r="D3" i="1"/>
  <c r="D3" i="6" s="1"/>
  <c r="R11" i="3"/>
  <c r="E3" i="1" l="1"/>
  <c r="E3" i="6" s="1"/>
  <c r="F3" i="1" l="1"/>
  <c r="F3" i="6" s="1"/>
  <c r="G3" i="1" l="1"/>
  <c r="G3" i="6" s="1"/>
  <c r="H3" i="1" l="1"/>
  <c r="I3" i="1" s="1"/>
  <c r="J3" i="1" s="1"/>
  <c r="K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tc={67DECAB4-0275-014E-8330-2AC598C5B947}</author>
  </authors>
  <commentList>
    <comment ref="B120" authorId="0" shapeId="0" xr:uid="{67DECAB4-0275-014E-8330-2AC598C5B9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number</t>
      </text>
    </comment>
  </commentList>
</comments>
</file>

<file path=xl/sharedStrings.xml><?xml version="1.0" encoding="utf-8"?>
<sst xmlns="http://schemas.openxmlformats.org/spreadsheetml/2006/main" count="387" uniqueCount="178">
  <si>
    <t>Date</t>
  </si>
  <si>
    <t>FY</t>
  </si>
  <si>
    <t>Ticker</t>
  </si>
  <si>
    <t>Units</t>
  </si>
  <si>
    <t>Shares outstanding</t>
  </si>
  <si>
    <t>Income statement</t>
  </si>
  <si>
    <t>Revenue</t>
  </si>
  <si>
    <t>COGS</t>
  </si>
  <si>
    <t>Gross Profit</t>
  </si>
  <si>
    <t>R&amp;D</t>
  </si>
  <si>
    <t>OpEx</t>
  </si>
  <si>
    <t>Operating income</t>
  </si>
  <si>
    <t>Income before taxes</t>
  </si>
  <si>
    <t>Net income</t>
  </si>
  <si>
    <t>Basic Shares outstanding avg</t>
  </si>
  <si>
    <t>Diluted Shares outstanding avg</t>
  </si>
  <si>
    <t>Basic EPS</t>
  </si>
  <si>
    <t>Diluted EPS</t>
  </si>
  <si>
    <t>Balance sheet</t>
  </si>
  <si>
    <t>Cash and cash equivalents</t>
  </si>
  <si>
    <t>Acc receivable</t>
  </si>
  <si>
    <t>Current assets</t>
  </si>
  <si>
    <t>Deferred tax assets</t>
  </si>
  <si>
    <t>PP&amp;E</t>
  </si>
  <si>
    <t>Goodwill</t>
  </si>
  <si>
    <t>Other assets</t>
  </si>
  <si>
    <t>Long term assets</t>
  </si>
  <si>
    <t>Total assets</t>
  </si>
  <si>
    <t>Acc payable</t>
  </si>
  <si>
    <t>Long term liabilities</t>
  </si>
  <si>
    <t>Total liabilities</t>
  </si>
  <si>
    <t>Current liabilities</t>
  </si>
  <si>
    <t>Common stock par value</t>
  </si>
  <si>
    <t>Retained earnings</t>
  </si>
  <si>
    <t>Stockholder equity</t>
  </si>
  <si>
    <t>Total liabilities and equity</t>
  </si>
  <si>
    <t>Cashflow statement</t>
  </si>
  <si>
    <t>D&amp;A</t>
  </si>
  <si>
    <t>Change acc receivable</t>
  </si>
  <si>
    <t>Change acc payable</t>
  </si>
  <si>
    <t>Operating cashflow</t>
  </si>
  <si>
    <t>Investing cashflow</t>
  </si>
  <si>
    <t>Financing cashflow</t>
  </si>
  <si>
    <t>Net increase/decrease in cash</t>
  </si>
  <si>
    <t>Begin cash</t>
  </si>
  <si>
    <t>End cash</t>
  </si>
  <si>
    <t>Sanity checks</t>
  </si>
  <si>
    <t>Calculated Net Income</t>
  </si>
  <si>
    <t>Check Net Income</t>
  </si>
  <si>
    <t>Calculated Assets</t>
  </si>
  <si>
    <t>Check Assets</t>
  </si>
  <si>
    <t xml:space="preserve">Calculated Liabilities </t>
  </si>
  <si>
    <t>Check Liabilities</t>
  </si>
  <si>
    <t>Calculated Stockholder Equity</t>
  </si>
  <si>
    <t>Check Stockholder Equity</t>
  </si>
  <si>
    <t>Calculated Operating Cashflow</t>
  </si>
  <si>
    <t>Check Operating Cashflow</t>
  </si>
  <si>
    <t>Calculated Investing Cashflow</t>
  </si>
  <si>
    <t>Check Investing Cashflow</t>
  </si>
  <si>
    <t>Calculated Financing Cashflow</t>
  </si>
  <si>
    <t>Check Financing Cashflow</t>
  </si>
  <si>
    <t>Check End Cash</t>
  </si>
  <si>
    <t>Calculated End Cash</t>
  </si>
  <si>
    <t>Other data</t>
  </si>
  <si>
    <t>Check balance</t>
  </si>
  <si>
    <t>Q</t>
  </si>
  <si>
    <t>Q1 2025</t>
  </si>
  <si>
    <t>Q2 2025</t>
  </si>
  <si>
    <t>Q3 2025</t>
  </si>
  <si>
    <t>Dividends per share</t>
  </si>
  <si>
    <t>Income tax expense/benefit</t>
  </si>
  <si>
    <t>Q4 2024</t>
  </si>
  <si>
    <t>Price</t>
  </si>
  <si>
    <t>TTM</t>
  </si>
  <si>
    <t>Quarter compare</t>
  </si>
  <si>
    <t>Growth Rate</t>
  </si>
  <si>
    <t>Revenue Lower</t>
  </si>
  <si>
    <t>Revenue Upper</t>
  </si>
  <si>
    <t>Result</t>
  </si>
  <si>
    <t>EPS Lower</t>
  </si>
  <si>
    <t>EPS Upper</t>
  </si>
  <si>
    <t>Actual Revenue</t>
  </si>
  <si>
    <t>Actual EPS</t>
  </si>
  <si>
    <t>Company guidance next Quarter</t>
  </si>
  <si>
    <t>Depreciation</t>
  </si>
  <si>
    <t>Amortization</t>
  </si>
  <si>
    <t>Growth rates Income Statement</t>
  </si>
  <si>
    <t>Margins</t>
  </si>
  <si>
    <t>Gross margin</t>
  </si>
  <si>
    <t>Operating margin</t>
  </si>
  <si>
    <t>Net margin</t>
  </si>
  <si>
    <t>Tax rate</t>
  </si>
  <si>
    <t>Employees</t>
  </si>
  <si>
    <t>Sales and marketing</t>
  </si>
  <si>
    <t>General and administrative</t>
  </si>
  <si>
    <t>K</t>
  </si>
  <si>
    <t>Operating lease right of use</t>
  </si>
  <si>
    <t>Additional paid-in capital</t>
  </si>
  <si>
    <t>Stock-based compensation</t>
  </si>
  <si>
    <t>Change prepaid expenses</t>
  </si>
  <si>
    <t>Interest income</t>
  </si>
  <si>
    <t>Intangible assets</t>
  </si>
  <si>
    <t>Deferred tax liabilities</t>
  </si>
  <si>
    <t>Revenue breakdown</t>
  </si>
  <si>
    <t>Company specifics</t>
  </si>
  <si>
    <t>Company specific metrics</t>
  </si>
  <si>
    <t>Other income/expense</t>
  </si>
  <si>
    <t>Prepaid expenses &amp; Other current</t>
  </si>
  <si>
    <t>Capitalized internal use software</t>
  </si>
  <si>
    <t>Accrued expenses</t>
  </si>
  <si>
    <t>Operating lease</t>
  </si>
  <si>
    <t>Other liabilities</t>
  </si>
  <si>
    <t>Other comprehensive loss</t>
  </si>
  <si>
    <t>Change lease liabilities</t>
  </si>
  <si>
    <t>Effect exchange rate</t>
  </si>
  <si>
    <t>Q4 2025</t>
  </si>
  <si>
    <t>Long term debt</t>
  </si>
  <si>
    <t>Change NWC</t>
  </si>
  <si>
    <t>DuPont Identity</t>
  </si>
  <si>
    <t>Profit Margin (Earnings/Revenue)</t>
  </si>
  <si>
    <t>Asset Turnover (Revenue/Total assets)</t>
  </si>
  <si>
    <t>ROA</t>
  </si>
  <si>
    <t>Equity Multiplier (Total assets/Equity)</t>
  </si>
  <si>
    <t>ROE</t>
  </si>
  <si>
    <t>Growth rates</t>
  </si>
  <si>
    <t>SN</t>
  </si>
  <si>
    <t>Notes</t>
  </si>
  <si>
    <t>10-K for SN are 20-F</t>
  </si>
  <si>
    <t>10-Q for SN are 6-K</t>
  </si>
  <si>
    <t>31.12.2023</t>
  </si>
  <si>
    <t>31.12.2024</t>
  </si>
  <si>
    <t>31.12.2021</t>
  </si>
  <si>
    <t>31.12.2022</t>
  </si>
  <si>
    <t>Interest income/expense</t>
  </si>
  <si>
    <t>Restricted cash</t>
  </si>
  <si>
    <t>Inventories</t>
  </si>
  <si>
    <t>Tax payable</t>
  </si>
  <si>
    <t>Current portion long term debt</t>
  </si>
  <si>
    <t>Shareholder executive bonuses</t>
  </si>
  <si>
    <t>Provision for credit losses</t>
  </si>
  <si>
    <t>Non-cash lease expense</t>
  </si>
  <si>
    <t>Deferred income taxes</t>
  </si>
  <si>
    <t>Other</t>
  </si>
  <si>
    <t>Change inventory</t>
  </si>
  <si>
    <t>Change tax payable</t>
  </si>
  <si>
    <t>Change accrued expense and other</t>
  </si>
  <si>
    <t>Capex</t>
  </si>
  <si>
    <t>Purchase intangible assets</t>
  </si>
  <si>
    <t>Cash receipts interest sold receivables</t>
  </si>
  <si>
    <t>Investment in equity method</t>
  </si>
  <si>
    <t>Other investing</t>
  </si>
  <si>
    <t>Issuance debt</t>
  </si>
  <si>
    <t>Repayment debt</t>
  </si>
  <si>
    <t>Intercompany note former parent</t>
  </si>
  <si>
    <t>Distribution to former parent</t>
  </si>
  <si>
    <t>Recharge from former parent</t>
  </si>
  <si>
    <t>Shares witheld for restricted stock units</t>
  </si>
  <si>
    <t>Dividend payments</t>
  </si>
  <si>
    <t>Shares issued employee purchse plan</t>
  </si>
  <si>
    <t>31.12.2025</t>
  </si>
  <si>
    <t>30.09.2025</t>
  </si>
  <si>
    <t>30.09.2024</t>
  </si>
  <si>
    <t>Q3 2024</t>
  </si>
  <si>
    <t>30.06.2025</t>
  </si>
  <si>
    <t>30.06.2024</t>
  </si>
  <si>
    <t>Q2 2024</t>
  </si>
  <si>
    <t>31.03.2025</t>
  </si>
  <si>
    <t>Q1 2024</t>
  </si>
  <si>
    <t>31.03.2024</t>
  </si>
  <si>
    <t>Provision excess inventory</t>
  </si>
  <si>
    <t>PE</t>
  </si>
  <si>
    <t>PS</t>
  </si>
  <si>
    <t>Proxy for SN are 6-K</t>
  </si>
  <si>
    <t>Market cap</t>
  </si>
  <si>
    <t>Net debt</t>
  </si>
  <si>
    <t>EV</t>
  </si>
  <si>
    <t>EBITDA</t>
  </si>
  <si>
    <t>Provision for excess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</si>
</sst>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0.00_);[Red]\(0.00\)"/>
    <numFmt numFmtId="165" formatCode="0.0%"/>
    <numFmt numFmtId="166" formatCode="#,##0.0_);[Red]\(#,##0.0\)"/>
    <numFmt numFmtId="167" formatCode="0.00_);\(0.00\)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 tint="-4.9989318521683403E-2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sz val="12"/>
      <color rgb="FF0070C0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rgb="FF0070C0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F2F2F2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AD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4D93D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15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3" borderId="0" xfId="0" applyFont="1" applyFill="1"/>
    <xf numFmtId="0" fontId="3" fillId="2" borderId="0" xfId="0" applyFont="1" applyFill="1"/>
    <xf numFmtId="0" fontId="2" fillId="3" borderId="2" xfId="0" applyFont="1" applyFill="1" applyBorder="1"/>
    <xf numFmtId="0" fontId="1" fillId="3" borderId="0" xfId="0" applyFont="1" applyFill="1"/>
    <xf numFmtId="0" fontId="2" fillId="3" borderId="0" xfId="0" applyFont="1" applyFill="1"/>
    <xf numFmtId="0" fontId="0" fillId="4" borderId="0" xfId="0" applyFill="1"/>
    <xf numFmtId="0" fontId="2" fillId="4" borderId="2" xfId="0" applyFont="1" applyFill="1" applyBorder="1"/>
    <xf numFmtId="0" fontId="1" fillId="4" borderId="0" xfId="0" applyFont="1" applyFill="1"/>
    <xf numFmtId="0" fontId="2" fillId="4" borderId="0" xfId="0" applyFont="1" applyFill="1"/>
    <xf numFmtId="0" fontId="1" fillId="3" borderId="2" xfId="0" applyFont="1" applyFill="1" applyBorder="1"/>
    <xf numFmtId="0" fontId="3" fillId="5" borderId="2" xfId="0" applyFont="1" applyFill="1" applyBorder="1"/>
    <xf numFmtId="0" fontId="4" fillId="5" borderId="2" xfId="0" applyFont="1" applyFill="1" applyBorder="1"/>
    <xf numFmtId="0" fontId="0" fillId="3" borderId="2" xfId="0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4" borderId="2" xfId="0" applyFont="1" applyFill="1" applyBorder="1"/>
    <xf numFmtId="38" fontId="0" fillId="3" borderId="0" xfId="0" applyNumberFormat="1" applyFill="1"/>
    <xf numFmtId="38" fontId="1" fillId="3" borderId="0" xfId="0" applyNumberFormat="1" applyFont="1" applyFill="1"/>
    <xf numFmtId="41" fontId="1" fillId="6" borderId="1" xfId="0" applyNumberFormat="1" applyFont="1" applyFill="1" applyBorder="1"/>
    <xf numFmtId="41" fontId="1" fillId="6" borderId="0" xfId="0" applyNumberFormat="1" applyFont="1" applyFill="1"/>
    <xf numFmtId="41" fontId="1" fillId="7" borderId="1" xfId="0" applyNumberFormat="1" applyFont="1" applyFill="1" applyBorder="1"/>
    <xf numFmtId="164" fontId="2" fillId="3" borderId="0" xfId="0" applyNumberFormat="1" applyFont="1" applyFill="1"/>
    <xf numFmtId="41" fontId="1" fillId="3" borderId="0" xfId="0" applyNumberFormat="1" applyFont="1" applyFill="1"/>
    <xf numFmtId="38" fontId="6" fillId="3" borderId="0" xfId="0" applyNumberFormat="1" applyFont="1" applyFill="1"/>
    <xf numFmtId="0" fontId="6" fillId="3" borderId="0" xfId="0" applyFont="1" applyFill="1"/>
    <xf numFmtId="38" fontId="7" fillId="3" borderId="0" xfId="0" applyNumberFormat="1" applyFont="1" applyFill="1"/>
    <xf numFmtId="0" fontId="7" fillId="3" borderId="0" xfId="0" applyFont="1" applyFill="1"/>
    <xf numFmtId="164" fontId="6" fillId="3" borderId="0" xfId="0" applyNumberFormat="1" applyFont="1" applyFill="1"/>
    <xf numFmtId="164" fontId="6" fillId="3" borderId="2" xfId="0" applyNumberFormat="1" applyFont="1" applyFill="1" applyBorder="1"/>
    <xf numFmtId="38" fontId="8" fillId="3" borderId="0" xfId="0" applyNumberFormat="1" applyFont="1" applyFill="1"/>
    <xf numFmtId="38" fontId="2" fillId="3" borderId="0" xfId="0" applyNumberFormat="1" applyFont="1" applyFill="1"/>
    <xf numFmtId="4" fontId="0" fillId="3" borderId="0" xfId="0" applyNumberFormat="1" applyFill="1"/>
    <xf numFmtId="0" fontId="0" fillId="8" borderId="0" xfId="0" applyFill="1"/>
    <xf numFmtId="0" fontId="3" fillId="2" borderId="4" xfId="0" applyFont="1" applyFill="1" applyBorder="1" applyAlignment="1">
      <alignment horizontal="right"/>
    </xf>
    <xf numFmtId="0" fontId="3" fillId="5" borderId="3" xfId="0" applyFont="1" applyFill="1" applyBorder="1"/>
    <xf numFmtId="0" fontId="3" fillId="5" borderId="6" xfId="0" applyFont="1" applyFill="1" applyBorder="1" applyAlignment="1">
      <alignment horizontal="center"/>
    </xf>
    <xf numFmtId="38" fontId="0" fillId="3" borderId="7" xfId="0" applyNumberFormat="1" applyFill="1" applyBorder="1"/>
    <xf numFmtId="164" fontId="0" fillId="3" borderId="7" xfId="0" applyNumberFormat="1" applyFill="1" applyBorder="1"/>
    <xf numFmtId="164" fontId="0" fillId="3" borderId="6" xfId="0" applyNumberFormat="1" applyFill="1" applyBorder="1"/>
    <xf numFmtId="0" fontId="3" fillId="2" borderId="7" xfId="0" applyFont="1" applyFill="1" applyBorder="1" applyAlignment="1">
      <alignment horizontal="right"/>
    </xf>
    <xf numFmtId="0" fontId="3" fillId="2" borderId="7" xfId="0" applyFont="1" applyFill="1" applyBorder="1"/>
    <xf numFmtId="0" fontId="3" fillId="2" borderId="9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0" fontId="3" fillId="2" borderId="12" xfId="0" applyFont="1" applyFill="1" applyBorder="1"/>
    <xf numFmtId="0" fontId="3" fillId="2" borderId="4" xfId="0" applyFont="1" applyFill="1" applyBorder="1"/>
    <xf numFmtId="38" fontId="0" fillId="3" borderId="12" xfId="0" applyNumberFormat="1" applyFill="1" applyBorder="1"/>
    <xf numFmtId="10" fontId="0" fillId="3" borderId="4" xfId="1" applyNumberFormat="1" applyFont="1" applyFill="1" applyBorder="1"/>
    <xf numFmtId="38" fontId="8" fillId="9" borderId="1" xfId="0" applyNumberFormat="1" applyFont="1" applyFill="1" applyBorder="1"/>
    <xf numFmtId="0" fontId="1" fillId="9" borderId="0" xfId="0" applyFont="1" applyFill="1"/>
    <xf numFmtId="0" fontId="1" fillId="9" borderId="1" xfId="0" applyFont="1" applyFill="1" applyBorder="1"/>
    <xf numFmtId="38" fontId="1" fillId="9" borderId="1" xfId="0" applyNumberFormat="1" applyFont="1" applyFill="1" applyBorder="1"/>
    <xf numFmtId="38" fontId="8" fillId="9" borderId="0" xfId="0" applyNumberFormat="1" applyFont="1" applyFill="1"/>
    <xf numFmtId="38" fontId="1" fillId="9" borderId="0" xfId="0" applyNumberFormat="1" applyFont="1" applyFill="1"/>
    <xf numFmtId="0" fontId="1" fillId="9" borderId="2" xfId="0" applyFont="1" applyFill="1" applyBorder="1"/>
    <xf numFmtId="38" fontId="8" fillId="9" borderId="2" xfId="0" applyNumberFormat="1" applyFont="1" applyFill="1" applyBorder="1"/>
    <xf numFmtId="38" fontId="1" fillId="9" borderId="8" xfId="0" applyNumberFormat="1" applyFont="1" applyFill="1" applyBorder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0" fillId="5" borderId="0" xfId="0" applyFill="1"/>
    <xf numFmtId="0" fontId="0" fillId="7" borderId="0" xfId="0" applyFill="1" applyAlignment="1">
      <alignment horizontal="left"/>
    </xf>
    <xf numFmtId="0" fontId="0" fillId="5" borderId="2" xfId="0" applyFill="1" applyBorder="1"/>
    <xf numFmtId="10" fontId="1" fillId="9" borderId="5" xfId="1" applyNumberFormat="1" applyFont="1" applyFill="1" applyBorder="1"/>
    <xf numFmtId="10" fontId="2" fillId="3" borderId="4" xfId="1" applyNumberFormat="1" applyFont="1" applyFill="1" applyBorder="1"/>
    <xf numFmtId="10" fontId="0" fillId="3" borderId="5" xfId="1" applyNumberFormat="1" applyFont="1" applyFill="1" applyBorder="1"/>
    <xf numFmtId="38" fontId="1" fillId="9" borderId="14" xfId="0" applyNumberFormat="1" applyFont="1" applyFill="1" applyBorder="1"/>
    <xf numFmtId="38" fontId="2" fillId="3" borderId="12" xfId="0" applyNumberFormat="1" applyFont="1" applyFill="1" applyBorder="1"/>
    <xf numFmtId="164" fontId="0" fillId="3" borderId="12" xfId="0" applyNumberFormat="1" applyFill="1" applyBorder="1"/>
    <xf numFmtId="164" fontId="0" fillId="3" borderId="0" xfId="0" applyNumberFormat="1" applyFill="1"/>
    <xf numFmtId="164" fontId="0" fillId="3" borderId="14" xfId="0" applyNumberFormat="1" applyFill="1" applyBorder="1"/>
    <xf numFmtId="164" fontId="0" fillId="3" borderId="1" xfId="0" applyNumberFormat="1" applyFill="1" applyBorder="1"/>
    <xf numFmtId="9" fontId="0" fillId="3" borderId="0" xfId="1" applyFont="1" applyFill="1"/>
    <xf numFmtId="9" fontId="1" fillId="3" borderId="1" xfId="1" applyFont="1" applyFill="1" applyBorder="1"/>
    <xf numFmtId="0" fontId="1" fillId="3" borderId="15" xfId="0" applyFont="1" applyFill="1" applyBorder="1"/>
    <xf numFmtId="0" fontId="1" fillId="4" borderId="15" xfId="0" applyFont="1" applyFill="1" applyBorder="1"/>
    <xf numFmtId="9" fontId="1" fillId="3" borderId="15" xfId="1" applyFont="1" applyFill="1" applyBorder="1"/>
    <xf numFmtId="0" fontId="0" fillId="4" borderId="1" xfId="0" applyFill="1" applyBorder="1"/>
    <xf numFmtId="9" fontId="0" fillId="3" borderId="1" xfId="1" applyFont="1" applyFill="1" applyBorder="1"/>
    <xf numFmtId="0" fontId="0" fillId="3" borderId="1" xfId="0" applyFill="1" applyBorder="1"/>
    <xf numFmtId="38" fontId="8" fillId="10" borderId="0" xfId="0" applyNumberFormat="1" applyFont="1" applyFill="1"/>
    <xf numFmtId="38" fontId="8" fillId="10" borderId="2" xfId="0" applyNumberFormat="1" applyFont="1" applyFill="1" applyBorder="1"/>
    <xf numFmtId="38" fontId="6" fillId="11" borderId="0" xfId="0" applyNumberFormat="1" applyFont="1" applyFill="1"/>
    <xf numFmtId="165" fontId="0" fillId="3" borderId="0" xfId="1" applyNumberFormat="1" applyFont="1" applyFill="1" applyBorder="1"/>
    <xf numFmtId="166" fontId="2" fillId="3" borderId="0" xfId="0" applyNumberFormat="1" applyFont="1" applyFill="1"/>
    <xf numFmtId="0" fontId="10" fillId="11" borderId="0" xfId="0" applyFont="1" applyFill="1"/>
    <xf numFmtId="2" fontId="0" fillId="3" borderId="0" xfId="0" applyNumberFormat="1" applyFill="1"/>
    <xf numFmtId="10" fontId="2" fillId="3" borderId="0" xfId="0" applyNumberFormat="1" applyFont="1" applyFill="1"/>
    <xf numFmtId="0" fontId="3" fillId="5" borderId="0" xfId="0" applyFont="1" applyFill="1"/>
    <xf numFmtId="9" fontId="1" fillId="12" borderId="0" xfId="1" applyFont="1" applyFill="1" applyBorder="1"/>
    <xf numFmtId="9" fontId="0" fillId="12" borderId="0" xfId="1" applyFont="1" applyFill="1" applyBorder="1"/>
    <xf numFmtId="37" fontId="1" fillId="9" borderId="1" xfId="0" applyNumberFormat="1" applyFont="1" applyFill="1" applyBorder="1"/>
    <xf numFmtId="37" fontId="2" fillId="3" borderId="0" xfId="0" applyNumberFormat="1" applyFont="1" applyFill="1"/>
    <xf numFmtId="167" fontId="2" fillId="3" borderId="2" xfId="0" applyNumberFormat="1" applyFont="1" applyFill="1" applyBorder="1"/>
    <xf numFmtId="37" fontId="1" fillId="9" borderId="0" xfId="0" applyNumberFormat="1" applyFont="1" applyFill="1"/>
    <xf numFmtId="37" fontId="1" fillId="9" borderId="2" xfId="0" applyNumberFormat="1" applyFont="1" applyFill="1" applyBorder="1"/>
    <xf numFmtId="0" fontId="11" fillId="13" borderId="2" xfId="0" applyFont="1" applyFill="1" applyBorder="1"/>
    <xf numFmtId="165" fontId="2" fillId="3" borderId="0" xfId="1" applyNumberFormat="1" applyFont="1" applyFill="1"/>
    <xf numFmtId="2" fontId="2" fillId="3" borderId="0" xfId="1" applyNumberFormat="1" applyFont="1" applyFill="1"/>
    <xf numFmtId="165" fontId="1" fillId="3" borderId="0" xfId="1" applyNumberFormat="1" applyFont="1" applyFill="1"/>
    <xf numFmtId="2" fontId="0" fillId="14" borderId="0" xfId="1" applyNumberFormat="1" applyFont="1" applyFill="1"/>
    <xf numFmtId="38" fontId="1" fillId="10" borderId="0" xfId="0" applyNumberFormat="1" applyFont="1" applyFill="1"/>
    <xf numFmtId="38" fontId="1" fillId="10" borderId="2" xfId="0" applyNumberFormat="1" applyFont="1" applyFill="1" applyBorder="1"/>
    <xf numFmtId="165" fontId="0" fillId="14" borderId="0" xfId="1" applyNumberFormat="1" applyFont="1" applyFill="1"/>
    <xf numFmtId="165" fontId="10" fillId="15" borderId="0" xfId="0" applyNumberFormat="1" applyFont="1" applyFill="1"/>
    <xf numFmtId="9" fontId="0" fillId="3" borderId="0" xfId="1" applyFont="1" applyFill="1" applyBorder="1"/>
    <xf numFmtId="3" fontId="0" fillId="3" borderId="0" xfId="0" applyNumberFormat="1" applyFill="1"/>
    <xf numFmtId="37" fontId="1" fillId="9" borderId="15" xfId="0" applyNumberFormat="1" applyFont="1" applyFill="1" applyBorder="1"/>
    <xf numFmtId="0" fontId="3" fillId="5" borderId="16" xfId="0" applyFont="1" applyFill="1" applyBorder="1"/>
    <xf numFmtId="0" fontId="3" fillId="5" borderId="1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A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KINGSTON/MyStockData/Finance-StockLists/1.%20List_AutomaticData.xlsx" TargetMode="External"/><Relationship Id="rId1" Type="http://schemas.openxmlformats.org/officeDocument/2006/relationships/externalLinkPath" Target="1.%20List_Automatic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9">
          <cell r="C9">
            <v>115.49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di dumitras" id="{92E58422-987F-E546-9BED-9F31546CAE56}" userId="b24535bb88af1c4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0" dT="2026-03-23T20:25:00.55" personId="{92E58422-987F-E546-9BED-9F31546CAE56}" id="{67DECAB4-0275-014E-8330-2AC598C5B947}">
    <text>Actual number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0442F6-B781-3744-BD57-82D74EB0F258}">
  <we:reference id="wa200001365" version="2.5.0.0" store="en-US" storeType="OMEX"/>
  <we:alternateReferences>
    <we:reference id="wa200001365" version="2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_xldudf_ALPHAVANTAGE_EQUITYQUOTE</we:customFunctionIds>
        <we:customFunctionIds>_xldudf_ALPHAVANTAGE_EQUITYTIMESERIES</we:customFunctionIds>
        <we:customFunctionIds>_xldudf_ALPHAVANTAGE_INTRADAYEQUITYSERIESUPDATING</we:customFunctionIds>
        <we:customFunctionIds>_xldudf_ALPHAVANTAGE_EXCHANGERATE</we:customFunctionIds>
        <we:customFunctionIds>_xldudf_ALPHAVANTAGE_EXCHANGERATEUPDATING</we:customFunctionIds>
        <we:customFunctionIds>_xldudf_ALPHAVANTAGE_EXCHANGERATESERIES</we:customFunctionIds>
        <we:customFunctionIds>_xldudf_ALPHAVANTAGE_EXCHANGERATESERIESUPDATING</we:customFunctionIds>
        <we:customFunctionIds>_xldudf_ALPHAVANTAGE_TECHNICALINDICATOR</we:customFunctionIds>
        <we:customFunctionIds>_xldudf_ALPHAVANTAGE_SYMBOLSEARCH</we:customFunctionIds>
        <we:customFunctionIds>_xldudf_ALPHAVANTAGE_COMMODITYTIMESERIES</we:customFunctionIds>
        <we:customFunctionIds>_xldudf_ALPHAVANTAGE_AVAILABLECRYPTOCURRENCIES</we:customFunctionIds>
        <we:customFunctionIds>_xldudf_ALPHAVANTAGE_AVAILABLEPHYSICALCURRENCIES</we:customFunctionIds>
        <we:customFunctionIds>_xldudf_ALPHAVANTAGE_COMPANYOVERVIEW</we:customFunctionIds>
        <we:customFunctionIds>_xldudf_ALPHAVANTAGE_COMPANYEARNINGS</we:customFunctionIds>
        <we:customFunctionIds>_xldudf_ALPHAVANTAGE_COMPANYFILINGS</we:customFunctionIds>
        <we:customFunctionIds>_xldudf_ALPHAVANTAGE_LISTINGSTATUS</we:customFunctionIds>
        <we:customFunctionIds>_xldudf_ALPHAVANTAGE_EARNINGSCALENDAR</we:customFunctionIds>
        <we:customFunctionIds>_xldudf_ALPHAVANTAGE_ECONOMICINDICATOR</we:customFunctionIds>
        <we:customFunctionIds>_xldudf_ALPHAVANTAGE_TREASURYYIELD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889E-47F7-E641-9FC7-1CBF49DF9C8A}">
  <dimension ref="B2:E19"/>
  <sheetViews>
    <sheetView tabSelected="1" topLeftCell="A5" zoomScale="192" workbookViewId="0">
      <selection activeCell="C11" sqref="C11"/>
    </sheetView>
  </sheetViews>
  <sheetFormatPr baseColWidth="10" defaultRowHeight="16" x14ac:dyDescent="0.2"/>
  <cols>
    <col min="1" max="1" width="10.83203125" style="1"/>
    <col min="2" max="2" width="17.1640625" style="1" customWidth="1"/>
    <col min="3" max="16384" width="10.83203125" style="1"/>
  </cols>
  <sheetData>
    <row r="2" spans="2:5" x14ac:dyDescent="0.2">
      <c r="B2" s="1" t="s">
        <v>2</v>
      </c>
      <c r="C2" s="36" t="s">
        <v>125</v>
      </c>
    </row>
    <row r="3" spans="2:5" x14ac:dyDescent="0.2">
      <c r="B3" s="1" t="s">
        <v>72</v>
      </c>
      <c r="C3" s="35">
        <f>[1]Sheet1!$C$9</f>
        <v>115.49</v>
      </c>
    </row>
    <row r="4" spans="2:5" x14ac:dyDescent="0.2">
      <c r="E4" s="89"/>
    </row>
    <row r="6" spans="2:5" x14ac:dyDescent="0.2">
      <c r="E6" s="35"/>
    </row>
    <row r="7" spans="2:5" x14ac:dyDescent="0.2">
      <c r="B7" s="1" t="s">
        <v>3</v>
      </c>
      <c r="C7" s="1" t="s">
        <v>95</v>
      </c>
    </row>
    <row r="9" spans="2:5" x14ac:dyDescent="0.2">
      <c r="B9" s="1" t="s">
        <v>173</v>
      </c>
      <c r="C9" s="109">
        <f>C3*'Statement Q'!J18</f>
        <v>16301528.989999998</v>
      </c>
    </row>
    <row r="10" spans="2:5" x14ac:dyDescent="0.2">
      <c r="B10" s="1" t="s">
        <v>174</v>
      </c>
      <c r="C10" s="109">
        <f>(Statements!R40+Statements!R42+Statements!R43)-Statements!R23</f>
        <v>99831</v>
      </c>
    </row>
    <row r="11" spans="2:5" x14ac:dyDescent="0.2">
      <c r="B11" s="1" t="s">
        <v>175</v>
      </c>
      <c r="C11" s="109">
        <f>C9+Overview!C10</f>
        <v>16401359.989999998</v>
      </c>
    </row>
    <row r="13" spans="2:5" x14ac:dyDescent="0.2">
      <c r="B13" s="1" t="s">
        <v>170</v>
      </c>
      <c r="C13" s="89">
        <f>C3/'Statement Q'!N21</f>
        <v>23.394507773313524</v>
      </c>
    </row>
    <row r="14" spans="2:5" x14ac:dyDescent="0.2">
      <c r="B14" s="1" t="s">
        <v>171</v>
      </c>
      <c r="C14" s="89">
        <f>C3/('Statement Q'!N5/'Statement Q'!N19)</f>
        <v>2.5641221190876093</v>
      </c>
    </row>
    <row r="15" spans="2:5" x14ac:dyDescent="0.2">
      <c r="C15" s="89"/>
    </row>
    <row r="16" spans="2:5" x14ac:dyDescent="0.2">
      <c r="B16" s="1" t="s">
        <v>126</v>
      </c>
      <c r="C16" s="20"/>
    </row>
    <row r="17" spans="2:2" x14ac:dyDescent="0.2">
      <c r="B17" s="1" t="s">
        <v>127</v>
      </c>
    </row>
    <row r="18" spans="2:2" x14ac:dyDescent="0.2">
      <c r="B18" s="1" t="s">
        <v>128</v>
      </c>
    </row>
    <row r="19" spans="2:2" x14ac:dyDescent="0.2">
      <c r="B19" s="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172E-7ADE-4B4A-B533-F037BCFCDCB0}">
  <dimension ref="A1:T148"/>
  <sheetViews>
    <sheetView zoomScale="143" zoomScaleNormal="150" workbookViewId="0">
      <pane xSplit="2" ySplit="3" topLeftCell="C121" activePane="bottomRight" state="frozen"/>
      <selection pane="topRight" activeCell="C1" sqref="C1"/>
      <selection pane="bottomLeft" activeCell="A4" sqref="A4"/>
      <selection pane="bottomRight" activeCell="G138" sqref="G138"/>
    </sheetView>
  </sheetViews>
  <sheetFormatPr baseColWidth="10" defaultRowHeight="16" outlineLevelRow="2" outlineLevelCol="1" x14ac:dyDescent="0.2"/>
  <cols>
    <col min="1" max="1" width="3.6640625" style="1" customWidth="1"/>
    <col min="2" max="2" width="32.5" style="9" customWidth="1"/>
    <col min="3" max="3" width="12" style="1" customWidth="1" outlineLevel="1"/>
    <col min="4" max="4" width="10.83203125" style="1" customWidth="1" outlineLevel="1"/>
    <col min="5" max="5" width="12" style="1" customWidth="1" outlineLevel="1"/>
    <col min="6" max="6" width="10.83203125" style="1" customWidth="1" outlineLevel="1"/>
    <col min="7" max="9" width="10.83203125" style="1" customWidth="1"/>
    <col min="10" max="16384" width="10.83203125" style="1"/>
  </cols>
  <sheetData>
    <row r="1" spans="1:11" x14ac:dyDescent="0.2">
      <c r="B1" s="1"/>
    </row>
    <row r="2" spans="1:11" s="3" customFormat="1" x14ac:dyDescent="0.2">
      <c r="A2" s="2"/>
      <c r="B2" s="61" t="s">
        <v>0</v>
      </c>
      <c r="C2" s="3" t="s">
        <v>131</v>
      </c>
      <c r="D2" s="3" t="s">
        <v>132</v>
      </c>
      <c r="E2" s="3" t="s">
        <v>129</v>
      </c>
      <c r="F2" s="3" t="s">
        <v>130</v>
      </c>
      <c r="G2" s="3" t="s">
        <v>159</v>
      </c>
    </row>
    <row r="3" spans="1:11" s="5" customFormat="1" x14ac:dyDescent="0.2">
      <c r="A3" s="4"/>
      <c r="B3" s="62" t="s">
        <v>1</v>
      </c>
      <c r="C3" s="5">
        <v>2021</v>
      </c>
      <c r="D3" s="5">
        <f t="shared" ref="D3:K3" si="0">C3+1</f>
        <v>2022</v>
      </c>
      <c r="E3" s="5">
        <f t="shared" si="0"/>
        <v>2023</v>
      </c>
      <c r="F3" s="5">
        <f t="shared" si="0"/>
        <v>2024</v>
      </c>
      <c r="G3" s="5">
        <f t="shared" si="0"/>
        <v>2025</v>
      </c>
      <c r="H3" s="5">
        <f t="shared" si="0"/>
        <v>2026</v>
      </c>
      <c r="I3" s="5">
        <f t="shared" si="0"/>
        <v>2027</v>
      </c>
      <c r="J3" s="5">
        <f t="shared" si="0"/>
        <v>2028</v>
      </c>
      <c r="K3" s="5">
        <f t="shared" si="0"/>
        <v>2029</v>
      </c>
    </row>
    <row r="4" spans="1:11" s="14" customFormat="1" ht="17" thickBot="1" x14ac:dyDescent="0.25">
      <c r="A4" s="4"/>
      <c r="B4" s="15" t="s">
        <v>5</v>
      </c>
    </row>
    <row r="5" spans="1:11" s="54" customFormat="1" outlineLevel="1" x14ac:dyDescent="0.2">
      <c r="A5" s="7"/>
      <c r="B5" s="17" t="s">
        <v>6</v>
      </c>
      <c r="C5" s="52">
        <v>3726994</v>
      </c>
      <c r="D5" s="52">
        <v>3717366</v>
      </c>
      <c r="E5" s="52">
        <v>4253710</v>
      </c>
      <c r="F5" s="52">
        <v>5528639</v>
      </c>
      <c r="G5" s="52">
        <v>6399188</v>
      </c>
      <c r="H5" s="52"/>
      <c r="I5" s="52"/>
      <c r="J5" s="52"/>
      <c r="K5" s="52"/>
    </row>
    <row r="6" spans="1:11" outlineLevel="1" x14ac:dyDescent="0.2">
      <c r="B6" s="9" t="s">
        <v>7</v>
      </c>
      <c r="C6" s="27">
        <v>2288810</v>
      </c>
      <c r="D6" s="27">
        <v>2307172</v>
      </c>
      <c r="E6" s="27">
        <v>2345858</v>
      </c>
      <c r="F6" s="27">
        <v>2866648</v>
      </c>
      <c r="G6" s="27">
        <v>3262698</v>
      </c>
      <c r="H6" s="27"/>
      <c r="I6" s="27"/>
      <c r="J6" s="27"/>
      <c r="K6" s="27"/>
    </row>
    <row r="7" spans="1:11" s="54" customFormat="1" outlineLevel="1" x14ac:dyDescent="0.2">
      <c r="A7" s="7"/>
      <c r="B7" s="17" t="s">
        <v>8</v>
      </c>
      <c r="C7" s="55">
        <f t="shared" ref="C7:K7" si="1">C5-C6</f>
        <v>1438184</v>
      </c>
      <c r="D7" s="55">
        <f>D5-D6</f>
        <v>1410194</v>
      </c>
      <c r="E7" s="55">
        <f t="shared" ref="E7:G7" si="2">E5-E6</f>
        <v>1907852</v>
      </c>
      <c r="F7" s="55">
        <f t="shared" si="2"/>
        <v>2661991</v>
      </c>
      <c r="G7" s="55">
        <f t="shared" si="2"/>
        <v>3136490</v>
      </c>
      <c r="H7" s="55">
        <f t="shared" si="1"/>
        <v>0</v>
      </c>
      <c r="I7" s="55">
        <f t="shared" si="1"/>
        <v>0</v>
      </c>
      <c r="J7" s="55">
        <f t="shared" si="1"/>
        <v>0</v>
      </c>
      <c r="K7" s="55">
        <f t="shared" si="1"/>
        <v>0</v>
      </c>
    </row>
    <row r="8" spans="1:11" outlineLevel="1" x14ac:dyDescent="0.2">
      <c r="B8" s="12" t="s">
        <v>9</v>
      </c>
      <c r="C8" s="27">
        <v>200641</v>
      </c>
      <c r="D8" s="27">
        <v>215660</v>
      </c>
      <c r="E8" s="27">
        <v>249387</v>
      </c>
      <c r="F8" s="27">
        <v>341289</v>
      </c>
      <c r="G8" s="27">
        <v>368073</v>
      </c>
      <c r="H8" s="27"/>
      <c r="I8" s="27"/>
      <c r="J8" s="27"/>
      <c r="K8" s="27"/>
    </row>
    <row r="9" spans="1:11" s="8" customFormat="1" outlineLevel="1" x14ac:dyDescent="0.2">
      <c r="B9" s="12" t="s">
        <v>93</v>
      </c>
      <c r="C9" s="27">
        <v>619162</v>
      </c>
      <c r="D9" s="27">
        <v>621953</v>
      </c>
      <c r="E9" s="27">
        <v>897585</v>
      </c>
      <c r="F9" s="27">
        <v>1243145</v>
      </c>
      <c r="G9" s="27">
        <v>1458027</v>
      </c>
      <c r="H9" s="27"/>
      <c r="I9" s="27"/>
      <c r="J9" s="27"/>
      <c r="K9" s="27"/>
    </row>
    <row r="10" spans="1:11" s="8" customFormat="1" outlineLevel="1" x14ac:dyDescent="0.2">
      <c r="B10" s="12" t="s">
        <v>94</v>
      </c>
      <c r="C10" s="27">
        <v>180124</v>
      </c>
      <c r="D10" s="27">
        <v>251207</v>
      </c>
      <c r="E10" s="27">
        <v>387316</v>
      </c>
      <c r="F10" s="27">
        <v>433395</v>
      </c>
      <c r="G10" s="27">
        <v>390109</v>
      </c>
      <c r="H10" s="27"/>
      <c r="I10" s="27"/>
      <c r="J10" s="27"/>
      <c r="K10" s="27"/>
    </row>
    <row r="11" spans="1:11" outlineLevel="1" x14ac:dyDescent="0.2">
      <c r="B11" s="12" t="s">
        <v>10</v>
      </c>
      <c r="C11" s="20">
        <f>SUM(C8:C10)</f>
        <v>999927</v>
      </c>
      <c r="D11" s="20">
        <f>SUM(D8:D10)</f>
        <v>1088820</v>
      </c>
      <c r="E11" s="20">
        <f t="shared" ref="E11:G11" si="3">SUM(E8:E10)</f>
        <v>1534288</v>
      </c>
      <c r="F11" s="20">
        <f t="shared" si="3"/>
        <v>2017829</v>
      </c>
      <c r="G11" s="20">
        <f t="shared" si="3"/>
        <v>2216209</v>
      </c>
      <c r="H11" s="20">
        <f>SUM(H8:H10)</f>
        <v>0</v>
      </c>
      <c r="I11" s="20">
        <f>SUM(I8:I10)</f>
        <v>0</v>
      </c>
      <c r="J11" s="20">
        <f>SUM(J8:J10)</f>
        <v>0</v>
      </c>
      <c r="K11" s="20">
        <f>SUM(K8:K10)</f>
        <v>0</v>
      </c>
    </row>
    <row r="12" spans="1:11" s="54" customFormat="1" outlineLevel="1" x14ac:dyDescent="0.2">
      <c r="A12" s="7"/>
      <c r="B12" s="17" t="s">
        <v>11</v>
      </c>
      <c r="C12" s="52">
        <v>438257</v>
      </c>
      <c r="D12" s="52">
        <v>321374</v>
      </c>
      <c r="E12" s="52">
        <v>373564</v>
      </c>
      <c r="F12" s="52">
        <v>644162</v>
      </c>
      <c r="G12" s="52">
        <v>920281</v>
      </c>
      <c r="H12" s="52"/>
      <c r="I12" s="52"/>
      <c r="J12" s="52"/>
      <c r="K12" s="52"/>
    </row>
    <row r="13" spans="1:11" outlineLevel="1" x14ac:dyDescent="0.2">
      <c r="B13" s="12" t="s">
        <v>133</v>
      </c>
      <c r="C13" s="27">
        <v>-16287</v>
      </c>
      <c r="D13" s="27">
        <v>-27021</v>
      </c>
      <c r="E13" s="27">
        <v>-44909</v>
      </c>
      <c r="F13" s="27">
        <v>-63715</v>
      </c>
      <c r="G13" s="27">
        <v>-48600</v>
      </c>
      <c r="H13" s="27"/>
      <c r="I13" s="27"/>
      <c r="J13" s="27"/>
      <c r="K13" s="27"/>
    </row>
    <row r="14" spans="1:11" outlineLevel="1" x14ac:dyDescent="0.2">
      <c r="B14" s="12" t="s">
        <v>106</v>
      </c>
      <c r="C14" s="27">
        <v>-7644</v>
      </c>
      <c r="D14" s="27">
        <v>7631</v>
      </c>
      <c r="E14" s="27">
        <v>-35427</v>
      </c>
      <c r="F14" s="27">
        <v>-7980</v>
      </c>
      <c r="G14" s="27">
        <v>28597</v>
      </c>
      <c r="H14" s="27"/>
      <c r="I14" s="27"/>
      <c r="J14" s="27"/>
      <c r="K14" s="27"/>
    </row>
    <row r="15" spans="1:11" s="54" customFormat="1" outlineLevel="1" x14ac:dyDescent="0.2">
      <c r="A15" s="7"/>
      <c r="B15" s="17" t="s">
        <v>12</v>
      </c>
      <c r="C15" s="52">
        <v>414326</v>
      </c>
      <c r="D15" s="52">
        <v>301984</v>
      </c>
      <c r="E15" s="52">
        <v>293228</v>
      </c>
      <c r="F15" s="52">
        <v>572467</v>
      </c>
      <c r="G15" s="52">
        <v>900278</v>
      </c>
      <c r="H15" s="52"/>
      <c r="I15" s="52"/>
      <c r="J15" s="52"/>
      <c r="K15" s="52"/>
    </row>
    <row r="16" spans="1:11" outlineLevel="1" x14ac:dyDescent="0.2">
      <c r="B16" s="12" t="s">
        <v>70</v>
      </c>
      <c r="C16" s="27">
        <v>-83213</v>
      </c>
      <c r="D16" s="27">
        <v>-69630</v>
      </c>
      <c r="E16" s="27">
        <v>-126150</v>
      </c>
      <c r="F16" s="27">
        <v>-133762</v>
      </c>
      <c r="G16" s="27">
        <v>-198904</v>
      </c>
      <c r="H16" s="27"/>
      <c r="I16" s="27"/>
      <c r="J16" s="27"/>
      <c r="K16" s="27"/>
    </row>
    <row r="17" spans="1:11" s="54" customFormat="1" outlineLevel="1" x14ac:dyDescent="0.2">
      <c r="A17" s="7"/>
      <c r="B17" s="17" t="s">
        <v>13</v>
      </c>
      <c r="C17" s="52">
        <v>331113</v>
      </c>
      <c r="D17" s="52">
        <v>232354</v>
      </c>
      <c r="E17" s="52">
        <v>167078</v>
      </c>
      <c r="F17" s="52">
        <v>438705</v>
      </c>
      <c r="G17" s="52">
        <v>701374</v>
      </c>
      <c r="H17" s="52"/>
      <c r="I17" s="52"/>
      <c r="J17" s="52"/>
      <c r="K17" s="52"/>
    </row>
    <row r="18" spans="1:11" outlineLevel="1" x14ac:dyDescent="0.2">
      <c r="B18" s="12" t="s">
        <v>14</v>
      </c>
      <c r="C18" s="27">
        <v>138983</v>
      </c>
      <c r="D18" s="27">
        <v>138983</v>
      </c>
      <c r="E18" s="27">
        <v>139026</v>
      </c>
      <c r="F18" s="27">
        <v>139936</v>
      </c>
      <c r="G18" s="27">
        <v>140984</v>
      </c>
      <c r="H18" s="27"/>
      <c r="I18" s="27"/>
      <c r="J18" s="27"/>
      <c r="K18" s="27"/>
    </row>
    <row r="19" spans="1:11" outlineLevel="1" x14ac:dyDescent="0.2">
      <c r="B19" s="12" t="s">
        <v>15</v>
      </c>
      <c r="C19" s="27">
        <v>138983</v>
      </c>
      <c r="D19" s="27">
        <v>138983</v>
      </c>
      <c r="E19" s="27">
        <v>139420</v>
      </c>
      <c r="F19" s="27">
        <v>141084</v>
      </c>
      <c r="G19" s="27">
        <v>142090</v>
      </c>
      <c r="H19" s="27"/>
      <c r="I19" s="27"/>
      <c r="J19" s="27"/>
      <c r="K19" s="27"/>
    </row>
    <row r="20" spans="1:11" outlineLevel="1" x14ac:dyDescent="0.2">
      <c r="B20" s="12" t="s">
        <v>16</v>
      </c>
      <c r="C20" s="31">
        <v>2.38</v>
      </c>
      <c r="D20" s="31">
        <v>1.67</v>
      </c>
      <c r="E20" s="31">
        <v>1.2</v>
      </c>
      <c r="F20" s="31">
        <v>3.14</v>
      </c>
      <c r="G20" s="31">
        <v>4.97</v>
      </c>
      <c r="H20" s="31"/>
      <c r="I20" s="31"/>
      <c r="J20" s="31"/>
      <c r="K20" s="31"/>
    </row>
    <row r="21" spans="1:11" s="16" customFormat="1" ht="17" outlineLevel="1" thickBot="1" x14ac:dyDescent="0.25">
      <c r="A21" s="1"/>
      <c r="B21" s="10" t="s">
        <v>17</v>
      </c>
      <c r="C21" s="32">
        <v>2.38</v>
      </c>
      <c r="D21" s="32">
        <v>1.67</v>
      </c>
      <c r="E21" s="32">
        <v>1.2</v>
      </c>
      <c r="F21" s="32">
        <v>3.11</v>
      </c>
      <c r="G21" s="32">
        <v>4.9400000000000004</v>
      </c>
      <c r="H21" s="32"/>
      <c r="I21" s="32"/>
      <c r="J21" s="32"/>
      <c r="K21" s="32"/>
    </row>
    <row r="22" spans="1:11" s="16" customFormat="1" ht="17" thickBot="1" x14ac:dyDescent="0.25">
      <c r="A22" s="1"/>
      <c r="B22" s="6"/>
      <c r="E22" s="6"/>
      <c r="F22" s="6"/>
      <c r="G22" s="6"/>
      <c r="H22" s="6"/>
      <c r="I22" s="6"/>
      <c r="J22" s="6"/>
      <c r="K22" s="6"/>
    </row>
    <row r="23" spans="1:11" s="14" customFormat="1" ht="17" thickBot="1" x14ac:dyDescent="0.25">
      <c r="A23" s="4"/>
      <c r="B23" s="15" t="s">
        <v>18</v>
      </c>
    </row>
    <row r="24" spans="1:11" outlineLevel="1" x14ac:dyDescent="0.2">
      <c r="B24" s="9" t="s">
        <v>19</v>
      </c>
      <c r="C24" s="27"/>
      <c r="D24" s="27">
        <v>192890</v>
      </c>
      <c r="E24" s="27">
        <v>154061</v>
      </c>
      <c r="F24" s="27">
        <v>363669</v>
      </c>
      <c r="G24" s="27">
        <v>777289</v>
      </c>
      <c r="H24" s="27"/>
      <c r="I24" s="27"/>
      <c r="J24" s="27"/>
      <c r="K24" s="27"/>
    </row>
    <row r="25" spans="1:11" outlineLevel="1" x14ac:dyDescent="0.2">
      <c r="B25" s="9" t="s">
        <v>134</v>
      </c>
      <c r="C25" s="27"/>
      <c r="D25" s="27">
        <v>25880</v>
      </c>
      <c r="E25" s="27">
        <v>0</v>
      </c>
      <c r="F25" s="27">
        <v>0</v>
      </c>
      <c r="G25" s="27">
        <v>0</v>
      </c>
      <c r="H25" s="27"/>
      <c r="I25" s="27"/>
      <c r="J25" s="27"/>
      <c r="K25" s="27"/>
    </row>
    <row r="26" spans="1:11" outlineLevel="1" x14ac:dyDescent="0.2">
      <c r="B26" s="9" t="s">
        <v>20</v>
      </c>
      <c r="C26" s="27"/>
      <c r="D26" s="27">
        <v>766503</v>
      </c>
      <c r="E26" s="27">
        <v>985172</v>
      </c>
      <c r="F26" s="27">
        <v>1266595</v>
      </c>
      <c r="G26" s="27">
        <v>1667143</v>
      </c>
      <c r="H26" s="27"/>
      <c r="I26" s="27"/>
      <c r="J26" s="27"/>
      <c r="K26" s="27"/>
    </row>
    <row r="27" spans="1:11" outlineLevel="1" x14ac:dyDescent="0.2">
      <c r="B27" s="9" t="s">
        <v>135</v>
      </c>
      <c r="C27" s="27"/>
      <c r="D27" s="27">
        <v>548588</v>
      </c>
      <c r="E27" s="27">
        <v>699740</v>
      </c>
      <c r="F27" s="27">
        <v>899989</v>
      </c>
      <c r="G27" s="27">
        <v>1002205</v>
      </c>
      <c r="H27" s="27"/>
      <c r="I27" s="27"/>
      <c r="J27" s="27"/>
      <c r="K27" s="27"/>
    </row>
    <row r="28" spans="1:11" outlineLevel="1" x14ac:dyDescent="0.2">
      <c r="B28" s="9" t="s">
        <v>107</v>
      </c>
      <c r="C28" s="27"/>
      <c r="D28" s="27">
        <v>181831</v>
      </c>
      <c r="E28" s="27">
        <v>58311</v>
      </c>
      <c r="F28" s="27">
        <v>114008</v>
      </c>
      <c r="G28" s="27">
        <v>164628</v>
      </c>
      <c r="H28" s="27"/>
      <c r="I28" s="27"/>
      <c r="J28" s="27"/>
      <c r="K28" s="27"/>
    </row>
    <row r="29" spans="1:11" s="53" customFormat="1" outlineLevel="1" x14ac:dyDescent="0.2">
      <c r="A29" s="7"/>
      <c r="B29" s="11" t="s">
        <v>21</v>
      </c>
      <c r="C29" s="56"/>
      <c r="D29" s="56">
        <v>1715692</v>
      </c>
      <c r="E29" s="56">
        <v>1897284</v>
      </c>
      <c r="F29" s="56">
        <v>2644261</v>
      </c>
      <c r="G29" s="56">
        <v>3611265</v>
      </c>
      <c r="H29" s="56"/>
      <c r="I29" s="56"/>
      <c r="J29" s="56"/>
      <c r="K29" s="56"/>
    </row>
    <row r="30" spans="1:11" outlineLevel="1" x14ac:dyDescent="0.2">
      <c r="B30" s="9" t="s">
        <v>23</v>
      </c>
      <c r="C30" s="27"/>
      <c r="D30" s="27">
        <v>137341</v>
      </c>
      <c r="E30" s="27">
        <v>166252</v>
      </c>
      <c r="F30" s="27">
        <v>211464</v>
      </c>
      <c r="G30" s="27">
        <v>232226</v>
      </c>
      <c r="H30" s="27"/>
      <c r="I30" s="27"/>
      <c r="J30" s="27"/>
      <c r="K30" s="27"/>
    </row>
    <row r="31" spans="1:11" outlineLevel="1" x14ac:dyDescent="0.2">
      <c r="B31" s="9" t="s">
        <v>96</v>
      </c>
      <c r="C31" s="27"/>
      <c r="D31" s="27">
        <v>67321</v>
      </c>
      <c r="E31" s="27">
        <v>63333</v>
      </c>
      <c r="F31" s="27">
        <v>146257</v>
      </c>
      <c r="G31" s="27">
        <v>142487</v>
      </c>
      <c r="H31" s="27"/>
      <c r="I31" s="27"/>
      <c r="J31" s="27"/>
      <c r="K31" s="27"/>
    </row>
    <row r="32" spans="1:11" outlineLevel="1" x14ac:dyDescent="0.2">
      <c r="B32" s="9" t="s">
        <v>101</v>
      </c>
      <c r="C32" s="27"/>
      <c r="D32" s="27">
        <v>492709</v>
      </c>
      <c r="E32" s="27">
        <v>477816</v>
      </c>
      <c r="F32" s="27">
        <v>462678</v>
      </c>
      <c r="G32" s="27">
        <v>451137</v>
      </c>
      <c r="H32" s="27"/>
      <c r="I32" s="27"/>
      <c r="J32" s="27"/>
      <c r="K32" s="27"/>
    </row>
    <row r="33" spans="1:11" outlineLevel="1" x14ac:dyDescent="0.2">
      <c r="B33" s="9" t="s">
        <v>24</v>
      </c>
      <c r="C33" s="27"/>
      <c r="D33" s="27">
        <v>840148</v>
      </c>
      <c r="E33" s="27">
        <v>834203</v>
      </c>
      <c r="F33" s="27">
        <v>834781</v>
      </c>
      <c r="G33" s="27">
        <v>834781</v>
      </c>
      <c r="H33" s="27"/>
      <c r="I33" s="27"/>
      <c r="J33" s="27"/>
      <c r="K33" s="27"/>
    </row>
    <row r="34" spans="1:11" outlineLevel="1" x14ac:dyDescent="0.2">
      <c r="B34" s="9" t="s">
        <v>22</v>
      </c>
      <c r="C34" s="27"/>
      <c r="D34" s="27">
        <v>6291</v>
      </c>
      <c r="E34" s="27">
        <v>12</v>
      </c>
      <c r="F34" s="27">
        <v>43093</v>
      </c>
      <c r="G34" s="27">
        <v>10706</v>
      </c>
      <c r="H34" s="27"/>
      <c r="I34" s="27"/>
      <c r="J34" s="27"/>
      <c r="K34" s="27"/>
    </row>
    <row r="35" spans="1:11" outlineLevel="1" x14ac:dyDescent="0.2">
      <c r="B35" s="9" t="s">
        <v>25</v>
      </c>
      <c r="C35" s="27"/>
      <c r="D35" s="27">
        <v>35389</v>
      </c>
      <c r="E35" s="27">
        <v>48170</v>
      </c>
      <c r="F35" s="27">
        <v>51625</v>
      </c>
      <c r="G35" s="27">
        <v>66832</v>
      </c>
      <c r="H35" s="27"/>
      <c r="I35" s="27"/>
      <c r="J35" s="27"/>
      <c r="K35" s="27"/>
    </row>
    <row r="36" spans="1:11" s="53" customFormat="1" outlineLevel="1" x14ac:dyDescent="0.2">
      <c r="A36" s="7"/>
      <c r="B36" s="11" t="s">
        <v>26</v>
      </c>
      <c r="C36" s="57">
        <f>SUM(C30:C35)</f>
        <v>0</v>
      </c>
      <c r="D36" s="57">
        <f>SUM(D30:D35)</f>
        <v>1579199</v>
      </c>
      <c r="E36" s="57">
        <f t="shared" ref="E36:G36" si="4">SUM(E30:E35)</f>
        <v>1589786</v>
      </c>
      <c r="F36" s="57">
        <f t="shared" si="4"/>
        <v>1749898</v>
      </c>
      <c r="G36" s="57">
        <f t="shared" si="4"/>
        <v>1738169</v>
      </c>
      <c r="H36" s="57">
        <f>SUM(H30:H35)</f>
        <v>0</v>
      </c>
      <c r="I36" s="57">
        <f>SUM(I30:I35)</f>
        <v>0</v>
      </c>
      <c r="J36" s="57">
        <f>SUM(J30:J35)</f>
        <v>0</v>
      </c>
      <c r="K36" s="57">
        <f>SUM(K30:K35)</f>
        <v>0</v>
      </c>
    </row>
    <row r="37" spans="1:11" s="54" customFormat="1" outlineLevel="1" x14ac:dyDescent="0.2">
      <c r="A37" s="7"/>
      <c r="B37" s="17" t="s">
        <v>27</v>
      </c>
      <c r="C37" s="52"/>
      <c r="D37" s="52">
        <v>3294891</v>
      </c>
      <c r="E37" s="52">
        <v>3487070</v>
      </c>
      <c r="F37" s="52">
        <v>4394159</v>
      </c>
      <c r="G37" s="52">
        <v>5349434</v>
      </c>
      <c r="H37" s="52"/>
      <c r="I37" s="52"/>
      <c r="J37" s="52"/>
      <c r="K37" s="52"/>
    </row>
    <row r="38" spans="1:11" outlineLevel="1" x14ac:dyDescent="0.2">
      <c r="B38" s="9" t="s">
        <v>28</v>
      </c>
      <c r="C38" s="27"/>
      <c r="D38" s="27">
        <v>328122</v>
      </c>
      <c r="E38" s="27">
        <v>459651</v>
      </c>
      <c r="F38" s="27">
        <v>612031</v>
      </c>
      <c r="G38" s="27">
        <v>679534</v>
      </c>
      <c r="H38" s="27"/>
      <c r="I38" s="27"/>
      <c r="J38" s="27"/>
      <c r="K38" s="27"/>
    </row>
    <row r="39" spans="1:11" outlineLevel="1" x14ac:dyDescent="0.2">
      <c r="B39" s="9" t="s">
        <v>109</v>
      </c>
      <c r="C39" s="27"/>
      <c r="D39" s="27">
        <v>552023</v>
      </c>
      <c r="E39" s="27">
        <v>620333</v>
      </c>
      <c r="F39" s="27">
        <v>841529</v>
      </c>
      <c r="G39" s="27">
        <v>1016645</v>
      </c>
      <c r="H39" s="27"/>
      <c r="I39" s="27"/>
      <c r="J39" s="27"/>
      <c r="K39" s="27"/>
    </row>
    <row r="40" spans="1:11" outlineLevel="1" x14ac:dyDescent="0.2">
      <c r="B40" s="9" t="s">
        <v>136</v>
      </c>
      <c r="C40" s="27"/>
      <c r="D40" s="27">
        <v>1581</v>
      </c>
      <c r="E40" s="27">
        <v>20991</v>
      </c>
      <c r="F40" s="27">
        <v>36548</v>
      </c>
      <c r="G40" s="27">
        <v>38092</v>
      </c>
      <c r="H40" s="27"/>
      <c r="I40" s="27"/>
      <c r="J40" s="27"/>
      <c r="K40" s="27"/>
    </row>
    <row r="41" spans="1:11" outlineLevel="1" x14ac:dyDescent="0.2">
      <c r="B41" s="9" t="s">
        <v>137</v>
      </c>
      <c r="C41" s="27"/>
      <c r="D41" s="27">
        <v>86972</v>
      </c>
      <c r="E41" s="27">
        <v>24157</v>
      </c>
      <c r="F41" s="27">
        <v>39344</v>
      </c>
      <c r="G41" s="27">
        <v>39344</v>
      </c>
      <c r="H41" s="27"/>
      <c r="I41" s="27"/>
      <c r="J41" s="27"/>
      <c r="K41" s="27"/>
    </row>
    <row r="42" spans="1:11" s="53" customFormat="1" outlineLevel="1" x14ac:dyDescent="0.2">
      <c r="A42" s="7"/>
      <c r="B42" s="11" t="s">
        <v>31</v>
      </c>
      <c r="C42" s="56"/>
      <c r="D42" s="56">
        <v>968698</v>
      </c>
      <c r="E42" s="56">
        <v>1125132</v>
      </c>
      <c r="F42" s="56">
        <v>1529452</v>
      </c>
      <c r="G42" s="56">
        <v>1773615</v>
      </c>
      <c r="H42" s="56"/>
      <c r="I42" s="56"/>
      <c r="J42" s="56"/>
      <c r="K42" s="56"/>
    </row>
    <row r="43" spans="1:11" outlineLevel="1" x14ac:dyDescent="0.2">
      <c r="B43" s="9" t="s">
        <v>116</v>
      </c>
      <c r="C43" s="27"/>
      <c r="D43" s="27">
        <v>349169</v>
      </c>
      <c r="E43" s="27">
        <v>775483</v>
      </c>
      <c r="F43" s="27">
        <v>736139</v>
      </c>
      <c r="G43" s="27">
        <v>696795</v>
      </c>
      <c r="H43" s="27"/>
      <c r="I43" s="27"/>
      <c r="J43" s="27"/>
      <c r="K43" s="27"/>
    </row>
    <row r="44" spans="1:11" outlineLevel="1" x14ac:dyDescent="0.2">
      <c r="B44" s="9" t="s">
        <v>110</v>
      </c>
      <c r="C44" s="27"/>
      <c r="D44" s="27">
        <v>61779</v>
      </c>
      <c r="E44" s="27">
        <v>63043</v>
      </c>
      <c r="F44" s="27">
        <v>145377</v>
      </c>
      <c r="G44" s="27">
        <v>140981</v>
      </c>
      <c r="H44" s="27"/>
      <c r="I44" s="27"/>
      <c r="J44" s="27"/>
      <c r="K44" s="27"/>
    </row>
    <row r="45" spans="1:11" outlineLevel="1" x14ac:dyDescent="0.2">
      <c r="B45" s="9" t="s">
        <v>102</v>
      </c>
      <c r="C45" s="27"/>
      <c r="D45" s="27">
        <v>60976</v>
      </c>
      <c r="E45" s="27">
        <v>16500</v>
      </c>
      <c r="F45" s="27">
        <v>9931</v>
      </c>
      <c r="G45" s="27">
        <v>16252</v>
      </c>
      <c r="H45" s="27"/>
      <c r="I45" s="27"/>
      <c r="J45" s="27"/>
      <c r="K45" s="27"/>
    </row>
    <row r="46" spans="1:11" outlineLevel="1" x14ac:dyDescent="0.2">
      <c r="B46" s="9" t="s">
        <v>111</v>
      </c>
      <c r="C46" s="27"/>
      <c r="D46" s="27">
        <v>25980</v>
      </c>
      <c r="E46" s="27">
        <v>28019</v>
      </c>
      <c r="F46" s="27">
        <v>37288</v>
      </c>
      <c r="G46" s="27">
        <v>45580</v>
      </c>
      <c r="H46" s="27"/>
      <c r="I46" s="27"/>
      <c r="J46" s="27"/>
      <c r="K46" s="27"/>
    </row>
    <row r="47" spans="1:11" s="53" customFormat="1" outlineLevel="1" x14ac:dyDescent="0.2">
      <c r="A47" s="7"/>
      <c r="B47" s="11" t="s">
        <v>29</v>
      </c>
      <c r="C47" s="57">
        <f>SUM(C43:C46)</f>
        <v>0</v>
      </c>
      <c r="D47" s="57">
        <f>SUM(D43:D46)</f>
        <v>497904</v>
      </c>
      <c r="E47" s="57">
        <f t="shared" ref="E47:G47" si="5">SUM(E43:E46)</f>
        <v>883045</v>
      </c>
      <c r="F47" s="57">
        <f t="shared" si="5"/>
        <v>928735</v>
      </c>
      <c r="G47" s="57">
        <f t="shared" si="5"/>
        <v>899608</v>
      </c>
      <c r="H47" s="57">
        <f>SUM(H43:H43)</f>
        <v>0</v>
      </c>
      <c r="I47" s="57">
        <f>SUM(I43:I43)</f>
        <v>0</v>
      </c>
      <c r="J47" s="57">
        <f>SUM(J43:J43)</f>
        <v>0</v>
      </c>
      <c r="K47" s="57">
        <f>SUM(K43:K43)</f>
        <v>0</v>
      </c>
    </row>
    <row r="48" spans="1:11" s="54" customFormat="1" outlineLevel="1" x14ac:dyDescent="0.2">
      <c r="A48" s="7"/>
      <c r="B48" s="17" t="s">
        <v>30</v>
      </c>
      <c r="C48" s="52"/>
      <c r="D48" s="52">
        <v>1466602</v>
      </c>
      <c r="E48" s="52">
        <v>2008177</v>
      </c>
      <c r="F48" s="52">
        <v>2458187</v>
      </c>
      <c r="G48" s="52">
        <v>2673223</v>
      </c>
      <c r="H48" s="52"/>
      <c r="I48" s="52"/>
      <c r="J48" s="52"/>
      <c r="K48" s="52"/>
    </row>
    <row r="49" spans="1:11" outlineLevel="1" x14ac:dyDescent="0.2">
      <c r="B49" s="9" t="s">
        <v>32</v>
      </c>
      <c r="C49" s="27"/>
      <c r="D49" s="27">
        <v>14</v>
      </c>
      <c r="E49" s="27">
        <v>14</v>
      </c>
      <c r="F49" s="27">
        <v>14</v>
      </c>
      <c r="G49" s="27">
        <v>14</v>
      </c>
      <c r="H49" s="27"/>
      <c r="I49" s="27"/>
      <c r="J49" s="27"/>
      <c r="K49" s="27"/>
    </row>
    <row r="50" spans="1:11" outlineLevel="1" x14ac:dyDescent="0.2">
      <c r="B50" s="9" t="s">
        <v>97</v>
      </c>
      <c r="C50" s="27"/>
      <c r="D50" s="27">
        <v>941206</v>
      </c>
      <c r="E50" s="27">
        <v>1009590</v>
      </c>
      <c r="F50" s="27">
        <v>1038213</v>
      </c>
      <c r="G50" s="27">
        <v>1045504</v>
      </c>
      <c r="H50" s="27"/>
      <c r="I50" s="27"/>
      <c r="J50" s="27"/>
      <c r="K50" s="27"/>
    </row>
    <row r="51" spans="1:11" outlineLevel="1" x14ac:dyDescent="0.2">
      <c r="B51" s="9" t="s">
        <v>33</v>
      </c>
      <c r="C51" s="27"/>
      <c r="D51" s="27">
        <v>896738</v>
      </c>
      <c r="E51" s="27">
        <v>470319</v>
      </c>
      <c r="F51" s="27">
        <v>909024</v>
      </c>
      <c r="G51" s="27">
        <v>1610398</v>
      </c>
      <c r="H51" s="27"/>
      <c r="I51" s="27"/>
      <c r="J51" s="27"/>
      <c r="K51" s="27"/>
    </row>
    <row r="52" spans="1:11" outlineLevel="1" x14ac:dyDescent="0.2">
      <c r="B52" s="9" t="s">
        <v>112</v>
      </c>
      <c r="C52" s="27"/>
      <c r="D52" s="27">
        <v>-9669</v>
      </c>
      <c r="E52" s="27">
        <v>-1030</v>
      </c>
      <c r="F52" s="27">
        <v>-11279</v>
      </c>
      <c r="G52" s="27">
        <v>20295</v>
      </c>
      <c r="H52" s="27"/>
      <c r="I52" s="27"/>
      <c r="J52" s="27"/>
      <c r="K52" s="27"/>
    </row>
    <row r="53" spans="1:11" s="53" customFormat="1" outlineLevel="1" x14ac:dyDescent="0.2">
      <c r="A53" s="7"/>
      <c r="B53" s="11" t="s">
        <v>34</v>
      </c>
      <c r="C53" s="56"/>
      <c r="D53" s="56">
        <v>1828289</v>
      </c>
      <c r="E53" s="56">
        <v>1478893</v>
      </c>
      <c r="F53" s="56">
        <v>1935972</v>
      </c>
      <c r="G53" s="56">
        <v>2676211</v>
      </c>
      <c r="H53" s="56"/>
      <c r="I53" s="56"/>
      <c r="J53" s="56"/>
      <c r="K53" s="56"/>
    </row>
    <row r="54" spans="1:11" s="58" customFormat="1" ht="17" outlineLevel="1" thickBot="1" x14ac:dyDescent="0.25">
      <c r="A54" s="7"/>
      <c r="B54" s="19" t="s">
        <v>35</v>
      </c>
      <c r="C54" s="59"/>
      <c r="D54" s="59">
        <v>3294891</v>
      </c>
      <c r="E54" s="59">
        <v>3487070</v>
      </c>
      <c r="F54" s="59">
        <v>4394159</v>
      </c>
      <c r="G54" s="59">
        <v>5349434</v>
      </c>
      <c r="H54" s="59"/>
      <c r="I54" s="59"/>
      <c r="J54" s="59"/>
      <c r="K54" s="59"/>
    </row>
    <row r="55" spans="1:11" x14ac:dyDescent="0.2">
      <c r="B55" s="1"/>
    </row>
    <row r="56" spans="1:11" s="14" customFormat="1" ht="17" thickBot="1" x14ac:dyDescent="0.25">
      <c r="A56" s="4"/>
      <c r="B56" s="15" t="s">
        <v>36</v>
      </c>
    </row>
    <row r="57" spans="1:11" outlineLevel="1" x14ac:dyDescent="0.2">
      <c r="B57" s="9" t="s">
        <v>13</v>
      </c>
      <c r="C57" s="20">
        <f>C17</f>
        <v>331113</v>
      </c>
      <c r="D57" s="20">
        <f>D17</f>
        <v>232354</v>
      </c>
      <c r="E57" s="20">
        <f t="shared" ref="E57:G57" si="6">E17</f>
        <v>167078</v>
      </c>
      <c r="F57" s="20">
        <f t="shared" si="6"/>
        <v>438705</v>
      </c>
      <c r="G57" s="20">
        <f t="shared" si="6"/>
        <v>701374</v>
      </c>
      <c r="H57" s="20">
        <f>H17</f>
        <v>0</v>
      </c>
      <c r="I57" s="20">
        <f>I17</f>
        <v>0</v>
      </c>
      <c r="J57" s="20">
        <f>J17</f>
        <v>0</v>
      </c>
      <c r="K57" s="20">
        <f>K17</f>
        <v>0</v>
      </c>
    </row>
    <row r="58" spans="1:11" outlineLevel="1" x14ac:dyDescent="0.2">
      <c r="B58" s="9" t="s">
        <v>37</v>
      </c>
      <c r="C58" s="27">
        <v>78183</v>
      </c>
      <c r="D58" s="27">
        <v>86708</v>
      </c>
      <c r="E58" s="27">
        <v>103821</v>
      </c>
      <c r="F58" s="27">
        <v>123109</v>
      </c>
      <c r="G58" s="27">
        <v>139631</v>
      </c>
      <c r="H58" s="27"/>
      <c r="I58" s="27"/>
      <c r="J58" s="27"/>
      <c r="K58" s="27"/>
    </row>
    <row r="59" spans="1:11" outlineLevel="1" x14ac:dyDescent="0.2">
      <c r="B59" s="12" t="s">
        <v>98</v>
      </c>
      <c r="C59" s="27">
        <v>13924</v>
      </c>
      <c r="D59" s="27">
        <v>5509</v>
      </c>
      <c r="E59" s="27">
        <v>46966</v>
      </c>
      <c r="F59" s="27">
        <v>84531</v>
      </c>
      <c r="G59" s="27">
        <v>43872</v>
      </c>
      <c r="H59" s="27"/>
      <c r="I59" s="27"/>
      <c r="J59" s="27"/>
      <c r="K59" s="27"/>
    </row>
    <row r="60" spans="1:11" outlineLevel="1" x14ac:dyDescent="0.2">
      <c r="B60" s="12" t="s">
        <v>138</v>
      </c>
      <c r="C60" s="27">
        <v>0</v>
      </c>
      <c r="D60" s="27">
        <v>0</v>
      </c>
      <c r="E60" s="27">
        <v>32200</v>
      </c>
      <c r="F60" s="27">
        <v>0</v>
      </c>
      <c r="G60" s="27">
        <v>0</v>
      </c>
      <c r="H60" s="27"/>
      <c r="I60" s="27"/>
      <c r="J60" s="27"/>
      <c r="K60" s="27"/>
    </row>
    <row r="61" spans="1:11" outlineLevel="1" x14ac:dyDescent="0.2">
      <c r="B61" s="12" t="s">
        <v>139</v>
      </c>
      <c r="C61" s="27">
        <v>7913</v>
      </c>
      <c r="D61" s="27">
        <v>8965</v>
      </c>
      <c r="E61" s="27">
        <v>4474</v>
      </c>
      <c r="F61" s="27">
        <v>4724</v>
      </c>
      <c r="G61" s="27">
        <v>4740</v>
      </c>
      <c r="H61" s="27"/>
      <c r="I61" s="27"/>
      <c r="J61" s="27"/>
      <c r="K61" s="27"/>
    </row>
    <row r="62" spans="1:11" outlineLevel="1" x14ac:dyDescent="0.2">
      <c r="B62" s="12" t="s">
        <v>177</v>
      </c>
      <c r="C62" s="27">
        <v>0</v>
      </c>
      <c r="D62" s="27">
        <v>0</v>
      </c>
      <c r="E62" s="27">
        <v>0</v>
      </c>
      <c r="F62" s="27">
        <v>0</v>
      </c>
      <c r="G62" s="27">
        <v>10468</v>
      </c>
      <c r="H62" s="27"/>
      <c r="I62" s="27"/>
      <c r="J62" s="27"/>
      <c r="K62" s="27"/>
    </row>
    <row r="63" spans="1:11" outlineLevel="1" x14ac:dyDescent="0.2">
      <c r="B63" s="12" t="s">
        <v>140</v>
      </c>
      <c r="C63" s="27">
        <v>13062</v>
      </c>
      <c r="D63" s="27">
        <v>15475</v>
      </c>
      <c r="E63" s="27">
        <v>14708</v>
      </c>
      <c r="F63" s="27">
        <v>19466</v>
      </c>
      <c r="G63" s="27">
        <v>20431</v>
      </c>
      <c r="H63" s="27"/>
      <c r="I63" s="27"/>
      <c r="J63" s="27"/>
      <c r="K63" s="27"/>
    </row>
    <row r="64" spans="1:11" outlineLevel="1" x14ac:dyDescent="0.2">
      <c r="B64" s="12" t="s">
        <v>141</v>
      </c>
      <c r="C64" s="27">
        <v>-15127</v>
      </c>
      <c r="D64" s="27">
        <v>-16646</v>
      </c>
      <c r="E64" s="27">
        <v>-41735</v>
      </c>
      <c r="F64" s="27">
        <v>-47374</v>
      </c>
      <c r="G64" s="27">
        <v>38708</v>
      </c>
      <c r="H64" s="27"/>
      <c r="I64" s="27"/>
      <c r="J64" s="27"/>
      <c r="K64" s="27"/>
    </row>
    <row r="65" spans="1:11" outlineLevel="1" x14ac:dyDescent="0.2">
      <c r="B65" s="12" t="s">
        <v>142</v>
      </c>
      <c r="C65" s="27">
        <v>5398</v>
      </c>
      <c r="D65" s="27">
        <v>791</v>
      </c>
      <c r="E65" s="27">
        <v>8034</v>
      </c>
      <c r="F65" s="27">
        <v>886</v>
      </c>
      <c r="G65" s="27">
        <v>9386</v>
      </c>
      <c r="H65" s="27"/>
      <c r="I65" s="27"/>
      <c r="J65" s="27"/>
      <c r="K65" s="27"/>
    </row>
    <row r="66" spans="1:11" outlineLevel="1" x14ac:dyDescent="0.2">
      <c r="B66" s="9" t="s">
        <v>38</v>
      </c>
      <c r="C66" s="27">
        <v>-77444</v>
      </c>
      <c r="D66" s="27">
        <v>519</v>
      </c>
      <c r="E66" s="27">
        <v>-229651</v>
      </c>
      <c r="F66" s="27">
        <v>-299196</v>
      </c>
      <c r="G66" s="27">
        <v>-350479</v>
      </c>
      <c r="H66" s="27"/>
      <c r="I66" s="27"/>
      <c r="J66" s="27"/>
      <c r="K66" s="27"/>
    </row>
    <row r="67" spans="1:11" outlineLevel="1" x14ac:dyDescent="0.2">
      <c r="B67" s="9" t="s">
        <v>143</v>
      </c>
      <c r="C67" s="27">
        <v>-185474</v>
      </c>
      <c r="D67" s="27">
        <v>53894</v>
      </c>
      <c r="E67" s="27">
        <v>-155806</v>
      </c>
      <c r="F67" s="27">
        <v>-204922</v>
      </c>
      <c r="G67" s="27">
        <v>-87272</v>
      </c>
      <c r="H67" s="27"/>
      <c r="I67" s="27"/>
      <c r="J67" s="27"/>
      <c r="K67" s="27"/>
    </row>
    <row r="68" spans="1:11" outlineLevel="1" x14ac:dyDescent="0.2">
      <c r="B68" s="9" t="s">
        <v>99</v>
      </c>
      <c r="C68" s="27">
        <v>-47725</v>
      </c>
      <c r="D68" s="27">
        <v>-114163</v>
      </c>
      <c r="E68" s="27">
        <v>99220</v>
      </c>
      <c r="F68" s="27">
        <v>-57949</v>
      </c>
      <c r="G68" s="27">
        <v>-84044</v>
      </c>
      <c r="H68" s="27"/>
      <c r="I68" s="27"/>
      <c r="J68" s="27"/>
      <c r="K68" s="27"/>
    </row>
    <row r="69" spans="1:11" outlineLevel="1" x14ac:dyDescent="0.2">
      <c r="B69" s="9" t="s">
        <v>39</v>
      </c>
      <c r="C69" s="27">
        <v>74850</v>
      </c>
      <c r="D69" s="27">
        <v>-118161</v>
      </c>
      <c r="E69" s="27">
        <v>147513</v>
      </c>
      <c r="F69" s="27">
        <v>157341</v>
      </c>
      <c r="G69" s="27">
        <v>38147</v>
      </c>
      <c r="H69" s="27"/>
      <c r="I69" s="27"/>
      <c r="J69" s="27"/>
      <c r="K69" s="27"/>
    </row>
    <row r="70" spans="1:11" outlineLevel="1" x14ac:dyDescent="0.2">
      <c r="B70" s="9" t="s">
        <v>144</v>
      </c>
      <c r="C70" s="27">
        <v>-13343</v>
      </c>
      <c r="D70" s="27">
        <v>-5170</v>
      </c>
      <c r="E70" s="27">
        <v>19474</v>
      </c>
      <c r="F70" s="27">
        <v>15557</v>
      </c>
      <c r="G70" s="27">
        <v>1544</v>
      </c>
      <c r="H70" s="27"/>
      <c r="I70" s="27"/>
      <c r="J70" s="27"/>
      <c r="K70" s="27"/>
    </row>
    <row r="71" spans="1:11" outlineLevel="1" x14ac:dyDescent="0.2">
      <c r="B71" s="9" t="s">
        <v>113</v>
      </c>
      <c r="C71" s="27">
        <v>-12629</v>
      </c>
      <c r="D71" s="27">
        <v>-14316</v>
      </c>
      <c r="E71" s="27">
        <v>-14244</v>
      </c>
      <c r="F71" s="27">
        <v>-10239</v>
      </c>
      <c r="G71" s="27">
        <v>-15142</v>
      </c>
      <c r="H71" s="27"/>
      <c r="I71" s="27"/>
      <c r="J71" s="27"/>
      <c r="K71" s="27"/>
    </row>
    <row r="72" spans="1:11" outlineLevel="1" x14ac:dyDescent="0.2">
      <c r="B72" s="9" t="s">
        <v>145</v>
      </c>
      <c r="C72" s="27">
        <v>56446</v>
      </c>
      <c r="D72" s="27">
        <v>69205</v>
      </c>
      <c r="E72" s="27">
        <v>78549</v>
      </c>
      <c r="F72" s="27">
        <v>221981</v>
      </c>
      <c r="G72" s="27">
        <v>162768</v>
      </c>
      <c r="H72" s="27"/>
      <c r="I72" s="27"/>
      <c r="J72" s="27"/>
      <c r="K72" s="27"/>
    </row>
    <row r="73" spans="1:11" s="54" customFormat="1" outlineLevel="1" x14ac:dyDescent="0.2">
      <c r="A73" s="7"/>
      <c r="B73" s="17" t="s">
        <v>40</v>
      </c>
      <c r="C73" s="52">
        <v>229147</v>
      </c>
      <c r="D73" s="52">
        <v>204964</v>
      </c>
      <c r="E73" s="52">
        <v>280601</v>
      </c>
      <c r="F73" s="52">
        <v>446620</v>
      </c>
      <c r="G73" s="52">
        <v>634132</v>
      </c>
      <c r="H73" s="52"/>
      <c r="I73" s="52"/>
      <c r="J73" s="52"/>
      <c r="K73" s="52"/>
    </row>
    <row r="74" spans="1:11" outlineLevel="1" x14ac:dyDescent="0.2">
      <c r="B74" s="9" t="s">
        <v>146</v>
      </c>
      <c r="C74" s="27">
        <v>-47992</v>
      </c>
      <c r="D74" s="27">
        <v>-80257</v>
      </c>
      <c r="E74" s="27">
        <v>-122741</v>
      </c>
      <c r="F74" s="27">
        <v>-137687</v>
      </c>
      <c r="G74" s="27">
        <v>-146082</v>
      </c>
      <c r="H74" s="27"/>
      <c r="I74" s="27"/>
      <c r="J74" s="27"/>
      <c r="K74" s="27"/>
    </row>
    <row r="75" spans="1:11" outlineLevel="1" x14ac:dyDescent="0.2">
      <c r="B75" s="9" t="s">
        <v>147</v>
      </c>
      <c r="C75" s="27">
        <v>-5068</v>
      </c>
      <c r="D75" s="27">
        <v>-7348</v>
      </c>
      <c r="E75" s="27">
        <v>-8497</v>
      </c>
      <c r="F75" s="27">
        <v>-9916</v>
      </c>
      <c r="G75" s="27">
        <v>-12374</v>
      </c>
      <c r="H75" s="27"/>
      <c r="I75" s="27"/>
      <c r="J75" s="27"/>
      <c r="K75" s="27"/>
    </row>
    <row r="76" spans="1:11" outlineLevel="1" x14ac:dyDescent="0.2">
      <c r="B76" s="9" t="s">
        <v>108</v>
      </c>
      <c r="C76" s="27">
        <v>-7014</v>
      </c>
      <c r="D76" s="27">
        <v>-6829</v>
      </c>
      <c r="E76" s="27">
        <v>-563</v>
      </c>
      <c r="F76" s="27">
        <v>-3578</v>
      </c>
      <c r="G76" s="27">
        <v>-1323</v>
      </c>
      <c r="H76" s="27"/>
      <c r="I76" s="27"/>
      <c r="J76" s="27"/>
      <c r="K76" s="27"/>
    </row>
    <row r="77" spans="1:11" outlineLevel="1" x14ac:dyDescent="0.2">
      <c r="B77" s="9" t="s">
        <v>148</v>
      </c>
      <c r="C77" s="27">
        <v>0</v>
      </c>
      <c r="D77" s="27">
        <v>42416</v>
      </c>
      <c r="E77" s="27">
        <v>16777</v>
      </c>
      <c r="F77" s="27">
        <v>0</v>
      </c>
      <c r="G77" s="27">
        <v>0</v>
      </c>
      <c r="H77" s="27"/>
      <c r="I77" s="27"/>
      <c r="J77" s="27"/>
      <c r="K77" s="27"/>
    </row>
    <row r="78" spans="1:11" outlineLevel="1" x14ac:dyDescent="0.2">
      <c r="B78" s="9" t="s">
        <v>149</v>
      </c>
      <c r="C78" s="27">
        <v>-4492</v>
      </c>
      <c r="D78" s="27">
        <v>-66</v>
      </c>
      <c r="E78" s="27">
        <v>0</v>
      </c>
      <c r="F78" s="27">
        <v>0</v>
      </c>
      <c r="G78" s="27">
        <v>0</v>
      </c>
      <c r="H78" s="27"/>
      <c r="I78" s="27"/>
      <c r="J78" s="27"/>
      <c r="K78" s="27"/>
    </row>
    <row r="79" spans="1:11" outlineLevel="1" x14ac:dyDescent="0.2">
      <c r="B79" s="9" t="s">
        <v>150</v>
      </c>
      <c r="C79" s="27">
        <v>-1800</v>
      </c>
      <c r="D79" s="27">
        <v>-300</v>
      </c>
      <c r="E79" s="27">
        <v>-3051</v>
      </c>
      <c r="F79" s="27">
        <v>0</v>
      </c>
      <c r="G79" s="27">
        <v>0</v>
      </c>
      <c r="H79" s="27"/>
      <c r="I79" s="27"/>
      <c r="J79" s="27"/>
      <c r="K79" s="27"/>
    </row>
    <row r="80" spans="1:11" s="54" customFormat="1" outlineLevel="1" x14ac:dyDescent="0.2">
      <c r="A80" s="7"/>
      <c r="B80" s="17" t="s">
        <v>41</v>
      </c>
      <c r="C80" s="52">
        <v>-66366</v>
      </c>
      <c r="D80" s="52">
        <v>-52384</v>
      </c>
      <c r="E80" s="52">
        <v>-118075</v>
      </c>
      <c r="F80" s="52">
        <v>-151181</v>
      </c>
      <c r="G80" s="52">
        <v>-159779</v>
      </c>
      <c r="H80" s="52"/>
      <c r="I80" s="52"/>
      <c r="J80" s="52"/>
      <c r="K80" s="52"/>
    </row>
    <row r="81" spans="1:20" outlineLevel="1" x14ac:dyDescent="0.2">
      <c r="B81" s="9" t="s">
        <v>151</v>
      </c>
      <c r="C81" s="27">
        <v>110000</v>
      </c>
      <c r="D81" s="27">
        <v>259854</v>
      </c>
      <c r="E81" s="27">
        <v>800653</v>
      </c>
      <c r="F81" s="27">
        <v>0</v>
      </c>
      <c r="G81" s="27">
        <v>0</v>
      </c>
      <c r="H81" s="27"/>
      <c r="I81" s="27"/>
      <c r="J81" s="27"/>
      <c r="K81" s="27"/>
    </row>
    <row r="82" spans="1:20" outlineLevel="1" x14ac:dyDescent="0.2">
      <c r="B82" s="9" t="s">
        <v>152</v>
      </c>
      <c r="C82" s="27">
        <v>-122500</v>
      </c>
      <c r="D82" s="27">
        <v>-310000</v>
      </c>
      <c r="E82" s="27">
        <v>-442563</v>
      </c>
      <c r="F82" s="27">
        <v>-25313</v>
      </c>
      <c r="G82" s="27">
        <v>-40500</v>
      </c>
      <c r="H82" s="27"/>
      <c r="I82" s="27"/>
      <c r="J82" s="27"/>
      <c r="K82" s="27"/>
    </row>
    <row r="83" spans="1:20" outlineLevel="1" x14ac:dyDescent="0.2">
      <c r="B83" s="9" t="s">
        <v>158</v>
      </c>
      <c r="C83" s="27">
        <v>0</v>
      </c>
      <c r="D83" s="27">
        <v>0</v>
      </c>
      <c r="E83" s="27">
        <v>0</v>
      </c>
      <c r="F83" s="27">
        <v>5487</v>
      </c>
      <c r="G83" s="27">
        <v>14824</v>
      </c>
      <c r="H83" s="27"/>
      <c r="I83" s="27"/>
      <c r="J83" s="27"/>
      <c r="K83" s="27"/>
    </row>
    <row r="84" spans="1:20" outlineLevel="1" x14ac:dyDescent="0.2">
      <c r="B84" s="9" t="s">
        <v>153</v>
      </c>
      <c r="C84" s="27">
        <v>0</v>
      </c>
      <c r="D84" s="27">
        <v>-49286</v>
      </c>
      <c r="E84" s="27">
        <v>0</v>
      </c>
      <c r="F84" s="27">
        <v>0</v>
      </c>
      <c r="G84" s="27">
        <v>0</v>
      </c>
      <c r="H84" s="27"/>
      <c r="I84" s="27"/>
      <c r="J84" s="27"/>
      <c r="K84" s="27"/>
    </row>
    <row r="85" spans="1:20" outlineLevel="1" x14ac:dyDescent="0.2">
      <c r="B85" s="9" t="s">
        <v>154</v>
      </c>
      <c r="C85" s="27">
        <v>-42000</v>
      </c>
      <c r="D85" s="27">
        <v>-45438</v>
      </c>
      <c r="E85" s="27">
        <v>-435292</v>
      </c>
      <c r="F85" s="27">
        <v>0</v>
      </c>
      <c r="G85" s="27">
        <v>0</v>
      </c>
      <c r="H85" s="27"/>
      <c r="I85" s="27"/>
      <c r="J85" s="27"/>
      <c r="K85" s="27"/>
    </row>
    <row r="86" spans="1:20" outlineLevel="1" x14ac:dyDescent="0.2">
      <c r="B86" s="9" t="s">
        <v>155</v>
      </c>
      <c r="C86" s="27">
        <v>0</v>
      </c>
      <c r="D86" s="27">
        <v>-15300</v>
      </c>
      <c r="E86" s="27">
        <v>-3165</v>
      </c>
      <c r="F86" s="27">
        <v>0</v>
      </c>
      <c r="G86" s="27">
        <v>0</v>
      </c>
      <c r="H86" s="27"/>
      <c r="I86" s="27"/>
      <c r="J86" s="27"/>
      <c r="K86" s="27"/>
    </row>
    <row r="87" spans="1:20" outlineLevel="1" x14ac:dyDescent="0.2">
      <c r="B87" s="9" t="s">
        <v>156</v>
      </c>
      <c r="C87" s="27">
        <v>0</v>
      </c>
      <c r="D87" s="27">
        <v>0</v>
      </c>
      <c r="E87" s="27">
        <v>-4322</v>
      </c>
      <c r="F87" s="27">
        <v>-61395</v>
      </c>
      <c r="G87" s="27">
        <v>-51405</v>
      </c>
      <c r="H87" s="27"/>
      <c r="I87" s="27"/>
      <c r="J87" s="27"/>
      <c r="K87" s="27"/>
    </row>
    <row r="88" spans="1:20" outlineLevel="1" x14ac:dyDescent="0.2">
      <c r="B88" s="9" t="s">
        <v>157</v>
      </c>
      <c r="C88" s="27">
        <v>0</v>
      </c>
      <c r="D88" s="27">
        <v>0</v>
      </c>
      <c r="E88" s="27">
        <v>-150179</v>
      </c>
      <c r="F88" s="27">
        <v>0</v>
      </c>
      <c r="G88" s="27">
        <v>0</v>
      </c>
      <c r="H88" s="27"/>
      <c r="I88" s="27"/>
      <c r="J88" s="27"/>
      <c r="K88" s="27"/>
    </row>
    <row r="89" spans="1:20" s="54" customFormat="1" outlineLevel="1" x14ac:dyDescent="0.2">
      <c r="A89" s="7"/>
      <c r="B89" s="17" t="s">
        <v>42</v>
      </c>
      <c r="C89" s="52">
        <v>-54500</v>
      </c>
      <c r="D89" s="52">
        <v>-160170</v>
      </c>
      <c r="E89" s="52">
        <v>-234868</v>
      </c>
      <c r="F89" s="52">
        <v>-81221</v>
      </c>
      <c r="G89" s="52">
        <v>-77081</v>
      </c>
      <c r="H89" s="52"/>
      <c r="I89" s="52"/>
      <c r="J89" s="52"/>
      <c r="K89" s="52"/>
    </row>
    <row r="90" spans="1:20" s="53" customFormat="1" outlineLevel="1" x14ac:dyDescent="0.2">
      <c r="A90" s="7"/>
      <c r="B90" s="12" t="s">
        <v>114</v>
      </c>
      <c r="C90" s="27">
        <v>-704</v>
      </c>
      <c r="D90" s="27">
        <v>-14237</v>
      </c>
      <c r="E90" s="27">
        <v>7633</v>
      </c>
      <c r="F90" s="27">
        <v>-4610</v>
      </c>
      <c r="G90" s="27">
        <v>16348</v>
      </c>
      <c r="H90" s="27"/>
      <c r="I90" s="27"/>
      <c r="J90" s="27"/>
      <c r="K90" s="27"/>
      <c r="L90" s="8"/>
      <c r="M90" s="8"/>
      <c r="N90" s="8"/>
      <c r="O90" s="8"/>
      <c r="P90" s="8"/>
      <c r="Q90" s="8"/>
      <c r="R90" s="8"/>
      <c r="S90" s="8"/>
      <c r="T90" s="8"/>
    </row>
    <row r="91" spans="1:20" s="53" customFormat="1" outlineLevel="1" x14ac:dyDescent="0.2">
      <c r="A91" s="7"/>
      <c r="B91" s="11" t="s">
        <v>43</v>
      </c>
      <c r="C91" s="56">
        <v>107577</v>
      </c>
      <c r="D91" s="56">
        <v>-21827</v>
      </c>
      <c r="E91" s="56">
        <v>-64709</v>
      </c>
      <c r="F91" s="56">
        <v>209608</v>
      </c>
      <c r="G91" s="56">
        <v>413620</v>
      </c>
      <c r="H91" s="56"/>
      <c r="I91" s="56"/>
      <c r="J91" s="56"/>
      <c r="K91" s="56"/>
    </row>
    <row r="92" spans="1:20" s="53" customFormat="1" outlineLevel="1" x14ac:dyDescent="0.2">
      <c r="A92" s="7"/>
      <c r="B92" s="11" t="s">
        <v>44</v>
      </c>
      <c r="C92" s="56">
        <v>133020</v>
      </c>
      <c r="D92" s="56">
        <v>240597</v>
      </c>
      <c r="E92" s="56">
        <v>218770</v>
      </c>
      <c r="F92" s="56">
        <v>154061</v>
      </c>
      <c r="G92" s="56">
        <v>363669</v>
      </c>
      <c r="H92" s="56"/>
      <c r="I92" s="56"/>
      <c r="J92" s="56"/>
      <c r="K92" s="56"/>
    </row>
    <row r="93" spans="1:20" s="58" customFormat="1" ht="17" outlineLevel="1" thickBot="1" x14ac:dyDescent="0.25">
      <c r="A93" s="7"/>
      <c r="B93" s="19" t="s">
        <v>45</v>
      </c>
      <c r="C93" s="52">
        <v>240597</v>
      </c>
      <c r="D93" s="52">
        <v>218770</v>
      </c>
      <c r="E93" s="52">
        <v>154061</v>
      </c>
      <c r="F93" s="52">
        <v>363669</v>
      </c>
      <c r="G93" s="52">
        <v>777289</v>
      </c>
      <c r="H93" s="52"/>
      <c r="I93" s="52"/>
      <c r="J93" s="52"/>
      <c r="K93" s="52"/>
    </row>
    <row r="94" spans="1:20" x14ac:dyDescent="0.2">
      <c r="B94" s="1"/>
    </row>
    <row r="95" spans="1:20" s="14" customFormat="1" ht="17" thickBot="1" x14ac:dyDescent="0.25">
      <c r="A95" s="4"/>
      <c r="B95" s="15" t="s">
        <v>46</v>
      </c>
    </row>
    <row r="96" spans="1:20" hidden="1" outlineLevel="2" x14ac:dyDescent="0.2">
      <c r="B96" s="9" t="s">
        <v>47</v>
      </c>
      <c r="C96" s="20">
        <f>C5-C6-C11+C13+C14+C16</f>
        <v>331113</v>
      </c>
      <c r="D96" s="20">
        <f t="shared" ref="D96:K96" si="7">D5-D6-D11+D13+D14+D16</f>
        <v>232354</v>
      </c>
      <c r="E96" s="20">
        <f t="shared" si="7"/>
        <v>167078</v>
      </c>
      <c r="F96" s="20">
        <f t="shared" si="7"/>
        <v>438705</v>
      </c>
      <c r="G96" s="20">
        <f t="shared" si="7"/>
        <v>701374</v>
      </c>
      <c r="H96" s="20">
        <f t="shared" si="7"/>
        <v>0</v>
      </c>
      <c r="I96" s="20">
        <f t="shared" si="7"/>
        <v>0</v>
      </c>
      <c r="J96" s="20">
        <f t="shared" si="7"/>
        <v>0</v>
      </c>
      <c r="K96" s="20">
        <f t="shared" si="7"/>
        <v>0</v>
      </c>
    </row>
    <row r="97" spans="1:11" s="18" customFormat="1" outlineLevel="1" collapsed="1" x14ac:dyDescent="0.2">
      <c r="A97" s="7"/>
      <c r="B97" s="17" t="s">
        <v>48</v>
      </c>
      <c r="C97" s="24">
        <f t="shared" ref="C97:K97" si="8">C17-C96</f>
        <v>0</v>
      </c>
      <c r="D97" s="24">
        <f t="shared" si="8"/>
        <v>0</v>
      </c>
      <c r="E97" s="24">
        <f t="shared" si="8"/>
        <v>0</v>
      </c>
      <c r="F97" s="24">
        <f t="shared" si="8"/>
        <v>0</v>
      </c>
      <c r="G97" s="24">
        <f t="shared" si="8"/>
        <v>0</v>
      </c>
      <c r="H97" s="24">
        <f t="shared" si="8"/>
        <v>0</v>
      </c>
      <c r="I97" s="24">
        <f t="shared" si="8"/>
        <v>0</v>
      </c>
      <c r="J97" s="24">
        <f t="shared" si="8"/>
        <v>0</v>
      </c>
      <c r="K97" s="24">
        <f t="shared" si="8"/>
        <v>0</v>
      </c>
    </row>
    <row r="98" spans="1:11" hidden="1" outlineLevel="2" x14ac:dyDescent="0.2">
      <c r="B98" s="9" t="s">
        <v>49</v>
      </c>
      <c r="C98" s="20">
        <f t="shared" ref="C98:K98" si="9">SUM(C24:C28)+SUM(C30:C35)</f>
        <v>0</v>
      </c>
      <c r="D98" s="20">
        <f t="shared" si="9"/>
        <v>3294891</v>
      </c>
      <c r="E98" s="20">
        <f t="shared" si="9"/>
        <v>3487070</v>
      </c>
      <c r="F98" s="20">
        <f t="shared" si="9"/>
        <v>4394159</v>
      </c>
      <c r="G98" s="20">
        <f t="shared" si="9"/>
        <v>5349434</v>
      </c>
      <c r="H98" s="20">
        <f t="shared" si="9"/>
        <v>0</v>
      </c>
      <c r="I98" s="20">
        <f t="shared" si="9"/>
        <v>0</v>
      </c>
      <c r="J98" s="20">
        <f t="shared" si="9"/>
        <v>0</v>
      </c>
      <c r="K98" s="20">
        <f t="shared" si="9"/>
        <v>0</v>
      </c>
    </row>
    <row r="99" spans="1:11" s="7" customFormat="1" outlineLevel="1" collapsed="1" x14ac:dyDescent="0.2">
      <c r="B99" s="11" t="s">
        <v>50</v>
      </c>
      <c r="C99" s="23">
        <f t="shared" ref="C99:K99" si="10">C37-C98</f>
        <v>0</v>
      </c>
      <c r="D99" s="23">
        <f t="shared" si="10"/>
        <v>0</v>
      </c>
      <c r="E99" s="23">
        <f t="shared" si="10"/>
        <v>0</v>
      </c>
      <c r="F99" s="23">
        <f t="shared" si="10"/>
        <v>0</v>
      </c>
      <c r="G99" s="23">
        <f t="shared" si="10"/>
        <v>0</v>
      </c>
      <c r="H99" s="23">
        <f t="shared" si="10"/>
        <v>0</v>
      </c>
      <c r="I99" s="23">
        <f t="shared" si="10"/>
        <v>0</v>
      </c>
      <c r="J99" s="23">
        <f t="shared" si="10"/>
        <v>0</v>
      </c>
      <c r="K99" s="23">
        <f t="shared" si="10"/>
        <v>0</v>
      </c>
    </row>
    <row r="100" spans="1:11" hidden="1" outlineLevel="2" x14ac:dyDescent="0.2">
      <c r="B100" s="9" t="s">
        <v>51</v>
      </c>
      <c r="C100" s="20">
        <f>SUM(C38:C41)+SUM(C43:C46)</f>
        <v>0</v>
      </c>
      <c r="D100" s="20">
        <f>SUM(D38:D41)+SUM(D43:D46)</f>
        <v>1466602</v>
      </c>
      <c r="E100" s="20">
        <f>SUM(E38:E41)+SUM(E43:E46)</f>
        <v>2008177</v>
      </c>
      <c r="F100" s="20">
        <f>SUM(F38:F41)+SUM(F43:F46)</f>
        <v>2458187</v>
      </c>
      <c r="G100" s="20">
        <f>SUM(G38:G41)+SUM(G43:G46)</f>
        <v>2673223</v>
      </c>
      <c r="H100" s="20">
        <f>SUM(H38:H41)+SUM(H43:H43)</f>
        <v>0</v>
      </c>
      <c r="I100" s="20">
        <f>SUM(I38:I41)+SUM(I43:I43)</f>
        <v>0</v>
      </c>
      <c r="J100" s="20">
        <f>SUM(J38:J41)+SUM(J43:J43)</f>
        <v>0</v>
      </c>
      <c r="K100" s="20">
        <f>SUM(K38:K41)+SUM(K43:K43)</f>
        <v>0</v>
      </c>
    </row>
    <row r="101" spans="1:11" s="7" customFormat="1" outlineLevel="1" collapsed="1" x14ac:dyDescent="0.2">
      <c r="B101" s="11" t="s">
        <v>52</v>
      </c>
      <c r="C101" s="23">
        <f t="shared" ref="C101:K101" si="11">C48-C100</f>
        <v>0</v>
      </c>
      <c r="D101" s="23">
        <f t="shared" si="11"/>
        <v>0</v>
      </c>
      <c r="E101" s="23">
        <f t="shared" si="11"/>
        <v>0</v>
      </c>
      <c r="F101" s="23">
        <f t="shared" si="11"/>
        <v>0</v>
      </c>
      <c r="G101" s="23">
        <f t="shared" si="11"/>
        <v>0</v>
      </c>
      <c r="H101" s="23">
        <f t="shared" si="11"/>
        <v>0</v>
      </c>
      <c r="I101" s="23">
        <f t="shared" si="11"/>
        <v>0</v>
      </c>
      <c r="J101" s="23">
        <f t="shared" si="11"/>
        <v>0</v>
      </c>
      <c r="K101" s="23">
        <f t="shared" si="11"/>
        <v>0</v>
      </c>
    </row>
    <row r="102" spans="1:11" hidden="1" outlineLevel="2" x14ac:dyDescent="0.2">
      <c r="B102" s="9" t="s">
        <v>53</v>
      </c>
      <c r="C102" s="20">
        <f t="shared" ref="C102:K102" si="12">SUM(C49:C52)</f>
        <v>0</v>
      </c>
      <c r="D102" s="20">
        <f t="shared" si="12"/>
        <v>1828289</v>
      </c>
      <c r="E102" s="20">
        <f t="shared" si="12"/>
        <v>1478893</v>
      </c>
      <c r="F102" s="20">
        <f t="shared" si="12"/>
        <v>1935972</v>
      </c>
      <c r="G102" s="20">
        <f t="shared" si="12"/>
        <v>2676211</v>
      </c>
      <c r="H102" s="20">
        <f t="shared" si="12"/>
        <v>0</v>
      </c>
      <c r="I102" s="20">
        <f t="shared" si="12"/>
        <v>0</v>
      </c>
      <c r="J102" s="20">
        <f t="shared" si="12"/>
        <v>0</v>
      </c>
      <c r="K102" s="20">
        <f t="shared" si="12"/>
        <v>0</v>
      </c>
    </row>
    <row r="103" spans="1:11" s="7" customFormat="1" outlineLevel="1" collapsed="1" x14ac:dyDescent="0.2">
      <c r="B103" s="11" t="s">
        <v>54</v>
      </c>
      <c r="C103" s="23">
        <f t="shared" ref="C103:K103" si="13">C53-C102</f>
        <v>0</v>
      </c>
      <c r="D103" s="23">
        <f t="shared" si="13"/>
        <v>0</v>
      </c>
      <c r="E103" s="23">
        <f t="shared" si="13"/>
        <v>0</v>
      </c>
      <c r="F103" s="23">
        <f t="shared" si="13"/>
        <v>0</v>
      </c>
      <c r="G103" s="23">
        <f t="shared" si="13"/>
        <v>0</v>
      </c>
      <c r="H103" s="23">
        <f t="shared" si="13"/>
        <v>0</v>
      </c>
      <c r="I103" s="23">
        <f t="shared" si="13"/>
        <v>0</v>
      </c>
      <c r="J103" s="23">
        <f t="shared" si="13"/>
        <v>0</v>
      </c>
      <c r="K103" s="23">
        <f t="shared" si="13"/>
        <v>0</v>
      </c>
    </row>
    <row r="104" spans="1:11" s="18" customFormat="1" outlineLevel="1" x14ac:dyDescent="0.2">
      <c r="A104" s="7"/>
      <c r="B104" s="17" t="s">
        <v>64</v>
      </c>
      <c r="C104" s="22">
        <f t="shared" ref="C104:K104" si="14">C37-(C48+C53)</f>
        <v>0</v>
      </c>
      <c r="D104" s="22">
        <f t="shared" si="14"/>
        <v>0</v>
      </c>
      <c r="E104" s="22">
        <f t="shared" si="14"/>
        <v>0</v>
      </c>
      <c r="F104" s="22">
        <f t="shared" si="14"/>
        <v>0</v>
      </c>
      <c r="G104" s="22">
        <f t="shared" si="14"/>
        <v>0</v>
      </c>
      <c r="H104" s="22">
        <f t="shared" si="14"/>
        <v>0</v>
      </c>
      <c r="I104" s="22">
        <f t="shared" si="14"/>
        <v>0</v>
      </c>
      <c r="J104" s="22">
        <f t="shared" si="14"/>
        <v>0</v>
      </c>
      <c r="K104" s="22">
        <f t="shared" si="14"/>
        <v>0</v>
      </c>
    </row>
    <row r="105" spans="1:11" hidden="1" outlineLevel="2" x14ac:dyDescent="0.2">
      <c r="B105" s="9" t="s">
        <v>55</v>
      </c>
      <c r="C105" s="20">
        <f t="shared" ref="C105:K105" si="15">SUM(C57:C72)</f>
        <v>229147</v>
      </c>
      <c r="D105" s="20">
        <f t="shared" si="15"/>
        <v>204964</v>
      </c>
      <c r="E105" s="20">
        <f t="shared" si="15"/>
        <v>280601</v>
      </c>
      <c r="F105" s="20">
        <f t="shared" si="15"/>
        <v>446620</v>
      </c>
      <c r="G105" s="20">
        <f t="shared" si="15"/>
        <v>634132</v>
      </c>
      <c r="H105" s="20">
        <f t="shared" si="15"/>
        <v>0</v>
      </c>
      <c r="I105" s="20">
        <f t="shared" si="15"/>
        <v>0</v>
      </c>
      <c r="J105" s="20">
        <f t="shared" si="15"/>
        <v>0</v>
      </c>
      <c r="K105" s="20">
        <f t="shared" si="15"/>
        <v>0</v>
      </c>
    </row>
    <row r="106" spans="1:11" s="7" customFormat="1" outlineLevel="1" collapsed="1" x14ac:dyDescent="0.2">
      <c r="B106" s="11" t="s">
        <v>56</v>
      </c>
      <c r="C106" s="23">
        <f t="shared" ref="C106:K106" si="16">C73-C105</f>
        <v>0</v>
      </c>
      <c r="D106" s="23">
        <f t="shared" si="16"/>
        <v>0</v>
      </c>
      <c r="E106" s="23">
        <f t="shared" si="16"/>
        <v>0</v>
      </c>
      <c r="F106" s="23">
        <f t="shared" si="16"/>
        <v>0</v>
      </c>
      <c r="G106" s="23">
        <f t="shared" si="16"/>
        <v>0</v>
      </c>
      <c r="H106" s="23">
        <f t="shared" si="16"/>
        <v>0</v>
      </c>
      <c r="I106" s="23">
        <f t="shared" si="16"/>
        <v>0</v>
      </c>
      <c r="J106" s="23">
        <f t="shared" si="16"/>
        <v>0</v>
      </c>
      <c r="K106" s="23">
        <f t="shared" si="16"/>
        <v>0</v>
      </c>
    </row>
    <row r="107" spans="1:11" hidden="1" outlineLevel="2" x14ac:dyDescent="0.2">
      <c r="B107" s="9" t="s">
        <v>57</v>
      </c>
      <c r="C107" s="20">
        <f>SUM(C74:C79)</f>
        <v>-66366</v>
      </c>
      <c r="D107" s="20">
        <f t="shared" ref="D107:J107" si="17">SUM(D74:D79)</f>
        <v>-52384</v>
      </c>
      <c r="E107" s="20">
        <f t="shared" si="17"/>
        <v>-118075</v>
      </c>
      <c r="F107" s="20">
        <f t="shared" si="17"/>
        <v>-151181</v>
      </c>
      <c r="G107" s="20">
        <f t="shared" si="17"/>
        <v>-159779</v>
      </c>
      <c r="H107" s="20">
        <f t="shared" si="17"/>
        <v>0</v>
      </c>
      <c r="I107" s="20">
        <f t="shared" si="17"/>
        <v>0</v>
      </c>
      <c r="J107" s="20">
        <f t="shared" si="17"/>
        <v>0</v>
      </c>
      <c r="K107" s="20">
        <f>SUM(K74:K76)</f>
        <v>0</v>
      </c>
    </row>
    <row r="108" spans="1:11" s="7" customFormat="1" outlineLevel="1" collapsed="1" x14ac:dyDescent="0.2">
      <c r="B108" s="11" t="s">
        <v>58</v>
      </c>
      <c r="C108" s="23">
        <f t="shared" ref="C108:K108" si="18">C80-C107</f>
        <v>0</v>
      </c>
      <c r="D108" s="23">
        <f t="shared" si="18"/>
        <v>0</v>
      </c>
      <c r="E108" s="23">
        <f t="shared" si="18"/>
        <v>0</v>
      </c>
      <c r="F108" s="23">
        <f t="shared" si="18"/>
        <v>0</v>
      </c>
      <c r="G108" s="23">
        <f t="shared" si="18"/>
        <v>0</v>
      </c>
      <c r="H108" s="23">
        <f t="shared" si="18"/>
        <v>0</v>
      </c>
      <c r="I108" s="23">
        <f t="shared" si="18"/>
        <v>0</v>
      </c>
      <c r="J108" s="23">
        <f t="shared" si="18"/>
        <v>0</v>
      </c>
      <c r="K108" s="23">
        <f t="shared" si="18"/>
        <v>0</v>
      </c>
    </row>
    <row r="109" spans="1:11" hidden="1" outlineLevel="2" x14ac:dyDescent="0.2">
      <c r="B109" s="9" t="s">
        <v>59</v>
      </c>
      <c r="C109" s="20">
        <f t="shared" ref="C109:K109" si="19">SUM(C81:C88)</f>
        <v>-54500</v>
      </c>
      <c r="D109" s="20">
        <f t="shared" si="19"/>
        <v>-160170</v>
      </c>
      <c r="E109" s="20">
        <f t="shared" si="19"/>
        <v>-234868</v>
      </c>
      <c r="F109" s="20">
        <f t="shared" si="19"/>
        <v>-81221</v>
      </c>
      <c r="G109" s="20">
        <f t="shared" si="19"/>
        <v>-77081</v>
      </c>
      <c r="H109" s="20">
        <f t="shared" si="19"/>
        <v>0</v>
      </c>
      <c r="I109" s="20">
        <f t="shared" si="19"/>
        <v>0</v>
      </c>
      <c r="J109" s="20">
        <f t="shared" si="19"/>
        <v>0</v>
      </c>
      <c r="K109" s="20">
        <f t="shared" si="19"/>
        <v>0</v>
      </c>
    </row>
    <row r="110" spans="1:11" s="7" customFormat="1" outlineLevel="1" collapsed="1" x14ac:dyDescent="0.2">
      <c r="B110" s="11" t="s">
        <v>60</v>
      </c>
      <c r="C110" s="23">
        <f t="shared" ref="C110:K110" si="20">C89-C109</f>
        <v>0</v>
      </c>
      <c r="D110" s="23">
        <f t="shared" si="20"/>
        <v>0</v>
      </c>
      <c r="E110" s="23">
        <f t="shared" si="20"/>
        <v>0</v>
      </c>
      <c r="F110" s="23">
        <f t="shared" si="20"/>
        <v>0</v>
      </c>
      <c r="G110" s="23">
        <f t="shared" si="20"/>
        <v>0</v>
      </c>
      <c r="H110" s="23">
        <f t="shared" si="20"/>
        <v>0</v>
      </c>
      <c r="I110" s="23">
        <f t="shared" si="20"/>
        <v>0</v>
      </c>
      <c r="J110" s="23">
        <f t="shared" si="20"/>
        <v>0</v>
      </c>
      <c r="K110" s="23">
        <f t="shared" si="20"/>
        <v>0</v>
      </c>
    </row>
    <row r="111" spans="1:11" hidden="1" outlineLevel="2" x14ac:dyDescent="0.2">
      <c r="B111" s="9" t="s">
        <v>62</v>
      </c>
      <c r="C111" s="20">
        <f>C73+C80+C89+C92+C90</f>
        <v>240597</v>
      </c>
      <c r="D111" s="20">
        <f>D73+D80+D89+D92+D90</f>
        <v>218770</v>
      </c>
      <c r="E111" s="20">
        <f>E73+E80+E89+E92+E90</f>
        <v>154061</v>
      </c>
      <c r="F111" s="20">
        <f>F73+F80+F89+F92+F90</f>
        <v>363669</v>
      </c>
      <c r="G111" s="20">
        <f>G73+G80+G89+G92+G90</f>
        <v>777289</v>
      </c>
      <c r="H111" s="20">
        <f>H73+H80+H89+H92</f>
        <v>0</v>
      </c>
      <c r="I111" s="20">
        <f>I73+I80+I89+I92</f>
        <v>0</v>
      </c>
      <c r="J111" s="20">
        <f>J73+J80+J89+J92</f>
        <v>0</v>
      </c>
      <c r="K111" s="20">
        <f>K73+K80+K89+K92</f>
        <v>0</v>
      </c>
    </row>
    <row r="112" spans="1:11" s="18" customFormat="1" outlineLevel="1" collapsed="1" x14ac:dyDescent="0.2">
      <c r="A112" s="7"/>
      <c r="B112" s="17" t="s">
        <v>61</v>
      </c>
      <c r="C112" s="22">
        <f t="shared" ref="C112:K112" si="21">C93-C111</f>
        <v>0</v>
      </c>
      <c r="D112" s="22">
        <f t="shared" si="21"/>
        <v>0</v>
      </c>
      <c r="E112" s="22">
        <f t="shared" si="21"/>
        <v>0</v>
      </c>
      <c r="F112" s="22">
        <f t="shared" si="21"/>
        <v>0</v>
      </c>
      <c r="G112" s="22">
        <f t="shared" si="21"/>
        <v>0</v>
      </c>
      <c r="H112" s="22">
        <f t="shared" si="21"/>
        <v>0</v>
      </c>
      <c r="I112" s="22">
        <f t="shared" si="21"/>
        <v>0</v>
      </c>
      <c r="J112" s="22">
        <f t="shared" si="21"/>
        <v>0</v>
      </c>
      <c r="K112" s="22">
        <f t="shared" si="21"/>
        <v>0</v>
      </c>
    </row>
    <row r="113" spans="1:11" x14ac:dyDescent="0.2">
      <c r="B113" s="8"/>
      <c r="E113" s="8"/>
      <c r="F113" s="8"/>
      <c r="G113" s="8"/>
      <c r="H113" s="8"/>
      <c r="I113" s="8"/>
      <c r="J113" s="8"/>
      <c r="K113" s="8"/>
    </row>
    <row r="114" spans="1:11" s="14" customFormat="1" ht="17" thickBot="1" x14ac:dyDescent="0.25">
      <c r="A114" s="4"/>
      <c r="B114" s="15" t="s">
        <v>63</v>
      </c>
    </row>
    <row r="115" spans="1:11" outlineLevel="1" x14ac:dyDescent="0.2">
      <c r="B115" s="9" t="s">
        <v>4</v>
      </c>
      <c r="C115" s="29"/>
      <c r="D115" s="29"/>
      <c r="E115" s="27">
        <v>139083</v>
      </c>
      <c r="F115" s="27">
        <v>140347</v>
      </c>
      <c r="G115" s="27">
        <v>141243</v>
      </c>
      <c r="H115" s="27"/>
      <c r="I115" s="27"/>
      <c r="J115" s="27"/>
      <c r="K115" s="27"/>
    </row>
    <row r="116" spans="1:11" outlineLevel="1" x14ac:dyDescent="0.2">
      <c r="B116" s="12" t="s">
        <v>69</v>
      </c>
      <c r="C116" s="30"/>
      <c r="D116" s="30"/>
      <c r="E116" s="28">
        <v>0</v>
      </c>
      <c r="F116" s="28">
        <v>0</v>
      </c>
      <c r="G116" s="28">
        <v>0</v>
      </c>
      <c r="H116" s="28"/>
      <c r="I116" s="28"/>
      <c r="J116" s="28"/>
      <c r="K116" s="28"/>
    </row>
    <row r="117" spans="1:11" outlineLevel="1" x14ac:dyDescent="0.2">
      <c r="B117" s="9" t="s">
        <v>84</v>
      </c>
      <c r="C117" s="29">
        <v>56800</v>
      </c>
      <c r="D117" s="29">
        <v>64200</v>
      </c>
      <c r="E117" s="29">
        <v>81000</v>
      </c>
      <c r="F117" s="29">
        <v>98400</v>
      </c>
      <c r="G117" s="29">
        <v>115200</v>
      </c>
      <c r="H117" s="27"/>
      <c r="I117" s="27"/>
      <c r="J117" s="27"/>
      <c r="K117" s="27"/>
    </row>
    <row r="118" spans="1:11" outlineLevel="1" x14ac:dyDescent="0.2">
      <c r="B118" s="9" t="s">
        <v>85</v>
      </c>
      <c r="C118" s="29">
        <v>21341</v>
      </c>
      <c r="D118" s="29">
        <v>22535</v>
      </c>
      <c r="E118" s="29">
        <v>22782</v>
      </c>
      <c r="F118" s="29">
        <v>24665</v>
      </c>
      <c r="G118" s="29">
        <v>24388</v>
      </c>
      <c r="H118" s="27"/>
      <c r="I118" s="27"/>
      <c r="J118" s="27"/>
      <c r="K118" s="27"/>
    </row>
    <row r="119" spans="1:11" outlineLevel="1" x14ac:dyDescent="0.2">
      <c r="B119" s="9" t="s">
        <v>91</v>
      </c>
      <c r="C119" s="90">
        <f>-(1*C16)/C15</f>
        <v>0.2008394356135024</v>
      </c>
      <c r="D119" s="90">
        <f t="shared" ref="D119:G119" si="22">-(1*D16)/D15</f>
        <v>0.23057512980820175</v>
      </c>
      <c r="E119" s="90">
        <f t="shared" si="22"/>
        <v>0.43021130314976741</v>
      </c>
      <c r="F119" s="90">
        <f t="shared" si="22"/>
        <v>0.23365888339415197</v>
      </c>
      <c r="G119" s="90">
        <f t="shared" si="22"/>
        <v>0.22093619970720155</v>
      </c>
      <c r="H119" s="90"/>
      <c r="I119" s="90"/>
      <c r="J119" s="90"/>
      <c r="K119" s="90"/>
    </row>
    <row r="120" spans="1:11" outlineLevel="1" x14ac:dyDescent="0.2">
      <c r="B120" s="9" t="s">
        <v>92</v>
      </c>
      <c r="C120" s="27">
        <v>2619</v>
      </c>
      <c r="D120" s="27"/>
      <c r="E120" s="27">
        <v>3019</v>
      </c>
      <c r="F120" s="27">
        <v>3688</v>
      </c>
      <c r="G120" s="27">
        <v>4143</v>
      </c>
      <c r="H120" s="27"/>
      <c r="I120" s="27"/>
      <c r="J120" s="27"/>
      <c r="K120" s="27"/>
    </row>
    <row r="121" spans="1:11" outlineLevel="1" x14ac:dyDescent="0.2"/>
    <row r="122" spans="1:11" x14ac:dyDescent="0.2">
      <c r="B122" s="1"/>
    </row>
    <row r="123" spans="1:11" s="14" customFormat="1" ht="17" thickBot="1" x14ac:dyDescent="0.25">
      <c r="A123" s="4"/>
      <c r="B123" s="15" t="s">
        <v>86</v>
      </c>
      <c r="C123" s="91"/>
    </row>
    <row r="124" spans="1:11" s="18" customFormat="1" outlineLevel="1" x14ac:dyDescent="0.2">
      <c r="A124" s="7"/>
      <c r="B124" s="17" t="s">
        <v>6</v>
      </c>
      <c r="C124" s="92"/>
      <c r="D124" s="76">
        <f t="shared" ref="D124:G128" si="23">IF(C5=0,
IF(D5=0,0,IF(D5&gt;0,1,-1)),
(D5-C5)/ABS(C5)
)</f>
        <v>-2.5833151327852954E-3</v>
      </c>
      <c r="E124" s="76">
        <f t="shared" si="23"/>
        <v>0.14428065463556722</v>
      </c>
      <c r="F124" s="76">
        <f t="shared" si="23"/>
        <v>0.29972165474374135</v>
      </c>
      <c r="G124" s="76">
        <f t="shared" si="23"/>
        <v>0.15746171887873309</v>
      </c>
      <c r="H124" s="76"/>
      <c r="I124" s="76"/>
      <c r="J124" s="76"/>
      <c r="K124" s="76"/>
    </row>
    <row r="125" spans="1:11" outlineLevel="1" x14ac:dyDescent="0.2">
      <c r="B125" s="9" t="s">
        <v>7</v>
      </c>
      <c r="C125" s="93"/>
      <c r="D125" s="75">
        <f t="shared" si="23"/>
        <v>8.0225095136774137E-3</v>
      </c>
      <c r="E125" s="75">
        <f t="shared" si="23"/>
        <v>1.6767713893892609E-2</v>
      </c>
      <c r="F125" s="75">
        <f t="shared" si="23"/>
        <v>0.22200405992178554</v>
      </c>
      <c r="G125" s="75">
        <f t="shared" si="23"/>
        <v>0.13815787637686944</v>
      </c>
      <c r="H125" s="75"/>
      <c r="I125" s="75"/>
      <c r="J125" s="75"/>
      <c r="K125" s="75"/>
    </row>
    <row r="126" spans="1:11" s="18" customFormat="1" outlineLevel="1" x14ac:dyDescent="0.2">
      <c r="A126" s="7"/>
      <c r="B126" s="17" t="s">
        <v>8</v>
      </c>
      <c r="C126" s="92"/>
      <c r="D126" s="76">
        <f t="shared" si="23"/>
        <v>-1.9462043799680709E-2</v>
      </c>
      <c r="E126" s="76">
        <f t="shared" si="23"/>
        <v>0.35290038108231919</v>
      </c>
      <c r="F126" s="76">
        <f t="shared" si="23"/>
        <v>0.39528170948270619</v>
      </c>
      <c r="G126" s="76">
        <f t="shared" si="23"/>
        <v>0.17824966350374588</v>
      </c>
      <c r="H126" s="76"/>
      <c r="I126" s="76"/>
      <c r="J126" s="76"/>
      <c r="K126" s="76"/>
    </row>
    <row r="127" spans="1:11" outlineLevel="1" x14ac:dyDescent="0.2">
      <c r="B127" s="9" t="s">
        <v>9</v>
      </c>
      <c r="C127" s="93"/>
      <c r="D127" s="75">
        <f t="shared" si="23"/>
        <v>7.4855089438350092E-2</v>
      </c>
      <c r="E127" s="75">
        <f t="shared" si="23"/>
        <v>0.1563896874710192</v>
      </c>
      <c r="F127" s="75">
        <f t="shared" si="23"/>
        <v>0.3685115904197091</v>
      </c>
      <c r="G127" s="75">
        <f t="shared" si="23"/>
        <v>7.847894306584742E-2</v>
      </c>
      <c r="H127" s="75"/>
      <c r="I127" s="75"/>
      <c r="J127" s="75"/>
      <c r="K127" s="75"/>
    </row>
    <row r="128" spans="1:11" outlineLevel="1" x14ac:dyDescent="0.2">
      <c r="B128" s="12" t="s">
        <v>93</v>
      </c>
      <c r="C128" s="93"/>
      <c r="D128" s="75">
        <f t="shared" si="23"/>
        <v>4.5077055762466041E-3</v>
      </c>
      <c r="E128" s="75">
        <f t="shared" si="23"/>
        <v>0.44317175092008559</v>
      </c>
      <c r="F128" s="75">
        <f t="shared" si="23"/>
        <v>0.38498860832121751</v>
      </c>
      <c r="G128" s="75">
        <f t="shared" si="23"/>
        <v>0.17285352875167417</v>
      </c>
      <c r="H128" s="75"/>
      <c r="I128" s="75"/>
      <c r="J128" s="75"/>
      <c r="K128" s="75"/>
    </row>
    <row r="129" spans="1:11" outlineLevel="1" x14ac:dyDescent="0.2">
      <c r="B129" s="12" t="s">
        <v>94</v>
      </c>
      <c r="C129" s="93"/>
      <c r="D129" s="75">
        <f t="shared" ref="D129:G129" si="24">IF(C10=0,
IF(D10=0,0,IF(D10&gt;0,1,-1)),
(D10-C10)/ABS(C10)
)</f>
        <v>0.39463369678665811</v>
      </c>
      <c r="E129" s="75">
        <f t="shared" si="24"/>
        <v>0.54182009259296116</v>
      </c>
      <c r="F129" s="75">
        <f t="shared" si="24"/>
        <v>0.11897003996736515</v>
      </c>
      <c r="G129" s="75">
        <f t="shared" si="24"/>
        <v>-9.9876556028565169E-2</v>
      </c>
      <c r="H129" s="75"/>
      <c r="I129" s="75"/>
      <c r="J129" s="75"/>
      <c r="K129" s="75"/>
    </row>
    <row r="130" spans="1:11" outlineLevel="1" x14ac:dyDescent="0.2">
      <c r="B130" s="12" t="s">
        <v>10</v>
      </c>
      <c r="C130" s="93"/>
      <c r="D130" s="75">
        <f t="shared" ref="D130:G131" si="25">IF(C11=0,
IF(D11=0,0,IF(D11&gt;0,1,-1)),
(D11-C11)/ABS(C11)
)</f>
        <v>8.8899489662745385E-2</v>
      </c>
      <c r="E130" s="75">
        <f t="shared" si="25"/>
        <v>0.40912914898697672</v>
      </c>
      <c r="F130" s="75">
        <f t="shared" si="25"/>
        <v>0.31515660684304381</v>
      </c>
      <c r="G130" s="75">
        <f t="shared" si="25"/>
        <v>9.8313583559360082E-2</v>
      </c>
      <c r="H130" s="75"/>
      <c r="I130" s="75"/>
      <c r="J130" s="75"/>
      <c r="K130" s="75"/>
    </row>
    <row r="131" spans="1:11" s="18" customFormat="1" outlineLevel="1" x14ac:dyDescent="0.2">
      <c r="A131" s="7"/>
      <c r="B131" s="17" t="s">
        <v>11</v>
      </c>
      <c r="C131" s="92"/>
      <c r="D131" s="76">
        <f t="shared" si="25"/>
        <v>-0.26669967621737928</v>
      </c>
      <c r="E131" s="76">
        <f t="shared" si="25"/>
        <v>0.16239646019902046</v>
      </c>
      <c r="F131" s="76">
        <f t="shared" si="25"/>
        <v>0.72436851516741441</v>
      </c>
      <c r="G131" s="76">
        <f t="shared" si="25"/>
        <v>0.42864838348117401</v>
      </c>
      <c r="H131" s="76"/>
      <c r="I131" s="76"/>
      <c r="J131" s="76"/>
      <c r="K131" s="76"/>
    </row>
    <row r="132" spans="1:11" s="77" customFormat="1" outlineLevel="1" x14ac:dyDescent="0.2">
      <c r="A132" s="7"/>
      <c r="B132" s="78" t="s">
        <v>12</v>
      </c>
      <c r="C132" s="92"/>
      <c r="D132" s="79">
        <f>IF(C15=0,
IF(D15=0,0,IF(D15&gt;0,1,-1)),
(D15-C15)/ABS(C15)
)</f>
        <v>-0.27114397841313365</v>
      </c>
      <c r="E132" s="79">
        <f>IF(D15=0,
IF(E15=0,0,IF(E15&gt;0,1,-1)),
(E15-D15)/ABS(D15)
)</f>
        <v>-2.8994913637808626E-2</v>
      </c>
      <c r="F132" s="79">
        <f>IF(E15=0,
IF(F15=0,0,IF(F15&gt;0,1,-1)),
(F15-E15)/ABS(E15)
)</f>
        <v>0.95229309615725644</v>
      </c>
      <c r="G132" s="79">
        <f>IF(F15=0,
IF(G15=0,0,IF(G15&gt;0,1,-1)),
(G15-F15)/ABS(F15)
)</f>
        <v>0.57262864060286445</v>
      </c>
      <c r="H132" s="79"/>
      <c r="I132" s="79"/>
      <c r="J132" s="79"/>
      <c r="K132" s="79"/>
    </row>
    <row r="133" spans="1:11" s="77" customFormat="1" outlineLevel="1" x14ac:dyDescent="0.2">
      <c r="A133" s="7"/>
      <c r="B133" s="78" t="s">
        <v>13</v>
      </c>
      <c r="C133" s="92"/>
      <c r="D133" s="79">
        <f>IF(C17=0,
IF(D17=0,0,IF(D17&gt;0,1,-1)),
(D17-C17)/ABS(C17)
)</f>
        <v>-0.29826373473708373</v>
      </c>
      <c r="E133" s="79">
        <f>IF(D17=0,
IF(E17=0,0,IF(E17&gt;0,1,-1)),
(E17-D17)/ABS(D17)
)</f>
        <v>-0.28093340334145311</v>
      </c>
      <c r="F133" s="79">
        <f>IF(E17=0,
IF(F17=0,0,IF(F17&gt;0,1,-1)),
(F17-E17)/ABS(E17)
)</f>
        <v>1.6257496498641353</v>
      </c>
      <c r="G133" s="79">
        <f>IF(F17=0,
IF(G17=0,0,IF(G17&gt;0,1,-1)),
(G17-F17)/ABS(F17)
)</f>
        <v>0.59873719241859569</v>
      </c>
      <c r="H133" s="79"/>
      <c r="I133" s="79"/>
      <c r="J133" s="79"/>
      <c r="K133" s="79"/>
    </row>
    <row r="134" spans="1:11" x14ac:dyDescent="0.2">
      <c r="B134" s="1"/>
    </row>
    <row r="135" spans="1:11" s="14" customFormat="1" ht="17" thickBot="1" x14ac:dyDescent="0.25">
      <c r="A135" s="4"/>
      <c r="B135" s="15" t="s">
        <v>87</v>
      </c>
    </row>
    <row r="136" spans="1:11" outlineLevel="1" x14ac:dyDescent="0.2">
      <c r="B136" s="9" t="s">
        <v>88</v>
      </c>
      <c r="C136" s="75">
        <f>C7/C5</f>
        <v>0.38588310042892476</v>
      </c>
      <c r="D136" s="75">
        <f>D7/D5</f>
        <v>0.37935301501116653</v>
      </c>
      <c r="E136" s="75">
        <f>E7/E5</f>
        <v>0.44851482588140706</v>
      </c>
      <c r="F136" s="75">
        <f>F7/F5</f>
        <v>0.48149119521097328</v>
      </c>
      <c r="G136" s="75">
        <f>G7/G5</f>
        <v>0.4901387488537608</v>
      </c>
      <c r="H136" s="75"/>
      <c r="I136" s="75"/>
      <c r="J136" s="75"/>
      <c r="K136" s="75"/>
    </row>
    <row r="137" spans="1:11" outlineLevel="1" x14ac:dyDescent="0.2">
      <c r="B137" s="9" t="s">
        <v>89</v>
      </c>
      <c r="C137" s="75">
        <f>C12/C5</f>
        <v>0.1175899397745207</v>
      </c>
      <c r="D137" s="75">
        <f>D12/D5</f>
        <v>8.6452073860900439E-2</v>
      </c>
      <c r="E137" s="75">
        <f>E12/E5</f>
        <v>8.7820749416391813E-2</v>
      </c>
      <c r="F137" s="75">
        <f>F12/F5</f>
        <v>0.11651366638335402</v>
      </c>
      <c r="G137" s="75">
        <f>G12/G5</f>
        <v>0.1438121524168379</v>
      </c>
      <c r="H137" s="75"/>
      <c r="I137" s="75"/>
      <c r="J137" s="75"/>
      <c r="K137" s="75"/>
    </row>
    <row r="138" spans="1:11" s="82" customFormat="1" outlineLevel="1" x14ac:dyDescent="0.2">
      <c r="A138" s="1"/>
      <c r="B138" s="80" t="s">
        <v>90</v>
      </c>
      <c r="C138" s="81">
        <f>C17/C5</f>
        <v>8.8841838757991023E-2</v>
      </c>
      <c r="D138" s="81">
        <f>D17/D5</f>
        <v>6.2505010268023117E-2</v>
      </c>
      <c r="E138" s="81">
        <f>E17/E5</f>
        <v>3.9278183044918438E-2</v>
      </c>
      <c r="F138" s="81">
        <f>F17/F5</f>
        <v>7.9351355731491963E-2</v>
      </c>
      <c r="G138" s="81">
        <f>G17/G5</f>
        <v>0.10960359345591972</v>
      </c>
      <c r="H138" s="81"/>
      <c r="I138" s="81"/>
      <c r="J138" s="81"/>
      <c r="K138" s="81"/>
    </row>
    <row r="139" spans="1:11" x14ac:dyDescent="0.2">
      <c r="B139" s="1"/>
    </row>
    <row r="140" spans="1:11" s="14" customFormat="1" ht="17" thickBot="1" x14ac:dyDescent="0.25">
      <c r="A140" s="4"/>
      <c r="B140" s="15" t="s">
        <v>104</v>
      </c>
    </row>
    <row r="141" spans="1:11" x14ac:dyDescent="0.2">
      <c r="C141" s="34"/>
      <c r="D141" s="34"/>
      <c r="E141" s="34"/>
      <c r="F141" s="34"/>
      <c r="G141" s="27"/>
      <c r="H141" s="27"/>
      <c r="I141" s="27"/>
    </row>
    <row r="142" spans="1:11" x14ac:dyDescent="0.2">
      <c r="B142" s="1"/>
    </row>
    <row r="143" spans="1:11" s="14" customFormat="1" ht="17" thickBot="1" x14ac:dyDescent="0.25">
      <c r="A143" s="4"/>
      <c r="B143" s="15" t="s">
        <v>103</v>
      </c>
    </row>
    <row r="144" spans="1:11" x14ac:dyDescent="0.2">
      <c r="C144" s="34"/>
      <c r="D144" s="34"/>
      <c r="E144" s="34"/>
      <c r="F144" s="34"/>
      <c r="G144" s="27"/>
      <c r="H144" s="27"/>
    </row>
    <row r="145" spans="1:6" x14ac:dyDescent="0.2">
      <c r="B145" s="1"/>
    </row>
    <row r="146" spans="1:6" s="14" customFormat="1" ht="17" thickBot="1" x14ac:dyDescent="0.25">
      <c r="A146" s="4"/>
      <c r="B146" s="15" t="s">
        <v>105</v>
      </c>
    </row>
    <row r="147" spans="1:6" x14ac:dyDescent="0.2">
      <c r="C147" s="87"/>
      <c r="D147" s="87"/>
      <c r="E147" s="87"/>
      <c r="F147" s="87"/>
    </row>
    <row r="148" spans="1:6" x14ac:dyDescent="0.2">
      <c r="B148" s="1"/>
    </row>
  </sheetData>
  <pageMargins left="0.7" right="0.7" top="0.75" bottom="0.75" header="0.3" footer="0.3"/>
  <ignoredErrors>
    <ignoredError sqref="C36 H36:K36 K107 C109:G109 C102:F102 H47:K47 C47 D36:G36 D47:G47 C107:J107" formulaRange="1"/>
    <ignoredError sqref="G111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1336-2E39-7442-9864-91E9B0A07818}">
  <dimension ref="A1:S139"/>
  <sheetViews>
    <sheetView zoomScale="163" workbookViewId="0">
      <pane xSplit="2" ySplit="3" topLeftCell="I4" activePane="bottomRight" state="frozen"/>
      <selection pane="topRight" activeCell="C1" sqref="C1"/>
      <selection pane="bottomLeft" activeCell="A4" sqref="A4"/>
      <selection pane="bottomRight" activeCell="N89" sqref="N89"/>
    </sheetView>
  </sheetViews>
  <sheetFormatPr baseColWidth="10" defaultRowHeight="16" outlineLevelRow="2" outlineLevelCol="1" x14ac:dyDescent="0.2"/>
  <cols>
    <col min="1" max="1" width="3.6640625" style="1" customWidth="1"/>
    <col min="2" max="2" width="32.5" style="9" customWidth="1"/>
    <col min="3" max="4" width="12" style="1" customWidth="1" outlineLevel="1"/>
    <col min="5" max="5" width="10.83203125" style="1" customWidth="1" outlineLevel="1"/>
    <col min="6" max="6" width="12" style="1" customWidth="1" outlineLevel="1"/>
    <col min="7" max="10" width="10.83203125" style="1" customWidth="1" outlineLevel="1"/>
    <col min="11" max="11" width="2" style="1" customWidth="1" outlineLevel="1"/>
    <col min="12" max="12" width="10.33203125" style="1" customWidth="1" outlineLevel="1"/>
    <col min="13" max="13" width="2.33203125" style="1" customWidth="1"/>
    <col min="14" max="14" width="10.83203125" style="1" customWidth="1"/>
    <col min="15" max="15" width="2.5" style="1" customWidth="1"/>
    <col min="16" max="17" width="10.83203125" style="1" customWidth="1"/>
    <col min="18" max="18" width="12" style="1" customWidth="1"/>
    <col min="19" max="19" width="2.33203125" style="1" customWidth="1"/>
    <col min="20" max="16384" width="10.83203125" style="1"/>
  </cols>
  <sheetData>
    <row r="1" spans="1:19" x14ac:dyDescent="0.2">
      <c r="B1" s="1"/>
    </row>
    <row r="2" spans="1:19" s="3" customFormat="1" x14ac:dyDescent="0.2">
      <c r="A2" s="2"/>
      <c r="B2" s="61" t="s">
        <v>0</v>
      </c>
      <c r="C2" s="3" t="s">
        <v>168</v>
      </c>
      <c r="D2" s="3" t="s">
        <v>164</v>
      </c>
      <c r="E2" s="3" t="s">
        <v>161</v>
      </c>
      <c r="F2" s="3" t="s">
        <v>130</v>
      </c>
      <c r="G2" s="3" t="s">
        <v>166</v>
      </c>
      <c r="H2" s="3" t="s">
        <v>163</v>
      </c>
      <c r="I2" s="3" t="s">
        <v>160</v>
      </c>
      <c r="J2" s="3" t="s">
        <v>159</v>
      </c>
      <c r="K2" s="2"/>
      <c r="L2" s="2"/>
      <c r="M2" s="2"/>
      <c r="N2" s="43"/>
      <c r="O2" s="2"/>
      <c r="P2" s="45"/>
      <c r="Q2" s="46"/>
      <c r="R2" s="47"/>
      <c r="S2" s="2"/>
    </row>
    <row r="3" spans="1:19" s="5" customFormat="1" x14ac:dyDescent="0.2">
      <c r="A3" s="4"/>
      <c r="B3" s="62" t="s">
        <v>65</v>
      </c>
      <c r="C3" s="3" t="s">
        <v>167</v>
      </c>
      <c r="D3" s="3" t="s">
        <v>165</v>
      </c>
      <c r="E3" s="3" t="s">
        <v>162</v>
      </c>
      <c r="F3" s="37" t="s">
        <v>71</v>
      </c>
      <c r="G3" s="3" t="s">
        <v>66</v>
      </c>
      <c r="H3" s="3" t="s">
        <v>67</v>
      </c>
      <c r="I3" s="3" t="s">
        <v>68</v>
      </c>
      <c r="J3" s="37" t="s">
        <v>115</v>
      </c>
      <c r="K3" s="4"/>
      <c r="L3" s="4"/>
      <c r="M3" s="4"/>
      <c r="N3" s="44"/>
      <c r="O3" s="4"/>
      <c r="P3" s="48" t="str">
        <f>I3</f>
        <v>Q3 2025</v>
      </c>
      <c r="Q3" s="5" t="str">
        <f>J3</f>
        <v>Q4 2025</v>
      </c>
      <c r="R3" s="49" t="s">
        <v>75</v>
      </c>
      <c r="S3" s="4"/>
    </row>
    <row r="4" spans="1:19" s="14" customFormat="1" ht="17" thickBot="1" x14ac:dyDescent="0.25">
      <c r="A4" s="4"/>
      <c r="B4" s="15" t="s">
        <v>5</v>
      </c>
      <c r="J4" s="38"/>
      <c r="K4" s="4"/>
      <c r="L4" s="4"/>
      <c r="M4" s="4"/>
      <c r="N4" s="39" t="s">
        <v>73</v>
      </c>
      <c r="O4" s="4"/>
      <c r="P4" s="112" t="s">
        <v>74</v>
      </c>
      <c r="Q4" s="113"/>
      <c r="R4" s="114"/>
      <c r="S4" s="4"/>
    </row>
    <row r="5" spans="1:19" s="18" customFormat="1" outlineLevel="1" x14ac:dyDescent="0.2">
      <c r="A5" s="7"/>
      <c r="B5" s="17" t="s">
        <v>6</v>
      </c>
      <c r="C5" s="52">
        <v>1066228</v>
      </c>
      <c r="D5" s="52">
        <v>1248658</v>
      </c>
      <c r="E5" s="52">
        <v>1426566</v>
      </c>
      <c r="F5" s="52">
        <v>1787187</v>
      </c>
      <c r="G5" s="52">
        <v>1222638</v>
      </c>
      <c r="H5" s="52">
        <v>1444876</v>
      </c>
      <c r="I5" s="52">
        <v>1630240</v>
      </c>
      <c r="J5" s="52">
        <v>2101434</v>
      </c>
      <c r="K5" s="21"/>
      <c r="L5" s="21"/>
      <c r="M5" s="21"/>
      <c r="N5" s="60">
        <f t="shared" ref="N5:N17" si="0">SUM(G5:J5)</f>
        <v>6399188</v>
      </c>
      <c r="O5" s="7"/>
      <c r="P5" s="69">
        <f t="shared" ref="P5:P21" si="1">I5</f>
        <v>1630240</v>
      </c>
      <c r="Q5" s="55">
        <f t="shared" ref="Q5:Q21" si="2">J5</f>
        <v>2101434</v>
      </c>
      <c r="R5" s="66">
        <f t="shared" ref="R5:R21" si="3">IF(P5=0,
IF(Q5=0,0,IF(Q5&gt;0,1,-1)),
(Q5-P5)/ABS(P5)
)</f>
        <v>0.28903351653744236</v>
      </c>
      <c r="S5" s="7"/>
    </row>
    <row r="6" spans="1:19" outlineLevel="1" x14ac:dyDescent="0.2">
      <c r="B6" s="9" t="s">
        <v>7</v>
      </c>
      <c r="C6" s="27">
        <v>539611</v>
      </c>
      <c r="D6" s="27">
        <v>647759</v>
      </c>
      <c r="E6" s="27">
        <v>731559</v>
      </c>
      <c r="F6" s="27">
        <v>947719</v>
      </c>
      <c r="G6" s="27">
        <v>619412</v>
      </c>
      <c r="H6" s="27">
        <v>736709</v>
      </c>
      <c r="I6" s="27">
        <v>812771</v>
      </c>
      <c r="J6" s="27">
        <v>1093806</v>
      </c>
      <c r="K6" s="20"/>
      <c r="L6" s="20"/>
      <c r="M6" s="20"/>
      <c r="N6" s="40">
        <f>SUM(G6:J6)</f>
        <v>3262698</v>
      </c>
      <c r="P6" s="50">
        <f t="shared" si="1"/>
        <v>812771</v>
      </c>
      <c r="Q6" s="20">
        <f t="shared" si="2"/>
        <v>1093806</v>
      </c>
      <c r="R6" s="51">
        <f t="shared" si="3"/>
        <v>0.34577390187395957</v>
      </c>
    </row>
    <row r="7" spans="1:19" s="18" customFormat="1" outlineLevel="1" x14ac:dyDescent="0.2">
      <c r="A7" s="7"/>
      <c r="B7" s="17" t="s">
        <v>8</v>
      </c>
      <c r="C7" s="55">
        <f t="shared" ref="C7:J7" si="4">C5-C6</f>
        <v>526617</v>
      </c>
      <c r="D7" s="55">
        <f t="shared" si="4"/>
        <v>600899</v>
      </c>
      <c r="E7" s="55">
        <f>E5-E6</f>
        <v>695007</v>
      </c>
      <c r="F7" s="55">
        <f t="shared" si="4"/>
        <v>839468</v>
      </c>
      <c r="G7" s="55">
        <f t="shared" si="4"/>
        <v>603226</v>
      </c>
      <c r="H7" s="55">
        <f t="shared" si="4"/>
        <v>708167</v>
      </c>
      <c r="I7" s="55">
        <f t="shared" si="4"/>
        <v>817469</v>
      </c>
      <c r="J7" s="55">
        <f t="shared" si="4"/>
        <v>1007628</v>
      </c>
      <c r="K7" s="21"/>
      <c r="L7" s="21"/>
      <c r="M7" s="21"/>
      <c r="N7" s="60">
        <f t="shared" si="0"/>
        <v>3136490</v>
      </c>
      <c r="O7" s="7"/>
      <c r="P7" s="69">
        <f t="shared" si="1"/>
        <v>817469</v>
      </c>
      <c r="Q7" s="55">
        <f t="shared" si="2"/>
        <v>1007628</v>
      </c>
      <c r="R7" s="66">
        <f t="shared" si="3"/>
        <v>0.23261921858810547</v>
      </c>
      <c r="S7" s="7"/>
    </row>
    <row r="8" spans="1:19" outlineLevel="1" x14ac:dyDescent="0.2">
      <c r="B8" s="12" t="s">
        <v>9</v>
      </c>
      <c r="C8" s="27">
        <v>69596</v>
      </c>
      <c r="D8" s="27">
        <v>90053</v>
      </c>
      <c r="E8" s="27">
        <v>94808</v>
      </c>
      <c r="F8" s="27">
        <v>86832</v>
      </c>
      <c r="G8" s="27">
        <v>87603</v>
      </c>
      <c r="H8" s="27">
        <v>89409</v>
      </c>
      <c r="I8" s="27">
        <v>92826</v>
      </c>
      <c r="J8" s="27">
        <v>98235</v>
      </c>
      <c r="K8" s="20"/>
      <c r="L8" s="20"/>
      <c r="M8" s="20"/>
      <c r="N8" s="40">
        <f t="shared" si="0"/>
        <v>368073</v>
      </c>
      <c r="P8" s="50">
        <f t="shared" si="1"/>
        <v>92826</v>
      </c>
      <c r="Q8" s="20">
        <f t="shared" si="2"/>
        <v>98235</v>
      </c>
      <c r="R8" s="51">
        <f t="shared" si="3"/>
        <v>5.8270312197013771E-2</v>
      </c>
    </row>
    <row r="9" spans="1:19" s="8" customFormat="1" outlineLevel="1" x14ac:dyDescent="0.2">
      <c r="B9" s="12" t="s">
        <v>93</v>
      </c>
      <c r="C9" s="27">
        <v>214568</v>
      </c>
      <c r="D9" s="27">
        <v>303185</v>
      </c>
      <c r="E9" s="27">
        <v>300841</v>
      </c>
      <c r="F9" s="27">
        <v>424551</v>
      </c>
      <c r="G9" s="27">
        <v>275737</v>
      </c>
      <c r="H9" s="27">
        <v>357720</v>
      </c>
      <c r="I9" s="27">
        <v>365919</v>
      </c>
      <c r="J9" s="27">
        <v>458651</v>
      </c>
      <c r="K9" s="20"/>
      <c r="L9" s="20"/>
      <c r="M9" s="20"/>
      <c r="N9" s="40">
        <f t="shared" si="0"/>
        <v>1458027</v>
      </c>
      <c r="P9" s="70">
        <f t="shared" si="1"/>
        <v>365919</v>
      </c>
      <c r="Q9" s="34">
        <f t="shared" si="2"/>
        <v>458651</v>
      </c>
      <c r="R9" s="67">
        <f t="shared" si="3"/>
        <v>0.25342220546077138</v>
      </c>
    </row>
    <row r="10" spans="1:19" s="8" customFormat="1" outlineLevel="1" x14ac:dyDescent="0.2">
      <c r="B10" s="12" t="s">
        <v>94</v>
      </c>
      <c r="C10" s="27">
        <v>87511</v>
      </c>
      <c r="D10" s="27">
        <v>103825</v>
      </c>
      <c r="E10" s="27">
        <v>119096</v>
      </c>
      <c r="F10" s="27">
        <v>122963</v>
      </c>
      <c r="G10" s="27">
        <v>94940</v>
      </c>
      <c r="H10" s="27">
        <v>92391</v>
      </c>
      <c r="I10" s="27">
        <v>95833</v>
      </c>
      <c r="J10" s="27">
        <v>106945</v>
      </c>
      <c r="K10" s="20"/>
      <c r="L10" s="20"/>
      <c r="M10" s="20"/>
      <c r="N10" s="40">
        <f t="shared" si="0"/>
        <v>390109</v>
      </c>
      <c r="P10" s="70">
        <f t="shared" si="1"/>
        <v>95833</v>
      </c>
      <c r="Q10" s="34">
        <f t="shared" si="2"/>
        <v>106945</v>
      </c>
      <c r="R10" s="67">
        <f t="shared" si="3"/>
        <v>0.11595170765811359</v>
      </c>
    </row>
    <row r="11" spans="1:19" outlineLevel="1" x14ac:dyDescent="0.2">
      <c r="B11" s="12" t="s">
        <v>10</v>
      </c>
      <c r="C11" s="20">
        <f t="shared" ref="C11:J11" si="5">SUM(C8:C10)</f>
        <v>371675</v>
      </c>
      <c r="D11" s="20">
        <f t="shared" si="5"/>
        <v>497063</v>
      </c>
      <c r="E11" s="20">
        <f t="shared" si="5"/>
        <v>514745</v>
      </c>
      <c r="F11" s="20">
        <f t="shared" si="5"/>
        <v>634346</v>
      </c>
      <c r="G11" s="20">
        <f t="shared" si="5"/>
        <v>458280</v>
      </c>
      <c r="H11" s="20">
        <f t="shared" si="5"/>
        <v>539520</v>
      </c>
      <c r="I11" s="20">
        <f t="shared" si="5"/>
        <v>554578</v>
      </c>
      <c r="J11" s="20">
        <f t="shared" si="5"/>
        <v>663831</v>
      </c>
      <c r="K11" s="20"/>
      <c r="L11" s="20"/>
      <c r="M11" s="20"/>
      <c r="N11" s="40">
        <f t="shared" si="0"/>
        <v>2216209</v>
      </c>
      <c r="P11" s="50">
        <f t="shared" si="1"/>
        <v>554578</v>
      </c>
      <c r="Q11" s="20">
        <f>J11</f>
        <v>663831</v>
      </c>
      <c r="R11" s="51">
        <f t="shared" si="3"/>
        <v>0.1970020447980266</v>
      </c>
    </row>
    <row r="12" spans="1:19" s="18" customFormat="1" outlineLevel="1" x14ac:dyDescent="0.2">
      <c r="A12" s="7"/>
      <c r="B12" s="17" t="s">
        <v>11</v>
      </c>
      <c r="C12" s="52">
        <v>154942</v>
      </c>
      <c r="D12" s="52">
        <v>103836</v>
      </c>
      <c r="E12" s="52">
        <v>180262</v>
      </c>
      <c r="F12" s="52">
        <v>205122</v>
      </c>
      <c r="G12" s="52">
        <v>144946</v>
      </c>
      <c r="H12" s="52">
        <v>168647</v>
      </c>
      <c r="I12" s="52">
        <v>262891</v>
      </c>
      <c r="J12" s="52">
        <v>343797</v>
      </c>
      <c r="K12" s="21"/>
      <c r="L12" s="21"/>
      <c r="M12" s="21"/>
      <c r="N12" s="60">
        <f t="shared" si="0"/>
        <v>920281</v>
      </c>
      <c r="O12" s="7"/>
      <c r="P12" s="69">
        <f t="shared" si="1"/>
        <v>262891</v>
      </c>
      <c r="Q12" s="55">
        <f t="shared" si="2"/>
        <v>343797</v>
      </c>
      <c r="R12" s="66">
        <f t="shared" si="3"/>
        <v>0.30775492504498064</v>
      </c>
      <c r="S12" s="7"/>
    </row>
    <row r="13" spans="1:19" outlineLevel="1" x14ac:dyDescent="0.2">
      <c r="B13" s="12" t="s">
        <v>133</v>
      </c>
      <c r="C13" s="27">
        <v>-14722</v>
      </c>
      <c r="D13" s="27">
        <v>-14844</v>
      </c>
      <c r="E13" s="27">
        <v>-16916</v>
      </c>
      <c r="F13" s="27">
        <v>-17233</v>
      </c>
      <c r="G13" s="27">
        <v>-12629</v>
      </c>
      <c r="H13" s="27">
        <v>-13765</v>
      </c>
      <c r="I13" s="27">
        <v>-12782</v>
      </c>
      <c r="J13" s="27">
        <v>-9424</v>
      </c>
      <c r="K13" s="20"/>
      <c r="L13" s="20"/>
      <c r="M13" s="20"/>
      <c r="N13" s="40">
        <f t="shared" si="0"/>
        <v>-48600</v>
      </c>
      <c r="P13" s="50">
        <f t="shared" si="1"/>
        <v>-12782</v>
      </c>
      <c r="Q13" s="20">
        <f t="shared" si="2"/>
        <v>-9424</v>
      </c>
      <c r="R13" s="51">
        <f t="shared" si="3"/>
        <v>0.26271319042403379</v>
      </c>
    </row>
    <row r="14" spans="1:19" outlineLevel="1" x14ac:dyDescent="0.2">
      <c r="B14" s="12" t="s">
        <v>106</v>
      </c>
      <c r="C14" s="27">
        <v>3248</v>
      </c>
      <c r="D14" s="27">
        <v>689</v>
      </c>
      <c r="E14" s="27">
        <v>11031</v>
      </c>
      <c r="F14" s="27">
        <v>-22948</v>
      </c>
      <c r="G14" s="27">
        <v>13216</v>
      </c>
      <c r="H14" s="27">
        <v>26003</v>
      </c>
      <c r="I14" s="27">
        <v>-6116</v>
      </c>
      <c r="J14" s="27">
        <v>-4506</v>
      </c>
      <c r="K14" s="20"/>
      <c r="L14" s="20"/>
      <c r="M14" s="20"/>
      <c r="N14" s="40">
        <f t="shared" si="0"/>
        <v>28597</v>
      </c>
      <c r="P14" s="50">
        <f t="shared" si="1"/>
        <v>-6116</v>
      </c>
      <c r="Q14" s="20">
        <f t="shared" si="2"/>
        <v>-4506</v>
      </c>
      <c r="R14" s="51">
        <f t="shared" si="3"/>
        <v>0.26324395029431003</v>
      </c>
    </row>
    <row r="15" spans="1:19" s="18" customFormat="1" outlineLevel="1" x14ac:dyDescent="0.2">
      <c r="A15" s="7"/>
      <c r="B15" s="17" t="s">
        <v>12</v>
      </c>
      <c r="C15" s="52">
        <v>143468</v>
      </c>
      <c r="D15" s="52">
        <v>89681</v>
      </c>
      <c r="E15" s="52">
        <v>174377</v>
      </c>
      <c r="F15" s="52">
        <v>164941</v>
      </c>
      <c r="G15" s="52">
        <v>145533</v>
      </c>
      <c r="H15" s="52">
        <v>180885</v>
      </c>
      <c r="I15" s="52">
        <v>243993</v>
      </c>
      <c r="J15" s="52">
        <v>329867</v>
      </c>
      <c r="K15" s="21"/>
      <c r="L15" s="21"/>
      <c r="M15" s="21"/>
      <c r="N15" s="60">
        <f t="shared" si="0"/>
        <v>900278</v>
      </c>
      <c r="O15" s="7"/>
      <c r="P15" s="69">
        <f t="shared" si="1"/>
        <v>243993</v>
      </c>
      <c r="Q15" s="55">
        <f t="shared" si="2"/>
        <v>329867</v>
      </c>
      <c r="R15" s="66">
        <f t="shared" si="3"/>
        <v>0.35195271995508071</v>
      </c>
      <c r="S15" s="7"/>
    </row>
    <row r="16" spans="1:19" outlineLevel="1" x14ac:dyDescent="0.2">
      <c r="B16" s="12" t="s">
        <v>70</v>
      </c>
      <c r="C16" s="27">
        <v>-33856</v>
      </c>
      <c r="D16" s="27">
        <v>-21633</v>
      </c>
      <c r="E16" s="27">
        <v>-42048</v>
      </c>
      <c r="F16" s="27">
        <v>-36225</v>
      </c>
      <c r="G16" s="27">
        <v>-27698</v>
      </c>
      <c r="H16" s="27">
        <v>-41287</v>
      </c>
      <c r="I16" s="27">
        <v>-55264</v>
      </c>
      <c r="J16" s="27">
        <v>-74655</v>
      </c>
      <c r="K16" s="20"/>
      <c r="L16" s="20"/>
      <c r="M16" s="20"/>
      <c r="N16" s="40">
        <f t="shared" si="0"/>
        <v>-198904</v>
      </c>
      <c r="P16" s="50">
        <f t="shared" si="1"/>
        <v>-55264</v>
      </c>
      <c r="Q16" s="20">
        <f t="shared" si="2"/>
        <v>-74655</v>
      </c>
      <c r="R16" s="51">
        <f t="shared" si="3"/>
        <v>-0.35087941517081644</v>
      </c>
    </row>
    <row r="17" spans="1:19" s="18" customFormat="1" outlineLevel="1" x14ac:dyDescent="0.2">
      <c r="A17" s="7"/>
      <c r="B17" s="17" t="s">
        <v>13</v>
      </c>
      <c r="C17" s="52">
        <v>109612</v>
      </c>
      <c r="D17" s="52">
        <v>68048</v>
      </c>
      <c r="E17" s="52">
        <v>132329</v>
      </c>
      <c r="F17" s="52">
        <v>128716</v>
      </c>
      <c r="G17" s="52">
        <v>117835</v>
      </c>
      <c r="H17" s="52">
        <v>139598</v>
      </c>
      <c r="I17" s="52">
        <v>188729</v>
      </c>
      <c r="J17" s="52">
        <v>255212</v>
      </c>
      <c r="K17" s="21"/>
      <c r="L17" s="21"/>
      <c r="M17" s="21"/>
      <c r="N17" s="60">
        <f t="shared" si="0"/>
        <v>701374</v>
      </c>
      <c r="O17" s="7"/>
      <c r="P17" s="69">
        <f t="shared" si="1"/>
        <v>188729</v>
      </c>
      <c r="Q17" s="55">
        <f t="shared" si="2"/>
        <v>255212</v>
      </c>
      <c r="R17" s="66">
        <f t="shared" si="3"/>
        <v>0.35226700719020393</v>
      </c>
      <c r="S17" s="7"/>
    </row>
    <row r="18" spans="1:19" outlineLevel="1" x14ac:dyDescent="0.2">
      <c r="B18" s="12" t="s">
        <v>14</v>
      </c>
      <c r="C18" s="27">
        <v>139449</v>
      </c>
      <c r="D18" s="27">
        <v>139888</v>
      </c>
      <c r="E18" s="27">
        <v>140114</v>
      </c>
      <c r="F18" s="27">
        <v>140285</v>
      </c>
      <c r="G18" s="27">
        <v>140622</v>
      </c>
      <c r="H18" s="27">
        <v>141044</v>
      </c>
      <c r="I18" s="27">
        <v>141112</v>
      </c>
      <c r="J18" s="27">
        <v>141151</v>
      </c>
      <c r="K18" s="20"/>
      <c r="L18" s="20"/>
      <c r="M18" s="20"/>
      <c r="N18" s="40">
        <f>AVERAGE(G18:J18)</f>
        <v>140982.25</v>
      </c>
      <c r="P18" s="50">
        <f t="shared" si="1"/>
        <v>141112</v>
      </c>
      <c r="Q18" s="20">
        <f t="shared" si="2"/>
        <v>141151</v>
      </c>
      <c r="R18" s="51">
        <f t="shared" si="3"/>
        <v>2.763762118033902E-4</v>
      </c>
    </row>
    <row r="19" spans="1:19" outlineLevel="1" x14ac:dyDescent="0.2">
      <c r="B19" s="12" t="s">
        <v>15</v>
      </c>
      <c r="C19" s="27">
        <v>140703</v>
      </c>
      <c r="D19" s="27">
        <v>140924</v>
      </c>
      <c r="E19" s="27">
        <v>141306</v>
      </c>
      <c r="F19" s="27">
        <v>141518</v>
      </c>
      <c r="G19" s="27">
        <v>142183</v>
      </c>
      <c r="H19" s="27">
        <v>141871</v>
      </c>
      <c r="I19" s="27">
        <v>142119</v>
      </c>
      <c r="J19" s="27">
        <v>142129</v>
      </c>
      <c r="K19" s="20"/>
      <c r="L19" s="20"/>
      <c r="M19" s="20"/>
      <c r="N19" s="40">
        <f>AVERAGE((G19:J19))</f>
        <v>142075.5</v>
      </c>
      <c r="P19" s="50">
        <f t="shared" si="1"/>
        <v>142119</v>
      </c>
      <c r="Q19" s="20">
        <f t="shared" si="2"/>
        <v>142129</v>
      </c>
      <c r="R19" s="51">
        <f t="shared" si="3"/>
        <v>7.0363568558743031E-5</v>
      </c>
    </row>
    <row r="20" spans="1:19" outlineLevel="1" x14ac:dyDescent="0.2">
      <c r="B20" s="12" t="s">
        <v>16</v>
      </c>
      <c r="C20" s="31">
        <v>0.79</v>
      </c>
      <c r="D20" s="31">
        <v>0.49</v>
      </c>
      <c r="E20" s="31">
        <v>0.94</v>
      </c>
      <c r="F20" s="31">
        <v>0.92</v>
      </c>
      <c r="G20" s="31">
        <v>0.84</v>
      </c>
      <c r="H20" s="31">
        <v>0.99</v>
      </c>
      <c r="I20" s="31">
        <v>1.34</v>
      </c>
      <c r="J20" s="31">
        <v>1.81</v>
      </c>
      <c r="K20" s="25"/>
      <c r="L20" s="25"/>
      <c r="M20" s="25"/>
      <c r="N20" s="41">
        <f>N17/N18</f>
        <v>4.9749099620696935</v>
      </c>
      <c r="P20" s="71">
        <f t="shared" si="1"/>
        <v>1.34</v>
      </c>
      <c r="Q20" s="72">
        <f t="shared" si="2"/>
        <v>1.81</v>
      </c>
      <c r="R20" s="51">
        <f t="shared" si="3"/>
        <v>0.35074626865671638</v>
      </c>
    </row>
    <row r="21" spans="1:19" s="16" customFormat="1" ht="17" outlineLevel="1" thickBot="1" x14ac:dyDescent="0.25">
      <c r="A21" s="1"/>
      <c r="B21" s="10" t="s">
        <v>17</v>
      </c>
      <c r="C21" s="32">
        <v>0.78</v>
      </c>
      <c r="D21" s="32">
        <v>0.48</v>
      </c>
      <c r="E21" s="32">
        <v>0.94</v>
      </c>
      <c r="F21" s="32">
        <v>0.91</v>
      </c>
      <c r="G21" s="32">
        <v>0.83</v>
      </c>
      <c r="H21" s="32">
        <v>0.98</v>
      </c>
      <c r="I21" s="32">
        <v>1.33</v>
      </c>
      <c r="J21" s="32">
        <v>1.8</v>
      </c>
      <c r="K21" s="25"/>
      <c r="L21" s="25"/>
      <c r="M21" s="25"/>
      <c r="N21" s="42">
        <f>N17/N19</f>
        <v>4.9366287642837783</v>
      </c>
      <c r="O21" s="1"/>
      <c r="P21" s="73">
        <f t="shared" si="1"/>
        <v>1.33</v>
      </c>
      <c r="Q21" s="74">
        <f t="shared" si="2"/>
        <v>1.8</v>
      </c>
      <c r="R21" s="68">
        <f t="shared" si="3"/>
        <v>0.35338345864661652</v>
      </c>
      <c r="S21" s="1"/>
    </row>
    <row r="22" spans="1:19" s="16" customFormat="1" ht="17" thickBot="1" x14ac:dyDescent="0.25">
      <c r="A22" s="1"/>
      <c r="B22" s="6"/>
      <c r="F22" s="6"/>
      <c r="G22" s="6"/>
      <c r="H22" s="6"/>
      <c r="I22" s="6"/>
      <c r="J22" s="6"/>
      <c r="K22" s="8"/>
      <c r="L22" s="8"/>
      <c r="M22" s="8"/>
      <c r="O22" s="1"/>
      <c r="S22" s="1"/>
    </row>
    <row r="23" spans="1:19" s="14" customFormat="1" ht="17" thickBot="1" x14ac:dyDescent="0.25">
      <c r="A23" s="4"/>
      <c r="B23" s="15" t="s">
        <v>18</v>
      </c>
      <c r="J23" s="111"/>
      <c r="K23" s="4"/>
      <c r="L23" s="4"/>
      <c r="M23" s="4"/>
      <c r="O23" s="4"/>
      <c r="S23" s="4"/>
    </row>
    <row r="24" spans="1:19" outlineLevel="1" x14ac:dyDescent="0.2">
      <c r="B24" s="9" t="s">
        <v>19</v>
      </c>
      <c r="C24" s="27"/>
      <c r="D24" s="27"/>
      <c r="E24" s="27"/>
      <c r="F24" s="27">
        <v>363669</v>
      </c>
      <c r="G24" s="27">
        <v>224696</v>
      </c>
      <c r="H24" s="27">
        <v>188229</v>
      </c>
      <c r="I24" s="27">
        <v>263816</v>
      </c>
      <c r="J24" s="27">
        <v>777289</v>
      </c>
      <c r="K24" s="20"/>
      <c r="L24" s="20"/>
      <c r="M24" s="20"/>
    </row>
    <row r="25" spans="1:19" outlineLevel="1" x14ac:dyDescent="0.2">
      <c r="B25" s="9" t="s">
        <v>134</v>
      </c>
      <c r="C25" s="27"/>
      <c r="D25" s="27"/>
      <c r="E25" s="27"/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0"/>
      <c r="L25" s="20"/>
      <c r="M25" s="20"/>
    </row>
    <row r="26" spans="1:19" outlineLevel="1" x14ac:dyDescent="0.2">
      <c r="B26" s="9" t="s">
        <v>20</v>
      </c>
      <c r="C26" s="27"/>
      <c r="D26" s="27"/>
      <c r="E26" s="27"/>
      <c r="F26" s="27">
        <v>1266595</v>
      </c>
      <c r="G26" s="27">
        <v>1040635</v>
      </c>
      <c r="H26" s="27">
        <v>1324984</v>
      </c>
      <c r="I26" s="27">
        <v>1595180</v>
      </c>
      <c r="J26" s="27">
        <v>1667143</v>
      </c>
      <c r="K26" s="20"/>
      <c r="L26" s="20"/>
      <c r="M26" s="20"/>
    </row>
    <row r="27" spans="1:19" outlineLevel="1" x14ac:dyDescent="0.2">
      <c r="B27" s="9" t="s">
        <v>135</v>
      </c>
      <c r="C27" s="27"/>
      <c r="D27" s="27"/>
      <c r="E27" s="27"/>
      <c r="F27" s="27">
        <v>899989</v>
      </c>
      <c r="G27" s="27">
        <v>973198</v>
      </c>
      <c r="H27" s="27">
        <v>1052711</v>
      </c>
      <c r="I27" s="27">
        <v>1158345</v>
      </c>
      <c r="J27" s="27">
        <v>1002205</v>
      </c>
      <c r="K27" s="20"/>
      <c r="L27" s="20"/>
      <c r="M27" s="20"/>
    </row>
    <row r="28" spans="1:19" outlineLevel="1" x14ac:dyDescent="0.2">
      <c r="B28" s="9" t="s">
        <v>107</v>
      </c>
      <c r="C28" s="27"/>
      <c r="D28" s="27"/>
      <c r="E28" s="27"/>
      <c r="F28" s="27">
        <v>114008</v>
      </c>
      <c r="G28" s="27">
        <v>157521</v>
      </c>
      <c r="H28" s="27">
        <v>190586</v>
      </c>
      <c r="I28" s="27">
        <v>226561</v>
      </c>
      <c r="J28" s="27">
        <v>164628</v>
      </c>
      <c r="K28" s="20"/>
      <c r="L28" s="20"/>
      <c r="M28" s="20"/>
    </row>
    <row r="29" spans="1:19" s="7" customFormat="1" outlineLevel="1" x14ac:dyDescent="0.2">
      <c r="B29" s="11" t="s">
        <v>21</v>
      </c>
      <c r="C29" s="56"/>
      <c r="D29" s="56"/>
      <c r="E29" s="56"/>
      <c r="F29" s="56">
        <v>2644261</v>
      </c>
      <c r="G29" s="56">
        <v>2396050</v>
      </c>
      <c r="H29" s="56">
        <v>2756510</v>
      </c>
      <c r="I29" s="56">
        <v>3243902</v>
      </c>
      <c r="J29" s="56">
        <v>3611265</v>
      </c>
      <c r="K29" s="21"/>
      <c r="L29" s="21"/>
      <c r="M29" s="21"/>
    </row>
    <row r="30" spans="1:19" outlineLevel="1" x14ac:dyDescent="0.2">
      <c r="B30" s="9" t="s">
        <v>23</v>
      </c>
      <c r="C30" s="27"/>
      <c r="D30" s="27"/>
      <c r="E30" s="27"/>
      <c r="F30" s="27">
        <v>211464</v>
      </c>
      <c r="G30" s="27">
        <v>221700</v>
      </c>
      <c r="H30" s="27">
        <v>212771</v>
      </c>
      <c r="I30" s="27">
        <v>214693</v>
      </c>
      <c r="J30" s="27">
        <v>232226</v>
      </c>
      <c r="K30" s="20"/>
      <c r="L30" s="20"/>
      <c r="M30" s="20"/>
    </row>
    <row r="31" spans="1:19" outlineLevel="1" x14ac:dyDescent="0.2">
      <c r="B31" s="9" t="s">
        <v>96</v>
      </c>
      <c r="C31" s="27"/>
      <c r="D31" s="27"/>
      <c r="E31" s="27"/>
      <c r="F31" s="27">
        <v>146257</v>
      </c>
      <c r="G31" s="27">
        <v>143479</v>
      </c>
      <c r="H31" s="27">
        <v>140714</v>
      </c>
      <c r="I31" s="27">
        <v>147707</v>
      </c>
      <c r="J31" s="27">
        <v>142487</v>
      </c>
      <c r="K31" s="20"/>
      <c r="L31" s="20"/>
      <c r="M31" s="20"/>
    </row>
    <row r="32" spans="1:19" outlineLevel="1" x14ac:dyDescent="0.2">
      <c r="B32" s="9" t="s">
        <v>101</v>
      </c>
      <c r="C32" s="27"/>
      <c r="D32" s="27"/>
      <c r="E32" s="27"/>
      <c r="F32" s="27">
        <v>462678</v>
      </c>
      <c r="G32" s="27">
        <v>459539</v>
      </c>
      <c r="H32" s="27">
        <v>457536</v>
      </c>
      <c r="I32" s="27">
        <v>454477</v>
      </c>
      <c r="J32" s="27">
        <v>451137</v>
      </c>
      <c r="K32" s="20"/>
      <c r="L32" s="20"/>
      <c r="M32" s="20"/>
    </row>
    <row r="33" spans="1:19" outlineLevel="1" x14ac:dyDescent="0.2">
      <c r="B33" s="9" t="s">
        <v>24</v>
      </c>
      <c r="C33" s="27"/>
      <c r="D33" s="27"/>
      <c r="E33" s="27"/>
      <c r="F33" s="27">
        <v>834781</v>
      </c>
      <c r="G33" s="27">
        <v>834781</v>
      </c>
      <c r="H33" s="27">
        <v>834781</v>
      </c>
      <c r="I33" s="27">
        <v>834781</v>
      </c>
      <c r="J33" s="27">
        <v>834781</v>
      </c>
      <c r="K33" s="20"/>
      <c r="L33" s="20"/>
      <c r="M33" s="20"/>
    </row>
    <row r="34" spans="1:19" outlineLevel="1" x14ac:dyDescent="0.2">
      <c r="B34" s="9" t="s">
        <v>22</v>
      </c>
      <c r="C34" s="27"/>
      <c r="D34" s="27"/>
      <c r="E34" s="27"/>
      <c r="F34" s="27">
        <v>43093</v>
      </c>
      <c r="G34" s="27">
        <v>58628</v>
      </c>
      <c r="H34" s="27">
        <v>73721</v>
      </c>
      <c r="I34" s="27">
        <v>10943</v>
      </c>
      <c r="J34" s="27">
        <v>10706</v>
      </c>
      <c r="K34" s="20"/>
      <c r="L34" s="20"/>
      <c r="M34" s="20"/>
    </row>
    <row r="35" spans="1:19" outlineLevel="1" x14ac:dyDescent="0.2">
      <c r="B35" s="9" t="s">
        <v>25</v>
      </c>
      <c r="C35" s="27"/>
      <c r="D35" s="27"/>
      <c r="E35" s="27"/>
      <c r="F35" s="27">
        <v>51625</v>
      </c>
      <c r="G35" s="27">
        <v>61225</v>
      </c>
      <c r="H35" s="27">
        <v>63224</v>
      </c>
      <c r="I35" s="27">
        <v>68469</v>
      </c>
      <c r="J35" s="27">
        <v>66832</v>
      </c>
      <c r="K35" s="20"/>
      <c r="L35" s="20"/>
      <c r="M35" s="20"/>
    </row>
    <row r="36" spans="1:19" s="7" customFormat="1" outlineLevel="1" x14ac:dyDescent="0.2">
      <c r="B36" s="11" t="s">
        <v>26</v>
      </c>
      <c r="C36" s="57">
        <f t="shared" ref="C36:J36" si="6">SUM(C30:C35)</f>
        <v>0</v>
      </c>
      <c r="D36" s="57">
        <f t="shared" si="6"/>
        <v>0</v>
      </c>
      <c r="E36" s="57">
        <f t="shared" si="6"/>
        <v>0</v>
      </c>
      <c r="F36" s="57">
        <f t="shared" si="6"/>
        <v>1749898</v>
      </c>
      <c r="G36" s="57">
        <f t="shared" si="6"/>
        <v>1779352</v>
      </c>
      <c r="H36" s="57">
        <f t="shared" si="6"/>
        <v>1782747</v>
      </c>
      <c r="I36" s="57">
        <f t="shared" si="6"/>
        <v>1731070</v>
      </c>
      <c r="J36" s="57">
        <f t="shared" si="6"/>
        <v>1738169</v>
      </c>
      <c r="K36" s="21"/>
      <c r="L36" s="21"/>
      <c r="M36" s="21"/>
    </row>
    <row r="37" spans="1:19" s="18" customFormat="1" outlineLevel="1" x14ac:dyDescent="0.2">
      <c r="A37" s="7"/>
      <c r="B37" s="17" t="s">
        <v>27</v>
      </c>
      <c r="C37" s="52"/>
      <c r="D37" s="52"/>
      <c r="E37" s="52"/>
      <c r="F37" s="52">
        <v>4394159</v>
      </c>
      <c r="G37" s="52">
        <v>4175402</v>
      </c>
      <c r="H37" s="52">
        <v>4539257</v>
      </c>
      <c r="I37" s="52">
        <v>4974972</v>
      </c>
      <c r="J37" s="52">
        <v>5349434</v>
      </c>
      <c r="K37" s="21"/>
      <c r="L37" s="21"/>
      <c r="M37" s="21"/>
      <c r="O37" s="7"/>
      <c r="S37" s="7"/>
    </row>
    <row r="38" spans="1:19" outlineLevel="1" x14ac:dyDescent="0.2">
      <c r="B38" s="9" t="s">
        <v>28</v>
      </c>
      <c r="C38" s="27"/>
      <c r="D38" s="27"/>
      <c r="E38" s="27"/>
      <c r="F38" s="27">
        <v>612031</v>
      </c>
      <c r="G38" s="27">
        <v>462495</v>
      </c>
      <c r="H38" s="27">
        <v>582560</v>
      </c>
      <c r="I38" s="27">
        <v>681808</v>
      </c>
      <c r="J38" s="27">
        <v>679534</v>
      </c>
      <c r="K38" s="20"/>
      <c r="L38" s="20"/>
      <c r="M38" s="20"/>
    </row>
    <row r="39" spans="1:19" outlineLevel="1" x14ac:dyDescent="0.2">
      <c r="B39" s="9" t="s">
        <v>109</v>
      </c>
      <c r="C39" s="27"/>
      <c r="D39" s="27"/>
      <c r="E39" s="27"/>
      <c r="F39" s="27">
        <v>841529</v>
      </c>
      <c r="G39" s="27">
        <v>641667</v>
      </c>
      <c r="H39" s="27">
        <v>766630</v>
      </c>
      <c r="I39" s="27">
        <v>892459</v>
      </c>
      <c r="J39" s="27">
        <v>1016645</v>
      </c>
      <c r="K39" s="20"/>
      <c r="L39" s="20"/>
      <c r="M39" s="20"/>
    </row>
    <row r="40" spans="1:19" outlineLevel="1" x14ac:dyDescent="0.2">
      <c r="B40" s="9" t="s">
        <v>136</v>
      </c>
      <c r="C40" s="27"/>
      <c r="D40" s="27"/>
      <c r="E40" s="27"/>
      <c r="F40" s="27">
        <v>36548</v>
      </c>
      <c r="G40" s="27">
        <v>70487</v>
      </c>
      <c r="H40" s="27">
        <v>29992</v>
      </c>
      <c r="I40" s="27">
        <v>43941</v>
      </c>
      <c r="J40" s="27">
        <v>38092</v>
      </c>
      <c r="K40" s="20"/>
      <c r="L40" s="20"/>
      <c r="M40" s="20"/>
    </row>
    <row r="41" spans="1:19" outlineLevel="1" x14ac:dyDescent="0.2">
      <c r="B41" s="9" t="s">
        <v>137</v>
      </c>
      <c r="C41" s="27"/>
      <c r="D41" s="27"/>
      <c r="E41" s="27"/>
      <c r="F41" s="27">
        <v>39344</v>
      </c>
      <c r="G41" s="27">
        <v>39344</v>
      </c>
      <c r="H41" s="27">
        <v>39344</v>
      </c>
      <c r="I41" s="27">
        <v>39344</v>
      </c>
      <c r="J41" s="27">
        <v>39344</v>
      </c>
      <c r="K41" s="20"/>
      <c r="L41" s="20"/>
      <c r="M41" s="20"/>
    </row>
    <row r="42" spans="1:19" s="7" customFormat="1" outlineLevel="1" x14ac:dyDescent="0.2">
      <c r="B42" s="11" t="s">
        <v>31</v>
      </c>
      <c r="C42" s="56"/>
      <c r="D42" s="56"/>
      <c r="E42" s="56"/>
      <c r="F42" s="56">
        <v>1529452</v>
      </c>
      <c r="G42" s="56">
        <v>1213993</v>
      </c>
      <c r="H42" s="56">
        <v>1418526</v>
      </c>
      <c r="I42" s="56">
        <v>1657631</v>
      </c>
      <c r="J42" s="56">
        <v>1773615</v>
      </c>
      <c r="K42" s="21"/>
      <c r="L42" s="21"/>
      <c r="M42" s="21"/>
    </row>
    <row r="43" spans="1:19" outlineLevel="1" x14ac:dyDescent="0.2">
      <c r="B43" s="9" t="s">
        <v>116</v>
      </c>
      <c r="C43" s="27"/>
      <c r="D43" s="27"/>
      <c r="E43" s="27"/>
      <c r="F43" s="27">
        <v>736139</v>
      </c>
      <c r="G43" s="27">
        <v>726303</v>
      </c>
      <c r="H43" s="27">
        <v>716467</v>
      </c>
      <c r="I43" s="27">
        <v>706631</v>
      </c>
      <c r="J43" s="27">
        <v>696795</v>
      </c>
      <c r="K43" s="20"/>
      <c r="L43" s="20"/>
      <c r="M43" s="20"/>
    </row>
    <row r="44" spans="1:19" outlineLevel="1" x14ac:dyDescent="0.2">
      <c r="B44" s="9" t="s">
        <v>110</v>
      </c>
      <c r="C44" s="27"/>
      <c r="D44" s="27"/>
      <c r="E44" s="27"/>
      <c r="F44" s="27">
        <v>145377</v>
      </c>
      <c r="G44" s="27">
        <v>143339</v>
      </c>
      <c r="H44" s="27">
        <v>140126</v>
      </c>
      <c r="I44" s="27">
        <v>146661</v>
      </c>
      <c r="J44" s="27">
        <v>140981</v>
      </c>
      <c r="K44" s="20"/>
      <c r="L44" s="20"/>
      <c r="M44" s="20"/>
    </row>
    <row r="45" spans="1:19" outlineLevel="1" x14ac:dyDescent="0.2">
      <c r="B45" s="9" t="s">
        <v>102</v>
      </c>
      <c r="C45" s="27"/>
      <c r="D45" s="27"/>
      <c r="E45" s="27"/>
      <c r="F45" s="27">
        <v>9931</v>
      </c>
      <c r="G45" s="27">
        <v>16255</v>
      </c>
      <c r="H45" s="27">
        <v>19235</v>
      </c>
      <c r="I45" s="27">
        <v>18846</v>
      </c>
      <c r="J45" s="27">
        <v>16252</v>
      </c>
      <c r="K45" s="20"/>
      <c r="L45" s="20"/>
      <c r="M45" s="20"/>
    </row>
    <row r="46" spans="1:19" outlineLevel="1" x14ac:dyDescent="0.2">
      <c r="B46" s="9" t="s">
        <v>111</v>
      </c>
      <c r="C46" s="27"/>
      <c r="D46" s="27"/>
      <c r="E46" s="27"/>
      <c r="F46" s="27">
        <v>37288</v>
      </c>
      <c r="G46" s="27">
        <v>37279</v>
      </c>
      <c r="H46" s="27">
        <v>37230</v>
      </c>
      <c r="I46" s="27">
        <v>36985</v>
      </c>
      <c r="J46" s="27">
        <v>45580</v>
      </c>
      <c r="K46" s="20"/>
      <c r="L46" s="20"/>
      <c r="M46" s="20"/>
    </row>
    <row r="47" spans="1:19" s="7" customFormat="1" outlineLevel="1" x14ac:dyDescent="0.2">
      <c r="B47" s="11" t="s">
        <v>29</v>
      </c>
      <c r="C47" s="57">
        <f t="shared" ref="C47:J47" si="7">SUM(C43:C46)</f>
        <v>0</v>
      </c>
      <c r="D47" s="57">
        <f t="shared" si="7"/>
        <v>0</v>
      </c>
      <c r="E47" s="57">
        <f t="shared" si="7"/>
        <v>0</v>
      </c>
      <c r="F47" s="57">
        <f t="shared" si="7"/>
        <v>928735</v>
      </c>
      <c r="G47" s="57">
        <f t="shared" si="7"/>
        <v>923176</v>
      </c>
      <c r="H47" s="57">
        <f t="shared" si="7"/>
        <v>913058</v>
      </c>
      <c r="I47" s="57">
        <f t="shared" si="7"/>
        <v>909123</v>
      </c>
      <c r="J47" s="57">
        <f t="shared" si="7"/>
        <v>899608</v>
      </c>
      <c r="K47" s="21"/>
      <c r="L47" s="21"/>
      <c r="M47" s="21"/>
    </row>
    <row r="48" spans="1:19" s="18" customFormat="1" outlineLevel="1" x14ac:dyDescent="0.2">
      <c r="A48" s="7"/>
      <c r="B48" s="17" t="s">
        <v>30</v>
      </c>
      <c r="C48" s="52"/>
      <c r="D48" s="52"/>
      <c r="E48" s="52"/>
      <c r="F48" s="52">
        <v>2458187</v>
      </c>
      <c r="G48" s="52">
        <v>2137169</v>
      </c>
      <c r="H48" s="52">
        <v>2331584</v>
      </c>
      <c r="I48" s="52">
        <v>2566675</v>
      </c>
      <c r="J48" s="52">
        <v>2673223</v>
      </c>
      <c r="K48" s="21"/>
      <c r="L48" s="21"/>
      <c r="M48" s="21"/>
      <c r="O48" s="7"/>
      <c r="S48" s="7"/>
    </row>
    <row r="49" spans="1:19" outlineLevel="1" x14ac:dyDescent="0.2">
      <c r="B49" s="9" t="s">
        <v>32</v>
      </c>
      <c r="C49" s="27"/>
      <c r="D49" s="27"/>
      <c r="E49" s="27"/>
      <c r="F49" s="27">
        <v>14</v>
      </c>
      <c r="G49" s="27">
        <v>14</v>
      </c>
      <c r="H49" s="27">
        <v>14</v>
      </c>
      <c r="I49" s="27">
        <v>14</v>
      </c>
      <c r="J49" s="27">
        <v>14</v>
      </c>
      <c r="K49" s="20"/>
      <c r="L49" s="20"/>
      <c r="M49" s="20"/>
    </row>
    <row r="50" spans="1:19" outlineLevel="1" x14ac:dyDescent="0.2">
      <c r="B50" s="9" t="s">
        <v>97</v>
      </c>
      <c r="C50" s="27"/>
      <c r="D50" s="27"/>
      <c r="E50" s="27"/>
      <c r="F50" s="27">
        <v>1038213</v>
      </c>
      <c r="G50" s="27">
        <v>1008739</v>
      </c>
      <c r="H50" s="27">
        <v>1018879</v>
      </c>
      <c r="I50" s="27">
        <v>1034251</v>
      </c>
      <c r="J50" s="27">
        <v>1045504</v>
      </c>
      <c r="K50" s="20"/>
      <c r="L50" s="20"/>
      <c r="M50" s="20"/>
    </row>
    <row r="51" spans="1:19" outlineLevel="1" x14ac:dyDescent="0.2">
      <c r="B51" s="9" t="s">
        <v>33</v>
      </c>
      <c r="C51" s="27"/>
      <c r="D51" s="27"/>
      <c r="E51" s="27"/>
      <c r="F51" s="27">
        <v>909024</v>
      </c>
      <c r="G51" s="27">
        <v>1026859</v>
      </c>
      <c r="H51" s="27">
        <v>1166457</v>
      </c>
      <c r="I51" s="27">
        <v>1355186</v>
      </c>
      <c r="J51" s="27">
        <v>1610398</v>
      </c>
      <c r="K51" s="20"/>
      <c r="L51" s="20"/>
      <c r="M51" s="20"/>
    </row>
    <row r="52" spans="1:19" outlineLevel="1" x14ac:dyDescent="0.2">
      <c r="B52" s="9" t="s">
        <v>112</v>
      </c>
      <c r="C52" s="27"/>
      <c r="D52" s="27"/>
      <c r="E52" s="27"/>
      <c r="F52" s="27">
        <v>-11279</v>
      </c>
      <c r="G52" s="27">
        <v>2621</v>
      </c>
      <c r="H52" s="27">
        <v>22323</v>
      </c>
      <c r="I52" s="27">
        <v>18846</v>
      </c>
      <c r="J52" s="27">
        <v>20295</v>
      </c>
      <c r="K52" s="20"/>
      <c r="L52" s="20"/>
      <c r="M52" s="20"/>
    </row>
    <row r="53" spans="1:19" s="7" customFormat="1" outlineLevel="1" x14ac:dyDescent="0.2">
      <c r="B53" s="11" t="s">
        <v>34</v>
      </c>
      <c r="C53" s="83"/>
      <c r="D53" s="56"/>
      <c r="E53" s="56"/>
      <c r="F53" s="56">
        <v>1935972</v>
      </c>
      <c r="G53" s="56">
        <v>2038233</v>
      </c>
      <c r="H53" s="56">
        <v>2207673</v>
      </c>
      <c r="I53" s="56">
        <v>2408297</v>
      </c>
      <c r="J53" s="56">
        <v>2676211</v>
      </c>
      <c r="K53" s="21"/>
      <c r="L53" s="21"/>
      <c r="M53" s="21"/>
    </row>
    <row r="54" spans="1:19" s="13" customFormat="1" ht="17" outlineLevel="1" thickBot="1" x14ac:dyDescent="0.25">
      <c r="A54" s="7"/>
      <c r="B54" s="19" t="s">
        <v>35</v>
      </c>
      <c r="C54" s="84"/>
      <c r="D54" s="59"/>
      <c r="E54" s="59"/>
      <c r="F54" s="59">
        <v>4394159</v>
      </c>
      <c r="G54" s="59">
        <v>4175402</v>
      </c>
      <c r="H54" s="59">
        <v>4539257</v>
      </c>
      <c r="I54" s="59">
        <v>4974972</v>
      </c>
      <c r="J54" s="59">
        <v>5349434</v>
      </c>
      <c r="K54" s="21"/>
      <c r="L54" s="21"/>
      <c r="M54" s="21"/>
      <c r="O54" s="7"/>
      <c r="S54" s="7"/>
    </row>
    <row r="55" spans="1:19" x14ac:dyDescent="0.2">
      <c r="B55" s="1"/>
    </row>
    <row r="56" spans="1:19" s="14" customFormat="1" ht="17" thickBot="1" x14ac:dyDescent="0.25">
      <c r="A56" s="4"/>
      <c r="B56" s="15" t="s">
        <v>36</v>
      </c>
      <c r="K56" s="4"/>
      <c r="L56" s="4"/>
      <c r="M56" s="4"/>
      <c r="O56" s="4"/>
      <c r="S56" s="4"/>
    </row>
    <row r="57" spans="1:19" outlineLevel="1" x14ac:dyDescent="0.2">
      <c r="B57" s="9" t="s">
        <v>13</v>
      </c>
      <c r="C57" s="20">
        <f t="shared" ref="C57:J57" si="8">C17</f>
        <v>109612</v>
      </c>
      <c r="D57" s="20">
        <f t="shared" si="8"/>
        <v>68048</v>
      </c>
      <c r="E57" s="20">
        <f t="shared" si="8"/>
        <v>132329</v>
      </c>
      <c r="F57" s="20">
        <f t="shared" si="8"/>
        <v>128716</v>
      </c>
      <c r="G57" s="20">
        <f t="shared" si="8"/>
        <v>117835</v>
      </c>
      <c r="H57" s="20">
        <f t="shared" si="8"/>
        <v>139598</v>
      </c>
      <c r="I57" s="20">
        <f t="shared" si="8"/>
        <v>188729</v>
      </c>
      <c r="J57" s="20">
        <f t="shared" si="8"/>
        <v>255212</v>
      </c>
      <c r="K57" s="20"/>
      <c r="L57" s="20"/>
      <c r="M57" s="20"/>
    </row>
    <row r="58" spans="1:19" outlineLevel="1" x14ac:dyDescent="0.2">
      <c r="B58" s="9" t="s">
        <v>37</v>
      </c>
      <c r="C58" s="27"/>
      <c r="D58" s="27"/>
      <c r="E58" s="27"/>
      <c r="F58" s="27"/>
      <c r="G58" s="27">
        <v>31946</v>
      </c>
      <c r="H58" s="27">
        <v>35071</v>
      </c>
      <c r="I58" s="27">
        <v>33673</v>
      </c>
      <c r="J58" s="27">
        <v>38941</v>
      </c>
      <c r="K58" s="27"/>
      <c r="L58" s="27"/>
      <c r="M58" s="20"/>
    </row>
    <row r="59" spans="1:19" outlineLevel="1" x14ac:dyDescent="0.2">
      <c r="B59" s="12" t="s">
        <v>98</v>
      </c>
      <c r="C59" s="27"/>
      <c r="D59" s="27"/>
      <c r="E59" s="27"/>
      <c r="F59" s="27"/>
      <c r="G59" s="27">
        <v>11550</v>
      </c>
      <c r="H59" s="27">
        <v>10928</v>
      </c>
      <c r="I59" s="27">
        <v>9120</v>
      </c>
      <c r="J59" s="27">
        <v>12274</v>
      </c>
      <c r="K59" s="27"/>
      <c r="L59" s="27"/>
      <c r="M59" s="20"/>
    </row>
    <row r="60" spans="1:19" outlineLevel="1" x14ac:dyDescent="0.2">
      <c r="B60" s="12" t="s">
        <v>138</v>
      </c>
      <c r="C60" s="27"/>
      <c r="D60" s="27"/>
      <c r="E60" s="27"/>
      <c r="F60" s="27"/>
      <c r="G60" s="27">
        <v>0</v>
      </c>
      <c r="H60" s="27">
        <v>0</v>
      </c>
      <c r="I60" s="27">
        <v>0</v>
      </c>
      <c r="J60" s="27">
        <v>0</v>
      </c>
      <c r="K60" s="27"/>
      <c r="L60" s="85"/>
      <c r="M60" s="20"/>
    </row>
    <row r="61" spans="1:19" outlineLevel="1" x14ac:dyDescent="0.2">
      <c r="B61" s="12" t="s">
        <v>139</v>
      </c>
      <c r="C61" s="27"/>
      <c r="D61" s="27"/>
      <c r="E61" s="27"/>
      <c r="F61" s="27"/>
      <c r="G61" s="27">
        <v>3178</v>
      </c>
      <c r="H61" s="27">
        <v>204</v>
      </c>
      <c r="I61" s="27">
        <v>90</v>
      </c>
      <c r="J61" s="27">
        <v>1268</v>
      </c>
      <c r="K61" s="27"/>
      <c r="L61" s="85"/>
      <c r="M61" s="20"/>
    </row>
    <row r="62" spans="1:19" outlineLevel="1" x14ac:dyDescent="0.2">
      <c r="B62" s="12" t="s">
        <v>169</v>
      </c>
      <c r="C62" s="27"/>
      <c r="D62" s="27"/>
      <c r="E62" s="27"/>
      <c r="F62" s="27"/>
      <c r="G62" s="27">
        <v>0</v>
      </c>
      <c r="H62" s="27">
        <v>7364</v>
      </c>
      <c r="I62" s="27">
        <v>431</v>
      </c>
      <c r="J62" s="27">
        <v>2673</v>
      </c>
      <c r="K62" s="27"/>
      <c r="L62" s="85"/>
      <c r="M62" s="20"/>
    </row>
    <row r="63" spans="1:19" outlineLevel="1" x14ac:dyDescent="0.2">
      <c r="B63" s="12" t="s">
        <v>140</v>
      </c>
      <c r="C63" s="27"/>
      <c r="D63" s="27"/>
      <c r="E63" s="27"/>
      <c r="F63" s="27"/>
      <c r="G63" s="27">
        <v>4993</v>
      </c>
      <c r="H63" s="27">
        <v>4925</v>
      </c>
      <c r="I63" s="27">
        <v>5187</v>
      </c>
      <c r="J63" s="27">
        <v>5326</v>
      </c>
      <c r="K63" s="27"/>
      <c r="L63" s="27"/>
      <c r="M63" s="20"/>
    </row>
    <row r="64" spans="1:19" outlineLevel="1" x14ac:dyDescent="0.2">
      <c r="B64" s="12" t="s">
        <v>141</v>
      </c>
      <c r="C64" s="27"/>
      <c r="D64" s="27"/>
      <c r="E64" s="27"/>
      <c r="F64" s="27"/>
      <c r="G64" s="27">
        <v>-9211</v>
      </c>
      <c r="H64" s="27">
        <v>-12113</v>
      </c>
      <c r="I64" s="27">
        <v>62389</v>
      </c>
      <c r="J64" s="27">
        <v>-2357</v>
      </c>
      <c r="K64" s="27"/>
      <c r="L64" s="27"/>
      <c r="M64" s="20"/>
    </row>
    <row r="65" spans="1:19" outlineLevel="1" x14ac:dyDescent="0.2">
      <c r="B65" s="12" t="s">
        <v>142</v>
      </c>
      <c r="C65" s="27"/>
      <c r="D65" s="27"/>
      <c r="E65" s="27"/>
      <c r="F65" s="27"/>
      <c r="G65" s="27">
        <v>870</v>
      </c>
      <c r="H65" s="27">
        <v>1204</v>
      </c>
      <c r="I65" s="27">
        <v>1558</v>
      </c>
      <c r="J65" s="27">
        <v>5754</v>
      </c>
      <c r="K65" s="27"/>
      <c r="L65" s="27"/>
      <c r="M65" s="20"/>
    </row>
    <row r="66" spans="1:19" outlineLevel="1" x14ac:dyDescent="0.2">
      <c r="B66" s="9" t="s">
        <v>38</v>
      </c>
      <c r="C66" s="27"/>
      <c r="D66" s="27"/>
      <c r="E66" s="27"/>
      <c r="F66" s="27"/>
      <c r="G66" s="27">
        <v>237353</v>
      </c>
      <c r="H66" s="27">
        <v>-246190</v>
      </c>
      <c r="I66" s="27">
        <v>-275878</v>
      </c>
      <c r="J66" s="27">
        <v>-65764</v>
      </c>
      <c r="K66" s="27"/>
      <c r="L66" s="27"/>
      <c r="M66" s="20"/>
    </row>
    <row r="67" spans="1:19" outlineLevel="1" x14ac:dyDescent="0.2">
      <c r="B67" s="9" t="s">
        <v>143</v>
      </c>
      <c r="C67" s="27"/>
      <c r="D67" s="27"/>
      <c r="E67" s="27"/>
      <c r="F67" s="27"/>
      <c r="G67" s="27">
        <v>-62850</v>
      </c>
      <c r="H67" s="27">
        <v>-61872</v>
      </c>
      <c r="I67" s="27">
        <v>-114166</v>
      </c>
      <c r="J67" s="27">
        <v>151616</v>
      </c>
      <c r="K67" s="27"/>
      <c r="L67" s="27"/>
      <c r="M67" s="20"/>
    </row>
    <row r="68" spans="1:19" outlineLevel="1" x14ac:dyDescent="0.2">
      <c r="B68" s="9" t="s">
        <v>99</v>
      </c>
      <c r="C68" s="27"/>
      <c r="D68" s="27"/>
      <c r="E68" s="27"/>
      <c r="F68" s="27"/>
      <c r="G68" s="27">
        <v>-62900</v>
      </c>
      <c r="H68" s="27">
        <v>-48198</v>
      </c>
      <c r="I68" s="27">
        <v>-33765</v>
      </c>
      <c r="J68" s="27">
        <v>60819</v>
      </c>
      <c r="K68" s="27"/>
      <c r="L68" s="27"/>
      <c r="M68" s="20"/>
    </row>
    <row r="69" spans="1:19" outlineLevel="1" x14ac:dyDescent="0.2">
      <c r="B69" s="9" t="s">
        <v>39</v>
      </c>
      <c r="C69" s="27"/>
      <c r="D69" s="27"/>
      <c r="E69" s="27"/>
      <c r="F69" s="27"/>
      <c r="G69" s="27">
        <v>-156116</v>
      </c>
      <c r="H69" s="27">
        <v>94894</v>
      </c>
      <c r="I69" s="27">
        <v>99092</v>
      </c>
      <c r="J69" s="27">
        <v>277</v>
      </c>
      <c r="K69" s="27"/>
      <c r="L69" s="27"/>
      <c r="M69" s="20"/>
    </row>
    <row r="70" spans="1:19" outlineLevel="1" x14ac:dyDescent="0.2">
      <c r="B70" s="9" t="s">
        <v>144</v>
      </c>
      <c r="C70" s="27"/>
      <c r="D70" s="27"/>
      <c r="E70" s="27"/>
      <c r="F70" s="27"/>
      <c r="G70" s="27">
        <v>33939</v>
      </c>
      <c r="H70" s="27">
        <v>-40495</v>
      </c>
      <c r="I70" s="27">
        <v>13949</v>
      </c>
      <c r="J70" s="27">
        <v>-5849</v>
      </c>
      <c r="K70" s="27"/>
      <c r="L70" s="27"/>
      <c r="M70" s="20"/>
    </row>
    <row r="71" spans="1:19" outlineLevel="1" x14ac:dyDescent="0.2">
      <c r="B71" s="9" t="s">
        <v>113</v>
      </c>
      <c r="C71" s="27"/>
      <c r="D71" s="27"/>
      <c r="E71" s="27"/>
      <c r="F71" s="27"/>
      <c r="G71" s="27">
        <v>-894</v>
      </c>
      <c r="H71" s="27">
        <v>-4406</v>
      </c>
      <c r="I71" s="27">
        <v>-4688</v>
      </c>
      <c r="J71" s="27">
        <v>-5154</v>
      </c>
      <c r="K71" s="27"/>
      <c r="L71" s="27"/>
      <c r="M71" s="20"/>
    </row>
    <row r="72" spans="1:19" outlineLevel="1" x14ac:dyDescent="0.2">
      <c r="B72" s="9" t="s">
        <v>145</v>
      </c>
      <c r="C72" s="27"/>
      <c r="D72" s="27"/>
      <c r="E72" s="27"/>
      <c r="F72" s="27"/>
      <c r="G72" s="27">
        <v>-204549</v>
      </c>
      <c r="H72" s="27">
        <v>110004</v>
      </c>
      <c r="I72" s="27">
        <v>125293</v>
      </c>
      <c r="J72" s="27">
        <v>132020</v>
      </c>
      <c r="K72" s="27"/>
      <c r="L72" s="27"/>
      <c r="M72" s="20"/>
    </row>
    <row r="73" spans="1:19" s="18" customFormat="1" outlineLevel="1" x14ac:dyDescent="0.2">
      <c r="A73" s="7"/>
      <c r="B73" s="17" t="s">
        <v>40</v>
      </c>
      <c r="C73" s="52"/>
      <c r="D73" s="52"/>
      <c r="E73" s="52"/>
      <c r="F73" s="52"/>
      <c r="G73" s="52">
        <v>-54856</v>
      </c>
      <c r="H73" s="52">
        <v>-9082</v>
      </c>
      <c r="I73" s="52">
        <v>111014</v>
      </c>
      <c r="J73" s="52">
        <v>587056</v>
      </c>
      <c r="K73" s="33"/>
      <c r="L73" s="33"/>
      <c r="M73" s="21"/>
      <c r="O73" s="7"/>
      <c r="S73" s="7"/>
    </row>
    <row r="74" spans="1:19" outlineLevel="1" x14ac:dyDescent="0.2">
      <c r="B74" s="9" t="s">
        <v>146</v>
      </c>
      <c r="C74" s="27"/>
      <c r="D74" s="27"/>
      <c r="E74" s="27"/>
      <c r="F74" s="27"/>
      <c r="G74" s="27">
        <v>-32661</v>
      </c>
      <c r="H74" s="27">
        <v>-27432</v>
      </c>
      <c r="I74" s="27">
        <v>-24845</v>
      </c>
      <c r="J74" s="27">
        <v>-61144</v>
      </c>
      <c r="K74" s="27"/>
      <c r="L74" s="27"/>
      <c r="M74" s="20"/>
    </row>
    <row r="75" spans="1:19" outlineLevel="1" x14ac:dyDescent="0.2">
      <c r="B75" s="9" t="s">
        <v>147</v>
      </c>
      <c r="C75" s="27"/>
      <c r="D75" s="27"/>
      <c r="E75" s="27"/>
      <c r="F75" s="27"/>
      <c r="G75" s="27">
        <v>-2836</v>
      </c>
      <c r="H75" s="27">
        <v>-171</v>
      </c>
      <c r="I75" s="27">
        <v>-6772</v>
      </c>
      <c r="J75" s="27">
        <v>-2595</v>
      </c>
      <c r="K75" s="27"/>
      <c r="L75" s="27"/>
      <c r="M75" s="20"/>
    </row>
    <row r="76" spans="1:19" outlineLevel="1" x14ac:dyDescent="0.2">
      <c r="B76" s="9" t="s">
        <v>108</v>
      </c>
      <c r="C76" s="27"/>
      <c r="D76" s="27"/>
      <c r="E76" s="27"/>
      <c r="F76" s="27"/>
      <c r="G76" s="27">
        <v>-1312</v>
      </c>
      <c r="H76" s="27">
        <v>-3</v>
      </c>
      <c r="I76" s="27">
        <v>-7</v>
      </c>
      <c r="J76" s="27">
        <v>-1</v>
      </c>
      <c r="K76" s="27"/>
      <c r="L76" s="27"/>
      <c r="M76" s="20"/>
    </row>
    <row r="77" spans="1:19" outlineLevel="1" x14ac:dyDescent="0.2">
      <c r="B77" s="9" t="s">
        <v>148</v>
      </c>
      <c r="C77" s="27"/>
      <c r="D77" s="27"/>
      <c r="E77" s="27"/>
      <c r="F77" s="27"/>
      <c r="G77" s="27">
        <v>0</v>
      </c>
      <c r="H77" s="27">
        <v>0</v>
      </c>
      <c r="I77" s="27">
        <v>0</v>
      </c>
      <c r="J77" s="27">
        <v>0</v>
      </c>
      <c r="K77" s="27"/>
      <c r="L77" s="27"/>
      <c r="M77" s="20"/>
    </row>
    <row r="78" spans="1:19" outlineLevel="1" x14ac:dyDescent="0.2">
      <c r="B78" s="9" t="s">
        <v>149</v>
      </c>
      <c r="C78" s="27"/>
      <c r="D78" s="27"/>
      <c r="E78" s="27"/>
      <c r="F78" s="27"/>
      <c r="G78" s="27">
        <v>0</v>
      </c>
      <c r="H78" s="27">
        <v>0</v>
      </c>
      <c r="I78" s="27">
        <v>0</v>
      </c>
      <c r="J78" s="27">
        <v>0</v>
      </c>
      <c r="K78" s="27"/>
      <c r="L78" s="27"/>
      <c r="M78" s="20"/>
    </row>
    <row r="79" spans="1:19" outlineLevel="1" x14ac:dyDescent="0.2">
      <c r="B79" s="9" t="s">
        <v>150</v>
      </c>
      <c r="C79" s="27">
        <v>0</v>
      </c>
      <c r="D79" s="27">
        <v>0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/>
      <c r="L79" s="27"/>
      <c r="M79" s="20"/>
    </row>
    <row r="80" spans="1:19" s="18" customFormat="1" outlineLevel="1" x14ac:dyDescent="0.2">
      <c r="A80" s="7"/>
      <c r="B80" s="17" t="s">
        <v>41</v>
      </c>
      <c r="C80" s="52"/>
      <c r="D80" s="52"/>
      <c r="E80" s="52"/>
      <c r="F80" s="52"/>
      <c r="G80" s="52">
        <v>-36809</v>
      </c>
      <c r="H80" s="52">
        <v>-27606</v>
      </c>
      <c r="I80" s="52">
        <v>-31624</v>
      </c>
      <c r="J80" s="52">
        <v>-63740</v>
      </c>
      <c r="K80" s="33"/>
      <c r="L80" s="33"/>
      <c r="M80" s="21"/>
      <c r="O80" s="7"/>
      <c r="S80" s="7"/>
    </row>
    <row r="81" spans="1:19" outlineLevel="1" x14ac:dyDescent="0.2">
      <c r="B81" s="9" t="s">
        <v>151</v>
      </c>
      <c r="C81" s="27"/>
      <c r="D81" s="27"/>
      <c r="E81" s="27"/>
      <c r="F81" s="27"/>
      <c r="G81" s="27">
        <v>0</v>
      </c>
      <c r="H81" s="27">
        <v>0</v>
      </c>
      <c r="I81" s="27">
        <v>0</v>
      </c>
      <c r="J81" s="27">
        <v>0</v>
      </c>
      <c r="K81" s="27"/>
      <c r="L81" s="27"/>
      <c r="M81" s="20"/>
    </row>
    <row r="82" spans="1:19" outlineLevel="1" x14ac:dyDescent="0.2">
      <c r="B82" s="9" t="s">
        <v>152</v>
      </c>
      <c r="C82" s="27"/>
      <c r="D82" s="27"/>
      <c r="E82" s="27"/>
      <c r="F82" s="27"/>
      <c r="G82" s="27">
        <v>-10125</v>
      </c>
      <c r="H82" s="27">
        <v>-10125</v>
      </c>
      <c r="I82" s="27">
        <v>-10125</v>
      </c>
      <c r="J82" s="27">
        <v>-10125</v>
      </c>
      <c r="K82" s="27"/>
      <c r="L82" s="27"/>
      <c r="M82" s="20"/>
    </row>
    <row r="83" spans="1:19" outlineLevel="1" x14ac:dyDescent="0.2">
      <c r="B83" s="9" t="s">
        <v>158</v>
      </c>
      <c r="C83" s="27"/>
      <c r="D83" s="27"/>
      <c r="E83" s="27"/>
      <c r="F83" s="27"/>
      <c r="G83" s="27">
        <v>7425</v>
      </c>
      <c r="H83" s="27">
        <v>0</v>
      </c>
      <c r="I83" s="27">
        <v>7399</v>
      </c>
      <c r="J83" s="27">
        <v>0</v>
      </c>
      <c r="K83" s="27"/>
      <c r="L83" s="27"/>
      <c r="M83" s="20"/>
    </row>
    <row r="84" spans="1:19" outlineLevel="1" x14ac:dyDescent="0.2">
      <c r="B84" s="9" t="s">
        <v>153</v>
      </c>
      <c r="C84" s="27"/>
      <c r="D84" s="27"/>
      <c r="E84" s="27"/>
      <c r="F84" s="27"/>
      <c r="G84" s="27">
        <v>0</v>
      </c>
      <c r="H84" s="27">
        <v>0</v>
      </c>
      <c r="I84" s="27">
        <v>0</v>
      </c>
      <c r="J84" s="27">
        <v>0</v>
      </c>
      <c r="K84" s="27"/>
      <c r="L84" s="27"/>
      <c r="M84" s="20"/>
    </row>
    <row r="85" spans="1:19" outlineLevel="1" x14ac:dyDescent="0.2">
      <c r="B85" s="9" t="s">
        <v>154</v>
      </c>
      <c r="C85" s="27"/>
      <c r="D85" s="27"/>
      <c r="E85" s="27"/>
      <c r="F85" s="27"/>
      <c r="G85" s="27">
        <v>0</v>
      </c>
      <c r="H85" s="27">
        <v>0</v>
      </c>
      <c r="I85" s="27">
        <v>0</v>
      </c>
      <c r="J85" s="27">
        <v>0</v>
      </c>
      <c r="K85" s="27"/>
      <c r="L85" s="27"/>
      <c r="M85" s="20"/>
    </row>
    <row r="86" spans="1:19" outlineLevel="1" x14ac:dyDescent="0.2">
      <c r="B86" s="9" t="s">
        <v>155</v>
      </c>
      <c r="C86" s="27"/>
      <c r="D86" s="27"/>
      <c r="E86" s="27"/>
      <c r="F86" s="27"/>
      <c r="G86" s="27">
        <v>0</v>
      </c>
      <c r="H86" s="27">
        <v>0</v>
      </c>
      <c r="I86" s="27">
        <v>0</v>
      </c>
      <c r="J86" s="27">
        <v>0</v>
      </c>
      <c r="K86" s="27"/>
      <c r="L86" s="27"/>
      <c r="M86" s="20"/>
    </row>
    <row r="87" spans="1:19" outlineLevel="1" x14ac:dyDescent="0.2">
      <c r="B87" s="9" t="s">
        <v>156</v>
      </c>
      <c r="C87" s="27"/>
      <c r="D87" s="27"/>
      <c r="E87" s="27"/>
      <c r="F87" s="27"/>
      <c r="G87" s="27">
        <v>-48449</v>
      </c>
      <c r="H87" s="27">
        <v>-788</v>
      </c>
      <c r="I87" s="27">
        <v>-1147</v>
      </c>
      <c r="J87" s="27">
        <v>-1021</v>
      </c>
      <c r="K87" s="27"/>
      <c r="L87" s="27"/>
      <c r="M87" s="20"/>
    </row>
    <row r="88" spans="1:19" outlineLevel="1" x14ac:dyDescent="0.2">
      <c r="B88" s="9" t="s">
        <v>157</v>
      </c>
      <c r="C88" s="27"/>
      <c r="D88" s="27"/>
      <c r="E88" s="27"/>
      <c r="F88" s="27"/>
      <c r="G88" s="27">
        <v>0</v>
      </c>
      <c r="H88" s="27">
        <v>0</v>
      </c>
      <c r="I88" s="27">
        <v>0</v>
      </c>
      <c r="J88" s="27">
        <v>0</v>
      </c>
      <c r="K88" s="27"/>
      <c r="L88" s="27"/>
      <c r="M88" s="20"/>
    </row>
    <row r="89" spans="1:19" s="18" customFormat="1" outlineLevel="1" x14ac:dyDescent="0.2">
      <c r="A89" s="7"/>
      <c r="B89" s="17" t="s">
        <v>42</v>
      </c>
      <c r="C89" s="52"/>
      <c r="D89" s="52"/>
      <c r="E89" s="52"/>
      <c r="F89" s="52"/>
      <c r="G89" s="52">
        <v>-51149</v>
      </c>
      <c r="H89" s="52">
        <v>-10913</v>
      </c>
      <c r="I89" s="52">
        <v>-3873</v>
      </c>
      <c r="J89" s="52">
        <v>-11146</v>
      </c>
      <c r="K89" s="33"/>
      <c r="L89" s="33"/>
      <c r="M89" s="21"/>
      <c r="O89" s="7"/>
      <c r="S89" s="7"/>
    </row>
    <row r="90" spans="1:19" s="7" customFormat="1" outlineLevel="1" x14ac:dyDescent="0.2">
      <c r="B90" s="12" t="s">
        <v>114</v>
      </c>
      <c r="C90" s="27"/>
      <c r="D90" s="27"/>
      <c r="E90" s="27"/>
      <c r="F90" s="27"/>
      <c r="G90" s="27">
        <v>3841</v>
      </c>
      <c r="H90" s="27">
        <v>11134</v>
      </c>
      <c r="I90" s="27">
        <v>70</v>
      </c>
      <c r="J90" s="27">
        <v>1303</v>
      </c>
      <c r="K90" s="33"/>
      <c r="L90" s="33"/>
      <c r="M90" s="21"/>
    </row>
    <row r="91" spans="1:19" s="7" customFormat="1" outlineLevel="1" x14ac:dyDescent="0.2">
      <c r="B91" s="11" t="s">
        <v>43</v>
      </c>
      <c r="C91" s="56"/>
      <c r="D91" s="56"/>
      <c r="E91" s="56"/>
      <c r="F91" s="56"/>
      <c r="G91" s="56">
        <v>-138973</v>
      </c>
      <c r="H91" s="56">
        <v>-36467</v>
      </c>
      <c r="I91" s="56">
        <f>L91-(G91+H91)</f>
        <v>175440</v>
      </c>
      <c r="J91" s="56">
        <v>513473</v>
      </c>
      <c r="K91" s="33"/>
      <c r="L91" s="33"/>
      <c r="M91" s="21"/>
    </row>
    <row r="92" spans="1:19" s="7" customFormat="1" outlineLevel="1" x14ac:dyDescent="0.2">
      <c r="B92" s="11" t="s">
        <v>44</v>
      </c>
      <c r="C92" s="56"/>
      <c r="D92" s="56"/>
      <c r="E92" s="56"/>
      <c r="F92" s="56"/>
      <c r="G92" s="56">
        <v>363669</v>
      </c>
      <c r="H92" s="56">
        <v>224696</v>
      </c>
      <c r="I92" s="56">
        <v>188229</v>
      </c>
      <c r="J92" s="56">
        <v>263816</v>
      </c>
      <c r="K92" s="21"/>
      <c r="L92" s="21"/>
      <c r="M92" s="21"/>
    </row>
    <row r="93" spans="1:19" s="13" customFormat="1" ht="17" outlineLevel="1" thickBot="1" x14ac:dyDescent="0.25">
      <c r="A93" s="7"/>
      <c r="B93" s="19" t="s">
        <v>45</v>
      </c>
      <c r="C93" s="59"/>
      <c r="D93" s="59"/>
      <c r="E93" s="59"/>
      <c r="F93" s="59"/>
      <c r="G93" s="59">
        <v>224696</v>
      </c>
      <c r="H93" s="59">
        <v>188229</v>
      </c>
      <c r="I93" s="59">
        <v>263816</v>
      </c>
      <c r="J93" s="59">
        <f>J91+J92</f>
        <v>777289</v>
      </c>
      <c r="K93" s="21"/>
      <c r="L93" s="21"/>
      <c r="M93" s="21"/>
      <c r="O93" s="7"/>
      <c r="S93" s="7"/>
    </row>
    <row r="94" spans="1:19" x14ac:dyDescent="0.2">
      <c r="B94" s="1"/>
    </row>
    <row r="95" spans="1:19" s="14" customFormat="1" ht="17" thickBot="1" x14ac:dyDescent="0.25">
      <c r="A95" s="4"/>
      <c r="B95" s="15" t="s">
        <v>46</v>
      </c>
      <c r="K95" s="4"/>
      <c r="L95" s="4"/>
      <c r="M95" s="4"/>
      <c r="O95" s="4"/>
      <c r="S95" s="4"/>
    </row>
    <row r="96" spans="1:19" hidden="1" outlineLevel="2" x14ac:dyDescent="0.2">
      <c r="B96" s="9" t="s">
        <v>47</v>
      </c>
      <c r="C96" s="20">
        <f t="shared" ref="C96:J96" si="9">C5-C6-C11+C13+C14+C16</f>
        <v>109612</v>
      </c>
      <c r="D96" s="20">
        <f t="shared" si="9"/>
        <v>68048</v>
      </c>
      <c r="E96" s="20">
        <f t="shared" si="9"/>
        <v>132329</v>
      </c>
      <c r="F96" s="20">
        <f t="shared" si="9"/>
        <v>128716</v>
      </c>
      <c r="G96" s="20">
        <f t="shared" si="9"/>
        <v>117835</v>
      </c>
      <c r="H96" s="20">
        <f t="shared" si="9"/>
        <v>139598</v>
      </c>
      <c r="I96" s="20">
        <f t="shared" si="9"/>
        <v>188729</v>
      </c>
      <c r="J96" s="20">
        <f t="shared" si="9"/>
        <v>255212</v>
      </c>
      <c r="K96" s="20"/>
      <c r="L96" s="20"/>
      <c r="M96" s="20"/>
    </row>
    <row r="97" spans="1:19" s="18" customFormat="1" outlineLevel="1" collapsed="1" x14ac:dyDescent="0.2">
      <c r="A97" s="7"/>
      <c r="B97" s="17" t="s">
        <v>48</v>
      </c>
      <c r="C97" s="24">
        <f t="shared" ref="C97:J97" si="10">C17-C96</f>
        <v>0</v>
      </c>
      <c r="D97" s="24">
        <f t="shared" si="10"/>
        <v>0</v>
      </c>
      <c r="E97" s="24">
        <f t="shared" si="10"/>
        <v>0</v>
      </c>
      <c r="F97" s="24">
        <f t="shared" si="10"/>
        <v>0</v>
      </c>
      <c r="G97" s="24">
        <f t="shared" si="10"/>
        <v>0</v>
      </c>
      <c r="H97" s="24">
        <f t="shared" si="10"/>
        <v>0</v>
      </c>
      <c r="I97" s="24">
        <f t="shared" si="10"/>
        <v>0</v>
      </c>
      <c r="J97" s="24">
        <f t="shared" si="10"/>
        <v>0</v>
      </c>
      <c r="K97" s="26"/>
      <c r="L97" s="26"/>
      <c r="M97" s="26"/>
      <c r="O97" s="7"/>
      <c r="S97" s="7"/>
    </row>
    <row r="98" spans="1:19" hidden="1" outlineLevel="2" x14ac:dyDescent="0.2">
      <c r="B98" s="9" t="s">
        <v>49</v>
      </c>
      <c r="C98" s="20">
        <f t="shared" ref="C98:J98" si="11">SUM(C24:C28)+SUM(C30:C35)</f>
        <v>0</v>
      </c>
      <c r="D98" s="20">
        <f t="shared" si="11"/>
        <v>0</v>
      </c>
      <c r="E98" s="20">
        <f t="shared" si="11"/>
        <v>0</v>
      </c>
      <c r="F98" s="20">
        <f t="shared" si="11"/>
        <v>4394159</v>
      </c>
      <c r="G98" s="20">
        <f t="shared" si="11"/>
        <v>4175402</v>
      </c>
      <c r="H98" s="20">
        <f t="shared" si="11"/>
        <v>4539257</v>
      </c>
      <c r="I98" s="20">
        <f t="shared" si="11"/>
        <v>4974972</v>
      </c>
      <c r="J98" s="20">
        <f t="shared" si="11"/>
        <v>5349434</v>
      </c>
      <c r="K98" s="20"/>
      <c r="L98" s="20"/>
      <c r="M98" s="20"/>
    </row>
    <row r="99" spans="1:19" s="7" customFormat="1" outlineLevel="1" collapsed="1" x14ac:dyDescent="0.2">
      <c r="B99" s="11" t="s">
        <v>50</v>
      </c>
      <c r="C99" s="23">
        <f t="shared" ref="C99:J99" si="12">C37-C98</f>
        <v>0</v>
      </c>
      <c r="D99" s="23">
        <f t="shared" si="12"/>
        <v>0</v>
      </c>
      <c r="E99" s="23">
        <f t="shared" si="12"/>
        <v>0</v>
      </c>
      <c r="F99" s="23">
        <f t="shared" si="12"/>
        <v>0</v>
      </c>
      <c r="G99" s="23">
        <f t="shared" si="12"/>
        <v>0</v>
      </c>
      <c r="H99" s="23">
        <f t="shared" si="12"/>
        <v>0</v>
      </c>
      <c r="I99" s="23">
        <f t="shared" si="12"/>
        <v>0</v>
      </c>
      <c r="J99" s="23">
        <f t="shared" si="12"/>
        <v>0</v>
      </c>
      <c r="K99" s="26"/>
      <c r="L99" s="26"/>
      <c r="M99" s="26"/>
    </row>
    <row r="100" spans="1:19" hidden="1" outlineLevel="2" x14ac:dyDescent="0.2">
      <c r="B100" s="9" t="s">
        <v>51</v>
      </c>
      <c r="C100" s="20">
        <f t="shared" ref="C100:J100" si="13">SUM(C38:C41)+SUM(C43:C46)</f>
        <v>0</v>
      </c>
      <c r="D100" s="20">
        <f t="shared" si="13"/>
        <v>0</v>
      </c>
      <c r="E100" s="20">
        <f t="shared" si="13"/>
        <v>0</v>
      </c>
      <c r="F100" s="20">
        <f t="shared" si="13"/>
        <v>2458187</v>
      </c>
      <c r="G100" s="20">
        <f t="shared" si="13"/>
        <v>2137169</v>
      </c>
      <c r="H100" s="20">
        <f t="shared" si="13"/>
        <v>2331584</v>
      </c>
      <c r="I100" s="20">
        <f t="shared" si="13"/>
        <v>2566675</v>
      </c>
      <c r="J100" s="20">
        <f t="shared" si="13"/>
        <v>2673223</v>
      </c>
      <c r="K100" s="20"/>
      <c r="L100" s="20"/>
      <c r="M100" s="20"/>
    </row>
    <row r="101" spans="1:19" s="7" customFormat="1" outlineLevel="1" collapsed="1" x14ac:dyDescent="0.2">
      <c r="B101" s="11" t="s">
        <v>52</v>
      </c>
      <c r="C101" s="23">
        <f t="shared" ref="C101:J101" si="14">C48-C100</f>
        <v>0</v>
      </c>
      <c r="D101" s="23">
        <f t="shared" si="14"/>
        <v>0</v>
      </c>
      <c r="E101" s="23">
        <f t="shared" si="14"/>
        <v>0</v>
      </c>
      <c r="F101" s="23">
        <f t="shared" si="14"/>
        <v>0</v>
      </c>
      <c r="G101" s="23">
        <f t="shared" si="14"/>
        <v>0</v>
      </c>
      <c r="H101" s="23">
        <f t="shared" si="14"/>
        <v>0</v>
      </c>
      <c r="I101" s="23">
        <f t="shared" si="14"/>
        <v>0</v>
      </c>
      <c r="J101" s="23">
        <f t="shared" si="14"/>
        <v>0</v>
      </c>
      <c r="K101" s="26"/>
      <c r="L101" s="26"/>
      <c r="M101" s="26"/>
    </row>
    <row r="102" spans="1:19" hidden="1" outlineLevel="2" x14ac:dyDescent="0.2">
      <c r="B102" s="9" t="s">
        <v>53</v>
      </c>
      <c r="C102" s="20">
        <f t="shared" ref="C102:J102" si="15">SUM(C49:C52)</f>
        <v>0</v>
      </c>
      <c r="D102" s="20">
        <f t="shared" si="15"/>
        <v>0</v>
      </c>
      <c r="E102" s="20">
        <f t="shared" si="15"/>
        <v>0</v>
      </c>
      <c r="F102" s="20">
        <f t="shared" si="15"/>
        <v>1935972</v>
      </c>
      <c r="G102" s="20">
        <f t="shared" si="15"/>
        <v>2038233</v>
      </c>
      <c r="H102" s="20">
        <f t="shared" si="15"/>
        <v>2207673</v>
      </c>
      <c r="I102" s="20">
        <f t="shared" si="15"/>
        <v>2408297</v>
      </c>
      <c r="J102" s="20">
        <f t="shared" si="15"/>
        <v>2676211</v>
      </c>
      <c r="K102" s="20"/>
      <c r="L102" s="20"/>
      <c r="M102" s="20"/>
    </row>
    <row r="103" spans="1:19" s="7" customFormat="1" outlineLevel="1" collapsed="1" x14ac:dyDescent="0.2">
      <c r="B103" s="11" t="s">
        <v>54</v>
      </c>
      <c r="C103" s="23">
        <f t="shared" ref="C103:J103" si="16">C53-C102</f>
        <v>0</v>
      </c>
      <c r="D103" s="23">
        <f t="shared" si="16"/>
        <v>0</v>
      </c>
      <c r="E103" s="23">
        <f t="shared" si="16"/>
        <v>0</v>
      </c>
      <c r="F103" s="23">
        <f t="shared" si="16"/>
        <v>0</v>
      </c>
      <c r="G103" s="23">
        <f t="shared" si="16"/>
        <v>0</v>
      </c>
      <c r="H103" s="23">
        <f t="shared" si="16"/>
        <v>0</v>
      </c>
      <c r="I103" s="23">
        <f t="shared" si="16"/>
        <v>0</v>
      </c>
      <c r="J103" s="23">
        <f t="shared" si="16"/>
        <v>0</v>
      </c>
      <c r="K103" s="26"/>
      <c r="L103" s="26"/>
      <c r="M103" s="26"/>
    </row>
    <row r="104" spans="1:19" s="18" customFormat="1" outlineLevel="1" x14ac:dyDescent="0.2">
      <c r="A104" s="7"/>
      <c r="B104" s="17" t="s">
        <v>64</v>
      </c>
      <c r="C104" s="22">
        <f t="shared" ref="C104:J104" si="17">C37-(C48+C53)</f>
        <v>0</v>
      </c>
      <c r="D104" s="22">
        <f t="shared" si="17"/>
        <v>0</v>
      </c>
      <c r="E104" s="22">
        <f t="shared" si="17"/>
        <v>0</v>
      </c>
      <c r="F104" s="22">
        <f t="shared" si="17"/>
        <v>0</v>
      </c>
      <c r="G104" s="22">
        <f t="shared" si="17"/>
        <v>0</v>
      </c>
      <c r="H104" s="22">
        <f t="shared" si="17"/>
        <v>0</v>
      </c>
      <c r="I104" s="22">
        <f t="shared" si="17"/>
        <v>0</v>
      </c>
      <c r="J104" s="22">
        <f t="shared" si="17"/>
        <v>0</v>
      </c>
      <c r="K104" s="26"/>
      <c r="L104" s="26"/>
      <c r="M104" s="26"/>
      <c r="O104" s="7"/>
      <c r="S104" s="7"/>
    </row>
    <row r="105" spans="1:19" hidden="1" outlineLevel="2" x14ac:dyDescent="0.2">
      <c r="B105" s="9" t="s">
        <v>55</v>
      </c>
      <c r="C105" s="20">
        <f t="shared" ref="C105:J105" si="18">SUM(C57:C72)</f>
        <v>109612</v>
      </c>
      <c r="D105" s="20">
        <f t="shared" si="18"/>
        <v>68048</v>
      </c>
      <c r="E105" s="20">
        <f t="shared" si="18"/>
        <v>132329</v>
      </c>
      <c r="F105" s="20">
        <f t="shared" si="18"/>
        <v>128716</v>
      </c>
      <c r="G105" s="20">
        <f t="shared" si="18"/>
        <v>-54856</v>
      </c>
      <c r="H105" s="20">
        <f t="shared" si="18"/>
        <v>-9082</v>
      </c>
      <c r="I105" s="20">
        <f t="shared" si="18"/>
        <v>111014</v>
      </c>
      <c r="J105" s="20">
        <f t="shared" si="18"/>
        <v>587056</v>
      </c>
      <c r="K105" s="20"/>
      <c r="L105" s="20"/>
      <c r="M105" s="20"/>
    </row>
    <row r="106" spans="1:19" s="7" customFormat="1" outlineLevel="1" collapsed="1" x14ac:dyDescent="0.2">
      <c r="B106" s="11" t="s">
        <v>56</v>
      </c>
      <c r="C106" s="23">
        <f t="shared" ref="C106:J106" si="19">C73-C105</f>
        <v>-109612</v>
      </c>
      <c r="D106" s="23">
        <f t="shared" si="19"/>
        <v>-68048</v>
      </c>
      <c r="E106" s="23">
        <f t="shared" si="19"/>
        <v>-132329</v>
      </c>
      <c r="F106" s="23">
        <f t="shared" si="19"/>
        <v>-128716</v>
      </c>
      <c r="G106" s="23">
        <f t="shared" si="19"/>
        <v>0</v>
      </c>
      <c r="H106" s="23">
        <f t="shared" si="19"/>
        <v>0</v>
      </c>
      <c r="I106" s="23">
        <f t="shared" si="19"/>
        <v>0</v>
      </c>
      <c r="J106" s="23">
        <f t="shared" si="19"/>
        <v>0</v>
      </c>
      <c r="K106" s="26"/>
      <c r="L106" s="26"/>
      <c r="M106" s="26"/>
    </row>
    <row r="107" spans="1:19" hidden="1" outlineLevel="2" x14ac:dyDescent="0.2">
      <c r="B107" s="9" t="s">
        <v>57</v>
      </c>
      <c r="C107" s="20">
        <f t="shared" ref="C107:J107" si="20">SUM(C74:C78)</f>
        <v>0</v>
      </c>
      <c r="D107" s="20">
        <f t="shared" si="20"/>
        <v>0</v>
      </c>
      <c r="E107" s="20">
        <f t="shared" si="20"/>
        <v>0</v>
      </c>
      <c r="F107" s="20">
        <f t="shared" si="20"/>
        <v>0</v>
      </c>
      <c r="G107" s="20">
        <f t="shared" si="20"/>
        <v>-36809</v>
      </c>
      <c r="H107" s="20">
        <f t="shared" si="20"/>
        <v>-27606</v>
      </c>
      <c r="I107" s="20">
        <f t="shared" si="20"/>
        <v>-31624</v>
      </c>
      <c r="J107" s="20">
        <f t="shared" si="20"/>
        <v>-63740</v>
      </c>
      <c r="K107" s="20"/>
      <c r="L107" s="20"/>
      <c r="M107" s="20"/>
    </row>
    <row r="108" spans="1:19" s="7" customFormat="1" outlineLevel="1" collapsed="1" x14ac:dyDescent="0.2">
      <c r="B108" s="11" t="s">
        <v>58</v>
      </c>
      <c r="C108" s="23">
        <f t="shared" ref="C108:J108" si="21">C80-C107</f>
        <v>0</v>
      </c>
      <c r="D108" s="23">
        <f t="shared" si="21"/>
        <v>0</v>
      </c>
      <c r="E108" s="23">
        <f t="shared" si="21"/>
        <v>0</v>
      </c>
      <c r="F108" s="23">
        <f t="shared" si="21"/>
        <v>0</v>
      </c>
      <c r="G108" s="23">
        <f t="shared" si="21"/>
        <v>0</v>
      </c>
      <c r="H108" s="23">
        <f t="shared" si="21"/>
        <v>0</v>
      </c>
      <c r="I108" s="23">
        <f t="shared" si="21"/>
        <v>0</v>
      </c>
      <c r="J108" s="23">
        <f t="shared" si="21"/>
        <v>0</v>
      </c>
      <c r="K108" s="26"/>
      <c r="L108" s="26"/>
      <c r="M108" s="26"/>
    </row>
    <row r="109" spans="1:19" hidden="1" outlineLevel="2" x14ac:dyDescent="0.2">
      <c r="B109" s="9" t="s">
        <v>59</v>
      </c>
      <c r="C109" s="20">
        <f t="shared" ref="C109:J109" si="22">SUM(C81:C88)</f>
        <v>0</v>
      </c>
      <c r="D109" s="20">
        <f t="shared" si="22"/>
        <v>0</v>
      </c>
      <c r="E109" s="20">
        <f t="shared" si="22"/>
        <v>0</v>
      </c>
      <c r="F109" s="20">
        <f t="shared" si="22"/>
        <v>0</v>
      </c>
      <c r="G109" s="20">
        <f t="shared" si="22"/>
        <v>-51149</v>
      </c>
      <c r="H109" s="20">
        <f t="shared" si="22"/>
        <v>-10913</v>
      </c>
      <c r="I109" s="20">
        <f t="shared" si="22"/>
        <v>-3873</v>
      </c>
      <c r="J109" s="20">
        <f t="shared" si="22"/>
        <v>-11146</v>
      </c>
      <c r="K109" s="20"/>
      <c r="L109" s="20"/>
      <c r="M109" s="20"/>
    </row>
    <row r="110" spans="1:19" s="7" customFormat="1" outlineLevel="1" collapsed="1" x14ac:dyDescent="0.2">
      <c r="B110" s="11" t="s">
        <v>60</v>
      </c>
      <c r="C110" s="23">
        <f t="shared" ref="C110:J110" si="23">C89-C109</f>
        <v>0</v>
      </c>
      <c r="D110" s="23">
        <f t="shared" si="23"/>
        <v>0</v>
      </c>
      <c r="E110" s="23">
        <f t="shared" si="23"/>
        <v>0</v>
      </c>
      <c r="F110" s="23">
        <f t="shared" si="23"/>
        <v>0</v>
      </c>
      <c r="G110" s="23">
        <f t="shared" si="23"/>
        <v>0</v>
      </c>
      <c r="H110" s="23">
        <f t="shared" si="23"/>
        <v>0</v>
      </c>
      <c r="I110" s="23">
        <f t="shared" si="23"/>
        <v>0</v>
      </c>
      <c r="J110" s="23">
        <f t="shared" si="23"/>
        <v>0</v>
      </c>
      <c r="K110" s="26"/>
      <c r="L110" s="26"/>
      <c r="M110" s="26"/>
    </row>
    <row r="111" spans="1:19" hidden="1" outlineLevel="2" x14ac:dyDescent="0.2">
      <c r="B111" s="9" t="s">
        <v>62</v>
      </c>
      <c r="C111" s="20">
        <f t="shared" ref="C111:J111" si="24">C73+C80+C89+C92+C90</f>
        <v>0</v>
      </c>
      <c r="D111" s="20">
        <f t="shared" si="24"/>
        <v>0</v>
      </c>
      <c r="E111" s="20">
        <f t="shared" si="24"/>
        <v>0</v>
      </c>
      <c r="F111" s="20">
        <f t="shared" si="24"/>
        <v>0</v>
      </c>
      <c r="G111" s="20">
        <f t="shared" si="24"/>
        <v>224696</v>
      </c>
      <c r="H111" s="20">
        <f t="shared" si="24"/>
        <v>188229</v>
      </c>
      <c r="I111" s="20">
        <f t="shared" si="24"/>
        <v>263816</v>
      </c>
      <c r="J111" s="20">
        <f t="shared" si="24"/>
        <v>777289</v>
      </c>
      <c r="K111" s="20"/>
      <c r="L111" s="20"/>
      <c r="M111" s="20"/>
    </row>
    <row r="112" spans="1:19" s="18" customFormat="1" outlineLevel="1" collapsed="1" x14ac:dyDescent="0.2">
      <c r="A112" s="7"/>
      <c r="B112" s="17" t="s">
        <v>61</v>
      </c>
      <c r="C112" s="22">
        <f t="shared" ref="C112:J112" si="25">C93-C111</f>
        <v>0</v>
      </c>
      <c r="D112" s="22">
        <f t="shared" si="25"/>
        <v>0</v>
      </c>
      <c r="E112" s="22">
        <f t="shared" si="25"/>
        <v>0</v>
      </c>
      <c r="F112" s="22">
        <f t="shared" si="25"/>
        <v>0</v>
      </c>
      <c r="G112" s="22">
        <f t="shared" si="25"/>
        <v>0</v>
      </c>
      <c r="H112" s="22">
        <f t="shared" si="25"/>
        <v>0</v>
      </c>
      <c r="I112" s="22">
        <f t="shared" si="25"/>
        <v>0</v>
      </c>
      <c r="J112" s="22">
        <f t="shared" si="25"/>
        <v>0</v>
      </c>
      <c r="K112" s="26"/>
      <c r="L112" s="26"/>
      <c r="M112" s="26"/>
      <c r="O112" s="7"/>
      <c r="S112" s="7"/>
    </row>
    <row r="113" spans="1:19" x14ac:dyDescent="0.2">
      <c r="B113" s="8"/>
      <c r="F113" s="8"/>
      <c r="G113" s="8"/>
      <c r="H113" s="8"/>
      <c r="I113" s="8"/>
      <c r="J113" s="8"/>
      <c r="K113" s="8"/>
      <c r="L113" s="8"/>
      <c r="M113" s="8"/>
    </row>
    <row r="114" spans="1:19" s="14" customFormat="1" ht="17" thickBot="1" x14ac:dyDescent="0.25">
      <c r="A114" s="4"/>
      <c r="B114" s="15" t="s">
        <v>63</v>
      </c>
      <c r="K114" s="4"/>
      <c r="L114" s="4"/>
      <c r="M114" s="4"/>
      <c r="O114" s="4"/>
      <c r="S114" s="4"/>
    </row>
    <row r="115" spans="1:19" outlineLevel="1" x14ac:dyDescent="0.2">
      <c r="B115" s="9" t="s">
        <v>4</v>
      </c>
      <c r="C115" s="27"/>
      <c r="D115" s="27"/>
      <c r="E115" s="27"/>
      <c r="F115" s="27"/>
      <c r="G115" s="27"/>
      <c r="H115" s="27"/>
      <c r="I115" s="27"/>
      <c r="J115" s="27"/>
      <c r="K115" s="20"/>
      <c r="L115" s="20"/>
      <c r="M115" s="20"/>
    </row>
    <row r="116" spans="1:19" outlineLevel="1" x14ac:dyDescent="0.2">
      <c r="B116" s="12" t="s">
        <v>69</v>
      </c>
      <c r="C116" s="28"/>
      <c r="D116" s="28"/>
      <c r="E116" s="28"/>
      <c r="F116" s="28"/>
      <c r="G116" s="28"/>
      <c r="H116" s="28"/>
      <c r="I116" s="28"/>
      <c r="J116" s="28"/>
      <c r="K116" s="8"/>
      <c r="L116" s="8"/>
      <c r="M116" s="8"/>
    </row>
    <row r="117" spans="1:19" x14ac:dyDescent="0.2">
      <c r="B117" s="1"/>
    </row>
    <row r="118" spans="1:19" s="63" customFormat="1" ht="17" thickBot="1" x14ac:dyDescent="0.25">
      <c r="A118" s="1"/>
      <c r="B118" s="15" t="s">
        <v>83</v>
      </c>
      <c r="C118" s="65"/>
      <c r="D118" s="65"/>
      <c r="E118" s="65"/>
      <c r="F118" s="65"/>
      <c r="G118" s="65"/>
      <c r="H118" s="65"/>
      <c r="I118" s="65"/>
      <c r="J118" s="65"/>
      <c r="K118" s="1"/>
      <c r="L118" s="1"/>
      <c r="M118" s="1"/>
      <c r="O118" s="4"/>
      <c r="S118" s="4"/>
    </row>
    <row r="119" spans="1:19" outlineLevel="1" x14ac:dyDescent="0.2">
      <c r="B119" s="9" t="s">
        <v>76</v>
      </c>
      <c r="C119" s="27"/>
      <c r="D119" s="27"/>
      <c r="E119" s="27"/>
      <c r="F119" s="27"/>
      <c r="G119" s="27"/>
      <c r="H119" s="27"/>
      <c r="I119" s="27"/>
      <c r="J119" s="27"/>
    </row>
    <row r="120" spans="1:19" outlineLevel="1" x14ac:dyDescent="0.2">
      <c r="B120" s="9" t="s">
        <v>77</v>
      </c>
      <c r="C120" s="27"/>
      <c r="D120" s="27"/>
      <c r="E120" s="27"/>
      <c r="F120" s="27"/>
      <c r="G120" s="27"/>
      <c r="H120" s="27"/>
      <c r="I120" s="27"/>
      <c r="J120" s="27"/>
    </row>
    <row r="121" spans="1:19" outlineLevel="1" x14ac:dyDescent="0.2">
      <c r="B121" s="9" t="s">
        <v>81</v>
      </c>
      <c r="C121" s="34"/>
      <c r="D121" s="34"/>
      <c r="E121" s="34"/>
      <c r="F121" s="34"/>
      <c r="G121" s="34"/>
      <c r="H121" s="34"/>
      <c r="I121" s="34"/>
      <c r="J121" s="34"/>
    </row>
    <row r="122" spans="1:19" outlineLevel="1" x14ac:dyDescent="0.2">
      <c r="B122" s="9" t="s">
        <v>78</v>
      </c>
      <c r="C122" s="64"/>
      <c r="D122" s="64"/>
      <c r="E122" s="64"/>
      <c r="F122" s="64"/>
      <c r="G122" s="64"/>
      <c r="H122" s="64"/>
      <c r="I122" s="64"/>
      <c r="J122" s="64"/>
    </row>
    <row r="123" spans="1:19" outlineLevel="1" x14ac:dyDescent="0.2">
      <c r="B123" s="9" t="s">
        <v>79</v>
      </c>
      <c r="C123" s="31"/>
      <c r="D123" s="31"/>
      <c r="E123" s="31"/>
      <c r="F123" s="31"/>
      <c r="G123" s="31"/>
      <c r="H123" s="31"/>
      <c r="I123" s="31"/>
      <c r="J123" s="31"/>
    </row>
    <row r="124" spans="1:19" outlineLevel="1" x14ac:dyDescent="0.2">
      <c r="B124" s="9" t="s">
        <v>80</v>
      </c>
      <c r="C124" s="31"/>
      <c r="D124" s="31"/>
      <c r="E124" s="31"/>
      <c r="F124" s="31"/>
      <c r="G124" s="31"/>
      <c r="H124" s="31"/>
      <c r="I124" s="31"/>
      <c r="J124" s="31"/>
    </row>
    <row r="125" spans="1:19" outlineLevel="1" x14ac:dyDescent="0.2">
      <c r="B125" s="9" t="s">
        <v>82</v>
      </c>
      <c r="C125" s="25"/>
      <c r="D125" s="25"/>
      <c r="E125" s="25"/>
      <c r="F125" s="25"/>
      <c r="G125" s="25"/>
      <c r="H125" s="25"/>
      <c r="I125" s="25"/>
      <c r="J125" s="25"/>
      <c r="K125" s="20"/>
      <c r="L125" s="20"/>
      <c r="M125" s="20"/>
    </row>
    <row r="126" spans="1:19" outlineLevel="1" x14ac:dyDescent="0.2">
      <c r="B126" s="12" t="s">
        <v>78</v>
      </c>
      <c r="C126" s="64"/>
      <c r="D126" s="64"/>
      <c r="E126" s="64"/>
      <c r="F126" s="64"/>
      <c r="G126" s="64"/>
      <c r="H126" s="64"/>
      <c r="I126" s="64"/>
      <c r="J126" s="64"/>
      <c r="K126" s="8"/>
      <c r="L126" s="8"/>
      <c r="M126" s="8"/>
    </row>
    <row r="127" spans="1:19" outlineLevel="1" x14ac:dyDescent="0.2">
      <c r="B127" s="12"/>
      <c r="C127" s="25"/>
      <c r="D127" s="25"/>
      <c r="E127" s="25"/>
      <c r="F127" s="25"/>
      <c r="G127" s="25"/>
      <c r="H127" s="25"/>
      <c r="I127" s="25"/>
      <c r="J127" s="25"/>
      <c r="K127" s="8"/>
      <c r="L127" s="8"/>
      <c r="M127" s="8"/>
    </row>
    <row r="128" spans="1:19" x14ac:dyDescent="0.2">
      <c r="B128" s="1"/>
    </row>
    <row r="129" spans="1:19" s="14" customFormat="1" ht="17" thickBot="1" x14ac:dyDescent="0.25">
      <c r="A129" s="4"/>
      <c r="B129" s="15" t="s">
        <v>104</v>
      </c>
      <c r="K129" s="8"/>
      <c r="L129" s="8"/>
      <c r="M129" s="8"/>
      <c r="O129" s="1"/>
      <c r="S129" s="1"/>
    </row>
    <row r="130" spans="1:19" x14ac:dyDescent="0.2">
      <c r="C130" s="34"/>
      <c r="D130" s="34"/>
      <c r="E130" s="34"/>
      <c r="F130" s="34"/>
      <c r="G130" s="34"/>
      <c r="H130" s="34"/>
      <c r="I130" s="34"/>
      <c r="J130" s="34"/>
    </row>
    <row r="131" spans="1:19" x14ac:dyDescent="0.2">
      <c r="B131" s="1"/>
    </row>
    <row r="132" spans="1:19" s="14" customFormat="1" ht="17" thickBot="1" x14ac:dyDescent="0.25">
      <c r="A132" s="4"/>
      <c r="B132" s="15" t="s">
        <v>103</v>
      </c>
      <c r="K132" s="8"/>
      <c r="L132" s="8"/>
      <c r="M132" s="8"/>
      <c r="O132" s="1"/>
      <c r="S132" s="88"/>
    </row>
    <row r="133" spans="1:19" x14ac:dyDescent="0.2">
      <c r="C133" s="27"/>
      <c r="D133" s="27"/>
      <c r="E133" s="27"/>
      <c r="F133" s="27"/>
      <c r="G133" s="27"/>
      <c r="H133" s="27"/>
      <c r="I133" s="27"/>
      <c r="J133" s="27"/>
    </row>
    <row r="134" spans="1:19" x14ac:dyDescent="0.2">
      <c r="B134" s="1"/>
    </row>
    <row r="135" spans="1:19" s="14" customFormat="1" ht="17" thickBot="1" x14ac:dyDescent="0.25">
      <c r="A135" s="4"/>
      <c r="B135" s="15" t="s">
        <v>105</v>
      </c>
      <c r="K135" s="1"/>
      <c r="L135" s="1"/>
      <c r="M135" s="1"/>
    </row>
    <row r="136" spans="1:19" x14ac:dyDescent="0.2">
      <c r="C136" s="87"/>
      <c r="D136" s="87"/>
      <c r="E136" s="87"/>
      <c r="F136" s="87"/>
      <c r="G136" s="87"/>
      <c r="H136" s="87"/>
      <c r="I136" s="87"/>
      <c r="J136" s="87"/>
    </row>
    <row r="137" spans="1:19" x14ac:dyDescent="0.2">
      <c r="C137" s="86"/>
      <c r="D137" s="86"/>
      <c r="E137" s="86"/>
      <c r="F137" s="86"/>
      <c r="G137" s="86"/>
      <c r="H137" s="86"/>
      <c r="I137" s="86"/>
      <c r="J137" s="86"/>
    </row>
    <row r="138" spans="1:19" x14ac:dyDescent="0.2">
      <c r="C138" s="86"/>
      <c r="D138" s="86"/>
      <c r="E138" s="86"/>
      <c r="F138" s="86"/>
      <c r="G138" s="86"/>
      <c r="H138" s="86"/>
      <c r="I138" s="86"/>
      <c r="J138" s="86"/>
    </row>
    <row r="139" spans="1:19" x14ac:dyDescent="0.2">
      <c r="C139" s="87"/>
      <c r="D139" s="87"/>
      <c r="E139" s="87"/>
      <c r="F139" s="87"/>
      <c r="G139" s="87"/>
      <c r="H139" s="87"/>
      <c r="I139" s="87"/>
      <c r="J139" s="87"/>
      <c r="K139" s="87"/>
    </row>
  </sheetData>
  <mergeCells count="1">
    <mergeCell ref="P4:R4"/>
  </mergeCells>
  <phoneticPr fontId="5" type="noConversion"/>
  <pageMargins left="0.7" right="0.7" top="0.75" bottom="0.75" header="0.3" footer="0.3"/>
  <ignoredErrors>
    <ignoredError sqref="C47:J47 C107:J107 C36:J36 N5:N6 N12:N13 H109 N8:N9 N10 N14:N1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743E-AC47-8C49-8C34-0B3490403CB1}">
  <dimension ref="B2:R98"/>
  <sheetViews>
    <sheetView zoomScale="168" workbookViewId="0">
      <pane xSplit="2" ySplit="3" topLeftCell="C91" activePane="bottomRight" state="frozen"/>
      <selection pane="topRight" activeCell="C1" sqref="C1"/>
      <selection pane="bottomLeft" activeCell="A4" sqref="A4"/>
      <selection pane="bottomRight" activeCell="R13" sqref="R13"/>
    </sheetView>
  </sheetViews>
  <sheetFormatPr baseColWidth="10" defaultRowHeight="16" outlineLevelRow="1" outlineLevelCol="1" x14ac:dyDescent="0.2"/>
  <cols>
    <col min="1" max="1" width="3.6640625" style="1" customWidth="1"/>
    <col min="2" max="2" width="32.5" style="1" customWidth="1"/>
    <col min="3" max="7" width="10.83203125" style="1"/>
    <col min="8" max="8" width="4" style="1" customWidth="1"/>
    <col min="9" max="16" width="10.83203125" style="1" outlineLevel="1"/>
    <col min="17" max="17" width="4" style="1" customWidth="1"/>
    <col min="18" max="16384" width="10.83203125" style="1"/>
  </cols>
  <sheetData>
    <row r="2" spans="2:18" x14ac:dyDescent="0.2">
      <c r="B2" s="61" t="s">
        <v>0</v>
      </c>
      <c r="C2" s="3" t="str">
        <f>'Statement Y'!C2</f>
        <v>31.12.2021</v>
      </c>
      <c r="D2" s="3" t="str">
        <f>'Statement Y'!D2</f>
        <v>31.12.2022</v>
      </c>
      <c r="E2" s="3" t="str">
        <f>'Statement Y'!E2</f>
        <v>31.12.2023</v>
      </c>
      <c r="F2" s="3" t="str">
        <f>'Statement Y'!F2</f>
        <v>31.12.2024</v>
      </c>
      <c r="G2" s="3" t="str">
        <f>'Statement Y'!G2</f>
        <v>31.12.2025</v>
      </c>
      <c r="I2" s="3" t="str">
        <f>'Statement Q'!C2</f>
        <v>31.03.2024</v>
      </c>
      <c r="J2" s="3" t="str">
        <f>'Statement Q'!D2</f>
        <v>30.06.2024</v>
      </c>
      <c r="K2" s="3" t="str">
        <f>'Statement Q'!E2</f>
        <v>30.09.2024</v>
      </c>
      <c r="L2" s="3" t="str">
        <f>'Statement Q'!F2</f>
        <v>31.12.2024</v>
      </c>
      <c r="M2" s="3" t="str">
        <f>'Statement Q'!G2</f>
        <v>31.03.2025</v>
      </c>
      <c r="N2" s="3" t="str">
        <f>'Statement Q'!H2</f>
        <v>30.06.2025</v>
      </c>
      <c r="O2" s="3" t="str">
        <f>'Statement Q'!I2</f>
        <v>30.09.2025</v>
      </c>
      <c r="P2" s="3" t="str">
        <f>'Statement Q'!J2</f>
        <v>31.12.2025</v>
      </c>
      <c r="R2" s="3"/>
    </row>
    <row r="3" spans="2:18" x14ac:dyDescent="0.2">
      <c r="B3" s="62" t="s">
        <v>1</v>
      </c>
      <c r="C3" s="3">
        <f>'Statement Y'!C3</f>
        <v>2021</v>
      </c>
      <c r="D3" s="3">
        <f>'Statement Y'!D3</f>
        <v>2022</v>
      </c>
      <c r="E3" s="3">
        <f>'Statement Y'!E3</f>
        <v>2023</v>
      </c>
      <c r="F3" s="3">
        <f>'Statement Y'!F3</f>
        <v>2024</v>
      </c>
      <c r="G3" s="3">
        <f>'Statement Y'!G3</f>
        <v>2025</v>
      </c>
      <c r="I3" s="3" t="str">
        <f>'Statement Q'!C3</f>
        <v>Q1 2024</v>
      </c>
      <c r="J3" s="3" t="str">
        <f>'Statement Q'!D3</f>
        <v>Q2 2024</v>
      </c>
      <c r="K3" s="3" t="str">
        <f>'Statement Q'!E3</f>
        <v>Q3 2024</v>
      </c>
      <c r="L3" s="3" t="str">
        <f>'Statement Q'!F3</f>
        <v>Q4 2024</v>
      </c>
      <c r="M3" s="3" t="str">
        <f>'Statement Q'!G3</f>
        <v>Q1 2025</v>
      </c>
      <c r="N3" s="3" t="str">
        <f>'Statement Q'!H3</f>
        <v>Q2 2025</v>
      </c>
      <c r="O3" s="3" t="str">
        <f>'Statement Q'!I3</f>
        <v>Q3 2025</v>
      </c>
      <c r="P3" s="3" t="str">
        <f>'Statement Q'!J3</f>
        <v>Q4 2025</v>
      </c>
      <c r="R3" s="3" t="s">
        <v>73</v>
      </c>
    </row>
    <row r="4" spans="2:18" ht="17" thickBot="1" x14ac:dyDescent="0.25">
      <c r="B4" s="15" t="s">
        <v>5</v>
      </c>
      <c r="C4" s="14"/>
      <c r="D4" s="14"/>
      <c r="E4" s="14"/>
      <c r="F4" s="14"/>
      <c r="G4" s="14"/>
      <c r="I4" s="14"/>
      <c r="J4" s="14"/>
      <c r="K4" s="14"/>
      <c r="L4" s="14"/>
      <c r="M4" s="14"/>
      <c r="N4" s="14"/>
      <c r="O4" s="14"/>
      <c r="P4" s="38"/>
      <c r="R4" s="14"/>
    </row>
    <row r="5" spans="2:18" outlineLevel="1" x14ac:dyDescent="0.2">
      <c r="B5" s="17" t="s">
        <v>6</v>
      </c>
      <c r="C5" s="94">
        <f>'Statement Y'!C5</f>
        <v>3726994</v>
      </c>
      <c r="D5" s="94">
        <f>'Statement Y'!D5</f>
        <v>3717366</v>
      </c>
      <c r="E5" s="94">
        <f>'Statement Y'!E5</f>
        <v>4253710</v>
      </c>
      <c r="F5" s="94">
        <f>'Statement Y'!F5</f>
        <v>5528639</v>
      </c>
      <c r="G5" s="94">
        <f>'Statement Y'!G5</f>
        <v>6399188</v>
      </c>
      <c r="I5" s="94">
        <f>'Statement Q'!C5</f>
        <v>1066228</v>
      </c>
      <c r="J5" s="94">
        <f>'Statement Q'!D5</f>
        <v>1248658</v>
      </c>
      <c r="K5" s="94">
        <f>'Statement Q'!E5</f>
        <v>1426566</v>
      </c>
      <c r="L5" s="94">
        <f>'Statement Q'!F5</f>
        <v>1787187</v>
      </c>
      <c r="M5" s="94">
        <f>'Statement Q'!G5</f>
        <v>1222638</v>
      </c>
      <c r="N5" s="94">
        <f>'Statement Q'!H5</f>
        <v>1444876</v>
      </c>
      <c r="O5" s="94">
        <f>'Statement Q'!I5</f>
        <v>1630240</v>
      </c>
      <c r="P5" s="94">
        <f>'Statement Q'!J5</f>
        <v>2101434</v>
      </c>
      <c r="R5" s="94">
        <f>SUM(M5:P5)</f>
        <v>6399188</v>
      </c>
    </row>
    <row r="6" spans="2:18" outlineLevel="1" x14ac:dyDescent="0.2">
      <c r="B6" s="9" t="s">
        <v>7</v>
      </c>
      <c r="C6" s="95">
        <f>'Statement Y'!C6</f>
        <v>2288810</v>
      </c>
      <c r="D6" s="95">
        <f>'Statement Y'!D6</f>
        <v>2307172</v>
      </c>
      <c r="E6" s="95">
        <f>'Statement Y'!E6</f>
        <v>2345858</v>
      </c>
      <c r="F6" s="95">
        <f>'Statement Y'!F6</f>
        <v>2866648</v>
      </c>
      <c r="G6" s="95">
        <f>'Statement Y'!G6</f>
        <v>3262698</v>
      </c>
      <c r="I6" s="95">
        <f>'Statement Q'!C6</f>
        <v>539611</v>
      </c>
      <c r="J6" s="95">
        <f>'Statement Q'!D6</f>
        <v>647759</v>
      </c>
      <c r="K6" s="95">
        <f>'Statement Q'!E6</f>
        <v>731559</v>
      </c>
      <c r="L6" s="95">
        <f>'Statement Q'!F6</f>
        <v>947719</v>
      </c>
      <c r="M6" s="95">
        <f>'Statement Q'!G6</f>
        <v>619412</v>
      </c>
      <c r="N6" s="95">
        <f>'Statement Q'!H6</f>
        <v>736709</v>
      </c>
      <c r="O6" s="95">
        <f>'Statement Q'!I6</f>
        <v>812771</v>
      </c>
      <c r="P6" s="95">
        <f>'Statement Q'!J6</f>
        <v>1093806</v>
      </c>
      <c r="R6" s="95">
        <f t="shared" ref="R6:R20" si="0">SUM(M6:P6)</f>
        <v>3262698</v>
      </c>
    </row>
    <row r="7" spans="2:18" outlineLevel="1" x14ac:dyDescent="0.2">
      <c r="B7" s="17" t="s">
        <v>8</v>
      </c>
      <c r="C7" s="94">
        <f>'Statement Y'!C7</f>
        <v>1438184</v>
      </c>
      <c r="D7" s="94">
        <f>'Statement Y'!D7</f>
        <v>1410194</v>
      </c>
      <c r="E7" s="94">
        <f>'Statement Y'!E7</f>
        <v>1907852</v>
      </c>
      <c r="F7" s="94">
        <f>'Statement Y'!F7</f>
        <v>2661991</v>
      </c>
      <c r="G7" s="94">
        <f>'Statement Y'!G7</f>
        <v>3136490</v>
      </c>
      <c r="I7" s="94">
        <f>'Statement Q'!C7</f>
        <v>526617</v>
      </c>
      <c r="J7" s="94">
        <f>'Statement Q'!D7</f>
        <v>600899</v>
      </c>
      <c r="K7" s="94">
        <f>'Statement Q'!E7</f>
        <v>695007</v>
      </c>
      <c r="L7" s="94">
        <f>'Statement Q'!F7</f>
        <v>839468</v>
      </c>
      <c r="M7" s="94">
        <f>'Statement Q'!G7</f>
        <v>603226</v>
      </c>
      <c r="N7" s="94">
        <f>'Statement Q'!H7</f>
        <v>708167</v>
      </c>
      <c r="O7" s="94">
        <f>'Statement Q'!I7</f>
        <v>817469</v>
      </c>
      <c r="P7" s="94">
        <f>'Statement Q'!J7</f>
        <v>1007628</v>
      </c>
      <c r="R7" s="94">
        <f t="shared" si="0"/>
        <v>3136490</v>
      </c>
    </row>
    <row r="8" spans="2:18" outlineLevel="1" x14ac:dyDescent="0.2">
      <c r="B8" s="12" t="s">
        <v>9</v>
      </c>
      <c r="C8" s="95">
        <f>'Statement Y'!C8</f>
        <v>200641</v>
      </c>
      <c r="D8" s="95">
        <f>'Statement Y'!D8</f>
        <v>215660</v>
      </c>
      <c r="E8" s="95">
        <f>'Statement Y'!E8</f>
        <v>249387</v>
      </c>
      <c r="F8" s="95">
        <f>'Statement Y'!F8</f>
        <v>341289</v>
      </c>
      <c r="G8" s="95">
        <f>'Statement Y'!G8</f>
        <v>368073</v>
      </c>
      <c r="I8" s="95">
        <f>'Statement Q'!C8</f>
        <v>69596</v>
      </c>
      <c r="J8" s="95">
        <f>'Statement Q'!D8</f>
        <v>90053</v>
      </c>
      <c r="K8" s="95">
        <f>'Statement Q'!E8</f>
        <v>94808</v>
      </c>
      <c r="L8" s="95">
        <f>'Statement Q'!F8</f>
        <v>86832</v>
      </c>
      <c r="M8" s="95">
        <f>'Statement Q'!G8</f>
        <v>87603</v>
      </c>
      <c r="N8" s="95">
        <f>'Statement Q'!H8</f>
        <v>89409</v>
      </c>
      <c r="O8" s="95">
        <f>'Statement Q'!I8</f>
        <v>92826</v>
      </c>
      <c r="P8" s="95">
        <f>'Statement Q'!J8</f>
        <v>98235</v>
      </c>
      <c r="R8" s="95">
        <f t="shared" si="0"/>
        <v>368073</v>
      </c>
    </row>
    <row r="9" spans="2:18" outlineLevel="1" x14ac:dyDescent="0.2">
      <c r="B9" s="12" t="s">
        <v>93</v>
      </c>
      <c r="C9" s="95">
        <f>'Statement Y'!C9</f>
        <v>619162</v>
      </c>
      <c r="D9" s="95">
        <f>'Statement Y'!D9</f>
        <v>621953</v>
      </c>
      <c r="E9" s="95">
        <f>'Statement Y'!E9</f>
        <v>897585</v>
      </c>
      <c r="F9" s="95">
        <f>'Statement Y'!F9</f>
        <v>1243145</v>
      </c>
      <c r="G9" s="95">
        <f>'Statement Y'!G9</f>
        <v>1458027</v>
      </c>
      <c r="I9" s="95">
        <f>'Statement Q'!C9</f>
        <v>214568</v>
      </c>
      <c r="J9" s="95">
        <f>'Statement Q'!D9</f>
        <v>303185</v>
      </c>
      <c r="K9" s="95">
        <f>'Statement Q'!E9</f>
        <v>300841</v>
      </c>
      <c r="L9" s="95">
        <f>'Statement Q'!F9</f>
        <v>424551</v>
      </c>
      <c r="M9" s="95">
        <f>'Statement Q'!G9</f>
        <v>275737</v>
      </c>
      <c r="N9" s="95">
        <f>'Statement Q'!H9</f>
        <v>357720</v>
      </c>
      <c r="O9" s="95">
        <f>'Statement Q'!I9</f>
        <v>365919</v>
      </c>
      <c r="P9" s="95">
        <f>'Statement Q'!J9</f>
        <v>458651</v>
      </c>
      <c r="R9" s="95">
        <f t="shared" si="0"/>
        <v>1458027</v>
      </c>
    </row>
    <row r="10" spans="2:18" outlineLevel="1" x14ac:dyDescent="0.2">
      <c r="B10" s="12" t="s">
        <v>94</v>
      </c>
      <c r="C10" s="95">
        <f>'Statement Y'!C10</f>
        <v>180124</v>
      </c>
      <c r="D10" s="95">
        <f>'Statement Y'!D10</f>
        <v>251207</v>
      </c>
      <c r="E10" s="95">
        <f>'Statement Y'!E10</f>
        <v>387316</v>
      </c>
      <c r="F10" s="95">
        <f>'Statement Y'!F10</f>
        <v>433395</v>
      </c>
      <c r="G10" s="95">
        <f>'Statement Y'!G10</f>
        <v>390109</v>
      </c>
      <c r="I10" s="95">
        <f>'Statement Q'!C10</f>
        <v>87511</v>
      </c>
      <c r="J10" s="95">
        <f>'Statement Q'!D10</f>
        <v>103825</v>
      </c>
      <c r="K10" s="95">
        <f>'Statement Q'!E10</f>
        <v>119096</v>
      </c>
      <c r="L10" s="95">
        <f>'Statement Q'!F10</f>
        <v>122963</v>
      </c>
      <c r="M10" s="95">
        <f>'Statement Q'!G10</f>
        <v>94940</v>
      </c>
      <c r="N10" s="95">
        <f>'Statement Q'!H10</f>
        <v>92391</v>
      </c>
      <c r="O10" s="95">
        <f>'Statement Q'!I10</f>
        <v>95833</v>
      </c>
      <c r="P10" s="95">
        <f>'Statement Q'!J10</f>
        <v>106945</v>
      </c>
      <c r="R10" s="95">
        <f t="shared" si="0"/>
        <v>390109</v>
      </c>
    </row>
    <row r="11" spans="2:18" outlineLevel="1" x14ac:dyDescent="0.2">
      <c r="B11" s="12" t="s">
        <v>10</v>
      </c>
      <c r="C11" s="95">
        <f>'Statement Y'!C11</f>
        <v>999927</v>
      </c>
      <c r="D11" s="95">
        <f>'Statement Y'!D11</f>
        <v>1088820</v>
      </c>
      <c r="E11" s="95">
        <f>'Statement Y'!E11</f>
        <v>1534288</v>
      </c>
      <c r="F11" s="95">
        <f>'Statement Y'!F11</f>
        <v>2017829</v>
      </c>
      <c r="G11" s="95">
        <f>'Statement Y'!G11</f>
        <v>2216209</v>
      </c>
      <c r="I11" s="95">
        <f>'Statement Q'!C11</f>
        <v>371675</v>
      </c>
      <c r="J11" s="95">
        <f>'Statement Q'!D11</f>
        <v>497063</v>
      </c>
      <c r="K11" s="95">
        <f>'Statement Q'!E11</f>
        <v>514745</v>
      </c>
      <c r="L11" s="95">
        <f>'Statement Q'!F11</f>
        <v>634346</v>
      </c>
      <c r="M11" s="95">
        <f>'Statement Q'!G11</f>
        <v>458280</v>
      </c>
      <c r="N11" s="95">
        <f>'Statement Q'!H11</f>
        <v>539520</v>
      </c>
      <c r="O11" s="95">
        <f>'Statement Q'!I11</f>
        <v>554578</v>
      </c>
      <c r="P11" s="95">
        <f>'Statement Q'!J11</f>
        <v>663831</v>
      </c>
      <c r="R11" s="95">
        <f t="shared" si="0"/>
        <v>2216209</v>
      </c>
    </row>
    <row r="12" spans="2:18" outlineLevel="1" x14ac:dyDescent="0.2">
      <c r="B12" s="17" t="s">
        <v>11</v>
      </c>
      <c r="C12" s="94">
        <f>'Statement Y'!C12</f>
        <v>438257</v>
      </c>
      <c r="D12" s="94">
        <f>'Statement Y'!D12</f>
        <v>321374</v>
      </c>
      <c r="E12" s="94">
        <f>'Statement Y'!E12</f>
        <v>373564</v>
      </c>
      <c r="F12" s="94">
        <f>'Statement Y'!F12</f>
        <v>644162</v>
      </c>
      <c r="G12" s="94">
        <f>'Statement Y'!G12</f>
        <v>920281</v>
      </c>
      <c r="I12" s="94">
        <f>'Statement Q'!C12</f>
        <v>154942</v>
      </c>
      <c r="J12" s="94">
        <f>'Statement Q'!D12</f>
        <v>103836</v>
      </c>
      <c r="K12" s="94">
        <f>'Statement Q'!E12</f>
        <v>180262</v>
      </c>
      <c r="L12" s="94">
        <f>'Statement Q'!F12</f>
        <v>205122</v>
      </c>
      <c r="M12" s="94">
        <f>'Statement Q'!G12</f>
        <v>144946</v>
      </c>
      <c r="N12" s="94">
        <f>'Statement Q'!H12</f>
        <v>168647</v>
      </c>
      <c r="O12" s="94">
        <f>'Statement Q'!I12</f>
        <v>262891</v>
      </c>
      <c r="P12" s="94">
        <f>'Statement Q'!J12</f>
        <v>343797</v>
      </c>
      <c r="R12" s="94">
        <f t="shared" si="0"/>
        <v>920281</v>
      </c>
    </row>
    <row r="13" spans="2:18" outlineLevel="1" x14ac:dyDescent="0.2">
      <c r="B13" s="78" t="s">
        <v>176</v>
      </c>
      <c r="C13" s="110">
        <f>C12+C57</f>
        <v>516440</v>
      </c>
      <c r="D13" s="110">
        <f t="shared" ref="D13:G13" si="1">D12+D57</f>
        <v>408082</v>
      </c>
      <c r="E13" s="110">
        <f t="shared" si="1"/>
        <v>477385</v>
      </c>
      <c r="F13" s="110">
        <f t="shared" si="1"/>
        <v>767271</v>
      </c>
      <c r="G13" s="110">
        <f t="shared" si="1"/>
        <v>1059912</v>
      </c>
      <c r="I13" s="110">
        <f>I12+I57</f>
        <v>154942</v>
      </c>
      <c r="J13" s="110">
        <f t="shared" ref="J13:P13" si="2">J12+J57</f>
        <v>103836</v>
      </c>
      <c r="K13" s="110">
        <f t="shared" si="2"/>
        <v>180262</v>
      </c>
      <c r="L13" s="110">
        <f t="shared" si="2"/>
        <v>205122</v>
      </c>
      <c r="M13" s="110">
        <f t="shared" si="2"/>
        <v>176892</v>
      </c>
      <c r="N13" s="110">
        <f t="shared" si="2"/>
        <v>203718</v>
      </c>
      <c r="O13" s="110">
        <f t="shared" si="2"/>
        <v>296564</v>
      </c>
      <c r="P13" s="110">
        <f t="shared" si="2"/>
        <v>382738</v>
      </c>
      <c r="R13" s="110">
        <f>SUM(M13:P13)</f>
        <v>1059912</v>
      </c>
    </row>
    <row r="14" spans="2:18" outlineLevel="1" x14ac:dyDescent="0.2">
      <c r="B14" s="12" t="s">
        <v>106</v>
      </c>
      <c r="C14" s="95">
        <f>'Statement Y'!C13</f>
        <v>-16287</v>
      </c>
      <c r="D14" s="95">
        <f>'Statement Y'!D13</f>
        <v>-27021</v>
      </c>
      <c r="E14" s="95">
        <f>'Statement Y'!E13</f>
        <v>-44909</v>
      </c>
      <c r="F14" s="95">
        <f>'Statement Y'!F13</f>
        <v>-63715</v>
      </c>
      <c r="G14" s="95">
        <f>'Statement Y'!G13</f>
        <v>-48600</v>
      </c>
      <c r="I14" s="95">
        <f>'Statement Q'!C13</f>
        <v>-14722</v>
      </c>
      <c r="J14" s="95">
        <f>'Statement Q'!D13</f>
        <v>-14844</v>
      </c>
      <c r="K14" s="95">
        <f>'Statement Q'!E13</f>
        <v>-16916</v>
      </c>
      <c r="L14" s="95">
        <f>'Statement Q'!F13</f>
        <v>-17233</v>
      </c>
      <c r="M14" s="95">
        <f>'Statement Q'!G13</f>
        <v>-12629</v>
      </c>
      <c r="N14" s="95">
        <f>'Statement Q'!H13</f>
        <v>-13765</v>
      </c>
      <c r="O14" s="95">
        <f>'Statement Q'!I13</f>
        <v>-12782</v>
      </c>
      <c r="P14" s="95">
        <f>'Statement Q'!J13</f>
        <v>-9424</v>
      </c>
      <c r="R14" s="95">
        <f t="shared" si="0"/>
        <v>-48600</v>
      </c>
    </row>
    <row r="15" spans="2:18" outlineLevel="1" x14ac:dyDescent="0.2">
      <c r="B15" s="12" t="s">
        <v>100</v>
      </c>
      <c r="C15" s="95">
        <f>'Statement Y'!C14</f>
        <v>-7644</v>
      </c>
      <c r="D15" s="95">
        <f>'Statement Y'!D14</f>
        <v>7631</v>
      </c>
      <c r="E15" s="95">
        <f>'Statement Y'!E14</f>
        <v>-35427</v>
      </c>
      <c r="F15" s="95">
        <f>'Statement Y'!F14</f>
        <v>-7980</v>
      </c>
      <c r="G15" s="95">
        <f>'Statement Y'!G14</f>
        <v>28597</v>
      </c>
      <c r="I15" s="95">
        <f>'Statement Q'!C14</f>
        <v>3248</v>
      </c>
      <c r="J15" s="95">
        <f>'Statement Q'!D14</f>
        <v>689</v>
      </c>
      <c r="K15" s="95">
        <f>'Statement Q'!E14</f>
        <v>11031</v>
      </c>
      <c r="L15" s="95">
        <f>'Statement Q'!F14</f>
        <v>-22948</v>
      </c>
      <c r="M15" s="95">
        <f>'Statement Q'!G14</f>
        <v>13216</v>
      </c>
      <c r="N15" s="95">
        <f>'Statement Q'!H14</f>
        <v>26003</v>
      </c>
      <c r="O15" s="95">
        <f>'Statement Q'!I14</f>
        <v>-6116</v>
      </c>
      <c r="P15" s="95">
        <f>'Statement Q'!J14</f>
        <v>-4506</v>
      </c>
      <c r="R15" s="95">
        <f t="shared" si="0"/>
        <v>28597</v>
      </c>
    </row>
    <row r="16" spans="2:18" outlineLevel="1" x14ac:dyDescent="0.2">
      <c r="B16" s="17" t="s">
        <v>12</v>
      </c>
      <c r="C16" s="94">
        <f>'Statement Y'!C15</f>
        <v>414326</v>
      </c>
      <c r="D16" s="94">
        <f>'Statement Y'!D15</f>
        <v>301984</v>
      </c>
      <c r="E16" s="94">
        <f>'Statement Y'!E15</f>
        <v>293228</v>
      </c>
      <c r="F16" s="94">
        <f>'Statement Y'!F15</f>
        <v>572467</v>
      </c>
      <c r="G16" s="94">
        <f>'Statement Y'!G15</f>
        <v>900278</v>
      </c>
      <c r="I16" s="94">
        <f>'Statement Q'!C15</f>
        <v>143468</v>
      </c>
      <c r="J16" s="94">
        <f>'Statement Q'!D15</f>
        <v>89681</v>
      </c>
      <c r="K16" s="94">
        <f>'Statement Q'!E15</f>
        <v>174377</v>
      </c>
      <c r="L16" s="94">
        <f>'Statement Q'!F15</f>
        <v>164941</v>
      </c>
      <c r="M16" s="94">
        <f>'Statement Q'!G15</f>
        <v>145533</v>
      </c>
      <c r="N16" s="94">
        <f>'Statement Q'!H15</f>
        <v>180885</v>
      </c>
      <c r="O16" s="94">
        <f>'Statement Q'!I15</f>
        <v>243993</v>
      </c>
      <c r="P16" s="94">
        <f>'Statement Q'!J15</f>
        <v>329867</v>
      </c>
      <c r="R16" s="94">
        <f t="shared" si="0"/>
        <v>900278</v>
      </c>
    </row>
    <row r="17" spans="2:18" outlineLevel="1" x14ac:dyDescent="0.2">
      <c r="B17" s="12" t="s">
        <v>70</v>
      </c>
      <c r="C17" s="95">
        <f>'Statement Y'!C16</f>
        <v>-83213</v>
      </c>
      <c r="D17" s="95">
        <f>'Statement Y'!D16</f>
        <v>-69630</v>
      </c>
      <c r="E17" s="95">
        <f>'Statement Y'!E16</f>
        <v>-126150</v>
      </c>
      <c r="F17" s="95">
        <f>'Statement Y'!F16</f>
        <v>-133762</v>
      </c>
      <c r="G17" s="95">
        <f>'Statement Y'!G16</f>
        <v>-198904</v>
      </c>
      <c r="I17" s="95">
        <f>'Statement Q'!C16</f>
        <v>-33856</v>
      </c>
      <c r="J17" s="95">
        <f>'Statement Q'!D16</f>
        <v>-21633</v>
      </c>
      <c r="K17" s="95">
        <f>'Statement Q'!E16</f>
        <v>-42048</v>
      </c>
      <c r="L17" s="95">
        <f>'Statement Q'!F16</f>
        <v>-36225</v>
      </c>
      <c r="M17" s="95">
        <f>'Statement Q'!G16</f>
        <v>-27698</v>
      </c>
      <c r="N17" s="95">
        <f>'Statement Q'!H16</f>
        <v>-41287</v>
      </c>
      <c r="O17" s="95">
        <f>'Statement Q'!I16</f>
        <v>-55264</v>
      </c>
      <c r="P17" s="95">
        <f>'Statement Q'!J16</f>
        <v>-74655</v>
      </c>
      <c r="R17" s="95">
        <f t="shared" si="0"/>
        <v>-198904</v>
      </c>
    </row>
    <row r="18" spans="2:18" outlineLevel="1" x14ac:dyDescent="0.2">
      <c r="B18" s="17" t="s">
        <v>13</v>
      </c>
      <c r="C18" s="94">
        <f>'Statement Y'!C17</f>
        <v>331113</v>
      </c>
      <c r="D18" s="94">
        <f>'Statement Y'!D17</f>
        <v>232354</v>
      </c>
      <c r="E18" s="94">
        <f>'Statement Y'!E17</f>
        <v>167078</v>
      </c>
      <c r="F18" s="94">
        <f>'Statement Y'!F17</f>
        <v>438705</v>
      </c>
      <c r="G18" s="94">
        <f>'Statement Y'!G17</f>
        <v>701374</v>
      </c>
      <c r="I18" s="94">
        <f>'Statement Q'!C17</f>
        <v>109612</v>
      </c>
      <c r="J18" s="94">
        <f>'Statement Q'!D17</f>
        <v>68048</v>
      </c>
      <c r="K18" s="94">
        <f>'Statement Q'!E17</f>
        <v>132329</v>
      </c>
      <c r="L18" s="94">
        <f>'Statement Q'!F17</f>
        <v>128716</v>
      </c>
      <c r="M18" s="94">
        <f>'Statement Q'!G17</f>
        <v>117835</v>
      </c>
      <c r="N18" s="94">
        <f>'Statement Q'!H17</f>
        <v>139598</v>
      </c>
      <c r="O18" s="94">
        <f>'Statement Q'!I17</f>
        <v>188729</v>
      </c>
      <c r="P18" s="94">
        <f>'Statement Q'!J17</f>
        <v>255212</v>
      </c>
      <c r="R18" s="94">
        <f t="shared" si="0"/>
        <v>701374</v>
      </c>
    </row>
    <row r="19" spans="2:18" outlineLevel="1" x14ac:dyDescent="0.2">
      <c r="B19" s="12" t="s">
        <v>15</v>
      </c>
      <c r="C19" s="95">
        <f>'Statement Y'!C19</f>
        <v>138983</v>
      </c>
      <c r="D19" s="95">
        <f>'Statement Y'!D19</f>
        <v>138983</v>
      </c>
      <c r="E19" s="95">
        <f>'Statement Y'!E19</f>
        <v>139420</v>
      </c>
      <c r="F19" s="95">
        <f>'Statement Y'!F19</f>
        <v>141084</v>
      </c>
      <c r="G19" s="95">
        <f>'Statement Y'!G19</f>
        <v>142090</v>
      </c>
      <c r="I19" s="95">
        <f>'Statement Q'!C19</f>
        <v>140703</v>
      </c>
      <c r="J19" s="95">
        <f>'Statement Q'!D19</f>
        <v>140924</v>
      </c>
      <c r="K19" s="95">
        <f>'Statement Q'!E19</f>
        <v>141306</v>
      </c>
      <c r="L19" s="95">
        <f>'Statement Q'!F19</f>
        <v>141518</v>
      </c>
      <c r="M19" s="95">
        <f>'Statement Q'!G19</f>
        <v>142183</v>
      </c>
      <c r="N19" s="95">
        <f>'Statement Q'!H19</f>
        <v>141871</v>
      </c>
      <c r="O19" s="95">
        <f>'Statement Q'!I19</f>
        <v>142119</v>
      </c>
      <c r="P19" s="95">
        <f>'Statement Q'!J19</f>
        <v>142129</v>
      </c>
      <c r="R19" s="95">
        <f>AVERAGE(M19:P19)</f>
        <v>142075.5</v>
      </c>
    </row>
    <row r="20" spans="2:18" ht="17" outlineLevel="1" thickBot="1" x14ac:dyDescent="0.25">
      <c r="B20" s="10" t="s">
        <v>17</v>
      </c>
      <c r="C20" s="96">
        <f>'Statement Y'!C21</f>
        <v>2.38</v>
      </c>
      <c r="D20" s="96">
        <f>'Statement Y'!D21</f>
        <v>1.67</v>
      </c>
      <c r="E20" s="96">
        <f>'Statement Y'!E21</f>
        <v>1.2</v>
      </c>
      <c r="F20" s="96">
        <f>'Statement Y'!F21</f>
        <v>3.11</v>
      </c>
      <c r="G20" s="96">
        <f>'Statement Y'!G21</f>
        <v>4.9400000000000004</v>
      </c>
      <c r="I20" s="96">
        <f>'Statement Q'!C21</f>
        <v>0.78</v>
      </c>
      <c r="J20" s="96">
        <f>'Statement Q'!D21</f>
        <v>0.48</v>
      </c>
      <c r="K20" s="96">
        <f>'Statement Q'!E21</f>
        <v>0.94</v>
      </c>
      <c r="L20" s="96">
        <f>'Statement Q'!F21</f>
        <v>0.91</v>
      </c>
      <c r="M20" s="96">
        <f>'Statement Q'!G21</f>
        <v>0.83</v>
      </c>
      <c r="N20" s="96">
        <f>'Statement Q'!H21</f>
        <v>0.98</v>
      </c>
      <c r="O20" s="96">
        <f>'Statement Q'!I21</f>
        <v>1.33</v>
      </c>
      <c r="P20" s="96">
        <f>'Statement Q'!J21</f>
        <v>1.8</v>
      </c>
      <c r="R20" s="96">
        <f t="shared" si="0"/>
        <v>4.9400000000000004</v>
      </c>
    </row>
    <row r="22" spans="2:18" ht="17" thickBot="1" x14ac:dyDescent="0.25">
      <c r="B22" s="15" t="s">
        <v>18</v>
      </c>
      <c r="C22" s="14"/>
      <c r="D22" s="14"/>
      <c r="E22" s="14"/>
      <c r="F22" s="14"/>
      <c r="G22" s="14"/>
      <c r="I22" s="14"/>
      <c r="J22" s="14"/>
      <c r="K22" s="14"/>
      <c r="L22" s="14"/>
      <c r="M22" s="14"/>
      <c r="N22" s="14"/>
      <c r="O22" s="14"/>
      <c r="P22" s="14"/>
      <c r="R22" s="14"/>
    </row>
    <row r="23" spans="2:18" outlineLevel="1" x14ac:dyDescent="0.2">
      <c r="B23" s="9" t="s">
        <v>19</v>
      </c>
      <c r="C23" s="95">
        <f>'Statement Y'!C24</f>
        <v>0</v>
      </c>
      <c r="D23" s="95">
        <f>'Statement Y'!D24</f>
        <v>192890</v>
      </c>
      <c r="E23" s="95">
        <f>'Statement Y'!E24</f>
        <v>154061</v>
      </c>
      <c r="F23" s="95">
        <f>'Statement Y'!F24</f>
        <v>363669</v>
      </c>
      <c r="G23" s="95">
        <f>'Statement Y'!G24</f>
        <v>777289</v>
      </c>
      <c r="I23" s="34">
        <f>'Statement Q'!C24</f>
        <v>0</v>
      </c>
      <c r="J23" s="34">
        <f>'Statement Q'!D24</f>
        <v>0</v>
      </c>
      <c r="K23" s="34">
        <f>'Statement Q'!E24</f>
        <v>0</v>
      </c>
      <c r="L23" s="34">
        <f>'Statement Q'!F24</f>
        <v>363669</v>
      </c>
      <c r="M23" s="34">
        <f>'Statement Q'!G24</f>
        <v>224696</v>
      </c>
      <c r="N23" s="34">
        <f>'Statement Q'!H24</f>
        <v>188229</v>
      </c>
      <c r="O23" s="34">
        <f>'Statement Q'!I24</f>
        <v>263816</v>
      </c>
      <c r="P23" s="34">
        <f>'Statement Q'!J24</f>
        <v>777289</v>
      </c>
      <c r="R23" s="34">
        <f>P23</f>
        <v>777289</v>
      </c>
    </row>
    <row r="24" spans="2:18" outlineLevel="1" x14ac:dyDescent="0.2">
      <c r="B24" s="9" t="s">
        <v>134</v>
      </c>
      <c r="C24" s="95">
        <f>'Statement Y'!C25</f>
        <v>0</v>
      </c>
      <c r="D24" s="95">
        <f>'Statement Y'!D25</f>
        <v>25880</v>
      </c>
      <c r="E24" s="95">
        <f>'Statement Y'!E25</f>
        <v>0</v>
      </c>
      <c r="F24" s="95">
        <f>'Statement Y'!F25</f>
        <v>0</v>
      </c>
      <c r="G24" s="95">
        <f>'Statement Y'!G25</f>
        <v>0</v>
      </c>
      <c r="I24" s="34">
        <f>'Statement Q'!C25</f>
        <v>0</v>
      </c>
      <c r="J24" s="34">
        <f>'Statement Q'!D25</f>
        <v>0</v>
      </c>
      <c r="K24" s="34">
        <f>'Statement Q'!E25</f>
        <v>0</v>
      </c>
      <c r="L24" s="34">
        <f>'Statement Q'!F25</f>
        <v>0</v>
      </c>
      <c r="M24" s="34">
        <f>'Statement Q'!G25</f>
        <v>0</v>
      </c>
      <c r="N24" s="34">
        <f>'Statement Q'!H25</f>
        <v>0</v>
      </c>
      <c r="O24" s="34">
        <f>'Statement Q'!I25</f>
        <v>0</v>
      </c>
      <c r="P24" s="34">
        <f>'Statement Q'!J25</f>
        <v>0</v>
      </c>
      <c r="R24" s="34">
        <f t="shared" ref="R24:R53" si="3">P24</f>
        <v>0</v>
      </c>
    </row>
    <row r="25" spans="2:18" outlineLevel="1" x14ac:dyDescent="0.2">
      <c r="B25" s="9" t="s">
        <v>20</v>
      </c>
      <c r="C25" s="95">
        <f>'Statement Y'!C26</f>
        <v>0</v>
      </c>
      <c r="D25" s="95">
        <f>'Statement Y'!D26</f>
        <v>766503</v>
      </c>
      <c r="E25" s="95">
        <f>'Statement Y'!E26</f>
        <v>985172</v>
      </c>
      <c r="F25" s="95">
        <f>'Statement Y'!F26</f>
        <v>1266595</v>
      </c>
      <c r="G25" s="95">
        <f>'Statement Y'!G26</f>
        <v>1667143</v>
      </c>
      <c r="I25" s="34">
        <f>'Statement Q'!C26</f>
        <v>0</v>
      </c>
      <c r="J25" s="34">
        <f>'Statement Q'!D26</f>
        <v>0</v>
      </c>
      <c r="K25" s="34">
        <f>'Statement Q'!E26</f>
        <v>0</v>
      </c>
      <c r="L25" s="34">
        <f>'Statement Q'!F26</f>
        <v>1266595</v>
      </c>
      <c r="M25" s="34">
        <f>'Statement Q'!G26</f>
        <v>1040635</v>
      </c>
      <c r="N25" s="34">
        <f>'Statement Q'!H26</f>
        <v>1324984</v>
      </c>
      <c r="O25" s="34">
        <f>'Statement Q'!I26</f>
        <v>1595180</v>
      </c>
      <c r="P25" s="34">
        <f>'Statement Q'!J26</f>
        <v>1667143</v>
      </c>
      <c r="R25" s="34">
        <f t="shared" si="3"/>
        <v>1667143</v>
      </c>
    </row>
    <row r="26" spans="2:18" outlineLevel="1" x14ac:dyDescent="0.2">
      <c r="B26" s="9" t="s">
        <v>135</v>
      </c>
      <c r="C26" s="95">
        <f>'Statement Y'!C27</f>
        <v>0</v>
      </c>
      <c r="D26" s="95">
        <f>'Statement Y'!D27</f>
        <v>548588</v>
      </c>
      <c r="E26" s="95">
        <f>'Statement Y'!E27</f>
        <v>699740</v>
      </c>
      <c r="F26" s="95">
        <f>'Statement Y'!F27</f>
        <v>899989</v>
      </c>
      <c r="G26" s="95">
        <f>'Statement Y'!G27</f>
        <v>1002205</v>
      </c>
      <c r="I26" s="34">
        <f>'Statement Q'!C27</f>
        <v>0</v>
      </c>
      <c r="J26" s="34">
        <f>'Statement Q'!D27</f>
        <v>0</v>
      </c>
      <c r="K26" s="34">
        <f>'Statement Q'!E27</f>
        <v>0</v>
      </c>
      <c r="L26" s="34">
        <f>'Statement Q'!F27</f>
        <v>899989</v>
      </c>
      <c r="M26" s="34">
        <f>'Statement Q'!G27</f>
        <v>973198</v>
      </c>
      <c r="N26" s="34">
        <f>'Statement Q'!H27</f>
        <v>1052711</v>
      </c>
      <c r="O26" s="34">
        <f>'Statement Q'!I27</f>
        <v>1158345</v>
      </c>
      <c r="P26" s="34">
        <f>'Statement Q'!J27</f>
        <v>1002205</v>
      </c>
      <c r="R26" s="34">
        <f t="shared" si="3"/>
        <v>1002205</v>
      </c>
    </row>
    <row r="27" spans="2:18" outlineLevel="1" x14ac:dyDescent="0.2">
      <c r="B27" s="9" t="s">
        <v>107</v>
      </c>
      <c r="C27" s="95">
        <f>'Statement Y'!C28</f>
        <v>0</v>
      </c>
      <c r="D27" s="95">
        <f>'Statement Y'!D28</f>
        <v>181831</v>
      </c>
      <c r="E27" s="95">
        <f>'Statement Y'!E28</f>
        <v>58311</v>
      </c>
      <c r="F27" s="95">
        <f>'Statement Y'!F28</f>
        <v>114008</v>
      </c>
      <c r="G27" s="95">
        <f>'Statement Y'!G28</f>
        <v>164628</v>
      </c>
      <c r="I27" s="34">
        <f>'Statement Q'!C28</f>
        <v>0</v>
      </c>
      <c r="J27" s="34">
        <f>'Statement Q'!D28</f>
        <v>0</v>
      </c>
      <c r="K27" s="34">
        <f>'Statement Q'!E28</f>
        <v>0</v>
      </c>
      <c r="L27" s="34">
        <f>'Statement Q'!F28</f>
        <v>114008</v>
      </c>
      <c r="M27" s="34">
        <f>'Statement Q'!G28</f>
        <v>157521</v>
      </c>
      <c r="N27" s="34">
        <f>'Statement Q'!H28</f>
        <v>190586</v>
      </c>
      <c r="O27" s="34">
        <f>'Statement Q'!I28</f>
        <v>226561</v>
      </c>
      <c r="P27" s="34">
        <f>'Statement Q'!J28</f>
        <v>164628</v>
      </c>
      <c r="R27" s="34">
        <f t="shared" si="3"/>
        <v>164628</v>
      </c>
    </row>
    <row r="28" spans="2:18" outlineLevel="1" x14ac:dyDescent="0.2">
      <c r="B28" s="11" t="s">
        <v>21</v>
      </c>
      <c r="C28" s="97">
        <f>'Statement Y'!C29</f>
        <v>0</v>
      </c>
      <c r="D28" s="97">
        <f>'Statement Y'!D29</f>
        <v>1715692</v>
      </c>
      <c r="E28" s="97">
        <f>'Statement Y'!E29</f>
        <v>1897284</v>
      </c>
      <c r="F28" s="97">
        <f>'Statement Y'!F29</f>
        <v>2644261</v>
      </c>
      <c r="G28" s="97">
        <f>'Statement Y'!G29</f>
        <v>3611265</v>
      </c>
      <c r="I28" s="57">
        <f>'Statement Q'!C29</f>
        <v>0</v>
      </c>
      <c r="J28" s="57">
        <f>'Statement Q'!D29</f>
        <v>0</v>
      </c>
      <c r="K28" s="57">
        <f>'Statement Q'!E29</f>
        <v>0</v>
      </c>
      <c r="L28" s="57">
        <f>'Statement Q'!F29</f>
        <v>2644261</v>
      </c>
      <c r="M28" s="57">
        <f>'Statement Q'!G29</f>
        <v>2396050</v>
      </c>
      <c r="N28" s="57">
        <f>'Statement Q'!H29</f>
        <v>2756510</v>
      </c>
      <c r="O28" s="57">
        <f>'Statement Q'!I29</f>
        <v>3243902</v>
      </c>
      <c r="P28" s="57">
        <f>'Statement Q'!J29</f>
        <v>3611265</v>
      </c>
      <c r="R28" s="57">
        <f t="shared" si="3"/>
        <v>3611265</v>
      </c>
    </row>
    <row r="29" spans="2:18" outlineLevel="1" x14ac:dyDescent="0.2">
      <c r="B29" s="9" t="s">
        <v>23</v>
      </c>
      <c r="C29" s="95">
        <f>'Statement Y'!C30</f>
        <v>0</v>
      </c>
      <c r="D29" s="95">
        <f>'Statement Y'!D30</f>
        <v>137341</v>
      </c>
      <c r="E29" s="95">
        <f>'Statement Y'!E30</f>
        <v>166252</v>
      </c>
      <c r="F29" s="95">
        <f>'Statement Y'!F30</f>
        <v>211464</v>
      </c>
      <c r="G29" s="95">
        <f>'Statement Y'!G30</f>
        <v>232226</v>
      </c>
      <c r="I29" s="34">
        <f>'Statement Q'!C30</f>
        <v>0</v>
      </c>
      <c r="J29" s="34">
        <f>'Statement Q'!D30</f>
        <v>0</v>
      </c>
      <c r="K29" s="34">
        <f>'Statement Q'!E30</f>
        <v>0</v>
      </c>
      <c r="L29" s="34">
        <f>'Statement Q'!F30</f>
        <v>211464</v>
      </c>
      <c r="M29" s="34">
        <f>'Statement Q'!G30</f>
        <v>221700</v>
      </c>
      <c r="N29" s="34">
        <f>'Statement Q'!H30</f>
        <v>212771</v>
      </c>
      <c r="O29" s="34">
        <f>'Statement Q'!I30</f>
        <v>214693</v>
      </c>
      <c r="P29" s="34">
        <f>'Statement Q'!J30</f>
        <v>232226</v>
      </c>
      <c r="R29" s="34">
        <f t="shared" si="3"/>
        <v>232226</v>
      </c>
    </row>
    <row r="30" spans="2:18" outlineLevel="1" x14ac:dyDescent="0.2">
      <c r="B30" s="9" t="s">
        <v>96</v>
      </c>
      <c r="C30" s="95">
        <f>'Statement Y'!C31</f>
        <v>0</v>
      </c>
      <c r="D30" s="95">
        <f>'Statement Y'!D31</f>
        <v>67321</v>
      </c>
      <c r="E30" s="95">
        <f>'Statement Y'!E31</f>
        <v>63333</v>
      </c>
      <c r="F30" s="95">
        <f>'Statement Y'!F31</f>
        <v>146257</v>
      </c>
      <c r="G30" s="95">
        <f>'Statement Y'!G31</f>
        <v>142487</v>
      </c>
      <c r="I30" s="34">
        <f>'Statement Q'!C31</f>
        <v>0</v>
      </c>
      <c r="J30" s="34">
        <f>'Statement Q'!D31</f>
        <v>0</v>
      </c>
      <c r="K30" s="34">
        <f>'Statement Q'!E31</f>
        <v>0</v>
      </c>
      <c r="L30" s="34">
        <f>'Statement Q'!F31</f>
        <v>146257</v>
      </c>
      <c r="M30" s="34">
        <f>'Statement Q'!G31</f>
        <v>143479</v>
      </c>
      <c r="N30" s="34">
        <f>'Statement Q'!H31</f>
        <v>140714</v>
      </c>
      <c r="O30" s="34">
        <f>'Statement Q'!I31</f>
        <v>147707</v>
      </c>
      <c r="P30" s="34">
        <f>'Statement Q'!J31</f>
        <v>142487</v>
      </c>
      <c r="R30" s="34">
        <f t="shared" si="3"/>
        <v>142487</v>
      </c>
    </row>
    <row r="31" spans="2:18" outlineLevel="1" x14ac:dyDescent="0.2">
      <c r="B31" s="9" t="s">
        <v>101</v>
      </c>
      <c r="C31" s="95">
        <f>'Statement Y'!C32</f>
        <v>0</v>
      </c>
      <c r="D31" s="95">
        <f>'Statement Y'!D32</f>
        <v>492709</v>
      </c>
      <c r="E31" s="95">
        <f>'Statement Y'!E32</f>
        <v>477816</v>
      </c>
      <c r="F31" s="95">
        <f>'Statement Y'!F32</f>
        <v>462678</v>
      </c>
      <c r="G31" s="95">
        <f>'Statement Y'!G32</f>
        <v>451137</v>
      </c>
      <c r="I31" s="34">
        <f>'Statement Q'!C32</f>
        <v>0</v>
      </c>
      <c r="J31" s="34">
        <f>'Statement Q'!D32</f>
        <v>0</v>
      </c>
      <c r="K31" s="34">
        <f>'Statement Q'!E32</f>
        <v>0</v>
      </c>
      <c r="L31" s="34">
        <f>'Statement Q'!F32</f>
        <v>462678</v>
      </c>
      <c r="M31" s="34">
        <f>'Statement Q'!G32</f>
        <v>459539</v>
      </c>
      <c r="N31" s="34">
        <f>'Statement Q'!H32</f>
        <v>457536</v>
      </c>
      <c r="O31" s="34">
        <f>'Statement Q'!I32</f>
        <v>454477</v>
      </c>
      <c r="P31" s="34">
        <f>'Statement Q'!J32</f>
        <v>451137</v>
      </c>
      <c r="R31" s="34">
        <f t="shared" si="3"/>
        <v>451137</v>
      </c>
    </row>
    <row r="32" spans="2:18" outlineLevel="1" x14ac:dyDescent="0.2">
      <c r="B32" s="9" t="s">
        <v>24</v>
      </c>
      <c r="C32" s="95">
        <f>'Statement Y'!C33</f>
        <v>0</v>
      </c>
      <c r="D32" s="95">
        <f>'Statement Y'!D33</f>
        <v>840148</v>
      </c>
      <c r="E32" s="95">
        <f>'Statement Y'!E33</f>
        <v>834203</v>
      </c>
      <c r="F32" s="95">
        <f>'Statement Y'!F33</f>
        <v>834781</v>
      </c>
      <c r="G32" s="95">
        <f>'Statement Y'!G33</f>
        <v>834781</v>
      </c>
      <c r="I32" s="34">
        <f>'Statement Q'!C33</f>
        <v>0</v>
      </c>
      <c r="J32" s="34">
        <f>'Statement Q'!D33</f>
        <v>0</v>
      </c>
      <c r="K32" s="34">
        <f>'Statement Q'!E33</f>
        <v>0</v>
      </c>
      <c r="L32" s="34">
        <f>'Statement Q'!F33</f>
        <v>834781</v>
      </c>
      <c r="M32" s="34">
        <f>'Statement Q'!G33</f>
        <v>834781</v>
      </c>
      <c r="N32" s="34">
        <f>'Statement Q'!H33</f>
        <v>834781</v>
      </c>
      <c r="O32" s="34">
        <f>'Statement Q'!I33</f>
        <v>834781</v>
      </c>
      <c r="P32" s="34">
        <f>'Statement Q'!J33</f>
        <v>834781</v>
      </c>
      <c r="R32" s="34">
        <f t="shared" si="3"/>
        <v>834781</v>
      </c>
    </row>
    <row r="33" spans="2:18" outlineLevel="1" x14ac:dyDescent="0.2">
      <c r="B33" s="9" t="s">
        <v>22</v>
      </c>
      <c r="C33" s="95">
        <f>'Statement Y'!C34</f>
        <v>0</v>
      </c>
      <c r="D33" s="95">
        <f>'Statement Y'!D34</f>
        <v>6291</v>
      </c>
      <c r="E33" s="95">
        <f>'Statement Y'!E34</f>
        <v>12</v>
      </c>
      <c r="F33" s="95">
        <f>'Statement Y'!F34</f>
        <v>43093</v>
      </c>
      <c r="G33" s="95">
        <f>'Statement Y'!G34</f>
        <v>10706</v>
      </c>
      <c r="I33" s="34">
        <f>'Statement Q'!C34</f>
        <v>0</v>
      </c>
      <c r="J33" s="34">
        <f>'Statement Q'!D34</f>
        <v>0</v>
      </c>
      <c r="K33" s="34">
        <f>'Statement Q'!E34</f>
        <v>0</v>
      </c>
      <c r="L33" s="34">
        <f>'Statement Q'!F34</f>
        <v>43093</v>
      </c>
      <c r="M33" s="34">
        <f>'Statement Q'!G34</f>
        <v>58628</v>
      </c>
      <c r="N33" s="34">
        <f>'Statement Q'!H34</f>
        <v>73721</v>
      </c>
      <c r="O33" s="34">
        <f>'Statement Q'!I34</f>
        <v>10943</v>
      </c>
      <c r="P33" s="34">
        <f>'Statement Q'!J34</f>
        <v>10706</v>
      </c>
      <c r="R33" s="34">
        <f t="shared" si="3"/>
        <v>10706</v>
      </c>
    </row>
    <row r="34" spans="2:18" outlineLevel="1" x14ac:dyDescent="0.2">
      <c r="B34" s="9" t="s">
        <v>25</v>
      </c>
      <c r="C34" s="95">
        <f>'Statement Y'!C35</f>
        <v>0</v>
      </c>
      <c r="D34" s="95">
        <f>'Statement Y'!D35</f>
        <v>35389</v>
      </c>
      <c r="E34" s="95">
        <f>'Statement Y'!E35</f>
        <v>48170</v>
      </c>
      <c r="F34" s="95">
        <f>'Statement Y'!F35</f>
        <v>51625</v>
      </c>
      <c r="G34" s="95">
        <f>'Statement Y'!G35</f>
        <v>66832</v>
      </c>
      <c r="I34" s="34">
        <f>'Statement Q'!C35</f>
        <v>0</v>
      </c>
      <c r="J34" s="34">
        <f>'Statement Q'!D35</f>
        <v>0</v>
      </c>
      <c r="K34" s="34">
        <f>'Statement Q'!E35</f>
        <v>0</v>
      </c>
      <c r="L34" s="34">
        <f>'Statement Q'!F35</f>
        <v>51625</v>
      </c>
      <c r="M34" s="34">
        <f>'Statement Q'!G35</f>
        <v>61225</v>
      </c>
      <c r="N34" s="34">
        <f>'Statement Q'!H35</f>
        <v>63224</v>
      </c>
      <c r="O34" s="34">
        <f>'Statement Q'!I35</f>
        <v>68469</v>
      </c>
      <c r="P34" s="34">
        <f>'Statement Q'!J35</f>
        <v>66832</v>
      </c>
      <c r="R34" s="34">
        <f t="shared" si="3"/>
        <v>66832</v>
      </c>
    </row>
    <row r="35" spans="2:18" outlineLevel="1" x14ac:dyDescent="0.2">
      <c r="B35" s="11" t="s">
        <v>26</v>
      </c>
      <c r="C35" s="97">
        <f>'Statement Y'!C36</f>
        <v>0</v>
      </c>
      <c r="D35" s="97">
        <f>'Statement Y'!D36</f>
        <v>1579199</v>
      </c>
      <c r="E35" s="97">
        <f>'Statement Y'!E36</f>
        <v>1589786</v>
      </c>
      <c r="F35" s="97">
        <f>'Statement Y'!F36</f>
        <v>1749898</v>
      </c>
      <c r="G35" s="97">
        <f>'Statement Y'!G36</f>
        <v>1738169</v>
      </c>
      <c r="I35" s="57">
        <f>'Statement Q'!C36</f>
        <v>0</v>
      </c>
      <c r="J35" s="57">
        <f>'Statement Q'!D36</f>
        <v>0</v>
      </c>
      <c r="K35" s="57">
        <f>'Statement Q'!E36</f>
        <v>0</v>
      </c>
      <c r="L35" s="57">
        <f>'Statement Q'!F36</f>
        <v>1749898</v>
      </c>
      <c r="M35" s="57">
        <f>'Statement Q'!G36</f>
        <v>1779352</v>
      </c>
      <c r="N35" s="57">
        <f>'Statement Q'!H36</f>
        <v>1782747</v>
      </c>
      <c r="O35" s="57">
        <f>'Statement Q'!I36</f>
        <v>1731070</v>
      </c>
      <c r="P35" s="57">
        <f>'Statement Q'!J36</f>
        <v>1738169</v>
      </c>
      <c r="R35" s="57">
        <f t="shared" si="3"/>
        <v>1738169</v>
      </c>
    </row>
    <row r="36" spans="2:18" outlineLevel="1" x14ac:dyDescent="0.2">
      <c r="B36" s="17" t="s">
        <v>27</v>
      </c>
      <c r="C36" s="94">
        <f>'Statement Y'!C37</f>
        <v>0</v>
      </c>
      <c r="D36" s="94">
        <f>'Statement Y'!D37</f>
        <v>3294891</v>
      </c>
      <c r="E36" s="94">
        <f>'Statement Y'!E37</f>
        <v>3487070</v>
      </c>
      <c r="F36" s="94">
        <f>'Statement Y'!F37</f>
        <v>4394159</v>
      </c>
      <c r="G36" s="94">
        <f>'Statement Y'!G37</f>
        <v>5349434</v>
      </c>
      <c r="I36" s="55">
        <f>'Statement Q'!C37</f>
        <v>0</v>
      </c>
      <c r="J36" s="55">
        <f>'Statement Q'!D37</f>
        <v>0</v>
      </c>
      <c r="K36" s="55">
        <f>'Statement Q'!E37</f>
        <v>0</v>
      </c>
      <c r="L36" s="55">
        <f>'Statement Q'!F37</f>
        <v>4394159</v>
      </c>
      <c r="M36" s="55">
        <f>'Statement Q'!G37</f>
        <v>4175402</v>
      </c>
      <c r="N36" s="55">
        <f>'Statement Q'!H37</f>
        <v>4539257</v>
      </c>
      <c r="O36" s="55">
        <f>'Statement Q'!I37</f>
        <v>4974972</v>
      </c>
      <c r="P36" s="55">
        <f>'Statement Q'!J37</f>
        <v>5349434</v>
      </c>
      <c r="R36" s="55">
        <f t="shared" si="3"/>
        <v>5349434</v>
      </c>
    </row>
    <row r="37" spans="2:18" outlineLevel="1" x14ac:dyDescent="0.2">
      <c r="B37" s="9" t="s">
        <v>28</v>
      </c>
      <c r="C37" s="95">
        <f>'Statement Y'!C38</f>
        <v>0</v>
      </c>
      <c r="D37" s="95">
        <f>'Statement Y'!D38</f>
        <v>328122</v>
      </c>
      <c r="E37" s="95">
        <f>'Statement Y'!E38</f>
        <v>459651</v>
      </c>
      <c r="F37" s="95">
        <f>'Statement Y'!F38</f>
        <v>612031</v>
      </c>
      <c r="G37" s="95">
        <f>'Statement Y'!G38</f>
        <v>679534</v>
      </c>
      <c r="I37" s="34">
        <f>'Statement Q'!C38</f>
        <v>0</v>
      </c>
      <c r="J37" s="34">
        <f>'Statement Q'!D38</f>
        <v>0</v>
      </c>
      <c r="K37" s="34">
        <f>'Statement Q'!E38</f>
        <v>0</v>
      </c>
      <c r="L37" s="34">
        <f>'Statement Q'!F38</f>
        <v>612031</v>
      </c>
      <c r="M37" s="34">
        <f>'Statement Q'!G38</f>
        <v>462495</v>
      </c>
      <c r="N37" s="34">
        <f>'Statement Q'!H38</f>
        <v>582560</v>
      </c>
      <c r="O37" s="34">
        <f>'Statement Q'!I38</f>
        <v>681808</v>
      </c>
      <c r="P37" s="34">
        <f>'Statement Q'!J38</f>
        <v>679534</v>
      </c>
      <c r="R37" s="34">
        <f t="shared" si="3"/>
        <v>679534</v>
      </c>
    </row>
    <row r="38" spans="2:18" outlineLevel="1" x14ac:dyDescent="0.2">
      <c r="B38" s="9" t="s">
        <v>109</v>
      </c>
      <c r="C38" s="95">
        <f>'Statement Y'!C39</f>
        <v>0</v>
      </c>
      <c r="D38" s="95">
        <f>'Statement Y'!D39</f>
        <v>552023</v>
      </c>
      <c r="E38" s="95">
        <f>'Statement Y'!E39</f>
        <v>620333</v>
      </c>
      <c r="F38" s="95">
        <f>'Statement Y'!F39</f>
        <v>841529</v>
      </c>
      <c r="G38" s="95">
        <f>'Statement Y'!G39</f>
        <v>1016645</v>
      </c>
      <c r="I38" s="34">
        <f>'Statement Q'!C39</f>
        <v>0</v>
      </c>
      <c r="J38" s="34">
        <f>'Statement Q'!D39</f>
        <v>0</v>
      </c>
      <c r="K38" s="34">
        <f>'Statement Q'!E39</f>
        <v>0</v>
      </c>
      <c r="L38" s="34">
        <f>'Statement Q'!F39</f>
        <v>841529</v>
      </c>
      <c r="M38" s="34">
        <f>'Statement Q'!G39</f>
        <v>641667</v>
      </c>
      <c r="N38" s="34">
        <f>'Statement Q'!H39</f>
        <v>766630</v>
      </c>
      <c r="O38" s="34">
        <f>'Statement Q'!I39</f>
        <v>892459</v>
      </c>
      <c r="P38" s="34">
        <f>'Statement Q'!J39</f>
        <v>1016645</v>
      </c>
      <c r="R38" s="34">
        <f t="shared" si="3"/>
        <v>1016645</v>
      </c>
    </row>
    <row r="39" spans="2:18" outlineLevel="1" x14ac:dyDescent="0.2">
      <c r="B39" s="9" t="s">
        <v>136</v>
      </c>
      <c r="C39" s="95">
        <f>'Statement Y'!C40</f>
        <v>0</v>
      </c>
      <c r="D39" s="95">
        <f>'Statement Y'!D40</f>
        <v>1581</v>
      </c>
      <c r="E39" s="95">
        <f>'Statement Y'!E40</f>
        <v>20991</v>
      </c>
      <c r="F39" s="95">
        <f>'Statement Y'!F40</f>
        <v>36548</v>
      </c>
      <c r="G39" s="95">
        <f>'Statement Y'!G40</f>
        <v>38092</v>
      </c>
      <c r="I39" s="34">
        <f>'Statement Q'!C40</f>
        <v>0</v>
      </c>
      <c r="J39" s="34">
        <f>'Statement Q'!D40</f>
        <v>0</v>
      </c>
      <c r="K39" s="34">
        <f>'Statement Q'!E40</f>
        <v>0</v>
      </c>
      <c r="L39" s="34">
        <f>'Statement Q'!F40</f>
        <v>36548</v>
      </c>
      <c r="M39" s="34">
        <f>'Statement Q'!G40</f>
        <v>70487</v>
      </c>
      <c r="N39" s="34">
        <f>'Statement Q'!H40</f>
        <v>29992</v>
      </c>
      <c r="O39" s="34">
        <f>'Statement Q'!I40</f>
        <v>43941</v>
      </c>
      <c r="P39" s="34">
        <f>'Statement Q'!J40</f>
        <v>38092</v>
      </c>
      <c r="R39" s="34">
        <f t="shared" si="3"/>
        <v>38092</v>
      </c>
    </row>
    <row r="40" spans="2:18" outlineLevel="1" x14ac:dyDescent="0.2">
      <c r="B40" s="9" t="s">
        <v>137</v>
      </c>
      <c r="C40" s="95">
        <f>'Statement Y'!C41</f>
        <v>0</v>
      </c>
      <c r="D40" s="95">
        <f>'Statement Y'!D41</f>
        <v>86972</v>
      </c>
      <c r="E40" s="95">
        <f>'Statement Y'!E41</f>
        <v>24157</v>
      </c>
      <c r="F40" s="95">
        <f>'Statement Y'!F41</f>
        <v>39344</v>
      </c>
      <c r="G40" s="95">
        <f>'Statement Y'!G41</f>
        <v>39344</v>
      </c>
      <c r="I40" s="34">
        <f>'Statement Q'!C41</f>
        <v>0</v>
      </c>
      <c r="J40" s="34">
        <f>'Statement Q'!D41</f>
        <v>0</v>
      </c>
      <c r="K40" s="34">
        <f>'Statement Q'!E41</f>
        <v>0</v>
      </c>
      <c r="L40" s="34">
        <f>'Statement Q'!F41</f>
        <v>39344</v>
      </c>
      <c r="M40" s="34">
        <f>'Statement Q'!G41</f>
        <v>39344</v>
      </c>
      <c r="N40" s="34">
        <f>'Statement Q'!H41</f>
        <v>39344</v>
      </c>
      <c r="O40" s="34">
        <f>'Statement Q'!I41</f>
        <v>39344</v>
      </c>
      <c r="P40" s="34">
        <f>'Statement Q'!J41</f>
        <v>39344</v>
      </c>
      <c r="R40" s="34">
        <f t="shared" si="3"/>
        <v>39344</v>
      </c>
    </row>
    <row r="41" spans="2:18" outlineLevel="1" x14ac:dyDescent="0.2">
      <c r="B41" s="11" t="s">
        <v>31</v>
      </c>
      <c r="C41" s="97">
        <f>'Statement Y'!C42</f>
        <v>0</v>
      </c>
      <c r="D41" s="97">
        <f>'Statement Y'!D42</f>
        <v>968698</v>
      </c>
      <c r="E41" s="97">
        <f>'Statement Y'!E42</f>
        <v>1125132</v>
      </c>
      <c r="F41" s="97">
        <f>'Statement Y'!F42</f>
        <v>1529452</v>
      </c>
      <c r="G41" s="97">
        <f>'Statement Y'!G42</f>
        <v>1773615</v>
      </c>
      <c r="I41" s="57">
        <f>'Statement Q'!C42</f>
        <v>0</v>
      </c>
      <c r="J41" s="57">
        <f>'Statement Q'!D42</f>
        <v>0</v>
      </c>
      <c r="K41" s="57">
        <f>'Statement Q'!E42</f>
        <v>0</v>
      </c>
      <c r="L41" s="57">
        <f>'Statement Q'!F42</f>
        <v>1529452</v>
      </c>
      <c r="M41" s="57">
        <f>'Statement Q'!G42</f>
        <v>1213993</v>
      </c>
      <c r="N41" s="57">
        <f>'Statement Q'!H42</f>
        <v>1418526</v>
      </c>
      <c r="O41" s="57">
        <f>'Statement Q'!I42</f>
        <v>1657631</v>
      </c>
      <c r="P41" s="57">
        <f>'Statement Q'!J42</f>
        <v>1773615</v>
      </c>
      <c r="R41" s="57">
        <f t="shared" si="3"/>
        <v>1773615</v>
      </c>
    </row>
    <row r="42" spans="2:18" outlineLevel="1" x14ac:dyDescent="0.2">
      <c r="B42" s="9" t="s">
        <v>116</v>
      </c>
      <c r="C42" s="95">
        <f>'Statement Y'!C43</f>
        <v>0</v>
      </c>
      <c r="D42" s="95">
        <f>'Statement Y'!D43</f>
        <v>349169</v>
      </c>
      <c r="E42" s="95">
        <f>'Statement Y'!E43</f>
        <v>775483</v>
      </c>
      <c r="F42" s="95">
        <f>'Statement Y'!F43</f>
        <v>736139</v>
      </c>
      <c r="G42" s="95">
        <f>'Statement Y'!G43</f>
        <v>696795</v>
      </c>
      <c r="I42" s="34">
        <f>'Statement Q'!C43</f>
        <v>0</v>
      </c>
      <c r="J42" s="34">
        <f>'Statement Q'!D43</f>
        <v>0</v>
      </c>
      <c r="K42" s="34">
        <f>'Statement Q'!E43</f>
        <v>0</v>
      </c>
      <c r="L42" s="34">
        <f>'Statement Q'!F43</f>
        <v>736139</v>
      </c>
      <c r="M42" s="34">
        <f>'Statement Q'!G43</f>
        <v>726303</v>
      </c>
      <c r="N42" s="34">
        <f>'Statement Q'!H43</f>
        <v>716467</v>
      </c>
      <c r="O42" s="34">
        <f>'Statement Q'!I43</f>
        <v>706631</v>
      </c>
      <c r="P42" s="34">
        <f>'Statement Q'!J43</f>
        <v>696795</v>
      </c>
      <c r="R42" s="34">
        <f t="shared" si="3"/>
        <v>696795</v>
      </c>
    </row>
    <row r="43" spans="2:18" outlineLevel="1" x14ac:dyDescent="0.2">
      <c r="B43" s="9" t="s">
        <v>110</v>
      </c>
      <c r="C43" s="95">
        <f>'Statement Y'!C44</f>
        <v>0</v>
      </c>
      <c r="D43" s="95">
        <f>'Statement Y'!D44</f>
        <v>61779</v>
      </c>
      <c r="E43" s="95">
        <f>'Statement Y'!E44</f>
        <v>63043</v>
      </c>
      <c r="F43" s="95">
        <f>'Statement Y'!F44</f>
        <v>145377</v>
      </c>
      <c r="G43" s="95">
        <f>'Statement Y'!G44</f>
        <v>140981</v>
      </c>
      <c r="I43" s="34">
        <f>'Statement Q'!C44</f>
        <v>0</v>
      </c>
      <c r="J43" s="34">
        <f>'Statement Q'!D44</f>
        <v>0</v>
      </c>
      <c r="K43" s="34">
        <f>'Statement Q'!E44</f>
        <v>0</v>
      </c>
      <c r="L43" s="34">
        <f>'Statement Q'!F44</f>
        <v>145377</v>
      </c>
      <c r="M43" s="34">
        <f>'Statement Q'!G44</f>
        <v>143339</v>
      </c>
      <c r="N43" s="34">
        <f>'Statement Q'!H44</f>
        <v>140126</v>
      </c>
      <c r="O43" s="34">
        <f>'Statement Q'!I44</f>
        <v>146661</v>
      </c>
      <c r="P43" s="34">
        <f>'Statement Q'!J44</f>
        <v>140981</v>
      </c>
      <c r="R43" s="34">
        <f t="shared" si="3"/>
        <v>140981</v>
      </c>
    </row>
    <row r="44" spans="2:18" outlineLevel="1" x14ac:dyDescent="0.2">
      <c r="B44" s="9" t="s">
        <v>102</v>
      </c>
      <c r="C44" s="95">
        <f>'Statement Y'!C45</f>
        <v>0</v>
      </c>
      <c r="D44" s="95">
        <f>'Statement Y'!D45</f>
        <v>60976</v>
      </c>
      <c r="E44" s="95">
        <f>'Statement Y'!E45</f>
        <v>16500</v>
      </c>
      <c r="F44" s="95">
        <f>'Statement Y'!F45</f>
        <v>9931</v>
      </c>
      <c r="G44" s="95">
        <f>'Statement Y'!G45</f>
        <v>16252</v>
      </c>
      <c r="I44" s="34">
        <f>'Statement Q'!C45</f>
        <v>0</v>
      </c>
      <c r="J44" s="34">
        <f>'Statement Q'!D45</f>
        <v>0</v>
      </c>
      <c r="K44" s="34">
        <f>'Statement Q'!E45</f>
        <v>0</v>
      </c>
      <c r="L44" s="34">
        <f>'Statement Q'!F45</f>
        <v>9931</v>
      </c>
      <c r="M44" s="34">
        <f>'Statement Q'!G45</f>
        <v>16255</v>
      </c>
      <c r="N44" s="34">
        <f>'Statement Q'!H45</f>
        <v>19235</v>
      </c>
      <c r="O44" s="34">
        <f>'Statement Q'!I45</f>
        <v>18846</v>
      </c>
      <c r="P44" s="34">
        <f>'Statement Q'!J45</f>
        <v>16252</v>
      </c>
      <c r="R44" s="34">
        <f t="shared" si="3"/>
        <v>16252</v>
      </c>
    </row>
    <row r="45" spans="2:18" outlineLevel="1" x14ac:dyDescent="0.2">
      <c r="B45" s="9" t="s">
        <v>111</v>
      </c>
      <c r="C45" s="95">
        <f>'Statement Y'!C46</f>
        <v>0</v>
      </c>
      <c r="D45" s="95">
        <f>'Statement Y'!D46</f>
        <v>25980</v>
      </c>
      <c r="E45" s="95">
        <f>'Statement Y'!E46</f>
        <v>28019</v>
      </c>
      <c r="F45" s="95">
        <f>'Statement Y'!F46</f>
        <v>37288</v>
      </c>
      <c r="G45" s="95">
        <f>'Statement Y'!G46</f>
        <v>45580</v>
      </c>
      <c r="I45" s="34">
        <f>'Statement Q'!C46</f>
        <v>0</v>
      </c>
      <c r="J45" s="34">
        <f>'Statement Q'!D46</f>
        <v>0</v>
      </c>
      <c r="K45" s="34">
        <f>'Statement Q'!E46</f>
        <v>0</v>
      </c>
      <c r="L45" s="34">
        <f>'Statement Q'!F46</f>
        <v>37288</v>
      </c>
      <c r="M45" s="34">
        <f>'Statement Q'!G46</f>
        <v>37279</v>
      </c>
      <c r="N45" s="34">
        <f>'Statement Q'!H46</f>
        <v>37230</v>
      </c>
      <c r="O45" s="34">
        <f>'Statement Q'!I46</f>
        <v>36985</v>
      </c>
      <c r="P45" s="34">
        <f>'Statement Q'!J46</f>
        <v>45580</v>
      </c>
      <c r="R45" s="34">
        <f t="shared" si="3"/>
        <v>45580</v>
      </c>
    </row>
    <row r="46" spans="2:18" outlineLevel="1" x14ac:dyDescent="0.2">
      <c r="B46" s="11" t="s">
        <v>29</v>
      </c>
      <c r="C46" s="97">
        <f>'Statement Y'!C47</f>
        <v>0</v>
      </c>
      <c r="D46" s="97">
        <f>'Statement Y'!D47</f>
        <v>497904</v>
      </c>
      <c r="E46" s="97">
        <f>'Statement Y'!E47</f>
        <v>883045</v>
      </c>
      <c r="F46" s="97">
        <f>'Statement Y'!F47</f>
        <v>928735</v>
      </c>
      <c r="G46" s="97">
        <f>'Statement Y'!G47</f>
        <v>899608</v>
      </c>
      <c r="I46" s="57">
        <f>'Statement Q'!C47</f>
        <v>0</v>
      </c>
      <c r="J46" s="57">
        <f>'Statement Q'!D47</f>
        <v>0</v>
      </c>
      <c r="K46" s="57">
        <f>'Statement Q'!E47</f>
        <v>0</v>
      </c>
      <c r="L46" s="57">
        <f>'Statement Q'!F47</f>
        <v>928735</v>
      </c>
      <c r="M46" s="57">
        <f>'Statement Q'!G47</f>
        <v>923176</v>
      </c>
      <c r="N46" s="57">
        <f>'Statement Q'!H47</f>
        <v>913058</v>
      </c>
      <c r="O46" s="57">
        <f>'Statement Q'!I47</f>
        <v>909123</v>
      </c>
      <c r="P46" s="57">
        <f>'Statement Q'!J47</f>
        <v>899608</v>
      </c>
      <c r="R46" s="57">
        <f t="shared" si="3"/>
        <v>899608</v>
      </c>
    </row>
    <row r="47" spans="2:18" outlineLevel="1" x14ac:dyDescent="0.2">
      <c r="B47" s="17" t="s">
        <v>30</v>
      </c>
      <c r="C47" s="94">
        <f>'Statement Y'!C48</f>
        <v>0</v>
      </c>
      <c r="D47" s="94">
        <f>'Statement Y'!D48</f>
        <v>1466602</v>
      </c>
      <c r="E47" s="94">
        <f>'Statement Y'!E48</f>
        <v>2008177</v>
      </c>
      <c r="F47" s="94">
        <f>'Statement Y'!F48</f>
        <v>2458187</v>
      </c>
      <c r="G47" s="94">
        <f>'Statement Y'!G48</f>
        <v>2673223</v>
      </c>
      <c r="I47" s="55">
        <f>'Statement Q'!C48</f>
        <v>0</v>
      </c>
      <c r="J47" s="55">
        <f>'Statement Q'!D48</f>
        <v>0</v>
      </c>
      <c r="K47" s="55">
        <f>'Statement Q'!E48</f>
        <v>0</v>
      </c>
      <c r="L47" s="55">
        <f>'Statement Q'!F48</f>
        <v>2458187</v>
      </c>
      <c r="M47" s="55">
        <f>'Statement Q'!G48</f>
        <v>2137169</v>
      </c>
      <c r="N47" s="55">
        <f>'Statement Q'!H48</f>
        <v>2331584</v>
      </c>
      <c r="O47" s="55">
        <f>'Statement Q'!I48</f>
        <v>2566675</v>
      </c>
      <c r="P47" s="55">
        <f>'Statement Q'!J48</f>
        <v>2673223</v>
      </c>
      <c r="R47" s="55">
        <f t="shared" si="3"/>
        <v>2673223</v>
      </c>
    </row>
    <row r="48" spans="2:18" outlineLevel="1" x14ac:dyDescent="0.2">
      <c r="B48" s="9" t="s">
        <v>32</v>
      </c>
      <c r="C48" s="95">
        <f>'Statement Y'!C49</f>
        <v>0</v>
      </c>
      <c r="D48" s="95">
        <f>'Statement Y'!D49</f>
        <v>14</v>
      </c>
      <c r="E48" s="95">
        <f>'Statement Y'!E49</f>
        <v>14</v>
      </c>
      <c r="F48" s="95">
        <f>'Statement Y'!F49</f>
        <v>14</v>
      </c>
      <c r="G48" s="95">
        <f>'Statement Y'!G49</f>
        <v>14</v>
      </c>
      <c r="I48" s="34">
        <f>'Statement Q'!C49</f>
        <v>0</v>
      </c>
      <c r="J48" s="34">
        <f>'Statement Q'!D49</f>
        <v>0</v>
      </c>
      <c r="K48" s="34">
        <f>'Statement Q'!E49</f>
        <v>0</v>
      </c>
      <c r="L48" s="34">
        <f>'Statement Q'!F49</f>
        <v>14</v>
      </c>
      <c r="M48" s="34">
        <f>'Statement Q'!G49</f>
        <v>14</v>
      </c>
      <c r="N48" s="34">
        <f>'Statement Q'!H49</f>
        <v>14</v>
      </c>
      <c r="O48" s="34">
        <f>'Statement Q'!I49</f>
        <v>14</v>
      </c>
      <c r="P48" s="34">
        <f>'Statement Q'!J49</f>
        <v>14</v>
      </c>
      <c r="R48" s="34">
        <f t="shared" si="3"/>
        <v>14</v>
      </c>
    </row>
    <row r="49" spans="2:18" outlineLevel="1" x14ac:dyDescent="0.2">
      <c r="B49" s="9" t="s">
        <v>97</v>
      </c>
      <c r="C49" s="95">
        <f>'Statement Y'!C50</f>
        <v>0</v>
      </c>
      <c r="D49" s="95">
        <f>'Statement Y'!D50</f>
        <v>941206</v>
      </c>
      <c r="E49" s="95">
        <f>'Statement Y'!E50</f>
        <v>1009590</v>
      </c>
      <c r="F49" s="95">
        <f>'Statement Y'!F50</f>
        <v>1038213</v>
      </c>
      <c r="G49" s="95">
        <f>'Statement Y'!G50</f>
        <v>1045504</v>
      </c>
      <c r="I49" s="34">
        <f>'Statement Q'!C50</f>
        <v>0</v>
      </c>
      <c r="J49" s="34">
        <f>'Statement Q'!D50</f>
        <v>0</v>
      </c>
      <c r="K49" s="34">
        <f>'Statement Q'!E50</f>
        <v>0</v>
      </c>
      <c r="L49" s="34">
        <f>'Statement Q'!F50</f>
        <v>1038213</v>
      </c>
      <c r="M49" s="34">
        <f>'Statement Q'!G50</f>
        <v>1008739</v>
      </c>
      <c r="N49" s="34">
        <f>'Statement Q'!H50</f>
        <v>1018879</v>
      </c>
      <c r="O49" s="34">
        <f>'Statement Q'!I50</f>
        <v>1034251</v>
      </c>
      <c r="P49" s="34">
        <f>'Statement Q'!J50</f>
        <v>1045504</v>
      </c>
      <c r="R49" s="34">
        <f t="shared" si="3"/>
        <v>1045504</v>
      </c>
    </row>
    <row r="50" spans="2:18" outlineLevel="1" x14ac:dyDescent="0.2">
      <c r="B50" s="9" t="s">
        <v>33</v>
      </c>
      <c r="C50" s="95">
        <f>'Statement Y'!C51</f>
        <v>0</v>
      </c>
      <c r="D50" s="95">
        <f>'Statement Y'!D51</f>
        <v>896738</v>
      </c>
      <c r="E50" s="95">
        <f>'Statement Y'!E51</f>
        <v>470319</v>
      </c>
      <c r="F50" s="95">
        <f>'Statement Y'!F51</f>
        <v>909024</v>
      </c>
      <c r="G50" s="95">
        <f>'Statement Y'!G51</f>
        <v>1610398</v>
      </c>
      <c r="I50" s="34">
        <f>'Statement Q'!C51</f>
        <v>0</v>
      </c>
      <c r="J50" s="34">
        <f>'Statement Q'!D51</f>
        <v>0</v>
      </c>
      <c r="K50" s="34">
        <f>'Statement Q'!E51</f>
        <v>0</v>
      </c>
      <c r="L50" s="34">
        <f>'Statement Q'!F51</f>
        <v>909024</v>
      </c>
      <c r="M50" s="34">
        <f>'Statement Q'!G51</f>
        <v>1026859</v>
      </c>
      <c r="N50" s="34">
        <f>'Statement Q'!H51</f>
        <v>1166457</v>
      </c>
      <c r="O50" s="34">
        <f>'Statement Q'!I51</f>
        <v>1355186</v>
      </c>
      <c r="P50" s="34">
        <f>'Statement Q'!J51</f>
        <v>1610398</v>
      </c>
      <c r="R50" s="95">
        <f t="shared" si="3"/>
        <v>1610398</v>
      </c>
    </row>
    <row r="51" spans="2:18" outlineLevel="1" x14ac:dyDescent="0.2">
      <c r="B51" s="9" t="s">
        <v>112</v>
      </c>
      <c r="C51" s="95">
        <f>'Statement Y'!C52</f>
        <v>0</v>
      </c>
      <c r="D51" s="95">
        <f>'Statement Y'!D52</f>
        <v>-9669</v>
      </c>
      <c r="E51" s="95">
        <f>'Statement Y'!E52</f>
        <v>-1030</v>
      </c>
      <c r="F51" s="95">
        <f>'Statement Y'!F52</f>
        <v>-11279</v>
      </c>
      <c r="G51" s="95">
        <f>'Statement Y'!G52</f>
        <v>20295</v>
      </c>
      <c r="I51" s="34">
        <f>'Statement Q'!C52</f>
        <v>0</v>
      </c>
      <c r="J51" s="34">
        <f>'Statement Q'!D52</f>
        <v>0</v>
      </c>
      <c r="K51" s="34">
        <f>'Statement Q'!E52</f>
        <v>0</v>
      </c>
      <c r="L51" s="34">
        <f>'Statement Q'!F52</f>
        <v>-11279</v>
      </c>
      <c r="M51" s="34">
        <f>'Statement Q'!G52</f>
        <v>2621</v>
      </c>
      <c r="N51" s="34">
        <f>'Statement Q'!H52</f>
        <v>22323</v>
      </c>
      <c r="O51" s="34">
        <f>'Statement Q'!I52</f>
        <v>18846</v>
      </c>
      <c r="P51" s="34">
        <f>'Statement Q'!J52</f>
        <v>20295</v>
      </c>
      <c r="R51" s="95">
        <f t="shared" si="3"/>
        <v>20295</v>
      </c>
    </row>
    <row r="52" spans="2:18" outlineLevel="1" x14ac:dyDescent="0.2">
      <c r="B52" s="11" t="s">
        <v>34</v>
      </c>
      <c r="C52" s="97">
        <f>'Statement Y'!C53</f>
        <v>0</v>
      </c>
      <c r="D52" s="97">
        <f>'Statement Y'!D53</f>
        <v>1828289</v>
      </c>
      <c r="E52" s="97">
        <f>'Statement Y'!E53</f>
        <v>1478893</v>
      </c>
      <c r="F52" s="97">
        <f>'Statement Y'!F53</f>
        <v>1935972</v>
      </c>
      <c r="G52" s="97">
        <f>'Statement Y'!G53</f>
        <v>2676211</v>
      </c>
      <c r="I52" s="104">
        <f>'Statement Q'!C53</f>
        <v>0</v>
      </c>
      <c r="J52" s="104">
        <f>'Statement Q'!D53</f>
        <v>0</v>
      </c>
      <c r="K52" s="104">
        <f>'Statement Q'!E53</f>
        <v>0</v>
      </c>
      <c r="L52" s="104">
        <f>'Statement Q'!F53</f>
        <v>1935972</v>
      </c>
      <c r="M52" s="104">
        <f>'Statement Q'!G53</f>
        <v>2038233</v>
      </c>
      <c r="N52" s="104">
        <f>'Statement Q'!H53</f>
        <v>2207673</v>
      </c>
      <c r="O52" s="104">
        <f>'Statement Q'!I53</f>
        <v>2408297</v>
      </c>
      <c r="P52" s="104">
        <f>'Statement Q'!J53</f>
        <v>2676211</v>
      </c>
      <c r="R52" s="104">
        <f t="shared" si="3"/>
        <v>2676211</v>
      </c>
    </row>
    <row r="53" spans="2:18" ht="17" outlineLevel="1" thickBot="1" x14ac:dyDescent="0.25">
      <c r="B53" s="19" t="s">
        <v>35</v>
      </c>
      <c r="C53" s="98">
        <f>'Statement Y'!C54</f>
        <v>0</v>
      </c>
      <c r="D53" s="98">
        <f>'Statement Y'!D54</f>
        <v>3294891</v>
      </c>
      <c r="E53" s="98">
        <f>'Statement Y'!E54</f>
        <v>3487070</v>
      </c>
      <c r="F53" s="98">
        <f>'Statement Y'!F54</f>
        <v>4394159</v>
      </c>
      <c r="G53" s="98">
        <f>'Statement Y'!G54</f>
        <v>5349434</v>
      </c>
      <c r="I53" s="105">
        <f>'Statement Q'!C54</f>
        <v>0</v>
      </c>
      <c r="J53" s="105">
        <f>'Statement Q'!D54</f>
        <v>0</v>
      </c>
      <c r="K53" s="105">
        <f>'Statement Q'!E54</f>
        <v>0</v>
      </c>
      <c r="L53" s="105">
        <f>'Statement Q'!F54</f>
        <v>4394159</v>
      </c>
      <c r="M53" s="105">
        <f>'Statement Q'!G54</f>
        <v>4175402</v>
      </c>
      <c r="N53" s="105">
        <f>'Statement Q'!H54</f>
        <v>4539257</v>
      </c>
      <c r="O53" s="105">
        <f>'Statement Q'!I54</f>
        <v>4974972</v>
      </c>
      <c r="P53" s="105">
        <f>'Statement Q'!J54</f>
        <v>5349434</v>
      </c>
      <c r="R53" s="105">
        <f t="shared" si="3"/>
        <v>5349434</v>
      </c>
    </row>
    <row r="55" spans="2:18" ht="17" thickBot="1" x14ac:dyDescent="0.25">
      <c r="B55" s="15" t="s">
        <v>36</v>
      </c>
      <c r="C55" s="14"/>
      <c r="D55" s="14"/>
      <c r="E55" s="14"/>
      <c r="F55" s="14"/>
      <c r="G55" s="91"/>
      <c r="I55" s="14"/>
      <c r="J55" s="14"/>
      <c r="K55" s="14"/>
      <c r="L55" s="14"/>
      <c r="M55" s="14"/>
      <c r="N55" s="14"/>
      <c r="O55" s="14"/>
      <c r="P55" s="14"/>
      <c r="R55" s="14"/>
    </row>
    <row r="56" spans="2:18" outlineLevel="1" x14ac:dyDescent="0.2">
      <c r="B56" s="9" t="s">
        <v>13</v>
      </c>
      <c r="C56" s="95">
        <f>'Statement Y'!C57</f>
        <v>331113</v>
      </c>
      <c r="D56" s="95">
        <f>'Statement Y'!D57</f>
        <v>232354</v>
      </c>
      <c r="E56" s="95">
        <f>'Statement Y'!E57</f>
        <v>167078</v>
      </c>
      <c r="F56" s="95">
        <f>'Statement Y'!F57</f>
        <v>438705</v>
      </c>
      <c r="G56" s="95">
        <f>'Statement Y'!G57</f>
        <v>701374</v>
      </c>
      <c r="I56" s="95">
        <f>'Statement Q'!C57</f>
        <v>109612</v>
      </c>
      <c r="J56" s="95">
        <f>'Statement Q'!D57</f>
        <v>68048</v>
      </c>
      <c r="K56" s="95">
        <f>'Statement Q'!E57</f>
        <v>132329</v>
      </c>
      <c r="L56" s="95">
        <f>'Statement Q'!F57</f>
        <v>128716</v>
      </c>
      <c r="M56" s="95">
        <f>'Statement Q'!G57</f>
        <v>117835</v>
      </c>
      <c r="N56" s="95">
        <f>'Statement Q'!H57</f>
        <v>139598</v>
      </c>
      <c r="O56" s="95">
        <f>'Statement Q'!I57</f>
        <v>188729</v>
      </c>
      <c r="P56" s="95">
        <f>'Statement Q'!J57</f>
        <v>255212</v>
      </c>
      <c r="R56" s="95">
        <f>SUM(M56:P56)</f>
        <v>701374</v>
      </c>
    </row>
    <row r="57" spans="2:18" outlineLevel="1" x14ac:dyDescent="0.2">
      <c r="B57" s="9" t="s">
        <v>37</v>
      </c>
      <c r="C57" s="95">
        <f>'Statement Y'!C58</f>
        <v>78183</v>
      </c>
      <c r="D57" s="95">
        <f>'Statement Y'!D58</f>
        <v>86708</v>
      </c>
      <c r="E57" s="95">
        <f>'Statement Y'!E58</f>
        <v>103821</v>
      </c>
      <c r="F57" s="95">
        <f>'Statement Y'!F58</f>
        <v>123109</v>
      </c>
      <c r="G57" s="95">
        <f>'Statement Y'!G58</f>
        <v>139631</v>
      </c>
      <c r="I57" s="95">
        <f>'Statement Q'!C58</f>
        <v>0</v>
      </c>
      <c r="J57" s="95">
        <f>'Statement Q'!D58</f>
        <v>0</v>
      </c>
      <c r="K57" s="95">
        <f>'Statement Q'!E58</f>
        <v>0</v>
      </c>
      <c r="L57" s="95">
        <f>'Statement Q'!F58</f>
        <v>0</v>
      </c>
      <c r="M57" s="95">
        <f>'Statement Q'!G58</f>
        <v>31946</v>
      </c>
      <c r="N57" s="95">
        <f>'Statement Q'!H58</f>
        <v>35071</v>
      </c>
      <c r="O57" s="95">
        <f>'Statement Q'!I58</f>
        <v>33673</v>
      </c>
      <c r="P57" s="95">
        <f>'Statement Q'!J58</f>
        <v>38941</v>
      </c>
      <c r="R57" s="95">
        <f t="shared" ref="R57:R73" si="4">SUM(M57:P57)</f>
        <v>139631</v>
      </c>
    </row>
    <row r="58" spans="2:18" outlineLevel="1" x14ac:dyDescent="0.2">
      <c r="B58" s="12" t="s">
        <v>98</v>
      </c>
      <c r="C58" s="95">
        <f>'Statement Y'!C59</f>
        <v>13924</v>
      </c>
      <c r="D58" s="95">
        <f>'Statement Y'!D59</f>
        <v>5509</v>
      </c>
      <c r="E58" s="95">
        <f>'Statement Y'!E59</f>
        <v>46966</v>
      </c>
      <c r="F58" s="95">
        <f>'Statement Y'!F59</f>
        <v>84531</v>
      </c>
      <c r="G58" s="95">
        <f>'Statement Y'!G59</f>
        <v>43872</v>
      </c>
      <c r="I58" s="95">
        <f>'Statement Q'!C59</f>
        <v>0</v>
      </c>
      <c r="J58" s="95">
        <f>'Statement Q'!D59</f>
        <v>0</v>
      </c>
      <c r="K58" s="95">
        <f>'Statement Q'!E59</f>
        <v>0</v>
      </c>
      <c r="L58" s="95">
        <f>'Statement Q'!F59</f>
        <v>0</v>
      </c>
      <c r="M58" s="95">
        <f>'Statement Q'!G59</f>
        <v>11550</v>
      </c>
      <c r="N58" s="95">
        <f>'Statement Q'!H59</f>
        <v>10928</v>
      </c>
      <c r="O58" s="95">
        <f>'Statement Q'!I59</f>
        <v>9120</v>
      </c>
      <c r="P58" s="95">
        <f>'Statement Q'!J59</f>
        <v>12274</v>
      </c>
      <c r="R58" s="95">
        <f t="shared" si="4"/>
        <v>43872</v>
      </c>
    </row>
    <row r="59" spans="2:18" outlineLevel="1" x14ac:dyDescent="0.2">
      <c r="B59" s="12" t="s">
        <v>138</v>
      </c>
      <c r="C59" s="95">
        <f>'Statement Y'!C60</f>
        <v>0</v>
      </c>
      <c r="D59" s="95">
        <f>'Statement Y'!D60</f>
        <v>0</v>
      </c>
      <c r="E59" s="95">
        <f>'Statement Y'!E60</f>
        <v>32200</v>
      </c>
      <c r="F59" s="95">
        <f>'Statement Y'!F60</f>
        <v>0</v>
      </c>
      <c r="G59" s="95">
        <f>'Statement Y'!G60</f>
        <v>0</v>
      </c>
      <c r="I59" s="95">
        <f>'Statement Q'!C60</f>
        <v>0</v>
      </c>
      <c r="J59" s="95">
        <f>'Statement Q'!D60</f>
        <v>0</v>
      </c>
      <c r="K59" s="95">
        <f>'Statement Q'!E60</f>
        <v>0</v>
      </c>
      <c r="L59" s="95">
        <f>'Statement Q'!F60</f>
        <v>0</v>
      </c>
      <c r="M59" s="95">
        <f>'Statement Q'!G60</f>
        <v>0</v>
      </c>
      <c r="N59" s="95">
        <f>'Statement Q'!H60</f>
        <v>0</v>
      </c>
      <c r="O59" s="95">
        <f>'Statement Q'!I60</f>
        <v>0</v>
      </c>
      <c r="P59" s="95">
        <f>'Statement Q'!J60</f>
        <v>0</v>
      </c>
      <c r="R59" s="95">
        <f t="shared" si="4"/>
        <v>0</v>
      </c>
    </row>
    <row r="60" spans="2:18" outlineLevel="1" x14ac:dyDescent="0.2">
      <c r="B60" s="12" t="s">
        <v>139</v>
      </c>
      <c r="C60" s="95">
        <f>'Statement Y'!C61</f>
        <v>7913</v>
      </c>
      <c r="D60" s="95">
        <f>'Statement Y'!D61</f>
        <v>8965</v>
      </c>
      <c r="E60" s="95">
        <f>'Statement Y'!E61</f>
        <v>4474</v>
      </c>
      <c r="F60" s="95">
        <f>'Statement Y'!F61</f>
        <v>4724</v>
      </c>
      <c r="G60" s="95">
        <f>'Statement Y'!G61</f>
        <v>4740</v>
      </c>
      <c r="I60" s="95">
        <f>'Statement Q'!C61</f>
        <v>0</v>
      </c>
      <c r="J60" s="95">
        <f>'Statement Q'!D61</f>
        <v>0</v>
      </c>
      <c r="K60" s="95">
        <f>'Statement Q'!E61</f>
        <v>0</v>
      </c>
      <c r="L60" s="95">
        <f>'Statement Q'!F61</f>
        <v>0</v>
      </c>
      <c r="M60" s="95">
        <f>'Statement Q'!G61</f>
        <v>3178</v>
      </c>
      <c r="N60" s="95">
        <f>'Statement Q'!H61</f>
        <v>204</v>
      </c>
      <c r="O60" s="95">
        <f>'Statement Q'!I61</f>
        <v>90</v>
      </c>
      <c r="P60" s="95">
        <f>'Statement Q'!J61</f>
        <v>1268</v>
      </c>
      <c r="R60" s="95">
        <f t="shared" si="4"/>
        <v>4740</v>
      </c>
    </row>
    <row r="61" spans="2:18" outlineLevel="1" x14ac:dyDescent="0.2">
      <c r="B61" s="12" t="s">
        <v>140</v>
      </c>
      <c r="C61" s="95">
        <f>'Statement Y'!C63</f>
        <v>13062</v>
      </c>
      <c r="D61" s="95">
        <f>'Statement Y'!D63</f>
        <v>15475</v>
      </c>
      <c r="E61" s="95">
        <f>'Statement Y'!E63</f>
        <v>14708</v>
      </c>
      <c r="F61" s="95">
        <f>'Statement Y'!F63</f>
        <v>19466</v>
      </c>
      <c r="G61" s="95">
        <f>'Statement Y'!G63</f>
        <v>20431</v>
      </c>
      <c r="I61" s="95">
        <f>'Statement Q'!C63</f>
        <v>0</v>
      </c>
      <c r="J61" s="95">
        <f>'Statement Q'!D63</f>
        <v>0</v>
      </c>
      <c r="K61" s="95">
        <f>'Statement Q'!E63</f>
        <v>0</v>
      </c>
      <c r="L61" s="95">
        <f>'Statement Q'!F63</f>
        <v>0</v>
      </c>
      <c r="M61" s="95">
        <f>'Statement Q'!G63</f>
        <v>4993</v>
      </c>
      <c r="N61" s="95">
        <f>'Statement Q'!H63</f>
        <v>4925</v>
      </c>
      <c r="O61" s="95">
        <f>'Statement Q'!I63</f>
        <v>5187</v>
      </c>
      <c r="P61" s="95">
        <f>'Statement Q'!J63</f>
        <v>5326</v>
      </c>
      <c r="R61" s="95">
        <f t="shared" si="4"/>
        <v>20431</v>
      </c>
    </row>
    <row r="62" spans="2:18" outlineLevel="1" x14ac:dyDescent="0.2">
      <c r="B62" s="12" t="s">
        <v>141</v>
      </c>
      <c r="C62" s="95">
        <f>'Statement Y'!C64</f>
        <v>-15127</v>
      </c>
      <c r="D62" s="95">
        <f>'Statement Y'!D64</f>
        <v>-16646</v>
      </c>
      <c r="E62" s="95">
        <f>'Statement Y'!E64</f>
        <v>-41735</v>
      </c>
      <c r="F62" s="95">
        <f>'Statement Y'!F64</f>
        <v>-47374</v>
      </c>
      <c r="G62" s="95">
        <f>'Statement Y'!G64</f>
        <v>38708</v>
      </c>
      <c r="I62" s="95">
        <f>'Statement Q'!C64</f>
        <v>0</v>
      </c>
      <c r="J62" s="95">
        <f>'Statement Q'!D64</f>
        <v>0</v>
      </c>
      <c r="K62" s="95">
        <f>'Statement Q'!E64</f>
        <v>0</v>
      </c>
      <c r="L62" s="95">
        <f>'Statement Q'!F64</f>
        <v>0</v>
      </c>
      <c r="M62" s="95">
        <f>'Statement Q'!G64</f>
        <v>-9211</v>
      </c>
      <c r="N62" s="95">
        <f>'Statement Q'!H64</f>
        <v>-12113</v>
      </c>
      <c r="O62" s="95">
        <f>'Statement Q'!I64</f>
        <v>62389</v>
      </c>
      <c r="P62" s="95">
        <f>'Statement Q'!J64</f>
        <v>-2357</v>
      </c>
      <c r="R62" s="95">
        <f t="shared" si="4"/>
        <v>38708</v>
      </c>
    </row>
    <row r="63" spans="2:18" outlineLevel="1" x14ac:dyDescent="0.2">
      <c r="B63" s="12" t="s">
        <v>142</v>
      </c>
      <c r="C63" s="95">
        <f>'Statement Y'!C65</f>
        <v>5398</v>
      </c>
      <c r="D63" s="95">
        <f>'Statement Y'!D65</f>
        <v>791</v>
      </c>
      <c r="E63" s="95">
        <f>'Statement Y'!E65</f>
        <v>8034</v>
      </c>
      <c r="F63" s="95">
        <f>'Statement Y'!F65</f>
        <v>886</v>
      </c>
      <c r="G63" s="95">
        <f>'Statement Y'!G65</f>
        <v>9386</v>
      </c>
      <c r="I63" s="95">
        <f>'Statement Q'!C65</f>
        <v>0</v>
      </c>
      <c r="J63" s="95">
        <f>'Statement Q'!D65</f>
        <v>0</v>
      </c>
      <c r="K63" s="95">
        <f>'Statement Q'!E65</f>
        <v>0</v>
      </c>
      <c r="L63" s="95">
        <f>'Statement Q'!F65</f>
        <v>0</v>
      </c>
      <c r="M63" s="95">
        <f>'Statement Q'!G65</f>
        <v>870</v>
      </c>
      <c r="N63" s="95">
        <f>'Statement Q'!H65</f>
        <v>1204</v>
      </c>
      <c r="O63" s="95">
        <f>'Statement Q'!I65</f>
        <v>1558</v>
      </c>
      <c r="P63" s="95">
        <f>'Statement Q'!J65</f>
        <v>5754</v>
      </c>
      <c r="R63" s="95">
        <f t="shared" si="4"/>
        <v>9386</v>
      </c>
    </row>
    <row r="64" spans="2:18" outlineLevel="1" x14ac:dyDescent="0.2">
      <c r="B64" s="9" t="s">
        <v>117</v>
      </c>
      <c r="C64" s="95">
        <f>SUM('Statement Y'!C66:C72)</f>
        <v>-205319</v>
      </c>
      <c r="D64" s="95">
        <f>SUM('Statement Y'!D66:D72)</f>
        <v>-128192</v>
      </c>
      <c r="E64" s="95">
        <f>SUM('Statement Y'!E66:E72)</f>
        <v>-54945</v>
      </c>
      <c r="F64" s="95">
        <f>SUM('Statement Y'!F66:F72)</f>
        <v>-177427</v>
      </c>
      <c r="G64" s="95">
        <f>SUM('Statement Y'!G66:G72)</f>
        <v>-334478</v>
      </c>
      <c r="I64" s="95">
        <f>SUM('Statement Q'!C69:C72)</f>
        <v>0</v>
      </c>
      <c r="J64" s="95">
        <f>SUM('Statement Q'!D69:D72)</f>
        <v>0</v>
      </c>
      <c r="K64" s="95">
        <f>SUM('Statement Q'!E69:E72)</f>
        <v>0</v>
      </c>
      <c r="L64" s="95">
        <f>SUM('Statement Q'!F69:F72)</f>
        <v>0</v>
      </c>
      <c r="M64" s="95">
        <f>SUM('Statement Q'!G69:G72)</f>
        <v>-327620</v>
      </c>
      <c r="N64" s="95">
        <f>SUM('Statement Q'!H69:H72)</f>
        <v>159997</v>
      </c>
      <c r="O64" s="95">
        <f>SUM('Statement Q'!I69:I72)</f>
        <v>233646</v>
      </c>
      <c r="P64" s="95">
        <f>SUM('Statement Q'!J69:J72)</f>
        <v>121294</v>
      </c>
      <c r="R64" s="95">
        <f t="shared" si="4"/>
        <v>187317</v>
      </c>
    </row>
    <row r="65" spans="2:18" outlineLevel="1" x14ac:dyDescent="0.2">
      <c r="B65" s="17" t="s">
        <v>40</v>
      </c>
      <c r="C65" s="94">
        <f>'Statement Y'!C73</f>
        <v>229147</v>
      </c>
      <c r="D65" s="94">
        <f>'Statement Y'!D73</f>
        <v>204964</v>
      </c>
      <c r="E65" s="94">
        <f>'Statement Y'!E73</f>
        <v>280601</v>
      </c>
      <c r="F65" s="94">
        <f>'Statement Y'!F73</f>
        <v>446620</v>
      </c>
      <c r="G65" s="94">
        <f>'Statement Y'!G73</f>
        <v>634132</v>
      </c>
      <c r="I65" s="94">
        <f>'Statement Q'!C73</f>
        <v>0</v>
      </c>
      <c r="J65" s="94">
        <f>'Statement Q'!D73</f>
        <v>0</v>
      </c>
      <c r="K65" s="94">
        <f>'Statement Q'!E73</f>
        <v>0</v>
      </c>
      <c r="L65" s="94">
        <f>'Statement Q'!F73</f>
        <v>0</v>
      </c>
      <c r="M65" s="94">
        <f>'Statement Q'!G73</f>
        <v>-54856</v>
      </c>
      <c r="N65" s="94">
        <f>'Statement Q'!H73</f>
        <v>-9082</v>
      </c>
      <c r="O65" s="94">
        <f>'Statement Q'!I73</f>
        <v>111014</v>
      </c>
      <c r="P65" s="94">
        <f>'Statement Q'!J73</f>
        <v>587056</v>
      </c>
      <c r="R65" s="94">
        <f t="shared" si="4"/>
        <v>634132</v>
      </c>
    </row>
    <row r="66" spans="2:18" outlineLevel="1" x14ac:dyDescent="0.2">
      <c r="B66" s="9" t="s">
        <v>146</v>
      </c>
      <c r="C66" s="95">
        <f>'Statement Y'!C74</f>
        <v>-47992</v>
      </c>
      <c r="D66" s="95">
        <f>'Statement Y'!D74</f>
        <v>-80257</v>
      </c>
      <c r="E66" s="95">
        <f>'Statement Y'!E74</f>
        <v>-122741</v>
      </c>
      <c r="F66" s="95">
        <f>'Statement Y'!F74</f>
        <v>-137687</v>
      </c>
      <c r="G66" s="95">
        <f>'Statement Y'!G74</f>
        <v>-146082</v>
      </c>
      <c r="I66" s="95">
        <f>'Statement Q'!C74</f>
        <v>0</v>
      </c>
      <c r="J66" s="95">
        <f>'Statement Q'!D74</f>
        <v>0</v>
      </c>
      <c r="K66" s="95">
        <f>'Statement Q'!E74</f>
        <v>0</v>
      </c>
      <c r="L66" s="95">
        <f>'Statement Q'!F74</f>
        <v>0</v>
      </c>
      <c r="M66" s="95">
        <f>'Statement Q'!G74</f>
        <v>-32661</v>
      </c>
      <c r="N66" s="95">
        <f>'Statement Q'!H74</f>
        <v>-27432</v>
      </c>
      <c r="O66" s="95">
        <f>'Statement Q'!I74</f>
        <v>-24845</v>
      </c>
      <c r="P66" s="95">
        <f>'Statement Q'!J74</f>
        <v>-61144</v>
      </c>
      <c r="R66" s="95">
        <f t="shared" si="4"/>
        <v>-146082</v>
      </c>
    </row>
    <row r="67" spans="2:18" outlineLevel="1" x14ac:dyDescent="0.2">
      <c r="B67" s="9" t="s">
        <v>147</v>
      </c>
      <c r="C67" s="95">
        <f>'Statement Y'!C75</f>
        <v>-5068</v>
      </c>
      <c r="D67" s="95">
        <f>'Statement Y'!D75</f>
        <v>-7348</v>
      </c>
      <c r="E67" s="95">
        <f>'Statement Y'!E75</f>
        <v>-8497</v>
      </c>
      <c r="F67" s="95">
        <f>'Statement Y'!F75</f>
        <v>-9916</v>
      </c>
      <c r="G67" s="95">
        <f>'Statement Y'!G75</f>
        <v>-12374</v>
      </c>
      <c r="I67" s="95">
        <f>'Statement Q'!C75</f>
        <v>0</v>
      </c>
      <c r="J67" s="95">
        <f>'Statement Q'!D75</f>
        <v>0</v>
      </c>
      <c r="K67" s="95">
        <f>'Statement Q'!E75</f>
        <v>0</v>
      </c>
      <c r="L67" s="95">
        <f>'Statement Q'!F75</f>
        <v>0</v>
      </c>
      <c r="M67" s="95">
        <f>'Statement Q'!G75</f>
        <v>-2836</v>
      </c>
      <c r="N67" s="95">
        <f>'Statement Q'!H75</f>
        <v>-171</v>
      </c>
      <c r="O67" s="95">
        <f>'Statement Q'!I75</f>
        <v>-6772</v>
      </c>
      <c r="P67" s="95">
        <f>'Statement Q'!J75</f>
        <v>-2595</v>
      </c>
      <c r="R67" s="95">
        <f t="shared" si="4"/>
        <v>-12374</v>
      </c>
    </row>
    <row r="68" spans="2:18" outlineLevel="1" x14ac:dyDescent="0.2">
      <c r="B68" s="9" t="s">
        <v>108</v>
      </c>
      <c r="C68" s="95">
        <f>'Statement Y'!C76</f>
        <v>-7014</v>
      </c>
      <c r="D68" s="95">
        <f>'Statement Y'!D76</f>
        <v>-6829</v>
      </c>
      <c r="E68" s="95">
        <f>'Statement Y'!E76</f>
        <v>-563</v>
      </c>
      <c r="F68" s="95">
        <f>'Statement Y'!F76</f>
        <v>-3578</v>
      </c>
      <c r="G68" s="95">
        <f>'Statement Y'!G76</f>
        <v>-1323</v>
      </c>
      <c r="I68" s="95">
        <f>'Statement Q'!C76</f>
        <v>0</v>
      </c>
      <c r="J68" s="95">
        <f>'Statement Q'!D76</f>
        <v>0</v>
      </c>
      <c r="K68" s="95">
        <f>'Statement Q'!E76</f>
        <v>0</v>
      </c>
      <c r="L68" s="95">
        <f>'Statement Q'!F76</f>
        <v>0</v>
      </c>
      <c r="M68" s="95">
        <f>'Statement Q'!G76</f>
        <v>-1312</v>
      </c>
      <c r="N68" s="95">
        <f>'Statement Q'!H76</f>
        <v>-3</v>
      </c>
      <c r="O68" s="95">
        <f>'Statement Q'!I76</f>
        <v>-7</v>
      </c>
      <c r="P68" s="95">
        <f>'Statement Q'!J76</f>
        <v>-1</v>
      </c>
      <c r="R68" s="95">
        <f t="shared" si="4"/>
        <v>-1323</v>
      </c>
    </row>
    <row r="69" spans="2:18" outlineLevel="1" x14ac:dyDescent="0.2">
      <c r="B69" s="17" t="s">
        <v>41</v>
      </c>
      <c r="C69" s="94">
        <f>'Statement Y'!C80</f>
        <v>-66366</v>
      </c>
      <c r="D69" s="94">
        <f>'Statement Y'!D80</f>
        <v>-52384</v>
      </c>
      <c r="E69" s="94">
        <f>'Statement Y'!E80</f>
        <v>-118075</v>
      </c>
      <c r="F69" s="94">
        <f>'Statement Y'!F80</f>
        <v>-151181</v>
      </c>
      <c r="G69" s="94">
        <f>'Statement Y'!G80</f>
        <v>-159779</v>
      </c>
      <c r="I69" s="94">
        <f>'Statement Q'!C80</f>
        <v>0</v>
      </c>
      <c r="J69" s="94">
        <f>'Statement Q'!D80</f>
        <v>0</v>
      </c>
      <c r="K69" s="94">
        <f>'Statement Q'!E80</f>
        <v>0</v>
      </c>
      <c r="L69" s="94">
        <f>'Statement Q'!F80</f>
        <v>0</v>
      </c>
      <c r="M69" s="94">
        <f>'Statement Q'!G80</f>
        <v>-36809</v>
      </c>
      <c r="N69" s="94">
        <f>'Statement Q'!H80</f>
        <v>-27606</v>
      </c>
      <c r="O69" s="94">
        <f>'Statement Q'!I80</f>
        <v>-31624</v>
      </c>
      <c r="P69" s="94">
        <f>'Statement Q'!J80</f>
        <v>-63740</v>
      </c>
      <c r="R69" s="94">
        <f t="shared" si="4"/>
        <v>-159779</v>
      </c>
    </row>
    <row r="70" spans="2:18" outlineLevel="1" x14ac:dyDescent="0.2">
      <c r="B70" s="9" t="s">
        <v>151</v>
      </c>
      <c r="C70" s="95">
        <f>'Statement Y'!C81</f>
        <v>110000</v>
      </c>
      <c r="D70" s="95">
        <f>'Statement Y'!D81</f>
        <v>259854</v>
      </c>
      <c r="E70" s="95">
        <f>'Statement Y'!E81</f>
        <v>800653</v>
      </c>
      <c r="F70" s="95">
        <f>'Statement Y'!F81</f>
        <v>0</v>
      </c>
      <c r="G70" s="95">
        <f>'Statement Y'!G81</f>
        <v>0</v>
      </c>
      <c r="I70" s="95">
        <f>'Statement Q'!C81</f>
        <v>0</v>
      </c>
      <c r="J70" s="95">
        <f>'Statement Q'!D81</f>
        <v>0</v>
      </c>
      <c r="K70" s="95">
        <f>'Statement Q'!E81</f>
        <v>0</v>
      </c>
      <c r="L70" s="95">
        <f>'Statement Q'!F81</f>
        <v>0</v>
      </c>
      <c r="M70" s="95">
        <f>'Statement Q'!G81</f>
        <v>0</v>
      </c>
      <c r="N70" s="95">
        <f>'Statement Q'!H81</f>
        <v>0</v>
      </c>
      <c r="O70" s="95">
        <f>'Statement Q'!I81</f>
        <v>0</v>
      </c>
      <c r="P70" s="95">
        <f>'Statement Q'!J81</f>
        <v>0</v>
      </c>
      <c r="R70" s="95">
        <f t="shared" si="4"/>
        <v>0</v>
      </c>
    </row>
    <row r="71" spans="2:18" outlineLevel="1" x14ac:dyDescent="0.2">
      <c r="B71" s="9" t="s">
        <v>152</v>
      </c>
      <c r="C71" s="95">
        <f>'Statement Y'!C82</f>
        <v>-122500</v>
      </c>
      <c r="D71" s="95">
        <f>'Statement Y'!D82</f>
        <v>-310000</v>
      </c>
      <c r="E71" s="95">
        <f>'Statement Y'!E82</f>
        <v>-442563</v>
      </c>
      <c r="F71" s="95">
        <f>'Statement Y'!F82</f>
        <v>-25313</v>
      </c>
      <c r="G71" s="95">
        <f>'Statement Y'!G82</f>
        <v>-40500</v>
      </c>
      <c r="I71" s="95">
        <f>'Statement Q'!C82</f>
        <v>0</v>
      </c>
      <c r="J71" s="95">
        <f>'Statement Q'!D82</f>
        <v>0</v>
      </c>
      <c r="K71" s="95">
        <f>'Statement Q'!E82</f>
        <v>0</v>
      </c>
      <c r="L71" s="95">
        <f>'Statement Q'!F82</f>
        <v>0</v>
      </c>
      <c r="M71" s="95">
        <f>'Statement Q'!G82</f>
        <v>-10125</v>
      </c>
      <c r="N71" s="95">
        <f>'Statement Q'!H82</f>
        <v>-10125</v>
      </c>
      <c r="O71" s="95">
        <f>'Statement Q'!I82</f>
        <v>-10125</v>
      </c>
      <c r="P71" s="95">
        <f>'Statement Q'!J82</f>
        <v>-10125</v>
      </c>
      <c r="R71" s="95">
        <f t="shared" si="4"/>
        <v>-40500</v>
      </c>
    </row>
    <row r="72" spans="2:18" outlineLevel="1" x14ac:dyDescent="0.2">
      <c r="B72" s="17" t="s">
        <v>42</v>
      </c>
      <c r="C72" s="94">
        <f>'Statement Y'!C89</f>
        <v>-54500</v>
      </c>
      <c r="D72" s="94">
        <f>'Statement Y'!D89</f>
        <v>-160170</v>
      </c>
      <c r="E72" s="94">
        <f>'Statement Y'!E89</f>
        <v>-234868</v>
      </c>
      <c r="F72" s="94">
        <f>'Statement Y'!F89</f>
        <v>-81221</v>
      </c>
      <c r="G72" s="94">
        <f>'Statement Y'!G89</f>
        <v>-77081</v>
      </c>
      <c r="I72" s="94">
        <f>'Statement Q'!C89</f>
        <v>0</v>
      </c>
      <c r="J72" s="94">
        <f>'Statement Q'!D89</f>
        <v>0</v>
      </c>
      <c r="K72" s="94">
        <f>'Statement Q'!E89</f>
        <v>0</v>
      </c>
      <c r="L72" s="94">
        <f>'Statement Q'!F89</f>
        <v>0</v>
      </c>
      <c r="M72" s="94">
        <f>'Statement Q'!G89</f>
        <v>-51149</v>
      </c>
      <c r="N72" s="94">
        <f>'Statement Q'!H89</f>
        <v>-10913</v>
      </c>
      <c r="O72" s="94">
        <f>'Statement Q'!I89</f>
        <v>-3873</v>
      </c>
      <c r="P72" s="94">
        <f>'Statement Q'!J89</f>
        <v>-11146</v>
      </c>
      <c r="R72" s="94">
        <f t="shared" si="4"/>
        <v>-77081</v>
      </c>
    </row>
    <row r="73" spans="2:18" outlineLevel="1" x14ac:dyDescent="0.2">
      <c r="B73" s="11" t="s">
        <v>43</v>
      </c>
      <c r="C73" s="97">
        <f>'Statement Y'!C91</f>
        <v>107577</v>
      </c>
      <c r="D73" s="97">
        <f>'Statement Y'!D91</f>
        <v>-21827</v>
      </c>
      <c r="E73" s="97">
        <f>'Statement Y'!E91</f>
        <v>-64709</v>
      </c>
      <c r="F73" s="97">
        <f>'Statement Y'!F91</f>
        <v>209608</v>
      </c>
      <c r="G73" s="97">
        <f>'Statement Y'!G91</f>
        <v>413620</v>
      </c>
      <c r="I73" s="97">
        <f>'Statement Q'!C91</f>
        <v>0</v>
      </c>
      <c r="J73" s="97">
        <f>'Statement Q'!D91</f>
        <v>0</v>
      </c>
      <c r="K73" s="97">
        <f>'Statement Q'!E91</f>
        <v>0</v>
      </c>
      <c r="L73" s="97">
        <f>'Statement Q'!F91</f>
        <v>0</v>
      </c>
      <c r="M73" s="97">
        <f>'Statement Q'!G91</f>
        <v>-138973</v>
      </c>
      <c r="N73" s="97">
        <f>'Statement Q'!H91</f>
        <v>-36467</v>
      </c>
      <c r="O73" s="97">
        <f>'Statement Q'!I91</f>
        <v>175440</v>
      </c>
      <c r="P73" s="97">
        <f>'Statement Q'!J91</f>
        <v>513473</v>
      </c>
      <c r="R73" s="97">
        <f t="shared" si="4"/>
        <v>513473</v>
      </c>
    </row>
    <row r="74" spans="2:18" outlineLevel="1" x14ac:dyDescent="0.2">
      <c r="B74" s="11" t="s">
        <v>44</v>
      </c>
      <c r="C74" s="97">
        <f>'Statement Y'!C92</f>
        <v>133020</v>
      </c>
      <c r="D74" s="97">
        <f>'Statement Y'!D92</f>
        <v>240597</v>
      </c>
      <c r="E74" s="97">
        <f>'Statement Y'!E92</f>
        <v>218770</v>
      </c>
      <c r="F74" s="97">
        <f>'Statement Y'!F92</f>
        <v>154061</v>
      </c>
      <c r="G74" s="97">
        <f>'Statement Y'!G92</f>
        <v>363669</v>
      </c>
      <c r="I74" s="97">
        <f>'Statement Q'!C92</f>
        <v>0</v>
      </c>
      <c r="J74" s="97">
        <f>'Statement Q'!D92</f>
        <v>0</v>
      </c>
      <c r="K74" s="97">
        <f>'Statement Q'!E92</f>
        <v>0</v>
      </c>
      <c r="L74" s="97">
        <f>'Statement Q'!F92</f>
        <v>0</v>
      </c>
      <c r="M74" s="97">
        <f>'Statement Q'!G92</f>
        <v>363669</v>
      </c>
      <c r="N74" s="97">
        <f>'Statement Q'!H92</f>
        <v>224696</v>
      </c>
      <c r="O74" s="97">
        <f>'Statement Q'!I92</f>
        <v>188229</v>
      </c>
      <c r="P74" s="97">
        <f>'Statement Q'!J92</f>
        <v>263816</v>
      </c>
      <c r="R74" s="97">
        <f>M74</f>
        <v>363669</v>
      </c>
    </row>
    <row r="75" spans="2:18" ht="17" outlineLevel="1" thickBot="1" x14ac:dyDescent="0.25">
      <c r="B75" s="19" t="s">
        <v>45</v>
      </c>
      <c r="C75" s="98">
        <f>'Statement Y'!C93</f>
        <v>240597</v>
      </c>
      <c r="D75" s="98">
        <f>'Statement Y'!D93</f>
        <v>218770</v>
      </c>
      <c r="E75" s="98">
        <f>'Statement Y'!E93</f>
        <v>154061</v>
      </c>
      <c r="F75" s="98">
        <f>'Statement Y'!F93</f>
        <v>363669</v>
      </c>
      <c r="G75" s="98">
        <f>'Statement Y'!G93</f>
        <v>777289</v>
      </c>
      <c r="I75" s="98">
        <f>'Statement Q'!C93</f>
        <v>0</v>
      </c>
      <c r="J75" s="98">
        <f>'Statement Q'!D93</f>
        <v>0</v>
      </c>
      <c r="K75" s="98">
        <f>'Statement Q'!E93</f>
        <v>0</v>
      </c>
      <c r="L75" s="98">
        <f>'Statement Q'!F93</f>
        <v>0</v>
      </c>
      <c r="M75" s="98">
        <f>'Statement Q'!G93</f>
        <v>224696</v>
      </c>
      <c r="N75" s="98">
        <f>'Statement Q'!H93</f>
        <v>188229</v>
      </c>
      <c r="O75" s="98">
        <f>'Statement Q'!I93</f>
        <v>263816</v>
      </c>
      <c r="P75" s="98">
        <f>'Statement Q'!J93</f>
        <v>777289</v>
      </c>
      <c r="R75" s="98">
        <f>P75</f>
        <v>777289</v>
      </c>
    </row>
    <row r="77" spans="2:18" ht="17" thickBot="1" x14ac:dyDescent="0.25">
      <c r="B77" s="15" t="s">
        <v>118</v>
      </c>
      <c r="C77" s="99"/>
      <c r="D77" s="99"/>
      <c r="E77" s="99"/>
      <c r="F77" s="99"/>
      <c r="G77" s="99"/>
      <c r="I77" s="99"/>
      <c r="J77" s="99"/>
      <c r="K77" s="99"/>
      <c r="L77" s="99"/>
      <c r="M77" s="99"/>
      <c r="N77" s="99"/>
      <c r="O77" s="99"/>
      <c r="P77" s="99"/>
      <c r="R77" s="99"/>
    </row>
    <row r="78" spans="2:18" x14ac:dyDescent="0.2">
      <c r="B78" s="9" t="s">
        <v>119</v>
      </c>
      <c r="C78" s="100">
        <f>C18/C5</f>
        <v>8.8841838757991023E-2</v>
      </c>
      <c r="D78" s="100">
        <f>D18/D5</f>
        <v>6.2505010268023117E-2</v>
      </c>
      <c r="E78" s="100">
        <f>E18/E5</f>
        <v>3.9278183044918438E-2</v>
      </c>
      <c r="F78" s="100">
        <f>F18/F5</f>
        <v>7.9351355731491963E-2</v>
      </c>
      <c r="G78" s="100">
        <f>G18/G5</f>
        <v>0.10960359345591972</v>
      </c>
      <c r="H78" s="100"/>
      <c r="I78" s="106"/>
      <c r="J78" s="106"/>
      <c r="K78" s="106"/>
      <c r="L78" s="106"/>
      <c r="M78" s="106"/>
      <c r="N78" s="106"/>
      <c r="O78" s="106"/>
      <c r="P78" s="106"/>
      <c r="R78" s="100">
        <f>R18/R5</f>
        <v>0.10960359345591972</v>
      </c>
    </row>
    <row r="79" spans="2:18" x14ac:dyDescent="0.2">
      <c r="B79" s="9" t="s">
        <v>120</v>
      </c>
      <c r="C79" s="106"/>
      <c r="D79" s="101">
        <f>D5/D36</f>
        <v>1.1282212370606493</v>
      </c>
      <c r="E79" s="101">
        <f>E5/E36</f>
        <v>1.2198521968300033</v>
      </c>
      <c r="F79" s="101">
        <f>F5/F36</f>
        <v>1.2581790963868171</v>
      </c>
      <c r="G79" s="101">
        <f>G5/G36</f>
        <v>1.1962364616518308</v>
      </c>
      <c r="H79" s="101"/>
      <c r="I79" s="106"/>
      <c r="J79" s="106"/>
      <c r="K79" s="106"/>
      <c r="L79" s="106"/>
      <c r="M79" s="106"/>
      <c r="N79" s="106"/>
      <c r="O79" s="106"/>
      <c r="P79" s="106"/>
      <c r="R79" s="101">
        <f>R5/R36</f>
        <v>1.1962364616518308</v>
      </c>
    </row>
    <row r="80" spans="2:18" x14ac:dyDescent="0.2">
      <c r="B80" s="11" t="s">
        <v>121</v>
      </c>
      <c r="C80" s="107"/>
      <c r="D80" s="102">
        <f t="shared" ref="D80:F80" si="5">D78*D79</f>
        <v>7.0519480007077626E-2</v>
      </c>
      <c r="E80" s="102">
        <f t="shared" si="5"/>
        <v>4.7913577874834745E-2</v>
      </c>
      <c r="F80" s="102">
        <f t="shared" si="5"/>
        <v>9.9838217051317443E-2</v>
      </c>
      <c r="G80" s="102">
        <f t="shared" ref="G80" si="6">G78*G79</f>
        <v>0.13111181482003517</v>
      </c>
      <c r="H80" s="102"/>
      <c r="I80" s="106"/>
      <c r="J80" s="106"/>
      <c r="K80" s="106"/>
      <c r="L80" s="106"/>
      <c r="M80" s="106"/>
      <c r="N80" s="106"/>
      <c r="O80" s="106"/>
      <c r="P80" s="106"/>
      <c r="R80" s="102">
        <f t="shared" ref="R80" si="7">R78*R79</f>
        <v>0.13111181482003517</v>
      </c>
    </row>
    <row r="81" spans="2:18" x14ac:dyDescent="0.2">
      <c r="B81" s="9" t="s">
        <v>122</v>
      </c>
      <c r="C81" s="107"/>
      <c r="D81" s="101">
        <f>D36/D52</f>
        <v>1.8021718667015991</v>
      </c>
      <c r="E81" s="101">
        <f>E36/E52</f>
        <v>2.3578920178809422</v>
      </c>
      <c r="F81" s="101">
        <f>F36/F52</f>
        <v>2.2697430541350805</v>
      </c>
      <c r="G81" s="101">
        <f>G36/G52</f>
        <v>1.9988834961069961</v>
      </c>
      <c r="H81" s="101"/>
      <c r="I81" s="106"/>
      <c r="J81" s="106"/>
      <c r="K81" s="106"/>
      <c r="L81" s="106"/>
      <c r="M81" s="106"/>
      <c r="N81" s="106"/>
      <c r="O81" s="106"/>
      <c r="P81" s="106"/>
      <c r="R81" s="101">
        <f>R36/R52</f>
        <v>1.9988834961069961</v>
      </c>
    </row>
    <row r="82" spans="2:18" x14ac:dyDescent="0.2">
      <c r="B82" s="11" t="s">
        <v>123</v>
      </c>
      <c r="C82" s="107"/>
      <c r="D82" s="102">
        <f t="shared" ref="D82:F82" si="8">D80*D81</f>
        <v>0.12708822292318117</v>
      </c>
      <c r="E82" s="102">
        <f t="shared" si="8"/>
        <v>0.11297504281918976</v>
      </c>
      <c r="F82" s="102">
        <f t="shared" si="8"/>
        <v>0.22660709968945833</v>
      </c>
      <c r="G82" s="102">
        <f t="shared" ref="G82" si="9">G80*G81</f>
        <v>0.262077242788405</v>
      </c>
      <c r="H82" s="102"/>
      <c r="I82" s="106"/>
      <c r="J82" s="106"/>
      <c r="K82" s="106"/>
      <c r="L82" s="106"/>
      <c r="M82" s="106"/>
      <c r="N82" s="106"/>
      <c r="O82" s="106"/>
      <c r="P82" s="106"/>
      <c r="R82" s="102">
        <f t="shared" ref="R82" si="10">R80*R81</f>
        <v>0.262077242788405</v>
      </c>
    </row>
    <row r="84" spans="2:18" ht="17" thickBot="1" x14ac:dyDescent="0.25">
      <c r="B84" s="99" t="s">
        <v>124</v>
      </c>
      <c r="C84" s="99"/>
      <c r="D84" s="99"/>
      <c r="E84" s="99"/>
      <c r="F84" s="99"/>
      <c r="G84" s="99"/>
      <c r="I84" s="99"/>
      <c r="J84" s="99"/>
      <c r="K84" s="99"/>
      <c r="L84" s="99"/>
      <c r="M84" s="99"/>
      <c r="N84" s="99"/>
      <c r="O84" s="99"/>
      <c r="P84" s="99"/>
      <c r="R84" s="99"/>
    </row>
    <row r="85" spans="2:18" x14ac:dyDescent="0.2">
      <c r="B85" s="11" t="s">
        <v>6</v>
      </c>
      <c r="C85" s="103"/>
      <c r="D85" s="102">
        <f t="shared" ref="D85:G86" si="11">(D5-C5)/C5</f>
        <v>-2.5833151327852954E-3</v>
      </c>
      <c r="E85" s="102">
        <f t="shared" si="11"/>
        <v>0.14428065463556722</v>
      </c>
      <c r="F85" s="102">
        <f t="shared" si="11"/>
        <v>0.29972165474374135</v>
      </c>
      <c r="G85" s="102">
        <f t="shared" si="11"/>
        <v>0.15746171887873309</v>
      </c>
      <c r="H85" s="102"/>
      <c r="I85" s="106"/>
      <c r="J85" s="102">
        <f t="shared" ref="J85:P86" si="12">(J5-I5)/I5</f>
        <v>0.17109848925370558</v>
      </c>
      <c r="K85" s="102">
        <f t="shared" si="12"/>
        <v>0.14247936584717352</v>
      </c>
      <c r="L85" s="102">
        <f t="shared" si="12"/>
        <v>0.25278956599274061</v>
      </c>
      <c r="M85" s="102">
        <f t="shared" si="12"/>
        <v>-0.31588692173790434</v>
      </c>
      <c r="N85" s="102">
        <f t="shared" si="12"/>
        <v>0.18176925631298879</v>
      </c>
      <c r="O85" s="102">
        <f t="shared" si="12"/>
        <v>0.12829059379490004</v>
      </c>
      <c r="P85" s="102">
        <f t="shared" si="12"/>
        <v>0.28903351653744236</v>
      </c>
      <c r="R85" s="106"/>
    </row>
    <row r="86" spans="2:18" x14ac:dyDescent="0.2">
      <c r="B86" s="9" t="s">
        <v>7</v>
      </c>
      <c r="C86" s="103"/>
      <c r="D86" s="100">
        <f t="shared" si="11"/>
        <v>8.0225095136774137E-3</v>
      </c>
      <c r="E86" s="100">
        <f t="shared" si="11"/>
        <v>1.6767713893892609E-2</v>
      </c>
      <c r="F86" s="100">
        <f t="shared" si="11"/>
        <v>0.22200405992178554</v>
      </c>
      <c r="G86" s="100">
        <f t="shared" si="11"/>
        <v>0.13815787637686944</v>
      </c>
      <c r="H86" s="100"/>
      <c r="I86" s="106"/>
      <c r="J86" s="100">
        <f t="shared" si="12"/>
        <v>0.200418449586832</v>
      </c>
      <c r="K86" s="100">
        <f t="shared" si="12"/>
        <v>0.12936910178013736</v>
      </c>
      <c r="L86" s="100">
        <f t="shared" si="12"/>
        <v>0.29547856017081331</v>
      </c>
      <c r="M86" s="100">
        <f t="shared" si="12"/>
        <v>-0.3464180838413074</v>
      </c>
      <c r="N86" s="100">
        <f t="shared" si="12"/>
        <v>0.18936830413359768</v>
      </c>
      <c r="O86" s="100">
        <f t="shared" si="12"/>
        <v>0.10324565058931003</v>
      </c>
      <c r="P86" s="100">
        <f t="shared" si="12"/>
        <v>0.34577390187395957</v>
      </c>
      <c r="R86" s="106"/>
    </row>
    <row r="87" spans="2:18" x14ac:dyDescent="0.2">
      <c r="B87" s="11" t="s">
        <v>8</v>
      </c>
      <c r="C87" s="103"/>
      <c r="D87" s="102">
        <f>IF(C7=0,
IF(D7=0,0,IF(D7&gt;0,1,-1)),
(D7-C7)/ABS(C7)
)</f>
        <v>-1.9462043799680709E-2</v>
      </c>
      <c r="E87" s="102">
        <f>IF(D7=0,
IF(E7=0,0,IF(E7&gt;0,1,-1)),
(E7-D7)/ABS(D7)
)</f>
        <v>0.35290038108231919</v>
      </c>
      <c r="F87" s="102">
        <f>IF(E7=0,
IF(F7=0,0,IF(F7&gt;0,1,-1)),
(F7-E7)/ABS(E7)
)</f>
        <v>0.39528170948270619</v>
      </c>
      <c r="G87" s="102">
        <f>IF(F7=0,
IF(G7=0,0,IF(G7&gt;0,1,-1)),
(G7-F7)/ABS(F7)
)</f>
        <v>0.17824966350374588</v>
      </c>
      <c r="H87" s="102"/>
      <c r="I87" s="106"/>
      <c r="J87" s="102">
        <f t="shared" ref="J87:P87" si="13">IF(I7=0,
IF(J7=0,0,IF(J7&gt;0,1,-1)),
(J7-I7)/ABS(I7)
)</f>
        <v>0.14105507418104618</v>
      </c>
      <c r="K87" s="102">
        <f t="shared" si="13"/>
        <v>0.15661200967217453</v>
      </c>
      <c r="L87" s="102">
        <f t="shared" si="13"/>
        <v>0.20785546044859979</v>
      </c>
      <c r="M87" s="102">
        <f t="shared" si="13"/>
        <v>-0.28141870803890084</v>
      </c>
      <c r="N87" s="102">
        <f t="shared" si="13"/>
        <v>0.17396630781829694</v>
      </c>
      <c r="O87" s="102">
        <f t="shared" si="13"/>
        <v>0.15434494970819029</v>
      </c>
      <c r="P87" s="102">
        <f t="shared" si="13"/>
        <v>0.23261921858810547</v>
      </c>
      <c r="R87" s="106"/>
    </row>
    <row r="88" spans="2:18" x14ac:dyDescent="0.2">
      <c r="B88" s="12" t="s">
        <v>10</v>
      </c>
      <c r="C88" s="103"/>
      <c r="D88" s="100">
        <f t="shared" ref="D88:G89" si="14">IF(C11=0,
IF(D11=0,0,IF(D11&gt;0,1,-1)),
(D11-C11)/ABS(C11)
)</f>
        <v>8.8899489662745385E-2</v>
      </c>
      <c r="E88" s="100">
        <f t="shared" si="14"/>
        <v>0.40912914898697672</v>
      </c>
      <c r="F88" s="100">
        <f t="shared" si="14"/>
        <v>0.31515660684304381</v>
      </c>
      <c r="G88" s="100">
        <f t="shared" si="14"/>
        <v>9.8313583559360082E-2</v>
      </c>
      <c r="H88" s="100"/>
      <c r="I88" s="106"/>
      <c r="J88" s="100">
        <f t="shared" ref="J88:P89" si="15">IF(I11=0,
IF(J11=0,0,IF(J11&gt;0,1,-1)),
(J11-I11)/ABS(I11)
)</f>
        <v>0.33735925203470774</v>
      </c>
      <c r="K88" s="100">
        <f t="shared" si="15"/>
        <v>3.5572955540846933E-2</v>
      </c>
      <c r="L88" s="100">
        <f t="shared" si="15"/>
        <v>0.23234999854296787</v>
      </c>
      <c r="M88" s="100">
        <f t="shared" si="15"/>
        <v>-0.27755515128967473</v>
      </c>
      <c r="N88" s="100">
        <f t="shared" si="15"/>
        <v>0.17727153705158419</v>
      </c>
      <c r="O88" s="100">
        <f t="shared" si="15"/>
        <v>2.7909994068801899E-2</v>
      </c>
      <c r="P88" s="100">
        <f t="shared" si="15"/>
        <v>0.1970020447980266</v>
      </c>
      <c r="R88" s="106"/>
    </row>
    <row r="89" spans="2:18" x14ac:dyDescent="0.2">
      <c r="B89" s="11" t="s">
        <v>11</v>
      </c>
      <c r="C89" s="103"/>
      <c r="D89" s="102">
        <f t="shared" si="14"/>
        <v>-0.26669967621737928</v>
      </c>
      <c r="E89" s="102">
        <f t="shared" si="14"/>
        <v>0.16239646019902046</v>
      </c>
      <c r="F89" s="102">
        <f t="shared" si="14"/>
        <v>0.72436851516741441</v>
      </c>
      <c r="G89" s="102">
        <f t="shared" si="14"/>
        <v>0.42864838348117401</v>
      </c>
      <c r="H89" s="102"/>
      <c r="I89" s="106"/>
      <c r="J89" s="102">
        <f t="shared" si="15"/>
        <v>-0.32983955286494299</v>
      </c>
      <c r="K89" s="102">
        <f t="shared" si="15"/>
        <v>0.736026041064756</v>
      </c>
      <c r="L89" s="102">
        <f t="shared" si="15"/>
        <v>0.13791037489875849</v>
      </c>
      <c r="M89" s="102">
        <f t="shared" si="15"/>
        <v>-0.293366874347949</v>
      </c>
      <c r="N89" s="102">
        <f t="shared" si="15"/>
        <v>0.16351606805293006</v>
      </c>
      <c r="O89" s="102">
        <f t="shared" si="15"/>
        <v>0.55882405260692447</v>
      </c>
      <c r="P89" s="102">
        <f t="shared" si="15"/>
        <v>0.30775492504498064</v>
      </c>
      <c r="R89" s="106"/>
    </row>
    <row r="90" spans="2:18" x14ac:dyDescent="0.2">
      <c r="B90" s="11" t="s">
        <v>12</v>
      </c>
      <c r="C90" s="103"/>
      <c r="D90" s="102">
        <f>IF(C16=0,
IF(D16=0,0,IF(D16&gt;0,1,-1)),
(D16-C16)/ABS(C16)
)</f>
        <v>-0.27114397841313365</v>
      </c>
      <c r="E90" s="102">
        <f>IF(D16=0,
IF(E16=0,0,IF(E16&gt;0,1,-1)),
(E16-D16)/ABS(D16)
)</f>
        <v>-2.8994913637808626E-2</v>
      </c>
      <c r="F90" s="102">
        <f>IF(E16=0,
IF(F16=0,0,IF(F16&gt;0,1,-1)),
(F16-E16)/ABS(E16)
)</f>
        <v>0.95229309615725644</v>
      </c>
      <c r="G90" s="102">
        <f>IF(F16=0,
IF(G16=0,0,IF(G16&gt;0,1,-1)),
(G16-F16)/ABS(F16)
)</f>
        <v>0.57262864060286445</v>
      </c>
      <c r="H90" s="102"/>
      <c r="I90" s="106"/>
      <c r="J90" s="102">
        <f t="shared" ref="J90" si="16">IF(I16=0,
IF(J16=0,0,IF(J16&gt;0,1,-1)),
(J16-I16)/ABS(I16)
)</f>
        <v>-0.37490590236150223</v>
      </c>
      <c r="K90" s="102">
        <f t="shared" ref="K90" si="17">IF(J16=0,
IF(K16=0,0,IF(K16&gt;0,1,-1)),
(K16-J16)/ABS(J16)
)</f>
        <v>0.94441408994101317</v>
      </c>
      <c r="L90" s="102">
        <f t="shared" ref="L90" si="18">IF(K16=0,
IF(L16=0,0,IF(L16&gt;0,1,-1)),
(L16-K16)/ABS(K16)
)</f>
        <v>-5.4112641001967006E-2</v>
      </c>
      <c r="M90" s="102">
        <f t="shared" ref="M90" si="19">IF(L16=0,
IF(M16=0,0,IF(M16&gt;0,1,-1)),
(M16-L16)/ABS(L16)
)</f>
        <v>-0.11766631704670155</v>
      </c>
      <c r="N90" s="102">
        <f t="shared" ref="N90" si="20">IF(M16=0,
IF(N16=0,0,IF(N16&gt;0,1,-1)),
(N16-M16)/ABS(M16)
)</f>
        <v>0.24291397827296901</v>
      </c>
      <c r="O90" s="102">
        <f t="shared" ref="O90" si="21">IF(N16=0,
IF(O16=0,0,IF(O16&gt;0,1,-1)),
(O16-N16)/ABS(N16)
)</f>
        <v>0.34888465046852973</v>
      </c>
      <c r="P90" s="102">
        <f t="shared" ref="P90" si="22">IF(O16=0,
IF(P16=0,0,IF(P16&gt;0,1,-1)),
(P16-O16)/ABS(O16)
)</f>
        <v>0.35195271995508071</v>
      </c>
      <c r="R90" s="106"/>
    </row>
    <row r="91" spans="2:18" x14ac:dyDescent="0.2">
      <c r="B91" s="11" t="s">
        <v>13</v>
      </c>
      <c r="C91" s="103"/>
      <c r="D91" s="102">
        <f>IF(C18=0,
IF(D18=0,0,IF(D18&gt;0,1,-1)),
(D18-C18)/ABS(C18)
)</f>
        <v>-0.29826373473708373</v>
      </c>
      <c r="E91" s="102">
        <f>IF(D18=0,
IF(E18=0,0,IF(E18&gt;0,1,-1)),
(E18-D18)/ABS(D18)
)</f>
        <v>-0.28093340334145311</v>
      </c>
      <c r="F91" s="102">
        <f>IF(E18=0,
IF(F18=0,0,IF(F18&gt;0,1,-1)),
(F18-E18)/ABS(E18)
)</f>
        <v>1.6257496498641353</v>
      </c>
      <c r="G91" s="102">
        <f>IF(F18=0,
IF(G18=0,0,IF(G18&gt;0,1,-1)),
(G18-F18)/ABS(F18)
)</f>
        <v>0.59873719241859569</v>
      </c>
      <c r="H91" s="102"/>
      <c r="I91" s="106"/>
      <c r="J91" s="102">
        <f t="shared" ref="J91" si="23">IF(I18=0,
IF(J18=0,0,IF(J18&gt;0,1,-1)),
(J18-I18)/ABS(I18)
)</f>
        <v>-0.37919205926358429</v>
      </c>
      <c r="K91" s="102">
        <f t="shared" ref="K91" si="24">IF(J18=0,
IF(K18=0,0,IF(K18&gt;0,1,-1)),
(K18-J18)/ABS(J18)
)</f>
        <v>0.94464201739948273</v>
      </c>
      <c r="L91" s="102">
        <f t="shared" ref="L91" si="25">IF(K18=0,
IF(L18=0,0,IF(L18&gt;0,1,-1)),
(L18-K18)/ABS(K18)
)</f>
        <v>-2.7303161060689644E-2</v>
      </c>
      <c r="M91" s="102">
        <f t="shared" ref="M91" si="26">IF(L18=0,
IF(M18=0,0,IF(M18&gt;0,1,-1)),
(M18-L18)/ABS(L18)
)</f>
        <v>-8.4534945150564034E-2</v>
      </c>
      <c r="N91" s="102">
        <f t="shared" ref="N91" si="27">IF(M18=0,
IF(N18=0,0,IF(N18&gt;0,1,-1)),
(N18-M18)/ABS(M18)
)</f>
        <v>0.18469045699495057</v>
      </c>
      <c r="O91" s="102">
        <f t="shared" ref="O91" si="28">IF(N18=0,
IF(O18=0,0,IF(O18&gt;0,1,-1)),
(O18-N18)/ABS(N18)
)</f>
        <v>0.35194630295562973</v>
      </c>
      <c r="P91" s="102">
        <f t="shared" ref="P91" si="29">IF(O18=0,
IF(P18=0,0,IF(P18&gt;0,1,-1)),
(P18-O18)/ABS(O18)
)</f>
        <v>0.35226700719020393</v>
      </c>
      <c r="R91" s="106"/>
    </row>
    <row r="92" spans="2:18" x14ac:dyDescent="0.2">
      <c r="B92" s="12" t="s">
        <v>15</v>
      </c>
      <c r="C92" s="103"/>
      <c r="D92" s="100">
        <f>(D19-C19)/C19</f>
        <v>0</v>
      </c>
      <c r="E92" s="100">
        <f>(E19-D19)/D19</f>
        <v>3.1442694430254062E-3</v>
      </c>
      <c r="F92" s="100">
        <f>(F19-E19)/E19</f>
        <v>1.1935159948357482E-2</v>
      </c>
      <c r="G92" s="100">
        <f>(G19-F19)/F19</f>
        <v>7.1305038133310655E-3</v>
      </c>
      <c r="H92" s="100"/>
      <c r="I92" s="106"/>
      <c r="J92" s="100">
        <f t="shared" ref="J92" si="30">(J19-I19)/I19</f>
        <v>1.5706843493031421E-3</v>
      </c>
      <c r="K92" s="100">
        <f t="shared" ref="K92" si="31">(K19-J19)/J19</f>
        <v>2.7106809344043599E-3</v>
      </c>
      <c r="L92" s="100">
        <f t="shared" ref="L92" si="32">(L19-K19)/K19</f>
        <v>1.5002901504536255E-3</v>
      </c>
      <c r="M92" s="100">
        <f t="shared" ref="M92" si="33">(M19-L19)/L19</f>
        <v>4.699048884240874E-3</v>
      </c>
      <c r="N92" s="100">
        <f t="shared" ref="N92" si="34">(N19-M19)/M19</f>
        <v>-2.1943551620095228E-3</v>
      </c>
      <c r="O92" s="100">
        <f t="shared" ref="O92" si="35">(O19-N19)/N19</f>
        <v>1.74806690585109E-3</v>
      </c>
      <c r="P92" s="100">
        <f t="shared" ref="P92" si="36">(P19-O19)/O19</f>
        <v>7.0363568558743031E-5</v>
      </c>
      <c r="R92" s="106"/>
    </row>
    <row r="93" spans="2:18" x14ac:dyDescent="0.2">
      <c r="B93" s="12" t="s">
        <v>17</v>
      </c>
      <c r="C93" s="103"/>
      <c r="D93" s="100">
        <f>IF(C20=0,
IF(D20=0,0,IF(D20&gt;0,1,-1)),
(D20-C20)/ABS(C20)
)</f>
        <v>-0.29831932773109243</v>
      </c>
      <c r="E93" s="100">
        <f>IF(D20=0,
IF(E20=0,0,IF(E20&gt;0,1,-1)),
(E20-D20)/ABS(D20)
)</f>
        <v>-0.28143712574850299</v>
      </c>
      <c r="F93" s="100">
        <f>IF(E20=0,
IF(F20=0,0,IF(F20&gt;0,1,-1)),
(F20-E20)/ABS(E20)
)</f>
        <v>1.5916666666666666</v>
      </c>
      <c r="G93" s="100">
        <f>IF(F20=0,
IF(G20=0,0,IF(G20&gt;0,1,-1)),
(G20-F20)/ABS(F20)
)</f>
        <v>0.5884244372990356</v>
      </c>
      <c r="H93" s="100"/>
      <c r="I93" s="106"/>
      <c r="J93" s="100">
        <f t="shared" ref="J93" si="37">IF(I20=0,
IF(J20=0,0,IF(J20&gt;0,1,-1)),
(J20-I20)/ABS(I20)
)</f>
        <v>-0.38461538461538464</v>
      </c>
      <c r="K93" s="100">
        <f t="shared" ref="K93" si="38">IF(J20=0,
IF(K20=0,0,IF(K20&gt;0,1,-1)),
(K20-J20)/ABS(J20)
)</f>
        <v>0.95833333333333326</v>
      </c>
      <c r="L93" s="100">
        <f t="shared" ref="L93" si="39">IF(K20=0,
IF(L20=0,0,IF(L20&gt;0,1,-1)),
(L20-K20)/ABS(K20)
)</f>
        <v>-3.1914893617021191E-2</v>
      </c>
      <c r="M93" s="100">
        <f t="shared" ref="M93" si="40">IF(L20=0,
IF(M20=0,0,IF(M20&gt;0,1,-1)),
(M20-L20)/ABS(L20)
)</f>
        <v>-8.7912087912087988E-2</v>
      </c>
      <c r="N93" s="100">
        <f t="shared" ref="N93" si="41">IF(M20=0,
IF(N20=0,0,IF(N20&gt;0,1,-1)),
(N20-M20)/ABS(M20)
)</f>
        <v>0.18072289156626509</v>
      </c>
      <c r="O93" s="100">
        <f t="shared" ref="O93" si="42">IF(N20=0,
IF(O20=0,0,IF(O20&gt;0,1,-1)),
(O20-N20)/ABS(N20)
)</f>
        <v>0.35714285714285726</v>
      </c>
      <c r="P93" s="100">
        <f t="shared" ref="P93" si="43">IF(O20=0,
IF(P20=0,0,IF(P20&gt;0,1,-1)),
(P20-O20)/ABS(O20)
)</f>
        <v>0.35338345864661652</v>
      </c>
      <c r="R93" s="106"/>
    </row>
    <row r="95" spans="2:18" ht="17" thickBot="1" x14ac:dyDescent="0.25">
      <c r="B95" s="15" t="s">
        <v>87</v>
      </c>
      <c r="C95" s="14"/>
      <c r="D95" s="14"/>
      <c r="E95" s="14"/>
      <c r="F95" s="14"/>
      <c r="G95" s="14"/>
      <c r="I95" s="14"/>
      <c r="J95" s="14"/>
      <c r="K95" s="14"/>
      <c r="L95" s="14"/>
      <c r="M95" s="14"/>
      <c r="N95" s="14"/>
      <c r="O95" s="14"/>
      <c r="P95" s="14"/>
      <c r="R95" s="14"/>
    </row>
    <row r="96" spans="2:18" x14ac:dyDescent="0.2">
      <c r="B96" s="9" t="s">
        <v>88</v>
      </c>
      <c r="C96" s="75">
        <f>C7/C5</f>
        <v>0.38588310042892476</v>
      </c>
      <c r="D96" s="75">
        <f t="shared" ref="D96:F96" si="44">D7/D5</f>
        <v>0.37935301501116653</v>
      </c>
      <c r="E96" s="75">
        <f t="shared" si="44"/>
        <v>0.44851482588140706</v>
      </c>
      <c r="F96" s="75">
        <f t="shared" si="44"/>
        <v>0.48149119521097328</v>
      </c>
      <c r="G96" s="75">
        <f t="shared" ref="G96" si="45">G7/G5</f>
        <v>0.4901387488537608</v>
      </c>
      <c r="I96" s="75">
        <f t="shared" ref="I96:P96" si="46">I7/I5</f>
        <v>0.49390655657138999</v>
      </c>
      <c r="J96" s="75">
        <f t="shared" si="46"/>
        <v>0.48123585481372799</v>
      </c>
      <c r="K96" s="75">
        <f t="shared" si="46"/>
        <v>0.48718881565942268</v>
      </c>
      <c r="L96" s="75">
        <f t="shared" si="46"/>
        <v>0.46971469689517659</v>
      </c>
      <c r="M96" s="75">
        <f t="shared" si="46"/>
        <v>0.49338070630881747</v>
      </c>
      <c r="N96" s="75">
        <f t="shared" si="46"/>
        <v>0.49012302785844597</v>
      </c>
      <c r="O96" s="75">
        <f t="shared" si="46"/>
        <v>0.50144089213858078</v>
      </c>
      <c r="P96" s="75">
        <f t="shared" si="46"/>
        <v>0.47949543026333447</v>
      </c>
      <c r="R96" s="75">
        <f t="shared" ref="R96" si="47">R7/R5</f>
        <v>0.4901387488537608</v>
      </c>
    </row>
    <row r="97" spans="2:18" x14ac:dyDescent="0.2">
      <c r="B97" s="9" t="s">
        <v>89</v>
      </c>
      <c r="C97" s="75">
        <f>C12/C5</f>
        <v>0.1175899397745207</v>
      </c>
      <c r="D97" s="75">
        <f t="shared" ref="D97:F97" si="48">D12/D5</f>
        <v>8.6452073860900439E-2</v>
      </c>
      <c r="E97" s="75">
        <f t="shared" si="48"/>
        <v>8.7820749416391813E-2</v>
      </c>
      <c r="F97" s="75">
        <f t="shared" si="48"/>
        <v>0.11651366638335402</v>
      </c>
      <c r="G97" s="75">
        <f t="shared" ref="G97" si="49">G12/G5</f>
        <v>0.1438121524168379</v>
      </c>
      <c r="I97" s="75">
        <f t="shared" ref="I97:P97" si="50">I12/I5</f>
        <v>0.14531788698102094</v>
      </c>
      <c r="J97" s="75">
        <f t="shared" si="50"/>
        <v>8.3158078513091649E-2</v>
      </c>
      <c r="K97" s="75">
        <f t="shared" si="50"/>
        <v>0.12636078527036254</v>
      </c>
      <c r="L97" s="75">
        <f t="shared" si="50"/>
        <v>0.11477366386393813</v>
      </c>
      <c r="M97" s="75">
        <f t="shared" si="50"/>
        <v>0.11855185263340416</v>
      </c>
      <c r="N97" s="75">
        <f t="shared" si="50"/>
        <v>0.11672074281806882</v>
      </c>
      <c r="O97" s="75">
        <f t="shared" si="50"/>
        <v>0.16125907841790166</v>
      </c>
      <c r="P97" s="75">
        <f t="shared" si="50"/>
        <v>0.16360114093518996</v>
      </c>
      <c r="R97" s="75">
        <f t="shared" ref="R97" si="51">R12/R5</f>
        <v>0.1438121524168379</v>
      </c>
    </row>
    <row r="98" spans="2:18" x14ac:dyDescent="0.2">
      <c r="B98" s="80" t="s">
        <v>90</v>
      </c>
      <c r="C98" s="108">
        <f>C18/C5</f>
        <v>8.8841838757991023E-2</v>
      </c>
      <c r="D98" s="108">
        <f t="shared" ref="D98:F98" si="52">D18/D5</f>
        <v>6.2505010268023117E-2</v>
      </c>
      <c r="E98" s="108">
        <f t="shared" si="52"/>
        <v>3.9278183044918438E-2</v>
      </c>
      <c r="F98" s="108">
        <f t="shared" si="52"/>
        <v>7.9351355731491963E-2</v>
      </c>
      <c r="G98" s="108">
        <f t="shared" ref="G98" si="53">G18/G5</f>
        <v>0.10960359345591972</v>
      </c>
      <c r="I98" s="108">
        <f t="shared" ref="I98:P98" si="54">I18/I5</f>
        <v>0.10280352795086979</v>
      </c>
      <c r="J98" s="108">
        <f t="shared" si="54"/>
        <v>5.4496907880300288E-2</v>
      </c>
      <c r="K98" s="108">
        <f t="shared" si="54"/>
        <v>9.27605172140651E-2</v>
      </c>
      <c r="L98" s="108">
        <f t="shared" si="54"/>
        <v>7.2021562377076381E-2</v>
      </c>
      <c r="M98" s="108">
        <f t="shared" si="54"/>
        <v>9.6377668614912995E-2</v>
      </c>
      <c r="N98" s="108">
        <f t="shared" si="54"/>
        <v>9.6615903371638806E-2</v>
      </c>
      <c r="O98" s="108">
        <f t="shared" si="54"/>
        <v>0.11576761703798213</v>
      </c>
      <c r="P98" s="108">
        <f t="shared" si="54"/>
        <v>0.12144659313592528</v>
      </c>
      <c r="R98" s="108">
        <f t="shared" ref="R98" si="55">R18/R5</f>
        <v>0.10960359345591972</v>
      </c>
    </row>
  </sheetData>
  <pageMargins left="0.7" right="0.7" top="0.75" bottom="0.75" header="0.3" footer="0.3"/>
  <ignoredErrors>
    <ignoredError sqref="C64:G64 I64:P64" formulaRange="1"/>
    <ignoredError sqref="D81:G81 D92:G92 J92:P92 R19 R8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Statement Y</vt:lpstr>
      <vt:lpstr>Statement Q</vt:lpstr>
      <vt:lpstr>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dumitras</dc:creator>
  <cp:lastModifiedBy>adi dumitras</cp:lastModifiedBy>
  <dcterms:created xsi:type="dcterms:W3CDTF">2025-11-16T22:36:04Z</dcterms:created>
  <dcterms:modified xsi:type="dcterms:W3CDTF">2026-05-06T22:16:55Z</dcterms:modified>
</cp:coreProperties>
</file>