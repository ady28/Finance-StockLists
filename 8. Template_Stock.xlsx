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KINGSTON/MyStockData/Finance-StockLists/"/>
    </mc:Choice>
  </mc:AlternateContent>
  <xr:revisionPtr revIDLastSave="0" documentId="13_ncr:1_{18EC6DE4-E46C-F74F-A4A5-60DF739FB75B}" xr6:coauthVersionLast="47" xr6:coauthVersionMax="47" xr10:uidLastSave="{00000000-0000-0000-0000-000000000000}"/>
  <bookViews>
    <workbookView xWindow="0" yWindow="0" windowWidth="25600" windowHeight="14400" firstSheet="8" activeTab="18" xr2:uid="{AEC0C047-6E16-294C-82BD-58123BA913A1}"/>
  </bookViews>
  <sheets>
    <sheet name="Overview" sheetId="2" r:id="rId1"/>
    <sheet name="Financials -&gt;" sheetId="10" r:id="rId2"/>
    <sheet name="Statement Y" sheetId="1" r:id="rId3"/>
    <sheet name="Statement Q" sheetId="3" r:id="rId4"/>
    <sheet name="Statements" sheetId="23" r:id="rId5"/>
    <sheet name="Forecast -&gt;" sheetId="8" r:id="rId6"/>
    <sheet name="Revenue" sheetId="6" r:id="rId7"/>
    <sheet name="COGS &amp; OpEx" sheetId="9" r:id="rId8"/>
    <sheet name="PP&amp;E" sheetId="11" r:id="rId9"/>
    <sheet name="Intangibles" sheetId="13" r:id="rId10"/>
    <sheet name="WC" sheetId="12" r:id="rId11"/>
    <sheet name="Other Assets &amp; Liabilities" sheetId="18" r:id="rId12"/>
    <sheet name="Financing" sheetId="19" r:id="rId13"/>
    <sheet name="Output -&gt;" sheetId="14" r:id="rId14"/>
    <sheet name="P&amp;L" sheetId="15" r:id="rId15"/>
    <sheet name="Balance Sheet" sheetId="16" r:id="rId16"/>
    <sheet name="Cash Flow" sheetId="17" r:id="rId17"/>
    <sheet name="Valuation -&gt;" sheetId="20" r:id="rId18"/>
    <sheet name="WACC" sheetId="21" r:id="rId19"/>
    <sheet name="DCF" sheetId="22" r:id="rId20"/>
    <sheet name="PE and PS" sheetId="24" r:id="rId21"/>
    <sheet name="AVG target price" sheetId="25" r:id="rId22"/>
  </sheets>
  <externalReferences>
    <externalReference r:id="rId23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1" l="1"/>
  <c r="C48" i="2"/>
  <c r="P20" i="23"/>
  <c r="H20" i="23"/>
  <c r="H18" i="23"/>
  <c r="P18" i="23"/>
  <c r="C102" i="1"/>
  <c r="C3" i="2"/>
  <c r="C15" i="2" s="1"/>
  <c r="G16" i="24"/>
  <c r="F16" i="24"/>
  <c r="E16" i="24"/>
  <c r="D16" i="24"/>
  <c r="C16" i="24"/>
  <c r="C34" i="2"/>
  <c r="C35" i="2" s="1"/>
  <c r="G7" i="24"/>
  <c r="D7" i="24"/>
  <c r="E7" i="24"/>
  <c r="F7" i="24"/>
  <c r="G12" i="24" s="1"/>
  <c r="C7" i="24"/>
  <c r="G6" i="24"/>
  <c r="F6" i="24"/>
  <c r="E6" i="24"/>
  <c r="D6" i="24"/>
  <c r="C6" i="24"/>
  <c r="S69" i="23"/>
  <c r="Q73" i="23"/>
  <c r="S73" i="23" s="1"/>
  <c r="P73" i="23"/>
  <c r="O73" i="23"/>
  <c r="N73" i="23"/>
  <c r="M73" i="23"/>
  <c r="L73" i="23"/>
  <c r="K73" i="23"/>
  <c r="J73" i="23"/>
  <c r="Q72" i="23"/>
  <c r="P72" i="23"/>
  <c r="O72" i="23"/>
  <c r="N72" i="23"/>
  <c r="S72" i="23" s="1"/>
  <c r="M72" i="23"/>
  <c r="L72" i="23"/>
  <c r="K72" i="23"/>
  <c r="J72" i="23"/>
  <c r="Q71" i="23"/>
  <c r="P71" i="23"/>
  <c r="O71" i="23"/>
  <c r="N71" i="23"/>
  <c r="S71" i="23" s="1"/>
  <c r="M71" i="23"/>
  <c r="L71" i="23"/>
  <c r="K71" i="23"/>
  <c r="J71" i="23"/>
  <c r="Q70" i="23"/>
  <c r="P70" i="23"/>
  <c r="O70" i="23"/>
  <c r="N70" i="23"/>
  <c r="S70" i="23" s="1"/>
  <c r="M70" i="23"/>
  <c r="L70" i="23"/>
  <c r="K70" i="23"/>
  <c r="Q68" i="23"/>
  <c r="P68" i="23"/>
  <c r="O68" i="23"/>
  <c r="N68" i="23"/>
  <c r="S68" i="23" s="1"/>
  <c r="M68" i="23"/>
  <c r="L68" i="23"/>
  <c r="K68" i="23"/>
  <c r="J70" i="23"/>
  <c r="J68" i="23"/>
  <c r="Q67" i="23"/>
  <c r="P67" i="23"/>
  <c r="O67" i="23"/>
  <c r="N67" i="23"/>
  <c r="S67" i="23" s="1"/>
  <c r="M67" i="23"/>
  <c r="L67" i="23"/>
  <c r="K67" i="23"/>
  <c r="Q66" i="23"/>
  <c r="P66" i="23"/>
  <c r="O66" i="23"/>
  <c r="N66" i="23"/>
  <c r="S66" i="23" s="1"/>
  <c r="M66" i="23"/>
  <c r="L66" i="23"/>
  <c r="K66" i="23"/>
  <c r="Q65" i="23"/>
  <c r="P65" i="23"/>
  <c r="O65" i="23"/>
  <c r="N65" i="23"/>
  <c r="S65" i="23" s="1"/>
  <c r="M65" i="23"/>
  <c r="L65" i="23"/>
  <c r="K65" i="23"/>
  <c r="J67" i="23"/>
  <c r="J66" i="23"/>
  <c r="J65" i="23"/>
  <c r="Q64" i="23"/>
  <c r="P64" i="23"/>
  <c r="O64" i="23"/>
  <c r="N64" i="23"/>
  <c r="S64" i="23" s="1"/>
  <c r="M64" i="23"/>
  <c r="L64" i="23"/>
  <c r="K64" i="23"/>
  <c r="Q63" i="23"/>
  <c r="P63" i="23"/>
  <c r="O63" i="23"/>
  <c r="N63" i="23"/>
  <c r="S63" i="23" s="1"/>
  <c r="M63" i="23"/>
  <c r="L63" i="23"/>
  <c r="K63" i="23"/>
  <c r="Q62" i="23"/>
  <c r="P62" i="23"/>
  <c r="O62" i="23"/>
  <c r="N62" i="23"/>
  <c r="S62" i="23" s="1"/>
  <c r="M62" i="23"/>
  <c r="L62" i="23"/>
  <c r="K62" i="23"/>
  <c r="Q61" i="23"/>
  <c r="P61" i="23"/>
  <c r="O61" i="23"/>
  <c r="N61" i="23"/>
  <c r="S61" i="23" s="1"/>
  <c r="M61" i="23"/>
  <c r="L61" i="23"/>
  <c r="K61" i="23"/>
  <c r="Q60" i="23"/>
  <c r="P60" i="23"/>
  <c r="O60" i="23"/>
  <c r="N60" i="23"/>
  <c r="S60" i="23" s="1"/>
  <c r="M60" i="23"/>
  <c r="L60" i="23"/>
  <c r="K60" i="23"/>
  <c r="Q59" i="23"/>
  <c r="P59" i="23"/>
  <c r="O59" i="23"/>
  <c r="N59" i="23"/>
  <c r="S59" i="23" s="1"/>
  <c r="M59" i="23"/>
  <c r="L59" i="23"/>
  <c r="K59" i="23"/>
  <c r="Q58" i="23"/>
  <c r="P58" i="23"/>
  <c r="O58" i="23"/>
  <c r="N58" i="23"/>
  <c r="S58" i="23" s="1"/>
  <c r="M58" i="23"/>
  <c r="L58" i="23"/>
  <c r="K58" i="23"/>
  <c r="Q57" i="23"/>
  <c r="P57" i="23"/>
  <c r="O57" i="23"/>
  <c r="N57" i="23"/>
  <c r="S57" i="23" s="1"/>
  <c r="M57" i="23"/>
  <c r="L57" i="23"/>
  <c r="K57" i="23"/>
  <c r="Q56" i="23"/>
  <c r="P56" i="23"/>
  <c r="O56" i="23"/>
  <c r="N56" i="23"/>
  <c r="S56" i="23" s="1"/>
  <c r="M56" i="23"/>
  <c r="L56" i="23"/>
  <c r="K56" i="23"/>
  <c r="J64" i="23"/>
  <c r="J63" i="23"/>
  <c r="J62" i="23"/>
  <c r="J61" i="23"/>
  <c r="J60" i="23"/>
  <c r="J59" i="23"/>
  <c r="J58" i="23"/>
  <c r="J57" i="23"/>
  <c r="J56" i="23"/>
  <c r="H73" i="23"/>
  <c r="G73" i="23"/>
  <c r="F73" i="23"/>
  <c r="E73" i="23"/>
  <c r="D73" i="23"/>
  <c r="H72" i="23"/>
  <c r="G72" i="23"/>
  <c r="F72" i="23"/>
  <c r="E72" i="23"/>
  <c r="D72" i="23"/>
  <c r="H71" i="23"/>
  <c r="G71" i="23"/>
  <c r="F71" i="23"/>
  <c r="E71" i="23"/>
  <c r="D71" i="23"/>
  <c r="C73" i="23"/>
  <c r="C72" i="23"/>
  <c r="C71" i="23"/>
  <c r="H70" i="23"/>
  <c r="G70" i="23"/>
  <c r="F70" i="23"/>
  <c r="E70" i="23"/>
  <c r="D70" i="23"/>
  <c r="H69" i="23"/>
  <c r="G69" i="23"/>
  <c r="F69" i="23"/>
  <c r="E69" i="23"/>
  <c r="D69" i="23"/>
  <c r="H68" i="23"/>
  <c r="G68" i="23"/>
  <c r="F68" i="23"/>
  <c r="E68" i="23"/>
  <c r="D68" i="23"/>
  <c r="C70" i="23"/>
  <c r="C69" i="23"/>
  <c r="C68" i="23"/>
  <c r="H67" i="23"/>
  <c r="G67" i="23"/>
  <c r="F67" i="23"/>
  <c r="E67" i="23"/>
  <c r="D67" i="23"/>
  <c r="H66" i="23"/>
  <c r="G66" i="23"/>
  <c r="F66" i="23"/>
  <c r="E66" i="23"/>
  <c r="D66" i="23"/>
  <c r="H65" i="23"/>
  <c r="G65" i="23"/>
  <c r="F65" i="23"/>
  <c r="E65" i="23"/>
  <c r="D65" i="23"/>
  <c r="C67" i="23"/>
  <c r="C66" i="23"/>
  <c r="C65" i="23"/>
  <c r="H64" i="23"/>
  <c r="G64" i="23"/>
  <c r="F64" i="23"/>
  <c r="E64" i="23"/>
  <c r="D64" i="23"/>
  <c r="C64" i="23"/>
  <c r="H63" i="23"/>
  <c r="G63" i="23"/>
  <c r="F63" i="23"/>
  <c r="E63" i="23"/>
  <c r="D63" i="23"/>
  <c r="C63" i="23"/>
  <c r="H62" i="23"/>
  <c r="G62" i="23"/>
  <c r="F62" i="23"/>
  <c r="E62" i="23"/>
  <c r="D62" i="23"/>
  <c r="H61" i="23"/>
  <c r="G61" i="23"/>
  <c r="F61" i="23"/>
  <c r="E61" i="23"/>
  <c r="D61" i="23"/>
  <c r="H60" i="23"/>
  <c r="G60" i="23"/>
  <c r="F60" i="23"/>
  <c r="E60" i="23"/>
  <c r="D60" i="23"/>
  <c r="H59" i="23"/>
  <c r="G59" i="23"/>
  <c r="F59" i="23"/>
  <c r="E59" i="23"/>
  <c r="D59" i="23"/>
  <c r="H58" i="23"/>
  <c r="G58" i="23"/>
  <c r="F58" i="23"/>
  <c r="E58" i="23"/>
  <c r="D58" i="23"/>
  <c r="H57" i="23"/>
  <c r="G57" i="23"/>
  <c r="F57" i="23"/>
  <c r="E57" i="23"/>
  <c r="D57" i="23"/>
  <c r="H56" i="23"/>
  <c r="G56" i="23"/>
  <c r="F56" i="23"/>
  <c r="E56" i="23"/>
  <c r="D56" i="23"/>
  <c r="C62" i="23"/>
  <c r="C61" i="23"/>
  <c r="C60" i="23"/>
  <c r="C59" i="23"/>
  <c r="C58" i="23"/>
  <c r="C57" i="23"/>
  <c r="C56" i="23"/>
  <c r="Q52" i="23"/>
  <c r="S52" i="23" s="1"/>
  <c r="P52" i="23"/>
  <c r="O52" i="23"/>
  <c r="N52" i="23"/>
  <c r="M52" i="23"/>
  <c r="L52" i="23"/>
  <c r="K52" i="23"/>
  <c r="J52" i="23"/>
  <c r="Q51" i="23"/>
  <c r="S51" i="23" s="1"/>
  <c r="P51" i="23"/>
  <c r="O51" i="23"/>
  <c r="N51" i="23"/>
  <c r="M51" i="23"/>
  <c r="L51" i="23"/>
  <c r="K51" i="23"/>
  <c r="J51" i="23"/>
  <c r="Q50" i="23"/>
  <c r="S50" i="23" s="1"/>
  <c r="P50" i="23"/>
  <c r="O50" i="23"/>
  <c r="N50" i="23"/>
  <c r="M50" i="23"/>
  <c r="L50" i="23"/>
  <c r="K50" i="23"/>
  <c r="J50" i="23"/>
  <c r="Q49" i="23"/>
  <c r="S49" i="23" s="1"/>
  <c r="P49" i="23"/>
  <c r="O49" i="23"/>
  <c r="N49" i="23"/>
  <c r="M49" i="23"/>
  <c r="L49" i="23"/>
  <c r="K49" i="23"/>
  <c r="J49" i="23"/>
  <c r="Q48" i="23"/>
  <c r="S48" i="23" s="1"/>
  <c r="P48" i="23"/>
  <c r="O48" i="23"/>
  <c r="N48" i="23"/>
  <c r="M48" i="23"/>
  <c r="L48" i="23"/>
  <c r="K48" i="23"/>
  <c r="J48" i="23"/>
  <c r="Q47" i="23"/>
  <c r="S47" i="23" s="1"/>
  <c r="P47" i="23"/>
  <c r="O47" i="23"/>
  <c r="N47" i="23"/>
  <c r="M47" i="23"/>
  <c r="L47" i="23"/>
  <c r="K47" i="23"/>
  <c r="J47" i="23"/>
  <c r="Q45" i="23"/>
  <c r="S45" i="23" s="1"/>
  <c r="P45" i="23"/>
  <c r="O45" i="23"/>
  <c r="N45" i="23"/>
  <c r="M45" i="23"/>
  <c r="L45" i="23"/>
  <c r="K45" i="23"/>
  <c r="J45" i="23"/>
  <c r="Q44" i="23"/>
  <c r="S44" i="23" s="1"/>
  <c r="P44" i="23"/>
  <c r="O44" i="23"/>
  <c r="N44" i="23"/>
  <c r="M44" i="23"/>
  <c r="L44" i="23"/>
  <c r="K44" i="23"/>
  <c r="J44" i="23"/>
  <c r="Q43" i="23"/>
  <c r="S43" i="23" s="1"/>
  <c r="P43" i="23"/>
  <c r="O43" i="23"/>
  <c r="N43" i="23"/>
  <c r="M43" i="23"/>
  <c r="L43" i="23"/>
  <c r="K43" i="23"/>
  <c r="J43" i="23"/>
  <c r="Q42" i="23"/>
  <c r="S42" i="23" s="1"/>
  <c r="P42" i="23"/>
  <c r="O42" i="23"/>
  <c r="N42" i="23"/>
  <c r="M42" i="23"/>
  <c r="L42" i="23"/>
  <c r="K42" i="23"/>
  <c r="J42" i="23"/>
  <c r="Q41" i="23"/>
  <c r="S41" i="23" s="1"/>
  <c r="P41" i="23"/>
  <c r="O41" i="23"/>
  <c r="N41" i="23"/>
  <c r="M41" i="23"/>
  <c r="L41" i="23"/>
  <c r="K41" i="23"/>
  <c r="J41" i="23"/>
  <c r="Q40" i="23"/>
  <c r="S40" i="23" s="1"/>
  <c r="P40" i="23"/>
  <c r="O40" i="23"/>
  <c r="N40" i="23"/>
  <c r="M40" i="23"/>
  <c r="L40" i="23"/>
  <c r="K40" i="23"/>
  <c r="J40" i="23"/>
  <c r="Q39" i="23"/>
  <c r="S39" i="23" s="1"/>
  <c r="P39" i="23"/>
  <c r="O39" i="23"/>
  <c r="N39" i="23"/>
  <c r="M39" i="23"/>
  <c r="L39" i="23"/>
  <c r="K39" i="23"/>
  <c r="J39" i="23"/>
  <c r="Q38" i="23"/>
  <c r="S38" i="23" s="1"/>
  <c r="P38" i="23"/>
  <c r="O38" i="23"/>
  <c r="N38" i="23"/>
  <c r="M38" i="23"/>
  <c r="L38" i="23"/>
  <c r="K38" i="23"/>
  <c r="J38" i="23"/>
  <c r="Q36" i="23"/>
  <c r="S36" i="23" s="1"/>
  <c r="P36" i="23"/>
  <c r="O36" i="23"/>
  <c r="N36" i="23"/>
  <c r="M36" i="23"/>
  <c r="L36" i="23"/>
  <c r="K36" i="23"/>
  <c r="J36" i="23"/>
  <c r="Q35" i="23"/>
  <c r="S35" i="23" s="1"/>
  <c r="P35" i="23"/>
  <c r="O35" i="23"/>
  <c r="N35" i="23"/>
  <c r="M35" i="23"/>
  <c r="L35" i="23"/>
  <c r="K35" i="23"/>
  <c r="J35" i="23"/>
  <c r="Q34" i="23"/>
  <c r="S34" i="23" s="1"/>
  <c r="P34" i="23"/>
  <c r="O34" i="23"/>
  <c r="N34" i="23"/>
  <c r="M34" i="23"/>
  <c r="L34" i="23"/>
  <c r="K34" i="23"/>
  <c r="J34" i="23"/>
  <c r="Q33" i="23"/>
  <c r="S33" i="23" s="1"/>
  <c r="P33" i="23"/>
  <c r="O33" i="23"/>
  <c r="N33" i="23"/>
  <c r="M33" i="23"/>
  <c r="L33" i="23"/>
  <c r="K33" i="23"/>
  <c r="J33" i="23"/>
  <c r="Q32" i="23"/>
  <c r="S32" i="23" s="1"/>
  <c r="P32" i="23"/>
  <c r="O32" i="23"/>
  <c r="N32" i="23"/>
  <c r="M32" i="23"/>
  <c r="L32" i="23"/>
  <c r="K32" i="23"/>
  <c r="J32" i="23"/>
  <c r="Q31" i="23"/>
  <c r="S31" i="23" s="1"/>
  <c r="P31" i="23"/>
  <c r="O31" i="23"/>
  <c r="N31" i="23"/>
  <c r="M31" i="23"/>
  <c r="L31" i="23"/>
  <c r="K31" i="23"/>
  <c r="J31" i="23"/>
  <c r="Q30" i="23"/>
  <c r="S30" i="23" s="1"/>
  <c r="P30" i="23"/>
  <c r="O30" i="23"/>
  <c r="N30" i="23"/>
  <c r="M30" i="23"/>
  <c r="L30" i="23"/>
  <c r="K30" i="23"/>
  <c r="J30" i="23"/>
  <c r="Q29" i="23"/>
  <c r="S29" i="23" s="1"/>
  <c r="P29" i="23"/>
  <c r="O29" i="23"/>
  <c r="N29" i="23"/>
  <c r="M29" i="23"/>
  <c r="L29" i="23"/>
  <c r="K29" i="23"/>
  <c r="J29" i="23"/>
  <c r="Q28" i="23"/>
  <c r="S28" i="23" s="1"/>
  <c r="P28" i="23"/>
  <c r="O28" i="23"/>
  <c r="N28" i="23"/>
  <c r="M28" i="23"/>
  <c r="L28" i="23"/>
  <c r="K28" i="23"/>
  <c r="J28" i="23"/>
  <c r="Q27" i="23"/>
  <c r="S27" i="23" s="1"/>
  <c r="P27" i="23"/>
  <c r="O27" i="23"/>
  <c r="N27" i="23"/>
  <c r="M27" i="23"/>
  <c r="L27" i="23"/>
  <c r="K27" i="23"/>
  <c r="J27" i="23"/>
  <c r="Q26" i="23"/>
  <c r="S26" i="23" s="1"/>
  <c r="P26" i="23"/>
  <c r="O26" i="23"/>
  <c r="N26" i="23"/>
  <c r="M26" i="23"/>
  <c r="L26" i="23"/>
  <c r="K26" i="23"/>
  <c r="J26" i="23"/>
  <c r="Q25" i="23"/>
  <c r="S25" i="23" s="1"/>
  <c r="P25" i="23"/>
  <c r="O25" i="23"/>
  <c r="N25" i="23"/>
  <c r="M25" i="23"/>
  <c r="L25" i="23"/>
  <c r="K25" i="23"/>
  <c r="J25" i="23"/>
  <c r="Q24" i="23"/>
  <c r="S24" i="23" s="1"/>
  <c r="P24" i="23"/>
  <c r="O24" i="23"/>
  <c r="N24" i="23"/>
  <c r="M24" i="23"/>
  <c r="L24" i="23"/>
  <c r="K24" i="23"/>
  <c r="J24" i="23"/>
  <c r="Q23" i="23"/>
  <c r="S23" i="23" s="1"/>
  <c r="C16" i="2" s="1"/>
  <c r="P23" i="23"/>
  <c r="O23" i="23"/>
  <c r="N23" i="23"/>
  <c r="M23" i="23"/>
  <c r="L23" i="23"/>
  <c r="K23" i="23"/>
  <c r="J23" i="23"/>
  <c r="H52" i="23"/>
  <c r="G52" i="23"/>
  <c r="F52" i="23"/>
  <c r="E52" i="23"/>
  <c r="D52" i="23"/>
  <c r="H51" i="23"/>
  <c r="G51" i="23"/>
  <c r="F51" i="23"/>
  <c r="E51" i="23"/>
  <c r="D51" i="23"/>
  <c r="H50" i="23"/>
  <c r="G50" i="23"/>
  <c r="F50" i="23"/>
  <c r="E50" i="23"/>
  <c r="D50" i="23"/>
  <c r="H49" i="23"/>
  <c r="G49" i="23"/>
  <c r="F49" i="23"/>
  <c r="E49" i="23"/>
  <c r="D49" i="23"/>
  <c r="H48" i="23"/>
  <c r="G48" i="23"/>
  <c r="F48" i="23"/>
  <c r="E48" i="23"/>
  <c r="D48" i="23"/>
  <c r="H47" i="23"/>
  <c r="G47" i="23"/>
  <c r="F47" i="23"/>
  <c r="E47" i="23"/>
  <c r="D47" i="23"/>
  <c r="H45" i="23"/>
  <c r="G45" i="23"/>
  <c r="F45" i="23"/>
  <c r="E45" i="23"/>
  <c r="D45" i="23"/>
  <c r="H44" i="23"/>
  <c r="G44" i="23"/>
  <c r="F44" i="23"/>
  <c r="E44" i="23"/>
  <c r="D44" i="23"/>
  <c r="H43" i="23"/>
  <c r="G43" i="23"/>
  <c r="F43" i="23"/>
  <c r="E43" i="23"/>
  <c r="D43" i="23"/>
  <c r="H42" i="23"/>
  <c r="G42" i="23"/>
  <c r="F42" i="23"/>
  <c r="E42" i="23"/>
  <c r="D42" i="23"/>
  <c r="H41" i="23"/>
  <c r="G41" i="23"/>
  <c r="F41" i="23"/>
  <c r="E41" i="23"/>
  <c r="D41" i="23"/>
  <c r="H40" i="23"/>
  <c r="G40" i="23"/>
  <c r="F40" i="23"/>
  <c r="E40" i="23"/>
  <c r="D40" i="23"/>
  <c r="H39" i="23"/>
  <c r="G39" i="23"/>
  <c r="F39" i="23"/>
  <c r="E39" i="23"/>
  <c r="D39" i="23"/>
  <c r="H38" i="23"/>
  <c r="H79" i="23" s="1"/>
  <c r="G38" i="23"/>
  <c r="G79" i="23" s="1"/>
  <c r="F38" i="23"/>
  <c r="F79" i="23" s="1"/>
  <c r="E38" i="23"/>
  <c r="E79" i="23" s="1"/>
  <c r="D38" i="23"/>
  <c r="D79" i="23" s="1"/>
  <c r="H36" i="23"/>
  <c r="G36" i="23"/>
  <c r="F36" i="23"/>
  <c r="E36" i="23"/>
  <c r="D36" i="23"/>
  <c r="H35" i="23"/>
  <c r="G35" i="23"/>
  <c r="F35" i="23"/>
  <c r="E35" i="23"/>
  <c r="D35" i="23"/>
  <c r="H34" i="23"/>
  <c r="G34" i="23"/>
  <c r="F34" i="23"/>
  <c r="E34" i="23"/>
  <c r="D34" i="23"/>
  <c r="H33" i="23"/>
  <c r="G33" i="23"/>
  <c r="F33" i="23"/>
  <c r="E33" i="23"/>
  <c r="D33" i="23"/>
  <c r="H32" i="23"/>
  <c r="G32" i="23"/>
  <c r="F32" i="23"/>
  <c r="E32" i="23"/>
  <c r="D32" i="23"/>
  <c r="H31" i="23"/>
  <c r="G31" i="23"/>
  <c r="F31" i="23"/>
  <c r="E31" i="23"/>
  <c r="D31" i="23"/>
  <c r="H30" i="23"/>
  <c r="G30" i="23"/>
  <c r="F30" i="23"/>
  <c r="E30" i="23"/>
  <c r="D30" i="23"/>
  <c r="H29" i="23"/>
  <c r="G29" i="23"/>
  <c r="F29" i="23"/>
  <c r="E29" i="23"/>
  <c r="D29" i="23"/>
  <c r="H28" i="23"/>
  <c r="G28" i="23"/>
  <c r="F28" i="23"/>
  <c r="E28" i="23"/>
  <c r="D28" i="23"/>
  <c r="H27" i="23"/>
  <c r="G27" i="23"/>
  <c r="F27" i="23"/>
  <c r="E27" i="23"/>
  <c r="D27" i="23"/>
  <c r="H26" i="23"/>
  <c r="G26" i="23"/>
  <c r="F26" i="23"/>
  <c r="E26" i="23"/>
  <c r="D26" i="23"/>
  <c r="H25" i="23"/>
  <c r="G25" i="23"/>
  <c r="F25" i="23"/>
  <c r="E25" i="23"/>
  <c r="D25" i="23"/>
  <c r="H24" i="23"/>
  <c r="G24" i="23"/>
  <c r="F24" i="23"/>
  <c r="E24" i="23"/>
  <c r="D24" i="23"/>
  <c r="H23" i="23"/>
  <c r="G23" i="23"/>
  <c r="F23" i="23"/>
  <c r="E23" i="23"/>
  <c r="D23" i="23"/>
  <c r="C52" i="23"/>
  <c r="C51" i="23"/>
  <c r="C50" i="23"/>
  <c r="C49" i="23"/>
  <c r="C48" i="23"/>
  <c r="C47" i="23"/>
  <c r="C45" i="23"/>
  <c r="C44" i="23"/>
  <c r="C43" i="23"/>
  <c r="C42" i="23"/>
  <c r="C41" i="23"/>
  <c r="C40" i="23"/>
  <c r="C39" i="23"/>
  <c r="C38" i="23"/>
  <c r="C79" i="23" s="1"/>
  <c r="C36" i="23"/>
  <c r="C35" i="23"/>
  <c r="C34" i="23"/>
  <c r="C33" i="23"/>
  <c r="C32" i="23"/>
  <c r="C31" i="23"/>
  <c r="C30" i="23"/>
  <c r="C29" i="23"/>
  <c r="C28" i="23"/>
  <c r="C27" i="23"/>
  <c r="C26" i="23"/>
  <c r="C25" i="23"/>
  <c r="C24" i="23"/>
  <c r="C23" i="23"/>
  <c r="Q20" i="23"/>
  <c r="O20" i="23"/>
  <c r="N20" i="23"/>
  <c r="O91" i="23" s="1"/>
  <c r="M20" i="23"/>
  <c r="N91" i="23" s="1"/>
  <c r="L20" i="23"/>
  <c r="K20" i="23"/>
  <c r="L91" i="23" s="1"/>
  <c r="J20" i="23"/>
  <c r="K91" i="23" s="1"/>
  <c r="Q19" i="23"/>
  <c r="P19" i="23"/>
  <c r="O19" i="23"/>
  <c r="N19" i="23"/>
  <c r="S19" i="23" s="1"/>
  <c r="M19" i="23"/>
  <c r="L19" i="23"/>
  <c r="K19" i="23"/>
  <c r="J19" i="23"/>
  <c r="Q18" i="23"/>
  <c r="O18" i="23"/>
  <c r="N18" i="23"/>
  <c r="M18" i="23"/>
  <c r="L18" i="23"/>
  <c r="K18" i="23"/>
  <c r="J18" i="23"/>
  <c r="Q17" i="23"/>
  <c r="P17" i="23"/>
  <c r="O17" i="23"/>
  <c r="N17" i="23"/>
  <c r="S17" i="23" s="1"/>
  <c r="M17" i="23"/>
  <c r="L17" i="23"/>
  <c r="K17" i="23"/>
  <c r="J17" i="23"/>
  <c r="Q16" i="23"/>
  <c r="P16" i="23"/>
  <c r="Q88" i="23" s="1"/>
  <c r="O16" i="23"/>
  <c r="P88" i="23" s="1"/>
  <c r="N16" i="23"/>
  <c r="M16" i="23"/>
  <c r="N88" i="23" s="1"/>
  <c r="L16" i="23"/>
  <c r="M88" i="23" s="1"/>
  <c r="K16" i="23"/>
  <c r="L88" i="23" s="1"/>
  <c r="J16" i="23"/>
  <c r="K88" i="23" s="1"/>
  <c r="Q15" i="23"/>
  <c r="P15" i="23"/>
  <c r="O15" i="23"/>
  <c r="N15" i="23"/>
  <c r="S15" i="23" s="1"/>
  <c r="M15" i="23"/>
  <c r="L15" i="23"/>
  <c r="K15" i="23"/>
  <c r="J15" i="23"/>
  <c r="Q14" i="23"/>
  <c r="P14" i="23"/>
  <c r="O14" i="23"/>
  <c r="N14" i="23"/>
  <c r="M14" i="23"/>
  <c r="L14" i="23"/>
  <c r="K14" i="23"/>
  <c r="J14" i="23"/>
  <c r="Q12" i="23"/>
  <c r="P12" i="23"/>
  <c r="O12" i="23"/>
  <c r="N12" i="23"/>
  <c r="M12" i="23"/>
  <c r="L12" i="23"/>
  <c r="K12" i="23"/>
  <c r="J12" i="23"/>
  <c r="Q10" i="23"/>
  <c r="P10" i="23"/>
  <c r="O10" i="23"/>
  <c r="N10" i="23"/>
  <c r="S10" i="23" s="1"/>
  <c r="M10" i="23"/>
  <c r="L10" i="23"/>
  <c r="K10" i="23"/>
  <c r="J10" i="23"/>
  <c r="Q9" i="23"/>
  <c r="P9" i="23"/>
  <c r="O9" i="23"/>
  <c r="N9" i="23"/>
  <c r="S9" i="23" s="1"/>
  <c r="M9" i="23"/>
  <c r="L9" i="23"/>
  <c r="K9" i="23"/>
  <c r="J9" i="23"/>
  <c r="Q8" i="23"/>
  <c r="P8" i="23"/>
  <c r="O8" i="23"/>
  <c r="N8" i="23"/>
  <c r="S8" i="23" s="1"/>
  <c r="M8" i="23"/>
  <c r="L8" i="23"/>
  <c r="K8" i="23"/>
  <c r="J8" i="23"/>
  <c r="Q6" i="23"/>
  <c r="Q84" i="23" s="1"/>
  <c r="P6" i="23"/>
  <c r="O6" i="23"/>
  <c r="O84" i="23" s="1"/>
  <c r="N6" i="23"/>
  <c r="M6" i="23"/>
  <c r="L6" i="23"/>
  <c r="K6" i="23"/>
  <c r="J6" i="23"/>
  <c r="Q5" i="23"/>
  <c r="P5" i="23"/>
  <c r="O5" i="23"/>
  <c r="N5" i="23"/>
  <c r="M5" i="23"/>
  <c r="M83" i="23" s="1"/>
  <c r="L5" i="23"/>
  <c r="K5" i="23"/>
  <c r="J5" i="23"/>
  <c r="H17" i="23"/>
  <c r="G20" i="23"/>
  <c r="F20" i="23"/>
  <c r="G91" i="23" s="1"/>
  <c r="E20" i="23"/>
  <c r="F91" i="23" s="1"/>
  <c r="D20" i="23"/>
  <c r="E91" i="23" s="1"/>
  <c r="H19" i="23"/>
  <c r="G19" i="23"/>
  <c r="F19" i="23"/>
  <c r="E19" i="23"/>
  <c r="D19" i="23"/>
  <c r="C20" i="23"/>
  <c r="D91" i="23" s="1"/>
  <c r="C19" i="23"/>
  <c r="G18" i="23"/>
  <c r="F18" i="23"/>
  <c r="E18" i="23"/>
  <c r="D18" i="23"/>
  <c r="G17" i="23"/>
  <c r="F17" i="23"/>
  <c r="E17" i="23"/>
  <c r="D17" i="23"/>
  <c r="H16" i="23"/>
  <c r="G16" i="23"/>
  <c r="H88" i="23" s="1"/>
  <c r="F16" i="23"/>
  <c r="G88" i="23" s="1"/>
  <c r="E16" i="23"/>
  <c r="F88" i="23" s="1"/>
  <c r="D16" i="23"/>
  <c r="E88" i="23" s="1"/>
  <c r="H15" i="23"/>
  <c r="G15" i="23"/>
  <c r="F15" i="23"/>
  <c r="E15" i="23"/>
  <c r="D15" i="23"/>
  <c r="H14" i="23"/>
  <c r="G14" i="23"/>
  <c r="F14" i="23"/>
  <c r="E14" i="23"/>
  <c r="D14" i="23"/>
  <c r="H12" i="23"/>
  <c r="G12" i="23"/>
  <c r="F12" i="23"/>
  <c r="E12" i="23"/>
  <c r="D12" i="23"/>
  <c r="H10" i="23"/>
  <c r="G10" i="23"/>
  <c r="F10" i="23"/>
  <c r="E10" i="23"/>
  <c r="D10" i="23"/>
  <c r="H9" i="23"/>
  <c r="G9" i="23"/>
  <c r="F9" i="23"/>
  <c r="E9" i="23"/>
  <c r="D9" i="23"/>
  <c r="H8" i="23"/>
  <c r="G8" i="23"/>
  <c r="F8" i="23"/>
  <c r="E8" i="23"/>
  <c r="D8" i="23"/>
  <c r="H6" i="23"/>
  <c r="G6" i="23"/>
  <c r="G84" i="23" s="1"/>
  <c r="F6" i="23"/>
  <c r="E6" i="23"/>
  <c r="D6" i="23"/>
  <c r="H5" i="23"/>
  <c r="G5" i="23"/>
  <c r="F5" i="23"/>
  <c r="E5" i="23"/>
  <c r="D5" i="23"/>
  <c r="C17" i="23"/>
  <c r="C18" i="23"/>
  <c r="C16" i="23"/>
  <c r="C15" i="23"/>
  <c r="C14" i="23"/>
  <c r="C6" i="23"/>
  <c r="C8" i="23"/>
  <c r="C9" i="23"/>
  <c r="C10" i="23"/>
  <c r="C12" i="23"/>
  <c r="C5" i="23"/>
  <c r="Q3" i="23"/>
  <c r="P3" i="23"/>
  <c r="O3" i="23"/>
  <c r="N3" i="23"/>
  <c r="M3" i="23"/>
  <c r="L3" i="23"/>
  <c r="K3" i="23"/>
  <c r="Q2" i="23"/>
  <c r="P2" i="23"/>
  <c r="O2" i="23"/>
  <c r="N2" i="23"/>
  <c r="M2" i="23"/>
  <c r="L2" i="23"/>
  <c r="K2" i="23"/>
  <c r="J3" i="23"/>
  <c r="J2" i="23"/>
  <c r="H2" i="23"/>
  <c r="G2" i="23"/>
  <c r="F2" i="23"/>
  <c r="E2" i="23"/>
  <c r="D2" i="23"/>
  <c r="C3" i="23"/>
  <c r="C2" i="23"/>
  <c r="N116" i="3"/>
  <c r="C5" i="21" s="1"/>
  <c r="C18" i="21"/>
  <c r="C8" i="21"/>
  <c r="D31" i="12"/>
  <c r="E31" i="12"/>
  <c r="F31" i="12"/>
  <c r="G31" i="12"/>
  <c r="C31" i="12"/>
  <c r="D30" i="12"/>
  <c r="E30" i="12"/>
  <c r="F30" i="12"/>
  <c r="G30" i="12"/>
  <c r="C30" i="12"/>
  <c r="D29" i="12"/>
  <c r="E29" i="12"/>
  <c r="F29" i="12"/>
  <c r="G29" i="12"/>
  <c r="C29" i="12"/>
  <c r="D28" i="12"/>
  <c r="E28" i="12"/>
  <c r="F28" i="12"/>
  <c r="G28" i="12"/>
  <c r="C28" i="12"/>
  <c r="D18" i="17"/>
  <c r="E18" i="17"/>
  <c r="F18" i="17"/>
  <c r="G18" i="17"/>
  <c r="C18" i="17"/>
  <c r="D15" i="17"/>
  <c r="E15" i="17"/>
  <c r="F15" i="17"/>
  <c r="G15" i="17"/>
  <c r="C15" i="17"/>
  <c r="D14" i="17"/>
  <c r="E14" i="17"/>
  <c r="F14" i="17"/>
  <c r="G14" i="17"/>
  <c r="C14" i="17"/>
  <c r="G13" i="17"/>
  <c r="F13" i="17"/>
  <c r="E13" i="17"/>
  <c r="D13" i="17"/>
  <c r="C13" i="17"/>
  <c r="G12" i="17"/>
  <c r="F12" i="17"/>
  <c r="E12" i="17"/>
  <c r="D12" i="17"/>
  <c r="C12" i="17"/>
  <c r="G11" i="17"/>
  <c r="F11" i="17"/>
  <c r="E11" i="17"/>
  <c r="D11" i="17"/>
  <c r="C11" i="17"/>
  <c r="G10" i="17"/>
  <c r="F10" i="17"/>
  <c r="E10" i="17"/>
  <c r="D10" i="17"/>
  <c r="C10" i="17"/>
  <c r="G33" i="16"/>
  <c r="F33" i="16"/>
  <c r="E33" i="16"/>
  <c r="D33" i="16"/>
  <c r="C33" i="16"/>
  <c r="G32" i="16"/>
  <c r="F32" i="16"/>
  <c r="E32" i="16"/>
  <c r="D32" i="16"/>
  <c r="C32" i="16"/>
  <c r="G31" i="16"/>
  <c r="F31" i="16"/>
  <c r="E31" i="16"/>
  <c r="D31" i="16"/>
  <c r="F34" i="16"/>
  <c r="E34" i="16"/>
  <c r="D34" i="16"/>
  <c r="C31" i="16"/>
  <c r="C34" i="16" s="1"/>
  <c r="G28" i="16"/>
  <c r="F28" i="16"/>
  <c r="E28" i="16"/>
  <c r="D28" i="16"/>
  <c r="C28" i="16"/>
  <c r="G27" i="16"/>
  <c r="F27" i="16"/>
  <c r="E27" i="16"/>
  <c r="D27" i="16"/>
  <c r="G29" i="16"/>
  <c r="F29" i="16"/>
  <c r="E29" i="16"/>
  <c r="D29" i="16"/>
  <c r="C27" i="16"/>
  <c r="C29" i="16" s="1"/>
  <c r="G25" i="16"/>
  <c r="F25" i="16"/>
  <c r="E25" i="16"/>
  <c r="D25" i="16"/>
  <c r="C25" i="16"/>
  <c r="G24" i="16"/>
  <c r="F24" i="16"/>
  <c r="E24" i="16"/>
  <c r="D24" i="16"/>
  <c r="C24" i="16"/>
  <c r="G23" i="16"/>
  <c r="F23" i="16"/>
  <c r="E23" i="16"/>
  <c r="D23" i="16"/>
  <c r="C23" i="16"/>
  <c r="G22" i="16"/>
  <c r="F22" i="16"/>
  <c r="E22" i="16"/>
  <c r="D22" i="16"/>
  <c r="C22" i="16"/>
  <c r="G19" i="16"/>
  <c r="F19" i="16"/>
  <c r="E19" i="16"/>
  <c r="D19" i="16"/>
  <c r="C19" i="16"/>
  <c r="G18" i="16"/>
  <c r="F18" i="16"/>
  <c r="E18" i="16"/>
  <c r="D18" i="16"/>
  <c r="C18" i="16"/>
  <c r="G17" i="16"/>
  <c r="F17" i="16"/>
  <c r="E17" i="16"/>
  <c r="D17" i="16"/>
  <c r="C17" i="16"/>
  <c r="G16" i="16"/>
  <c r="F16" i="16"/>
  <c r="E16" i="16"/>
  <c r="D16" i="16"/>
  <c r="C16" i="16"/>
  <c r="G15" i="16"/>
  <c r="F15" i="16"/>
  <c r="E15" i="16"/>
  <c r="D15" i="16"/>
  <c r="C15" i="16"/>
  <c r="G14" i="16"/>
  <c r="F14" i="16"/>
  <c r="E14" i="16"/>
  <c r="D14" i="16"/>
  <c r="C14" i="16"/>
  <c r="G13" i="16"/>
  <c r="F13" i="16"/>
  <c r="E13" i="16"/>
  <c r="D13" i="16"/>
  <c r="C13" i="16"/>
  <c r="G12" i="16"/>
  <c r="F12" i="16"/>
  <c r="E12" i="16"/>
  <c r="D12" i="16"/>
  <c r="C12" i="16"/>
  <c r="C20" i="16" s="1"/>
  <c r="D10" i="16"/>
  <c r="E10" i="16"/>
  <c r="F10" i="16"/>
  <c r="G10" i="16"/>
  <c r="C10" i="16"/>
  <c r="G9" i="16"/>
  <c r="F9" i="16"/>
  <c r="E9" i="16"/>
  <c r="D9" i="16"/>
  <c r="C9" i="16"/>
  <c r="G8" i="16"/>
  <c r="F8" i="16"/>
  <c r="E8" i="16"/>
  <c r="D8" i="16"/>
  <c r="C8" i="16"/>
  <c r="G7" i="16"/>
  <c r="F7" i="16"/>
  <c r="E7" i="16"/>
  <c r="D7" i="16"/>
  <c r="C7" i="16"/>
  <c r="G6" i="16"/>
  <c r="F6" i="16"/>
  <c r="E6" i="16"/>
  <c r="D6" i="16"/>
  <c r="G11" i="16"/>
  <c r="F11" i="16"/>
  <c r="E11" i="16"/>
  <c r="C6" i="16"/>
  <c r="D16" i="15"/>
  <c r="E16" i="15"/>
  <c r="F16" i="15"/>
  <c r="G16" i="15"/>
  <c r="C16" i="15"/>
  <c r="D14" i="15"/>
  <c r="E14" i="15"/>
  <c r="F14" i="15"/>
  <c r="G14" i="15"/>
  <c r="D21" i="17"/>
  <c r="E21" i="17"/>
  <c r="F21" i="17"/>
  <c r="G21" i="17"/>
  <c r="C14" i="15"/>
  <c r="D42" i="19"/>
  <c r="E42" i="19"/>
  <c r="F42" i="19"/>
  <c r="G42" i="19"/>
  <c r="C42" i="19"/>
  <c r="D41" i="19"/>
  <c r="E41" i="19"/>
  <c r="F41" i="19"/>
  <c r="G41" i="19"/>
  <c r="C41" i="19"/>
  <c r="D37" i="19"/>
  <c r="E37" i="19"/>
  <c r="F37" i="19"/>
  <c r="G37" i="19"/>
  <c r="C37" i="19"/>
  <c r="D25" i="19"/>
  <c r="E25" i="19"/>
  <c r="F25" i="19"/>
  <c r="G25" i="19"/>
  <c r="D8" i="19"/>
  <c r="E8" i="19"/>
  <c r="F8" i="19"/>
  <c r="G8" i="19"/>
  <c r="C25" i="19"/>
  <c r="D24" i="19"/>
  <c r="E24" i="19"/>
  <c r="F24" i="19"/>
  <c r="G24" i="19"/>
  <c r="H23" i="19" s="1"/>
  <c r="H25" i="19" s="1"/>
  <c r="C24" i="19"/>
  <c r="C23" i="19"/>
  <c r="E23" i="19"/>
  <c r="F23" i="19"/>
  <c r="G23" i="19"/>
  <c r="D23" i="19"/>
  <c r="D18" i="18"/>
  <c r="E18" i="18"/>
  <c r="F18" i="18"/>
  <c r="G18" i="18"/>
  <c r="C18" i="18"/>
  <c r="D17" i="18"/>
  <c r="E17" i="18"/>
  <c r="F17" i="18"/>
  <c r="G17" i="18"/>
  <c r="C17" i="18"/>
  <c r="D16" i="18"/>
  <c r="E16" i="18"/>
  <c r="F16" i="18"/>
  <c r="G16" i="18"/>
  <c r="C16" i="18"/>
  <c r="D15" i="18"/>
  <c r="E15" i="18"/>
  <c r="F15" i="18"/>
  <c r="G15" i="18"/>
  <c r="C15" i="18"/>
  <c r="D10" i="18"/>
  <c r="E10" i="18"/>
  <c r="F10" i="18"/>
  <c r="G10" i="18"/>
  <c r="C10" i="18"/>
  <c r="D8" i="18"/>
  <c r="E8" i="18"/>
  <c r="F8" i="18"/>
  <c r="G8" i="18"/>
  <c r="C8" i="18"/>
  <c r="D7" i="18"/>
  <c r="E7" i="18"/>
  <c r="F7" i="18"/>
  <c r="G7" i="18"/>
  <c r="C7" i="18"/>
  <c r="D15" i="12"/>
  <c r="E15" i="12"/>
  <c r="F15" i="12"/>
  <c r="G15" i="12"/>
  <c r="C15" i="12"/>
  <c r="D14" i="12"/>
  <c r="E14" i="12"/>
  <c r="F14" i="12"/>
  <c r="G14" i="12"/>
  <c r="C14" i="12"/>
  <c r="D8" i="12"/>
  <c r="E8" i="12"/>
  <c r="F8" i="12"/>
  <c r="G8" i="12"/>
  <c r="D7" i="12"/>
  <c r="E7" i="12"/>
  <c r="F7" i="12"/>
  <c r="G7" i="12"/>
  <c r="C8" i="12"/>
  <c r="C7" i="12"/>
  <c r="D17" i="13"/>
  <c r="E17" i="13"/>
  <c r="F17" i="13"/>
  <c r="G17" i="13"/>
  <c r="C17" i="13"/>
  <c r="D16" i="13"/>
  <c r="E16" i="13"/>
  <c r="F16" i="13"/>
  <c r="G16" i="13"/>
  <c r="D33" i="17"/>
  <c r="E33" i="17"/>
  <c r="F33" i="17"/>
  <c r="G33" i="17"/>
  <c r="C16" i="13"/>
  <c r="C33" i="17" s="1"/>
  <c r="D15" i="13"/>
  <c r="E15" i="13"/>
  <c r="E35" i="17" s="1"/>
  <c r="F15" i="13"/>
  <c r="F35" i="17" s="1"/>
  <c r="G15" i="13"/>
  <c r="G35" i="17" s="1"/>
  <c r="D35" i="17"/>
  <c r="C15" i="13"/>
  <c r="C35" i="17" s="1"/>
  <c r="C14" i="13"/>
  <c r="D9" i="13"/>
  <c r="E9" i="13"/>
  <c r="F9" i="13"/>
  <c r="G9" i="13"/>
  <c r="C9" i="13"/>
  <c r="C14" i="11"/>
  <c r="D17" i="11"/>
  <c r="E17" i="11"/>
  <c r="F17" i="11"/>
  <c r="G17" i="11"/>
  <c r="C17" i="11"/>
  <c r="D16" i="11"/>
  <c r="E16" i="11"/>
  <c r="F16" i="11"/>
  <c r="G16" i="11"/>
  <c r="D32" i="17"/>
  <c r="E32" i="17"/>
  <c r="F32" i="17"/>
  <c r="G32" i="17"/>
  <c r="C16" i="11"/>
  <c r="C32" i="11" s="1"/>
  <c r="D15" i="11"/>
  <c r="E15" i="11"/>
  <c r="E34" i="17" s="1"/>
  <c r="F15" i="11"/>
  <c r="F34" i="17" s="1"/>
  <c r="G15" i="11"/>
  <c r="G34" i="17" s="1"/>
  <c r="D34" i="17"/>
  <c r="C15" i="11"/>
  <c r="C34" i="17" s="1"/>
  <c r="D9" i="11"/>
  <c r="E9" i="11"/>
  <c r="F9" i="11"/>
  <c r="G9" i="11"/>
  <c r="G33" i="11"/>
  <c r="C9" i="11"/>
  <c r="C35" i="11" s="1"/>
  <c r="G14" i="9"/>
  <c r="F14" i="9"/>
  <c r="E14" i="9"/>
  <c r="D14" i="9"/>
  <c r="G13" i="9"/>
  <c r="F13" i="9"/>
  <c r="F10" i="15" s="1"/>
  <c r="E13" i="9"/>
  <c r="D13" i="9"/>
  <c r="G12" i="9"/>
  <c r="F12" i="9"/>
  <c r="E12" i="9"/>
  <c r="D12" i="9"/>
  <c r="G11" i="15"/>
  <c r="F11" i="15"/>
  <c r="E11" i="15"/>
  <c r="D11" i="15"/>
  <c r="G10" i="15"/>
  <c r="E10" i="15"/>
  <c r="D10" i="15"/>
  <c r="G9" i="15"/>
  <c r="F9" i="15"/>
  <c r="E9" i="15"/>
  <c r="D9" i="15"/>
  <c r="C13" i="9"/>
  <c r="C14" i="9"/>
  <c r="C10" i="15"/>
  <c r="C11" i="15"/>
  <c r="C12" i="9"/>
  <c r="C9" i="15" s="1"/>
  <c r="D11" i="9"/>
  <c r="E11" i="9"/>
  <c r="F11" i="9"/>
  <c r="G11" i="9"/>
  <c r="D7" i="15"/>
  <c r="E7" i="15"/>
  <c r="F7" i="15"/>
  <c r="G7" i="15"/>
  <c r="C11" i="9"/>
  <c r="C7" i="15" s="1"/>
  <c r="D6" i="9"/>
  <c r="E6" i="9"/>
  <c r="F6" i="9"/>
  <c r="G6" i="9"/>
  <c r="C6" i="9"/>
  <c r="D40" i="6"/>
  <c r="E40" i="6"/>
  <c r="F40" i="6"/>
  <c r="C40" i="6"/>
  <c r="D39" i="6"/>
  <c r="E39" i="6"/>
  <c r="F39" i="6"/>
  <c r="C39" i="6"/>
  <c r="D38" i="6"/>
  <c r="E38" i="6"/>
  <c r="F38" i="6"/>
  <c r="C38" i="6"/>
  <c r="D37" i="6"/>
  <c r="E37" i="6"/>
  <c r="F37" i="6"/>
  <c r="G37" i="6"/>
  <c r="C37" i="6"/>
  <c r="D36" i="6"/>
  <c r="E36" i="6"/>
  <c r="F36" i="6"/>
  <c r="G36" i="6"/>
  <c r="E46" i="6"/>
  <c r="F46" i="6"/>
  <c r="G46" i="6"/>
  <c r="C36" i="6"/>
  <c r="D34" i="6"/>
  <c r="E34" i="6"/>
  <c r="F34" i="6"/>
  <c r="C34" i="6"/>
  <c r="D30" i="6"/>
  <c r="E30" i="6"/>
  <c r="F30" i="6"/>
  <c r="G30" i="6"/>
  <c r="E32" i="6"/>
  <c r="F32" i="6"/>
  <c r="C30" i="6"/>
  <c r="D29" i="6"/>
  <c r="E29" i="6"/>
  <c r="F29" i="6"/>
  <c r="G29" i="6"/>
  <c r="E31" i="6"/>
  <c r="F31" i="6"/>
  <c r="C29" i="6"/>
  <c r="G12" i="6"/>
  <c r="F12" i="6"/>
  <c r="E12" i="6"/>
  <c r="D12" i="6"/>
  <c r="D6" i="15"/>
  <c r="C12" i="6"/>
  <c r="C6" i="15" s="1"/>
  <c r="F11" i="6"/>
  <c r="E11" i="6"/>
  <c r="D11" i="6"/>
  <c r="G10" i="6"/>
  <c r="F10" i="6"/>
  <c r="E10" i="6"/>
  <c r="D10" i="6"/>
  <c r="G9" i="6"/>
  <c r="F9" i="6"/>
  <c r="E9" i="6"/>
  <c r="D9" i="6"/>
  <c r="G8" i="6"/>
  <c r="F8" i="6"/>
  <c r="E8" i="6"/>
  <c r="D8" i="6"/>
  <c r="G7" i="6"/>
  <c r="F7" i="6"/>
  <c r="E7" i="6"/>
  <c r="D7" i="6"/>
  <c r="F20" i="6"/>
  <c r="F28" i="6" s="1"/>
  <c r="H8" i="6"/>
  <c r="C8" i="6"/>
  <c r="C9" i="6"/>
  <c r="C10" i="6"/>
  <c r="C11" i="6"/>
  <c r="C7" i="6"/>
  <c r="D6" i="6"/>
  <c r="E6" i="6"/>
  <c r="F6" i="6"/>
  <c r="G6" i="6"/>
  <c r="E16" i="6"/>
  <c r="F16" i="6"/>
  <c r="C6" i="6"/>
  <c r="Z10" i="6"/>
  <c r="AA10" i="6" s="1"/>
  <c r="AA20" i="6" s="1"/>
  <c r="Z8" i="6"/>
  <c r="AA8" i="6" s="1"/>
  <c r="AA18" i="6" s="1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J112" i="3"/>
  <c r="J113" i="3" s="1"/>
  <c r="J110" i="3"/>
  <c r="Q22" i="3"/>
  <c r="Q21" i="3"/>
  <c r="J58" i="3"/>
  <c r="Q55" i="23" s="1"/>
  <c r="Q20" i="3"/>
  <c r="Q19" i="3"/>
  <c r="I49" i="1"/>
  <c r="J49" i="1"/>
  <c r="K49" i="1"/>
  <c r="L49" i="1"/>
  <c r="D49" i="1"/>
  <c r="D46" i="23" s="1"/>
  <c r="E49" i="1"/>
  <c r="E46" i="23" s="1"/>
  <c r="F49" i="1"/>
  <c r="F46" i="23" s="1"/>
  <c r="G49" i="1"/>
  <c r="G46" i="23" s="1"/>
  <c r="H49" i="1"/>
  <c r="H46" i="23" s="1"/>
  <c r="C49" i="1"/>
  <c r="C46" i="23" s="1"/>
  <c r="Y38" i="6"/>
  <c r="X38" i="6"/>
  <c r="W38" i="6"/>
  <c r="V38" i="6"/>
  <c r="U38" i="6"/>
  <c r="T38" i="6"/>
  <c r="S38" i="6"/>
  <c r="Y11" i="6"/>
  <c r="X11" i="6"/>
  <c r="W11" i="6"/>
  <c r="V11" i="6"/>
  <c r="U11" i="6"/>
  <c r="T11" i="6"/>
  <c r="S11" i="6"/>
  <c r="I124" i="3"/>
  <c r="H124" i="3"/>
  <c r="G124" i="3"/>
  <c r="F124" i="3"/>
  <c r="E124" i="3"/>
  <c r="D124" i="3"/>
  <c r="C124" i="3"/>
  <c r="I123" i="3"/>
  <c r="H123" i="3"/>
  <c r="G123" i="3"/>
  <c r="F123" i="3"/>
  <c r="E123" i="3"/>
  <c r="D123" i="3"/>
  <c r="C123" i="3"/>
  <c r="I112" i="3"/>
  <c r="I113" i="3" s="1"/>
  <c r="H112" i="3"/>
  <c r="H113" i="3" s="1"/>
  <c r="G112" i="3"/>
  <c r="G113" i="3" s="1"/>
  <c r="F112" i="3"/>
  <c r="F113" i="3" s="1"/>
  <c r="E112" i="3"/>
  <c r="E113" i="3" s="1"/>
  <c r="D112" i="3"/>
  <c r="D113" i="3" s="1"/>
  <c r="C112" i="3"/>
  <c r="C113" i="3" s="1"/>
  <c r="I110" i="3"/>
  <c r="I111" i="3" s="1"/>
  <c r="H110" i="3"/>
  <c r="H111" i="3" s="1"/>
  <c r="G110" i="3"/>
  <c r="G111" i="3" s="1"/>
  <c r="F110" i="3"/>
  <c r="F111" i="3" s="1"/>
  <c r="E110" i="3"/>
  <c r="E111" i="3" s="1"/>
  <c r="D110" i="3"/>
  <c r="D111" i="3" s="1"/>
  <c r="C110" i="3"/>
  <c r="C111" i="3" s="1"/>
  <c r="I108" i="3"/>
  <c r="I109" i="3" s="1"/>
  <c r="H108" i="3"/>
  <c r="H109" i="3" s="1"/>
  <c r="G108" i="3"/>
  <c r="G109" i="3" s="1"/>
  <c r="F108" i="3"/>
  <c r="F109" i="3" s="1"/>
  <c r="E108" i="3"/>
  <c r="E109" i="3" s="1"/>
  <c r="D108" i="3"/>
  <c r="D109" i="3" s="1"/>
  <c r="C108" i="3"/>
  <c r="C109" i="3" s="1"/>
  <c r="I105" i="3"/>
  <c r="H105" i="3"/>
  <c r="G105" i="3"/>
  <c r="F105" i="3"/>
  <c r="E105" i="3"/>
  <c r="D105" i="3"/>
  <c r="C105" i="3"/>
  <c r="I103" i="3"/>
  <c r="I104" i="3" s="1"/>
  <c r="H103" i="3"/>
  <c r="H104" i="3" s="1"/>
  <c r="G103" i="3"/>
  <c r="G104" i="3" s="1"/>
  <c r="F103" i="3"/>
  <c r="F104" i="3" s="1"/>
  <c r="E103" i="3"/>
  <c r="E104" i="3" s="1"/>
  <c r="D103" i="3"/>
  <c r="D104" i="3" s="1"/>
  <c r="C103" i="3"/>
  <c r="C104" i="3" s="1"/>
  <c r="I101" i="3"/>
  <c r="I102" i="3" s="1"/>
  <c r="H101" i="3"/>
  <c r="H102" i="3" s="1"/>
  <c r="G101" i="3"/>
  <c r="G102" i="3" s="1"/>
  <c r="F101" i="3"/>
  <c r="F102" i="3" s="1"/>
  <c r="E101" i="3"/>
  <c r="E102" i="3" s="1"/>
  <c r="D101" i="3"/>
  <c r="D102" i="3" s="1"/>
  <c r="C101" i="3"/>
  <c r="C102" i="3" s="1"/>
  <c r="I99" i="3"/>
  <c r="I100" i="3" s="1"/>
  <c r="H99" i="3"/>
  <c r="H100" i="3" s="1"/>
  <c r="G99" i="3"/>
  <c r="G100" i="3" s="1"/>
  <c r="F99" i="3"/>
  <c r="F100" i="3" s="1"/>
  <c r="E99" i="3"/>
  <c r="E100" i="3" s="1"/>
  <c r="D99" i="3"/>
  <c r="D100" i="3" s="1"/>
  <c r="C99" i="3"/>
  <c r="C100" i="3" s="1"/>
  <c r="I58" i="3"/>
  <c r="H58" i="3"/>
  <c r="G58" i="3"/>
  <c r="F58" i="3"/>
  <c r="E58" i="3"/>
  <c r="D58" i="3"/>
  <c r="C58" i="3"/>
  <c r="I49" i="3"/>
  <c r="P46" i="23" s="1"/>
  <c r="H49" i="3"/>
  <c r="O46" i="23" s="1"/>
  <c r="G49" i="3"/>
  <c r="N46" i="23" s="1"/>
  <c r="F49" i="3"/>
  <c r="M46" i="23" s="1"/>
  <c r="E49" i="3"/>
  <c r="L46" i="23" s="1"/>
  <c r="D49" i="3"/>
  <c r="K46" i="23" s="1"/>
  <c r="C49" i="3"/>
  <c r="J46" i="23" s="1"/>
  <c r="I40" i="3"/>
  <c r="P37" i="23" s="1"/>
  <c r="H40" i="3"/>
  <c r="O37" i="23" s="1"/>
  <c r="G40" i="3"/>
  <c r="N37" i="23" s="1"/>
  <c r="F40" i="3"/>
  <c r="M37" i="23" s="1"/>
  <c r="E40" i="3"/>
  <c r="L37" i="23" s="1"/>
  <c r="D40" i="3"/>
  <c r="K37" i="23" s="1"/>
  <c r="C40" i="3"/>
  <c r="J37" i="23" s="1"/>
  <c r="I11" i="3"/>
  <c r="H11" i="3"/>
  <c r="G11" i="3"/>
  <c r="F11" i="3"/>
  <c r="E11" i="3"/>
  <c r="D11" i="3"/>
  <c r="C11" i="3"/>
  <c r="I7" i="3"/>
  <c r="H7" i="3"/>
  <c r="O7" i="23" s="1"/>
  <c r="G7" i="3"/>
  <c r="N7" i="23" s="1"/>
  <c r="F7" i="3"/>
  <c r="M7" i="23" s="1"/>
  <c r="E7" i="3"/>
  <c r="L7" i="23" s="1"/>
  <c r="D7" i="3"/>
  <c r="K7" i="23" s="1"/>
  <c r="C7" i="3"/>
  <c r="J7" i="23" s="1"/>
  <c r="G38" i="6"/>
  <c r="G33" i="6"/>
  <c r="G34" i="6"/>
  <c r="H34" i="6" s="1"/>
  <c r="G40" i="6"/>
  <c r="G39" i="6"/>
  <c r="G11" i="6"/>
  <c r="H139" i="1"/>
  <c r="H138" i="1"/>
  <c r="H134" i="1"/>
  <c r="H133" i="1"/>
  <c r="H132" i="1"/>
  <c r="H130" i="1"/>
  <c r="H129" i="1"/>
  <c r="H127" i="1"/>
  <c r="H126" i="1"/>
  <c r="H117" i="1"/>
  <c r="G22" i="15" s="1"/>
  <c r="N54" i="3"/>
  <c r="N55" i="3"/>
  <c r="N53" i="3"/>
  <c r="N52" i="3"/>
  <c r="N51" i="3"/>
  <c r="N50" i="3"/>
  <c r="N48" i="3"/>
  <c r="N47" i="3"/>
  <c r="N46" i="3"/>
  <c r="N45" i="3"/>
  <c r="N44" i="3"/>
  <c r="N43" i="3"/>
  <c r="N42" i="3"/>
  <c r="N41" i="3"/>
  <c r="N33" i="3"/>
  <c r="N34" i="3"/>
  <c r="N35" i="3"/>
  <c r="N36" i="3"/>
  <c r="N37" i="3"/>
  <c r="N38" i="3"/>
  <c r="N39" i="3"/>
  <c r="N32" i="3"/>
  <c r="N31" i="3"/>
  <c r="N26" i="3"/>
  <c r="N27" i="3"/>
  <c r="N28" i="3"/>
  <c r="N29" i="3"/>
  <c r="N30" i="3"/>
  <c r="N25" i="3"/>
  <c r="I16" i="19"/>
  <c r="J16" i="19"/>
  <c r="K16" i="19"/>
  <c r="L16" i="19"/>
  <c r="H16" i="19"/>
  <c r="H31" i="17"/>
  <c r="I31" i="17"/>
  <c r="J31" i="17"/>
  <c r="K31" i="17"/>
  <c r="L31" i="17"/>
  <c r="C21" i="17"/>
  <c r="B3" i="13"/>
  <c r="C44" i="11"/>
  <c r="G45" i="11"/>
  <c r="F45" i="11"/>
  <c r="E45" i="11"/>
  <c r="D45" i="11"/>
  <c r="G44" i="11"/>
  <c r="F44" i="11"/>
  <c r="E44" i="11"/>
  <c r="D44" i="11"/>
  <c r="C45" i="11"/>
  <c r="B45" i="11"/>
  <c r="B44" i="11"/>
  <c r="B3" i="11"/>
  <c r="O23" i="9"/>
  <c r="O22" i="9"/>
  <c r="O21" i="9"/>
  <c r="O20" i="9"/>
  <c r="B21" i="9"/>
  <c r="B22" i="9"/>
  <c r="B23" i="9"/>
  <c r="B20" i="9"/>
  <c r="W14" i="9"/>
  <c r="V14" i="9"/>
  <c r="U14" i="9"/>
  <c r="T14" i="9"/>
  <c r="S14" i="9"/>
  <c r="R14" i="9"/>
  <c r="Q14" i="9"/>
  <c r="W13" i="9"/>
  <c r="V13" i="9"/>
  <c r="U13" i="9"/>
  <c r="T13" i="9"/>
  <c r="S13" i="9"/>
  <c r="R13" i="9"/>
  <c r="Q13" i="9"/>
  <c r="W12" i="9"/>
  <c r="V12" i="9"/>
  <c r="U12" i="9"/>
  <c r="T12" i="9"/>
  <c r="S12" i="9"/>
  <c r="R12" i="9"/>
  <c r="Q12" i="9"/>
  <c r="P13" i="9"/>
  <c r="P14" i="9"/>
  <c r="P12" i="9"/>
  <c r="Q11" i="9"/>
  <c r="R11" i="9"/>
  <c r="S11" i="9"/>
  <c r="T11" i="9"/>
  <c r="U11" i="9"/>
  <c r="V11" i="9"/>
  <c r="W11" i="9"/>
  <c r="P11" i="9"/>
  <c r="Y6" i="9"/>
  <c r="Z6" i="9"/>
  <c r="Z19" i="9"/>
  <c r="Y19" i="9"/>
  <c r="X19" i="9"/>
  <c r="AB10" i="9"/>
  <c r="Z10" i="9"/>
  <c r="Y10" i="9"/>
  <c r="X10" i="9"/>
  <c r="AB9" i="9"/>
  <c r="W6" i="9"/>
  <c r="V6" i="9"/>
  <c r="U6" i="9"/>
  <c r="T6" i="9"/>
  <c r="S6" i="9"/>
  <c r="R6" i="9"/>
  <c r="Q6" i="9"/>
  <c r="P6" i="9"/>
  <c r="W5" i="9"/>
  <c r="V5" i="9"/>
  <c r="U5" i="9"/>
  <c r="T5" i="9"/>
  <c r="S5" i="9"/>
  <c r="R5" i="9"/>
  <c r="Q5" i="9"/>
  <c r="P5" i="9"/>
  <c r="AE26" i="6"/>
  <c r="AE25" i="6"/>
  <c r="AB12" i="6"/>
  <c r="AC12" i="6"/>
  <c r="AB11" i="6"/>
  <c r="AC11" i="6"/>
  <c r="AA44" i="6"/>
  <c r="AB44" i="6"/>
  <c r="AC44" i="6"/>
  <c r="T36" i="6"/>
  <c r="U36" i="6"/>
  <c r="U46" i="6" s="1"/>
  <c r="V36" i="6"/>
  <c r="V46" i="6" s="1"/>
  <c r="W36" i="6"/>
  <c r="X36" i="6"/>
  <c r="X46" i="6" s="1"/>
  <c r="Y36" i="6"/>
  <c r="Y46" i="6" s="1"/>
  <c r="Z36" i="6"/>
  <c r="Z46" i="6" s="1"/>
  <c r="S36" i="6"/>
  <c r="T30" i="6"/>
  <c r="U30" i="6"/>
  <c r="U32" i="6" s="1"/>
  <c r="V30" i="6"/>
  <c r="V32" i="6" s="1"/>
  <c r="W30" i="6"/>
  <c r="W32" i="6" s="1"/>
  <c r="X30" i="6"/>
  <c r="X32" i="6" s="1"/>
  <c r="Y30" i="6"/>
  <c r="Y32" i="6" s="1"/>
  <c r="Z30" i="6"/>
  <c r="S30" i="6"/>
  <c r="T29" i="6"/>
  <c r="U29" i="6"/>
  <c r="U31" i="6" s="1"/>
  <c r="V29" i="6"/>
  <c r="V31" i="6" s="1"/>
  <c r="W29" i="6"/>
  <c r="W31" i="6" s="1"/>
  <c r="X29" i="6"/>
  <c r="X31" i="6" s="1"/>
  <c r="Y29" i="6"/>
  <c r="Y31" i="6" s="1"/>
  <c r="Z29" i="6"/>
  <c r="S29" i="6"/>
  <c r="AA26" i="6"/>
  <c r="AB26" i="6"/>
  <c r="AC26" i="6"/>
  <c r="AA15" i="6"/>
  <c r="AB15" i="6"/>
  <c r="AC15" i="6"/>
  <c r="R22" i="6"/>
  <c r="T12" i="6"/>
  <c r="U12" i="6"/>
  <c r="U22" i="6" s="1"/>
  <c r="V12" i="6"/>
  <c r="V22" i="6" s="1"/>
  <c r="W12" i="6"/>
  <c r="W22" i="6" s="1"/>
  <c r="X12" i="6"/>
  <c r="X22" i="6" s="1"/>
  <c r="Y12" i="6"/>
  <c r="Y22" i="6" s="1"/>
  <c r="Z12" i="6"/>
  <c r="Z22" i="6" s="1"/>
  <c r="S12" i="6"/>
  <c r="Y10" i="6"/>
  <c r="X10" i="6"/>
  <c r="W10" i="6"/>
  <c r="V10" i="6"/>
  <c r="U10" i="6"/>
  <c r="T10" i="6"/>
  <c r="Y9" i="6"/>
  <c r="X9" i="6"/>
  <c r="W9" i="6"/>
  <c r="V9" i="6"/>
  <c r="U9" i="6"/>
  <c r="T9" i="6"/>
  <c r="Y8" i="6"/>
  <c r="X8" i="6"/>
  <c r="W8" i="6"/>
  <c r="V8" i="6"/>
  <c r="U8" i="6"/>
  <c r="T8" i="6"/>
  <c r="Y7" i="6"/>
  <c r="X7" i="6"/>
  <c r="W7" i="6"/>
  <c r="V7" i="6"/>
  <c r="U7" i="6"/>
  <c r="T7" i="6"/>
  <c r="Y6" i="6"/>
  <c r="X6" i="6"/>
  <c r="W6" i="6"/>
  <c r="V6" i="6"/>
  <c r="U6" i="6"/>
  <c r="T6" i="6"/>
  <c r="S7" i="6"/>
  <c r="S8" i="6"/>
  <c r="S9" i="6"/>
  <c r="S10" i="6"/>
  <c r="S6" i="6"/>
  <c r="R7" i="6"/>
  <c r="R17" i="6" s="1"/>
  <c r="R8" i="6"/>
  <c r="R18" i="6" s="1"/>
  <c r="R9" i="6"/>
  <c r="R19" i="6" s="1"/>
  <c r="R10" i="6"/>
  <c r="R20" i="6" s="1"/>
  <c r="R11" i="6"/>
  <c r="R21" i="6" s="1"/>
  <c r="R6" i="6"/>
  <c r="R16" i="6" s="1"/>
  <c r="T5" i="6"/>
  <c r="U5" i="6"/>
  <c r="V5" i="6"/>
  <c r="W5" i="6"/>
  <c r="X5" i="6"/>
  <c r="Y5" i="6"/>
  <c r="Z5" i="6"/>
  <c r="S5" i="6"/>
  <c r="I49" i="6"/>
  <c r="J49" i="6"/>
  <c r="K49" i="6"/>
  <c r="L49" i="6"/>
  <c r="I48" i="6"/>
  <c r="J48" i="6"/>
  <c r="K48" i="6"/>
  <c r="L48" i="6"/>
  <c r="I45" i="6"/>
  <c r="J45" i="6"/>
  <c r="K45" i="6"/>
  <c r="L45" i="6"/>
  <c r="B22" i="6"/>
  <c r="B7" i="6"/>
  <c r="B17" i="6" s="1"/>
  <c r="B8" i="6"/>
  <c r="B18" i="6" s="1"/>
  <c r="B9" i="6"/>
  <c r="B19" i="6" s="1"/>
  <c r="B10" i="6"/>
  <c r="B20" i="6" s="1"/>
  <c r="B11" i="6"/>
  <c r="B21" i="6" s="1"/>
  <c r="B6" i="6"/>
  <c r="B16" i="6" s="1"/>
  <c r="H58" i="1"/>
  <c r="P15" i="3"/>
  <c r="J105" i="3"/>
  <c r="J103" i="3"/>
  <c r="J104" i="3" s="1"/>
  <c r="N15" i="3"/>
  <c r="Q15" i="3"/>
  <c r="H109" i="1"/>
  <c r="H110" i="1" s="1"/>
  <c r="I109" i="1"/>
  <c r="I110" i="1" s="1"/>
  <c r="J109" i="1"/>
  <c r="J110" i="1" s="1"/>
  <c r="K109" i="1"/>
  <c r="K110" i="1" s="1"/>
  <c r="L109" i="1"/>
  <c r="L110" i="1" s="1"/>
  <c r="G107" i="1"/>
  <c r="G108" i="1" s="1"/>
  <c r="H107" i="1"/>
  <c r="H108" i="1" s="1"/>
  <c r="I107" i="1"/>
  <c r="I108" i="1" s="1"/>
  <c r="J107" i="1"/>
  <c r="J108" i="1" s="1"/>
  <c r="K107" i="1"/>
  <c r="K108" i="1" s="1"/>
  <c r="L107" i="1"/>
  <c r="L108" i="1" s="1"/>
  <c r="H102" i="1"/>
  <c r="I102" i="1"/>
  <c r="J102" i="1"/>
  <c r="K102" i="1"/>
  <c r="L102" i="1"/>
  <c r="H100" i="1"/>
  <c r="H101" i="1" s="1"/>
  <c r="I100" i="1"/>
  <c r="I101" i="1" s="1"/>
  <c r="J100" i="1"/>
  <c r="J101" i="1" s="1"/>
  <c r="K100" i="1"/>
  <c r="K101" i="1" s="1"/>
  <c r="L100" i="1"/>
  <c r="L101" i="1" s="1"/>
  <c r="G109" i="1"/>
  <c r="G110" i="1" s="1"/>
  <c r="C98" i="1"/>
  <c r="C99" i="1" s="1"/>
  <c r="D98" i="1"/>
  <c r="D99" i="1" s="1"/>
  <c r="E98" i="1"/>
  <c r="E99" i="1" s="1"/>
  <c r="F98" i="1"/>
  <c r="F99" i="1" s="1"/>
  <c r="H98" i="1"/>
  <c r="H99" i="1" s="1"/>
  <c r="G98" i="1"/>
  <c r="G99" i="1" s="1"/>
  <c r="G102" i="1"/>
  <c r="G100" i="1"/>
  <c r="G101" i="1" s="1"/>
  <c r="D107" i="1"/>
  <c r="D108" i="1" s="1"/>
  <c r="E107" i="1"/>
  <c r="E108" i="1" s="1"/>
  <c r="F107" i="1"/>
  <c r="F108" i="1" s="1"/>
  <c r="C107" i="1"/>
  <c r="C108" i="1" s="1"/>
  <c r="F109" i="1"/>
  <c r="F110" i="1" s="1"/>
  <c r="F102" i="1"/>
  <c r="F100" i="1"/>
  <c r="F101" i="1" s="1"/>
  <c r="E117" i="1"/>
  <c r="D22" i="15" s="1"/>
  <c r="E109" i="1"/>
  <c r="E110" i="1" s="1"/>
  <c r="E102" i="1"/>
  <c r="E100" i="1"/>
  <c r="E101" i="1" s="1"/>
  <c r="D109" i="1"/>
  <c r="D110" i="1" s="1"/>
  <c r="C109" i="1"/>
  <c r="C110" i="1" s="1"/>
  <c r="D102" i="1"/>
  <c r="D100" i="1"/>
  <c r="D101" i="1" s="1"/>
  <c r="C100" i="1"/>
  <c r="C101" i="1" s="1"/>
  <c r="D117" i="1"/>
  <c r="C22" i="15" s="1"/>
  <c r="C117" i="1"/>
  <c r="F117" i="1"/>
  <c r="E22" i="15" s="1"/>
  <c r="G117" i="1"/>
  <c r="F22" i="15" s="1"/>
  <c r="D139" i="1"/>
  <c r="E139" i="1"/>
  <c r="F139" i="1"/>
  <c r="G139" i="1"/>
  <c r="C139" i="1"/>
  <c r="D138" i="1"/>
  <c r="E138" i="1"/>
  <c r="F138" i="1"/>
  <c r="G138" i="1"/>
  <c r="C138" i="1"/>
  <c r="E134" i="1"/>
  <c r="F134" i="1"/>
  <c r="G134" i="1"/>
  <c r="D134" i="1"/>
  <c r="E133" i="1"/>
  <c r="F133" i="1"/>
  <c r="G133" i="1"/>
  <c r="D133" i="1"/>
  <c r="E132" i="1"/>
  <c r="F132" i="1"/>
  <c r="G132" i="1"/>
  <c r="D132" i="1"/>
  <c r="E130" i="1"/>
  <c r="F130" i="1"/>
  <c r="G130" i="1"/>
  <c r="E129" i="1"/>
  <c r="F129" i="1"/>
  <c r="G129" i="1"/>
  <c r="D129" i="1"/>
  <c r="D130" i="1"/>
  <c r="E127" i="1"/>
  <c r="F127" i="1"/>
  <c r="G127" i="1"/>
  <c r="D127" i="1"/>
  <c r="E126" i="1"/>
  <c r="F126" i="1"/>
  <c r="G126" i="1"/>
  <c r="D126" i="1"/>
  <c r="P5" i="3"/>
  <c r="P6" i="3"/>
  <c r="P8" i="3"/>
  <c r="P9" i="3"/>
  <c r="P10" i="3"/>
  <c r="P12" i="3"/>
  <c r="P13" i="3"/>
  <c r="P14" i="3"/>
  <c r="P16" i="3"/>
  <c r="P17" i="3"/>
  <c r="P18" i="3"/>
  <c r="P19" i="3"/>
  <c r="P20" i="3"/>
  <c r="P21" i="3"/>
  <c r="P22" i="3"/>
  <c r="P3" i="3"/>
  <c r="J123" i="3"/>
  <c r="J124" i="3"/>
  <c r="Q5" i="3"/>
  <c r="Q6" i="3"/>
  <c r="Q8" i="3"/>
  <c r="Q9" i="3"/>
  <c r="Q10" i="3"/>
  <c r="Q12" i="3"/>
  <c r="Q13" i="3"/>
  <c r="Q14" i="3"/>
  <c r="Q16" i="3"/>
  <c r="Q17" i="3"/>
  <c r="Q18" i="3"/>
  <c r="Q3" i="3"/>
  <c r="N20" i="3"/>
  <c r="C25" i="22" s="1"/>
  <c r="N19" i="3"/>
  <c r="N13" i="3"/>
  <c r="N14" i="3"/>
  <c r="N16" i="3"/>
  <c r="N17" i="3"/>
  <c r="N18" i="3"/>
  <c r="N8" i="3"/>
  <c r="N9" i="3"/>
  <c r="N10" i="3"/>
  <c r="N12" i="3"/>
  <c r="N6" i="3"/>
  <c r="N5" i="3"/>
  <c r="J101" i="3"/>
  <c r="J102" i="3" s="1"/>
  <c r="J99" i="3"/>
  <c r="J100" i="3" s="1"/>
  <c r="J49" i="3"/>
  <c r="J40" i="3"/>
  <c r="J11" i="3"/>
  <c r="Q11" i="23" s="1"/>
  <c r="J7" i="3"/>
  <c r="J105" i="1"/>
  <c r="J106" i="1" s="1"/>
  <c r="K105" i="1"/>
  <c r="K106" i="1" s="1"/>
  <c r="L105" i="1"/>
  <c r="L106" i="1" s="1"/>
  <c r="D105" i="1"/>
  <c r="D106" i="1" s="1"/>
  <c r="E105" i="1"/>
  <c r="E106" i="1" s="1"/>
  <c r="F105" i="1"/>
  <c r="F106" i="1" s="1"/>
  <c r="G105" i="1"/>
  <c r="G106" i="1" s="1"/>
  <c r="H105" i="1"/>
  <c r="H106" i="1" s="1"/>
  <c r="I105" i="1"/>
  <c r="I106" i="1" s="1"/>
  <c r="C105" i="1"/>
  <c r="C106" i="1" s="1"/>
  <c r="I98" i="1"/>
  <c r="I99" i="1" s="1"/>
  <c r="J98" i="1"/>
  <c r="J99" i="1" s="1"/>
  <c r="K98" i="1"/>
  <c r="K99" i="1" s="1"/>
  <c r="L98" i="1"/>
  <c r="L99" i="1" s="1"/>
  <c r="K96" i="1"/>
  <c r="K97" i="1" s="1"/>
  <c r="L96" i="1"/>
  <c r="L97" i="1" s="1"/>
  <c r="D96" i="1"/>
  <c r="D97" i="1" s="1"/>
  <c r="E96" i="1"/>
  <c r="E97" i="1" s="1"/>
  <c r="F96" i="1"/>
  <c r="F97" i="1" s="1"/>
  <c r="G96" i="1"/>
  <c r="G97" i="1" s="1"/>
  <c r="H96" i="1"/>
  <c r="H97" i="1" s="1"/>
  <c r="I96" i="1"/>
  <c r="I97" i="1" s="1"/>
  <c r="J96" i="1"/>
  <c r="J97" i="1" s="1"/>
  <c r="C96" i="1"/>
  <c r="C97" i="1" s="1"/>
  <c r="E7" i="1"/>
  <c r="E7" i="23" s="1"/>
  <c r="D58" i="1"/>
  <c r="E58" i="1"/>
  <c r="F58" i="1"/>
  <c r="G58" i="1"/>
  <c r="I58" i="1"/>
  <c r="I103" i="1" s="1"/>
  <c r="I104" i="1" s="1"/>
  <c r="J58" i="1"/>
  <c r="J103" i="1" s="1"/>
  <c r="J104" i="1" s="1"/>
  <c r="K58" i="1"/>
  <c r="K103" i="1" s="1"/>
  <c r="K104" i="1" s="1"/>
  <c r="L58" i="1"/>
  <c r="L103" i="1" s="1"/>
  <c r="L104" i="1" s="1"/>
  <c r="C58" i="1"/>
  <c r="L40" i="1"/>
  <c r="K40" i="1"/>
  <c r="J40" i="1"/>
  <c r="I40" i="1"/>
  <c r="G40" i="1"/>
  <c r="G37" i="23" s="1"/>
  <c r="H40" i="1"/>
  <c r="H37" i="23" s="1"/>
  <c r="E40" i="1"/>
  <c r="E37" i="23" s="1"/>
  <c r="F40" i="1"/>
  <c r="F37" i="23" s="1"/>
  <c r="D40" i="1"/>
  <c r="D37" i="23" s="1"/>
  <c r="C40" i="1"/>
  <c r="C37" i="23" s="1"/>
  <c r="L11" i="1"/>
  <c r="L94" i="1" s="1"/>
  <c r="L95" i="1" s="1"/>
  <c r="L7" i="1"/>
  <c r="K11" i="1"/>
  <c r="K94" i="1" s="1"/>
  <c r="K95" i="1" s="1"/>
  <c r="K7" i="1"/>
  <c r="J11" i="1"/>
  <c r="J94" i="1" s="1"/>
  <c r="J95" i="1" s="1"/>
  <c r="J7" i="1"/>
  <c r="I11" i="1"/>
  <c r="I94" i="1" s="1"/>
  <c r="I95" i="1" s="1"/>
  <c r="I7" i="1"/>
  <c r="H11" i="1"/>
  <c r="H7" i="1"/>
  <c r="G11" i="1"/>
  <c r="G7" i="1"/>
  <c r="F11" i="1"/>
  <c r="F7" i="1"/>
  <c r="F7" i="23" s="1"/>
  <c r="E11" i="1"/>
  <c r="D11" i="1"/>
  <c r="D7" i="1"/>
  <c r="D7" i="23" s="1"/>
  <c r="C11" i="1"/>
  <c r="C11" i="23" s="1"/>
  <c r="C7" i="1"/>
  <c r="C7" i="23" s="1"/>
  <c r="C23" i="2" l="1"/>
  <c r="Q91" i="23"/>
  <c r="P84" i="23"/>
  <c r="L83" i="23"/>
  <c r="W46" i="6"/>
  <c r="M91" i="23"/>
  <c r="K83" i="23"/>
  <c r="C22" i="22"/>
  <c r="I106" i="3"/>
  <c r="I107" i="3" s="1"/>
  <c r="P55" i="23"/>
  <c r="H106" i="3"/>
  <c r="H107" i="3" s="1"/>
  <c r="O55" i="23"/>
  <c r="G106" i="3"/>
  <c r="G107" i="3" s="1"/>
  <c r="N55" i="23"/>
  <c r="F106" i="3"/>
  <c r="F107" i="3" s="1"/>
  <c r="M55" i="23"/>
  <c r="E106" i="3"/>
  <c r="E107" i="3" s="1"/>
  <c r="L55" i="23"/>
  <c r="D106" i="3"/>
  <c r="D107" i="3" s="1"/>
  <c r="K55" i="23"/>
  <c r="C106" i="3"/>
  <c r="C107" i="3" s="1"/>
  <c r="J55" i="23"/>
  <c r="Q13" i="23"/>
  <c r="O13" i="23"/>
  <c r="N13" i="23"/>
  <c r="L13" i="23"/>
  <c r="J13" i="23"/>
  <c r="P13" i="23"/>
  <c r="M13" i="23"/>
  <c r="K13" i="23"/>
  <c r="C17" i="2"/>
  <c r="C23" i="22"/>
  <c r="N49" i="3"/>
  <c r="Q46" i="23"/>
  <c r="S46" i="23" s="1"/>
  <c r="N40" i="3"/>
  <c r="Q37" i="23"/>
  <c r="S37" i="23" s="1"/>
  <c r="P91" i="23"/>
  <c r="S14" i="23"/>
  <c r="S55" i="23"/>
  <c r="I97" i="3"/>
  <c r="I98" i="3" s="1"/>
  <c r="P11" i="23"/>
  <c r="H97" i="3"/>
  <c r="H98" i="3" s="1"/>
  <c r="O11" i="23"/>
  <c r="G97" i="3"/>
  <c r="G98" i="3" s="1"/>
  <c r="N11" i="23"/>
  <c r="F97" i="3"/>
  <c r="F98" i="3" s="1"/>
  <c r="M11" i="23"/>
  <c r="E97" i="3"/>
  <c r="E98" i="3" s="1"/>
  <c r="L11" i="23"/>
  <c r="D97" i="3"/>
  <c r="D98" i="3" s="1"/>
  <c r="K11" i="23"/>
  <c r="C97" i="3"/>
  <c r="C98" i="3" s="1"/>
  <c r="J11" i="23"/>
  <c r="K86" i="23" s="1"/>
  <c r="Q95" i="23"/>
  <c r="M84" i="23"/>
  <c r="L84" i="23"/>
  <c r="K84" i="23"/>
  <c r="Q83" i="23"/>
  <c r="O83" i="23"/>
  <c r="P7" i="3"/>
  <c r="P7" i="23"/>
  <c r="Q7" i="3"/>
  <c r="Q7" i="23"/>
  <c r="Q94" i="23" s="1"/>
  <c r="C11" i="16"/>
  <c r="C21" i="16" s="1"/>
  <c r="H84" i="23"/>
  <c r="D20" i="6"/>
  <c r="D28" i="6" s="1"/>
  <c r="F17" i="24"/>
  <c r="E17" i="24"/>
  <c r="D17" i="24"/>
  <c r="C13" i="23"/>
  <c r="H13" i="23"/>
  <c r="G13" i="23"/>
  <c r="F13" i="23"/>
  <c r="E13" i="23"/>
  <c r="D13" i="23"/>
  <c r="C34" i="11"/>
  <c r="C22" i="13"/>
  <c r="C24" i="13"/>
  <c r="C31" i="17"/>
  <c r="H91" i="23"/>
  <c r="D88" i="23"/>
  <c r="H16" i="24"/>
  <c r="I16" i="24" s="1"/>
  <c r="J16" i="24" s="1"/>
  <c r="K16" i="24" s="1"/>
  <c r="L16" i="24" s="1"/>
  <c r="G17" i="24"/>
  <c r="C8" i="19"/>
  <c r="C26" i="19"/>
  <c r="H103" i="1"/>
  <c r="H104" i="1" s="1"/>
  <c r="H55" i="23"/>
  <c r="D103" i="1"/>
  <c r="D104" i="1" s="1"/>
  <c r="D55" i="23"/>
  <c r="E103" i="1"/>
  <c r="E104" i="1" s="1"/>
  <c r="E55" i="23"/>
  <c r="F103" i="1"/>
  <c r="F104" i="1" s="1"/>
  <c r="F55" i="23"/>
  <c r="G103" i="1"/>
  <c r="G104" i="1" s="1"/>
  <c r="G55" i="23"/>
  <c r="C103" i="1"/>
  <c r="C104" i="1" s="1"/>
  <c r="C55" i="23"/>
  <c r="H94" i="1"/>
  <c r="H95" i="1" s="1"/>
  <c r="H11" i="23"/>
  <c r="G15" i="9"/>
  <c r="F15" i="9"/>
  <c r="G11" i="23"/>
  <c r="H131" i="1"/>
  <c r="E15" i="9"/>
  <c r="F11" i="23"/>
  <c r="E11" i="23"/>
  <c r="D15" i="9"/>
  <c r="D11" i="23"/>
  <c r="C15" i="9"/>
  <c r="H95" i="23"/>
  <c r="F84" i="23"/>
  <c r="E84" i="23"/>
  <c r="D84" i="23"/>
  <c r="H137" i="1"/>
  <c r="H7" i="23"/>
  <c r="H94" i="23" s="1"/>
  <c r="G7" i="23"/>
  <c r="H128" i="1"/>
  <c r="C19" i="2"/>
  <c r="D12" i="24"/>
  <c r="C19" i="21"/>
  <c r="S79" i="23"/>
  <c r="Q89" i="23"/>
  <c r="Q96" i="23"/>
  <c r="P89" i="23"/>
  <c r="O96" i="23"/>
  <c r="S18" i="23"/>
  <c r="S20" i="23" s="1"/>
  <c r="C12" i="2" s="1"/>
  <c r="O89" i="23"/>
  <c r="N96" i="23"/>
  <c r="N89" i="23"/>
  <c r="M96" i="23"/>
  <c r="M89" i="23"/>
  <c r="L96" i="23"/>
  <c r="L89" i="23"/>
  <c r="K96" i="23"/>
  <c r="K89" i="23"/>
  <c r="J96" i="23"/>
  <c r="S16" i="23"/>
  <c r="O88" i="23"/>
  <c r="P95" i="23"/>
  <c r="Q87" i="23"/>
  <c r="O95" i="23"/>
  <c r="P87" i="23"/>
  <c r="S12" i="23"/>
  <c r="N95" i="23"/>
  <c r="O87" i="23"/>
  <c r="N87" i="23"/>
  <c r="M95" i="23"/>
  <c r="L95" i="23"/>
  <c r="M87" i="23"/>
  <c r="L87" i="23"/>
  <c r="K95" i="23"/>
  <c r="K87" i="23"/>
  <c r="J95" i="23"/>
  <c r="O94" i="23"/>
  <c r="N94" i="23"/>
  <c r="O85" i="23"/>
  <c r="M94" i="23"/>
  <c r="N85" i="23"/>
  <c r="M85" i="23"/>
  <c r="L94" i="23"/>
  <c r="L85" i="23"/>
  <c r="K94" i="23"/>
  <c r="J94" i="23"/>
  <c r="K85" i="23"/>
  <c r="S6" i="23"/>
  <c r="N84" i="23"/>
  <c r="P96" i="23"/>
  <c r="P83" i="23"/>
  <c r="S5" i="23"/>
  <c r="S77" i="23" s="1"/>
  <c r="N83" i="23"/>
  <c r="G96" i="23"/>
  <c r="H89" i="23"/>
  <c r="G76" i="23"/>
  <c r="G89" i="23"/>
  <c r="F96" i="23"/>
  <c r="F76" i="23"/>
  <c r="E96" i="23"/>
  <c r="E76" i="23"/>
  <c r="F89" i="23"/>
  <c r="E89" i="23"/>
  <c r="D96" i="23"/>
  <c r="D76" i="23"/>
  <c r="H87" i="23"/>
  <c r="G95" i="23"/>
  <c r="F95" i="23"/>
  <c r="G87" i="23"/>
  <c r="E95" i="23"/>
  <c r="F87" i="23"/>
  <c r="D95" i="23"/>
  <c r="E87" i="23"/>
  <c r="F94" i="23"/>
  <c r="F85" i="23"/>
  <c r="E94" i="23"/>
  <c r="E85" i="23"/>
  <c r="D94" i="23"/>
  <c r="H96" i="23"/>
  <c r="H77" i="23"/>
  <c r="H83" i="23"/>
  <c r="H76" i="23"/>
  <c r="H78" i="23" s="1"/>
  <c r="H80" i="23" s="1"/>
  <c r="G77" i="23"/>
  <c r="G83" i="23"/>
  <c r="F83" i="23"/>
  <c r="F77" i="23"/>
  <c r="E83" i="23"/>
  <c r="E77" i="23"/>
  <c r="D77" i="23"/>
  <c r="D83" i="23"/>
  <c r="C76" i="23"/>
  <c r="C96" i="23"/>
  <c r="D89" i="23"/>
  <c r="C22" i="2"/>
  <c r="C94" i="23"/>
  <c r="D85" i="23"/>
  <c r="C95" i="23"/>
  <c r="D87" i="23"/>
  <c r="C77" i="23"/>
  <c r="C21" i="2"/>
  <c r="C6" i="21"/>
  <c r="C7" i="21" s="1"/>
  <c r="E12" i="24"/>
  <c r="F12" i="24"/>
  <c r="G11" i="24"/>
  <c r="F11" i="24"/>
  <c r="E11" i="24"/>
  <c r="D11" i="24"/>
  <c r="E31" i="17"/>
  <c r="F31" i="17"/>
  <c r="D31" i="17"/>
  <c r="G26" i="16"/>
  <c r="G30" i="16" s="1"/>
  <c r="F38" i="12"/>
  <c r="D11" i="16"/>
  <c r="D22" i="12"/>
  <c r="E22" i="12"/>
  <c r="F22" i="12"/>
  <c r="G22" i="12"/>
  <c r="C22" i="12"/>
  <c r="D8" i="17"/>
  <c r="E8" i="17"/>
  <c r="F8" i="17"/>
  <c r="C25" i="13"/>
  <c r="C33" i="11"/>
  <c r="F17" i="17"/>
  <c r="G17" i="17"/>
  <c r="D17" i="17"/>
  <c r="F48" i="6"/>
  <c r="Z38" i="6"/>
  <c r="Z9" i="6"/>
  <c r="Z19" i="6" s="1"/>
  <c r="Z28" i="6" s="1"/>
  <c r="Z11" i="6"/>
  <c r="Z21" i="6" s="1"/>
  <c r="Z7" i="6"/>
  <c r="Z17" i="6" s="1"/>
  <c r="Z6" i="6"/>
  <c r="Z16" i="6" s="1"/>
  <c r="J111" i="3"/>
  <c r="Y17" i="6"/>
  <c r="N58" i="3"/>
  <c r="Y48" i="6"/>
  <c r="V48" i="6"/>
  <c r="U48" i="6"/>
  <c r="X48" i="6"/>
  <c r="C36" i="12"/>
  <c r="F16" i="17"/>
  <c r="G16" i="17"/>
  <c r="C16" i="17"/>
  <c r="C38" i="12"/>
  <c r="G20" i="16"/>
  <c r="G21" i="16" s="1"/>
  <c r="F20" i="16"/>
  <c r="F21" i="16" s="1"/>
  <c r="E20" i="16"/>
  <c r="E21" i="16" s="1"/>
  <c r="D20" i="16"/>
  <c r="E36" i="12"/>
  <c r="D36" i="12"/>
  <c r="G8" i="17"/>
  <c r="C47" i="11"/>
  <c r="F33" i="11"/>
  <c r="E33" i="11"/>
  <c r="D33" i="11"/>
  <c r="F36" i="12"/>
  <c r="D47" i="19"/>
  <c r="E47" i="19"/>
  <c r="F47" i="19"/>
  <c r="G47" i="19"/>
  <c r="C47" i="19"/>
  <c r="D46" i="19"/>
  <c r="E46" i="19"/>
  <c r="F46" i="19"/>
  <c r="G46" i="19"/>
  <c r="C46" i="19"/>
  <c r="D25" i="18"/>
  <c r="E25" i="18"/>
  <c r="F25" i="18"/>
  <c r="G25" i="18"/>
  <c r="C25" i="18"/>
  <c r="E17" i="17"/>
  <c r="C17" i="17"/>
  <c r="C26" i="16"/>
  <c r="C30" i="16" s="1"/>
  <c r="C35" i="16" s="1"/>
  <c r="C51" i="11"/>
  <c r="L18" i="16"/>
  <c r="K18" i="16"/>
  <c r="J18" i="16"/>
  <c r="I18" i="16"/>
  <c r="H18" i="16"/>
  <c r="I17" i="16"/>
  <c r="J17" i="16"/>
  <c r="K17" i="16"/>
  <c r="L17" i="16"/>
  <c r="H17" i="16"/>
  <c r="L16" i="16"/>
  <c r="K16" i="16"/>
  <c r="J16" i="16"/>
  <c r="I16" i="16"/>
  <c r="H16" i="16"/>
  <c r="L13" i="16"/>
  <c r="H13" i="16"/>
  <c r="K13" i="16"/>
  <c r="J13" i="16"/>
  <c r="I13" i="16"/>
  <c r="J7" i="16"/>
  <c r="K7" i="16"/>
  <c r="L7" i="16"/>
  <c r="H7" i="16"/>
  <c r="I7" i="16"/>
  <c r="C52" i="11"/>
  <c r="C32" i="17"/>
  <c r="C8" i="17" s="1"/>
  <c r="D24" i="18"/>
  <c r="E24" i="18"/>
  <c r="F24" i="18"/>
  <c r="G24" i="18"/>
  <c r="C24" i="18"/>
  <c r="G47" i="11"/>
  <c r="F47" i="11"/>
  <c r="E47" i="11"/>
  <c r="D47" i="11"/>
  <c r="K31" i="16"/>
  <c r="L31" i="16"/>
  <c r="H31" i="16"/>
  <c r="J31" i="16"/>
  <c r="I31" i="16"/>
  <c r="G34" i="16"/>
  <c r="H28" i="16"/>
  <c r="L28" i="16"/>
  <c r="K28" i="16"/>
  <c r="J28" i="16"/>
  <c r="I28" i="16"/>
  <c r="F26" i="16"/>
  <c r="F30" i="16" s="1"/>
  <c r="F35" i="16" s="1"/>
  <c r="E26" i="16"/>
  <c r="E30" i="16" s="1"/>
  <c r="E35" i="16" s="1"/>
  <c r="E38" i="12"/>
  <c r="D38" i="12"/>
  <c r="D26" i="16"/>
  <c r="D30" i="16" s="1"/>
  <c r="D35" i="16" s="1"/>
  <c r="E22" i="6"/>
  <c r="E6" i="15"/>
  <c r="E8" i="15" s="1"/>
  <c r="F22" i="6"/>
  <c r="F6" i="15"/>
  <c r="F8" i="15" s="1"/>
  <c r="G22" i="6"/>
  <c r="G6" i="15"/>
  <c r="G8" i="15" s="1"/>
  <c r="F24" i="17"/>
  <c r="E24" i="17"/>
  <c r="D24" i="17"/>
  <c r="D8" i="15"/>
  <c r="C8" i="15"/>
  <c r="H8" i="19"/>
  <c r="F26" i="19"/>
  <c r="D26" i="19"/>
  <c r="G26" i="19"/>
  <c r="E26" i="19"/>
  <c r="D16" i="17"/>
  <c r="E16" i="17"/>
  <c r="D21" i="12"/>
  <c r="E21" i="12"/>
  <c r="F21" i="12"/>
  <c r="G21" i="12"/>
  <c r="C21" i="12"/>
  <c r="H14" i="13"/>
  <c r="G14" i="13"/>
  <c r="G24" i="13" s="1"/>
  <c r="F14" i="13"/>
  <c r="F24" i="13" s="1"/>
  <c r="E14" i="13"/>
  <c r="D14" i="13"/>
  <c r="G22" i="13"/>
  <c r="G23" i="13"/>
  <c r="F22" i="13"/>
  <c r="F23" i="13"/>
  <c r="E23" i="13"/>
  <c r="D23" i="13"/>
  <c r="C23" i="13"/>
  <c r="G25" i="13"/>
  <c r="F25" i="13"/>
  <c r="E25" i="13"/>
  <c r="D25" i="13"/>
  <c r="D16" i="12"/>
  <c r="F16" i="12"/>
  <c r="G16" i="12"/>
  <c r="C16" i="12"/>
  <c r="E16" i="12"/>
  <c r="E14" i="11"/>
  <c r="D46" i="11"/>
  <c r="F14" i="11"/>
  <c r="E46" i="11"/>
  <c r="G14" i="11"/>
  <c r="G32" i="11" s="1"/>
  <c r="F46" i="11"/>
  <c r="H14" i="11"/>
  <c r="G46" i="11"/>
  <c r="D14" i="11"/>
  <c r="D32" i="11" s="1"/>
  <c r="C46" i="11"/>
  <c r="D34" i="11"/>
  <c r="D35" i="11"/>
  <c r="H35" i="11" s="1"/>
  <c r="E35" i="11"/>
  <c r="E34" i="11"/>
  <c r="F35" i="11"/>
  <c r="F34" i="11"/>
  <c r="G35" i="11"/>
  <c r="G34" i="11"/>
  <c r="E32" i="11"/>
  <c r="F32" i="11"/>
  <c r="E48" i="6"/>
  <c r="T20" i="6"/>
  <c r="T19" i="6"/>
  <c r="T28" i="6" s="1"/>
  <c r="T18" i="6"/>
  <c r="T27" i="6" s="1"/>
  <c r="C13" i="2"/>
  <c r="X21" i="6"/>
  <c r="T46" i="6"/>
  <c r="T32" i="6"/>
  <c r="T31" i="6"/>
  <c r="Z20" i="6"/>
  <c r="Y20" i="6"/>
  <c r="W20" i="6"/>
  <c r="V20" i="6"/>
  <c r="U20" i="6"/>
  <c r="Y19" i="6"/>
  <c r="Y28" i="6" s="1"/>
  <c r="W19" i="6"/>
  <c r="W28" i="6" s="1"/>
  <c r="V19" i="6"/>
  <c r="V28" i="6" s="1"/>
  <c r="U19" i="6"/>
  <c r="U28" i="6" s="1"/>
  <c r="Z18" i="6"/>
  <c r="Z27" i="6" s="1"/>
  <c r="Y18" i="6"/>
  <c r="Y27" i="6" s="1"/>
  <c r="W18" i="6"/>
  <c r="W27" i="6" s="1"/>
  <c r="V18" i="6"/>
  <c r="V27" i="6" s="1"/>
  <c r="U18" i="6"/>
  <c r="U27" i="6" s="1"/>
  <c r="W17" i="6"/>
  <c r="V17" i="6"/>
  <c r="U17" i="6"/>
  <c r="T17" i="6"/>
  <c r="Y16" i="6"/>
  <c r="W16" i="6"/>
  <c r="V16" i="6"/>
  <c r="U16" i="6"/>
  <c r="T16" i="6"/>
  <c r="T22" i="6"/>
  <c r="Z32" i="6"/>
  <c r="AA30" i="6"/>
  <c r="Z31" i="6"/>
  <c r="AA29" i="6"/>
  <c r="X20" i="6"/>
  <c r="AE10" i="6"/>
  <c r="X19" i="6"/>
  <c r="X28" i="6" s="1"/>
  <c r="AE8" i="6"/>
  <c r="X18" i="6"/>
  <c r="X27" i="6" s="1"/>
  <c r="X17" i="6"/>
  <c r="X16" i="6"/>
  <c r="T44" i="6"/>
  <c r="T26" i="6"/>
  <c r="T15" i="6"/>
  <c r="U26" i="6"/>
  <c r="U44" i="6"/>
  <c r="U15" i="6"/>
  <c r="V26" i="6"/>
  <c r="V15" i="6"/>
  <c r="V44" i="6"/>
  <c r="W44" i="6"/>
  <c r="W26" i="6"/>
  <c r="W15" i="6"/>
  <c r="X15" i="6"/>
  <c r="X44" i="6"/>
  <c r="X26" i="6"/>
  <c r="Y15" i="6"/>
  <c r="Y44" i="6"/>
  <c r="Y26" i="6"/>
  <c r="Z44" i="6"/>
  <c r="Z15" i="6"/>
  <c r="Z26" i="6"/>
  <c r="S26" i="6"/>
  <c r="S44" i="6"/>
  <c r="S15" i="6"/>
  <c r="X34" i="6"/>
  <c r="Y34" i="6"/>
  <c r="Z34" i="6"/>
  <c r="X40" i="6"/>
  <c r="Y40" i="6"/>
  <c r="Y50" i="6" s="1"/>
  <c r="Z40" i="6"/>
  <c r="Z50" i="6" s="1"/>
  <c r="X39" i="6"/>
  <c r="Y39" i="6"/>
  <c r="Y49" i="6" s="1"/>
  <c r="Z39" i="6"/>
  <c r="W34" i="6"/>
  <c r="V34" i="6"/>
  <c r="U34" i="6"/>
  <c r="T34" i="6"/>
  <c r="S34" i="6"/>
  <c r="W40" i="6"/>
  <c r="V40" i="6"/>
  <c r="U40" i="6"/>
  <c r="T40" i="6"/>
  <c r="S40" i="6"/>
  <c r="W39" i="6"/>
  <c r="V39" i="6"/>
  <c r="U39" i="6"/>
  <c r="T39" i="6"/>
  <c r="S39" i="6"/>
  <c r="Z37" i="6"/>
  <c r="Y37" i="6"/>
  <c r="X37" i="6"/>
  <c r="W37" i="6"/>
  <c r="V37" i="6"/>
  <c r="U37" i="6"/>
  <c r="T37" i="6"/>
  <c r="S37" i="6"/>
  <c r="Y21" i="6"/>
  <c r="W21" i="6"/>
  <c r="V21" i="6"/>
  <c r="U21" i="6"/>
  <c r="T21" i="6"/>
  <c r="T48" i="6"/>
  <c r="W48" i="6"/>
  <c r="J97" i="3"/>
  <c r="J98" i="3" s="1"/>
  <c r="W15" i="9"/>
  <c r="V15" i="9"/>
  <c r="U15" i="9"/>
  <c r="T15" i="9"/>
  <c r="S15" i="9"/>
  <c r="R15" i="9"/>
  <c r="Q15" i="9"/>
  <c r="P15" i="9"/>
  <c r="D46" i="6"/>
  <c r="H48" i="6"/>
  <c r="G48" i="6"/>
  <c r="F50" i="6"/>
  <c r="G50" i="6"/>
  <c r="E49" i="6"/>
  <c r="F49" i="6"/>
  <c r="D48" i="6"/>
  <c r="V23" i="9"/>
  <c r="R23" i="9"/>
  <c r="V22" i="9"/>
  <c r="S22" i="9"/>
  <c r="W21" i="9"/>
  <c r="R21" i="9"/>
  <c r="P21" i="9"/>
  <c r="S20" i="9"/>
  <c r="U20" i="9"/>
  <c r="P20" i="9"/>
  <c r="G23" i="9"/>
  <c r="D23" i="9"/>
  <c r="E22" i="9"/>
  <c r="C23" i="9"/>
  <c r="F21" i="9"/>
  <c r="D20" i="9"/>
  <c r="G20" i="9"/>
  <c r="T23" i="9"/>
  <c r="Q23" i="9"/>
  <c r="U22" i="9"/>
  <c r="T22" i="9"/>
  <c r="Q22" i="9"/>
  <c r="U21" i="9"/>
  <c r="S21" i="9"/>
  <c r="P22" i="9"/>
  <c r="R20" i="9"/>
  <c r="V20" i="9"/>
  <c r="W20" i="9"/>
  <c r="E23" i="9"/>
  <c r="G22" i="9"/>
  <c r="D22" i="9"/>
  <c r="E21" i="9"/>
  <c r="C21" i="9"/>
  <c r="F20" i="9"/>
  <c r="C20" i="9"/>
  <c r="W23" i="9"/>
  <c r="S23" i="9"/>
  <c r="W22" i="9"/>
  <c r="R22" i="9"/>
  <c r="V21" i="9"/>
  <c r="T21" i="9"/>
  <c r="Q21" i="9"/>
  <c r="Q20" i="9"/>
  <c r="T20" i="9"/>
  <c r="F23" i="9"/>
  <c r="F22" i="9"/>
  <c r="C22" i="9"/>
  <c r="D21" i="9"/>
  <c r="G21" i="9"/>
  <c r="E20" i="9"/>
  <c r="U23" i="9"/>
  <c r="P23" i="9"/>
  <c r="W19" i="9"/>
  <c r="W10" i="9"/>
  <c r="V19" i="9"/>
  <c r="V10" i="9"/>
  <c r="U10" i="9"/>
  <c r="U19" i="9"/>
  <c r="T10" i="9"/>
  <c r="T19" i="9"/>
  <c r="S10" i="9"/>
  <c r="S19" i="9"/>
  <c r="R10" i="9"/>
  <c r="R19" i="9"/>
  <c r="Q10" i="9"/>
  <c r="Q19" i="9"/>
  <c r="P10" i="9"/>
  <c r="P19" i="9"/>
  <c r="D32" i="6"/>
  <c r="D31" i="6"/>
  <c r="D22" i="6"/>
  <c r="G19" i="6"/>
  <c r="F19" i="6"/>
  <c r="E19" i="6"/>
  <c r="D19" i="6"/>
  <c r="G18" i="6"/>
  <c r="G27" i="6" s="1"/>
  <c r="F18" i="6"/>
  <c r="F27" i="6" s="1"/>
  <c r="E18" i="6"/>
  <c r="E27" i="6" s="1"/>
  <c r="D18" i="6"/>
  <c r="D27" i="6" s="1"/>
  <c r="G17" i="6"/>
  <c r="F17" i="6"/>
  <c r="E17" i="6"/>
  <c r="D17" i="6"/>
  <c r="D16" i="6"/>
  <c r="H10" i="6"/>
  <c r="G20" i="6"/>
  <c r="G28" i="6" s="1"/>
  <c r="H30" i="6"/>
  <c r="G32" i="6"/>
  <c r="H29" i="6"/>
  <c r="G31" i="6"/>
  <c r="H18" i="6"/>
  <c r="I8" i="6"/>
  <c r="G16" i="6"/>
  <c r="C33" i="6"/>
  <c r="D33" i="6"/>
  <c r="E47" i="6"/>
  <c r="E33" i="6"/>
  <c r="G47" i="6"/>
  <c r="F33" i="6"/>
  <c r="G21" i="6"/>
  <c r="E35" i="6"/>
  <c r="E137" i="1"/>
  <c r="F94" i="1"/>
  <c r="F95" i="1" s="1"/>
  <c r="F137" i="1"/>
  <c r="E94" i="1"/>
  <c r="E95" i="1" s="1"/>
  <c r="D94" i="1"/>
  <c r="D95" i="1" s="1"/>
  <c r="D137" i="1"/>
  <c r="C94" i="1"/>
  <c r="C95" i="1" s="1"/>
  <c r="E20" i="6"/>
  <c r="E28" i="6" s="1"/>
  <c r="R15" i="3"/>
  <c r="R16" i="3"/>
  <c r="R20" i="3"/>
  <c r="R6" i="3"/>
  <c r="P11" i="3"/>
  <c r="G94" i="1"/>
  <c r="G95" i="1" s="1"/>
  <c r="R21" i="3"/>
  <c r="E131" i="1"/>
  <c r="D128" i="1"/>
  <c r="C137" i="1"/>
  <c r="F131" i="1"/>
  <c r="F128" i="1"/>
  <c r="G137" i="1"/>
  <c r="D131" i="1"/>
  <c r="E128" i="1"/>
  <c r="G128" i="1"/>
  <c r="G131" i="1"/>
  <c r="R13" i="3"/>
  <c r="R17" i="3"/>
  <c r="R12" i="3"/>
  <c r="R22" i="3"/>
  <c r="R18" i="3"/>
  <c r="R10" i="3"/>
  <c r="R9" i="3"/>
  <c r="R5" i="3"/>
  <c r="R19" i="3"/>
  <c r="R14" i="3"/>
  <c r="R8" i="3"/>
  <c r="N22" i="3"/>
  <c r="C11" i="2" s="1"/>
  <c r="Q11" i="3"/>
  <c r="N7" i="3"/>
  <c r="N21" i="3"/>
  <c r="N11" i="3"/>
  <c r="J108" i="3"/>
  <c r="J109" i="3" s="1"/>
  <c r="J106" i="3"/>
  <c r="J107" i="3" s="1"/>
  <c r="D3" i="1"/>
  <c r="Z48" i="6" l="1"/>
  <c r="AA48" i="6"/>
  <c r="Y35" i="6"/>
  <c r="R7" i="3"/>
  <c r="S13" i="23"/>
  <c r="C18" i="2"/>
  <c r="P94" i="23"/>
  <c r="Q85" i="23"/>
  <c r="P85" i="23"/>
  <c r="S7" i="23"/>
  <c r="S94" i="23" s="1"/>
  <c r="Q90" i="23"/>
  <c r="Q86" i="23"/>
  <c r="P90" i="23"/>
  <c r="P86" i="23"/>
  <c r="O90" i="23"/>
  <c r="S11" i="23"/>
  <c r="O86" i="23"/>
  <c r="N90" i="23"/>
  <c r="M90" i="23"/>
  <c r="N86" i="23"/>
  <c r="L90" i="23"/>
  <c r="M86" i="23"/>
  <c r="L86" i="23"/>
  <c r="K90" i="23"/>
  <c r="C37" i="16"/>
  <c r="G94" i="23"/>
  <c r="G85" i="23"/>
  <c r="H85" i="23"/>
  <c r="D21" i="16"/>
  <c r="D37" i="16" s="1"/>
  <c r="E23" i="12"/>
  <c r="C5" i="24"/>
  <c r="D3" i="23"/>
  <c r="C8" i="11"/>
  <c r="C5" i="9"/>
  <c r="C5" i="6"/>
  <c r="C6" i="22"/>
  <c r="C5" i="17"/>
  <c r="C30" i="17" s="1"/>
  <c r="C6" i="12"/>
  <c r="C5" i="16"/>
  <c r="C5" i="15"/>
  <c r="C21" i="15" s="1"/>
  <c r="C6" i="19"/>
  <c r="C6" i="18"/>
  <c r="C8" i="13"/>
  <c r="C78" i="23"/>
  <c r="C80" i="23" s="1"/>
  <c r="C24" i="24"/>
  <c r="C32" i="24"/>
  <c r="H90" i="23"/>
  <c r="F12" i="15"/>
  <c r="F13" i="15" s="1"/>
  <c r="F9" i="12"/>
  <c r="F9" i="18"/>
  <c r="H86" i="23"/>
  <c r="G90" i="23"/>
  <c r="E12" i="15"/>
  <c r="E13" i="15" s="1"/>
  <c r="E9" i="12"/>
  <c r="E9" i="18"/>
  <c r="G86" i="23"/>
  <c r="F90" i="23"/>
  <c r="E90" i="23"/>
  <c r="F86" i="23"/>
  <c r="D12" i="15"/>
  <c r="D13" i="15" s="1"/>
  <c r="D9" i="12"/>
  <c r="D9" i="18"/>
  <c r="D86" i="23"/>
  <c r="D90" i="23"/>
  <c r="E86" i="23"/>
  <c r="C12" i="15"/>
  <c r="C13" i="15" s="1"/>
  <c r="C9" i="18"/>
  <c r="C9" i="12"/>
  <c r="H25" i="13"/>
  <c r="I25" i="13" s="1"/>
  <c r="D23" i="12"/>
  <c r="G23" i="12"/>
  <c r="I22" i="12"/>
  <c r="K22" i="12"/>
  <c r="J22" i="12"/>
  <c r="L22" i="12"/>
  <c r="H22" i="12"/>
  <c r="S76" i="23"/>
  <c r="S78" i="23" s="1"/>
  <c r="S80" i="23" s="1"/>
  <c r="S96" i="23"/>
  <c r="C44" i="2"/>
  <c r="S95" i="23"/>
  <c r="E78" i="23"/>
  <c r="E80" i="23" s="1"/>
  <c r="G78" i="23"/>
  <c r="G80" i="23" s="1"/>
  <c r="F78" i="23"/>
  <c r="F80" i="23" s="1"/>
  <c r="D78" i="23"/>
  <c r="D80" i="23" s="1"/>
  <c r="C17" i="21"/>
  <c r="C16" i="21"/>
  <c r="E37" i="16"/>
  <c r="F37" i="16"/>
  <c r="H24" i="18"/>
  <c r="F23" i="12"/>
  <c r="C53" i="11"/>
  <c r="C23" i="12"/>
  <c r="L21" i="12"/>
  <c r="I21" i="12"/>
  <c r="I23" i="12" s="1"/>
  <c r="H21" i="12"/>
  <c r="J21" i="12"/>
  <c r="J23" i="12" s="1"/>
  <c r="K21" i="12"/>
  <c r="K23" i="12" s="1"/>
  <c r="E22" i="13"/>
  <c r="E24" i="13"/>
  <c r="D22" i="13"/>
  <c r="D24" i="13"/>
  <c r="G35" i="16"/>
  <c r="G37" i="16" s="1"/>
  <c r="G24" i="17"/>
  <c r="G9" i="18"/>
  <c r="G9" i="12"/>
  <c r="G12" i="15"/>
  <c r="G13" i="15" s="1"/>
  <c r="I24" i="13"/>
  <c r="H34" i="11"/>
  <c r="E50" i="6"/>
  <c r="X50" i="6"/>
  <c r="X49" i="6"/>
  <c r="U35" i="6"/>
  <c r="V47" i="6"/>
  <c r="AE30" i="6"/>
  <c r="AA40" i="6"/>
  <c r="AA50" i="6" s="1"/>
  <c r="AA9" i="6"/>
  <c r="AE29" i="6"/>
  <c r="Z35" i="6"/>
  <c r="AA34" i="6"/>
  <c r="AA36" i="6" s="1"/>
  <c r="AA37" i="6" s="1"/>
  <c r="Z49" i="6"/>
  <c r="AA49" i="6"/>
  <c r="Z33" i="6"/>
  <c r="Y33" i="6"/>
  <c r="X33" i="6"/>
  <c r="W33" i="6"/>
  <c r="V33" i="6"/>
  <c r="U33" i="6"/>
  <c r="T33" i="6"/>
  <c r="S33" i="6"/>
  <c r="X35" i="6"/>
  <c r="V35" i="6"/>
  <c r="T35" i="6"/>
  <c r="W50" i="6"/>
  <c r="V50" i="6"/>
  <c r="U50" i="6"/>
  <c r="T50" i="6"/>
  <c r="W49" i="6"/>
  <c r="V49" i="6"/>
  <c r="U49" i="6"/>
  <c r="T49" i="6"/>
  <c r="Z47" i="6"/>
  <c r="Y47" i="6"/>
  <c r="X47" i="6"/>
  <c r="W47" i="6"/>
  <c r="U47" i="6"/>
  <c r="T47" i="6"/>
  <c r="W35" i="6"/>
  <c r="F35" i="6"/>
  <c r="D47" i="6"/>
  <c r="F47" i="6"/>
  <c r="H49" i="6"/>
  <c r="G49" i="6"/>
  <c r="D50" i="6"/>
  <c r="D49" i="6"/>
  <c r="I10" i="6"/>
  <c r="H20" i="6"/>
  <c r="I29" i="6"/>
  <c r="H50" i="6"/>
  <c r="H9" i="6"/>
  <c r="H19" i="6" s="1"/>
  <c r="I30" i="6"/>
  <c r="I18" i="6"/>
  <c r="J8" i="6"/>
  <c r="E45" i="6"/>
  <c r="G35" i="6"/>
  <c r="D35" i="6"/>
  <c r="F21" i="6"/>
  <c r="E3" i="1"/>
  <c r="D21" i="6"/>
  <c r="E21" i="6"/>
  <c r="R11" i="3"/>
  <c r="D6" i="17" l="1"/>
  <c r="D7" i="17" s="1"/>
  <c r="D15" i="15"/>
  <c r="D17" i="15" s="1"/>
  <c r="D39" i="12"/>
  <c r="D37" i="12"/>
  <c r="D23" i="18"/>
  <c r="D26" i="18"/>
  <c r="C6" i="17"/>
  <c r="C15" i="15"/>
  <c r="C17" i="15" s="1"/>
  <c r="C26" i="18"/>
  <c r="C23" i="18"/>
  <c r="H23" i="18" s="1"/>
  <c r="F39" i="12"/>
  <c r="F37" i="12"/>
  <c r="F23" i="18"/>
  <c r="F26" i="18"/>
  <c r="E39" i="12"/>
  <c r="E37" i="12"/>
  <c r="E23" i="18"/>
  <c r="E26" i="18"/>
  <c r="C39" i="12"/>
  <c r="C37" i="12"/>
  <c r="C15" i="24"/>
  <c r="C10" i="24"/>
  <c r="C43" i="11"/>
  <c r="C13" i="11"/>
  <c r="C21" i="11"/>
  <c r="C31" i="11"/>
  <c r="C10" i="9"/>
  <c r="C19" i="9"/>
  <c r="C26" i="6"/>
  <c r="C15" i="6"/>
  <c r="C44" i="6"/>
  <c r="C20" i="12"/>
  <c r="C13" i="12"/>
  <c r="C27" i="12"/>
  <c r="C35" i="12"/>
  <c r="C22" i="19"/>
  <c r="C12" i="19"/>
  <c r="C40" i="19"/>
  <c r="C36" i="19"/>
  <c r="C45" i="19"/>
  <c r="C14" i="18"/>
  <c r="C22" i="18"/>
  <c r="C21" i="13"/>
  <c r="C13" i="13"/>
  <c r="C32" i="13"/>
  <c r="C42" i="13"/>
  <c r="D5" i="24"/>
  <c r="E3" i="23"/>
  <c r="D6" i="22"/>
  <c r="D6" i="12"/>
  <c r="D5" i="6"/>
  <c r="D6" i="18"/>
  <c r="D8" i="13"/>
  <c r="D5" i="17"/>
  <c r="D30" i="17" s="1"/>
  <c r="D5" i="16"/>
  <c r="D5" i="15"/>
  <c r="D21" i="15" s="1"/>
  <c r="D6" i="19"/>
  <c r="D8" i="11"/>
  <c r="D5" i="9"/>
  <c r="L23" i="12"/>
  <c r="H23" i="12"/>
  <c r="C20" i="21"/>
  <c r="C30" i="24" s="1"/>
  <c r="L24" i="18"/>
  <c r="K24" i="18"/>
  <c r="I24" i="18"/>
  <c r="J24" i="18"/>
  <c r="C7" i="17"/>
  <c r="I40" i="6"/>
  <c r="I50" i="6" s="1"/>
  <c r="J29" i="6"/>
  <c r="I9" i="6"/>
  <c r="I19" i="6" s="1"/>
  <c r="D23" i="17"/>
  <c r="D9" i="17"/>
  <c r="D20" i="17" s="1"/>
  <c r="D7" i="22" s="1"/>
  <c r="L35" i="11"/>
  <c r="K35" i="11"/>
  <c r="J35" i="11"/>
  <c r="I35" i="11"/>
  <c r="E15" i="15"/>
  <c r="E17" i="15" s="1"/>
  <c r="E6" i="17"/>
  <c r="F15" i="15"/>
  <c r="F17" i="15" s="1"/>
  <c r="F6" i="17"/>
  <c r="G23" i="18"/>
  <c r="G26" i="18"/>
  <c r="G15" i="15"/>
  <c r="G17" i="15" s="1"/>
  <c r="G6" i="17"/>
  <c r="K34" i="11"/>
  <c r="I34" i="11"/>
  <c r="L34" i="11"/>
  <c r="J34" i="11"/>
  <c r="W45" i="6"/>
  <c r="AA7" i="6"/>
  <c r="AA47" i="6"/>
  <c r="AE37" i="6"/>
  <c r="AE9" i="6"/>
  <c r="AA19" i="6"/>
  <c r="AA6" i="6"/>
  <c r="AA46" i="6"/>
  <c r="AE36" i="6"/>
  <c r="Z45" i="6"/>
  <c r="AA45" i="6"/>
  <c r="V45" i="6"/>
  <c r="U45" i="6"/>
  <c r="T45" i="6"/>
  <c r="Y45" i="6"/>
  <c r="X45" i="6"/>
  <c r="D45" i="6"/>
  <c r="F45" i="6"/>
  <c r="I20" i="6"/>
  <c r="J10" i="6"/>
  <c r="G45" i="6"/>
  <c r="H45" i="6"/>
  <c r="J30" i="6"/>
  <c r="K8" i="6"/>
  <c r="J18" i="6"/>
  <c r="I34" i="6"/>
  <c r="H36" i="6"/>
  <c r="F3" i="1"/>
  <c r="D22" i="19" l="1"/>
  <c r="D12" i="19"/>
  <c r="D40" i="19"/>
  <c r="D19" i="9"/>
  <c r="D10" i="9"/>
  <c r="D15" i="24"/>
  <c r="D10" i="24"/>
  <c r="D20" i="12"/>
  <c r="D13" i="12"/>
  <c r="D27" i="12"/>
  <c r="D35" i="12"/>
  <c r="D44" i="6"/>
  <c r="D15" i="6"/>
  <c r="D26" i="6"/>
  <c r="D22" i="18"/>
  <c r="D14" i="18"/>
  <c r="D21" i="13"/>
  <c r="D13" i="13"/>
  <c r="D42" i="13"/>
  <c r="D32" i="13"/>
  <c r="D36" i="19"/>
  <c r="D45" i="19"/>
  <c r="D31" i="11"/>
  <c r="D43" i="11"/>
  <c r="D13" i="11"/>
  <c r="D21" i="11"/>
  <c r="E5" i="24"/>
  <c r="F3" i="23"/>
  <c r="E6" i="22"/>
  <c r="E5" i="15"/>
  <c r="E21" i="15" s="1"/>
  <c r="E6" i="18"/>
  <c r="E8" i="13"/>
  <c r="E5" i="17"/>
  <c r="E30" i="17" s="1"/>
  <c r="E5" i="16"/>
  <c r="E6" i="19"/>
  <c r="E6" i="12"/>
  <c r="E13" i="12" s="1"/>
  <c r="E8" i="11"/>
  <c r="E5" i="9"/>
  <c r="E5" i="6"/>
  <c r="C15" i="22"/>
  <c r="C22" i="24"/>
  <c r="C9" i="17"/>
  <c r="C20" i="17" s="1"/>
  <c r="C23" i="17"/>
  <c r="D26" i="17"/>
  <c r="D13" i="19"/>
  <c r="J40" i="6"/>
  <c r="J50" i="6" s="1"/>
  <c r="K29" i="6"/>
  <c r="J9" i="6"/>
  <c r="J19" i="6" s="1"/>
  <c r="E7" i="17"/>
  <c r="F7" i="17"/>
  <c r="H26" i="18"/>
  <c r="L23" i="18"/>
  <c r="L26" i="18" s="1"/>
  <c r="J23" i="18"/>
  <c r="J26" i="18" s="1"/>
  <c r="K23" i="18"/>
  <c r="K26" i="18" s="1"/>
  <c r="I23" i="18"/>
  <c r="I26" i="18" s="1"/>
  <c r="G7" i="17"/>
  <c r="E40" i="19"/>
  <c r="E42" i="13"/>
  <c r="AE7" i="6"/>
  <c r="AA11" i="6"/>
  <c r="AA17" i="6"/>
  <c r="AE6" i="6"/>
  <c r="AA16" i="6"/>
  <c r="K10" i="6"/>
  <c r="J20" i="6"/>
  <c r="H37" i="6"/>
  <c r="H46" i="6"/>
  <c r="H6" i="6"/>
  <c r="H16" i="6" s="1"/>
  <c r="K30" i="6"/>
  <c r="K18" i="6"/>
  <c r="L8" i="6"/>
  <c r="L18" i="6" s="1"/>
  <c r="I36" i="6"/>
  <c r="I46" i="6" s="1"/>
  <c r="J34" i="6"/>
  <c r="E26" i="6"/>
  <c r="G3" i="1"/>
  <c r="E14" i="18" l="1"/>
  <c r="E22" i="18"/>
  <c r="E32" i="13"/>
  <c r="E21" i="13"/>
  <c r="E13" i="13"/>
  <c r="E22" i="19"/>
  <c r="E12" i="19"/>
  <c r="E36" i="19"/>
  <c r="E45" i="19"/>
  <c r="E44" i="6"/>
  <c r="E15" i="6"/>
  <c r="E10" i="24"/>
  <c r="E15" i="24"/>
  <c r="E19" i="9"/>
  <c r="E10" i="9"/>
  <c r="E20" i="12"/>
  <c r="E35" i="12"/>
  <c r="E27" i="12"/>
  <c r="E43" i="11"/>
  <c r="E31" i="11"/>
  <c r="E13" i="11"/>
  <c r="E21" i="11"/>
  <c r="F5" i="24"/>
  <c r="F6" i="22"/>
  <c r="F5" i="17"/>
  <c r="F30" i="17" s="1"/>
  <c r="F6" i="12"/>
  <c r="F5" i="9"/>
  <c r="F5" i="6"/>
  <c r="G3" i="23"/>
  <c r="F5" i="15"/>
  <c r="F21" i="15" s="1"/>
  <c r="F8" i="11"/>
  <c r="F31" i="11" s="1"/>
  <c r="F5" i="16"/>
  <c r="F6" i="19"/>
  <c r="F6" i="18"/>
  <c r="F14" i="18" s="1"/>
  <c r="F8" i="13"/>
  <c r="C13" i="19"/>
  <c r="C7" i="22"/>
  <c r="C26" i="17"/>
  <c r="K40" i="6"/>
  <c r="K50" i="6" s="1"/>
  <c r="K9" i="6"/>
  <c r="K19" i="6" s="1"/>
  <c r="L29" i="6"/>
  <c r="L9" i="6" s="1"/>
  <c r="F9" i="17"/>
  <c r="F20" i="17" s="1"/>
  <c r="F23" i="17"/>
  <c r="F22" i="19"/>
  <c r="F22" i="18"/>
  <c r="F21" i="13"/>
  <c r="F42" i="13"/>
  <c r="E9" i="17"/>
  <c r="E20" i="17" s="1"/>
  <c r="E7" i="22" s="1"/>
  <c r="E23" i="17"/>
  <c r="G9" i="17"/>
  <c r="G20" i="17" s="1"/>
  <c r="G7" i="22" s="1"/>
  <c r="G23" i="17"/>
  <c r="AA21" i="6"/>
  <c r="AA12" i="6"/>
  <c r="AE11" i="6"/>
  <c r="AE12" i="6" s="1"/>
  <c r="AE33" i="6"/>
  <c r="L10" i="6"/>
  <c r="L20" i="6" s="1"/>
  <c r="K20" i="6"/>
  <c r="H47" i="6"/>
  <c r="H7" i="6"/>
  <c r="I37" i="6"/>
  <c r="I6" i="6"/>
  <c r="I16" i="6" s="1"/>
  <c r="L30" i="6"/>
  <c r="J36" i="6"/>
  <c r="J46" i="6" s="1"/>
  <c r="K34" i="6"/>
  <c r="H3" i="1"/>
  <c r="F12" i="19" l="1"/>
  <c r="F40" i="19"/>
  <c r="F36" i="19"/>
  <c r="F45" i="19"/>
  <c r="F13" i="13"/>
  <c r="F32" i="13"/>
  <c r="L19" i="6"/>
  <c r="F20" i="12"/>
  <c r="F13" i="12"/>
  <c r="F27" i="12"/>
  <c r="F35" i="12"/>
  <c r="F44" i="6"/>
  <c r="F15" i="6"/>
  <c r="F26" i="6"/>
  <c r="F10" i="24"/>
  <c r="F15" i="24"/>
  <c r="F19" i="9"/>
  <c r="F10" i="9"/>
  <c r="F43" i="11"/>
  <c r="F13" i="11"/>
  <c r="F21" i="11"/>
  <c r="I3" i="1"/>
  <c r="J3" i="1" s="1"/>
  <c r="K3" i="1" s="1"/>
  <c r="L3" i="1" s="1"/>
  <c r="G5" i="24"/>
  <c r="G6" i="22"/>
  <c r="H6" i="22" s="1"/>
  <c r="I6" i="22" s="1"/>
  <c r="J6" i="22" s="1"/>
  <c r="K6" i="22" s="1"/>
  <c r="L6" i="22" s="1"/>
  <c r="G5" i="16"/>
  <c r="H5" i="16" s="1"/>
  <c r="I5" i="16" s="1"/>
  <c r="J5" i="16" s="1"/>
  <c r="K5" i="16" s="1"/>
  <c r="L5" i="16" s="1"/>
  <c r="G5" i="15"/>
  <c r="G6" i="19"/>
  <c r="G8" i="13"/>
  <c r="G6" i="18"/>
  <c r="G5" i="9"/>
  <c r="H3" i="23"/>
  <c r="G5" i="17"/>
  <c r="G6" i="12"/>
  <c r="G8" i="11"/>
  <c r="G5" i="6"/>
  <c r="F13" i="19"/>
  <c r="F7" i="22"/>
  <c r="X6" i="9"/>
  <c r="AA22" i="6"/>
  <c r="L40" i="6"/>
  <c r="L50" i="6" s="1"/>
  <c r="F26" i="17"/>
  <c r="G10" i="9"/>
  <c r="E13" i="19"/>
  <c r="E26" i="17"/>
  <c r="G13" i="19"/>
  <c r="G26" i="17"/>
  <c r="G22" i="19"/>
  <c r="H6" i="19"/>
  <c r="G12" i="19"/>
  <c r="G40" i="19"/>
  <c r="H11" i="6"/>
  <c r="H17" i="6"/>
  <c r="I7" i="6"/>
  <c r="I47" i="6"/>
  <c r="J37" i="6"/>
  <c r="J6" i="6"/>
  <c r="J16" i="6" s="1"/>
  <c r="K36" i="6"/>
  <c r="K46" i="6" s="1"/>
  <c r="L34" i="6"/>
  <c r="L36" i="6" s="1"/>
  <c r="X13" i="9" l="1"/>
  <c r="AB13" i="9" s="1"/>
  <c r="X14" i="9"/>
  <c r="AB14" i="9" s="1"/>
  <c r="X11" i="9"/>
  <c r="AB11" i="9" s="1"/>
  <c r="X12" i="9"/>
  <c r="AB6" i="9"/>
  <c r="G36" i="19"/>
  <c r="G45" i="19"/>
  <c r="G22" i="18"/>
  <c r="G14" i="18"/>
  <c r="H6" i="18"/>
  <c r="H22" i="18" s="1"/>
  <c r="G30" i="17"/>
  <c r="H5" i="17"/>
  <c r="G13" i="12"/>
  <c r="G20" i="12"/>
  <c r="H6" i="12"/>
  <c r="G27" i="12"/>
  <c r="G35" i="12"/>
  <c r="G43" i="11"/>
  <c r="G31" i="11"/>
  <c r="H8" i="11"/>
  <c r="G21" i="11"/>
  <c r="G13" i="11"/>
  <c r="G44" i="6"/>
  <c r="G15" i="6"/>
  <c r="H5" i="6"/>
  <c r="G26" i="6"/>
  <c r="G10" i="24"/>
  <c r="H5" i="24"/>
  <c r="G15" i="24"/>
  <c r="H5" i="15"/>
  <c r="G21" i="15"/>
  <c r="G21" i="13"/>
  <c r="G42" i="13"/>
  <c r="G13" i="13"/>
  <c r="H8" i="13"/>
  <c r="G32" i="13"/>
  <c r="H5" i="9"/>
  <c r="G19" i="9"/>
  <c r="I6" i="19"/>
  <c r="H22" i="19"/>
  <c r="H12" i="19"/>
  <c r="H40" i="19"/>
  <c r="H36" i="19"/>
  <c r="H45" i="19"/>
  <c r="H12" i="6"/>
  <c r="H21" i="6"/>
  <c r="L46" i="6"/>
  <c r="I17" i="6"/>
  <c r="I11" i="6"/>
  <c r="J7" i="6"/>
  <c r="J47" i="6"/>
  <c r="K37" i="6"/>
  <c r="K6" i="6"/>
  <c r="K16" i="6" s="1"/>
  <c r="L37" i="6"/>
  <c r="L6" i="6"/>
  <c r="X15" i="9" l="1"/>
  <c r="AB15" i="9" s="1"/>
  <c r="AB12" i="9"/>
  <c r="H44" i="6"/>
  <c r="H15" i="6"/>
  <c r="H26" i="6"/>
  <c r="I5" i="6"/>
  <c r="H14" i="18"/>
  <c r="I6" i="18"/>
  <c r="H30" i="17"/>
  <c r="I5" i="17"/>
  <c r="H35" i="12"/>
  <c r="H20" i="12"/>
  <c r="I6" i="12"/>
  <c r="H27" i="12"/>
  <c r="H13" i="12"/>
  <c r="H21" i="11"/>
  <c r="H13" i="11"/>
  <c r="I8" i="11"/>
  <c r="H31" i="11"/>
  <c r="B22" i="11"/>
  <c r="I5" i="15"/>
  <c r="H21" i="15"/>
  <c r="H42" i="13"/>
  <c r="H32" i="13"/>
  <c r="H21" i="13"/>
  <c r="H13" i="13"/>
  <c r="I8" i="13"/>
  <c r="B33" i="13"/>
  <c r="I5" i="24"/>
  <c r="H10" i="24"/>
  <c r="H15" i="24"/>
  <c r="H19" i="9"/>
  <c r="I5" i="9"/>
  <c r="H10" i="9"/>
  <c r="H6" i="24"/>
  <c r="H11" i="24" s="1"/>
  <c r="H6" i="9"/>
  <c r="I10" i="9"/>
  <c r="I19" i="9"/>
  <c r="J5" i="9"/>
  <c r="J6" i="19"/>
  <c r="I12" i="19"/>
  <c r="I22" i="19"/>
  <c r="I40" i="19"/>
  <c r="I36" i="19"/>
  <c r="I45" i="19"/>
  <c r="J5" i="15"/>
  <c r="I21" i="15"/>
  <c r="B34" i="13"/>
  <c r="I21" i="13"/>
  <c r="I13" i="13"/>
  <c r="J8" i="13"/>
  <c r="I42" i="13"/>
  <c r="I32" i="13"/>
  <c r="H37" i="19"/>
  <c r="H7" i="18"/>
  <c r="H16" i="18" s="1"/>
  <c r="H19" i="16" s="1"/>
  <c r="H7" i="12"/>
  <c r="H9" i="11"/>
  <c r="H15" i="11" s="1"/>
  <c r="H34" i="17" s="1"/>
  <c r="H6" i="15"/>
  <c r="H9" i="13"/>
  <c r="H15" i="13" s="1"/>
  <c r="H35" i="17" s="1"/>
  <c r="L16" i="6"/>
  <c r="H22" i="6"/>
  <c r="I21" i="6"/>
  <c r="I12" i="6"/>
  <c r="J17" i="6"/>
  <c r="J11" i="6"/>
  <c r="K7" i="6"/>
  <c r="K47" i="6"/>
  <c r="L7" i="6"/>
  <c r="L47" i="6"/>
  <c r="I44" i="6" l="1"/>
  <c r="J5" i="6"/>
  <c r="I15" i="6"/>
  <c r="I26" i="6"/>
  <c r="J6" i="18"/>
  <c r="I14" i="18"/>
  <c r="I22" i="18"/>
  <c r="I30" i="17"/>
  <c r="J5" i="17"/>
  <c r="J6" i="12"/>
  <c r="I35" i="12"/>
  <c r="I20" i="12"/>
  <c r="I27" i="12"/>
  <c r="I13" i="12"/>
  <c r="B23" i="11"/>
  <c r="I21" i="11"/>
  <c r="J8" i="11"/>
  <c r="I13" i="11"/>
  <c r="I31" i="11"/>
  <c r="I10" i="24"/>
  <c r="J5" i="24"/>
  <c r="I15" i="24"/>
  <c r="I6" i="24"/>
  <c r="I11" i="24" s="1"/>
  <c r="I6" i="9"/>
  <c r="H17" i="17"/>
  <c r="J10" i="9"/>
  <c r="J19" i="9"/>
  <c r="K5" i="9"/>
  <c r="K6" i="19"/>
  <c r="J22" i="19"/>
  <c r="J12" i="19"/>
  <c r="J40" i="19"/>
  <c r="J36" i="19"/>
  <c r="J45" i="19"/>
  <c r="K5" i="15"/>
  <c r="J21" i="15"/>
  <c r="J21" i="13"/>
  <c r="J13" i="13"/>
  <c r="K8" i="13"/>
  <c r="B35" i="13"/>
  <c r="J32" i="13"/>
  <c r="J42" i="13"/>
  <c r="H41" i="19"/>
  <c r="H24" i="17" s="1"/>
  <c r="H42" i="19"/>
  <c r="H25" i="17" s="1"/>
  <c r="H14" i="12"/>
  <c r="H30" i="12"/>
  <c r="H23" i="16" s="1"/>
  <c r="I37" i="19"/>
  <c r="I7" i="18"/>
  <c r="I16" i="18" s="1"/>
  <c r="I19" i="16" s="1"/>
  <c r="I7" i="12"/>
  <c r="I6" i="15"/>
  <c r="I9" i="13"/>
  <c r="I9" i="11"/>
  <c r="H14" i="9"/>
  <c r="H11" i="15" s="1"/>
  <c r="H12" i="9"/>
  <c r="H9" i="15" s="1"/>
  <c r="H13" i="9"/>
  <c r="H10" i="15" s="1"/>
  <c r="H11" i="9"/>
  <c r="I22" i="6"/>
  <c r="J12" i="6"/>
  <c r="J21" i="6"/>
  <c r="K11" i="6"/>
  <c r="K17" i="6"/>
  <c r="L11" i="6"/>
  <c r="L17" i="6"/>
  <c r="J44" i="6" l="1"/>
  <c r="J15" i="6"/>
  <c r="J26" i="6"/>
  <c r="K5" i="6"/>
  <c r="J22" i="18"/>
  <c r="J14" i="18"/>
  <c r="K6" i="18"/>
  <c r="K5" i="17"/>
  <c r="J30" i="17"/>
  <c r="J20" i="12"/>
  <c r="J13" i="12"/>
  <c r="K6" i="12"/>
  <c r="J27" i="12"/>
  <c r="J35" i="12"/>
  <c r="J21" i="11"/>
  <c r="J13" i="11"/>
  <c r="K8" i="11"/>
  <c r="J31" i="11"/>
  <c r="B24" i="11"/>
  <c r="J15" i="24"/>
  <c r="K5" i="24"/>
  <c r="J10" i="24"/>
  <c r="J6" i="24"/>
  <c r="J11" i="24" s="1"/>
  <c r="J6" i="9"/>
  <c r="H14" i="17"/>
  <c r="G38" i="12"/>
  <c r="L5" i="9"/>
  <c r="K10" i="9"/>
  <c r="K19" i="9"/>
  <c r="L6" i="19"/>
  <c r="K22" i="19"/>
  <c r="K12" i="19"/>
  <c r="K40" i="19"/>
  <c r="K36" i="19"/>
  <c r="K45" i="19"/>
  <c r="L5" i="15"/>
  <c r="L21" i="15" s="1"/>
  <c r="K21" i="15"/>
  <c r="L8" i="13"/>
  <c r="K32" i="13"/>
  <c r="K21" i="13"/>
  <c r="K13" i="13"/>
  <c r="B36" i="13"/>
  <c r="K42" i="13"/>
  <c r="H32" i="16"/>
  <c r="H8" i="16"/>
  <c r="H10" i="17" s="1"/>
  <c r="I41" i="19"/>
  <c r="I24" i="17" s="1"/>
  <c r="I42" i="19"/>
  <c r="I25" i="17" s="1"/>
  <c r="I14" i="12"/>
  <c r="I30" i="12"/>
  <c r="I23" i="16" s="1"/>
  <c r="I14" i="17" s="1"/>
  <c r="H8" i="18"/>
  <c r="H8" i="12"/>
  <c r="H7" i="15"/>
  <c r="H8" i="15" s="1"/>
  <c r="J37" i="19"/>
  <c r="J7" i="18"/>
  <c r="J16" i="18" s="1"/>
  <c r="J19" i="16" s="1"/>
  <c r="J7" i="12"/>
  <c r="J9" i="11"/>
  <c r="J6" i="15"/>
  <c r="J9" i="13"/>
  <c r="H15" i="9"/>
  <c r="K21" i="6"/>
  <c r="K12" i="6"/>
  <c r="I14" i="9"/>
  <c r="I11" i="15" s="1"/>
  <c r="I13" i="9"/>
  <c r="I10" i="15" s="1"/>
  <c r="I12" i="9"/>
  <c r="I11" i="9"/>
  <c r="J22" i="6"/>
  <c r="L21" i="6"/>
  <c r="L12" i="6"/>
  <c r="K44" i="6" l="1"/>
  <c r="K15" i="6"/>
  <c r="K26" i="6"/>
  <c r="L5" i="6"/>
  <c r="K14" i="18"/>
  <c r="L6" i="18"/>
  <c r="K22" i="18"/>
  <c r="K30" i="17"/>
  <c r="L5" i="17"/>
  <c r="L30" i="17" s="1"/>
  <c r="K27" i="12"/>
  <c r="K20" i="12"/>
  <c r="L6" i="12"/>
  <c r="K35" i="12"/>
  <c r="K13" i="12"/>
  <c r="L8" i="11"/>
  <c r="K21" i="11"/>
  <c r="B25" i="11"/>
  <c r="K13" i="11"/>
  <c r="K31" i="11"/>
  <c r="L5" i="24"/>
  <c r="K15" i="24"/>
  <c r="K10" i="24"/>
  <c r="L10" i="9"/>
  <c r="L19" i="9"/>
  <c r="K6" i="24"/>
  <c r="K11" i="24" s="1"/>
  <c r="K6" i="9"/>
  <c r="L6" i="24"/>
  <c r="L6" i="9"/>
  <c r="L22" i="19"/>
  <c r="L12" i="19"/>
  <c r="L40" i="19"/>
  <c r="L36" i="19"/>
  <c r="L45" i="19"/>
  <c r="L21" i="13"/>
  <c r="L13" i="13"/>
  <c r="B37" i="13"/>
  <c r="L32" i="13"/>
  <c r="L42" i="13"/>
  <c r="I32" i="16"/>
  <c r="I8" i="16"/>
  <c r="I10" i="17" s="1"/>
  <c r="H15" i="12"/>
  <c r="H28" i="12"/>
  <c r="J41" i="19"/>
  <c r="J24" i="17" s="1"/>
  <c r="J42" i="19"/>
  <c r="J25" i="17" s="1"/>
  <c r="J14" i="12"/>
  <c r="J30" i="12"/>
  <c r="J23" i="16" s="1"/>
  <c r="J14" i="17" s="1"/>
  <c r="H9" i="18"/>
  <c r="H12" i="15"/>
  <c r="H13" i="15" s="1"/>
  <c r="H6" i="17" s="1"/>
  <c r="H7" i="17" s="1"/>
  <c r="H9" i="12"/>
  <c r="K37" i="19"/>
  <c r="K7" i="18"/>
  <c r="K16" i="18" s="1"/>
  <c r="K19" i="16" s="1"/>
  <c r="K7" i="12"/>
  <c r="K6" i="15"/>
  <c r="K9" i="11"/>
  <c r="K9" i="13"/>
  <c r="I15" i="9"/>
  <c r="I9" i="15"/>
  <c r="I8" i="18"/>
  <c r="I8" i="12"/>
  <c r="I7" i="15"/>
  <c r="I8" i="15" s="1"/>
  <c r="L7" i="18"/>
  <c r="L16" i="18" s="1"/>
  <c r="L19" i="16" s="1"/>
  <c r="L7" i="12"/>
  <c r="L37" i="19"/>
  <c r="L9" i="13"/>
  <c r="L6" i="15"/>
  <c r="L9" i="11"/>
  <c r="K22" i="6"/>
  <c r="J13" i="9"/>
  <c r="J10" i="15" s="1"/>
  <c r="J11" i="9"/>
  <c r="J14" i="9"/>
  <c r="J11" i="15" s="1"/>
  <c r="J12" i="9"/>
  <c r="J9" i="15" s="1"/>
  <c r="L22" i="6"/>
  <c r="L44" i="6" l="1"/>
  <c r="L26" i="6"/>
  <c r="L15" i="6"/>
  <c r="L22" i="18"/>
  <c r="L14" i="18"/>
  <c r="L20" i="12"/>
  <c r="L13" i="12"/>
  <c r="L27" i="12"/>
  <c r="L35" i="12"/>
  <c r="B26" i="11"/>
  <c r="L21" i="11"/>
  <c r="L13" i="11"/>
  <c r="L31" i="11"/>
  <c r="L15" i="24"/>
  <c r="L10" i="24"/>
  <c r="L11" i="24"/>
  <c r="C29" i="24"/>
  <c r="C33" i="24" s="1"/>
  <c r="C34" i="24" s="1"/>
  <c r="C7" i="25" s="1"/>
  <c r="H16" i="12"/>
  <c r="H13" i="17"/>
  <c r="H22" i="16"/>
  <c r="H9" i="16"/>
  <c r="J32" i="16"/>
  <c r="J8" i="16"/>
  <c r="J10" i="17" s="1"/>
  <c r="H18" i="18"/>
  <c r="H27" i="16" s="1"/>
  <c r="H29" i="16" s="1"/>
  <c r="H15" i="18"/>
  <c r="H15" i="16" s="1"/>
  <c r="H18" i="17" s="1"/>
  <c r="H31" i="12"/>
  <c r="H25" i="16" s="1"/>
  <c r="H29" i="12"/>
  <c r="K41" i="19"/>
  <c r="K24" i="17" s="1"/>
  <c r="K42" i="19"/>
  <c r="K25" i="17" s="1"/>
  <c r="K14" i="12"/>
  <c r="K30" i="12"/>
  <c r="K23" i="16" s="1"/>
  <c r="K14" i="17" s="1"/>
  <c r="I12" i="15"/>
  <c r="I13" i="15" s="1"/>
  <c r="I6" i="17" s="1"/>
  <c r="I7" i="17" s="1"/>
  <c r="I9" i="12"/>
  <c r="I9" i="18"/>
  <c r="I15" i="12"/>
  <c r="I28" i="12"/>
  <c r="L14" i="12"/>
  <c r="L30" i="12"/>
  <c r="L23" i="16" s="1"/>
  <c r="L41" i="19"/>
  <c r="L24" i="17" s="1"/>
  <c r="L42" i="19"/>
  <c r="L25" i="17" s="1"/>
  <c r="J8" i="18"/>
  <c r="J8" i="12"/>
  <c r="J7" i="15"/>
  <c r="J8" i="15" s="1"/>
  <c r="K13" i="9"/>
  <c r="K10" i="15" s="1"/>
  <c r="K14" i="9"/>
  <c r="K11" i="15" s="1"/>
  <c r="K12" i="9"/>
  <c r="K9" i="15" s="1"/>
  <c r="K11" i="9"/>
  <c r="J15" i="9"/>
  <c r="L11" i="9"/>
  <c r="L12" i="9"/>
  <c r="L9" i="15" s="1"/>
  <c r="L13" i="9"/>
  <c r="L10" i="15" s="1"/>
  <c r="L14" i="9"/>
  <c r="L11" i="15" s="1"/>
  <c r="H15" i="17" l="1"/>
  <c r="G39" i="12"/>
  <c r="H11" i="17"/>
  <c r="G36" i="12"/>
  <c r="H10" i="16"/>
  <c r="K8" i="16"/>
  <c r="K10" i="17" s="1"/>
  <c r="I31" i="12"/>
  <c r="I25" i="16" s="1"/>
  <c r="I15" i="17" s="1"/>
  <c r="I29" i="12"/>
  <c r="I15" i="18"/>
  <c r="I15" i="16" s="1"/>
  <c r="I18" i="17" s="1"/>
  <c r="I18" i="18"/>
  <c r="I27" i="16" s="1"/>
  <c r="I29" i="16" s="1"/>
  <c r="I16" i="12"/>
  <c r="I13" i="17"/>
  <c r="I22" i="16"/>
  <c r="I11" i="17"/>
  <c r="I9" i="16"/>
  <c r="L8" i="16"/>
  <c r="J15" i="12"/>
  <c r="J28" i="12"/>
  <c r="K32" i="16"/>
  <c r="L32" i="16" s="1"/>
  <c r="L14" i="17"/>
  <c r="K8" i="18"/>
  <c r="K8" i="12"/>
  <c r="K7" i="15"/>
  <c r="K8" i="15" s="1"/>
  <c r="J9" i="18"/>
  <c r="J9" i="12"/>
  <c r="J12" i="15"/>
  <c r="J13" i="15" s="1"/>
  <c r="J6" i="17" s="1"/>
  <c r="J7" i="17" s="1"/>
  <c r="L8" i="18"/>
  <c r="L8" i="12"/>
  <c r="L7" i="15"/>
  <c r="L8" i="15" s="1"/>
  <c r="K15" i="9"/>
  <c r="L15" i="9"/>
  <c r="H12" i="17" l="1"/>
  <c r="H16" i="17" s="1"/>
  <c r="G37" i="12"/>
  <c r="L10" i="17"/>
  <c r="I12" i="17"/>
  <c r="I16" i="17" s="1"/>
  <c r="I10" i="16"/>
  <c r="J16" i="12"/>
  <c r="J13" i="17"/>
  <c r="J22" i="16"/>
  <c r="J11" i="17"/>
  <c r="J9" i="16"/>
  <c r="K15" i="12"/>
  <c r="K28" i="12"/>
  <c r="J15" i="18"/>
  <c r="J15" i="16" s="1"/>
  <c r="J18" i="17" s="1"/>
  <c r="J18" i="18"/>
  <c r="J27" i="16" s="1"/>
  <c r="J29" i="16" s="1"/>
  <c r="J31" i="12"/>
  <c r="J25" i="16" s="1"/>
  <c r="J15" i="17" s="1"/>
  <c r="J29" i="12"/>
  <c r="L15" i="12"/>
  <c r="L28" i="12"/>
  <c r="K9" i="18"/>
  <c r="K9" i="12"/>
  <c r="K12" i="15"/>
  <c r="K13" i="15" s="1"/>
  <c r="L9" i="18"/>
  <c r="L9" i="12"/>
  <c r="L12" i="15"/>
  <c r="L13" i="15" s="1"/>
  <c r="K16" i="12" l="1"/>
  <c r="K13" i="17"/>
  <c r="K22" i="16"/>
  <c r="K11" i="17"/>
  <c r="K9" i="16"/>
  <c r="J12" i="17"/>
  <c r="J16" i="17" s="1"/>
  <c r="J10" i="16"/>
  <c r="L16" i="12"/>
  <c r="L13" i="17"/>
  <c r="L22" i="16"/>
  <c r="L11" i="17"/>
  <c r="L9" i="16"/>
  <c r="K15" i="18"/>
  <c r="K15" i="16" s="1"/>
  <c r="K18" i="17" s="1"/>
  <c r="K18" i="18"/>
  <c r="K27" i="16" s="1"/>
  <c r="K29" i="16" s="1"/>
  <c r="K31" i="12"/>
  <c r="K25" i="16" s="1"/>
  <c r="K15" i="17" s="1"/>
  <c r="K29" i="12"/>
  <c r="L15" i="18"/>
  <c r="L15" i="16" s="1"/>
  <c r="L18" i="18"/>
  <c r="L27" i="16" s="1"/>
  <c r="L29" i="16" s="1"/>
  <c r="L31" i="12"/>
  <c r="L25" i="16" s="1"/>
  <c r="L29" i="12"/>
  <c r="K6" i="17"/>
  <c r="K7" i="17" s="1"/>
  <c r="L6" i="17"/>
  <c r="L7" i="17" s="1"/>
  <c r="L15" i="17" l="1"/>
  <c r="K12" i="17"/>
  <c r="K16" i="17" s="1"/>
  <c r="K10" i="16"/>
  <c r="L12" i="17"/>
  <c r="L16" i="17" s="1"/>
  <c r="L10" i="16"/>
  <c r="L18" i="17"/>
  <c r="I15" i="11" l="1"/>
  <c r="J15" i="11"/>
  <c r="K15" i="11"/>
  <c r="L15" i="11"/>
  <c r="I15" i="13"/>
  <c r="I35" i="17" s="1"/>
  <c r="J15" i="13"/>
  <c r="J35" i="17" s="1"/>
  <c r="K15" i="13"/>
  <c r="K35" i="17" s="1"/>
  <c r="L15" i="13"/>
  <c r="L35" i="17" s="1"/>
  <c r="L34" i="17" l="1"/>
  <c r="L17" i="17" s="1"/>
  <c r="L26" i="11"/>
  <c r="J23" i="11"/>
  <c r="K23" i="11"/>
  <c r="L23" i="11"/>
  <c r="J24" i="11"/>
  <c r="K24" i="11"/>
  <c r="I34" i="17"/>
  <c r="I17" i="17" s="1"/>
  <c r="I23" i="11"/>
  <c r="J34" i="17"/>
  <c r="J17" i="17" s="1"/>
  <c r="L24" i="11"/>
  <c r="K34" i="17"/>
  <c r="K17" i="17" s="1"/>
  <c r="K25" i="11"/>
  <c r="L25" i="11"/>
  <c r="H26" i="16" l="1"/>
  <c r="I26" i="16"/>
  <c r="I30" i="16" s="1"/>
  <c r="J26" i="16"/>
  <c r="J30" i="16" s="1"/>
  <c r="K26" i="16"/>
  <c r="K30" i="16" s="1"/>
  <c r="L26" i="16"/>
  <c r="L30" i="16" s="1"/>
  <c r="H30" i="16"/>
  <c r="H34" i="16"/>
  <c r="I34" i="16"/>
  <c r="J34" i="16"/>
  <c r="K34" i="16"/>
  <c r="L34" i="16"/>
  <c r="K35" i="16" l="1"/>
  <c r="I35" i="16"/>
  <c r="H35" i="16"/>
  <c r="L35" i="16"/>
  <c r="J35" i="16"/>
  <c r="C5" i="25" l="1"/>
  <c r="C6" i="25"/>
  <c r="C8" i="25"/>
  <c r="H6" i="16"/>
  <c r="I6" i="16"/>
  <c r="J6" i="16"/>
  <c r="K6" i="16"/>
  <c r="L6" i="16"/>
  <c r="H11" i="16"/>
  <c r="I11" i="16"/>
  <c r="J11" i="16"/>
  <c r="K11" i="16"/>
  <c r="L11" i="16"/>
  <c r="H12" i="16"/>
  <c r="I12" i="16"/>
  <c r="J12" i="16"/>
  <c r="K12" i="16"/>
  <c r="L12" i="16"/>
  <c r="H14" i="16"/>
  <c r="I14" i="16"/>
  <c r="J14" i="16"/>
  <c r="K14" i="16"/>
  <c r="L14" i="16"/>
  <c r="H20" i="16"/>
  <c r="I20" i="16"/>
  <c r="J20" i="16"/>
  <c r="K20" i="16"/>
  <c r="L20" i="16"/>
  <c r="H21" i="16"/>
  <c r="I21" i="16"/>
  <c r="J21" i="16"/>
  <c r="K21" i="16"/>
  <c r="L21" i="16"/>
  <c r="H24" i="16"/>
  <c r="I24" i="16"/>
  <c r="J24" i="16"/>
  <c r="K24" i="16"/>
  <c r="L24" i="16"/>
  <c r="H33" i="16"/>
  <c r="I33" i="16"/>
  <c r="J33" i="16"/>
  <c r="K33" i="16"/>
  <c r="L33" i="16"/>
  <c r="H37" i="16"/>
  <c r="I37" i="16"/>
  <c r="J37" i="16"/>
  <c r="K37" i="16"/>
  <c r="L37" i="16"/>
  <c r="H8" i="17"/>
  <c r="I8" i="17"/>
  <c r="J8" i="17"/>
  <c r="K8" i="17"/>
  <c r="L8" i="17"/>
  <c r="H9" i="17"/>
  <c r="I9" i="17"/>
  <c r="J9" i="17"/>
  <c r="K9" i="17"/>
  <c r="L9" i="17"/>
  <c r="H19" i="17"/>
  <c r="I19" i="17"/>
  <c r="J19" i="17"/>
  <c r="K19" i="17"/>
  <c r="L19" i="17"/>
  <c r="H20" i="17"/>
  <c r="I20" i="17"/>
  <c r="J20" i="17"/>
  <c r="K20" i="17"/>
  <c r="L20" i="17"/>
  <c r="H21" i="17"/>
  <c r="I21" i="17"/>
  <c r="J21" i="17"/>
  <c r="K21" i="17"/>
  <c r="L21" i="17"/>
  <c r="H22" i="17"/>
  <c r="I22" i="17"/>
  <c r="J22" i="17"/>
  <c r="K22" i="17"/>
  <c r="L22" i="17"/>
  <c r="H23" i="17"/>
  <c r="I23" i="17"/>
  <c r="J23" i="17"/>
  <c r="K23" i="17"/>
  <c r="L23" i="17"/>
  <c r="H26" i="17"/>
  <c r="I26" i="17"/>
  <c r="J26" i="17"/>
  <c r="K26" i="17"/>
  <c r="L26" i="17"/>
  <c r="H32" i="17"/>
  <c r="I32" i="17"/>
  <c r="J32" i="17"/>
  <c r="K32" i="17"/>
  <c r="L32" i="17"/>
  <c r="H33" i="17"/>
  <c r="I33" i="17"/>
  <c r="J33" i="17"/>
  <c r="K33" i="17"/>
  <c r="L33" i="17"/>
  <c r="H7" i="22"/>
  <c r="I7" i="22"/>
  <c r="J7" i="22"/>
  <c r="K7" i="22"/>
  <c r="L7" i="22"/>
  <c r="L8" i="22"/>
  <c r="H10" i="22"/>
  <c r="I10" i="22"/>
  <c r="J10" i="22"/>
  <c r="K10" i="22"/>
  <c r="L10" i="22"/>
  <c r="L11" i="22"/>
  <c r="C19" i="22"/>
  <c r="C20" i="22"/>
  <c r="C21" i="22"/>
  <c r="C24" i="22"/>
  <c r="C26" i="22"/>
  <c r="H7" i="19"/>
  <c r="I7" i="19"/>
  <c r="J7" i="19"/>
  <c r="K7" i="19"/>
  <c r="L7" i="19"/>
  <c r="I8" i="19"/>
  <c r="J8" i="19"/>
  <c r="K8" i="19"/>
  <c r="L8" i="19"/>
  <c r="H13" i="19"/>
  <c r="I13" i="19"/>
  <c r="J13" i="19"/>
  <c r="K13" i="19"/>
  <c r="L13" i="19"/>
  <c r="H14" i="19"/>
  <c r="I14" i="19"/>
  <c r="J14" i="19"/>
  <c r="K14" i="19"/>
  <c r="L14" i="19"/>
  <c r="H15" i="19"/>
  <c r="I15" i="19"/>
  <c r="J15" i="19"/>
  <c r="K15" i="19"/>
  <c r="L15" i="19"/>
  <c r="H17" i="19"/>
  <c r="I17" i="19"/>
  <c r="J17" i="19"/>
  <c r="K17" i="19"/>
  <c r="L17" i="19"/>
  <c r="H18" i="19"/>
  <c r="I18" i="19"/>
  <c r="J18" i="19"/>
  <c r="K18" i="19"/>
  <c r="L18" i="19"/>
  <c r="I23" i="19"/>
  <c r="J23" i="19"/>
  <c r="K23" i="19"/>
  <c r="L23" i="19"/>
  <c r="H24" i="19"/>
  <c r="I24" i="19"/>
  <c r="J24" i="19"/>
  <c r="K24" i="19"/>
  <c r="L24" i="19"/>
  <c r="I25" i="19"/>
  <c r="J25" i="19"/>
  <c r="K25" i="19"/>
  <c r="L25" i="19"/>
  <c r="I14" i="13"/>
  <c r="J14" i="13"/>
  <c r="K14" i="13"/>
  <c r="L14" i="13"/>
  <c r="H16" i="13"/>
  <c r="I16" i="13"/>
  <c r="J16" i="13"/>
  <c r="K16" i="13"/>
  <c r="L16" i="13"/>
  <c r="H17" i="13"/>
  <c r="I17" i="13"/>
  <c r="J17" i="13"/>
  <c r="K17" i="13"/>
  <c r="L17" i="13"/>
  <c r="H22" i="13"/>
  <c r="I22" i="13"/>
  <c r="J22" i="13"/>
  <c r="K22" i="13"/>
  <c r="L22" i="13"/>
  <c r="H23" i="13"/>
  <c r="I23" i="13"/>
  <c r="J23" i="13"/>
  <c r="K23" i="13"/>
  <c r="L23" i="13"/>
  <c r="H33" i="13"/>
  <c r="I33" i="13"/>
  <c r="J33" i="13"/>
  <c r="K33" i="13"/>
  <c r="L33" i="13"/>
  <c r="I34" i="13"/>
  <c r="J34" i="13"/>
  <c r="K34" i="13"/>
  <c r="L34" i="13"/>
  <c r="J35" i="13"/>
  <c r="K35" i="13"/>
  <c r="L35" i="13"/>
  <c r="K36" i="13"/>
  <c r="L36" i="13"/>
  <c r="L37" i="13"/>
  <c r="H38" i="13"/>
  <c r="I38" i="13"/>
  <c r="J38" i="13"/>
  <c r="K38" i="13"/>
  <c r="L38" i="13"/>
  <c r="H10" i="18"/>
  <c r="I10" i="18"/>
  <c r="J10" i="18"/>
  <c r="K10" i="18"/>
  <c r="L10" i="18"/>
  <c r="H17" i="18"/>
  <c r="I17" i="18"/>
  <c r="J17" i="18"/>
  <c r="K17" i="18"/>
  <c r="L17" i="18"/>
  <c r="H14" i="15"/>
  <c r="I14" i="15"/>
  <c r="J14" i="15"/>
  <c r="K14" i="15"/>
  <c r="L14" i="15"/>
  <c r="H15" i="15"/>
  <c r="I15" i="15"/>
  <c r="J15" i="15"/>
  <c r="K15" i="15"/>
  <c r="L15" i="15"/>
  <c r="H16" i="15"/>
  <c r="I16" i="15"/>
  <c r="J16" i="15"/>
  <c r="K16" i="15"/>
  <c r="L16" i="15"/>
  <c r="H17" i="15"/>
  <c r="I17" i="15"/>
  <c r="J17" i="15"/>
  <c r="K17" i="15"/>
  <c r="L17" i="15"/>
  <c r="H7" i="24"/>
  <c r="I7" i="24"/>
  <c r="J7" i="24"/>
  <c r="K7" i="24"/>
  <c r="L7" i="24"/>
  <c r="H12" i="24"/>
  <c r="I12" i="24"/>
  <c r="J12" i="24"/>
  <c r="K12" i="24"/>
  <c r="L12" i="24"/>
  <c r="C21" i="24"/>
  <c r="C25" i="24"/>
  <c r="C26" i="24"/>
  <c r="I14" i="11"/>
  <c r="J14" i="11"/>
  <c r="K14" i="11"/>
  <c r="L14" i="11"/>
  <c r="H16" i="11"/>
  <c r="I16" i="11"/>
  <c r="J16" i="11"/>
  <c r="K16" i="11"/>
  <c r="L16" i="11"/>
  <c r="H17" i="11"/>
  <c r="I17" i="11"/>
  <c r="J17" i="11"/>
  <c r="K17" i="11"/>
  <c r="L17" i="11"/>
  <c r="H22" i="11"/>
  <c r="I22" i="11"/>
  <c r="J22" i="11"/>
  <c r="K22" i="11"/>
  <c r="L22" i="11"/>
  <c r="H27" i="11"/>
  <c r="I27" i="11"/>
  <c r="J27" i="11"/>
  <c r="K27" i="11"/>
  <c r="L27" i="11"/>
  <c r="H32" i="11"/>
  <c r="I32" i="11"/>
  <c r="J32" i="11"/>
  <c r="K32" i="11"/>
  <c r="L32" i="11"/>
  <c r="H33" i="11"/>
  <c r="I33" i="11"/>
  <c r="J33" i="11"/>
  <c r="K33" i="11"/>
  <c r="L33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tc={E852D19C-A7E1-804D-A3A9-4C3C59D22A79}</author>
  </authors>
  <commentList>
    <comment ref="B18" authorId="0" shapeId="0" xr:uid="{E852D19C-A7E1-804D-A3A9-4C3C59D22A79}">
      <text>
        <t>[Threaded comment]
Your version of Excel allows you to read this threaded comment; however, any edits to it will get removed if the file is opened in a newer version of Excel. Learn more: https://go.microsoft.com/fwlink/?linkid=870924
Comment:
    If calculating EV/EBITDA, we should use EBITDAR with R standing for rent so the number is correct. The lease amount can be found in Note 8 under Operating lease cost. For EV we add all lease liabilities from the balance sheet.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tc={1BFA1FE8-C472-D64B-B144-4996766B43E4}</author>
    <author>tc={F7328767-D573-5E40-9060-9C3FF0B19AEE}</author>
    <author>tc={956F0D8B-0692-4D4E-AB6C-385CCF335882}</author>
  </authors>
  <commentList>
    <comment ref="B118" authorId="0" shapeId="0" xr:uid="{1BFA1FE8-C472-D64B-B144-4996766B43E4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number</t>
      </text>
    </comment>
    <comment ref="B120" authorId="1" shapeId="0" xr:uid="{F7328767-D573-5E40-9060-9C3FF0B19AEE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can also be used to calculated depreciation for the year: accumulated depreciation current year - accumulated depreciation last year = depreciation spent this year</t>
      </text>
    </comment>
    <comment ref="B122" authorId="2" shapeId="0" xr:uid="{956F0D8B-0692-4D4E-AB6C-385CCF335882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used as accumulated amortization to calculate the year's amortization expense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tc={823E70A9-8202-AD4F-B27F-441FEEF6DACF}</author>
    <author>tc={15CC66A8-AFB4-7E4D-B1BB-80F7466557AC}</author>
  </authors>
  <commentList>
    <comment ref="B38" authorId="0" shapeId="0" xr:uid="{823E70A9-8202-AD4F-B27F-441FEEF6DACF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the value from Avg useful life under Average useful life of PP&amp;E. Make the value slightly higher</t>
      </text>
    </comment>
    <comment ref="B39" authorId="1" shapeId="0" xr:uid="{15CC66A8-AFB4-7E4D-B1BB-80F7466557AC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 the remaining useful life of year 5 from Historical PP&amp;E data. Adjust it a little higher to be sure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tc={1C41E23C-4E49-DB45-AA4B-41462965580A}</author>
    <author>tc={0CF584D1-F91A-BB42-88B9-D52DCD173B77}</author>
    <author>tc={485C4E18-6F83-1040-B160-4DCDAA68FE7B}</author>
  </authors>
  <commentList>
    <comment ref="B16" authorId="0" shapeId="0" xr:uid="{1C41E23C-4E49-DB45-AA4B-41462965580A}">
      <text>
        <t>[Threaded comment]
Your version of Excel allows you to read this threaded comment; however, any edits to it will get removed if the file is opened in a newer version of Excel. Learn more: https://go.microsoft.com/fwlink/?linkid=870924
Comment:
    Forecast values taken from the recent 10-K</t>
      </text>
    </comment>
    <comment ref="B29" authorId="1" shapeId="0" xr:uid="{0CF584D1-F91A-BB42-88B9-D52DCD173B77}">
      <text>
        <t>[Threaded comment]
Your version of Excel allows you to read this threaded comment; however, any edits to it will get removed if the file is opened in a newer version of Excel. Learn more: https://go.microsoft.com/fwlink/?linkid=870924
Comment:
    Found in the 10-K by searching 'useful life'</t>
      </text>
    </comment>
    <comment ref="B43" authorId="2" shapeId="0" xr:uid="{485C4E18-6F83-1040-B160-4DCDAA68FE7B}">
      <text>
        <t>[Threaded comment]
Your version of Excel allows you to read this threaded comment; however, any edits to it will get removed if the file is opened in a newer version of Excel. Learn more: https://go.microsoft.com/fwlink/?linkid=870924
Comment:
    Forecast values taken from the recent 10-K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tc={FE7F7696-1DC8-8740-9551-F021B84F5B84}</author>
  </authors>
  <commentList>
    <comment ref="B26" authorId="0" shapeId="0" xr:uid="{FE7F7696-1DC8-8740-9551-F021B84F5B8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same growth rate as operating lease right of use assets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tc={3E138CA2-608A-1149-B0E7-AC81514F3EC2}</author>
    <author>tc={BBD9B8EF-1101-D846-A3C5-F85C2CB8F8DE}</author>
  </authors>
  <commentList>
    <comment ref="B9" authorId="0" shapeId="0" xr:uid="{3E138CA2-608A-1149-B0E7-AC81514F3EC2}">
      <text>
        <t>[Threaded comment]
Your version of Excel allows you to read this threaded comment; however, any edits to it will get removed if the file is opened in a newer version of Excel. Learn more: https://go.microsoft.com/fwlink/?linkid=870924
Comment:
    10 year government bond yield</t>
      </text>
    </comment>
    <comment ref="B13" authorId="1" shapeId="0" xr:uid="{BBD9B8EF-1101-D846-A3C5-F85C2CB8F8DE}">
      <text>
        <t>[Threaded comment]
Your version of Excel allows you to read this threaded comment; however, any edits to it will get removed if the file is opened in a newer version of Excel. Learn more: https://go.microsoft.com/fwlink/?linkid=870924
Comment:
    Bond yield or for lease only debt search 10-K for Weighted-average discount rate</t>
      </text>
    </comment>
  </commentList>
</comments>
</file>

<file path=xl/sharedStrings.xml><?xml version="1.0" encoding="utf-8"?>
<sst xmlns="http://schemas.openxmlformats.org/spreadsheetml/2006/main" count="874" uniqueCount="409">
  <si>
    <t>Date</t>
  </si>
  <si>
    <t>FY</t>
  </si>
  <si>
    <t>Ticker</t>
  </si>
  <si>
    <t>Units</t>
  </si>
  <si>
    <t>Shares outstanding</t>
  </si>
  <si>
    <t>Income statement</t>
  </si>
  <si>
    <t>Revenue</t>
  </si>
  <si>
    <t>COGS</t>
  </si>
  <si>
    <t>Gross Profit</t>
  </si>
  <si>
    <t>R&amp;D</t>
  </si>
  <si>
    <t>SG&amp;A</t>
  </si>
  <si>
    <t>OpEx</t>
  </si>
  <si>
    <t>Operating income</t>
  </si>
  <si>
    <t>Income before taxes</t>
  </si>
  <si>
    <t>Net income</t>
  </si>
  <si>
    <t>Basic Shares outstanding avg</t>
  </si>
  <si>
    <t>Diluted Shares outstanding avg</t>
  </si>
  <si>
    <t>Basic EPS</t>
  </si>
  <si>
    <t>Diluted EPS</t>
  </si>
  <si>
    <t>Balance sheet</t>
  </si>
  <si>
    <t>Cash and cash equivalents</t>
  </si>
  <si>
    <t>Acc receivable</t>
  </si>
  <si>
    <t>Current assets</t>
  </si>
  <si>
    <t>Deferred tax assets</t>
  </si>
  <si>
    <t>PP&amp;E</t>
  </si>
  <si>
    <t>Goodwill</t>
  </si>
  <si>
    <t>Other assets</t>
  </si>
  <si>
    <t>Long term assets</t>
  </si>
  <si>
    <t>Total assets</t>
  </si>
  <si>
    <t>Acc payable</t>
  </si>
  <si>
    <t>Long term liabilities</t>
  </si>
  <si>
    <t>Total liabilities</t>
  </si>
  <si>
    <t>Current liabilities</t>
  </si>
  <si>
    <t>Common stock par value</t>
  </si>
  <si>
    <t>Retained earnings</t>
  </si>
  <si>
    <t>Stockholder equity</t>
  </si>
  <si>
    <t>Total liabilities and equity</t>
  </si>
  <si>
    <t>Income tax payable</t>
  </si>
  <si>
    <t>Restricted cash</t>
  </si>
  <si>
    <t>Cashflow statement</t>
  </si>
  <si>
    <t>D&amp;A</t>
  </si>
  <si>
    <t>Change acc receivable</t>
  </si>
  <si>
    <t>Change acc payable</t>
  </si>
  <si>
    <t>Operating cashflow</t>
  </si>
  <si>
    <t>CapEx</t>
  </si>
  <si>
    <t>Investing cashflow</t>
  </si>
  <si>
    <t>Proceeds short term debt</t>
  </si>
  <si>
    <t>Repayment short term debt</t>
  </si>
  <si>
    <t>Proceeds long term debt</t>
  </si>
  <si>
    <t>Repayment long term debt</t>
  </si>
  <si>
    <t>Proceeds issuance common stock</t>
  </si>
  <si>
    <t>Financing cashflow</t>
  </si>
  <si>
    <t>Net increase/decrease in cash</t>
  </si>
  <si>
    <t>Begin cash</t>
  </si>
  <si>
    <t>End cash</t>
  </si>
  <si>
    <t>Repayment debt of aquired company</t>
  </si>
  <si>
    <t>Sanity checks</t>
  </si>
  <si>
    <t>Calculated Net Income</t>
  </si>
  <si>
    <t>Check Net Income</t>
  </si>
  <si>
    <t>Calculated Assets</t>
  </si>
  <si>
    <t>Check Assets</t>
  </si>
  <si>
    <t xml:space="preserve">Calculated Liabilities </t>
  </si>
  <si>
    <t>Check Liabilities</t>
  </si>
  <si>
    <t>Calculated Stockholder Equity</t>
  </si>
  <si>
    <t>Check Stockholder Equity</t>
  </si>
  <si>
    <t>Calculated Operating Cashflow</t>
  </si>
  <si>
    <t>Check Operating Cashflow</t>
  </si>
  <si>
    <t>Calculated Investing Cashflow</t>
  </si>
  <si>
    <t>Check Investing Cashflow</t>
  </si>
  <si>
    <t>Calculated Financing Cashflow</t>
  </si>
  <si>
    <t>Check Financing Cashflow</t>
  </si>
  <si>
    <t>Check End Cash</t>
  </si>
  <si>
    <t>Calculated End Cash</t>
  </si>
  <si>
    <t>Other data</t>
  </si>
  <si>
    <t>Check balance</t>
  </si>
  <si>
    <t>Q</t>
  </si>
  <si>
    <t>Q1 2024</t>
  </si>
  <si>
    <t>Q1 2025</t>
  </si>
  <si>
    <t>Q2 2024</t>
  </si>
  <si>
    <t>Q3 2024</t>
  </si>
  <si>
    <t>Q2 2025</t>
  </si>
  <si>
    <t>Q3 2025</t>
  </si>
  <si>
    <t>Dividends per share</t>
  </si>
  <si>
    <t>Income tax expense/benefit</t>
  </si>
  <si>
    <t>Q4 2024</t>
  </si>
  <si>
    <t>Price</t>
  </si>
  <si>
    <t>TTM</t>
  </si>
  <si>
    <t>Quarter compare</t>
  </si>
  <si>
    <t>Growth Rate</t>
  </si>
  <si>
    <t>Revenue Lower</t>
  </si>
  <si>
    <t>Revenue Upper</t>
  </si>
  <si>
    <t>Result</t>
  </si>
  <si>
    <t>EPS Lower</t>
  </si>
  <si>
    <t>EPS Upper</t>
  </si>
  <si>
    <t>Actual Revenue</t>
  </si>
  <si>
    <t>Actual EPS</t>
  </si>
  <si>
    <t>Company guidance next Quarter</t>
  </si>
  <si>
    <t>Depreciation</t>
  </si>
  <si>
    <t>Amortization</t>
  </si>
  <si>
    <t>Growth rates Income Statement</t>
  </si>
  <si>
    <t>Margins</t>
  </si>
  <si>
    <t>Gross margin</t>
  </si>
  <si>
    <t>Operating margin</t>
  </si>
  <si>
    <t>Net margin</t>
  </si>
  <si>
    <t>Tax rate</t>
  </si>
  <si>
    <t>Employees</t>
  </si>
  <si>
    <t>31.12.2021</t>
  </si>
  <si>
    <t>31.12.2020</t>
  </si>
  <si>
    <t>Sales and marketing</t>
  </si>
  <si>
    <t>General and administrative</t>
  </si>
  <si>
    <t>Other income</t>
  </si>
  <si>
    <t>K</t>
  </si>
  <si>
    <t>Deferred cost of revenues</t>
  </si>
  <si>
    <t>Capitalized software</t>
  </si>
  <si>
    <t>Operating lease right of use</t>
  </si>
  <si>
    <t>Deferred revenues</t>
  </si>
  <si>
    <t>Accrued expenses and other current</t>
  </si>
  <si>
    <t>Long term obligation operating lease</t>
  </si>
  <si>
    <t>Additional paid-in capital</t>
  </si>
  <si>
    <t>Stock-based compensation</t>
  </si>
  <si>
    <t>Change deferred revenue</t>
  </si>
  <si>
    <t>Change deferred cost of revenues</t>
  </si>
  <si>
    <t>Change prepaid expenses</t>
  </si>
  <si>
    <t>Change accrued expenses</t>
  </si>
  <si>
    <t>Change non-current assets and liab</t>
  </si>
  <si>
    <t>Issuance common stock</t>
  </si>
  <si>
    <t>Proceeds issuance preferred stock</t>
  </si>
  <si>
    <t>Proceeds stock options</t>
  </si>
  <si>
    <t>Repurchase stock options</t>
  </si>
  <si>
    <t>Repurchase common stock</t>
  </si>
  <si>
    <t>Other expense</t>
  </si>
  <si>
    <t>Interest income</t>
  </si>
  <si>
    <t>Prepaid expenses &amp; Other current assets</t>
  </si>
  <si>
    <t>Intangible assets</t>
  </si>
  <si>
    <t>Acquisition</t>
  </si>
  <si>
    <t>31.12.2023</t>
  </si>
  <si>
    <t>Gain sale capitalized software</t>
  </si>
  <si>
    <t>Loss disposal leasehold improvments</t>
  </si>
  <si>
    <t>Proceeds sale capitalized software</t>
  </si>
  <si>
    <t>Taxes settlement share based comp</t>
  </si>
  <si>
    <t>31.12.2024</t>
  </si>
  <si>
    <t>Short-term investments</t>
  </si>
  <si>
    <t>Long term investments</t>
  </si>
  <si>
    <t>Deferred tax liabilities</t>
  </si>
  <si>
    <t>Accretion on marketable securitirs</t>
  </si>
  <si>
    <t>Impairment on capitalized software</t>
  </si>
  <si>
    <t>Purchase of investments</t>
  </si>
  <si>
    <t>Maturities of investments</t>
  </si>
  <si>
    <t>30.09.2025</t>
  </si>
  <si>
    <t>30.09.2024</t>
  </si>
  <si>
    <t>Income tax receivable</t>
  </si>
  <si>
    <t>30.06.2025</t>
  </si>
  <si>
    <t>30.06.2024</t>
  </si>
  <si>
    <t>31.03.2025</t>
  </si>
  <si>
    <t>31.03.2024</t>
  </si>
  <si>
    <t>Proceeds exercise stock options</t>
  </si>
  <si>
    <t>Deferred income taxes</t>
  </si>
  <si>
    <t>Payment earn out previous acquisition</t>
  </si>
  <si>
    <t>DAU</t>
  </si>
  <si>
    <t>MAU</t>
  </si>
  <si>
    <t>Revenue breakdown</t>
  </si>
  <si>
    <t>Company specifics</t>
  </si>
  <si>
    <t>Company specific metrics</t>
  </si>
  <si>
    <t>DAU to MAU ratio</t>
  </si>
  <si>
    <t>Subscribers to MAU ratio</t>
  </si>
  <si>
    <t>Total</t>
  </si>
  <si>
    <t>Free users</t>
  </si>
  <si>
    <t>Other growth rate</t>
  </si>
  <si>
    <t>History</t>
  </si>
  <si>
    <t>Forecast</t>
  </si>
  <si>
    <t>% of revenue</t>
  </si>
  <si>
    <t>Gross profit</t>
  </si>
  <si>
    <t>EBIT</t>
  </si>
  <si>
    <t>EBT</t>
  </si>
  <si>
    <t>PE</t>
  </si>
  <si>
    <t>PS</t>
  </si>
  <si>
    <t>Forecast -&gt;</t>
  </si>
  <si>
    <t>Revenue forecast</t>
  </si>
  <si>
    <t>Revenues</t>
  </si>
  <si>
    <t>Revenues (thousand)</t>
  </si>
  <si>
    <t>English test growth rate</t>
  </si>
  <si>
    <t>DAU * In-app purchases % of DAU</t>
  </si>
  <si>
    <t>Avg revenue/Paid user</t>
  </si>
  <si>
    <t>Avg revenue/Paid user * Paid subscribers</t>
  </si>
  <si>
    <t>Growth rates</t>
  </si>
  <si>
    <t>Revenue growth %</t>
  </si>
  <si>
    <t>Drivers and metrics</t>
  </si>
  <si>
    <t>DAU growth rate</t>
  </si>
  <si>
    <t>MAU growth rate</t>
  </si>
  <si>
    <t>Ad revenue/Free user</t>
  </si>
  <si>
    <t>Free users * Ad revenue/Free user</t>
  </si>
  <si>
    <t>Subscribers to MAU growth</t>
  </si>
  <si>
    <t>Paid subscribers</t>
  </si>
  <si>
    <t>Subscribers to MAU ratio * MAU</t>
  </si>
  <si>
    <t>MAU - Paid subscribers</t>
  </si>
  <si>
    <t>In-App purchases % of DAU</t>
  </si>
  <si>
    <t>Metric (thousand)</t>
  </si>
  <si>
    <t>Growth rates for metrics</t>
  </si>
  <si>
    <t>Metrics growth %</t>
  </si>
  <si>
    <t>FQ1</t>
  </si>
  <si>
    <t>FQ2</t>
  </si>
  <si>
    <t>FQ3</t>
  </si>
  <si>
    <t>Q1-Q2-Q3</t>
  </si>
  <si>
    <t>COGS &amp; OpEx forecast</t>
  </si>
  <si>
    <t>COGS and OpEx</t>
  </si>
  <si>
    <t>General &amp; administrative</t>
  </si>
  <si>
    <t>Expenses (thousand)</t>
  </si>
  <si>
    <t>Expenses % of Revenue</t>
  </si>
  <si>
    <t>Financials -&gt;</t>
  </si>
  <si>
    <t>COGS &amp; OpEx</t>
  </si>
  <si>
    <t>30.09.2022</t>
  </si>
  <si>
    <t>Gross PP&amp;E</t>
  </si>
  <si>
    <t>Accumulated depreciation</t>
  </si>
  <si>
    <t>Gross intangible assets</t>
  </si>
  <si>
    <t>Accumulated amortization</t>
  </si>
  <si>
    <t>PP&amp;E, D&amp;A and CapEx</t>
  </si>
  <si>
    <t>$ (thousand)</t>
  </si>
  <si>
    <t>Beginning PP&amp;E</t>
  </si>
  <si>
    <t>Ending PP&amp;E</t>
  </si>
  <si>
    <t>% of</t>
  </si>
  <si>
    <t>D&amp;A % of PP&amp;E</t>
  </si>
  <si>
    <t>D&amp;A % of revenue</t>
  </si>
  <si>
    <t>CapEx % of PP&amp;E</t>
  </si>
  <si>
    <t>CapEx % of revenue</t>
  </si>
  <si>
    <t>Useful life CapEx</t>
  </si>
  <si>
    <t>Useful life historical PP&amp;E</t>
  </si>
  <si>
    <t>CapEx Drivers</t>
  </si>
  <si>
    <t>Historical PP&amp;E data</t>
  </si>
  <si>
    <t>PP&amp;E and CapEx useful life</t>
  </si>
  <si>
    <t>$ (thousands)</t>
  </si>
  <si>
    <t>Remaining useful life years</t>
  </si>
  <si>
    <t>Percent depreciated</t>
  </si>
  <si>
    <t>Average useful life PP&amp;E</t>
  </si>
  <si>
    <t>Avg Gross PP&amp;E</t>
  </si>
  <si>
    <t>Avg accumulated deprec</t>
  </si>
  <si>
    <t>Avg useful life years</t>
  </si>
  <si>
    <t>Depreciation schedule</t>
  </si>
  <si>
    <t>Working Capital</t>
  </si>
  <si>
    <t>Accounts receivable</t>
  </si>
  <si>
    <t>Accounts payable</t>
  </si>
  <si>
    <t>Net trade cycle</t>
  </si>
  <si>
    <t>Days</t>
  </si>
  <si>
    <t>DSO</t>
  </si>
  <si>
    <t>DPO</t>
  </si>
  <si>
    <t>Intangibles</t>
  </si>
  <si>
    <t>Beginning Inangibles</t>
  </si>
  <si>
    <t>Ending Intangibles</t>
  </si>
  <si>
    <t>D&amp;A % of Intangibles</t>
  </si>
  <si>
    <t>CapEx % of intangibles</t>
  </si>
  <si>
    <t>CapEx useful life</t>
  </si>
  <si>
    <t>New amortization schedule</t>
  </si>
  <si>
    <t>Future amortization</t>
  </si>
  <si>
    <t>Output -&gt;</t>
  </si>
  <si>
    <t>Profit &amp; Loss</t>
  </si>
  <si>
    <t>Sales &amp; marketing</t>
  </si>
  <si>
    <t>Interest income/expense</t>
  </si>
  <si>
    <t>WC metrics and drivers</t>
  </si>
  <si>
    <t>Balance Sheet</t>
  </si>
  <si>
    <t>Cash Flow</t>
  </si>
  <si>
    <t>Long Term Assets</t>
  </si>
  <si>
    <t>Total Assets</t>
  </si>
  <si>
    <t>Total Liabilities</t>
  </si>
  <si>
    <t>From cashflow statement</t>
  </si>
  <si>
    <t>From WC Sheet</t>
  </si>
  <si>
    <t>From PP&amp;E Sheet</t>
  </si>
  <si>
    <t>From Intangibles Sheet</t>
  </si>
  <si>
    <t>From P&amp;L Sheet</t>
  </si>
  <si>
    <t>Other WC items</t>
  </si>
  <si>
    <t>Other WC metrics and drivers</t>
  </si>
  <si>
    <t>%</t>
  </si>
  <si>
    <t>Deferred cost of revenues % COGS</t>
  </si>
  <si>
    <t>Prepaid exp &amp; Other c assets % OpEx</t>
  </si>
  <si>
    <t>Deferred revenues % of Revenue</t>
  </si>
  <si>
    <t>Accrued expenses and other current liab</t>
  </si>
  <si>
    <t>Accrued exp &amp; other c liab % OpEx</t>
  </si>
  <si>
    <t>Drivers</t>
  </si>
  <si>
    <t>NOPAT</t>
  </si>
  <si>
    <t>(+) D&amp;A</t>
  </si>
  <si>
    <t>Gross Cash Flow</t>
  </si>
  <si>
    <t>Change Acc receivable</t>
  </si>
  <si>
    <t>Change Cost of revenue</t>
  </si>
  <si>
    <t>Change Prepaid expenses</t>
  </si>
  <si>
    <t>Change Acc payable</t>
  </si>
  <si>
    <t>Change deferred revenues</t>
  </si>
  <si>
    <t>Capex</t>
  </si>
  <si>
    <t>CapEx Intangibles</t>
  </si>
  <si>
    <t>(-) Total CapEx</t>
  </si>
  <si>
    <t>Flat</t>
  </si>
  <si>
    <t>Other Assets and Liabilities</t>
  </si>
  <si>
    <t>Other Assets &amp; Liabilities</t>
  </si>
  <si>
    <t>From other assets and liabilities Sheet</t>
  </si>
  <si>
    <t>Other assets % Revenue</t>
  </si>
  <si>
    <t>Operating lease right of use % OpEx</t>
  </si>
  <si>
    <t>Income tax expense</t>
  </si>
  <si>
    <t>Income tax payable % of Tax expense</t>
  </si>
  <si>
    <t>Operating lease obligation</t>
  </si>
  <si>
    <t>Operating lease obligation % OpEx</t>
  </si>
  <si>
    <t>(+) Investments Working Capital</t>
  </si>
  <si>
    <t>(+) Other Assets</t>
  </si>
  <si>
    <t>(+) Other Liabilities</t>
  </si>
  <si>
    <t>UFCF</t>
  </si>
  <si>
    <t>Financing</t>
  </si>
  <si>
    <t>Debt</t>
  </si>
  <si>
    <t>Interest expense</t>
  </si>
  <si>
    <t>Interest rate</t>
  </si>
  <si>
    <t>Financing parameters</t>
  </si>
  <si>
    <t xml:space="preserve">Debt to raise </t>
  </si>
  <si>
    <t>Equity to raise</t>
  </si>
  <si>
    <t>Bond yield</t>
  </si>
  <si>
    <t>Cash and interest income</t>
  </si>
  <si>
    <t>Ending cash &amp; equivalents</t>
  </si>
  <si>
    <t>Biginning cash &amp; equivalents</t>
  </si>
  <si>
    <t>Equity</t>
  </si>
  <si>
    <t>Outstanding debt</t>
  </si>
  <si>
    <t>(+) Net Interest income</t>
  </si>
  <si>
    <t>(+) Change in financial liabilities</t>
  </si>
  <si>
    <t>(+) Tax adjustment</t>
  </si>
  <si>
    <t>Stock based compensation and stock options</t>
  </si>
  <si>
    <t>Stock based compensation</t>
  </si>
  <si>
    <t>SBC and options drivers</t>
  </si>
  <si>
    <t>SBC % revenue</t>
  </si>
  <si>
    <t>Options % revenue</t>
  </si>
  <si>
    <t>Net Cash</t>
  </si>
  <si>
    <t>From Financing Sheet</t>
  </si>
  <si>
    <t>From COGS and OpEx Sheet</t>
  </si>
  <si>
    <t>Market cap</t>
  </si>
  <si>
    <t>Cash</t>
  </si>
  <si>
    <t>EV</t>
  </si>
  <si>
    <t>Cash per share</t>
  </si>
  <si>
    <t>31.12.2025</t>
  </si>
  <si>
    <t>Payment earn out acquisition</t>
  </si>
  <si>
    <t>Q4 2025</t>
  </si>
  <si>
    <t>From Revenue Sheet</t>
  </si>
  <si>
    <t>(+) SBC</t>
  </si>
  <si>
    <t>(+) Options</t>
  </si>
  <si>
    <t>Valuation -&gt;</t>
  </si>
  <si>
    <t>WACC</t>
  </si>
  <si>
    <t>Debt/(Debt+Equity)</t>
  </si>
  <si>
    <t>Equity/(Debt+Equity)</t>
  </si>
  <si>
    <t>Cost of equity</t>
  </si>
  <si>
    <t>Inputs</t>
  </si>
  <si>
    <t>Shares Outstanding</t>
  </si>
  <si>
    <t>Risk free rate</t>
  </si>
  <si>
    <t>Beta</t>
  </si>
  <si>
    <t>Market risk premium</t>
  </si>
  <si>
    <t>Cost of debt</t>
  </si>
  <si>
    <t>Calculations</t>
  </si>
  <si>
    <t>Cost of debt with tax</t>
  </si>
  <si>
    <t>DCF</t>
  </si>
  <si>
    <t>Perpetual cashflow</t>
  </si>
  <si>
    <t>Perpetual growth</t>
  </si>
  <si>
    <t>Period</t>
  </si>
  <si>
    <t>PV of UFCF</t>
  </si>
  <si>
    <t>PV of Perpetual cashflow</t>
  </si>
  <si>
    <t>(+) Cash</t>
  </si>
  <si>
    <t>(-) Debt</t>
  </si>
  <si>
    <t>Enterprise value</t>
  </si>
  <si>
    <t>Equity value</t>
  </si>
  <si>
    <t>Price per share</t>
  </si>
  <si>
    <t>Total PV of Unlevered FCF</t>
  </si>
  <si>
    <t>PV of FCF</t>
  </si>
  <si>
    <t>Input parameters</t>
  </si>
  <si>
    <t>Other income/expense</t>
  </si>
  <si>
    <t>Change NWC</t>
  </si>
  <si>
    <t>DuPont Identity</t>
  </si>
  <si>
    <t>Profit Margin (Earnings/Revenue)</t>
  </si>
  <si>
    <t>Asset Turnover (Revenue/Total assets)</t>
  </si>
  <si>
    <t>ROA</t>
  </si>
  <si>
    <t>Equity Multiplier (Total assets/Equity)</t>
  </si>
  <si>
    <t>ROE</t>
  </si>
  <si>
    <t>PE adjusted</t>
  </si>
  <si>
    <t>CAGR 10y Revenue</t>
  </si>
  <si>
    <t>YoY EPS</t>
  </si>
  <si>
    <t>YoY Net income</t>
  </si>
  <si>
    <t>PE and PS</t>
  </si>
  <si>
    <t>% Growth</t>
  </si>
  <si>
    <t>Year 5 earnings</t>
  </si>
  <si>
    <t>PE valuation</t>
  </si>
  <si>
    <t>Applied PE ratio</t>
  </si>
  <si>
    <t>PV of earnings</t>
  </si>
  <si>
    <t>PS valuation</t>
  </si>
  <si>
    <t>Year 5 sales</t>
  </si>
  <si>
    <t>Applied PS ratio</t>
  </si>
  <si>
    <t>PV of sales</t>
  </si>
  <si>
    <t>Shares outstanding diluted</t>
  </si>
  <si>
    <t>AVG price</t>
  </si>
  <si>
    <t>DCF price</t>
  </si>
  <si>
    <t>PE price</t>
  </si>
  <si>
    <t>PS price</t>
  </si>
  <si>
    <t>AVG target price</t>
  </si>
  <si>
    <t>AVG  target price</t>
  </si>
  <si>
    <t>Notes</t>
  </si>
  <si>
    <t>For ownership shearch in the proxy statement for: "Security Ownership of Certain Beneficial Owners and Management"</t>
  </si>
  <si>
    <t>Calculate insider ownership: ClassA + ClassB held by insiders/Total classA + classB shares</t>
  </si>
  <si>
    <t>Shares held by insiders</t>
  </si>
  <si>
    <t>Total shares</t>
  </si>
  <si>
    <t>Insider %</t>
  </si>
  <si>
    <t>The total share number is on the 10-K/Q front page</t>
  </si>
  <si>
    <t>ROIC = NOPAT/Invested capital</t>
  </si>
  <si>
    <t>NOPAT = EBIT * (1-tax rate)</t>
  </si>
  <si>
    <t>Invested capital = (Total assets - Cash and equivalents) -non-interest bearing current liabilities</t>
  </si>
  <si>
    <t>NIBCL usually are accounts payable and accrued expenses and other operating items that do not have interest attached</t>
  </si>
  <si>
    <t>NIBCL does not include any sort of debt</t>
  </si>
  <si>
    <t>ROIC</t>
  </si>
  <si>
    <t>EBITDA</t>
  </si>
  <si>
    <t>An easier denominator is Total debt + Equity -Cash</t>
  </si>
  <si>
    <t>Shares</t>
  </si>
  <si>
    <t>Avg diluted shares</t>
  </si>
  <si>
    <t>Dilution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</si>
</sst>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164" formatCode="0.00_);[Red]\(0.00\)"/>
    <numFmt numFmtId="165" formatCode="0.0%"/>
    <numFmt numFmtId="166" formatCode="#,##0.0_);[Red]\(#,##0.0\)"/>
    <numFmt numFmtId="167" formatCode="0.0"/>
    <numFmt numFmtId="168" formatCode="#,##0.0_);\(#,##0.0\)"/>
    <numFmt numFmtId="169" formatCode="0.00_);\(0.00\)"/>
  </numFmts>
  <fonts count="2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0" tint="-4.9989318521683403E-2"/>
      <name val="Aptos Narrow"/>
      <scheme val="minor"/>
    </font>
    <font>
      <b/>
      <sz val="12"/>
      <color theme="0"/>
      <name val="Aptos Narrow"/>
      <scheme val="minor"/>
    </font>
    <font>
      <sz val="8"/>
      <name val="Aptos Narrow"/>
      <family val="2"/>
      <scheme val="minor"/>
    </font>
    <font>
      <sz val="12"/>
      <color rgb="FF0070C0"/>
      <name val="Aptos Narrow"/>
      <scheme val="minor"/>
    </font>
    <font>
      <sz val="12"/>
      <color rgb="FF0070C0"/>
      <name val="Aptos Narrow"/>
      <family val="2"/>
      <scheme val="minor"/>
    </font>
    <font>
      <b/>
      <sz val="12"/>
      <color rgb="FF0070C0"/>
      <name val="Aptos Narrow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9"/>
      <name val="Aptos Narrow"/>
      <family val="2"/>
      <scheme val="minor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12"/>
      <color rgb="FFFFFFFF"/>
      <name val="Aptos Narrow"/>
      <scheme val="minor"/>
    </font>
    <font>
      <b/>
      <sz val="12"/>
      <color theme="9"/>
      <name val="Aptos Narrow"/>
      <scheme val="minor"/>
    </font>
    <font>
      <sz val="12"/>
      <color rgb="FF4EA72E"/>
      <name val="Aptos Narrow"/>
      <family val="2"/>
      <scheme val="minor"/>
    </font>
    <font>
      <i/>
      <sz val="12"/>
      <color theme="1"/>
      <name val="Aptos Narrow"/>
      <scheme val="minor"/>
    </font>
    <font>
      <b/>
      <sz val="12"/>
      <color rgb="FF4EA72E"/>
      <name val="Aptos Narrow"/>
      <scheme val="minor"/>
    </font>
    <font>
      <b/>
      <sz val="12"/>
      <color theme="1"/>
      <name val="Arial"/>
      <family val="2"/>
      <charset val="204"/>
    </font>
    <font>
      <b/>
      <sz val="12"/>
      <color rgb="FF000000"/>
      <name val="Aptos Narrow"/>
      <scheme val="minor"/>
    </font>
    <font>
      <sz val="12"/>
      <color theme="9"/>
      <name val="Aptos Narrow"/>
      <scheme val="minor"/>
    </font>
    <font>
      <b/>
      <sz val="12"/>
      <color rgb="FFF2F2F2"/>
      <name val="Aptos Narrow"/>
      <scheme val="minor"/>
    </font>
    <font>
      <i/>
      <sz val="12"/>
      <color rgb="FF000000"/>
      <name val="Aptos Narrow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AD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AD5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ADADAD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2"/>
      </bottom>
      <diagonal/>
    </border>
    <border>
      <left/>
      <right style="thick">
        <color indexed="64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ck">
        <color theme="1"/>
      </right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229">
    <xf numFmtId="0" fontId="0" fillId="0" borderId="0" xfId="0"/>
    <xf numFmtId="0" fontId="0" fillId="3" borderId="0" xfId="0" applyFill="1"/>
    <xf numFmtId="0" fontId="3" fillId="3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3" borderId="0" xfId="0" applyFont="1" applyFill="1"/>
    <xf numFmtId="0" fontId="3" fillId="2" borderId="0" xfId="0" applyFont="1" applyFill="1"/>
    <xf numFmtId="0" fontId="2" fillId="3" borderId="2" xfId="0" applyFont="1" applyFill="1" applyBorder="1"/>
    <xf numFmtId="0" fontId="1" fillId="3" borderId="0" xfId="0" applyFont="1" applyFill="1"/>
    <xf numFmtId="0" fontId="2" fillId="3" borderId="0" xfId="0" applyFont="1" applyFill="1"/>
    <xf numFmtId="0" fontId="0" fillId="4" borderId="0" xfId="0" applyFill="1"/>
    <xf numFmtId="0" fontId="2" fillId="4" borderId="2" xfId="0" applyFont="1" applyFill="1" applyBorder="1"/>
    <xf numFmtId="0" fontId="1" fillId="4" borderId="0" xfId="0" applyFont="1" applyFill="1"/>
    <xf numFmtId="0" fontId="2" fillId="4" borderId="0" xfId="0" applyFont="1" applyFill="1"/>
    <xf numFmtId="0" fontId="1" fillId="3" borderId="2" xfId="0" applyFont="1" applyFill="1" applyBorder="1"/>
    <xf numFmtId="0" fontId="3" fillId="5" borderId="2" xfId="0" applyFont="1" applyFill="1" applyBorder="1"/>
    <xf numFmtId="0" fontId="4" fillId="5" borderId="2" xfId="0" applyFont="1" applyFill="1" applyBorder="1"/>
    <xf numFmtId="0" fontId="0" fillId="3" borderId="2" xfId="0" applyFill="1" applyBorder="1"/>
    <xf numFmtId="0" fontId="1" fillId="4" borderId="1" xfId="0" applyFont="1" applyFill="1" applyBorder="1"/>
    <xf numFmtId="0" fontId="1" fillId="3" borderId="1" xfId="0" applyFont="1" applyFill="1" applyBorder="1"/>
    <xf numFmtId="0" fontId="1" fillId="4" borderId="2" xfId="0" applyFont="1" applyFill="1" applyBorder="1"/>
    <xf numFmtId="38" fontId="0" fillId="3" borderId="0" xfId="0" applyNumberFormat="1" applyFill="1"/>
    <xf numFmtId="38" fontId="1" fillId="3" borderId="0" xfId="0" applyNumberFormat="1" applyFont="1" applyFill="1"/>
    <xf numFmtId="41" fontId="1" fillId="6" borderId="1" xfId="0" applyNumberFormat="1" applyFont="1" applyFill="1" applyBorder="1"/>
    <xf numFmtId="41" fontId="1" fillId="6" borderId="0" xfId="0" applyNumberFormat="1" applyFont="1" applyFill="1"/>
    <xf numFmtId="41" fontId="1" fillId="7" borderId="1" xfId="0" applyNumberFormat="1" applyFont="1" applyFill="1" applyBorder="1"/>
    <xf numFmtId="164" fontId="2" fillId="3" borderId="0" xfId="0" applyNumberFormat="1" applyFont="1" applyFill="1"/>
    <xf numFmtId="41" fontId="1" fillId="3" borderId="0" xfId="0" applyNumberFormat="1" applyFont="1" applyFill="1"/>
    <xf numFmtId="38" fontId="6" fillId="3" borderId="0" xfId="0" applyNumberFormat="1" applyFont="1" applyFill="1"/>
    <xf numFmtId="0" fontId="6" fillId="3" borderId="0" xfId="0" applyFont="1" applyFill="1"/>
    <xf numFmtId="38" fontId="7" fillId="3" borderId="0" xfId="0" applyNumberFormat="1" applyFont="1" applyFill="1"/>
    <xf numFmtId="0" fontId="7" fillId="3" borderId="0" xfId="0" applyFont="1" applyFill="1"/>
    <xf numFmtId="164" fontId="6" fillId="3" borderId="0" xfId="0" applyNumberFormat="1" applyFont="1" applyFill="1"/>
    <xf numFmtId="164" fontId="6" fillId="3" borderId="2" xfId="0" applyNumberFormat="1" applyFont="1" applyFill="1" applyBorder="1"/>
    <xf numFmtId="38" fontId="8" fillId="3" borderId="0" xfId="0" applyNumberFormat="1" applyFont="1" applyFill="1"/>
    <xf numFmtId="38" fontId="2" fillId="3" borderId="0" xfId="0" applyNumberFormat="1" applyFont="1" applyFill="1"/>
    <xf numFmtId="4" fontId="0" fillId="3" borderId="0" xfId="0" applyNumberFormat="1" applyFill="1"/>
    <xf numFmtId="0" fontId="0" fillId="8" borderId="0" xfId="0" applyFill="1"/>
    <xf numFmtId="0" fontId="3" fillId="2" borderId="4" xfId="0" applyFont="1" applyFill="1" applyBorder="1" applyAlignment="1">
      <alignment horizontal="right"/>
    </xf>
    <xf numFmtId="0" fontId="3" fillId="5" borderId="6" xfId="0" applyFont="1" applyFill="1" applyBorder="1" applyAlignment="1">
      <alignment horizontal="center"/>
    </xf>
    <xf numFmtId="38" fontId="0" fillId="3" borderId="7" xfId="0" applyNumberFormat="1" applyFill="1" applyBorder="1"/>
    <xf numFmtId="164" fontId="0" fillId="3" borderId="7" xfId="0" applyNumberFormat="1" applyFill="1" applyBorder="1"/>
    <xf numFmtId="164" fontId="0" fillId="3" borderId="6" xfId="0" applyNumberFormat="1" applyFill="1" applyBorder="1"/>
    <xf numFmtId="0" fontId="3" fillId="2" borderId="7" xfId="0" applyFont="1" applyFill="1" applyBorder="1" applyAlignment="1">
      <alignment horizontal="right"/>
    </xf>
    <xf numFmtId="0" fontId="3" fillId="2" borderId="7" xfId="0" applyFont="1" applyFill="1" applyBorder="1"/>
    <xf numFmtId="0" fontId="3" fillId="2" borderId="9" xfId="0" applyFont="1" applyFill="1" applyBorder="1" applyAlignment="1">
      <alignment horizontal="right"/>
    </xf>
    <xf numFmtId="0" fontId="3" fillId="2" borderId="10" xfId="0" applyFont="1" applyFill="1" applyBorder="1" applyAlignment="1">
      <alignment horizontal="right"/>
    </xf>
    <xf numFmtId="0" fontId="3" fillId="2" borderId="11" xfId="0" applyFont="1" applyFill="1" applyBorder="1" applyAlignment="1">
      <alignment horizontal="right"/>
    </xf>
    <xf numFmtId="0" fontId="3" fillId="2" borderId="12" xfId="0" applyFont="1" applyFill="1" applyBorder="1"/>
    <xf numFmtId="0" fontId="3" fillId="2" borderId="4" xfId="0" applyFont="1" applyFill="1" applyBorder="1"/>
    <xf numFmtId="38" fontId="0" fillId="3" borderId="12" xfId="0" applyNumberFormat="1" applyFill="1" applyBorder="1"/>
    <xf numFmtId="10" fontId="0" fillId="3" borderId="4" xfId="1" applyNumberFormat="1" applyFont="1" applyFill="1" applyBorder="1"/>
    <xf numFmtId="38" fontId="8" fillId="9" borderId="1" xfId="0" applyNumberFormat="1" applyFont="1" applyFill="1" applyBorder="1"/>
    <xf numFmtId="0" fontId="1" fillId="9" borderId="0" xfId="0" applyFont="1" applyFill="1"/>
    <xf numFmtId="0" fontId="1" fillId="9" borderId="1" xfId="0" applyFont="1" applyFill="1" applyBorder="1"/>
    <xf numFmtId="38" fontId="1" fillId="9" borderId="1" xfId="0" applyNumberFormat="1" applyFont="1" applyFill="1" applyBorder="1"/>
    <xf numFmtId="38" fontId="8" fillId="9" borderId="0" xfId="0" applyNumberFormat="1" applyFont="1" applyFill="1"/>
    <xf numFmtId="38" fontId="1" fillId="9" borderId="0" xfId="0" applyNumberFormat="1" applyFont="1" applyFill="1"/>
    <xf numFmtId="0" fontId="1" fillId="9" borderId="2" xfId="0" applyFont="1" applyFill="1" applyBorder="1"/>
    <xf numFmtId="38" fontId="8" fillId="9" borderId="2" xfId="0" applyNumberFormat="1" applyFont="1" applyFill="1" applyBorder="1"/>
    <xf numFmtId="38" fontId="1" fillId="9" borderId="8" xfId="0" applyNumberFormat="1" applyFont="1" applyFill="1" applyBorder="1"/>
    <xf numFmtId="38" fontId="8" fillId="9" borderId="5" xfId="0" applyNumberFormat="1" applyFont="1" applyFill="1" applyBorder="1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0" fillId="5" borderId="0" xfId="0" applyFill="1"/>
    <xf numFmtId="0" fontId="0" fillId="7" borderId="0" xfId="0" applyFill="1" applyAlignment="1">
      <alignment horizontal="left"/>
    </xf>
    <xf numFmtId="0" fontId="0" fillId="5" borderId="2" xfId="0" applyFill="1" applyBorder="1"/>
    <xf numFmtId="10" fontId="1" fillId="9" borderId="5" xfId="1" applyNumberFormat="1" applyFont="1" applyFill="1" applyBorder="1"/>
    <xf numFmtId="10" fontId="2" fillId="3" borderId="4" xfId="1" applyNumberFormat="1" applyFont="1" applyFill="1" applyBorder="1"/>
    <xf numFmtId="10" fontId="0" fillId="3" borderId="5" xfId="1" applyNumberFormat="1" applyFont="1" applyFill="1" applyBorder="1"/>
    <xf numFmtId="38" fontId="1" fillId="9" borderId="14" xfId="0" applyNumberFormat="1" applyFont="1" applyFill="1" applyBorder="1"/>
    <xf numFmtId="38" fontId="2" fillId="3" borderId="12" xfId="0" applyNumberFormat="1" applyFont="1" applyFill="1" applyBorder="1"/>
    <xf numFmtId="164" fontId="0" fillId="3" borderId="12" xfId="0" applyNumberFormat="1" applyFill="1" applyBorder="1"/>
    <xf numFmtId="164" fontId="0" fillId="3" borderId="0" xfId="0" applyNumberFormat="1" applyFill="1"/>
    <xf numFmtId="164" fontId="0" fillId="3" borderId="14" xfId="0" applyNumberFormat="1" applyFill="1" applyBorder="1"/>
    <xf numFmtId="164" fontId="0" fillId="3" borderId="1" xfId="0" applyNumberFormat="1" applyFill="1" applyBorder="1"/>
    <xf numFmtId="9" fontId="0" fillId="3" borderId="0" xfId="1" applyFont="1" applyFill="1"/>
    <xf numFmtId="9" fontId="1" fillId="3" borderId="1" xfId="1" applyFont="1" applyFill="1" applyBorder="1"/>
    <xf numFmtId="0" fontId="1" fillId="3" borderId="15" xfId="0" applyFont="1" applyFill="1" applyBorder="1"/>
    <xf numFmtId="0" fontId="1" fillId="4" borderId="15" xfId="0" applyFont="1" applyFill="1" applyBorder="1"/>
    <xf numFmtId="9" fontId="1" fillId="3" borderId="15" xfId="1" applyFont="1" applyFill="1" applyBorder="1"/>
    <xf numFmtId="0" fontId="0" fillId="10" borderId="0" xfId="0" applyFill="1"/>
    <xf numFmtId="0" fontId="1" fillId="10" borderId="0" xfId="0" applyFont="1" applyFill="1"/>
    <xf numFmtId="0" fontId="0" fillId="4" borderId="1" xfId="0" applyFill="1" applyBorder="1"/>
    <xf numFmtId="9" fontId="0" fillId="3" borderId="1" xfId="1" applyFont="1" applyFill="1" applyBorder="1"/>
    <xf numFmtId="0" fontId="0" fillId="3" borderId="1" xfId="0" applyFill="1" applyBorder="1"/>
    <xf numFmtId="38" fontId="8" fillId="9" borderId="4" xfId="0" applyNumberFormat="1" applyFont="1" applyFill="1" applyBorder="1"/>
    <xf numFmtId="38" fontId="1" fillId="9" borderId="4" xfId="0" applyNumberFormat="1" applyFont="1" applyFill="1" applyBorder="1"/>
    <xf numFmtId="38" fontId="8" fillId="9" borderId="3" xfId="0" applyNumberFormat="1" applyFont="1" applyFill="1" applyBorder="1"/>
    <xf numFmtId="166" fontId="2" fillId="3" borderId="0" xfId="0" applyNumberFormat="1" applyFont="1" applyFill="1"/>
    <xf numFmtId="165" fontId="0" fillId="3" borderId="0" xfId="1" applyNumberFormat="1" applyFont="1" applyFill="1"/>
    <xf numFmtId="0" fontId="0" fillId="3" borderId="4" xfId="0" applyFill="1" applyBorder="1"/>
    <xf numFmtId="0" fontId="0" fillId="3" borderId="0" xfId="0" applyFill="1" applyAlignment="1">
      <alignment horizontal="center"/>
    </xf>
    <xf numFmtId="0" fontId="10" fillId="11" borderId="0" xfId="0" applyFont="1" applyFill="1"/>
    <xf numFmtId="2" fontId="0" fillId="3" borderId="0" xfId="0" applyNumberFormat="1" applyFill="1"/>
    <xf numFmtId="38" fontId="11" fillId="3" borderId="0" xfId="0" applyNumberFormat="1" applyFont="1" applyFill="1"/>
    <xf numFmtId="165" fontId="11" fillId="3" borderId="0" xfId="1" applyNumberFormat="1" applyFont="1" applyFill="1"/>
    <xf numFmtId="10" fontId="11" fillId="3" borderId="0" xfId="0" applyNumberFormat="1" applyFont="1" applyFill="1"/>
    <xf numFmtId="10" fontId="0" fillId="8" borderId="0" xfId="0" applyNumberFormat="1" applyFill="1"/>
    <xf numFmtId="38" fontId="0" fillId="8" borderId="0" xfId="0" applyNumberFormat="1" applyFill="1"/>
    <xf numFmtId="165" fontId="10" fillId="12" borderId="0" xfId="0" applyNumberFormat="1" applyFont="1" applyFill="1"/>
    <xf numFmtId="167" fontId="0" fillId="8" borderId="0" xfId="0" applyNumberFormat="1" applyFill="1"/>
    <xf numFmtId="40" fontId="0" fillId="3" borderId="0" xfId="0" applyNumberFormat="1" applyFill="1"/>
    <xf numFmtId="0" fontId="12" fillId="3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13" fillId="3" borderId="0" xfId="0" applyFont="1" applyFill="1" applyAlignment="1">
      <alignment vertical="top"/>
    </xf>
    <xf numFmtId="0" fontId="14" fillId="3" borderId="0" xfId="0" applyFont="1" applyFill="1" applyAlignment="1">
      <alignment vertical="top"/>
    </xf>
    <xf numFmtId="37" fontId="11" fillId="3" borderId="0" xfId="0" applyNumberFormat="1" applyFont="1" applyFill="1"/>
    <xf numFmtId="37" fontId="0" fillId="3" borderId="0" xfId="0" applyNumberFormat="1" applyFill="1"/>
    <xf numFmtId="0" fontId="10" fillId="11" borderId="0" xfId="0" applyFont="1" applyFill="1" applyAlignment="1">
      <alignment vertical="top"/>
    </xf>
    <xf numFmtId="37" fontId="11" fillId="3" borderId="17" xfId="0" applyNumberFormat="1" applyFont="1" applyFill="1" applyBorder="1"/>
    <xf numFmtId="37" fontId="16" fillId="3" borderId="0" xfId="0" applyNumberFormat="1" applyFont="1" applyFill="1"/>
    <xf numFmtId="37" fontId="16" fillId="3" borderId="17" xfId="0" applyNumberFormat="1" applyFont="1" applyFill="1" applyBorder="1"/>
    <xf numFmtId="37" fontId="1" fillId="3" borderId="0" xfId="0" applyNumberFormat="1" applyFont="1" applyFill="1"/>
    <xf numFmtId="38" fontId="17" fillId="11" borderId="0" xfId="0" applyNumberFormat="1" applyFont="1" applyFill="1"/>
    <xf numFmtId="168" fontId="11" fillId="3" borderId="0" xfId="0" applyNumberFormat="1" applyFont="1" applyFill="1"/>
    <xf numFmtId="165" fontId="18" fillId="3" borderId="0" xfId="1" applyNumberFormat="1" applyFont="1" applyFill="1"/>
    <xf numFmtId="165" fontId="18" fillId="3" borderId="17" xfId="1" applyNumberFormat="1" applyFont="1" applyFill="1" applyBorder="1"/>
    <xf numFmtId="165" fontId="18" fillId="3" borderId="0" xfId="0" applyNumberFormat="1" applyFont="1" applyFill="1"/>
    <xf numFmtId="165" fontId="18" fillId="8" borderId="0" xfId="1" applyNumberFormat="1" applyFont="1" applyFill="1"/>
    <xf numFmtId="9" fontId="18" fillId="8" borderId="0" xfId="1" applyFont="1" applyFill="1"/>
    <xf numFmtId="165" fontId="18" fillId="3" borderId="17" xfId="0" applyNumberFormat="1" applyFont="1" applyFill="1" applyBorder="1"/>
    <xf numFmtId="38" fontId="17" fillId="11" borderId="17" xfId="0" applyNumberFormat="1" applyFont="1" applyFill="1" applyBorder="1"/>
    <xf numFmtId="165" fontId="11" fillId="3" borderId="17" xfId="1" applyNumberFormat="1" applyFont="1" applyFill="1" applyBorder="1"/>
    <xf numFmtId="38" fontId="11" fillId="3" borderId="17" xfId="0" applyNumberFormat="1" applyFont="1" applyFill="1" applyBorder="1"/>
    <xf numFmtId="168" fontId="11" fillId="3" borderId="17" xfId="0" applyNumberFormat="1" applyFont="1" applyFill="1" applyBorder="1"/>
    <xf numFmtId="0" fontId="0" fillId="3" borderId="0" xfId="0" applyFill="1" applyAlignment="1">
      <alignment horizontal="left"/>
    </xf>
    <xf numFmtId="0" fontId="12" fillId="3" borderId="4" xfId="0" applyFont="1" applyFill="1" applyBorder="1" applyAlignment="1">
      <alignment vertical="top"/>
    </xf>
    <xf numFmtId="0" fontId="4" fillId="2" borderId="19" xfId="0" applyFont="1" applyFill="1" applyBorder="1" applyAlignment="1">
      <alignment horizontal="center"/>
    </xf>
    <xf numFmtId="165" fontId="18" fillId="3" borderId="20" xfId="0" applyNumberFormat="1" applyFont="1" applyFill="1" applyBorder="1"/>
    <xf numFmtId="38" fontId="17" fillId="11" borderId="20" xfId="0" applyNumberFormat="1" applyFont="1" applyFill="1" applyBorder="1"/>
    <xf numFmtId="165" fontId="18" fillId="3" borderId="20" xfId="1" applyNumberFormat="1" applyFont="1" applyFill="1" applyBorder="1"/>
    <xf numFmtId="165" fontId="11" fillId="3" borderId="20" xfId="1" applyNumberFormat="1" applyFont="1" applyFill="1" applyBorder="1"/>
    <xf numFmtId="38" fontId="11" fillId="3" borderId="20" xfId="0" applyNumberFormat="1" applyFont="1" applyFill="1" applyBorder="1"/>
    <xf numFmtId="168" fontId="11" fillId="3" borderId="20" xfId="0" applyNumberFormat="1" applyFont="1" applyFill="1" applyBorder="1"/>
    <xf numFmtId="2" fontId="11" fillId="3" borderId="0" xfId="0" applyNumberFormat="1" applyFont="1" applyFill="1"/>
    <xf numFmtId="2" fontId="11" fillId="3" borderId="20" xfId="0" applyNumberFormat="1" applyFont="1" applyFill="1" applyBorder="1"/>
    <xf numFmtId="2" fontId="11" fillId="3" borderId="17" xfId="0" applyNumberFormat="1" applyFont="1" applyFill="1" applyBorder="1"/>
    <xf numFmtId="2" fontId="0" fillId="8" borderId="0" xfId="0" applyNumberFormat="1" applyFill="1"/>
    <xf numFmtId="0" fontId="4" fillId="2" borderId="19" xfId="0" applyFont="1" applyFill="1" applyBorder="1" applyAlignment="1">
      <alignment horizontal="left"/>
    </xf>
    <xf numFmtId="38" fontId="19" fillId="11" borderId="0" xfId="0" applyNumberFormat="1" applyFont="1" applyFill="1"/>
    <xf numFmtId="38" fontId="19" fillId="11" borderId="17" xfId="0" applyNumberFormat="1" applyFont="1" applyFill="1" applyBorder="1"/>
    <xf numFmtId="0" fontId="4" fillId="2" borderId="0" xfId="0" applyFont="1" applyFill="1" applyAlignment="1">
      <alignment horizontal="center"/>
    </xf>
    <xf numFmtId="0" fontId="20" fillId="3" borderId="0" xfId="0" applyFont="1" applyFill="1" applyAlignment="1">
      <alignment vertical="top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4" fillId="3" borderId="0" xfId="0" applyFont="1" applyFill="1"/>
    <xf numFmtId="38" fontId="19" fillId="14" borderId="0" xfId="0" applyNumberFormat="1" applyFont="1" applyFill="1"/>
    <xf numFmtId="38" fontId="17" fillId="14" borderId="0" xfId="0" applyNumberFormat="1" applyFont="1" applyFill="1"/>
    <xf numFmtId="165" fontId="18" fillId="3" borderId="0" xfId="1" applyNumberFormat="1" applyFont="1" applyFill="1" applyBorder="1"/>
    <xf numFmtId="38" fontId="1" fillId="11" borderId="0" xfId="0" applyNumberFormat="1" applyFont="1" applyFill="1"/>
    <xf numFmtId="38" fontId="1" fillId="11" borderId="17" xfId="0" applyNumberFormat="1" applyFont="1" applyFill="1" applyBorder="1"/>
    <xf numFmtId="37" fontId="17" fillId="11" borderId="0" xfId="0" applyNumberFormat="1" applyFont="1" applyFill="1"/>
    <xf numFmtId="37" fontId="17" fillId="11" borderId="17" xfId="0" applyNumberFormat="1" applyFont="1" applyFill="1" applyBorder="1"/>
    <xf numFmtId="168" fontId="0" fillId="11" borderId="0" xfId="0" applyNumberFormat="1" applyFill="1"/>
    <xf numFmtId="0" fontId="0" fillId="3" borderId="1" xfId="0" applyFill="1" applyBorder="1" applyAlignment="1">
      <alignment horizontal="left"/>
    </xf>
    <xf numFmtId="38" fontId="0" fillId="3" borderId="1" xfId="0" applyNumberFormat="1" applyFill="1" applyBorder="1"/>
    <xf numFmtId="38" fontId="0" fillId="3" borderId="15" xfId="0" applyNumberFormat="1" applyFill="1" applyBorder="1"/>
    <xf numFmtId="0" fontId="21" fillId="15" borderId="0" xfId="0" applyFont="1" applyFill="1"/>
    <xf numFmtId="0" fontId="21" fillId="15" borderId="15" xfId="0" applyFont="1" applyFill="1" applyBorder="1"/>
    <xf numFmtId="0" fontId="21" fillId="15" borderId="17" xfId="0" applyFont="1" applyFill="1" applyBorder="1"/>
    <xf numFmtId="0" fontId="21" fillId="15" borderId="21" xfId="0" applyFont="1" applyFill="1" applyBorder="1"/>
    <xf numFmtId="37" fontId="1" fillId="11" borderId="0" xfId="0" applyNumberFormat="1" applyFont="1" applyFill="1"/>
    <xf numFmtId="168" fontId="0" fillId="14" borderId="0" xfId="0" applyNumberFormat="1" applyFill="1"/>
    <xf numFmtId="37" fontId="22" fillId="3" borderId="0" xfId="0" applyNumberFormat="1" applyFont="1" applyFill="1"/>
    <xf numFmtId="37" fontId="2" fillId="3" borderId="0" xfId="0" applyNumberFormat="1" applyFont="1" applyFill="1"/>
    <xf numFmtId="37" fontId="22" fillId="3" borderId="17" xfId="0" applyNumberFormat="1" applyFont="1" applyFill="1" applyBorder="1"/>
    <xf numFmtId="168" fontId="0" fillId="11" borderId="17" xfId="0" applyNumberFormat="1" applyFill="1" applyBorder="1"/>
    <xf numFmtId="37" fontId="1" fillId="3" borderId="17" xfId="0" applyNumberFormat="1" applyFont="1" applyFill="1" applyBorder="1"/>
    <xf numFmtId="0" fontId="0" fillId="3" borderId="15" xfId="0" applyFill="1" applyBorder="1"/>
    <xf numFmtId="41" fontId="1" fillId="3" borderId="15" xfId="0" applyNumberFormat="1" applyFont="1" applyFill="1" applyBorder="1"/>
    <xf numFmtId="10" fontId="11" fillId="3" borderId="17" xfId="0" applyNumberFormat="1" applyFont="1" applyFill="1" applyBorder="1"/>
    <xf numFmtId="10" fontId="22" fillId="3" borderId="0" xfId="0" applyNumberFormat="1" applyFont="1" applyFill="1"/>
    <xf numFmtId="10" fontId="0" fillId="3" borderId="0" xfId="0" applyNumberFormat="1" applyFill="1"/>
    <xf numFmtId="37" fontId="0" fillId="3" borderId="17" xfId="0" applyNumberFormat="1" applyFill="1" applyBorder="1"/>
    <xf numFmtId="10" fontId="22" fillId="3" borderId="17" xfId="0" applyNumberFormat="1" applyFont="1" applyFill="1" applyBorder="1"/>
    <xf numFmtId="10" fontId="2" fillId="8" borderId="0" xfId="1" applyNumberFormat="1" applyFont="1" applyFill="1"/>
    <xf numFmtId="37" fontId="2" fillId="3" borderId="17" xfId="0" applyNumberFormat="1" applyFont="1" applyFill="1" applyBorder="1"/>
    <xf numFmtId="0" fontId="0" fillId="3" borderId="17" xfId="0" applyFill="1" applyBorder="1"/>
    <xf numFmtId="37" fontId="0" fillId="11" borderId="0" xfId="0" applyNumberFormat="1" applyFill="1"/>
    <xf numFmtId="37" fontId="0" fillId="11" borderId="17" xfId="0" applyNumberFormat="1" applyFill="1" applyBorder="1"/>
    <xf numFmtId="0" fontId="15" fillId="13" borderId="0" xfId="0" applyFont="1" applyFill="1" applyAlignment="1">
      <alignment horizontal="right"/>
    </xf>
    <xf numFmtId="0" fontId="10" fillId="11" borderId="0" xfId="0" applyFont="1" applyFill="1" applyAlignment="1">
      <alignment horizontal="left"/>
    </xf>
    <xf numFmtId="41" fontId="1" fillId="3" borderId="21" xfId="0" applyNumberFormat="1" applyFont="1" applyFill="1" applyBorder="1"/>
    <xf numFmtId="0" fontId="3" fillId="5" borderId="22" xfId="0" applyFont="1" applyFill="1" applyBorder="1"/>
    <xf numFmtId="0" fontId="21" fillId="14" borderId="0" xfId="0" applyFont="1" applyFill="1"/>
    <xf numFmtId="38" fontId="0" fillId="12" borderId="0" xfId="0" applyNumberFormat="1" applyFill="1"/>
    <xf numFmtId="37" fontId="1" fillId="11" borderId="17" xfId="0" applyNumberFormat="1" applyFont="1" applyFill="1" applyBorder="1"/>
    <xf numFmtId="4" fontId="22" fillId="3" borderId="0" xfId="0" applyNumberFormat="1" applyFont="1" applyFill="1"/>
    <xf numFmtId="165" fontId="2" fillId="8" borderId="0" xfId="1" applyNumberFormat="1" applyFont="1" applyFill="1"/>
    <xf numFmtId="3" fontId="2" fillId="3" borderId="0" xfId="0" applyNumberFormat="1" applyFont="1" applyFill="1"/>
    <xf numFmtId="10" fontId="2" fillId="3" borderId="0" xfId="0" applyNumberFormat="1" applyFont="1" applyFill="1"/>
    <xf numFmtId="10" fontId="2" fillId="3" borderId="0" xfId="1" applyNumberFormat="1" applyFont="1" applyFill="1"/>
    <xf numFmtId="37" fontId="2" fillId="10" borderId="17" xfId="0" applyNumberFormat="1" applyFont="1" applyFill="1" applyBorder="1"/>
    <xf numFmtId="0" fontId="0" fillId="7" borderId="23" xfId="0" applyFill="1" applyBorder="1"/>
    <xf numFmtId="169" fontId="0" fillId="7" borderId="24" xfId="0" applyNumberFormat="1" applyFill="1" applyBorder="1"/>
    <xf numFmtId="37" fontId="1" fillId="9" borderId="1" xfId="0" applyNumberFormat="1" applyFont="1" applyFill="1" applyBorder="1"/>
    <xf numFmtId="39" fontId="2" fillId="3" borderId="2" xfId="0" applyNumberFormat="1" applyFont="1" applyFill="1" applyBorder="1"/>
    <xf numFmtId="169" fontId="2" fillId="3" borderId="2" xfId="0" applyNumberFormat="1" applyFont="1" applyFill="1" applyBorder="1"/>
    <xf numFmtId="37" fontId="1" fillId="9" borderId="0" xfId="0" applyNumberFormat="1" applyFont="1" applyFill="1"/>
    <xf numFmtId="37" fontId="1" fillId="9" borderId="2" xfId="0" applyNumberFormat="1" applyFont="1" applyFill="1" applyBorder="1"/>
    <xf numFmtId="0" fontId="23" fillId="16" borderId="2" xfId="0" applyFont="1" applyFill="1" applyBorder="1"/>
    <xf numFmtId="165" fontId="2" fillId="3" borderId="0" xfId="1" applyNumberFormat="1" applyFont="1" applyFill="1"/>
    <xf numFmtId="2" fontId="2" fillId="3" borderId="0" xfId="1" applyNumberFormat="1" applyFont="1" applyFill="1"/>
    <xf numFmtId="165" fontId="1" fillId="3" borderId="0" xfId="1" applyNumberFormat="1" applyFont="1" applyFill="1"/>
    <xf numFmtId="165" fontId="0" fillId="17" borderId="0" xfId="1" applyNumberFormat="1" applyFont="1" applyFill="1"/>
    <xf numFmtId="2" fontId="0" fillId="17" borderId="0" xfId="1" applyNumberFormat="1" applyFont="1" applyFill="1"/>
    <xf numFmtId="165" fontId="1" fillId="17" borderId="0" xfId="1" applyNumberFormat="1" applyFont="1" applyFill="1"/>
    <xf numFmtId="2" fontId="2" fillId="17" borderId="0" xfId="1" applyNumberFormat="1" applyFont="1" applyFill="1"/>
    <xf numFmtId="2" fontId="0" fillId="3" borderId="0" xfId="1" applyNumberFormat="1" applyFont="1" applyFill="1"/>
    <xf numFmtId="169" fontId="0" fillId="3" borderId="0" xfId="0" applyNumberFormat="1" applyFill="1"/>
    <xf numFmtId="9" fontId="0" fillId="3" borderId="0" xfId="1" applyFont="1" applyFill="1" applyBorder="1"/>
    <xf numFmtId="37" fontId="1" fillId="9" borderId="15" xfId="0" applyNumberFormat="1" applyFont="1" applyFill="1" applyBorder="1"/>
    <xf numFmtId="10" fontId="22" fillId="3" borderId="0" xfId="1" applyNumberFormat="1" applyFont="1" applyFill="1"/>
    <xf numFmtId="38" fontId="11" fillId="3" borderId="4" xfId="0" applyNumberFormat="1" applyFont="1" applyFill="1" applyBorder="1"/>
    <xf numFmtId="165" fontId="24" fillId="11" borderId="0" xfId="0" applyNumberFormat="1" applyFont="1" applyFill="1"/>
    <xf numFmtId="165" fontId="24" fillId="11" borderId="4" xfId="0" applyNumberFormat="1" applyFont="1" applyFill="1" applyBorder="1"/>
    <xf numFmtId="165" fontId="24" fillId="12" borderId="0" xfId="0" applyNumberFormat="1" applyFont="1" applyFill="1"/>
    <xf numFmtId="10" fontId="18" fillId="8" borderId="0" xfId="1" applyNumberFormat="1" applyFont="1" applyFill="1"/>
    <xf numFmtId="3" fontId="0" fillId="3" borderId="0" xfId="0" applyNumberFormat="1" applyFill="1"/>
    <xf numFmtId="0" fontId="3" fillId="5" borderId="13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5" fillId="13" borderId="16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A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Volumes/KINGSTON/MyStockData/Finance-StockLists/1.%20List_AutomaticData.xlsx" TargetMode="External"/><Relationship Id="rId1" Type="http://schemas.openxmlformats.org/officeDocument/2006/relationships/externalLinkPath" Target="1.%20List_Automatic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">
          <cell r="C4">
            <v>103.45</v>
          </cell>
        </row>
        <row r="10">
          <cell r="C10">
            <v>43.23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di dumitras" id="{C1D857D3-F592-2946-8369-15D188CA547D}" userId="b24535bb88af1c42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8" dT="2026-03-23T23:23:55.48" personId="{C1D857D3-F592-2946-8369-15D188CA547D}" id="{E852D19C-A7E1-804D-A3A9-4C3C59D22A79}">
    <text>If calculating EV/EBITDA, we should use EBITDAR with R standing for rent so the number is correct. The lease amount can be found in Note 8 under Operating lease cost. For EV we add all lease liabilities from the balance sheet.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18" dT="2026-02-17T21:45:28.65" personId="{C1D857D3-F592-2946-8369-15D188CA547D}" id="{1BFA1FE8-C472-D64B-B144-4996766B43E4}">
    <text>Actual number</text>
  </threadedComment>
  <threadedComment ref="B120" dT="2026-02-17T23:20:50.10" personId="{C1D857D3-F592-2946-8369-15D188CA547D}" id="{F7328767-D573-5E40-9060-9C3FF0B19AEE}">
    <text>This can also be used to calculated depreciation for the year: accumulated depreciation current year - accumulated depreciation last year = depreciation spent this year</text>
  </threadedComment>
  <threadedComment ref="B122" dT="2026-02-17T23:24:57.80" personId="{C1D857D3-F592-2946-8369-15D188CA547D}" id="{956F0D8B-0692-4D4E-AB6C-385CCF335882}">
    <text>Can be used as accumulated amortization to calculate the year's amortization expense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38" dT="2026-02-18T19:50:02.62" personId="{C1D857D3-F592-2946-8369-15D188CA547D}" id="{823E70A9-8202-AD4F-B27F-441FEEF6DACF}">
    <text>Use the value from Avg useful life under Average useful life of PP&amp;E. Make the value slightly higher</text>
  </threadedComment>
  <threadedComment ref="B39" dT="2026-02-18T19:40:22.21" personId="{C1D857D3-F592-2946-8369-15D188CA547D}" id="{15CC66A8-AFB4-7E4D-B1BB-80F7466557AC}">
    <text>Take the remaining useful life of year 5 from Historical PP&amp;E data. Adjust it a little higher to be sure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6" dT="2026-02-19T19:30:25.86" personId="{C1D857D3-F592-2946-8369-15D188CA547D}" id="{1C41E23C-4E49-DB45-AA4B-41462965580A}">
    <text>Forecast values taken from the recent 10-K</text>
  </threadedComment>
  <threadedComment ref="B29" dT="2026-02-18T19:50:02.62" personId="{C1D857D3-F592-2946-8369-15D188CA547D}" id="{0CF584D1-F91A-BB42-88B9-D52DCD173B77}">
    <text>Found in the 10-K by searching 'useful life'</text>
  </threadedComment>
  <threadedComment ref="B43" dT="2026-02-19T19:30:25.86" personId="{C1D857D3-F592-2946-8369-15D188CA547D}" id="{485C4E18-6F83-1040-B160-4DCDAA68FE7B}">
    <text>Forecast values taken from the recent 10-K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26" dT="2026-02-20T23:46:38.49" personId="{C1D857D3-F592-2946-8369-15D188CA547D}" id="{FE7F7696-1DC8-8740-9551-F021B84F5B84}">
    <text>The same growth rate as operating lease right of use assets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9" dT="2026-02-28T14:18:18.18" personId="{C1D857D3-F592-2946-8369-15D188CA547D}" id="{3E138CA2-608A-1149-B0E7-AC81514F3EC2}">
    <text>10 year government bond yield</text>
  </threadedComment>
  <threadedComment ref="B13" dT="2026-02-28T14:33:08.42" personId="{C1D857D3-F592-2946-8369-15D188CA547D}" id="{BBD9B8EF-1101-D846-A3C5-F85C2CB8F8DE}">
    <text>Bond yield or for lease only debt search 10-K for Weighted-average discount rate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A0442F6-B781-3744-BD57-82D74EB0F258}">
  <we:reference id="wa200001365" version="2.5.0.0" store="en-US" storeType="OMEX"/>
  <we:alternateReferences>
    <we:reference id="wa200001365" version="2.5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_xldudf_ALPHAVANTAGE_EQUITYQUOTE</we:customFunctionIds>
        <we:customFunctionIds>_xldudf_ALPHAVANTAGE_EQUITYTIMESERIES</we:customFunctionIds>
        <we:customFunctionIds>_xldudf_ALPHAVANTAGE_INTRADAYEQUITYSERIESUPDATING</we:customFunctionIds>
        <we:customFunctionIds>_xldudf_ALPHAVANTAGE_EXCHANGERATE</we:customFunctionIds>
        <we:customFunctionIds>_xldudf_ALPHAVANTAGE_EXCHANGERATEUPDATING</we:customFunctionIds>
        <we:customFunctionIds>_xldudf_ALPHAVANTAGE_EXCHANGERATESERIES</we:customFunctionIds>
        <we:customFunctionIds>_xldudf_ALPHAVANTAGE_EXCHANGERATESERIESUPDATING</we:customFunctionIds>
        <we:customFunctionIds>_xldudf_ALPHAVANTAGE_TECHNICALINDICATOR</we:customFunctionIds>
        <we:customFunctionIds>_xldudf_ALPHAVANTAGE_SYMBOLSEARCH</we:customFunctionIds>
        <we:customFunctionIds>_xldudf_ALPHAVANTAGE_COMMODITYTIMESERIES</we:customFunctionIds>
        <we:customFunctionIds>_xldudf_ALPHAVANTAGE_AVAILABLECRYPTOCURRENCIES</we:customFunctionIds>
        <we:customFunctionIds>_xldudf_ALPHAVANTAGE_AVAILABLEPHYSICALCURRENCIES</we:customFunctionIds>
        <we:customFunctionIds>_xldudf_ALPHAVANTAGE_COMPANYOVERVIEW</we:customFunctionIds>
        <we:customFunctionIds>_xldudf_ALPHAVANTAGE_COMPANYEARNINGS</we:customFunctionIds>
        <we:customFunctionIds>_xldudf_ALPHAVANTAGE_COMPANYFILINGS</we:customFunctionIds>
        <we:customFunctionIds>_xldudf_ALPHAVANTAGE_LISTINGSTATUS</we:customFunctionIds>
        <we:customFunctionIds>_xldudf_ALPHAVANTAGE_EARNINGSCALENDAR</we:customFunctionIds>
        <we:customFunctionIds>_xldudf_ALPHAVANTAGE_ECONOMICINDICATOR</we:customFunctionIds>
        <we:customFunctionIds>_xldudf_ALPHAVANTAGE_TREASURYYIELD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3889E-47F7-E641-9FC7-1CBF49DF9C8A}">
  <dimension ref="A2:E50"/>
  <sheetViews>
    <sheetView topLeftCell="A37" zoomScale="150" workbookViewId="0">
      <selection activeCell="C48" sqref="C48"/>
    </sheetView>
  </sheetViews>
  <sheetFormatPr baseColWidth="10" defaultRowHeight="16" x14ac:dyDescent="0.2"/>
  <cols>
    <col min="1" max="1" width="10.83203125" style="1"/>
    <col min="2" max="2" width="19.5" style="1" customWidth="1"/>
    <col min="3" max="3" width="12.6640625" style="1" bestFit="1" customWidth="1"/>
    <col min="4" max="16384" width="10.83203125" style="1"/>
  </cols>
  <sheetData>
    <row r="2" spans="2:5" x14ac:dyDescent="0.2">
      <c r="B2" s="1" t="s">
        <v>2</v>
      </c>
      <c r="C2" s="36"/>
    </row>
    <row r="3" spans="2:5" x14ac:dyDescent="0.2">
      <c r="B3" s="1" t="s">
        <v>85</v>
      </c>
      <c r="C3" s="35">
        <f ca="1">[1]Sheet1!$C$4</f>
        <v>103.45</v>
      </c>
    </row>
    <row r="4" spans="2:5" x14ac:dyDescent="0.2">
      <c r="E4" s="93"/>
    </row>
    <row r="6" spans="2:5" x14ac:dyDescent="0.2">
      <c r="E6" s="35"/>
    </row>
    <row r="7" spans="2:5" x14ac:dyDescent="0.2">
      <c r="B7" s="1" t="s">
        <v>3</v>
      </c>
      <c r="C7" s="1" t="s">
        <v>111</v>
      </c>
    </row>
    <row r="10" spans="2:5" x14ac:dyDescent="0.2">
      <c r="C10" s="93"/>
    </row>
    <row r="11" spans="2:5" x14ac:dyDescent="0.2">
      <c r="B11" s="1" t="s">
        <v>174</v>
      </c>
      <c r="C11" s="93" t="e">
        <f ca="1">$C$3/'Statement Q'!$N$22</f>
        <v>#DIV/0!</v>
      </c>
    </row>
    <row r="12" spans="2:5" x14ac:dyDescent="0.2">
      <c r="B12" s="1" t="s">
        <v>370</v>
      </c>
      <c r="C12" s="93" t="e">
        <f ca="1">$C$3/Statements!S20</f>
        <v>#DIV/0!</v>
      </c>
    </row>
    <row r="13" spans="2:5" x14ac:dyDescent="0.2">
      <c r="B13" s="1" t="s">
        <v>175</v>
      </c>
      <c r="C13" s="101" t="e">
        <f ca="1">$C$3/('Statement Q'!$N$5/'Statement Q'!$N$20)</f>
        <v>#DIV/0!</v>
      </c>
    </row>
    <row r="15" spans="2:5" x14ac:dyDescent="0.2">
      <c r="B15" s="1" t="s">
        <v>325</v>
      </c>
      <c r="C15" s="20">
        <f ca="1">C3*'Statement Q'!N116</f>
        <v>0</v>
      </c>
    </row>
    <row r="16" spans="2:5" x14ac:dyDescent="0.2">
      <c r="B16" s="1" t="s">
        <v>326</v>
      </c>
      <c r="C16" s="20">
        <f>Statements!S23</f>
        <v>0</v>
      </c>
    </row>
    <row r="17" spans="1:4" x14ac:dyDescent="0.2">
      <c r="B17" s="1" t="s">
        <v>302</v>
      </c>
      <c r="C17" s="20">
        <f>'Statement Q'!N47</f>
        <v>0</v>
      </c>
    </row>
    <row r="18" spans="1:4" x14ac:dyDescent="0.2">
      <c r="B18" s="1" t="s">
        <v>327</v>
      </c>
      <c r="C18" s="20">
        <f ca="1">C15+C17-C16</f>
        <v>0</v>
      </c>
    </row>
    <row r="19" spans="1:4" x14ac:dyDescent="0.2">
      <c r="B19" s="1" t="s">
        <v>328</v>
      </c>
      <c r="C19" s="93" t="e">
        <f>C16/'Statement Q'!J116</f>
        <v>#DIV/0!</v>
      </c>
    </row>
    <row r="21" spans="1:4" x14ac:dyDescent="0.2">
      <c r="B21" s="1" t="s">
        <v>371</v>
      </c>
      <c r="C21" s="201">
        <f>_xlfn.RRI(5,Statements!C5,Statements!H5)</f>
        <v>0</v>
      </c>
      <c r="D21" s="201"/>
    </row>
    <row r="22" spans="1:4" x14ac:dyDescent="0.2">
      <c r="B22" s="1" t="s">
        <v>373</v>
      </c>
      <c r="C22" s="201" t="e">
        <f>(Statements!H18-Statements!C18)/ABS(Statements!C18)</f>
        <v>#DIV/0!</v>
      </c>
    </row>
    <row r="23" spans="1:4" x14ac:dyDescent="0.2">
      <c r="B23" s="1" t="s">
        <v>372</v>
      </c>
      <c r="C23" s="201" t="e">
        <f>(Statements!H20-Statements!C20)/ABS(Statements!C20)</f>
        <v>#DIV/0!</v>
      </c>
    </row>
    <row r="28" spans="1:4" x14ac:dyDescent="0.2">
      <c r="B28" s="1" t="s">
        <v>391</v>
      </c>
    </row>
    <row r="29" spans="1:4" x14ac:dyDescent="0.2">
      <c r="A29"/>
      <c r="B29" s="1" t="s">
        <v>392</v>
      </c>
    </row>
    <row r="30" spans="1:4" x14ac:dyDescent="0.2">
      <c r="B30" s="1" t="s">
        <v>393</v>
      </c>
    </row>
    <row r="31" spans="1:4" x14ac:dyDescent="0.2">
      <c r="B31" s="1" t="s">
        <v>397</v>
      </c>
    </row>
    <row r="33" spans="2:4" x14ac:dyDescent="0.2">
      <c r="B33" s="1" t="s">
        <v>394</v>
      </c>
      <c r="C33" s="20"/>
    </row>
    <row r="34" spans="2:4" x14ac:dyDescent="0.2">
      <c r="B34" s="1" t="s">
        <v>395</v>
      </c>
      <c r="C34" s="20">
        <f>'Statement Y'!H113</f>
        <v>0</v>
      </c>
    </row>
    <row r="35" spans="2:4" x14ac:dyDescent="0.2">
      <c r="B35" s="1" t="s">
        <v>396</v>
      </c>
      <c r="C35" s="201" t="e">
        <f>C33/C34</f>
        <v>#DIV/0!</v>
      </c>
    </row>
    <row r="37" spans="2:4" x14ac:dyDescent="0.2">
      <c r="B37" s="1" t="s">
        <v>398</v>
      </c>
    </row>
    <row r="38" spans="2:4" x14ac:dyDescent="0.2">
      <c r="B38" s="1" t="s">
        <v>399</v>
      </c>
    </row>
    <row r="39" spans="2:4" x14ac:dyDescent="0.2">
      <c r="B39" s="1" t="s">
        <v>400</v>
      </c>
    </row>
    <row r="40" spans="2:4" x14ac:dyDescent="0.2">
      <c r="B40" s="1" t="s">
        <v>401</v>
      </c>
    </row>
    <row r="41" spans="2:4" x14ac:dyDescent="0.2">
      <c r="B41" s="1" t="s">
        <v>402</v>
      </c>
    </row>
    <row r="42" spans="2:4" x14ac:dyDescent="0.2">
      <c r="B42" s="1" t="s">
        <v>405</v>
      </c>
    </row>
    <row r="44" spans="2:4" x14ac:dyDescent="0.2">
      <c r="B44" s="1" t="s">
        <v>276</v>
      </c>
      <c r="C44" s="20" t="e">
        <f>Statements!S12*(1-'Statement Y'!G117)</f>
        <v>#DIV/0!</v>
      </c>
    </row>
    <row r="45" spans="2:4" x14ac:dyDescent="0.2">
      <c r="B45" s="1" t="s">
        <v>302</v>
      </c>
      <c r="C45" s="20"/>
    </row>
    <row r="46" spans="2:4" x14ac:dyDescent="0.2">
      <c r="B46" s="1" t="s">
        <v>312</v>
      </c>
      <c r="C46" s="20"/>
    </row>
    <row r="47" spans="2:4" x14ac:dyDescent="0.2">
      <c r="B47" s="1" t="s">
        <v>326</v>
      </c>
      <c r="C47" s="20"/>
      <c r="D47" s="20"/>
    </row>
    <row r="48" spans="2:4" x14ac:dyDescent="0.2">
      <c r="B48" s="1" t="s">
        <v>403</v>
      </c>
      <c r="C48" s="201" t="e">
        <f>C44/(C45+C46-C47)</f>
        <v>#DIV/0!</v>
      </c>
      <c r="D48" s="201"/>
    </row>
    <row r="50" spans="3:3" x14ac:dyDescent="0.2">
      <c r="C50" s="107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EFE8-3E86-A649-A28D-447725FB52AC}">
  <sheetPr>
    <tabColor theme="6" tint="0.59999389629810485"/>
  </sheetPr>
  <dimension ref="B13"/>
  <sheetViews>
    <sheetView workbookViewId="0">
      <selection activeCell="B13" sqref="B13"/>
    </sheetView>
  </sheetViews>
  <sheetFormatPr baseColWidth="10" defaultRowHeight="16" x14ac:dyDescent="0.2"/>
  <cols>
    <col min="1" max="16384" width="10.83203125" style="1"/>
  </cols>
  <sheetData>
    <row r="13" spans="2:2" s="103" customFormat="1" ht="49" x14ac:dyDescent="0.2">
      <c r="B13" s="105" t="s">
        <v>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B172E-7ADE-4B4A-B533-F037BCFCDCB0}">
  <dimension ref="A1:L149"/>
  <sheetViews>
    <sheetView zoomScale="184" zoomScaleNormal="150" workbookViewId="0">
      <pane xSplit="2" ySplit="3" topLeftCell="C147" activePane="bottomRight" state="frozen"/>
      <selection pane="topRight" activeCell="C1" sqref="C1"/>
      <selection pane="bottomLeft" activeCell="A4" sqref="A4"/>
      <selection pane="bottomRight" activeCell="D155" sqref="D155"/>
    </sheetView>
  </sheetViews>
  <sheetFormatPr baseColWidth="10" defaultRowHeight="16" outlineLevelRow="2" outlineLevelCol="1" x14ac:dyDescent="0.2"/>
  <cols>
    <col min="1" max="1" width="3.6640625" style="1" customWidth="1"/>
    <col min="2" max="2" width="32.5" style="9" customWidth="1"/>
    <col min="3" max="4" width="12" style="1" customWidth="1" outlineLevel="1"/>
    <col min="5" max="5" width="10.83203125" style="1" customWidth="1" outlineLevel="1"/>
    <col min="6" max="6" width="12" style="1" customWidth="1" outlineLevel="1"/>
    <col min="7" max="7" width="10.83203125" style="1" customWidth="1" outlineLevel="1"/>
    <col min="8" max="10" width="10.83203125" style="1" customWidth="1"/>
    <col min="11" max="16384" width="10.83203125" style="1"/>
  </cols>
  <sheetData>
    <row r="1" spans="1:12" x14ac:dyDescent="0.2">
      <c r="B1" s="1"/>
    </row>
    <row r="2" spans="1:12" s="3" customFormat="1" x14ac:dyDescent="0.2">
      <c r="A2" s="2"/>
      <c r="B2" s="61" t="s">
        <v>0</v>
      </c>
      <c r="C2" s="3" t="s">
        <v>107</v>
      </c>
      <c r="D2" s="3" t="s">
        <v>106</v>
      </c>
      <c r="E2" s="3" t="s">
        <v>210</v>
      </c>
      <c r="F2" s="3" t="s">
        <v>135</v>
      </c>
      <c r="G2" s="3" t="s">
        <v>140</v>
      </c>
      <c r="H2" s="3" t="s">
        <v>329</v>
      </c>
    </row>
    <row r="3" spans="1:12" s="5" customFormat="1" x14ac:dyDescent="0.2">
      <c r="A3" s="4"/>
      <c r="B3" s="62" t="s">
        <v>1</v>
      </c>
      <c r="C3" s="5">
        <v>2020</v>
      </c>
      <c r="D3" s="5">
        <f>C3+1</f>
        <v>2021</v>
      </c>
      <c r="E3" s="5">
        <f t="shared" ref="E3:L3" si="0">D3+1</f>
        <v>2022</v>
      </c>
      <c r="F3" s="5">
        <f t="shared" si="0"/>
        <v>2023</v>
      </c>
      <c r="G3" s="5">
        <f t="shared" si="0"/>
        <v>2024</v>
      </c>
      <c r="H3" s="5">
        <f t="shared" si="0"/>
        <v>2025</v>
      </c>
      <c r="I3" s="5">
        <f t="shared" si="0"/>
        <v>2026</v>
      </c>
      <c r="J3" s="5">
        <f t="shared" si="0"/>
        <v>2027</v>
      </c>
      <c r="K3" s="5">
        <f t="shared" si="0"/>
        <v>2028</v>
      </c>
      <c r="L3" s="5">
        <f t="shared" si="0"/>
        <v>2029</v>
      </c>
    </row>
    <row r="4" spans="1:12" s="14" customFormat="1" ht="17" thickBot="1" x14ac:dyDescent="0.25">
      <c r="A4" s="4"/>
      <c r="B4" s="15" t="s">
        <v>5</v>
      </c>
    </row>
    <row r="5" spans="1:12" s="53" customFormat="1" outlineLevel="1" x14ac:dyDescent="0.2">
      <c r="A5" s="7"/>
      <c r="B5" s="17" t="s">
        <v>6</v>
      </c>
      <c r="C5" s="51"/>
      <c r="D5" s="51"/>
      <c r="E5" s="51"/>
      <c r="F5" s="51"/>
      <c r="G5" s="51"/>
      <c r="H5" s="51"/>
      <c r="I5" s="51"/>
      <c r="J5" s="51"/>
      <c r="K5" s="51"/>
      <c r="L5" s="51"/>
    </row>
    <row r="6" spans="1:12" outlineLevel="1" x14ac:dyDescent="0.2">
      <c r="B6" s="9" t="s">
        <v>7</v>
      </c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2" s="53" customFormat="1" outlineLevel="1" x14ac:dyDescent="0.2">
      <c r="A7" s="7"/>
      <c r="B7" s="17" t="s">
        <v>8</v>
      </c>
      <c r="C7" s="54">
        <f t="shared" ref="C7:L7" si="1">C5-C6</f>
        <v>0</v>
      </c>
      <c r="D7" s="54">
        <f t="shared" si="1"/>
        <v>0</v>
      </c>
      <c r="E7" s="54">
        <f>E5-E6</f>
        <v>0</v>
      </c>
      <c r="F7" s="54">
        <f t="shared" si="1"/>
        <v>0</v>
      </c>
      <c r="G7" s="54">
        <f t="shared" si="1"/>
        <v>0</v>
      </c>
      <c r="H7" s="54">
        <f t="shared" si="1"/>
        <v>0</v>
      </c>
      <c r="I7" s="54">
        <f t="shared" si="1"/>
        <v>0</v>
      </c>
      <c r="J7" s="54">
        <f t="shared" si="1"/>
        <v>0</v>
      </c>
      <c r="K7" s="54">
        <f t="shared" si="1"/>
        <v>0</v>
      </c>
      <c r="L7" s="54">
        <f t="shared" si="1"/>
        <v>0</v>
      </c>
    </row>
    <row r="8" spans="1:12" outlineLevel="1" x14ac:dyDescent="0.2">
      <c r="B8" s="9" t="s">
        <v>9</v>
      </c>
      <c r="C8" s="27"/>
      <c r="D8" s="27"/>
      <c r="E8" s="27"/>
      <c r="F8" s="27"/>
      <c r="G8" s="27"/>
      <c r="H8" s="27"/>
      <c r="I8" s="27"/>
      <c r="J8" s="27"/>
      <c r="K8" s="27"/>
      <c r="L8" s="27"/>
    </row>
    <row r="9" spans="1:12" s="8" customFormat="1" outlineLevel="1" x14ac:dyDescent="0.2">
      <c r="B9" s="12" t="s">
        <v>108</v>
      </c>
      <c r="C9" s="27"/>
      <c r="D9" s="27"/>
      <c r="E9" s="27"/>
      <c r="F9" s="27"/>
      <c r="G9" s="27"/>
      <c r="H9" s="27"/>
      <c r="I9" s="27"/>
      <c r="J9" s="27"/>
      <c r="K9" s="27"/>
      <c r="L9" s="27"/>
    </row>
    <row r="10" spans="1:12" outlineLevel="1" x14ac:dyDescent="0.2">
      <c r="B10" s="12" t="s">
        <v>109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12" outlineLevel="1" x14ac:dyDescent="0.2">
      <c r="B11" s="12" t="s">
        <v>11</v>
      </c>
      <c r="C11" s="20">
        <f t="shared" ref="C11:L11" si="2">SUM(C8:C10)</f>
        <v>0</v>
      </c>
      <c r="D11" s="20">
        <f t="shared" si="2"/>
        <v>0</v>
      </c>
      <c r="E11" s="20">
        <f t="shared" si="2"/>
        <v>0</v>
      </c>
      <c r="F11" s="20">
        <f t="shared" si="2"/>
        <v>0</v>
      </c>
      <c r="G11" s="20">
        <f t="shared" si="2"/>
        <v>0</v>
      </c>
      <c r="H11" s="20">
        <f t="shared" si="2"/>
        <v>0</v>
      </c>
      <c r="I11" s="20">
        <f t="shared" si="2"/>
        <v>0</v>
      </c>
      <c r="J11" s="20">
        <f t="shared" si="2"/>
        <v>0</v>
      </c>
      <c r="K11" s="20">
        <f t="shared" si="2"/>
        <v>0</v>
      </c>
      <c r="L11" s="20">
        <f t="shared" si="2"/>
        <v>0</v>
      </c>
    </row>
    <row r="12" spans="1:12" s="53" customFormat="1" outlineLevel="1" x14ac:dyDescent="0.2">
      <c r="A12" s="7"/>
      <c r="B12" s="17" t="s">
        <v>12</v>
      </c>
      <c r="C12" s="51"/>
      <c r="D12" s="51"/>
      <c r="E12" s="51"/>
      <c r="F12" s="51"/>
      <c r="G12" s="51"/>
      <c r="H12" s="51"/>
      <c r="I12" s="51"/>
      <c r="J12" s="51"/>
      <c r="K12" s="51"/>
      <c r="L12" s="51"/>
    </row>
    <row r="13" spans="1:12" outlineLevel="1" x14ac:dyDescent="0.2">
      <c r="B13" s="12" t="s">
        <v>110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</row>
    <row r="14" spans="1:12" outlineLevel="1" x14ac:dyDescent="0.2">
      <c r="B14" s="12" t="s">
        <v>130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</row>
    <row r="15" spans="1:12" outlineLevel="1" x14ac:dyDescent="0.2">
      <c r="B15" s="12" t="s">
        <v>131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</row>
    <row r="16" spans="1:12" s="53" customFormat="1" outlineLevel="1" x14ac:dyDescent="0.2">
      <c r="A16" s="7"/>
      <c r="B16" s="17" t="s">
        <v>13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</row>
    <row r="17" spans="1:12" outlineLevel="1" x14ac:dyDescent="0.2">
      <c r="B17" s="12" t="s">
        <v>83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</row>
    <row r="18" spans="1:12" s="53" customFormat="1" outlineLevel="1" x14ac:dyDescent="0.2">
      <c r="A18" s="7"/>
      <c r="B18" s="17" t="s">
        <v>14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</row>
    <row r="19" spans="1:12" outlineLevel="1" x14ac:dyDescent="0.2">
      <c r="B19" s="12" t="s">
        <v>15</v>
      </c>
      <c r="C19" s="27"/>
      <c r="D19" s="27"/>
      <c r="E19" s="27"/>
      <c r="F19" s="27"/>
      <c r="G19" s="27"/>
      <c r="H19" s="34"/>
      <c r="I19" s="27"/>
      <c r="J19" s="27"/>
      <c r="K19" s="27"/>
      <c r="L19" s="27"/>
    </row>
    <row r="20" spans="1:12" outlineLevel="1" x14ac:dyDescent="0.2">
      <c r="B20" s="12" t="s">
        <v>16</v>
      </c>
      <c r="C20" s="27"/>
      <c r="D20" s="27"/>
      <c r="E20" s="27"/>
      <c r="F20" s="27"/>
      <c r="G20" s="27"/>
      <c r="H20" s="34"/>
      <c r="I20" s="27"/>
      <c r="J20" s="27"/>
      <c r="K20" s="27"/>
      <c r="L20" s="27"/>
    </row>
    <row r="21" spans="1:12" outlineLevel="1" x14ac:dyDescent="0.2">
      <c r="B21" s="12" t="s">
        <v>17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</row>
    <row r="22" spans="1:12" s="16" customFormat="1" ht="17" outlineLevel="1" thickBot="1" x14ac:dyDescent="0.25">
      <c r="A22" s="1"/>
      <c r="B22" s="10" t="s">
        <v>18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</row>
    <row r="23" spans="1:12" s="16" customFormat="1" ht="17" thickBot="1" x14ac:dyDescent="0.25">
      <c r="A23" s="1"/>
      <c r="B23" s="6"/>
      <c r="F23" s="6"/>
      <c r="G23" s="6"/>
      <c r="H23" s="6"/>
      <c r="I23" s="6"/>
      <c r="J23" s="6"/>
      <c r="K23" s="6"/>
      <c r="L23" s="6"/>
    </row>
    <row r="24" spans="1:12" s="14" customFormat="1" ht="17" thickBot="1" x14ac:dyDescent="0.25">
      <c r="A24" s="4"/>
      <c r="B24" s="15" t="s">
        <v>19</v>
      </c>
    </row>
    <row r="25" spans="1:12" outlineLevel="1" x14ac:dyDescent="0.2">
      <c r="B25" s="9" t="s">
        <v>20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</row>
    <row r="26" spans="1:12" outlineLevel="1" x14ac:dyDescent="0.2">
      <c r="B26" s="9" t="s">
        <v>141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</row>
    <row r="27" spans="1:12" outlineLevel="1" x14ac:dyDescent="0.2">
      <c r="B27" s="9" t="s">
        <v>21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spans="1:12" outlineLevel="1" x14ac:dyDescent="0.2">
      <c r="B28" s="9" t="s">
        <v>112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12" outlineLevel="1" x14ac:dyDescent="0.2">
      <c r="B29" s="9" t="s">
        <v>150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</row>
    <row r="30" spans="1:12" outlineLevel="1" x14ac:dyDescent="0.2">
      <c r="B30" s="9" t="s">
        <v>132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</row>
    <row r="31" spans="1:12" s="52" customFormat="1" outlineLevel="1" x14ac:dyDescent="0.2">
      <c r="A31" s="7"/>
      <c r="B31" s="11" t="s">
        <v>22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</row>
    <row r="32" spans="1:12" outlineLevel="1" x14ac:dyDescent="0.2">
      <c r="B32" s="9" t="s">
        <v>24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</row>
    <row r="33" spans="1:12" outlineLevel="1" x14ac:dyDescent="0.2">
      <c r="B33" s="9" t="s">
        <v>25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</row>
    <row r="34" spans="1:12" outlineLevel="1" x14ac:dyDescent="0.2">
      <c r="B34" s="9" t="s">
        <v>133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</row>
    <row r="35" spans="1:12" outlineLevel="1" x14ac:dyDescent="0.2">
      <c r="B35" s="9" t="s">
        <v>114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</row>
    <row r="36" spans="1:12" outlineLevel="1" x14ac:dyDescent="0.2">
      <c r="B36" s="9" t="s">
        <v>142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</row>
    <row r="37" spans="1:12" outlineLevel="1" x14ac:dyDescent="0.2">
      <c r="B37" s="9" t="s">
        <v>23</v>
      </c>
      <c r="C37" s="27"/>
      <c r="D37" s="27"/>
      <c r="E37" s="27"/>
      <c r="F37" s="27"/>
      <c r="G37" s="27"/>
      <c r="H37" s="27"/>
      <c r="I37" s="27"/>
      <c r="J37" s="27"/>
      <c r="K37" s="27"/>
      <c r="L37" s="27"/>
    </row>
    <row r="38" spans="1:12" outlineLevel="1" x14ac:dyDescent="0.2">
      <c r="B38" s="9" t="s">
        <v>38</v>
      </c>
      <c r="C38" s="27"/>
      <c r="D38" s="27"/>
      <c r="E38" s="27"/>
      <c r="F38" s="27"/>
      <c r="G38" s="27"/>
      <c r="H38" s="27"/>
      <c r="I38" s="27"/>
      <c r="J38" s="27"/>
      <c r="K38" s="27"/>
      <c r="L38" s="27"/>
    </row>
    <row r="39" spans="1:12" outlineLevel="1" x14ac:dyDescent="0.2">
      <c r="B39" s="9" t="s">
        <v>26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</row>
    <row r="40" spans="1:12" s="52" customFormat="1" outlineLevel="1" x14ac:dyDescent="0.2">
      <c r="A40" s="7"/>
      <c r="B40" s="11" t="s">
        <v>27</v>
      </c>
      <c r="C40" s="56">
        <f t="shared" ref="C40:L40" si="3">SUM(C32:C39)</f>
        <v>0</v>
      </c>
      <c r="D40" s="56">
        <f t="shared" si="3"/>
        <v>0</v>
      </c>
      <c r="E40" s="56">
        <f t="shared" si="3"/>
        <v>0</v>
      </c>
      <c r="F40" s="56">
        <f t="shared" si="3"/>
        <v>0</v>
      </c>
      <c r="G40" s="56">
        <f t="shared" si="3"/>
        <v>0</v>
      </c>
      <c r="H40" s="56">
        <f t="shared" si="3"/>
        <v>0</v>
      </c>
      <c r="I40" s="56">
        <f t="shared" si="3"/>
        <v>0</v>
      </c>
      <c r="J40" s="56">
        <f t="shared" si="3"/>
        <v>0</v>
      </c>
      <c r="K40" s="56">
        <f t="shared" si="3"/>
        <v>0</v>
      </c>
      <c r="L40" s="56">
        <f t="shared" si="3"/>
        <v>0</v>
      </c>
    </row>
    <row r="41" spans="1:12" s="53" customFormat="1" outlineLevel="1" x14ac:dyDescent="0.2">
      <c r="A41" s="7"/>
      <c r="B41" s="17" t="s">
        <v>28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</row>
    <row r="42" spans="1:12" outlineLevel="1" x14ac:dyDescent="0.2">
      <c r="B42" s="9" t="s">
        <v>29</v>
      </c>
      <c r="C42" s="27"/>
      <c r="D42" s="27"/>
      <c r="E42" s="27"/>
      <c r="F42" s="27"/>
      <c r="G42" s="27"/>
      <c r="H42" s="27"/>
      <c r="I42" s="27"/>
      <c r="J42" s="27"/>
      <c r="K42" s="27"/>
      <c r="L42" s="27"/>
    </row>
    <row r="43" spans="1:12" outlineLevel="1" x14ac:dyDescent="0.2">
      <c r="B43" s="9" t="s">
        <v>115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</row>
    <row r="44" spans="1:12" outlineLevel="1" x14ac:dyDescent="0.2">
      <c r="B44" s="9" t="s">
        <v>37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</row>
    <row r="45" spans="1:12" outlineLevel="1" x14ac:dyDescent="0.2">
      <c r="B45" s="9" t="s">
        <v>116</v>
      </c>
      <c r="C45" s="27"/>
      <c r="D45" s="27"/>
      <c r="E45" s="27"/>
      <c r="F45" s="27"/>
      <c r="G45" s="27"/>
      <c r="H45" s="27"/>
      <c r="I45" s="27"/>
      <c r="J45" s="27"/>
      <c r="K45" s="27"/>
      <c r="L45" s="27"/>
    </row>
    <row r="46" spans="1:12" s="52" customFormat="1" outlineLevel="1" x14ac:dyDescent="0.2">
      <c r="A46" s="7"/>
      <c r="B46" s="11" t="s">
        <v>32</v>
      </c>
      <c r="C46" s="55"/>
      <c r="D46" s="55"/>
      <c r="E46" s="55"/>
      <c r="F46" s="55"/>
      <c r="G46" s="55"/>
      <c r="H46" s="55"/>
      <c r="I46" s="55"/>
      <c r="J46" s="55"/>
      <c r="K46" s="55"/>
      <c r="L46" s="55"/>
    </row>
    <row r="47" spans="1:12" outlineLevel="1" x14ac:dyDescent="0.2">
      <c r="B47" s="9" t="s">
        <v>117</v>
      </c>
      <c r="C47" s="27"/>
      <c r="D47" s="27"/>
      <c r="E47" s="27"/>
      <c r="F47" s="27"/>
      <c r="G47" s="27"/>
      <c r="H47" s="27"/>
      <c r="I47" s="27"/>
      <c r="J47" s="27"/>
      <c r="K47" s="27"/>
      <c r="L47" s="27"/>
    </row>
    <row r="48" spans="1:12" outlineLevel="1" x14ac:dyDescent="0.2">
      <c r="B48" s="9" t="s">
        <v>143</v>
      </c>
      <c r="C48" s="27"/>
      <c r="D48" s="27"/>
      <c r="E48" s="27"/>
      <c r="F48" s="27"/>
      <c r="G48" s="27"/>
      <c r="H48" s="27"/>
      <c r="I48" s="27"/>
      <c r="J48" s="27"/>
      <c r="K48" s="27"/>
      <c r="L48" s="27"/>
    </row>
    <row r="49" spans="1:12" s="52" customFormat="1" outlineLevel="1" x14ac:dyDescent="0.2">
      <c r="A49" s="7"/>
      <c r="B49" s="11" t="s">
        <v>30</v>
      </c>
      <c r="C49" s="56">
        <f>SUM(C47:C48)</f>
        <v>0</v>
      </c>
      <c r="D49" s="56">
        <f t="shared" ref="D49:H49" si="4">SUM(D47:D48)</f>
        <v>0</v>
      </c>
      <c r="E49" s="56">
        <f t="shared" si="4"/>
        <v>0</v>
      </c>
      <c r="F49" s="56">
        <f t="shared" si="4"/>
        <v>0</v>
      </c>
      <c r="G49" s="56">
        <f t="shared" si="4"/>
        <v>0</v>
      </c>
      <c r="H49" s="56">
        <f t="shared" si="4"/>
        <v>0</v>
      </c>
      <c r="I49" s="56">
        <f t="shared" ref="I49" si="5">SUM(I47:I48)</f>
        <v>0</v>
      </c>
      <c r="J49" s="56">
        <f t="shared" ref="J49" si="6">SUM(J47:J48)</f>
        <v>0</v>
      </c>
      <c r="K49" s="56">
        <f t="shared" ref="K49" si="7">SUM(K47:K48)</f>
        <v>0</v>
      </c>
      <c r="L49" s="56">
        <f t="shared" ref="L49" si="8">SUM(L47:L48)</f>
        <v>0</v>
      </c>
    </row>
    <row r="50" spans="1:12" s="53" customFormat="1" outlineLevel="1" x14ac:dyDescent="0.2">
      <c r="A50" s="7"/>
      <c r="B50" s="17" t="s">
        <v>31</v>
      </c>
      <c r="C50" s="51"/>
      <c r="D50" s="51"/>
      <c r="E50" s="51"/>
      <c r="F50" s="51"/>
      <c r="G50" s="51"/>
      <c r="H50" s="51"/>
      <c r="I50" s="51"/>
      <c r="J50" s="51"/>
      <c r="K50" s="51"/>
      <c r="L50" s="51"/>
    </row>
    <row r="51" spans="1:12" outlineLevel="1" x14ac:dyDescent="0.2">
      <c r="B51" s="9" t="s">
        <v>33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</row>
    <row r="52" spans="1:12" outlineLevel="1" x14ac:dyDescent="0.2">
      <c r="B52" s="9" t="s">
        <v>118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</row>
    <row r="53" spans="1:12" outlineLevel="1" x14ac:dyDescent="0.2">
      <c r="B53" s="9" t="s">
        <v>34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</row>
    <row r="54" spans="1:12" s="52" customFormat="1" outlineLevel="1" x14ac:dyDescent="0.2">
      <c r="A54" s="7"/>
      <c r="B54" s="11" t="s">
        <v>35</v>
      </c>
      <c r="C54" s="55"/>
      <c r="D54" s="55"/>
      <c r="E54" s="55"/>
      <c r="F54" s="55"/>
      <c r="G54" s="55"/>
      <c r="H54" s="55"/>
      <c r="I54" s="55"/>
      <c r="J54" s="55"/>
      <c r="K54" s="55"/>
      <c r="L54" s="55"/>
    </row>
    <row r="55" spans="1:12" s="57" customFormat="1" ht="17" outlineLevel="1" thickBot="1" x14ac:dyDescent="0.25">
      <c r="A55" s="7"/>
      <c r="B55" s="19" t="s">
        <v>36</v>
      </c>
      <c r="C55" s="58"/>
      <c r="D55" s="58"/>
      <c r="E55" s="58"/>
      <c r="F55" s="58"/>
      <c r="G55" s="58"/>
      <c r="H55" s="58"/>
      <c r="I55" s="58"/>
      <c r="J55" s="58"/>
      <c r="K55" s="58"/>
      <c r="L55" s="58"/>
    </row>
    <row r="56" spans="1:12" x14ac:dyDescent="0.2">
      <c r="B56" s="1"/>
    </row>
    <row r="57" spans="1:12" s="14" customFormat="1" ht="17" thickBot="1" x14ac:dyDescent="0.25">
      <c r="A57" s="4"/>
      <c r="B57" s="15" t="s">
        <v>39</v>
      </c>
    </row>
    <row r="58" spans="1:12" outlineLevel="1" x14ac:dyDescent="0.2">
      <c r="B58" s="9" t="s">
        <v>14</v>
      </c>
      <c r="C58" s="20">
        <f t="shared" ref="C58:L58" si="9">C18</f>
        <v>0</v>
      </c>
      <c r="D58" s="20">
        <f t="shared" si="9"/>
        <v>0</v>
      </c>
      <c r="E58" s="20">
        <f t="shared" si="9"/>
        <v>0</v>
      </c>
      <c r="F58" s="20">
        <f t="shared" si="9"/>
        <v>0</v>
      </c>
      <c r="G58" s="20">
        <f t="shared" si="9"/>
        <v>0</v>
      </c>
      <c r="H58" s="20">
        <f t="shared" si="9"/>
        <v>0</v>
      </c>
      <c r="I58" s="20">
        <f t="shared" si="9"/>
        <v>0</v>
      </c>
      <c r="J58" s="20">
        <f t="shared" si="9"/>
        <v>0</v>
      </c>
      <c r="K58" s="20">
        <f t="shared" si="9"/>
        <v>0</v>
      </c>
      <c r="L58" s="20">
        <f t="shared" si="9"/>
        <v>0</v>
      </c>
    </row>
    <row r="59" spans="1:12" outlineLevel="1" x14ac:dyDescent="0.2">
      <c r="B59" s="9" t="s">
        <v>40</v>
      </c>
      <c r="C59" s="27"/>
      <c r="D59" s="27"/>
      <c r="E59" s="27"/>
      <c r="F59" s="27"/>
      <c r="G59" s="27"/>
      <c r="H59" s="27"/>
      <c r="I59" s="27"/>
      <c r="J59" s="27"/>
      <c r="K59" s="27"/>
      <c r="L59" s="27"/>
    </row>
    <row r="60" spans="1:12" outlineLevel="1" x14ac:dyDescent="0.2">
      <c r="B60" s="9" t="s">
        <v>156</v>
      </c>
      <c r="C60" s="27"/>
      <c r="D60" s="27"/>
      <c r="E60" s="27"/>
      <c r="F60" s="27"/>
      <c r="G60" s="27"/>
      <c r="H60" s="27"/>
      <c r="I60" s="27"/>
      <c r="J60" s="27"/>
      <c r="K60" s="27"/>
      <c r="L60" s="27"/>
    </row>
    <row r="61" spans="1:12" outlineLevel="1" x14ac:dyDescent="0.2">
      <c r="B61" s="12" t="s">
        <v>119</v>
      </c>
      <c r="C61" s="27"/>
      <c r="D61" s="27"/>
      <c r="E61" s="27"/>
      <c r="F61" s="27"/>
      <c r="G61" s="27"/>
      <c r="H61" s="27"/>
      <c r="I61" s="27"/>
      <c r="J61" s="27"/>
      <c r="K61" s="27"/>
      <c r="L61" s="27"/>
    </row>
    <row r="62" spans="1:12" outlineLevel="1" x14ac:dyDescent="0.2">
      <c r="B62" s="12" t="s">
        <v>144</v>
      </c>
      <c r="C62" s="27"/>
      <c r="D62" s="27"/>
      <c r="E62" s="27"/>
      <c r="F62" s="27"/>
      <c r="G62" s="27"/>
      <c r="H62" s="27"/>
      <c r="I62" s="27"/>
      <c r="J62" s="27"/>
      <c r="K62" s="27"/>
      <c r="L62" s="27"/>
    </row>
    <row r="63" spans="1:12" outlineLevel="1" x14ac:dyDescent="0.2">
      <c r="B63" s="12" t="s">
        <v>136</v>
      </c>
      <c r="C63" s="27"/>
      <c r="D63" s="27"/>
      <c r="E63" s="27"/>
      <c r="F63" s="27"/>
      <c r="G63" s="27"/>
      <c r="H63" s="27"/>
      <c r="I63" s="27"/>
      <c r="J63" s="27"/>
      <c r="K63" s="27"/>
      <c r="L63" s="27"/>
    </row>
    <row r="64" spans="1:12" outlineLevel="1" x14ac:dyDescent="0.2">
      <c r="B64" s="12" t="s">
        <v>137</v>
      </c>
      <c r="C64" s="27"/>
      <c r="D64" s="27"/>
      <c r="E64" s="27"/>
      <c r="F64" s="27"/>
      <c r="G64" s="27"/>
      <c r="H64" s="27"/>
      <c r="I64" s="27"/>
      <c r="J64" s="27"/>
      <c r="K64" s="27"/>
      <c r="L64" s="27"/>
    </row>
    <row r="65" spans="1:12" outlineLevel="1" x14ac:dyDescent="0.2">
      <c r="B65" s="12" t="s">
        <v>145</v>
      </c>
      <c r="C65" s="27"/>
      <c r="D65" s="27"/>
      <c r="E65" s="27"/>
      <c r="F65" s="27"/>
      <c r="G65" s="27"/>
      <c r="H65" s="27"/>
      <c r="I65" s="27"/>
      <c r="J65" s="27"/>
      <c r="K65" s="27"/>
      <c r="L65" s="27"/>
    </row>
    <row r="66" spans="1:12" outlineLevel="1" x14ac:dyDescent="0.2">
      <c r="B66" s="9" t="s">
        <v>120</v>
      </c>
      <c r="C66" s="27"/>
      <c r="D66" s="27"/>
      <c r="E66" s="27"/>
      <c r="F66" s="27"/>
      <c r="G66" s="27"/>
      <c r="H66" s="27"/>
      <c r="I66" s="27"/>
      <c r="J66" s="27"/>
      <c r="K66" s="27"/>
      <c r="L66" s="27"/>
    </row>
    <row r="67" spans="1:12" outlineLevel="1" x14ac:dyDescent="0.2">
      <c r="B67" s="9" t="s">
        <v>41</v>
      </c>
      <c r="C67" s="27"/>
      <c r="D67" s="27"/>
      <c r="E67" s="27"/>
      <c r="F67" s="27"/>
      <c r="G67" s="27"/>
      <c r="H67" s="27"/>
      <c r="I67" s="27"/>
      <c r="J67" s="27"/>
      <c r="K67" s="27"/>
      <c r="L67" s="27"/>
    </row>
    <row r="68" spans="1:12" outlineLevel="1" x14ac:dyDescent="0.2">
      <c r="B68" s="9" t="s">
        <v>121</v>
      </c>
      <c r="C68" s="27"/>
      <c r="D68" s="27"/>
      <c r="E68" s="27"/>
      <c r="F68" s="27"/>
      <c r="G68" s="27"/>
      <c r="H68" s="27"/>
      <c r="I68" s="27"/>
      <c r="J68" s="27"/>
      <c r="K68" s="27"/>
      <c r="L68" s="27"/>
    </row>
    <row r="69" spans="1:12" outlineLevel="1" x14ac:dyDescent="0.2">
      <c r="B69" s="9" t="s">
        <v>122</v>
      </c>
      <c r="C69" s="27"/>
      <c r="D69" s="27"/>
      <c r="E69" s="27"/>
      <c r="F69" s="27"/>
      <c r="G69" s="27"/>
      <c r="H69" s="27"/>
      <c r="I69" s="27"/>
      <c r="J69" s="27"/>
      <c r="K69" s="27"/>
      <c r="L69" s="27"/>
    </row>
    <row r="70" spans="1:12" outlineLevel="1" x14ac:dyDescent="0.2">
      <c r="B70" s="9" t="s">
        <v>42</v>
      </c>
      <c r="C70" s="27"/>
      <c r="D70" s="27"/>
      <c r="E70" s="27"/>
      <c r="F70" s="27"/>
      <c r="G70" s="27"/>
      <c r="H70" s="27"/>
      <c r="I70" s="27"/>
      <c r="J70" s="27"/>
      <c r="K70" s="27"/>
      <c r="L70" s="27"/>
    </row>
    <row r="71" spans="1:12" outlineLevel="1" x14ac:dyDescent="0.2">
      <c r="B71" s="9" t="s">
        <v>123</v>
      </c>
      <c r="C71" s="27"/>
      <c r="D71" s="27"/>
      <c r="E71" s="27"/>
      <c r="F71" s="27"/>
      <c r="G71" s="27"/>
      <c r="H71" s="27"/>
      <c r="I71" s="27"/>
      <c r="J71" s="27"/>
      <c r="K71" s="27"/>
      <c r="L71" s="27"/>
    </row>
    <row r="72" spans="1:12" outlineLevel="1" x14ac:dyDescent="0.2">
      <c r="B72" s="9" t="s">
        <v>124</v>
      </c>
      <c r="C72" s="27"/>
      <c r="D72" s="27"/>
      <c r="E72" s="27"/>
      <c r="F72" s="27"/>
      <c r="G72" s="27"/>
      <c r="H72" s="27"/>
      <c r="I72" s="27"/>
      <c r="J72" s="27"/>
      <c r="K72" s="27"/>
      <c r="L72" s="27"/>
    </row>
    <row r="73" spans="1:12" s="53" customFormat="1" outlineLevel="1" x14ac:dyDescent="0.2">
      <c r="A73" s="7"/>
      <c r="B73" s="17" t="s">
        <v>43</v>
      </c>
      <c r="C73" s="51"/>
      <c r="D73" s="51"/>
      <c r="E73" s="51"/>
      <c r="F73" s="51"/>
      <c r="G73" s="51"/>
      <c r="H73" s="51"/>
      <c r="I73" s="51"/>
      <c r="J73" s="51"/>
      <c r="K73" s="51"/>
      <c r="L73" s="51"/>
    </row>
    <row r="74" spans="1:12" outlineLevel="1" x14ac:dyDescent="0.2">
      <c r="B74" s="9" t="s">
        <v>44</v>
      </c>
      <c r="C74" s="27"/>
      <c r="D74" s="27"/>
      <c r="E74" s="27"/>
      <c r="F74" s="27"/>
      <c r="G74" s="27"/>
      <c r="H74" s="27"/>
      <c r="I74" s="27"/>
      <c r="J74" s="27"/>
      <c r="K74" s="27"/>
      <c r="L74" s="27"/>
    </row>
    <row r="75" spans="1:12" outlineLevel="1" x14ac:dyDescent="0.2">
      <c r="B75" s="9" t="s">
        <v>146</v>
      </c>
      <c r="C75" s="27"/>
      <c r="D75" s="27"/>
      <c r="E75" s="27"/>
      <c r="F75" s="27"/>
      <c r="G75" s="27"/>
      <c r="H75" s="27"/>
      <c r="I75" s="27"/>
      <c r="J75" s="27"/>
      <c r="K75" s="27"/>
      <c r="L75" s="27"/>
    </row>
    <row r="76" spans="1:12" outlineLevel="1" x14ac:dyDescent="0.2">
      <c r="B76" s="9" t="s">
        <v>147</v>
      </c>
      <c r="C76" s="27"/>
      <c r="D76" s="27"/>
      <c r="E76" s="27"/>
      <c r="F76" s="27"/>
      <c r="G76" s="27"/>
      <c r="H76" s="27"/>
      <c r="I76" s="27"/>
      <c r="J76" s="27"/>
      <c r="K76" s="27"/>
      <c r="L76" s="27"/>
    </row>
    <row r="77" spans="1:12" outlineLevel="1" x14ac:dyDescent="0.2">
      <c r="B77" s="9" t="s">
        <v>134</v>
      </c>
      <c r="C77" s="27"/>
      <c r="D77" s="27"/>
      <c r="E77" s="27"/>
      <c r="F77" s="27"/>
      <c r="G77" s="27"/>
      <c r="H77" s="27"/>
      <c r="I77" s="27"/>
      <c r="J77" s="27"/>
      <c r="K77" s="27"/>
      <c r="L77" s="27"/>
    </row>
    <row r="78" spans="1:12" outlineLevel="1" x14ac:dyDescent="0.2">
      <c r="B78" s="9" t="s">
        <v>138</v>
      </c>
      <c r="C78" s="27"/>
      <c r="D78" s="27"/>
      <c r="E78" s="27"/>
      <c r="F78" s="27"/>
      <c r="G78" s="27"/>
      <c r="H78" s="27"/>
      <c r="I78" s="27"/>
      <c r="J78" s="27"/>
      <c r="K78" s="27"/>
      <c r="L78" s="27"/>
    </row>
    <row r="79" spans="1:12" outlineLevel="1" x14ac:dyDescent="0.2">
      <c r="B79" s="12" t="s">
        <v>113</v>
      </c>
      <c r="C79" s="27"/>
      <c r="D79" s="27"/>
      <c r="E79" s="27"/>
      <c r="F79" s="27"/>
      <c r="G79" s="27"/>
      <c r="H79" s="27"/>
      <c r="I79" s="27"/>
      <c r="J79" s="27"/>
      <c r="K79" s="27"/>
      <c r="L79" s="27"/>
    </row>
    <row r="80" spans="1:12" s="53" customFormat="1" outlineLevel="1" x14ac:dyDescent="0.2">
      <c r="A80" s="7"/>
      <c r="B80" s="17" t="s">
        <v>45</v>
      </c>
      <c r="C80" s="51"/>
      <c r="D80" s="51"/>
      <c r="E80" s="51"/>
      <c r="F80" s="51"/>
      <c r="G80" s="51"/>
      <c r="H80" s="51"/>
      <c r="I80" s="51"/>
      <c r="J80" s="51"/>
      <c r="K80" s="51"/>
      <c r="L80" s="51"/>
    </row>
    <row r="81" spans="1:12" outlineLevel="1" x14ac:dyDescent="0.2">
      <c r="B81" s="9" t="s">
        <v>125</v>
      </c>
      <c r="C81" s="27"/>
      <c r="D81" s="27"/>
      <c r="E81" s="27"/>
      <c r="F81" s="27"/>
      <c r="G81" s="27"/>
      <c r="H81" s="27"/>
      <c r="I81" s="27"/>
      <c r="J81" s="27"/>
      <c r="K81" s="27"/>
      <c r="L81" s="27"/>
    </row>
    <row r="82" spans="1:12" outlineLevel="1" x14ac:dyDescent="0.2">
      <c r="B82" s="9" t="s">
        <v>126</v>
      </c>
      <c r="C82" s="27"/>
      <c r="D82" s="27"/>
      <c r="E82" s="27"/>
      <c r="F82" s="27"/>
      <c r="G82" s="27"/>
      <c r="H82" s="27"/>
      <c r="I82" s="27"/>
      <c r="J82" s="27"/>
      <c r="K82" s="27"/>
      <c r="L82" s="27"/>
    </row>
    <row r="83" spans="1:12" outlineLevel="1" x14ac:dyDescent="0.2">
      <c r="B83" s="9" t="s">
        <v>127</v>
      </c>
      <c r="C83" s="27"/>
      <c r="D83" s="27"/>
      <c r="E83" s="27"/>
      <c r="F83" s="27"/>
      <c r="G83" s="27"/>
      <c r="H83" s="27"/>
      <c r="I83" s="27"/>
      <c r="J83" s="27"/>
      <c r="K83" s="27"/>
      <c r="L83" s="27"/>
    </row>
    <row r="84" spans="1:12" outlineLevel="1" x14ac:dyDescent="0.2">
      <c r="B84" s="9" t="s">
        <v>128</v>
      </c>
      <c r="C84" s="27"/>
      <c r="D84" s="27"/>
      <c r="E84" s="27"/>
      <c r="F84" s="27"/>
      <c r="G84" s="27"/>
      <c r="H84" s="27"/>
      <c r="I84" s="27"/>
      <c r="J84" s="27"/>
      <c r="K84" s="27"/>
      <c r="L84" s="27"/>
    </row>
    <row r="85" spans="1:12" outlineLevel="1" x14ac:dyDescent="0.2">
      <c r="B85" s="9" t="s">
        <v>330</v>
      </c>
      <c r="C85" s="27"/>
      <c r="D85" s="27"/>
      <c r="E85" s="27"/>
      <c r="F85" s="27"/>
      <c r="G85" s="27"/>
      <c r="H85" s="27"/>
      <c r="I85" s="27"/>
      <c r="J85" s="27"/>
      <c r="K85" s="27"/>
      <c r="L85" s="27"/>
    </row>
    <row r="86" spans="1:12" outlineLevel="1" x14ac:dyDescent="0.2">
      <c r="B86" s="9" t="s">
        <v>129</v>
      </c>
      <c r="C86" s="27"/>
      <c r="D86" s="27"/>
      <c r="E86" s="27"/>
      <c r="F86" s="27"/>
      <c r="G86" s="27"/>
      <c r="H86" s="27"/>
      <c r="I86" s="27"/>
      <c r="J86" s="27"/>
      <c r="K86" s="27"/>
      <c r="L86" s="27"/>
    </row>
    <row r="87" spans="1:12" outlineLevel="1" x14ac:dyDescent="0.2">
      <c r="B87" s="9" t="s">
        <v>139</v>
      </c>
      <c r="C87" s="27"/>
      <c r="D87" s="27"/>
      <c r="E87" s="27"/>
      <c r="F87" s="27"/>
      <c r="G87" s="27"/>
      <c r="H87" s="27"/>
      <c r="I87" s="27"/>
      <c r="J87" s="27"/>
      <c r="K87" s="27"/>
      <c r="L87" s="27"/>
    </row>
    <row r="88" spans="1:12" s="53" customFormat="1" outlineLevel="1" x14ac:dyDescent="0.2">
      <c r="A88" s="7"/>
      <c r="B88" s="17" t="s">
        <v>51</v>
      </c>
      <c r="C88" s="51"/>
      <c r="D88" s="51"/>
      <c r="E88" s="51"/>
      <c r="F88" s="51"/>
      <c r="G88" s="51"/>
      <c r="H88" s="51"/>
      <c r="I88" s="51"/>
      <c r="J88" s="51"/>
      <c r="K88" s="51"/>
      <c r="L88" s="51"/>
    </row>
    <row r="89" spans="1:12" s="52" customFormat="1" outlineLevel="1" x14ac:dyDescent="0.2">
      <c r="A89" s="7"/>
      <c r="B89" s="11" t="s">
        <v>52</v>
      </c>
      <c r="C89" s="55"/>
      <c r="D89" s="55"/>
      <c r="E89" s="55"/>
      <c r="F89" s="55"/>
      <c r="G89" s="55"/>
      <c r="H89" s="55"/>
      <c r="I89" s="55"/>
      <c r="J89" s="55"/>
      <c r="K89" s="55"/>
      <c r="L89" s="55"/>
    </row>
    <row r="90" spans="1:12" s="52" customFormat="1" outlineLevel="1" x14ac:dyDescent="0.2">
      <c r="A90" s="7"/>
      <c r="B90" s="11" t="s">
        <v>53</v>
      </c>
      <c r="C90" s="55"/>
      <c r="D90" s="55"/>
      <c r="E90" s="55"/>
      <c r="F90" s="55"/>
      <c r="G90" s="55"/>
      <c r="H90" s="55"/>
      <c r="I90" s="55"/>
      <c r="J90" s="55"/>
      <c r="K90" s="55"/>
      <c r="L90" s="55"/>
    </row>
    <row r="91" spans="1:12" s="57" customFormat="1" ht="17" outlineLevel="1" thickBot="1" x14ac:dyDescent="0.25">
      <c r="A91" s="7"/>
      <c r="B91" s="19" t="s">
        <v>54</v>
      </c>
      <c r="C91" s="51"/>
      <c r="D91" s="51"/>
      <c r="E91" s="51"/>
      <c r="F91" s="51"/>
      <c r="G91" s="51"/>
      <c r="H91" s="51"/>
      <c r="I91" s="51"/>
      <c r="J91" s="51"/>
      <c r="K91" s="51"/>
      <c r="L91" s="51"/>
    </row>
    <row r="92" spans="1:12" x14ac:dyDescent="0.2">
      <c r="B92" s="1"/>
    </row>
    <row r="93" spans="1:12" s="14" customFormat="1" ht="17" thickBot="1" x14ac:dyDescent="0.25">
      <c r="A93" s="4"/>
      <c r="B93" s="15" t="s">
        <v>56</v>
      </c>
    </row>
    <row r="94" spans="1:12" hidden="1" outlineLevel="2" x14ac:dyDescent="0.2">
      <c r="B94" s="9" t="s">
        <v>57</v>
      </c>
      <c r="C94" s="20">
        <f>C5-C6-C11+C13+C14+C15+C17</f>
        <v>0</v>
      </c>
      <c r="D94" s="20">
        <f>D5-D6-D11+D13+D14+D15+D17</f>
        <v>0</v>
      </c>
      <c r="E94" s="20">
        <f>E5-E6-E11+E13+E14+E15+E17</f>
        <v>0</v>
      </c>
      <c r="F94" s="20">
        <f>F5-F6-F11+F13+F14+F15+F17</f>
        <v>0</v>
      </c>
      <c r="G94" s="20">
        <f>G5-G6-G11+G13+G14+G15+G17</f>
        <v>0</v>
      </c>
      <c r="H94" s="20">
        <f t="shared" ref="H94:L94" si="10">H5-H6-H11+H13+H14+H15+H17</f>
        <v>0</v>
      </c>
      <c r="I94" s="20">
        <f t="shared" si="10"/>
        <v>0</v>
      </c>
      <c r="J94" s="20">
        <f t="shared" si="10"/>
        <v>0</v>
      </c>
      <c r="K94" s="20">
        <f t="shared" si="10"/>
        <v>0</v>
      </c>
      <c r="L94" s="20">
        <f t="shared" si="10"/>
        <v>0</v>
      </c>
    </row>
    <row r="95" spans="1:12" s="18" customFormat="1" outlineLevel="1" collapsed="1" x14ac:dyDescent="0.2">
      <c r="A95" s="7"/>
      <c r="B95" s="17" t="s">
        <v>58</v>
      </c>
      <c r="C95" s="24">
        <f>C18-C94</f>
        <v>0</v>
      </c>
      <c r="D95" s="24">
        <f>D18-D94</f>
        <v>0</v>
      </c>
      <c r="E95" s="24">
        <f>E18-E94</f>
        <v>0</v>
      </c>
      <c r="F95" s="24">
        <f>F18-F94</f>
        <v>0</v>
      </c>
      <c r="G95" s="24">
        <f>G18-G94</f>
        <v>0</v>
      </c>
      <c r="H95" s="24">
        <f t="shared" ref="H95:L95" si="11">H18-H94</f>
        <v>0</v>
      </c>
      <c r="I95" s="24">
        <f t="shared" si="11"/>
        <v>0</v>
      </c>
      <c r="J95" s="24">
        <f t="shared" si="11"/>
        <v>0</v>
      </c>
      <c r="K95" s="24">
        <f t="shared" si="11"/>
        <v>0</v>
      </c>
      <c r="L95" s="24">
        <f t="shared" si="11"/>
        <v>0</v>
      </c>
    </row>
    <row r="96" spans="1:12" hidden="1" outlineLevel="2" x14ac:dyDescent="0.2">
      <c r="B96" s="9" t="s">
        <v>59</v>
      </c>
      <c r="C96" s="20">
        <f t="shared" ref="C96:L96" si="12">SUM(C25:C30)+SUM(C32:C39)</f>
        <v>0</v>
      </c>
      <c r="D96" s="20">
        <f t="shared" si="12"/>
        <v>0</v>
      </c>
      <c r="E96" s="20">
        <f t="shared" si="12"/>
        <v>0</v>
      </c>
      <c r="F96" s="20">
        <f t="shared" si="12"/>
        <v>0</v>
      </c>
      <c r="G96" s="20">
        <f t="shared" si="12"/>
        <v>0</v>
      </c>
      <c r="H96" s="20">
        <f t="shared" si="12"/>
        <v>0</v>
      </c>
      <c r="I96" s="20">
        <f t="shared" si="12"/>
        <v>0</v>
      </c>
      <c r="J96" s="20">
        <f t="shared" si="12"/>
        <v>0</v>
      </c>
      <c r="K96" s="20">
        <f t="shared" si="12"/>
        <v>0</v>
      </c>
      <c r="L96" s="20">
        <f t="shared" si="12"/>
        <v>0</v>
      </c>
    </row>
    <row r="97" spans="1:12" s="7" customFormat="1" outlineLevel="1" collapsed="1" x14ac:dyDescent="0.2">
      <c r="B97" s="11" t="s">
        <v>60</v>
      </c>
      <c r="C97" s="23">
        <f t="shared" ref="C97:L97" si="13">C41-C96</f>
        <v>0</v>
      </c>
      <c r="D97" s="23">
        <f t="shared" si="13"/>
        <v>0</v>
      </c>
      <c r="E97" s="23">
        <f t="shared" si="13"/>
        <v>0</v>
      </c>
      <c r="F97" s="23">
        <f t="shared" si="13"/>
        <v>0</v>
      </c>
      <c r="G97" s="23">
        <f t="shared" si="13"/>
        <v>0</v>
      </c>
      <c r="H97" s="23">
        <f t="shared" si="13"/>
        <v>0</v>
      </c>
      <c r="I97" s="23">
        <f t="shared" si="13"/>
        <v>0</v>
      </c>
      <c r="J97" s="23">
        <f t="shared" si="13"/>
        <v>0</v>
      </c>
      <c r="K97" s="23">
        <f t="shared" si="13"/>
        <v>0</v>
      </c>
      <c r="L97" s="23">
        <f t="shared" si="13"/>
        <v>0</v>
      </c>
    </row>
    <row r="98" spans="1:12" hidden="1" outlineLevel="2" x14ac:dyDescent="0.2">
      <c r="B98" s="9" t="s">
        <v>61</v>
      </c>
      <c r="C98" s="20">
        <f t="shared" ref="C98:H98" si="14">SUM(C42:C45)+SUM(C47:C48)</f>
        <v>0</v>
      </c>
      <c r="D98" s="20">
        <f t="shared" si="14"/>
        <v>0</v>
      </c>
      <c r="E98" s="20">
        <f t="shared" si="14"/>
        <v>0</v>
      </c>
      <c r="F98" s="20">
        <f t="shared" si="14"/>
        <v>0</v>
      </c>
      <c r="G98" s="20">
        <f t="shared" si="14"/>
        <v>0</v>
      </c>
      <c r="H98" s="20">
        <f t="shared" si="14"/>
        <v>0</v>
      </c>
      <c r="I98" s="20">
        <f>SUM(I42:I45)+SUM(I47:I47)</f>
        <v>0</v>
      </c>
      <c r="J98" s="20">
        <f>SUM(J42:J45)+SUM(J47:J47)</f>
        <v>0</v>
      </c>
      <c r="K98" s="20">
        <f>SUM(K42:K45)+SUM(K47:K47)</f>
        <v>0</v>
      </c>
      <c r="L98" s="20">
        <f>SUM(L42:L45)+SUM(L47:L47)</f>
        <v>0</v>
      </c>
    </row>
    <row r="99" spans="1:12" s="7" customFormat="1" outlineLevel="1" collapsed="1" x14ac:dyDescent="0.2">
      <c r="B99" s="11" t="s">
        <v>62</v>
      </c>
      <c r="C99" s="23">
        <f t="shared" ref="C99:L99" si="15">C50-C98</f>
        <v>0</v>
      </c>
      <c r="D99" s="23">
        <f t="shared" si="15"/>
        <v>0</v>
      </c>
      <c r="E99" s="23">
        <f t="shared" si="15"/>
        <v>0</v>
      </c>
      <c r="F99" s="23">
        <f t="shared" si="15"/>
        <v>0</v>
      </c>
      <c r="G99" s="23">
        <f t="shared" si="15"/>
        <v>0</v>
      </c>
      <c r="H99" s="23">
        <f t="shared" si="15"/>
        <v>0</v>
      </c>
      <c r="I99" s="23">
        <f t="shared" si="15"/>
        <v>0</v>
      </c>
      <c r="J99" s="23">
        <f t="shared" si="15"/>
        <v>0</v>
      </c>
      <c r="K99" s="23">
        <f t="shared" si="15"/>
        <v>0</v>
      </c>
      <c r="L99" s="23">
        <f t="shared" si="15"/>
        <v>0</v>
      </c>
    </row>
    <row r="100" spans="1:12" hidden="1" outlineLevel="2" x14ac:dyDescent="0.2">
      <c r="B100" s="9" t="s">
        <v>63</v>
      </c>
      <c r="C100" s="20">
        <f>SUM(C51:C53)</f>
        <v>0</v>
      </c>
      <c r="D100" s="20">
        <f>SUM(D51:D53)</f>
        <v>0</v>
      </c>
      <c r="E100" s="20">
        <f>SUM(E51:E53)</f>
        <v>0</v>
      </c>
      <c r="F100" s="20">
        <f>SUM(F51:F53)</f>
        <v>0</v>
      </c>
      <c r="G100" s="20">
        <f>SUM(G51:G53)</f>
        <v>0</v>
      </c>
      <c r="H100" s="20">
        <f t="shared" ref="H100:L100" si="16">SUM(H51:H53)</f>
        <v>0</v>
      </c>
      <c r="I100" s="20">
        <f t="shared" si="16"/>
        <v>0</v>
      </c>
      <c r="J100" s="20">
        <f t="shared" si="16"/>
        <v>0</v>
      </c>
      <c r="K100" s="20">
        <f t="shared" si="16"/>
        <v>0</v>
      </c>
      <c r="L100" s="20">
        <f t="shared" si="16"/>
        <v>0</v>
      </c>
    </row>
    <row r="101" spans="1:12" s="7" customFormat="1" outlineLevel="1" collapsed="1" x14ac:dyDescent="0.2">
      <c r="B101" s="11" t="s">
        <v>64</v>
      </c>
      <c r="C101" s="23">
        <f>C54-C100</f>
        <v>0</v>
      </c>
      <c r="D101" s="23">
        <f>D54-D100</f>
        <v>0</v>
      </c>
      <c r="E101" s="23">
        <f>E54-E100</f>
        <v>0</v>
      </c>
      <c r="F101" s="23">
        <f>F54-F100</f>
        <v>0</v>
      </c>
      <c r="G101" s="23">
        <f>G54-G100</f>
        <v>0</v>
      </c>
      <c r="H101" s="23">
        <f t="shared" ref="H101:L101" si="17">H54-H100</f>
        <v>0</v>
      </c>
      <c r="I101" s="23">
        <f t="shared" si="17"/>
        <v>0</v>
      </c>
      <c r="J101" s="23">
        <f t="shared" si="17"/>
        <v>0</v>
      </c>
      <c r="K101" s="23">
        <f t="shared" si="17"/>
        <v>0</v>
      </c>
      <c r="L101" s="23">
        <f t="shared" si="17"/>
        <v>0</v>
      </c>
    </row>
    <row r="102" spans="1:12" s="18" customFormat="1" outlineLevel="1" x14ac:dyDescent="0.2">
      <c r="A102" s="7"/>
      <c r="B102" s="17" t="s">
        <v>74</v>
      </c>
      <c r="C102" s="22">
        <f>C41-(C50+C54)</f>
        <v>0</v>
      </c>
      <c r="D102" s="22">
        <f>D41-(D50+D54)</f>
        <v>0</v>
      </c>
      <c r="E102" s="22">
        <f>E41-(E50+E54)</f>
        <v>0</v>
      </c>
      <c r="F102" s="22">
        <f>F41-(F50+F54)</f>
        <v>0</v>
      </c>
      <c r="G102" s="22">
        <f>G41-(G50+G54)</f>
        <v>0</v>
      </c>
      <c r="H102" s="22">
        <f t="shared" ref="H102:L102" si="18">H41-(H50+H54)</f>
        <v>0</v>
      </c>
      <c r="I102" s="22">
        <f t="shared" si="18"/>
        <v>0</v>
      </c>
      <c r="J102" s="22">
        <f t="shared" si="18"/>
        <v>0</v>
      </c>
      <c r="K102" s="22">
        <f t="shared" si="18"/>
        <v>0</v>
      </c>
      <c r="L102" s="22">
        <f t="shared" si="18"/>
        <v>0</v>
      </c>
    </row>
    <row r="103" spans="1:12" hidden="1" outlineLevel="2" x14ac:dyDescent="0.2">
      <c r="B103" s="9" t="s">
        <v>65</v>
      </c>
      <c r="C103" s="20">
        <f t="shared" ref="C103:L103" si="19">SUM(C58:C72)</f>
        <v>0</v>
      </c>
      <c r="D103" s="20">
        <f t="shared" si="19"/>
        <v>0</v>
      </c>
      <c r="E103" s="20">
        <f t="shared" si="19"/>
        <v>0</v>
      </c>
      <c r="F103" s="20">
        <f t="shared" si="19"/>
        <v>0</v>
      </c>
      <c r="G103" s="20">
        <f t="shared" si="19"/>
        <v>0</v>
      </c>
      <c r="H103" s="20">
        <f t="shared" si="19"/>
        <v>0</v>
      </c>
      <c r="I103" s="20">
        <f t="shared" si="19"/>
        <v>0</v>
      </c>
      <c r="J103" s="20">
        <f t="shared" si="19"/>
        <v>0</v>
      </c>
      <c r="K103" s="20">
        <f t="shared" si="19"/>
        <v>0</v>
      </c>
      <c r="L103" s="20">
        <f t="shared" si="19"/>
        <v>0</v>
      </c>
    </row>
    <row r="104" spans="1:12" s="7" customFormat="1" outlineLevel="1" collapsed="1" x14ac:dyDescent="0.2">
      <c r="B104" s="11" t="s">
        <v>66</v>
      </c>
      <c r="C104" s="23">
        <f t="shared" ref="C104:L104" si="20">C73-C103</f>
        <v>0</v>
      </c>
      <c r="D104" s="23">
        <f t="shared" si="20"/>
        <v>0</v>
      </c>
      <c r="E104" s="23">
        <f t="shared" si="20"/>
        <v>0</v>
      </c>
      <c r="F104" s="23">
        <f t="shared" si="20"/>
        <v>0</v>
      </c>
      <c r="G104" s="23">
        <f t="shared" si="20"/>
        <v>0</v>
      </c>
      <c r="H104" s="23">
        <f t="shared" si="20"/>
        <v>0</v>
      </c>
      <c r="I104" s="23">
        <f t="shared" si="20"/>
        <v>0</v>
      </c>
      <c r="J104" s="23">
        <f t="shared" si="20"/>
        <v>0</v>
      </c>
      <c r="K104" s="23">
        <f t="shared" si="20"/>
        <v>0</v>
      </c>
      <c r="L104" s="23">
        <f t="shared" si="20"/>
        <v>0</v>
      </c>
    </row>
    <row r="105" spans="1:12" hidden="1" outlineLevel="2" x14ac:dyDescent="0.2">
      <c r="B105" s="9" t="s">
        <v>67</v>
      </c>
      <c r="C105" s="20">
        <f t="shared" ref="C105:L105" si="21">SUM(C74:C79)</f>
        <v>0</v>
      </c>
      <c r="D105" s="20">
        <f t="shared" si="21"/>
        <v>0</v>
      </c>
      <c r="E105" s="20">
        <f t="shared" si="21"/>
        <v>0</v>
      </c>
      <c r="F105" s="20">
        <f t="shared" si="21"/>
        <v>0</v>
      </c>
      <c r="G105" s="20">
        <f t="shared" si="21"/>
        <v>0</v>
      </c>
      <c r="H105" s="20">
        <f t="shared" si="21"/>
        <v>0</v>
      </c>
      <c r="I105" s="20">
        <f t="shared" si="21"/>
        <v>0</v>
      </c>
      <c r="J105" s="20">
        <f t="shared" si="21"/>
        <v>0</v>
      </c>
      <c r="K105" s="20">
        <f t="shared" si="21"/>
        <v>0</v>
      </c>
      <c r="L105" s="20">
        <f t="shared" si="21"/>
        <v>0</v>
      </c>
    </row>
    <row r="106" spans="1:12" s="7" customFormat="1" outlineLevel="1" collapsed="1" x14ac:dyDescent="0.2">
      <c r="B106" s="11" t="s">
        <v>68</v>
      </c>
      <c r="C106" s="23">
        <f t="shared" ref="C106:L106" si="22">C80-C105</f>
        <v>0</v>
      </c>
      <c r="D106" s="23">
        <f t="shared" si="22"/>
        <v>0</v>
      </c>
      <c r="E106" s="23">
        <f t="shared" si="22"/>
        <v>0</v>
      </c>
      <c r="F106" s="23">
        <f t="shared" si="22"/>
        <v>0</v>
      </c>
      <c r="G106" s="23">
        <f t="shared" si="22"/>
        <v>0</v>
      </c>
      <c r="H106" s="23">
        <f t="shared" si="22"/>
        <v>0</v>
      </c>
      <c r="I106" s="23">
        <f t="shared" si="22"/>
        <v>0</v>
      </c>
      <c r="J106" s="23">
        <f t="shared" si="22"/>
        <v>0</v>
      </c>
      <c r="K106" s="23">
        <f t="shared" si="22"/>
        <v>0</v>
      </c>
      <c r="L106" s="23">
        <f t="shared" si="22"/>
        <v>0</v>
      </c>
    </row>
    <row r="107" spans="1:12" hidden="1" outlineLevel="2" x14ac:dyDescent="0.2">
      <c r="B107" s="9" t="s">
        <v>69</v>
      </c>
      <c r="C107" s="20">
        <f>SUM(C81:C87)</f>
        <v>0</v>
      </c>
      <c r="D107" s="20">
        <f t="shared" ref="D107:L107" si="23">SUM(D81:D87)</f>
        <v>0</v>
      </c>
      <c r="E107" s="20">
        <f t="shared" si="23"/>
        <v>0</v>
      </c>
      <c r="F107" s="20">
        <f t="shared" si="23"/>
        <v>0</v>
      </c>
      <c r="G107" s="20">
        <f t="shared" si="23"/>
        <v>0</v>
      </c>
      <c r="H107" s="20">
        <f t="shared" si="23"/>
        <v>0</v>
      </c>
      <c r="I107" s="20">
        <f t="shared" si="23"/>
        <v>0</v>
      </c>
      <c r="J107" s="20">
        <f t="shared" si="23"/>
        <v>0</v>
      </c>
      <c r="K107" s="20">
        <f t="shared" si="23"/>
        <v>0</v>
      </c>
      <c r="L107" s="20">
        <f t="shared" si="23"/>
        <v>0</v>
      </c>
    </row>
    <row r="108" spans="1:12" s="7" customFormat="1" outlineLevel="1" collapsed="1" x14ac:dyDescent="0.2">
      <c r="B108" s="11" t="s">
        <v>70</v>
      </c>
      <c r="C108" s="23">
        <f t="shared" ref="C108:L108" si="24">C88-C107</f>
        <v>0</v>
      </c>
      <c r="D108" s="23">
        <f t="shared" si="24"/>
        <v>0</v>
      </c>
      <c r="E108" s="23">
        <f t="shared" si="24"/>
        <v>0</v>
      </c>
      <c r="F108" s="23">
        <f t="shared" si="24"/>
        <v>0</v>
      </c>
      <c r="G108" s="23">
        <f t="shared" si="24"/>
        <v>0</v>
      </c>
      <c r="H108" s="23">
        <f t="shared" si="24"/>
        <v>0</v>
      </c>
      <c r="I108" s="23">
        <f t="shared" si="24"/>
        <v>0</v>
      </c>
      <c r="J108" s="23">
        <f t="shared" si="24"/>
        <v>0</v>
      </c>
      <c r="K108" s="23">
        <f t="shared" si="24"/>
        <v>0</v>
      </c>
      <c r="L108" s="23">
        <f t="shared" si="24"/>
        <v>0</v>
      </c>
    </row>
    <row r="109" spans="1:12" hidden="1" outlineLevel="2" x14ac:dyDescent="0.2">
      <c r="B109" s="9" t="s">
        <v>72</v>
      </c>
      <c r="C109" s="20">
        <f>C73+C80+C88+C90</f>
        <v>0</v>
      </c>
      <c r="D109" s="20">
        <f>D73+D80+D88+D90</f>
        <v>0</v>
      </c>
      <c r="E109" s="20">
        <f>E73+E80+E88+E90</f>
        <v>0</v>
      </c>
      <c r="F109" s="20">
        <f>F73+F80+F88+F90</f>
        <v>0</v>
      </c>
      <c r="G109" s="20">
        <f>G73+G80+G88+G90</f>
        <v>0</v>
      </c>
      <c r="H109" s="20">
        <f t="shared" ref="H109:L109" si="25">H73+H80+H88+H90</f>
        <v>0</v>
      </c>
      <c r="I109" s="20">
        <f t="shared" si="25"/>
        <v>0</v>
      </c>
      <c r="J109" s="20">
        <f t="shared" si="25"/>
        <v>0</v>
      </c>
      <c r="K109" s="20">
        <f t="shared" si="25"/>
        <v>0</v>
      </c>
      <c r="L109" s="20">
        <f t="shared" si="25"/>
        <v>0</v>
      </c>
    </row>
    <row r="110" spans="1:12" s="18" customFormat="1" outlineLevel="1" collapsed="1" x14ac:dyDescent="0.2">
      <c r="A110" s="7"/>
      <c r="B110" s="17" t="s">
        <v>71</v>
      </c>
      <c r="C110" s="22">
        <f t="shared" ref="C110:L110" si="26">C91-C109</f>
        <v>0</v>
      </c>
      <c r="D110" s="22">
        <f t="shared" si="26"/>
        <v>0</v>
      </c>
      <c r="E110" s="22">
        <f t="shared" si="26"/>
        <v>0</v>
      </c>
      <c r="F110" s="22">
        <f t="shared" si="26"/>
        <v>0</v>
      </c>
      <c r="G110" s="22">
        <f t="shared" si="26"/>
        <v>0</v>
      </c>
      <c r="H110" s="22">
        <f t="shared" si="26"/>
        <v>0</v>
      </c>
      <c r="I110" s="22">
        <f t="shared" si="26"/>
        <v>0</v>
      </c>
      <c r="J110" s="22">
        <f t="shared" si="26"/>
        <v>0</v>
      </c>
      <c r="K110" s="22">
        <f t="shared" si="26"/>
        <v>0</v>
      </c>
      <c r="L110" s="22">
        <f t="shared" si="26"/>
        <v>0</v>
      </c>
    </row>
    <row r="111" spans="1:12" x14ac:dyDescent="0.2">
      <c r="B111" s="8"/>
      <c r="F111" s="8"/>
      <c r="G111" s="8"/>
      <c r="H111" s="8"/>
      <c r="I111" s="8"/>
      <c r="J111" s="8"/>
      <c r="K111" s="8"/>
      <c r="L111" s="8"/>
    </row>
    <row r="112" spans="1:12" s="14" customFormat="1" ht="17" thickBot="1" x14ac:dyDescent="0.25">
      <c r="A112" s="4"/>
      <c r="B112" s="15" t="s">
        <v>73</v>
      </c>
    </row>
    <row r="113" spans="1:12" outlineLevel="1" x14ac:dyDescent="0.2">
      <c r="B113" s="9" t="s">
        <v>4</v>
      </c>
      <c r="C113" s="29"/>
      <c r="D113" s="29"/>
      <c r="E113" s="29"/>
      <c r="F113" s="27"/>
      <c r="G113" s="27"/>
      <c r="H113" s="27"/>
      <c r="I113" s="27"/>
      <c r="J113" s="27"/>
      <c r="K113" s="27"/>
      <c r="L113" s="27"/>
    </row>
    <row r="114" spans="1:12" outlineLevel="1" x14ac:dyDescent="0.2">
      <c r="B114" s="12" t="s">
        <v>82</v>
      </c>
      <c r="C114" s="30"/>
      <c r="D114" s="30"/>
      <c r="E114" s="30"/>
      <c r="F114" s="28"/>
      <c r="G114" s="28"/>
      <c r="H114" s="28"/>
      <c r="I114" s="28"/>
      <c r="J114" s="28"/>
      <c r="K114" s="28"/>
      <c r="L114" s="28"/>
    </row>
    <row r="115" spans="1:12" outlineLevel="1" x14ac:dyDescent="0.2">
      <c r="B115" s="9" t="s">
        <v>97</v>
      </c>
      <c r="C115" s="27"/>
      <c r="D115" s="27"/>
      <c r="E115" s="27"/>
      <c r="F115" s="27"/>
      <c r="G115" s="27"/>
      <c r="H115" s="27"/>
      <c r="I115" s="27"/>
      <c r="J115" s="27"/>
      <c r="K115" s="27"/>
      <c r="L115" s="27"/>
    </row>
    <row r="116" spans="1:12" outlineLevel="1" x14ac:dyDescent="0.2">
      <c r="B116" s="9" t="s">
        <v>98</v>
      </c>
      <c r="C116" s="27"/>
      <c r="D116" s="27"/>
      <c r="E116" s="27"/>
      <c r="F116" s="27"/>
      <c r="G116" s="27"/>
      <c r="H116" s="27"/>
      <c r="I116" s="27"/>
      <c r="J116" s="27"/>
      <c r="K116" s="27"/>
      <c r="L116" s="27"/>
    </row>
    <row r="117" spans="1:12" outlineLevel="1" x14ac:dyDescent="0.2">
      <c r="B117" s="9" t="s">
        <v>104</v>
      </c>
      <c r="C117" s="190" t="e">
        <f>(C17)/C16</f>
        <v>#DIV/0!</v>
      </c>
      <c r="D117" s="190" t="e">
        <f>(D17)/D16</f>
        <v>#DIV/0!</v>
      </c>
      <c r="E117" s="190" t="e">
        <f>(-1*E17)/E16</f>
        <v>#DIV/0!</v>
      </c>
      <c r="F117" s="190" t="e">
        <f>(-1*F17)/F16</f>
        <v>#DIV/0!</v>
      </c>
      <c r="G117" s="190" t="e">
        <f>(-1*G17)/G16</f>
        <v>#DIV/0!</v>
      </c>
      <c r="H117" s="190" t="e">
        <f>(-1*H17)/H16</f>
        <v>#DIV/0!</v>
      </c>
      <c r="I117" s="190"/>
      <c r="J117" s="190"/>
      <c r="K117" s="190"/>
      <c r="L117" s="190"/>
    </row>
    <row r="118" spans="1:12" outlineLevel="1" x14ac:dyDescent="0.2">
      <c r="B118" s="9" t="s">
        <v>105</v>
      </c>
      <c r="C118" s="27"/>
      <c r="D118" s="27"/>
      <c r="E118" s="27"/>
      <c r="F118" s="27"/>
      <c r="G118" s="27"/>
      <c r="H118" s="27"/>
      <c r="I118" s="27"/>
      <c r="J118" s="27"/>
      <c r="K118" s="27"/>
      <c r="L118" s="27"/>
    </row>
    <row r="119" spans="1:12" outlineLevel="1" x14ac:dyDescent="0.2">
      <c r="B119" s="9" t="s">
        <v>211</v>
      </c>
      <c r="C119" s="27"/>
      <c r="D119" s="27"/>
      <c r="E119" s="27"/>
      <c r="F119" s="27"/>
      <c r="G119" s="27"/>
      <c r="H119" s="27"/>
      <c r="I119" s="27"/>
      <c r="J119" s="27"/>
      <c r="K119" s="27"/>
      <c r="L119" s="27"/>
    </row>
    <row r="120" spans="1:12" outlineLevel="1" x14ac:dyDescent="0.2">
      <c r="B120" s="9" t="s">
        <v>212</v>
      </c>
      <c r="C120" s="27"/>
      <c r="D120" s="27"/>
      <c r="E120" s="27"/>
      <c r="F120" s="27"/>
      <c r="G120" s="27"/>
      <c r="H120" s="27"/>
      <c r="I120" s="27"/>
      <c r="J120" s="27"/>
      <c r="K120" s="27"/>
      <c r="L120" s="27"/>
    </row>
    <row r="121" spans="1:12" outlineLevel="1" x14ac:dyDescent="0.2">
      <c r="B121" s="9" t="s">
        <v>213</v>
      </c>
      <c r="C121" s="27"/>
      <c r="D121" s="27"/>
      <c r="E121" s="27"/>
      <c r="F121" s="27"/>
      <c r="G121" s="27"/>
      <c r="H121" s="27"/>
      <c r="I121" s="27"/>
      <c r="J121" s="27"/>
      <c r="K121" s="27"/>
      <c r="L121" s="27"/>
    </row>
    <row r="122" spans="1:12" outlineLevel="1" x14ac:dyDescent="0.2">
      <c r="B122" s="9" t="s">
        <v>214</v>
      </c>
      <c r="C122" s="27"/>
      <c r="D122" s="27"/>
      <c r="E122" s="27"/>
      <c r="F122" s="27"/>
      <c r="G122" s="27"/>
      <c r="H122" s="27"/>
      <c r="I122" s="27"/>
      <c r="J122" s="27"/>
      <c r="K122" s="27"/>
      <c r="L122" s="27"/>
    </row>
    <row r="123" spans="1:12" outlineLevel="1" x14ac:dyDescent="0.2"/>
    <row r="124" spans="1:12" x14ac:dyDescent="0.2">
      <c r="B124" s="1"/>
    </row>
    <row r="125" spans="1:12" s="14" customFormat="1" ht="17" thickBot="1" x14ac:dyDescent="0.25">
      <c r="A125" s="4"/>
      <c r="B125" s="15" t="s">
        <v>99</v>
      </c>
    </row>
    <row r="126" spans="1:12" s="18" customFormat="1" outlineLevel="1" x14ac:dyDescent="0.2">
      <c r="A126" s="7"/>
      <c r="B126" s="17" t="s">
        <v>6</v>
      </c>
      <c r="C126" s="81"/>
      <c r="D126" s="76">
        <f t="shared" ref="D126:H130" si="27">IF(C5=0,
IF(D5=0,0,IF(D5&gt;0,1,-1)),
(D5-C5)/ABS(C5)
)</f>
        <v>0</v>
      </c>
      <c r="E126" s="76">
        <f t="shared" si="27"/>
        <v>0</v>
      </c>
      <c r="F126" s="76">
        <f t="shared" si="27"/>
        <v>0</v>
      </c>
      <c r="G126" s="76">
        <f t="shared" si="27"/>
        <v>0</v>
      </c>
      <c r="H126" s="76">
        <f t="shared" si="27"/>
        <v>0</v>
      </c>
      <c r="I126" s="76"/>
      <c r="J126" s="76"/>
      <c r="K126" s="76"/>
      <c r="L126" s="76"/>
    </row>
    <row r="127" spans="1:12" outlineLevel="1" x14ac:dyDescent="0.2">
      <c r="B127" s="9" t="s">
        <v>7</v>
      </c>
      <c r="C127" s="80"/>
      <c r="D127" s="75">
        <f t="shared" si="27"/>
        <v>0</v>
      </c>
      <c r="E127" s="75">
        <f t="shared" si="27"/>
        <v>0</v>
      </c>
      <c r="F127" s="75">
        <f t="shared" si="27"/>
        <v>0</v>
      </c>
      <c r="G127" s="75">
        <f t="shared" si="27"/>
        <v>0</v>
      </c>
      <c r="H127" s="75">
        <f t="shared" si="27"/>
        <v>0</v>
      </c>
      <c r="I127" s="75"/>
      <c r="J127" s="75"/>
      <c r="K127" s="75"/>
      <c r="L127" s="75"/>
    </row>
    <row r="128" spans="1:12" s="18" customFormat="1" outlineLevel="1" x14ac:dyDescent="0.2">
      <c r="A128" s="7"/>
      <c r="B128" s="17" t="s">
        <v>8</v>
      </c>
      <c r="C128" s="81"/>
      <c r="D128" s="76">
        <f t="shared" si="27"/>
        <v>0</v>
      </c>
      <c r="E128" s="76">
        <f t="shared" si="27"/>
        <v>0</v>
      </c>
      <c r="F128" s="76">
        <f t="shared" si="27"/>
        <v>0</v>
      </c>
      <c r="G128" s="76">
        <f t="shared" si="27"/>
        <v>0</v>
      </c>
      <c r="H128" s="76">
        <f t="shared" si="27"/>
        <v>0</v>
      </c>
      <c r="I128" s="76"/>
      <c r="J128" s="76"/>
      <c r="K128" s="76"/>
      <c r="L128" s="76"/>
    </row>
    <row r="129" spans="1:12" outlineLevel="1" x14ac:dyDescent="0.2">
      <c r="B129" s="9" t="s">
        <v>9</v>
      </c>
      <c r="C129" s="80"/>
      <c r="D129" s="75">
        <f t="shared" si="27"/>
        <v>0</v>
      </c>
      <c r="E129" s="75">
        <f t="shared" si="27"/>
        <v>0</v>
      </c>
      <c r="F129" s="75">
        <f t="shared" si="27"/>
        <v>0</v>
      </c>
      <c r="G129" s="75">
        <f t="shared" si="27"/>
        <v>0</v>
      </c>
      <c r="H129" s="75">
        <f t="shared" si="27"/>
        <v>0</v>
      </c>
      <c r="I129" s="75"/>
      <c r="J129" s="75"/>
      <c r="K129" s="75"/>
      <c r="L129" s="75"/>
    </row>
    <row r="130" spans="1:12" outlineLevel="1" x14ac:dyDescent="0.2">
      <c r="B130" s="12" t="s">
        <v>10</v>
      </c>
      <c r="C130" s="80"/>
      <c r="D130" s="75">
        <f t="shared" si="27"/>
        <v>0</v>
      </c>
      <c r="E130" s="75">
        <f t="shared" si="27"/>
        <v>0</v>
      </c>
      <c r="F130" s="75">
        <f t="shared" si="27"/>
        <v>0</v>
      </c>
      <c r="G130" s="75">
        <f t="shared" si="27"/>
        <v>0</v>
      </c>
      <c r="H130" s="75">
        <f t="shared" si="27"/>
        <v>0</v>
      </c>
      <c r="I130" s="75"/>
      <c r="J130" s="75"/>
      <c r="K130" s="75"/>
      <c r="L130" s="75"/>
    </row>
    <row r="131" spans="1:12" outlineLevel="1" x14ac:dyDescent="0.2">
      <c r="B131" s="12" t="s">
        <v>11</v>
      </c>
      <c r="C131" s="80"/>
      <c r="D131" s="75">
        <f t="shared" ref="D131:H132" si="28">IF(C11=0,
IF(D11=0,0,IF(D11&gt;0,1,-1)),
(D11-C11)/ABS(C11)
)</f>
        <v>0</v>
      </c>
      <c r="E131" s="75">
        <f t="shared" si="28"/>
        <v>0</v>
      </c>
      <c r="F131" s="75">
        <f t="shared" si="28"/>
        <v>0</v>
      </c>
      <c r="G131" s="75">
        <f t="shared" si="28"/>
        <v>0</v>
      </c>
      <c r="H131" s="75">
        <f t="shared" si="28"/>
        <v>0</v>
      </c>
      <c r="I131" s="75"/>
      <c r="J131" s="75"/>
      <c r="K131" s="75"/>
      <c r="L131" s="75"/>
    </row>
    <row r="132" spans="1:12" s="18" customFormat="1" outlineLevel="1" x14ac:dyDescent="0.2">
      <c r="A132" s="7"/>
      <c r="B132" s="17" t="s">
        <v>12</v>
      </c>
      <c r="C132" s="81"/>
      <c r="D132" s="76">
        <f t="shared" si="28"/>
        <v>0</v>
      </c>
      <c r="E132" s="76">
        <f t="shared" si="28"/>
        <v>0</v>
      </c>
      <c r="F132" s="76">
        <f t="shared" si="28"/>
        <v>0</v>
      </c>
      <c r="G132" s="76">
        <f t="shared" si="28"/>
        <v>0</v>
      </c>
      <c r="H132" s="76">
        <f t="shared" si="28"/>
        <v>0</v>
      </c>
      <c r="I132" s="76"/>
      <c r="J132" s="76"/>
      <c r="K132" s="76"/>
      <c r="L132" s="76"/>
    </row>
    <row r="133" spans="1:12" s="77" customFormat="1" outlineLevel="1" x14ac:dyDescent="0.2">
      <c r="A133" s="7"/>
      <c r="B133" s="78" t="s">
        <v>13</v>
      </c>
      <c r="C133" s="81"/>
      <c r="D133" s="79">
        <f>IF(C16=0,
IF(D16=0,0,IF(D16&gt;0,1,-1)),
(D16-C16)/ABS(C16)
)</f>
        <v>0</v>
      </c>
      <c r="E133" s="79">
        <f>IF(D16=0,
IF(E16=0,0,IF(E16&gt;0,1,-1)),
(E16-D16)/ABS(D16)
)</f>
        <v>0</v>
      </c>
      <c r="F133" s="79">
        <f>IF(E16=0,
IF(F16=0,0,IF(F16&gt;0,1,-1)),
(F16-E16)/ABS(E16)
)</f>
        <v>0</v>
      </c>
      <c r="G133" s="79">
        <f>IF(F16=0,
IF(G16=0,0,IF(G16&gt;0,1,-1)),
(G16-F16)/ABS(F16)
)</f>
        <v>0</v>
      </c>
      <c r="H133" s="79">
        <f>IF(G16=0,
IF(H16=0,0,IF(H16&gt;0,1,-1)),
(H16-G16)/ABS(G16)
)</f>
        <v>0</v>
      </c>
      <c r="I133" s="79"/>
      <c r="J133" s="79"/>
      <c r="K133" s="79"/>
      <c r="L133" s="79"/>
    </row>
    <row r="134" spans="1:12" s="77" customFormat="1" outlineLevel="1" x14ac:dyDescent="0.2">
      <c r="A134" s="7"/>
      <c r="B134" s="78" t="s">
        <v>14</v>
      </c>
      <c r="C134" s="81"/>
      <c r="D134" s="79">
        <f>IF(C18=0,
IF(D18=0,0,IF(D18&gt;0,1,-1)),
(D18-C18)/ABS(C18)
)</f>
        <v>0</v>
      </c>
      <c r="E134" s="79">
        <f>IF(D18=0,
IF(E18=0,0,IF(E18&gt;0,1,-1)),
(E18-D18)/ABS(D18)
)</f>
        <v>0</v>
      </c>
      <c r="F134" s="79">
        <f>IF(E18=0,
IF(F18=0,0,IF(F18&gt;0,1,-1)),
(F18-E18)/ABS(E18)
)</f>
        <v>0</v>
      </c>
      <c r="G134" s="79">
        <f>IF(F18=0,
IF(G18=0,0,IF(G18&gt;0,1,-1)),
(G18-F18)/ABS(F18)
)</f>
        <v>0</v>
      </c>
      <c r="H134" s="79">
        <f>IF(G18=0,
IF(H18=0,0,IF(H18&gt;0,1,-1)),
(H18-G18)/ABS(G18)
)</f>
        <v>0</v>
      </c>
      <c r="I134" s="79"/>
      <c r="J134" s="79"/>
      <c r="K134" s="79"/>
      <c r="L134" s="79"/>
    </row>
    <row r="135" spans="1:12" x14ac:dyDescent="0.2">
      <c r="B135" s="1"/>
    </row>
    <row r="136" spans="1:12" s="14" customFormat="1" ht="17" thickBot="1" x14ac:dyDescent="0.25">
      <c r="A136" s="4"/>
      <c r="B136" s="15" t="s">
        <v>100</v>
      </c>
    </row>
    <row r="137" spans="1:12" outlineLevel="1" x14ac:dyDescent="0.2">
      <c r="B137" s="9" t="s">
        <v>101</v>
      </c>
      <c r="C137" s="75" t="e">
        <f t="shared" ref="C137:H137" si="29">C7/C5</f>
        <v>#DIV/0!</v>
      </c>
      <c r="D137" s="75" t="e">
        <f t="shared" si="29"/>
        <v>#DIV/0!</v>
      </c>
      <c r="E137" s="75" t="e">
        <f t="shared" si="29"/>
        <v>#DIV/0!</v>
      </c>
      <c r="F137" s="75" t="e">
        <f t="shared" si="29"/>
        <v>#DIV/0!</v>
      </c>
      <c r="G137" s="75" t="e">
        <f t="shared" si="29"/>
        <v>#DIV/0!</v>
      </c>
      <c r="H137" s="75" t="e">
        <f t="shared" si="29"/>
        <v>#DIV/0!</v>
      </c>
      <c r="I137" s="75"/>
      <c r="J137" s="75"/>
      <c r="K137" s="75"/>
      <c r="L137" s="75"/>
    </row>
    <row r="138" spans="1:12" outlineLevel="1" x14ac:dyDescent="0.2">
      <c r="B138" s="9" t="s">
        <v>102</v>
      </c>
      <c r="C138" s="75" t="e">
        <f t="shared" ref="C138:H138" si="30">C12/C5</f>
        <v>#DIV/0!</v>
      </c>
      <c r="D138" s="75" t="e">
        <f t="shared" si="30"/>
        <v>#DIV/0!</v>
      </c>
      <c r="E138" s="75" t="e">
        <f t="shared" si="30"/>
        <v>#DIV/0!</v>
      </c>
      <c r="F138" s="75" t="e">
        <f t="shared" si="30"/>
        <v>#DIV/0!</v>
      </c>
      <c r="G138" s="75" t="e">
        <f t="shared" si="30"/>
        <v>#DIV/0!</v>
      </c>
      <c r="H138" s="75" t="e">
        <f t="shared" si="30"/>
        <v>#DIV/0!</v>
      </c>
      <c r="I138" s="75"/>
      <c r="J138" s="75"/>
      <c r="K138" s="75"/>
      <c r="L138" s="75"/>
    </row>
    <row r="139" spans="1:12" s="84" customFormat="1" outlineLevel="1" x14ac:dyDescent="0.2">
      <c r="A139" s="1"/>
      <c r="B139" s="82" t="s">
        <v>103</v>
      </c>
      <c r="C139" s="83" t="e">
        <f t="shared" ref="C139:H139" si="31">C18/C5</f>
        <v>#DIV/0!</v>
      </c>
      <c r="D139" s="83" t="e">
        <f t="shared" si="31"/>
        <v>#DIV/0!</v>
      </c>
      <c r="E139" s="83" t="e">
        <f t="shared" si="31"/>
        <v>#DIV/0!</v>
      </c>
      <c r="F139" s="83" t="e">
        <f t="shared" si="31"/>
        <v>#DIV/0!</v>
      </c>
      <c r="G139" s="83" t="e">
        <f t="shared" si="31"/>
        <v>#DIV/0!</v>
      </c>
      <c r="H139" s="83" t="e">
        <f t="shared" si="31"/>
        <v>#DIV/0!</v>
      </c>
      <c r="I139" s="83"/>
      <c r="J139" s="83"/>
      <c r="K139" s="83"/>
      <c r="L139" s="83"/>
    </row>
    <row r="140" spans="1:12" x14ac:dyDescent="0.2">
      <c r="B140" s="1"/>
    </row>
    <row r="141" spans="1:12" s="14" customFormat="1" ht="17" thickBot="1" x14ac:dyDescent="0.25">
      <c r="A141" s="4"/>
      <c r="B141" s="15" t="s">
        <v>161</v>
      </c>
    </row>
    <row r="142" spans="1:12" outlineLevel="1" x14ac:dyDescent="0.2">
      <c r="C142" s="34"/>
      <c r="D142" s="34"/>
      <c r="E142" s="34"/>
      <c r="F142" s="34"/>
      <c r="G142" s="34"/>
      <c r="H142" s="27"/>
      <c r="I142" s="27"/>
      <c r="J142" s="27"/>
    </row>
    <row r="143" spans="1:12" x14ac:dyDescent="0.2">
      <c r="B143" s="1"/>
    </row>
    <row r="144" spans="1:12" s="14" customFormat="1" ht="17" thickBot="1" x14ac:dyDescent="0.25">
      <c r="A144" s="4"/>
      <c r="B144" s="15" t="s">
        <v>160</v>
      </c>
    </row>
    <row r="145" spans="1:9" outlineLevel="1" x14ac:dyDescent="0.2">
      <c r="C145" s="34"/>
      <c r="D145" s="34"/>
      <c r="E145" s="34"/>
      <c r="F145" s="34"/>
      <c r="G145" s="34"/>
      <c r="H145" s="27"/>
      <c r="I145" s="27"/>
    </row>
    <row r="146" spans="1:9" x14ac:dyDescent="0.2">
      <c r="B146" s="1"/>
    </row>
    <row r="147" spans="1:9" s="14" customFormat="1" ht="17" thickBot="1" x14ac:dyDescent="0.25">
      <c r="A147" s="4"/>
      <c r="B147" s="15" t="s">
        <v>162</v>
      </c>
    </row>
    <row r="148" spans="1:9" outlineLevel="1" x14ac:dyDescent="0.2">
      <c r="C148" s="88"/>
      <c r="D148" s="88"/>
      <c r="E148" s="88"/>
      <c r="F148" s="88"/>
      <c r="G148" s="88"/>
    </row>
    <row r="149" spans="1:9" x14ac:dyDescent="0.2">
      <c r="B149" s="1"/>
    </row>
  </sheetData>
  <pageMargins left="0.7" right="0.7" top="0.75" bottom="0.75" header="0.3" footer="0.3"/>
  <ignoredErrors>
    <ignoredError sqref="C40:F40 G40:L40 C105 D105:L105 C107:G107 C100:H100 C49:H49" formulaRange="1"/>
    <ignoredError sqref="D131" formula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41336-2E39-7442-9864-91E9B0A07818}">
  <dimension ref="A1:S138"/>
  <sheetViews>
    <sheetView zoomScale="164" workbookViewId="0">
      <pane xSplit="2" ySplit="3" topLeftCell="C134" activePane="bottomRight" state="frozen"/>
      <selection pane="topRight" activeCell="C1" sqref="C1"/>
      <selection pane="bottomLeft" activeCell="A4" sqref="A4"/>
      <selection pane="bottomRight" activeCell="B139" sqref="B139"/>
    </sheetView>
  </sheetViews>
  <sheetFormatPr baseColWidth="10" defaultRowHeight="16" outlineLevelRow="2" outlineLevelCol="1" x14ac:dyDescent="0.2"/>
  <cols>
    <col min="1" max="1" width="3.6640625" style="1" customWidth="1"/>
    <col min="2" max="2" width="32.5" style="9" customWidth="1"/>
    <col min="3" max="3" width="12" style="1" customWidth="1" outlineLevel="1"/>
    <col min="4" max="4" width="10.83203125" style="1" customWidth="1" outlineLevel="1"/>
    <col min="5" max="5" width="12" style="1" customWidth="1" outlineLevel="1"/>
    <col min="6" max="10" width="10.83203125" style="1" customWidth="1" outlineLevel="1"/>
    <col min="11" max="11" width="2" style="1" customWidth="1" outlineLevel="1"/>
    <col min="12" max="12" width="10.33203125" style="1" customWidth="1" outlineLevel="1"/>
    <col min="13" max="13" width="2.33203125" style="1" customWidth="1"/>
    <col min="14" max="14" width="10.83203125" style="1" customWidth="1"/>
    <col min="15" max="15" width="2.5" style="1" customWidth="1"/>
    <col min="16" max="17" width="10.83203125" style="1" customWidth="1"/>
    <col min="18" max="18" width="12" style="1" customWidth="1"/>
    <col min="19" max="19" width="2.33203125" style="1" customWidth="1"/>
    <col min="20" max="16384" width="10.83203125" style="1"/>
  </cols>
  <sheetData>
    <row r="1" spans="1:19" x14ac:dyDescent="0.2">
      <c r="B1" s="1"/>
    </row>
    <row r="2" spans="1:19" s="3" customFormat="1" x14ac:dyDescent="0.2">
      <c r="A2" s="2"/>
      <c r="B2" s="61" t="s">
        <v>0</v>
      </c>
      <c r="C2" s="3" t="s">
        <v>154</v>
      </c>
      <c r="D2" s="3" t="s">
        <v>152</v>
      </c>
      <c r="E2" s="3" t="s">
        <v>149</v>
      </c>
      <c r="F2" s="3" t="s">
        <v>140</v>
      </c>
      <c r="G2" s="3" t="s">
        <v>153</v>
      </c>
      <c r="H2" s="3" t="s">
        <v>151</v>
      </c>
      <c r="I2" s="37" t="s">
        <v>148</v>
      </c>
      <c r="J2" s="37" t="s">
        <v>329</v>
      </c>
      <c r="K2" s="2"/>
      <c r="L2" s="2"/>
      <c r="M2" s="2"/>
      <c r="N2" s="42"/>
      <c r="O2" s="2"/>
      <c r="P2" s="44"/>
      <c r="Q2" s="45"/>
      <c r="R2" s="46"/>
      <c r="S2" s="2"/>
    </row>
    <row r="3" spans="1:19" s="5" customFormat="1" x14ac:dyDescent="0.2">
      <c r="A3" s="4"/>
      <c r="B3" s="62" t="s">
        <v>75</v>
      </c>
      <c r="C3" s="3" t="s">
        <v>76</v>
      </c>
      <c r="D3" s="3" t="s">
        <v>78</v>
      </c>
      <c r="E3" s="3" t="s">
        <v>79</v>
      </c>
      <c r="F3" s="3" t="s">
        <v>84</v>
      </c>
      <c r="G3" s="3" t="s">
        <v>77</v>
      </c>
      <c r="H3" s="3" t="s">
        <v>80</v>
      </c>
      <c r="I3" s="37" t="s">
        <v>81</v>
      </c>
      <c r="J3" s="37" t="s">
        <v>331</v>
      </c>
      <c r="K3" s="4"/>
      <c r="L3" s="4"/>
      <c r="M3" s="4"/>
      <c r="N3" s="43"/>
      <c r="O3" s="4"/>
      <c r="P3" s="47" t="str">
        <f>I3</f>
        <v>Q3 2025</v>
      </c>
      <c r="Q3" s="5" t="str">
        <f>J3</f>
        <v>Q4 2025</v>
      </c>
      <c r="R3" s="48" t="s">
        <v>88</v>
      </c>
      <c r="S3" s="4"/>
    </row>
    <row r="4" spans="1:19" s="14" customFormat="1" ht="17" thickBot="1" x14ac:dyDescent="0.25">
      <c r="A4" s="4"/>
      <c r="B4" s="15" t="s">
        <v>5</v>
      </c>
      <c r="K4" s="4"/>
      <c r="L4" s="4"/>
      <c r="M4" s="4"/>
      <c r="N4" s="38" t="s">
        <v>86</v>
      </c>
      <c r="O4" s="4"/>
      <c r="P4" s="219" t="s">
        <v>87</v>
      </c>
      <c r="Q4" s="220"/>
      <c r="R4" s="221"/>
      <c r="S4" s="4"/>
    </row>
    <row r="5" spans="1:19" s="18" customFormat="1" outlineLevel="1" x14ac:dyDescent="0.2">
      <c r="A5" s="7"/>
      <c r="B5" s="17" t="s">
        <v>6</v>
      </c>
      <c r="C5" s="51"/>
      <c r="D5" s="51"/>
      <c r="E5" s="51"/>
      <c r="F5" s="51"/>
      <c r="G5" s="51"/>
      <c r="H5" s="51"/>
      <c r="I5" s="51"/>
      <c r="J5" s="51"/>
      <c r="K5" s="21"/>
      <c r="L5" s="21"/>
      <c r="M5" s="21"/>
      <c r="N5" s="59">
        <f t="shared" ref="N5:N18" si="0">SUM(G5:J5)</f>
        <v>0</v>
      </c>
      <c r="O5" s="7"/>
      <c r="P5" s="69">
        <f t="shared" ref="P5:P22" si="1">I5</f>
        <v>0</v>
      </c>
      <c r="Q5" s="54">
        <f t="shared" ref="Q5:Q22" si="2">J5</f>
        <v>0</v>
      </c>
      <c r="R5" s="66">
        <f t="shared" ref="R5:R22" si="3">IF(P5=0,
IF(Q5=0,0,IF(Q5&gt;0,1,-1)),
(Q5-P5)/ABS(P5)
)</f>
        <v>0</v>
      </c>
      <c r="S5" s="7"/>
    </row>
    <row r="6" spans="1:19" outlineLevel="1" x14ac:dyDescent="0.2">
      <c r="B6" s="9" t="s">
        <v>7</v>
      </c>
      <c r="C6" s="27"/>
      <c r="D6" s="27"/>
      <c r="E6" s="27"/>
      <c r="F6" s="27"/>
      <c r="G6" s="27"/>
      <c r="H6" s="27"/>
      <c r="I6" s="27"/>
      <c r="J6" s="27"/>
      <c r="K6" s="20"/>
      <c r="L6" s="20"/>
      <c r="M6" s="20"/>
      <c r="N6" s="39">
        <f>SUM(G6:J6)</f>
        <v>0</v>
      </c>
      <c r="P6" s="49">
        <f t="shared" si="1"/>
        <v>0</v>
      </c>
      <c r="Q6" s="20">
        <f t="shared" si="2"/>
        <v>0</v>
      </c>
      <c r="R6" s="50">
        <f t="shared" si="3"/>
        <v>0</v>
      </c>
    </row>
    <row r="7" spans="1:19" s="18" customFormat="1" outlineLevel="1" x14ac:dyDescent="0.2">
      <c r="A7" s="7"/>
      <c r="B7" s="17" t="s">
        <v>8</v>
      </c>
      <c r="C7" s="54">
        <f t="shared" ref="C7" si="4">C5-C6</f>
        <v>0</v>
      </c>
      <c r="D7" s="54">
        <f>D5-D6</f>
        <v>0</v>
      </c>
      <c r="E7" s="54">
        <f t="shared" ref="E7:I7" si="5">E5-E6</f>
        <v>0</v>
      </c>
      <c r="F7" s="54">
        <f t="shared" si="5"/>
        <v>0</v>
      </c>
      <c r="G7" s="54">
        <f t="shared" si="5"/>
        <v>0</v>
      </c>
      <c r="H7" s="54">
        <f t="shared" si="5"/>
        <v>0</v>
      </c>
      <c r="I7" s="54">
        <f t="shared" si="5"/>
        <v>0</v>
      </c>
      <c r="J7" s="54">
        <f t="shared" ref="J7" si="6">J5-J6</f>
        <v>0</v>
      </c>
      <c r="K7" s="21"/>
      <c r="L7" s="21"/>
      <c r="M7" s="21"/>
      <c r="N7" s="59">
        <f t="shared" si="0"/>
        <v>0</v>
      </c>
      <c r="O7" s="7"/>
      <c r="P7" s="69">
        <f t="shared" si="1"/>
        <v>0</v>
      </c>
      <c r="Q7" s="54">
        <f t="shared" si="2"/>
        <v>0</v>
      </c>
      <c r="R7" s="66">
        <f t="shared" si="3"/>
        <v>0</v>
      </c>
      <c r="S7" s="7"/>
    </row>
    <row r="8" spans="1:19" outlineLevel="1" x14ac:dyDescent="0.2">
      <c r="B8" s="9" t="s">
        <v>9</v>
      </c>
      <c r="C8" s="27"/>
      <c r="D8" s="27"/>
      <c r="E8" s="27"/>
      <c r="F8" s="27"/>
      <c r="G8" s="27"/>
      <c r="H8" s="27"/>
      <c r="I8" s="27"/>
      <c r="J8" s="27"/>
      <c r="K8" s="20"/>
      <c r="L8" s="20"/>
      <c r="M8" s="20"/>
      <c r="N8" s="39">
        <f t="shared" si="0"/>
        <v>0</v>
      </c>
      <c r="P8" s="49">
        <f t="shared" si="1"/>
        <v>0</v>
      </c>
      <c r="Q8" s="20">
        <f t="shared" si="2"/>
        <v>0</v>
      </c>
      <c r="R8" s="50">
        <f t="shared" si="3"/>
        <v>0</v>
      </c>
    </row>
    <row r="9" spans="1:19" s="8" customFormat="1" outlineLevel="1" x14ac:dyDescent="0.2">
      <c r="B9" s="12" t="s">
        <v>108</v>
      </c>
      <c r="C9" s="27"/>
      <c r="D9" s="27"/>
      <c r="E9" s="27"/>
      <c r="F9" s="27"/>
      <c r="G9" s="27"/>
      <c r="H9" s="27"/>
      <c r="I9" s="27"/>
      <c r="J9" s="27"/>
      <c r="K9" s="20"/>
      <c r="L9" s="20"/>
      <c r="M9" s="20"/>
      <c r="N9" s="39">
        <f t="shared" si="0"/>
        <v>0</v>
      </c>
      <c r="P9" s="70">
        <f t="shared" si="1"/>
        <v>0</v>
      </c>
      <c r="Q9" s="34">
        <f t="shared" si="2"/>
        <v>0</v>
      </c>
      <c r="R9" s="67">
        <f t="shared" si="3"/>
        <v>0</v>
      </c>
    </row>
    <row r="10" spans="1:19" outlineLevel="1" x14ac:dyDescent="0.2">
      <c r="B10" s="12" t="s">
        <v>109</v>
      </c>
      <c r="C10" s="27"/>
      <c r="D10" s="27"/>
      <c r="E10" s="27"/>
      <c r="F10" s="27"/>
      <c r="G10" s="27"/>
      <c r="H10" s="27"/>
      <c r="I10" s="27"/>
      <c r="J10" s="27"/>
      <c r="K10" s="20"/>
      <c r="L10" s="20"/>
      <c r="M10" s="20"/>
      <c r="N10" s="39">
        <f t="shared" si="0"/>
        <v>0</v>
      </c>
      <c r="P10" s="49">
        <f t="shared" si="1"/>
        <v>0</v>
      </c>
      <c r="Q10" s="20">
        <f t="shared" si="2"/>
        <v>0</v>
      </c>
      <c r="R10" s="50">
        <f t="shared" si="3"/>
        <v>0</v>
      </c>
    </row>
    <row r="11" spans="1:19" outlineLevel="1" x14ac:dyDescent="0.2">
      <c r="B11" s="12" t="s">
        <v>11</v>
      </c>
      <c r="C11" s="20">
        <f t="shared" ref="C11:I11" si="7">SUM(C8:C10)</f>
        <v>0</v>
      </c>
      <c r="D11" s="20">
        <f t="shared" si="7"/>
        <v>0</v>
      </c>
      <c r="E11" s="20">
        <f t="shared" si="7"/>
        <v>0</v>
      </c>
      <c r="F11" s="20">
        <f t="shared" si="7"/>
        <v>0</v>
      </c>
      <c r="G11" s="20">
        <f t="shared" si="7"/>
        <v>0</v>
      </c>
      <c r="H11" s="20">
        <f t="shared" si="7"/>
        <v>0</v>
      </c>
      <c r="I11" s="20">
        <f t="shared" si="7"/>
        <v>0</v>
      </c>
      <c r="J11" s="20">
        <f t="shared" ref="J11" si="8">SUM(J8:J10)</f>
        <v>0</v>
      </c>
      <c r="K11" s="20"/>
      <c r="L11" s="20"/>
      <c r="M11" s="20"/>
      <c r="N11" s="39">
        <f t="shared" si="0"/>
        <v>0</v>
      </c>
      <c r="P11" s="49">
        <f t="shared" si="1"/>
        <v>0</v>
      </c>
      <c r="Q11" s="20">
        <f>J11</f>
        <v>0</v>
      </c>
      <c r="R11" s="50">
        <f t="shared" si="3"/>
        <v>0</v>
      </c>
    </row>
    <row r="12" spans="1:19" s="18" customFormat="1" outlineLevel="1" x14ac:dyDescent="0.2">
      <c r="A12" s="7"/>
      <c r="B12" s="17" t="s">
        <v>12</v>
      </c>
      <c r="C12" s="51"/>
      <c r="D12" s="51"/>
      <c r="E12" s="51"/>
      <c r="F12" s="51"/>
      <c r="G12" s="51"/>
      <c r="H12" s="51"/>
      <c r="I12" s="51"/>
      <c r="J12" s="51"/>
      <c r="K12" s="21"/>
      <c r="L12" s="21"/>
      <c r="M12" s="21"/>
      <c r="N12" s="59">
        <f t="shared" si="0"/>
        <v>0</v>
      </c>
      <c r="O12" s="7"/>
      <c r="P12" s="69">
        <f t="shared" si="1"/>
        <v>0</v>
      </c>
      <c r="Q12" s="54">
        <f t="shared" si="2"/>
        <v>0</v>
      </c>
      <c r="R12" s="66">
        <f t="shared" si="3"/>
        <v>0</v>
      </c>
      <c r="S12" s="7"/>
    </row>
    <row r="13" spans="1:19" outlineLevel="1" x14ac:dyDescent="0.2">
      <c r="B13" s="12" t="s">
        <v>110</v>
      </c>
      <c r="C13" s="27"/>
      <c r="D13" s="27"/>
      <c r="E13" s="27"/>
      <c r="F13" s="27"/>
      <c r="G13" s="27"/>
      <c r="H13" s="27"/>
      <c r="I13" s="27"/>
      <c r="J13" s="27"/>
      <c r="K13" s="20"/>
      <c r="L13" s="20"/>
      <c r="M13" s="20"/>
      <c r="N13" s="39">
        <f t="shared" si="0"/>
        <v>0</v>
      </c>
      <c r="P13" s="49">
        <f t="shared" si="1"/>
        <v>0</v>
      </c>
      <c r="Q13" s="20">
        <f t="shared" si="2"/>
        <v>0</v>
      </c>
      <c r="R13" s="50">
        <f t="shared" si="3"/>
        <v>0</v>
      </c>
    </row>
    <row r="14" spans="1:19" outlineLevel="1" x14ac:dyDescent="0.2">
      <c r="B14" s="12" t="s">
        <v>130</v>
      </c>
      <c r="C14" s="27"/>
      <c r="D14" s="27"/>
      <c r="E14" s="27"/>
      <c r="F14" s="27"/>
      <c r="G14" s="27"/>
      <c r="H14" s="27"/>
      <c r="I14" s="27"/>
      <c r="J14" s="27"/>
      <c r="K14" s="20"/>
      <c r="L14" s="20"/>
      <c r="M14" s="20"/>
      <c r="N14" s="39">
        <f t="shared" si="0"/>
        <v>0</v>
      </c>
      <c r="P14" s="49">
        <f t="shared" si="1"/>
        <v>0</v>
      </c>
      <c r="Q14" s="20">
        <f t="shared" si="2"/>
        <v>0</v>
      </c>
      <c r="R14" s="50">
        <f t="shared" si="3"/>
        <v>0</v>
      </c>
    </row>
    <row r="15" spans="1:19" outlineLevel="1" x14ac:dyDescent="0.2">
      <c r="B15" s="12" t="s">
        <v>131</v>
      </c>
      <c r="C15" s="27"/>
      <c r="D15" s="27"/>
      <c r="E15" s="27"/>
      <c r="F15" s="27"/>
      <c r="G15" s="27"/>
      <c r="H15" s="27"/>
      <c r="I15" s="27"/>
      <c r="J15" s="27"/>
      <c r="K15" s="20"/>
      <c r="L15" s="20"/>
      <c r="M15" s="20"/>
      <c r="N15" s="39">
        <f t="shared" si="0"/>
        <v>0</v>
      </c>
      <c r="P15" s="49">
        <f t="shared" si="1"/>
        <v>0</v>
      </c>
      <c r="Q15" s="20">
        <f t="shared" si="2"/>
        <v>0</v>
      </c>
      <c r="R15" s="50">
        <f t="shared" si="3"/>
        <v>0</v>
      </c>
    </row>
    <row r="16" spans="1:19" s="18" customFormat="1" outlineLevel="1" x14ac:dyDescent="0.2">
      <c r="A16" s="7"/>
      <c r="B16" s="17" t="s">
        <v>13</v>
      </c>
      <c r="C16" s="51"/>
      <c r="D16" s="51"/>
      <c r="E16" s="51"/>
      <c r="F16" s="51"/>
      <c r="G16" s="51"/>
      <c r="H16" s="51"/>
      <c r="I16" s="51"/>
      <c r="J16" s="51"/>
      <c r="K16" s="21"/>
      <c r="L16" s="21"/>
      <c r="M16" s="21"/>
      <c r="N16" s="59">
        <f t="shared" si="0"/>
        <v>0</v>
      </c>
      <c r="O16" s="7"/>
      <c r="P16" s="69">
        <f t="shared" si="1"/>
        <v>0</v>
      </c>
      <c r="Q16" s="54">
        <f t="shared" si="2"/>
        <v>0</v>
      </c>
      <c r="R16" s="66">
        <f t="shared" si="3"/>
        <v>0</v>
      </c>
      <c r="S16" s="7"/>
    </row>
    <row r="17" spans="1:19" outlineLevel="1" x14ac:dyDescent="0.2">
      <c r="B17" s="12" t="s">
        <v>83</v>
      </c>
      <c r="C17" s="27"/>
      <c r="D17" s="27"/>
      <c r="E17" s="27"/>
      <c r="F17" s="27"/>
      <c r="G17" s="27"/>
      <c r="H17" s="27"/>
      <c r="I17" s="27"/>
      <c r="J17" s="27"/>
      <c r="K17" s="20"/>
      <c r="L17" s="20"/>
      <c r="M17" s="20"/>
      <c r="N17" s="39">
        <f t="shared" si="0"/>
        <v>0</v>
      </c>
      <c r="P17" s="49">
        <f t="shared" si="1"/>
        <v>0</v>
      </c>
      <c r="Q17" s="20">
        <f t="shared" si="2"/>
        <v>0</v>
      </c>
      <c r="R17" s="50">
        <f t="shared" si="3"/>
        <v>0</v>
      </c>
    </row>
    <row r="18" spans="1:19" s="18" customFormat="1" outlineLevel="1" x14ac:dyDescent="0.2">
      <c r="A18" s="7"/>
      <c r="B18" s="17" t="s">
        <v>14</v>
      </c>
      <c r="C18" s="51"/>
      <c r="D18" s="51"/>
      <c r="E18" s="51"/>
      <c r="F18" s="51"/>
      <c r="G18" s="51"/>
      <c r="H18" s="51"/>
      <c r="I18" s="51"/>
      <c r="J18" s="51"/>
      <c r="K18" s="21"/>
      <c r="L18" s="21"/>
      <c r="M18" s="21"/>
      <c r="N18" s="59">
        <f t="shared" si="0"/>
        <v>0</v>
      </c>
      <c r="O18" s="7"/>
      <c r="P18" s="69">
        <f t="shared" si="1"/>
        <v>0</v>
      </c>
      <c r="Q18" s="54">
        <f t="shared" si="2"/>
        <v>0</v>
      </c>
      <c r="R18" s="66">
        <f t="shared" si="3"/>
        <v>0</v>
      </c>
      <c r="S18" s="7"/>
    </row>
    <row r="19" spans="1:19" outlineLevel="1" x14ac:dyDescent="0.2">
      <c r="B19" s="12" t="s">
        <v>15</v>
      </c>
      <c r="C19" s="27"/>
      <c r="D19" s="27"/>
      <c r="E19" s="27"/>
      <c r="F19" s="27"/>
      <c r="G19" s="27"/>
      <c r="H19" s="27"/>
      <c r="I19" s="27"/>
      <c r="J19" s="27"/>
      <c r="K19" s="20"/>
      <c r="L19" s="20"/>
      <c r="M19" s="20"/>
      <c r="N19" s="39" t="e">
        <f>AVERAGE(G19:J19)</f>
        <v>#DIV/0!</v>
      </c>
      <c r="P19" s="49">
        <f t="shared" si="1"/>
        <v>0</v>
      </c>
      <c r="Q19" s="20">
        <f t="shared" si="2"/>
        <v>0</v>
      </c>
      <c r="R19" s="50">
        <f t="shared" si="3"/>
        <v>0</v>
      </c>
    </row>
    <row r="20" spans="1:19" outlineLevel="1" x14ac:dyDescent="0.2">
      <c r="B20" s="12" t="s">
        <v>16</v>
      </c>
      <c r="C20" s="27"/>
      <c r="D20" s="27"/>
      <c r="E20" s="27"/>
      <c r="F20" s="27"/>
      <c r="G20" s="27"/>
      <c r="H20" s="27"/>
      <c r="I20" s="27"/>
      <c r="J20" s="27"/>
      <c r="K20" s="20"/>
      <c r="L20" s="20"/>
      <c r="M20" s="20"/>
      <c r="N20" s="39" t="e">
        <f>AVERAGE((G20:J20))</f>
        <v>#DIV/0!</v>
      </c>
      <c r="P20" s="49">
        <f t="shared" si="1"/>
        <v>0</v>
      </c>
      <c r="Q20" s="20">
        <f t="shared" si="2"/>
        <v>0</v>
      </c>
      <c r="R20" s="50">
        <f t="shared" si="3"/>
        <v>0</v>
      </c>
    </row>
    <row r="21" spans="1:19" outlineLevel="1" x14ac:dyDescent="0.2">
      <c r="B21" s="12" t="s">
        <v>17</v>
      </c>
      <c r="C21" s="31"/>
      <c r="D21" s="31"/>
      <c r="E21" s="31"/>
      <c r="F21" s="31"/>
      <c r="G21" s="31"/>
      <c r="H21" s="31"/>
      <c r="I21" s="31"/>
      <c r="J21" s="31"/>
      <c r="K21" s="25"/>
      <c r="L21" s="25"/>
      <c r="M21" s="25"/>
      <c r="N21" s="40" t="e">
        <f>N18/N19</f>
        <v>#DIV/0!</v>
      </c>
      <c r="P21" s="71">
        <f t="shared" si="1"/>
        <v>0</v>
      </c>
      <c r="Q21" s="72">
        <f t="shared" si="2"/>
        <v>0</v>
      </c>
      <c r="R21" s="50">
        <f t="shared" si="3"/>
        <v>0</v>
      </c>
    </row>
    <row r="22" spans="1:19" s="16" customFormat="1" ht="17" outlineLevel="1" thickBot="1" x14ac:dyDescent="0.25">
      <c r="A22" s="1"/>
      <c r="B22" s="10" t="s">
        <v>18</v>
      </c>
      <c r="C22" s="32"/>
      <c r="D22" s="32"/>
      <c r="E22" s="32"/>
      <c r="F22" s="32"/>
      <c r="G22" s="32"/>
      <c r="H22" s="32"/>
      <c r="I22" s="32"/>
      <c r="J22" s="32"/>
      <c r="K22" s="25"/>
      <c r="L22" s="25"/>
      <c r="M22" s="25"/>
      <c r="N22" s="41" t="e">
        <f>N18/N20</f>
        <v>#DIV/0!</v>
      </c>
      <c r="O22" s="1"/>
      <c r="P22" s="73">
        <f t="shared" si="1"/>
        <v>0</v>
      </c>
      <c r="Q22" s="74">
        <f t="shared" si="2"/>
        <v>0</v>
      </c>
      <c r="R22" s="68">
        <f t="shared" si="3"/>
        <v>0</v>
      </c>
      <c r="S22" s="1"/>
    </row>
    <row r="23" spans="1:19" s="16" customFormat="1" ht="17" thickBot="1" x14ac:dyDescent="0.25">
      <c r="A23" s="1"/>
      <c r="B23" s="6"/>
      <c r="E23" s="6"/>
      <c r="F23" s="6"/>
      <c r="G23" s="6"/>
      <c r="H23" s="6"/>
      <c r="I23" s="6"/>
      <c r="J23" s="8"/>
      <c r="K23" s="8"/>
      <c r="L23" s="8"/>
      <c r="M23" s="8"/>
      <c r="O23" s="1"/>
      <c r="S23" s="1"/>
    </row>
    <row r="24" spans="1:19" s="14" customFormat="1" ht="17" thickBot="1" x14ac:dyDescent="0.25">
      <c r="A24" s="4"/>
      <c r="B24" s="15" t="s">
        <v>19</v>
      </c>
      <c r="I24" s="183"/>
      <c r="J24" s="183"/>
      <c r="K24" s="4"/>
      <c r="L24" s="4"/>
      <c r="M24" s="4"/>
      <c r="O24" s="4"/>
      <c r="S24" s="4"/>
    </row>
    <row r="25" spans="1:19" outlineLevel="1" x14ac:dyDescent="0.2">
      <c r="B25" s="9" t="s">
        <v>20</v>
      </c>
      <c r="C25" s="27"/>
      <c r="D25" s="27"/>
      <c r="E25" s="27"/>
      <c r="F25" s="27"/>
      <c r="G25" s="27"/>
      <c r="H25" s="27"/>
      <c r="I25" s="27"/>
      <c r="J25" s="27"/>
      <c r="K25" s="20"/>
      <c r="L25" s="20"/>
      <c r="M25" s="20"/>
      <c r="N25" s="20">
        <f>J25</f>
        <v>0</v>
      </c>
    </row>
    <row r="26" spans="1:19" outlineLevel="1" x14ac:dyDescent="0.2">
      <c r="B26" s="9" t="s">
        <v>141</v>
      </c>
      <c r="C26" s="27"/>
      <c r="D26" s="27"/>
      <c r="E26" s="27"/>
      <c r="F26" s="27"/>
      <c r="G26" s="27"/>
      <c r="H26" s="27"/>
      <c r="I26" s="27"/>
      <c r="J26" s="27"/>
      <c r="K26" s="20"/>
      <c r="L26" s="20"/>
      <c r="M26" s="20"/>
      <c r="N26" s="20">
        <f t="shared" ref="N26:N55" si="9">J26</f>
        <v>0</v>
      </c>
    </row>
    <row r="27" spans="1:19" outlineLevel="1" x14ac:dyDescent="0.2">
      <c r="B27" s="9" t="s">
        <v>21</v>
      </c>
      <c r="C27" s="27"/>
      <c r="D27" s="27"/>
      <c r="E27" s="27"/>
      <c r="F27" s="27"/>
      <c r="G27" s="27"/>
      <c r="H27" s="27"/>
      <c r="I27" s="27"/>
      <c r="J27" s="27"/>
      <c r="K27" s="20"/>
      <c r="L27" s="20"/>
      <c r="M27" s="20"/>
      <c r="N27" s="20">
        <f t="shared" si="9"/>
        <v>0</v>
      </c>
    </row>
    <row r="28" spans="1:19" outlineLevel="1" x14ac:dyDescent="0.2">
      <c r="B28" s="9" t="s">
        <v>112</v>
      </c>
      <c r="C28" s="27"/>
      <c r="D28" s="27"/>
      <c r="E28" s="27"/>
      <c r="F28" s="27"/>
      <c r="G28" s="27"/>
      <c r="H28" s="27"/>
      <c r="I28" s="27"/>
      <c r="J28" s="27"/>
      <c r="K28" s="20"/>
      <c r="L28" s="20"/>
      <c r="M28" s="20"/>
      <c r="N28" s="20">
        <f t="shared" si="9"/>
        <v>0</v>
      </c>
    </row>
    <row r="29" spans="1:19" outlineLevel="1" x14ac:dyDescent="0.2">
      <c r="B29" s="9" t="s">
        <v>150</v>
      </c>
      <c r="C29" s="27"/>
      <c r="D29" s="27"/>
      <c r="E29" s="27"/>
      <c r="F29" s="27"/>
      <c r="G29" s="27"/>
      <c r="H29" s="27"/>
      <c r="I29" s="27"/>
      <c r="J29" s="27"/>
      <c r="K29" s="20"/>
      <c r="L29" s="20"/>
      <c r="M29" s="20"/>
      <c r="N29" s="20">
        <f t="shared" si="9"/>
        <v>0</v>
      </c>
    </row>
    <row r="30" spans="1:19" outlineLevel="1" x14ac:dyDescent="0.2">
      <c r="B30" s="9" t="s">
        <v>132</v>
      </c>
      <c r="C30" s="27"/>
      <c r="D30" s="27"/>
      <c r="E30" s="27"/>
      <c r="F30" s="27"/>
      <c r="G30" s="27"/>
      <c r="H30" s="27"/>
      <c r="I30" s="27"/>
      <c r="J30" s="27"/>
      <c r="K30" s="20"/>
      <c r="L30" s="20"/>
      <c r="M30" s="20"/>
      <c r="N30" s="20">
        <f t="shared" si="9"/>
        <v>0</v>
      </c>
    </row>
    <row r="31" spans="1:19" s="7" customFormat="1" outlineLevel="1" x14ac:dyDescent="0.2">
      <c r="B31" s="11" t="s">
        <v>22</v>
      </c>
      <c r="C31" s="55"/>
      <c r="D31" s="55"/>
      <c r="E31" s="55"/>
      <c r="F31" s="55"/>
      <c r="G31" s="55"/>
      <c r="H31" s="55"/>
      <c r="I31" s="55"/>
      <c r="J31" s="55"/>
      <c r="K31" s="21"/>
      <c r="L31" s="21"/>
      <c r="M31" s="21"/>
      <c r="N31" s="85">
        <f t="shared" si="9"/>
        <v>0</v>
      </c>
    </row>
    <row r="32" spans="1:19" outlineLevel="1" x14ac:dyDescent="0.2">
      <c r="B32" s="9" t="s">
        <v>24</v>
      </c>
      <c r="C32" s="27"/>
      <c r="D32" s="27"/>
      <c r="E32" s="27"/>
      <c r="F32" s="27"/>
      <c r="G32" s="27"/>
      <c r="H32" s="27"/>
      <c r="I32" s="27"/>
      <c r="J32" s="27"/>
      <c r="K32" s="20"/>
      <c r="L32" s="20"/>
      <c r="M32" s="20"/>
      <c r="N32" s="20">
        <f t="shared" si="9"/>
        <v>0</v>
      </c>
    </row>
    <row r="33" spans="1:19" outlineLevel="1" x14ac:dyDescent="0.2">
      <c r="B33" s="9" t="s">
        <v>25</v>
      </c>
      <c r="C33" s="27"/>
      <c r="D33" s="27"/>
      <c r="E33" s="27"/>
      <c r="F33" s="27"/>
      <c r="G33" s="27"/>
      <c r="H33" s="27"/>
      <c r="I33" s="27"/>
      <c r="J33" s="27"/>
      <c r="K33" s="20"/>
      <c r="L33" s="20"/>
      <c r="M33" s="20"/>
      <c r="N33" s="20">
        <f t="shared" si="9"/>
        <v>0</v>
      </c>
    </row>
    <row r="34" spans="1:19" outlineLevel="1" x14ac:dyDescent="0.2">
      <c r="B34" s="9" t="s">
        <v>133</v>
      </c>
      <c r="C34" s="27"/>
      <c r="D34" s="27"/>
      <c r="E34" s="27"/>
      <c r="F34" s="27"/>
      <c r="G34" s="27"/>
      <c r="H34" s="27"/>
      <c r="I34" s="27"/>
      <c r="J34" s="27"/>
      <c r="K34" s="20"/>
      <c r="L34" s="20"/>
      <c r="M34" s="20"/>
      <c r="N34" s="20">
        <f t="shared" si="9"/>
        <v>0</v>
      </c>
    </row>
    <row r="35" spans="1:19" outlineLevel="1" x14ac:dyDescent="0.2">
      <c r="B35" s="9" t="s">
        <v>114</v>
      </c>
      <c r="C35" s="27"/>
      <c r="D35" s="27"/>
      <c r="E35" s="27"/>
      <c r="F35" s="27"/>
      <c r="G35" s="27"/>
      <c r="H35" s="27"/>
      <c r="I35" s="27"/>
      <c r="J35" s="27"/>
      <c r="K35" s="20"/>
      <c r="L35" s="20"/>
      <c r="M35" s="20"/>
      <c r="N35" s="20">
        <f t="shared" si="9"/>
        <v>0</v>
      </c>
    </row>
    <row r="36" spans="1:19" outlineLevel="1" x14ac:dyDescent="0.2">
      <c r="B36" s="9" t="s">
        <v>142</v>
      </c>
      <c r="C36" s="27"/>
      <c r="D36" s="27"/>
      <c r="E36" s="27"/>
      <c r="F36" s="27"/>
      <c r="G36" s="27"/>
      <c r="H36" s="27"/>
      <c r="I36" s="27"/>
      <c r="J36" s="27"/>
      <c r="K36" s="20"/>
      <c r="L36" s="20"/>
      <c r="M36" s="20"/>
      <c r="N36" s="20">
        <f t="shared" si="9"/>
        <v>0</v>
      </c>
    </row>
    <row r="37" spans="1:19" outlineLevel="1" x14ac:dyDescent="0.2">
      <c r="B37" s="9" t="s">
        <v>23</v>
      </c>
      <c r="C37" s="27"/>
      <c r="D37" s="27"/>
      <c r="E37" s="27"/>
      <c r="F37" s="27"/>
      <c r="G37" s="27"/>
      <c r="H37" s="27"/>
      <c r="I37" s="27"/>
      <c r="J37" s="27"/>
      <c r="K37" s="20"/>
      <c r="L37" s="20"/>
      <c r="M37" s="20"/>
      <c r="N37" s="20">
        <f t="shared" si="9"/>
        <v>0</v>
      </c>
    </row>
    <row r="38" spans="1:19" outlineLevel="1" x14ac:dyDescent="0.2">
      <c r="B38" s="9" t="s">
        <v>38</v>
      </c>
      <c r="C38" s="27"/>
      <c r="D38" s="27"/>
      <c r="E38" s="27"/>
      <c r="F38" s="27"/>
      <c r="G38" s="27"/>
      <c r="H38" s="27"/>
      <c r="I38" s="27"/>
      <c r="J38" s="27"/>
      <c r="K38" s="20"/>
      <c r="L38" s="20"/>
      <c r="M38" s="20"/>
      <c r="N38" s="20">
        <f t="shared" si="9"/>
        <v>0</v>
      </c>
    </row>
    <row r="39" spans="1:19" outlineLevel="1" x14ac:dyDescent="0.2">
      <c r="B39" s="9" t="s">
        <v>26</v>
      </c>
      <c r="C39" s="27"/>
      <c r="D39" s="27"/>
      <c r="E39" s="27"/>
      <c r="F39" s="27"/>
      <c r="G39" s="27"/>
      <c r="H39" s="27"/>
      <c r="I39" s="27"/>
      <c r="J39" s="27"/>
      <c r="K39" s="20"/>
      <c r="L39" s="20"/>
      <c r="M39" s="20"/>
      <c r="N39" s="20">
        <f t="shared" si="9"/>
        <v>0</v>
      </c>
    </row>
    <row r="40" spans="1:19" s="7" customFormat="1" outlineLevel="1" x14ac:dyDescent="0.2">
      <c r="B40" s="11" t="s">
        <v>27</v>
      </c>
      <c r="C40" s="56">
        <f>SUM(C32:C39)</f>
        <v>0</v>
      </c>
      <c r="D40" s="56">
        <f t="shared" ref="D40:I40" si="10">SUM(D32:D39)</f>
        <v>0</v>
      </c>
      <c r="E40" s="56">
        <f t="shared" si="10"/>
        <v>0</v>
      </c>
      <c r="F40" s="56">
        <f t="shared" si="10"/>
        <v>0</v>
      </c>
      <c r="G40" s="56">
        <f t="shared" si="10"/>
        <v>0</v>
      </c>
      <c r="H40" s="56">
        <f t="shared" si="10"/>
        <v>0</v>
      </c>
      <c r="I40" s="56">
        <f t="shared" si="10"/>
        <v>0</v>
      </c>
      <c r="J40" s="56">
        <f t="shared" ref="J40" si="11">SUM(J32:J39)</f>
        <v>0</v>
      </c>
      <c r="K40" s="21"/>
      <c r="L40" s="21"/>
      <c r="M40" s="21"/>
      <c r="N40" s="86">
        <f t="shared" si="9"/>
        <v>0</v>
      </c>
    </row>
    <row r="41" spans="1:19" s="18" customFormat="1" outlineLevel="1" x14ac:dyDescent="0.2">
      <c r="A41" s="7"/>
      <c r="B41" s="17" t="s">
        <v>28</v>
      </c>
      <c r="C41" s="51"/>
      <c r="D41" s="51"/>
      <c r="E41" s="51"/>
      <c r="F41" s="51"/>
      <c r="G41" s="51"/>
      <c r="H41" s="51"/>
      <c r="I41" s="51"/>
      <c r="J41" s="51"/>
      <c r="K41" s="21"/>
      <c r="L41" s="21"/>
      <c r="M41" s="21"/>
      <c r="N41" s="60">
        <f t="shared" si="9"/>
        <v>0</v>
      </c>
      <c r="O41" s="7"/>
      <c r="S41" s="7"/>
    </row>
    <row r="42" spans="1:19" outlineLevel="1" x14ac:dyDescent="0.2">
      <c r="B42" s="9" t="s">
        <v>29</v>
      </c>
      <c r="C42" s="27"/>
      <c r="D42" s="27"/>
      <c r="E42" s="27"/>
      <c r="F42" s="27"/>
      <c r="G42" s="27"/>
      <c r="H42" s="27"/>
      <c r="I42" s="27"/>
      <c r="J42" s="27"/>
      <c r="K42" s="20"/>
      <c r="L42" s="20"/>
      <c r="M42" s="20"/>
      <c r="N42" s="20">
        <f t="shared" si="9"/>
        <v>0</v>
      </c>
    </row>
    <row r="43" spans="1:19" outlineLevel="1" x14ac:dyDescent="0.2">
      <c r="B43" s="9" t="s">
        <v>115</v>
      </c>
      <c r="C43" s="27"/>
      <c r="D43" s="27"/>
      <c r="E43" s="27"/>
      <c r="F43" s="27"/>
      <c r="G43" s="27"/>
      <c r="H43" s="27"/>
      <c r="I43" s="27"/>
      <c r="J43" s="27"/>
      <c r="K43" s="20"/>
      <c r="L43" s="20"/>
      <c r="M43" s="20"/>
      <c r="N43" s="20">
        <f t="shared" si="9"/>
        <v>0</v>
      </c>
    </row>
    <row r="44" spans="1:19" outlineLevel="1" x14ac:dyDescent="0.2">
      <c r="B44" s="9" t="s">
        <v>37</v>
      </c>
      <c r="C44" s="27"/>
      <c r="D44" s="27"/>
      <c r="E44" s="27"/>
      <c r="F44" s="27"/>
      <c r="G44" s="27"/>
      <c r="H44" s="27"/>
      <c r="I44" s="27"/>
      <c r="J44" s="27"/>
      <c r="K44" s="20"/>
      <c r="L44" s="20"/>
      <c r="M44" s="20"/>
      <c r="N44" s="20">
        <f t="shared" si="9"/>
        <v>0</v>
      </c>
    </row>
    <row r="45" spans="1:19" outlineLevel="1" x14ac:dyDescent="0.2">
      <c r="B45" s="9" t="s">
        <v>116</v>
      </c>
      <c r="C45" s="27"/>
      <c r="D45" s="27"/>
      <c r="E45" s="27"/>
      <c r="F45" s="27"/>
      <c r="G45" s="27"/>
      <c r="H45" s="27"/>
      <c r="I45" s="27"/>
      <c r="J45" s="27"/>
      <c r="K45" s="20"/>
      <c r="L45" s="20"/>
      <c r="M45" s="20"/>
      <c r="N45" s="20">
        <f t="shared" si="9"/>
        <v>0</v>
      </c>
    </row>
    <row r="46" spans="1:19" s="7" customFormat="1" outlineLevel="1" x14ac:dyDescent="0.2">
      <c r="B46" s="11" t="s">
        <v>32</v>
      </c>
      <c r="C46" s="55"/>
      <c r="D46" s="55"/>
      <c r="E46" s="55"/>
      <c r="F46" s="55"/>
      <c r="G46" s="55"/>
      <c r="H46" s="55"/>
      <c r="I46" s="55"/>
      <c r="J46" s="55"/>
      <c r="K46" s="21"/>
      <c r="L46" s="21"/>
      <c r="M46" s="21"/>
      <c r="N46" s="85">
        <f t="shared" si="9"/>
        <v>0</v>
      </c>
    </row>
    <row r="47" spans="1:19" outlineLevel="1" x14ac:dyDescent="0.2">
      <c r="B47" s="9" t="s">
        <v>117</v>
      </c>
      <c r="C47" s="27"/>
      <c r="D47" s="27"/>
      <c r="E47" s="27"/>
      <c r="F47" s="27"/>
      <c r="G47" s="27"/>
      <c r="H47" s="27"/>
      <c r="I47" s="27"/>
      <c r="J47" s="27"/>
      <c r="K47" s="20"/>
      <c r="L47" s="20"/>
      <c r="M47" s="20"/>
      <c r="N47" s="20">
        <f t="shared" si="9"/>
        <v>0</v>
      </c>
    </row>
    <row r="48" spans="1:19" outlineLevel="1" x14ac:dyDescent="0.2">
      <c r="B48" s="9" t="s">
        <v>143</v>
      </c>
      <c r="C48" s="27"/>
      <c r="D48" s="27"/>
      <c r="E48" s="27"/>
      <c r="F48" s="27"/>
      <c r="G48" s="27"/>
      <c r="H48" s="27"/>
      <c r="I48" s="27"/>
      <c r="J48" s="27"/>
      <c r="K48" s="20"/>
      <c r="L48" s="20"/>
      <c r="M48" s="20"/>
      <c r="N48" s="20">
        <f t="shared" si="9"/>
        <v>0</v>
      </c>
    </row>
    <row r="49" spans="1:19" s="7" customFormat="1" outlineLevel="1" x14ac:dyDescent="0.2">
      <c r="B49" s="11" t="s">
        <v>30</v>
      </c>
      <c r="C49" s="56">
        <f t="shared" ref="C49:I49" si="12">SUM(C47:C48)</f>
        <v>0</v>
      </c>
      <c r="D49" s="56">
        <f t="shared" si="12"/>
        <v>0</v>
      </c>
      <c r="E49" s="56">
        <f t="shared" si="12"/>
        <v>0</v>
      </c>
      <c r="F49" s="56">
        <f t="shared" si="12"/>
        <v>0</v>
      </c>
      <c r="G49" s="56">
        <f t="shared" si="12"/>
        <v>0</v>
      </c>
      <c r="H49" s="56">
        <f t="shared" si="12"/>
        <v>0</v>
      </c>
      <c r="I49" s="56">
        <f t="shared" si="12"/>
        <v>0</v>
      </c>
      <c r="J49" s="56">
        <f t="shared" ref="J49" si="13">SUM(J47:J48)</f>
        <v>0</v>
      </c>
      <c r="K49" s="21"/>
      <c r="L49" s="21"/>
      <c r="M49" s="21"/>
      <c r="N49" s="20">
        <f t="shared" si="9"/>
        <v>0</v>
      </c>
    </row>
    <row r="50" spans="1:19" s="18" customFormat="1" outlineLevel="1" x14ac:dyDescent="0.2">
      <c r="A50" s="7"/>
      <c r="B50" s="17" t="s">
        <v>31</v>
      </c>
      <c r="C50" s="51"/>
      <c r="D50" s="51"/>
      <c r="E50" s="51"/>
      <c r="F50" s="51"/>
      <c r="G50" s="51"/>
      <c r="H50" s="51"/>
      <c r="I50" s="51"/>
      <c r="J50" s="51"/>
      <c r="K50" s="21"/>
      <c r="L50" s="21"/>
      <c r="M50" s="21"/>
      <c r="N50" s="60">
        <f t="shared" si="9"/>
        <v>0</v>
      </c>
      <c r="O50" s="7"/>
      <c r="S50" s="7"/>
    </row>
    <row r="51" spans="1:19" outlineLevel="1" x14ac:dyDescent="0.2">
      <c r="B51" s="9" t="s">
        <v>33</v>
      </c>
      <c r="C51" s="27"/>
      <c r="D51" s="27"/>
      <c r="E51" s="27"/>
      <c r="F51" s="27"/>
      <c r="G51" s="27"/>
      <c r="H51" s="27"/>
      <c r="I51" s="27"/>
      <c r="J51" s="27"/>
      <c r="K51" s="20"/>
      <c r="L51" s="20"/>
      <c r="M51" s="20"/>
      <c r="N51" s="20">
        <f t="shared" si="9"/>
        <v>0</v>
      </c>
    </row>
    <row r="52" spans="1:19" outlineLevel="1" x14ac:dyDescent="0.2">
      <c r="B52" s="9" t="s">
        <v>118</v>
      </c>
      <c r="C52" s="27"/>
      <c r="D52" s="27"/>
      <c r="E52" s="27"/>
      <c r="F52" s="27"/>
      <c r="G52" s="27"/>
      <c r="H52" s="27"/>
      <c r="I52" s="27"/>
      <c r="J52" s="27"/>
      <c r="K52" s="20"/>
      <c r="L52" s="20"/>
      <c r="M52" s="20"/>
      <c r="N52" s="20">
        <f t="shared" si="9"/>
        <v>0</v>
      </c>
    </row>
    <row r="53" spans="1:19" outlineLevel="1" x14ac:dyDescent="0.2">
      <c r="B53" s="9" t="s">
        <v>34</v>
      </c>
      <c r="C53" s="27"/>
      <c r="D53" s="27"/>
      <c r="E53" s="27"/>
      <c r="F53" s="27"/>
      <c r="G53" s="27"/>
      <c r="H53" s="27"/>
      <c r="I53" s="27"/>
      <c r="J53" s="27"/>
      <c r="K53" s="20"/>
      <c r="L53" s="20"/>
      <c r="M53" s="20"/>
      <c r="N53" s="20">
        <f t="shared" si="9"/>
        <v>0</v>
      </c>
    </row>
    <row r="54" spans="1:19" s="7" customFormat="1" outlineLevel="1" x14ac:dyDescent="0.2">
      <c r="B54" s="11" t="s">
        <v>35</v>
      </c>
      <c r="C54" s="55"/>
      <c r="D54" s="55"/>
      <c r="E54" s="55"/>
      <c r="F54" s="55"/>
      <c r="G54" s="55"/>
      <c r="H54" s="55"/>
      <c r="I54" s="55"/>
      <c r="J54" s="55"/>
      <c r="K54" s="21"/>
      <c r="L54" s="21"/>
      <c r="M54" s="21"/>
      <c r="N54" s="85">
        <f t="shared" si="9"/>
        <v>0</v>
      </c>
    </row>
    <row r="55" spans="1:19" s="13" customFormat="1" ht="17" outlineLevel="1" thickBot="1" x14ac:dyDescent="0.25">
      <c r="A55" s="7"/>
      <c r="B55" s="19" t="s">
        <v>36</v>
      </c>
      <c r="C55" s="58"/>
      <c r="D55" s="58"/>
      <c r="E55" s="58"/>
      <c r="F55" s="58"/>
      <c r="G55" s="58"/>
      <c r="H55" s="58"/>
      <c r="I55" s="58"/>
      <c r="J55" s="58"/>
      <c r="K55" s="21"/>
      <c r="L55" s="21"/>
      <c r="M55" s="21"/>
      <c r="N55" s="87">
        <f t="shared" si="9"/>
        <v>0</v>
      </c>
      <c r="O55" s="7"/>
      <c r="S55" s="7"/>
    </row>
    <row r="56" spans="1:19" x14ac:dyDescent="0.2">
      <c r="B56" s="1"/>
    </row>
    <row r="57" spans="1:19" s="14" customFormat="1" ht="17" thickBot="1" x14ac:dyDescent="0.25">
      <c r="A57" s="4"/>
      <c r="B57" s="15" t="s">
        <v>39</v>
      </c>
      <c r="K57" s="4"/>
      <c r="L57" s="4"/>
      <c r="M57" s="4"/>
      <c r="O57" s="4"/>
      <c r="S57" s="4"/>
    </row>
    <row r="58" spans="1:19" outlineLevel="1" x14ac:dyDescent="0.2">
      <c r="B58" s="9" t="s">
        <v>14</v>
      </c>
      <c r="C58" s="20">
        <f t="shared" ref="C58:I58" si="14">C18</f>
        <v>0</v>
      </c>
      <c r="D58" s="20">
        <f t="shared" si="14"/>
        <v>0</v>
      </c>
      <c r="E58" s="20">
        <f t="shared" si="14"/>
        <v>0</v>
      </c>
      <c r="F58" s="20">
        <f t="shared" si="14"/>
        <v>0</v>
      </c>
      <c r="G58" s="20">
        <f t="shared" si="14"/>
        <v>0</v>
      </c>
      <c r="H58" s="20">
        <f t="shared" si="14"/>
        <v>0</v>
      </c>
      <c r="I58" s="20">
        <f t="shared" si="14"/>
        <v>0</v>
      </c>
      <c r="J58" s="20">
        <f t="shared" ref="J58" si="15">J18</f>
        <v>0</v>
      </c>
      <c r="K58" s="20"/>
      <c r="L58" s="20"/>
      <c r="M58" s="20"/>
      <c r="N58" s="20">
        <f>SUM(G58:J58)</f>
        <v>0</v>
      </c>
    </row>
    <row r="59" spans="1:19" outlineLevel="1" x14ac:dyDescent="0.2">
      <c r="B59" s="9" t="s">
        <v>40</v>
      </c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0"/>
      <c r="N59" s="27">
        <f t="shared" ref="N59:N92" si="16">SUM(G59:J59)</f>
        <v>0</v>
      </c>
    </row>
    <row r="60" spans="1:19" outlineLevel="1" x14ac:dyDescent="0.2">
      <c r="B60" s="9" t="s">
        <v>156</v>
      </c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0"/>
      <c r="N60" s="27">
        <f t="shared" si="16"/>
        <v>0</v>
      </c>
    </row>
    <row r="61" spans="1:19" outlineLevel="1" x14ac:dyDescent="0.2">
      <c r="B61" s="12" t="s">
        <v>119</v>
      </c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0"/>
      <c r="N61" s="27">
        <f t="shared" si="16"/>
        <v>0</v>
      </c>
    </row>
    <row r="62" spans="1:19" outlineLevel="1" x14ac:dyDescent="0.2">
      <c r="B62" s="12" t="s">
        <v>144</v>
      </c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0"/>
      <c r="N62" s="27">
        <f t="shared" si="16"/>
        <v>0</v>
      </c>
    </row>
    <row r="63" spans="1:19" outlineLevel="1" x14ac:dyDescent="0.2">
      <c r="B63" s="12" t="s">
        <v>136</v>
      </c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0"/>
      <c r="N63" s="27">
        <f t="shared" si="16"/>
        <v>0</v>
      </c>
    </row>
    <row r="64" spans="1:19" outlineLevel="1" x14ac:dyDescent="0.2">
      <c r="B64" s="12" t="s">
        <v>137</v>
      </c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0"/>
      <c r="N64" s="27">
        <f t="shared" si="16"/>
        <v>0</v>
      </c>
    </row>
    <row r="65" spans="1:19" outlineLevel="1" x14ac:dyDescent="0.2">
      <c r="B65" s="12" t="s">
        <v>145</v>
      </c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0"/>
      <c r="N65" s="27">
        <f t="shared" si="16"/>
        <v>0</v>
      </c>
    </row>
    <row r="66" spans="1:19" outlineLevel="1" x14ac:dyDescent="0.2">
      <c r="B66" s="9" t="s">
        <v>120</v>
      </c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0"/>
      <c r="N66" s="27">
        <f t="shared" si="16"/>
        <v>0</v>
      </c>
    </row>
    <row r="67" spans="1:19" outlineLevel="1" x14ac:dyDescent="0.2">
      <c r="B67" s="9" t="s">
        <v>41</v>
      </c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0"/>
      <c r="N67" s="27">
        <f t="shared" si="16"/>
        <v>0</v>
      </c>
    </row>
    <row r="68" spans="1:19" outlineLevel="1" x14ac:dyDescent="0.2">
      <c r="B68" s="9" t="s">
        <v>121</v>
      </c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0"/>
      <c r="N68" s="27">
        <f t="shared" si="16"/>
        <v>0</v>
      </c>
    </row>
    <row r="69" spans="1:19" outlineLevel="1" x14ac:dyDescent="0.2">
      <c r="B69" s="9" t="s">
        <v>122</v>
      </c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0"/>
      <c r="N69" s="27">
        <f t="shared" si="16"/>
        <v>0</v>
      </c>
    </row>
    <row r="70" spans="1:19" outlineLevel="1" x14ac:dyDescent="0.2">
      <c r="B70" s="9" t="s">
        <v>42</v>
      </c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0"/>
      <c r="N70" s="27">
        <f t="shared" si="16"/>
        <v>0</v>
      </c>
    </row>
    <row r="71" spans="1:19" outlineLevel="1" x14ac:dyDescent="0.2">
      <c r="B71" s="9" t="s">
        <v>123</v>
      </c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0"/>
      <c r="N71" s="27">
        <f t="shared" si="16"/>
        <v>0</v>
      </c>
    </row>
    <row r="72" spans="1:19" outlineLevel="1" x14ac:dyDescent="0.2">
      <c r="B72" s="9" t="s">
        <v>124</v>
      </c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0"/>
      <c r="N72" s="27">
        <f t="shared" si="16"/>
        <v>0</v>
      </c>
    </row>
    <row r="73" spans="1:19" s="18" customFormat="1" outlineLevel="1" x14ac:dyDescent="0.2">
      <c r="A73" s="7"/>
      <c r="B73" s="17" t="s">
        <v>43</v>
      </c>
      <c r="C73" s="51"/>
      <c r="D73" s="51"/>
      <c r="E73" s="51"/>
      <c r="F73" s="51"/>
      <c r="G73" s="51"/>
      <c r="H73" s="51"/>
      <c r="I73" s="51"/>
      <c r="J73" s="51"/>
      <c r="K73" s="33"/>
      <c r="L73" s="33"/>
      <c r="M73" s="21"/>
      <c r="N73" s="51">
        <f t="shared" si="16"/>
        <v>0</v>
      </c>
      <c r="O73" s="7"/>
      <c r="S73" s="7"/>
    </row>
    <row r="74" spans="1:19" outlineLevel="1" x14ac:dyDescent="0.2">
      <c r="B74" s="9" t="s">
        <v>44</v>
      </c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0"/>
      <c r="N74" s="27">
        <f t="shared" si="16"/>
        <v>0</v>
      </c>
    </row>
    <row r="75" spans="1:19" outlineLevel="1" x14ac:dyDescent="0.2">
      <c r="B75" s="9" t="s">
        <v>146</v>
      </c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0"/>
      <c r="N75" s="27">
        <f t="shared" si="16"/>
        <v>0</v>
      </c>
    </row>
    <row r="76" spans="1:19" outlineLevel="1" x14ac:dyDescent="0.2">
      <c r="B76" s="9" t="s">
        <v>147</v>
      </c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0"/>
      <c r="N76" s="27">
        <f t="shared" si="16"/>
        <v>0</v>
      </c>
    </row>
    <row r="77" spans="1:19" outlineLevel="1" x14ac:dyDescent="0.2">
      <c r="B77" s="9" t="s">
        <v>134</v>
      </c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0"/>
      <c r="N77" s="27">
        <f t="shared" si="16"/>
        <v>0</v>
      </c>
    </row>
    <row r="78" spans="1:19" outlineLevel="1" x14ac:dyDescent="0.2">
      <c r="B78" s="9" t="s">
        <v>157</v>
      </c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0"/>
      <c r="N78" s="27">
        <f t="shared" si="16"/>
        <v>0</v>
      </c>
    </row>
    <row r="79" spans="1:19" outlineLevel="1" x14ac:dyDescent="0.2">
      <c r="B79" s="9" t="s">
        <v>138</v>
      </c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0"/>
      <c r="N79" s="27">
        <f t="shared" si="16"/>
        <v>0</v>
      </c>
    </row>
    <row r="80" spans="1:19" outlineLevel="1" x14ac:dyDescent="0.2">
      <c r="B80" s="12" t="s">
        <v>113</v>
      </c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0"/>
      <c r="N80" s="27">
        <f t="shared" si="16"/>
        <v>0</v>
      </c>
    </row>
    <row r="81" spans="1:19" s="18" customFormat="1" outlineLevel="1" x14ac:dyDescent="0.2">
      <c r="A81" s="7"/>
      <c r="B81" s="17" t="s">
        <v>45</v>
      </c>
      <c r="C81" s="51"/>
      <c r="D81" s="51"/>
      <c r="E81" s="51"/>
      <c r="F81" s="51"/>
      <c r="G81" s="51"/>
      <c r="H81" s="51"/>
      <c r="I81" s="51"/>
      <c r="J81" s="51"/>
      <c r="K81" s="33"/>
      <c r="L81" s="33"/>
      <c r="M81" s="21"/>
      <c r="N81" s="51">
        <f t="shared" si="16"/>
        <v>0</v>
      </c>
      <c r="O81" s="7"/>
      <c r="S81" s="7"/>
    </row>
    <row r="82" spans="1:19" outlineLevel="1" x14ac:dyDescent="0.2">
      <c r="B82" s="9" t="s">
        <v>46</v>
      </c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0"/>
      <c r="N82" s="27">
        <f t="shared" si="16"/>
        <v>0</v>
      </c>
    </row>
    <row r="83" spans="1:19" outlineLevel="1" x14ac:dyDescent="0.2">
      <c r="B83" s="9" t="s">
        <v>47</v>
      </c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0"/>
      <c r="N83" s="27">
        <f t="shared" si="16"/>
        <v>0</v>
      </c>
    </row>
    <row r="84" spans="1:19" outlineLevel="1" x14ac:dyDescent="0.2">
      <c r="B84" s="9" t="s">
        <v>55</v>
      </c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0"/>
      <c r="N84" s="27">
        <f t="shared" si="16"/>
        <v>0</v>
      </c>
    </row>
    <row r="85" spans="1:19" outlineLevel="1" x14ac:dyDescent="0.2">
      <c r="B85" s="9" t="s">
        <v>48</v>
      </c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0"/>
      <c r="N85" s="27">
        <f t="shared" si="16"/>
        <v>0</v>
      </c>
    </row>
    <row r="86" spans="1:19" outlineLevel="1" x14ac:dyDescent="0.2">
      <c r="B86" s="9" t="s">
        <v>49</v>
      </c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0"/>
      <c r="N86" s="27">
        <f t="shared" si="16"/>
        <v>0</v>
      </c>
    </row>
    <row r="87" spans="1:19" outlineLevel="1" x14ac:dyDescent="0.2">
      <c r="B87" s="9" t="s">
        <v>330</v>
      </c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0"/>
      <c r="N87" s="27">
        <f t="shared" si="16"/>
        <v>0</v>
      </c>
    </row>
    <row r="88" spans="1:19" outlineLevel="1" x14ac:dyDescent="0.2">
      <c r="B88" s="9" t="s">
        <v>139</v>
      </c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0"/>
      <c r="N88" s="27">
        <f t="shared" si="16"/>
        <v>0</v>
      </c>
    </row>
    <row r="89" spans="1:19" outlineLevel="1" x14ac:dyDescent="0.2">
      <c r="B89" s="9" t="s">
        <v>50</v>
      </c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0"/>
      <c r="N89" s="27">
        <f t="shared" si="16"/>
        <v>0</v>
      </c>
    </row>
    <row r="90" spans="1:19" outlineLevel="1" x14ac:dyDescent="0.2">
      <c r="B90" s="9" t="s">
        <v>155</v>
      </c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0"/>
      <c r="N90" s="27">
        <f t="shared" si="16"/>
        <v>0</v>
      </c>
    </row>
    <row r="91" spans="1:19" s="18" customFormat="1" outlineLevel="1" x14ac:dyDescent="0.2">
      <c r="A91" s="7"/>
      <c r="B91" s="17" t="s">
        <v>51</v>
      </c>
      <c r="C91" s="51"/>
      <c r="D91" s="51"/>
      <c r="E91" s="51"/>
      <c r="F91" s="51"/>
      <c r="G91" s="51"/>
      <c r="H91" s="51"/>
      <c r="I91" s="51"/>
      <c r="J91" s="51"/>
      <c r="K91" s="33"/>
      <c r="L91" s="33"/>
      <c r="M91" s="21"/>
      <c r="N91" s="51">
        <f t="shared" si="16"/>
        <v>0</v>
      </c>
      <c r="O91" s="7"/>
      <c r="S91" s="7"/>
    </row>
    <row r="92" spans="1:19" s="7" customFormat="1" outlineLevel="1" x14ac:dyDescent="0.2">
      <c r="B92" s="11" t="s">
        <v>52</v>
      </c>
      <c r="C92" s="55"/>
      <c r="D92" s="55"/>
      <c r="E92" s="55"/>
      <c r="F92" s="55"/>
      <c r="G92" s="55"/>
      <c r="H92" s="55"/>
      <c r="I92" s="55"/>
      <c r="J92" s="55"/>
      <c r="K92" s="33"/>
      <c r="L92" s="33"/>
      <c r="M92" s="21"/>
      <c r="N92" s="55">
        <f t="shared" si="16"/>
        <v>0</v>
      </c>
    </row>
    <row r="93" spans="1:19" s="7" customFormat="1" outlineLevel="1" x14ac:dyDescent="0.2">
      <c r="B93" s="11" t="s">
        <v>53</v>
      </c>
      <c r="C93" s="55"/>
      <c r="D93" s="55"/>
      <c r="E93" s="55"/>
      <c r="F93" s="55"/>
      <c r="G93" s="55"/>
      <c r="H93" s="55"/>
      <c r="I93" s="55"/>
      <c r="J93" s="55"/>
      <c r="K93" s="21"/>
      <c r="L93" s="21"/>
      <c r="M93" s="21"/>
      <c r="N93" s="55">
        <f>G93</f>
        <v>0</v>
      </c>
    </row>
    <row r="94" spans="1:19" s="13" customFormat="1" ht="17" outlineLevel="1" thickBot="1" x14ac:dyDescent="0.25">
      <c r="A94" s="7"/>
      <c r="B94" s="19" t="s">
        <v>54</v>
      </c>
      <c r="C94" s="58"/>
      <c r="D94" s="58"/>
      <c r="E94" s="58"/>
      <c r="F94" s="58"/>
      <c r="G94" s="58"/>
      <c r="H94" s="58"/>
      <c r="I94" s="58"/>
      <c r="J94" s="51"/>
      <c r="K94" s="21"/>
      <c r="L94" s="21"/>
      <c r="M94" s="21"/>
      <c r="N94" s="58">
        <f>J94</f>
        <v>0</v>
      </c>
      <c r="O94" s="7"/>
      <c r="S94" s="7"/>
    </row>
    <row r="95" spans="1:19" x14ac:dyDescent="0.2">
      <c r="B95" s="1"/>
    </row>
    <row r="96" spans="1:19" s="14" customFormat="1" ht="17" thickBot="1" x14ac:dyDescent="0.25">
      <c r="A96" s="4"/>
      <c r="B96" s="15" t="s">
        <v>56</v>
      </c>
      <c r="K96" s="4"/>
      <c r="L96" s="4"/>
      <c r="M96" s="4"/>
      <c r="O96" s="4"/>
      <c r="S96" s="4"/>
    </row>
    <row r="97" spans="1:19" hidden="1" outlineLevel="2" x14ac:dyDescent="0.2">
      <c r="B97" s="9" t="s">
        <v>57</v>
      </c>
      <c r="C97" s="20">
        <f>C5-C6-C11+C13+C14+C15+C17</f>
        <v>0</v>
      </c>
      <c r="D97" s="20">
        <f t="shared" ref="D97:I97" si="17">D5-D6-D11+D13+D14++D15+D17</f>
        <v>0</v>
      </c>
      <c r="E97" s="20">
        <f t="shared" si="17"/>
        <v>0</v>
      </c>
      <c r="F97" s="20">
        <f t="shared" si="17"/>
        <v>0</v>
      </c>
      <c r="G97" s="20">
        <f t="shared" si="17"/>
        <v>0</v>
      </c>
      <c r="H97" s="20">
        <f t="shared" si="17"/>
        <v>0</v>
      </c>
      <c r="I97" s="20">
        <f t="shared" si="17"/>
        <v>0</v>
      </c>
      <c r="J97" s="20">
        <f t="shared" ref="J97" si="18">J5-J6-J11+J13+J14++J15+J17</f>
        <v>0</v>
      </c>
      <c r="K97" s="20"/>
      <c r="L97" s="20"/>
      <c r="M97" s="20"/>
    </row>
    <row r="98" spans="1:19" s="18" customFormat="1" outlineLevel="1" collapsed="1" x14ac:dyDescent="0.2">
      <c r="A98" s="7"/>
      <c r="B98" s="17" t="s">
        <v>58</v>
      </c>
      <c r="C98" s="24">
        <f t="shared" ref="C98:I98" si="19">C18-C97</f>
        <v>0</v>
      </c>
      <c r="D98" s="24">
        <f t="shared" si="19"/>
        <v>0</v>
      </c>
      <c r="E98" s="24">
        <f t="shared" si="19"/>
        <v>0</v>
      </c>
      <c r="F98" s="24">
        <f t="shared" si="19"/>
        <v>0</v>
      </c>
      <c r="G98" s="24">
        <f t="shared" si="19"/>
        <v>0</v>
      </c>
      <c r="H98" s="24">
        <f t="shared" si="19"/>
        <v>0</v>
      </c>
      <c r="I98" s="24">
        <f t="shared" si="19"/>
        <v>0</v>
      </c>
      <c r="J98" s="24">
        <f t="shared" ref="J98" si="20">J18-J97</f>
        <v>0</v>
      </c>
      <c r="K98" s="26"/>
      <c r="L98" s="26"/>
      <c r="M98" s="26"/>
      <c r="O98" s="7"/>
      <c r="S98" s="7"/>
    </row>
    <row r="99" spans="1:19" hidden="1" outlineLevel="2" x14ac:dyDescent="0.2">
      <c r="B99" s="9" t="s">
        <v>59</v>
      </c>
      <c r="C99" s="20">
        <f t="shared" ref="C99:I99" si="21">SUM(C25:C30)+SUM(C32:C39)</f>
        <v>0</v>
      </c>
      <c r="D99" s="20">
        <f t="shared" si="21"/>
        <v>0</v>
      </c>
      <c r="E99" s="20">
        <f t="shared" si="21"/>
        <v>0</v>
      </c>
      <c r="F99" s="20">
        <f t="shared" si="21"/>
        <v>0</v>
      </c>
      <c r="G99" s="20">
        <f t="shared" si="21"/>
        <v>0</v>
      </c>
      <c r="H99" s="20">
        <f t="shared" si="21"/>
        <v>0</v>
      </c>
      <c r="I99" s="20">
        <f t="shared" si="21"/>
        <v>0</v>
      </c>
      <c r="J99" s="20">
        <f t="shared" ref="J99" si="22">SUM(J25:J30)+SUM(J32:J39)</f>
        <v>0</v>
      </c>
      <c r="K99" s="20"/>
      <c r="L99" s="20"/>
      <c r="M99" s="20"/>
    </row>
    <row r="100" spans="1:19" s="7" customFormat="1" outlineLevel="1" collapsed="1" x14ac:dyDescent="0.2">
      <c r="B100" s="11" t="s">
        <v>60</v>
      </c>
      <c r="C100" s="23">
        <f t="shared" ref="C100:I100" si="23">C41-C99</f>
        <v>0</v>
      </c>
      <c r="D100" s="23">
        <f t="shared" si="23"/>
        <v>0</v>
      </c>
      <c r="E100" s="23">
        <f t="shared" si="23"/>
        <v>0</v>
      </c>
      <c r="F100" s="23">
        <f t="shared" si="23"/>
        <v>0</v>
      </c>
      <c r="G100" s="23">
        <f t="shared" si="23"/>
        <v>0</v>
      </c>
      <c r="H100" s="23">
        <f t="shared" si="23"/>
        <v>0</v>
      </c>
      <c r="I100" s="23">
        <f t="shared" si="23"/>
        <v>0</v>
      </c>
      <c r="J100" s="23">
        <f t="shared" ref="J100" si="24">J41-J99</f>
        <v>0</v>
      </c>
      <c r="K100" s="26"/>
      <c r="L100" s="26"/>
      <c r="M100" s="26"/>
    </row>
    <row r="101" spans="1:19" hidden="1" outlineLevel="2" x14ac:dyDescent="0.2">
      <c r="B101" s="9" t="s">
        <v>61</v>
      </c>
      <c r="C101" s="20">
        <f t="shared" ref="C101:I101" si="25">SUM(C42:C45)+SUM(C47:C48)</f>
        <v>0</v>
      </c>
      <c r="D101" s="20">
        <f t="shared" si="25"/>
        <v>0</v>
      </c>
      <c r="E101" s="20">
        <f t="shared" si="25"/>
        <v>0</v>
      </c>
      <c r="F101" s="20">
        <f t="shared" si="25"/>
        <v>0</v>
      </c>
      <c r="G101" s="20">
        <f t="shared" si="25"/>
        <v>0</v>
      </c>
      <c r="H101" s="20">
        <f t="shared" si="25"/>
        <v>0</v>
      </c>
      <c r="I101" s="20">
        <f t="shared" si="25"/>
        <v>0</v>
      </c>
      <c r="J101" s="20">
        <f t="shared" ref="J101" si="26">SUM(J42:J45)+SUM(J47:J48)</f>
        <v>0</v>
      </c>
      <c r="K101" s="20"/>
      <c r="L101" s="20"/>
      <c r="M101" s="20"/>
    </row>
    <row r="102" spans="1:19" s="7" customFormat="1" outlineLevel="1" collapsed="1" x14ac:dyDescent="0.2">
      <c r="B102" s="11" t="s">
        <v>62</v>
      </c>
      <c r="C102" s="23">
        <f t="shared" ref="C102:I102" si="27">C50-C101</f>
        <v>0</v>
      </c>
      <c r="D102" s="23">
        <f t="shared" si="27"/>
        <v>0</v>
      </c>
      <c r="E102" s="23">
        <f t="shared" si="27"/>
        <v>0</v>
      </c>
      <c r="F102" s="23">
        <f t="shared" si="27"/>
        <v>0</v>
      </c>
      <c r="G102" s="23">
        <f t="shared" si="27"/>
        <v>0</v>
      </c>
      <c r="H102" s="23">
        <f t="shared" si="27"/>
        <v>0</v>
      </c>
      <c r="I102" s="23">
        <f t="shared" si="27"/>
        <v>0</v>
      </c>
      <c r="J102" s="23">
        <f t="shared" ref="J102" si="28">J50-J101</f>
        <v>0</v>
      </c>
      <c r="K102" s="26"/>
      <c r="L102" s="26"/>
      <c r="M102" s="26"/>
    </row>
    <row r="103" spans="1:19" hidden="1" outlineLevel="2" x14ac:dyDescent="0.2">
      <c r="B103" s="9" t="s">
        <v>63</v>
      </c>
      <c r="C103" s="20">
        <f t="shared" ref="C103:I103" si="29">SUM(C51:C53)</f>
        <v>0</v>
      </c>
      <c r="D103" s="20">
        <f t="shared" si="29"/>
        <v>0</v>
      </c>
      <c r="E103" s="20">
        <f t="shared" si="29"/>
        <v>0</v>
      </c>
      <c r="F103" s="20">
        <f t="shared" si="29"/>
        <v>0</v>
      </c>
      <c r="G103" s="20">
        <f t="shared" si="29"/>
        <v>0</v>
      </c>
      <c r="H103" s="20">
        <f t="shared" si="29"/>
        <v>0</v>
      </c>
      <c r="I103" s="20">
        <f t="shared" si="29"/>
        <v>0</v>
      </c>
      <c r="J103" s="20">
        <f t="shared" ref="J103" si="30">SUM(J51:J53)</f>
        <v>0</v>
      </c>
      <c r="K103" s="20"/>
      <c r="L103" s="20"/>
      <c r="M103" s="20"/>
    </row>
    <row r="104" spans="1:19" s="7" customFormat="1" outlineLevel="1" collapsed="1" x14ac:dyDescent="0.2">
      <c r="B104" s="11" t="s">
        <v>64</v>
      </c>
      <c r="C104" s="23">
        <f t="shared" ref="C104:I104" si="31">C54-C103</f>
        <v>0</v>
      </c>
      <c r="D104" s="23">
        <f t="shared" si="31"/>
        <v>0</v>
      </c>
      <c r="E104" s="23">
        <f t="shared" si="31"/>
        <v>0</v>
      </c>
      <c r="F104" s="23">
        <f t="shared" si="31"/>
        <v>0</v>
      </c>
      <c r="G104" s="23">
        <f t="shared" si="31"/>
        <v>0</v>
      </c>
      <c r="H104" s="23">
        <f t="shared" si="31"/>
        <v>0</v>
      </c>
      <c r="I104" s="23">
        <f t="shared" si="31"/>
        <v>0</v>
      </c>
      <c r="J104" s="23">
        <f t="shared" ref="J104" si="32">J54-J103</f>
        <v>0</v>
      </c>
      <c r="K104" s="26"/>
      <c r="L104" s="26"/>
      <c r="M104" s="26"/>
    </row>
    <row r="105" spans="1:19" s="18" customFormat="1" outlineLevel="1" x14ac:dyDescent="0.2">
      <c r="A105" s="7"/>
      <c r="B105" s="17" t="s">
        <v>74</v>
      </c>
      <c r="C105" s="22">
        <f t="shared" ref="C105:I105" si="33">C41-(C50+C54)</f>
        <v>0</v>
      </c>
      <c r="D105" s="22">
        <f t="shared" si="33"/>
        <v>0</v>
      </c>
      <c r="E105" s="22">
        <f t="shared" si="33"/>
        <v>0</v>
      </c>
      <c r="F105" s="22">
        <f t="shared" si="33"/>
        <v>0</v>
      </c>
      <c r="G105" s="22">
        <f t="shared" si="33"/>
        <v>0</v>
      </c>
      <c r="H105" s="22">
        <f t="shared" si="33"/>
        <v>0</v>
      </c>
      <c r="I105" s="22">
        <f t="shared" si="33"/>
        <v>0</v>
      </c>
      <c r="J105" s="22">
        <f t="shared" ref="J105" si="34">J41-(J50+J54)</f>
        <v>0</v>
      </c>
      <c r="K105" s="26"/>
      <c r="L105" s="26"/>
      <c r="M105" s="26"/>
      <c r="O105" s="7"/>
      <c r="S105" s="7"/>
    </row>
    <row r="106" spans="1:19" hidden="1" outlineLevel="2" x14ac:dyDescent="0.2">
      <c r="B106" s="9" t="s">
        <v>65</v>
      </c>
      <c r="C106" s="20">
        <f t="shared" ref="C106:I106" si="35">SUM(C58:C72)</f>
        <v>0</v>
      </c>
      <c r="D106" s="20">
        <f t="shared" si="35"/>
        <v>0</v>
      </c>
      <c r="E106" s="20">
        <f t="shared" si="35"/>
        <v>0</v>
      </c>
      <c r="F106" s="20">
        <f t="shared" si="35"/>
        <v>0</v>
      </c>
      <c r="G106" s="20">
        <f t="shared" si="35"/>
        <v>0</v>
      </c>
      <c r="H106" s="20">
        <f t="shared" si="35"/>
        <v>0</v>
      </c>
      <c r="I106" s="20">
        <f t="shared" si="35"/>
        <v>0</v>
      </c>
      <c r="J106" s="20">
        <f t="shared" ref="J106" si="36">SUM(J58:J72)</f>
        <v>0</v>
      </c>
      <c r="K106" s="20"/>
      <c r="L106" s="20"/>
      <c r="M106" s="20"/>
    </row>
    <row r="107" spans="1:19" s="7" customFormat="1" outlineLevel="1" collapsed="1" x14ac:dyDescent="0.2">
      <c r="B107" s="11" t="s">
        <v>66</v>
      </c>
      <c r="C107" s="23">
        <f t="shared" ref="C107:I107" si="37">C73-C106</f>
        <v>0</v>
      </c>
      <c r="D107" s="23">
        <f t="shared" si="37"/>
        <v>0</v>
      </c>
      <c r="E107" s="23">
        <f t="shared" si="37"/>
        <v>0</v>
      </c>
      <c r="F107" s="23">
        <f t="shared" si="37"/>
        <v>0</v>
      </c>
      <c r="G107" s="23">
        <f t="shared" si="37"/>
        <v>0</v>
      </c>
      <c r="H107" s="23">
        <f t="shared" si="37"/>
        <v>0</v>
      </c>
      <c r="I107" s="23">
        <f t="shared" si="37"/>
        <v>0</v>
      </c>
      <c r="J107" s="23">
        <f t="shared" ref="J107" si="38">J73-J106</f>
        <v>0</v>
      </c>
      <c r="K107" s="26"/>
      <c r="L107" s="26"/>
      <c r="M107" s="26"/>
    </row>
    <row r="108" spans="1:19" hidden="1" outlineLevel="2" x14ac:dyDescent="0.2">
      <c r="B108" s="9" t="s">
        <v>67</v>
      </c>
      <c r="C108" s="20">
        <f t="shared" ref="C108:I108" si="39">SUM(C74:C80)</f>
        <v>0</v>
      </c>
      <c r="D108" s="20">
        <f t="shared" si="39"/>
        <v>0</v>
      </c>
      <c r="E108" s="20">
        <f t="shared" si="39"/>
        <v>0</v>
      </c>
      <c r="F108" s="20">
        <f t="shared" si="39"/>
        <v>0</v>
      </c>
      <c r="G108" s="20">
        <f t="shared" si="39"/>
        <v>0</v>
      </c>
      <c r="H108" s="20">
        <f t="shared" si="39"/>
        <v>0</v>
      </c>
      <c r="I108" s="20">
        <f t="shared" si="39"/>
        <v>0</v>
      </c>
      <c r="J108" s="20">
        <f t="shared" ref="J108" si="40">SUM(J74:J80)</f>
        <v>0</v>
      </c>
      <c r="K108" s="20"/>
      <c r="L108" s="20"/>
      <c r="M108" s="20"/>
    </row>
    <row r="109" spans="1:19" s="7" customFormat="1" outlineLevel="1" collapsed="1" x14ac:dyDescent="0.2">
      <c r="B109" s="11" t="s">
        <v>68</v>
      </c>
      <c r="C109" s="23">
        <f t="shared" ref="C109:I109" si="41">C81-C108</f>
        <v>0</v>
      </c>
      <c r="D109" s="23">
        <f t="shared" si="41"/>
        <v>0</v>
      </c>
      <c r="E109" s="23">
        <f t="shared" si="41"/>
        <v>0</v>
      </c>
      <c r="F109" s="23">
        <f t="shared" si="41"/>
        <v>0</v>
      </c>
      <c r="G109" s="23">
        <f t="shared" si="41"/>
        <v>0</v>
      </c>
      <c r="H109" s="23">
        <f t="shared" si="41"/>
        <v>0</v>
      </c>
      <c r="I109" s="23">
        <f t="shared" si="41"/>
        <v>0</v>
      </c>
      <c r="J109" s="23">
        <f t="shared" ref="J109" si="42">J81-J108</f>
        <v>0</v>
      </c>
      <c r="K109" s="26"/>
      <c r="L109" s="26"/>
      <c r="M109" s="26"/>
    </row>
    <row r="110" spans="1:19" hidden="1" outlineLevel="2" x14ac:dyDescent="0.2">
      <c r="B110" s="9" t="s">
        <v>69</v>
      </c>
      <c r="C110" s="20">
        <f t="shared" ref="C110:F110" si="43">SUM(C82:C90)</f>
        <v>0</v>
      </c>
      <c r="D110" s="20">
        <f t="shared" si="43"/>
        <v>0</v>
      </c>
      <c r="E110" s="20">
        <f t="shared" si="43"/>
        <v>0</v>
      </c>
      <c r="F110" s="20">
        <f t="shared" si="43"/>
        <v>0</v>
      </c>
      <c r="G110" s="20">
        <f>SUM(G82:G90)</f>
        <v>0</v>
      </c>
      <c r="H110" s="20">
        <f t="shared" ref="H110:I110" si="44">SUM(H82:H90)</f>
        <v>0</v>
      </c>
      <c r="I110" s="20">
        <f t="shared" si="44"/>
        <v>0</v>
      </c>
      <c r="J110" s="20">
        <f t="shared" ref="J110" si="45">SUM(J82:J90)</f>
        <v>0</v>
      </c>
      <c r="K110" s="20"/>
      <c r="L110" s="20"/>
      <c r="M110" s="20"/>
    </row>
    <row r="111" spans="1:19" s="7" customFormat="1" outlineLevel="1" collapsed="1" x14ac:dyDescent="0.2">
      <c r="B111" s="11" t="s">
        <v>70</v>
      </c>
      <c r="C111" s="23">
        <f t="shared" ref="C111:I111" si="46">C91-C110</f>
        <v>0</v>
      </c>
      <c r="D111" s="23">
        <f t="shared" si="46"/>
        <v>0</v>
      </c>
      <c r="E111" s="23">
        <f t="shared" si="46"/>
        <v>0</v>
      </c>
      <c r="F111" s="23">
        <f t="shared" si="46"/>
        <v>0</v>
      </c>
      <c r="G111" s="23">
        <f t="shared" si="46"/>
        <v>0</v>
      </c>
      <c r="H111" s="23">
        <f t="shared" si="46"/>
        <v>0</v>
      </c>
      <c r="I111" s="23">
        <f t="shared" si="46"/>
        <v>0</v>
      </c>
      <c r="J111" s="23">
        <f t="shared" ref="J111" si="47">J91-J110</f>
        <v>0</v>
      </c>
      <c r="K111" s="26"/>
      <c r="L111" s="26"/>
      <c r="M111" s="26"/>
    </row>
    <row r="112" spans="1:19" hidden="1" outlineLevel="2" x14ac:dyDescent="0.2">
      <c r="B112" s="9" t="s">
        <v>72</v>
      </c>
      <c r="C112" s="20">
        <f t="shared" ref="C112:F112" si="48">C73+C81+C91+C93</f>
        <v>0</v>
      </c>
      <c r="D112" s="20">
        <f t="shared" si="48"/>
        <v>0</v>
      </c>
      <c r="E112" s="20">
        <f t="shared" si="48"/>
        <v>0</v>
      </c>
      <c r="F112" s="20">
        <f t="shared" si="48"/>
        <v>0</v>
      </c>
      <c r="G112" s="20">
        <f>G73+G81+G91+G93</f>
        <v>0</v>
      </c>
      <c r="H112" s="20">
        <f t="shared" ref="H112:I112" si="49">H73+H81+H91+H93</f>
        <v>0</v>
      </c>
      <c r="I112" s="20">
        <f t="shared" si="49"/>
        <v>0</v>
      </c>
      <c r="J112" s="20">
        <f t="shared" ref="J112" si="50">J73+J81+J91+J93</f>
        <v>0</v>
      </c>
      <c r="K112" s="20"/>
      <c r="L112" s="20"/>
      <c r="M112" s="20"/>
    </row>
    <row r="113" spans="1:19" s="18" customFormat="1" outlineLevel="1" collapsed="1" x14ac:dyDescent="0.2">
      <c r="A113" s="7"/>
      <c r="B113" s="17" t="s">
        <v>71</v>
      </c>
      <c r="C113" s="22">
        <f t="shared" ref="C113:I113" si="51">C94-C112</f>
        <v>0</v>
      </c>
      <c r="D113" s="22">
        <f t="shared" si="51"/>
        <v>0</v>
      </c>
      <c r="E113" s="22">
        <f t="shared" si="51"/>
        <v>0</v>
      </c>
      <c r="F113" s="22">
        <f t="shared" si="51"/>
        <v>0</v>
      </c>
      <c r="G113" s="22">
        <f t="shared" si="51"/>
        <v>0</v>
      </c>
      <c r="H113" s="22">
        <f t="shared" si="51"/>
        <v>0</v>
      </c>
      <c r="I113" s="22">
        <f t="shared" si="51"/>
        <v>0</v>
      </c>
      <c r="J113" s="22">
        <f t="shared" ref="J113" si="52">J94-J112</f>
        <v>0</v>
      </c>
      <c r="K113" s="26"/>
      <c r="L113" s="26"/>
      <c r="M113" s="26"/>
      <c r="O113" s="7"/>
      <c r="S113" s="7"/>
    </row>
    <row r="114" spans="1:19" x14ac:dyDescent="0.2">
      <c r="B114" s="8"/>
      <c r="E114" s="8"/>
      <c r="F114" s="8"/>
      <c r="G114" s="8"/>
      <c r="H114" s="8"/>
      <c r="I114" s="8"/>
      <c r="J114" s="8"/>
      <c r="K114" s="8"/>
      <c r="L114" s="8"/>
      <c r="M114" s="8"/>
    </row>
    <row r="115" spans="1:19" s="14" customFormat="1" ht="17" thickBot="1" x14ac:dyDescent="0.25">
      <c r="A115" s="4"/>
      <c r="B115" s="15" t="s">
        <v>73</v>
      </c>
      <c r="K115" s="4"/>
      <c r="L115" s="4"/>
      <c r="M115" s="4"/>
      <c r="O115" s="4"/>
      <c r="S115" s="4"/>
    </row>
    <row r="116" spans="1:19" outlineLevel="1" x14ac:dyDescent="0.2">
      <c r="B116" s="9" t="s">
        <v>4</v>
      </c>
      <c r="C116" s="27"/>
      <c r="D116" s="27"/>
      <c r="E116" s="27"/>
      <c r="F116" s="27"/>
      <c r="G116" s="27"/>
      <c r="H116" s="27"/>
      <c r="I116" s="27"/>
      <c r="J116" s="27"/>
      <c r="K116" s="20"/>
      <c r="L116" s="20"/>
      <c r="M116" s="20"/>
      <c r="N116" s="20">
        <f>J116</f>
        <v>0</v>
      </c>
    </row>
    <row r="117" spans="1:19" outlineLevel="1" x14ac:dyDescent="0.2">
      <c r="B117" s="12" t="s">
        <v>82</v>
      </c>
      <c r="C117" s="28"/>
      <c r="D117" s="28"/>
      <c r="E117" s="28"/>
      <c r="F117" s="28"/>
      <c r="G117" s="28"/>
      <c r="H117" s="28"/>
      <c r="I117" s="28"/>
      <c r="J117" s="28"/>
      <c r="K117" s="8"/>
      <c r="L117" s="8"/>
      <c r="M117" s="8"/>
    </row>
    <row r="118" spans="1:19" outlineLevel="1" x14ac:dyDescent="0.2">
      <c r="B118" s="12"/>
      <c r="C118" s="28"/>
      <c r="D118" s="28"/>
      <c r="E118" s="28"/>
      <c r="F118" s="28"/>
      <c r="G118" s="28"/>
      <c r="H118" s="28"/>
      <c r="I118" s="28"/>
      <c r="J118" s="28"/>
      <c r="K118" s="8"/>
      <c r="L118" s="8"/>
      <c r="M118" s="8"/>
    </row>
    <row r="119" spans="1:19" x14ac:dyDescent="0.2">
      <c r="B119" s="1"/>
    </row>
    <row r="120" spans="1:19" s="63" customFormat="1" ht="17" thickBot="1" x14ac:dyDescent="0.25">
      <c r="A120" s="1"/>
      <c r="B120" s="15" t="s">
        <v>96</v>
      </c>
      <c r="C120" s="65"/>
      <c r="D120" s="65"/>
      <c r="E120" s="65"/>
      <c r="F120" s="65"/>
      <c r="G120" s="65"/>
      <c r="H120" s="65"/>
      <c r="I120" s="65"/>
      <c r="J120" s="65"/>
      <c r="K120" s="1"/>
      <c r="L120" s="1"/>
      <c r="M120" s="1"/>
      <c r="O120" s="4"/>
      <c r="S120" s="4"/>
    </row>
    <row r="121" spans="1:19" outlineLevel="1" x14ac:dyDescent="0.2">
      <c r="B121" s="9" t="s">
        <v>89</v>
      </c>
      <c r="C121" s="27"/>
      <c r="D121" s="27"/>
      <c r="E121" s="27"/>
      <c r="F121" s="27"/>
      <c r="G121" s="27"/>
      <c r="H121" s="27"/>
      <c r="I121" s="27"/>
      <c r="J121" s="27"/>
    </row>
    <row r="122" spans="1:19" outlineLevel="1" x14ac:dyDescent="0.2">
      <c r="B122" s="9" t="s">
        <v>90</v>
      </c>
      <c r="C122" s="27"/>
      <c r="D122" s="27"/>
      <c r="E122" s="27"/>
      <c r="F122" s="27"/>
      <c r="G122" s="27"/>
      <c r="H122" s="27"/>
      <c r="I122" s="27"/>
      <c r="J122" s="27"/>
    </row>
    <row r="123" spans="1:19" outlineLevel="1" x14ac:dyDescent="0.2">
      <c r="B123" s="9" t="s">
        <v>94</v>
      </c>
      <c r="C123" s="34">
        <f t="shared" ref="C123" si="53">D5</f>
        <v>0</v>
      </c>
      <c r="D123" s="34">
        <f t="shared" ref="D123" si="54">E5</f>
        <v>0</v>
      </c>
      <c r="E123" s="34">
        <f t="shared" ref="E123" si="55">F5</f>
        <v>0</v>
      </c>
      <c r="F123" s="34">
        <f t="shared" ref="F123" si="56">G5</f>
        <v>0</v>
      </c>
      <c r="G123" s="34">
        <f t="shared" ref="G123" si="57">H5</f>
        <v>0</v>
      </c>
      <c r="H123" s="34">
        <f t="shared" ref="H123" si="58">I5</f>
        <v>0</v>
      </c>
      <c r="I123" s="34">
        <f t="shared" ref="I123" si="59">J5</f>
        <v>0</v>
      </c>
      <c r="J123" s="34">
        <f t="shared" ref="J123" si="60">K5</f>
        <v>0</v>
      </c>
    </row>
    <row r="124" spans="1:19" outlineLevel="1" x14ac:dyDescent="0.2">
      <c r="B124" s="9" t="s">
        <v>91</v>
      </c>
      <c r="C124" s="64" t="str">
        <f t="shared" ref="C124" si="61">IF(D5&gt;C122, "BEAT", IF(D5&lt;C121, "MISSED", "MET"))</f>
        <v>MET</v>
      </c>
      <c r="D124" s="64" t="str">
        <f t="shared" ref="D124" si="62">IF(E5&gt;D122, "BEAT", IF(E5&lt;D121, "MISSED", "MET"))</f>
        <v>MET</v>
      </c>
      <c r="E124" s="64" t="str">
        <f t="shared" ref="E124" si="63">IF(F5&gt;E122, "BEAT", IF(F5&lt;E121, "MISSED", "MET"))</f>
        <v>MET</v>
      </c>
      <c r="F124" s="64" t="str">
        <f t="shared" ref="F124" si="64">IF(G5&gt;F122, "BEAT", IF(G5&lt;F121, "MISSED", "MET"))</f>
        <v>MET</v>
      </c>
      <c r="G124" s="64" t="str">
        <f t="shared" ref="G124" si="65">IF(H5&gt;G122, "BEAT", IF(H5&lt;G121, "MISSED", "MET"))</f>
        <v>MET</v>
      </c>
      <c r="H124" s="64" t="str">
        <f t="shared" ref="H124" si="66">IF(I5&gt;H122, "BEAT", IF(I5&lt;H121, "MISSED", "MET"))</f>
        <v>MET</v>
      </c>
      <c r="I124" s="64" t="str">
        <f t="shared" ref="I124" si="67">IF(J5&gt;I122, "BEAT", IF(J5&lt;I121, "MISSED", "MET"))</f>
        <v>MET</v>
      </c>
      <c r="J124" s="64" t="str">
        <f t="shared" ref="J124" si="68">IF(K5&gt;J122, "BEAT", IF(K5&lt;J121, "MISSED", "MET"))</f>
        <v>MET</v>
      </c>
    </row>
    <row r="125" spans="1:19" outlineLevel="1" x14ac:dyDescent="0.2">
      <c r="B125" s="9" t="s">
        <v>92</v>
      </c>
      <c r="C125" s="31"/>
      <c r="D125" s="31"/>
      <c r="E125" s="31"/>
      <c r="F125" s="31"/>
      <c r="G125" s="31"/>
      <c r="H125" s="31"/>
      <c r="I125" s="31"/>
      <c r="J125" s="31"/>
    </row>
    <row r="126" spans="1:19" outlineLevel="1" x14ac:dyDescent="0.2">
      <c r="B126" s="9" t="s">
        <v>93</v>
      </c>
      <c r="C126" s="31"/>
      <c r="D126" s="31"/>
      <c r="E126" s="31"/>
      <c r="F126" s="31"/>
      <c r="G126" s="31"/>
      <c r="H126" s="31"/>
      <c r="I126" s="31"/>
      <c r="J126" s="31"/>
    </row>
    <row r="127" spans="1:19" outlineLevel="1" x14ac:dyDescent="0.2">
      <c r="B127" s="9" t="s">
        <v>95</v>
      </c>
      <c r="C127" s="25"/>
      <c r="D127" s="25"/>
      <c r="E127" s="25"/>
      <c r="F127" s="25"/>
      <c r="G127" s="25"/>
      <c r="H127" s="25"/>
      <c r="I127" s="25"/>
      <c r="J127" s="25"/>
      <c r="K127" s="20"/>
      <c r="L127" s="20"/>
      <c r="M127" s="20"/>
    </row>
    <row r="128" spans="1:19" outlineLevel="1" x14ac:dyDescent="0.2">
      <c r="B128" s="12" t="s">
        <v>91</v>
      </c>
      <c r="C128" s="64"/>
      <c r="D128" s="64"/>
      <c r="E128" s="64"/>
      <c r="F128" s="64"/>
      <c r="G128" s="64"/>
      <c r="H128" s="64"/>
      <c r="I128" s="64"/>
      <c r="J128" s="64"/>
      <c r="K128" s="8"/>
      <c r="L128" s="8"/>
      <c r="M128" s="8"/>
    </row>
    <row r="129" spans="1:19" x14ac:dyDescent="0.2">
      <c r="B129" s="1"/>
    </row>
    <row r="130" spans="1:19" s="14" customFormat="1" ht="17" thickBot="1" x14ac:dyDescent="0.25">
      <c r="A130" s="4"/>
      <c r="B130" s="15" t="s">
        <v>161</v>
      </c>
      <c r="K130" s="8"/>
      <c r="L130" s="8"/>
      <c r="M130" s="8"/>
      <c r="O130" s="1"/>
      <c r="S130" s="1"/>
    </row>
    <row r="131" spans="1:19" outlineLevel="1" x14ac:dyDescent="0.2">
      <c r="C131" s="34"/>
      <c r="D131" s="34"/>
      <c r="E131" s="34"/>
      <c r="F131" s="34"/>
      <c r="G131" s="34"/>
      <c r="H131" s="34"/>
      <c r="I131" s="34"/>
      <c r="J131" s="34"/>
    </row>
    <row r="132" spans="1:19" x14ac:dyDescent="0.2">
      <c r="B132" s="1"/>
    </row>
    <row r="133" spans="1:19" s="14" customFormat="1" ht="17" thickBot="1" x14ac:dyDescent="0.25">
      <c r="A133" s="4"/>
      <c r="B133" s="15" t="s">
        <v>160</v>
      </c>
      <c r="K133" s="8"/>
      <c r="L133" s="8"/>
      <c r="M133" s="8"/>
      <c r="O133" s="1"/>
      <c r="S133" s="92"/>
    </row>
    <row r="134" spans="1:19" outlineLevel="1" x14ac:dyDescent="0.2">
      <c r="C134" s="34"/>
      <c r="D134" s="34"/>
      <c r="E134" s="34"/>
      <c r="F134" s="34"/>
      <c r="G134" s="34"/>
      <c r="H134" s="34"/>
      <c r="I134" s="34"/>
      <c r="J134" s="34"/>
    </row>
    <row r="135" spans="1:19" x14ac:dyDescent="0.2">
      <c r="B135" s="1"/>
    </row>
    <row r="136" spans="1:19" s="14" customFormat="1" ht="17" thickBot="1" x14ac:dyDescent="0.25">
      <c r="A136" s="4"/>
      <c r="B136" s="15" t="s">
        <v>162</v>
      </c>
      <c r="K136" s="1"/>
      <c r="L136" s="1"/>
      <c r="M136" s="1"/>
    </row>
    <row r="137" spans="1:19" outlineLevel="1" x14ac:dyDescent="0.2"/>
    <row r="138" spans="1:19" x14ac:dyDescent="0.2">
      <c r="B138" s="92"/>
    </row>
  </sheetData>
  <mergeCells count="1">
    <mergeCell ref="P4:R4"/>
  </mergeCells>
  <phoneticPr fontId="5" type="noConversion"/>
  <pageMargins left="0.7" right="0.7" top="0.75" bottom="0.75" header="0.3" footer="0.3"/>
  <ignoredErrors>
    <ignoredError sqref="I49:J49 J108 I40:J40 N5:N6 N8:N10 N12:N18 N19:N20 N59:N92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47DB4-BCDE-EC47-A3C5-C98010D5458E}">
  <dimension ref="B2:S96"/>
  <sheetViews>
    <sheetView zoomScale="179" workbookViewId="0">
      <pane xSplit="2" ySplit="3" topLeftCell="L17" activePane="bottomRight" state="frozen"/>
      <selection pane="topRight" activeCell="C1" sqref="C1"/>
      <selection pane="bottomLeft" activeCell="A4" sqref="A4"/>
      <selection pane="bottomRight" activeCell="P20" sqref="P20"/>
    </sheetView>
  </sheetViews>
  <sheetFormatPr baseColWidth="10" defaultRowHeight="16" outlineLevelRow="1" x14ac:dyDescent="0.2"/>
  <cols>
    <col min="1" max="1" width="3.6640625" style="1" customWidth="1"/>
    <col min="2" max="2" width="32.5" style="1" customWidth="1"/>
    <col min="3" max="8" width="10.83203125" style="1"/>
    <col min="9" max="9" width="4.5" style="1" customWidth="1"/>
    <col min="10" max="17" width="10.83203125" style="1"/>
    <col min="18" max="18" width="4" style="1" customWidth="1"/>
    <col min="19" max="16384" width="10.83203125" style="1"/>
  </cols>
  <sheetData>
    <row r="2" spans="2:19" x14ac:dyDescent="0.2">
      <c r="B2" s="61" t="s">
        <v>0</v>
      </c>
      <c r="C2" s="3" t="str">
        <f>'Statement Y'!C2</f>
        <v>31.12.2020</v>
      </c>
      <c r="D2" s="3" t="str">
        <f>'Statement Y'!D2</f>
        <v>31.12.2021</v>
      </c>
      <c r="E2" s="3" t="str">
        <f>'Statement Y'!E2</f>
        <v>30.09.2022</v>
      </c>
      <c r="F2" s="3" t="str">
        <f>'Statement Y'!F2</f>
        <v>31.12.2023</v>
      </c>
      <c r="G2" s="3" t="str">
        <f>'Statement Y'!G2</f>
        <v>31.12.2024</v>
      </c>
      <c r="H2" s="3" t="str">
        <f>'Statement Y'!H2</f>
        <v>31.12.2025</v>
      </c>
      <c r="J2" s="3" t="str">
        <f>'Statement Q'!C2</f>
        <v>31.03.2024</v>
      </c>
      <c r="K2" s="3" t="str">
        <f>'Statement Q'!D2</f>
        <v>30.06.2024</v>
      </c>
      <c r="L2" s="3" t="str">
        <f>'Statement Q'!E2</f>
        <v>30.09.2024</v>
      </c>
      <c r="M2" s="3" t="str">
        <f>'Statement Q'!F2</f>
        <v>31.12.2024</v>
      </c>
      <c r="N2" s="3" t="str">
        <f>'Statement Q'!G2</f>
        <v>31.03.2025</v>
      </c>
      <c r="O2" s="3" t="str">
        <f>'Statement Q'!H2</f>
        <v>30.06.2025</v>
      </c>
      <c r="P2" s="3" t="str">
        <f>'Statement Q'!I2</f>
        <v>30.09.2025</v>
      </c>
      <c r="Q2" s="3" t="str">
        <f>'Statement Q'!J2</f>
        <v>31.12.2025</v>
      </c>
      <c r="S2" s="3"/>
    </row>
    <row r="3" spans="2:19" x14ac:dyDescent="0.2">
      <c r="B3" s="62" t="s">
        <v>1</v>
      </c>
      <c r="C3" s="3">
        <f>'Statement Y'!C3</f>
        <v>2020</v>
      </c>
      <c r="D3" s="3">
        <f>'Statement Y'!D3</f>
        <v>2021</v>
      </c>
      <c r="E3" s="3">
        <f>'Statement Y'!E3</f>
        <v>2022</v>
      </c>
      <c r="F3" s="3">
        <f>'Statement Y'!F3</f>
        <v>2023</v>
      </c>
      <c r="G3" s="3">
        <f>'Statement Y'!G3</f>
        <v>2024</v>
      </c>
      <c r="H3" s="3">
        <f>'Statement Y'!H3</f>
        <v>2025</v>
      </c>
      <c r="J3" s="3" t="str">
        <f>'Statement Q'!C3</f>
        <v>Q1 2024</v>
      </c>
      <c r="K3" s="3" t="str">
        <f>'Statement Q'!D3</f>
        <v>Q2 2024</v>
      </c>
      <c r="L3" s="3" t="str">
        <f>'Statement Q'!E3</f>
        <v>Q3 2024</v>
      </c>
      <c r="M3" s="3" t="str">
        <f>'Statement Q'!F3</f>
        <v>Q4 2024</v>
      </c>
      <c r="N3" s="3" t="str">
        <f>'Statement Q'!G3</f>
        <v>Q1 2025</v>
      </c>
      <c r="O3" s="3" t="str">
        <f>'Statement Q'!H3</f>
        <v>Q2 2025</v>
      </c>
      <c r="P3" s="3" t="str">
        <f>'Statement Q'!I3</f>
        <v>Q3 2025</v>
      </c>
      <c r="Q3" s="3" t="str">
        <f>'Statement Q'!J3</f>
        <v>Q4 2025</v>
      </c>
      <c r="S3" s="3" t="s">
        <v>86</v>
      </c>
    </row>
    <row r="4" spans="2:19" ht="17" thickBot="1" x14ac:dyDescent="0.25">
      <c r="B4" s="15" t="s">
        <v>5</v>
      </c>
      <c r="C4" s="14"/>
      <c r="D4" s="14"/>
      <c r="E4" s="14"/>
      <c r="F4" s="14"/>
      <c r="G4" s="14"/>
      <c r="H4" s="14"/>
      <c r="J4" s="14"/>
      <c r="K4" s="14"/>
      <c r="L4" s="14"/>
      <c r="M4" s="14"/>
      <c r="N4" s="14"/>
      <c r="O4" s="14"/>
      <c r="P4" s="14"/>
      <c r="Q4" s="14"/>
      <c r="S4" s="14"/>
    </row>
    <row r="5" spans="2:19" outlineLevel="1" x14ac:dyDescent="0.2">
      <c r="B5" s="17" t="s">
        <v>6</v>
      </c>
      <c r="C5" s="195">
        <f>'Statement Y'!C5</f>
        <v>0</v>
      </c>
      <c r="D5" s="195">
        <f>'Statement Y'!D5</f>
        <v>0</v>
      </c>
      <c r="E5" s="195">
        <f>'Statement Y'!E5</f>
        <v>0</v>
      </c>
      <c r="F5" s="195">
        <f>'Statement Y'!F5</f>
        <v>0</v>
      </c>
      <c r="G5" s="195">
        <f>'Statement Y'!G5</f>
        <v>0</v>
      </c>
      <c r="H5" s="195">
        <f>'Statement Y'!H5</f>
        <v>0</v>
      </c>
      <c r="J5" s="195">
        <f>'Statement Q'!C5</f>
        <v>0</v>
      </c>
      <c r="K5" s="195">
        <f>'Statement Q'!D5</f>
        <v>0</v>
      </c>
      <c r="L5" s="195">
        <f>'Statement Q'!E5</f>
        <v>0</v>
      </c>
      <c r="M5" s="195">
        <f>'Statement Q'!F5</f>
        <v>0</v>
      </c>
      <c r="N5" s="195">
        <f>'Statement Q'!G5</f>
        <v>0</v>
      </c>
      <c r="O5" s="195">
        <f>'Statement Q'!H5</f>
        <v>0</v>
      </c>
      <c r="P5" s="195">
        <f>'Statement Q'!I5</f>
        <v>0</v>
      </c>
      <c r="Q5" s="195">
        <f>'Statement Q'!J5</f>
        <v>0</v>
      </c>
      <c r="S5" s="195">
        <f>SUM(N5:Q5)</f>
        <v>0</v>
      </c>
    </row>
    <row r="6" spans="2:19" outlineLevel="1" x14ac:dyDescent="0.2">
      <c r="B6" s="9" t="s">
        <v>7</v>
      </c>
      <c r="C6" s="164">
        <f>'Statement Y'!C6</f>
        <v>0</v>
      </c>
      <c r="D6" s="164">
        <f>'Statement Y'!D6</f>
        <v>0</v>
      </c>
      <c r="E6" s="164">
        <f>'Statement Y'!E6</f>
        <v>0</v>
      </c>
      <c r="F6" s="164">
        <f>'Statement Y'!F6</f>
        <v>0</v>
      </c>
      <c r="G6" s="164">
        <f>'Statement Y'!G6</f>
        <v>0</v>
      </c>
      <c r="H6" s="164">
        <f>'Statement Y'!H6</f>
        <v>0</v>
      </c>
      <c r="J6" s="164">
        <f>'Statement Q'!C6</f>
        <v>0</v>
      </c>
      <c r="K6" s="164">
        <f>'Statement Q'!D6</f>
        <v>0</v>
      </c>
      <c r="L6" s="164">
        <f>'Statement Q'!E6</f>
        <v>0</v>
      </c>
      <c r="M6" s="164">
        <f>'Statement Q'!F6</f>
        <v>0</v>
      </c>
      <c r="N6" s="164">
        <f>'Statement Q'!G6</f>
        <v>0</v>
      </c>
      <c r="O6" s="164">
        <f>'Statement Q'!H6</f>
        <v>0</v>
      </c>
      <c r="P6" s="164">
        <f>'Statement Q'!I6</f>
        <v>0</v>
      </c>
      <c r="Q6" s="164">
        <f>'Statement Q'!J6</f>
        <v>0</v>
      </c>
      <c r="S6" s="164">
        <f t="shared" ref="S6:S18" si="0">SUM(N6:Q6)</f>
        <v>0</v>
      </c>
    </row>
    <row r="7" spans="2:19" outlineLevel="1" x14ac:dyDescent="0.2">
      <c r="B7" s="17" t="s">
        <v>8</v>
      </c>
      <c r="C7" s="195">
        <f>'Statement Y'!C7</f>
        <v>0</v>
      </c>
      <c r="D7" s="195">
        <f>'Statement Y'!D7</f>
        <v>0</v>
      </c>
      <c r="E7" s="195">
        <f>'Statement Y'!E7</f>
        <v>0</v>
      </c>
      <c r="F7" s="195">
        <f>'Statement Y'!F7</f>
        <v>0</v>
      </c>
      <c r="G7" s="195">
        <f>'Statement Y'!G7</f>
        <v>0</v>
      </c>
      <c r="H7" s="195">
        <f>'Statement Y'!H7</f>
        <v>0</v>
      </c>
      <c r="J7" s="195">
        <f>'Statement Q'!C7</f>
        <v>0</v>
      </c>
      <c r="K7" s="195">
        <f>'Statement Q'!D7</f>
        <v>0</v>
      </c>
      <c r="L7" s="195">
        <f>'Statement Q'!E7</f>
        <v>0</v>
      </c>
      <c r="M7" s="195">
        <f>'Statement Q'!F7</f>
        <v>0</v>
      </c>
      <c r="N7" s="195">
        <f>'Statement Q'!G7</f>
        <v>0</v>
      </c>
      <c r="O7" s="195">
        <f>'Statement Q'!H7</f>
        <v>0</v>
      </c>
      <c r="P7" s="195">
        <f>'Statement Q'!I7</f>
        <v>0</v>
      </c>
      <c r="Q7" s="195">
        <f>'Statement Q'!J7</f>
        <v>0</v>
      </c>
      <c r="S7" s="195">
        <f t="shared" si="0"/>
        <v>0</v>
      </c>
    </row>
    <row r="8" spans="2:19" outlineLevel="1" x14ac:dyDescent="0.2">
      <c r="B8" s="9" t="s">
        <v>9</v>
      </c>
      <c r="C8" s="164">
        <f>'Statement Y'!C8</f>
        <v>0</v>
      </c>
      <c r="D8" s="164">
        <f>'Statement Y'!D8</f>
        <v>0</v>
      </c>
      <c r="E8" s="164">
        <f>'Statement Y'!E8</f>
        <v>0</v>
      </c>
      <c r="F8" s="164">
        <f>'Statement Y'!F8</f>
        <v>0</v>
      </c>
      <c r="G8" s="164">
        <f>'Statement Y'!G8</f>
        <v>0</v>
      </c>
      <c r="H8" s="164">
        <f>'Statement Y'!H8</f>
        <v>0</v>
      </c>
      <c r="J8" s="164">
        <f>'Statement Q'!C8</f>
        <v>0</v>
      </c>
      <c r="K8" s="164">
        <f>'Statement Q'!D8</f>
        <v>0</v>
      </c>
      <c r="L8" s="164">
        <f>'Statement Q'!E8</f>
        <v>0</v>
      </c>
      <c r="M8" s="164">
        <f>'Statement Q'!F8</f>
        <v>0</v>
      </c>
      <c r="N8" s="164">
        <f>'Statement Q'!G8</f>
        <v>0</v>
      </c>
      <c r="O8" s="164">
        <f>'Statement Q'!H8</f>
        <v>0</v>
      </c>
      <c r="P8" s="164">
        <f>'Statement Q'!I8</f>
        <v>0</v>
      </c>
      <c r="Q8" s="164">
        <f>'Statement Q'!J8</f>
        <v>0</v>
      </c>
      <c r="S8" s="164">
        <f t="shared" si="0"/>
        <v>0</v>
      </c>
    </row>
    <row r="9" spans="2:19" outlineLevel="1" x14ac:dyDescent="0.2">
      <c r="B9" s="12" t="s">
        <v>108</v>
      </c>
      <c r="C9" s="164">
        <f>'Statement Y'!C9</f>
        <v>0</v>
      </c>
      <c r="D9" s="164">
        <f>'Statement Y'!D9</f>
        <v>0</v>
      </c>
      <c r="E9" s="164">
        <f>'Statement Y'!E9</f>
        <v>0</v>
      </c>
      <c r="F9" s="164">
        <f>'Statement Y'!F9</f>
        <v>0</v>
      </c>
      <c r="G9" s="164">
        <f>'Statement Y'!G9</f>
        <v>0</v>
      </c>
      <c r="H9" s="164">
        <f>'Statement Y'!H9</f>
        <v>0</v>
      </c>
      <c r="J9" s="164">
        <f>'Statement Q'!C9</f>
        <v>0</v>
      </c>
      <c r="K9" s="164">
        <f>'Statement Q'!D9</f>
        <v>0</v>
      </c>
      <c r="L9" s="164">
        <f>'Statement Q'!E9</f>
        <v>0</v>
      </c>
      <c r="M9" s="164">
        <f>'Statement Q'!F9</f>
        <v>0</v>
      </c>
      <c r="N9" s="164">
        <f>'Statement Q'!G9</f>
        <v>0</v>
      </c>
      <c r="O9" s="164">
        <f>'Statement Q'!H9</f>
        <v>0</v>
      </c>
      <c r="P9" s="164">
        <f>'Statement Q'!I9</f>
        <v>0</v>
      </c>
      <c r="Q9" s="164">
        <f>'Statement Q'!J9</f>
        <v>0</v>
      </c>
      <c r="S9" s="164">
        <f t="shared" si="0"/>
        <v>0</v>
      </c>
    </row>
    <row r="10" spans="2:19" outlineLevel="1" x14ac:dyDescent="0.2">
      <c r="B10" s="12" t="s">
        <v>109</v>
      </c>
      <c r="C10" s="164">
        <f>'Statement Y'!C10</f>
        <v>0</v>
      </c>
      <c r="D10" s="164">
        <f>'Statement Y'!D10</f>
        <v>0</v>
      </c>
      <c r="E10" s="164">
        <f>'Statement Y'!E10</f>
        <v>0</v>
      </c>
      <c r="F10" s="164">
        <f>'Statement Y'!F10</f>
        <v>0</v>
      </c>
      <c r="G10" s="164">
        <f>'Statement Y'!G10</f>
        <v>0</v>
      </c>
      <c r="H10" s="164">
        <f>'Statement Y'!H10</f>
        <v>0</v>
      </c>
      <c r="J10" s="164">
        <f>'Statement Q'!C10</f>
        <v>0</v>
      </c>
      <c r="K10" s="164">
        <f>'Statement Q'!D10</f>
        <v>0</v>
      </c>
      <c r="L10" s="164">
        <f>'Statement Q'!E10</f>
        <v>0</v>
      </c>
      <c r="M10" s="164">
        <f>'Statement Q'!F10</f>
        <v>0</v>
      </c>
      <c r="N10" s="164">
        <f>'Statement Q'!G10</f>
        <v>0</v>
      </c>
      <c r="O10" s="164">
        <f>'Statement Q'!H10</f>
        <v>0</v>
      </c>
      <c r="P10" s="164">
        <f>'Statement Q'!I10</f>
        <v>0</v>
      </c>
      <c r="Q10" s="164">
        <f>'Statement Q'!J10</f>
        <v>0</v>
      </c>
      <c r="S10" s="164">
        <f t="shared" si="0"/>
        <v>0</v>
      </c>
    </row>
    <row r="11" spans="2:19" outlineLevel="1" x14ac:dyDescent="0.2">
      <c r="B11" s="12" t="s">
        <v>11</v>
      </c>
      <c r="C11" s="164">
        <f>'Statement Y'!C11</f>
        <v>0</v>
      </c>
      <c r="D11" s="164">
        <f>'Statement Y'!D11</f>
        <v>0</v>
      </c>
      <c r="E11" s="164">
        <f>'Statement Y'!E11</f>
        <v>0</v>
      </c>
      <c r="F11" s="164">
        <f>'Statement Y'!F11</f>
        <v>0</v>
      </c>
      <c r="G11" s="164">
        <f>'Statement Y'!G11</f>
        <v>0</v>
      </c>
      <c r="H11" s="164">
        <f>'Statement Y'!H11</f>
        <v>0</v>
      </c>
      <c r="J11" s="164">
        <f>'Statement Q'!C11</f>
        <v>0</v>
      </c>
      <c r="K11" s="164">
        <f>'Statement Q'!D11</f>
        <v>0</v>
      </c>
      <c r="L11" s="164">
        <f>'Statement Q'!E11</f>
        <v>0</v>
      </c>
      <c r="M11" s="164">
        <f>'Statement Q'!F11</f>
        <v>0</v>
      </c>
      <c r="N11" s="164">
        <f>'Statement Q'!G11</f>
        <v>0</v>
      </c>
      <c r="O11" s="164">
        <f>'Statement Q'!H11</f>
        <v>0</v>
      </c>
      <c r="P11" s="164">
        <f>'Statement Q'!I11</f>
        <v>0</v>
      </c>
      <c r="Q11" s="164">
        <f>'Statement Q'!J11</f>
        <v>0</v>
      </c>
      <c r="S11" s="164">
        <f t="shared" si="0"/>
        <v>0</v>
      </c>
    </row>
    <row r="12" spans="2:19" outlineLevel="1" x14ac:dyDescent="0.2">
      <c r="B12" s="17" t="s">
        <v>12</v>
      </c>
      <c r="C12" s="195">
        <f>'Statement Y'!C12</f>
        <v>0</v>
      </c>
      <c r="D12" s="195">
        <f>'Statement Y'!D12</f>
        <v>0</v>
      </c>
      <c r="E12" s="195">
        <f>'Statement Y'!E12</f>
        <v>0</v>
      </c>
      <c r="F12" s="195">
        <f>'Statement Y'!F12</f>
        <v>0</v>
      </c>
      <c r="G12" s="195">
        <f>'Statement Y'!G12</f>
        <v>0</v>
      </c>
      <c r="H12" s="195">
        <f>'Statement Y'!H12</f>
        <v>0</v>
      </c>
      <c r="J12" s="195">
        <f>'Statement Q'!C12</f>
        <v>0</v>
      </c>
      <c r="K12" s="195">
        <f>'Statement Q'!D12</f>
        <v>0</v>
      </c>
      <c r="L12" s="195">
        <f>'Statement Q'!E12</f>
        <v>0</v>
      </c>
      <c r="M12" s="195">
        <f>'Statement Q'!F12</f>
        <v>0</v>
      </c>
      <c r="N12" s="195">
        <f>'Statement Q'!G12</f>
        <v>0</v>
      </c>
      <c r="O12" s="195">
        <f>'Statement Q'!H12</f>
        <v>0</v>
      </c>
      <c r="P12" s="195">
        <f>'Statement Q'!I12</f>
        <v>0</v>
      </c>
      <c r="Q12" s="195">
        <f>'Statement Q'!J12</f>
        <v>0</v>
      </c>
      <c r="S12" s="195">
        <f t="shared" si="0"/>
        <v>0</v>
      </c>
    </row>
    <row r="13" spans="2:19" outlineLevel="1" x14ac:dyDescent="0.2">
      <c r="B13" s="78" t="s">
        <v>404</v>
      </c>
      <c r="C13" s="211">
        <f>C12+C56</f>
        <v>0</v>
      </c>
      <c r="D13" s="211">
        <f t="shared" ref="D13:H13" si="1">D12+D56</f>
        <v>0</v>
      </c>
      <c r="E13" s="211">
        <f t="shared" si="1"/>
        <v>0</v>
      </c>
      <c r="F13" s="211">
        <f t="shared" si="1"/>
        <v>0</v>
      </c>
      <c r="G13" s="211">
        <f t="shared" si="1"/>
        <v>0</v>
      </c>
      <c r="H13" s="211">
        <f t="shared" si="1"/>
        <v>0</v>
      </c>
      <c r="J13" s="211">
        <f>J12+J56</f>
        <v>0</v>
      </c>
      <c r="K13" s="211">
        <f t="shared" ref="K13:Q13" si="2">K12+K56</f>
        <v>0</v>
      </c>
      <c r="L13" s="211">
        <f t="shared" si="2"/>
        <v>0</v>
      </c>
      <c r="M13" s="211">
        <f t="shared" si="2"/>
        <v>0</v>
      </c>
      <c r="N13" s="211">
        <f t="shared" si="2"/>
        <v>0</v>
      </c>
      <c r="O13" s="211">
        <f t="shared" si="2"/>
        <v>0</v>
      </c>
      <c r="P13" s="211">
        <f t="shared" si="2"/>
        <v>0</v>
      </c>
      <c r="Q13" s="211">
        <f t="shared" si="2"/>
        <v>0</v>
      </c>
      <c r="S13" s="211">
        <f>SUM(N13:Q13)</f>
        <v>0</v>
      </c>
    </row>
    <row r="14" spans="2:19" outlineLevel="1" x14ac:dyDescent="0.2">
      <c r="B14" s="12" t="s">
        <v>362</v>
      </c>
      <c r="C14" s="164">
        <f>'Statement Y'!C13+'Statement Y'!C14</f>
        <v>0</v>
      </c>
      <c r="D14" s="164">
        <f>'Statement Y'!D13+'Statement Y'!D14</f>
        <v>0</v>
      </c>
      <c r="E14" s="164">
        <f>'Statement Y'!E13+'Statement Y'!E14</f>
        <v>0</v>
      </c>
      <c r="F14" s="164">
        <f>'Statement Y'!F13+'Statement Y'!F14</f>
        <v>0</v>
      </c>
      <c r="G14" s="164">
        <f>'Statement Y'!G13+'Statement Y'!G14</f>
        <v>0</v>
      </c>
      <c r="H14" s="164">
        <f>'Statement Y'!H13+'Statement Y'!H14</f>
        <v>0</v>
      </c>
      <c r="J14" s="164">
        <f>'Statement Q'!C13+'Statement Q'!C14</f>
        <v>0</v>
      </c>
      <c r="K14" s="164">
        <f>'Statement Q'!D13+'Statement Q'!D14</f>
        <v>0</v>
      </c>
      <c r="L14" s="164">
        <f>'Statement Q'!E13+'Statement Q'!E14</f>
        <v>0</v>
      </c>
      <c r="M14" s="164">
        <f>'Statement Q'!F13+'Statement Q'!F14</f>
        <v>0</v>
      </c>
      <c r="N14" s="164">
        <f>'Statement Q'!G13+'Statement Q'!G14</f>
        <v>0</v>
      </c>
      <c r="O14" s="164">
        <f>'Statement Q'!H13+'Statement Q'!H14</f>
        <v>0</v>
      </c>
      <c r="P14" s="164">
        <f>'Statement Q'!I13+'Statement Q'!I14</f>
        <v>0</v>
      </c>
      <c r="Q14" s="164">
        <f>'Statement Q'!J13+'Statement Q'!J14</f>
        <v>0</v>
      </c>
      <c r="S14" s="164">
        <f t="shared" si="0"/>
        <v>0</v>
      </c>
    </row>
    <row r="15" spans="2:19" outlineLevel="1" x14ac:dyDescent="0.2">
      <c r="B15" s="12" t="s">
        <v>255</v>
      </c>
      <c r="C15" s="164">
        <f>'Statement Y'!C15</f>
        <v>0</v>
      </c>
      <c r="D15" s="164">
        <f>'Statement Y'!D15</f>
        <v>0</v>
      </c>
      <c r="E15" s="164">
        <f>'Statement Y'!E15</f>
        <v>0</v>
      </c>
      <c r="F15" s="164">
        <f>'Statement Y'!F15</f>
        <v>0</v>
      </c>
      <c r="G15" s="164">
        <f>'Statement Y'!G15</f>
        <v>0</v>
      </c>
      <c r="H15" s="164">
        <f>'Statement Y'!H15</f>
        <v>0</v>
      </c>
      <c r="J15" s="164">
        <f>'Statement Q'!C15</f>
        <v>0</v>
      </c>
      <c r="K15" s="164">
        <f>'Statement Q'!D15</f>
        <v>0</v>
      </c>
      <c r="L15" s="164">
        <f>'Statement Q'!E15</f>
        <v>0</v>
      </c>
      <c r="M15" s="164">
        <f>'Statement Q'!F15</f>
        <v>0</v>
      </c>
      <c r="N15" s="164">
        <f>'Statement Q'!G15</f>
        <v>0</v>
      </c>
      <c r="O15" s="164">
        <f>'Statement Q'!H15</f>
        <v>0</v>
      </c>
      <c r="P15" s="164">
        <f>'Statement Q'!I15</f>
        <v>0</v>
      </c>
      <c r="Q15" s="164">
        <f>'Statement Q'!J15</f>
        <v>0</v>
      </c>
      <c r="S15" s="164">
        <f t="shared" si="0"/>
        <v>0</v>
      </c>
    </row>
    <row r="16" spans="2:19" outlineLevel="1" x14ac:dyDescent="0.2">
      <c r="B16" s="17" t="s">
        <v>13</v>
      </c>
      <c r="C16" s="195">
        <f>'Statement Y'!C16</f>
        <v>0</v>
      </c>
      <c r="D16" s="195">
        <f>'Statement Y'!D16</f>
        <v>0</v>
      </c>
      <c r="E16" s="195">
        <f>'Statement Y'!E16</f>
        <v>0</v>
      </c>
      <c r="F16" s="195">
        <f>'Statement Y'!F16</f>
        <v>0</v>
      </c>
      <c r="G16" s="195">
        <f>'Statement Y'!G16</f>
        <v>0</v>
      </c>
      <c r="H16" s="195">
        <f>'Statement Y'!H16</f>
        <v>0</v>
      </c>
      <c r="J16" s="195">
        <f>'Statement Q'!C16</f>
        <v>0</v>
      </c>
      <c r="K16" s="195">
        <f>'Statement Q'!D16</f>
        <v>0</v>
      </c>
      <c r="L16" s="195">
        <f>'Statement Q'!E16</f>
        <v>0</v>
      </c>
      <c r="M16" s="195">
        <f>'Statement Q'!F16</f>
        <v>0</v>
      </c>
      <c r="N16" s="195">
        <f>'Statement Q'!G16</f>
        <v>0</v>
      </c>
      <c r="O16" s="195">
        <f>'Statement Q'!H16</f>
        <v>0</v>
      </c>
      <c r="P16" s="195">
        <f>'Statement Q'!I16</f>
        <v>0</v>
      </c>
      <c r="Q16" s="195">
        <f>'Statement Q'!J16</f>
        <v>0</v>
      </c>
      <c r="S16" s="195">
        <f t="shared" si="0"/>
        <v>0</v>
      </c>
    </row>
    <row r="17" spans="2:19" outlineLevel="1" x14ac:dyDescent="0.2">
      <c r="B17" s="12" t="s">
        <v>83</v>
      </c>
      <c r="C17" s="164">
        <f>'Statement Y'!C17</f>
        <v>0</v>
      </c>
      <c r="D17" s="164">
        <f>'Statement Y'!D17</f>
        <v>0</v>
      </c>
      <c r="E17" s="164">
        <f>'Statement Y'!E17</f>
        <v>0</v>
      </c>
      <c r="F17" s="164">
        <f>'Statement Y'!F17</f>
        <v>0</v>
      </c>
      <c r="G17" s="164">
        <f>'Statement Y'!G17</f>
        <v>0</v>
      </c>
      <c r="H17" s="164">
        <f>'Statement Y'!H17</f>
        <v>0</v>
      </c>
      <c r="J17" s="164">
        <f>'Statement Q'!C17</f>
        <v>0</v>
      </c>
      <c r="K17" s="164">
        <f>'Statement Q'!D17</f>
        <v>0</v>
      </c>
      <c r="L17" s="164">
        <f>'Statement Q'!E17</f>
        <v>0</v>
      </c>
      <c r="M17" s="164">
        <f>'Statement Q'!F17</f>
        <v>0</v>
      </c>
      <c r="N17" s="164">
        <f>'Statement Q'!G17</f>
        <v>0</v>
      </c>
      <c r="O17" s="164">
        <f>'Statement Q'!H17</f>
        <v>0</v>
      </c>
      <c r="P17" s="164">
        <f>'Statement Q'!I17</f>
        <v>0</v>
      </c>
      <c r="Q17" s="164">
        <f>'Statement Q'!J17</f>
        <v>0</v>
      </c>
      <c r="S17" s="164">
        <f t="shared" si="0"/>
        <v>0</v>
      </c>
    </row>
    <row r="18" spans="2:19" outlineLevel="1" x14ac:dyDescent="0.2">
      <c r="B18" s="17" t="s">
        <v>14</v>
      </c>
      <c r="C18" s="195">
        <f>'Statement Y'!C18</f>
        <v>0</v>
      </c>
      <c r="D18" s="195">
        <f>'Statement Y'!D18</f>
        <v>0</v>
      </c>
      <c r="E18" s="195">
        <f>'Statement Y'!E18</f>
        <v>0</v>
      </c>
      <c r="F18" s="195">
        <f>'Statement Y'!F18</f>
        <v>0</v>
      </c>
      <c r="G18" s="195">
        <f>'Statement Y'!G18</f>
        <v>0</v>
      </c>
      <c r="H18" s="195">
        <f>'Statement Y'!H18</f>
        <v>0</v>
      </c>
      <c r="J18" s="195">
        <f>'Statement Q'!C18</f>
        <v>0</v>
      </c>
      <c r="K18" s="195">
        <f>'Statement Q'!D18</f>
        <v>0</v>
      </c>
      <c r="L18" s="195">
        <f>'Statement Q'!E18</f>
        <v>0</v>
      </c>
      <c r="M18" s="195">
        <f>'Statement Q'!F18</f>
        <v>0</v>
      </c>
      <c r="N18" s="195">
        <f>'Statement Q'!G18</f>
        <v>0</v>
      </c>
      <c r="O18" s="195">
        <f>'Statement Q'!H18</f>
        <v>0</v>
      </c>
      <c r="P18" s="195">
        <f>'Statement Q'!I18</f>
        <v>0</v>
      </c>
      <c r="Q18" s="195">
        <f>'Statement Q'!J18</f>
        <v>0</v>
      </c>
      <c r="S18" s="195">
        <f t="shared" si="0"/>
        <v>0</v>
      </c>
    </row>
    <row r="19" spans="2:19" outlineLevel="1" x14ac:dyDescent="0.2">
      <c r="B19" s="12" t="s">
        <v>16</v>
      </c>
      <c r="C19" s="164">
        <f>'Statement Y'!C20</f>
        <v>0</v>
      </c>
      <c r="D19" s="164">
        <f>'Statement Y'!D20</f>
        <v>0</v>
      </c>
      <c r="E19" s="164">
        <f>'Statement Y'!E20</f>
        <v>0</v>
      </c>
      <c r="F19" s="164">
        <f>'Statement Y'!F20</f>
        <v>0</v>
      </c>
      <c r="G19" s="164">
        <f>'Statement Y'!G20</f>
        <v>0</v>
      </c>
      <c r="H19" s="164">
        <f>'Statement Y'!H20</f>
        <v>0</v>
      </c>
      <c r="J19" s="164">
        <f>'Statement Q'!C20</f>
        <v>0</v>
      </c>
      <c r="K19" s="164">
        <f>'Statement Q'!D20</f>
        <v>0</v>
      </c>
      <c r="L19" s="164">
        <f>'Statement Q'!E20</f>
        <v>0</v>
      </c>
      <c r="M19" s="164">
        <f>'Statement Q'!F20</f>
        <v>0</v>
      </c>
      <c r="N19" s="164">
        <f>'Statement Q'!G20</f>
        <v>0</v>
      </c>
      <c r="O19" s="164">
        <f>'Statement Q'!H20</f>
        <v>0</v>
      </c>
      <c r="P19" s="164">
        <f>'Statement Q'!I20</f>
        <v>0</v>
      </c>
      <c r="Q19" s="164">
        <f>'Statement Q'!J20</f>
        <v>0</v>
      </c>
      <c r="S19" s="164">
        <f>AVERAGE(N19:Q19)</f>
        <v>0</v>
      </c>
    </row>
    <row r="20" spans="2:19" ht="17" outlineLevel="1" thickBot="1" x14ac:dyDescent="0.25">
      <c r="B20" s="10" t="s">
        <v>18</v>
      </c>
      <c r="C20" s="196">
        <f>'Statement Y'!C22</f>
        <v>0</v>
      </c>
      <c r="D20" s="196">
        <f>'Statement Y'!D22</f>
        <v>0</v>
      </c>
      <c r="E20" s="196">
        <f>'Statement Y'!E22</f>
        <v>0</v>
      </c>
      <c r="F20" s="196">
        <f>'Statement Y'!F22</f>
        <v>0</v>
      </c>
      <c r="G20" s="196">
        <f>'Statement Y'!G22</f>
        <v>0</v>
      </c>
      <c r="H20" s="196">
        <f>'Statement Y'!H22</f>
        <v>0</v>
      </c>
      <c r="J20" s="197">
        <f>'Statement Q'!C22</f>
        <v>0</v>
      </c>
      <c r="K20" s="197">
        <f>'Statement Q'!D22</f>
        <v>0</v>
      </c>
      <c r="L20" s="197">
        <f>'Statement Q'!E22</f>
        <v>0</v>
      </c>
      <c r="M20" s="197">
        <f>'Statement Q'!F22</f>
        <v>0</v>
      </c>
      <c r="N20" s="197">
        <f>'Statement Q'!G22</f>
        <v>0</v>
      </c>
      <c r="O20" s="197">
        <f>'Statement Q'!H22</f>
        <v>0</v>
      </c>
      <c r="P20" s="197">
        <f>'Statement Q'!I22</f>
        <v>0</v>
      </c>
      <c r="Q20" s="197">
        <f>'Statement Q'!J22</f>
        <v>0</v>
      </c>
      <c r="S20" s="197" t="e">
        <f>S18/S19</f>
        <v>#DIV/0!</v>
      </c>
    </row>
    <row r="22" spans="2:19" ht="17" thickBot="1" x14ac:dyDescent="0.25">
      <c r="B22" s="15" t="s">
        <v>19</v>
      </c>
      <c r="C22" s="14"/>
      <c r="D22" s="14"/>
      <c r="E22" s="14"/>
      <c r="F22" s="14"/>
      <c r="G22" s="14"/>
      <c r="H22" s="14"/>
      <c r="J22" s="14"/>
      <c r="K22" s="14"/>
      <c r="L22" s="14"/>
      <c r="M22" s="14"/>
      <c r="N22" s="14"/>
      <c r="O22" s="14"/>
      <c r="P22" s="14"/>
      <c r="Q22" s="14"/>
      <c r="S22" s="14"/>
    </row>
    <row r="23" spans="2:19" outlineLevel="1" x14ac:dyDescent="0.2">
      <c r="B23" s="9" t="s">
        <v>20</v>
      </c>
      <c r="C23" s="164">
        <f>'Statement Y'!C25+'Statement Y'!C26</f>
        <v>0</v>
      </c>
      <c r="D23" s="164">
        <f>'Statement Y'!D25+'Statement Y'!D26</f>
        <v>0</v>
      </c>
      <c r="E23" s="164">
        <f>'Statement Y'!E25+'Statement Y'!E26</f>
        <v>0</v>
      </c>
      <c r="F23" s="164">
        <f>'Statement Y'!F25+'Statement Y'!F26</f>
        <v>0</v>
      </c>
      <c r="G23" s="164">
        <f>'Statement Y'!G25+'Statement Y'!G26</f>
        <v>0</v>
      </c>
      <c r="H23" s="164">
        <f>'Statement Y'!H25+'Statement Y'!H26</f>
        <v>0</v>
      </c>
      <c r="J23" s="164">
        <f>'Statement Q'!C25+'Statement Q'!C26</f>
        <v>0</v>
      </c>
      <c r="K23" s="164">
        <f>'Statement Q'!D25+'Statement Q'!D26</f>
        <v>0</v>
      </c>
      <c r="L23" s="164">
        <f>'Statement Q'!E25+'Statement Q'!E26</f>
        <v>0</v>
      </c>
      <c r="M23" s="164">
        <f>'Statement Q'!F25+'Statement Q'!F26</f>
        <v>0</v>
      </c>
      <c r="N23" s="164">
        <f>'Statement Q'!G25+'Statement Q'!G26</f>
        <v>0</v>
      </c>
      <c r="O23" s="164">
        <f>'Statement Q'!H25+'Statement Q'!H26</f>
        <v>0</v>
      </c>
      <c r="P23" s="164">
        <f>'Statement Q'!I25+'Statement Q'!I26</f>
        <v>0</v>
      </c>
      <c r="Q23" s="164">
        <f>'Statement Q'!J25+'Statement Q'!J26</f>
        <v>0</v>
      </c>
      <c r="S23" s="164">
        <f>Q23</f>
        <v>0</v>
      </c>
    </row>
    <row r="24" spans="2:19" outlineLevel="1" x14ac:dyDescent="0.2">
      <c r="B24" s="9" t="s">
        <v>21</v>
      </c>
      <c r="C24" s="164">
        <f>'Statement Y'!C27</f>
        <v>0</v>
      </c>
      <c r="D24" s="164">
        <f>'Statement Y'!D27</f>
        <v>0</v>
      </c>
      <c r="E24" s="164">
        <f>'Statement Y'!E27</f>
        <v>0</v>
      </c>
      <c r="F24" s="164">
        <f>'Statement Y'!F27</f>
        <v>0</v>
      </c>
      <c r="G24" s="164">
        <f>'Statement Y'!G27</f>
        <v>0</v>
      </c>
      <c r="H24" s="164">
        <f>'Statement Y'!H27</f>
        <v>0</v>
      </c>
      <c r="J24" s="164">
        <f>'Statement Q'!C27</f>
        <v>0</v>
      </c>
      <c r="K24" s="164">
        <f>'Statement Q'!D27</f>
        <v>0</v>
      </c>
      <c r="L24" s="164">
        <f>'Statement Q'!E27</f>
        <v>0</v>
      </c>
      <c r="M24" s="164">
        <f>'Statement Q'!F27</f>
        <v>0</v>
      </c>
      <c r="N24" s="164">
        <f>'Statement Q'!G27</f>
        <v>0</v>
      </c>
      <c r="O24" s="164">
        <f>'Statement Q'!H27</f>
        <v>0</v>
      </c>
      <c r="P24" s="164">
        <f>'Statement Q'!I27</f>
        <v>0</v>
      </c>
      <c r="Q24" s="164">
        <f>'Statement Q'!J27</f>
        <v>0</v>
      </c>
      <c r="S24" s="164">
        <f t="shared" ref="S24:S52" si="3">Q24</f>
        <v>0</v>
      </c>
    </row>
    <row r="25" spans="2:19" outlineLevel="1" x14ac:dyDescent="0.2">
      <c r="B25" s="9" t="s">
        <v>112</v>
      </c>
      <c r="C25" s="164">
        <f>'Statement Y'!C28</f>
        <v>0</v>
      </c>
      <c r="D25" s="164">
        <f>'Statement Y'!D28</f>
        <v>0</v>
      </c>
      <c r="E25" s="164">
        <f>'Statement Y'!E28</f>
        <v>0</v>
      </c>
      <c r="F25" s="164">
        <f>'Statement Y'!F28</f>
        <v>0</v>
      </c>
      <c r="G25" s="164">
        <f>'Statement Y'!G28</f>
        <v>0</v>
      </c>
      <c r="H25" s="164">
        <f>'Statement Y'!H28</f>
        <v>0</v>
      </c>
      <c r="J25" s="164">
        <f>'Statement Q'!C28</f>
        <v>0</v>
      </c>
      <c r="K25" s="164">
        <f>'Statement Q'!D28</f>
        <v>0</v>
      </c>
      <c r="L25" s="164">
        <f>'Statement Q'!E28</f>
        <v>0</v>
      </c>
      <c r="M25" s="164">
        <f>'Statement Q'!F28</f>
        <v>0</v>
      </c>
      <c r="N25" s="164">
        <f>'Statement Q'!G28</f>
        <v>0</v>
      </c>
      <c r="O25" s="164">
        <f>'Statement Q'!H28</f>
        <v>0</v>
      </c>
      <c r="P25" s="164">
        <f>'Statement Q'!I28</f>
        <v>0</v>
      </c>
      <c r="Q25" s="164">
        <f>'Statement Q'!J28</f>
        <v>0</v>
      </c>
      <c r="S25" s="164">
        <f t="shared" si="3"/>
        <v>0</v>
      </c>
    </row>
    <row r="26" spans="2:19" outlineLevel="1" x14ac:dyDescent="0.2">
      <c r="B26" s="9" t="s">
        <v>150</v>
      </c>
      <c r="C26" s="164">
        <f>'Statement Y'!C29</f>
        <v>0</v>
      </c>
      <c r="D26" s="164">
        <f>'Statement Y'!D29</f>
        <v>0</v>
      </c>
      <c r="E26" s="164">
        <f>'Statement Y'!E29</f>
        <v>0</v>
      </c>
      <c r="F26" s="164">
        <f>'Statement Y'!F29</f>
        <v>0</v>
      </c>
      <c r="G26" s="164">
        <f>'Statement Y'!G29</f>
        <v>0</v>
      </c>
      <c r="H26" s="164">
        <f>'Statement Y'!H29</f>
        <v>0</v>
      </c>
      <c r="J26" s="164">
        <f>'Statement Q'!C29</f>
        <v>0</v>
      </c>
      <c r="K26" s="164">
        <f>'Statement Q'!D29</f>
        <v>0</v>
      </c>
      <c r="L26" s="164">
        <f>'Statement Q'!E29</f>
        <v>0</v>
      </c>
      <c r="M26" s="164">
        <f>'Statement Q'!F29</f>
        <v>0</v>
      </c>
      <c r="N26" s="164">
        <f>'Statement Q'!G29</f>
        <v>0</v>
      </c>
      <c r="O26" s="164">
        <f>'Statement Q'!H29</f>
        <v>0</v>
      </c>
      <c r="P26" s="164">
        <f>'Statement Q'!I29</f>
        <v>0</v>
      </c>
      <c r="Q26" s="164">
        <f>'Statement Q'!J29</f>
        <v>0</v>
      </c>
      <c r="S26" s="164">
        <f t="shared" si="3"/>
        <v>0</v>
      </c>
    </row>
    <row r="27" spans="2:19" outlineLevel="1" x14ac:dyDescent="0.2">
      <c r="B27" s="9" t="s">
        <v>132</v>
      </c>
      <c r="C27" s="164">
        <f>'Statement Y'!C30</f>
        <v>0</v>
      </c>
      <c r="D27" s="164">
        <f>'Statement Y'!D30</f>
        <v>0</v>
      </c>
      <c r="E27" s="164">
        <f>'Statement Y'!E30</f>
        <v>0</v>
      </c>
      <c r="F27" s="164">
        <f>'Statement Y'!F30</f>
        <v>0</v>
      </c>
      <c r="G27" s="164">
        <f>'Statement Y'!G30</f>
        <v>0</v>
      </c>
      <c r="H27" s="164">
        <f>'Statement Y'!H30</f>
        <v>0</v>
      </c>
      <c r="J27" s="164">
        <f>'Statement Q'!C30</f>
        <v>0</v>
      </c>
      <c r="K27" s="164">
        <f>'Statement Q'!D30</f>
        <v>0</v>
      </c>
      <c r="L27" s="164">
        <f>'Statement Q'!E30</f>
        <v>0</v>
      </c>
      <c r="M27" s="164">
        <f>'Statement Q'!F30</f>
        <v>0</v>
      </c>
      <c r="N27" s="164">
        <f>'Statement Q'!G30</f>
        <v>0</v>
      </c>
      <c r="O27" s="164">
        <f>'Statement Q'!H30</f>
        <v>0</v>
      </c>
      <c r="P27" s="164">
        <f>'Statement Q'!I30</f>
        <v>0</v>
      </c>
      <c r="Q27" s="164">
        <f>'Statement Q'!J30</f>
        <v>0</v>
      </c>
      <c r="S27" s="164">
        <f t="shared" si="3"/>
        <v>0</v>
      </c>
    </row>
    <row r="28" spans="2:19" outlineLevel="1" x14ac:dyDescent="0.2">
      <c r="B28" s="11" t="s">
        <v>22</v>
      </c>
      <c r="C28" s="198">
        <f>'Statement Y'!C31</f>
        <v>0</v>
      </c>
      <c r="D28" s="198">
        <f>'Statement Y'!D31</f>
        <v>0</v>
      </c>
      <c r="E28" s="198">
        <f>'Statement Y'!E31</f>
        <v>0</v>
      </c>
      <c r="F28" s="198">
        <f>'Statement Y'!F31</f>
        <v>0</v>
      </c>
      <c r="G28" s="198">
        <f>'Statement Y'!G31</f>
        <v>0</v>
      </c>
      <c r="H28" s="198">
        <f>'Statement Y'!H31</f>
        <v>0</v>
      </c>
      <c r="J28" s="198">
        <f>'Statement Q'!C31</f>
        <v>0</v>
      </c>
      <c r="K28" s="198">
        <f>'Statement Q'!D31</f>
        <v>0</v>
      </c>
      <c r="L28" s="198">
        <f>'Statement Q'!E31</f>
        <v>0</v>
      </c>
      <c r="M28" s="198">
        <f>'Statement Q'!F31</f>
        <v>0</v>
      </c>
      <c r="N28" s="198">
        <f>'Statement Q'!G31</f>
        <v>0</v>
      </c>
      <c r="O28" s="198">
        <f>'Statement Q'!H31</f>
        <v>0</v>
      </c>
      <c r="P28" s="198">
        <f>'Statement Q'!I31</f>
        <v>0</v>
      </c>
      <c r="Q28" s="198">
        <f>'Statement Q'!J31</f>
        <v>0</v>
      </c>
      <c r="S28" s="198">
        <f t="shared" si="3"/>
        <v>0</v>
      </c>
    </row>
    <row r="29" spans="2:19" outlineLevel="1" x14ac:dyDescent="0.2">
      <c r="B29" s="9" t="s">
        <v>24</v>
      </c>
      <c r="C29" s="164">
        <f>'Statement Y'!C32</f>
        <v>0</v>
      </c>
      <c r="D29" s="164">
        <f>'Statement Y'!D32</f>
        <v>0</v>
      </c>
      <c r="E29" s="164">
        <f>'Statement Y'!E32</f>
        <v>0</v>
      </c>
      <c r="F29" s="164">
        <f>'Statement Y'!F32</f>
        <v>0</v>
      </c>
      <c r="G29" s="164">
        <f>'Statement Y'!G32</f>
        <v>0</v>
      </c>
      <c r="H29" s="164">
        <f>'Statement Y'!H32</f>
        <v>0</v>
      </c>
      <c r="J29" s="164">
        <f>'Statement Q'!C32</f>
        <v>0</v>
      </c>
      <c r="K29" s="164">
        <f>'Statement Q'!D32</f>
        <v>0</v>
      </c>
      <c r="L29" s="164">
        <f>'Statement Q'!E32</f>
        <v>0</v>
      </c>
      <c r="M29" s="164">
        <f>'Statement Q'!F32</f>
        <v>0</v>
      </c>
      <c r="N29" s="164">
        <f>'Statement Q'!G32</f>
        <v>0</v>
      </c>
      <c r="O29" s="164">
        <f>'Statement Q'!H32</f>
        <v>0</v>
      </c>
      <c r="P29" s="164">
        <f>'Statement Q'!I32</f>
        <v>0</v>
      </c>
      <c r="Q29" s="164">
        <f>'Statement Q'!J32</f>
        <v>0</v>
      </c>
      <c r="S29" s="164">
        <f t="shared" si="3"/>
        <v>0</v>
      </c>
    </row>
    <row r="30" spans="2:19" outlineLevel="1" x14ac:dyDescent="0.2">
      <c r="B30" s="9" t="s">
        <v>25</v>
      </c>
      <c r="C30" s="164">
        <f>'Statement Y'!C33</f>
        <v>0</v>
      </c>
      <c r="D30" s="164">
        <f>'Statement Y'!D33</f>
        <v>0</v>
      </c>
      <c r="E30" s="164">
        <f>'Statement Y'!E33</f>
        <v>0</v>
      </c>
      <c r="F30" s="164">
        <f>'Statement Y'!F33</f>
        <v>0</v>
      </c>
      <c r="G30" s="164">
        <f>'Statement Y'!G33</f>
        <v>0</v>
      </c>
      <c r="H30" s="164">
        <f>'Statement Y'!H33</f>
        <v>0</v>
      </c>
      <c r="J30" s="164">
        <f>'Statement Q'!C33</f>
        <v>0</v>
      </c>
      <c r="K30" s="164">
        <f>'Statement Q'!D33</f>
        <v>0</v>
      </c>
      <c r="L30" s="164">
        <f>'Statement Q'!E33</f>
        <v>0</v>
      </c>
      <c r="M30" s="164">
        <f>'Statement Q'!F33</f>
        <v>0</v>
      </c>
      <c r="N30" s="164">
        <f>'Statement Q'!G33</f>
        <v>0</v>
      </c>
      <c r="O30" s="164">
        <f>'Statement Q'!H33</f>
        <v>0</v>
      </c>
      <c r="P30" s="164">
        <f>'Statement Q'!I33</f>
        <v>0</v>
      </c>
      <c r="Q30" s="164">
        <f>'Statement Q'!J33</f>
        <v>0</v>
      </c>
      <c r="S30" s="164">
        <f t="shared" si="3"/>
        <v>0</v>
      </c>
    </row>
    <row r="31" spans="2:19" outlineLevel="1" x14ac:dyDescent="0.2">
      <c r="B31" s="9" t="s">
        <v>133</v>
      </c>
      <c r="C31" s="164">
        <f>'Statement Y'!C34</f>
        <v>0</v>
      </c>
      <c r="D31" s="164">
        <f>'Statement Y'!D34</f>
        <v>0</v>
      </c>
      <c r="E31" s="164">
        <f>'Statement Y'!E34</f>
        <v>0</v>
      </c>
      <c r="F31" s="164">
        <f>'Statement Y'!F34</f>
        <v>0</v>
      </c>
      <c r="G31" s="164">
        <f>'Statement Y'!G34</f>
        <v>0</v>
      </c>
      <c r="H31" s="164">
        <f>'Statement Y'!H34</f>
        <v>0</v>
      </c>
      <c r="J31" s="164">
        <f>'Statement Q'!C34</f>
        <v>0</v>
      </c>
      <c r="K31" s="164">
        <f>'Statement Q'!D34</f>
        <v>0</v>
      </c>
      <c r="L31" s="164">
        <f>'Statement Q'!E34</f>
        <v>0</v>
      </c>
      <c r="M31" s="164">
        <f>'Statement Q'!F34</f>
        <v>0</v>
      </c>
      <c r="N31" s="164">
        <f>'Statement Q'!G34</f>
        <v>0</v>
      </c>
      <c r="O31" s="164">
        <f>'Statement Q'!H34</f>
        <v>0</v>
      </c>
      <c r="P31" s="164">
        <f>'Statement Q'!I34</f>
        <v>0</v>
      </c>
      <c r="Q31" s="164">
        <f>'Statement Q'!J34</f>
        <v>0</v>
      </c>
      <c r="S31" s="164">
        <f t="shared" si="3"/>
        <v>0</v>
      </c>
    </row>
    <row r="32" spans="2:19" outlineLevel="1" x14ac:dyDescent="0.2">
      <c r="B32" s="9" t="s">
        <v>114</v>
      </c>
      <c r="C32" s="164">
        <f>'Statement Y'!C35</f>
        <v>0</v>
      </c>
      <c r="D32" s="164">
        <f>'Statement Y'!D35</f>
        <v>0</v>
      </c>
      <c r="E32" s="164">
        <f>'Statement Y'!E35</f>
        <v>0</v>
      </c>
      <c r="F32" s="164">
        <f>'Statement Y'!F35</f>
        <v>0</v>
      </c>
      <c r="G32" s="164">
        <f>'Statement Y'!G35</f>
        <v>0</v>
      </c>
      <c r="H32" s="164">
        <f>'Statement Y'!H35</f>
        <v>0</v>
      </c>
      <c r="J32" s="164">
        <f>'Statement Q'!C35</f>
        <v>0</v>
      </c>
      <c r="K32" s="164">
        <f>'Statement Q'!D35</f>
        <v>0</v>
      </c>
      <c r="L32" s="164">
        <f>'Statement Q'!E35</f>
        <v>0</v>
      </c>
      <c r="M32" s="164">
        <f>'Statement Q'!F35</f>
        <v>0</v>
      </c>
      <c r="N32" s="164">
        <f>'Statement Q'!G35</f>
        <v>0</v>
      </c>
      <c r="O32" s="164">
        <f>'Statement Q'!H35</f>
        <v>0</v>
      </c>
      <c r="P32" s="164">
        <f>'Statement Q'!I35</f>
        <v>0</v>
      </c>
      <c r="Q32" s="164">
        <f>'Statement Q'!J35</f>
        <v>0</v>
      </c>
      <c r="S32" s="164">
        <f t="shared" si="3"/>
        <v>0</v>
      </c>
    </row>
    <row r="33" spans="2:19" outlineLevel="1" x14ac:dyDescent="0.2">
      <c r="B33" s="9" t="s">
        <v>142</v>
      </c>
      <c r="C33" s="164">
        <f>'Statement Y'!C36</f>
        <v>0</v>
      </c>
      <c r="D33" s="164">
        <f>'Statement Y'!D36</f>
        <v>0</v>
      </c>
      <c r="E33" s="164">
        <f>'Statement Y'!E36</f>
        <v>0</v>
      </c>
      <c r="F33" s="164">
        <f>'Statement Y'!F36</f>
        <v>0</v>
      </c>
      <c r="G33" s="164">
        <f>'Statement Y'!G36</f>
        <v>0</v>
      </c>
      <c r="H33" s="164">
        <f>'Statement Y'!H36</f>
        <v>0</v>
      </c>
      <c r="J33" s="164">
        <f>'Statement Q'!C36</f>
        <v>0</v>
      </c>
      <c r="K33" s="164">
        <f>'Statement Q'!D36</f>
        <v>0</v>
      </c>
      <c r="L33" s="164">
        <f>'Statement Q'!E36</f>
        <v>0</v>
      </c>
      <c r="M33" s="164">
        <f>'Statement Q'!F36</f>
        <v>0</v>
      </c>
      <c r="N33" s="164">
        <f>'Statement Q'!G36</f>
        <v>0</v>
      </c>
      <c r="O33" s="164">
        <f>'Statement Q'!H36</f>
        <v>0</v>
      </c>
      <c r="P33" s="164">
        <f>'Statement Q'!I36</f>
        <v>0</v>
      </c>
      <c r="Q33" s="164">
        <f>'Statement Q'!J36</f>
        <v>0</v>
      </c>
      <c r="S33" s="164">
        <f t="shared" si="3"/>
        <v>0</v>
      </c>
    </row>
    <row r="34" spans="2:19" outlineLevel="1" x14ac:dyDescent="0.2">
      <c r="B34" s="9" t="s">
        <v>23</v>
      </c>
      <c r="C34" s="164">
        <f>'Statement Y'!C37</f>
        <v>0</v>
      </c>
      <c r="D34" s="164">
        <f>'Statement Y'!D37</f>
        <v>0</v>
      </c>
      <c r="E34" s="164">
        <f>'Statement Y'!E37</f>
        <v>0</v>
      </c>
      <c r="F34" s="164">
        <f>'Statement Y'!F37</f>
        <v>0</v>
      </c>
      <c r="G34" s="164">
        <f>'Statement Y'!G37</f>
        <v>0</v>
      </c>
      <c r="H34" s="164">
        <f>'Statement Y'!H37</f>
        <v>0</v>
      </c>
      <c r="J34" s="164">
        <f>'Statement Q'!C37</f>
        <v>0</v>
      </c>
      <c r="K34" s="164">
        <f>'Statement Q'!D37</f>
        <v>0</v>
      </c>
      <c r="L34" s="164">
        <f>'Statement Q'!E37</f>
        <v>0</v>
      </c>
      <c r="M34" s="164">
        <f>'Statement Q'!F37</f>
        <v>0</v>
      </c>
      <c r="N34" s="164">
        <f>'Statement Q'!G37</f>
        <v>0</v>
      </c>
      <c r="O34" s="164">
        <f>'Statement Q'!H37</f>
        <v>0</v>
      </c>
      <c r="P34" s="164">
        <f>'Statement Q'!I37</f>
        <v>0</v>
      </c>
      <c r="Q34" s="164">
        <f>'Statement Q'!J37</f>
        <v>0</v>
      </c>
      <c r="S34" s="164">
        <f t="shared" si="3"/>
        <v>0</v>
      </c>
    </row>
    <row r="35" spans="2:19" outlineLevel="1" x14ac:dyDescent="0.2">
      <c r="B35" s="9" t="s">
        <v>38</v>
      </c>
      <c r="C35" s="164">
        <f>'Statement Y'!C38</f>
        <v>0</v>
      </c>
      <c r="D35" s="164">
        <f>'Statement Y'!D38</f>
        <v>0</v>
      </c>
      <c r="E35" s="164">
        <f>'Statement Y'!E38</f>
        <v>0</v>
      </c>
      <c r="F35" s="164">
        <f>'Statement Y'!F38</f>
        <v>0</v>
      </c>
      <c r="G35" s="164">
        <f>'Statement Y'!G38</f>
        <v>0</v>
      </c>
      <c r="H35" s="164">
        <f>'Statement Y'!H38</f>
        <v>0</v>
      </c>
      <c r="J35" s="164">
        <f>'Statement Q'!C38</f>
        <v>0</v>
      </c>
      <c r="K35" s="164">
        <f>'Statement Q'!D38</f>
        <v>0</v>
      </c>
      <c r="L35" s="164">
        <f>'Statement Q'!E38</f>
        <v>0</v>
      </c>
      <c r="M35" s="164">
        <f>'Statement Q'!F38</f>
        <v>0</v>
      </c>
      <c r="N35" s="164">
        <f>'Statement Q'!G38</f>
        <v>0</v>
      </c>
      <c r="O35" s="164">
        <f>'Statement Q'!H38</f>
        <v>0</v>
      </c>
      <c r="P35" s="164">
        <f>'Statement Q'!I38</f>
        <v>0</v>
      </c>
      <c r="Q35" s="164">
        <f>'Statement Q'!J38</f>
        <v>0</v>
      </c>
      <c r="S35" s="164">
        <f t="shared" si="3"/>
        <v>0</v>
      </c>
    </row>
    <row r="36" spans="2:19" outlineLevel="1" x14ac:dyDescent="0.2">
      <c r="B36" s="9" t="s">
        <v>26</v>
      </c>
      <c r="C36" s="164">
        <f>'Statement Y'!C39</f>
        <v>0</v>
      </c>
      <c r="D36" s="164">
        <f>'Statement Y'!D39</f>
        <v>0</v>
      </c>
      <c r="E36" s="164">
        <f>'Statement Y'!E39</f>
        <v>0</v>
      </c>
      <c r="F36" s="164">
        <f>'Statement Y'!F39</f>
        <v>0</v>
      </c>
      <c r="G36" s="164">
        <f>'Statement Y'!G39</f>
        <v>0</v>
      </c>
      <c r="H36" s="164">
        <f>'Statement Y'!H39</f>
        <v>0</v>
      </c>
      <c r="J36" s="164">
        <f>'Statement Q'!C39</f>
        <v>0</v>
      </c>
      <c r="K36" s="164">
        <f>'Statement Q'!D39</f>
        <v>0</v>
      </c>
      <c r="L36" s="164">
        <f>'Statement Q'!E39</f>
        <v>0</v>
      </c>
      <c r="M36" s="164">
        <f>'Statement Q'!F39</f>
        <v>0</v>
      </c>
      <c r="N36" s="164">
        <f>'Statement Q'!G39</f>
        <v>0</v>
      </c>
      <c r="O36" s="164">
        <f>'Statement Q'!H39</f>
        <v>0</v>
      </c>
      <c r="P36" s="164">
        <f>'Statement Q'!I39</f>
        <v>0</v>
      </c>
      <c r="Q36" s="164">
        <f>'Statement Q'!J39</f>
        <v>0</v>
      </c>
      <c r="S36" s="164">
        <f t="shared" si="3"/>
        <v>0</v>
      </c>
    </row>
    <row r="37" spans="2:19" outlineLevel="1" x14ac:dyDescent="0.2">
      <c r="B37" s="11" t="s">
        <v>27</v>
      </c>
      <c r="C37" s="198">
        <f>'Statement Y'!C40</f>
        <v>0</v>
      </c>
      <c r="D37" s="198">
        <f>'Statement Y'!D40</f>
        <v>0</v>
      </c>
      <c r="E37" s="198">
        <f>'Statement Y'!E40</f>
        <v>0</v>
      </c>
      <c r="F37" s="198">
        <f>'Statement Y'!F40</f>
        <v>0</v>
      </c>
      <c r="G37" s="198">
        <f>'Statement Y'!G40</f>
        <v>0</v>
      </c>
      <c r="H37" s="198">
        <f>'Statement Y'!H40</f>
        <v>0</v>
      </c>
      <c r="J37" s="198">
        <f>'Statement Q'!C40</f>
        <v>0</v>
      </c>
      <c r="K37" s="198">
        <f>'Statement Q'!D40</f>
        <v>0</v>
      </c>
      <c r="L37" s="198">
        <f>'Statement Q'!E40</f>
        <v>0</v>
      </c>
      <c r="M37" s="198">
        <f>'Statement Q'!F40</f>
        <v>0</v>
      </c>
      <c r="N37" s="198">
        <f>'Statement Q'!G40</f>
        <v>0</v>
      </c>
      <c r="O37" s="198">
        <f>'Statement Q'!H40</f>
        <v>0</v>
      </c>
      <c r="P37" s="198">
        <f>'Statement Q'!I40</f>
        <v>0</v>
      </c>
      <c r="Q37" s="198">
        <f>'Statement Q'!J40</f>
        <v>0</v>
      </c>
      <c r="S37" s="198">
        <f t="shared" si="3"/>
        <v>0</v>
      </c>
    </row>
    <row r="38" spans="2:19" outlineLevel="1" x14ac:dyDescent="0.2">
      <c r="B38" s="17" t="s">
        <v>28</v>
      </c>
      <c r="C38" s="195">
        <f>'Statement Y'!C41</f>
        <v>0</v>
      </c>
      <c r="D38" s="195">
        <f>'Statement Y'!D41</f>
        <v>0</v>
      </c>
      <c r="E38" s="195">
        <f>'Statement Y'!E41</f>
        <v>0</v>
      </c>
      <c r="F38" s="195">
        <f>'Statement Y'!F41</f>
        <v>0</v>
      </c>
      <c r="G38" s="195">
        <f>'Statement Y'!G41</f>
        <v>0</v>
      </c>
      <c r="H38" s="195">
        <f>'Statement Y'!H41</f>
        <v>0</v>
      </c>
      <c r="J38" s="195">
        <f>'Statement Q'!C41</f>
        <v>0</v>
      </c>
      <c r="K38" s="195">
        <f>'Statement Q'!D41</f>
        <v>0</v>
      </c>
      <c r="L38" s="195">
        <f>'Statement Q'!E41</f>
        <v>0</v>
      </c>
      <c r="M38" s="195">
        <f>'Statement Q'!F41</f>
        <v>0</v>
      </c>
      <c r="N38" s="195">
        <f>'Statement Q'!G41</f>
        <v>0</v>
      </c>
      <c r="O38" s="195">
        <f>'Statement Q'!H41</f>
        <v>0</v>
      </c>
      <c r="P38" s="195">
        <f>'Statement Q'!I41</f>
        <v>0</v>
      </c>
      <c r="Q38" s="195">
        <f>'Statement Q'!J41</f>
        <v>0</v>
      </c>
      <c r="S38" s="195">
        <f t="shared" si="3"/>
        <v>0</v>
      </c>
    </row>
    <row r="39" spans="2:19" outlineLevel="1" x14ac:dyDescent="0.2">
      <c r="B39" s="9" t="s">
        <v>29</v>
      </c>
      <c r="C39" s="164">
        <f>'Statement Y'!C42</f>
        <v>0</v>
      </c>
      <c r="D39" s="164">
        <f>'Statement Y'!D42</f>
        <v>0</v>
      </c>
      <c r="E39" s="164">
        <f>'Statement Y'!E42</f>
        <v>0</v>
      </c>
      <c r="F39" s="164">
        <f>'Statement Y'!F42</f>
        <v>0</v>
      </c>
      <c r="G39" s="164">
        <f>'Statement Y'!G42</f>
        <v>0</v>
      </c>
      <c r="H39" s="164">
        <f>'Statement Y'!H42</f>
        <v>0</v>
      </c>
      <c r="J39" s="164">
        <f>'Statement Q'!C42</f>
        <v>0</v>
      </c>
      <c r="K39" s="164">
        <f>'Statement Q'!D42</f>
        <v>0</v>
      </c>
      <c r="L39" s="164">
        <f>'Statement Q'!E42</f>
        <v>0</v>
      </c>
      <c r="M39" s="164">
        <f>'Statement Q'!F42</f>
        <v>0</v>
      </c>
      <c r="N39" s="164">
        <f>'Statement Q'!G42</f>
        <v>0</v>
      </c>
      <c r="O39" s="164">
        <f>'Statement Q'!H42</f>
        <v>0</v>
      </c>
      <c r="P39" s="164">
        <f>'Statement Q'!I42</f>
        <v>0</v>
      </c>
      <c r="Q39" s="164">
        <f>'Statement Q'!J42</f>
        <v>0</v>
      </c>
      <c r="S39" s="164">
        <f t="shared" si="3"/>
        <v>0</v>
      </c>
    </row>
    <row r="40" spans="2:19" outlineLevel="1" x14ac:dyDescent="0.2">
      <c r="B40" s="9" t="s">
        <v>115</v>
      </c>
      <c r="C40" s="164">
        <f>'Statement Y'!C43</f>
        <v>0</v>
      </c>
      <c r="D40" s="164">
        <f>'Statement Y'!D43</f>
        <v>0</v>
      </c>
      <c r="E40" s="164">
        <f>'Statement Y'!E43</f>
        <v>0</v>
      </c>
      <c r="F40" s="164">
        <f>'Statement Y'!F43</f>
        <v>0</v>
      </c>
      <c r="G40" s="164">
        <f>'Statement Y'!G43</f>
        <v>0</v>
      </c>
      <c r="H40" s="164">
        <f>'Statement Y'!H43</f>
        <v>0</v>
      </c>
      <c r="J40" s="164">
        <f>'Statement Q'!C43</f>
        <v>0</v>
      </c>
      <c r="K40" s="164">
        <f>'Statement Q'!D43</f>
        <v>0</v>
      </c>
      <c r="L40" s="164">
        <f>'Statement Q'!E43</f>
        <v>0</v>
      </c>
      <c r="M40" s="164">
        <f>'Statement Q'!F43</f>
        <v>0</v>
      </c>
      <c r="N40" s="164">
        <f>'Statement Q'!G43</f>
        <v>0</v>
      </c>
      <c r="O40" s="164">
        <f>'Statement Q'!H43</f>
        <v>0</v>
      </c>
      <c r="P40" s="164">
        <f>'Statement Q'!I43</f>
        <v>0</v>
      </c>
      <c r="Q40" s="164">
        <f>'Statement Q'!J43</f>
        <v>0</v>
      </c>
      <c r="S40" s="164">
        <f t="shared" si="3"/>
        <v>0</v>
      </c>
    </row>
    <row r="41" spans="2:19" outlineLevel="1" x14ac:dyDescent="0.2">
      <c r="B41" s="9" t="s">
        <v>37</v>
      </c>
      <c r="C41" s="164">
        <f>'Statement Y'!C44</f>
        <v>0</v>
      </c>
      <c r="D41" s="164">
        <f>'Statement Y'!D44</f>
        <v>0</v>
      </c>
      <c r="E41" s="164">
        <f>'Statement Y'!E44</f>
        <v>0</v>
      </c>
      <c r="F41" s="164">
        <f>'Statement Y'!F44</f>
        <v>0</v>
      </c>
      <c r="G41" s="164">
        <f>'Statement Y'!G44</f>
        <v>0</v>
      </c>
      <c r="H41" s="164">
        <f>'Statement Y'!H44</f>
        <v>0</v>
      </c>
      <c r="J41" s="164">
        <f>'Statement Q'!C44</f>
        <v>0</v>
      </c>
      <c r="K41" s="164">
        <f>'Statement Q'!D44</f>
        <v>0</v>
      </c>
      <c r="L41" s="164">
        <f>'Statement Q'!E44</f>
        <v>0</v>
      </c>
      <c r="M41" s="164">
        <f>'Statement Q'!F44</f>
        <v>0</v>
      </c>
      <c r="N41" s="164">
        <f>'Statement Q'!G44</f>
        <v>0</v>
      </c>
      <c r="O41" s="164">
        <f>'Statement Q'!H44</f>
        <v>0</v>
      </c>
      <c r="P41" s="164">
        <f>'Statement Q'!I44</f>
        <v>0</v>
      </c>
      <c r="Q41" s="164">
        <f>'Statement Q'!J44</f>
        <v>0</v>
      </c>
      <c r="S41" s="164">
        <f t="shared" si="3"/>
        <v>0</v>
      </c>
    </row>
    <row r="42" spans="2:19" outlineLevel="1" x14ac:dyDescent="0.2">
      <c r="B42" s="9" t="s">
        <v>116</v>
      </c>
      <c r="C42" s="164">
        <f>'Statement Y'!C45</f>
        <v>0</v>
      </c>
      <c r="D42" s="164">
        <f>'Statement Y'!D45</f>
        <v>0</v>
      </c>
      <c r="E42" s="164">
        <f>'Statement Y'!E45</f>
        <v>0</v>
      </c>
      <c r="F42" s="164">
        <f>'Statement Y'!F45</f>
        <v>0</v>
      </c>
      <c r="G42" s="164">
        <f>'Statement Y'!G45</f>
        <v>0</v>
      </c>
      <c r="H42" s="164">
        <f>'Statement Y'!H45</f>
        <v>0</v>
      </c>
      <c r="J42" s="164">
        <f>'Statement Q'!C45</f>
        <v>0</v>
      </c>
      <c r="K42" s="164">
        <f>'Statement Q'!D45</f>
        <v>0</v>
      </c>
      <c r="L42" s="164">
        <f>'Statement Q'!E45</f>
        <v>0</v>
      </c>
      <c r="M42" s="164">
        <f>'Statement Q'!F45</f>
        <v>0</v>
      </c>
      <c r="N42" s="164">
        <f>'Statement Q'!G45</f>
        <v>0</v>
      </c>
      <c r="O42" s="164">
        <f>'Statement Q'!H45</f>
        <v>0</v>
      </c>
      <c r="P42" s="164">
        <f>'Statement Q'!I45</f>
        <v>0</v>
      </c>
      <c r="Q42" s="164">
        <f>'Statement Q'!J45</f>
        <v>0</v>
      </c>
      <c r="S42" s="164">
        <f t="shared" si="3"/>
        <v>0</v>
      </c>
    </row>
    <row r="43" spans="2:19" outlineLevel="1" x14ac:dyDescent="0.2">
      <c r="B43" s="11" t="s">
        <v>32</v>
      </c>
      <c r="C43" s="198">
        <f>'Statement Y'!C46</f>
        <v>0</v>
      </c>
      <c r="D43" s="198">
        <f>'Statement Y'!D46</f>
        <v>0</v>
      </c>
      <c r="E43" s="198">
        <f>'Statement Y'!E46</f>
        <v>0</v>
      </c>
      <c r="F43" s="198">
        <f>'Statement Y'!F46</f>
        <v>0</v>
      </c>
      <c r="G43" s="198">
        <f>'Statement Y'!G46</f>
        <v>0</v>
      </c>
      <c r="H43" s="198">
        <f>'Statement Y'!H46</f>
        <v>0</v>
      </c>
      <c r="J43" s="198">
        <f>'Statement Q'!C46</f>
        <v>0</v>
      </c>
      <c r="K43" s="198">
        <f>'Statement Q'!D46</f>
        <v>0</v>
      </c>
      <c r="L43" s="198">
        <f>'Statement Q'!E46</f>
        <v>0</v>
      </c>
      <c r="M43" s="198">
        <f>'Statement Q'!F46</f>
        <v>0</v>
      </c>
      <c r="N43" s="198">
        <f>'Statement Q'!G46</f>
        <v>0</v>
      </c>
      <c r="O43" s="198">
        <f>'Statement Q'!H46</f>
        <v>0</v>
      </c>
      <c r="P43" s="198">
        <f>'Statement Q'!I46</f>
        <v>0</v>
      </c>
      <c r="Q43" s="198">
        <f>'Statement Q'!J46</f>
        <v>0</v>
      </c>
      <c r="S43" s="198">
        <f t="shared" si="3"/>
        <v>0</v>
      </c>
    </row>
    <row r="44" spans="2:19" outlineLevel="1" x14ac:dyDescent="0.2">
      <c r="B44" s="9" t="s">
        <v>117</v>
      </c>
      <c r="C44" s="164">
        <f>'Statement Y'!C47</f>
        <v>0</v>
      </c>
      <c r="D44" s="164">
        <f>'Statement Y'!D47</f>
        <v>0</v>
      </c>
      <c r="E44" s="164">
        <f>'Statement Y'!E47</f>
        <v>0</v>
      </c>
      <c r="F44" s="164">
        <f>'Statement Y'!F47</f>
        <v>0</v>
      </c>
      <c r="G44" s="164">
        <f>'Statement Y'!G47</f>
        <v>0</v>
      </c>
      <c r="H44" s="164">
        <f>'Statement Y'!H47</f>
        <v>0</v>
      </c>
      <c r="J44" s="164">
        <f>'Statement Q'!C47</f>
        <v>0</v>
      </c>
      <c r="K44" s="164">
        <f>'Statement Q'!D47</f>
        <v>0</v>
      </c>
      <c r="L44" s="164">
        <f>'Statement Q'!E47</f>
        <v>0</v>
      </c>
      <c r="M44" s="164">
        <f>'Statement Q'!F47</f>
        <v>0</v>
      </c>
      <c r="N44" s="164">
        <f>'Statement Q'!G47</f>
        <v>0</v>
      </c>
      <c r="O44" s="164">
        <f>'Statement Q'!H47</f>
        <v>0</v>
      </c>
      <c r="P44" s="164">
        <f>'Statement Q'!I47</f>
        <v>0</v>
      </c>
      <c r="Q44" s="164">
        <f>'Statement Q'!J47</f>
        <v>0</v>
      </c>
      <c r="S44" s="164">
        <f t="shared" si="3"/>
        <v>0</v>
      </c>
    </row>
    <row r="45" spans="2:19" outlineLevel="1" x14ac:dyDescent="0.2">
      <c r="B45" s="9" t="s">
        <v>143</v>
      </c>
      <c r="C45" s="164">
        <f>'Statement Y'!C48</f>
        <v>0</v>
      </c>
      <c r="D45" s="164">
        <f>'Statement Y'!D48</f>
        <v>0</v>
      </c>
      <c r="E45" s="164">
        <f>'Statement Y'!E48</f>
        <v>0</v>
      </c>
      <c r="F45" s="164">
        <f>'Statement Y'!F48</f>
        <v>0</v>
      </c>
      <c r="G45" s="164">
        <f>'Statement Y'!G48</f>
        <v>0</v>
      </c>
      <c r="H45" s="164">
        <f>'Statement Y'!H48</f>
        <v>0</v>
      </c>
      <c r="J45" s="164">
        <f>'Statement Q'!C48</f>
        <v>0</v>
      </c>
      <c r="K45" s="164">
        <f>'Statement Q'!D48</f>
        <v>0</v>
      </c>
      <c r="L45" s="164">
        <f>'Statement Q'!E48</f>
        <v>0</v>
      </c>
      <c r="M45" s="164">
        <f>'Statement Q'!F48</f>
        <v>0</v>
      </c>
      <c r="N45" s="164">
        <f>'Statement Q'!G48</f>
        <v>0</v>
      </c>
      <c r="O45" s="164">
        <f>'Statement Q'!H48</f>
        <v>0</v>
      </c>
      <c r="P45" s="164">
        <f>'Statement Q'!I48</f>
        <v>0</v>
      </c>
      <c r="Q45" s="164">
        <f>'Statement Q'!J48</f>
        <v>0</v>
      </c>
      <c r="S45" s="164">
        <f t="shared" si="3"/>
        <v>0</v>
      </c>
    </row>
    <row r="46" spans="2:19" outlineLevel="1" x14ac:dyDescent="0.2">
      <c r="B46" s="11" t="s">
        <v>30</v>
      </c>
      <c r="C46" s="198">
        <f>'Statement Y'!C49</f>
        <v>0</v>
      </c>
      <c r="D46" s="198">
        <f>'Statement Y'!D49</f>
        <v>0</v>
      </c>
      <c r="E46" s="198">
        <f>'Statement Y'!E49</f>
        <v>0</v>
      </c>
      <c r="F46" s="198">
        <f>'Statement Y'!F49</f>
        <v>0</v>
      </c>
      <c r="G46" s="198">
        <f>'Statement Y'!G49</f>
        <v>0</v>
      </c>
      <c r="H46" s="198">
        <f>'Statement Y'!H49</f>
        <v>0</v>
      </c>
      <c r="J46" s="198">
        <f>'Statement Q'!C49</f>
        <v>0</v>
      </c>
      <c r="K46" s="198">
        <f>'Statement Q'!D49</f>
        <v>0</v>
      </c>
      <c r="L46" s="198">
        <f>'Statement Q'!E49</f>
        <v>0</v>
      </c>
      <c r="M46" s="198">
        <f>'Statement Q'!F49</f>
        <v>0</v>
      </c>
      <c r="N46" s="198">
        <f>'Statement Q'!G49</f>
        <v>0</v>
      </c>
      <c r="O46" s="198">
        <f>'Statement Q'!H49</f>
        <v>0</v>
      </c>
      <c r="P46" s="198">
        <f>'Statement Q'!I49</f>
        <v>0</v>
      </c>
      <c r="Q46" s="198">
        <f>'Statement Q'!J49</f>
        <v>0</v>
      </c>
      <c r="S46" s="198">
        <f t="shared" si="3"/>
        <v>0</v>
      </c>
    </row>
    <row r="47" spans="2:19" outlineLevel="1" x14ac:dyDescent="0.2">
      <c r="B47" s="17" t="s">
        <v>31</v>
      </c>
      <c r="C47" s="195">
        <f>'Statement Y'!C50</f>
        <v>0</v>
      </c>
      <c r="D47" s="195">
        <f>'Statement Y'!D50</f>
        <v>0</v>
      </c>
      <c r="E47" s="195">
        <f>'Statement Y'!E50</f>
        <v>0</v>
      </c>
      <c r="F47" s="195">
        <f>'Statement Y'!F50</f>
        <v>0</v>
      </c>
      <c r="G47" s="195">
        <f>'Statement Y'!G50</f>
        <v>0</v>
      </c>
      <c r="H47" s="195">
        <f>'Statement Y'!H50</f>
        <v>0</v>
      </c>
      <c r="J47" s="195">
        <f>'Statement Q'!C50</f>
        <v>0</v>
      </c>
      <c r="K47" s="195">
        <f>'Statement Q'!D50</f>
        <v>0</v>
      </c>
      <c r="L47" s="195">
        <f>'Statement Q'!E50</f>
        <v>0</v>
      </c>
      <c r="M47" s="195">
        <f>'Statement Q'!F50</f>
        <v>0</v>
      </c>
      <c r="N47" s="195">
        <f>'Statement Q'!G50</f>
        <v>0</v>
      </c>
      <c r="O47" s="195">
        <f>'Statement Q'!H50</f>
        <v>0</v>
      </c>
      <c r="P47" s="195">
        <f>'Statement Q'!I50</f>
        <v>0</v>
      </c>
      <c r="Q47" s="195">
        <f>'Statement Q'!J50</f>
        <v>0</v>
      </c>
      <c r="S47" s="195">
        <f t="shared" si="3"/>
        <v>0</v>
      </c>
    </row>
    <row r="48" spans="2:19" outlineLevel="1" x14ac:dyDescent="0.2">
      <c r="B48" s="9" t="s">
        <v>33</v>
      </c>
      <c r="C48" s="164">
        <f>'Statement Y'!C51</f>
        <v>0</v>
      </c>
      <c r="D48" s="164">
        <f>'Statement Y'!D51</f>
        <v>0</v>
      </c>
      <c r="E48" s="164">
        <f>'Statement Y'!E51</f>
        <v>0</v>
      </c>
      <c r="F48" s="164">
        <f>'Statement Y'!F51</f>
        <v>0</v>
      </c>
      <c r="G48" s="164">
        <f>'Statement Y'!G51</f>
        <v>0</v>
      </c>
      <c r="H48" s="164">
        <f>'Statement Y'!H51</f>
        <v>0</v>
      </c>
      <c r="J48" s="164">
        <f>'Statement Q'!C51</f>
        <v>0</v>
      </c>
      <c r="K48" s="164">
        <f>'Statement Q'!D51</f>
        <v>0</v>
      </c>
      <c r="L48" s="164">
        <f>'Statement Q'!E51</f>
        <v>0</v>
      </c>
      <c r="M48" s="164">
        <f>'Statement Q'!F51</f>
        <v>0</v>
      </c>
      <c r="N48" s="164">
        <f>'Statement Q'!G51</f>
        <v>0</v>
      </c>
      <c r="O48" s="164">
        <f>'Statement Q'!H51</f>
        <v>0</v>
      </c>
      <c r="P48" s="164">
        <f>'Statement Q'!I51</f>
        <v>0</v>
      </c>
      <c r="Q48" s="164">
        <f>'Statement Q'!J51</f>
        <v>0</v>
      </c>
      <c r="S48" s="164">
        <f t="shared" si="3"/>
        <v>0</v>
      </c>
    </row>
    <row r="49" spans="2:19" outlineLevel="1" x14ac:dyDescent="0.2">
      <c r="B49" s="9" t="s">
        <v>118</v>
      </c>
      <c r="C49" s="164">
        <f>'Statement Y'!C52</f>
        <v>0</v>
      </c>
      <c r="D49" s="164">
        <f>'Statement Y'!D52</f>
        <v>0</v>
      </c>
      <c r="E49" s="164">
        <f>'Statement Y'!E52</f>
        <v>0</v>
      </c>
      <c r="F49" s="164">
        <f>'Statement Y'!F52</f>
        <v>0</v>
      </c>
      <c r="G49" s="164">
        <f>'Statement Y'!G52</f>
        <v>0</v>
      </c>
      <c r="H49" s="164">
        <f>'Statement Y'!H52</f>
        <v>0</v>
      </c>
      <c r="J49" s="164">
        <f>'Statement Q'!C52</f>
        <v>0</v>
      </c>
      <c r="K49" s="164">
        <f>'Statement Q'!D52</f>
        <v>0</v>
      </c>
      <c r="L49" s="164">
        <f>'Statement Q'!E52</f>
        <v>0</v>
      </c>
      <c r="M49" s="164">
        <f>'Statement Q'!F52</f>
        <v>0</v>
      </c>
      <c r="N49" s="164">
        <f>'Statement Q'!G52</f>
        <v>0</v>
      </c>
      <c r="O49" s="164">
        <f>'Statement Q'!H52</f>
        <v>0</v>
      </c>
      <c r="P49" s="164">
        <f>'Statement Q'!I52</f>
        <v>0</v>
      </c>
      <c r="Q49" s="164">
        <f>'Statement Q'!J52</f>
        <v>0</v>
      </c>
      <c r="S49" s="164">
        <f t="shared" si="3"/>
        <v>0</v>
      </c>
    </row>
    <row r="50" spans="2:19" outlineLevel="1" x14ac:dyDescent="0.2">
      <c r="B50" s="9" t="s">
        <v>34</v>
      </c>
      <c r="C50" s="164">
        <f>'Statement Y'!C53</f>
        <v>0</v>
      </c>
      <c r="D50" s="164">
        <f>'Statement Y'!D53</f>
        <v>0</v>
      </c>
      <c r="E50" s="164">
        <f>'Statement Y'!E53</f>
        <v>0</v>
      </c>
      <c r="F50" s="164">
        <f>'Statement Y'!F53</f>
        <v>0</v>
      </c>
      <c r="G50" s="164">
        <f>'Statement Y'!G53</f>
        <v>0</v>
      </c>
      <c r="H50" s="164">
        <f>'Statement Y'!H53</f>
        <v>0</v>
      </c>
      <c r="J50" s="164">
        <f>'Statement Q'!C53</f>
        <v>0</v>
      </c>
      <c r="K50" s="164">
        <f>'Statement Q'!D53</f>
        <v>0</v>
      </c>
      <c r="L50" s="164">
        <f>'Statement Q'!E53</f>
        <v>0</v>
      </c>
      <c r="M50" s="164">
        <f>'Statement Q'!F53</f>
        <v>0</v>
      </c>
      <c r="N50" s="164">
        <f>'Statement Q'!G53</f>
        <v>0</v>
      </c>
      <c r="O50" s="164">
        <f>'Statement Q'!H53</f>
        <v>0</v>
      </c>
      <c r="P50" s="164">
        <f>'Statement Q'!I53</f>
        <v>0</v>
      </c>
      <c r="Q50" s="164">
        <f>'Statement Q'!J53</f>
        <v>0</v>
      </c>
      <c r="S50" s="164">
        <f t="shared" si="3"/>
        <v>0</v>
      </c>
    </row>
    <row r="51" spans="2:19" outlineLevel="1" x14ac:dyDescent="0.2">
      <c r="B51" s="11" t="s">
        <v>35</v>
      </c>
      <c r="C51" s="198">
        <f>'Statement Y'!C54</f>
        <v>0</v>
      </c>
      <c r="D51" s="198">
        <f>'Statement Y'!D54</f>
        <v>0</v>
      </c>
      <c r="E51" s="198">
        <f>'Statement Y'!E54</f>
        <v>0</v>
      </c>
      <c r="F51" s="198">
        <f>'Statement Y'!F54</f>
        <v>0</v>
      </c>
      <c r="G51" s="198">
        <f>'Statement Y'!G54</f>
        <v>0</v>
      </c>
      <c r="H51" s="198">
        <f>'Statement Y'!H54</f>
        <v>0</v>
      </c>
      <c r="J51" s="198">
        <f>'Statement Q'!C54</f>
        <v>0</v>
      </c>
      <c r="K51" s="198">
        <f>'Statement Q'!D54</f>
        <v>0</v>
      </c>
      <c r="L51" s="198">
        <f>'Statement Q'!E54</f>
        <v>0</v>
      </c>
      <c r="M51" s="198">
        <f>'Statement Q'!F54</f>
        <v>0</v>
      </c>
      <c r="N51" s="198">
        <f>'Statement Q'!G54</f>
        <v>0</v>
      </c>
      <c r="O51" s="198">
        <f>'Statement Q'!H54</f>
        <v>0</v>
      </c>
      <c r="P51" s="198">
        <f>'Statement Q'!I54</f>
        <v>0</v>
      </c>
      <c r="Q51" s="198">
        <f>'Statement Q'!J54</f>
        <v>0</v>
      </c>
      <c r="S51" s="198">
        <f t="shared" si="3"/>
        <v>0</v>
      </c>
    </row>
    <row r="52" spans="2:19" ht="17" outlineLevel="1" thickBot="1" x14ac:dyDescent="0.25">
      <c r="B52" s="19" t="s">
        <v>36</v>
      </c>
      <c r="C52" s="199">
        <f>'Statement Y'!C55</f>
        <v>0</v>
      </c>
      <c r="D52" s="199">
        <f>'Statement Y'!D55</f>
        <v>0</v>
      </c>
      <c r="E52" s="199">
        <f>'Statement Y'!E55</f>
        <v>0</v>
      </c>
      <c r="F52" s="199">
        <f>'Statement Y'!F55</f>
        <v>0</v>
      </c>
      <c r="G52" s="199">
        <f>'Statement Y'!G55</f>
        <v>0</v>
      </c>
      <c r="H52" s="199">
        <f>'Statement Y'!H55</f>
        <v>0</v>
      </c>
      <c r="J52" s="199">
        <f>'Statement Q'!C55</f>
        <v>0</v>
      </c>
      <c r="K52" s="199">
        <f>'Statement Q'!D55</f>
        <v>0</v>
      </c>
      <c r="L52" s="199">
        <f>'Statement Q'!E55</f>
        <v>0</v>
      </c>
      <c r="M52" s="199">
        <f>'Statement Q'!F55</f>
        <v>0</v>
      </c>
      <c r="N52" s="199">
        <f>'Statement Q'!G55</f>
        <v>0</v>
      </c>
      <c r="O52" s="199">
        <f>'Statement Q'!H55</f>
        <v>0</v>
      </c>
      <c r="P52" s="199">
        <f>'Statement Q'!I55</f>
        <v>0</v>
      </c>
      <c r="Q52" s="199">
        <f>'Statement Q'!J55</f>
        <v>0</v>
      </c>
      <c r="S52" s="199">
        <f t="shared" si="3"/>
        <v>0</v>
      </c>
    </row>
    <row r="54" spans="2:19" ht="17" thickBot="1" x14ac:dyDescent="0.25">
      <c r="B54" s="15" t="s">
        <v>39</v>
      </c>
      <c r="C54" s="14"/>
      <c r="D54" s="14"/>
      <c r="E54" s="14"/>
      <c r="F54" s="14"/>
      <c r="G54" s="14"/>
      <c r="H54" s="14"/>
      <c r="J54" s="14"/>
      <c r="K54" s="14"/>
      <c r="L54" s="14"/>
      <c r="M54" s="14"/>
      <c r="N54" s="14"/>
      <c r="O54" s="14"/>
      <c r="P54" s="14"/>
      <c r="Q54" s="14"/>
      <c r="S54" s="14"/>
    </row>
    <row r="55" spans="2:19" outlineLevel="1" x14ac:dyDescent="0.2">
      <c r="B55" s="9" t="s">
        <v>14</v>
      </c>
      <c r="C55" s="164">
        <f>'Statement Y'!C58</f>
        <v>0</v>
      </c>
      <c r="D55" s="164">
        <f>'Statement Y'!D58</f>
        <v>0</v>
      </c>
      <c r="E55" s="164">
        <f>'Statement Y'!E58</f>
        <v>0</v>
      </c>
      <c r="F55" s="164">
        <f>'Statement Y'!F58</f>
        <v>0</v>
      </c>
      <c r="G55" s="164">
        <f>'Statement Y'!G58</f>
        <v>0</v>
      </c>
      <c r="H55" s="164">
        <f>'Statement Y'!H58</f>
        <v>0</v>
      </c>
      <c r="J55" s="164">
        <f>'Statement Q'!C58</f>
        <v>0</v>
      </c>
      <c r="K55" s="164">
        <f>'Statement Q'!D58</f>
        <v>0</v>
      </c>
      <c r="L55" s="164">
        <f>'Statement Q'!E58</f>
        <v>0</v>
      </c>
      <c r="M55" s="164">
        <f>'Statement Q'!F58</f>
        <v>0</v>
      </c>
      <c r="N55" s="164">
        <f>'Statement Q'!G58</f>
        <v>0</v>
      </c>
      <c r="O55" s="164">
        <f>'Statement Q'!H58</f>
        <v>0</v>
      </c>
      <c r="P55" s="164">
        <f>'Statement Q'!I58</f>
        <v>0</v>
      </c>
      <c r="Q55" s="164">
        <f>'Statement Q'!J58</f>
        <v>0</v>
      </c>
      <c r="S55" s="164">
        <f>SUM(N55:Q55)</f>
        <v>0</v>
      </c>
    </row>
    <row r="56" spans="2:19" outlineLevel="1" x14ac:dyDescent="0.2">
      <c r="B56" s="9" t="s">
        <v>40</v>
      </c>
      <c r="C56" s="164">
        <f>'Statement Y'!C59</f>
        <v>0</v>
      </c>
      <c r="D56" s="164">
        <f>'Statement Y'!D59</f>
        <v>0</v>
      </c>
      <c r="E56" s="164">
        <f>'Statement Y'!E59</f>
        <v>0</v>
      </c>
      <c r="F56" s="164">
        <f>'Statement Y'!F59</f>
        <v>0</v>
      </c>
      <c r="G56" s="164">
        <f>'Statement Y'!G59</f>
        <v>0</v>
      </c>
      <c r="H56" s="164">
        <f>'Statement Y'!H59</f>
        <v>0</v>
      </c>
      <c r="J56" s="164">
        <f>'Statement Q'!C59</f>
        <v>0</v>
      </c>
      <c r="K56" s="164">
        <f>'Statement Q'!D59</f>
        <v>0</v>
      </c>
      <c r="L56" s="164">
        <f>'Statement Q'!E59</f>
        <v>0</v>
      </c>
      <c r="M56" s="164">
        <f>'Statement Q'!F59</f>
        <v>0</v>
      </c>
      <c r="N56" s="164">
        <f>'Statement Q'!G59</f>
        <v>0</v>
      </c>
      <c r="O56" s="164">
        <f>'Statement Q'!H59</f>
        <v>0</v>
      </c>
      <c r="P56" s="164">
        <f>'Statement Q'!I59</f>
        <v>0</v>
      </c>
      <c r="Q56" s="164">
        <f>'Statement Q'!J59</f>
        <v>0</v>
      </c>
      <c r="S56" s="164">
        <f t="shared" ref="S56:S71" si="4">SUM(N56:Q56)</f>
        <v>0</v>
      </c>
    </row>
    <row r="57" spans="2:19" outlineLevel="1" x14ac:dyDescent="0.2">
      <c r="B57" s="9" t="s">
        <v>156</v>
      </c>
      <c r="C57" s="164">
        <f>'Statement Y'!C60</f>
        <v>0</v>
      </c>
      <c r="D57" s="164">
        <f>'Statement Y'!D60</f>
        <v>0</v>
      </c>
      <c r="E57" s="164">
        <f>'Statement Y'!E60</f>
        <v>0</v>
      </c>
      <c r="F57" s="164">
        <f>'Statement Y'!F60</f>
        <v>0</v>
      </c>
      <c r="G57" s="164">
        <f>'Statement Y'!G60</f>
        <v>0</v>
      </c>
      <c r="H57" s="164">
        <f>'Statement Y'!H60</f>
        <v>0</v>
      </c>
      <c r="J57" s="164">
        <f>'Statement Q'!C60</f>
        <v>0</v>
      </c>
      <c r="K57" s="164">
        <f>'Statement Q'!D60</f>
        <v>0</v>
      </c>
      <c r="L57" s="164">
        <f>'Statement Q'!E60</f>
        <v>0</v>
      </c>
      <c r="M57" s="164">
        <f>'Statement Q'!F60</f>
        <v>0</v>
      </c>
      <c r="N57" s="164">
        <f>'Statement Q'!G60</f>
        <v>0</v>
      </c>
      <c r="O57" s="164">
        <f>'Statement Q'!H60</f>
        <v>0</v>
      </c>
      <c r="P57" s="164">
        <f>'Statement Q'!I60</f>
        <v>0</v>
      </c>
      <c r="Q57" s="164">
        <f>'Statement Q'!J60</f>
        <v>0</v>
      </c>
      <c r="S57" s="164">
        <f t="shared" si="4"/>
        <v>0</v>
      </c>
    </row>
    <row r="58" spans="2:19" outlineLevel="1" x14ac:dyDescent="0.2">
      <c r="B58" s="12" t="s">
        <v>119</v>
      </c>
      <c r="C58" s="164">
        <f>'Statement Y'!C61</f>
        <v>0</v>
      </c>
      <c r="D58" s="164">
        <f>'Statement Y'!D61</f>
        <v>0</v>
      </c>
      <c r="E58" s="164">
        <f>'Statement Y'!E61</f>
        <v>0</v>
      </c>
      <c r="F58" s="164">
        <f>'Statement Y'!F61</f>
        <v>0</v>
      </c>
      <c r="G58" s="164">
        <f>'Statement Y'!G61</f>
        <v>0</v>
      </c>
      <c r="H58" s="164">
        <f>'Statement Y'!H61</f>
        <v>0</v>
      </c>
      <c r="J58" s="164">
        <f>'Statement Q'!C61</f>
        <v>0</v>
      </c>
      <c r="K58" s="164">
        <f>'Statement Q'!D61</f>
        <v>0</v>
      </c>
      <c r="L58" s="164">
        <f>'Statement Q'!E61</f>
        <v>0</v>
      </c>
      <c r="M58" s="164">
        <f>'Statement Q'!F61</f>
        <v>0</v>
      </c>
      <c r="N58" s="164">
        <f>'Statement Q'!G61</f>
        <v>0</v>
      </c>
      <c r="O58" s="164">
        <f>'Statement Q'!H61</f>
        <v>0</v>
      </c>
      <c r="P58" s="164">
        <f>'Statement Q'!I61</f>
        <v>0</v>
      </c>
      <c r="Q58" s="164">
        <f>'Statement Q'!J61</f>
        <v>0</v>
      </c>
      <c r="S58" s="164">
        <f t="shared" si="4"/>
        <v>0</v>
      </c>
    </row>
    <row r="59" spans="2:19" outlineLevel="1" x14ac:dyDescent="0.2">
      <c r="B59" s="12" t="s">
        <v>144</v>
      </c>
      <c r="C59" s="164">
        <f>'Statement Y'!C62</f>
        <v>0</v>
      </c>
      <c r="D59" s="164">
        <f>'Statement Y'!D62</f>
        <v>0</v>
      </c>
      <c r="E59" s="164">
        <f>'Statement Y'!E62</f>
        <v>0</v>
      </c>
      <c r="F59" s="164">
        <f>'Statement Y'!F62</f>
        <v>0</v>
      </c>
      <c r="G59" s="164">
        <f>'Statement Y'!G62</f>
        <v>0</v>
      </c>
      <c r="H59" s="164">
        <f>'Statement Y'!H62</f>
        <v>0</v>
      </c>
      <c r="J59" s="164">
        <f>'Statement Q'!C62</f>
        <v>0</v>
      </c>
      <c r="K59" s="164">
        <f>'Statement Q'!D62</f>
        <v>0</v>
      </c>
      <c r="L59" s="164">
        <f>'Statement Q'!E62</f>
        <v>0</v>
      </c>
      <c r="M59" s="164">
        <f>'Statement Q'!F62</f>
        <v>0</v>
      </c>
      <c r="N59" s="164">
        <f>'Statement Q'!G62</f>
        <v>0</v>
      </c>
      <c r="O59" s="164">
        <f>'Statement Q'!H62</f>
        <v>0</v>
      </c>
      <c r="P59" s="164">
        <f>'Statement Q'!I62</f>
        <v>0</v>
      </c>
      <c r="Q59" s="164">
        <f>'Statement Q'!J62</f>
        <v>0</v>
      </c>
      <c r="S59" s="164">
        <f t="shared" si="4"/>
        <v>0</v>
      </c>
    </row>
    <row r="60" spans="2:19" outlineLevel="1" x14ac:dyDescent="0.2">
      <c r="B60" s="12" t="s">
        <v>136</v>
      </c>
      <c r="C60" s="164">
        <f>'Statement Y'!C63</f>
        <v>0</v>
      </c>
      <c r="D60" s="164">
        <f>'Statement Y'!D63</f>
        <v>0</v>
      </c>
      <c r="E60" s="164">
        <f>'Statement Y'!E63</f>
        <v>0</v>
      </c>
      <c r="F60" s="164">
        <f>'Statement Y'!F63</f>
        <v>0</v>
      </c>
      <c r="G60" s="164">
        <f>'Statement Y'!G63</f>
        <v>0</v>
      </c>
      <c r="H60" s="164">
        <f>'Statement Y'!H63</f>
        <v>0</v>
      </c>
      <c r="J60" s="164">
        <f>'Statement Q'!C63</f>
        <v>0</v>
      </c>
      <c r="K60" s="164">
        <f>'Statement Q'!D63</f>
        <v>0</v>
      </c>
      <c r="L60" s="164">
        <f>'Statement Q'!E63</f>
        <v>0</v>
      </c>
      <c r="M60" s="164">
        <f>'Statement Q'!F63</f>
        <v>0</v>
      </c>
      <c r="N60" s="164">
        <f>'Statement Q'!G63</f>
        <v>0</v>
      </c>
      <c r="O60" s="164">
        <f>'Statement Q'!H63</f>
        <v>0</v>
      </c>
      <c r="P60" s="164">
        <f>'Statement Q'!I63</f>
        <v>0</v>
      </c>
      <c r="Q60" s="164">
        <f>'Statement Q'!J63</f>
        <v>0</v>
      </c>
      <c r="S60" s="164">
        <f t="shared" si="4"/>
        <v>0</v>
      </c>
    </row>
    <row r="61" spans="2:19" outlineLevel="1" x14ac:dyDescent="0.2">
      <c r="B61" s="12" t="s">
        <v>137</v>
      </c>
      <c r="C61" s="164">
        <f>'Statement Y'!C64</f>
        <v>0</v>
      </c>
      <c r="D61" s="164">
        <f>'Statement Y'!D64</f>
        <v>0</v>
      </c>
      <c r="E61" s="164">
        <f>'Statement Y'!E64</f>
        <v>0</v>
      </c>
      <c r="F61" s="164">
        <f>'Statement Y'!F64</f>
        <v>0</v>
      </c>
      <c r="G61" s="164">
        <f>'Statement Y'!G64</f>
        <v>0</v>
      </c>
      <c r="H61" s="164">
        <f>'Statement Y'!H64</f>
        <v>0</v>
      </c>
      <c r="J61" s="164">
        <f>'Statement Q'!C64</f>
        <v>0</v>
      </c>
      <c r="K61" s="164">
        <f>'Statement Q'!D64</f>
        <v>0</v>
      </c>
      <c r="L61" s="164">
        <f>'Statement Q'!E64</f>
        <v>0</v>
      </c>
      <c r="M61" s="164">
        <f>'Statement Q'!F64</f>
        <v>0</v>
      </c>
      <c r="N61" s="164">
        <f>'Statement Q'!G64</f>
        <v>0</v>
      </c>
      <c r="O61" s="164">
        <f>'Statement Q'!H64</f>
        <v>0</v>
      </c>
      <c r="P61" s="164">
        <f>'Statement Q'!I64</f>
        <v>0</v>
      </c>
      <c r="Q61" s="164">
        <f>'Statement Q'!J64</f>
        <v>0</v>
      </c>
      <c r="S61" s="164">
        <f t="shared" si="4"/>
        <v>0</v>
      </c>
    </row>
    <row r="62" spans="2:19" outlineLevel="1" x14ac:dyDescent="0.2">
      <c r="B62" s="12" t="s">
        <v>145</v>
      </c>
      <c r="C62" s="164">
        <f>'Statement Y'!C65</f>
        <v>0</v>
      </c>
      <c r="D62" s="164">
        <f>'Statement Y'!D65</f>
        <v>0</v>
      </c>
      <c r="E62" s="164">
        <f>'Statement Y'!E65</f>
        <v>0</v>
      </c>
      <c r="F62" s="164">
        <f>'Statement Y'!F65</f>
        <v>0</v>
      </c>
      <c r="G62" s="164">
        <f>'Statement Y'!G65</f>
        <v>0</v>
      </c>
      <c r="H62" s="164">
        <f>'Statement Y'!H65</f>
        <v>0</v>
      </c>
      <c r="J62" s="164">
        <f>'Statement Q'!C65</f>
        <v>0</v>
      </c>
      <c r="K62" s="164">
        <f>'Statement Q'!D65</f>
        <v>0</v>
      </c>
      <c r="L62" s="164">
        <f>'Statement Q'!E65</f>
        <v>0</v>
      </c>
      <c r="M62" s="164">
        <f>'Statement Q'!F65</f>
        <v>0</v>
      </c>
      <c r="N62" s="164">
        <f>'Statement Q'!G65</f>
        <v>0</v>
      </c>
      <c r="O62" s="164">
        <f>'Statement Q'!H65</f>
        <v>0</v>
      </c>
      <c r="P62" s="164">
        <f>'Statement Q'!I65</f>
        <v>0</v>
      </c>
      <c r="Q62" s="164">
        <f>'Statement Q'!J65</f>
        <v>0</v>
      </c>
      <c r="S62" s="164">
        <f t="shared" si="4"/>
        <v>0</v>
      </c>
    </row>
    <row r="63" spans="2:19" outlineLevel="1" x14ac:dyDescent="0.2">
      <c r="B63" s="9" t="s">
        <v>363</v>
      </c>
      <c r="C63" s="164">
        <f>SUM('Statement Y'!C66:C72)</f>
        <v>0</v>
      </c>
      <c r="D63" s="164">
        <f>SUM('Statement Y'!D66:D72)</f>
        <v>0</v>
      </c>
      <c r="E63" s="164">
        <f>SUM('Statement Y'!E66:E72)</f>
        <v>0</v>
      </c>
      <c r="F63" s="164">
        <f>SUM('Statement Y'!F66:F72)</f>
        <v>0</v>
      </c>
      <c r="G63" s="164">
        <f>SUM('Statement Y'!G66:G72)</f>
        <v>0</v>
      </c>
      <c r="H63" s="164">
        <f>SUM('Statement Y'!H66:H72)</f>
        <v>0</v>
      </c>
      <c r="J63" s="164">
        <f>SUM('Statement Q'!C66:C72)</f>
        <v>0</v>
      </c>
      <c r="K63" s="164">
        <f>SUM('Statement Q'!D66:D72)</f>
        <v>0</v>
      </c>
      <c r="L63" s="164">
        <f>SUM('Statement Q'!E66:E72)</f>
        <v>0</v>
      </c>
      <c r="M63" s="164">
        <f>SUM('Statement Q'!F66:F72)</f>
        <v>0</v>
      </c>
      <c r="N63" s="164">
        <f>SUM('Statement Q'!G66:G72)</f>
        <v>0</v>
      </c>
      <c r="O63" s="164">
        <f>SUM('Statement Q'!H66:H72)</f>
        <v>0</v>
      </c>
      <c r="P63" s="164">
        <f>SUM('Statement Q'!I66:I72)</f>
        <v>0</v>
      </c>
      <c r="Q63" s="164">
        <f>SUM('Statement Q'!J66:J72)</f>
        <v>0</v>
      </c>
      <c r="S63" s="164">
        <f t="shared" si="4"/>
        <v>0</v>
      </c>
    </row>
    <row r="64" spans="2:19" outlineLevel="1" x14ac:dyDescent="0.2">
      <c r="B64" s="17" t="s">
        <v>43</v>
      </c>
      <c r="C64" s="195">
        <f>'Statement Y'!C73</f>
        <v>0</v>
      </c>
      <c r="D64" s="195">
        <f>'Statement Y'!D73</f>
        <v>0</v>
      </c>
      <c r="E64" s="195">
        <f>'Statement Y'!E73</f>
        <v>0</v>
      </c>
      <c r="F64" s="195">
        <f>'Statement Y'!F73</f>
        <v>0</v>
      </c>
      <c r="G64" s="195">
        <f>'Statement Y'!G73</f>
        <v>0</v>
      </c>
      <c r="H64" s="195">
        <f>'Statement Y'!H73</f>
        <v>0</v>
      </c>
      <c r="J64" s="195">
        <f>'Statement Q'!C73</f>
        <v>0</v>
      </c>
      <c r="K64" s="195">
        <f>'Statement Q'!D73</f>
        <v>0</v>
      </c>
      <c r="L64" s="195">
        <f>'Statement Q'!E73</f>
        <v>0</v>
      </c>
      <c r="M64" s="195">
        <f>'Statement Q'!F73</f>
        <v>0</v>
      </c>
      <c r="N64" s="195">
        <f>'Statement Q'!G73</f>
        <v>0</v>
      </c>
      <c r="O64" s="195">
        <f>'Statement Q'!H73</f>
        <v>0</v>
      </c>
      <c r="P64" s="195">
        <f>'Statement Q'!I73</f>
        <v>0</v>
      </c>
      <c r="Q64" s="195">
        <f>'Statement Q'!J73</f>
        <v>0</v>
      </c>
      <c r="S64" s="195">
        <f t="shared" si="4"/>
        <v>0</v>
      </c>
    </row>
    <row r="65" spans="2:19" outlineLevel="1" x14ac:dyDescent="0.2">
      <c r="B65" s="9" t="s">
        <v>44</v>
      </c>
      <c r="C65" s="164">
        <f>'Statement Y'!C74</f>
        <v>0</v>
      </c>
      <c r="D65" s="164">
        <f>'Statement Y'!D74</f>
        <v>0</v>
      </c>
      <c r="E65" s="164">
        <f>'Statement Y'!E74</f>
        <v>0</v>
      </c>
      <c r="F65" s="164">
        <f>'Statement Y'!F74</f>
        <v>0</v>
      </c>
      <c r="G65" s="164">
        <f>'Statement Y'!G74</f>
        <v>0</v>
      </c>
      <c r="H65" s="164">
        <f>'Statement Y'!H74</f>
        <v>0</v>
      </c>
      <c r="J65" s="164">
        <f>'Statement Q'!C74</f>
        <v>0</v>
      </c>
      <c r="K65" s="164">
        <f>'Statement Q'!D74</f>
        <v>0</v>
      </c>
      <c r="L65" s="164">
        <f>'Statement Q'!E74</f>
        <v>0</v>
      </c>
      <c r="M65" s="164">
        <f>'Statement Q'!F74</f>
        <v>0</v>
      </c>
      <c r="N65" s="164">
        <f>'Statement Q'!G74</f>
        <v>0</v>
      </c>
      <c r="O65" s="164">
        <f>'Statement Q'!H74</f>
        <v>0</v>
      </c>
      <c r="P65" s="164">
        <f>'Statement Q'!I74</f>
        <v>0</v>
      </c>
      <c r="Q65" s="164">
        <f>'Statement Q'!J74</f>
        <v>0</v>
      </c>
      <c r="S65" s="164">
        <f t="shared" si="4"/>
        <v>0</v>
      </c>
    </row>
    <row r="66" spans="2:19" outlineLevel="1" x14ac:dyDescent="0.2">
      <c r="B66" s="9" t="s">
        <v>113</v>
      </c>
      <c r="C66" s="164">
        <f>'Statement Y'!C79</f>
        <v>0</v>
      </c>
      <c r="D66" s="164">
        <f>'Statement Y'!D79</f>
        <v>0</v>
      </c>
      <c r="E66" s="164">
        <f>'Statement Y'!E79</f>
        <v>0</v>
      </c>
      <c r="F66" s="164">
        <f>'Statement Y'!F79</f>
        <v>0</v>
      </c>
      <c r="G66" s="164">
        <f>'Statement Y'!G79</f>
        <v>0</v>
      </c>
      <c r="H66" s="164">
        <f>'Statement Y'!H79</f>
        <v>0</v>
      </c>
      <c r="J66" s="164">
        <f>'Statement Q'!C80</f>
        <v>0</v>
      </c>
      <c r="K66" s="164">
        <f>'Statement Q'!D80</f>
        <v>0</v>
      </c>
      <c r="L66" s="164">
        <f>'Statement Q'!E80</f>
        <v>0</v>
      </c>
      <c r="M66" s="164">
        <f>'Statement Q'!F80</f>
        <v>0</v>
      </c>
      <c r="N66" s="164">
        <f>'Statement Q'!G80</f>
        <v>0</v>
      </c>
      <c r="O66" s="164">
        <f>'Statement Q'!H80</f>
        <v>0</v>
      </c>
      <c r="P66" s="164">
        <f>'Statement Q'!I80</f>
        <v>0</v>
      </c>
      <c r="Q66" s="164">
        <f>'Statement Q'!J80</f>
        <v>0</v>
      </c>
      <c r="S66" s="164">
        <f t="shared" si="4"/>
        <v>0</v>
      </c>
    </row>
    <row r="67" spans="2:19" outlineLevel="1" x14ac:dyDescent="0.2">
      <c r="B67" s="17" t="s">
        <v>45</v>
      </c>
      <c r="C67" s="195">
        <f>'Statement Y'!C80</f>
        <v>0</v>
      </c>
      <c r="D67" s="195">
        <f>'Statement Y'!D80</f>
        <v>0</v>
      </c>
      <c r="E67" s="195">
        <f>'Statement Y'!E80</f>
        <v>0</v>
      </c>
      <c r="F67" s="195">
        <f>'Statement Y'!F80</f>
        <v>0</v>
      </c>
      <c r="G67" s="195">
        <f>'Statement Y'!G80</f>
        <v>0</v>
      </c>
      <c r="H67" s="195">
        <f>'Statement Y'!H80</f>
        <v>0</v>
      </c>
      <c r="J67" s="195">
        <f>'Statement Q'!C81</f>
        <v>0</v>
      </c>
      <c r="K67" s="195">
        <f>'Statement Q'!D81</f>
        <v>0</v>
      </c>
      <c r="L67" s="195">
        <f>'Statement Q'!E81</f>
        <v>0</v>
      </c>
      <c r="M67" s="195">
        <f>'Statement Q'!F81</f>
        <v>0</v>
      </c>
      <c r="N67" s="195">
        <f>'Statement Q'!G81</f>
        <v>0</v>
      </c>
      <c r="O67" s="195">
        <f>'Statement Q'!H81</f>
        <v>0</v>
      </c>
      <c r="P67" s="195">
        <f>'Statement Q'!I81</f>
        <v>0</v>
      </c>
      <c r="Q67" s="195">
        <f>'Statement Q'!J81</f>
        <v>0</v>
      </c>
      <c r="S67" s="195">
        <f t="shared" si="4"/>
        <v>0</v>
      </c>
    </row>
    <row r="68" spans="2:19" outlineLevel="1" x14ac:dyDescent="0.2">
      <c r="B68" s="9" t="s">
        <v>125</v>
      </c>
      <c r="C68" s="164">
        <f>'Statement Y'!C81</f>
        <v>0</v>
      </c>
      <c r="D68" s="164">
        <f>'Statement Y'!D81</f>
        <v>0</v>
      </c>
      <c r="E68" s="164">
        <f>'Statement Y'!E81</f>
        <v>0</v>
      </c>
      <c r="F68" s="164">
        <f>'Statement Y'!F81</f>
        <v>0</v>
      </c>
      <c r="G68" s="164">
        <f>'Statement Y'!G81</f>
        <v>0</v>
      </c>
      <c r="H68" s="164">
        <f>'Statement Y'!H81</f>
        <v>0</v>
      </c>
      <c r="J68" s="164">
        <f>'Statement Q'!C89</f>
        <v>0</v>
      </c>
      <c r="K68" s="164">
        <f>'Statement Q'!D89</f>
        <v>0</v>
      </c>
      <c r="L68" s="164">
        <f>'Statement Q'!E89</f>
        <v>0</v>
      </c>
      <c r="M68" s="164">
        <f>'Statement Q'!F89</f>
        <v>0</v>
      </c>
      <c r="N68" s="164">
        <f>'Statement Q'!G89</f>
        <v>0</v>
      </c>
      <c r="O68" s="164">
        <f>'Statement Q'!H89</f>
        <v>0</v>
      </c>
      <c r="P68" s="164">
        <f>'Statement Q'!I89</f>
        <v>0</v>
      </c>
      <c r="Q68" s="164">
        <f>'Statement Q'!J89</f>
        <v>0</v>
      </c>
      <c r="S68" s="164">
        <f t="shared" si="4"/>
        <v>0</v>
      </c>
    </row>
    <row r="69" spans="2:19" outlineLevel="1" x14ac:dyDescent="0.2">
      <c r="B69" s="9" t="s">
        <v>129</v>
      </c>
      <c r="C69" s="164">
        <f>'Statement Y'!C86</f>
        <v>0</v>
      </c>
      <c r="D69" s="164">
        <f>'Statement Y'!D86</f>
        <v>0</v>
      </c>
      <c r="E69" s="164">
        <f>'Statement Y'!E86</f>
        <v>0</v>
      </c>
      <c r="F69" s="164">
        <f>'Statement Y'!F86</f>
        <v>0</v>
      </c>
      <c r="G69" s="164">
        <f>'Statement Y'!G86</f>
        <v>0</v>
      </c>
      <c r="H69" s="164">
        <f>'Statement Y'!H86</f>
        <v>0</v>
      </c>
      <c r="J69" s="164">
        <v>0</v>
      </c>
      <c r="K69" s="164">
        <v>0</v>
      </c>
      <c r="L69" s="164">
        <v>0</v>
      </c>
      <c r="M69" s="164">
        <v>0</v>
      </c>
      <c r="N69" s="164">
        <v>0</v>
      </c>
      <c r="O69" s="164">
        <v>0</v>
      </c>
      <c r="P69" s="164">
        <v>0</v>
      </c>
      <c r="Q69" s="164">
        <v>0</v>
      </c>
      <c r="S69" s="164">
        <f t="shared" si="4"/>
        <v>0</v>
      </c>
    </row>
    <row r="70" spans="2:19" outlineLevel="1" x14ac:dyDescent="0.2">
      <c r="B70" s="17" t="s">
        <v>51</v>
      </c>
      <c r="C70" s="195">
        <f>'Statement Y'!C88</f>
        <v>0</v>
      </c>
      <c r="D70" s="195">
        <f>'Statement Y'!D88</f>
        <v>0</v>
      </c>
      <c r="E70" s="195">
        <f>'Statement Y'!E88</f>
        <v>0</v>
      </c>
      <c r="F70" s="195">
        <f>'Statement Y'!F88</f>
        <v>0</v>
      </c>
      <c r="G70" s="195">
        <f>'Statement Y'!G88</f>
        <v>0</v>
      </c>
      <c r="H70" s="195">
        <f>'Statement Y'!H88</f>
        <v>0</v>
      </c>
      <c r="J70" s="195">
        <f>'Statement Q'!C91</f>
        <v>0</v>
      </c>
      <c r="K70" s="195">
        <f>'Statement Q'!D91</f>
        <v>0</v>
      </c>
      <c r="L70" s="195">
        <f>'Statement Q'!E91</f>
        <v>0</v>
      </c>
      <c r="M70" s="195">
        <f>'Statement Q'!F91</f>
        <v>0</v>
      </c>
      <c r="N70" s="195">
        <f>'Statement Q'!G91</f>
        <v>0</v>
      </c>
      <c r="O70" s="195">
        <f>'Statement Q'!H91</f>
        <v>0</v>
      </c>
      <c r="P70" s="195">
        <f>'Statement Q'!I91</f>
        <v>0</v>
      </c>
      <c r="Q70" s="195">
        <f>'Statement Q'!J91</f>
        <v>0</v>
      </c>
      <c r="S70" s="195">
        <f t="shared" si="4"/>
        <v>0</v>
      </c>
    </row>
    <row r="71" spans="2:19" outlineLevel="1" x14ac:dyDescent="0.2">
      <c r="B71" s="11" t="s">
        <v>52</v>
      </c>
      <c r="C71" s="198">
        <f>'Statement Y'!C89</f>
        <v>0</v>
      </c>
      <c r="D71" s="198">
        <f>'Statement Y'!D89</f>
        <v>0</v>
      </c>
      <c r="E71" s="198">
        <f>'Statement Y'!E89</f>
        <v>0</v>
      </c>
      <c r="F71" s="198">
        <f>'Statement Y'!F89</f>
        <v>0</v>
      </c>
      <c r="G71" s="198">
        <f>'Statement Y'!G89</f>
        <v>0</v>
      </c>
      <c r="H71" s="198">
        <f>'Statement Y'!H89</f>
        <v>0</v>
      </c>
      <c r="J71" s="198">
        <f>'Statement Q'!C92</f>
        <v>0</v>
      </c>
      <c r="K71" s="198">
        <f>'Statement Q'!D92</f>
        <v>0</v>
      </c>
      <c r="L71" s="198">
        <f>'Statement Q'!E92</f>
        <v>0</v>
      </c>
      <c r="M71" s="198">
        <f>'Statement Q'!F92</f>
        <v>0</v>
      </c>
      <c r="N71" s="198">
        <f>'Statement Q'!G92</f>
        <v>0</v>
      </c>
      <c r="O71" s="198">
        <f>'Statement Q'!H92</f>
        <v>0</v>
      </c>
      <c r="P71" s="198">
        <f>'Statement Q'!I92</f>
        <v>0</v>
      </c>
      <c r="Q71" s="198">
        <f>'Statement Q'!J92</f>
        <v>0</v>
      </c>
      <c r="S71" s="198">
        <f t="shared" si="4"/>
        <v>0</v>
      </c>
    </row>
    <row r="72" spans="2:19" outlineLevel="1" x14ac:dyDescent="0.2">
      <c r="B72" s="11" t="s">
        <v>53</v>
      </c>
      <c r="C72" s="198">
        <f>'Statement Y'!C90</f>
        <v>0</v>
      </c>
      <c r="D72" s="198">
        <f>'Statement Y'!D90</f>
        <v>0</v>
      </c>
      <c r="E72" s="198">
        <f>'Statement Y'!E90</f>
        <v>0</v>
      </c>
      <c r="F72" s="198">
        <f>'Statement Y'!F90</f>
        <v>0</v>
      </c>
      <c r="G72" s="198">
        <f>'Statement Y'!G90</f>
        <v>0</v>
      </c>
      <c r="H72" s="198">
        <f>'Statement Y'!H90</f>
        <v>0</v>
      </c>
      <c r="J72" s="198">
        <f>'Statement Q'!C93</f>
        <v>0</v>
      </c>
      <c r="K72" s="198">
        <f>'Statement Q'!D93</f>
        <v>0</v>
      </c>
      <c r="L72" s="198">
        <f>'Statement Q'!E93</f>
        <v>0</v>
      </c>
      <c r="M72" s="198">
        <f>'Statement Q'!F93</f>
        <v>0</v>
      </c>
      <c r="N72" s="198">
        <f>'Statement Q'!G93</f>
        <v>0</v>
      </c>
      <c r="O72" s="198">
        <f>'Statement Q'!H93</f>
        <v>0</v>
      </c>
      <c r="P72" s="198">
        <f>'Statement Q'!I93</f>
        <v>0</v>
      </c>
      <c r="Q72" s="198">
        <f>'Statement Q'!J93</f>
        <v>0</v>
      </c>
      <c r="S72" s="198">
        <f>N72</f>
        <v>0</v>
      </c>
    </row>
    <row r="73" spans="2:19" ht="17" outlineLevel="1" thickBot="1" x14ac:dyDescent="0.25">
      <c r="B73" s="19" t="s">
        <v>54</v>
      </c>
      <c r="C73" s="199">
        <f>'Statement Y'!C91</f>
        <v>0</v>
      </c>
      <c r="D73" s="199">
        <f>'Statement Y'!D91</f>
        <v>0</v>
      </c>
      <c r="E73" s="199">
        <f>'Statement Y'!E91</f>
        <v>0</v>
      </c>
      <c r="F73" s="199">
        <f>'Statement Y'!F91</f>
        <v>0</v>
      </c>
      <c r="G73" s="199">
        <f>'Statement Y'!G91</f>
        <v>0</v>
      </c>
      <c r="H73" s="199">
        <f>'Statement Y'!H91</f>
        <v>0</v>
      </c>
      <c r="J73" s="199">
        <f>'Statement Q'!C94</f>
        <v>0</v>
      </c>
      <c r="K73" s="199">
        <f>'Statement Q'!D94</f>
        <v>0</v>
      </c>
      <c r="L73" s="199">
        <f>'Statement Q'!E94</f>
        <v>0</v>
      </c>
      <c r="M73" s="199">
        <f>'Statement Q'!F94</f>
        <v>0</v>
      </c>
      <c r="N73" s="199">
        <f>'Statement Q'!G94</f>
        <v>0</v>
      </c>
      <c r="O73" s="199">
        <f>'Statement Q'!H94</f>
        <v>0</v>
      </c>
      <c r="P73" s="199">
        <f>'Statement Q'!I94</f>
        <v>0</v>
      </c>
      <c r="Q73" s="199">
        <f>'Statement Q'!J94</f>
        <v>0</v>
      </c>
      <c r="S73" s="199">
        <f>Q73</f>
        <v>0</v>
      </c>
    </row>
    <row r="75" spans="2:19" ht="17" thickBot="1" x14ac:dyDescent="0.25">
      <c r="B75" s="15" t="s">
        <v>364</v>
      </c>
      <c r="C75" s="200"/>
      <c r="D75" s="200"/>
      <c r="E75" s="200"/>
      <c r="F75" s="200"/>
      <c r="G75" s="200"/>
      <c r="H75" s="200"/>
      <c r="J75" s="200"/>
      <c r="K75" s="200"/>
      <c r="L75" s="200"/>
      <c r="M75" s="200"/>
      <c r="N75" s="200"/>
      <c r="O75" s="200"/>
      <c r="P75" s="200"/>
      <c r="Q75" s="200"/>
      <c r="S75" s="200"/>
    </row>
    <row r="76" spans="2:19" x14ac:dyDescent="0.2">
      <c r="B76" s="9" t="s">
        <v>365</v>
      </c>
      <c r="C76" s="201" t="e">
        <f>C18/C5</f>
        <v>#DIV/0!</v>
      </c>
      <c r="D76" s="201" t="e">
        <f t="shared" ref="D76:H76" si="5">D18/D5</f>
        <v>#DIV/0!</v>
      </c>
      <c r="E76" s="201" t="e">
        <f t="shared" si="5"/>
        <v>#DIV/0!</v>
      </c>
      <c r="F76" s="201" t="e">
        <f t="shared" si="5"/>
        <v>#DIV/0!</v>
      </c>
      <c r="G76" s="201" t="e">
        <f t="shared" si="5"/>
        <v>#DIV/0!</v>
      </c>
      <c r="H76" s="201" t="e">
        <f t="shared" si="5"/>
        <v>#DIV/0!</v>
      </c>
      <c r="J76" s="204"/>
      <c r="K76" s="204"/>
      <c r="L76" s="204"/>
      <c r="M76" s="204"/>
      <c r="N76" s="204"/>
      <c r="O76" s="204"/>
      <c r="P76" s="204"/>
      <c r="Q76" s="204"/>
      <c r="S76" s="89" t="e">
        <f>S18/S5</f>
        <v>#DIV/0!</v>
      </c>
    </row>
    <row r="77" spans="2:19" x14ac:dyDescent="0.2">
      <c r="B77" s="9" t="s">
        <v>366</v>
      </c>
      <c r="C77" s="202" t="e">
        <f>C5/C38</f>
        <v>#DIV/0!</v>
      </c>
      <c r="D77" s="202" t="e">
        <f t="shared" ref="D77:H77" si="6">D5/D38</f>
        <v>#DIV/0!</v>
      </c>
      <c r="E77" s="202" t="e">
        <f t="shared" si="6"/>
        <v>#DIV/0!</v>
      </c>
      <c r="F77" s="202" t="e">
        <f t="shared" si="6"/>
        <v>#DIV/0!</v>
      </c>
      <c r="G77" s="202" t="e">
        <f t="shared" si="6"/>
        <v>#DIV/0!</v>
      </c>
      <c r="H77" s="202" t="e">
        <f t="shared" si="6"/>
        <v>#DIV/0!</v>
      </c>
      <c r="J77" s="205"/>
      <c r="K77" s="205"/>
      <c r="L77" s="205"/>
      <c r="M77" s="205"/>
      <c r="N77" s="205"/>
      <c r="O77" s="205"/>
      <c r="P77" s="205"/>
      <c r="Q77" s="205"/>
      <c r="S77" s="208" t="e">
        <f>S5/S38</f>
        <v>#DIV/0!</v>
      </c>
    </row>
    <row r="78" spans="2:19" x14ac:dyDescent="0.2">
      <c r="B78" s="11" t="s">
        <v>367</v>
      </c>
      <c r="C78" s="203" t="e">
        <f>C76*C77</f>
        <v>#DIV/0!</v>
      </c>
      <c r="D78" s="203" t="e">
        <f t="shared" ref="D78:H78" si="7">D76*D77</f>
        <v>#DIV/0!</v>
      </c>
      <c r="E78" s="203" t="e">
        <f t="shared" si="7"/>
        <v>#DIV/0!</v>
      </c>
      <c r="F78" s="203" t="e">
        <f t="shared" si="7"/>
        <v>#DIV/0!</v>
      </c>
      <c r="G78" s="203" t="e">
        <f t="shared" si="7"/>
        <v>#DIV/0!</v>
      </c>
      <c r="H78" s="203" t="e">
        <f t="shared" si="7"/>
        <v>#DIV/0!</v>
      </c>
      <c r="J78" s="206"/>
      <c r="K78" s="206"/>
      <c r="L78" s="206"/>
      <c r="M78" s="206"/>
      <c r="N78" s="206"/>
      <c r="O78" s="206"/>
      <c r="P78" s="206"/>
      <c r="Q78" s="206"/>
      <c r="S78" s="203" t="e">
        <f t="shared" ref="S78" si="8">S76*S77</f>
        <v>#DIV/0!</v>
      </c>
    </row>
    <row r="79" spans="2:19" x14ac:dyDescent="0.2">
      <c r="B79" s="9" t="s">
        <v>368</v>
      </c>
      <c r="C79" s="202" t="e">
        <f>C38/C51</f>
        <v>#DIV/0!</v>
      </c>
      <c r="D79" s="202" t="e">
        <f t="shared" ref="D79:H79" si="9">D38/D51</f>
        <v>#DIV/0!</v>
      </c>
      <c r="E79" s="202" t="e">
        <f t="shared" si="9"/>
        <v>#DIV/0!</v>
      </c>
      <c r="F79" s="202" t="e">
        <f t="shared" si="9"/>
        <v>#DIV/0!</v>
      </c>
      <c r="G79" s="202" t="e">
        <f t="shared" si="9"/>
        <v>#DIV/0!</v>
      </c>
      <c r="H79" s="202" t="e">
        <f t="shared" si="9"/>
        <v>#DIV/0!</v>
      </c>
      <c r="J79" s="207"/>
      <c r="K79" s="207"/>
      <c r="L79" s="207"/>
      <c r="M79" s="207"/>
      <c r="N79" s="207"/>
      <c r="O79" s="207"/>
      <c r="P79" s="207"/>
      <c r="Q79" s="207"/>
      <c r="S79" s="202" t="e">
        <f>S38/S51</f>
        <v>#DIV/0!</v>
      </c>
    </row>
    <row r="80" spans="2:19" x14ac:dyDescent="0.2">
      <c r="B80" s="11" t="s">
        <v>369</v>
      </c>
      <c r="C80" s="203" t="e">
        <f>C78*C79</f>
        <v>#DIV/0!</v>
      </c>
      <c r="D80" s="203" t="e">
        <f t="shared" ref="D80:H80" si="10">D78*D79</f>
        <v>#DIV/0!</v>
      </c>
      <c r="E80" s="203" t="e">
        <f t="shared" si="10"/>
        <v>#DIV/0!</v>
      </c>
      <c r="F80" s="203" t="e">
        <f t="shared" si="10"/>
        <v>#DIV/0!</v>
      </c>
      <c r="G80" s="203" t="e">
        <f t="shared" si="10"/>
        <v>#DIV/0!</v>
      </c>
      <c r="H80" s="203" t="e">
        <f t="shared" si="10"/>
        <v>#DIV/0!</v>
      </c>
      <c r="J80" s="206"/>
      <c r="K80" s="206"/>
      <c r="L80" s="206"/>
      <c r="M80" s="206"/>
      <c r="N80" s="206"/>
      <c r="O80" s="206"/>
      <c r="P80" s="206"/>
      <c r="Q80" s="206"/>
      <c r="S80" s="203" t="e">
        <f t="shared" ref="S80" si="11">S78*S79</f>
        <v>#DIV/0!</v>
      </c>
    </row>
    <row r="82" spans="2:19" ht="17" thickBot="1" x14ac:dyDescent="0.25">
      <c r="B82" s="200" t="s">
        <v>184</v>
      </c>
      <c r="C82" s="200"/>
      <c r="D82" s="200"/>
      <c r="E82" s="200"/>
      <c r="F82" s="200"/>
      <c r="G82" s="200"/>
      <c r="H82" s="200"/>
      <c r="J82" s="200"/>
      <c r="K82" s="200"/>
      <c r="L82" s="200"/>
      <c r="M82" s="200"/>
      <c r="N82" s="200"/>
      <c r="O82" s="200"/>
      <c r="P82" s="200"/>
      <c r="Q82" s="200"/>
      <c r="S82" s="200"/>
    </row>
    <row r="83" spans="2:19" x14ac:dyDescent="0.2">
      <c r="B83" s="11" t="s">
        <v>6</v>
      </c>
      <c r="C83" s="205"/>
      <c r="D83" s="203" t="e">
        <f>(D5-C5)/C5</f>
        <v>#DIV/0!</v>
      </c>
      <c r="E83" s="203" t="e">
        <f t="shared" ref="E83:H83" si="12">(E5-D5)/D5</f>
        <v>#DIV/0!</v>
      </c>
      <c r="F83" s="203" t="e">
        <f t="shared" si="12"/>
        <v>#DIV/0!</v>
      </c>
      <c r="G83" s="203" t="e">
        <f t="shared" si="12"/>
        <v>#DIV/0!</v>
      </c>
      <c r="H83" s="203" t="e">
        <f t="shared" si="12"/>
        <v>#DIV/0!</v>
      </c>
      <c r="J83" s="205"/>
      <c r="K83" s="203" t="e">
        <f t="shared" ref="K83:Q83" si="13">(K5-J5)/J5</f>
        <v>#DIV/0!</v>
      </c>
      <c r="L83" s="203" t="e">
        <f t="shared" si="13"/>
        <v>#DIV/0!</v>
      </c>
      <c r="M83" s="203" t="e">
        <f t="shared" si="13"/>
        <v>#DIV/0!</v>
      </c>
      <c r="N83" s="203" t="e">
        <f t="shared" si="13"/>
        <v>#DIV/0!</v>
      </c>
      <c r="O83" s="203" t="e">
        <f t="shared" si="13"/>
        <v>#DIV/0!</v>
      </c>
      <c r="P83" s="203" t="e">
        <f t="shared" si="13"/>
        <v>#DIV/0!</v>
      </c>
      <c r="Q83" s="203" t="e">
        <f t="shared" si="13"/>
        <v>#DIV/0!</v>
      </c>
      <c r="S83" s="205"/>
    </row>
    <row r="84" spans="2:19" x14ac:dyDescent="0.2">
      <c r="B84" s="9" t="s">
        <v>7</v>
      </c>
      <c r="C84" s="205"/>
      <c r="D84" s="201" t="e">
        <f>(D6-C6)/C6</f>
        <v>#DIV/0!</v>
      </c>
      <c r="E84" s="201" t="e">
        <f t="shared" ref="E84:H84" si="14">(E6-D6)/D6</f>
        <v>#DIV/0!</v>
      </c>
      <c r="F84" s="201" t="e">
        <f t="shared" si="14"/>
        <v>#DIV/0!</v>
      </c>
      <c r="G84" s="201" t="e">
        <f t="shared" si="14"/>
        <v>#DIV/0!</v>
      </c>
      <c r="H84" s="201" t="e">
        <f t="shared" si="14"/>
        <v>#DIV/0!</v>
      </c>
      <c r="J84" s="205"/>
      <c r="K84" s="201" t="e">
        <f t="shared" ref="K84:Q84" si="15">(K6-J6)/J6</f>
        <v>#DIV/0!</v>
      </c>
      <c r="L84" s="201" t="e">
        <f t="shared" si="15"/>
        <v>#DIV/0!</v>
      </c>
      <c r="M84" s="201" t="e">
        <f t="shared" si="15"/>
        <v>#DIV/0!</v>
      </c>
      <c r="N84" s="201" t="e">
        <f t="shared" si="15"/>
        <v>#DIV/0!</v>
      </c>
      <c r="O84" s="201" t="e">
        <f t="shared" si="15"/>
        <v>#DIV/0!</v>
      </c>
      <c r="P84" s="201" t="e">
        <f t="shared" si="15"/>
        <v>#DIV/0!</v>
      </c>
      <c r="Q84" s="201" t="e">
        <f t="shared" si="15"/>
        <v>#DIV/0!</v>
      </c>
      <c r="S84" s="205"/>
    </row>
    <row r="85" spans="2:19" x14ac:dyDescent="0.2">
      <c r="B85" s="11" t="s">
        <v>8</v>
      </c>
      <c r="C85" s="205"/>
      <c r="D85" s="203">
        <f>IF(C7=0,
IF(D7=0,0,IF(D7&gt;0,1,-1)),
(D7-C7)/ABS(C7)
)</f>
        <v>0</v>
      </c>
      <c r="E85" s="203">
        <f t="shared" ref="E85:H85" si="16">IF(D7=0,
IF(E7=0,0,IF(E7&gt;0,1,-1)),
(E7-D7)/ABS(D7)
)</f>
        <v>0</v>
      </c>
      <c r="F85" s="203">
        <f t="shared" si="16"/>
        <v>0</v>
      </c>
      <c r="G85" s="203">
        <f t="shared" si="16"/>
        <v>0</v>
      </c>
      <c r="H85" s="203">
        <f t="shared" si="16"/>
        <v>0</v>
      </c>
      <c r="J85" s="205"/>
      <c r="K85" s="203">
        <f t="shared" ref="K85:Q85" si="17">IF(J7=0,
IF(K7=0,0,IF(K7&gt;0,1,-1)),
(K7-J7)/ABS(J7)
)</f>
        <v>0</v>
      </c>
      <c r="L85" s="203">
        <f t="shared" si="17"/>
        <v>0</v>
      </c>
      <c r="M85" s="203">
        <f t="shared" si="17"/>
        <v>0</v>
      </c>
      <c r="N85" s="203">
        <f t="shared" si="17"/>
        <v>0</v>
      </c>
      <c r="O85" s="203">
        <f t="shared" si="17"/>
        <v>0</v>
      </c>
      <c r="P85" s="203">
        <f t="shared" si="17"/>
        <v>0</v>
      </c>
      <c r="Q85" s="203">
        <f t="shared" si="17"/>
        <v>0</v>
      </c>
      <c r="S85" s="205"/>
    </row>
    <row r="86" spans="2:19" x14ac:dyDescent="0.2">
      <c r="B86" s="12" t="s">
        <v>11</v>
      </c>
      <c r="C86" s="205"/>
      <c r="D86" s="201">
        <f>IF(C11=0,
IF(D11=0,0,IF(D11&gt;0,1,-1)),
(D11-C11)/ABS(C11)
)</f>
        <v>0</v>
      </c>
      <c r="E86" s="201">
        <f t="shared" ref="E86:H86" si="18">IF(D11=0,
IF(E11=0,0,IF(E11&gt;0,1,-1)),
(E11-D11)/ABS(D11)
)</f>
        <v>0</v>
      </c>
      <c r="F86" s="201">
        <f t="shared" si="18"/>
        <v>0</v>
      </c>
      <c r="G86" s="201">
        <f t="shared" si="18"/>
        <v>0</v>
      </c>
      <c r="H86" s="201">
        <f t="shared" si="18"/>
        <v>0</v>
      </c>
      <c r="J86" s="205"/>
      <c r="K86" s="201">
        <f t="shared" ref="K86:Q86" si="19">IF(J11=0,
IF(K11=0,0,IF(K11&gt;0,1,-1)),
(K11-J11)/ABS(J11)
)</f>
        <v>0</v>
      </c>
      <c r="L86" s="201">
        <f t="shared" si="19"/>
        <v>0</v>
      </c>
      <c r="M86" s="201">
        <f t="shared" si="19"/>
        <v>0</v>
      </c>
      <c r="N86" s="201">
        <f t="shared" si="19"/>
        <v>0</v>
      </c>
      <c r="O86" s="201">
        <f t="shared" si="19"/>
        <v>0</v>
      </c>
      <c r="P86" s="201">
        <f t="shared" si="19"/>
        <v>0</v>
      </c>
      <c r="Q86" s="201">
        <f t="shared" si="19"/>
        <v>0</v>
      </c>
      <c r="S86" s="205"/>
    </row>
    <row r="87" spans="2:19" x14ac:dyDescent="0.2">
      <c r="B87" s="11" t="s">
        <v>12</v>
      </c>
      <c r="C87" s="205"/>
      <c r="D87" s="203">
        <f>IF(C12=0,
IF(D12=0,0,IF(D12&gt;0,1,-1)),
(D12-C12)/ABS(C12)
)</f>
        <v>0</v>
      </c>
      <c r="E87" s="203">
        <f t="shared" ref="E87:H87" si="20">IF(D12=0,
IF(E12=0,0,IF(E12&gt;0,1,-1)),
(E12-D12)/ABS(D12)
)</f>
        <v>0</v>
      </c>
      <c r="F87" s="203">
        <f t="shared" si="20"/>
        <v>0</v>
      </c>
      <c r="G87" s="203">
        <f t="shared" si="20"/>
        <v>0</v>
      </c>
      <c r="H87" s="203">
        <f t="shared" si="20"/>
        <v>0</v>
      </c>
      <c r="J87" s="205"/>
      <c r="K87" s="203">
        <f t="shared" ref="K87:Q87" si="21">IF(J12=0,
IF(K12=0,0,IF(K12&gt;0,1,-1)),
(K12-J12)/ABS(J12)
)</f>
        <v>0</v>
      </c>
      <c r="L87" s="203">
        <f t="shared" si="21"/>
        <v>0</v>
      </c>
      <c r="M87" s="203">
        <f t="shared" si="21"/>
        <v>0</v>
      </c>
      <c r="N87" s="203">
        <f t="shared" si="21"/>
        <v>0</v>
      </c>
      <c r="O87" s="203">
        <f t="shared" si="21"/>
        <v>0</v>
      </c>
      <c r="P87" s="203">
        <f t="shared" si="21"/>
        <v>0</v>
      </c>
      <c r="Q87" s="203">
        <f t="shared" si="21"/>
        <v>0</v>
      </c>
      <c r="S87" s="205"/>
    </row>
    <row r="88" spans="2:19" x14ac:dyDescent="0.2">
      <c r="B88" s="11" t="s">
        <v>13</v>
      </c>
      <c r="C88" s="205"/>
      <c r="D88" s="203">
        <f>IF(C16=0,
IF(D16=0,0,IF(D16&gt;0,1,-1)),
(D16-C16)/ABS(C16)
)</f>
        <v>0</v>
      </c>
      <c r="E88" s="203">
        <f t="shared" ref="E88:H88" si="22">IF(D16=0,
IF(E16=0,0,IF(E16&gt;0,1,-1)),
(E16-D16)/ABS(D16)
)</f>
        <v>0</v>
      </c>
      <c r="F88" s="203">
        <f t="shared" si="22"/>
        <v>0</v>
      </c>
      <c r="G88" s="203">
        <f t="shared" si="22"/>
        <v>0</v>
      </c>
      <c r="H88" s="203">
        <f t="shared" si="22"/>
        <v>0</v>
      </c>
      <c r="J88" s="205"/>
      <c r="K88" s="203">
        <f t="shared" ref="K88:Q88" si="23">IF(J16=0,
IF(K16=0,0,IF(K16&gt;0,1,-1)),
(K16-J16)/ABS(J16)
)</f>
        <v>0</v>
      </c>
      <c r="L88" s="203">
        <f t="shared" si="23"/>
        <v>0</v>
      </c>
      <c r="M88" s="203">
        <f t="shared" si="23"/>
        <v>0</v>
      </c>
      <c r="N88" s="203">
        <f t="shared" si="23"/>
        <v>0</v>
      </c>
      <c r="O88" s="203">
        <f t="shared" si="23"/>
        <v>0</v>
      </c>
      <c r="P88" s="203">
        <f t="shared" si="23"/>
        <v>0</v>
      </c>
      <c r="Q88" s="203">
        <f t="shared" si="23"/>
        <v>0</v>
      </c>
      <c r="S88" s="205"/>
    </row>
    <row r="89" spans="2:19" x14ac:dyDescent="0.2">
      <c r="B89" s="11" t="s">
        <v>14</v>
      </c>
      <c r="C89" s="205"/>
      <c r="D89" s="203">
        <f>IF(C18=0,
IF(D18=0,0,IF(D18&gt;0,1,-1)),
(D18-C18)/ABS(C18)
)</f>
        <v>0</v>
      </c>
      <c r="E89" s="203">
        <f t="shared" ref="E89:H89" si="24">IF(D18=0,
IF(E18=0,0,IF(E18&gt;0,1,-1)),
(E18-D18)/ABS(D18)
)</f>
        <v>0</v>
      </c>
      <c r="F89" s="203">
        <f t="shared" si="24"/>
        <v>0</v>
      </c>
      <c r="G89" s="203">
        <f t="shared" si="24"/>
        <v>0</v>
      </c>
      <c r="H89" s="203">
        <f t="shared" si="24"/>
        <v>0</v>
      </c>
      <c r="J89" s="205"/>
      <c r="K89" s="203">
        <f t="shared" ref="K89:Q89" si="25">IF(J18=0,
IF(K18=0,0,IF(K18&gt;0,1,-1)),
(K18-J18)/ABS(J18)
)</f>
        <v>0</v>
      </c>
      <c r="L89" s="203">
        <f t="shared" si="25"/>
        <v>0</v>
      </c>
      <c r="M89" s="203">
        <f t="shared" si="25"/>
        <v>0</v>
      </c>
      <c r="N89" s="203">
        <f t="shared" si="25"/>
        <v>0</v>
      </c>
      <c r="O89" s="203">
        <f t="shared" si="25"/>
        <v>0</v>
      </c>
      <c r="P89" s="203">
        <f t="shared" si="25"/>
        <v>0</v>
      </c>
      <c r="Q89" s="203">
        <f t="shared" si="25"/>
        <v>0</v>
      </c>
      <c r="S89" s="205"/>
    </row>
    <row r="90" spans="2:19" x14ac:dyDescent="0.2">
      <c r="B90" s="12" t="s">
        <v>16</v>
      </c>
      <c r="C90" s="205"/>
      <c r="D90" s="201" t="e">
        <f>(D11-C11)/C11</f>
        <v>#DIV/0!</v>
      </c>
      <c r="E90" s="201" t="e">
        <f t="shared" ref="E90:H90" si="26">(E11-D11)/D11</f>
        <v>#DIV/0!</v>
      </c>
      <c r="F90" s="201" t="e">
        <f t="shared" si="26"/>
        <v>#DIV/0!</v>
      </c>
      <c r="G90" s="201" t="e">
        <f t="shared" si="26"/>
        <v>#DIV/0!</v>
      </c>
      <c r="H90" s="201" t="e">
        <f t="shared" si="26"/>
        <v>#DIV/0!</v>
      </c>
      <c r="J90" s="205"/>
      <c r="K90" s="201" t="e">
        <f t="shared" ref="K90:Q90" si="27">(K11-J11)/J11</f>
        <v>#DIV/0!</v>
      </c>
      <c r="L90" s="201" t="e">
        <f t="shared" si="27"/>
        <v>#DIV/0!</v>
      </c>
      <c r="M90" s="201" t="e">
        <f t="shared" si="27"/>
        <v>#DIV/0!</v>
      </c>
      <c r="N90" s="201" t="e">
        <f t="shared" si="27"/>
        <v>#DIV/0!</v>
      </c>
      <c r="O90" s="201" t="e">
        <f t="shared" si="27"/>
        <v>#DIV/0!</v>
      </c>
      <c r="P90" s="201" t="e">
        <f t="shared" si="27"/>
        <v>#DIV/0!</v>
      </c>
      <c r="Q90" s="201" t="e">
        <f t="shared" si="27"/>
        <v>#DIV/0!</v>
      </c>
      <c r="S90" s="205"/>
    </row>
    <row r="91" spans="2:19" x14ac:dyDescent="0.2">
      <c r="B91" s="12" t="s">
        <v>18</v>
      </c>
      <c r="C91" s="205"/>
      <c r="D91" s="201">
        <f>IF(C20=0,
IF(D20=0,0,IF(D20&gt;0,1,-1)),
(D20-C20)/ABS(C20)
)</f>
        <v>0</v>
      </c>
      <c r="E91" s="201">
        <f t="shared" ref="E91:H91" si="28">IF(D20=0,
IF(E20=0,0,IF(E20&gt;0,1,-1)),
(E20-D20)/ABS(D20)
)</f>
        <v>0</v>
      </c>
      <c r="F91" s="201">
        <f t="shared" si="28"/>
        <v>0</v>
      </c>
      <c r="G91" s="201">
        <f t="shared" si="28"/>
        <v>0</v>
      </c>
      <c r="H91" s="201">
        <f t="shared" si="28"/>
        <v>0</v>
      </c>
      <c r="J91" s="205"/>
      <c r="K91" s="201">
        <f t="shared" ref="K91:Q91" si="29">IF(J20=0,
IF(K20=0,0,IF(K20&gt;0,1,-1)),
(K20-J20)/ABS(J20)
)</f>
        <v>0</v>
      </c>
      <c r="L91" s="201">
        <f t="shared" si="29"/>
        <v>0</v>
      </c>
      <c r="M91" s="201">
        <f t="shared" si="29"/>
        <v>0</v>
      </c>
      <c r="N91" s="201">
        <f t="shared" si="29"/>
        <v>0</v>
      </c>
      <c r="O91" s="201">
        <f t="shared" si="29"/>
        <v>0</v>
      </c>
      <c r="P91" s="201">
        <f t="shared" si="29"/>
        <v>0</v>
      </c>
      <c r="Q91" s="201">
        <f t="shared" si="29"/>
        <v>0</v>
      </c>
      <c r="S91" s="205"/>
    </row>
    <row r="93" spans="2:19" ht="17" thickBot="1" x14ac:dyDescent="0.25">
      <c r="B93" s="15" t="s">
        <v>100</v>
      </c>
      <c r="C93" s="14"/>
      <c r="D93" s="14"/>
      <c r="E93" s="14"/>
      <c r="F93" s="14"/>
      <c r="G93" s="14"/>
      <c r="H93" s="14"/>
      <c r="J93" s="14"/>
      <c r="K93" s="14"/>
      <c r="L93" s="14"/>
      <c r="M93" s="14"/>
      <c r="N93" s="14"/>
      <c r="O93" s="14"/>
      <c r="P93" s="14"/>
      <c r="Q93" s="14"/>
      <c r="S93" s="14"/>
    </row>
    <row r="94" spans="2:19" x14ac:dyDescent="0.2">
      <c r="B94" s="9" t="s">
        <v>101</v>
      </c>
      <c r="C94" s="75" t="e">
        <f>C7/C5</f>
        <v>#DIV/0!</v>
      </c>
      <c r="D94" s="75" t="e">
        <f t="shared" ref="D94:H94" si="30">D7/D5</f>
        <v>#DIV/0!</v>
      </c>
      <c r="E94" s="75" t="e">
        <f t="shared" si="30"/>
        <v>#DIV/0!</v>
      </c>
      <c r="F94" s="75" t="e">
        <f t="shared" si="30"/>
        <v>#DIV/0!</v>
      </c>
      <c r="G94" s="75" t="e">
        <f t="shared" si="30"/>
        <v>#DIV/0!</v>
      </c>
      <c r="H94" s="75" t="e">
        <f t="shared" si="30"/>
        <v>#DIV/0!</v>
      </c>
      <c r="J94" s="75" t="e">
        <f t="shared" ref="J94:Q94" si="31">J7/J5</f>
        <v>#DIV/0!</v>
      </c>
      <c r="K94" s="75" t="e">
        <f t="shared" si="31"/>
        <v>#DIV/0!</v>
      </c>
      <c r="L94" s="75" t="e">
        <f t="shared" si="31"/>
        <v>#DIV/0!</v>
      </c>
      <c r="M94" s="75" t="e">
        <f t="shared" si="31"/>
        <v>#DIV/0!</v>
      </c>
      <c r="N94" s="75" t="e">
        <f t="shared" si="31"/>
        <v>#DIV/0!</v>
      </c>
      <c r="O94" s="75" t="e">
        <f t="shared" si="31"/>
        <v>#DIV/0!</v>
      </c>
      <c r="P94" s="75" t="e">
        <f t="shared" si="31"/>
        <v>#DIV/0!</v>
      </c>
      <c r="Q94" s="75" t="e">
        <f t="shared" si="31"/>
        <v>#DIV/0!</v>
      </c>
      <c r="S94" s="75" t="e">
        <f t="shared" ref="S94" si="32">S7/S5</f>
        <v>#DIV/0!</v>
      </c>
    </row>
    <row r="95" spans="2:19" x14ac:dyDescent="0.2">
      <c r="B95" s="9" t="s">
        <v>102</v>
      </c>
      <c r="C95" s="75" t="e">
        <f>C12/C5</f>
        <v>#DIV/0!</v>
      </c>
      <c r="D95" s="75" t="e">
        <f t="shared" ref="D95:H95" si="33">D12/D5</f>
        <v>#DIV/0!</v>
      </c>
      <c r="E95" s="75" t="e">
        <f t="shared" si="33"/>
        <v>#DIV/0!</v>
      </c>
      <c r="F95" s="75" t="e">
        <f t="shared" si="33"/>
        <v>#DIV/0!</v>
      </c>
      <c r="G95" s="75" t="e">
        <f t="shared" si="33"/>
        <v>#DIV/0!</v>
      </c>
      <c r="H95" s="75" t="e">
        <f t="shared" si="33"/>
        <v>#DIV/0!</v>
      </c>
      <c r="J95" s="75" t="e">
        <f t="shared" ref="J95:Q95" si="34">J12/J5</f>
        <v>#DIV/0!</v>
      </c>
      <c r="K95" s="75" t="e">
        <f t="shared" si="34"/>
        <v>#DIV/0!</v>
      </c>
      <c r="L95" s="75" t="e">
        <f t="shared" si="34"/>
        <v>#DIV/0!</v>
      </c>
      <c r="M95" s="75" t="e">
        <f t="shared" si="34"/>
        <v>#DIV/0!</v>
      </c>
      <c r="N95" s="75" t="e">
        <f t="shared" si="34"/>
        <v>#DIV/0!</v>
      </c>
      <c r="O95" s="75" t="e">
        <f t="shared" si="34"/>
        <v>#DIV/0!</v>
      </c>
      <c r="P95" s="75" t="e">
        <f t="shared" si="34"/>
        <v>#DIV/0!</v>
      </c>
      <c r="Q95" s="75" t="e">
        <f t="shared" si="34"/>
        <v>#DIV/0!</v>
      </c>
      <c r="S95" s="75" t="e">
        <f t="shared" ref="S95" si="35">S12/S5</f>
        <v>#DIV/0!</v>
      </c>
    </row>
    <row r="96" spans="2:19" x14ac:dyDescent="0.2">
      <c r="B96" s="82" t="s">
        <v>103</v>
      </c>
      <c r="C96" s="210" t="e">
        <f>C18/C5</f>
        <v>#DIV/0!</v>
      </c>
      <c r="D96" s="210" t="e">
        <f t="shared" ref="D96:H96" si="36">D18/D5</f>
        <v>#DIV/0!</v>
      </c>
      <c r="E96" s="210" t="e">
        <f t="shared" si="36"/>
        <v>#DIV/0!</v>
      </c>
      <c r="F96" s="210" t="e">
        <f t="shared" si="36"/>
        <v>#DIV/0!</v>
      </c>
      <c r="G96" s="210" t="e">
        <f t="shared" si="36"/>
        <v>#DIV/0!</v>
      </c>
      <c r="H96" s="210" t="e">
        <f t="shared" si="36"/>
        <v>#DIV/0!</v>
      </c>
      <c r="J96" s="210" t="e">
        <f t="shared" ref="J96:Q96" si="37">J18/J5</f>
        <v>#DIV/0!</v>
      </c>
      <c r="K96" s="210" t="e">
        <f t="shared" si="37"/>
        <v>#DIV/0!</v>
      </c>
      <c r="L96" s="210" t="e">
        <f t="shared" si="37"/>
        <v>#DIV/0!</v>
      </c>
      <c r="M96" s="210" t="e">
        <f t="shared" si="37"/>
        <v>#DIV/0!</v>
      </c>
      <c r="N96" s="210" t="e">
        <f t="shared" si="37"/>
        <v>#DIV/0!</v>
      </c>
      <c r="O96" s="210" t="e">
        <f t="shared" si="37"/>
        <v>#DIV/0!</v>
      </c>
      <c r="P96" s="210" t="e">
        <f t="shared" si="37"/>
        <v>#DIV/0!</v>
      </c>
      <c r="Q96" s="210" t="e">
        <f t="shared" si="37"/>
        <v>#DIV/0!</v>
      </c>
      <c r="S96" s="210" t="e">
        <f t="shared" ref="S96" si="38">S18/S5</f>
        <v>#DIV/0!</v>
      </c>
    </row>
  </sheetData>
  <pageMargins left="0.7" right="0.7" top="0.75" bottom="0.75" header="0.3" footer="0.3"/>
  <ignoredErrors>
    <ignoredError sqref="S19 C79:H79 S79 D90:H90 K90:Q90" formula="1"/>
    <ignoredError sqref="C63:H63 J63:Q63 S69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A7243-11CD-654A-ACF3-5D8AC6BF6FE6}">
  <sheetPr>
    <tabColor theme="6" tint="0.59999389629810485"/>
  </sheetPr>
  <dimension ref="B13"/>
  <sheetViews>
    <sheetView workbookViewId="0">
      <selection activeCell="I18" sqref="I18"/>
    </sheetView>
  </sheetViews>
  <sheetFormatPr baseColWidth="10" defaultRowHeight="16" x14ac:dyDescent="0.2"/>
  <cols>
    <col min="1" max="16384" width="10.83203125" style="1"/>
  </cols>
  <sheetData>
    <row r="13" spans="2:2" s="103" customFormat="1" ht="49" x14ac:dyDescent="0.2">
      <c r="B13" s="105" t="s">
        <v>176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0F41-DCA9-B047-B3F8-F2B1D2F27CD7}">
  <dimension ref="A1:AE50"/>
  <sheetViews>
    <sheetView topLeftCell="A5" zoomScale="163" zoomScaleNormal="75" workbookViewId="0">
      <selection activeCell="H30" sqref="H30"/>
    </sheetView>
  </sheetViews>
  <sheetFormatPr baseColWidth="10" defaultRowHeight="16" x14ac:dyDescent="0.2"/>
  <cols>
    <col min="1" max="1" width="2" style="102" customWidth="1"/>
    <col min="2" max="2" width="24.6640625" style="1" customWidth="1"/>
    <col min="3" max="3" width="10.83203125" style="1"/>
    <col min="4" max="4" width="10.83203125" style="1" customWidth="1"/>
    <col min="5" max="7" width="10.83203125" style="1"/>
    <col min="8" max="8" width="10.83203125" style="1" customWidth="1"/>
    <col min="9" max="12" width="10.83203125" style="1"/>
    <col min="13" max="13" width="2" style="1" customWidth="1"/>
    <col min="14" max="14" width="36.83203125" style="1" customWidth="1"/>
    <col min="15" max="16" width="2" style="1" customWidth="1"/>
    <col min="17" max="17" width="36.83203125" style="1" customWidth="1"/>
    <col min="18" max="18" width="24.6640625" style="1" customWidth="1"/>
    <col min="19" max="29" width="10.83203125" style="1"/>
    <col min="30" max="30" width="2" style="1" customWidth="1"/>
    <col min="31" max="31" width="12.33203125" style="1" customWidth="1"/>
    <col min="32" max="16384" width="10.83203125" style="1"/>
  </cols>
  <sheetData>
    <row r="1" spans="1:31" s="102" customFormat="1" ht="18" customHeight="1" x14ac:dyDescent="0.2">
      <c r="A1" s="103"/>
      <c r="B1" s="104" t="s">
        <v>177</v>
      </c>
      <c r="O1" s="126"/>
    </row>
    <row r="2" spans="1:31" x14ac:dyDescent="0.2">
      <c r="A2" s="103"/>
      <c r="C2" s="223" t="s">
        <v>168</v>
      </c>
      <c r="D2" s="223"/>
      <c r="E2" s="223"/>
      <c r="F2" s="223"/>
      <c r="G2" s="226"/>
      <c r="H2" s="227" t="s">
        <v>169</v>
      </c>
      <c r="I2" s="223"/>
      <c r="J2" s="223"/>
      <c r="K2" s="223"/>
      <c r="L2" s="223"/>
      <c r="O2" s="90"/>
      <c r="S2" s="223" t="s">
        <v>168</v>
      </c>
      <c r="T2" s="223"/>
      <c r="U2" s="223"/>
      <c r="V2" s="223"/>
      <c r="W2" s="223"/>
      <c r="X2" s="223"/>
      <c r="Y2" s="223"/>
      <c r="Z2" s="223"/>
      <c r="AA2" s="223" t="s">
        <v>169</v>
      </c>
      <c r="AB2" s="223"/>
      <c r="AC2" s="223"/>
      <c r="AE2" s="127" t="s">
        <v>86</v>
      </c>
    </row>
    <row r="3" spans="1:31" ht="10" customHeight="1" x14ac:dyDescent="0.2">
      <c r="O3" s="90"/>
    </row>
    <row r="4" spans="1:31" ht="16" customHeight="1" x14ac:dyDescent="0.2">
      <c r="A4" s="108"/>
      <c r="B4" s="92"/>
      <c r="C4" s="222" t="s">
        <v>178</v>
      </c>
      <c r="D4" s="222"/>
      <c r="E4" s="222"/>
      <c r="F4" s="222"/>
      <c r="G4" s="222"/>
      <c r="H4" s="222"/>
      <c r="I4" s="222"/>
      <c r="J4" s="222"/>
      <c r="K4" s="222"/>
      <c r="L4" s="222"/>
      <c r="O4" s="90"/>
      <c r="S4" s="224" t="s">
        <v>178</v>
      </c>
      <c r="T4" s="225"/>
      <c r="U4" s="225"/>
      <c r="V4" s="225"/>
      <c r="W4" s="225"/>
      <c r="X4" s="225"/>
      <c r="Y4" s="225"/>
      <c r="Z4" s="225"/>
      <c r="AA4" s="225"/>
      <c r="AB4" s="225"/>
      <c r="AC4" s="225"/>
      <c r="AE4" s="138" t="s">
        <v>202</v>
      </c>
    </row>
    <row r="5" spans="1:31" x14ac:dyDescent="0.2">
      <c r="B5" s="7" t="s">
        <v>179</v>
      </c>
      <c r="C5" s="62">
        <f>'Statement Y'!D3</f>
        <v>2021</v>
      </c>
      <c r="D5" s="62">
        <f>'Statement Y'!E3</f>
        <v>2022</v>
      </c>
      <c r="E5" s="62">
        <f>'Statement Y'!F3</f>
        <v>2023</v>
      </c>
      <c r="F5" s="62">
        <f>'Statement Y'!G3</f>
        <v>2024</v>
      </c>
      <c r="G5" s="62">
        <f>'Statement Y'!H3</f>
        <v>2025</v>
      </c>
      <c r="H5" s="62">
        <f>G5+1</f>
        <v>2026</v>
      </c>
      <c r="I5" s="62">
        <f t="shared" ref="I5:L5" si="0">H5+1</f>
        <v>2027</v>
      </c>
      <c r="J5" s="62">
        <f t="shared" si="0"/>
        <v>2028</v>
      </c>
      <c r="K5" s="62">
        <f t="shared" si="0"/>
        <v>2029</v>
      </c>
      <c r="L5" s="62">
        <f t="shared" si="0"/>
        <v>2030</v>
      </c>
      <c r="O5" s="90"/>
      <c r="R5" s="7" t="s">
        <v>179</v>
      </c>
      <c r="S5" s="62" t="str">
        <f>'Statement Q'!C3</f>
        <v>Q1 2024</v>
      </c>
      <c r="T5" s="62" t="str">
        <f>'Statement Q'!D3</f>
        <v>Q2 2024</v>
      </c>
      <c r="U5" s="62" t="str">
        <f>'Statement Q'!E3</f>
        <v>Q3 2024</v>
      </c>
      <c r="V5" s="62" t="str">
        <f>'Statement Q'!F3</f>
        <v>Q4 2024</v>
      </c>
      <c r="W5" s="62" t="str">
        <f>'Statement Q'!G3</f>
        <v>Q1 2025</v>
      </c>
      <c r="X5" s="62" t="str">
        <f>'Statement Q'!H3</f>
        <v>Q2 2025</v>
      </c>
      <c r="Y5" s="62" t="str">
        <f>'Statement Q'!I3</f>
        <v>Q3 2025</v>
      </c>
      <c r="Z5" s="62" t="str">
        <f>'Statement Q'!J3</f>
        <v>Q4 2025</v>
      </c>
      <c r="AA5" s="62" t="s">
        <v>199</v>
      </c>
      <c r="AB5" s="62" t="s">
        <v>200</v>
      </c>
      <c r="AC5" s="62" t="s">
        <v>201</v>
      </c>
      <c r="AE5" s="61" t="s">
        <v>199</v>
      </c>
    </row>
    <row r="6" spans="1:31" x14ac:dyDescent="0.2">
      <c r="B6" s="1" t="e">
        <f>'Statement Y'!#REF!</f>
        <v>#REF!</v>
      </c>
      <c r="C6" s="106" t="e">
        <f>'Statement Y'!#REF!</f>
        <v>#REF!</v>
      </c>
      <c r="D6" s="106" t="e">
        <f>'Statement Y'!#REF!</f>
        <v>#REF!</v>
      </c>
      <c r="E6" s="106" t="e">
        <f>'Statement Y'!#REF!</f>
        <v>#REF!</v>
      </c>
      <c r="F6" s="106" t="e">
        <f>'Statement Y'!#REF!</f>
        <v>#REF!</v>
      </c>
      <c r="G6" s="109" t="e">
        <f>'Statement Y'!#REF!</f>
        <v>#REF!</v>
      </c>
      <c r="H6" s="107" t="e">
        <f>H39*H36</f>
        <v>#REF!</v>
      </c>
      <c r="I6" s="107" t="e">
        <f t="shared" ref="I6:L6" si="1">I39*I36</f>
        <v>#REF!</v>
      </c>
      <c r="J6" s="107" t="e">
        <f t="shared" si="1"/>
        <v>#REF!</v>
      </c>
      <c r="K6" s="107" t="e">
        <f t="shared" si="1"/>
        <v>#REF!</v>
      </c>
      <c r="L6" s="107" t="e">
        <f t="shared" si="1"/>
        <v>#REF!</v>
      </c>
      <c r="N6" s="125" t="s">
        <v>183</v>
      </c>
      <c r="O6" s="90"/>
      <c r="Q6" s="125" t="s">
        <v>183</v>
      </c>
      <c r="R6" s="1" t="e">
        <f>'Statement Q'!#REF!</f>
        <v>#REF!</v>
      </c>
      <c r="S6" s="106" t="e">
        <f>'Statement Q'!#REF!</f>
        <v>#REF!</v>
      </c>
      <c r="T6" s="106" t="e">
        <f>'Statement Q'!#REF!</f>
        <v>#REF!</v>
      </c>
      <c r="U6" s="106" t="e">
        <f>'Statement Q'!#REF!</f>
        <v>#REF!</v>
      </c>
      <c r="V6" s="106" t="e">
        <f>'Statement Q'!#REF!</f>
        <v>#REF!</v>
      </c>
      <c r="W6" s="106" t="e">
        <f>'Statement Q'!#REF!</f>
        <v>#REF!</v>
      </c>
      <c r="X6" s="106" t="e">
        <f>'Statement Q'!#REF!</f>
        <v>#REF!</v>
      </c>
      <c r="Y6" s="106" t="e">
        <f>'Statement Q'!#REF!</f>
        <v>#REF!</v>
      </c>
      <c r="Z6" s="109" t="e">
        <f>'Statement Q'!#REF!</f>
        <v>#REF!</v>
      </c>
      <c r="AA6" s="107" t="e">
        <f>AA39*AA36</f>
        <v>#REF!</v>
      </c>
      <c r="AB6" s="107"/>
      <c r="AC6" s="107"/>
      <c r="AE6" s="107" t="e">
        <f>SUM(X6:AA6)</f>
        <v>#REF!</v>
      </c>
    </row>
    <row r="7" spans="1:31" x14ac:dyDescent="0.2">
      <c r="B7" s="1" t="e">
        <f>'Statement Y'!#REF!</f>
        <v>#REF!</v>
      </c>
      <c r="C7" s="106" t="e">
        <f>'Statement Y'!#REF!</f>
        <v>#REF!</v>
      </c>
      <c r="D7" s="106" t="e">
        <f>'Statement Y'!#REF!</f>
        <v>#REF!</v>
      </c>
      <c r="E7" s="106" t="e">
        <f>'Statement Y'!#REF!</f>
        <v>#REF!</v>
      </c>
      <c r="F7" s="106" t="e">
        <f>'Statement Y'!#REF!</f>
        <v>#REF!</v>
      </c>
      <c r="G7" s="109" t="e">
        <f>'Statement Y'!#REF!</f>
        <v>#REF!</v>
      </c>
      <c r="H7" s="107" t="e">
        <f>H37*H33</f>
        <v>#REF!</v>
      </c>
      <c r="I7" s="107" t="e">
        <f t="shared" ref="I7:L7" si="2">I37*I33</f>
        <v>#REF!</v>
      </c>
      <c r="J7" s="107" t="e">
        <f t="shared" si="2"/>
        <v>#REF!</v>
      </c>
      <c r="K7" s="107" t="e">
        <f t="shared" si="2"/>
        <v>#REF!</v>
      </c>
      <c r="L7" s="107" t="e">
        <f t="shared" si="2"/>
        <v>#REF!</v>
      </c>
      <c r="N7" s="125" t="s">
        <v>190</v>
      </c>
      <c r="O7" s="90"/>
      <c r="Q7" s="125" t="s">
        <v>190</v>
      </c>
      <c r="R7" s="1" t="e">
        <f>'Statement Q'!#REF!</f>
        <v>#REF!</v>
      </c>
      <c r="S7" s="106" t="e">
        <f>'Statement Q'!#REF!</f>
        <v>#REF!</v>
      </c>
      <c r="T7" s="106" t="e">
        <f>'Statement Q'!#REF!</f>
        <v>#REF!</v>
      </c>
      <c r="U7" s="106" t="e">
        <f>'Statement Q'!#REF!</f>
        <v>#REF!</v>
      </c>
      <c r="V7" s="106" t="e">
        <f>'Statement Q'!#REF!</f>
        <v>#REF!</v>
      </c>
      <c r="W7" s="106" t="e">
        <f>'Statement Q'!#REF!</f>
        <v>#REF!</v>
      </c>
      <c r="X7" s="106" t="e">
        <f>'Statement Q'!#REF!</f>
        <v>#REF!</v>
      </c>
      <c r="Y7" s="106" t="e">
        <f>'Statement Q'!#REF!</f>
        <v>#REF!</v>
      </c>
      <c r="Z7" s="109" t="e">
        <f>'Statement Q'!#REF!</f>
        <v>#REF!</v>
      </c>
      <c r="AA7" s="107" t="e">
        <f>AA37*AA33</f>
        <v>#REF!</v>
      </c>
      <c r="AB7" s="107"/>
      <c r="AC7" s="107"/>
      <c r="AE7" s="107" t="e">
        <f t="shared" ref="AE7:AE10" si="3">SUM(X7:AA7)</f>
        <v>#REF!</v>
      </c>
    </row>
    <row r="8" spans="1:31" x14ac:dyDescent="0.2">
      <c r="B8" s="1" t="e">
        <f>'Statement Y'!#REF!</f>
        <v>#REF!</v>
      </c>
      <c r="C8" s="106" t="e">
        <f>'Statement Y'!#REF!</f>
        <v>#REF!</v>
      </c>
      <c r="D8" s="106" t="e">
        <f>'Statement Y'!#REF!</f>
        <v>#REF!</v>
      </c>
      <c r="E8" s="106" t="e">
        <f>'Statement Y'!#REF!</f>
        <v>#REF!</v>
      </c>
      <c r="F8" s="106" t="e">
        <f>'Statement Y'!#REF!</f>
        <v>#REF!</v>
      </c>
      <c r="G8" s="109" t="e">
        <f>'Statement Y'!#REF!</f>
        <v>#REF!</v>
      </c>
      <c r="H8" s="107" t="e">
        <f>G8*(1+H27)</f>
        <v>#REF!</v>
      </c>
      <c r="I8" s="107" t="e">
        <f t="shared" ref="I8:L8" si="4">H8*(1+I27)</f>
        <v>#REF!</v>
      </c>
      <c r="J8" s="107" t="e">
        <f t="shared" si="4"/>
        <v>#REF!</v>
      </c>
      <c r="K8" s="107" t="e">
        <f t="shared" si="4"/>
        <v>#REF!</v>
      </c>
      <c r="L8" s="107" t="e">
        <f t="shared" si="4"/>
        <v>#REF!</v>
      </c>
      <c r="N8" s="125" t="s">
        <v>180</v>
      </c>
      <c r="O8" s="90"/>
      <c r="Q8" s="125" t="s">
        <v>180</v>
      </c>
      <c r="R8" s="1" t="e">
        <f>'Statement Q'!#REF!</f>
        <v>#REF!</v>
      </c>
      <c r="S8" s="106" t="e">
        <f>'Statement Q'!#REF!</f>
        <v>#REF!</v>
      </c>
      <c r="T8" s="106" t="e">
        <f>'Statement Q'!#REF!</f>
        <v>#REF!</v>
      </c>
      <c r="U8" s="106" t="e">
        <f>'Statement Q'!#REF!</f>
        <v>#REF!</v>
      </c>
      <c r="V8" s="106" t="e">
        <f>'Statement Q'!#REF!</f>
        <v>#REF!</v>
      </c>
      <c r="W8" s="106" t="e">
        <f>'Statement Q'!#REF!</f>
        <v>#REF!</v>
      </c>
      <c r="X8" s="106" t="e">
        <f>'Statement Q'!#REF!</f>
        <v>#REF!</v>
      </c>
      <c r="Y8" s="106" t="e">
        <f>'Statement Q'!#REF!</f>
        <v>#REF!</v>
      </c>
      <c r="Z8" s="109" t="e">
        <f>'Statement Q'!#REF!</f>
        <v>#REF!</v>
      </c>
      <c r="AA8" s="107" t="e">
        <f>Z8*(1+AA27)</f>
        <v>#REF!</v>
      </c>
      <c r="AB8" s="107"/>
      <c r="AC8" s="107"/>
      <c r="AE8" s="107" t="e">
        <f t="shared" si="3"/>
        <v>#REF!</v>
      </c>
    </row>
    <row r="9" spans="1:31" x14ac:dyDescent="0.2">
      <c r="B9" s="1" t="e">
        <f>'Statement Y'!#REF!</f>
        <v>#REF!</v>
      </c>
      <c r="C9" s="106" t="e">
        <f>'Statement Y'!#REF!</f>
        <v>#REF!</v>
      </c>
      <c r="D9" s="106" t="e">
        <f>'Statement Y'!#REF!</f>
        <v>#REF!</v>
      </c>
      <c r="E9" s="106" t="e">
        <f>'Statement Y'!#REF!</f>
        <v>#REF!</v>
      </c>
      <c r="F9" s="106" t="e">
        <f>'Statement Y'!#REF!</f>
        <v>#REF!</v>
      </c>
      <c r="G9" s="109" t="e">
        <f>'Statement Y'!#REF!</f>
        <v>#REF!</v>
      </c>
      <c r="H9" s="107" t="e">
        <f>H29*H38</f>
        <v>#REF!</v>
      </c>
      <c r="I9" s="107" t="e">
        <f t="shared" ref="I9:L9" si="5">I29*I38</f>
        <v>#REF!</v>
      </c>
      <c r="J9" s="107" t="e">
        <f t="shared" si="5"/>
        <v>#REF!</v>
      </c>
      <c r="K9" s="107" t="e">
        <f t="shared" si="5"/>
        <v>#REF!</v>
      </c>
      <c r="L9" s="107" t="e">
        <f t="shared" si="5"/>
        <v>#REF!</v>
      </c>
      <c r="N9" s="125" t="s">
        <v>181</v>
      </c>
      <c r="O9" s="90"/>
      <c r="Q9" s="125" t="s">
        <v>181</v>
      </c>
      <c r="R9" s="1" t="e">
        <f>'Statement Q'!#REF!</f>
        <v>#REF!</v>
      </c>
      <c r="S9" s="106" t="e">
        <f>'Statement Q'!#REF!</f>
        <v>#REF!</v>
      </c>
      <c r="T9" s="106" t="e">
        <f>'Statement Q'!#REF!</f>
        <v>#REF!</v>
      </c>
      <c r="U9" s="106" t="e">
        <f>'Statement Q'!#REF!</f>
        <v>#REF!</v>
      </c>
      <c r="V9" s="106" t="e">
        <f>'Statement Q'!#REF!</f>
        <v>#REF!</v>
      </c>
      <c r="W9" s="106" t="e">
        <f>'Statement Q'!#REF!</f>
        <v>#REF!</v>
      </c>
      <c r="X9" s="106" t="e">
        <f>'Statement Q'!#REF!</f>
        <v>#REF!</v>
      </c>
      <c r="Y9" s="106" t="e">
        <f>'Statement Q'!#REF!</f>
        <v>#REF!</v>
      </c>
      <c r="Z9" s="109" t="e">
        <f>'Statement Q'!#REF!</f>
        <v>#REF!</v>
      </c>
      <c r="AA9" s="107" t="e">
        <f>AA29*AA38</f>
        <v>#REF!</v>
      </c>
      <c r="AB9" s="107"/>
      <c r="AC9" s="107"/>
      <c r="AE9" s="107" t="e">
        <f t="shared" si="3"/>
        <v>#REF!</v>
      </c>
    </row>
    <row r="10" spans="1:31" x14ac:dyDescent="0.2">
      <c r="B10" s="1" t="e">
        <f>'Statement Y'!#REF!</f>
        <v>#REF!</v>
      </c>
      <c r="C10" s="106" t="e">
        <f>'Statement Y'!#REF!</f>
        <v>#REF!</v>
      </c>
      <c r="D10" s="106" t="e">
        <f>'Statement Y'!#REF!</f>
        <v>#REF!</v>
      </c>
      <c r="E10" s="106" t="e">
        <f>'Statement Y'!#REF!</f>
        <v>#REF!</v>
      </c>
      <c r="F10" s="106" t="e">
        <f>'Statement Y'!#REF!</f>
        <v>#REF!</v>
      </c>
      <c r="G10" s="109" t="e">
        <f>'Statement Y'!#REF!</f>
        <v>#REF!</v>
      </c>
      <c r="H10" s="107" t="e">
        <f>G10*(1+H28)</f>
        <v>#REF!</v>
      </c>
      <c r="I10" s="107" t="e">
        <f t="shared" ref="I10:L10" si="6">H10*(1+I28)</f>
        <v>#REF!</v>
      </c>
      <c r="J10" s="107" t="e">
        <f t="shared" si="6"/>
        <v>#REF!</v>
      </c>
      <c r="K10" s="107" t="e">
        <f t="shared" si="6"/>
        <v>#REF!</v>
      </c>
      <c r="L10" s="107" t="e">
        <f t="shared" si="6"/>
        <v>#REF!</v>
      </c>
      <c r="N10" s="125" t="s">
        <v>167</v>
      </c>
      <c r="O10" s="90"/>
      <c r="Q10" s="125" t="s">
        <v>167</v>
      </c>
      <c r="R10" s="1" t="e">
        <f>'Statement Q'!#REF!</f>
        <v>#REF!</v>
      </c>
      <c r="S10" s="106" t="e">
        <f>'Statement Q'!#REF!</f>
        <v>#REF!</v>
      </c>
      <c r="T10" s="106" t="e">
        <f>'Statement Q'!#REF!</f>
        <v>#REF!</v>
      </c>
      <c r="U10" s="106" t="e">
        <f>'Statement Q'!#REF!</f>
        <v>#REF!</v>
      </c>
      <c r="V10" s="106" t="e">
        <f>'Statement Q'!#REF!</f>
        <v>#REF!</v>
      </c>
      <c r="W10" s="106" t="e">
        <f>'Statement Q'!#REF!</f>
        <v>#REF!</v>
      </c>
      <c r="X10" s="106" t="e">
        <f>'Statement Q'!#REF!</f>
        <v>#REF!</v>
      </c>
      <c r="Y10" s="106" t="e">
        <f>'Statement Q'!#REF!</f>
        <v>#REF!</v>
      </c>
      <c r="Z10" s="109" t="e">
        <f>'Statement Q'!#REF!</f>
        <v>#REF!</v>
      </c>
      <c r="AA10" s="107" t="e">
        <f>Z10*(1+AA28)</f>
        <v>#REF!</v>
      </c>
      <c r="AB10" s="107"/>
      <c r="AC10" s="107"/>
      <c r="AE10" s="107" t="e">
        <f t="shared" si="3"/>
        <v>#REF!</v>
      </c>
    </row>
    <row r="11" spans="1:31" x14ac:dyDescent="0.2">
      <c r="B11" s="1" t="e">
        <f>'Statement Y'!#REF!</f>
        <v>#REF!</v>
      </c>
      <c r="C11" s="106" t="e">
        <f>'Statement Y'!#REF!</f>
        <v>#REF!</v>
      </c>
      <c r="D11" s="106" t="e">
        <f>'Statement Y'!#REF!</f>
        <v>#REF!</v>
      </c>
      <c r="E11" s="106" t="e">
        <f>'Statement Y'!#REF!</f>
        <v>#REF!</v>
      </c>
      <c r="F11" s="106" t="e">
        <f>'Statement Y'!#REF!</f>
        <v>#REF!</v>
      </c>
      <c r="G11" s="109" t="e">
        <f>'Statement Y'!#REF!</f>
        <v>#REF!</v>
      </c>
      <c r="H11" s="107" t="e">
        <f>SUM(H7:H10)</f>
        <v>#REF!</v>
      </c>
      <c r="I11" s="107" t="e">
        <f t="shared" ref="I11:L11" si="7">SUM(I7:I10)</f>
        <v>#REF!</v>
      </c>
      <c r="J11" s="107" t="e">
        <f t="shared" si="7"/>
        <v>#REF!</v>
      </c>
      <c r="K11" s="107" t="e">
        <f t="shared" si="7"/>
        <v>#REF!</v>
      </c>
      <c r="L11" s="107" t="e">
        <f t="shared" si="7"/>
        <v>#REF!</v>
      </c>
      <c r="O11" s="90"/>
      <c r="Q11" s="91"/>
      <c r="R11" s="1" t="e">
        <f>'Statement Q'!#REF!</f>
        <v>#REF!</v>
      </c>
      <c r="S11" s="106" t="e">
        <f>'Statement Q'!#REF!</f>
        <v>#REF!</v>
      </c>
      <c r="T11" s="106" t="e">
        <f>'Statement Q'!#REF!</f>
        <v>#REF!</v>
      </c>
      <c r="U11" s="106" t="e">
        <f>'Statement Q'!#REF!</f>
        <v>#REF!</v>
      </c>
      <c r="V11" s="106" t="e">
        <f>'Statement Q'!#REF!</f>
        <v>#REF!</v>
      </c>
      <c r="W11" s="106" t="e">
        <f>'Statement Q'!#REF!</f>
        <v>#REF!</v>
      </c>
      <c r="X11" s="106" t="e">
        <f>'Statement Q'!#REF!</f>
        <v>#REF!</v>
      </c>
      <c r="Y11" s="106" t="e">
        <f>'Statement Q'!#REF!</f>
        <v>#REF!</v>
      </c>
      <c r="Z11" s="109" t="e">
        <f>'Statement Q'!#REF!</f>
        <v>#REF!</v>
      </c>
      <c r="AA11" s="107" t="e">
        <f>SUM(AA7:AA10)</f>
        <v>#REF!</v>
      </c>
      <c r="AB11" s="107">
        <f t="shared" ref="AB11:AE11" si="8">SUM(AB7:AB10)</f>
        <v>0</v>
      </c>
      <c r="AC11" s="107">
        <f t="shared" si="8"/>
        <v>0</v>
      </c>
      <c r="AE11" s="107" t="e">
        <f t="shared" si="8"/>
        <v>#REF!</v>
      </c>
    </row>
    <row r="12" spans="1:31" x14ac:dyDescent="0.2">
      <c r="B12" s="7" t="s">
        <v>165</v>
      </c>
      <c r="C12" s="110">
        <f>'Statement Y'!D5</f>
        <v>0</v>
      </c>
      <c r="D12" s="110">
        <f>'Statement Y'!E5</f>
        <v>0</v>
      </c>
      <c r="E12" s="110">
        <f>'Statement Y'!F5</f>
        <v>0</v>
      </c>
      <c r="F12" s="110">
        <f>'Statement Y'!G5</f>
        <v>0</v>
      </c>
      <c r="G12" s="111">
        <f>'Statement Y'!H5</f>
        <v>0</v>
      </c>
      <c r="H12" s="112" t="e">
        <f>H6+H11</f>
        <v>#REF!</v>
      </c>
      <c r="I12" s="112" t="e">
        <f t="shared" ref="I12:L12" si="9">I6+I11</f>
        <v>#REF!</v>
      </c>
      <c r="J12" s="112" t="e">
        <f t="shared" si="9"/>
        <v>#REF!</v>
      </c>
      <c r="K12" s="112" t="e">
        <f t="shared" si="9"/>
        <v>#REF!</v>
      </c>
      <c r="L12" s="112" t="e">
        <f t="shared" si="9"/>
        <v>#REF!</v>
      </c>
      <c r="O12" s="90"/>
      <c r="Q12" s="91"/>
      <c r="R12" s="7" t="s">
        <v>165</v>
      </c>
      <c r="S12" s="110">
        <f>'Statement Q'!C5</f>
        <v>0</v>
      </c>
      <c r="T12" s="110">
        <f>'Statement Q'!D5</f>
        <v>0</v>
      </c>
      <c r="U12" s="110">
        <f>'Statement Q'!E5</f>
        <v>0</v>
      </c>
      <c r="V12" s="110">
        <f>'Statement Q'!F5</f>
        <v>0</v>
      </c>
      <c r="W12" s="110">
        <f>'Statement Q'!G5</f>
        <v>0</v>
      </c>
      <c r="X12" s="110">
        <f>'Statement Q'!H5</f>
        <v>0</v>
      </c>
      <c r="Y12" s="110">
        <f>'Statement Q'!I5</f>
        <v>0</v>
      </c>
      <c r="Z12" s="111">
        <f>'Statement Q'!J5</f>
        <v>0</v>
      </c>
      <c r="AA12" s="112" t="e">
        <f>AA6+AA11</f>
        <v>#REF!</v>
      </c>
      <c r="AB12" s="112">
        <f t="shared" ref="AB12:AE12" si="10">AB6+AB11</f>
        <v>0</v>
      </c>
      <c r="AC12" s="112">
        <f t="shared" si="10"/>
        <v>0</v>
      </c>
      <c r="AE12" s="112" t="e">
        <f t="shared" si="10"/>
        <v>#REF!</v>
      </c>
    </row>
    <row r="13" spans="1:31" x14ac:dyDescent="0.2">
      <c r="O13" s="90"/>
      <c r="Q13" s="91"/>
    </row>
    <row r="14" spans="1:31" x14ac:dyDescent="0.2">
      <c r="C14" s="222" t="s">
        <v>184</v>
      </c>
      <c r="D14" s="222"/>
      <c r="E14" s="222"/>
      <c r="F14" s="222"/>
      <c r="G14" s="222"/>
      <c r="H14" s="222"/>
      <c r="I14" s="222"/>
      <c r="J14" s="222"/>
      <c r="K14" s="222"/>
      <c r="L14" s="222"/>
      <c r="O14" s="90"/>
      <c r="Q14" s="91"/>
      <c r="S14" s="224" t="s">
        <v>184</v>
      </c>
      <c r="T14" s="225"/>
      <c r="U14" s="225"/>
      <c r="V14" s="225"/>
      <c r="W14" s="225"/>
      <c r="X14" s="225"/>
      <c r="Y14" s="225"/>
      <c r="Z14" s="225"/>
      <c r="AA14" s="225"/>
      <c r="AB14" s="225"/>
      <c r="AC14" s="225"/>
    </row>
    <row r="15" spans="1:31" x14ac:dyDescent="0.2">
      <c r="B15" s="7" t="s">
        <v>185</v>
      </c>
      <c r="C15" s="62">
        <f>C5</f>
        <v>2021</v>
      </c>
      <c r="D15" s="62">
        <f t="shared" ref="D15:L15" si="11">D5</f>
        <v>2022</v>
      </c>
      <c r="E15" s="62">
        <f t="shared" si="11"/>
        <v>2023</v>
      </c>
      <c r="F15" s="62">
        <f t="shared" si="11"/>
        <v>2024</v>
      </c>
      <c r="G15" s="62">
        <f t="shared" si="11"/>
        <v>2025</v>
      </c>
      <c r="H15" s="62">
        <f t="shared" si="11"/>
        <v>2026</v>
      </c>
      <c r="I15" s="62">
        <f t="shared" si="11"/>
        <v>2027</v>
      </c>
      <c r="J15" s="62">
        <f t="shared" si="11"/>
        <v>2028</v>
      </c>
      <c r="K15" s="62">
        <f t="shared" si="11"/>
        <v>2029</v>
      </c>
      <c r="L15" s="62">
        <f t="shared" si="11"/>
        <v>2030</v>
      </c>
      <c r="O15" s="90"/>
      <c r="Q15" s="91"/>
      <c r="R15" s="7" t="s">
        <v>185</v>
      </c>
      <c r="S15" s="62" t="str">
        <f>S5</f>
        <v>Q1 2024</v>
      </c>
      <c r="T15" s="62" t="str">
        <f t="shared" ref="T15:AC15" si="12">T5</f>
        <v>Q2 2024</v>
      </c>
      <c r="U15" s="62" t="str">
        <f t="shared" si="12"/>
        <v>Q3 2024</v>
      </c>
      <c r="V15" s="62" t="str">
        <f t="shared" si="12"/>
        <v>Q4 2024</v>
      </c>
      <c r="W15" s="62" t="str">
        <f t="shared" si="12"/>
        <v>Q1 2025</v>
      </c>
      <c r="X15" s="62" t="str">
        <f t="shared" si="12"/>
        <v>Q2 2025</v>
      </c>
      <c r="Y15" s="62" t="str">
        <f t="shared" si="12"/>
        <v>Q3 2025</v>
      </c>
      <c r="Z15" s="62" t="str">
        <f t="shared" si="12"/>
        <v>Q4 2025</v>
      </c>
      <c r="AA15" s="62" t="str">
        <f t="shared" si="12"/>
        <v>FQ1</v>
      </c>
      <c r="AB15" s="62" t="str">
        <f t="shared" si="12"/>
        <v>FQ2</v>
      </c>
      <c r="AC15" s="62" t="str">
        <f t="shared" si="12"/>
        <v>FQ3</v>
      </c>
    </row>
    <row r="16" spans="1:31" x14ac:dyDescent="0.2">
      <c r="B16" s="1" t="e">
        <f>B6</f>
        <v>#REF!</v>
      </c>
      <c r="C16" s="81"/>
      <c r="D16" s="115" t="e">
        <f>D6/C6-1</f>
        <v>#REF!</v>
      </c>
      <c r="E16" s="115" t="e">
        <f t="shared" ref="E16:L16" si="13">E6/D6-1</f>
        <v>#REF!</v>
      </c>
      <c r="F16" s="115" t="e">
        <f t="shared" si="13"/>
        <v>#REF!</v>
      </c>
      <c r="G16" s="116" t="e">
        <f t="shared" si="13"/>
        <v>#REF!</v>
      </c>
      <c r="H16" s="115" t="e">
        <f t="shared" si="13"/>
        <v>#REF!</v>
      </c>
      <c r="I16" s="115" t="e">
        <f t="shared" si="13"/>
        <v>#REF!</v>
      </c>
      <c r="J16" s="115" t="e">
        <f t="shared" si="13"/>
        <v>#REF!</v>
      </c>
      <c r="K16" s="115" t="e">
        <f t="shared" si="13"/>
        <v>#REF!</v>
      </c>
      <c r="L16" s="115" t="e">
        <f t="shared" si="13"/>
        <v>#REF!</v>
      </c>
      <c r="O16" s="90"/>
      <c r="Q16" s="91"/>
      <c r="R16" s="1" t="e">
        <f>R6</f>
        <v>#REF!</v>
      </c>
      <c r="S16" s="81"/>
      <c r="T16" s="115" t="e">
        <f>T6/S6-1</f>
        <v>#REF!</v>
      </c>
      <c r="U16" s="115" t="e">
        <f t="shared" ref="U16:Z16" si="14">U6/T6-1</f>
        <v>#REF!</v>
      </c>
      <c r="V16" s="115" t="e">
        <f t="shared" si="14"/>
        <v>#REF!</v>
      </c>
      <c r="W16" s="115" t="e">
        <f t="shared" si="14"/>
        <v>#REF!</v>
      </c>
      <c r="X16" s="115" t="e">
        <f t="shared" si="14"/>
        <v>#REF!</v>
      </c>
      <c r="Y16" s="115" t="e">
        <f t="shared" si="14"/>
        <v>#REF!</v>
      </c>
      <c r="Z16" s="116" t="e">
        <f t="shared" si="14"/>
        <v>#REF!</v>
      </c>
      <c r="AA16" s="115" t="e">
        <f>AA6/Z6-1</f>
        <v>#REF!</v>
      </c>
      <c r="AB16" s="115"/>
      <c r="AC16" s="115"/>
    </row>
    <row r="17" spans="2:31" x14ac:dyDescent="0.2">
      <c r="B17" s="1" t="e">
        <f t="shared" ref="B17:B22" si="15">B7</f>
        <v>#REF!</v>
      </c>
      <c r="C17" s="81"/>
      <c r="D17" s="115" t="e">
        <f t="shared" ref="D17:L22" si="16">D7/C7-1</f>
        <v>#REF!</v>
      </c>
      <c r="E17" s="115" t="e">
        <f t="shared" si="16"/>
        <v>#REF!</v>
      </c>
      <c r="F17" s="115" t="e">
        <f t="shared" si="16"/>
        <v>#REF!</v>
      </c>
      <c r="G17" s="116" t="e">
        <f t="shared" si="16"/>
        <v>#REF!</v>
      </c>
      <c r="H17" s="115" t="e">
        <f t="shared" si="16"/>
        <v>#REF!</v>
      </c>
      <c r="I17" s="115" t="e">
        <f t="shared" si="16"/>
        <v>#REF!</v>
      </c>
      <c r="J17" s="115" t="e">
        <f t="shared" si="16"/>
        <v>#REF!</v>
      </c>
      <c r="K17" s="115" t="e">
        <f t="shared" si="16"/>
        <v>#REF!</v>
      </c>
      <c r="L17" s="115" t="e">
        <f t="shared" si="16"/>
        <v>#REF!</v>
      </c>
      <c r="O17" s="90"/>
      <c r="Q17" s="91"/>
      <c r="R17" s="1" t="e">
        <f t="shared" ref="R17:R22" si="17">R7</f>
        <v>#REF!</v>
      </c>
      <c r="S17" s="81"/>
      <c r="T17" s="115" t="e">
        <f t="shared" ref="T17:Z22" si="18">T7/S7-1</f>
        <v>#REF!</v>
      </c>
      <c r="U17" s="115" t="e">
        <f t="shared" si="18"/>
        <v>#REF!</v>
      </c>
      <c r="V17" s="115" t="e">
        <f t="shared" si="18"/>
        <v>#REF!</v>
      </c>
      <c r="W17" s="115" t="e">
        <f t="shared" si="18"/>
        <v>#REF!</v>
      </c>
      <c r="X17" s="115" t="e">
        <f t="shared" si="18"/>
        <v>#REF!</v>
      </c>
      <c r="Y17" s="115" t="e">
        <f t="shared" si="18"/>
        <v>#REF!</v>
      </c>
      <c r="Z17" s="116" t="e">
        <f t="shared" si="18"/>
        <v>#REF!</v>
      </c>
      <c r="AA17" s="115" t="e">
        <f t="shared" ref="AA17:AA22" si="19">AA7/Z7-1</f>
        <v>#REF!</v>
      </c>
      <c r="AB17" s="115"/>
      <c r="AC17" s="115"/>
    </row>
    <row r="18" spans="2:31" x14ac:dyDescent="0.2">
      <c r="B18" s="1" t="e">
        <f t="shared" si="15"/>
        <v>#REF!</v>
      </c>
      <c r="C18" s="81"/>
      <c r="D18" s="115" t="e">
        <f t="shared" si="16"/>
        <v>#REF!</v>
      </c>
      <c r="E18" s="115" t="e">
        <f t="shared" si="16"/>
        <v>#REF!</v>
      </c>
      <c r="F18" s="115" t="e">
        <f t="shared" si="16"/>
        <v>#REF!</v>
      </c>
      <c r="G18" s="116" t="e">
        <f t="shared" si="16"/>
        <v>#REF!</v>
      </c>
      <c r="H18" s="115" t="e">
        <f t="shared" si="16"/>
        <v>#REF!</v>
      </c>
      <c r="I18" s="115" t="e">
        <f t="shared" si="16"/>
        <v>#REF!</v>
      </c>
      <c r="J18" s="115" t="e">
        <f t="shared" si="16"/>
        <v>#REF!</v>
      </c>
      <c r="K18" s="115" t="e">
        <f t="shared" si="16"/>
        <v>#REF!</v>
      </c>
      <c r="L18" s="115" t="e">
        <f t="shared" si="16"/>
        <v>#REF!</v>
      </c>
      <c r="O18" s="90"/>
      <c r="Q18" s="91"/>
      <c r="R18" s="1" t="e">
        <f t="shared" si="17"/>
        <v>#REF!</v>
      </c>
      <c r="S18" s="81"/>
      <c r="T18" s="115" t="e">
        <f t="shared" si="18"/>
        <v>#REF!</v>
      </c>
      <c r="U18" s="115" t="e">
        <f t="shared" si="18"/>
        <v>#REF!</v>
      </c>
      <c r="V18" s="115" t="e">
        <f t="shared" si="18"/>
        <v>#REF!</v>
      </c>
      <c r="W18" s="115" t="e">
        <f t="shared" si="18"/>
        <v>#REF!</v>
      </c>
      <c r="X18" s="115" t="e">
        <f t="shared" si="18"/>
        <v>#REF!</v>
      </c>
      <c r="Y18" s="115" t="e">
        <f t="shared" si="18"/>
        <v>#REF!</v>
      </c>
      <c r="Z18" s="116" t="e">
        <f t="shared" si="18"/>
        <v>#REF!</v>
      </c>
      <c r="AA18" s="115" t="e">
        <f t="shared" si="19"/>
        <v>#REF!</v>
      </c>
      <c r="AB18" s="115"/>
      <c r="AC18" s="115"/>
    </row>
    <row r="19" spans="2:31" x14ac:dyDescent="0.2">
      <c r="B19" s="1" t="e">
        <f t="shared" si="15"/>
        <v>#REF!</v>
      </c>
      <c r="C19" s="81"/>
      <c r="D19" s="115" t="e">
        <f t="shared" si="16"/>
        <v>#REF!</v>
      </c>
      <c r="E19" s="115" t="e">
        <f t="shared" si="16"/>
        <v>#REF!</v>
      </c>
      <c r="F19" s="115" t="e">
        <f t="shared" si="16"/>
        <v>#REF!</v>
      </c>
      <c r="G19" s="116" t="e">
        <f t="shared" si="16"/>
        <v>#REF!</v>
      </c>
      <c r="H19" s="115" t="e">
        <f t="shared" si="16"/>
        <v>#REF!</v>
      </c>
      <c r="I19" s="115" t="e">
        <f t="shared" si="16"/>
        <v>#REF!</v>
      </c>
      <c r="J19" s="115" t="e">
        <f t="shared" si="16"/>
        <v>#REF!</v>
      </c>
      <c r="K19" s="115" t="e">
        <f t="shared" si="16"/>
        <v>#REF!</v>
      </c>
      <c r="L19" s="115" t="e">
        <f t="shared" si="16"/>
        <v>#REF!</v>
      </c>
      <c r="O19" s="90"/>
      <c r="Q19" s="91"/>
      <c r="R19" s="1" t="e">
        <f t="shared" si="17"/>
        <v>#REF!</v>
      </c>
      <c r="S19" s="81"/>
      <c r="T19" s="115" t="e">
        <f t="shared" si="18"/>
        <v>#REF!</v>
      </c>
      <c r="U19" s="115" t="e">
        <f t="shared" si="18"/>
        <v>#REF!</v>
      </c>
      <c r="V19" s="115" t="e">
        <f t="shared" si="18"/>
        <v>#REF!</v>
      </c>
      <c r="W19" s="115" t="e">
        <f t="shared" si="18"/>
        <v>#REF!</v>
      </c>
      <c r="X19" s="115" t="e">
        <f t="shared" si="18"/>
        <v>#REF!</v>
      </c>
      <c r="Y19" s="115" t="e">
        <f t="shared" si="18"/>
        <v>#REF!</v>
      </c>
      <c r="Z19" s="116" t="e">
        <f t="shared" si="18"/>
        <v>#REF!</v>
      </c>
      <c r="AA19" s="115" t="e">
        <f t="shared" si="19"/>
        <v>#REF!</v>
      </c>
      <c r="AB19" s="115"/>
      <c r="AC19" s="115"/>
    </row>
    <row r="20" spans="2:31" x14ac:dyDescent="0.2">
      <c r="B20" s="1" t="e">
        <f t="shared" si="15"/>
        <v>#REF!</v>
      </c>
      <c r="C20" s="81"/>
      <c r="D20" s="115" t="e">
        <f t="shared" si="16"/>
        <v>#REF!</v>
      </c>
      <c r="E20" s="115" t="e">
        <f t="shared" si="16"/>
        <v>#REF!</v>
      </c>
      <c r="F20" s="115" t="e">
        <f t="shared" si="16"/>
        <v>#REF!</v>
      </c>
      <c r="G20" s="116" t="e">
        <f t="shared" si="16"/>
        <v>#REF!</v>
      </c>
      <c r="H20" s="115" t="e">
        <f t="shared" si="16"/>
        <v>#REF!</v>
      </c>
      <c r="I20" s="115" t="e">
        <f t="shared" si="16"/>
        <v>#REF!</v>
      </c>
      <c r="J20" s="115" t="e">
        <f t="shared" si="16"/>
        <v>#REF!</v>
      </c>
      <c r="K20" s="115" t="e">
        <f t="shared" si="16"/>
        <v>#REF!</v>
      </c>
      <c r="L20" s="115" t="e">
        <f t="shared" si="16"/>
        <v>#REF!</v>
      </c>
      <c r="O20" s="90"/>
      <c r="Q20" s="91"/>
      <c r="R20" s="1" t="e">
        <f t="shared" si="17"/>
        <v>#REF!</v>
      </c>
      <c r="S20" s="81"/>
      <c r="T20" s="115" t="e">
        <f t="shared" si="18"/>
        <v>#REF!</v>
      </c>
      <c r="U20" s="115" t="e">
        <f t="shared" si="18"/>
        <v>#REF!</v>
      </c>
      <c r="V20" s="115" t="e">
        <f t="shared" si="18"/>
        <v>#REF!</v>
      </c>
      <c r="W20" s="115" t="e">
        <f t="shared" si="18"/>
        <v>#REF!</v>
      </c>
      <c r="X20" s="115" t="e">
        <f t="shared" si="18"/>
        <v>#REF!</v>
      </c>
      <c r="Y20" s="115" t="e">
        <f t="shared" si="18"/>
        <v>#REF!</v>
      </c>
      <c r="Z20" s="116" t="e">
        <f t="shared" si="18"/>
        <v>#REF!</v>
      </c>
      <c r="AA20" s="115" t="e">
        <f t="shared" si="19"/>
        <v>#REF!</v>
      </c>
      <c r="AB20" s="115"/>
      <c r="AC20" s="115"/>
    </row>
    <row r="21" spans="2:31" x14ac:dyDescent="0.2">
      <c r="B21" s="1" t="e">
        <f t="shared" si="15"/>
        <v>#REF!</v>
      </c>
      <c r="C21" s="81"/>
      <c r="D21" s="115" t="e">
        <f t="shared" si="16"/>
        <v>#REF!</v>
      </c>
      <c r="E21" s="115" t="e">
        <f t="shared" si="16"/>
        <v>#REF!</v>
      </c>
      <c r="F21" s="115" t="e">
        <f t="shared" si="16"/>
        <v>#REF!</v>
      </c>
      <c r="G21" s="116" t="e">
        <f t="shared" si="16"/>
        <v>#REF!</v>
      </c>
      <c r="H21" s="115" t="e">
        <f t="shared" si="16"/>
        <v>#REF!</v>
      </c>
      <c r="I21" s="115" t="e">
        <f t="shared" si="16"/>
        <v>#REF!</v>
      </c>
      <c r="J21" s="115" t="e">
        <f t="shared" si="16"/>
        <v>#REF!</v>
      </c>
      <c r="K21" s="115" t="e">
        <f t="shared" si="16"/>
        <v>#REF!</v>
      </c>
      <c r="L21" s="115" t="e">
        <f t="shared" si="16"/>
        <v>#REF!</v>
      </c>
      <c r="O21" s="90"/>
      <c r="Q21" s="91"/>
      <c r="R21" s="1" t="e">
        <f t="shared" si="17"/>
        <v>#REF!</v>
      </c>
      <c r="S21" s="81"/>
      <c r="T21" s="115" t="e">
        <f t="shared" si="18"/>
        <v>#REF!</v>
      </c>
      <c r="U21" s="115" t="e">
        <f t="shared" si="18"/>
        <v>#REF!</v>
      </c>
      <c r="V21" s="115" t="e">
        <f t="shared" si="18"/>
        <v>#REF!</v>
      </c>
      <c r="W21" s="115" t="e">
        <f t="shared" si="18"/>
        <v>#REF!</v>
      </c>
      <c r="X21" s="115" t="e">
        <f t="shared" si="18"/>
        <v>#REF!</v>
      </c>
      <c r="Y21" s="115" t="e">
        <f t="shared" si="18"/>
        <v>#REF!</v>
      </c>
      <c r="Z21" s="116" t="e">
        <f t="shared" si="18"/>
        <v>#REF!</v>
      </c>
      <c r="AA21" s="115" t="e">
        <f t="shared" si="19"/>
        <v>#REF!</v>
      </c>
      <c r="AB21" s="115"/>
      <c r="AC21" s="115"/>
    </row>
    <row r="22" spans="2:31" x14ac:dyDescent="0.2">
      <c r="B22" s="1" t="str">
        <f t="shared" si="15"/>
        <v>Total</v>
      </c>
      <c r="C22" s="81"/>
      <c r="D22" s="115" t="e">
        <f t="shared" si="16"/>
        <v>#DIV/0!</v>
      </c>
      <c r="E22" s="115" t="e">
        <f t="shared" si="16"/>
        <v>#DIV/0!</v>
      </c>
      <c r="F22" s="115" t="e">
        <f t="shared" si="16"/>
        <v>#DIV/0!</v>
      </c>
      <c r="G22" s="116" t="e">
        <f t="shared" si="16"/>
        <v>#DIV/0!</v>
      </c>
      <c r="H22" s="115" t="e">
        <f t="shared" si="16"/>
        <v>#REF!</v>
      </c>
      <c r="I22" s="115" t="e">
        <f t="shared" si="16"/>
        <v>#REF!</v>
      </c>
      <c r="J22" s="115" t="e">
        <f t="shared" si="16"/>
        <v>#REF!</v>
      </c>
      <c r="K22" s="115" t="e">
        <f t="shared" si="16"/>
        <v>#REF!</v>
      </c>
      <c r="L22" s="115" t="e">
        <f t="shared" si="16"/>
        <v>#REF!</v>
      </c>
      <c r="O22" s="90"/>
      <c r="Q22" s="91"/>
      <c r="R22" s="1" t="str">
        <f t="shared" si="17"/>
        <v>Total</v>
      </c>
      <c r="S22" s="81"/>
      <c r="T22" s="115" t="e">
        <f t="shared" si="18"/>
        <v>#DIV/0!</v>
      </c>
      <c r="U22" s="115" t="e">
        <f t="shared" si="18"/>
        <v>#DIV/0!</v>
      </c>
      <c r="V22" s="115" t="e">
        <f t="shared" si="18"/>
        <v>#DIV/0!</v>
      </c>
      <c r="W22" s="115" t="e">
        <f t="shared" si="18"/>
        <v>#DIV/0!</v>
      </c>
      <c r="X22" s="115" t="e">
        <f t="shared" si="18"/>
        <v>#DIV/0!</v>
      </c>
      <c r="Y22" s="115" t="e">
        <f t="shared" si="18"/>
        <v>#DIV/0!</v>
      </c>
      <c r="Z22" s="116" t="e">
        <f t="shared" si="18"/>
        <v>#DIV/0!</v>
      </c>
      <c r="AA22" s="115" t="e">
        <f t="shared" si="19"/>
        <v>#REF!</v>
      </c>
      <c r="AB22" s="115"/>
      <c r="AC22" s="115"/>
    </row>
    <row r="23" spans="2:31" x14ac:dyDescent="0.2">
      <c r="O23" s="90"/>
      <c r="Q23" s="91"/>
    </row>
    <row r="24" spans="2:31" x14ac:dyDescent="0.2">
      <c r="O24" s="90"/>
      <c r="Q24" s="91"/>
    </row>
    <row r="25" spans="2:31" x14ac:dyDescent="0.2">
      <c r="C25" s="222" t="s">
        <v>186</v>
      </c>
      <c r="D25" s="222"/>
      <c r="E25" s="222"/>
      <c r="F25" s="222"/>
      <c r="G25" s="222"/>
      <c r="H25" s="222"/>
      <c r="I25" s="222"/>
      <c r="J25" s="222"/>
      <c r="K25" s="222"/>
      <c r="L25" s="222"/>
      <c r="O25" s="90"/>
      <c r="Q25" s="91"/>
      <c r="S25" s="224" t="s">
        <v>186</v>
      </c>
      <c r="T25" s="225"/>
      <c r="U25" s="225"/>
      <c r="V25" s="225"/>
      <c r="W25" s="225"/>
      <c r="X25" s="225"/>
      <c r="Y25" s="225"/>
      <c r="Z25" s="225"/>
      <c r="AA25" s="225"/>
      <c r="AB25" s="225"/>
      <c r="AC25" s="225"/>
      <c r="AE25" s="138" t="str">
        <f>AE4</f>
        <v>Q1-Q2-Q3</v>
      </c>
    </row>
    <row r="26" spans="2:31" x14ac:dyDescent="0.2">
      <c r="B26" s="7" t="s">
        <v>196</v>
      </c>
      <c r="C26" s="62">
        <f>C5</f>
        <v>2021</v>
      </c>
      <c r="D26" s="62">
        <f t="shared" ref="D26:L26" si="20">D5</f>
        <v>2022</v>
      </c>
      <c r="E26" s="62">
        <f t="shared" si="20"/>
        <v>2023</v>
      </c>
      <c r="F26" s="62">
        <f t="shared" si="20"/>
        <v>2024</v>
      </c>
      <c r="G26" s="62">
        <f t="shared" si="20"/>
        <v>2025</v>
      </c>
      <c r="H26" s="62">
        <f t="shared" si="20"/>
        <v>2026</v>
      </c>
      <c r="I26" s="62">
        <f t="shared" si="20"/>
        <v>2027</v>
      </c>
      <c r="J26" s="62">
        <f t="shared" si="20"/>
        <v>2028</v>
      </c>
      <c r="K26" s="62">
        <f t="shared" si="20"/>
        <v>2029</v>
      </c>
      <c r="L26" s="62">
        <f t="shared" si="20"/>
        <v>2030</v>
      </c>
      <c r="O26" s="90"/>
      <c r="Q26" s="91"/>
      <c r="R26" s="7" t="s">
        <v>196</v>
      </c>
      <c r="S26" s="62" t="str">
        <f>S5</f>
        <v>Q1 2024</v>
      </c>
      <c r="T26" s="62" t="str">
        <f t="shared" ref="T26:AC26" si="21">T5</f>
        <v>Q2 2024</v>
      </c>
      <c r="U26" s="62" t="str">
        <f t="shared" si="21"/>
        <v>Q3 2024</v>
      </c>
      <c r="V26" s="62" t="str">
        <f t="shared" si="21"/>
        <v>Q4 2024</v>
      </c>
      <c r="W26" s="62" t="str">
        <f t="shared" si="21"/>
        <v>Q1 2025</v>
      </c>
      <c r="X26" s="62" t="str">
        <f t="shared" si="21"/>
        <v>Q2 2025</v>
      </c>
      <c r="Y26" s="62" t="str">
        <f t="shared" si="21"/>
        <v>Q3 2025</v>
      </c>
      <c r="Z26" s="62" t="str">
        <f t="shared" si="21"/>
        <v>Q4 2025</v>
      </c>
      <c r="AA26" s="62" t="str">
        <f t="shared" si="21"/>
        <v>FQ1</v>
      </c>
      <c r="AB26" s="62" t="str">
        <f t="shared" si="21"/>
        <v>FQ2</v>
      </c>
      <c r="AC26" s="62" t="str">
        <f t="shared" si="21"/>
        <v>FQ3</v>
      </c>
      <c r="AE26" s="61" t="str">
        <f>AE5</f>
        <v>FQ1</v>
      </c>
    </row>
    <row r="27" spans="2:31" x14ac:dyDescent="0.2">
      <c r="B27" s="1" t="s">
        <v>180</v>
      </c>
      <c r="C27" s="81"/>
      <c r="D27" s="117" t="e">
        <f>D18</f>
        <v>#REF!</v>
      </c>
      <c r="E27" s="117" t="e">
        <f t="shared" ref="E27:G27" si="22">E18</f>
        <v>#REF!</v>
      </c>
      <c r="F27" s="117" t="e">
        <f t="shared" si="22"/>
        <v>#REF!</v>
      </c>
      <c r="G27" s="120" t="e">
        <f t="shared" si="22"/>
        <v>#REF!</v>
      </c>
      <c r="H27" s="118">
        <v>-0.05</v>
      </c>
      <c r="I27" s="118">
        <v>-0.02</v>
      </c>
      <c r="J27" s="118">
        <v>0.03</v>
      </c>
      <c r="K27" s="118">
        <v>0.06</v>
      </c>
      <c r="L27" s="118">
        <v>0.08</v>
      </c>
      <c r="O27" s="90"/>
      <c r="Q27" s="91"/>
      <c r="R27" s="1" t="s">
        <v>180</v>
      </c>
      <c r="S27" s="81"/>
      <c r="T27" s="117" t="e">
        <f>T18</f>
        <v>#REF!</v>
      </c>
      <c r="U27" s="117" t="e">
        <f t="shared" ref="U27:Z27" si="23">U18</f>
        <v>#REF!</v>
      </c>
      <c r="V27" s="117" t="e">
        <f t="shared" si="23"/>
        <v>#REF!</v>
      </c>
      <c r="W27" s="117" t="e">
        <f t="shared" si="23"/>
        <v>#REF!</v>
      </c>
      <c r="X27" s="117" t="e">
        <f t="shared" si="23"/>
        <v>#REF!</v>
      </c>
      <c r="Y27" s="117" t="e">
        <f t="shared" si="23"/>
        <v>#REF!</v>
      </c>
      <c r="Z27" s="128" t="e">
        <f t="shared" si="23"/>
        <v>#REF!</v>
      </c>
      <c r="AA27" s="118">
        <v>0.01</v>
      </c>
      <c r="AB27" s="118"/>
      <c r="AC27" s="118"/>
      <c r="AE27" s="81"/>
    </row>
    <row r="28" spans="2:31" x14ac:dyDescent="0.2">
      <c r="B28" s="1" t="s">
        <v>167</v>
      </c>
      <c r="C28" s="81"/>
      <c r="D28" s="117" t="e">
        <f>D20</f>
        <v>#REF!</v>
      </c>
      <c r="E28" s="117" t="e">
        <f>E20</f>
        <v>#REF!</v>
      </c>
      <c r="F28" s="117" t="e">
        <f t="shared" ref="F28:G28" si="24">F20</f>
        <v>#REF!</v>
      </c>
      <c r="G28" s="120" t="e">
        <f t="shared" si="24"/>
        <v>#REF!</v>
      </c>
      <c r="H28" s="118">
        <v>0.45</v>
      </c>
      <c r="I28" s="118">
        <v>0.35</v>
      </c>
      <c r="J28" s="118">
        <v>0.3</v>
      </c>
      <c r="K28" s="118">
        <v>0.25</v>
      </c>
      <c r="L28" s="118">
        <v>0.2</v>
      </c>
      <c r="O28" s="90"/>
      <c r="Q28" s="91"/>
      <c r="R28" s="1" t="s">
        <v>167</v>
      </c>
      <c r="S28" s="81"/>
      <c r="T28" s="117" t="e">
        <f>T19</f>
        <v>#REF!</v>
      </c>
      <c r="U28" s="117" t="e">
        <f t="shared" ref="U28:Z28" si="25">U19</f>
        <v>#REF!</v>
      </c>
      <c r="V28" s="117" t="e">
        <f t="shared" si="25"/>
        <v>#REF!</v>
      </c>
      <c r="W28" s="117" t="e">
        <f t="shared" si="25"/>
        <v>#REF!</v>
      </c>
      <c r="X28" s="117" t="e">
        <f t="shared" si="25"/>
        <v>#REF!</v>
      </c>
      <c r="Y28" s="117" t="e">
        <f t="shared" si="25"/>
        <v>#REF!</v>
      </c>
      <c r="Z28" s="128" t="e">
        <f t="shared" si="25"/>
        <v>#REF!</v>
      </c>
      <c r="AA28" s="118">
        <v>0.04</v>
      </c>
      <c r="AB28" s="118"/>
      <c r="AC28" s="118"/>
      <c r="AE28" s="81"/>
    </row>
    <row r="29" spans="2:31" x14ac:dyDescent="0.2">
      <c r="B29" s="1" t="s">
        <v>158</v>
      </c>
      <c r="C29" s="113" t="e">
        <f>'Statement Y'!#REF!</f>
        <v>#REF!</v>
      </c>
      <c r="D29" s="113" t="e">
        <f>'Statement Y'!#REF!</f>
        <v>#REF!</v>
      </c>
      <c r="E29" s="113" t="e">
        <f>'Statement Y'!#REF!</f>
        <v>#REF!</v>
      </c>
      <c r="F29" s="113" t="e">
        <f>'Statement Y'!#REF!</f>
        <v>#REF!</v>
      </c>
      <c r="G29" s="121" t="e">
        <f>'Statement Y'!#REF!</f>
        <v>#REF!</v>
      </c>
      <c r="H29" s="20" t="e">
        <f>G29*(1+H31)</f>
        <v>#REF!</v>
      </c>
      <c r="I29" s="20" t="e">
        <f t="shared" ref="I29:L29" si="26">H29*(1+I31)</f>
        <v>#REF!</v>
      </c>
      <c r="J29" s="20" t="e">
        <f t="shared" si="26"/>
        <v>#REF!</v>
      </c>
      <c r="K29" s="20" t="e">
        <f t="shared" si="26"/>
        <v>#REF!</v>
      </c>
      <c r="L29" s="20" t="e">
        <f t="shared" si="26"/>
        <v>#REF!</v>
      </c>
      <c r="N29" s="125" t="s">
        <v>187</v>
      </c>
      <c r="O29" s="90"/>
      <c r="Q29" s="125" t="s">
        <v>187</v>
      </c>
      <c r="R29" s="1" t="s">
        <v>158</v>
      </c>
      <c r="S29" s="113" t="e">
        <f>'Statement Q'!#REF!</f>
        <v>#REF!</v>
      </c>
      <c r="T29" s="113" t="e">
        <f>'Statement Q'!#REF!</f>
        <v>#REF!</v>
      </c>
      <c r="U29" s="113" t="e">
        <f>'Statement Q'!#REF!</f>
        <v>#REF!</v>
      </c>
      <c r="V29" s="113" t="e">
        <f>'Statement Q'!#REF!</f>
        <v>#REF!</v>
      </c>
      <c r="W29" s="113" t="e">
        <f>'Statement Q'!#REF!</f>
        <v>#REF!</v>
      </c>
      <c r="X29" s="113" t="e">
        <f>'Statement Q'!#REF!</f>
        <v>#REF!</v>
      </c>
      <c r="Y29" s="113" t="e">
        <f>'Statement Q'!#REF!</f>
        <v>#REF!</v>
      </c>
      <c r="Z29" s="129" t="e">
        <f>'Statement Q'!#REF!</f>
        <v>#REF!</v>
      </c>
      <c r="AA29" s="20" t="e">
        <f>Z29*(1+AA31)</f>
        <v>#REF!</v>
      </c>
      <c r="AB29" s="20"/>
      <c r="AC29" s="20"/>
      <c r="AE29" s="20" t="e">
        <f>AA29</f>
        <v>#REF!</v>
      </c>
    </row>
    <row r="30" spans="2:31" x14ac:dyDescent="0.2">
      <c r="B30" s="1" t="s">
        <v>159</v>
      </c>
      <c r="C30" s="113" t="e">
        <f>'Statement Y'!#REF!</f>
        <v>#REF!</v>
      </c>
      <c r="D30" s="113" t="e">
        <f>'Statement Y'!#REF!</f>
        <v>#REF!</v>
      </c>
      <c r="E30" s="113" t="e">
        <f>'Statement Y'!#REF!</f>
        <v>#REF!</v>
      </c>
      <c r="F30" s="113" t="e">
        <f>'Statement Y'!#REF!</f>
        <v>#REF!</v>
      </c>
      <c r="G30" s="121" t="e">
        <f>'Statement Y'!#REF!</f>
        <v>#REF!</v>
      </c>
      <c r="H30" s="20" t="e">
        <f>G30*(1+H32)</f>
        <v>#REF!</v>
      </c>
      <c r="I30" s="20" t="e">
        <f t="shared" ref="I30:L30" si="27">H30*(1+I32)</f>
        <v>#REF!</v>
      </c>
      <c r="J30" s="20" t="e">
        <f t="shared" si="27"/>
        <v>#REF!</v>
      </c>
      <c r="K30" s="20" t="e">
        <f t="shared" si="27"/>
        <v>#REF!</v>
      </c>
      <c r="L30" s="20" t="e">
        <f t="shared" si="27"/>
        <v>#REF!</v>
      </c>
      <c r="N30" s="125" t="s">
        <v>188</v>
      </c>
      <c r="O30" s="90"/>
      <c r="Q30" s="125" t="s">
        <v>188</v>
      </c>
      <c r="R30" s="1" t="s">
        <v>159</v>
      </c>
      <c r="S30" s="113" t="e">
        <f>'Statement Q'!#REF!</f>
        <v>#REF!</v>
      </c>
      <c r="T30" s="113" t="e">
        <f>'Statement Q'!#REF!</f>
        <v>#REF!</v>
      </c>
      <c r="U30" s="113" t="e">
        <f>'Statement Q'!#REF!</f>
        <v>#REF!</v>
      </c>
      <c r="V30" s="113" t="e">
        <f>'Statement Q'!#REF!</f>
        <v>#REF!</v>
      </c>
      <c r="W30" s="113" t="e">
        <f>'Statement Q'!#REF!</f>
        <v>#REF!</v>
      </c>
      <c r="X30" s="113" t="e">
        <f>'Statement Q'!#REF!</f>
        <v>#REF!</v>
      </c>
      <c r="Y30" s="113" t="e">
        <f>'Statement Q'!#REF!</f>
        <v>#REF!</v>
      </c>
      <c r="Z30" s="129" t="e">
        <f>'Statement Q'!#REF!</f>
        <v>#REF!</v>
      </c>
      <c r="AA30" s="20" t="e">
        <f>Z30*(1+AA32)</f>
        <v>#REF!</v>
      </c>
      <c r="AB30" s="20"/>
      <c r="AC30" s="20"/>
      <c r="AE30" s="20" t="e">
        <f>AA30</f>
        <v>#REF!</v>
      </c>
    </row>
    <row r="31" spans="2:31" x14ac:dyDescent="0.2">
      <c r="B31" s="1" t="s">
        <v>187</v>
      </c>
      <c r="C31" s="81"/>
      <c r="D31" s="115" t="e">
        <f>D29/C29-1</f>
        <v>#REF!</v>
      </c>
      <c r="E31" s="115" t="e">
        <f t="shared" ref="E31:G31" si="28">E29/D29-1</f>
        <v>#REF!</v>
      </c>
      <c r="F31" s="115" t="e">
        <f t="shared" si="28"/>
        <v>#REF!</v>
      </c>
      <c r="G31" s="116" t="e">
        <f t="shared" si="28"/>
        <v>#REF!</v>
      </c>
      <c r="H31" s="118">
        <v>0.35</v>
      </c>
      <c r="I31" s="118">
        <v>0.37</v>
      </c>
      <c r="J31" s="118">
        <v>0.39</v>
      </c>
      <c r="K31" s="118">
        <v>0.41</v>
      </c>
      <c r="L31" s="118">
        <v>0.39</v>
      </c>
      <c r="N31" s="125"/>
      <c r="O31" s="90"/>
      <c r="Q31" s="125"/>
      <c r="R31" s="1" t="s">
        <v>187</v>
      </c>
      <c r="S31" s="81"/>
      <c r="T31" s="115" t="e">
        <f>T29/S29-1</f>
        <v>#REF!</v>
      </c>
      <c r="U31" s="115" t="e">
        <f t="shared" ref="U31:Z31" si="29">U29/T29-1</f>
        <v>#REF!</v>
      </c>
      <c r="V31" s="115" t="e">
        <f t="shared" si="29"/>
        <v>#REF!</v>
      </c>
      <c r="W31" s="115" t="e">
        <f t="shared" si="29"/>
        <v>#REF!</v>
      </c>
      <c r="X31" s="115" t="e">
        <f t="shared" si="29"/>
        <v>#REF!</v>
      </c>
      <c r="Y31" s="115" t="e">
        <f t="shared" si="29"/>
        <v>#REF!</v>
      </c>
      <c r="Z31" s="130" t="e">
        <f t="shared" si="29"/>
        <v>#REF!</v>
      </c>
      <c r="AA31" s="118">
        <v>0.06</v>
      </c>
      <c r="AB31" s="118"/>
      <c r="AC31" s="118"/>
      <c r="AE31" s="81"/>
    </row>
    <row r="32" spans="2:31" x14ac:dyDescent="0.2">
      <c r="B32" s="1" t="s">
        <v>188</v>
      </c>
      <c r="C32" s="81"/>
      <c r="D32" s="115" t="e">
        <f>D30/C30-1</f>
        <v>#REF!</v>
      </c>
      <c r="E32" s="115" t="e">
        <f t="shared" ref="E32:G32" si="30">E30/D30-1</f>
        <v>#REF!</v>
      </c>
      <c r="F32" s="115" t="e">
        <f t="shared" si="30"/>
        <v>#REF!</v>
      </c>
      <c r="G32" s="116" t="e">
        <f t="shared" si="30"/>
        <v>#REF!</v>
      </c>
      <c r="H32" s="119">
        <v>0.19</v>
      </c>
      <c r="I32" s="119">
        <v>0.26</v>
      </c>
      <c r="J32" s="119">
        <v>0.24</v>
      </c>
      <c r="K32" s="119">
        <v>0.28000000000000003</v>
      </c>
      <c r="L32" s="119">
        <v>0.31</v>
      </c>
      <c r="N32" s="125"/>
      <c r="O32" s="90"/>
      <c r="Q32" s="125"/>
      <c r="R32" s="1" t="s">
        <v>188</v>
      </c>
      <c r="S32" s="81"/>
      <c r="T32" s="115" t="e">
        <f>T30/S30-1</f>
        <v>#REF!</v>
      </c>
      <c r="U32" s="115" t="e">
        <f t="shared" ref="U32:Z32" si="31">U30/T30-1</f>
        <v>#REF!</v>
      </c>
      <c r="V32" s="115" t="e">
        <f t="shared" si="31"/>
        <v>#REF!</v>
      </c>
      <c r="W32" s="115" t="e">
        <f t="shared" si="31"/>
        <v>#REF!</v>
      </c>
      <c r="X32" s="115" t="e">
        <f t="shared" si="31"/>
        <v>#REF!</v>
      </c>
      <c r="Y32" s="115" t="e">
        <f t="shared" si="31"/>
        <v>#REF!</v>
      </c>
      <c r="Z32" s="130" t="e">
        <f t="shared" si="31"/>
        <v>#REF!</v>
      </c>
      <c r="AA32" s="118">
        <v>0.03</v>
      </c>
      <c r="AB32" s="118"/>
      <c r="AC32" s="118"/>
      <c r="AE32" s="81"/>
    </row>
    <row r="33" spans="2:31" x14ac:dyDescent="0.2">
      <c r="B33" s="1" t="s">
        <v>189</v>
      </c>
      <c r="C33" s="134" t="e">
        <f>'Statement Y'!#REF!</f>
        <v>#REF!</v>
      </c>
      <c r="D33" s="134" t="e">
        <f>'Statement Y'!#REF!</f>
        <v>#REF!</v>
      </c>
      <c r="E33" s="134" t="e">
        <f>'Statement Y'!#REF!</f>
        <v>#REF!</v>
      </c>
      <c r="F33" s="134" t="e">
        <f>'Statement Y'!#REF!</f>
        <v>#REF!</v>
      </c>
      <c r="G33" s="136" t="e">
        <f>'Statement Y'!#REF!</f>
        <v>#REF!</v>
      </c>
      <c r="H33" s="137">
        <v>0.73</v>
      </c>
      <c r="I33" s="137">
        <v>0.75</v>
      </c>
      <c r="J33" s="137">
        <v>0.7</v>
      </c>
      <c r="K33" s="137">
        <v>0.75</v>
      </c>
      <c r="L33" s="137">
        <v>0.8</v>
      </c>
      <c r="N33" s="125"/>
      <c r="O33" s="90"/>
      <c r="Q33" s="125"/>
      <c r="R33" s="1" t="s">
        <v>189</v>
      </c>
      <c r="S33" s="134" t="e">
        <f>'Statement Q'!#REF!</f>
        <v>#REF!</v>
      </c>
      <c r="T33" s="134" t="e">
        <f>'Statement Q'!#REF!</f>
        <v>#REF!</v>
      </c>
      <c r="U33" s="134" t="e">
        <f>'Statement Q'!#REF!</f>
        <v>#REF!</v>
      </c>
      <c r="V33" s="134" t="e">
        <f>'Statement Q'!#REF!</f>
        <v>#REF!</v>
      </c>
      <c r="W33" s="134" t="e">
        <f>'Statement Q'!#REF!</f>
        <v>#REF!</v>
      </c>
      <c r="X33" s="134" t="e">
        <f>'Statement Q'!#REF!</f>
        <v>#REF!</v>
      </c>
      <c r="Y33" s="134" t="e">
        <f>'Statement Q'!#REF!</f>
        <v>#REF!</v>
      </c>
      <c r="Z33" s="135" t="e">
        <f>'Statement Q'!#REF!</f>
        <v>#REF!</v>
      </c>
      <c r="AA33" s="137">
        <v>0.18</v>
      </c>
      <c r="AB33" s="137"/>
      <c r="AC33" s="137"/>
      <c r="AE33" s="93" t="e">
        <f>AE7/AE37</f>
        <v>#REF!</v>
      </c>
    </row>
    <row r="34" spans="2:31" x14ac:dyDescent="0.2">
      <c r="B34" s="1" t="s">
        <v>164</v>
      </c>
      <c r="C34" s="95" t="e">
        <f>'Statement Y'!#REF!</f>
        <v>#REF!</v>
      </c>
      <c r="D34" s="95" t="e">
        <f>'Statement Y'!#REF!</f>
        <v>#REF!</v>
      </c>
      <c r="E34" s="95" t="e">
        <f>'Statement Y'!#REF!</f>
        <v>#REF!</v>
      </c>
      <c r="F34" s="95" t="e">
        <f>'Statement Y'!#REF!</f>
        <v>#REF!</v>
      </c>
      <c r="G34" s="122" t="e">
        <f>'Statement Y'!#REF!</f>
        <v>#REF!</v>
      </c>
      <c r="H34" s="89" t="e">
        <f>G34*(1+H35)</f>
        <v>#REF!</v>
      </c>
      <c r="I34" s="89" t="e">
        <f t="shared" ref="I34:L34" si="32">H34*(1+I35)</f>
        <v>#REF!</v>
      </c>
      <c r="J34" s="89" t="e">
        <f t="shared" si="32"/>
        <v>#REF!</v>
      </c>
      <c r="K34" s="89" t="e">
        <f t="shared" si="32"/>
        <v>#REF!</v>
      </c>
      <c r="L34" s="89" t="e">
        <f t="shared" si="32"/>
        <v>#REF!</v>
      </c>
      <c r="M34" s="89"/>
      <c r="N34" s="125" t="s">
        <v>191</v>
      </c>
      <c r="O34" s="90"/>
      <c r="Q34" s="125" t="s">
        <v>191</v>
      </c>
      <c r="R34" s="1" t="s">
        <v>164</v>
      </c>
      <c r="S34" s="95" t="e">
        <f>'Statement Q'!#REF!</f>
        <v>#REF!</v>
      </c>
      <c r="T34" s="95" t="e">
        <f>'Statement Q'!#REF!</f>
        <v>#REF!</v>
      </c>
      <c r="U34" s="95" t="e">
        <f>'Statement Q'!#REF!</f>
        <v>#REF!</v>
      </c>
      <c r="V34" s="95" t="e">
        <f>'Statement Q'!#REF!</f>
        <v>#REF!</v>
      </c>
      <c r="W34" s="95" t="e">
        <f>'Statement Q'!#REF!</f>
        <v>#REF!</v>
      </c>
      <c r="X34" s="95" t="e">
        <f>'Statement Q'!#REF!</f>
        <v>#REF!</v>
      </c>
      <c r="Y34" s="95" t="e">
        <f>'Statement Q'!#REF!</f>
        <v>#REF!</v>
      </c>
      <c r="Z34" s="131" t="e">
        <f>'Statement Q'!#REF!</f>
        <v>#REF!</v>
      </c>
      <c r="AA34" s="89" t="e">
        <f>Z34*(1+AA35)</f>
        <v>#REF!</v>
      </c>
      <c r="AB34" s="89"/>
      <c r="AC34" s="89"/>
      <c r="AE34" s="81"/>
    </row>
    <row r="35" spans="2:31" x14ac:dyDescent="0.2">
      <c r="B35" s="1" t="s">
        <v>191</v>
      </c>
      <c r="C35" s="81"/>
      <c r="D35" s="115" t="e">
        <f>D34/C34-1</f>
        <v>#REF!</v>
      </c>
      <c r="E35" s="115" t="e">
        <f t="shared" ref="E35:G35" si="33">E34/D34-1</f>
        <v>#REF!</v>
      </c>
      <c r="F35" s="115" t="e">
        <f t="shared" si="33"/>
        <v>#REF!</v>
      </c>
      <c r="G35" s="116" t="e">
        <f t="shared" si="33"/>
        <v>#REF!</v>
      </c>
      <c r="H35" s="118">
        <v>-0.06</v>
      </c>
      <c r="I35" s="118">
        <v>-0.06</v>
      </c>
      <c r="J35" s="118">
        <v>0.05</v>
      </c>
      <c r="K35" s="118">
        <v>0.08</v>
      </c>
      <c r="L35" s="118">
        <v>0.11</v>
      </c>
      <c r="N35" s="125"/>
      <c r="O35" s="90"/>
      <c r="Q35" s="125"/>
      <c r="R35" s="1" t="s">
        <v>191</v>
      </c>
      <c r="S35" s="81"/>
      <c r="T35" s="115" t="e">
        <f>T34/S34-1</f>
        <v>#REF!</v>
      </c>
      <c r="U35" s="115" t="e">
        <f t="shared" ref="U35:Z35" si="34">U34/T34-1</f>
        <v>#REF!</v>
      </c>
      <c r="V35" s="115" t="e">
        <f t="shared" si="34"/>
        <v>#REF!</v>
      </c>
      <c r="W35" s="115" t="e">
        <f t="shared" si="34"/>
        <v>#REF!</v>
      </c>
      <c r="X35" s="115" t="e">
        <f t="shared" si="34"/>
        <v>#REF!</v>
      </c>
      <c r="Y35" s="115" t="e">
        <f t="shared" si="34"/>
        <v>#REF!</v>
      </c>
      <c r="Z35" s="130" t="e">
        <f t="shared" si="34"/>
        <v>#REF!</v>
      </c>
      <c r="AA35" s="118">
        <v>-0.02</v>
      </c>
      <c r="AB35" s="118"/>
      <c r="AC35" s="118"/>
      <c r="AE35" s="81"/>
    </row>
    <row r="36" spans="2:31" x14ac:dyDescent="0.2">
      <c r="B36" s="1" t="s">
        <v>192</v>
      </c>
      <c r="C36" s="94" t="e">
        <f>'Statement Y'!#REF!</f>
        <v>#REF!</v>
      </c>
      <c r="D36" s="94" t="e">
        <f>'Statement Y'!#REF!</f>
        <v>#REF!</v>
      </c>
      <c r="E36" s="94" t="e">
        <f>'Statement Y'!#REF!</f>
        <v>#REF!</v>
      </c>
      <c r="F36" s="94" t="e">
        <f>'Statement Y'!#REF!</f>
        <v>#REF!</v>
      </c>
      <c r="G36" s="123" t="e">
        <f>'Statement Y'!#REF!</f>
        <v>#REF!</v>
      </c>
      <c r="H36" s="20" t="e">
        <f>H34*H30</f>
        <v>#REF!</v>
      </c>
      <c r="I36" s="20" t="e">
        <f t="shared" ref="I36:L36" si="35">I34*I30</f>
        <v>#REF!</v>
      </c>
      <c r="J36" s="20" t="e">
        <f t="shared" si="35"/>
        <v>#REF!</v>
      </c>
      <c r="K36" s="20" t="e">
        <f t="shared" si="35"/>
        <v>#REF!</v>
      </c>
      <c r="L36" s="20" t="e">
        <f t="shared" si="35"/>
        <v>#REF!</v>
      </c>
      <c r="N36" s="125" t="s">
        <v>193</v>
      </c>
      <c r="O36" s="90"/>
      <c r="Q36" s="125" t="s">
        <v>193</v>
      </c>
      <c r="R36" s="1" t="s">
        <v>192</v>
      </c>
      <c r="S36" s="94" t="e">
        <f>'Statement Q'!#REF!</f>
        <v>#REF!</v>
      </c>
      <c r="T36" s="94" t="e">
        <f>'Statement Q'!#REF!</f>
        <v>#REF!</v>
      </c>
      <c r="U36" s="94" t="e">
        <f>'Statement Q'!#REF!</f>
        <v>#REF!</v>
      </c>
      <c r="V36" s="94" t="e">
        <f>'Statement Q'!#REF!</f>
        <v>#REF!</v>
      </c>
      <c r="W36" s="94" t="e">
        <f>'Statement Q'!#REF!</f>
        <v>#REF!</v>
      </c>
      <c r="X36" s="94" t="e">
        <f>'Statement Q'!#REF!</f>
        <v>#REF!</v>
      </c>
      <c r="Y36" s="94" t="e">
        <f>'Statement Q'!#REF!</f>
        <v>#REF!</v>
      </c>
      <c r="Z36" s="132" t="e">
        <f>'Statement Q'!#REF!</f>
        <v>#REF!</v>
      </c>
      <c r="AA36" s="20" t="e">
        <f>AA34*AA30</f>
        <v>#REF!</v>
      </c>
      <c r="AB36" s="20"/>
      <c r="AC36" s="20"/>
      <c r="AE36" s="20" t="e">
        <f>AA36</f>
        <v>#REF!</v>
      </c>
    </row>
    <row r="37" spans="2:31" x14ac:dyDescent="0.2">
      <c r="B37" s="1" t="s">
        <v>166</v>
      </c>
      <c r="C37" s="94" t="e">
        <f>'Statement Y'!#REF!</f>
        <v>#REF!</v>
      </c>
      <c r="D37" s="94" t="e">
        <f>'Statement Y'!#REF!</f>
        <v>#REF!</v>
      </c>
      <c r="E37" s="94" t="e">
        <f>'Statement Y'!#REF!</f>
        <v>#REF!</v>
      </c>
      <c r="F37" s="94" t="e">
        <f>'Statement Y'!#REF!</f>
        <v>#REF!</v>
      </c>
      <c r="G37" s="123" t="e">
        <f>'Statement Y'!#REF!</f>
        <v>#REF!</v>
      </c>
      <c r="H37" s="20" t="e">
        <f>H30-H36</f>
        <v>#REF!</v>
      </c>
      <c r="I37" s="20" t="e">
        <f t="shared" ref="I37:L37" si="36">I30-I36</f>
        <v>#REF!</v>
      </c>
      <c r="J37" s="20" t="e">
        <f t="shared" si="36"/>
        <v>#REF!</v>
      </c>
      <c r="K37" s="20" t="e">
        <f t="shared" si="36"/>
        <v>#REF!</v>
      </c>
      <c r="L37" s="20" t="e">
        <f t="shared" si="36"/>
        <v>#REF!</v>
      </c>
      <c r="N37" s="125" t="s">
        <v>194</v>
      </c>
      <c r="O37" s="90"/>
      <c r="Q37" s="125" t="s">
        <v>194</v>
      </c>
      <c r="R37" s="1" t="s">
        <v>166</v>
      </c>
      <c r="S37" s="94" t="e">
        <f>'Statement Q'!#REF!</f>
        <v>#REF!</v>
      </c>
      <c r="T37" s="94" t="e">
        <f>'Statement Q'!#REF!</f>
        <v>#REF!</v>
      </c>
      <c r="U37" s="94" t="e">
        <f>'Statement Q'!#REF!</f>
        <v>#REF!</v>
      </c>
      <c r="V37" s="94" t="e">
        <f>'Statement Q'!#REF!</f>
        <v>#REF!</v>
      </c>
      <c r="W37" s="94" t="e">
        <f>'Statement Q'!#REF!</f>
        <v>#REF!</v>
      </c>
      <c r="X37" s="94" t="e">
        <f>'Statement Q'!#REF!</f>
        <v>#REF!</v>
      </c>
      <c r="Y37" s="94" t="e">
        <f>'Statement Q'!#REF!</f>
        <v>#REF!</v>
      </c>
      <c r="Z37" s="132" t="e">
        <f>'Statement Q'!#REF!</f>
        <v>#REF!</v>
      </c>
      <c r="AA37" s="20" t="e">
        <f>AA30-AA36</f>
        <v>#REF!</v>
      </c>
      <c r="AB37" s="20"/>
      <c r="AC37" s="20"/>
      <c r="AE37" s="20" t="e">
        <f>AA37</f>
        <v>#REF!</v>
      </c>
    </row>
    <row r="38" spans="2:31" x14ac:dyDescent="0.2">
      <c r="B38" s="1" t="s">
        <v>195</v>
      </c>
      <c r="C38" s="95" t="e">
        <f>'Statement Y'!#REF!</f>
        <v>#REF!</v>
      </c>
      <c r="D38" s="95" t="e">
        <f>'Statement Y'!#REF!</f>
        <v>#REF!</v>
      </c>
      <c r="E38" s="95" t="e">
        <f>'Statement Y'!#REF!</f>
        <v>#REF!</v>
      </c>
      <c r="F38" s="95" t="e">
        <f>'Statement Y'!#REF!</f>
        <v>#REF!</v>
      </c>
      <c r="G38" s="122" t="e">
        <f>'Statement Y'!#REF!</f>
        <v>#REF!</v>
      </c>
      <c r="H38" s="99">
        <v>0.7</v>
      </c>
      <c r="I38" s="99">
        <v>0.65</v>
      </c>
      <c r="J38" s="99">
        <v>0.6</v>
      </c>
      <c r="K38" s="99">
        <v>0.65</v>
      </c>
      <c r="L38" s="99">
        <v>0.65</v>
      </c>
      <c r="N38" s="125"/>
      <c r="O38" s="90"/>
      <c r="R38" s="1" t="s">
        <v>195</v>
      </c>
      <c r="S38" s="95" t="e">
        <f>'Statement Q'!#REF!</f>
        <v>#REF!</v>
      </c>
      <c r="T38" s="95" t="e">
        <f>'Statement Q'!#REF!</f>
        <v>#REF!</v>
      </c>
      <c r="U38" s="95" t="e">
        <f>'Statement Q'!#REF!</f>
        <v>#REF!</v>
      </c>
      <c r="V38" s="95" t="e">
        <f>'Statement Q'!#REF!</f>
        <v>#REF!</v>
      </c>
      <c r="W38" s="95" t="e">
        <f>'Statement Q'!#REF!</f>
        <v>#REF!</v>
      </c>
      <c r="X38" s="95" t="e">
        <f>'Statement Q'!#REF!</f>
        <v>#REF!</v>
      </c>
      <c r="Y38" s="95" t="e">
        <f>'Statement Q'!#REF!</f>
        <v>#REF!</v>
      </c>
      <c r="Z38" s="131" t="e">
        <f>'Statement Q'!#REF!</f>
        <v>#REF!</v>
      </c>
      <c r="AA38" s="99">
        <v>0.16</v>
      </c>
      <c r="AB38" s="99"/>
      <c r="AC38" s="99"/>
      <c r="AE38" s="81"/>
    </row>
    <row r="39" spans="2:31" x14ac:dyDescent="0.2">
      <c r="B39" s="1" t="s">
        <v>182</v>
      </c>
      <c r="C39" s="114" t="e">
        <f>'Statement Y'!#REF!</f>
        <v>#REF!</v>
      </c>
      <c r="D39" s="114" t="e">
        <f>'Statement Y'!#REF!</f>
        <v>#REF!</v>
      </c>
      <c r="E39" s="114" t="e">
        <f>'Statement Y'!#REF!</f>
        <v>#REF!</v>
      </c>
      <c r="F39" s="114" t="e">
        <f>'Statement Y'!#REF!</f>
        <v>#REF!</v>
      </c>
      <c r="G39" s="124" t="e">
        <f>'Statement Y'!#REF!</f>
        <v>#REF!</v>
      </c>
      <c r="H39" s="100">
        <v>73.5</v>
      </c>
      <c r="I39" s="100">
        <v>75</v>
      </c>
      <c r="J39" s="100">
        <v>73</v>
      </c>
      <c r="K39" s="100">
        <v>76</v>
      </c>
      <c r="L39" s="100">
        <v>78</v>
      </c>
      <c r="N39" s="125"/>
      <c r="O39" s="90"/>
      <c r="R39" s="1" t="s">
        <v>182</v>
      </c>
      <c r="S39" s="114" t="e">
        <f>'Statement Q'!#REF!</f>
        <v>#REF!</v>
      </c>
      <c r="T39" s="114" t="e">
        <f>'Statement Q'!#REF!</f>
        <v>#REF!</v>
      </c>
      <c r="U39" s="114" t="e">
        <f>'Statement Q'!#REF!</f>
        <v>#REF!</v>
      </c>
      <c r="V39" s="114" t="e">
        <f>'Statement Q'!#REF!</f>
        <v>#REF!</v>
      </c>
      <c r="W39" s="114" t="e">
        <f>'Statement Q'!#REF!</f>
        <v>#REF!</v>
      </c>
      <c r="X39" s="114" t="e">
        <f>'Statement Q'!#REF!</f>
        <v>#REF!</v>
      </c>
      <c r="Y39" s="114" t="e">
        <f>'Statement Q'!#REF!</f>
        <v>#REF!</v>
      </c>
      <c r="Z39" s="133" t="e">
        <f>'Statement Q'!#REF!</f>
        <v>#REF!</v>
      </c>
      <c r="AA39" s="100">
        <v>20</v>
      </c>
      <c r="AB39" s="100"/>
      <c r="AC39" s="100"/>
      <c r="AE39" s="81"/>
    </row>
    <row r="40" spans="2:31" x14ac:dyDescent="0.2">
      <c r="B40" s="1" t="s">
        <v>163</v>
      </c>
      <c r="C40" s="95" t="e">
        <f>'Statement Y'!#REF!</f>
        <v>#REF!</v>
      </c>
      <c r="D40" s="95" t="e">
        <f>'Statement Y'!#REF!</f>
        <v>#REF!</v>
      </c>
      <c r="E40" s="95" t="e">
        <f>'Statement Y'!#REF!</f>
        <v>#REF!</v>
      </c>
      <c r="F40" s="95" t="e">
        <f>'Statement Y'!#REF!</f>
        <v>#REF!</v>
      </c>
      <c r="G40" s="122" t="e">
        <f>'Statement Y'!#REF!</f>
        <v>#REF!</v>
      </c>
      <c r="H40" s="89">
        <v>0.44</v>
      </c>
      <c r="I40" s="89" t="e">
        <f t="shared" ref="I40:L40" si="37">I29/I30</f>
        <v>#REF!</v>
      </c>
      <c r="J40" s="89" t="e">
        <f t="shared" si="37"/>
        <v>#REF!</v>
      </c>
      <c r="K40" s="89" t="e">
        <f t="shared" si="37"/>
        <v>#REF!</v>
      </c>
      <c r="L40" s="89" t="e">
        <f t="shared" si="37"/>
        <v>#REF!</v>
      </c>
      <c r="N40" s="125"/>
      <c r="O40" s="90"/>
      <c r="R40" s="1" t="s">
        <v>163</v>
      </c>
      <c r="S40" s="95" t="e">
        <f>'Statement Q'!#REF!</f>
        <v>#REF!</v>
      </c>
      <c r="T40" s="95" t="e">
        <f>'Statement Q'!#REF!</f>
        <v>#REF!</v>
      </c>
      <c r="U40" s="95" t="e">
        <f>'Statement Q'!#REF!</f>
        <v>#REF!</v>
      </c>
      <c r="V40" s="95" t="e">
        <f>'Statement Q'!#REF!</f>
        <v>#REF!</v>
      </c>
      <c r="W40" s="95" t="e">
        <f>'Statement Q'!#REF!</f>
        <v>#REF!</v>
      </c>
      <c r="X40" s="95" t="e">
        <f>'Statement Q'!#REF!</f>
        <v>#REF!</v>
      </c>
      <c r="Y40" s="95" t="e">
        <f>'Statement Q'!#REF!</f>
        <v>#REF!</v>
      </c>
      <c r="Z40" s="131" t="e">
        <f>'Statement Q'!#REF!</f>
        <v>#REF!</v>
      </c>
      <c r="AA40" s="89" t="e">
        <f>AA29/AA30</f>
        <v>#REF!</v>
      </c>
      <c r="AB40" s="89"/>
      <c r="AC40" s="89"/>
      <c r="AE40" s="81"/>
    </row>
    <row r="41" spans="2:31" x14ac:dyDescent="0.2">
      <c r="O41" s="90"/>
    </row>
    <row r="42" spans="2:31" x14ac:dyDescent="0.2">
      <c r="O42" s="90"/>
    </row>
    <row r="43" spans="2:31" x14ac:dyDescent="0.2">
      <c r="C43" s="222" t="s">
        <v>197</v>
      </c>
      <c r="D43" s="222"/>
      <c r="E43" s="222"/>
      <c r="F43" s="222"/>
      <c r="G43" s="222"/>
      <c r="H43" s="222"/>
      <c r="I43" s="222"/>
      <c r="J43" s="222"/>
      <c r="K43" s="222"/>
      <c r="L43" s="222"/>
      <c r="O43" s="90"/>
      <c r="S43" s="224" t="s">
        <v>197</v>
      </c>
      <c r="T43" s="225"/>
      <c r="U43" s="225"/>
      <c r="V43" s="225"/>
      <c r="W43" s="225"/>
      <c r="X43" s="225"/>
      <c r="Y43" s="225"/>
      <c r="Z43" s="225"/>
      <c r="AA43" s="225"/>
      <c r="AB43" s="225"/>
      <c r="AC43" s="225"/>
    </row>
    <row r="44" spans="2:31" x14ac:dyDescent="0.2">
      <c r="B44" s="7" t="s">
        <v>198</v>
      </c>
      <c r="C44" s="62">
        <f>C5</f>
        <v>2021</v>
      </c>
      <c r="D44" s="62">
        <f t="shared" ref="D44:L44" si="38">D5</f>
        <v>2022</v>
      </c>
      <c r="E44" s="62">
        <f t="shared" si="38"/>
        <v>2023</v>
      </c>
      <c r="F44" s="62">
        <f t="shared" si="38"/>
        <v>2024</v>
      </c>
      <c r="G44" s="62">
        <f t="shared" si="38"/>
        <v>2025</v>
      </c>
      <c r="H44" s="62">
        <f t="shared" si="38"/>
        <v>2026</v>
      </c>
      <c r="I44" s="62">
        <f t="shared" si="38"/>
        <v>2027</v>
      </c>
      <c r="J44" s="62">
        <f t="shared" si="38"/>
        <v>2028</v>
      </c>
      <c r="K44" s="62">
        <f t="shared" si="38"/>
        <v>2029</v>
      </c>
      <c r="L44" s="62">
        <f t="shared" si="38"/>
        <v>2030</v>
      </c>
      <c r="O44" s="90"/>
      <c r="R44" s="7" t="s">
        <v>198</v>
      </c>
      <c r="S44" s="62" t="str">
        <f>S5</f>
        <v>Q1 2024</v>
      </c>
      <c r="T44" s="62" t="str">
        <f t="shared" ref="T44:AC44" si="39">T5</f>
        <v>Q2 2024</v>
      </c>
      <c r="U44" s="62" t="str">
        <f t="shared" si="39"/>
        <v>Q3 2024</v>
      </c>
      <c r="V44" s="62" t="str">
        <f t="shared" si="39"/>
        <v>Q4 2024</v>
      </c>
      <c r="W44" s="62" t="str">
        <f t="shared" si="39"/>
        <v>Q1 2025</v>
      </c>
      <c r="X44" s="62" t="str">
        <f t="shared" si="39"/>
        <v>Q2 2025</v>
      </c>
      <c r="Y44" s="62" t="str">
        <f t="shared" si="39"/>
        <v>Q3 2025</v>
      </c>
      <c r="Z44" s="62" t="str">
        <f t="shared" si="39"/>
        <v>Q4 2025</v>
      </c>
      <c r="AA44" s="62" t="str">
        <f t="shared" si="39"/>
        <v>FQ1</v>
      </c>
      <c r="AB44" s="62" t="str">
        <f t="shared" si="39"/>
        <v>FQ2</v>
      </c>
      <c r="AC44" s="62" t="str">
        <f t="shared" si="39"/>
        <v>FQ3</v>
      </c>
    </row>
    <row r="45" spans="2:31" x14ac:dyDescent="0.2">
      <c r="B45" s="1" t="s">
        <v>189</v>
      </c>
      <c r="C45" s="81"/>
      <c r="D45" s="115" t="e">
        <f>D33/C33-1</f>
        <v>#REF!</v>
      </c>
      <c r="E45" s="115" t="e">
        <f t="shared" ref="E45:L45" si="40">E33/D33-1</f>
        <v>#REF!</v>
      </c>
      <c r="F45" s="115" t="e">
        <f t="shared" si="40"/>
        <v>#REF!</v>
      </c>
      <c r="G45" s="116" t="e">
        <f t="shared" si="40"/>
        <v>#REF!</v>
      </c>
      <c r="H45" s="115" t="e">
        <f t="shared" si="40"/>
        <v>#REF!</v>
      </c>
      <c r="I45" s="115">
        <f t="shared" si="40"/>
        <v>2.7397260273972712E-2</v>
      </c>
      <c r="J45" s="115">
        <f t="shared" si="40"/>
        <v>-6.6666666666666763E-2</v>
      </c>
      <c r="K45" s="115">
        <f t="shared" si="40"/>
        <v>7.1428571428571397E-2</v>
      </c>
      <c r="L45" s="115">
        <f t="shared" si="40"/>
        <v>6.6666666666666652E-2</v>
      </c>
      <c r="O45" s="90"/>
      <c r="R45" s="1" t="s">
        <v>189</v>
      </c>
      <c r="S45" s="81"/>
      <c r="T45" s="115" t="e">
        <f>T33/S33-1</f>
        <v>#REF!</v>
      </c>
      <c r="U45" s="115" t="e">
        <f t="shared" ref="U45:AA45" si="41">U33/T33-1</f>
        <v>#REF!</v>
      </c>
      <c r="V45" s="115" t="e">
        <f t="shared" si="41"/>
        <v>#REF!</v>
      </c>
      <c r="W45" s="115" t="e">
        <f t="shared" si="41"/>
        <v>#REF!</v>
      </c>
      <c r="X45" s="115" t="e">
        <f t="shared" si="41"/>
        <v>#REF!</v>
      </c>
      <c r="Y45" s="115" t="e">
        <f t="shared" si="41"/>
        <v>#REF!</v>
      </c>
      <c r="Z45" s="116" t="e">
        <f t="shared" si="41"/>
        <v>#REF!</v>
      </c>
      <c r="AA45" s="115" t="e">
        <f t="shared" si="41"/>
        <v>#REF!</v>
      </c>
    </row>
    <row r="46" spans="2:31" x14ac:dyDescent="0.2">
      <c r="B46" s="1" t="s">
        <v>192</v>
      </c>
      <c r="C46" s="81"/>
      <c r="D46" s="115" t="e">
        <f>D36/C36-1</f>
        <v>#REF!</v>
      </c>
      <c r="E46" s="115" t="e">
        <f t="shared" ref="E46:L46" si="42">E36/D36-1</f>
        <v>#REF!</v>
      </c>
      <c r="F46" s="115" t="e">
        <f t="shared" si="42"/>
        <v>#REF!</v>
      </c>
      <c r="G46" s="116" t="e">
        <f t="shared" si="42"/>
        <v>#REF!</v>
      </c>
      <c r="H46" s="115" t="e">
        <f t="shared" si="42"/>
        <v>#REF!</v>
      </c>
      <c r="I46" s="115" t="e">
        <f t="shared" si="42"/>
        <v>#REF!</v>
      </c>
      <c r="J46" s="115" t="e">
        <f t="shared" si="42"/>
        <v>#REF!</v>
      </c>
      <c r="K46" s="115" t="e">
        <f t="shared" si="42"/>
        <v>#REF!</v>
      </c>
      <c r="L46" s="115" t="e">
        <f t="shared" si="42"/>
        <v>#REF!</v>
      </c>
      <c r="O46" s="90"/>
      <c r="R46" s="1" t="s">
        <v>192</v>
      </c>
      <c r="S46" s="81"/>
      <c r="T46" s="115" t="e">
        <f>T36/S36-1</f>
        <v>#REF!</v>
      </c>
      <c r="U46" s="115" t="e">
        <f t="shared" ref="U46:AA50" si="43">U36/T36-1</f>
        <v>#REF!</v>
      </c>
      <c r="V46" s="115" t="e">
        <f t="shared" si="43"/>
        <v>#REF!</v>
      </c>
      <c r="W46" s="115" t="e">
        <f t="shared" si="43"/>
        <v>#REF!</v>
      </c>
      <c r="X46" s="115" t="e">
        <f t="shared" si="43"/>
        <v>#REF!</v>
      </c>
      <c r="Y46" s="115" t="e">
        <f t="shared" si="43"/>
        <v>#REF!</v>
      </c>
      <c r="Z46" s="116" t="e">
        <f t="shared" si="43"/>
        <v>#REF!</v>
      </c>
      <c r="AA46" s="115" t="e">
        <f t="shared" si="43"/>
        <v>#REF!</v>
      </c>
    </row>
    <row r="47" spans="2:31" x14ac:dyDescent="0.2">
      <c r="B47" s="1" t="s">
        <v>166</v>
      </c>
      <c r="C47" s="81"/>
      <c r="D47" s="115" t="e">
        <f>D37/C37-1</f>
        <v>#REF!</v>
      </c>
      <c r="E47" s="115" t="e">
        <f t="shared" ref="E47:L47" si="44">E37/D37-1</f>
        <v>#REF!</v>
      </c>
      <c r="F47" s="115" t="e">
        <f t="shared" si="44"/>
        <v>#REF!</v>
      </c>
      <c r="G47" s="116" t="e">
        <f t="shared" si="44"/>
        <v>#REF!</v>
      </c>
      <c r="H47" s="115" t="e">
        <f t="shared" si="44"/>
        <v>#REF!</v>
      </c>
      <c r="I47" s="115" t="e">
        <f t="shared" si="44"/>
        <v>#REF!</v>
      </c>
      <c r="J47" s="115" t="e">
        <f t="shared" si="44"/>
        <v>#REF!</v>
      </c>
      <c r="K47" s="115" t="e">
        <f t="shared" si="44"/>
        <v>#REF!</v>
      </c>
      <c r="L47" s="115" t="e">
        <f t="shared" si="44"/>
        <v>#REF!</v>
      </c>
      <c r="O47" s="90"/>
      <c r="R47" s="1" t="s">
        <v>166</v>
      </c>
      <c r="S47" s="81"/>
      <c r="T47" s="115" t="e">
        <f>T37/S37-1</f>
        <v>#REF!</v>
      </c>
      <c r="U47" s="115" t="e">
        <f t="shared" ref="U47:Z47" si="45">U37/T37-1</f>
        <v>#REF!</v>
      </c>
      <c r="V47" s="115" t="e">
        <f t="shared" si="45"/>
        <v>#REF!</v>
      </c>
      <c r="W47" s="115" t="e">
        <f t="shared" si="45"/>
        <v>#REF!</v>
      </c>
      <c r="X47" s="115" t="e">
        <f t="shared" si="45"/>
        <v>#REF!</v>
      </c>
      <c r="Y47" s="115" t="e">
        <f t="shared" si="45"/>
        <v>#REF!</v>
      </c>
      <c r="Z47" s="116" t="e">
        <f t="shared" si="45"/>
        <v>#REF!</v>
      </c>
      <c r="AA47" s="115" t="e">
        <f t="shared" si="43"/>
        <v>#REF!</v>
      </c>
    </row>
    <row r="48" spans="2:31" x14ac:dyDescent="0.2">
      <c r="B48" s="1" t="s">
        <v>195</v>
      </c>
      <c r="C48" s="81"/>
      <c r="D48" s="115" t="e">
        <f>D38/C38-1</f>
        <v>#REF!</v>
      </c>
      <c r="E48" s="115" t="e">
        <f t="shared" ref="E48:L48" si="46">E38/D38-1</f>
        <v>#REF!</v>
      </c>
      <c r="F48" s="115" t="e">
        <f t="shared" si="46"/>
        <v>#REF!</v>
      </c>
      <c r="G48" s="116" t="e">
        <f t="shared" si="46"/>
        <v>#REF!</v>
      </c>
      <c r="H48" s="115" t="e">
        <f t="shared" si="46"/>
        <v>#REF!</v>
      </c>
      <c r="I48" s="115">
        <f t="shared" si="46"/>
        <v>-7.1428571428571286E-2</v>
      </c>
      <c r="J48" s="115">
        <f t="shared" si="46"/>
        <v>-7.6923076923076983E-2</v>
      </c>
      <c r="K48" s="115">
        <f t="shared" si="46"/>
        <v>8.3333333333333481E-2</v>
      </c>
      <c r="L48" s="115">
        <f t="shared" si="46"/>
        <v>0</v>
      </c>
      <c r="O48" s="90"/>
      <c r="R48" s="1" t="s">
        <v>195</v>
      </c>
      <c r="S48" s="81"/>
      <c r="T48" s="115" t="e">
        <f>T38/S38-1</f>
        <v>#REF!</v>
      </c>
      <c r="U48" s="115" t="e">
        <f t="shared" ref="U48:Z48" si="47">U38/T38-1</f>
        <v>#REF!</v>
      </c>
      <c r="V48" s="115" t="e">
        <f t="shared" si="47"/>
        <v>#REF!</v>
      </c>
      <c r="W48" s="115" t="e">
        <f t="shared" si="47"/>
        <v>#REF!</v>
      </c>
      <c r="X48" s="115" t="e">
        <f t="shared" si="47"/>
        <v>#REF!</v>
      </c>
      <c r="Y48" s="115" t="e">
        <f t="shared" si="47"/>
        <v>#REF!</v>
      </c>
      <c r="Z48" s="116" t="e">
        <f t="shared" si="47"/>
        <v>#REF!</v>
      </c>
      <c r="AA48" s="115" t="e">
        <f t="shared" si="43"/>
        <v>#REF!</v>
      </c>
    </row>
    <row r="49" spans="2:27" x14ac:dyDescent="0.2">
      <c r="B49" s="1" t="s">
        <v>182</v>
      </c>
      <c r="C49" s="81"/>
      <c r="D49" s="115" t="e">
        <f>D39/C39-1</f>
        <v>#REF!</v>
      </c>
      <c r="E49" s="115" t="e">
        <f t="shared" ref="E49:L49" si="48">E39/D39-1</f>
        <v>#REF!</v>
      </c>
      <c r="F49" s="115" t="e">
        <f t="shared" si="48"/>
        <v>#REF!</v>
      </c>
      <c r="G49" s="116" t="e">
        <f t="shared" si="48"/>
        <v>#REF!</v>
      </c>
      <c r="H49" s="115" t="e">
        <f t="shared" si="48"/>
        <v>#REF!</v>
      </c>
      <c r="I49" s="115">
        <f t="shared" si="48"/>
        <v>2.0408163265306145E-2</v>
      </c>
      <c r="J49" s="115">
        <f t="shared" si="48"/>
        <v>-2.6666666666666616E-2</v>
      </c>
      <c r="K49" s="115">
        <f t="shared" si="48"/>
        <v>4.1095890410958846E-2</v>
      </c>
      <c r="L49" s="115">
        <f t="shared" si="48"/>
        <v>2.6315789473684292E-2</v>
      </c>
      <c r="O49" s="90"/>
      <c r="R49" s="1" t="s">
        <v>182</v>
      </c>
      <c r="S49" s="81"/>
      <c r="T49" s="115" t="e">
        <f>T39/S39-1</f>
        <v>#REF!</v>
      </c>
      <c r="U49" s="115" t="e">
        <f t="shared" ref="U49:Z49" si="49">U39/T39-1</f>
        <v>#REF!</v>
      </c>
      <c r="V49" s="115" t="e">
        <f t="shared" si="49"/>
        <v>#REF!</v>
      </c>
      <c r="W49" s="115" t="e">
        <f t="shared" si="49"/>
        <v>#REF!</v>
      </c>
      <c r="X49" s="115" t="e">
        <f t="shared" si="49"/>
        <v>#REF!</v>
      </c>
      <c r="Y49" s="115" t="e">
        <f t="shared" si="49"/>
        <v>#REF!</v>
      </c>
      <c r="Z49" s="116" t="e">
        <f t="shared" si="49"/>
        <v>#REF!</v>
      </c>
      <c r="AA49" s="115" t="e">
        <f t="shared" si="43"/>
        <v>#REF!</v>
      </c>
    </row>
    <row r="50" spans="2:27" x14ac:dyDescent="0.2">
      <c r="B50" s="1" t="s">
        <v>163</v>
      </c>
      <c r="C50" s="81"/>
      <c r="D50" s="115" t="e">
        <f>D40/C40-1</f>
        <v>#REF!</v>
      </c>
      <c r="E50" s="115" t="e">
        <f t="shared" ref="E50:L50" si="50">E40/D40-1</f>
        <v>#REF!</v>
      </c>
      <c r="F50" s="115" t="e">
        <f t="shared" si="50"/>
        <v>#REF!</v>
      </c>
      <c r="G50" s="116" t="e">
        <f t="shared" si="50"/>
        <v>#REF!</v>
      </c>
      <c r="H50" s="115" t="e">
        <f t="shared" si="50"/>
        <v>#REF!</v>
      </c>
      <c r="I50" s="115" t="e">
        <f t="shared" si="50"/>
        <v>#REF!</v>
      </c>
      <c r="J50" s="115" t="e">
        <f t="shared" si="50"/>
        <v>#REF!</v>
      </c>
      <c r="K50" s="115" t="e">
        <f t="shared" si="50"/>
        <v>#REF!</v>
      </c>
      <c r="L50" s="115" t="e">
        <f t="shared" si="50"/>
        <v>#REF!</v>
      </c>
      <c r="O50" s="90"/>
      <c r="R50" s="1" t="s">
        <v>163</v>
      </c>
      <c r="S50" s="81"/>
      <c r="T50" s="115" t="e">
        <f>T40/S40-1</f>
        <v>#REF!</v>
      </c>
      <c r="U50" s="115" t="e">
        <f t="shared" ref="U50:Z50" si="51">U40/T40-1</f>
        <v>#REF!</v>
      </c>
      <c r="V50" s="115" t="e">
        <f t="shared" si="51"/>
        <v>#REF!</v>
      </c>
      <c r="W50" s="115" t="e">
        <f t="shared" si="51"/>
        <v>#REF!</v>
      </c>
      <c r="X50" s="115" t="e">
        <f t="shared" si="51"/>
        <v>#REF!</v>
      </c>
      <c r="Y50" s="115" t="e">
        <f t="shared" si="51"/>
        <v>#REF!</v>
      </c>
      <c r="Z50" s="116" t="e">
        <f t="shared" si="51"/>
        <v>#REF!</v>
      </c>
      <c r="AA50" s="115" t="e">
        <f t="shared" si="43"/>
        <v>#REF!</v>
      </c>
    </row>
  </sheetData>
  <mergeCells count="12">
    <mergeCell ref="C43:L43"/>
    <mergeCell ref="S2:Z2"/>
    <mergeCell ref="S14:AC14"/>
    <mergeCell ref="AA2:AC2"/>
    <mergeCell ref="S4:AC4"/>
    <mergeCell ref="S25:AC25"/>
    <mergeCell ref="S43:AC43"/>
    <mergeCell ref="C25:L25"/>
    <mergeCell ref="C2:G2"/>
    <mergeCell ref="H2:L2"/>
    <mergeCell ref="C4:L4"/>
    <mergeCell ref="C14:L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6D12B-0446-834D-93A9-9FC62B17B602}">
  <dimension ref="A1:AB23"/>
  <sheetViews>
    <sheetView zoomScale="178" zoomScaleNormal="100" workbookViewId="0">
      <selection activeCell="H6" sqref="H6:L6"/>
    </sheetView>
  </sheetViews>
  <sheetFormatPr baseColWidth="10" defaultRowHeight="16" x14ac:dyDescent="0.2"/>
  <cols>
    <col min="1" max="1" width="2" style="102" customWidth="1"/>
    <col min="2" max="2" width="24.6640625" style="1" customWidth="1"/>
    <col min="3" max="3" width="10.83203125" style="1"/>
    <col min="4" max="4" width="10.83203125" style="1" customWidth="1"/>
    <col min="5" max="7" width="10.83203125" style="1"/>
    <col min="8" max="8" width="10.83203125" style="1" customWidth="1"/>
    <col min="9" max="12" width="10.83203125" style="1"/>
    <col min="13" max="14" width="9.5" style="1" customWidth="1"/>
    <col min="15" max="15" width="24.6640625" style="1" customWidth="1"/>
    <col min="16" max="26" width="10.83203125" style="1"/>
    <col min="27" max="27" width="2" style="1" customWidth="1"/>
    <col min="28" max="28" width="12.33203125" style="1" customWidth="1"/>
    <col min="29" max="16384" width="10.83203125" style="1"/>
  </cols>
  <sheetData>
    <row r="1" spans="1:28" s="102" customFormat="1" ht="18" customHeight="1" x14ac:dyDescent="0.2">
      <c r="A1" s="103"/>
      <c r="B1" s="104" t="s">
        <v>203</v>
      </c>
    </row>
    <row r="2" spans="1:28" x14ac:dyDescent="0.2">
      <c r="A2" s="103"/>
      <c r="C2" s="223" t="s">
        <v>168</v>
      </c>
      <c r="D2" s="223"/>
      <c r="E2" s="223"/>
      <c r="F2" s="223"/>
      <c r="G2" s="226"/>
      <c r="H2" s="227" t="s">
        <v>169</v>
      </c>
      <c r="I2" s="223"/>
      <c r="J2" s="223"/>
      <c r="K2" s="223"/>
      <c r="L2" s="223"/>
      <c r="P2" s="223" t="s">
        <v>168</v>
      </c>
      <c r="Q2" s="223"/>
      <c r="R2" s="223"/>
      <c r="S2" s="223"/>
      <c r="T2" s="223"/>
      <c r="U2" s="223"/>
      <c r="V2" s="223"/>
      <c r="W2" s="223"/>
      <c r="X2" s="223" t="s">
        <v>169</v>
      </c>
      <c r="Y2" s="223"/>
      <c r="Z2" s="223"/>
      <c r="AB2" s="127" t="s">
        <v>86</v>
      </c>
    </row>
    <row r="3" spans="1:28" ht="10" customHeight="1" x14ac:dyDescent="0.2"/>
    <row r="4" spans="1:28" ht="16" customHeight="1" x14ac:dyDescent="0.2">
      <c r="A4" s="108"/>
      <c r="B4" s="92"/>
      <c r="C4" s="222" t="s">
        <v>178</v>
      </c>
      <c r="D4" s="222"/>
      <c r="E4" s="222"/>
      <c r="F4" s="222"/>
      <c r="G4" s="222"/>
      <c r="H4" s="222"/>
      <c r="I4" s="222"/>
      <c r="J4" s="222"/>
      <c r="K4" s="222"/>
      <c r="L4" s="222"/>
      <c r="P4" s="225" t="s">
        <v>178</v>
      </c>
      <c r="Q4" s="225"/>
      <c r="R4" s="225"/>
      <c r="S4" s="225"/>
      <c r="T4" s="225"/>
      <c r="U4" s="225"/>
      <c r="V4" s="225"/>
      <c r="W4" s="225"/>
      <c r="X4" s="225"/>
      <c r="Y4" s="225"/>
      <c r="Z4" s="225"/>
      <c r="AB4" s="138" t="s">
        <v>202</v>
      </c>
    </row>
    <row r="5" spans="1:28" x14ac:dyDescent="0.2">
      <c r="B5" s="7" t="s">
        <v>179</v>
      </c>
      <c r="C5" s="62">
        <f>'Statement Y'!D3</f>
        <v>2021</v>
      </c>
      <c r="D5" s="62">
        <f>'Statement Y'!E3</f>
        <v>2022</v>
      </c>
      <c r="E5" s="62">
        <f>'Statement Y'!F3</f>
        <v>2023</v>
      </c>
      <c r="F5" s="62">
        <f>'Statement Y'!G3</f>
        <v>2024</v>
      </c>
      <c r="G5" s="62">
        <f>'Statement Y'!H3</f>
        <v>2025</v>
      </c>
      <c r="H5" s="62">
        <f>G5+1</f>
        <v>2026</v>
      </c>
      <c r="I5" s="62">
        <f t="shared" ref="I5:L5" si="0">H5+1</f>
        <v>2027</v>
      </c>
      <c r="J5" s="62">
        <f t="shared" si="0"/>
        <v>2028</v>
      </c>
      <c r="K5" s="62">
        <f t="shared" si="0"/>
        <v>2029</v>
      </c>
      <c r="L5" s="62">
        <f t="shared" si="0"/>
        <v>2030</v>
      </c>
      <c r="O5" s="7" t="s">
        <v>179</v>
      </c>
      <c r="P5" s="62" t="str">
        <f>'Statement Q'!C3</f>
        <v>Q1 2024</v>
      </c>
      <c r="Q5" s="62" t="str">
        <f>'Statement Q'!D3</f>
        <v>Q2 2024</v>
      </c>
      <c r="R5" s="62" t="str">
        <f>'Statement Q'!E3</f>
        <v>Q3 2024</v>
      </c>
      <c r="S5" s="62" t="str">
        <f>'Statement Q'!F3</f>
        <v>Q4 2024</v>
      </c>
      <c r="T5" s="62" t="str">
        <f>'Statement Q'!G3</f>
        <v>Q1 2025</v>
      </c>
      <c r="U5" s="62" t="str">
        <f>'Statement Q'!H3</f>
        <v>Q2 2025</v>
      </c>
      <c r="V5" s="62" t="str">
        <f>'Statement Q'!I3</f>
        <v>Q3 2025</v>
      </c>
      <c r="W5" s="62" t="str">
        <f>'Statement Q'!J3</f>
        <v>Q4 2025</v>
      </c>
      <c r="X5" s="62" t="s">
        <v>199</v>
      </c>
      <c r="Y5" s="62" t="s">
        <v>200</v>
      </c>
      <c r="Z5" s="62" t="s">
        <v>201</v>
      </c>
      <c r="AB5" s="61" t="s">
        <v>199</v>
      </c>
    </row>
    <row r="6" spans="1:28" x14ac:dyDescent="0.2">
      <c r="B6" s="7" t="s">
        <v>6</v>
      </c>
      <c r="C6" s="110">
        <f>'Statement Y'!D5</f>
        <v>0</v>
      </c>
      <c r="D6" s="110">
        <f>'Statement Y'!E5</f>
        <v>0</v>
      </c>
      <c r="E6" s="110">
        <f>'Statement Y'!F5</f>
        <v>0</v>
      </c>
      <c r="F6" s="110">
        <f>'Statement Y'!G5</f>
        <v>0</v>
      </c>
      <c r="G6" s="111">
        <f>'Statement Y'!H5</f>
        <v>0</v>
      </c>
      <c r="H6" s="110" t="e">
        <f>Revenue!H12</f>
        <v>#REF!</v>
      </c>
      <c r="I6" s="110" t="e">
        <f>Revenue!I12</f>
        <v>#REF!</v>
      </c>
      <c r="J6" s="110" t="e">
        <f>Revenue!J12</f>
        <v>#REF!</v>
      </c>
      <c r="K6" s="110" t="e">
        <f>Revenue!K12</f>
        <v>#REF!</v>
      </c>
      <c r="L6" s="110" t="e">
        <f>Revenue!L12</f>
        <v>#REF!</v>
      </c>
      <c r="N6" s="91"/>
      <c r="O6" s="7" t="s">
        <v>6</v>
      </c>
      <c r="P6" s="110">
        <f>'Statement Q'!C5</f>
        <v>0</v>
      </c>
      <c r="Q6" s="110">
        <f>'Statement Q'!D5</f>
        <v>0</v>
      </c>
      <c r="R6" s="110">
        <f>'Statement Q'!E5</f>
        <v>0</v>
      </c>
      <c r="S6" s="110">
        <f>'Statement Q'!F5</f>
        <v>0</v>
      </c>
      <c r="T6" s="110">
        <f>'Statement Q'!G5</f>
        <v>0</v>
      </c>
      <c r="U6" s="110">
        <f>'Statement Q'!H5</f>
        <v>0</v>
      </c>
      <c r="V6" s="110">
        <f>'Statement Q'!I5</f>
        <v>0</v>
      </c>
      <c r="W6" s="111">
        <f>'Statement Q'!J5</f>
        <v>0</v>
      </c>
      <c r="X6" s="112" t="e">
        <f>Revenue!AA12</f>
        <v>#REF!</v>
      </c>
      <c r="Y6" s="112">
        <f>Revenue!AB12</f>
        <v>0</v>
      </c>
      <c r="Z6" s="112">
        <f>Revenue!AC12</f>
        <v>0</v>
      </c>
      <c r="AB6" s="112" t="e">
        <f>SUM(U6:X6)</f>
        <v>#REF!</v>
      </c>
    </row>
    <row r="7" spans="1:28" x14ac:dyDescent="0.2">
      <c r="N7" s="91"/>
    </row>
    <row r="8" spans="1:28" x14ac:dyDescent="0.2">
      <c r="N8" s="91"/>
    </row>
    <row r="9" spans="1:28" x14ac:dyDescent="0.2">
      <c r="C9" s="222" t="s">
        <v>204</v>
      </c>
      <c r="D9" s="222"/>
      <c r="E9" s="222"/>
      <c r="F9" s="222"/>
      <c r="G9" s="222"/>
      <c r="H9" s="222"/>
      <c r="I9" s="222"/>
      <c r="J9" s="222"/>
      <c r="K9" s="222"/>
      <c r="L9" s="222"/>
      <c r="N9" s="91"/>
      <c r="P9" s="225" t="s">
        <v>209</v>
      </c>
      <c r="Q9" s="225"/>
      <c r="R9" s="225"/>
      <c r="S9" s="225"/>
      <c r="T9" s="225"/>
      <c r="U9" s="225"/>
      <c r="V9" s="225"/>
      <c r="W9" s="225"/>
      <c r="X9" s="225"/>
      <c r="Y9" s="225"/>
      <c r="Z9" s="225"/>
      <c r="AB9" s="138" t="str">
        <f>AB4</f>
        <v>Q1-Q2-Q3</v>
      </c>
    </row>
    <row r="10" spans="1:28" x14ac:dyDescent="0.2">
      <c r="B10" s="7" t="s">
        <v>206</v>
      </c>
      <c r="C10" s="62">
        <f t="shared" ref="C10:L10" si="1">C5</f>
        <v>2021</v>
      </c>
      <c r="D10" s="62">
        <f t="shared" si="1"/>
        <v>2022</v>
      </c>
      <c r="E10" s="62">
        <f t="shared" si="1"/>
        <v>2023</v>
      </c>
      <c r="F10" s="62">
        <f t="shared" si="1"/>
        <v>2024</v>
      </c>
      <c r="G10" s="62">
        <f t="shared" si="1"/>
        <v>2025</v>
      </c>
      <c r="H10" s="62">
        <f t="shared" si="1"/>
        <v>2026</v>
      </c>
      <c r="I10" s="62">
        <f t="shared" si="1"/>
        <v>2027</v>
      </c>
      <c r="J10" s="62">
        <f t="shared" si="1"/>
        <v>2028</v>
      </c>
      <c r="K10" s="62">
        <f t="shared" si="1"/>
        <v>2029</v>
      </c>
      <c r="L10" s="62">
        <f t="shared" si="1"/>
        <v>2030</v>
      </c>
      <c r="N10" s="91"/>
      <c r="O10" s="7" t="s">
        <v>206</v>
      </c>
      <c r="P10" s="62" t="str">
        <f t="shared" ref="P10:Z10" si="2">P5</f>
        <v>Q1 2024</v>
      </c>
      <c r="Q10" s="62" t="str">
        <f t="shared" si="2"/>
        <v>Q2 2024</v>
      </c>
      <c r="R10" s="62" t="str">
        <f t="shared" si="2"/>
        <v>Q3 2024</v>
      </c>
      <c r="S10" s="62" t="str">
        <f t="shared" si="2"/>
        <v>Q4 2024</v>
      </c>
      <c r="T10" s="62" t="str">
        <f t="shared" si="2"/>
        <v>Q1 2025</v>
      </c>
      <c r="U10" s="62" t="str">
        <f t="shared" si="2"/>
        <v>Q2 2025</v>
      </c>
      <c r="V10" s="62" t="str">
        <f t="shared" si="2"/>
        <v>Q3 2025</v>
      </c>
      <c r="W10" s="62" t="str">
        <f t="shared" si="2"/>
        <v>Q4 2025</v>
      </c>
      <c r="X10" s="62" t="str">
        <f t="shared" si="2"/>
        <v>FQ1</v>
      </c>
      <c r="Y10" s="62" t="str">
        <f t="shared" si="2"/>
        <v>FQ2</v>
      </c>
      <c r="Z10" s="62" t="str">
        <f t="shared" si="2"/>
        <v>FQ3</v>
      </c>
      <c r="AB10" s="61" t="str">
        <f>AB5</f>
        <v>FQ1</v>
      </c>
    </row>
    <row r="11" spans="1:28" x14ac:dyDescent="0.2">
      <c r="B11" s="7" t="s">
        <v>7</v>
      </c>
      <c r="C11" s="139">
        <f>'Statement Y'!D6</f>
        <v>0</v>
      </c>
      <c r="D11" s="139">
        <f>'Statement Y'!E6</f>
        <v>0</v>
      </c>
      <c r="E11" s="139">
        <f>'Statement Y'!F6</f>
        <v>0</v>
      </c>
      <c r="F11" s="139">
        <f>'Statement Y'!G6</f>
        <v>0</v>
      </c>
      <c r="G11" s="140">
        <f>'Statement Y'!H6</f>
        <v>0</v>
      </c>
      <c r="H11" s="21" t="e">
        <f>H20*H$6</f>
        <v>#REF!</v>
      </c>
      <c r="I11" s="21" t="e">
        <f t="shared" ref="I11:L11" si="3">I20*I$6</f>
        <v>#REF!</v>
      </c>
      <c r="J11" s="21" t="e">
        <f t="shared" si="3"/>
        <v>#REF!</v>
      </c>
      <c r="K11" s="21" t="e">
        <f t="shared" si="3"/>
        <v>#REF!</v>
      </c>
      <c r="L11" s="21" t="e">
        <f t="shared" si="3"/>
        <v>#REF!</v>
      </c>
      <c r="N11" s="91"/>
      <c r="O11" s="7" t="s">
        <v>7</v>
      </c>
      <c r="P11" s="139">
        <f>'Statement Q'!C6</f>
        <v>0</v>
      </c>
      <c r="Q11" s="139">
        <f>'Statement Q'!D6</f>
        <v>0</v>
      </c>
      <c r="R11" s="139">
        <f>'Statement Q'!E6</f>
        <v>0</v>
      </c>
      <c r="S11" s="139">
        <f>'Statement Q'!F6</f>
        <v>0</v>
      </c>
      <c r="T11" s="139">
        <f>'Statement Q'!G6</f>
        <v>0</v>
      </c>
      <c r="U11" s="139">
        <f>'Statement Q'!H6</f>
        <v>0</v>
      </c>
      <c r="V11" s="139">
        <f>'Statement Q'!I6</f>
        <v>0</v>
      </c>
      <c r="W11" s="140">
        <f>'Statement Q'!J6</f>
        <v>0</v>
      </c>
      <c r="X11" s="21" t="e">
        <f>X20*X$6</f>
        <v>#REF!</v>
      </c>
      <c r="Y11" s="21"/>
      <c r="Z11" s="21"/>
      <c r="AB11" s="20" t="e">
        <f>SUM(U11:X11)</f>
        <v>#REF!</v>
      </c>
    </row>
    <row r="12" spans="1:28" x14ac:dyDescent="0.2">
      <c r="B12" s="1" t="s">
        <v>9</v>
      </c>
      <c r="C12" s="113">
        <f>'Statement Y'!D8</f>
        <v>0</v>
      </c>
      <c r="D12" s="113">
        <f>'Statement Y'!E8</f>
        <v>0</v>
      </c>
      <c r="E12" s="113">
        <f>'Statement Y'!F8</f>
        <v>0</v>
      </c>
      <c r="F12" s="113">
        <f>'Statement Y'!G8</f>
        <v>0</v>
      </c>
      <c r="G12" s="121">
        <f>'Statement Y'!H8</f>
        <v>0</v>
      </c>
      <c r="H12" s="20" t="e">
        <f t="shared" ref="H12:L12" si="4">H21*H$6</f>
        <v>#REF!</v>
      </c>
      <c r="I12" s="20" t="e">
        <f t="shared" si="4"/>
        <v>#REF!</v>
      </c>
      <c r="J12" s="20" t="e">
        <f t="shared" si="4"/>
        <v>#REF!</v>
      </c>
      <c r="K12" s="20" t="e">
        <f t="shared" si="4"/>
        <v>#REF!</v>
      </c>
      <c r="L12" s="20" t="e">
        <f t="shared" si="4"/>
        <v>#REF!</v>
      </c>
      <c r="N12" s="91"/>
      <c r="O12" s="1" t="s">
        <v>9</v>
      </c>
      <c r="P12" s="113">
        <f>'Statement Q'!C8</f>
        <v>0</v>
      </c>
      <c r="Q12" s="113">
        <f>'Statement Q'!D8</f>
        <v>0</v>
      </c>
      <c r="R12" s="113">
        <f>'Statement Q'!E8</f>
        <v>0</v>
      </c>
      <c r="S12" s="113">
        <f>'Statement Q'!F8</f>
        <v>0</v>
      </c>
      <c r="T12" s="113">
        <f>'Statement Q'!G8</f>
        <v>0</v>
      </c>
      <c r="U12" s="113">
        <f>'Statement Q'!H8</f>
        <v>0</v>
      </c>
      <c r="V12" s="113">
        <f>'Statement Q'!I8</f>
        <v>0</v>
      </c>
      <c r="W12" s="121">
        <f>'Statement Q'!J8</f>
        <v>0</v>
      </c>
      <c r="X12" s="34" t="e">
        <f t="shared" ref="X12:X14" si="5">X21*X$6</f>
        <v>#REF!</v>
      </c>
      <c r="Y12" s="20"/>
      <c r="Z12" s="20"/>
      <c r="AB12" s="20" t="e">
        <f t="shared" ref="AB12:AB15" si="6">SUM(U12:X12)</f>
        <v>#REF!</v>
      </c>
    </row>
    <row r="13" spans="1:28" x14ac:dyDescent="0.2">
      <c r="B13" s="1" t="s">
        <v>108</v>
      </c>
      <c r="C13" s="113">
        <f>'Statement Y'!D9</f>
        <v>0</v>
      </c>
      <c r="D13" s="113">
        <f>'Statement Y'!E9</f>
        <v>0</v>
      </c>
      <c r="E13" s="113">
        <f>'Statement Y'!F9</f>
        <v>0</v>
      </c>
      <c r="F13" s="113">
        <f>'Statement Y'!G9</f>
        <v>0</v>
      </c>
      <c r="G13" s="121">
        <f>'Statement Y'!H9</f>
        <v>0</v>
      </c>
      <c r="H13" s="20" t="e">
        <f t="shared" ref="H13:L13" si="7">H22*H$6</f>
        <v>#REF!</v>
      </c>
      <c r="I13" s="20" t="e">
        <f t="shared" si="7"/>
        <v>#REF!</v>
      </c>
      <c r="J13" s="20" t="e">
        <f t="shared" si="7"/>
        <v>#REF!</v>
      </c>
      <c r="K13" s="20" t="e">
        <f t="shared" si="7"/>
        <v>#REF!</v>
      </c>
      <c r="L13" s="20" t="e">
        <f t="shared" si="7"/>
        <v>#REF!</v>
      </c>
      <c r="M13" s="125"/>
      <c r="N13" s="125"/>
      <c r="O13" s="1" t="s">
        <v>108</v>
      </c>
      <c r="P13" s="113">
        <f>'Statement Q'!C9</f>
        <v>0</v>
      </c>
      <c r="Q13" s="113">
        <f>'Statement Q'!D9</f>
        <v>0</v>
      </c>
      <c r="R13" s="113">
        <f>'Statement Q'!E9</f>
        <v>0</v>
      </c>
      <c r="S13" s="113">
        <f>'Statement Q'!F9</f>
        <v>0</v>
      </c>
      <c r="T13" s="113">
        <f>'Statement Q'!G9</f>
        <v>0</v>
      </c>
      <c r="U13" s="113">
        <f>'Statement Q'!H9</f>
        <v>0</v>
      </c>
      <c r="V13" s="113">
        <f>'Statement Q'!I9</f>
        <v>0</v>
      </c>
      <c r="W13" s="121">
        <f>'Statement Q'!J9</f>
        <v>0</v>
      </c>
      <c r="X13" s="34" t="e">
        <f t="shared" si="5"/>
        <v>#REF!</v>
      </c>
      <c r="Y13" s="20"/>
      <c r="Z13" s="20"/>
      <c r="AB13" s="20" t="e">
        <f t="shared" si="6"/>
        <v>#REF!</v>
      </c>
    </row>
    <row r="14" spans="1:28" x14ac:dyDescent="0.2">
      <c r="B14" s="1" t="s">
        <v>205</v>
      </c>
      <c r="C14" s="113">
        <f>'Statement Y'!D10</f>
        <v>0</v>
      </c>
      <c r="D14" s="113">
        <f>'Statement Y'!E10</f>
        <v>0</v>
      </c>
      <c r="E14" s="113">
        <f>'Statement Y'!F10</f>
        <v>0</v>
      </c>
      <c r="F14" s="113">
        <f>'Statement Y'!G10</f>
        <v>0</v>
      </c>
      <c r="G14" s="121">
        <f>'Statement Y'!H10</f>
        <v>0</v>
      </c>
      <c r="H14" s="20" t="e">
        <f t="shared" ref="H14:L14" si="8">H23*H$6</f>
        <v>#REF!</v>
      </c>
      <c r="I14" s="20" t="e">
        <f t="shared" si="8"/>
        <v>#REF!</v>
      </c>
      <c r="J14" s="20" t="e">
        <f t="shared" si="8"/>
        <v>#REF!</v>
      </c>
      <c r="K14" s="20" t="e">
        <f t="shared" si="8"/>
        <v>#REF!</v>
      </c>
      <c r="L14" s="20" t="e">
        <f t="shared" si="8"/>
        <v>#REF!</v>
      </c>
      <c r="M14" s="125"/>
      <c r="N14" s="125"/>
      <c r="O14" s="1" t="s">
        <v>205</v>
      </c>
      <c r="P14" s="113">
        <f>'Statement Q'!C10</f>
        <v>0</v>
      </c>
      <c r="Q14" s="113">
        <f>'Statement Q'!D10</f>
        <v>0</v>
      </c>
      <c r="R14" s="113">
        <f>'Statement Q'!E10</f>
        <v>0</v>
      </c>
      <c r="S14" s="113">
        <f>'Statement Q'!F10</f>
        <v>0</v>
      </c>
      <c r="T14" s="113">
        <f>'Statement Q'!G10</f>
        <v>0</v>
      </c>
      <c r="U14" s="113">
        <f>'Statement Q'!H10</f>
        <v>0</v>
      </c>
      <c r="V14" s="113">
        <f>'Statement Q'!I10</f>
        <v>0</v>
      </c>
      <c r="W14" s="121">
        <f>'Statement Q'!J10</f>
        <v>0</v>
      </c>
      <c r="X14" s="34" t="e">
        <f t="shared" si="5"/>
        <v>#REF!</v>
      </c>
      <c r="Y14" s="20"/>
      <c r="Z14" s="20"/>
      <c r="AB14" s="20" t="e">
        <f t="shared" si="6"/>
        <v>#REF!</v>
      </c>
    </row>
    <row r="15" spans="1:28" x14ac:dyDescent="0.2">
      <c r="B15" s="7" t="s">
        <v>11</v>
      </c>
      <c r="C15" s="139">
        <f>'Statement Y'!D11</f>
        <v>0</v>
      </c>
      <c r="D15" s="139">
        <f>'Statement Y'!E11</f>
        <v>0</v>
      </c>
      <c r="E15" s="139">
        <f>'Statement Y'!F11</f>
        <v>0</v>
      </c>
      <c r="F15" s="139">
        <f>'Statement Y'!G11</f>
        <v>0</v>
      </c>
      <c r="G15" s="140">
        <f>'Statement Y'!H11</f>
        <v>0</v>
      </c>
      <c r="H15" s="21" t="e">
        <f>SUM(H12:H14)</f>
        <v>#REF!</v>
      </c>
      <c r="I15" s="21" t="e">
        <f t="shared" ref="I15:L15" si="9">SUM(I12:I14)</f>
        <v>#REF!</v>
      </c>
      <c r="J15" s="21" t="e">
        <f t="shared" si="9"/>
        <v>#REF!</v>
      </c>
      <c r="K15" s="21" t="e">
        <f t="shared" si="9"/>
        <v>#REF!</v>
      </c>
      <c r="L15" s="21" t="e">
        <f t="shared" si="9"/>
        <v>#REF!</v>
      </c>
      <c r="M15" s="125"/>
      <c r="N15" s="125"/>
      <c r="O15" s="7" t="s">
        <v>11</v>
      </c>
      <c r="P15" s="139">
        <f>'Statement Q'!C11</f>
        <v>0</v>
      </c>
      <c r="Q15" s="139">
        <f>'Statement Q'!D11</f>
        <v>0</v>
      </c>
      <c r="R15" s="139">
        <f>'Statement Q'!E11</f>
        <v>0</v>
      </c>
      <c r="S15" s="139">
        <f>'Statement Q'!F11</f>
        <v>0</v>
      </c>
      <c r="T15" s="139">
        <f>'Statement Q'!G11</f>
        <v>0</v>
      </c>
      <c r="U15" s="139">
        <f>'Statement Q'!H11</f>
        <v>0</v>
      </c>
      <c r="V15" s="139">
        <f>'Statement Q'!I11</f>
        <v>0</v>
      </c>
      <c r="W15" s="140">
        <f>'Statement Q'!J11</f>
        <v>0</v>
      </c>
      <c r="X15" s="21" t="e">
        <f>SUM(X12:X14)</f>
        <v>#REF!</v>
      </c>
      <c r="Y15" s="21"/>
      <c r="Z15" s="21"/>
      <c r="AB15" s="20" t="e">
        <f t="shared" si="6"/>
        <v>#REF!</v>
      </c>
    </row>
    <row r="18" spans="2:26" x14ac:dyDescent="0.2">
      <c r="C18" s="222" t="s">
        <v>207</v>
      </c>
      <c r="D18" s="222"/>
      <c r="E18" s="222"/>
      <c r="F18" s="222"/>
      <c r="G18" s="222"/>
      <c r="H18" s="222"/>
      <c r="I18" s="222"/>
      <c r="J18" s="222"/>
      <c r="K18" s="222"/>
      <c r="L18" s="222"/>
      <c r="P18" s="225" t="s">
        <v>207</v>
      </c>
      <c r="Q18" s="225"/>
      <c r="R18" s="225"/>
      <c r="S18" s="225"/>
      <c r="T18" s="225"/>
      <c r="U18" s="225"/>
      <c r="V18" s="225"/>
      <c r="W18" s="225"/>
      <c r="X18" s="225"/>
      <c r="Y18" s="225"/>
      <c r="Z18" s="225"/>
    </row>
    <row r="19" spans="2:26" x14ac:dyDescent="0.2">
      <c r="B19" s="7" t="s">
        <v>170</v>
      </c>
      <c r="C19" s="62">
        <f t="shared" ref="C19:L19" si="10">C5</f>
        <v>2021</v>
      </c>
      <c r="D19" s="62">
        <f t="shared" si="10"/>
        <v>2022</v>
      </c>
      <c r="E19" s="62">
        <f t="shared" si="10"/>
        <v>2023</v>
      </c>
      <c r="F19" s="62">
        <f t="shared" si="10"/>
        <v>2024</v>
      </c>
      <c r="G19" s="62">
        <f t="shared" si="10"/>
        <v>2025</v>
      </c>
      <c r="H19" s="62">
        <f t="shared" si="10"/>
        <v>2026</v>
      </c>
      <c r="I19" s="62">
        <f t="shared" si="10"/>
        <v>2027</v>
      </c>
      <c r="J19" s="62">
        <f t="shared" si="10"/>
        <v>2028</v>
      </c>
      <c r="K19" s="62">
        <f t="shared" si="10"/>
        <v>2029</v>
      </c>
      <c r="L19" s="62">
        <f t="shared" si="10"/>
        <v>2030</v>
      </c>
      <c r="O19" s="7" t="s">
        <v>170</v>
      </c>
      <c r="P19" s="62" t="str">
        <f t="shared" ref="P19:Z19" si="11">P5</f>
        <v>Q1 2024</v>
      </c>
      <c r="Q19" s="62" t="str">
        <f t="shared" si="11"/>
        <v>Q2 2024</v>
      </c>
      <c r="R19" s="62" t="str">
        <f t="shared" si="11"/>
        <v>Q3 2024</v>
      </c>
      <c r="S19" s="62" t="str">
        <f t="shared" si="11"/>
        <v>Q4 2024</v>
      </c>
      <c r="T19" s="62" t="str">
        <f t="shared" si="11"/>
        <v>Q1 2025</v>
      </c>
      <c r="U19" s="62" t="str">
        <f t="shared" si="11"/>
        <v>Q2 2025</v>
      </c>
      <c r="V19" s="62" t="str">
        <f t="shared" si="11"/>
        <v>Q3 2025</v>
      </c>
      <c r="W19" s="62" t="str">
        <f t="shared" si="11"/>
        <v>Q4 2025</v>
      </c>
      <c r="X19" s="62" t="str">
        <f t="shared" si="11"/>
        <v>FQ1</v>
      </c>
      <c r="Y19" s="62" t="str">
        <f t="shared" si="11"/>
        <v>FQ2</v>
      </c>
      <c r="Z19" s="62" t="str">
        <f t="shared" si="11"/>
        <v>FQ3</v>
      </c>
    </row>
    <row r="20" spans="2:26" x14ac:dyDescent="0.2">
      <c r="B20" s="1" t="str">
        <f>B11</f>
        <v>COGS</v>
      </c>
      <c r="C20" s="115" t="e">
        <f>C11/C$6</f>
        <v>#DIV/0!</v>
      </c>
      <c r="D20" s="115" t="e">
        <f t="shared" ref="D20:G20" si="12">D11/D$6</f>
        <v>#DIV/0!</v>
      </c>
      <c r="E20" s="115" t="e">
        <f t="shared" si="12"/>
        <v>#DIV/0!</v>
      </c>
      <c r="F20" s="115" t="e">
        <f t="shared" si="12"/>
        <v>#DIV/0!</v>
      </c>
      <c r="G20" s="116" t="e">
        <f t="shared" si="12"/>
        <v>#DIV/0!</v>
      </c>
      <c r="H20" s="118">
        <v>0.28000000000000003</v>
      </c>
      <c r="I20" s="118">
        <v>0.27500000000000002</v>
      </c>
      <c r="J20" s="118">
        <v>0.28000000000000003</v>
      </c>
      <c r="K20" s="118">
        <v>0.26800000000000002</v>
      </c>
      <c r="L20" s="118">
        <v>0.27600000000000002</v>
      </c>
      <c r="O20" s="1" t="str">
        <f>O11</f>
        <v>COGS</v>
      </c>
      <c r="P20" s="115" t="e">
        <f t="shared" ref="P20:W20" si="13">P11/P$6</f>
        <v>#DIV/0!</v>
      </c>
      <c r="Q20" s="115" t="e">
        <f t="shared" si="13"/>
        <v>#DIV/0!</v>
      </c>
      <c r="R20" s="115" t="e">
        <f t="shared" si="13"/>
        <v>#DIV/0!</v>
      </c>
      <c r="S20" s="115" t="e">
        <f t="shared" si="13"/>
        <v>#DIV/0!</v>
      </c>
      <c r="T20" s="115" t="e">
        <f t="shared" si="13"/>
        <v>#DIV/0!</v>
      </c>
      <c r="U20" s="115" t="e">
        <f t="shared" si="13"/>
        <v>#DIV/0!</v>
      </c>
      <c r="V20" s="115" t="e">
        <f t="shared" si="13"/>
        <v>#DIV/0!</v>
      </c>
      <c r="W20" s="116" t="e">
        <f t="shared" si="13"/>
        <v>#DIV/0!</v>
      </c>
      <c r="X20" s="118">
        <v>0.28000000000000003</v>
      </c>
      <c r="Y20" s="118"/>
      <c r="Z20" s="118"/>
    </row>
    <row r="21" spans="2:26" x14ac:dyDescent="0.2">
      <c r="B21" s="1" t="str">
        <f t="shared" ref="B21:B23" si="14">B12</f>
        <v>R&amp;D</v>
      </c>
      <c r="C21" s="115" t="e">
        <f t="shared" ref="C21:G21" si="15">C12/C$6</f>
        <v>#DIV/0!</v>
      </c>
      <c r="D21" s="115" t="e">
        <f t="shared" si="15"/>
        <v>#DIV/0!</v>
      </c>
      <c r="E21" s="115" t="e">
        <f t="shared" si="15"/>
        <v>#DIV/0!</v>
      </c>
      <c r="F21" s="115" t="e">
        <f t="shared" si="15"/>
        <v>#DIV/0!</v>
      </c>
      <c r="G21" s="116" t="e">
        <f t="shared" si="15"/>
        <v>#DIV/0!</v>
      </c>
      <c r="H21" s="118">
        <v>0.35</v>
      </c>
      <c r="I21" s="118">
        <v>0.3</v>
      </c>
      <c r="J21" s="118">
        <v>0.3</v>
      </c>
      <c r="K21" s="118">
        <v>0.31</v>
      </c>
      <c r="L21" s="118">
        <v>0.28999999999999998</v>
      </c>
      <c r="O21" s="1" t="str">
        <f t="shared" ref="O21:O23" si="16">O12</f>
        <v>R&amp;D</v>
      </c>
      <c r="P21" s="115" t="e">
        <f t="shared" ref="P21:W21" si="17">P12/P$6</f>
        <v>#DIV/0!</v>
      </c>
      <c r="Q21" s="115" t="e">
        <f t="shared" si="17"/>
        <v>#DIV/0!</v>
      </c>
      <c r="R21" s="115" t="e">
        <f t="shared" si="17"/>
        <v>#DIV/0!</v>
      </c>
      <c r="S21" s="115" t="e">
        <f t="shared" si="17"/>
        <v>#DIV/0!</v>
      </c>
      <c r="T21" s="115" t="e">
        <f t="shared" si="17"/>
        <v>#DIV/0!</v>
      </c>
      <c r="U21" s="115" t="e">
        <f t="shared" si="17"/>
        <v>#DIV/0!</v>
      </c>
      <c r="V21" s="115" t="e">
        <f t="shared" si="17"/>
        <v>#DIV/0!</v>
      </c>
      <c r="W21" s="116" t="e">
        <f t="shared" si="17"/>
        <v>#DIV/0!</v>
      </c>
      <c r="X21" s="118">
        <v>0.29599999999999999</v>
      </c>
      <c r="Y21" s="118"/>
      <c r="Z21" s="118"/>
    </row>
    <row r="22" spans="2:26" x14ac:dyDescent="0.2">
      <c r="B22" s="1" t="str">
        <f t="shared" si="14"/>
        <v>Sales and marketing</v>
      </c>
      <c r="C22" s="115" t="e">
        <f t="shared" ref="C22:G22" si="18">C13/C$6</f>
        <v>#DIV/0!</v>
      </c>
      <c r="D22" s="115" t="e">
        <f t="shared" si="18"/>
        <v>#DIV/0!</v>
      </c>
      <c r="E22" s="115" t="e">
        <f t="shared" si="18"/>
        <v>#DIV/0!</v>
      </c>
      <c r="F22" s="115" t="e">
        <f t="shared" si="18"/>
        <v>#DIV/0!</v>
      </c>
      <c r="G22" s="116" t="e">
        <f t="shared" si="18"/>
        <v>#DIV/0!</v>
      </c>
      <c r="H22" s="118">
        <v>0.13</v>
      </c>
      <c r="I22" s="118">
        <v>0.125</v>
      </c>
      <c r="J22" s="118">
        <v>0.12</v>
      </c>
      <c r="K22" s="118">
        <v>0.115</v>
      </c>
      <c r="L22" s="118">
        <v>0.11</v>
      </c>
      <c r="O22" s="1" t="str">
        <f t="shared" si="16"/>
        <v>Sales and marketing</v>
      </c>
      <c r="P22" s="115" t="e">
        <f t="shared" ref="P22:W22" si="19">P13/P$6</f>
        <v>#DIV/0!</v>
      </c>
      <c r="Q22" s="115" t="e">
        <f t="shared" si="19"/>
        <v>#DIV/0!</v>
      </c>
      <c r="R22" s="115" t="e">
        <f t="shared" si="19"/>
        <v>#DIV/0!</v>
      </c>
      <c r="S22" s="115" t="e">
        <f t="shared" si="19"/>
        <v>#DIV/0!</v>
      </c>
      <c r="T22" s="115" t="e">
        <f t="shared" si="19"/>
        <v>#DIV/0!</v>
      </c>
      <c r="U22" s="115" t="e">
        <f t="shared" si="19"/>
        <v>#DIV/0!</v>
      </c>
      <c r="V22" s="115" t="e">
        <f t="shared" si="19"/>
        <v>#DIV/0!</v>
      </c>
      <c r="W22" s="116" t="e">
        <f t="shared" si="19"/>
        <v>#DIV/0!</v>
      </c>
      <c r="X22" s="118">
        <v>0.115</v>
      </c>
      <c r="Y22" s="118"/>
      <c r="Z22" s="118"/>
    </row>
    <row r="23" spans="2:26" x14ac:dyDescent="0.2">
      <c r="B23" s="1" t="str">
        <f t="shared" si="14"/>
        <v>General &amp; administrative</v>
      </c>
      <c r="C23" s="115" t="e">
        <f t="shared" ref="C23:G23" si="20">C14/C$6</f>
        <v>#DIV/0!</v>
      </c>
      <c r="D23" s="115" t="e">
        <f t="shared" si="20"/>
        <v>#DIV/0!</v>
      </c>
      <c r="E23" s="115" t="e">
        <f t="shared" si="20"/>
        <v>#DIV/0!</v>
      </c>
      <c r="F23" s="115" t="e">
        <f t="shared" si="20"/>
        <v>#DIV/0!</v>
      </c>
      <c r="G23" s="116" t="e">
        <f t="shared" si="20"/>
        <v>#DIV/0!</v>
      </c>
      <c r="H23" s="118">
        <v>0.18</v>
      </c>
      <c r="I23" s="118">
        <v>0.17</v>
      </c>
      <c r="J23" s="118">
        <v>0.16</v>
      </c>
      <c r="K23" s="118">
        <v>0.17499999999999999</v>
      </c>
      <c r="L23" s="118">
        <v>0.17</v>
      </c>
      <c r="O23" s="1" t="str">
        <f t="shared" si="16"/>
        <v>General &amp; administrative</v>
      </c>
      <c r="P23" s="115" t="e">
        <f t="shared" ref="P23:W23" si="21">P14/P$6</f>
        <v>#DIV/0!</v>
      </c>
      <c r="Q23" s="115" t="e">
        <f t="shared" si="21"/>
        <v>#DIV/0!</v>
      </c>
      <c r="R23" s="115" t="e">
        <f t="shared" si="21"/>
        <v>#DIV/0!</v>
      </c>
      <c r="S23" s="115" t="e">
        <f t="shared" si="21"/>
        <v>#DIV/0!</v>
      </c>
      <c r="T23" s="115" t="e">
        <f t="shared" si="21"/>
        <v>#DIV/0!</v>
      </c>
      <c r="U23" s="115" t="e">
        <f t="shared" si="21"/>
        <v>#DIV/0!</v>
      </c>
      <c r="V23" s="115" t="e">
        <f t="shared" si="21"/>
        <v>#DIV/0!</v>
      </c>
      <c r="W23" s="116" t="e">
        <f t="shared" si="21"/>
        <v>#DIV/0!</v>
      </c>
      <c r="X23" s="118">
        <v>0.185</v>
      </c>
      <c r="Y23" s="118"/>
      <c r="Z23" s="118"/>
    </row>
  </sheetData>
  <mergeCells count="10">
    <mergeCell ref="C9:L9"/>
    <mergeCell ref="P9:Z9"/>
    <mergeCell ref="C18:L18"/>
    <mergeCell ref="P18:Z18"/>
    <mergeCell ref="C2:G2"/>
    <mergeCell ref="H2:L2"/>
    <mergeCell ref="P2:W2"/>
    <mergeCell ref="X2:Z2"/>
    <mergeCell ref="C4:L4"/>
    <mergeCell ref="P4:Z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242F-B4EC-314E-959C-D2A5D2677991}">
  <dimension ref="A1:AB53"/>
  <sheetViews>
    <sheetView topLeftCell="A31" zoomScale="168" zoomScaleNormal="100" workbookViewId="0">
      <selection activeCell="C39" sqref="C39"/>
    </sheetView>
  </sheetViews>
  <sheetFormatPr baseColWidth="10" defaultRowHeight="16" x14ac:dyDescent="0.2"/>
  <cols>
    <col min="1" max="1" width="2" style="102" customWidth="1"/>
    <col min="2" max="2" width="25.33203125" style="1" customWidth="1"/>
    <col min="3" max="3" width="10.83203125" style="1"/>
    <col min="4" max="4" width="10.83203125" style="1" customWidth="1"/>
    <col min="5" max="7" width="10.83203125" style="1"/>
    <col min="8" max="8" width="10.83203125" style="1" customWidth="1"/>
    <col min="9" max="12" width="10.83203125" style="1"/>
    <col min="13" max="14" width="9.5" style="1" customWidth="1"/>
    <col min="15" max="15" width="24.6640625" style="1" customWidth="1"/>
    <col min="16" max="26" width="10.83203125" style="1"/>
    <col min="27" max="27" width="2" style="1" customWidth="1"/>
    <col min="28" max="28" width="12.33203125" style="1" customWidth="1"/>
    <col min="29" max="16384" width="10.83203125" style="1"/>
  </cols>
  <sheetData>
    <row r="1" spans="1:28" s="102" customFormat="1" ht="18" customHeight="1" x14ac:dyDescent="0.2">
      <c r="A1" s="103"/>
      <c r="B1" s="104" t="s">
        <v>215</v>
      </c>
    </row>
    <row r="2" spans="1:28" s="102" customFormat="1" ht="18" customHeight="1" x14ac:dyDescent="0.2">
      <c r="A2" s="103"/>
      <c r="B2" s="104"/>
    </row>
    <row r="3" spans="1:28" s="102" customFormat="1" ht="18" customHeight="1" x14ac:dyDescent="0.2">
      <c r="A3" s="103"/>
      <c r="B3" s="142" t="str">
        <f>"CapEx:"&amp;CHOOSE(C3," as a % of PP&amp;E"," as a % of revenue")</f>
        <v>CapEx: as a % of revenue</v>
      </c>
      <c r="C3" s="62">
        <v>2</v>
      </c>
    </row>
    <row r="4" spans="1:28" s="102" customFormat="1" ht="18" customHeight="1" x14ac:dyDescent="0.2">
      <c r="A4" s="103"/>
      <c r="B4" s="104"/>
    </row>
    <row r="5" spans="1:28" x14ac:dyDescent="0.2">
      <c r="A5" s="103"/>
      <c r="C5" s="223" t="s">
        <v>168</v>
      </c>
      <c r="D5" s="223"/>
      <c r="E5" s="223"/>
      <c r="F5" s="223"/>
      <c r="G5" s="226"/>
      <c r="H5" s="227" t="s">
        <v>169</v>
      </c>
      <c r="I5" s="223"/>
      <c r="J5" s="223"/>
      <c r="K5" s="223"/>
      <c r="L5" s="223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B5" s="143"/>
    </row>
    <row r="6" spans="1:28" ht="10" customHeight="1" x14ac:dyDescent="0.2"/>
    <row r="7" spans="1:28" ht="16" customHeight="1" x14ac:dyDescent="0.2">
      <c r="A7" s="108"/>
      <c r="B7" s="92"/>
      <c r="C7" s="222" t="s">
        <v>178</v>
      </c>
      <c r="D7" s="222"/>
      <c r="E7" s="222"/>
      <c r="F7" s="222"/>
      <c r="G7" s="222"/>
      <c r="H7" s="222"/>
      <c r="I7" s="222"/>
      <c r="J7" s="222"/>
      <c r="K7" s="222"/>
      <c r="L7" s="222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  <c r="AB7" s="144"/>
    </row>
    <row r="8" spans="1:28" x14ac:dyDescent="0.2">
      <c r="B8" s="7" t="s">
        <v>179</v>
      </c>
      <c r="C8" s="62">
        <f>'Statement Y'!D3</f>
        <v>2021</v>
      </c>
      <c r="D8" s="62">
        <f>'Statement Y'!E3</f>
        <v>2022</v>
      </c>
      <c r="E8" s="62">
        <f>'Statement Y'!F3</f>
        <v>2023</v>
      </c>
      <c r="F8" s="62">
        <f>'Statement Y'!G3</f>
        <v>2024</v>
      </c>
      <c r="G8" s="62">
        <f>'Statement Y'!H3</f>
        <v>2025</v>
      </c>
      <c r="H8" s="62">
        <f>G8+1</f>
        <v>2026</v>
      </c>
      <c r="I8" s="62">
        <f t="shared" ref="I8:L8" si="0">H8+1</f>
        <v>2027</v>
      </c>
      <c r="J8" s="62">
        <f t="shared" si="0"/>
        <v>2028</v>
      </c>
      <c r="K8" s="62">
        <f t="shared" si="0"/>
        <v>2029</v>
      </c>
      <c r="L8" s="62">
        <f t="shared" si="0"/>
        <v>2030</v>
      </c>
      <c r="O8" s="7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B8" s="144"/>
    </row>
    <row r="9" spans="1:28" x14ac:dyDescent="0.2">
      <c r="B9" s="7" t="s">
        <v>6</v>
      </c>
      <c r="C9" s="110">
        <f>'Statement Y'!D5</f>
        <v>0</v>
      </c>
      <c r="D9" s="110">
        <f>'Statement Y'!E5</f>
        <v>0</v>
      </c>
      <c r="E9" s="110">
        <f>'Statement Y'!F5</f>
        <v>0</v>
      </c>
      <c r="F9" s="110">
        <f>'Statement Y'!G5</f>
        <v>0</v>
      </c>
      <c r="G9" s="111">
        <f>'Statement Y'!H5</f>
        <v>0</v>
      </c>
      <c r="H9" s="112" t="e">
        <f>Revenue!H12</f>
        <v>#REF!</v>
      </c>
      <c r="I9" s="112" t="e">
        <f>Revenue!I12</f>
        <v>#REF!</v>
      </c>
      <c r="J9" s="112" t="e">
        <f>Revenue!J12</f>
        <v>#REF!</v>
      </c>
      <c r="K9" s="112" t="e">
        <f>Revenue!K12</f>
        <v>#REF!</v>
      </c>
      <c r="L9" s="112" t="e">
        <f>Revenue!L12</f>
        <v>#REF!</v>
      </c>
      <c r="N9" s="91"/>
      <c r="O9" s="7"/>
      <c r="P9" s="110"/>
      <c r="Q9" s="110"/>
      <c r="R9" s="110"/>
      <c r="S9" s="110"/>
      <c r="T9" s="110"/>
      <c r="U9" s="110"/>
      <c r="V9" s="110"/>
      <c r="W9" s="110"/>
      <c r="X9" s="112"/>
      <c r="Y9" s="112"/>
      <c r="Z9" s="112"/>
      <c r="AB9" s="112"/>
    </row>
    <row r="10" spans="1:28" x14ac:dyDescent="0.2">
      <c r="N10" s="91"/>
    </row>
    <row r="11" spans="1:28" x14ac:dyDescent="0.2">
      <c r="N11" s="91"/>
    </row>
    <row r="12" spans="1:28" x14ac:dyDescent="0.2">
      <c r="C12" s="222" t="s">
        <v>24</v>
      </c>
      <c r="D12" s="222"/>
      <c r="E12" s="222"/>
      <c r="F12" s="222"/>
      <c r="G12" s="222"/>
      <c r="H12" s="222"/>
      <c r="I12" s="222"/>
      <c r="J12" s="222"/>
      <c r="K12" s="222"/>
      <c r="L12" s="222"/>
      <c r="N12" s="91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B12" s="144"/>
    </row>
    <row r="13" spans="1:28" x14ac:dyDescent="0.2">
      <c r="B13" s="7" t="s">
        <v>216</v>
      </c>
      <c r="C13" s="62">
        <f t="shared" ref="C13:L13" si="1">C8</f>
        <v>2021</v>
      </c>
      <c r="D13" s="62">
        <f t="shared" si="1"/>
        <v>2022</v>
      </c>
      <c r="E13" s="62">
        <f t="shared" si="1"/>
        <v>2023</v>
      </c>
      <c r="F13" s="62">
        <f t="shared" si="1"/>
        <v>2024</v>
      </c>
      <c r="G13" s="62">
        <f t="shared" si="1"/>
        <v>2025</v>
      </c>
      <c r="H13" s="62">
        <f t="shared" si="1"/>
        <v>2026</v>
      </c>
      <c r="I13" s="62">
        <f t="shared" si="1"/>
        <v>2027</v>
      </c>
      <c r="J13" s="62">
        <f t="shared" si="1"/>
        <v>2028</v>
      </c>
      <c r="K13" s="62">
        <f t="shared" si="1"/>
        <v>2029</v>
      </c>
      <c r="L13" s="62">
        <f t="shared" si="1"/>
        <v>2030</v>
      </c>
      <c r="N13" s="91"/>
      <c r="O13" s="7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B13" s="144"/>
    </row>
    <row r="14" spans="1:28" x14ac:dyDescent="0.2">
      <c r="B14" s="7" t="s">
        <v>217</v>
      </c>
      <c r="C14" s="21">
        <f>'Statement Y'!C32</f>
        <v>0</v>
      </c>
      <c r="D14" s="149">
        <f>C17</f>
        <v>0</v>
      </c>
      <c r="E14" s="149">
        <f t="shared" ref="E14:G14" si="2">D17</f>
        <v>0</v>
      </c>
      <c r="F14" s="149">
        <f t="shared" si="2"/>
        <v>0</v>
      </c>
      <c r="G14" s="150">
        <f t="shared" si="2"/>
        <v>0</v>
      </c>
      <c r="H14" s="21">
        <f>G17</f>
        <v>0</v>
      </c>
      <c r="I14" s="21" t="e">
        <f t="shared" ref="I14:L14" ca="1" si="3">H17</f>
        <v>#DIV/0!</v>
      </c>
      <c r="J14" s="21" t="e">
        <f t="shared" ca="1" si="3"/>
        <v>#DIV/0!</v>
      </c>
      <c r="K14" s="21" t="e">
        <f t="shared" ca="1" si="3"/>
        <v>#DIV/0!</v>
      </c>
      <c r="L14" s="21" t="e">
        <f t="shared" ca="1" si="3"/>
        <v>#DIV/0!</v>
      </c>
      <c r="N14" s="91"/>
      <c r="O14" s="7"/>
      <c r="P14" s="146"/>
      <c r="Q14" s="146"/>
      <c r="R14" s="146"/>
      <c r="S14" s="146"/>
      <c r="T14" s="146"/>
      <c r="U14" s="146"/>
      <c r="V14" s="146"/>
      <c r="W14" s="146"/>
      <c r="X14" s="21"/>
      <c r="Y14" s="21"/>
      <c r="Z14" s="21"/>
      <c r="AB14" s="20"/>
    </row>
    <row r="15" spans="1:28" x14ac:dyDescent="0.2">
      <c r="B15" s="1" t="s">
        <v>44</v>
      </c>
      <c r="C15" s="151">
        <f>-'Statement Y'!D74</f>
        <v>0</v>
      </c>
      <c r="D15" s="151">
        <f>-'Statement Y'!E74</f>
        <v>0</v>
      </c>
      <c r="E15" s="151">
        <f>-'Statement Y'!F74</f>
        <v>0</v>
      </c>
      <c r="F15" s="151">
        <f>-'Statement Y'!G74</f>
        <v>0</v>
      </c>
      <c r="G15" s="152">
        <f>-'Statement Y'!H74</f>
        <v>0</v>
      </c>
      <c r="H15" s="20" t="e">
        <f>CHOOSE($C$3,H34*H14,H35*H9)</f>
        <v>#DIV/0!</v>
      </c>
      <c r="I15" s="20" t="e">
        <f t="shared" ref="I15:L15" si="4">CHOOSE($C$3,I34*I14,I35*I9)</f>
        <v>#DIV/0!</v>
      </c>
      <c r="J15" s="20" t="e">
        <f t="shared" si="4"/>
        <v>#DIV/0!</v>
      </c>
      <c r="K15" s="20" t="e">
        <f t="shared" si="4"/>
        <v>#DIV/0!</v>
      </c>
      <c r="L15" s="20" t="e">
        <f t="shared" si="4"/>
        <v>#DIV/0!</v>
      </c>
      <c r="N15" s="91"/>
      <c r="P15" s="147"/>
      <c r="Q15" s="147"/>
      <c r="R15" s="147"/>
      <c r="S15" s="147"/>
      <c r="T15" s="147"/>
      <c r="U15" s="147"/>
      <c r="V15" s="147"/>
      <c r="W15" s="147"/>
      <c r="X15" s="34"/>
      <c r="Y15" s="20"/>
      <c r="Z15" s="20"/>
      <c r="AB15" s="20"/>
    </row>
    <row r="16" spans="1:28" x14ac:dyDescent="0.2">
      <c r="B16" s="1" t="s">
        <v>97</v>
      </c>
      <c r="C16" s="113">
        <f>'Statement Y'!D115</f>
        <v>0</v>
      </c>
      <c r="D16" s="113">
        <f>'Statement Y'!E115</f>
        <v>0</v>
      </c>
      <c r="E16" s="113">
        <f>'Statement Y'!F115</f>
        <v>0</v>
      </c>
      <c r="F16" s="113">
        <f>'Statement Y'!G115</f>
        <v>0</v>
      </c>
      <c r="G16" s="121">
        <f>'Statement Y'!H115</f>
        <v>0</v>
      </c>
      <c r="H16" s="20" t="e">
        <f ca="1">H27</f>
        <v>#DIV/0!</v>
      </c>
      <c r="I16" s="20" t="e">
        <f ca="1">I27</f>
        <v>#DIV/0!</v>
      </c>
      <c r="J16" s="20" t="e">
        <f t="shared" ref="J16:L16" ca="1" si="5">J27</f>
        <v>#DIV/0!</v>
      </c>
      <c r="K16" s="20" t="e">
        <f t="shared" ca="1" si="5"/>
        <v>#DIV/0!</v>
      </c>
      <c r="L16" s="20" t="e">
        <f t="shared" ca="1" si="5"/>
        <v>#DIV/0!</v>
      </c>
      <c r="M16" s="125"/>
      <c r="N16" s="125"/>
      <c r="P16" s="147"/>
      <c r="Q16" s="147"/>
      <c r="R16" s="147"/>
      <c r="S16" s="147"/>
      <c r="T16" s="147"/>
      <c r="U16" s="147"/>
      <c r="V16" s="147"/>
      <c r="W16" s="147"/>
      <c r="X16" s="34"/>
      <c r="Y16" s="20"/>
      <c r="Z16" s="20"/>
      <c r="AB16" s="20"/>
    </row>
    <row r="17" spans="2:28" x14ac:dyDescent="0.2">
      <c r="B17" s="7" t="s">
        <v>218</v>
      </c>
      <c r="C17" s="139">
        <f>'Statement Y'!D32</f>
        <v>0</v>
      </c>
      <c r="D17" s="139">
        <f>'Statement Y'!E32</f>
        <v>0</v>
      </c>
      <c r="E17" s="139">
        <f>'Statement Y'!F32</f>
        <v>0</v>
      </c>
      <c r="F17" s="139">
        <f>'Statement Y'!G32</f>
        <v>0</v>
      </c>
      <c r="G17" s="140">
        <f>'Statement Y'!H32</f>
        <v>0</v>
      </c>
      <c r="H17" s="21" t="e">
        <f ca="1">H14+H15-H16</f>
        <v>#DIV/0!</v>
      </c>
      <c r="I17" s="21" t="e">
        <f t="shared" ref="I17:L17" ca="1" si="6">I14+I15-I16</f>
        <v>#DIV/0!</v>
      </c>
      <c r="J17" s="21" t="e">
        <f t="shared" ca="1" si="6"/>
        <v>#DIV/0!</v>
      </c>
      <c r="K17" s="21" t="e">
        <f t="shared" ca="1" si="6"/>
        <v>#DIV/0!</v>
      </c>
      <c r="L17" s="21" t="e">
        <f t="shared" ca="1" si="6"/>
        <v>#DIV/0!</v>
      </c>
      <c r="M17" s="125"/>
      <c r="N17" s="125"/>
      <c r="O17" s="7"/>
      <c r="P17" s="146"/>
      <c r="Q17" s="146"/>
      <c r="R17" s="146"/>
      <c r="S17" s="146"/>
      <c r="T17" s="146"/>
      <c r="U17" s="146"/>
      <c r="V17" s="146"/>
      <c r="W17" s="146"/>
      <c r="X17" s="21"/>
      <c r="Y17" s="21"/>
      <c r="Z17" s="21"/>
      <c r="AB17" s="20"/>
    </row>
    <row r="18" spans="2:28" x14ac:dyDescent="0.2">
      <c r="D18" s="20"/>
    </row>
    <row r="20" spans="2:28" x14ac:dyDescent="0.2">
      <c r="C20" s="222" t="s">
        <v>236</v>
      </c>
      <c r="D20" s="222"/>
      <c r="E20" s="222"/>
      <c r="F20" s="222"/>
      <c r="G20" s="222"/>
      <c r="H20" s="222"/>
      <c r="I20" s="222"/>
      <c r="J20" s="222"/>
      <c r="K20" s="222"/>
      <c r="L20" s="222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</row>
    <row r="21" spans="2:28" x14ac:dyDescent="0.2">
      <c r="B21" s="7" t="s">
        <v>216</v>
      </c>
      <c r="C21" s="62">
        <f t="shared" ref="C21:L21" si="7">C8</f>
        <v>2021</v>
      </c>
      <c r="D21" s="62">
        <f t="shared" si="7"/>
        <v>2022</v>
      </c>
      <c r="E21" s="62">
        <f t="shared" si="7"/>
        <v>2023</v>
      </c>
      <c r="F21" s="62">
        <f t="shared" si="7"/>
        <v>2024</v>
      </c>
      <c r="G21" s="62">
        <f t="shared" si="7"/>
        <v>2025</v>
      </c>
      <c r="H21" s="62">
        <f t="shared" si="7"/>
        <v>2026</v>
      </c>
      <c r="I21" s="62">
        <f t="shared" si="7"/>
        <v>2027</v>
      </c>
      <c r="J21" s="62">
        <f t="shared" si="7"/>
        <v>2028</v>
      </c>
      <c r="K21" s="62">
        <f t="shared" si="7"/>
        <v>2029</v>
      </c>
      <c r="L21" s="62">
        <f t="shared" si="7"/>
        <v>2030</v>
      </c>
      <c r="O21" s="7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 spans="2:28" x14ac:dyDescent="0.2">
      <c r="B22" s="125">
        <f>H8</f>
        <v>2026</v>
      </c>
      <c r="C22" s="157"/>
      <c r="D22" s="157"/>
      <c r="E22" s="157"/>
      <c r="F22" s="157"/>
      <c r="G22" s="159"/>
      <c r="H22" s="20" t="e">
        <f ca="1">IF(COUNT($H$22:H22) &lt;= $C$39, $H$14/$C$39+$H$15/$C$38, 0)</f>
        <v>#DIV/0!</v>
      </c>
      <c r="I22" s="20" t="e">
        <f ca="1">IF(COUNT($H$22:I22) &lt;= $C$39, $H$14/$C$39+$H$15/$C$38, 0)</f>
        <v>#DIV/0!</v>
      </c>
      <c r="J22" s="20" t="e">
        <f ca="1">IF(COUNT($H$22:J22) &lt;= $C$39, $H$14/$C$39+$H$15/$C$38, 0)</f>
        <v>#DIV/0!</v>
      </c>
      <c r="K22" s="20" t="e">
        <f ca="1">IF(COUNT($H$22:K22) &lt;= $C$39, $H$14/$C$39+$H$15/$C$38, 0)</f>
        <v>#DIV/0!</v>
      </c>
      <c r="L22" s="20" t="e">
        <f ca="1">IF(COUNT($H$22:L22) &lt;= $C$39, $H$14/$C$39+$H$15/$C$38, 0)</f>
        <v>#DIV/0!</v>
      </c>
      <c r="T22" s="148"/>
      <c r="U22" s="148"/>
      <c r="V22" s="148"/>
      <c r="W22" s="148"/>
      <c r="X22" s="148"/>
      <c r="Y22" s="148"/>
      <c r="Z22" s="148"/>
    </row>
    <row r="23" spans="2:28" x14ac:dyDescent="0.2">
      <c r="B23" s="125">
        <f>I8</f>
        <v>2027</v>
      </c>
      <c r="C23" s="157"/>
      <c r="D23" s="157"/>
      <c r="E23" s="157"/>
      <c r="F23" s="157"/>
      <c r="G23" s="159"/>
      <c r="H23" s="20"/>
      <c r="I23" s="20" t="e">
        <f>$I$15/$C$38</f>
        <v>#DIV/0!</v>
      </c>
      <c r="J23" s="20" t="e">
        <f t="shared" ref="J23:L23" si="8">$I$15/$C$38</f>
        <v>#DIV/0!</v>
      </c>
      <c r="K23" s="20" t="e">
        <f t="shared" si="8"/>
        <v>#DIV/0!</v>
      </c>
      <c r="L23" s="20" t="e">
        <f t="shared" si="8"/>
        <v>#DIV/0!</v>
      </c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</row>
    <row r="24" spans="2:28" x14ac:dyDescent="0.2">
      <c r="B24" s="125">
        <f>J8</f>
        <v>2028</v>
      </c>
      <c r="C24" s="157"/>
      <c r="D24" s="157"/>
      <c r="E24" s="157"/>
      <c r="F24" s="157"/>
      <c r="G24" s="159"/>
      <c r="H24" s="20"/>
      <c r="I24" s="20"/>
      <c r="J24" s="20" t="e">
        <f>$J$15/$C$38</f>
        <v>#DIV/0!</v>
      </c>
      <c r="K24" s="20" t="e">
        <f t="shared" ref="K24:L24" si="9">$J$15/$C$38</f>
        <v>#DIV/0!</v>
      </c>
      <c r="L24" s="20" t="e">
        <f t="shared" si="9"/>
        <v>#DIV/0!</v>
      </c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</row>
    <row r="25" spans="2:28" x14ac:dyDescent="0.2">
      <c r="B25" s="125">
        <f>K8</f>
        <v>2029</v>
      </c>
      <c r="C25" s="157"/>
      <c r="D25" s="157"/>
      <c r="E25" s="157"/>
      <c r="F25" s="157"/>
      <c r="G25" s="159"/>
      <c r="H25" s="20"/>
      <c r="I25" s="20"/>
      <c r="J25" s="20"/>
      <c r="K25" s="20" t="e">
        <f>$K$15/$C$38</f>
        <v>#DIV/0!</v>
      </c>
      <c r="L25" s="20" t="e">
        <f>$K$15/$C$38</f>
        <v>#DIV/0!</v>
      </c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</row>
    <row r="26" spans="2:28" x14ac:dyDescent="0.2">
      <c r="B26" s="154">
        <f>L8</f>
        <v>2030</v>
      </c>
      <c r="C26" s="157"/>
      <c r="D26" s="157"/>
      <c r="E26" s="157"/>
      <c r="F26" s="157"/>
      <c r="G26" s="159"/>
      <c r="H26" s="84"/>
      <c r="I26" s="84"/>
      <c r="J26" s="84"/>
      <c r="K26" s="84"/>
      <c r="L26" s="155" t="e">
        <f>L15/C38</f>
        <v>#DIV/0!</v>
      </c>
    </row>
    <row r="27" spans="2:28" x14ac:dyDescent="0.2">
      <c r="B27" s="77" t="s">
        <v>165</v>
      </c>
      <c r="C27" s="158"/>
      <c r="D27" s="158"/>
      <c r="E27" s="158"/>
      <c r="F27" s="158"/>
      <c r="G27" s="160"/>
      <c r="H27" s="156" t="e">
        <f ca="1">SUM(H22:H26)</f>
        <v>#DIV/0!</v>
      </c>
      <c r="I27" s="156" t="e">
        <f ca="1">SUM(I22:I26)</f>
        <v>#DIV/0!</v>
      </c>
      <c r="J27" s="156" t="e">
        <f t="shared" ref="J27:L27" ca="1" si="10">SUM(J22:J26)</f>
        <v>#DIV/0!</v>
      </c>
      <c r="K27" s="156" t="e">
        <f t="shared" ca="1" si="10"/>
        <v>#DIV/0!</v>
      </c>
      <c r="L27" s="156" t="e">
        <f t="shared" ca="1" si="10"/>
        <v>#DIV/0!</v>
      </c>
    </row>
    <row r="30" spans="2:28" x14ac:dyDescent="0.2">
      <c r="C30" s="222" t="s">
        <v>226</v>
      </c>
      <c r="D30" s="222"/>
      <c r="E30" s="222"/>
      <c r="F30" s="222"/>
      <c r="G30" s="222"/>
      <c r="H30" s="222"/>
      <c r="I30" s="222"/>
      <c r="J30" s="222"/>
      <c r="K30" s="222"/>
      <c r="L30" s="222"/>
    </row>
    <row r="31" spans="2:28" x14ac:dyDescent="0.2">
      <c r="B31" s="7" t="s">
        <v>219</v>
      </c>
      <c r="C31" s="62">
        <f>C8</f>
        <v>2021</v>
      </c>
      <c r="D31" s="62">
        <f t="shared" ref="D31:L31" si="11">D8</f>
        <v>2022</v>
      </c>
      <c r="E31" s="62">
        <f t="shared" si="11"/>
        <v>2023</v>
      </c>
      <c r="F31" s="62">
        <f t="shared" si="11"/>
        <v>2024</v>
      </c>
      <c r="G31" s="62">
        <f t="shared" si="11"/>
        <v>2025</v>
      </c>
      <c r="H31" s="62">
        <f t="shared" si="11"/>
        <v>2026</v>
      </c>
      <c r="I31" s="62">
        <f t="shared" si="11"/>
        <v>2027</v>
      </c>
      <c r="J31" s="62">
        <f t="shared" si="11"/>
        <v>2028</v>
      </c>
      <c r="K31" s="62">
        <f t="shared" si="11"/>
        <v>2029</v>
      </c>
      <c r="L31" s="62">
        <f t="shared" si="11"/>
        <v>2030</v>
      </c>
    </row>
    <row r="32" spans="2:28" x14ac:dyDescent="0.2">
      <c r="B32" s="1" t="s">
        <v>220</v>
      </c>
      <c r="C32" s="115" t="e">
        <f>C16/C14</f>
        <v>#DIV/0!</v>
      </c>
      <c r="D32" s="115" t="e">
        <f>D16/D14</f>
        <v>#DIV/0!</v>
      </c>
      <c r="E32" s="115" t="e">
        <f t="shared" ref="E32:L32" si="12">E16/E14</f>
        <v>#DIV/0!</v>
      </c>
      <c r="F32" s="115" t="e">
        <f t="shared" si="12"/>
        <v>#DIV/0!</v>
      </c>
      <c r="G32" s="116" t="e">
        <f t="shared" si="12"/>
        <v>#DIV/0!</v>
      </c>
      <c r="H32" s="115" t="e">
        <f t="shared" ca="1" si="12"/>
        <v>#DIV/0!</v>
      </c>
      <c r="I32" s="115" t="e">
        <f t="shared" ca="1" si="12"/>
        <v>#DIV/0!</v>
      </c>
      <c r="J32" s="115" t="e">
        <f t="shared" ca="1" si="12"/>
        <v>#DIV/0!</v>
      </c>
      <c r="K32" s="115" t="e">
        <f t="shared" ca="1" si="12"/>
        <v>#DIV/0!</v>
      </c>
      <c r="L32" s="115" t="e">
        <f t="shared" ca="1" si="12"/>
        <v>#DIV/0!</v>
      </c>
    </row>
    <row r="33" spans="2:12" x14ac:dyDescent="0.2">
      <c r="B33" s="1" t="s">
        <v>221</v>
      </c>
      <c r="C33" s="115" t="e">
        <f>C16/C9</f>
        <v>#DIV/0!</v>
      </c>
      <c r="D33" s="115" t="e">
        <f t="shared" ref="D33:L33" si="13">D16/D9</f>
        <v>#DIV/0!</v>
      </c>
      <c r="E33" s="115" t="e">
        <f t="shared" si="13"/>
        <v>#DIV/0!</v>
      </c>
      <c r="F33" s="115" t="e">
        <f t="shared" si="13"/>
        <v>#DIV/0!</v>
      </c>
      <c r="G33" s="116" t="e">
        <f t="shared" si="13"/>
        <v>#DIV/0!</v>
      </c>
      <c r="H33" s="115" t="e">
        <f t="shared" ca="1" si="13"/>
        <v>#DIV/0!</v>
      </c>
      <c r="I33" s="115" t="e">
        <f t="shared" ca="1" si="13"/>
        <v>#DIV/0!</v>
      </c>
      <c r="J33" s="115" t="e">
        <f t="shared" ca="1" si="13"/>
        <v>#DIV/0!</v>
      </c>
      <c r="K33" s="115" t="e">
        <f t="shared" ca="1" si="13"/>
        <v>#DIV/0!</v>
      </c>
      <c r="L33" s="115" t="e">
        <f t="shared" ca="1" si="13"/>
        <v>#DIV/0!</v>
      </c>
    </row>
    <row r="34" spans="2:12" x14ac:dyDescent="0.2">
      <c r="B34" s="92" t="s">
        <v>222</v>
      </c>
      <c r="C34" s="115" t="e">
        <f>C15/C14</f>
        <v>#DIV/0!</v>
      </c>
      <c r="D34" s="115" t="e">
        <f>D15/D14</f>
        <v>#DIV/0!</v>
      </c>
      <c r="E34" s="115" t="e">
        <f t="shared" ref="E34:G34" si="14">E15/E14</f>
        <v>#DIV/0!</v>
      </c>
      <c r="F34" s="115" t="e">
        <f t="shared" si="14"/>
        <v>#DIV/0!</v>
      </c>
      <c r="G34" s="116" t="e">
        <f t="shared" si="14"/>
        <v>#DIV/0!</v>
      </c>
      <c r="H34" s="118" t="e">
        <f>AVERAGE(D34:G34)</f>
        <v>#DIV/0!</v>
      </c>
      <c r="I34" s="118" t="e">
        <f>$H$34</f>
        <v>#DIV/0!</v>
      </c>
      <c r="J34" s="118" t="e">
        <f t="shared" ref="J34:L34" si="15">$H$34</f>
        <v>#DIV/0!</v>
      </c>
      <c r="K34" s="118" t="e">
        <f t="shared" si="15"/>
        <v>#DIV/0!</v>
      </c>
      <c r="L34" s="118" t="e">
        <f t="shared" si="15"/>
        <v>#DIV/0!</v>
      </c>
    </row>
    <row r="35" spans="2:12" x14ac:dyDescent="0.2">
      <c r="B35" s="92" t="s">
        <v>223</v>
      </c>
      <c r="C35" s="115" t="e">
        <f t="shared" ref="C35:G35" si="16">C15/C9</f>
        <v>#DIV/0!</v>
      </c>
      <c r="D35" s="115" t="e">
        <f t="shared" si="16"/>
        <v>#DIV/0!</v>
      </c>
      <c r="E35" s="115" t="e">
        <f t="shared" si="16"/>
        <v>#DIV/0!</v>
      </c>
      <c r="F35" s="115" t="e">
        <f t="shared" si="16"/>
        <v>#DIV/0!</v>
      </c>
      <c r="G35" s="116" t="e">
        <f t="shared" si="16"/>
        <v>#DIV/0!</v>
      </c>
      <c r="H35" s="118" t="e">
        <f>AVERAGE(D35:G35)</f>
        <v>#DIV/0!</v>
      </c>
      <c r="I35" s="118" t="e">
        <f>$H$35</f>
        <v>#DIV/0!</v>
      </c>
      <c r="J35" s="118" t="e">
        <f t="shared" ref="J35:L35" si="17">$H$35</f>
        <v>#DIV/0!</v>
      </c>
      <c r="K35" s="118" t="e">
        <f t="shared" si="17"/>
        <v>#DIV/0!</v>
      </c>
      <c r="L35" s="118" t="e">
        <f t="shared" si="17"/>
        <v>#DIV/0!</v>
      </c>
    </row>
    <row r="37" spans="2:12" x14ac:dyDescent="0.2">
      <c r="B37" s="223" t="s">
        <v>228</v>
      </c>
      <c r="C37" s="223"/>
    </row>
    <row r="38" spans="2:12" x14ac:dyDescent="0.2">
      <c r="B38" s="1" t="s">
        <v>224</v>
      </c>
      <c r="C38" s="100">
        <v>7</v>
      </c>
    </row>
    <row r="39" spans="2:12" x14ac:dyDescent="0.2">
      <c r="B39" s="1" t="s">
        <v>225</v>
      </c>
      <c r="C39" s="100">
        <v>6</v>
      </c>
    </row>
    <row r="42" spans="2:12" x14ac:dyDescent="0.2">
      <c r="B42" s="7"/>
      <c r="C42" s="223" t="s">
        <v>227</v>
      </c>
      <c r="D42" s="223"/>
      <c r="E42" s="223"/>
      <c r="F42" s="223"/>
      <c r="G42" s="223"/>
    </row>
    <row r="43" spans="2:12" x14ac:dyDescent="0.2">
      <c r="B43" s="7" t="s">
        <v>229</v>
      </c>
      <c r="C43" s="141">
        <f>C8</f>
        <v>2021</v>
      </c>
      <c r="D43" s="141">
        <f t="shared" ref="D43:G43" si="18">D8</f>
        <v>2022</v>
      </c>
      <c r="E43" s="141">
        <f t="shared" si="18"/>
        <v>2023</v>
      </c>
      <c r="F43" s="141">
        <f t="shared" si="18"/>
        <v>2024</v>
      </c>
      <c r="G43" s="141">
        <f t="shared" si="18"/>
        <v>2025</v>
      </c>
    </row>
    <row r="44" spans="2:12" x14ac:dyDescent="0.2">
      <c r="B44" s="1" t="str">
        <f>'Statement Y'!B119</f>
        <v>Gross PP&amp;E</v>
      </c>
      <c r="C44" s="151">
        <f>'Statement Y'!C119</f>
        <v>0</v>
      </c>
      <c r="D44" s="151">
        <f>'Statement Y'!D119</f>
        <v>0</v>
      </c>
      <c r="E44" s="151">
        <f>'Statement Y'!E119</f>
        <v>0</v>
      </c>
      <c r="F44" s="151">
        <f>'Statement Y'!F119</f>
        <v>0</v>
      </c>
      <c r="G44" s="151">
        <f>'Statement Y'!G119</f>
        <v>0</v>
      </c>
    </row>
    <row r="45" spans="2:12" x14ac:dyDescent="0.2">
      <c r="B45" s="1" t="str">
        <f>'Statement Y'!B120</f>
        <v>Accumulated depreciation</v>
      </c>
      <c r="C45" s="151">
        <f>'Statement Y'!C120</f>
        <v>0</v>
      </c>
      <c r="D45" s="151">
        <f>'Statement Y'!D120</f>
        <v>0</v>
      </c>
      <c r="E45" s="151">
        <f>'Statement Y'!E120</f>
        <v>0</v>
      </c>
      <c r="F45" s="151">
        <f>'Statement Y'!F120</f>
        <v>0</v>
      </c>
      <c r="G45" s="151">
        <f>'Statement Y'!G120</f>
        <v>0</v>
      </c>
    </row>
    <row r="46" spans="2:12" x14ac:dyDescent="0.2">
      <c r="B46" s="1" t="s">
        <v>230</v>
      </c>
      <c r="C46" s="153" t="e">
        <f>C17/C16</f>
        <v>#DIV/0!</v>
      </c>
      <c r="D46" s="153" t="e">
        <f t="shared" ref="D46:G46" si="19">D17/D16</f>
        <v>#DIV/0!</v>
      </c>
      <c r="E46" s="153" t="e">
        <f t="shared" si="19"/>
        <v>#DIV/0!</v>
      </c>
      <c r="F46" s="153" t="e">
        <f t="shared" si="19"/>
        <v>#DIV/0!</v>
      </c>
      <c r="G46" s="153" t="e">
        <f t="shared" si="19"/>
        <v>#DIV/0!</v>
      </c>
    </row>
    <row r="47" spans="2:12" x14ac:dyDescent="0.2">
      <c r="B47" s="1" t="s">
        <v>231</v>
      </c>
      <c r="C47" s="115" t="e">
        <f>C45/C44</f>
        <v>#DIV/0!</v>
      </c>
      <c r="D47" s="115" t="e">
        <f t="shared" ref="D47:G47" si="20">D45/D44</f>
        <v>#DIV/0!</v>
      </c>
      <c r="E47" s="115" t="e">
        <f t="shared" si="20"/>
        <v>#DIV/0!</v>
      </c>
      <c r="F47" s="115" t="e">
        <f t="shared" si="20"/>
        <v>#DIV/0!</v>
      </c>
      <c r="G47" s="115" t="e">
        <f t="shared" si="20"/>
        <v>#DIV/0!</v>
      </c>
    </row>
    <row r="50" spans="2:3" x14ac:dyDescent="0.2">
      <c r="B50" s="223" t="s">
        <v>232</v>
      </c>
      <c r="C50" s="223"/>
    </row>
    <row r="51" spans="2:3" x14ac:dyDescent="0.2">
      <c r="B51" s="1" t="s">
        <v>233</v>
      </c>
      <c r="C51" s="107">
        <f>AVERAGE(C44:G44)</f>
        <v>0</v>
      </c>
    </row>
    <row r="52" spans="2:3" x14ac:dyDescent="0.2">
      <c r="B52" s="1" t="s">
        <v>234</v>
      </c>
      <c r="C52" s="107">
        <f>AVERAGE(C16:G16)</f>
        <v>0</v>
      </c>
    </row>
    <row r="53" spans="2:3" x14ac:dyDescent="0.2">
      <c r="B53" s="1" t="s">
        <v>235</v>
      </c>
      <c r="C53" s="153" t="e">
        <f>C51/C52</f>
        <v>#DIV/0!</v>
      </c>
    </row>
  </sheetData>
  <mergeCells count="14">
    <mergeCell ref="C5:G5"/>
    <mergeCell ref="H5:L5"/>
    <mergeCell ref="P5:W5"/>
    <mergeCell ref="X5:Z5"/>
    <mergeCell ref="C7:L7"/>
    <mergeCell ref="P7:Z7"/>
    <mergeCell ref="B50:C50"/>
    <mergeCell ref="C12:L12"/>
    <mergeCell ref="P12:Z12"/>
    <mergeCell ref="C20:L20"/>
    <mergeCell ref="P20:Z20"/>
    <mergeCell ref="C30:L30"/>
    <mergeCell ref="C42:G42"/>
    <mergeCell ref="B37:C37"/>
  </mergeCells>
  <dataValidations count="1">
    <dataValidation type="list" allowBlank="1" showInputMessage="1" showErrorMessage="1" sqref="C3" xr:uid="{7B0EB6A4-3658-0541-ACD6-B6D16EB047D2}">
      <formula1>"1,2"</formula1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4A874-4DF0-8F42-97BC-BCAD909879A3}">
  <dimension ref="A1:AB44"/>
  <sheetViews>
    <sheetView zoomScale="174" zoomScaleNormal="100" workbookViewId="0">
      <selection activeCell="H33" sqref="H33"/>
    </sheetView>
  </sheetViews>
  <sheetFormatPr baseColWidth="10" defaultRowHeight="16" x14ac:dyDescent="0.2"/>
  <cols>
    <col min="1" max="1" width="2" style="102" customWidth="1"/>
    <col min="2" max="2" width="28.6640625" style="1" customWidth="1"/>
    <col min="3" max="3" width="10.83203125" style="1"/>
    <col min="4" max="4" width="10.83203125" style="1" customWidth="1"/>
    <col min="5" max="7" width="10.83203125" style="1"/>
    <col min="8" max="8" width="10.83203125" style="1" customWidth="1"/>
    <col min="9" max="12" width="10.83203125" style="1"/>
    <col min="13" max="14" width="9.5" style="1" customWidth="1"/>
    <col min="15" max="15" width="24.6640625" style="1" customWidth="1"/>
    <col min="16" max="26" width="10.83203125" style="1"/>
    <col min="27" max="27" width="2" style="1" customWidth="1"/>
    <col min="28" max="28" width="12.33203125" style="1" customWidth="1"/>
    <col min="29" max="16384" width="10.83203125" style="1"/>
  </cols>
  <sheetData>
    <row r="1" spans="1:28" s="102" customFormat="1" ht="18" customHeight="1" x14ac:dyDescent="0.2">
      <c r="A1" s="103"/>
      <c r="B1" s="104" t="s">
        <v>244</v>
      </c>
    </row>
    <row r="2" spans="1:28" s="102" customFormat="1" ht="18" customHeight="1" x14ac:dyDescent="0.2">
      <c r="A2" s="103"/>
      <c r="B2" s="104"/>
    </row>
    <row r="3" spans="1:28" s="102" customFormat="1" ht="18" customHeight="1" x14ac:dyDescent="0.2">
      <c r="A3" s="103"/>
      <c r="B3" s="142" t="str">
        <f>"CapEx:"&amp;CHOOSE(C3," as a % of Intangibles"," as a % of revenue")</f>
        <v>CapEx: as a % of revenue</v>
      </c>
      <c r="C3" s="62">
        <v>2</v>
      </c>
    </row>
    <row r="4" spans="1:28" s="102" customFormat="1" ht="18" customHeight="1" x14ac:dyDescent="0.2">
      <c r="A4" s="103"/>
      <c r="B4" s="104"/>
    </row>
    <row r="5" spans="1:28" x14ac:dyDescent="0.2">
      <c r="A5" s="103"/>
      <c r="C5" s="223" t="s">
        <v>168</v>
      </c>
      <c r="D5" s="223"/>
      <c r="E5" s="223"/>
      <c r="F5" s="223"/>
      <c r="G5" s="226"/>
      <c r="H5" s="227" t="s">
        <v>169</v>
      </c>
      <c r="I5" s="223"/>
      <c r="J5" s="223"/>
      <c r="K5" s="223"/>
      <c r="L5" s="223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B5" s="143"/>
    </row>
    <row r="6" spans="1:28" ht="10" customHeight="1" x14ac:dyDescent="0.2"/>
    <row r="7" spans="1:28" ht="16" customHeight="1" x14ac:dyDescent="0.2">
      <c r="A7" s="108"/>
      <c r="B7" s="92"/>
      <c r="C7" s="222" t="s">
        <v>178</v>
      </c>
      <c r="D7" s="222"/>
      <c r="E7" s="222"/>
      <c r="F7" s="222"/>
      <c r="G7" s="222"/>
      <c r="H7" s="222"/>
      <c r="I7" s="222"/>
      <c r="J7" s="222"/>
      <c r="K7" s="222"/>
      <c r="L7" s="222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  <c r="AB7" s="144"/>
    </row>
    <row r="8" spans="1:28" x14ac:dyDescent="0.2">
      <c r="B8" s="7" t="s">
        <v>179</v>
      </c>
      <c r="C8" s="62">
        <f>'Statement Y'!D3</f>
        <v>2021</v>
      </c>
      <c r="D8" s="62">
        <f>'Statement Y'!E3</f>
        <v>2022</v>
      </c>
      <c r="E8" s="62">
        <f>'Statement Y'!F3</f>
        <v>2023</v>
      </c>
      <c r="F8" s="62">
        <f>'Statement Y'!G3</f>
        <v>2024</v>
      </c>
      <c r="G8" s="62">
        <f>'Statement Y'!H3</f>
        <v>2025</v>
      </c>
      <c r="H8" s="62">
        <f>G8+1</f>
        <v>2026</v>
      </c>
      <c r="I8" s="62">
        <f t="shared" ref="I8:L8" si="0">H8+1</f>
        <v>2027</v>
      </c>
      <c r="J8" s="62">
        <f t="shared" si="0"/>
        <v>2028</v>
      </c>
      <c r="K8" s="62">
        <f t="shared" si="0"/>
        <v>2029</v>
      </c>
      <c r="L8" s="62">
        <f t="shared" si="0"/>
        <v>2030</v>
      </c>
      <c r="O8" s="7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B8" s="144"/>
    </row>
    <row r="9" spans="1:28" x14ac:dyDescent="0.2">
      <c r="B9" s="7" t="s">
        <v>6</v>
      </c>
      <c r="C9" s="110">
        <f>'Statement Y'!D5</f>
        <v>0</v>
      </c>
      <c r="D9" s="110">
        <f>'Statement Y'!E5</f>
        <v>0</v>
      </c>
      <c r="E9" s="110">
        <f>'Statement Y'!F5</f>
        <v>0</v>
      </c>
      <c r="F9" s="110">
        <f>'Statement Y'!G5</f>
        <v>0</v>
      </c>
      <c r="G9" s="111">
        <f>'Statement Y'!H5</f>
        <v>0</v>
      </c>
      <c r="H9" s="112" t="e">
        <f>Revenue!H12</f>
        <v>#REF!</v>
      </c>
      <c r="I9" s="112" t="e">
        <f>Revenue!I12</f>
        <v>#REF!</v>
      </c>
      <c r="J9" s="112" t="e">
        <f>Revenue!J12</f>
        <v>#REF!</v>
      </c>
      <c r="K9" s="112" t="e">
        <f>Revenue!K12</f>
        <v>#REF!</v>
      </c>
      <c r="L9" s="112" t="e">
        <f>Revenue!L12</f>
        <v>#REF!</v>
      </c>
      <c r="N9" s="91"/>
      <c r="O9" s="7"/>
      <c r="P9" s="110"/>
      <c r="Q9" s="110"/>
      <c r="R9" s="110"/>
      <c r="S9" s="110"/>
      <c r="T9" s="110"/>
      <c r="U9" s="110"/>
      <c r="V9" s="110"/>
      <c r="W9" s="110"/>
      <c r="X9" s="112"/>
      <c r="Y9" s="112"/>
      <c r="Z9" s="112"/>
      <c r="AB9" s="112"/>
    </row>
    <row r="10" spans="1:28" x14ac:dyDescent="0.2">
      <c r="N10" s="91"/>
    </row>
    <row r="11" spans="1:28" x14ac:dyDescent="0.2">
      <c r="N11" s="91"/>
    </row>
    <row r="12" spans="1:28" x14ac:dyDescent="0.2">
      <c r="C12" s="222" t="s">
        <v>24</v>
      </c>
      <c r="D12" s="222"/>
      <c r="E12" s="222"/>
      <c r="F12" s="222"/>
      <c r="G12" s="222"/>
      <c r="H12" s="222"/>
      <c r="I12" s="222"/>
      <c r="J12" s="222"/>
      <c r="K12" s="222"/>
      <c r="L12" s="222"/>
      <c r="N12" s="91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B12" s="144"/>
    </row>
    <row r="13" spans="1:28" x14ac:dyDescent="0.2">
      <c r="B13" s="7" t="s">
        <v>216</v>
      </c>
      <c r="C13" s="62">
        <f t="shared" ref="C13:L13" si="1">C8</f>
        <v>2021</v>
      </c>
      <c r="D13" s="62">
        <f t="shared" si="1"/>
        <v>2022</v>
      </c>
      <c r="E13" s="62">
        <f t="shared" si="1"/>
        <v>2023</v>
      </c>
      <c r="F13" s="62">
        <f t="shared" si="1"/>
        <v>2024</v>
      </c>
      <c r="G13" s="62">
        <f t="shared" si="1"/>
        <v>2025</v>
      </c>
      <c r="H13" s="62">
        <f t="shared" si="1"/>
        <v>2026</v>
      </c>
      <c r="I13" s="62">
        <f t="shared" si="1"/>
        <v>2027</v>
      </c>
      <c r="J13" s="62">
        <f t="shared" si="1"/>
        <v>2028</v>
      </c>
      <c r="K13" s="62">
        <f t="shared" si="1"/>
        <v>2029</v>
      </c>
      <c r="L13" s="62">
        <f t="shared" si="1"/>
        <v>2030</v>
      </c>
      <c r="N13" s="91"/>
      <c r="O13" s="7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B13" s="144"/>
    </row>
    <row r="14" spans="1:28" x14ac:dyDescent="0.2">
      <c r="B14" s="7" t="s">
        <v>245</v>
      </c>
      <c r="C14" s="21">
        <f>'Statement Y'!C34</f>
        <v>0</v>
      </c>
      <c r="D14" s="149">
        <f>C17</f>
        <v>0</v>
      </c>
      <c r="E14" s="149">
        <f t="shared" ref="E14:G14" si="2">D17</f>
        <v>0</v>
      </c>
      <c r="F14" s="149">
        <f t="shared" si="2"/>
        <v>0</v>
      </c>
      <c r="G14" s="150">
        <f t="shared" si="2"/>
        <v>0</v>
      </c>
      <c r="H14" s="21">
        <f>G17</f>
        <v>0</v>
      </c>
      <c r="I14" s="21" t="e">
        <f t="shared" ref="I14:L14" ca="1" si="3">H17</f>
        <v>#DIV/0!</v>
      </c>
      <c r="J14" s="21" t="e">
        <f t="shared" ca="1" si="3"/>
        <v>#DIV/0!</v>
      </c>
      <c r="K14" s="21" t="e">
        <f t="shared" ca="1" si="3"/>
        <v>#DIV/0!</v>
      </c>
      <c r="L14" s="21" t="e">
        <f t="shared" ca="1" si="3"/>
        <v>#DIV/0!</v>
      </c>
      <c r="N14" s="91"/>
      <c r="O14" s="7"/>
      <c r="P14" s="146"/>
      <c r="Q14" s="146"/>
      <c r="R14" s="146"/>
      <c r="S14" s="146"/>
      <c r="T14" s="146"/>
      <c r="U14" s="146"/>
      <c r="V14" s="146"/>
      <c r="W14" s="146"/>
      <c r="X14" s="21"/>
      <c r="Y14" s="21"/>
      <c r="Z14" s="21"/>
      <c r="AB14" s="20"/>
    </row>
    <row r="15" spans="1:28" x14ac:dyDescent="0.2">
      <c r="B15" s="1" t="s">
        <v>44</v>
      </c>
      <c r="C15" s="151">
        <f>-'Statement Y'!D79</f>
        <v>0</v>
      </c>
      <c r="D15" s="151">
        <f>-'Statement Y'!E79</f>
        <v>0</v>
      </c>
      <c r="E15" s="151">
        <f>-'Statement Y'!F79</f>
        <v>0</v>
      </c>
      <c r="F15" s="151">
        <f>-'Statement Y'!G79</f>
        <v>0</v>
      </c>
      <c r="G15" s="152">
        <f>-'Statement Y'!H79</f>
        <v>0</v>
      </c>
      <c r="H15" s="20" t="e">
        <f>CHOOSE($C$3,H24*H14,H25*H9)</f>
        <v>#DIV/0!</v>
      </c>
      <c r="I15" s="20" t="e">
        <f>CHOOSE($C$3,I24*I14,I25*I9)</f>
        <v>#DIV/0!</v>
      </c>
      <c r="J15" s="20" t="e">
        <f>CHOOSE($C$3,J24*J14,J25*J9)</f>
        <v>#REF!</v>
      </c>
      <c r="K15" s="20" t="e">
        <f>CHOOSE($C$3,K24*K14,K25*K9)</f>
        <v>#REF!</v>
      </c>
      <c r="L15" s="20" t="e">
        <f>CHOOSE($C$3,L24*L14,L25*L9)</f>
        <v>#REF!</v>
      </c>
      <c r="N15" s="91"/>
      <c r="P15" s="147"/>
      <c r="Q15" s="147"/>
      <c r="R15" s="147"/>
      <c r="S15" s="147"/>
      <c r="T15" s="147"/>
      <c r="U15" s="147"/>
      <c r="V15" s="147"/>
      <c r="W15" s="147"/>
      <c r="X15" s="34"/>
      <c r="Y15" s="20"/>
      <c r="Z15" s="20"/>
      <c r="AB15" s="20"/>
    </row>
    <row r="16" spans="1:28" x14ac:dyDescent="0.2">
      <c r="B16" s="1" t="s">
        <v>98</v>
      </c>
      <c r="C16" s="113">
        <f>'Statement Y'!D116</f>
        <v>0</v>
      </c>
      <c r="D16" s="113">
        <f>'Statement Y'!E116</f>
        <v>0</v>
      </c>
      <c r="E16" s="113">
        <f>'Statement Y'!F116</f>
        <v>0</v>
      </c>
      <c r="F16" s="113">
        <f>'Statement Y'!G116</f>
        <v>0</v>
      </c>
      <c r="G16" s="121">
        <f>'Statement Y'!H116</f>
        <v>0</v>
      </c>
      <c r="H16" s="20" t="e">
        <f ca="1">H38+H43</f>
        <v>#DIV/0!</v>
      </c>
      <c r="I16" s="20" t="e">
        <f t="shared" ref="I16:L16" ca="1" si="4">I38+I43</f>
        <v>#DIV/0!</v>
      </c>
      <c r="J16" s="20" t="e">
        <f t="shared" ca="1" si="4"/>
        <v>#DIV/0!</v>
      </c>
      <c r="K16" s="20" t="e">
        <f t="shared" ca="1" si="4"/>
        <v>#DIV/0!</v>
      </c>
      <c r="L16" s="20" t="e">
        <f t="shared" ca="1" si="4"/>
        <v>#DIV/0!</v>
      </c>
      <c r="M16" s="125"/>
      <c r="N16" s="125"/>
      <c r="P16" s="147"/>
      <c r="Q16" s="147"/>
      <c r="R16" s="147"/>
      <c r="S16" s="147"/>
      <c r="T16" s="147"/>
      <c r="U16" s="147"/>
      <c r="V16" s="147"/>
      <c r="W16" s="147"/>
      <c r="X16" s="34"/>
      <c r="Y16" s="20"/>
      <c r="Z16" s="20"/>
      <c r="AB16" s="20"/>
    </row>
    <row r="17" spans="2:28" x14ac:dyDescent="0.2">
      <c r="B17" s="7" t="s">
        <v>246</v>
      </c>
      <c r="C17" s="139">
        <f>'Statement Y'!D34</f>
        <v>0</v>
      </c>
      <c r="D17" s="139">
        <f>'Statement Y'!E34</f>
        <v>0</v>
      </c>
      <c r="E17" s="139">
        <f>'Statement Y'!F34</f>
        <v>0</v>
      </c>
      <c r="F17" s="139">
        <f>'Statement Y'!G34</f>
        <v>0</v>
      </c>
      <c r="G17" s="140">
        <f>'Statement Y'!H34</f>
        <v>0</v>
      </c>
      <c r="H17" s="21" t="e">
        <f ca="1">H14+H15-H16</f>
        <v>#DIV/0!</v>
      </c>
      <c r="I17" s="21" t="e">
        <f t="shared" ref="I17:L17" ca="1" si="5">I14+I15-I16</f>
        <v>#DIV/0!</v>
      </c>
      <c r="J17" s="21" t="e">
        <f t="shared" ca="1" si="5"/>
        <v>#DIV/0!</v>
      </c>
      <c r="K17" s="21" t="e">
        <f t="shared" ca="1" si="5"/>
        <v>#DIV/0!</v>
      </c>
      <c r="L17" s="21" t="e">
        <f t="shared" ca="1" si="5"/>
        <v>#DIV/0!</v>
      </c>
      <c r="M17" s="125"/>
      <c r="N17" s="125"/>
      <c r="O17" s="7"/>
      <c r="P17" s="146"/>
      <c r="Q17" s="146"/>
      <c r="R17" s="146"/>
      <c r="S17" s="146"/>
      <c r="T17" s="146"/>
      <c r="U17" s="146"/>
      <c r="V17" s="146"/>
      <c r="W17" s="146"/>
      <c r="X17" s="21"/>
      <c r="Y17" s="21"/>
      <c r="Z17" s="21"/>
      <c r="AB17" s="20"/>
    </row>
    <row r="18" spans="2:28" x14ac:dyDescent="0.2">
      <c r="D18" s="20"/>
    </row>
    <row r="20" spans="2:28" x14ac:dyDescent="0.2">
      <c r="C20" s="222" t="s">
        <v>226</v>
      </c>
      <c r="D20" s="222"/>
      <c r="E20" s="222"/>
      <c r="F20" s="222"/>
      <c r="G20" s="222"/>
      <c r="H20" s="222"/>
      <c r="I20" s="222"/>
      <c r="J20" s="222"/>
      <c r="K20" s="222"/>
      <c r="L20" s="222"/>
    </row>
    <row r="21" spans="2:28" x14ac:dyDescent="0.2">
      <c r="B21" s="7" t="s">
        <v>219</v>
      </c>
      <c r="C21" s="62">
        <f t="shared" ref="C21:L21" si="6">C8</f>
        <v>2021</v>
      </c>
      <c r="D21" s="62">
        <f t="shared" si="6"/>
        <v>2022</v>
      </c>
      <c r="E21" s="62">
        <f t="shared" si="6"/>
        <v>2023</v>
      </c>
      <c r="F21" s="62">
        <f t="shared" si="6"/>
        <v>2024</v>
      </c>
      <c r="G21" s="62">
        <f t="shared" si="6"/>
        <v>2025</v>
      </c>
      <c r="H21" s="62">
        <f t="shared" si="6"/>
        <v>2026</v>
      </c>
      <c r="I21" s="62">
        <f t="shared" si="6"/>
        <v>2027</v>
      </c>
      <c r="J21" s="62">
        <f t="shared" si="6"/>
        <v>2028</v>
      </c>
      <c r="K21" s="62">
        <f t="shared" si="6"/>
        <v>2029</v>
      </c>
      <c r="L21" s="62">
        <f t="shared" si="6"/>
        <v>2030</v>
      </c>
    </row>
    <row r="22" spans="2:28" x14ac:dyDescent="0.2">
      <c r="B22" s="1" t="s">
        <v>247</v>
      </c>
      <c r="C22" s="115" t="e">
        <f t="shared" ref="C22:L22" si="7">C16/C14</f>
        <v>#DIV/0!</v>
      </c>
      <c r="D22" s="115" t="e">
        <f t="shared" si="7"/>
        <v>#DIV/0!</v>
      </c>
      <c r="E22" s="115" t="e">
        <f t="shared" si="7"/>
        <v>#DIV/0!</v>
      </c>
      <c r="F22" s="115" t="e">
        <f t="shared" si="7"/>
        <v>#DIV/0!</v>
      </c>
      <c r="G22" s="116" t="e">
        <f t="shared" si="7"/>
        <v>#DIV/0!</v>
      </c>
      <c r="H22" s="115" t="e">
        <f t="shared" ca="1" si="7"/>
        <v>#DIV/0!</v>
      </c>
      <c r="I22" s="115" t="e">
        <f t="shared" ca="1" si="7"/>
        <v>#DIV/0!</v>
      </c>
      <c r="J22" s="115" t="e">
        <f t="shared" ca="1" si="7"/>
        <v>#DIV/0!</v>
      </c>
      <c r="K22" s="115" t="e">
        <f t="shared" ca="1" si="7"/>
        <v>#DIV/0!</v>
      </c>
      <c r="L22" s="115" t="e">
        <f t="shared" ca="1" si="7"/>
        <v>#DIV/0!</v>
      </c>
    </row>
    <row r="23" spans="2:28" x14ac:dyDescent="0.2">
      <c r="B23" s="1" t="s">
        <v>221</v>
      </c>
      <c r="C23" s="115" t="e">
        <f t="shared" ref="C23:L23" si="8">C16/C9</f>
        <v>#DIV/0!</v>
      </c>
      <c r="D23" s="115" t="e">
        <f t="shared" si="8"/>
        <v>#DIV/0!</v>
      </c>
      <c r="E23" s="115" t="e">
        <f t="shared" si="8"/>
        <v>#DIV/0!</v>
      </c>
      <c r="F23" s="115" t="e">
        <f t="shared" si="8"/>
        <v>#DIV/0!</v>
      </c>
      <c r="G23" s="116" t="e">
        <f t="shared" si="8"/>
        <v>#DIV/0!</v>
      </c>
      <c r="H23" s="115" t="e">
        <f t="shared" ca="1" si="8"/>
        <v>#DIV/0!</v>
      </c>
      <c r="I23" s="115" t="e">
        <f t="shared" ca="1" si="8"/>
        <v>#DIV/0!</v>
      </c>
      <c r="J23" s="115" t="e">
        <f t="shared" ca="1" si="8"/>
        <v>#DIV/0!</v>
      </c>
      <c r="K23" s="115" t="e">
        <f t="shared" ca="1" si="8"/>
        <v>#DIV/0!</v>
      </c>
      <c r="L23" s="115" t="e">
        <f t="shared" ca="1" si="8"/>
        <v>#DIV/0!</v>
      </c>
    </row>
    <row r="24" spans="2:28" x14ac:dyDescent="0.2">
      <c r="B24" s="92" t="s">
        <v>248</v>
      </c>
      <c r="C24" s="115" t="e">
        <f>C15/C14</f>
        <v>#DIV/0!</v>
      </c>
      <c r="D24" s="115" t="e">
        <f>D15/D14</f>
        <v>#DIV/0!</v>
      </c>
      <c r="E24" s="115" t="e">
        <f>E15/E14</f>
        <v>#DIV/0!</v>
      </c>
      <c r="F24" s="115" t="e">
        <f>F15/F14</f>
        <v>#DIV/0!</v>
      </c>
      <c r="G24" s="116" t="e">
        <f>G15/G14</f>
        <v>#DIV/0!</v>
      </c>
      <c r="H24" s="118">
        <v>0.75</v>
      </c>
      <c r="I24" s="118">
        <f>$H$24</f>
        <v>0.75</v>
      </c>
      <c r="J24" s="118">
        <v>0.6</v>
      </c>
      <c r="K24" s="118">
        <v>0.55000000000000004</v>
      </c>
      <c r="L24" s="118">
        <v>0.5</v>
      </c>
    </row>
    <row r="25" spans="2:28" x14ac:dyDescent="0.2">
      <c r="B25" s="92" t="s">
        <v>223</v>
      </c>
      <c r="C25" s="115" t="e">
        <f>C15/C9</f>
        <v>#DIV/0!</v>
      </c>
      <c r="D25" s="115" t="e">
        <f>D15/D9</f>
        <v>#DIV/0!</v>
      </c>
      <c r="E25" s="115" t="e">
        <f>E15/E9</f>
        <v>#DIV/0!</v>
      </c>
      <c r="F25" s="115" t="e">
        <f>F15/F9</f>
        <v>#DIV/0!</v>
      </c>
      <c r="G25" s="116" t="e">
        <f>G15/G9</f>
        <v>#DIV/0!</v>
      </c>
      <c r="H25" s="118" t="e">
        <f>AVERAGE(C25:G25)</f>
        <v>#DIV/0!</v>
      </c>
      <c r="I25" s="118" t="e">
        <f>$H$25</f>
        <v>#DIV/0!</v>
      </c>
      <c r="J25" s="118">
        <v>1.0999999999999999E-2</v>
      </c>
      <c r="K25" s="118">
        <v>0.01</v>
      </c>
      <c r="L25" s="118">
        <v>8.0000000000000002E-3</v>
      </c>
    </row>
    <row r="27" spans="2:28" x14ac:dyDescent="0.2">
      <c r="B27" s="228"/>
      <c r="C27" s="228"/>
    </row>
    <row r="28" spans="2:28" x14ac:dyDescent="0.2">
      <c r="B28" s="223" t="s">
        <v>249</v>
      </c>
      <c r="C28" s="223"/>
    </row>
    <row r="29" spans="2:28" x14ac:dyDescent="0.2">
      <c r="B29" s="1" t="s">
        <v>224</v>
      </c>
      <c r="C29" s="100">
        <v>3</v>
      </c>
    </row>
    <row r="31" spans="2:28" x14ac:dyDescent="0.2">
      <c r="C31" s="222" t="s">
        <v>250</v>
      </c>
      <c r="D31" s="222"/>
      <c r="E31" s="222"/>
      <c r="F31" s="222"/>
      <c r="G31" s="222"/>
      <c r="H31" s="222"/>
      <c r="I31" s="222"/>
      <c r="J31" s="222"/>
      <c r="K31" s="222"/>
      <c r="L31" s="222"/>
    </row>
    <row r="32" spans="2:28" x14ac:dyDescent="0.2">
      <c r="B32" s="7" t="s">
        <v>216</v>
      </c>
      <c r="C32" s="62">
        <f>C8</f>
        <v>2021</v>
      </c>
      <c r="D32" s="62">
        <f t="shared" ref="D32:L32" si="9">D8</f>
        <v>2022</v>
      </c>
      <c r="E32" s="62">
        <f t="shared" si="9"/>
        <v>2023</v>
      </c>
      <c r="F32" s="62">
        <f t="shared" si="9"/>
        <v>2024</v>
      </c>
      <c r="G32" s="62">
        <f t="shared" si="9"/>
        <v>2025</v>
      </c>
      <c r="H32" s="62">
        <f t="shared" si="9"/>
        <v>2026</v>
      </c>
      <c r="I32" s="62">
        <f t="shared" si="9"/>
        <v>2027</v>
      </c>
      <c r="J32" s="62">
        <f t="shared" si="9"/>
        <v>2028</v>
      </c>
      <c r="K32" s="62">
        <f t="shared" si="9"/>
        <v>2029</v>
      </c>
      <c r="L32" s="62">
        <f t="shared" si="9"/>
        <v>2030</v>
      </c>
    </row>
    <row r="33" spans="2:12" x14ac:dyDescent="0.2">
      <c r="B33" s="125">
        <f>H8</f>
        <v>2026</v>
      </c>
      <c r="C33" s="157"/>
      <c r="D33" s="157"/>
      <c r="E33" s="157"/>
      <c r="F33" s="157"/>
      <c r="G33" s="159"/>
      <c r="H33" s="20" t="e">
        <f ca="1">IF(COUNT($H$33:H33) &lt;= $C$29, $H$15/$C$29, 0)</f>
        <v>#DIV/0!</v>
      </c>
      <c r="I33" s="20" t="e">
        <f ca="1">IF(COUNT($H$33:I33) &lt;= $C$29, $H$15/$C$29, 0)</f>
        <v>#DIV/0!</v>
      </c>
      <c r="J33" s="20" t="e">
        <f ca="1">IF(COUNT($H$33:J33) &lt;= $C$29, $H$15/$C$29, 0)</f>
        <v>#DIV/0!</v>
      </c>
      <c r="K33" s="20" t="e">
        <f ca="1">IF(COUNT($H$33:K33) &lt;= $C$29, $H$15/$C$29, 0)</f>
        <v>#DIV/0!</v>
      </c>
      <c r="L33" s="20" t="e">
        <f ca="1">IF(COUNT($H$33:L33) &lt;= $C$29, $H$15/$C$29, 0)</f>
        <v>#DIV/0!</v>
      </c>
    </row>
    <row r="34" spans="2:12" x14ac:dyDescent="0.2">
      <c r="B34" s="125">
        <f>I8</f>
        <v>2027</v>
      </c>
      <c r="C34" s="157"/>
      <c r="D34" s="157"/>
      <c r="E34" s="157"/>
      <c r="F34" s="157"/>
      <c r="G34" s="159"/>
      <c r="H34" s="20"/>
      <c r="I34" s="20" t="e">
        <f ca="1">IF(COUNT($I$33:I33) &lt;= $C$29, $I$15/$C$29, 0)</f>
        <v>#DIV/0!</v>
      </c>
      <c r="J34" s="20" t="e">
        <f ca="1">IF(COUNT($I$33:J33) &lt;= $C$29, $I$15/$C$29, 0)</f>
        <v>#DIV/0!</v>
      </c>
      <c r="K34" s="20" t="e">
        <f ca="1">IF(COUNT($I$33:K33) &lt;= $C$29, $I$15/$C$29, 0)</f>
        <v>#DIV/0!</v>
      </c>
      <c r="L34" s="20" t="e">
        <f ca="1">IF(COUNT($I$33:L33) &lt;= $C$29, $I$15/$C$29, 0)</f>
        <v>#DIV/0!</v>
      </c>
    </row>
    <row r="35" spans="2:12" x14ac:dyDescent="0.2">
      <c r="B35" s="125">
        <f>J8</f>
        <v>2028</v>
      </c>
      <c r="C35" s="157"/>
      <c r="D35" s="157"/>
      <c r="E35" s="157"/>
      <c r="F35" s="157"/>
      <c r="G35" s="159"/>
      <c r="H35" s="20"/>
      <c r="I35" s="20"/>
      <c r="J35" s="20" t="e">
        <f ca="1">IF(COUNT($J$34:J34) &lt;= $C$29, $J$15/$C$29, 0)</f>
        <v>#REF!</v>
      </c>
      <c r="K35" s="20" t="e">
        <f ca="1">IF(COUNT($J$34:K34) &lt;= $C$29, $J$15/$C$29, 0)</f>
        <v>#REF!</v>
      </c>
      <c r="L35" s="20" t="e">
        <f ca="1">IF(COUNT($J$34:L34) &lt;= $C$29, $J$15/$C$29, 0)</f>
        <v>#REF!</v>
      </c>
    </row>
    <row r="36" spans="2:12" x14ac:dyDescent="0.2">
      <c r="B36" s="125">
        <f>K8</f>
        <v>2029</v>
      </c>
      <c r="C36" s="157"/>
      <c r="D36" s="157"/>
      <c r="E36" s="157"/>
      <c r="F36" s="157"/>
      <c r="G36" s="159"/>
      <c r="H36" s="20"/>
      <c r="I36" s="20"/>
      <c r="J36" s="20"/>
      <c r="K36" s="20" t="e">
        <f ca="1">IF(COUNT($K$36:K36) &lt;= $C$29, $K$15/$C$29, 0)</f>
        <v>#REF!</v>
      </c>
      <c r="L36" s="20" t="e">
        <f ca="1">IF(COUNT($K$36:L36) &lt;= $C$29, $K$15/$C$29, 0)</f>
        <v>#REF!</v>
      </c>
    </row>
    <row r="37" spans="2:12" x14ac:dyDescent="0.2">
      <c r="B37" s="154">
        <f>L8</f>
        <v>2030</v>
      </c>
      <c r="C37" s="157"/>
      <c r="D37" s="157"/>
      <c r="E37" s="157"/>
      <c r="F37" s="157"/>
      <c r="G37" s="159"/>
      <c r="H37" s="84"/>
      <c r="I37" s="84"/>
      <c r="J37" s="84"/>
      <c r="K37" s="84"/>
      <c r="L37" s="155" t="e">
        <f ca="1">IF(COUNT($L$37:L37) &lt;= $C$29, $L$15/$C$29, 0)</f>
        <v>#REF!</v>
      </c>
    </row>
    <row r="38" spans="2:12" x14ac:dyDescent="0.2">
      <c r="B38" s="77" t="s">
        <v>165</v>
      </c>
      <c r="C38" s="158"/>
      <c r="D38" s="158"/>
      <c r="E38" s="158"/>
      <c r="F38" s="158"/>
      <c r="G38" s="160"/>
      <c r="H38" s="156" t="e">
        <f ca="1">SUM(H33:H37)</f>
        <v>#DIV/0!</v>
      </c>
      <c r="I38" s="156" t="e">
        <f ca="1">SUM(I33:I37)</f>
        <v>#DIV/0!</v>
      </c>
      <c r="J38" s="156" t="e">
        <f t="shared" ref="J38:L38" ca="1" si="10">SUM(J33:J37)</f>
        <v>#DIV/0!</v>
      </c>
      <c r="K38" s="156" t="e">
        <f t="shared" ca="1" si="10"/>
        <v>#DIV/0!</v>
      </c>
      <c r="L38" s="156" t="e">
        <f t="shared" ca="1" si="10"/>
        <v>#DIV/0!</v>
      </c>
    </row>
    <row r="40" spans="2:12" x14ac:dyDescent="0.2">
      <c r="B40" s="228"/>
      <c r="C40" s="228"/>
    </row>
    <row r="41" spans="2:12" x14ac:dyDescent="0.2">
      <c r="C41" s="222" t="s">
        <v>251</v>
      </c>
      <c r="D41" s="222"/>
      <c r="E41" s="222"/>
      <c r="F41" s="222"/>
      <c r="G41" s="222"/>
      <c r="H41" s="222"/>
      <c r="I41" s="222"/>
      <c r="J41" s="222"/>
      <c r="K41" s="222"/>
      <c r="L41" s="222"/>
    </row>
    <row r="42" spans="2:12" x14ac:dyDescent="0.2">
      <c r="B42" s="7" t="s">
        <v>216</v>
      </c>
      <c r="C42" s="62">
        <f>C8</f>
        <v>2021</v>
      </c>
      <c r="D42" s="62">
        <f t="shared" ref="D42:L42" si="11">D8</f>
        <v>2022</v>
      </c>
      <c r="E42" s="62">
        <f t="shared" si="11"/>
        <v>2023</v>
      </c>
      <c r="F42" s="62">
        <f t="shared" si="11"/>
        <v>2024</v>
      </c>
      <c r="G42" s="62">
        <f t="shared" si="11"/>
        <v>2025</v>
      </c>
      <c r="H42" s="62">
        <f t="shared" si="11"/>
        <v>2026</v>
      </c>
      <c r="I42" s="62">
        <f t="shared" si="11"/>
        <v>2027</v>
      </c>
      <c r="J42" s="62">
        <f t="shared" si="11"/>
        <v>2028</v>
      </c>
      <c r="K42" s="62">
        <f t="shared" si="11"/>
        <v>2029</v>
      </c>
      <c r="L42" s="62">
        <f t="shared" si="11"/>
        <v>2030</v>
      </c>
    </row>
    <row r="43" spans="2:12" x14ac:dyDescent="0.2">
      <c r="B43" s="1" t="s">
        <v>98</v>
      </c>
      <c r="C43" s="157"/>
      <c r="D43" s="157"/>
      <c r="E43" s="157"/>
      <c r="F43" s="157"/>
      <c r="G43" s="159"/>
      <c r="H43" s="185">
        <v>12084</v>
      </c>
      <c r="I43" s="185">
        <v>8778</v>
      </c>
      <c r="J43" s="185">
        <v>4396</v>
      </c>
      <c r="K43" s="185">
        <v>1726</v>
      </c>
      <c r="L43" s="185">
        <v>1073</v>
      </c>
    </row>
    <row r="44" spans="2:12" x14ac:dyDescent="0.2">
      <c r="G44" s="184"/>
    </row>
  </sheetData>
  <mergeCells count="14">
    <mergeCell ref="P12:Z12"/>
    <mergeCell ref="C20:L20"/>
    <mergeCell ref="B27:C27"/>
    <mergeCell ref="C5:G5"/>
    <mergeCell ref="H5:L5"/>
    <mergeCell ref="P5:W5"/>
    <mergeCell ref="X5:Z5"/>
    <mergeCell ref="C7:L7"/>
    <mergeCell ref="P7:Z7"/>
    <mergeCell ref="B40:C40"/>
    <mergeCell ref="B28:C28"/>
    <mergeCell ref="C31:L31"/>
    <mergeCell ref="C41:L41"/>
    <mergeCell ref="C12:L12"/>
  </mergeCells>
  <dataValidations count="1">
    <dataValidation type="list" allowBlank="1" showInputMessage="1" showErrorMessage="1" sqref="C3" xr:uid="{4B588CCE-B4FF-384B-9E03-C176DEB70053}">
      <formula1>"1,2"</formula1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0C3B7-6628-C84A-B067-82A3A0651DF1}">
  <dimension ref="A1:AB43"/>
  <sheetViews>
    <sheetView topLeftCell="A30" zoomScale="189" zoomScaleNormal="100" workbookViewId="0">
      <selection activeCell="H27" sqref="H27"/>
    </sheetView>
  </sheetViews>
  <sheetFormatPr baseColWidth="10" defaultRowHeight="16" x14ac:dyDescent="0.2"/>
  <cols>
    <col min="1" max="1" width="2" style="102" customWidth="1"/>
    <col min="2" max="2" width="34.6640625" style="1" customWidth="1"/>
    <col min="3" max="3" width="10.83203125" style="1"/>
    <col min="4" max="4" width="10.83203125" style="1" customWidth="1"/>
    <col min="5" max="7" width="10.83203125" style="1"/>
    <col min="8" max="8" width="10.83203125" style="1" customWidth="1"/>
    <col min="9" max="12" width="10.83203125" style="1"/>
    <col min="13" max="13" width="28" style="1" customWidth="1"/>
    <col min="14" max="14" width="9.5" style="1" customWidth="1"/>
    <col min="15" max="15" width="24.6640625" style="1" customWidth="1"/>
    <col min="16" max="26" width="10.83203125" style="1"/>
    <col min="27" max="27" width="2" style="1" customWidth="1"/>
    <col min="28" max="28" width="12.33203125" style="1" customWidth="1"/>
    <col min="29" max="16384" width="10.83203125" style="1"/>
  </cols>
  <sheetData>
    <row r="1" spans="1:28" s="102" customFormat="1" ht="18" customHeight="1" x14ac:dyDescent="0.2">
      <c r="A1" s="103"/>
      <c r="B1" s="104" t="s">
        <v>237</v>
      </c>
    </row>
    <row r="2" spans="1:28" s="102" customFormat="1" ht="18" customHeight="1" x14ac:dyDescent="0.2">
      <c r="A2" s="103"/>
      <c r="B2" s="104"/>
    </row>
    <row r="3" spans="1:28" x14ac:dyDescent="0.2">
      <c r="A3" s="103"/>
      <c r="C3" s="223" t="s">
        <v>168</v>
      </c>
      <c r="D3" s="223"/>
      <c r="E3" s="223"/>
      <c r="F3" s="223"/>
      <c r="G3" s="226"/>
      <c r="H3" s="227" t="s">
        <v>169</v>
      </c>
      <c r="I3" s="223"/>
      <c r="J3" s="223"/>
      <c r="K3" s="223"/>
      <c r="L3" s="223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B3" s="143"/>
    </row>
    <row r="4" spans="1:28" ht="10" customHeight="1" x14ac:dyDescent="0.2"/>
    <row r="5" spans="1:28" ht="16" customHeight="1" x14ac:dyDescent="0.2">
      <c r="A5" s="108"/>
      <c r="B5" s="92"/>
      <c r="C5" s="222" t="s">
        <v>178</v>
      </c>
      <c r="D5" s="222"/>
      <c r="E5" s="222"/>
      <c r="F5" s="222"/>
      <c r="G5" s="222"/>
      <c r="H5" s="222"/>
      <c r="I5" s="222"/>
      <c r="J5" s="222"/>
      <c r="K5" s="222"/>
      <c r="L5" s="222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B5" s="144"/>
    </row>
    <row r="6" spans="1:28" x14ac:dyDescent="0.2">
      <c r="B6" s="7" t="s">
        <v>179</v>
      </c>
      <c r="C6" s="62">
        <f>'Statement Y'!D3</f>
        <v>2021</v>
      </c>
      <c r="D6" s="62">
        <f>'Statement Y'!E3</f>
        <v>2022</v>
      </c>
      <c r="E6" s="62">
        <f>'Statement Y'!F3</f>
        <v>2023</v>
      </c>
      <c r="F6" s="62">
        <f>'Statement Y'!G3</f>
        <v>2024</v>
      </c>
      <c r="G6" s="62">
        <f>'Statement Y'!H3</f>
        <v>2025</v>
      </c>
      <c r="H6" s="62">
        <f>G6+1</f>
        <v>2026</v>
      </c>
      <c r="I6" s="62">
        <f t="shared" ref="I6:L6" si="0">H6+1</f>
        <v>2027</v>
      </c>
      <c r="J6" s="62">
        <f t="shared" si="0"/>
        <v>2028</v>
      </c>
      <c r="K6" s="62">
        <f t="shared" si="0"/>
        <v>2029</v>
      </c>
      <c r="L6" s="62">
        <f t="shared" si="0"/>
        <v>2030</v>
      </c>
      <c r="O6" s="7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B6" s="144"/>
    </row>
    <row r="7" spans="1:28" x14ac:dyDescent="0.2">
      <c r="B7" s="7" t="s">
        <v>6</v>
      </c>
      <c r="C7" s="110">
        <f>'Statement Y'!D5</f>
        <v>0</v>
      </c>
      <c r="D7" s="110">
        <f>'Statement Y'!E5</f>
        <v>0</v>
      </c>
      <c r="E7" s="110">
        <f>'Statement Y'!F5</f>
        <v>0</v>
      </c>
      <c r="F7" s="110">
        <f>'Statement Y'!G5</f>
        <v>0</v>
      </c>
      <c r="G7" s="111">
        <f>'Statement Y'!H5</f>
        <v>0</v>
      </c>
      <c r="H7" s="110" t="e">
        <f>Revenue!H12</f>
        <v>#REF!</v>
      </c>
      <c r="I7" s="110" t="e">
        <f>Revenue!I12</f>
        <v>#REF!</v>
      </c>
      <c r="J7" s="110" t="e">
        <f>Revenue!J12</f>
        <v>#REF!</v>
      </c>
      <c r="K7" s="110" t="e">
        <f>Revenue!K12</f>
        <v>#REF!</v>
      </c>
      <c r="L7" s="110" t="e">
        <f>Revenue!L12</f>
        <v>#REF!</v>
      </c>
      <c r="N7" s="91"/>
      <c r="O7" s="7"/>
      <c r="P7" s="110"/>
      <c r="Q7" s="110"/>
      <c r="R7" s="110"/>
      <c r="S7" s="110"/>
      <c r="T7" s="110"/>
      <c r="U7" s="110"/>
      <c r="V7" s="110"/>
      <c r="W7" s="110"/>
      <c r="X7" s="112"/>
      <c r="Y7" s="112"/>
      <c r="Z7" s="112"/>
      <c r="AB7" s="112"/>
    </row>
    <row r="8" spans="1:28" x14ac:dyDescent="0.2">
      <c r="B8" s="8" t="s">
        <v>7</v>
      </c>
      <c r="C8" s="163">
        <f>'Statement Y'!D6</f>
        <v>0</v>
      </c>
      <c r="D8" s="163">
        <f>'Statement Y'!E6</f>
        <v>0</v>
      </c>
      <c r="E8" s="163">
        <f>'Statement Y'!F6</f>
        <v>0</v>
      </c>
      <c r="F8" s="163">
        <f>'Statement Y'!G6</f>
        <v>0</v>
      </c>
      <c r="G8" s="165">
        <f>'Statement Y'!H6</f>
        <v>0</v>
      </c>
      <c r="H8" s="163" t="e">
        <f>'COGS &amp; OpEx'!H11</f>
        <v>#REF!</v>
      </c>
      <c r="I8" s="163" t="e">
        <f>'COGS &amp; OpEx'!I11</f>
        <v>#REF!</v>
      </c>
      <c r="J8" s="163" t="e">
        <f>'COGS &amp; OpEx'!J11</f>
        <v>#REF!</v>
      </c>
      <c r="K8" s="163" t="e">
        <f>'COGS &amp; OpEx'!K11</f>
        <v>#REF!</v>
      </c>
      <c r="L8" s="163" t="e">
        <f>'COGS &amp; OpEx'!L11</f>
        <v>#REF!</v>
      </c>
      <c r="N8" s="91"/>
      <c r="O8" s="7"/>
      <c r="P8" s="110"/>
      <c r="Q8" s="110"/>
      <c r="R8" s="110"/>
      <c r="S8" s="110"/>
      <c r="T8" s="110"/>
      <c r="U8" s="110"/>
      <c r="V8" s="110"/>
      <c r="W8" s="110"/>
      <c r="X8" s="112"/>
      <c r="Y8" s="112"/>
      <c r="Z8" s="112"/>
      <c r="AB8" s="112"/>
    </row>
    <row r="9" spans="1:28" x14ac:dyDescent="0.2">
      <c r="B9" s="8" t="s">
        <v>11</v>
      </c>
      <c r="C9" s="163">
        <f>'COGS &amp; OpEx'!C15</f>
        <v>0</v>
      </c>
      <c r="D9" s="163">
        <f>'COGS &amp; OpEx'!D15</f>
        <v>0</v>
      </c>
      <c r="E9" s="163">
        <f>'COGS &amp; OpEx'!E15</f>
        <v>0</v>
      </c>
      <c r="F9" s="163">
        <f>'COGS &amp; OpEx'!F15</f>
        <v>0</v>
      </c>
      <c r="G9" s="165">
        <f>'COGS &amp; OpEx'!G15</f>
        <v>0</v>
      </c>
      <c r="H9" s="163" t="e">
        <f>'COGS &amp; OpEx'!H15</f>
        <v>#REF!</v>
      </c>
      <c r="I9" s="163" t="e">
        <f>'COGS &amp; OpEx'!I15</f>
        <v>#REF!</v>
      </c>
      <c r="J9" s="163" t="e">
        <f>'COGS &amp; OpEx'!J15</f>
        <v>#REF!</v>
      </c>
      <c r="K9" s="163" t="e">
        <f>'COGS &amp; OpEx'!K15</f>
        <v>#REF!</v>
      </c>
      <c r="L9" s="163" t="e">
        <f>'COGS &amp; OpEx'!L15</f>
        <v>#REF!</v>
      </c>
      <c r="N9" s="91"/>
      <c r="O9" s="7"/>
      <c r="P9" s="110"/>
      <c r="Q9" s="110"/>
      <c r="R9" s="110"/>
      <c r="S9" s="110"/>
      <c r="T9" s="110"/>
      <c r="U9" s="110"/>
      <c r="V9" s="110"/>
      <c r="W9" s="110"/>
      <c r="X9" s="112"/>
      <c r="Y9" s="112"/>
      <c r="Z9" s="112"/>
      <c r="AB9" s="112"/>
    </row>
    <row r="10" spans="1:28" x14ac:dyDescent="0.2">
      <c r="N10" s="91"/>
    </row>
    <row r="11" spans="1:28" x14ac:dyDescent="0.2">
      <c r="N11" s="91"/>
    </row>
    <row r="12" spans="1:28" x14ac:dyDescent="0.2">
      <c r="C12" s="222" t="s">
        <v>237</v>
      </c>
      <c r="D12" s="222"/>
      <c r="E12" s="222"/>
      <c r="F12" s="222"/>
      <c r="G12" s="222"/>
      <c r="H12" s="222"/>
      <c r="I12" s="222"/>
      <c r="J12" s="222"/>
      <c r="K12" s="222"/>
      <c r="L12" s="222"/>
      <c r="N12" s="91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B12" s="144"/>
    </row>
    <row r="13" spans="1:28" x14ac:dyDescent="0.2">
      <c r="B13" s="7" t="s">
        <v>216</v>
      </c>
      <c r="C13" s="62">
        <f t="shared" ref="C13:L13" si="1">C6</f>
        <v>2021</v>
      </c>
      <c r="D13" s="62">
        <f t="shared" si="1"/>
        <v>2022</v>
      </c>
      <c r="E13" s="62">
        <f t="shared" si="1"/>
        <v>2023</v>
      </c>
      <c r="F13" s="62">
        <f t="shared" si="1"/>
        <v>2024</v>
      </c>
      <c r="G13" s="62">
        <f t="shared" si="1"/>
        <v>2025</v>
      </c>
      <c r="H13" s="62">
        <f t="shared" si="1"/>
        <v>2026</v>
      </c>
      <c r="I13" s="62">
        <f t="shared" si="1"/>
        <v>2027</v>
      </c>
      <c r="J13" s="62">
        <f t="shared" si="1"/>
        <v>2028</v>
      </c>
      <c r="K13" s="62">
        <f t="shared" si="1"/>
        <v>2029</v>
      </c>
      <c r="L13" s="62">
        <f t="shared" si="1"/>
        <v>2030</v>
      </c>
      <c r="N13" s="91"/>
      <c r="O13" s="7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B13" s="144"/>
    </row>
    <row r="14" spans="1:28" x14ac:dyDescent="0.2">
      <c r="B14" s="8" t="s">
        <v>238</v>
      </c>
      <c r="C14" s="151">
        <f>'Statement Y'!D27</f>
        <v>0</v>
      </c>
      <c r="D14" s="151">
        <f>'Statement Y'!E27</f>
        <v>0</v>
      </c>
      <c r="E14" s="151">
        <f>'Statement Y'!F27</f>
        <v>0</v>
      </c>
      <c r="F14" s="151">
        <f>'Statement Y'!G27</f>
        <v>0</v>
      </c>
      <c r="G14" s="152">
        <f>'Statement Y'!H27</f>
        <v>0</v>
      </c>
      <c r="H14" s="34" t="e">
        <f>H21*H7/365</f>
        <v>#DIV/0!</v>
      </c>
      <c r="I14" s="34" t="e">
        <f t="shared" ref="I14:L14" si="2">I21*I7/365</f>
        <v>#DIV/0!</v>
      </c>
      <c r="J14" s="34" t="e">
        <f t="shared" si="2"/>
        <v>#DIV/0!</v>
      </c>
      <c r="K14" s="34" t="e">
        <f t="shared" si="2"/>
        <v>#DIV/0!</v>
      </c>
      <c r="L14" s="34" t="e">
        <f t="shared" si="2"/>
        <v>#DIV/0!</v>
      </c>
      <c r="N14" s="91"/>
      <c r="O14" s="7"/>
      <c r="P14" s="146"/>
      <c r="Q14" s="146"/>
      <c r="R14" s="146"/>
      <c r="S14" s="146"/>
      <c r="T14" s="146"/>
      <c r="U14" s="146"/>
      <c r="V14" s="146"/>
      <c r="W14" s="146"/>
      <c r="X14" s="21"/>
      <c r="Y14" s="21"/>
      <c r="Z14" s="21"/>
      <c r="AB14" s="20"/>
    </row>
    <row r="15" spans="1:28" x14ac:dyDescent="0.2">
      <c r="B15" s="1" t="s">
        <v>239</v>
      </c>
      <c r="C15" s="151">
        <f>'Statement Y'!D42</f>
        <v>0</v>
      </c>
      <c r="D15" s="151">
        <f>'Statement Y'!E42</f>
        <v>0</v>
      </c>
      <c r="E15" s="151">
        <f>'Statement Y'!F42</f>
        <v>0</v>
      </c>
      <c r="F15" s="151">
        <f>'Statement Y'!G42</f>
        <v>0</v>
      </c>
      <c r="G15" s="152">
        <f>'Statement Y'!H42</f>
        <v>0</v>
      </c>
      <c r="H15" s="20" t="e">
        <f>H22*H8/365</f>
        <v>#DIV/0!</v>
      </c>
      <c r="I15" s="20" t="e">
        <f t="shared" ref="I15:L15" si="3">I22*I8/365</f>
        <v>#DIV/0!</v>
      </c>
      <c r="J15" s="20" t="e">
        <f t="shared" si="3"/>
        <v>#DIV/0!</v>
      </c>
      <c r="K15" s="20" t="e">
        <f t="shared" si="3"/>
        <v>#DIV/0!</v>
      </c>
      <c r="L15" s="20" t="e">
        <f t="shared" si="3"/>
        <v>#DIV/0!</v>
      </c>
      <c r="N15" s="91"/>
      <c r="P15" s="147"/>
      <c r="Q15" s="147"/>
      <c r="R15" s="147"/>
      <c r="S15" s="147"/>
      <c r="T15" s="147"/>
      <c r="U15" s="147"/>
      <c r="V15" s="147"/>
      <c r="W15" s="147"/>
      <c r="X15" s="34"/>
      <c r="Y15" s="20"/>
      <c r="Z15" s="20"/>
      <c r="AB15" s="20"/>
    </row>
    <row r="16" spans="1:28" x14ac:dyDescent="0.2">
      <c r="B16" s="7" t="s">
        <v>240</v>
      </c>
      <c r="C16" s="161">
        <f>C14-C15</f>
        <v>0</v>
      </c>
      <c r="D16" s="161">
        <f t="shared" ref="D16:L16" si="4">D14-D15</f>
        <v>0</v>
      </c>
      <c r="E16" s="161">
        <f t="shared" si="4"/>
        <v>0</v>
      </c>
      <c r="F16" s="161">
        <f t="shared" si="4"/>
        <v>0</v>
      </c>
      <c r="G16" s="186">
        <f t="shared" si="4"/>
        <v>0</v>
      </c>
      <c r="H16" s="161" t="e">
        <f t="shared" si="4"/>
        <v>#DIV/0!</v>
      </c>
      <c r="I16" s="161" t="e">
        <f t="shared" si="4"/>
        <v>#DIV/0!</v>
      </c>
      <c r="J16" s="161" t="e">
        <f t="shared" si="4"/>
        <v>#DIV/0!</v>
      </c>
      <c r="K16" s="161" t="e">
        <f t="shared" si="4"/>
        <v>#DIV/0!</v>
      </c>
      <c r="L16" s="161" t="e">
        <f t="shared" si="4"/>
        <v>#DIV/0!</v>
      </c>
      <c r="N16" s="91"/>
      <c r="P16" s="147"/>
      <c r="Q16" s="147"/>
      <c r="R16" s="147"/>
      <c r="S16" s="147"/>
      <c r="T16" s="147"/>
      <c r="U16" s="147"/>
      <c r="V16" s="147"/>
      <c r="W16" s="147"/>
      <c r="X16" s="34"/>
      <c r="Y16" s="20"/>
      <c r="Z16" s="20"/>
      <c r="AB16" s="20"/>
    </row>
    <row r="17" spans="2:12" x14ac:dyDescent="0.2">
      <c r="D17" s="20"/>
    </row>
    <row r="19" spans="2:12" x14ac:dyDescent="0.2">
      <c r="C19" s="222" t="s">
        <v>256</v>
      </c>
      <c r="D19" s="222"/>
      <c r="E19" s="222"/>
      <c r="F19" s="222"/>
      <c r="G19" s="222"/>
      <c r="H19" s="222"/>
      <c r="I19" s="222"/>
      <c r="J19" s="222"/>
      <c r="K19" s="222"/>
      <c r="L19" s="222"/>
    </row>
    <row r="20" spans="2:12" x14ac:dyDescent="0.2">
      <c r="B20" s="7" t="s">
        <v>241</v>
      </c>
      <c r="C20" s="62">
        <f t="shared" ref="C20:L20" si="5">C6</f>
        <v>2021</v>
      </c>
      <c r="D20" s="62">
        <f t="shared" si="5"/>
        <v>2022</v>
      </c>
      <c r="E20" s="62">
        <f t="shared" si="5"/>
        <v>2023</v>
      </c>
      <c r="F20" s="62">
        <f t="shared" si="5"/>
        <v>2024</v>
      </c>
      <c r="G20" s="62">
        <f t="shared" si="5"/>
        <v>2025</v>
      </c>
      <c r="H20" s="62">
        <f t="shared" si="5"/>
        <v>2026</v>
      </c>
      <c r="I20" s="62">
        <f t="shared" si="5"/>
        <v>2027</v>
      </c>
      <c r="J20" s="62">
        <f t="shared" si="5"/>
        <v>2028</v>
      </c>
      <c r="K20" s="62">
        <f t="shared" si="5"/>
        <v>2029</v>
      </c>
      <c r="L20" s="62">
        <f t="shared" si="5"/>
        <v>2030</v>
      </c>
    </row>
    <row r="21" spans="2:12" x14ac:dyDescent="0.2">
      <c r="B21" s="1" t="s">
        <v>242</v>
      </c>
      <c r="C21" s="153" t="e">
        <f>C14/C7*365</f>
        <v>#DIV/0!</v>
      </c>
      <c r="D21" s="153" t="e">
        <f t="shared" ref="D21:G21" si="6">D14/D7*365</f>
        <v>#DIV/0!</v>
      </c>
      <c r="E21" s="153" t="e">
        <f t="shared" si="6"/>
        <v>#DIV/0!</v>
      </c>
      <c r="F21" s="153" t="e">
        <f t="shared" si="6"/>
        <v>#DIV/0!</v>
      </c>
      <c r="G21" s="166" t="e">
        <f t="shared" si="6"/>
        <v>#DIV/0!</v>
      </c>
      <c r="H21" s="100" t="e">
        <f>AVERAGE($C$21:$G$21)</f>
        <v>#DIV/0!</v>
      </c>
      <c r="I21" s="100" t="e">
        <f t="shared" ref="I21:L21" si="7">AVERAGE($C$21:$G$21)</f>
        <v>#DIV/0!</v>
      </c>
      <c r="J21" s="100" t="e">
        <f t="shared" si="7"/>
        <v>#DIV/0!</v>
      </c>
      <c r="K21" s="100" t="e">
        <f t="shared" si="7"/>
        <v>#DIV/0!</v>
      </c>
      <c r="L21" s="100" t="e">
        <f t="shared" si="7"/>
        <v>#DIV/0!</v>
      </c>
    </row>
    <row r="22" spans="2:12" x14ac:dyDescent="0.2">
      <c r="B22" s="1" t="s">
        <v>243</v>
      </c>
      <c r="C22" s="153" t="e">
        <f>C15/C8*365</f>
        <v>#DIV/0!</v>
      </c>
      <c r="D22" s="153" t="e">
        <f t="shared" ref="D22:G22" si="8">D15/D8*365</f>
        <v>#DIV/0!</v>
      </c>
      <c r="E22" s="153" t="e">
        <f t="shared" si="8"/>
        <v>#DIV/0!</v>
      </c>
      <c r="F22" s="153" t="e">
        <f t="shared" si="8"/>
        <v>#DIV/0!</v>
      </c>
      <c r="G22" s="166" t="e">
        <f t="shared" si="8"/>
        <v>#DIV/0!</v>
      </c>
      <c r="H22" s="100" t="e">
        <f>AVERAGE($D$22:$G$22)</f>
        <v>#DIV/0!</v>
      </c>
      <c r="I22" s="100" t="e">
        <f t="shared" ref="I22:L22" si="9">AVERAGE($D$22:$G$22)</f>
        <v>#DIV/0!</v>
      </c>
      <c r="J22" s="100" t="e">
        <f t="shared" si="9"/>
        <v>#DIV/0!</v>
      </c>
      <c r="K22" s="100" t="e">
        <f t="shared" si="9"/>
        <v>#DIV/0!</v>
      </c>
      <c r="L22" s="100" t="e">
        <f t="shared" si="9"/>
        <v>#DIV/0!</v>
      </c>
    </row>
    <row r="23" spans="2:12" x14ac:dyDescent="0.2">
      <c r="B23" s="1" t="s">
        <v>240</v>
      </c>
      <c r="C23" s="153" t="e">
        <f>C21-C22</f>
        <v>#DIV/0!</v>
      </c>
      <c r="D23" s="153" t="e">
        <f t="shared" ref="D23:L23" si="10">D21-D22</f>
        <v>#DIV/0!</v>
      </c>
      <c r="E23" s="153" t="e">
        <f t="shared" si="10"/>
        <v>#DIV/0!</v>
      </c>
      <c r="F23" s="153" t="e">
        <f t="shared" si="10"/>
        <v>#DIV/0!</v>
      </c>
      <c r="G23" s="166" t="e">
        <f t="shared" si="10"/>
        <v>#DIV/0!</v>
      </c>
      <c r="H23" s="153" t="e">
        <f t="shared" si="10"/>
        <v>#DIV/0!</v>
      </c>
      <c r="I23" s="153" t="e">
        <f t="shared" si="10"/>
        <v>#DIV/0!</v>
      </c>
      <c r="J23" s="153" t="e">
        <f t="shared" si="10"/>
        <v>#DIV/0!</v>
      </c>
      <c r="K23" s="153" t="e">
        <f t="shared" si="10"/>
        <v>#DIV/0!</v>
      </c>
      <c r="L23" s="153" t="e">
        <f t="shared" si="10"/>
        <v>#DIV/0!</v>
      </c>
    </row>
    <row r="25" spans="2:12" x14ac:dyDescent="0.2">
      <c r="B25" s="228"/>
      <c r="C25" s="228"/>
    </row>
    <row r="26" spans="2:12" x14ac:dyDescent="0.2">
      <c r="C26" s="222" t="s">
        <v>267</v>
      </c>
      <c r="D26" s="222"/>
      <c r="E26" s="222"/>
      <c r="F26" s="222"/>
      <c r="G26" s="222"/>
      <c r="H26" s="222"/>
      <c r="I26" s="222"/>
      <c r="J26" s="222"/>
      <c r="K26" s="222"/>
      <c r="L26" s="222"/>
    </row>
    <row r="27" spans="2:12" x14ac:dyDescent="0.2">
      <c r="B27" s="7" t="s">
        <v>216</v>
      </c>
      <c r="C27" s="62">
        <f>C6</f>
        <v>2021</v>
      </c>
      <c r="D27" s="62">
        <f t="shared" ref="D27:L27" si="11">D6</f>
        <v>2022</v>
      </c>
      <c r="E27" s="62">
        <f t="shared" si="11"/>
        <v>2023</v>
      </c>
      <c r="F27" s="62">
        <f t="shared" si="11"/>
        <v>2024</v>
      </c>
      <c r="G27" s="62">
        <f t="shared" si="11"/>
        <v>2025</v>
      </c>
      <c r="H27" s="62">
        <f t="shared" si="11"/>
        <v>2026</v>
      </c>
      <c r="I27" s="62">
        <f t="shared" si="11"/>
        <v>2027</v>
      </c>
      <c r="J27" s="62">
        <f t="shared" si="11"/>
        <v>2028</v>
      </c>
      <c r="K27" s="62">
        <f t="shared" si="11"/>
        <v>2029</v>
      </c>
      <c r="L27" s="62">
        <f t="shared" si="11"/>
        <v>2030</v>
      </c>
    </row>
    <row r="28" spans="2:12" x14ac:dyDescent="0.2">
      <c r="B28" s="1" t="s">
        <v>112</v>
      </c>
      <c r="C28" s="163">
        <f>'Statement Y'!D28</f>
        <v>0</v>
      </c>
      <c r="D28" s="163">
        <f>'Statement Y'!E28</f>
        <v>0</v>
      </c>
      <c r="E28" s="163">
        <f>'Statement Y'!F28</f>
        <v>0</v>
      </c>
      <c r="F28" s="163">
        <f>'Statement Y'!G28</f>
        <v>0</v>
      </c>
      <c r="G28" s="165">
        <f>'Statement Y'!H28</f>
        <v>0</v>
      </c>
      <c r="H28" s="20" t="e">
        <f>H8*H36</f>
        <v>#REF!</v>
      </c>
      <c r="I28" s="20" t="e">
        <f t="shared" ref="I28:L28" si="12">I8*I36</f>
        <v>#REF!</v>
      </c>
      <c r="J28" s="20" t="e">
        <f t="shared" si="12"/>
        <v>#REF!</v>
      </c>
      <c r="K28" s="20" t="e">
        <f t="shared" si="12"/>
        <v>#REF!</v>
      </c>
      <c r="L28" s="20" t="e">
        <f t="shared" si="12"/>
        <v>#REF!</v>
      </c>
    </row>
    <row r="29" spans="2:12" x14ac:dyDescent="0.2">
      <c r="B29" s="1" t="s">
        <v>132</v>
      </c>
      <c r="C29" s="163">
        <f>'Statement Y'!D30</f>
        <v>0</v>
      </c>
      <c r="D29" s="163">
        <f>'Statement Y'!E30</f>
        <v>0</v>
      </c>
      <c r="E29" s="163">
        <f>'Statement Y'!F30</f>
        <v>0</v>
      </c>
      <c r="F29" s="163">
        <f>'Statement Y'!G30</f>
        <v>0</v>
      </c>
      <c r="G29" s="165">
        <f>'Statement Y'!H30</f>
        <v>0</v>
      </c>
      <c r="H29" s="20" t="e">
        <f>H9*H37</f>
        <v>#REF!</v>
      </c>
      <c r="I29" s="20" t="e">
        <f t="shared" ref="I29:L29" si="13">I9*I37</f>
        <v>#REF!</v>
      </c>
      <c r="J29" s="20" t="e">
        <f t="shared" si="13"/>
        <v>#REF!</v>
      </c>
      <c r="K29" s="20" t="e">
        <f t="shared" si="13"/>
        <v>#REF!</v>
      </c>
      <c r="L29" s="20" t="e">
        <f t="shared" si="13"/>
        <v>#REF!</v>
      </c>
    </row>
    <row r="30" spans="2:12" x14ac:dyDescent="0.2">
      <c r="B30" s="1" t="s">
        <v>115</v>
      </c>
      <c r="C30" s="163">
        <f>'Statement Y'!D43</f>
        <v>0</v>
      </c>
      <c r="D30" s="163">
        <f>'Statement Y'!E43</f>
        <v>0</v>
      </c>
      <c r="E30" s="163">
        <f>'Statement Y'!F43</f>
        <v>0</v>
      </c>
      <c r="F30" s="163">
        <f>'Statement Y'!G43</f>
        <v>0</v>
      </c>
      <c r="G30" s="165">
        <f>'Statement Y'!H43</f>
        <v>0</v>
      </c>
      <c r="H30" s="20" t="e">
        <f>H7*H38</f>
        <v>#REF!</v>
      </c>
      <c r="I30" s="20" t="e">
        <f t="shared" ref="I30:L30" si="14">I7*I38</f>
        <v>#REF!</v>
      </c>
      <c r="J30" s="20" t="e">
        <f t="shared" si="14"/>
        <v>#REF!</v>
      </c>
      <c r="K30" s="20" t="e">
        <f t="shared" si="14"/>
        <v>#REF!</v>
      </c>
      <c r="L30" s="20" t="e">
        <f t="shared" si="14"/>
        <v>#REF!</v>
      </c>
    </row>
    <row r="31" spans="2:12" x14ac:dyDescent="0.2">
      <c r="B31" s="1" t="s">
        <v>273</v>
      </c>
      <c r="C31" s="163">
        <f>'Statement Y'!D45</f>
        <v>0</v>
      </c>
      <c r="D31" s="163">
        <f>'Statement Y'!E45</f>
        <v>0</v>
      </c>
      <c r="E31" s="163">
        <f>'Statement Y'!F45</f>
        <v>0</v>
      </c>
      <c r="F31" s="163">
        <f>'Statement Y'!G45</f>
        <v>0</v>
      </c>
      <c r="G31" s="165">
        <f>'Statement Y'!H45</f>
        <v>0</v>
      </c>
      <c r="H31" s="20" t="e">
        <f>H9*H39</f>
        <v>#REF!</v>
      </c>
      <c r="I31" s="20" t="e">
        <f t="shared" ref="I31:L31" si="15">I9*I39</f>
        <v>#REF!</v>
      </c>
      <c r="J31" s="20" t="e">
        <f t="shared" si="15"/>
        <v>#REF!</v>
      </c>
      <c r="K31" s="20" t="e">
        <f t="shared" si="15"/>
        <v>#REF!</v>
      </c>
      <c r="L31" s="20" t="e">
        <f t="shared" si="15"/>
        <v>#REF!</v>
      </c>
    </row>
    <row r="32" spans="2:12" x14ac:dyDescent="0.2">
      <c r="B32" s="7"/>
      <c r="C32" s="145"/>
      <c r="D32" s="145"/>
      <c r="E32" s="145"/>
      <c r="F32" s="145"/>
      <c r="G32" s="145"/>
    </row>
    <row r="33" spans="2:12" x14ac:dyDescent="0.2">
      <c r="B33" s="7"/>
      <c r="C33" s="143"/>
      <c r="D33" s="143"/>
      <c r="E33" s="143"/>
      <c r="F33" s="143"/>
      <c r="G33" s="143"/>
    </row>
    <row r="34" spans="2:12" x14ac:dyDescent="0.2">
      <c r="C34" s="222" t="s">
        <v>268</v>
      </c>
      <c r="D34" s="222"/>
      <c r="E34" s="222"/>
      <c r="F34" s="222"/>
      <c r="G34" s="222"/>
      <c r="H34" s="222"/>
      <c r="I34" s="222"/>
      <c r="J34" s="222"/>
      <c r="K34" s="222"/>
      <c r="L34" s="222"/>
    </row>
    <row r="35" spans="2:12" x14ac:dyDescent="0.2">
      <c r="B35" s="7" t="s">
        <v>269</v>
      </c>
      <c r="C35" s="62">
        <f>C6</f>
        <v>2021</v>
      </c>
      <c r="D35" s="62">
        <f t="shared" ref="D35:L35" si="16">D6</f>
        <v>2022</v>
      </c>
      <c r="E35" s="62">
        <f t="shared" si="16"/>
        <v>2023</v>
      </c>
      <c r="F35" s="62">
        <f t="shared" si="16"/>
        <v>2024</v>
      </c>
      <c r="G35" s="62">
        <f t="shared" si="16"/>
        <v>2025</v>
      </c>
      <c r="H35" s="62">
        <f t="shared" si="16"/>
        <v>2026</v>
      </c>
      <c r="I35" s="62">
        <f t="shared" si="16"/>
        <v>2027</v>
      </c>
      <c r="J35" s="62">
        <f t="shared" si="16"/>
        <v>2028</v>
      </c>
      <c r="K35" s="62">
        <f t="shared" si="16"/>
        <v>2029</v>
      </c>
      <c r="L35" s="62">
        <f t="shared" si="16"/>
        <v>2030</v>
      </c>
    </row>
    <row r="36" spans="2:12" x14ac:dyDescent="0.2">
      <c r="B36" s="1" t="s">
        <v>270</v>
      </c>
      <c r="C36" s="115" t="e">
        <f>C28/C8</f>
        <v>#DIV/0!</v>
      </c>
      <c r="D36" s="115" t="e">
        <f t="shared" ref="D36:G36" si="17">D28/D8</f>
        <v>#DIV/0!</v>
      </c>
      <c r="E36" s="115" t="e">
        <f t="shared" si="17"/>
        <v>#DIV/0!</v>
      </c>
      <c r="F36" s="115" t="e">
        <f t="shared" si="17"/>
        <v>#DIV/0!</v>
      </c>
      <c r="G36" s="116" t="e">
        <f t="shared" si="17"/>
        <v>#DIV/0!</v>
      </c>
      <c r="H36" s="118">
        <v>0.36</v>
      </c>
      <c r="I36" s="118">
        <v>0.36</v>
      </c>
      <c r="J36" s="118">
        <v>0.36</v>
      </c>
      <c r="K36" s="118">
        <v>0.36</v>
      </c>
      <c r="L36" s="118">
        <v>0.36</v>
      </c>
    </row>
    <row r="37" spans="2:12" x14ac:dyDescent="0.2">
      <c r="B37" s="1" t="s">
        <v>271</v>
      </c>
      <c r="C37" s="115" t="e">
        <f>C29/C9</f>
        <v>#DIV/0!</v>
      </c>
      <c r="D37" s="115" t="e">
        <f t="shared" ref="D37:G37" si="18">D29/D9</f>
        <v>#DIV/0!</v>
      </c>
      <c r="E37" s="115" t="e">
        <f t="shared" si="18"/>
        <v>#DIV/0!</v>
      </c>
      <c r="F37" s="115" t="e">
        <f t="shared" si="18"/>
        <v>#DIV/0!</v>
      </c>
      <c r="G37" s="116" t="e">
        <f t="shared" si="18"/>
        <v>#DIV/0!</v>
      </c>
      <c r="H37" s="118">
        <v>0.03</v>
      </c>
      <c r="I37" s="118">
        <v>0.03</v>
      </c>
      <c r="J37" s="118">
        <v>0.03</v>
      </c>
      <c r="K37" s="118">
        <v>0.03</v>
      </c>
      <c r="L37" s="118">
        <v>0.03</v>
      </c>
    </row>
    <row r="38" spans="2:12" x14ac:dyDescent="0.2">
      <c r="B38" s="1" t="s">
        <v>272</v>
      </c>
      <c r="C38" s="115" t="e">
        <f>C30/C7</f>
        <v>#DIV/0!</v>
      </c>
      <c r="D38" s="115" t="e">
        <f t="shared" ref="D38:G38" si="19">D30/D7</f>
        <v>#DIV/0!</v>
      </c>
      <c r="E38" s="115" t="e">
        <f t="shared" si="19"/>
        <v>#DIV/0!</v>
      </c>
      <c r="F38" s="115" t="e">
        <f t="shared" si="19"/>
        <v>#DIV/0!</v>
      </c>
      <c r="G38" s="116" t="e">
        <f t="shared" si="19"/>
        <v>#DIV/0!</v>
      </c>
      <c r="H38" s="118">
        <v>0.5</v>
      </c>
      <c r="I38" s="118">
        <v>0.5</v>
      </c>
      <c r="J38" s="118">
        <v>0.5</v>
      </c>
      <c r="K38" s="118">
        <v>0.5</v>
      </c>
      <c r="L38" s="118">
        <v>0.5</v>
      </c>
    </row>
    <row r="39" spans="2:12" x14ac:dyDescent="0.2">
      <c r="B39" s="1" t="s">
        <v>274</v>
      </c>
      <c r="C39" s="115" t="e">
        <f>C31/C9</f>
        <v>#DIV/0!</v>
      </c>
      <c r="D39" s="115" t="e">
        <f t="shared" ref="D39:G39" si="20">D31/D9</f>
        <v>#DIV/0!</v>
      </c>
      <c r="E39" s="115" t="e">
        <f t="shared" si="20"/>
        <v>#DIV/0!</v>
      </c>
      <c r="F39" s="115" t="e">
        <f t="shared" si="20"/>
        <v>#DIV/0!</v>
      </c>
      <c r="G39" s="116" t="e">
        <f t="shared" si="20"/>
        <v>#DIV/0!</v>
      </c>
      <c r="H39" s="118">
        <v>7.4999999999999997E-2</v>
      </c>
      <c r="I39" s="118">
        <v>7.4999999999999997E-2</v>
      </c>
      <c r="J39" s="118">
        <v>7.4999999999999997E-2</v>
      </c>
      <c r="K39" s="118">
        <v>7.4999999999999997E-2</v>
      </c>
      <c r="L39" s="118">
        <v>7.4999999999999997E-2</v>
      </c>
    </row>
    <row r="40" spans="2:12" x14ac:dyDescent="0.2">
      <c r="B40" s="228"/>
      <c r="C40" s="228"/>
    </row>
    <row r="41" spans="2:12" x14ac:dyDescent="0.2">
      <c r="C41" s="107"/>
    </row>
    <row r="42" spans="2:12" x14ac:dyDescent="0.2">
      <c r="C42" s="107"/>
    </row>
    <row r="43" spans="2:12" x14ac:dyDescent="0.2">
      <c r="C43" s="162"/>
    </row>
  </sheetData>
  <mergeCells count="13">
    <mergeCell ref="C3:G3"/>
    <mergeCell ref="H3:L3"/>
    <mergeCell ref="P3:W3"/>
    <mergeCell ref="X3:Z3"/>
    <mergeCell ref="C5:L5"/>
    <mergeCell ref="P5:Z5"/>
    <mergeCell ref="B40:C40"/>
    <mergeCell ref="C12:L12"/>
    <mergeCell ref="P12:Z12"/>
    <mergeCell ref="C19:L19"/>
    <mergeCell ref="B25:C25"/>
    <mergeCell ref="C26:L26"/>
    <mergeCell ref="C34:L3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04D6D-2FB4-1A44-ABDA-1B62C6E87F7B}">
  <dimension ref="A1:AB30"/>
  <sheetViews>
    <sheetView zoomScale="150" zoomScaleNormal="100" workbookViewId="0">
      <selection activeCell="H25" sqref="H25"/>
    </sheetView>
  </sheetViews>
  <sheetFormatPr baseColWidth="10" defaultRowHeight="16" x14ac:dyDescent="0.2"/>
  <cols>
    <col min="1" max="1" width="2" style="102" customWidth="1"/>
    <col min="2" max="2" width="34.6640625" style="1" customWidth="1"/>
    <col min="3" max="3" width="10.83203125" style="1"/>
    <col min="4" max="4" width="10.83203125" style="1" customWidth="1"/>
    <col min="5" max="7" width="10.83203125" style="1"/>
    <col min="8" max="8" width="10.83203125" style="1" customWidth="1"/>
    <col min="9" max="12" width="10.83203125" style="1"/>
    <col min="13" max="13" width="28" style="1" customWidth="1"/>
    <col min="14" max="14" width="9.5" style="1" customWidth="1"/>
    <col min="15" max="15" width="24.6640625" style="1" customWidth="1"/>
    <col min="16" max="26" width="10.83203125" style="1"/>
    <col min="27" max="27" width="2" style="1" customWidth="1"/>
    <col min="28" max="28" width="12.33203125" style="1" customWidth="1"/>
    <col min="29" max="16384" width="10.83203125" style="1"/>
  </cols>
  <sheetData>
    <row r="1" spans="1:28" s="102" customFormat="1" ht="18" customHeight="1" x14ac:dyDescent="0.2">
      <c r="A1" s="103"/>
      <c r="B1" s="104" t="s">
        <v>288</v>
      </c>
    </row>
    <row r="2" spans="1:28" s="102" customFormat="1" ht="18" customHeight="1" x14ac:dyDescent="0.2">
      <c r="A2" s="103"/>
      <c r="B2" s="104"/>
    </row>
    <row r="3" spans="1:28" x14ac:dyDescent="0.2">
      <c r="A3" s="103"/>
      <c r="C3" s="223" t="s">
        <v>168</v>
      </c>
      <c r="D3" s="223"/>
      <c r="E3" s="223"/>
      <c r="F3" s="223"/>
      <c r="G3" s="226"/>
      <c r="H3" s="227" t="s">
        <v>169</v>
      </c>
      <c r="I3" s="223"/>
      <c r="J3" s="223"/>
      <c r="K3" s="223"/>
      <c r="L3" s="223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B3" s="143"/>
    </row>
    <row r="4" spans="1:28" ht="10" customHeight="1" x14ac:dyDescent="0.2"/>
    <row r="5" spans="1:28" ht="16" customHeight="1" x14ac:dyDescent="0.2">
      <c r="A5" s="108"/>
      <c r="B5" s="92"/>
      <c r="C5" s="222" t="s">
        <v>178</v>
      </c>
      <c r="D5" s="222"/>
      <c r="E5" s="222"/>
      <c r="F5" s="222"/>
      <c r="G5" s="222"/>
      <c r="H5" s="222"/>
      <c r="I5" s="222"/>
      <c r="J5" s="222"/>
      <c r="K5" s="222"/>
      <c r="L5" s="222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B5" s="144"/>
    </row>
    <row r="6" spans="1:28" x14ac:dyDescent="0.2">
      <c r="B6" s="7" t="s">
        <v>179</v>
      </c>
      <c r="C6" s="62">
        <f>'Statement Y'!D3</f>
        <v>2021</v>
      </c>
      <c r="D6" s="62">
        <f>'Statement Y'!E3</f>
        <v>2022</v>
      </c>
      <c r="E6" s="62">
        <f>'Statement Y'!F3</f>
        <v>2023</v>
      </c>
      <c r="F6" s="62">
        <f>'Statement Y'!G3</f>
        <v>2024</v>
      </c>
      <c r="G6" s="62">
        <f>'Statement Y'!H3</f>
        <v>2025</v>
      </c>
      <c r="H6" s="62">
        <f>G6+1</f>
        <v>2026</v>
      </c>
      <c r="I6" s="62">
        <f t="shared" ref="I6:L6" si="0">H6+1</f>
        <v>2027</v>
      </c>
      <c r="J6" s="62">
        <f t="shared" si="0"/>
        <v>2028</v>
      </c>
      <c r="K6" s="62">
        <f t="shared" si="0"/>
        <v>2029</v>
      </c>
      <c r="L6" s="62">
        <f t="shared" si="0"/>
        <v>2030</v>
      </c>
      <c r="O6" s="7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B6" s="144"/>
    </row>
    <row r="7" spans="1:28" x14ac:dyDescent="0.2">
      <c r="B7" s="7" t="s">
        <v>6</v>
      </c>
      <c r="C7" s="110">
        <f>'Statement Y'!D5</f>
        <v>0</v>
      </c>
      <c r="D7" s="110">
        <f>'Statement Y'!E5</f>
        <v>0</v>
      </c>
      <c r="E7" s="110">
        <f>'Statement Y'!F5</f>
        <v>0</v>
      </c>
      <c r="F7" s="110">
        <f>'Statement Y'!G5</f>
        <v>0</v>
      </c>
      <c r="G7" s="111">
        <f>'Statement Y'!H5</f>
        <v>0</v>
      </c>
      <c r="H7" s="110" t="e">
        <f>Revenue!H12</f>
        <v>#REF!</v>
      </c>
      <c r="I7" s="110" t="e">
        <f>Revenue!I12</f>
        <v>#REF!</v>
      </c>
      <c r="J7" s="110" t="e">
        <f>Revenue!J12</f>
        <v>#REF!</v>
      </c>
      <c r="K7" s="110" t="e">
        <f>Revenue!K12</f>
        <v>#REF!</v>
      </c>
      <c r="L7" s="110" t="e">
        <f>Revenue!L12</f>
        <v>#REF!</v>
      </c>
      <c r="N7" s="91"/>
      <c r="O7" s="7"/>
      <c r="P7" s="110"/>
      <c r="Q7" s="110"/>
      <c r="R7" s="110"/>
      <c r="S7" s="110"/>
      <c r="T7" s="110"/>
      <c r="U7" s="110"/>
      <c r="V7" s="110"/>
      <c r="W7" s="110"/>
      <c r="X7" s="112"/>
      <c r="Y7" s="112"/>
      <c r="Z7" s="112"/>
      <c r="AB7" s="112"/>
    </row>
    <row r="8" spans="1:28" x14ac:dyDescent="0.2">
      <c r="B8" s="8" t="s">
        <v>7</v>
      </c>
      <c r="C8" s="163">
        <f>'Statement Y'!D6</f>
        <v>0</v>
      </c>
      <c r="D8" s="163">
        <f>'Statement Y'!E6</f>
        <v>0</v>
      </c>
      <c r="E8" s="163">
        <f>'Statement Y'!F6</f>
        <v>0</v>
      </c>
      <c r="F8" s="163">
        <f>'Statement Y'!G6</f>
        <v>0</v>
      </c>
      <c r="G8" s="165">
        <f>'Statement Y'!H6</f>
        <v>0</v>
      </c>
      <c r="H8" s="163" t="e">
        <f>'COGS &amp; OpEx'!H11</f>
        <v>#REF!</v>
      </c>
      <c r="I8" s="163" t="e">
        <f>'COGS &amp; OpEx'!I11</f>
        <v>#REF!</v>
      </c>
      <c r="J8" s="163" t="e">
        <f>'COGS &amp; OpEx'!J11</f>
        <v>#REF!</v>
      </c>
      <c r="K8" s="163" t="e">
        <f>'COGS &amp; OpEx'!K11</f>
        <v>#REF!</v>
      </c>
      <c r="L8" s="163" t="e">
        <f>'COGS &amp; OpEx'!L11</f>
        <v>#REF!</v>
      </c>
      <c r="N8" s="91"/>
      <c r="O8" s="7"/>
      <c r="P8" s="110"/>
      <c r="Q8" s="110"/>
      <c r="R8" s="110"/>
      <c r="S8" s="110"/>
      <c r="T8" s="110"/>
      <c r="U8" s="110"/>
      <c r="V8" s="110"/>
      <c r="W8" s="110"/>
      <c r="X8" s="112"/>
      <c r="Y8" s="112"/>
      <c r="Z8" s="112"/>
      <c r="AB8" s="112"/>
    </row>
    <row r="9" spans="1:28" x14ac:dyDescent="0.2">
      <c r="B9" s="8" t="s">
        <v>11</v>
      </c>
      <c r="C9" s="163">
        <f>'COGS &amp; OpEx'!C15</f>
        <v>0</v>
      </c>
      <c r="D9" s="163">
        <f>'COGS &amp; OpEx'!D15</f>
        <v>0</v>
      </c>
      <c r="E9" s="163">
        <f>'COGS &amp; OpEx'!E15</f>
        <v>0</v>
      </c>
      <c r="F9" s="163">
        <f>'COGS &amp; OpEx'!F15</f>
        <v>0</v>
      </c>
      <c r="G9" s="165">
        <f>'COGS &amp; OpEx'!G15</f>
        <v>0</v>
      </c>
      <c r="H9" s="163" t="e">
        <f>'COGS &amp; OpEx'!H15</f>
        <v>#REF!</v>
      </c>
      <c r="I9" s="163" t="e">
        <f>'COGS &amp; OpEx'!I15</f>
        <v>#REF!</v>
      </c>
      <c r="J9" s="163" t="e">
        <f>'COGS &amp; OpEx'!J15</f>
        <v>#REF!</v>
      </c>
      <c r="K9" s="163" t="e">
        <f>'COGS &amp; OpEx'!K15</f>
        <v>#REF!</v>
      </c>
      <c r="L9" s="163" t="e">
        <f>'COGS &amp; OpEx'!L15</f>
        <v>#REF!</v>
      </c>
      <c r="N9" s="91"/>
      <c r="O9" s="7"/>
      <c r="P9" s="110"/>
      <c r="Q9" s="110"/>
      <c r="R9" s="110"/>
      <c r="S9" s="110"/>
      <c r="T9" s="110"/>
      <c r="U9" s="110"/>
      <c r="V9" s="110"/>
      <c r="W9" s="110"/>
      <c r="X9" s="112"/>
      <c r="Y9" s="112"/>
      <c r="Z9" s="112"/>
      <c r="AB9" s="112"/>
    </row>
    <row r="10" spans="1:28" x14ac:dyDescent="0.2">
      <c r="B10" s="8" t="s">
        <v>293</v>
      </c>
      <c r="C10" s="163">
        <f>'Statement Y'!D17</f>
        <v>0</v>
      </c>
      <c r="D10" s="163">
        <f>'Statement Y'!E17</f>
        <v>0</v>
      </c>
      <c r="E10" s="163">
        <f>'Statement Y'!F17</f>
        <v>0</v>
      </c>
      <c r="F10" s="163">
        <f>'Statement Y'!G17</f>
        <v>0</v>
      </c>
      <c r="G10" s="165">
        <f>'Statement Y'!H17</f>
        <v>0</v>
      </c>
      <c r="H10" s="163" t="e">
        <f ca="1">'P&amp;L'!H16</f>
        <v>#REF!</v>
      </c>
      <c r="I10" s="163" t="e">
        <f ca="1">'P&amp;L'!I16</f>
        <v>#REF!</v>
      </c>
      <c r="J10" s="163" t="e">
        <f ca="1">'P&amp;L'!J16</f>
        <v>#REF!</v>
      </c>
      <c r="K10" s="163" t="e">
        <f ca="1">'P&amp;L'!K16</f>
        <v>#REF!</v>
      </c>
      <c r="L10" s="163" t="e">
        <f ca="1">'P&amp;L'!L16</f>
        <v>#REF!</v>
      </c>
      <c r="N10" s="91"/>
      <c r="O10" s="7"/>
      <c r="P10" s="110"/>
      <c r="Q10" s="110"/>
      <c r="R10" s="110"/>
      <c r="S10" s="110"/>
      <c r="T10" s="110"/>
      <c r="U10" s="110"/>
      <c r="V10" s="110"/>
      <c r="W10" s="110"/>
      <c r="X10" s="112"/>
      <c r="Y10" s="112"/>
      <c r="Z10" s="112"/>
      <c r="AB10" s="112"/>
    </row>
    <row r="11" spans="1:28" x14ac:dyDescent="0.2">
      <c r="N11" s="91"/>
    </row>
    <row r="12" spans="1:28" x14ac:dyDescent="0.2">
      <c r="B12" s="228"/>
      <c r="C12" s="228"/>
    </row>
    <row r="13" spans="1:28" x14ac:dyDescent="0.2">
      <c r="C13" s="222" t="s">
        <v>289</v>
      </c>
      <c r="D13" s="222"/>
      <c r="E13" s="222"/>
      <c r="F13" s="222"/>
      <c r="G13" s="222"/>
      <c r="H13" s="222"/>
      <c r="I13" s="222"/>
      <c r="J13" s="222"/>
      <c r="K13" s="222"/>
      <c r="L13" s="222"/>
    </row>
    <row r="14" spans="1:28" x14ac:dyDescent="0.2">
      <c r="B14" s="7" t="s">
        <v>216</v>
      </c>
      <c r="C14" s="62">
        <f t="shared" ref="C14:L14" si="1">C6</f>
        <v>2021</v>
      </c>
      <c r="D14" s="62">
        <f t="shared" si="1"/>
        <v>2022</v>
      </c>
      <c r="E14" s="62">
        <f t="shared" si="1"/>
        <v>2023</v>
      </c>
      <c r="F14" s="62">
        <f t="shared" si="1"/>
        <v>2024</v>
      </c>
      <c r="G14" s="62">
        <f t="shared" si="1"/>
        <v>2025</v>
      </c>
      <c r="H14" s="62">
        <f t="shared" si="1"/>
        <v>2026</v>
      </c>
      <c r="I14" s="62">
        <f t="shared" si="1"/>
        <v>2027</v>
      </c>
      <c r="J14" s="62">
        <f t="shared" si="1"/>
        <v>2028</v>
      </c>
      <c r="K14" s="62">
        <f t="shared" si="1"/>
        <v>2029</v>
      </c>
      <c r="L14" s="62">
        <f t="shared" si="1"/>
        <v>2030</v>
      </c>
    </row>
    <row r="15" spans="1:28" x14ac:dyDescent="0.2">
      <c r="B15" s="1" t="s">
        <v>114</v>
      </c>
      <c r="C15" s="163">
        <f>'Statement Y'!D35</f>
        <v>0</v>
      </c>
      <c r="D15" s="163">
        <f>'Statement Y'!E35</f>
        <v>0</v>
      </c>
      <c r="E15" s="163">
        <f>'Statement Y'!F35</f>
        <v>0</v>
      </c>
      <c r="F15" s="163">
        <f>'Statement Y'!G35</f>
        <v>0</v>
      </c>
      <c r="G15" s="165">
        <f>'Statement Y'!H35</f>
        <v>0</v>
      </c>
      <c r="H15" s="20" t="e">
        <f>H9*H23</f>
        <v>#REF!</v>
      </c>
      <c r="I15" s="20" t="e">
        <f t="shared" ref="I15:L15" si="2">I9*I23</f>
        <v>#REF!</v>
      </c>
      <c r="J15" s="20" t="e">
        <f t="shared" si="2"/>
        <v>#REF!</v>
      </c>
      <c r="K15" s="20" t="e">
        <f t="shared" si="2"/>
        <v>#REF!</v>
      </c>
      <c r="L15" s="20" t="e">
        <f t="shared" si="2"/>
        <v>#REF!</v>
      </c>
    </row>
    <row r="16" spans="1:28" x14ac:dyDescent="0.2">
      <c r="B16" s="1" t="s">
        <v>26</v>
      </c>
      <c r="C16" s="163">
        <f>'Statement Y'!D39</f>
        <v>0</v>
      </c>
      <c r="D16" s="163">
        <f>'Statement Y'!E39</f>
        <v>0</v>
      </c>
      <c r="E16" s="163">
        <f>'Statement Y'!F39</f>
        <v>0</v>
      </c>
      <c r="F16" s="163">
        <f>'Statement Y'!G39</f>
        <v>0</v>
      </c>
      <c r="G16" s="165">
        <f>'Statement Y'!H39</f>
        <v>0</v>
      </c>
      <c r="H16" s="20" t="e">
        <f>H7*H24</f>
        <v>#REF!</v>
      </c>
      <c r="I16" s="20" t="e">
        <f t="shared" ref="I16:L16" si="3">I7*I24</f>
        <v>#REF!</v>
      </c>
      <c r="J16" s="20" t="e">
        <f t="shared" si="3"/>
        <v>#REF!</v>
      </c>
      <c r="K16" s="20" t="e">
        <f t="shared" si="3"/>
        <v>#REF!</v>
      </c>
      <c r="L16" s="20" t="e">
        <f t="shared" si="3"/>
        <v>#REF!</v>
      </c>
    </row>
    <row r="17" spans="2:12" x14ac:dyDescent="0.2">
      <c r="B17" s="1" t="s">
        <v>37</v>
      </c>
      <c r="C17" s="163">
        <f>'Statement Y'!D44</f>
        <v>0</v>
      </c>
      <c r="D17" s="163">
        <f>'Statement Y'!E44</f>
        <v>0</v>
      </c>
      <c r="E17" s="163">
        <f>'Statement Y'!F44</f>
        <v>0</v>
      </c>
      <c r="F17" s="163">
        <f>'Statement Y'!G44</f>
        <v>0</v>
      </c>
      <c r="G17" s="165">
        <f>'Statement Y'!H44</f>
        <v>0</v>
      </c>
      <c r="H17" s="20" t="e">
        <f ca="1">-(H10*H25)</f>
        <v>#REF!</v>
      </c>
      <c r="I17" s="20" t="e">
        <f t="shared" ref="I17:L17" ca="1" si="4">-(I10*I25)</f>
        <v>#REF!</v>
      </c>
      <c r="J17" s="20" t="e">
        <f t="shared" ca="1" si="4"/>
        <v>#REF!</v>
      </c>
      <c r="K17" s="20" t="e">
        <f t="shared" ca="1" si="4"/>
        <v>#REF!</v>
      </c>
      <c r="L17" s="20" t="e">
        <f t="shared" ca="1" si="4"/>
        <v>#REF!</v>
      </c>
    </row>
    <row r="18" spans="2:12" x14ac:dyDescent="0.2">
      <c r="B18" s="1" t="s">
        <v>295</v>
      </c>
      <c r="C18" s="163">
        <f>'Statement Y'!D47</f>
        <v>0</v>
      </c>
      <c r="D18" s="163">
        <f>'Statement Y'!E47</f>
        <v>0</v>
      </c>
      <c r="E18" s="163">
        <f>'Statement Y'!F47</f>
        <v>0</v>
      </c>
      <c r="F18" s="163">
        <f>'Statement Y'!G47</f>
        <v>0</v>
      </c>
      <c r="G18" s="165">
        <f>'Statement Y'!H47</f>
        <v>0</v>
      </c>
      <c r="H18" s="20" t="e">
        <f>H9*H26</f>
        <v>#REF!</v>
      </c>
      <c r="I18" s="20" t="e">
        <f t="shared" ref="I18:L18" si="5">I9*I26</f>
        <v>#REF!</v>
      </c>
      <c r="J18" s="20" t="e">
        <f t="shared" si="5"/>
        <v>#REF!</v>
      </c>
      <c r="K18" s="20" t="e">
        <f t="shared" si="5"/>
        <v>#REF!</v>
      </c>
      <c r="L18" s="20" t="e">
        <f t="shared" si="5"/>
        <v>#REF!</v>
      </c>
    </row>
    <row r="19" spans="2:12" x14ac:dyDescent="0.2">
      <c r="B19" s="7"/>
      <c r="C19" s="145"/>
      <c r="D19" s="145"/>
      <c r="E19" s="145"/>
      <c r="F19" s="145"/>
      <c r="G19" s="145"/>
    </row>
    <row r="20" spans="2:12" x14ac:dyDescent="0.2">
      <c r="B20" s="7"/>
      <c r="C20" s="143"/>
      <c r="D20" s="143"/>
      <c r="E20" s="143"/>
      <c r="F20" s="143"/>
      <c r="G20" s="143"/>
    </row>
    <row r="21" spans="2:12" x14ac:dyDescent="0.2">
      <c r="C21" s="222" t="s">
        <v>268</v>
      </c>
      <c r="D21" s="222"/>
      <c r="E21" s="222"/>
      <c r="F21" s="222"/>
      <c r="G21" s="222"/>
      <c r="H21" s="222"/>
      <c r="I21" s="222"/>
      <c r="J21" s="222"/>
      <c r="K21" s="222"/>
      <c r="L21" s="222"/>
    </row>
    <row r="22" spans="2:12" x14ac:dyDescent="0.2">
      <c r="B22" s="7" t="s">
        <v>269</v>
      </c>
      <c r="C22" s="62">
        <f t="shared" ref="C22:L22" si="6">C6</f>
        <v>2021</v>
      </c>
      <c r="D22" s="62">
        <f t="shared" si="6"/>
        <v>2022</v>
      </c>
      <c r="E22" s="62">
        <f t="shared" si="6"/>
        <v>2023</v>
      </c>
      <c r="F22" s="62">
        <f t="shared" si="6"/>
        <v>2024</v>
      </c>
      <c r="G22" s="62">
        <f t="shared" si="6"/>
        <v>2025</v>
      </c>
      <c r="H22" s="62">
        <f t="shared" si="6"/>
        <v>2026</v>
      </c>
      <c r="I22" s="62">
        <f t="shared" si="6"/>
        <v>2027</v>
      </c>
      <c r="J22" s="62">
        <f t="shared" si="6"/>
        <v>2028</v>
      </c>
      <c r="K22" s="62">
        <f t="shared" si="6"/>
        <v>2029</v>
      </c>
      <c r="L22" s="62">
        <f t="shared" si="6"/>
        <v>2030</v>
      </c>
    </row>
    <row r="23" spans="2:12" x14ac:dyDescent="0.2">
      <c r="B23" s="1" t="s">
        <v>292</v>
      </c>
      <c r="C23" s="115" t="e">
        <f>C15/C9</f>
        <v>#DIV/0!</v>
      </c>
      <c r="D23" s="115" t="e">
        <f t="shared" ref="D23:G23" si="7">D15/D9</f>
        <v>#DIV/0!</v>
      </c>
      <c r="E23" s="115" t="e">
        <f t="shared" si="7"/>
        <v>#DIV/0!</v>
      </c>
      <c r="F23" s="115" t="e">
        <f t="shared" si="7"/>
        <v>#DIV/0!</v>
      </c>
      <c r="G23" s="116" t="e">
        <f t="shared" si="7"/>
        <v>#DIV/0!</v>
      </c>
      <c r="H23" s="118" t="e">
        <f>AVERAGE(C23:G23)</f>
        <v>#DIV/0!</v>
      </c>
      <c r="I23" s="118" t="e">
        <f>$H23</f>
        <v>#DIV/0!</v>
      </c>
      <c r="J23" s="118" t="e">
        <f t="shared" ref="J23:L24" si="8">$H23</f>
        <v>#DIV/0!</v>
      </c>
      <c r="K23" s="118" t="e">
        <f t="shared" si="8"/>
        <v>#DIV/0!</v>
      </c>
      <c r="L23" s="118" t="e">
        <f t="shared" si="8"/>
        <v>#DIV/0!</v>
      </c>
    </row>
    <row r="24" spans="2:12" x14ac:dyDescent="0.2">
      <c r="B24" s="1" t="s">
        <v>291</v>
      </c>
      <c r="C24" s="115" t="e">
        <f>C16/C7</f>
        <v>#DIV/0!</v>
      </c>
      <c r="D24" s="115" t="e">
        <f t="shared" ref="D24:G24" si="9">D16/D7</f>
        <v>#DIV/0!</v>
      </c>
      <c r="E24" s="115" t="e">
        <f t="shared" si="9"/>
        <v>#DIV/0!</v>
      </c>
      <c r="F24" s="115" t="e">
        <f t="shared" si="9"/>
        <v>#DIV/0!</v>
      </c>
      <c r="G24" s="116" t="e">
        <f t="shared" si="9"/>
        <v>#DIV/0!</v>
      </c>
      <c r="H24" s="118" t="e">
        <f>AVERAGE(C24:G24)</f>
        <v>#DIV/0!</v>
      </c>
      <c r="I24" s="118" t="e">
        <f>$H24</f>
        <v>#DIV/0!</v>
      </c>
      <c r="J24" s="118" t="e">
        <f t="shared" si="8"/>
        <v>#DIV/0!</v>
      </c>
      <c r="K24" s="118" t="e">
        <f t="shared" si="8"/>
        <v>#DIV/0!</v>
      </c>
      <c r="L24" s="118" t="e">
        <f t="shared" si="8"/>
        <v>#DIV/0!</v>
      </c>
    </row>
    <row r="25" spans="2:12" x14ac:dyDescent="0.2">
      <c r="B25" s="1" t="s">
        <v>294</v>
      </c>
      <c r="C25" s="115" t="e">
        <f>-C17/C10</f>
        <v>#DIV/0!</v>
      </c>
      <c r="D25" s="115" t="e">
        <f t="shared" ref="D25:G25" si="10">-D17/D10</f>
        <v>#DIV/0!</v>
      </c>
      <c r="E25" s="115" t="e">
        <f t="shared" si="10"/>
        <v>#DIV/0!</v>
      </c>
      <c r="F25" s="115" t="e">
        <f t="shared" si="10"/>
        <v>#DIV/0!</v>
      </c>
      <c r="G25" s="116" t="e">
        <f t="shared" si="10"/>
        <v>#DIV/0!</v>
      </c>
      <c r="H25" s="118">
        <v>0.5</v>
      </c>
      <c r="I25" s="118">
        <v>0.5</v>
      </c>
      <c r="J25" s="118">
        <v>0.5</v>
      </c>
      <c r="K25" s="118">
        <v>0.5</v>
      </c>
      <c r="L25" s="118">
        <v>0.5</v>
      </c>
    </row>
    <row r="26" spans="2:12" x14ac:dyDescent="0.2">
      <c r="B26" s="1" t="s">
        <v>296</v>
      </c>
      <c r="C26" s="115" t="e">
        <f>C18/C9</f>
        <v>#DIV/0!</v>
      </c>
      <c r="D26" s="115" t="e">
        <f t="shared" ref="D26:G26" si="11">D18/D9</f>
        <v>#DIV/0!</v>
      </c>
      <c r="E26" s="115" t="e">
        <f t="shared" si="11"/>
        <v>#DIV/0!</v>
      </c>
      <c r="F26" s="115" t="e">
        <f t="shared" si="11"/>
        <v>#DIV/0!</v>
      </c>
      <c r="G26" s="116" t="e">
        <f t="shared" si="11"/>
        <v>#DIV/0!</v>
      </c>
      <c r="H26" s="118" t="e">
        <f>H23</f>
        <v>#DIV/0!</v>
      </c>
      <c r="I26" s="118" t="e">
        <f t="shared" ref="I26:L26" si="12">I23</f>
        <v>#DIV/0!</v>
      </c>
      <c r="J26" s="118" t="e">
        <f t="shared" si="12"/>
        <v>#DIV/0!</v>
      </c>
      <c r="K26" s="118" t="e">
        <f t="shared" si="12"/>
        <v>#DIV/0!</v>
      </c>
      <c r="L26" s="118" t="e">
        <f t="shared" si="12"/>
        <v>#DIV/0!</v>
      </c>
    </row>
    <row r="27" spans="2:12" x14ac:dyDescent="0.2">
      <c r="B27" s="228"/>
      <c r="C27" s="228"/>
    </row>
    <row r="28" spans="2:12" x14ac:dyDescent="0.2">
      <c r="C28" s="107"/>
    </row>
    <row r="29" spans="2:12" x14ac:dyDescent="0.2">
      <c r="C29" s="107"/>
    </row>
    <row r="30" spans="2:12" x14ac:dyDescent="0.2">
      <c r="C30" s="162"/>
    </row>
  </sheetData>
  <mergeCells count="10">
    <mergeCell ref="P3:W3"/>
    <mergeCell ref="X3:Z3"/>
    <mergeCell ref="C5:L5"/>
    <mergeCell ref="P5:Z5"/>
    <mergeCell ref="B27:C27"/>
    <mergeCell ref="B12:C12"/>
    <mergeCell ref="C13:L13"/>
    <mergeCell ref="C21:L21"/>
    <mergeCell ref="C3:G3"/>
    <mergeCell ref="H3:L3"/>
  </mergeCells>
  <pageMargins left="0.7" right="0.7" top="0.75" bottom="0.75" header="0.3" footer="0.3"/>
  <ignoredErrors>
    <ignoredError sqref="C25:G25 H17:L17" formula="1"/>
  </ignoredErrors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B1C7-7F04-E848-BDF7-89CB01AF4554}">
  <dimension ref="A1:AB47"/>
  <sheetViews>
    <sheetView zoomScale="150" zoomScaleNormal="100" workbookViewId="0">
      <selection activeCell="C32" sqref="C32"/>
    </sheetView>
  </sheetViews>
  <sheetFormatPr baseColWidth="10" defaultRowHeight="16" x14ac:dyDescent="0.2"/>
  <cols>
    <col min="1" max="1" width="2" style="102" customWidth="1"/>
    <col min="2" max="2" width="34.6640625" style="1" customWidth="1"/>
    <col min="3" max="3" width="10.83203125" style="1"/>
    <col min="4" max="4" width="10.83203125" style="1" customWidth="1"/>
    <col min="5" max="7" width="10.83203125" style="1"/>
    <col min="8" max="8" width="10.83203125" style="1" customWidth="1"/>
    <col min="9" max="12" width="10.83203125" style="1"/>
    <col min="13" max="13" width="28" style="1" customWidth="1"/>
    <col min="14" max="14" width="9.5" style="1" customWidth="1"/>
    <col min="15" max="15" width="24.6640625" style="1" customWidth="1"/>
    <col min="16" max="26" width="10.83203125" style="1"/>
    <col min="27" max="27" width="2" style="1" customWidth="1"/>
    <col min="28" max="28" width="12.33203125" style="1" customWidth="1"/>
    <col min="29" max="16384" width="10.83203125" style="1"/>
  </cols>
  <sheetData>
    <row r="1" spans="1:28" s="102" customFormat="1" ht="18" customHeight="1" x14ac:dyDescent="0.2">
      <c r="A1" s="103"/>
      <c r="B1" s="104" t="s">
        <v>301</v>
      </c>
    </row>
    <row r="2" spans="1:28" s="102" customFormat="1" ht="18" customHeight="1" x14ac:dyDescent="0.2">
      <c r="A2" s="103"/>
      <c r="B2" s="104"/>
    </row>
    <row r="3" spans="1:28" x14ac:dyDescent="0.2">
      <c r="A3" s="103"/>
      <c r="C3" s="223" t="s">
        <v>168</v>
      </c>
      <c r="D3" s="223"/>
      <c r="E3" s="223"/>
      <c r="F3" s="223"/>
      <c r="G3" s="226"/>
      <c r="H3" s="227" t="s">
        <v>169</v>
      </c>
      <c r="I3" s="223"/>
      <c r="J3" s="223"/>
      <c r="K3" s="223"/>
      <c r="L3" s="223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B3" s="143"/>
    </row>
    <row r="4" spans="1:28" ht="10" customHeight="1" x14ac:dyDescent="0.2"/>
    <row r="5" spans="1:28" ht="16" customHeight="1" x14ac:dyDescent="0.2">
      <c r="A5" s="108"/>
      <c r="B5" s="92"/>
      <c r="C5" s="222" t="s">
        <v>301</v>
      </c>
      <c r="D5" s="222"/>
      <c r="E5" s="222"/>
      <c r="F5" s="222"/>
      <c r="G5" s="222"/>
      <c r="H5" s="222"/>
      <c r="I5" s="222"/>
      <c r="J5" s="222"/>
      <c r="K5" s="222"/>
      <c r="L5" s="222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B5" s="144"/>
    </row>
    <row r="6" spans="1:28" x14ac:dyDescent="0.2">
      <c r="B6" s="7" t="s">
        <v>216</v>
      </c>
      <c r="C6" s="62">
        <f>'Statement Y'!D3</f>
        <v>2021</v>
      </c>
      <c r="D6" s="62">
        <f>'Statement Y'!E3</f>
        <v>2022</v>
      </c>
      <c r="E6" s="62">
        <f>'Statement Y'!F3</f>
        <v>2023</v>
      </c>
      <c r="F6" s="62">
        <f>'Statement Y'!G3</f>
        <v>2024</v>
      </c>
      <c r="G6" s="62">
        <f>'Statement Y'!H3</f>
        <v>2025</v>
      </c>
      <c r="H6" s="62">
        <f>G6+1</f>
        <v>2026</v>
      </c>
      <c r="I6" s="62">
        <f t="shared" ref="I6:L6" si="0">H6+1</f>
        <v>2027</v>
      </c>
      <c r="J6" s="62">
        <f t="shared" si="0"/>
        <v>2028</v>
      </c>
      <c r="K6" s="62">
        <f t="shared" si="0"/>
        <v>2029</v>
      </c>
      <c r="L6" s="62">
        <f t="shared" si="0"/>
        <v>2030</v>
      </c>
      <c r="O6" s="7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B6" s="144"/>
    </row>
    <row r="7" spans="1:28" x14ac:dyDescent="0.2">
      <c r="B7" s="8" t="s">
        <v>303</v>
      </c>
      <c r="C7" s="163">
        <v>0</v>
      </c>
      <c r="D7" s="163">
        <v>0</v>
      </c>
      <c r="E7" s="163">
        <v>0</v>
      </c>
      <c r="F7" s="163">
        <v>0</v>
      </c>
      <c r="G7" s="165">
        <v>0</v>
      </c>
      <c r="H7" s="164" t="e">
        <f ca="1">H18</f>
        <v>#REF!</v>
      </c>
      <c r="I7" s="164" t="e">
        <f t="shared" ref="I7:L7" ca="1" si="1">I18</f>
        <v>#REF!</v>
      </c>
      <c r="J7" s="164" t="e">
        <f t="shared" ca="1" si="1"/>
        <v>#REF!</v>
      </c>
      <c r="K7" s="164" t="e">
        <f t="shared" ca="1" si="1"/>
        <v>#REF!</v>
      </c>
      <c r="L7" s="164" t="e">
        <f t="shared" ca="1" si="1"/>
        <v>#REF!</v>
      </c>
      <c r="M7" s="1">
        <v>0</v>
      </c>
      <c r="N7" s="91"/>
      <c r="O7" s="7"/>
      <c r="P7" s="110"/>
      <c r="Q7" s="110"/>
      <c r="R7" s="110"/>
      <c r="S7" s="110"/>
      <c r="T7" s="110"/>
      <c r="U7" s="110"/>
      <c r="V7" s="110"/>
      <c r="W7" s="110"/>
      <c r="X7" s="112"/>
      <c r="Y7" s="112"/>
      <c r="Z7" s="112"/>
      <c r="AB7" s="112"/>
    </row>
    <row r="8" spans="1:28" x14ac:dyDescent="0.2">
      <c r="B8" s="8" t="s">
        <v>131</v>
      </c>
      <c r="C8" s="164">
        <f>C25</f>
        <v>0</v>
      </c>
      <c r="D8" s="164">
        <f t="shared" ref="D8:L8" si="2">D25</f>
        <v>0</v>
      </c>
      <c r="E8" s="164">
        <f t="shared" si="2"/>
        <v>0</v>
      </c>
      <c r="F8" s="164">
        <f t="shared" si="2"/>
        <v>0</v>
      </c>
      <c r="G8" s="176">
        <f t="shared" si="2"/>
        <v>0</v>
      </c>
      <c r="H8" s="164">
        <f t="shared" si="2"/>
        <v>0</v>
      </c>
      <c r="I8" s="164" t="e">
        <f t="shared" ca="1" si="2"/>
        <v>#REF!</v>
      </c>
      <c r="J8" s="164" t="e">
        <f t="shared" ca="1" si="2"/>
        <v>#REF!</v>
      </c>
      <c r="K8" s="164" t="e">
        <f t="shared" ca="1" si="2"/>
        <v>#REF!</v>
      </c>
      <c r="L8" s="164" t="e">
        <f t="shared" ca="1" si="2"/>
        <v>#REF!</v>
      </c>
      <c r="N8" s="91"/>
      <c r="O8" s="7"/>
      <c r="P8" s="110"/>
      <c r="Q8" s="110"/>
      <c r="R8" s="110"/>
      <c r="S8" s="110"/>
      <c r="T8" s="110"/>
      <c r="U8" s="110"/>
      <c r="V8" s="110"/>
      <c r="W8" s="110"/>
      <c r="X8" s="112"/>
      <c r="Y8" s="112"/>
      <c r="Z8" s="112"/>
      <c r="AB8" s="112"/>
    </row>
    <row r="9" spans="1:28" x14ac:dyDescent="0.2">
      <c r="N9" s="91"/>
    </row>
    <row r="10" spans="1:28" x14ac:dyDescent="0.2">
      <c r="B10" s="145"/>
      <c r="C10" s="145"/>
    </row>
    <row r="11" spans="1:28" x14ac:dyDescent="0.2">
      <c r="B11" s="145"/>
      <c r="C11" s="222" t="s">
        <v>301</v>
      </c>
      <c r="D11" s="222"/>
      <c r="E11" s="222"/>
      <c r="F11" s="222"/>
      <c r="G11" s="222"/>
      <c r="H11" s="222"/>
      <c r="I11" s="222"/>
      <c r="J11" s="222"/>
      <c r="K11" s="222"/>
      <c r="L11" s="222"/>
    </row>
    <row r="12" spans="1:28" x14ac:dyDescent="0.2">
      <c r="B12" s="7" t="s">
        <v>216</v>
      </c>
      <c r="C12" s="62">
        <f t="shared" ref="C12:L12" si="3">C6</f>
        <v>2021</v>
      </c>
      <c r="D12" s="62">
        <f t="shared" si="3"/>
        <v>2022</v>
      </c>
      <c r="E12" s="62">
        <f t="shared" si="3"/>
        <v>2023</v>
      </c>
      <c r="F12" s="62">
        <f t="shared" si="3"/>
        <v>2024</v>
      </c>
      <c r="G12" s="62">
        <f t="shared" si="3"/>
        <v>2025</v>
      </c>
      <c r="H12" s="62">
        <f t="shared" si="3"/>
        <v>2026</v>
      </c>
      <c r="I12" s="62">
        <f t="shared" si="3"/>
        <v>2027</v>
      </c>
      <c r="J12" s="62">
        <f t="shared" si="3"/>
        <v>2028</v>
      </c>
      <c r="K12" s="62">
        <f t="shared" si="3"/>
        <v>2029</v>
      </c>
      <c r="L12" s="62">
        <f t="shared" si="3"/>
        <v>2030</v>
      </c>
    </row>
    <row r="13" spans="1:28" x14ac:dyDescent="0.2">
      <c r="B13" s="1" t="s">
        <v>300</v>
      </c>
      <c r="C13" s="107" t="e">
        <f>'Cash Flow'!C20</f>
        <v>#DIV/0!</v>
      </c>
      <c r="D13" s="107" t="e">
        <f>'Cash Flow'!D20</f>
        <v>#DIV/0!</v>
      </c>
      <c r="E13" s="107" t="e">
        <f>'Cash Flow'!E20</f>
        <v>#DIV/0!</v>
      </c>
      <c r="F13" s="107" t="e">
        <f>'Cash Flow'!F20</f>
        <v>#DIV/0!</v>
      </c>
      <c r="G13" s="173">
        <f>'Cash Flow'!G20</f>
        <v>0</v>
      </c>
      <c r="H13" s="107" t="e">
        <f ca="1">'Cash Flow'!H20</f>
        <v>#REF!</v>
      </c>
      <c r="I13" s="107" t="e">
        <f ca="1">'Cash Flow'!I20</f>
        <v>#REF!</v>
      </c>
      <c r="J13" s="107" t="e">
        <f ca="1">'Cash Flow'!J20</f>
        <v>#REF!</v>
      </c>
      <c r="K13" s="107" t="e">
        <f ca="1">'Cash Flow'!K20</f>
        <v>#REF!</v>
      </c>
      <c r="L13" s="107" t="e">
        <f ca="1">'Cash Flow'!L20</f>
        <v>#REF!</v>
      </c>
    </row>
    <row r="14" spans="1:28" x14ac:dyDescent="0.2">
      <c r="B14" s="1" t="s">
        <v>302</v>
      </c>
      <c r="C14" s="1">
        <v>0</v>
      </c>
      <c r="D14" s="1">
        <v>0</v>
      </c>
      <c r="E14" s="1">
        <v>0</v>
      </c>
      <c r="F14" s="1">
        <v>0</v>
      </c>
      <c r="G14" s="177">
        <v>0</v>
      </c>
      <c r="H14" s="1" t="e">
        <f ca="1">IF(H$13&lt;0,H$13*$C30,0)</f>
        <v>#REF!</v>
      </c>
      <c r="I14" s="1" t="e">
        <f t="shared" ref="I14:L14" ca="1" si="4">IF(I$13&lt;0,I$13*$C30,0)</f>
        <v>#REF!</v>
      </c>
      <c r="J14" s="1" t="e">
        <f t="shared" ca="1" si="4"/>
        <v>#REF!</v>
      </c>
      <c r="K14" s="1" t="e">
        <f t="shared" ca="1" si="4"/>
        <v>#REF!</v>
      </c>
      <c r="L14" s="1" t="e">
        <f t="shared" ca="1" si="4"/>
        <v>#REF!</v>
      </c>
    </row>
    <row r="15" spans="1:28" x14ac:dyDescent="0.2">
      <c r="B15" s="1" t="s">
        <v>312</v>
      </c>
      <c r="C15" s="1">
        <v>0</v>
      </c>
      <c r="D15" s="1">
        <v>0</v>
      </c>
      <c r="E15" s="1">
        <v>0</v>
      </c>
      <c r="F15" s="1">
        <v>0</v>
      </c>
      <c r="G15" s="177">
        <v>0</v>
      </c>
      <c r="H15" s="1" t="e">
        <f ca="1">IF(H$13&lt;0,H$13*$C31,0)</f>
        <v>#REF!</v>
      </c>
      <c r="I15" s="1" t="e">
        <f t="shared" ref="I15:L15" ca="1" si="5">IF(I$13&lt;0,I$13*$C31,0)</f>
        <v>#REF!</v>
      </c>
      <c r="J15" s="1" t="e">
        <f t="shared" ca="1" si="5"/>
        <v>#REF!</v>
      </c>
      <c r="K15" s="1" t="e">
        <f t="shared" ca="1" si="5"/>
        <v>#REF!</v>
      </c>
      <c r="L15" s="1" t="e">
        <f t="shared" ca="1" si="5"/>
        <v>#REF!</v>
      </c>
    </row>
    <row r="16" spans="1:28" x14ac:dyDescent="0.2">
      <c r="B16" s="1" t="s">
        <v>308</v>
      </c>
      <c r="C16" s="162"/>
      <c r="G16" s="177"/>
      <c r="H16" s="172">
        <f>C32</f>
        <v>0</v>
      </c>
      <c r="I16" s="172">
        <f t="shared" ref="I16:L16" si="6">D32</f>
        <v>0</v>
      </c>
      <c r="J16" s="172">
        <f t="shared" si="6"/>
        <v>0</v>
      </c>
      <c r="K16" s="172">
        <f t="shared" si="6"/>
        <v>0</v>
      </c>
      <c r="L16" s="172">
        <f t="shared" si="6"/>
        <v>0</v>
      </c>
    </row>
    <row r="17" spans="2:12" x14ac:dyDescent="0.2">
      <c r="B17" s="1" t="s">
        <v>313</v>
      </c>
      <c r="C17" s="1">
        <v>0</v>
      </c>
      <c r="D17" s="1">
        <v>0</v>
      </c>
      <c r="E17" s="1">
        <v>0</v>
      </c>
      <c r="F17" s="1">
        <v>0</v>
      </c>
      <c r="G17" s="177">
        <v>0</v>
      </c>
      <c r="H17" s="1" t="e">
        <f ca="1">G17+H14</f>
        <v>#REF!</v>
      </c>
      <c r="I17" s="1" t="e">
        <f t="shared" ref="I17:L17" ca="1" si="7">H17+I14</f>
        <v>#REF!</v>
      </c>
      <c r="J17" s="1" t="e">
        <f t="shared" ca="1" si="7"/>
        <v>#REF!</v>
      </c>
      <c r="K17" s="1" t="e">
        <f t="shared" ca="1" si="7"/>
        <v>#REF!</v>
      </c>
      <c r="L17" s="1" t="e">
        <f t="shared" ca="1" si="7"/>
        <v>#REF!</v>
      </c>
    </row>
    <row r="18" spans="2:12" x14ac:dyDescent="0.2">
      <c r="B18" s="1" t="s">
        <v>303</v>
      </c>
      <c r="C18" s="162"/>
      <c r="G18" s="177"/>
      <c r="H18" s="1" t="e">
        <f ca="1">H17*H16</f>
        <v>#REF!</v>
      </c>
      <c r="I18" s="1" t="e">
        <f t="shared" ref="I18:L18" ca="1" si="8">I17*I16</f>
        <v>#REF!</v>
      </c>
      <c r="J18" s="1" t="e">
        <f t="shared" ca="1" si="8"/>
        <v>#REF!</v>
      </c>
      <c r="K18" s="1" t="e">
        <f t="shared" ca="1" si="8"/>
        <v>#REF!</v>
      </c>
      <c r="L18" s="1" t="e">
        <f t="shared" ca="1" si="8"/>
        <v>#REF!</v>
      </c>
    </row>
    <row r="19" spans="2:12" x14ac:dyDescent="0.2">
      <c r="C19" s="162"/>
    </row>
    <row r="21" spans="2:12" x14ac:dyDescent="0.2">
      <c r="C21" s="222" t="s">
        <v>309</v>
      </c>
      <c r="D21" s="222"/>
      <c r="E21" s="222"/>
      <c r="F21" s="222"/>
      <c r="G21" s="222"/>
      <c r="H21" s="222"/>
      <c r="I21" s="222"/>
      <c r="J21" s="222"/>
      <c r="K21" s="222"/>
      <c r="L21" s="222"/>
    </row>
    <row r="22" spans="2:12" x14ac:dyDescent="0.2">
      <c r="B22" s="7" t="s">
        <v>216</v>
      </c>
      <c r="C22" s="62">
        <f t="shared" ref="C22:L22" si="9">C6</f>
        <v>2021</v>
      </c>
      <c r="D22" s="62">
        <f t="shared" si="9"/>
        <v>2022</v>
      </c>
      <c r="E22" s="62">
        <f t="shared" si="9"/>
        <v>2023</v>
      </c>
      <c r="F22" s="62">
        <f t="shared" si="9"/>
        <v>2024</v>
      </c>
      <c r="G22" s="62">
        <f t="shared" si="9"/>
        <v>2025</v>
      </c>
      <c r="H22" s="62">
        <f t="shared" si="9"/>
        <v>2026</v>
      </c>
      <c r="I22" s="62">
        <f t="shared" si="9"/>
        <v>2027</v>
      </c>
      <c r="J22" s="62">
        <f t="shared" si="9"/>
        <v>2028</v>
      </c>
      <c r="K22" s="62">
        <f t="shared" si="9"/>
        <v>2029</v>
      </c>
      <c r="L22" s="62">
        <f t="shared" si="9"/>
        <v>2030</v>
      </c>
    </row>
    <row r="23" spans="2:12" x14ac:dyDescent="0.2">
      <c r="B23" s="1" t="s">
        <v>311</v>
      </c>
      <c r="C23" s="163">
        <f>'Statement Y'!C25+'Statement Y'!C26+'Statement Y'!C36</f>
        <v>0</v>
      </c>
      <c r="D23" s="163">
        <f>'Statement Y'!D25+'Statement Y'!D26+'Statement Y'!D36</f>
        <v>0</v>
      </c>
      <c r="E23" s="163">
        <f>'Statement Y'!E25+'Statement Y'!E26+'Statement Y'!E36</f>
        <v>0</v>
      </c>
      <c r="F23" s="163">
        <f>'Statement Y'!F25+'Statement Y'!F26+'Statement Y'!F36</f>
        <v>0</v>
      </c>
      <c r="G23" s="165">
        <f>'Statement Y'!G25+'Statement Y'!G26+'Statement Y'!G36</f>
        <v>0</v>
      </c>
      <c r="H23" s="20">
        <f>G24</f>
        <v>0</v>
      </c>
      <c r="I23" s="20" t="e">
        <f t="shared" ref="I23:L23" ca="1" si="10">H24</f>
        <v>#REF!</v>
      </c>
      <c r="J23" s="20" t="e">
        <f t="shared" ca="1" si="10"/>
        <v>#REF!</v>
      </c>
      <c r="K23" s="20" t="e">
        <f t="shared" ca="1" si="10"/>
        <v>#REF!</v>
      </c>
      <c r="L23" s="20" t="e">
        <f t="shared" ca="1" si="10"/>
        <v>#REF!</v>
      </c>
    </row>
    <row r="24" spans="2:12" x14ac:dyDescent="0.2">
      <c r="B24" s="1" t="s">
        <v>310</v>
      </c>
      <c r="C24" s="163">
        <f>'Statement Y'!D25+'Statement Y'!D26+'Statement Y'!D36</f>
        <v>0</v>
      </c>
      <c r="D24" s="163">
        <f>'Statement Y'!E25+'Statement Y'!E26+'Statement Y'!E36</f>
        <v>0</v>
      </c>
      <c r="E24" s="163">
        <f>'Statement Y'!F25+'Statement Y'!F26+'Statement Y'!F36</f>
        <v>0</v>
      </c>
      <c r="F24" s="163">
        <f>'Statement Y'!G25+'Statement Y'!G26+'Statement Y'!G36</f>
        <v>0</v>
      </c>
      <c r="G24" s="165">
        <f>'Statement Y'!H25+'Statement Y'!H26+'Statement Y'!H36</f>
        <v>0</v>
      </c>
      <c r="H24" s="107" t="e">
        <f ca="1">'Balance Sheet'!H6+'Balance Sheet'!H7+'Balance Sheet'!H16</f>
        <v>#REF!</v>
      </c>
      <c r="I24" s="107" t="e">
        <f ca="1">'Balance Sheet'!I6+'Balance Sheet'!I7+'Balance Sheet'!I16</f>
        <v>#REF!</v>
      </c>
      <c r="J24" s="107" t="e">
        <f ca="1">'Balance Sheet'!J6+'Balance Sheet'!J7+'Balance Sheet'!J16</f>
        <v>#REF!</v>
      </c>
      <c r="K24" s="107" t="e">
        <f ca="1">'Balance Sheet'!K6+'Balance Sheet'!K7+'Balance Sheet'!K16</f>
        <v>#REF!</v>
      </c>
      <c r="L24" s="107" t="e">
        <f ca="1">'Balance Sheet'!L6+'Balance Sheet'!L7+'Balance Sheet'!L16</f>
        <v>#REF!</v>
      </c>
    </row>
    <row r="25" spans="2:12" x14ac:dyDescent="0.2">
      <c r="B25" s="1" t="s">
        <v>131</v>
      </c>
      <c r="C25" s="163">
        <f>'Statement Y'!D15</f>
        <v>0</v>
      </c>
      <c r="D25" s="163">
        <f>'Statement Y'!E15</f>
        <v>0</v>
      </c>
      <c r="E25" s="163">
        <f>'Statement Y'!F15</f>
        <v>0</v>
      </c>
      <c r="F25" s="163">
        <f>'Statement Y'!G15</f>
        <v>0</v>
      </c>
      <c r="G25" s="165">
        <f>'Statement Y'!H15</f>
        <v>0</v>
      </c>
      <c r="H25" s="20">
        <f>H23*H26</f>
        <v>0</v>
      </c>
      <c r="I25" s="20" t="e">
        <f t="shared" ref="I25:L25" ca="1" si="11">I23*I26</f>
        <v>#REF!</v>
      </c>
      <c r="J25" s="20" t="e">
        <f t="shared" ca="1" si="11"/>
        <v>#REF!</v>
      </c>
      <c r="K25" s="20" t="e">
        <f t="shared" ca="1" si="11"/>
        <v>#REF!</v>
      </c>
      <c r="L25" s="20" t="e">
        <f t="shared" ca="1" si="11"/>
        <v>#REF!</v>
      </c>
    </row>
    <row r="26" spans="2:12" x14ac:dyDescent="0.2">
      <c r="B26" s="1" t="s">
        <v>304</v>
      </c>
      <c r="C26" s="171" t="e">
        <f>C25/AVERAGE(C23:C24)</f>
        <v>#DIV/0!</v>
      </c>
      <c r="D26" s="171" t="e">
        <f>D25/AVERAGE(D23:D24)</f>
        <v>#DIV/0!</v>
      </c>
      <c r="E26" s="171" t="e">
        <f t="shared" ref="E26:G26" si="12">E25/AVERAGE(E23:E24)</f>
        <v>#DIV/0!</v>
      </c>
      <c r="F26" s="171" t="e">
        <f t="shared" si="12"/>
        <v>#DIV/0!</v>
      </c>
      <c r="G26" s="174" t="e">
        <f t="shared" si="12"/>
        <v>#DIV/0!</v>
      </c>
      <c r="H26" s="175">
        <v>0.04</v>
      </c>
      <c r="I26" s="175">
        <v>0.04</v>
      </c>
      <c r="J26" s="175">
        <v>0.04</v>
      </c>
      <c r="K26" s="175">
        <v>0.04</v>
      </c>
      <c r="L26" s="175">
        <v>0.04</v>
      </c>
    </row>
    <row r="29" spans="2:12" x14ac:dyDescent="0.2">
      <c r="B29" s="223" t="s">
        <v>305</v>
      </c>
      <c r="C29" s="223"/>
    </row>
    <row r="30" spans="2:12" x14ac:dyDescent="0.2">
      <c r="B30" s="1" t="s">
        <v>306</v>
      </c>
      <c r="C30" s="175">
        <v>0.5</v>
      </c>
    </row>
    <row r="31" spans="2:12" x14ac:dyDescent="0.2">
      <c r="B31" s="1" t="s">
        <v>307</v>
      </c>
      <c r="C31" s="175">
        <v>0.5</v>
      </c>
    </row>
    <row r="32" spans="2:12" x14ac:dyDescent="0.2">
      <c r="B32" s="1" t="s">
        <v>308</v>
      </c>
      <c r="C32" s="175">
        <v>0</v>
      </c>
    </row>
    <row r="35" spans="2:12" x14ac:dyDescent="0.2">
      <c r="B35" s="92"/>
      <c r="C35" s="222" t="s">
        <v>178</v>
      </c>
      <c r="D35" s="222"/>
      <c r="E35" s="222"/>
      <c r="F35" s="222"/>
      <c r="G35" s="222"/>
      <c r="H35" s="222"/>
      <c r="I35" s="222"/>
      <c r="J35" s="222"/>
      <c r="K35" s="222"/>
      <c r="L35" s="222"/>
    </row>
    <row r="36" spans="2:12" x14ac:dyDescent="0.2">
      <c r="B36" s="7" t="s">
        <v>179</v>
      </c>
      <c r="C36" s="62">
        <f>C6</f>
        <v>2021</v>
      </c>
      <c r="D36" s="62">
        <f t="shared" ref="D36:L36" si="13">D6</f>
        <v>2022</v>
      </c>
      <c r="E36" s="62">
        <f t="shared" si="13"/>
        <v>2023</v>
      </c>
      <c r="F36" s="62">
        <f t="shared" si="13"/>
        <v>2024</v>
      </c>
      <c r="G36" s="62">
        <f t="shared" si="13"/>
        <v>2025</v>
      </c>
      <c r="H36" s="62">
        <f t="shared" si="13"/>
        <v>2026</v>
      </c>
      <c r="I36" s="62">
        <f t="shared" si="13"/>
        <v>2027</v>
      </c>
      <c r="J36" s="62">
        <f t="shared" si="13"/>
        <v>2028</v>
      </c>
      <c r="K36" s="62">
        <f t="shared" si="13"/>
        <v>2029</v>
      </c>
      <c r="L36" s="62">
        <f t="shared" si="13"/>
        <v>2030</v>
      </c>
    </row>
    <row r="37" spans="2:12" x14ac:dyDescent="0.2">
      <c r="B37" s="7" t="s">
        <v>6</v>
      </c>
      <c r="C37" s="110">
        <f>'Statement Y'!D5</f>
        <v>0</v>
      </c>
      <c r="D37" s="110">
        <f>'Statement Y'!E5</f>
        <v>0</v>
      </c>
      <c r="E37" s="110">
        <f>'Statement Y'!F5</f>
        <v>0</v>
      </c>
      <c r="F37" s="110">
        <f>'Statement Y'!G5</f>
        <v>0</v>
      </c>
      <c r="G37" s="111">
        <f>'Statement Y'!H5</f>
        <v>0</v>
      </c>
      <c r="H37" s="110" t="e">
        <f>Revenue!H12</f>
        <v>#REF!</v>
      </c>
      <c r="I37" s="110" t="e">
        <f>Revenue!I12</f>
        <v>#REF!</v>
      </c>
      <c r="J37" s="110" t="e">
        <f>Revenue!J12</f>
        <v>#REF!</v>
      </c>
      <c r="K37" s="110" t="e">
        <f>Revenue!K12</f>
        <v>#REF!</v>
      </c>
      <c r="L37" s="110" t="e">
        <f>Revenue!L12</f>
        <v>#REF!</v>
      </c>
    </row>
    <row r="39" spans="2:12" x14ac:dyDescent="0.2">
      <c r="C39" s="222" t="s">
        <v>317</v>
      </c>
      <c r="D39" s="222"/>
      <c r="E39" s="222"/>
      <c r="F39" s="222"/>
      <c r="G39" s="222"/>
      <c r="H39" s="222"/>
      <c r="I39" s="222"/>
      <c r="J39" s="222"/>
      <c r="K39" s="222"/>
      <c r="L39" s="222"/>
    </row>
    <row r="40" spans="2:12" x14ac:dyDescent="0.2">
      <c r="C40" s="180">
        <f>C6</f>
        <v>2021</v>
      </c>
      <c r="D40" s="180">
        <f t="shared" ref="D40:K40" si="14">D6</f>
        <v>2022</v>
      </c>
      <c r="E40" s="180">
        <f t="shared" si="14"/>
        <v>2023</v>
      </c>
      <c r="F40" s="180">
        <f t="shared" si="14"/>
        <v>2024</v>
      </c>
      <c r="G40" s="180">
        <f t="shared" si="14"/>
        <v>2025</v>
      </c>
      <c r="H40" s="180">
        <f t="shared" si="14"/>
        <v>2026</v>
      </c>
      <c r="I40" s="180">
        <f t="shared" si="14"/>
        <v>2027</v>
      </c>
      <c r="J40" s="180">
        <f t="shared" si="14"/>
        <v>2028</v>
      </c>
      <c r="K40" s="180">
        <f t="shared" si="14"/>
        <v>2029</v>
      </c>
      <c r="L40" s="180">
        <f>L6</f>
        <v>2030</v>
      </c>
    </row>
    <row r="41" spans="2:12" x14ac:dyDescent="0.2">
      <c r="B41" s="1" t="s">
        <v>318</v>
      </c>
      <c r="C41" s="163">
        <f>'Statement Y'!D61</f>
        <v>0</v>
      </c>
      <c r="D41" s="163">
        <f>'Statement Y'!E61</f>
        <v>0</v>
      </c>
      <c r="E41" s="163">
        <f>'Statement Y'!F61</f>
        <v>0</v>
      </c>
      <c r="F41" s="163">
        <f>'Statement Y'!G61</f>
        <v>0</v>
      </c>
      <c r="G41" s="165">
        <f>'Statement Y'!H61</f>
        <v>0</v>
      </c>
      <c r="H41" s="164" t="e">
        <f>H37*H46</f>
        <v>#REF!</v>
      </c>
      <c r="I41" s="164" t="e">
        <f t="shared" ref="I41:L41" si="15">I37*I46</f>
        <v>#REF!</v>
      </c>
      <c r="J41" s="164" t="e">
        <f t="shared" si="15"/>
        <v>#REF!</v>
      </c>
      <c r="K41" s="164" t="e">
        <f t="shared" si="15"/>
        <v>#REF!</v>
      </c>
      <c r="L41" s="164" t="e">
        <f t="shared" si="15"/>
        <v>#REF!</v>
      </c>
    </row>
    <row r="42" spans="2:12" x14ac:dyDescent="0.2">
      <c r="B42" s="1" t="s">
        <v>127</v>
      </c>
      <c r="C42" s="163">
        <f>'Statement Y'!D83</f>
        <v>0</v>
      </c>
      <c r="D42" s="163">
        <f>'Statement Y'!E83</f>
        <v>0</v>
      </c>
      <c r="E42" s="163">
        <f>'Statement Y'!F83</f>
        <v>0</v>
      </c>
      <c r="F42" s="163">
        <f>'Statement Y'!G83</f>
        <v>0</v>
      </c>
      <c r="G42" s="165">
        <f>'Statement Y'!H83</f>
        <v>0</v>
      </c>
      <c r="H42" s="164" t="e">
        <f>H37*H47</f>
        <v>#REF!</v>
      </c>
      <c r="I42" s="164" t="e">
        <f t="shared" ref="I42:L42" si="16">I37*I47</f>
        <v>#REF!</v>
      </c>
      <c r="J42" s="164" t="e">
        <f t="shared" si="16"/>
        <v>#REF!</v>
      </c>
      <c r="K42" s="164" t="e">
        <f t="shared" si="16"/>
        <v>#REF!</v>
      </c>
      <c r="L42" s="164" t="e">
        <f t="shared" si="16"/>
        <v>#REF!</v>
      </c>
    </row>
    <row r="44" spans="2:12" x14ac:dyDescent="0.2">
      <c r="C44" s="222" t="s">
        <v>319</v>
      </c>
      <c r="D44" s="222"/>
      <c r="E44" s="222"/>
      <c r="F44" s="222"/>
      <c r="G44" s="222"/>
      <c r="H44" s="222"/>
      <c r="I44" s="222"/>
      <c r="J44" s="222"/>
      <c r="K44" s="222"/>
      <c r="L44" s="222"/>
    </row>
    <row r="45" spans="2:12" x14ac:dyDescent="0.2">
      <c r="B45" s="7" t="s">
        <v>269</v>
      </c>
      <c r="C45" s="62">
        <f>C6</f>
        <v>2021</v>
      </c>
      <c r="D45" s="62">
        <f t="shared" ref="D45:K45" si="17">D6</f>
        <v>2022</v>
      </c>
      <c r="E45" s="62">
        <f t="shared" si="17"/>
        <v>2023</v>
      </c>
      <c r="F45" s="62">
        <f t="shared" si="17"/>
        <v>2024</v>
      </c>
      <c r="G45" s="62">
        <f t="shared" si="17"/>
        <v>2025</v>
      </c>
      <c r="H45" s="62">
        <f t="shared" si="17"/>
        <v>2026</v>
      </c>
      <c r="I45" s="62">
        <f t="shared" si="17"/>
        <v>2027</v>
      </c>
      <c r="J45" s="62">
        <f t="shared" si="17"/>
        <v>2028</v>
      </c>
      <c r="K45" s="62">
        <f t="shared" si="17"/>
        <v>2029</v>
      </c>
      <c r="L45" s="62">
        <f>L6</f>
        <v>2030</v>
      </c>
    </row>
    <row r="46" spans="2:12" x14ac:dyDescent="0.2">
      <c r="B46" s="1" t="s">
        <v>320</v>
      </c>
      <c r="C46" s="115" t="e">
        <f>C41/C37</f>
        <v>#DIV/0!</v>
      </c>
      <c r="D46" s="115" t="e">
        <f t="shared" ref="D46:G46" si="18">D41/D37</f>
        <v>#DIV/0!</v>
      </c>
      <c r="E46" s="115" t="e">
        <f t="shared" si="18"/>
        <v>#DIV/0!</v>
      </c>
      <c r="F46" s="115" t="e">
        <f t="shared" si="18"/>
        <v>#DIV/0!</v>
      </c>
      <c r="G46" s="116" t="e">
        <f t="shared" si="18"/>
        <v>#DIV/0!</v>
      </c>
      <c r="H46" s="118">
        <v>0.12</v>
      </c>
      <c r="I46" s="118">
        <v>0.11</v>
      </c>
      <c r="J46" s="118">
        <v>0.1</v>
      </c>
      <c r="K46" s="118">
        <v>0.1</v>
      </c>
      <c r="L46" s="118">
        <v>0.1</v>
      </c>
    </row>
    <row r="47" spans="2:12" x14ac:dyDescent="0.2">
      <c r="B47" s="1" t="s">
        <v>321</v>
      </c>
      <c r="C47" s="115" t="e">
        <f>C42/C37</f>
        <v>#DIV/0!</v>
      </c>
      <c r="D47" s="115" t="e">
        <f t="shared" ref="D47:G47" si="19">D42/D37</f>
        <v>#DIV/0!</v>
      </c>
      <c r="E47" s="115" t="e">
        <f t="shared" si="19"/>
        <v>#DIV/0!</v>
      </c>
      <c r="F47" s="115" t="e">
        <f t="shared" si="19"/>
        <v>#DIV/0!</v>
      </c>
      <c r="G47" s="116" t="e">
        <f t="shared" si="19"/>
        <v>#DIV/0!</v>
      </c>
      <c r="H47" s="118">
        <v>0.02</v>
      </c>
      <c r="I47" s="118">
        <v>0.02</v>
      </c>
      <c r="J47" s="118">
        <v>0.02</v>
      </c>
      <c r="K47" s="118">
        <v>1.4999999999999999E-2</v>
      </c>
      <c r="L47" s="118">
        <v>1.4999999999999999E-2</v>
      </c>
    </row>
  </sheetData>
  <mergeCells count="12">
    <mergeCell ref="C3:G3"/>
    <mergeCell ref="H3:L3"/>
    <mergeCell ref="P3:W3"/>
    <mergeCell ref="X3:Z3"/>
    <mergeCell ref="C5:L5"/>
    <mergeCell ref="P5:Z5"/>
    <mergeCell ref="C35:L35"/>
    <mergeCell ref="C39:L39"/>
    <mergeCell ref="C44:L44"/>
    <mergeCell ref="C11:L11"/>
    <mergeCell ref="B29:C29"/>
    <mergeCell ref="C21:L2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F7C23-0437-D845-82FA-AA7D97717D09}">
  <sheetPr>
    <tabColor theme="6" tint="0.59999389629810485"/>
  </sheetPr>
  <dimension ref="B13"/>
  <sheetViews>
    <sheetView workbookViewId="0">
      <selection activeCell="B13" sqref="B13:D13"/>
    </sheetView>
  </sheetViews>
  <sheetFormatPr baseColWidth="10" defaultRowHeight="16" x14ac:dyDescent="0.2"/>
  <cols>
    <col min="1" max="16384" width="10.83203125" style="1"/>
  </cols>
  <sheetData>
    <row r="13" spans="2:2" s="103" customFormat="1" ht="49" x14ac:dyDescent="0.2">
      <c r="B13" s="105" t="s">
        <v>252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8536-A52E-BE47-BD32-746F7211CF86}">
  <dimension ref="A1:AE22"/>
  <sheetViews>
    <sheetView topLeftCell="A16" zoomScale="179" workbookViewId="0">
      <selection activeCell="H22" sqref="H22"/>
    </sheetView>
  </sheetViews>
  <sheetFormatPr baseColWidth="10" defaultRowHeight="16" x14ac:dyDescent="0.2"/>
  <cols>
    <col min="1" max="1" width="2" style="102" customWidth="1"/>
    <col min="2" max="2" width="24.6640625" style="1" customWidth="1"/>
    <col min="3" max="3" width="10.83203125" style="1"/>
    <col min="4" max="4" width="10.83203125" style="1" customWidth="1"/>
    <col min="5" max="7" width="10.83203125" style="1"/>
    <col min="8" max="8" width="10.83203125" style="1" customWidth="1"/>
    <col min="9" max="12" width="10.83203125" style="1"/>
    <col min="13" max="13" width="2" style="1" customWidth="1"/>
    <col min="14" max="14" width="36.83203125" style="1" customWidth="1"/>
    <col min="15" max="16" width="2" style="1" customWidth="1"/>
    <col min="17" max="17" width="36.83203125" style="1" customWidth="1"/>
    <col min="18" max="18" width="24.6640625" style="1" customWidth="1"/>
    <col min="19" max="29" width="10.83203125" style="1"/>
    <col min="30" max="30" width="2" style="1" customWidth="1"/>
    <col min="31" max="31" width="12.33203125" style="1" customWidth="1"/>
    <col min="32" max="16384" width="10.83203125" style="1"/>
  </cols>
  <sheetData>
    <row r="1" spans="1:31" s="102" customFormat="1" ht="18" customHeight="1" x14ac:dyDescent="0.2">
      <c r="A1" s="103"/>
      <c r="B1" s="104" t="s">
        <v>253</v>
      </c>
    </row>
    <row r="2" spans="1:31" x14ac:dyDescent="0.2">
      <c r="A2" s="103"/>
      <c r="C2" s="223" t="s">
        <v>168</v>
      </c>
      <c r="D2" s="223"/>
      <c r="E2" s="223"/>
      <c r="F2" s="223"/>
      <c r="G2" s="226"/>
      <c r="H2" s="227" t="s">
        <v>169</v>
      </c>
      <c r="I2" s="223"/>
      <c r="J2" s="223"/>
      <c r="K2" s="223"/>
      <c r="L2" s="223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E2" s="143"/>
    </row>
    <row r="3" spans="1:31" ht="10" customHeight="1" x14ac:dyDescent="0.2"/>
    <row r="4" spans="1:31" ht="16" customHeight="1" x14ac:dyDescent="0.2">
      <c r="A4" s="108"/>
      <c r="B4" s="92"/>
      <c r="C4" s="222" t="s">
        <v>5</v>
      </c>
      <c r="D4" s="222"/>
      <c r="E4" s="222"/>
      <c r="F4" s="222"/>
      <c r="G4" s="222"/>
      <c r="H4" s="222"/>
      <c r="I4" s="222"/>
      <c r="J4" s="222"/>
      <c r="K4" s="222"/>
      <c r="L4" s="222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E4" s="144"/>
    </row>
    <row r="5" spans="1:31" x14ac:dyDescent="0.2">
      <c r="B5" s="7" t="s">
        <v>216</v>
      </c>
      <c r="C5" s="62">
        <f>'Statement Y'!D3</f>
        <v>2021</v>
      </c>
      <c r="D5" s="62">
        <f>'Statement Y'!E3</f>
        <v>2022</v>
      </c>
      <c r="E5" s="62">
        <f>'Statement Y'!F3</f>
        <v>2023</v>
      </c>
      <c r="F5" s="62">
        <f>'Statement Y'!G3</f>
        <v>2024</v>
      </c>
      <c r="G5" s="62">
        <f>'Statement Y'!H3</f>
        <v>2025</v>
      </c>
      <c r="H5" s="62">
        <f>G5+1</f>
        <v>2026</v>
      </c>
      <c r="I5" s="62">
        <f t="shared" ref="I5:L5" si="0">H5+1</f>
        <v>2027</v>
      </c>
      <c r="J5" s="62">
        <f t="shared" si="0"/>
        <v>2028</v>
      </c>
      <c r="K5" s="62">
        <f t="shared" si="0"/>
        <v>2029</v>
      </c>
      <c r="L5" s="62">
        <f t="shared" si="0"/>
        <v>2030</v>
      </c>
      <c r="R5" s="7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E5" s="144"/>
    </row>
    <row r="6" spans="1:31" x14ac:dyDescent="0.2">
      <c r="B6" s="7" t="s">
        <v>6</v>
      </c>
      <c r="C6" s="110">
        <f>Revenue!C12</f>
        <v>0</v>
      </c>
      <c r="D6" s="110">
        <f>Revenue!D12</f>
        <v>0</v>
      </c>
      <c r="E6" s="110">
        <f>Revenue!E12</f>
        <v>0</v>
      </c>
      <c r="F6" s="110">
        <f>Revenue!F12</f>
        <v>0</v>
      </c>
      <c r="G6" s="111">
        <f>Revenue!G12</f>
        <v>0</v>
      </c>
      <c r="H6" s="112" t="e">
        <f>Revenue!H12</f>
        <v>#REF!</v>
      </c>
      <c r="I6" s="112" t="e">
        <f>Revenue!I12</f>
        <v>#REF!</v>
      </c>
      <c r="J6" s="112" t="e">
        <f>Revenue!J12</f>
        <v>#REF!</v>
      </c>
      <c r="K6" s="112" t="e">
        <f>Revenue!K12</f>
        <v>#REF!</v>
      </c>
      <c r="L6" s="112" t="e">
        <f>Revenue!L12</f>
        <v>#REF!</v>
      </c>
      <c r="N6" s="125" t="s">
        <v>332</v>
      </c>
      <c r="Q6" s="125"/>
      <c r="S6" s="106"/>
      <c r="T6" s="106"/>
      <c r="U6" s="106"/>
      <c r="V6" s="106"/>
      <c r="W6" s="106"/>
      <c r="X6" s="106"/>
      <c r="Y6" s="106"/>
      <c r="Z6" s="106"/>
      <c r="AA6" s="107"/>
      <c r="AB6" s="107"/>
      <c r="AC6" s="107"/>
      <c r="AE6" s="107"/>
    </row>
    <row r="7" spans="1:31" x14ac:dyDescent="0.2">
      <c r="B7" s="1" t="s">
        <v>7</v>
      </c>
      <c r="C7" s="106">
        <f>'COGS &amp; OpEx'!C11</f>
        <v>0</v>
      </c>
      <c r="D7" s="106">
        <f>'COGS &amp; OpEx'!D11</f>
        <v>0</v>
      </c>
      <c r="E7" s="106">
        <f>'COGS &amp; OpEx'!E11</f>
        <v>0</v>
      </c>
      <c r="F7" s="106">
        <f>'COGS &amp; OpEx'!F11</f>
        <v>0</v>
      </c>
      <c r="G7" s="109">
        <f>'COGS &amp; OpEx'!G11</f>
        <v>0</v>
      </c>
      <c r="H7" s="107" t="e">
        <f>'COGS &amp; OpEx'!H11</f>
        <v>#REF!</v>
      </c>
      <c r="I7" s="107" t="e">
        <f>'COGS &amp; OpEx'!I11</f>
        <v>#REF!</v>
      </c>
      <c r="J7" s="107" t="e">
        <f>'COGS &amp; OpEx'!J11</f>
        <v>#REF!</v>
      </c>
      <c r="K7" s="107" t="e">
        <f>'COGS &amp; OpEx'!K11</f>
        <v>#REF!</v>
      </c>
      <c r="L7" s="107" t="e">
        <f>'COGS &amp; OpEx'!L11</f>
        <v>#REF!</v>
      </c>
      <c r="N7" s="125" t="s">
        <v>324</v>
      </c>
      <c r="Q7" s="125"/>
      <c r="S7" s="106"/>
      <c r="T7" s="106"/>
      <c r="U7" s="106"/>
      <c r="V7" s="106"/>
      <c r="W7" s="106"/>
      <c r="X7" s="106"/>
      <c r="Y7" s="106"/>
      <c r="Z7" s="106"/>
      <c r="AA7" s="107"/>
      <c r="AB7" s="107"/>
      <c r="AC7" s="107"/>
      <c r="AE7" s="107"/>
    </row>
    <row r="8" spans="1:31" x14ac:dyDescent="0.2">
      <c r="B8" s="7" t="s">
        <v>171</v>
      </c>
      <c r="C8" s="112">
        <f>C6-C7</f>
        <v>0</v>
      </c>
      <c r="D8" s="112">
        <f t="shared" ref="D8:L8" si="1">D6-D7</f>
        <v>0</v>
      </c>
      <c r="E8" s="112">
        <f t="shared" si="1"/>
        <v>0</v>
      </c>
      <c r="F8" s="112">
        <f t="shared" si="1"/>
        <v>0</v>
      </c>
      <c r="G8" s="167">
        <f t="shared" si="1"/>
        <v>0</v>
      </c>
      <c r="H8" s="112" t="e">
        <f t="shared" si="1"/>
        <v>#REF!</v>
      </c>
      <c r="I8" s="112" t="e">
        <f t="shared" si="1"/>
        <v>#REF!</v>
      </c>
      <c r="J8" s="112" t="e">
        <f t="shared" si="1"/>
        <v>#REF!</v>
      </c>
      <c r="K8" s="112" t="e">
        <f t="shared" si="1"/>
        <v>#REF!</v>
      </c>
      <c r="L8" s="112" t="e">
        <f t="shared" si="1"/>
        <v>#REF!</v>
      </c>
      <c r="N8" s="125"/>
      <c r="Q8" s="125"/>
      <c r="S8" s="106"/>
      <c r="T8" s="106"/>
      <c r="U8" s="106"/>
      <c r="V8" s="106"/>
      <c r="W8" s="106"/>
      <c r="X8" s="106"/>
      <c r="Y8" s="106"/>
      <c r="Z8" s="106"/>
      <c r="AA8" s="107"/>
      <c r="AB8" s="107"/>
      <c r="AC8" s="107"/>
      <c r="AE8" s="107"/>
    </row>
    <row r="9" spans="1:31" x14ac:dyDescent="0.2">
      <c r="B9" s="1" t="s">
        <v>9</v>
      </c>
      <c r="C9" s="106">
        <f>'COGS &amp; OpEx'!C12</f>
        <v>0</v>
      </c>
      <c r="D9" s="106">
        <f>'COGS &amp; OpEx'!D12</f>
        <v>0</v>
      </c>
      <c r="E9" s="106">
        <f>'COGS &amp; OpEx'!E12</f>
        <v>0</v>
      </c>
      <c r="F9" s="106">
        <f>'COGS &amp; OpEx'!F12</f>
        <v>0</v>
      </c>
      <c r="G9" s="109">
        <f>'COGS &amp; OpEx'!G12</f>
        <v>0</v>
      </c>
      <c r="H9" s="107" t="e">
        <f>'COGS &amp; OpEx'!H12</f>
        <v>#REF!</v>
      </c>
      <c r="I9" s="107" t="e">
        <f>'COGS &amp; OpEx'!I12</f>
        <v>#REF!</v>
      </c>
      <c r="J9" s="107" t="e">
        <f>'COGS &amp; OpEx'!J12</f>
        <v>#REF!</v>
      </c>
      <c r="K9" s="107" t="e">
        <f>'COGS &amp; OpEx'!K12</f>
        <v>#REF!</v>
      </c>
      <c r="L9" s="107" t="e">
        <f>'COGS &amp; OpEx'!L12</f>
        <v>#REF!</v>
      </c>
      <c r="N9" s="125" t="s">
        <v>324</v>
      </c>
      <c r="Q9" s="125"/>
      <c r="S9" s="106"/>
      <c r="T9" s="106"/>
      <c r="U9" s="106"/>
      <c r="V9" s="106"/>
      <c r="W9" s="106"/>
      <c r="X9" s="106"/>
      <c r="Y9" s="106"/>
      <c r="Z9" s="106"/>
      <c r="AA9" s="107"/>
      <c r="AB9" s="107"/>
      <c r="AC9" s="107"/>
      <c r="AE9" s="107"/>
    </row>
    <row r="10" spans="1:31" x14ac:dyDescent="0.2">
      <c r="B10" s="1" t="s">
        <v>254</v>
      </c>
      <c r="C10" s="106">
        <f>'COGS &amp; OpEx'!C13</f>
        <v>0</v>
      </c>
      <c r="D10" s="106">
        <f>'COGS &amp; OpEx'!D13</f>
        <v>0</v>
      </c>
      <c r="E10" s="106">
        <f>'COGS &amp; OpEx'!E13</f>
        <v>0</v>
      </c>
      <c r="F10" s="106">
        <f>'COGS &amp; OpEx'!F13</f>
        <v>0</v>
      </c>
      <c r="G10" s="109">
        <f>'COGS &amp; OpEx'!G13</f>
        <v>0</v>
      </c>
      <c r="H10" s="107" t="e">
        <f>'COGS &amp; OpEx'!H13</f>
        <v>#REF!</v>
      </c>
      <c r="I10" s="107" t="e">
        <f>'COGS &amp; OpEx'!I13</f>
        <v>#REF!</v>
      </c>
      <c r="J10" s="107" t="e">
        <f>'COGS &amp; OpEx'!J13</f>
        <v>#REF!</v>
      </c>
      <c r="K10" s="107" t="e">
        <f>'COGS &amp; OpEx'!K13</f>
        <v>#REF!</v>
      </c>
      <c r="L10" s="107" t="e">
        <f>'COGS &amp; OpEx'!L13</f>
        <v>#REF!</v>
      </c>
      <c r="N10" s="125" t="s">
        <v>324</v>
      </c>
      <c r="Q10" s="125"/>
      <c r="S10" s="106"/>
      <c r="T10" s="106"/>
      <c r="U10" s="106"/>
      <c r="V10" s="106"/>
      <c r="W10" s="106"/>
      <c r="X10" s="106"/>
      <c r="Y10" s="106"/>
      <c r="Z10" s="106"/>
      <c r="AA10" s="107"/>
      <c r="AB10" s="107"/>
      <c r="AC10" s="107"/>
      <c r="AE10" s="107"/>
    </row>
    <row r="11" spans="1:31" x14ac:dyDescent="0.2">
      <c r="B11" s="1" t="s">
        <v>205</v>
      </c>
      <c r="C11" s="106">
        <f>'COGS &amp; OpEx'!C14</f>
        <v>0</v>
      </c>
      <c r="D11" s="106">
        <f>'COGS &amp; OpEx'!D14</f>
        <v>0</v>
      </c>
      <c r="E11" s="106">
        <f>'COGS &amp; OpEx'!E14</f>
        <v>0</v>
      </c>
      <c r="F11" s="106">
        <f>'COGS &amp; OpEx'!F14</f>
        <v>0</v>
      </c>
      <c r="G11" s="109">
        <f>'COGS &amp; OpEx'!G14</f>
        <v>0</v>
      </c>
      <c r="H11" s="107" t="e">
        <f>'COGS &amp; OpEx'!H14</f>
        <v>#REF!</v>
      </c>
      <c r="I11" s="107" t="e">
        <f>'COGS &amp; OpEx'!I14</f>
        <v>#REF!</v>
      </c>
      <c r="J11" s="107" t="e">
        <f>'COGS &amp; OpEx'!J14</f>
        <v>#REF!</v>
      </c>
      <c r="K11" s="107" t="e">
        <f>'COGS &amp; OpEx'!K14</f>
        <v>#REF!</v>
      </c>
      <c r="L11" s="107" t="e">
        <f>'COGS &amp; OpEx'!L14</f>
        <v>#REF!</v>
      </c>
      <c r="N11" s="125" t="s">
        <v>324</v>
      </c>
      <c r="Q11" s="125"/>
      <c r="S11" s="106"/>
      <c r="T11" s="106"/>
      <c r="U11" s="106"/>
      <c r="V11" s="106"/>
      <c r="W11" s="106"/>
      <c r="X11" s="106"/>
      <c r="Y11" s="106"/>
      <c r="Z11" s="106"/>
      <c r="AA11" s="107"/>
      <c r="AB11" s="107"/>
      <c r="AC11" s="107"/>
      <c r="AE11" s="107"/>
    </row>
    <row r="12" spans="1:31" x14ac:dyDescent="0.2">
      <c r="B12" s="1" t="s">
        <v>11</v>
      </c>
      <c r="C12" s="106">
        <f>'COGS &amp; OpEx'!C15</f>
        <v>0</v>
      </c>
      <c r="D12" s="106">
        <f>'COGS &amp; OpEx'!D15</f>
        <v>0</v>
      </c>
      <c r="E12" s="106">
        <f>'COGS &amp; OpEx'!E15</f>
        <v>0</v>
      </c>
      <c r="F12" s="106">
        <f>'COGS &amp; OpEx'!F15</f>
        <v>0</v>
      </c>
      <c r="G12" s="109">
        <f>'COGS &amp; OpEx'!G15</f>
        <v>0</v>
      </c>
      <c r="H12" s="107" t="e">
        <f>'COGS &amp; OpEx'!H15</f>
        <v>#REF!</v>
      </c>
      <c r="I12" s="107" t="e">
        <f>'COGS &amp; OpEx'!I15</f>
        <v>#REF!</v>
      </c>
      <c r="J12" s="107" t="e">
        <f>'COGS &amp; OpEx'!J15</f>
        <v>#REF!</v>
      </c>
      <c r="K12" s="107" t="e">
        <f>'COGS &amp; OpEx'!K15</f>
        <v>#REF!</v>
      </c>
      <c r="L12" s="107" t="e">
        <f>'COGS &amp; OpEx'!L15</f>
        <v>#REF!</v>
      </c>
      <c r="N12" s="181" t="s">
        <v>324</v>
      </c>
      <c r="Q12" s="125"/>
      <c r="S12" s="106"/>
      <c r="T12" s="106"/>
      <c r="U12" s="106"/>
      <c r="V12" s="106"/>
      <c r="W12" s="106"/>
      <c r="X12" s="106"/>
      <c r="Y12" s="106"/>
      <c r="Z12" s="106"/>
      <c r="AA12" s="107"/>
      <c r="AB12" s="107"/>
      <c r="AC12" s="107"/>
      <c r="AE12" s="107"/>
    </row>
    <row r="13" spans="1:31" x14ac:dyDescent="0.2">
      <c r="B13" s="7" t="s">
        <v>172</v>
      </c>
      <c r="C13" s="112">
        <f>C8-C12</f>
        <v>0</v>
      </c>
      <c r="D13" s="112">
        <f t="shared" ref="D13:L13" si="2">D8-D12</f>
        <v>0</v>
      </c>
      <c r="E13" s="112">
        <f t="shared" si="2"/>
        <v>0</v>
      </c>
      <c r="F13" s="112">
        <f t="shared" si="2"/>
        <v>0</v>
      </c>
      <c r="G13" s="167">
        <f t="shared" si="2"/>
        <v>0</v>
      </c>
      <c r="H13" s="112" t="e">
        <f t="shared" si="2"/>
        <v>#REF!</v>
      </c>
      <c r="I13" s="112" t="e">
        <f t="shared" si="2"/>
        <v>#REF!</v>
      </c>
      <c r="J13" s="112" t="e">
        <f t="shared" si="2"/>
        <v>#REF!</v>
      </c>
      <c r="K13" s="112" t="e">
        <f t="shared" si="2"/>
        <v>#REF!</v>
      </c>
      <c r="L13" s="112" t="e">
        <f t="shared" si="2"/>
        <v>#REF!</v>
      </c>
      <c r="N13" s="125"/>
      <c r="Q13" s="125"/>
      <c r="S13" s="106"/>
      <c r="T13" s="106"/>
      <c r="U13" s="106"/>
      <c r="V13" s="106"/>
      <c r="W13" s="106"/>
      <c r="X13" s="106"/>
      <c r="Y13" s="106"/>
      <c r="Z13" s="106"/>
      <c r="AA13" s="107"/>
      <c r="AB13" s="107"/>
      <c r="AC13" s="107"/>
      <c r="AE13" s="107"/>
    </row>
    <row r="14" spans="1:31" x14ac:dyDescent="0.2">
      <c r="B14" s="1" t="s">
        <v>255</v>
      </c>
      <c r="C14" s="106">
        <f>'Statement Y'!D15</f>
        <v>0</v>
      </c>
      <c r="D14" s="106">
        <f>'Statement Y'!E15</f>
        <v>0</v>
      </c>
      <c r="E14" s="106">
        <f>'Statement Y'!F15</f>
        <v>0</v>
      </c>
      <c r="F14" s="106">
        <f>'Statement Y'!G15</f>
        <v>0</v>
      </c>
      <c r="G14" s="109">
        <f>'Statement Y'!H15</f>
        <v>0</v>
      </c>
      <c r="H14" s="107" t="e">
        <f ca="1">Financing!H8-Financing!H7</f>
        <v>#REF!</v>
      </c>
      <c r="I14" s="107" t="e">
        <f ca="1">Financing!I8-Financing!I7</f>
        <v>#REF!</v>
      </c>
      <c r="J14" s="107" t="e">
        <f ca="1">Financing!J8-Financing!J7</f>
        <v>#REF!</v>
      </c>
      <c r="K14" s="107" t="e">
        <f ca="1">Financing!K8-Financing!K7</f>
        <v>#REF!</v>
      </c>
      <c r="L14" s="107" t="e">
        <f ca="1">Financing!L8-Financing!L7</f>
        <v>#REF!</v>
      </c>
      <c r="N14" s="125" t="s">
        <v>323</v>
      </c>
      <c r="Q14" s="125"/>
      <c r="S14" s="106"/>
      <c r="T14" s="106"/>
      <c r="U14" s="106"/>
      <c r="V14" s="106"/>
      <c r="W14" s="106"/>
      <c r="X14" s="106"/>
      <c r="Y14" s="106"/>
      <c r="Z14" s="106"/>
      <c r="AA14" s="107"/>
      <c r="AB14" s="107"/>
      <c r="AC14" s="107"/>
      <c r="AE14" s="107"/>
    </row>
    <row r="15" spans="1:31" x14ac:dyDescent="0.2">
      <c r="B15" s="7" t="s">
        <v>173</v>
      </c>
      <c r="C15" s="112">
        <f>C13+C14</f>
        <v>0</v>
      </c>
      <c r="D15" s="112">
        <f t="shared" ref="D15:L15" si="3">D13+D14</f>
        <v>0</v>
      </c>
      <c r="E15" s="112">
        <f t="shared" si="3"/>
        <v>0</v>
      </c>
      <c r="F15" s="112">
        <f t="shared" si="3"/>
        <v>0</v>
      </c>
      <c r="G15" s="167">
        <f t="shared" si="3"/>
        <v>0</v>
      </c>
      <c r="H15" s="112" t="e">
        <f t="shared" ca="1" si="3"/>
        <v>#REF!</v>
      </c>
      <c r="I15" s="112" t="e">
        <f t="shared" ca="1" si="3"/>
        <v>#REF!</v>
      </c>
      <c r="J15" s="112" t="e">
        <f t="shared" ca="1" si="3"/>
        <v>#REF!</v>
      </c>
      <c r="K15" s="112" t="e">
        <f t="shared" ca="1" si="3"/>
        <v>#REF!</v>
      </c>
      <c r="L15" s="112" t="e">
        <f t="shared" ca="1" si="3"/>
        <v>#REF!</v>
      </c>
      <c r="N15" s="125"/>
      <c r="Q15" s="125"/>
      <c r="S15" s="106"/>
      <c r="T15" s="106"/>
      <c r="U15" s="106"/>
      <c r="V15" s="106"/>
      <c r="W15" s="106"/>
      <c r="X15" s="106"/>
      <c r="Y15" s="106"/>
      <c r="Z15" s="106"/>
      <c r="AA15" s="107"/>
      <c r="AB15" s="107"/>
      <c r="AC15" s="107"/>
      <c r="AE15" s="107"/>
    </row>
    <row r="16" spans="1:31" x14ac:dyDescent="0.2">
      <c r="B16" s="8" t="s">
        <v>83</v>
      </c>
      <c r="C16" s="106">
        <f>'Statement Y'!D17</f>
        <v>0</v>
      </c>
      <c r="D16" s="106">
        <f>'Statement Y'!E17</f>
        <v>0</v>
      </c>
      <c r="E16" s="106">
        <f>'Statement Y'!F17</f>
        <v>0</v>
      </c>
      <c r="F16" s="106">
        <f>'Statement Y'!G17</f>
        <v>0</v>
      </c>
      <c r="G16" s="109">
        <f>'Statement Y'!H17</f>
        <v>0</v>
      </c>
      <c r="H16" s="107" t="e">
        <f ca="1">-H15*H22</f>
        <v>#REF!</v>
      </c>
      <c r="I16" s="107" t="e">
        <f t="shared" ref="I16:L16" ca="1" si="4">-I15*I22</f>
        <v>#REF!</v>
      </c>
      <c r="J16" s="107" t="e">
        <f t="shared" ca="1" si="4"/>
        <v>#REF!</v>
      </c>
      <c r="K16" s="107" t="e">
        <f t="shared" ca="1" si="4"/>
        <v>#REF!</v>
      </c>
      <c r="L16" s="107" t="e">
        <f t="shared" ca="1" si="4"/>
        <v>#REF!</v>
      </c>
      <c r="N16" s="125"/>
      <c r="Q16" s="125"/>
      <c r="S16" s="106"/>
      <c r="T16" s="106"/>
      <c r="U16" s="106"/>
      <c r="V16" s="106"/>
      <c r="W16" s="106"/>
      <c r="X16" s="106"/>
      <c r="Y16" s="106"/>
      <c r="Z16" s="106"/>
      <c r="AA16" s="107"/>
      <c r="AB16" s="107"/>
      <c r="AC16" s="107"/>
      <c r="AE16" s="107"/>
    </row>
    <row r="17" spans="2:31" x14ac:dyDescent="0.2">
      <c r="B17" s="7" t="s">
        <v>14</v>
      </c>
      <c r="C17" s="112">
        <f>C15+C16</f>
        <v>0</v>
      </c>
      <c r="D17" s="112">
        <f t="shared" ref="D17:L17" si="5">D15+D16</f>
        <v>0</v>
      </c>
      <c r="E17" s="112">
        <f t="shared" si="5"/>
        <v>0</v>
      </c>
      <c r="F17" s="112">
        <f t="shared" si="5"/>
        <v>0</v>
      </c>
      <c r="G17" s="167">
        <f t="shared" si="5"/>
        <v>0</v>
      </c>
      <c r="H17" s="112" t="e">
        <f t="shared" ca="1" si="5"/>
        <v>#REF!</v>
      </c>
      <c r="I17" s="112" t="e">
        <f t="shared" ca="1" si="5"/>
        <v>#REF!</v>
      </c>
      <c r="J17" s="112" t="e">
        <f t="shared" ca="1" si="5"/>
        <v>#REF!</v>
      </c>
      <c r="K17" s="112" t="e">
        <f t="shared" ca="1" si="5"/>
        <v>#REF!</v>
      </c>
      <c r="L17" s="112" t="e">
        <f t="shared" ca="1" si="5"/>
        <v>#REF!</v>
      </c>
      <c r="Q17" s="91"/>
      <c r="R17" s="7"/>
      <c r="S17" s="110"/>
      <c r="T17" s="110"/>
      <c r="U17" s="110"/>
      <c r="V17" s="110"/>
      <c r="W17" s="110"/>
      <c r="X17" s="110"/>
      <c r="Y17" s="110"/>
      <c r="Z17" s="110"/>
      <c r="AA17" s="112"/>
      <c r="AB17" s="112"/>
      <c r="AC17" s="112"/>
      <c r="AE17" s="112"/>
    </row>
    <row r="20" spans="2:31" x14ac:dyDescent="0.2">
      <c r="C20" s="222" t="s">
        <v>275</v>
      </c>
      <c r="D20" s="222"/>
      <c r="E20" s="222"/>
      <c r="F20" s="222"/>
      <c r="G20" s="222"/>
      <c r="H20" s="222"/>
      <c r="I20" s="222"/>
      <c r="J20" s="222"/>
      <c r="K20" s="222"/>
      <c r="L20" s="222"/>
    </row>
    <row r="21" spans="2:31" x14ac:dyDescent="0.2">
      <c r="C21" s="62">
        <f>C5</f>
        <v>2021</v>
      </c>
      <c r="D21" s="62">
        <f t="shared" ref="D21:L21" si="6">D5</f>
        <v>2022</v>
      </c>
      <c r="E21" s="62">
        <f t="shared" si="6"/>
        <v>2023</v>
      </c>
      <c r="F21" s="62">
        <f t="shared" si="6"/>
        <v>2024</v>
      </c>
      <c r="G21" s="62">
        <f t="shared" si="6"/>
        <v>2025</v>
      </c>
      <c r="H21" s="62">
        <f t="shared" si="6"/>
        <v>2026</v>
      </c>
      <c r="I21" s="62">
        <f t="shared" si="6"/>
        <v>2027</v>
      </c>
      <c r="J21" s="62">
        <f t="shared" si="6"/>
        <v>2028</v>
      </c>
      <c r="K21" s="62">
        <f t="shared" si="6"/>
        <v>2029</v>
      </c>
      <c r="L21" s="62">
        <f t="shared" si="6"/>
        <v>2030</v>
      </c>
    </row>
    <row r="22" spans="2:31" x14ac:dyDescent="0.2">
      <c r="B22" s="1" t="s">
        <v>104</v>
      </c>
      <c r="C22" s="96" t="e">
        <f>'Statement Y'!D117</f>
        <v>#DIV/0!</v>
      </c>
      <c r="D22" s="96" t="e">
        <f>'Statement Y'!E117</f>
        <v>#DIV/0!</v>
      </c>
      <c r="E22" s="96" t="e">
        <f>'Statement Y'!F117</f>
        <v>#DIV/0!</v>
      </c>
      <c r="F22" s="96" t="e">
        <f>'Statement Y'!G117</f>
        <v>#DIV/0!</v>
      </c>
      <c r="G22" s="170" t="e">
        <f>'Statement Y'!H117</f>
        <v>#DIV/0!</v>
      </c>
      <c r="H22" s="97">
        <v>0.21</v>
      </c>
      <c r="I22" s="97">
        <v>0.22</v>
      </c>
      <c r="J22" s="97">
        <v>0.23</v>
      </c>
      <c r="K22" s="97">
        <v>0.22</v>
      </c>
      <c r="L22" s="97">
        <v>0.21</v>
      </c>
    </row>
  </sheetData>
  <mergeCells count="7">
    <mergeCell ref="C20:L20"/>
    <mergeCell ref="C2:G2"/>
    <mergeCell ref="H2:L2"/>
    <mergeCell ref="S2:Z2"/>
    <mergeCell ref="AA2:AC2"/>
    <mergeCell ref="C4:L4"/>
    <mergeCell ref="S4:AC4"/>
  </mergeCells>
  <pageMargins left="0.7" right="0.7" top="0.75" bottom="0.75" header="0.3" footer="0.3"/>
  <ignoredErrors>
    <ignoredError sqref="H16:L16 C16:G16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AAE28-8280-7148-AFB2-EBD4406AA4EE}">
  <dimension ref="A1:AE37"/>
  <sheetViews>
    <sheetView zoomScale="150" workbookViewId="0">
      <selection activeCell="L37" sqref="L37"/>
    </sheetView>
  </sheetViews>
  <sheetFormatPr baseColWidth="10" defaultRowHeight="16" x14ac:dyDescent="0.2"/>
  <cols>
    <col min="1" max="1" width="2" style="102" customWidth="1"/>
    <col min="2" max="2" width="34.6640625" style="1" customWidth="1"/>
    <col min="3" max="3" width="10.83203125" style="1"/>
    <col min="4" max="4" width="10.83203125" style="1" customWidth="1"/>
    <col min="5" max="7" width="10.83203125" style="1"/>
    <col min="8" max="8" width="10.83203125" style="1" customWidth="1"/>
    <col min="9" max="12" width="10.83203125" style="1"/>
    <col min="13" max="13" width="2" style="1" customWidth="1"/>
    <col min="14" max="14" width="36.83203125" style="1" customWidth="1"/>
    <col min="15" max="16" width="2" style="1" customWidth="1"/>
    <col min="17" max="17" width="36.83203125" style="1" customWidth="1"/>
    <col min="18" max="18" width="24.6640625" style="1" customWidth="1"/>
    <col min="19" max="29" width="10.83203125" style="1"/>
    <col min="30" max="30" width="2" style="1" customWidth="1"/>
    <col min="31" max="31" width="12.33203125" style="1" customWidth="1"/>
    <col min="32" max="16384" width="10.83203125" style="1"/>
  </cols>
  <sheetData>
    <row r="1" spans="1:31" s="102" customFormat="1" ht="18" customHeight="1" x14ac:dyDescent="0.2">
      <c r="A1" s="103"/>
      <c r="B1" s="104" t="s">
        <v>257</v>
      </c>
    </row>
    <row r="2" spans="1:31" x14ac:dyDescent="0.2">
      <c r="A2" s="103"/>
      <c r="C2" s="223" t="s">
        <v>168</v>
      </c>
      <c r="D2" s="223"/>
      <c r="E2" s="223"/>
      <c r="F2" s="223"/>
      <c r="G2" s="226"/>
      <c r="H2" s="227" t="s">
        <v>169</v>
      </c>
      <c r="I2" s="223"/>
      <c r="J2" s="223"/>
      <c r="K2" s="223"/>
      <c r="L2" s="223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E2" s="143"/>
    </row>
    <row r="3" spans="1:31" ht="10" customHeight="1" x14ac:dyDescent="0.2"/>
    <row r="4" spans="1:31" ht="16" customHeight="1" x14ac:dyDescent="0.2">
      <c r="A4" s="108"/>
      <c r="B4" s="92"/>
      <c r="C4" s="222" t="s">
        <v>257</v>
      </c>
      <c r="D4" s="222"/>
      <c r="E4" s="222"/>
      <c r="F4" s="222"/>
      <c r="G4" s="222"/>
      <c r="H4" s="222"/>
      <c r="I4" s="222"/>
      <c r="J4" s="222"/>
      <c r="K4" s="222"/>
      <c r="L4" s="222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E4" s="144"/>
    </row>
    <row r="5" spans="1:31" x14ac:dyDescent="0.2">
      <c r="B5" s="7" t="s">
        <v>216</v>
      </c>
      <c r="C5" s="62">
        <f>'Statement Y'!D3</f>
        <v>2021</v>
      </c>
      <c r="D5" s="62">
        <f>'Statement Y'!E3</f>
        <v>2022</v>
      </c>
      <c r="E5" s="62">
        <f>'Statement Y'!F3</f>
        <v>2023</v>
      </c>
      <c r="F5" s="62">
        <f>'Statement Y'!G3</f>
        <v>2024</v>
      </c>
      <c r="G5" s="62">
        <f>'Statement Y'!H3</f>
        <v>2025</v>
      </c>
      <c r="H5" s="62">
        <f>G5+1</f>
        <v>2026</v>
      </c>
      <c r="I5" s="62">
        <f t="shared" ref="I5:L5" si="0">H5+1</f>
        <v>2027</v>
      </c>
      <c r="J5" s="62">
        <f t="shared" si="0"/>
        <v>2028</v>
      </c>
      <c r="K5" s="62">
        <f t="shared" si="0"/>
        <v>2029</v>
      </c>
      <c r="L5" s="62">
        <f t="shared" si="0"/>
        <v>2030</v>
      </c>
      <c r="R5" s="7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E5" s="144"/>
    </row>
    <row r="6" spans="1:31" x14ac:dyDescent="0.2">
      <c r="B6" s="1" t="s">
        <v>20</v>
      </c>
      <c r="C6" s="163">
        <f>'Statement Y'!D25</f>
        <v>0</v>
      </c>
      <c r="D6" s="163">
        <f>'Statement Y'!E25</f>
        <v>0</v>
      </c>
      <c r="E6" s="163">
        <f>'Statement Y'!F25</f>
        <v>0</v>
      </c>
      <c r="F6" s="163">
        <f>'Statement Y'!G25</f>
        <v>0</v>
      </c>
      <c r="G6" s="165">
        <f>'Statement Y'!H25</f>
        <v>0</v>
      </c>
      <c r="H6" s="164" t="e">
        <f ca="1">G6+'Cash Flow'!H26</f>
        <v>#REF!</v>
      </c>
      <c r="I6" s="164" t="e">
        <f ca="1">H6+'Cash Flow'!I26</f>
        <v>#REF!</v>
      </c>
      <c r="J6" s="164" t="e">
        <f ca="1">I6+'Cash Flow'!J26</f>
        <v>#REF!</v>
      </c>
      <c r="K6" s="164" t="e">
        <f ca="1">J6+'Cash Flow'!K26</f>
        <v>#REF!</v>
      </c>
      <c r="L6" s="164" t="e">
        <f ca="1">K6+'Cash Flow'!L26</f>
        <v>#REF!</v>
      </c>
      <c r="N6" s="125" t="s">
        <v>262</v>
      </c>
      <c r="Q6" s="125"/>
      <c r="S6" s="106"/>
      <c r="T6" s="106"/>
      <c r="U6" s="106"/>
      <c r="V6" s="106"/>
      <c r="W6" s="106"/>
      <c r="X6" s="106"/>
      <c r="Y6" s="106"/>
      <c r="Z6" s="106"/>
      <c r="AA6" s="107"/>
      <c r="AB6" s="107"/>
      <c r="AC6" s="107"/>
      <c r="AE6" s="107"/>
    </row>
    <row r="7" spans="1:31" x14ac:dyDescent="0.2">
      <c r="B7" s="1" t="s">
        <v>141</v>
      </c>
      <c r="C7" s="163">
        <f>'Statement Y'!D26</f>
        <v>0</v>
      </c>
      <c r="D7" s="106">
        <f>'Statement Y'!E26</f>
        <v>0</v>
      </c>
      <c r="E7" s="106">
        <f>'Statement Y'!F26</f>
        <v>0</v>
      </c>
      <c r="F7" s="106">
        <f>'Statement Y'!G26</f>
        <v>0</v>
      </c>
      <c r="G7" s="109">
        <f>'Statement Y'!H26</f>
        <v>0</v>
      </c>
      <c r="H7" s="98">
        <f>$G$7</f>
        <v>0</v>
      </c>
      <c r="I7" s="98">
        <f t="shared" ref="I7:L7" si="1">$G$7</f>
        <v>0</v>
      </c>
      <c r="J7" s="98">
        <f t="shared" si="1"/>
        <v>0</v>
      </c>
      <c r="K7" s="98">
        <f t="shared" si="1"/>
        <v>0</v>
      </c>
      <c r="L7" s="98">
        <f t="shared" si="1"/>
        <v>0</v>
      </c>
      <c r="N7" s="125" t="s">
        <v>287</v>
      </c>
      <c r="Q7" s="125"/>
      <c r="S7" s="106"/>
      <c r="T7" s="106"/>
      <c r="U7" s="106"/>
      <c r="V7" s="106"/>
      <c r="W7" s="106"/>
      <c r="X7" s="106"/>
      <c r="Y7" s="106"/>
      <c r="Z7" s="106"/>
      <c r="AA7" s="107"/>
      <c r="AB7" s="107"/>
      <c r="AC7" s="107"/>
      <c r="AE7" s="107"/>
    </row>
    <row r="8" spans="1:31" x14ac:dyDescent="0.2">
      <c r="B8" s="1" t="s">
        <v>21</v>
      </c>
      <c r="C8" s="163">
        <f>'Statement Y'!D27</f>
        <v>0</v>
      </c>
      <c r="D8" s="106">
        <f>'Statement Y'!E27</f>
        <v>0</v>
      </c>
      <c r="E8" s="106">
        <f>'Statement Y'!F27</f>
        <v>0</v>
      </c>
      <c r="F8" s="106">
        <f>'Statement Y'!G27</f>
        <v>0</v>
      </c>
      <c r="G8" s="109">
        <f>'Statement Y'!H27</f>
        <v>0</v>
      </c>
      <c r="H8" s="164" t="e">
        <f>WC!H14</f>
        <v>#DIV/0!</v>
      </c>
      <c r="I8" s="164" t="e">
        <f>WC!I14</f>
        <v>#DIV/0!</v>
      </c>
      <c r="J8" s="164" t="e">
        <f>WC!J14</f>
        <v>#DIV/0!</v>
      </c>
      <c r="K8" s="164" t="e">
        <f>WC!K14</f>
        <v>#DIV/0!</v>
      </c>
      <c r="L8" s="164" t="e">
        <f>WC!L14</f>
        <v>#DIV/0!</v>
      </c>
      <c r="N8" s="125" t="s">
        <v>263</v>
      </c>
      <c r="Q8" s="125"/>
      <c r="S8" s="106"/>
      <c r="T8" s="106"/>
      <c r="U8" s="106"/>
      <c r="V8" s="106"/>
      <c r="W8" s="106"/>
      <c r="X8" s="106"/>
      <c r="Y8" s="106"/>
      <c r="Z8" s="106"/>
      <c r="AA8" s="107"/>
      <c r="AB8" s="107"/>
      <c r="AC8" s="107"/>
      <c r="AE8" s="107"/>
    </row>
    <row r="9" spans="1:31" x14ac:dyDescent="0.2">
      <c r="B9" s="1" t="s">
        <v>112</v>
      </c>
      <c r="C9" s="163">
        <f>'Statement Y'!D28</f>
        <v>0</v>
      </c>
      <c r="D9" s="106">
        <f>'Statement Y'!E28</f>
        <v>0</v>
      </c>
      <c r="E9" s="106">
        <f>'Statement Y'!F28</f>
        <v>0</v>
      </c>
      <c r="F9" s="106">
        <f>'Statement Y'!G28</f>
        <v>0</v>
      </c>
      <c r="G9" s="109">
        <f>'Statement Y'!H28</f>
        <v>0</v>
      </c>
      <c r="H9" s="107" t="e">
        <f>WC!H28</f>
        <v>#REF!</v>
      </c>
      <c r="I9" s="107" t="e">
        <f>WC!I28</f>
        <v>#REF!</v>
      </c>
      <c r="J9" s="107" t="e">
        <f>WC!J28</f>
        <v>#REF!</v>
      </c>
      <c r="K9" s="107" t="e">
        <f>WC!K28</f>
        <v>#REF!</v>
      </c>
      <c r="L9" s="107" t="e">
        <f>WC!L28</f>
        <v>#REF!</v>
      </c>
      <c r="N9" s="125" t="s">
        <v>263</v>
      </c>
      <c r="Q9" s="125"/>
      <c r="S9" s="106"/>
      <c r="T9" s="106"/>
      <c r="U9" s="106"/>
      <c r="V9" s="106"/>
      <c r="W9" s="106"/>
      <c r="X9" s="106"/>
      <c r="Y9" s="106"/>
      <c r="Z9" s="106"/>
      <c r="AA9" s="107"/>
      <c r="AB9" s="107"/>
      <c r="AC9" s="107"/>
      <c r="AE9" s="107"/>
    </row>
    <row r="10" spans="1:31" x14ac:dyDescent="0.2">
      <c r="B10" s="1" t="s">
        <v>132</v>
      </c>
      <c r="C10" s="163">
        <f>'Statement Y'!D30</f>
        <v>0</v>
      </c>
      <c r="D10" s="106">
        <f>'Statement Y'!E30</f>
        <v>0</v>
      </c>
      <c r="E10" s="106">
        <f>'Statement Y'!F30</f>
        <v>0</v>
      </c>
      <c r="F10" s="106">
        <f>'Statement Y'!G30</f>
        <v>0</v>
      </c>
      <c r="G10" s="109">
        <f>'Statement Y'!H30</f>
        <v>0</v>
      </c>
      <c r="H10" s="107" t="e">
        <f>WC!H29</f>
        <v>#REF!</v>
      </c>
      <c r="I10" s="107" t="e">
        <f>WC!I29</f>
        <v>#REF!</v>
      </c>
      <c r="J10" s="107" t="e">
        <f>WC!J29</f>
        <v>#REF!</v>
      </c>
      <c r="K10" s="107" t="e">
        <f>WC!K29</f>
        <v>#REF!</v>
      </c>
      <c r="L10" s="107" t="e">
        <f>WC!L29</f>
        <v>#REF!</v>
      </c>
      <c r="N10" s="125" t="s">
        <v>263</v>
      </c>
      <c r="Q10" s="125"/>
      <c r="S10" s="106"/>
      <c r="T10" s="106"/>
      <c r="U10" s="106"/>
      <c r="V10" s="106"/>
      <c r="W10" s="106"/>
      <c r="X10" s="106"/>
      <c r="Y10" s="106"/>
      <c r="Z10" s="106"/>
      <c r="AA10" s="107"/>
      <c r="AB10" s="107"/>
      <c r="AC10" s="107"/>
      <c r="AE10" s="107"/>
    </row>
    <row r="11" spans="1:31" x14ac:dyDescent="0.2">
      <c r="B11" s="7" t="s">
        <v>22</v>
      </c>
      <c r="C11" s="112">
        <f>SUM(C6:C10)</f>
        <v>0</v>
      </c>
      <c r="D11" s="112">
        <f t="shared" ref="D11:G11" si="2">SUM(D6:D10)</f>
        <v>0</v>
      </c>
      <c r="E11" s="112">
        <f t="shared" si="2"/>
        <v>0</v>
      </c>
      <c r="F11" s="112">
        <f t="shared" si="2"/>
        <v>0</v>
      </c>
      <c r="G11" s="167">
        <f t="shared" si="2"/>
        <v>0</v>
      </c>
      <c r="H11" s="112" t="e">
        <f ca="1">SUM(H6:H10)</f>
        <v>#REF!</v>
      </c>
      <c r="I11" s="112" t="e">
        <f t="shared" ref="I11:L11" ca="1" si="3">SUM(I6:I10)</f>
        <v>#REF!</v>
      </c>
      <c r="J11" s="112" t="e">
        <f t="shared" ca="1" si="3"/>
        <v>#REF!</v>
      </c>
      <c r="K11" s="112" t="e">
        <f t="shared" ca="1" si="3"/>
        <v>#REF!</v>
      </c>
      <c r="L11" s="112" t="e">
        <f t="shared" ca="1" si="3"/>
        <v>#REF!</v>
      </c>
      <c r="N11" s="125"/>
      <c r="Q11" s="125"/>
      <c r="S11" s="106"/>
      <c r="T11" s="106"/>
      <c r="U11" s="106"/>
      <c r="V11" s="106"/>
      <c r="W11" s="106"/>
      <c r="X11" s="106"/>
      <c r="Y11" s="106"/>
      <c r="Z11" s="106"/>
      <c r="AA11" s="107"/>
      <c r="AB11" s="107"/>
      <c r="AC11" s="107"/>
      <c r="AE11" s="107"/>
    </row>
    <row r="12" spans="1:31" x14ac:dyDescent="0.2">
      <c r="B12" s="1" t="s">
        <v>24</v>
      </c>
      <c r="C12" s="163">
        <f>'Statement Y'!D32</f>
        <v>0</v>
      </c>
      <c r="D12" s="106">
        <f>'Statement Y'!E32</f>
        <v>0</v>
      </c>
      <c r="E12" s="106">
        <f>'Statement Y'!F32</f>
        <v>0</v>
      </c>
      <c r="F12" s="106">
        <f>'Statement Y'!G32</f>
        <v>0</v>
      </c>
      <c r="G12" s="109">
        <f>'Statement Y'!H32</f>
        <v>0</v>
      </c>
      <c r="H12" s="107" t="e">
        <f ca="1">'PP&amp;E'!H17</f>
        <v>#DIV/0!</v>
      </c>
      <c r="I12" s="107" t="e">
        <f ca="1">'PP&amp;E'!I17</f>
        <v>#DIV/0!</v>
      </c>
      <c r="J12" s="107" t="e">
        <f ca="1">'PP&amp;E'!J17</f>
        <v>#DIV/0!</v>
      </c>
      <c r="K12" s="107" t="e">
        <f ca="1">'PP&amp;E'!K17</f>
        <v>#DIV/0!</v>
      </c>
      <c r="L12" s="107" t="e">
        <f ca="1">'PP&amp;E'!L17</f>
        <v>#DIV/0!</v>
      </c>
      <c r="N12" s="125" t="s">
        <v>264</v>
      </c>
      <c r="Q12" s="125"/>
      <c r="S12" s="106"/>
      <c r="T12" s="106"/>
      <c r="U12" s="106"/>
      <c r="V12" s="106"/>
      <c r="W12" s="106"/>
      <c r="X12" s="106"/>
      <c r="Y12" s="106"/>
      <c r="Z12" s="106"/>
      <c r="AA12" s="107"/>
      <c r="AB12" s="107"/>
      <c r="AC12" s="107"/>
      <c r="AE12" s="107"/>
    </row>
    <row r="13" spans="1:31" x14ac:dyDescent="0.2">
      <c r="B13" s="1" t="s">
        <v>25</v>
      </c>
      <c r="C13" s="106">
        <f>'Statement Y'!D33</f>
        <v>0</v>
      </c>
      <c r="D13" s="106">
        <f>'Statement Y'!E33</f>
        <v>0</v>
      </c>
      <c r="E13" s="106">
        <f>'Statement Y'!F33</f>
        <v>0</v>
      </c>
      <c r="F13" s="106">
        <f>'Statement Y'!G33</f>
        <v>0</v>
      </c>
      <c r="G13" s="109">
        <f>'Statement Y'!H33</f>
        <v>0</v>
      </c>
      <c r="H13" s="98">
        <f>$G$13</f>
        <v>0</v>
      </c>
      <c r="I13" s="98">
        <f t="shared" ref="I13:L13" si="4">$G$13</f>
        <v>0</v>
      </c>
      <c r="J13" s="98">
        <f t="shared" si="4"/>
        <v>0</v>
      </c>
      <c r="K13" s="98">
        <f t="shared" si="4"/>
        <v>0</v>
      </c>
      <c r="L13" s="98">
        <f t="shared" si="4"/>
        <v>0</v>
      </c>
      <c r="N13" s="125" t="s">
        <v>287</v>
      </c>
      <c r="Q13" s="125"/>
      <c r="S13" s="106"/>
      <c r="T13" s="106"/>
      <c r="U13" s="106"/>
      <c r="V13" s="106"/>
      <c r="W13" s="106"/>
      <c r="X13" s="106"/>
      <c r="Y13" s="106"/>
      <c r="Z13" s="106"/>
      <c r="AA13" s="107"/>
      <c r="AB13" s="107"/>
      <c r="AC13" s="107"/>
      <c r="AE13" s="107"/>
    </row>
    <row r="14" spans="1:31" x14ac:dyDescent="0.2">
      <c r="B14" s="1" t="s">
        <v>133</v>
      </c>
      <c r="C14" s="106">
        <f>'Statement Y'!D34</f>
        <v>0</v>
      </c>
      <c r="D14" s="106">
        <f>'Statement Y'!E34</f>
        <v>0</v>
      </c>
      <c r="E14" s="106">
        <f>'Statement Y'!F34</f>
        <v>0</v>
      </c>
      <c r="F14" s="106">
        <f>'Statement Y'!G34</f>
        <v>0</v>
      </c>
      <c r="G14" s="109">
        <f>'Statement Y'!H34</f>
        <v>0</v>
      </c>
      <c r="H14" s="164" t="e">
        <f ca="1">Intangibles!H17</f>
        <v>#DIV/0!</v>
      </c>
      <c r="I14" s="164" t="e">
        <f ca="1">Intangibles!I17</f>
        <v>#DIV/0!</v>
      </c>
      <c r="J14" s="164" t="e">
        <f ca="1">Intangibles!J17</f>
        <v>#DIV/0!</v>
      </c>
      <c r="K14" s="164" t="e">
        <f ca="1">Intangibles!K17</f>
        <v>#DIV/0!</v>
      </c>
      <c r="L14" s="164" t="e">
        <f ca="1">Intangibles!L17</f>
        <v>#DIV/0!</v>
      </c>
      <c r="N14" s="125" t="s">
        <v>265</v>
      </c>
      <c r="Q14" s="125"/>
      <c r="S14" s="106"/>
      <c r="T14" s="106"/>
      <c r="U14" s="106"/>
      <c r="V14" s="106"/>
      <c r="W14" s="106"/>
      <c r="X14" s="106"/>
      <c r="Y14" s="106"/>
      <c r="Z14" s="106"/>
      <c r="AA14" s="107"/>
      <c r="AB14" s="107"/>
      <c r="AC14" s="107"/>
      <c r="AE14" s="107"/>
    </row>
    <row r="15" spans="1:31" x14ac:dyDescent="0.2">
      <c r="B15" s="1" t="s">
        <v>114</v>
      </c>
      <c r="C15" s="106">
        <f>'Statement Y'!D35</f>
        <v>0</v>
      </c>
      <c r="D15" s="106">
        <f>'Statement Y'!E35</f>
        <v>0</v>
      </c>
      <c r="E15" s="106">
        <f>'Statement Y'!F35</f>
        <v>0</v>
      </c>
      <c r="F15" s="106">
        <f>'Statement Y'!G35</f>
        <v>0</v>
      </c>
      <c r="G15" s="109">
        <f>'Statement Y'!H35</f>
        <v>0</v>
      </c>
      <c r="H15" s="107" t="e">
        <f>'Other Assets &amp; Liabilities'!H15</f>
        <v>#REF!</v>
      </c>
      <c r="I15" s="107" t="e">
        <f>'Other Assets &amp; Liabilities'!I15</f>
        <v>#REF!</v>
      </c>
      <c r="J15" s="107" t="e">
        <f>'Other Assets &amp; Liabilities'!J15</f>
        <v>#REF!</v>
      </c>
      <c r="K15" s="107" t="e">
        <f>'Other Assets &amp; Liabilities'!K15</f>
        <v>#REF!</v>
      </c>
      <c r="L15" s="107" t="e">
        <f>'Other Assets &amp; Liabilities'!L15</f>
        <v>#REF!</v>
      </c>
      <c r="N15" s="125" t="s">
        <v>290</v>
      </c>
      <c r="Q15" s="125"/>
      <c r="S15" s="106"/>
      <c r="T15" s="106"/>
      <c r="U15" s="106"/>
      <c r="V15" s="106"/>
      <c r="W15" s="106"/>
      <c r="X15" s="106"/>
      <c r="Y15" s="106"/>
      <c r="Z15" s="106"/>
      <c r="AA15" s="107"/>
      <c r="AB15" s="107"/>
      <c r="AC15" s="107"/>
      <c r="AE15" s="107"/>
    </row>
    <row r="16" spans="1:31" x14ac:dyDescent="0.2">
      <c r="B16" s="1" t="s">
        <v>142</v>
      </c>
      <c r="C16" s="106">
        <f>'Statement Y'!D36</f>
        <v>0</v>
      </c>
      <c r="D16" s="106">
        <f>'Statement Y'!E36</f>
        <v>0</v>
      </c>
      <c r="E16" s="106">
        <f>'Statement Y'!F36</f>
        <v>0</v>
      </c>
      <c r="F16" s="106">
        <f>'Statement Y'!G36</f>
        <v>0</v>
      </c>
      <c r="G16" s="109">
        <f>'Statement Y'!H36</f>
        <v>0</v>
      </c>
      <c r="H16" s="98">
        <f>$G$16</f>
        <v>0</v>
      </c>
      <c r="I16" s="98">
        <f t="shared" ref="I16:L16" si="5">$G$16</f>
        <v>0</v>
      </c>
      <c r="J16" s="98">
        <f t="shared" si="5"/>
        <v>0</v>
      </c>
      <c r="K16" s="98">
        <f t="shared" si="5"/>
        <v>0</v>
      </c>
      <c r="L16" s="98">
        <f t="shared" si="5"/>
        <v>0</v>
      </c>
      <c r="N16" s="125" t="s">
        <v>287</v>
      </c>
      <c r="Q16" s="125"/>
      <c r="S16" s="106"/>
      <c r="T16" s="106"/>
      <c r="U16" s="106"/>
      <c r="V16" s="106"/>
      <c r="W16" s="106"/>
      <c r="X16" s="106"/>
      <c r="Y16" s="106"/>
      <c r="Z16" s="106"/>
      <c r="AA16" s="107"/>
      <c r="AB16" s="107"/>
      <c r="AC16" s="107"/>
      <c r="AE16" s="107"/>
    </row>
    <row r="17" spans="2:31" x14ac:dyDescent="0.2">
      <c r="B17" s="1" t="s">
        <v>23</v>
      </c>
      <c r="C17" s="106">
        <f>'Statement Y'!D37</f>
        <v>0</v>
      </c>
      <c r="D17" s="106">
        <f>'Statement Y'!E37</f>
        <v>0</v>
      </c>
      <c r="E17" s="106">
        <f>'Statement Y'!F37</f>
        <v>0</v>
      </c>
      <c r="F17" s="106">
        <f>'Statement Y'!G37</f>
        <v>0</v>
      </c>
      <c r="G17" s="109">
        <f>'Statement Y'!H37</f>
        <v>0</v>
      </c>
      <c r="H17" s="98">
        <f>$G$17</f>
        <v>0</v>
      </c>
      <c r="I17" s="98">
        <f t="shared" ref="I17:L17" si="6">$G$17</f>
        <v>0</v>
      </c>
      <c r="J17" s="98">
        <f t="shared" si="6"/>
        <v>0</v>
      </c>
      <c r="K17" s="98">
        <f t="shared" si="6"/>
        <v>0</v>
      </c>
      <c r="L17" s="98">
        <f t="shared" si="6"/>
        <v>0</v>
      </c>
      <c r="N17" s="125" t="s">
        <v>287</v>
      </c>
      <c r="Q17" s="125"/>
      <c r="S17" s="106"/>
      <c r="T17" s="106"/>
      <c r="U17" s="106"/>
      <c r="V17" s="106"/>
      <c r="W17" s="106"/>
      <c r="X17" s="106"/>
      <c r="Y17" s="106"/>
      <c r="Z17" s="106"/>
      <c r="AA17" s="107"/>
      <c r="AB17" s="107"/>
      <c r="AC17" s="107"/>
      <c r="AE17" s="107"/>
    </row>
    <row r="18" spans="2:31" x14ac:dyDescent="0.2">
      <c r="B18" s="1" t="s">
        <v>38</v>
      </c>
      <c r="C18" s="106">
        <f>'Statement Y'!D38</f>
        <v>0</v>
      </c>
      <c r="D18" s="106">
        <f>'Statement Y'!E38</f>
        <v>0</v>
      </c>
      <c r="E18" s="106">
        <f>'Statement Y'!F38</f>
        <v>0</v>
      </c>
      <c r="F18" s="106">
        <f>'Statement Y'!G38</f>
        <v>0</v>
      </c>
      <c r="G18" s="109">
        <f>'Statement Y'!H38</f>
        <v>0</v>
      </c>
      <c r="H18" s="98">
        <f>$G$18</f>
        <v>0</v>
      </c>
      <c r="I18" s="98">
        <f t="shared" ref="I18:L18" si="7">$G$18</f>
        <v>0</v>
      </c>
      <c r="J18" s="98">
        <f t="shared" si="7"/>
        <v>0</v>
      </c>
      <c r="K18" s="98">
        <f t="shared" si="7"/>
        <v>0</v>
      </c>
      <c r="L18" s="98">
        <f t="shared" si="7"/>
        <v>0</v>
      </c>
      <c r="N18" s="1" t="s">
        <v>287</v>
      </c>
      <c r="Q18" s="91"/>
      <c r="R18" s="7"/>
      <c r="S18" s="110"/>
      <c r="T18" s="110"/>
      <c r="U18" s="110"/>
      <c r="V18" s="110"/>
      <c r="W18" s="110"/>
      <c r="X18" s="110"/>
      <c r="Y18" s="110"/>
      <c r="Z18" s="110"/>
      <c r="AA18" s="112"/>
      <c r="AB18" s="112"/>
      <c r="AC18" s="112"/>
      <c r="AE18" s="112"/>
    </row>
    <row r="19" spans="2:31" x14ac:dyDescent="0.2">
      <c r="B19" s="1" t="s">
        <v>26</v>
      </c>
      <c r="C19" s="106">
        <f>'Statement Y'!D39</f>
        <v>0</v>
      </c>
      <c r="D19" s="106">
        <f>'Statement Y'!E39</f>
        <v>0</v>
      </c>
      <c r="E19" s="106">
        <f>'Statement Y'!F39</f>
        <v>0</v>
      </c>
      <c r="F19" s="106">
        <f>'Statement Y'!G39</f>
        <v>0</v>
      </c>
      <c r="G19" s="109">
        <f>'Statement Y'!H39</f>
        <v>0</v>
      </c>
      <c r="H19" s="20" t="e">
        <f>'Other Assets &amp; Liabilities'!H16</f>
        <v>#REF!</v>
      </c>
      <c r="I19" s="20" t="e">
        <f>'Other Assets &amp; Liabilities'!I16</f>
        <v>#REF!</v>
      </c>
      <c r="J19" s="20" t="e">
        <f>'Other Assets &amp; Liabilities'!J16</f>
        <v>#REF!</v>
      </c>
      <c r="K19" s="20" t="e">
        <f>'Other Assets &amp; Liabilities'!K16</f>
        <v>#REF!</v>
      </c>
      <c r="L19" s="20" t="e">
        <f>'Other Assets &amp; Liabilities'!L16</f>
        <v>#REF!</v>
      </c>
      <c r="N19" s="125" t="s">
        <v>290</v>
      </c>
    </row>
    <row r="20" spans="2:31" x14ac:dyDescent="0.2">
      <c r="B20" s="7" t="s">
        <v>259</v>
      </c>
      <c r="C20" s="112">
        <f>SUM(C12:C19)</f>
        <v>0</v>
      </c>
      <c r="D20" s="112">
        <f t="shared" ref="D20:G20" si="8">SUM(D12:D19)</f>
        <v>0</v>
      </c>
      <c r="E20" s="112">
        <f t="shared" si="8"/>
        <v>0</v>
      </c>
      <c r="F20" s="112">
        <f t="shared" si="8"/>
        <v>0</v>
      </c>
      <c r="G20" s="167">
        <f t="shared" si="8"/>
        <v>0</v>
      </c>
      <c r="H20" s="112" t="e">
        <f ca="1">SUM(H12:H19)</f>
        <v>#DIV/0!</v>
      </c>
      <c r="I20" s="112" t="e">
        <f t="shared" ref="I20:L20" ca="1" si="9">SUM(I12:I19)</f>
        <v>#DIV/0!</v>
      </c>
      <c r="J20" s="112" t="e">
        <f t="shared" ca="1" si="9"/>
        <v>#DIV/0!</v>
      </c>
      <c r="K20" s="112" t="e">
        <f t="shared" ca="1" si="9"/>
        <v>#DIV/0!</v>
      </c>
      <c r="L20" s="112" t="e">
        <f t="shared" ca="1" si="9"/>
        <v>#DIV/0!</v>
      </c>
    </row>
    <row r="21" spans="2:31" x14ac:dyDescent="0.2">
      <c r="B21" s="7" t="s">
        <v>260</v>
      </c>
      <c r="C21" s="112">
        <f>C11+C20</f>
        <v>0</v>
      </c>
      <c r="D21" s="112">
        <f t="shared" ref="D21:G21" si="10">D11+D20</f>
        <v>0</v>
      </c>
      <c r="E21" s="112">
        <f t="shared" si="10"/>
        <v>0</v>
      </c>
      <c r="F21" s="112">
        <f t="shared" si="10"/>
        <v>0</v>
      </c>
      <c r="G21" s="167">
        <f t="shared" si="10"/>
        <v>0</v>
      </c>
      <c r="H21" s="112" t="e">
        <f ca="1">H11+H20</f>
        <v>#REF!</v>
      </c>
      <c r="I21" s="112" t="e">
        <f t="shared" ref="I21:L21" ca="1" si="11">I11+I20</f>
        <v>#REF!</v>
      </c>
      <c r="J21" s="112" t="e">
        <f t="shared" ca="1" si="11"/>
        <v>#REF!</v>
      </c>
      <c r="K21" s="112" t="e">
        <f t="shared" ca="1" si="11"/>
        <v>#REF!</v>
      </c>
      <c r="L21" s="112" t="e">
        <f t="shared" ca="1" si="11"/>
        <v>#REF!</v>
      </c>
    </row>
    <row r="22" spans="2:31" x14ac:dyDescent="0.2">
      <c r="B22" s="1" t="s">
        <v>29</v>
      </c>
      <c r="C22" s="106">
        <f>'Statement Y'!D42</f>
        <v>0</v>
      </c>
      <c r="D22" s="106">
        <f>'Statement Y'!E42</f>
        <v>0</v>
      </c>
      <c r="E22" s="106">
        <f>'Statement Y'!F42</f>
        <v>0</v>
      </c>
      <c r="F22" s="106">
        <f>'Statement Y'!G42</f>
        <v>0</v>
      </c>
      <c r="G22" s="109">
        <f>'Statement Y'!H42</f>
        <v>0</v>
      </c>
      <c r="H22" s="20" t="e">
        <f>WC!H15</f>
        <v>#DIV/0!</v>
      </c>
      <c r="I22" s="20" t="e">
        <f>WC!I15</f>
        <v>#DIV/0!</v>
      </c>
      <c r="J22" s="20" t="e">
        <f>WC!J15</f>
        <v>#DIV/0!</v>
      </c>
      <c r="K22" s="20" t="e">
        <f>WC!K15</f>
        <v>#DIV/0!</v>
      </c>
      <c r="L22" s="20" t="e">
        <f>WC!L15</f>
        <v>#DIV/0!</v>
      </c>
      <c r="N22" s="1" t="s">
        <v>263</v>
      </c>
    </row>
    <row r="23" spans="2:31" x14ac:dyDescent="0.2">
      <c r="B23" s="1" t="s">
        <v>115</v>
      </c>
      <c r="C23" s="106">
        <f>'Statement Y'!D43</f>
        <v>0</v>
      </c>
      <c r="D23" s="106">
        <f>'Statement Y'!E43</f>
        <v>0</v>
      </c>
      <c r="E23" s="106">
        <f>'Statement Y'!F43</f>
        <v>0</v>
      </c>
      <c r="F23" s="106">
        <f>'Statement Y'!G43</f>
        <v>0</v>
      </c>
      <c r="G23" s="109">
        <f>'Statement Y'!H43</f>
        <v>0</v>
      </c>
      <c r="H23" s="20" t="e">
        <f>WC!H30</f>
        <v>#REF!</v>
      </c>
      <c r="I23" s="20" t="e">
        <f>WC!I30</f>
        <v>#REF!</v>
      </c>
      <c r="J23" s="20" t="e">
        <f>WC!J30</f>
        <v>#REF!</v>
      </c>
      <c r="K23" s="20" t="e">
        <f>WC!K30</f>
        <v>#REF!</v>
      </c>
      <c r="L23" s="20" t="e">
        <f>WC!L30</f>
        <v>#REF!</v>
      </c>
      <c r="N23" s="1" t="s">
        <v>263</v>
      </c>
    </row>
    <row r="24" spans="2:31" x14ac:dyDescent="0.2">
      <c r="B24" s="1" t="s">
        <v>37</v>
      </c>
      <c r="C24" s="106">
        <f>'Statement Y'!D44</f>
        <v>0</v>
      </c>
      <c r="D24" s="106">
        <f>'Statement Y'!E44</f>
        <v>0</v>
      </c>
      <c r="E24" s="106">
        <f>'Statement Y'!F44</f>
        <v>0</v>
      </c>
      <c r="F24" s="106">
        <f>'Statement Y'!G44</f>
        <v>0</v>
      </c>
      <c r="G24" s="109">
        <f>'Statement Y'!H44</f>
        <v>0</v>
      </c>
      <c r="H24" s="20" t="e">
        <f ca="1">'Other Assets &amp; Liabilities'!H17</f>
        <v>#REF!</v>
      </c>
      <c r="I24" s="20" t="e">
        <f ca="1">'Other Assets &amp; Liabilities'!I17</f>
        <v>#REF!</v>
      </c>
      <c r="J24" s="20" t="e">
        <f ca="1">'Other Assets &amp; Liabilities'!J17</f>
        <v>#REF!</v>
      </c>
      <c r="K24" s="20" t="e">
        <f ca="1">'Other Assets &amp; Liabilities'!K17</f>
        <v>#REF!</v>
      </c>
      <c r="L24" s="20" t="e">
        <f ca="1">'Other Assets &amp; Liabilities'!L17</f>
        <v>#REF!</v>
      </c>
      <c r="N24" s="125" t="s">
        <v>290</v>
      </c>
    </row>
    <row r="25" spans="2:31" x14ac:dyDescent="0.2">
      <c r="B25" s="1" t="s">
        <v>116</v>
      </c>
      <c r="C25" s="106">
        <f>'Statement Y'!D45</f>
        <v>0</v>
      </c>
      <c r="D25" s="106">
        <f>'Statement Y'!E45</f>
        <v>0</v>
      </c>
      <c r="E25" s="106">
        <f>'Statement Y'!F45</f>
        <v>0</v>
      </c>
      <c r="F25" s="106">
        <f>'Statement Y'!G45</f>
        <v>0</v>
      </c>
      <c r="G25" s="109">
        <f>'Statement Y'!H45</f>
        <v>0</v>
      </c>
      <c r="H25" s="20" t="e">
        <f>WC!H31</f>
        <v>#REF!</v>
      </c>
      <c r="I25" s="20" t="e">
        <f>WC!I31</f>
        <v>#REF!</v>
      </c>
      <c r="J25" s="20" t="e">
        <f>WC!J31</f>
        <v>#REF!</v>
      </c>
      <c r="K25" s="20" t="e">
        <f>WC!K31</f>
        <v>#REF!</v>
      </c>
      <c r="L25" s="20" t="e">
        <f>WC!L31</f>
        <v>#REF!</v>
      </c>
      <c r="N25" s="1" t="s">
        <v>263</v>
      </c>
    </row>
    <row r="26" spans="2:31" x14ac:dyDescent="0.2">
      <c r="B26" s="7" t="s">
        <v>32</v>
      </c>
      <c r="C26" s="112">
        <f>SUM(C22:C25)</f>
        <v>0</v>
      </c>
      <c r="D26" s="112">
        <f t="shared" ref="D26:G26" si="12">SUM(D22:D25)</f>
        <v>0</v>
      </c>
      <c r="E26" s="112">
        <f t="shared" si="12"/>
        <v>0</v>
      </c>
      <c r="F26" s="112">
        <f t="shared" si="12"/>
        <v>0</v>
      </c>
      <c r="G26" s="167">
        <f t="shared" si="12"/>
        <v>0</v>
      </c>
      <c r="H26" s="21" t="e">
        <f>SUM(H22:H25)</f>
        <v>#DIV/0!</v>
      </c>
      <c r="I26" s="21" t="e">
        <f t="shared" ref="I26:L26" si="13">SUM(I22:I25)</f>
        <v>#DIV/0!</v>
      </c>
      <c r="J26" s="21" t="e">
        <f t="shared" si="13"/>
        <v>#DIV/0!</v>
      </c>
      <c r="K26" s="21" t="e">
        <f t="shared" si="13"/>
        <v>#DIV/0!</v>
      </c>
      <c r="L26" s="21" t="e">
        <f t="shared" si="13"/>
        <v>#DIV/0!</v>
      </c>
    </row>
    <row r="27" spans="2:31" x14ac:dyDescent="0.2">
      <c r="B27" s="1" t="s">
        <v>117</v>
      </c>
      <c r="C27" s="106">
        <f>'Statement Y'!D47</f>
        <v>0</v>
      </c>
      <c r="D27" s="106">
        <f>'Statement Y'!E47</f>
        <v>0</v>
      </c>
      <c r="E27" s="106">
        <f>'Statement Y'!F47</f>
        <v>0</v>
      </c>
      <c r="F27" s="106">
        <f>'Statement Y'!G47</f>
        <v>0</v>
      </c>
      <c r="G27" s="109">
        <f>'Statement Y'!H47</f>
        <v>0</v>
      </c>
      <c r="H27" s="20" t="e">
        <f>'Other Assets &amp; Liabilities'!H18</f>
        <v>#REF!</v>
      </c>
      <c r="I27" s="20" t="e">
        <f>'Other Assets &amp; Liabilities'!I18</f>
        <v>#REF!</v>
      </c>
      <c r="J27" s="20" t="e">
        <f>'Other Assets &amp; Liabilities'!J18</f>
        <v>#REF!</v>
      </c>
      <c r="K27" s="20" t="e">
        <f>'Other Assets &amp; Liabilities'!K18</f>
        <v>#REF!</v>
      </c>
      <c r="L27" s="20" t="e">
        <f>'Other Assets &amp; Liabilities'!L18</f>
        <v>#REF!</v>
      </c>
      <c r="N27" s="125" t="s">
        <v>290</v>
      </c>
    </row>
    <row r="28" spans="2:31" x14ac:dyDescent="0.2">
      <c r="B28" s="1" t="s">
        <v>143</v>
      </c>
      <c r="C28" s="106">
        <f>'Statement Y'!D48</f>
        <v>0</v>
      </c>
      <c r="D28" s="106">
        <f>'Statement Y'!E48</f>
        <v>0</v>
      </c>
      <c r="E28" s="106">
        <f>'Statement Y'!F48</f>
        <v>0</v>
      </c>
      <c r="F28" s="106">
        <f>'Statement Y'!G48</f>
        <v>0</v>
      </c>
      <c r="G28" s="109">
        <f>'Statement Y'!H48</f>
        <v>0</v>
      </c>
      <c r="H28" s="98">
        <f>$G28</f>
        <v>0</v>
      </c>
      <c r="I28" s="98">
        <f t="shared" ref="I28:L28" si="14">$G28</f>
        <v>0</v>
      </c>
      <c r="J28" s="98">
        <f t="shared" si="14"/>
        <v>0</v>
      </c>
      <c r="K28" s="98">
        <f t="shared" si="14"/>
        <v>0</v>
      </c>
      <c r="L28" s="98">
        <f t="shared" si="14"/>
        <v>0</v>
      </c>
      <c r="N28" s="1" t="s">
        <v>287</v>
      </c>
    </row>
    <row r="29" spans="2:31" x14ac:dyDescent="0.2">
      <c r="B29" s="7" t="s">
        <v>30</v>
      </c>
      <c r="C29" s="112">
        <f>SUM(C27:C28)</f>
        <v>0</v>
      </c>
      <c r="D29" s="112">
        <f t="shared" ref="D29:G29" si="15">SUM(D27:D28)</f>
        <v>0</v>
      </c>
      <c r="E29" s="112">
        <f t="shared" si="15"/>
        <v>0</v>
      </c>
      <c r="F29" s="112">
        <f t="shared" si="15"/>
        <v>0</v>
      </c>
      <c r="G29" s="167">
        <f t="shared" si="15"/>
        <v>0</v>
      </c>
      <c r="H29" s="112" t="e">
        <f>SUM(H27:H28)</f>
        <v>#REF!</v>
      </c>
      <c r="I29" s="112" t="e">
        <f t="shared" ref="I29:L29" si="16">SUM(I27:I28)</f>
        <v>#REF!</v>
      </c>
      <c r="J29" s="112" t="e">
        <f t="shared" si="16"/>
        <v>#REF!</v>
      </c>
      <c r="K29" s="112" t="e">
        <f t="shared" si="16"/>
        <v>#REF!</v>
      </c>
      <c r="L29" s="112" t="e">
        <f t="shared" si="16"/>
        <v>#REF!</v>
      </c>
    </row>
    <row r="30" spans="2:31" x14ac:dyDescent="0.2">
      <c r="B30" s="7" t="s">
        <v>261</v>
      </c>
      <c r="C30" s="112">
        <f>C26+C29</f>
        <v>0</v>
      </c>
      <c r="D30" s="112">
        <f t="shared" ref="D30:G30" si="17">D26+D29</f>
        <v>0</v>
      </c>
      <c r="E30" s="112">
        <f t="shared" si="17"/>
        <v>0</v>
      </c>
      <c r="F30" s="112">
        <f t="shared" si="17"/>
        <v>0</v>
      </c>
      <c r="G30" s="167">
        <f t="shared" si="17"/>
        <v>0</v>
      </c>
      <c r="H30" s="21" t="e">
        <f>H26+H29</f>
        <v>#DIV/0!</v>
      </c>
      <c r="I30" s="21" t="e">
        <f t="shared" ref="I30:L30" si="18">I26+I29</f>
        <v>#DIV/0!</v>
      </c>
      <c r="J30" s="21" t="e">
        <f t="shared" si="18"/>
        <v>#DIV/0!</v>
      </c>
      <c r="K30" s="21" t="e">
        <f t="shared" si="18"/>
        <v>#DIV/0!</v>
      </c>
      <c r="L30" s="21" t="e">
        <f t="shared" si="18"/>
        <v>#DIV/0!</v>
      </c>
    </row>
    <row r="31" spans="2:31" x14ac:dyDescent="0.2">
      <c r="B31" s="1" t="s">
        <v>33</v>
      </c>
      <c r="C31" s="106">
        <f>'Statement Y'!D51</f>
        <v>0</v>
      </c>
      <c r="D31" s="106">
        <f>'Statement Y'!E51</f>
        <v>0</v>
      </c>
      <c r="E31" s="106">
        <f>'Statement Y'!F51</f>
        <v>0</v>
      </c>
      <c r="F31" s="106">
        <f>'Statement Y'!G51</f>
        <v>0</v>
      </c>
      <c r="G31" s="109">
        <f>'Statement Y'!H51</f>
        <v>0</v>
      </c>
      <c r="H31" s="98">
        <f>$G31</f>
        <v>0</v>
      </c>
      <c r="I31" s="98">
        <f t="shared" ref="I31:L31" si="19">$G31</f>
        <v>0</v>
      </c>
      <c r="J31" s="98">
        <f t="shared" si="19"/>
        <v>0</v>
      </c>
      <c r="K31" s="98">
        <f t="shared" si="19"/>
        <v>0</v>
      </c>
      <c r="L31" s="98">
        <f t="shared" si="19"/>
        <v>0</v>
      </c>
      <c r="N31" s="1" t="s">
        <v>287</v>
      </c>
    </row>
    <row r="32" spans="2:31" x14ac:dyDescent="0.2">
      <c r="B32" s="1" t="s">
        <v>118</v>
      </c>
      <c r="C32" s="106">
        <f>'Statement Y'!D52</f>
        <v>0</v>
      </c>
      <c r="D32" s="106">
        <f>'Statement Y'!E52</f>
        <v>0</v>
      </c>
      <c r="E32" s="106">
        <f>'Statement Y'!F52</f>
        <v>0</v>
      </c>
      <c r="F32" s="106">
        <f>'Statement Y'!G52</f>
        <v>0</v>
      </c>
      <c r="G32" s="109">
        <f>'Statement Y'!H52</f>
        <v>0</v>
      </c>
      <c r="H32" s="107" t="e">
        <f>G32+Financing!H41+Financing!H42</f>
        <v>#REF!</v>
      </c>
      <c r="I32" s="107" t="e">
        <f>H32+Financing!I41+Financing!I42</f>
        <v>#REF!</v>
      </c>
      <c r="J32" s="107" t="e">
        <f>I32+Financing!J41+Financing!J42</f>
        <v>#REF!</v>
      </c>
      <c r="K32" s="107" t="e">
        <f>J32+Financing!K41+Financing!K42</f>
        <v>#REF!</v>
      </c>
      <c r="L32" s="107" t="e">
        <f>K32+Financing!L41+Financing!L42</f>
        <v>#REF!</v>
      </c>
      <c r="N32" s="1" t="s">
        <v>323</v>
      </c>
    </row>
    <row r="33" spans="2:14" x14ac:dyDescent="0.2">
      <c r="B33" s="1" t="s">
        <v>34</v>
      </c>
      <c r="C33" s="106">
        <f>'Statement Y'!D53</f>
        <v>0</v>
      </c>
      <c r="D33" s="106">
        <f>'Statement Y'!E53</f>
        <v>0</v>
      </c>
      <c r="E33" s="106">
        <f>'Statement Y'!F53</f>
        <v>0</v>
      </c>
      <c r="F33" s="106">
        <f>'Statement Y'!G53</f>
        <v>0</v>
      </c>
      <c r="G33" s="109">
        <f>'Statement Y'!H53</f>
        <v>0</v>
      </c>
      <c r="H33" s="107" t="e">
        <f ca="1">G33+'P&amp;L'!H17</f>
        <v>#REF!</v>
      </c>
      <c r="I33" s="107" t="e">
        <f ca="1">H33+'P&amp;L'!I17</f>
        <v>#REF!</v>
      </c>
      <c r="J33" s="107" t="e">
        <f ca="1">I33+'P&amp;L'!J17</f>
        <v>#REF!</v>
      </c>
      <c r="K33" s="107" t="e">
        <f ca="1">J33+'P&amp;L'!K17</f>
        <v>#REF!</v>
      </c>
      <c r="L33" s="107" t="e">
        <f ca="1">K33+'P&amp;L'!L17</f>
        <v>#REF!</v>
      </c>
      <c r="N33" s="1" t="s">
        <v>266</v>
      </c>
    </row>
    <row r="34" spans="2:14" x14ac:dyDescent="0.2">
      <c r="B34" s="7" t="s">
        <v>35</v>
      </c>
      <c r="C34" s="112">
        <f>SUM(C31:C33)</f>
        <v>0</v>
      </c>
      <c r="D34" s="112">
        <f t="shared" ref="D34:G34" si="20">SUM(D31:D33)</f>
        <v>0</v>
      </c>
      <c r="E34" s="112">
        <f t="shared" si="20"/>
        <v>0</v>
      </c>
      <c r="F34" s="112">
        <f t="shared" si="20"/>
        <v>0</v>
      </c>
      <c r="G34" s="167">
        <f t="shared" si="20"/>
        <v>0</v>
      </c>
      <c r="H34" s="21" t="e">
        <f>SUM(H31:H33)</f>
        <v>#REF!</v>
      </c>
      <c r="I34" s="21" t="e">
        <f t="shared" ref="I34" si="21">SUM(I31:I33)</f>
        <v>#REF!</v>
      </c>
      <c r="J34" s="21" t="e">
        <f t="shared" ref="J34" si="22">SUM(J31:J33)</f>
        <v>#REF!</v>
      </c>
      <c r="K34" s="21" t="e">
        <f t="shared" ref="K34" si="23">SUM(K31:K33)</f>
        <v>#REF!</v>
      </c>
      <c r="L34" s="21" t="e">
        <f t="shared" ref="L34" si="24">SUM(L31:L33)</f>
        <v>#REF!</v>
      </c>
    </row>
    <row r="35" spans="2:14" x14ac:dyDescent="0.2">
      <c r="B35" s="7" t="s">
        <v>36</v>
      </c>
      <c r="C35" s="112">
        <f>C30+C34</f>
        <v>0</v>
      </c>
      <c r="D35" s="112">
        <f t="shared" ref="D35:G35" si="25">D30+D34</f>
        <v>0</v>
      </c>
      <c r="E35" s="112">
        <f t="shared" si="25"/>
        <v>0</v>
      </c>
      <c r="F35" s="112">
        <f t="shared" si="25"/>
        <v>0</v>
      </c>
      <c r="G35" s="167">
        <f t="shared" si="25"/>
        <v>0</v>
      </c>
      <c r="H35" s="21" t="e">
        <f>H30+H34</f>
        <v>#DIV/0!</v>
      </c>
      <c r="I35" s="21" t="e">
        <f t="shared" ref="I35:L35" si="26">I30+I34</f>
        <v>#DIV/0!</v>
      </c>
      <c r="J35" s="21" t="e">
        <f t="shared" si="26"/>
        <v>#DIV/0!</v>
      </c>
      <c r="K35" s="21" t="e">
        <f t="shared" si="26"/>
        <v>#DIV/0!</v>
      </c>
      <c r="L35" s="21" t="e">
        <f t="shared" si="26"/>
        <v>#DIV/0!</v>
      </c>
    </row>
    <row r="37" spans="2:14" x14ac:dyDescent="0.2">
      <c r="B37" s="168" t="s">
        <v>74</v>
      </c>
      <c r="C37" s="169">
        <f>C21-C35</f>
        <v>0</v>
      </c>
      <c r="D37" s="169">
        <f t="shared" ref="D37:L37" si="27">D21-D35</f>
        <v>0</v>
      </c>
      <c r="E37" s="169">
        <f t="shared" si="27"/>
        <v>0</v>
      </c>
      <c r="F37" s="169">
        <f t="shared" si="27"/>
        <v>0</v>
      </c>
      <c r="G37" s="182">
        <f t="shared" si="27"/>
        <v>0</v>
      </c>
      <c r="H37" s="169" t="e">
        <f t="shared" ca="1" si="27"/>
        <v>#REF!</v>
      </c>
      <c r="I37" s="169" t="e">
        <f t="shared" ca="1" si="27"/>
        <v>#REF!</v>
      </c>
      <c r="J37" s="169" t="e">
        <f t="shared" ca="1" si="27"/>
        <v>#REF!</v>
      </c>
      <c r="K37" s="169" t="e">
        <f t="shared" ca="1" si="27"/>
        <v>#REF!</v>
      </c>
      <c r="L37" s="169" t="e">
        <f t="shared" ca="1" si="27"/>
        <v>#REF!</v>
      </c>
    </row>
  </sheetData>
  <mergeCells count="6">
    <mergeCell ref="C2:G2"/>
    <mergeCell ref="H2:L2"/>
    <mergeCell ref="S2:Z2"/>
    <mergeCell ref="AA2:AC2"/>
    <mergeCell ref="C4:L4"/>
    <mergeCell ref="S4:AC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0568C-9292-3841-9F91-9A2C5406D59A}">
  <dimension ref="A1:AE35"/>
  <sheetViews>
    <sheetView topLeftCell="A26" zoomScale="150" workbookViewId="0">
      <selection activeCell="H24" sqref="H24"/>
    </sheetView>
  </sheetViews>
  <sheetFormatPr baseColWidth="10" defaultRowHeight="16" x14ac:dyDescent="0.2"/>
  <cols>
    <col min="1" max="1" width="2" style="102" customWidth="1"/>
    <col min="2" max="2" width="27.33203125" style="1" customWidth="1"/>
    <col min="3" max="3" width="10.83203125" style="1"/>
    <col min="4" max="4" width="10.83203125" style="1" customWidth="1"/>
    <col min="5" max="7" width="10.83203125" style="1"/>
    <col min="8" max="8" width="10.83203125" style="1" customWidth="1"/>
    <col min="9" max="12" width="10.83203125" style="1"/>
    <col min="13" max="13" width="2" style="1" customWidth="1"/>
    <col min="14" max="14" width="36.83203125" style="1" customWidth="1"/>
    <col min="15" max="16" width="2" style="1" customWidth="1"/>
    <col min="17" max="17" width="36.83203125" style="1" customWidth="1"/>
    <col min="18" max="18" width="24.6640625" style="1" customWidth="1"/>
    <col min="19" max="29" width="10.83203125" style="1"/>
    <col min="30" max="30" width="2" style="1" customWidth="1"/>
    <col min="31" max="31" width="12.33203125" style="1" customWidth="1"/>
    <col min="32" max="16384" width="10.83203125" style="1"/>
  </cols>
  <sheetData>
    <row r="1" spans="1:31" s="102" customFormat="1" ht="18" customHeight="1" x14ac:dyDescent="0.2">
      <c r="A1" s="103"/>
      <c r="B1" s="104" t="s">
        <v>258</v>
      </c>
    </row>
    <row r="2" spans="1:31" x14ac:dyDescent="0.2">
      <c r="A2" s="103"/>
      <c r="C2" s="223" t="s">
        <v>168</v>
      </c>
      <c r="D2" s="223"/>
      <c r="E2" s="223"/>
      <c r="F2" s="223"/>
      <c r="G2" s="226"/>
      <c r="H2" s="227" t="s">
        <v>169</v>
      </c>
      <c r="I2" s="223"/>
      <c r="J2" s="223"/>
      <c r="K2" s="223"/>
      <c r="L2" s="223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E2" s="143"/>
    </row>
    <row r="3" spans="1:31" ht="10" customHeight="1" x14ac:dyDescent="0.2"/>
    <row r="4" spans="1:31" ht="16" customHeight="1" x14ac:dyDescent="0.2">
      <c r="A4" s="108"/>
      <c r="B4" s="92"/>
      <c r="C4" s="222" t="s">
        <v>258</v>
      </c>
      <c r="D4" s="222"/>
      <c r="E4" s="222"/>
      <c r="F4" s="222"/>
      <c r="G4" s="222"/>
      <c r="H4" s="222"/>
      <c r="I4" s="222"/>
      <c r="J4" s="222"/>
      <c r="K4" s="222"/>
      <c r="L4" s="222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E4" s="144"/>
    </row>
    <row r="5" spans="1:31" x14ac:dyDescent="0.2">
      <c r="B5" s="7" t="s">
        <v>216</v>
      </c>
      <c r="C5" s="62">
        <f>'Statement Y'!D3</f>
        <v>2021</v>
      </c>
      <c r="D5" s="62">
        <f>'Statement Y'!E3</f>
        <v>2022</v>
      </c>
      <c r="E5" s="62">
        <f>'Statement Y'!F3</f>
        <v>2023</v>
      </c>
      <c r="F5" s="62">
        <f>'Statement Y'!G3</f>
        <v>2024</v>
      </c>
      <c r="G5" s="62">
        <f>'Statement Y'!H3</f>
        <v>2025</v>
      </c>
      <c r="H5" s="62">
        <f>G5+1</f>
        <v>2026</v>
      </c>
      <c r="I5" s="62">
        <f t="shared" ref="I5:L5" si="0">H5+1</f>
        <v>2027</v>
      </c>
      <c r="J5" s="62">
        <f t="shared" si="0"/>
        <v>2028</v>
      </c>
      <c r="K5" s="62">
        <f t="shared" si="0"/>
        <v>2029</v>
      </c>
      <c r="L5" s="62">
        <f t="shared" si="0"/>
        <v>2030</v>
      </c>
      <c r="R5" s="7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E5" s="144"/>
    </row>
    <row r="6" spans="1:31" x14ac:dyDescent="0.2">
      <c r="B6" s="7" t="s">
        <v>172</v>
      </c>
      <c r="C6" s="110">
        <f>'P&amp;L'!C13</f>
        <v>0</v>
      </c>
      <c r="D6" s="110">
        <f>'P&amp;L'!D13</f>
        <v>0</v>
      </c>
      <c r="E6" s="110">
        <f>'P&amp;L'!E13</f>
        <v>0</v>
      </c>
      <c r="F6" s="110">
        <f>'P&amp;L'!F13</f>
        <v>0</v>
      </c>
      <c r="G6" s="111">
        <f>'P&amp;L'!G13</f>
        <v>0</v>
      </c>
      <c r="H6" s="110" t="e">
        <f>'P&amp;L'!H13</f>
        <v>#REF!</v>
      </c>
      <c r="I6" s="110" t="e">
        <f>'P&amp;L'!I13</f>
        <v>#REF!</v>
      </c>
      <c r="J6" s="110" t="e">
        <f>'P&amp;L'!J13</f>
        <v>#REF!</v>
      </c>
      <c r="K6" s="110" t="e">
        <f>'P&amp;L'!K13</f>
        <v>#REF!</v>
      </c>
      <c r="L6" s="110" t="e">
        <f>'P&amp;L'!L13</f>
        <v>#REF!</v>
      </c>
      <c r="N6" s="125" t="s">
        <v>266</v>
      </c>
      <c r="Q6" s="125"/>
      <c r="S6" s="106"/>
      <c r="T6" s="106"/>
      <c r="U6" s="106"/>
      <c r="V6" s="106"/>
      <c r="W6" s="106"/>
      <c r="X6" s="106"/>
      <c r="Y6" s="106"/>
      <c r="Z6" s="106"/>
      <c r="AA6" s="107"/>
      <c r="AB6" s="107"/>
      <c r="AC6" s="107"/>
      <c r="AE6" s="107"/>
    </row>
    <row r="7" spans="1:31" x14ac:dyDescent="0.2">
      <c r="B7" s="7" t="s">
        <v>276</v>
      </c>
      <c r="C7" s="112" t="e">
        <f>C6*(1-C31)</f>
        <v>#DIV/0!</v>
      </c>
      <c r="D7" s="112" t="e">
        <f t="shared" ref="D7:L7" si="1">D6*(1-D31)</f>
        <v>#DIV/0!</v>
      </c>
      <c r="E7" s="112" t="e">
        <f t="shared" si="1"/>
        <v>#DIV/0!</v>
      </c>
      <c r="F7" s="112" t="e">
        <f t="shared" si="1"/>
        <v>#DIV/0!</v>
      </c>
      <c r="G7" s="167">
        <f t="shared" si="1"/>
        <v>0</v>
      </c>
      <c r="H7" s="112" t="e">
        <f t="shared" si="1"/>
        <v>#REF!</v>
      </c>
      <c r="I7" s="112" t="e">
        <f t="shared" si="1"/>
        <v>#REF!</v>
      </c>
      <c r="J7" s="112" t="e">
        <f t="shared" si="1"/>
        <v>#REF!</v>
      </c>
      <c r="K7" s="112" t="e">
        <f t="shared" si="1"/>
        <v>#REF!</v>
      </c>
      <c r="L7" s="112" t="e">
        <f t="shared" si="1"/>
        <v>#REF!</v>
      </c>
      <c r="N7" s="125"/>
      <c r="Q7" s="125"/>
      <c r="S7" s="106"/>
      <c r="T7" s="106"/>
      <c r="U7" s="106"/>
      <c r="V7" s="106"/>
      <c r="W7" s="106"/>
      <c r="X7" s="106"/>
      <c r="Y7" s="106"/>
      <c r="Z7" s="106"/>
      <c r="AA7" s="107"/>
      <c r="AB7" s="107"/>
      <c r="AC7" s="107"/>
      <c r="AE7" s="107"/>
    </row>
    <row r="8" spans="1:31" x14ac:dyDescent="0.2">
      <c r="B8" s="1" t="s">
        <v>277</v>
      </c>
      <c r="C8" s="107">
        <f>C32+C33</f>
        <v>0</v>
      </c>
      <c r="D8" s="107">
        <f t="shared" ref="D8:L8" si="2">D32+D33</f>
        <v>0</v>
      </c>
      <c r="E8" s="107">
        <f t="shared" si="2"/>
        <v>0</v>
      </c>
      <c r="F8" s="107">
        <f t="shared" si="2"/>
        <v>0</v>
      </c>
      <c r="G8" s="173">
        <f t="shared" si="2"/>
        <v>0</v>
      </c>
      <c r="H8" s="107" t="e">
        <f t="shared" ca="1" si="2"/>
        <v>#DIV/0!</v>
      </c>
      <c r="I8" s="107" t="e">
        <f t="shared" ca="1" si="2"/>
        <v>#DIV/0!</v>
      </c>
      <c r="J8" s="107" t="e">
        <f t="shared" ca="1" si="2"/>
        <v>#DIV/0!</v>
      </c>
      <c r="K8" s="107" t="e">
        <f t="shared" ca="1" si="2"/>
        <v>#DIV/0!</v>
      </c>
      <c r="L8" s="107" t="e">
        <f t="shared" ca="1" si="2"/>
        <v>#DIV/0!</v>
      </c>
      <c r="N8" s="125"/>
      <c r="Q8" s="125"/>
      <c r="S8" s="106"/>
      <c r="T8" s="106"/>
      <c r="U8" s="106"/>
      <c r="V8" s="106"/>
      <c r="W8" s="106"/>
      <c r="X8" s="106"/>
      <c r="Y8" s="106"/>
      <c r="Z8" s="106"/>
      <c r="AA8" s="107"/>
      <c r="AB8" s="107"/>
      <c r="AC8" s="107"/>
      <c r="AE8" s="107"/>
    </row>
    <row r="9" spans="1:31" x14ac:dyDescent="0.2">
      <c r="B9" s="7" t="s">
        <v>278</v>
      </c>
      <c r="C9" s="112" t="e">
        <f>C7+C8</f>
        <v>#DIV/0!</v>
      </c>
      <c r="D9" s="112" t="e">
        <f t="shared" ref="D9:L9" si="3">D7+D8</f>
        <v>#DIV/0!</v>
      </c>
      <c r="E9" s="112" t="e">
        <f t="shared" si="3"/>
        <v>#DIV/0!</v>
      </c>
      <c r="F9" s="112" t="e">
        <f t="shared" si="3"/>
        <v>#DIV/0!</v>
      </c>
      <c r="G9" s="167">
        <f t="shared" si="3"/>
        <v>0</v>
      </c>
      <c r="H9" s="112" t="e">
        <f t="shared" ca="1" si="3"/>
        <v>#REF!</v>
      </c>
      <c r="I9" s="112" t="e">
        <f t="shared" ca="1" si="3"/>
        <v>#REF!</v>
      </c>
      <c r="J9" s="112" t="e">
        <f t="shared" ca="1" si="3"/>
        <v>#REF!</v>
      </c>
      <c r="K9" s="112" t="e">
        <f t="shared" ca="1" si="3"/>
        <v>#REF!</v>
      </c>
      <c r="L9" s="112" t="e">
        <f t="shared" ca="1" si="3"/>
        <v>#REF!</v>
      </c>
      <c r="N9" s="125"/>
      <c r="Q9" s="125"/>
      <c r="S9" s="106"/>
      <c r="T9" s="106"/>
      <c r="U9" s="106"/>
      <c r="V9" s="106"/>
      <c r="W9" s="106"/>
      <c r="X9" s="106"/>
      <c r="Y9" s="106"/>
      <c r="Z9" s="106"/>
      <c r="AA9" s="107"/>
      <c r="AB9" s="107"/>
      <c r="AC9" s="107"/>
      <c r="AE9" s="107"/>
    </row>
    <row r="10" spans="1:31" x14ac:dyDescent="0.2">
      <c r="B10" s="1" t="s">
        <v>279</v>
      </c>
      <c r="C10" s="106">
        <f>'Statement Y'!D67</f>
        <v>0</v>
      </c>
      <c r="D10" s="106">
        <f>'Statement Y'!E67</f>
        <v>0</v>
      </c>
      <c r="E10" s="106">
        <f>'Statement Y'!F67</f>
        <v>0</v>
      </c>
      <c r="F10" s="106">
        <f>'Statement Y'!G67</f>
        <v>0</v>
      </c>
      <c r="G10" s="109">
        <f>'Statement Y'!H67</f>
        <v>0</v>
      </c>
      <c r="H10" s="107" t="e">
        <f>-('Balance Sheet'!H8-'Balance Sheet'!G8)</f>
        <v>#DIV/0!</v>
      </c>
      <c r="I10" s="107" t="e">
        <f>-('Balance Sheet'!I8-'Balance Sheet'!H8)</f>
        <v>#DIV/0!</v>
      </c>
      <c r="J10" s="107" t="e">
        <f>-('Balance Sheet'!J8-'Balance Sheet'!I8)</f>
        <v>#DIV/0!</v>
      </c>
      <c r="K10" s="107" t="e">
        <f>-('Balance Sheet'!K8-'Balance Sheet'!J8)</f>
        <v>#DIV/0!</v>
      </c>
      <c r="L10" s="107" t="e">
        <f>-('Balance Sheet'!L8-'Balance Sheet'!K8)</f>
        <v>#DIV/0!</v>
      </c>
      <c r="N10" s="125"/>
      <c r="Q10" s="125"/>
      <c r="S10" s="106"/>
      <c r="T10" s="106"/>
      <c r="U10" s="106"/>
      <c r="V10" s="106"/>
      <c r="W10" s="106"/>
      <c r="X10" s="106"/>
      <c r="Y10" s="106"/>
      <c r="Z10" s="106"/>
      <c r="AA10" s="107"/>
      <c r="AB10" s="107"/>
      <c r="AC10" s="107"/>
      <c r="AE10" s="107"/>
    </row>
    <row r="11" spans="1:31" x14ac:dyDescent="0.2">
      <c r="B11" s="1" t="s">
        <v>280</v>
      </c>
      <c r="C11" s="106">
        <f>'Statement Y'!D68</f>
        <v>0</v>
      </c>
      <c r="D11" s="106">
        <f>'Statement Y'!E68</f>
        <v>0</v>
      </c>
      <c r="E11" s="106">
        <f>'Statement Y'!F68</f>
        <v>0</v>
      </c>
      <c r="F11" s="106">
        <f>'Statement Y'!G68</f>
        <v>0</v>
      </c>
      <c r="G11" s="109">
        <f>'Statement Y'!H68</f>
        <v>0</v>
      </c>
      <c r="H11" s="107" t="e">
        <f>-(WC!H28-WC!G28)</f>
        <v>#REF!</v>
      </c>
      <c r="I11" s="107" t="e">
        <f>-(WC!I28-WC!H28)</f>
        <v>#REF!</v>
      </c>
      <c r="J11" s="107" t="e">
        <f>-(WC!J28-WC!I28)</f>
        <v>#REF!</v>
      </c>
      <c r="K11" s="107" t="e">
        <f>-(WC!K28-WC!J28)</f>
        <v>#REF!</v>
      </c>
      <c r="L11" s="107" t="e">
        <f>-(WC!L28-WC!K28)</f>
        <v>#REF!</v>
      </c>
      <c r="N11" s="125"/>
      <c r="Q11" s="125"/>
      <c r="S11" s="106"/>
      <c r="T11" s="106"/>
      <c r="U11" s="106"/>
      <c r="V11" s="106"/>
      <c r="W11" s="106"/>
      <c r="X11" s="106"/>
      <c r="Y11" s="106"/>
      <c r="Z11" s="106"/>
      <c r="AA11" s="107"/>
      <c r="AB11" s="107"/>
      <c r="AC11" s="107"/>
      <c r="AE11" s="107"/>
    </row>
    <row r="12" spans="1:31" x14ac:dyDescent="0.2">
      <c r="B12" s="1" t="s">
        <v>281</v>
      </c>
      <c r="C12" s="106">
        <f>'Statement Y'!D69</f>
        <v>0</v>
      </c>
      <c r="D12" s="106">
        <f>'Statement Y'!E69</f>
        <v>0</v>
      </c>
      <c r="E12" s="106">
        <f>'Statement Y'!F69</f>
        <v>0</v>
      </c>
      <c r="F12" s="106">
        <f>'Statement Y'!G69</f>
        <v>0</v>
      </c>
      <c r="G12" s="109">
        <f>'Statement Y'!H69</f>
        <v>0</v>
      </c>
      <c r="H12" s="107" t="e">
        <f>-(WC!H29-WC!G29)</f>
        <v>#REF!</v>
      </c>
      <c r="I12" s="107" t="e">
        <f>-(WC!I29-WC!H29)</f>
        <v>#REF!</v>
      </c>
      <c r="J12" s="107" t="e">
        <f>-(WC!J29-WC!I29)</f>
        <v>#REF!</v>
      </c>
      <c r="K12" s="107" t="e">
        <f>-(WC!K29-WC!J29)</f>
        <v>#REF!</v>
      </c>
      <c r="L12" s="107" t="e">
        <f>-(WC!L29-WC!K29)</f>
        <v>#REF!</v>
      </c>
      <c r="N12" s="125"/>
      <c r="Q12" s="125"/>
      <c r="S12" s="106"/>
      <c r="T12" s="106"/>
      <c r="U12" s="106"/>
      <c r="V12" s="106"/>
      <c r="W12" s="106"/>
      <c r="X12" s="106"/>
      <c r="Y12" s="106"/>
      <c r="Z12" s="106"/>
      <c r="AA12" s="107"/>
      <c r="AB12" s="107"/>
      <c r="AC12" s="107"/>
      <c r="AE12" s="107"/>
    </row>
    <row r="13" spans="1:31" x14ac:dyDescent="0.2">
      <c r="B13" s="1" t="s">
        <v>282</v>
      </c>
      <c r="C13" s="106">
        <f>'Statement Y'!D70</f>
        <v>0</v>
      </c>
      <c r="D13" s="106">
        <f>'Statement Y'!E70</f>
        <v>0</v>
      </c>
      <c r="E13" s="106">
        <f>'Statement Y'!F70</f>
        <v>0</v>
      </c>
      <c r="F13" s="106">
        <f>'Statement Y'!G70</f>
        <v>0</v>
      </c>
      <c r="G13" s="109">
        <f>'Statement Y'!H70</f>
        <v>0</v>
      </c>
      <c r="H13" s="107" t="e">
        <f>WC!H15-WC!G15</f>
        <v>#DIV/0!</v>
      </c>
      <c r="I13" s="107" t="e">
        <f>WC!I15-WC!H15</f>
        <v>#DIV/0!</v>
      </c>
      <c r="J13" s="107" t="e">
        <f>WC!J15-WC!I15</f>
        <v>#DIV/0!</v>
      </c>
      <c r="K13" s="107" t="e">
        <f>WC!K15-WC!J15</f>
        <v>#DIV/0!</v>
      </c>
      <c r="L13" s="107" t="e">
        <f>WC!L15-WC!K15</f>
        <v>#DIV/0!</v>
      </c>
      <c r="N13" s="125"/>
      <c r="Q13" s="125"/>
      <c r="S13" s="106"/>
      <c r="T13" s="106"/>
      <c r="U13" s="106"/>
      <c r="V13" s="106"/>
      <c r="W13" s="106"/>
      <c r="X13" s="106"/>
      <c r="Y13" s="106"/>
      <c r="Z13" s="106"/>
      <c r="AA13" s="107"/>
      <c r="AB13" s="107"/>
      <c r="AC13" s="107"/>
      <c r="AE13" s="107"/>
    </row>
    <row r="14" spans="1:31" x14ac:dyDescent="0.2">
      <c r="B14" s="1" t="s">
        <v>283</v>
      </c>
      <c r="C14" s="106">
        <f>'Statement Y'!D66</f>
        <v>0</v>
      </c>
      <c r="D14" s="106">
        <f>'Statement Y'!E66</f>
        <v>0</v>
      </c>
      <c r="E14" s="106">
        <f>'Statement Y'!F66</f>
        <v>0</v>
      </c>
      <c r="F14" s="106">
        <f>'Statement Y'!G66</f>
        <v>0</v>
      </c>
      <c r="G14" s="109">
        <f>'Statement Y'!H66</f>
        <v>0</v>
      </c>
      <c r="H14" s="107" t="e">
        <f>'Balance Sheet'!H23-'Balance Sheet'!G23</f>
        <v>#REF!</v>
      </c>
      <c r="I14" s="107" t="e">
        <f>'Balance Sheet'!I23-'Balance Sheet'!H23</f>
        <v>#REF!</v>
      </c>
      <c r="J14" s="107" t="e">
        <f>'Balance Sheet'!J23-'Balance Sheet'!I23</f>
        <v>#REF!</v>
      </c>
      <c r="K14" s="107" t="e">
        <f>'Balance Sheet'!K23-'Balance Sheet'!J23</f>
        <v>#REF!</v>
      </c>
      <c r="L14" s="107" t="e">
        <f>'Balance Sheet'!L23-'Balance Sheet'!K23</f>
        <v>#REF!</v>
      </c>
      <c r="N14" s="125"/>
      <c r="Q14" s="125"/>
      <c r="S14" s="106"/>
      <c r="T14" s="106"/>
      <c r="U14" s="106"/>
      <c r="V14" s="106"/>
      <c r="W14" s="106"/>
      <c r="X14" s="106"/>
      <c r="Y14" s="106"/>
      <c r="Z14" s="106"/>
      <c r="AA14" s="107"/>
      <c r="AB14" s="107"/>
      <c r="AC14" s="107"/>
      <c r="AE14" s="107"/>
    </row>
    <row r="15" spans="1:31" x14ac:dyDescent="0.2">
      <c r="B15" s="1" t="s">
        <v>123</v>
      </c>
      <c r="C15" s="106">
        <f>'Statement Y'!D71</f>
        <v>0</v>
      </c>
      <c r="D15" s="106">
        <f>'Statement Y'!E71</f>
        <v>0</v>
      </c>
      <c r="E15" s="106">
        <f>'Statement Y'!F71</f>
        <v>0</v>
      </c>
      <c r="F15" s="106">
        <f>'Statement Y'!G71</f>
        <v>0</v>
      </c>
      <c r="G15" s="109">
        <f>'Statement Y'!H71</f>
        <v>0</v>
      </c>
      <c r="H15" s="107" t="e">
        <f>'Balance Sheet'!H25-'Balance Sheet'!G25</f>
        <v>#REF!</v>
      </c>
      <c r="I15" s="107" t="e">
        <f>'Balance Sheet'!I25-'Balance Sheet'!H25</f>
        <v>#REF!</v>
      </c>
      <c r="J15" s="107" t="e">
        <f>'Balance Sheet'!J25-'Balance Sheet'!I25</f>
        <v>#REF!</v>
      </c>
      <c r="K15" s="107" t="e">
        <f>'Balance Sheet'!K25-'Balance Sheet'!J25</f>
        <v>#REF!</v>
      </c>
      <c r="L15" s="107" t="e">
        <f>'Balance Sheet'!L25-'Balance Sheet'!K25</f>
        <v>#REF!</v>
      </c>
      <c r="N15" s="125"/>
      <c r="Q15" s="125"/>
      <c r="S15" s="106"/>
      <c r="T15" s="106"/>
      <c r="U15" s="106"/>
      <c r="V15" s="106"/>
      <c r="W15" s="106"/>
      <c r="X15" s="106"/>
      <c r="Y15" s="106"/>
      <c r="Z15" s="106"/>
      <c r="AA15" s="107"/>
      <c r="AB15" s="107"/>
      <c r="AC15" s="107"/>
      <c r="AE15" s="107"/>
    </row>
    <row r="16" spans="1:31" x14ac:dyDescent="0.2">
      <c r="B16" s="7" t="s">
        <v>297</v>
      </c>
      <c r="C16" s="112">
        <f>SUM(C10:C14)</f>
        <v>0</v>
      </c>
      <c r="D16" s="112">
        <f t="shared" ref="D16:L16" si="4">SUM(D10:D14)</f>
        <v>0</v>
      </c>
      <c r="E16" s="112">
        <f t="shared" si="4"/>
        <v>0</v>
      </c>
      <c r="F16" s="112">
        <f t="shared" si="4"/>
        <v>0</v>
      </c>
      <c r="G16" s="167">
        <f t="shared" si="4"/>
        <v>0</v>
      </c>
      <c r="H16" s="112" t="e">
        <f t="shared" si="4"/>
        <v>#DIV/0!</v>
      </c>
      <c r="I16" s="112" t="e">
        <f t="shared" si="4"/>
        <v>#DIV/0!</v>
      </c>
      <c r="J16" s="112" t="e">
        <f t="shared" si="4"/>
        <v>#DIV/0!</v>
      </c>
      <c r="K16" s="112" t="e">
        <f t="shared" si="4"/>
        <v>#DIV/0!</v>
      </c>
      <c r="L16" s="112" t="e">
        <f t="shared" si="4"/>
        <v>#DIV/0!</v>
      </c>
      <c r="N16" s="125"/>
      <c r="Q16" s="125"/>
      <c r="S16" s="106"/>
      <c r="T16" s="106"/>
      <c r="U16" s="106"/>
      <c r="V16" s="106"/>
      <c r="W16" s="106"/>
      <c r="X16" s="106"/>
      <c r="Y16" s="106"/>
      <c r="Z16" s="106"/>
      <c r="AA16" s="107"/>
      <c r="AB16" s="107"/>
      <c r="AC16" s="107"/>
      <c r="AE16" s="107"/>
    </row>
    <row r="17" spans="2:31" x14ac:dyDescent="0.2">
      <c r="B17" s="1" t="s">
        <v>286</v>
      </c>
      <c r="C17" s="107">
        <f>C34+C35</f>
        <v>0</v>
      </c>
      <c r="D17" s="107">
        <f t="shared" ref="D17:F17" si="5">D34+D35</f>
        <v>0</v>
      </c>
      <c r="E17" s="107">
        <f t="shared" si="5"/>
        <v>0</v>
      </c>
      <c r="F17" s="107">
        <f t="shared" si="5"/>
        <v>0</v>
      </c>
      <c r="G17" s="173">
        <f>G34+G35</f>
        <v>0</v>
      </c>
      <c r="H17" s="107" t="e">
        <f>H34+H35</f>
        <v>#DIV/0!</v>
      </c>
      <c r="I17" s="107" t="e">
        <f t="shared" ref="I17:L17" si="6">I34+I35</f>
        <v>#DIV/0!</v>
      </c>
      <c r="J17" s="107" t="e">
        <f t="shared" si="6"/>
        <v>#DIV/0!</v>
      </c>
      <c r="K17" s="107" t="e">
        <f t="shared" si="6"/>
        <v>#DIV/0!</v>
      </c>
      <c r="L17" s="107" t="e">
        <f t="shared" si="6"/>
        <v>#DIV/0!</v>
      </c>
      <c r="N17" s="125"/>
      <c r="Q17" s="125"/>
      <c r="S17" s="106"/>
      <c r="T17" s="106"/>
      <c r="U17" s="106"/>
      <c r="V17" s="106"/>
      <c r="W17" s="106"/>
      <c r="X17" s="106"/>
      <c r="Y17" s="106"/>
      <c r="Z17" s="106"/>
      <c r="AA17" s="107"/>
      <c r="AB17" s="107"/>
      <c r="AC17" s="107"/>
      <c r="AE17" s="107"/>
    </row>
    <row r="18" spans="2:31" x14ac:dyDescent="0.2">
      <c r="B18" s="1" t="s">
        <v>298</v>
      </c>
      <c r="C18" s="106">
        <f>'Statement Y'!D72</f>
        <v>0</v>
      </c>
      <c r="D18" s="106">
        <f>'Statement Y'!E72</f>
        <v>0</v>
      </c>
      <c r="E18" s="106">
        <f>'Statement Y'!F72</f>
        <v>0</v>
      </c>
      <c r="F18" s="106">
        <f>'Statement Y'!G72</f>
        <v>0</v>
      </c>
      <c r="G18" s="109">
        <f>'Statement Y'!H72</f>
        <v>0</v>
      </c>
      <c r="H18" s="107" t="e">
        <f>-('Balance Sheet'!H15-'Balance Sheet'!G15)-('Balance Sheet'!H17-'Balance Sheet'!G17)-('Balance Sheet'!H19-'Balance Sheet'!G19)</f>
        <v>#REF!</v>
      </c>
      <c r="I18" s="107" t="e">
        <f>-('Balance Sheet'!I15-'Balance Sheet'!H15)-('Balance Sheet'!I17-'Balance Sheet'!H17)-('Balance Sheet'!I19-'Balance Sheet'!H19)</f>
        <v>#REF!</v>
      </c>
      <c r="J18" s="107" t="e">
        <f>-('Balance Sheet'!J15-'Balance Sheet'!I15)-('Balance Sheet'!J17-'Balance Sheet'!I17)-('Balance Sheet'!J19-'Balance Sheet'!I19)</f>
        <v>#REF!</v>
      </c>
      <c r="K18" s="107" t="e">
        <f>-('Balance Sheet'!K15-'Balance Sheet'!J15)-('Balance Sheet'!K17-'Balance Sheet'!J17)-('Balance Sheet'!K19-'Balance Sheet'!J19)</f>
        <v>#REF!</v>
      </c>
      <c r="L18" s="107" t="e">
        <f>-('Balance Sheet'!L15-'Balance Sheet'!K15)-('Balance Sheet'!L17-'Balance Sheet'!K17)-('Balance Sheet'!L19-'Balance Sheet'!K19)</f>
        <v>#REF!</v>
      </c>
      <c r="N18" s="125"/>
      <c r="Q18" s="125"/>
      <c r="S18" s="106"/>
      <c r="T18" s="106"/>
      <c r="U18" s="106"/>
      <c r="V18" s="106"/>
      <c r="W18" s="106"/>
      <c r="X18" s="106"/>
      <c r="Y18" s="106"/>
      <c r="Z18" s="106"/>
      <c r="AA18" s="107"/>
      <c r="AB18" s="107"/>
      <c r="AC18" s="107"/>
      <c r="AE18" s="107"/>
    </row>
    <row r="19" spans="2:31" x14ac:dyDescent="0.2">
      <c r="B19" s="1" t="s">
        <v>299</v>
      </c>
      <c r="C19" s="106"/>
      <c r="D19" s="106"/>
      <c r="E19" s="106"/>
      <c r="F19" s="106"/>
      <c r="G19" s="109"/>
      <c r="H19" s="107" t="e">
        <f ca="1">('Balance Sheet'!H24-'Balance Sheet'!G24)+('Balance Sheet'!H27-'Balance Sheet'!G27)+('Balance Sheet'!H28-'Balance Sheet'!G28)</f>
        <v>#REF!</v>
      </c>
      <c r="I19" s="107" t="e">
        <f ca="1">('Balance Sheet'!I24-'Balance Sheet'!H24)+('Balance Sheet'!I27-'Balance Sheet'!H27)+('Balance Sheet'!I28-'Balance Sheet'!H28)</f>
        <v>#REF!</v>
      </c>
      <c r="J19" s="107" t="e">
        <f ca="1">('Balance Sheet'!J24-'Balance Sheet'!I24)+('Balance Sheet'!J27-'Balance Sheet'!I27)+('Balance Sheet'!J28-'Balance Sheet'!I28)</f>
        <v>#REF!</v>
      </c>
      <c r="K19" s="107" t="e">
        <f ca="1">('Balance Sheet'!K24-'Balance Sheet'!J24)+('Balance Sheet'!K27-'Balance Sheet'!J27)+('Balance Sheet'!K28-'Balance Sheet'!J28)</f>
        <v>#REF!</v>
      </c>
      <c r="L19" s="107" t="e">
        <f ca="1">('Balance Sheet'!L24-'Balance Sheet'!K24)+('Balance Sheet'!L27-'Balance Sheet'!K27)+('Balance Sheet'!L28-'Balance Sheet'!K28)</f>
        <v>#REF!</v>
      </c>
      <c r="N19" s="125"/>
      <c r="Q19" s="125"/>
      <c r="S19" s="106"/>
      <c r="T19" s="106"/>
      <c r="U19" s="106"/>
      <c r="V19" s="106"/>
      <c r="W19" s="106"/>
      <c r="X19" s="106"/>
      <c r="Y19" s="106"/>
      <c r="Z19" s="106"/>
      <c r="AA19" s="107"/>
      <c r="AB19" s="107"/>
      <c r="AC19" s="107"/>
      <c r="AE19" s="107"/>
    </row>
    <row r="20" spans="2:31" x14ac:dyDescent="0.2">
      <c r="B20" s="7" t="s">
        <v>300</v>
      </c>
      <c r="C20" s="112" t="e">
        <f>C9+C16-C17+C18+C19</f>
        <v>#DIV/0!</v>
      </c>
      <c r="D20" s="112" t="e">
        <f t="shared" ref="D20:H20" si="7">D9+D16-D17+D18+D19</f>
        <v>#DIV/0!</v>
      </c>
      <c r="E20" s="112" t="e">
        <f t="shared" si="7"/>
        <v>#DIV/0!</v>
      </c>
      <c r="F20" s="112" t="e">
        <f t="shared" si="7"/>
        <v>#DIV/0!</v>
      </c>
      <c r="G20" s="167">
        <f t="shared" si="7"/>
        <v>0</v>
      </c>
      <c r="H20" s="112" t="e">
        <f t="shared" ca="1" si="7"/>
        <v>#REF!</v>
      </c>
      <c r="I20" s="112" t="e">
        <f t="shared" ref="I20" ca="1" si="8">I9+I16-I17+I18+I19</f>
        <v>#REF!</v>
      </c>
      <c r="J20" s="112" t="e">
        <f t="shared" ref="J20" ca="1" si="9">J9+J16-J17+J18+J19</f>
        <v>#REF!</v>
      </c>
      <c r="K20" s="112" t="e">
        <f t="shared" ref="K20" ca="1" si="10">K9+K16-K17+K18+K19</f>
        <v>#REF!</v>
      </c>
      <c r="L20" s="112" t="e">
        <f t="shared" ref="L20" ca="1" si="11">L9+L16-L17+L18+L19</f>
        <v>#REF!</v>
      </c>
      <c r="N20" s="125"/>
      <c r="Q20" s="125"/>
      <c r="S20" s="106"/>
      <c r="T20" s="106"/>
      <c r="U20" s="106"/>
      <c r="V20" s="106"/>
      <c r="W20" s="106"/>
      <c r="X20" s="106"/>
      <c r="Y20" s="106"/>
      <c r="Z20" s="106"/>
      <c r="AA20" s="107"/>
      <c r="AB20" s="107"/>
      <c r="AC20" s="107"/>
      <c r="AE20" s="107"/>
    </row>
    <row r="21" spans="2:31" x14ac:dyDescent="0.2">
      <c r="B21" s="8" t="s">
        <v>314</v>
      </c>
      <c r="C21" s="106">
        <f>'P&amp;L'!C14</f>
        <v>0</v>
      </c>
      <c r="D21" s="106">
        <f>'P&amp;L'!D14</f>
        <v>0</v>
      </c>
      <c r="E21" s="106">
        <f>'P&amp;L'!E14</f>
        <v>0</v>
      </c>
      <c r="F21" s="106">
        <f>'P&amp;L'!F14</f>
        <v>0</v>
      </c>
      <c r="G21" s="109">
        <f>'P&amp;L'!G14</f>
        <v>0</v>
      </c>
      <c r="H21" s="107" t="e">
        <f ca="1">'P&amp;L'!H14</f>
        <v>#REF!</v>
      </c>
      <c r="I21" s="107" t="e">
        <f ca="1">'P&amp;L'!I14</f>
        <v>#REF!</v>
      </c>
      <c r="J21" s="107" t="e">
        <f ca="1">'P&amp;L'!J14</f>
        <v>#REF!</v>
      </c>
      <c r="K21" s="107" t="e">
        <f ca="1">'P&amp;L'!K14</f>
        <v>#REF!</v>
      </c>
      <c r="L21" s="107" t="e">
        <f ca="1">'P&amp;L'!L14</f>
        <v>#REF!</v>
      </c>
      <c r="N21" s="125"/>
      <c r="Q21" s="125"/>
      <c r="S21" s="106"/>
      <c r="T21" s="106"/>
      <c r="U21" s="106"/>
      <c r="V21" s="106"/>
      <c r="W21" s="106"/>
      <c r="X21" s="106"/>
      <c r="Y21" s="106"/>
      <c r="Z21" s="106"/>
      <c r="AA21" s="107"/>
      <c r="AB21" s="107"/>
      <c r="AC21" s="107"/>
      <c r="AE21" s="107"/>
    </row>
    <row r="22" spans="2:31" x14ac:dyDescent="0.2">
      <c r="B22" s="8" t="s">
        <v>315</v>
      </c>
      <c r="C22" s="178">
        <v>0</v>
      </c>
      <c r="D22" s="178">
        <v>0</v>
      </c>
      <c r="E22" s="178">
        <v>0</v>
      </c>
      <c r="F22" s="178">
        <v>0</v>
      </c>
      <c r="G22" s="179">
        <v>0</v>
      </c>
      <c r="H22" s="107" t="e">
        <f ca="1">Financing!H14-Financing!G14</f>
        <v>#REF!</v>
      </c>
      <c r="I22" s="107" t="e">
        <f ca="1">Financing!I14-Financing!H14</f>
        <v>#REF!</v>
      </c>
      <c r="J22" s="107" t="e">
        <f ca="1">Financing!J14-Financing!I14</f>
        <v>#REF!</v>
      </c>
      <c r="K22" s="107" t="e">
        <f ca="1">Financing!K14-Financing!J14</f>
        <v>#REF!</v>
      </c>
      <c r="L22" s="107" t="e">
        <f ca="1">Financing!L14-Financing!K14</f>
        <v>#REF!</v>
      </c>
      <c r="N22" s="125"/>
      <c r="Q22" s="125"/>
      <c r="S22" s="106"/>
      <c r="T22" s="106"/>
      <c r="U22" s="106"/>
      <c r="V22" s="106"/>
      <c r="W22" s="106"/>
      <c r="X22" s="106"/>
      <c r="Y22" s="106"/>
      <c r="Z22" s="106"/>
      <c r="AA22" s="107"/>
      <c r="AB22" s="107"/>
      <c r="AC22" s="107"/>
      <c r="AE22" s="107"/>
    </row>
    <row r="23" spans="2:31" x14ac:dyDescent="0.2">
      <c r="B23" s="8" t="s">
        <v>316</v>
      </c>
      <c r="C23" s="164" t="e">
        <f>'P&amp;L'!C16+(C6-C7)</f>
        <v>#DIV/0!</v>
      </c>
      <c r="D23" s="164" t="e">
        <f>'P&amp;L'!D16+(D6-D7)</f>
        <v>#DIV/0!</v>
      </c>
      <c r="E23" s="164" t="e">
        <f>'P&amp;L'!E16+(E6-E7)</f>
        <v>#DIV/0!</v>
      </c>
      <c r="F23" s="164" t="e">
        <f>'P&amp;L'!F16+(F6-F7)</f>
        <v>#DIV/0!</v>
      </c>
      <c r="G23" s="179">
        <f>'P&amp;L'!G16+(G6-G7)</f>
        <v>0</v>
      </c>
      <c r="H23" s="164" t="e">
        <f ca="1">'P&amp;L'!H16+(H6-H7)</f>
        <v>#REF!</v>
      </c>
      <c r="I23" s="164" t="e">
        <f ca="1">'P&amp;L'!I16+(I6-I7)</f>
        <v>#REF!</v>
      </c>
      <c r="J23" s="164" t="e">
        <f ca="1">'P&amp;L'!J16+(J6-J7)</f>
        <v>#REF!</v>
      </c>
      <c r="K23" s="164" t="e">
        <f ca="1">'P&amp;L'!K16+(K6-K7)</f>
        <v>#REF!</v>
      </c>
      <c r="L23" s="164" t="e">
        <f ca="1">'P&amp;L'!L16+(L6-L7)</f>
        <v>#REF!</v>
      </c>
      <c r="Q23" s="91"/>
      <c r="R23" s="7"/>
      <c r="S23" s="110"/>
      <c r="T23" s="110"/>
      <c r="U23" s="110"/>
      <c r="V23" s="110"/>
      <c r="W23" s="110"/>
      <c r="X23" s="110"/>
      <c r="Y23" s="110"/>
      <c r="Z23" s="110"/>
      <c r="AA23" s="112"/>
      <c r="AB23" s="112"/>
      <c r="AC23" s="112"/>
      <c r="AE23" s="112"/>
    </row>
    <row r="24" spans="2:31" x14ac:dyDescent="0.2">
      <c r="B24" s="8" t="s">
        <v>333</v>
      </c>
      <c r="C24" s="164"/>
      <c r="D24" s="164">
        <f>'Balance Sheet'!D34-'Balance Sheet'!C34</f>
        <v>0</v>
      </c>
      <c r="E24" s="164">
        <f>'Balance Sheet'!E34-'Balance Sheet'!D34</f>
        <v>0</v>
      </c>
      <c r="F24" s="164">
        <f>'Balance Sheet'!F34-'Balance Sheet'!E34</f>
        <v>0</v>
      </c>
      <c r="G24" s="179">
        <f>'Balance Sheet'!G34-'Balance Sheet'!F34</f>
        <v>0</v>
      </c>
      <c r="H24" s="164" t="e">
        <f>Financing!H41</f>
        <v>#REF!</v>
      </c>
      <c r="I24" s="164" t="e">
        <f>Financing!I41</f>
        <v>#REF!</v>
      </c>
      <c r="J24" s="164" t="e">
        <f>Financing!J41</f>
        <v>#REF!</v>
      </c>
      <c r="K24" s="164" t="e">
        <f>Financing!K41</f>
        <v>#REF!</v>
      </c>
      <c r="L24" s="164" t="e">
        <f>Financing!L41</f>
        <v>#REF!</v>
      </c>
      <c r="Q24" s="91"/>
      <c r="R24" s="7"/>
      <c r="S24" s="110"/>
      <c r="T24" s="110"/>
      <c r="U24" s="110"/>
      <c r="V24" s="110"/>
      <c r="W24" s="110"/>
      <c r="X24" s="110"/>
      <c r="Y24" s="110"/>
      <c r="Z24" s="110"/>
      <c r="AA24" s="112"/>
      <c r="AB24" s="112"/>
      <c r="AC24" s="112"/>
      <c r="AE24" s="112"/>
    </row>
    <row r="25" spans="2:31" x14ac:dyDescent="0.2">
      <c r="B25" s="8" t="s">
        <v>334</v>
      </c>
      <c r="C25" s="164"/>
      <c r="D25" s="164"/>
      <c r="E25" s="164"/>
      <c r="F25" s="164"/>
      <c r="G25" s="179"/>
      <c r="H25" s="164" t="e">
        <f>Financing!H42</f>
        <v>#REF!</v>
      </c>
      <c r="I25" s="164" t="e">
        <f>Financing!I42</f>
        <v>#REF!</v>
      </c>
      <c r="J25" s="164" t="e">
        <f>Financing!J42</f>
        <v>#REF!</v>
      </c>
      <c r="K25" s="164" t="e">
        <f>Financing!K42</f>
        <v>#REF!</v>
      </c>
      <c r="L25" s="164" t="e">
        <f>Financing!L42</f>
        <v>#REF!</v>
      </c>
      <c r="Q25" s="91"/>
      <c r="R25" s="7"/>
      <c r="S25" s="110"/>
      <c r="T25" s="110"/>
      <c r="U25" s="110"/>
      <c r="V25" s="110"/>
      <c r="W25" s="110"/>
      <c r="X25" s="110"/>
      <c r="Y25" s="110"/>
      <c r="Z25" s="110"/>
      <c r="AA25" s="112"/>
      <c r="AB25" s="112"/>
      <c r="AC25" s="112"/>
      <c r="AE25" s="112"/>
    </row>
    <row r="26" spans="2:31" x14ac:dyDescent="0.2">
      <c r="B26" s="8" t="s">
        <v>322</v>
      </c>
      <c r="C26" s="164" t="e">
        <f>C20+C21+C22+C23+C24</f>
        <v>#DIV/0!</v>
      </c>
      <c r="D26" s="164" t="e">
        <f t="shared" ref="D26:G26" si="12">D20+D21+D22+D23+D24</f>
        <v>#DIV/0!</v>
      </c>
      <c r="E26" s="164" t="e">
        <f t="shared" si="12"/>
        <v>#DIV/0!</v>
      </c>
      <c r="F26" s="164" t="e">
        <f t="shared" si="12"/>
        <v>#DIV/0!</v>
      </c>
      <c r="G26" s="179">
        <f t="shared" si="12"/>
        <v>0</v>
      </c>
      <c r="H26" s="164" t="e">
        <f ca="1">H20+H21+H22+H23+H24+H25</f>
        <v>#REF!</v>
      </c>
      <c r="I26" s="164" t="e">
        <f t="shared" ref="I26:L26" ca="1" si="13">I20+I21+I22+I23+I24+I25</f>
        <v>#REF!</v>
      </c>
      <c r="J26" s="164" t="e">
        <f t="shared" ca="1" si="13"/>
        <v>#REF!</v>
      </c>
      <c r="K26" s="164" t="e">
        <f t="shared" ca="1" si="13"/>
        <v>#REF!</v>
      </c>
      <c r="L26" s="164" t="e">
        <f t="shared" ca="1" si="13"/>
        <v>#REF!</v>
      </c>
      <c r="Q26" s="91"/>
      <c r="R26" s="7"/>
      <c r="S26" s="110"/>
      <c r="T26" s="110"/>
      <c r="U26" s="110"/>
      <c r="V26" s="110"/>
      <c r="W26" s="110"/>
      <c r="X26" s="110"/>
      <c r="Y26" s="110"/>
      <c r="Z26" s="110"/>
      <c r="AA26" s="112"/>
      <c r="AB26" s="112"/>
      <c r="AC26" s="112"/>
      <c r="AE26" s="112"/>
    </row>
    <row r="27" spans="2:31" x14ac:dyDescent="0.2">
      <c r="I27" s="107"/>
    </row>
    <row r="29" spans="2:31" x14ac:dyDescent="0.2">
      <c r="C29" s="222" t="s">
        <v>275</v>
      </c>
      <c r="D29" s="222"/>
      <c r="E29" s="222"/>
      <c r="F29" s="222"/>
      <c r="G29" s="222"/>
      <c r="H29" s="222"/>
      <c r="I29" s="222"/>
      <c r="J29" s="222"/>
      <c r="K29" s="222"/>
      <c r="L29" s="222"/>
    </row>
    <row r="30" spans="2:31" x14ac:dyDescent="0.2">
      <c r="C30" s="62">
        <f>C5</f>
        <v>2021</v>
      </c>
      <c r="D30" s="62">
        <f t="shared" ref="D30:L30" si="14">D5</f>
        <v>2022</v>
      </c>
      <c r="E30" s="62">
        <f t="shared" si="14"/>
        <v>2023</v>
      </c>
      <c r="F30" s="62">
        <f t="shared" si="14"/>
        <v>2024</v>
      </c>
      <c r="G30" s="62">
        <f t="shared" si="14"/>
        <v>2025</v>
      </c>
      <c r="H30" s="62">
        <f t="shared" si="14"/>
        <v>2026</v>
      </c>
      <c r="I30" s="62">
        <f t="shared" si="14"/>
        <v>2027</v>
      </c>
      <c r="J30" s="62">
        <f t="shared" si="14"/>
        <v>2028</v>
      </c>
      <c r="K30" s="62">
        <f t="shared" si="14"/>
        <v>2029</v>
      </c>
      <c r="L30" s="62">
        <f t="shared" si="14"/>
        <v>2030</v>
      </c>
    </row>
    <row r="31" spans="2:31" x14ac:dyDescent="0.2">
      <c r="B31" s="1" t="s">
        <v>104</v>
      </c>
      <c r="C31" s="96" t="e">
        <f>'P&amp;L'!C22</f>
        <v>#DIV/0!</v>
      </c>
      <c r="D31" s="96" t="e">
        <f>'P&amp;L'!D22</f>
        <v>#DIV/0!</v>
      </c>
      <c r="E31" s="96" t="e">
        <f>'P&amp;L'!E22</f>
        <v>#DIV/0!</v>
      </c>
      <c r="F31" s="96" t="e">
        <f>'P&amp;L'!F22</f>
        <v>#DIV/0!</v>
      </c>
      <c r="G31" s="170">
        <v>0.21</v>
      </c>
      <c r="H31" s="171">
        <f>'P&amp;L'!H22</f>
        <v>0.21</v>
      </c>
      <c r="I31" s="171">
        <f>'P&amp;L'!I22</f>
        <v>0.22</v>
      </c>
      <c r="J31" s="171">
        <f>'P&amp;L'!J22</f>
        <v>0.23</v>
      </c>
      <c r="K31" s="171">
        <f>'P&amp;L'!K22</f>
        <v>0.22</v>
      </c>
      <c r="L31" s="171">
        <f>'P&amp;L'!L22</f>
        <v>0.21</v>
      </c>
      <c r="N31" s="1" t="s">
        <v>266</v>
      </c>
    </row>
    <row r="32" spans="2:31" x14ac:dyDescent="0.2">
      <c r="B32" s="1" t="s">
        <v>97</v>
      </c>
      <c r="C32" s="163">
        <f>'PP&amp;E'!C16</f>
        <v>0</v>
      </c>
      <c r="D32" s="163">
        <f>'PP&amp;E'!D16</f>
        <v>0</v>
      </c>
      <c r="E32" s="163">
        <f>'PP&amp;E'!E16</f>
        <v>0</v>
      </c>
      <c r="F32" s="163">
        <f>'PP&amp;E'!F16</f>
        <v>0</v>
      </c>
      <c r="G32" s="165">
        <f>'PP&amp;E'!G16</f>
        <v>0</v>
      </c>
      <c r="H32" s="163" t="e">
        <f ca="1">'PP&amp;E'!H16</f>
        <v>#DIV/0!</v>
      </c>
      <c r="I32" s="163" t="e">
        <f ca="1">'PP&amp;E'!I16</f>
        <v>#DIV/0!</v>
      </c>
      <c r="J32" s="163" t="e">
        <f ca="1">'PP&amp;E'!J16</f>
        <v>#DIV/0!</v>
      </c>
      <c r="K32" s="163" t="e">
        <f ca="1">'PP&amp;E'!K16</f>
        <v>#DIV/0!</v>
      </c>
      <c r="L32" s="163" t="e">
        <f ca="1">'PP&amp;E'!L16</f>
        <v>#DIV/0!</v>
      </c>
      <c r="N32" s="1" t="s">
        <v>264</v>
      </c>
    </row>
    <row r="33" spans="2:14" x14ac:dyDescent="0.2">
      <c r="B33" s="1" t="s">
        <v>98</v>
      </c>
      <c r="C33" s="163">
        <f>Intangibles!C16</f>
        <v>0</v>
      </c>
      <c r="D33" s="163">
        <f>Intangibles!D16</f>
        <v>0</v>
      </c>
      <c r="E33" s="163">
        <f>Intangibles!E16</f>
        <v>0</v>
      </c>
      <c r="F33" s="163">
        <f>Intangibles!F16</f>
        <v>0</v>
      </c>
      <c r="G33" s="165">
        <f>Intangibles!G16</f>
        <v>0</v>
      </c>
      <c r="H33" s="163" t="e">
        <f ca="1">Intangibles!H16</f>
        <v>#DIV/0!</v>
      </c>
      <c r="I33" s="163" t="e">
        <f ca="1">Intangibles!I16</f>
        <v>#DIV/0!</v>
      </c>
      <c r="J33" s="163" t="e">
        <f ca="1">Intangibles!J16</f>
        <v>#DIV/0!</v>
      </c>
      <c r="K33" s="163" t="e">
        <f ca="1">Intangibles!K16</f>
        <v>#DIV/0!</v>
      </c>
      <c r="L33" s="163" t="e">
        <f ca="1">Intangibles!L16</f>
        <v>#DIV/0!</v>
      </c>
      <c r="N33" s="1" t="s">
        <v>265</v>
      </c>
    </row>
    <row r="34" spans="2:14" x14ac:dyDescent="0.2">
      <c r="B34" s="1" t="s">
        <v>284</v>
      </c>
      <c r="C34" s="163">
        <f>'PP&amp;E'!C15</f>
        <v>0</v>
      </c>
      <c r="D34" s="163">
        <f>'PP&amp;E'!D15</f>
        <v>0</v>
      </c>
      <c r="E34" s="163">
        <f>'PP&amp;E'!E15</f>
        <v>0</v>
      </c>
      <c r="F34" s="163">
        <f>'PP&amp;E'!F15</f>
        <v>0</v>
      </c>
      <c r="G34" s="165">
        <f>'PP&amp;E'!G15</f>
        <v>0</v>
      </c>
      <c r="H34" s="163" t="e">
        <f>'PP&amp;E'!H15</f>
        <v>#DIV/0!</v>
      </c>
      <c r="I34" s="163" t="e">
        <f>'PP&amp;E'!I15</f>
        <v>#DIV/0!</v>
      </c>
      <c r="J34" s="163" t="e">
        <f>'PP&amp;E'!J15</f>
        <v>#DIV/0!</v>
      </c>
      <c r="K34" s="163" t="e">
        <f>'PP&amp;E'!K15</f>
        <v>#DIV/0!</v>
      </c>
      <c r="L34" s="163" t="e">
        <f>'PP&amp;E'!L15</f>
        <v>#DIV/0!</v>
      </c>
      <c r="N34" s="1" t="s">
        <v>264</v>
      </c>
    </row>
    <row r="35" spans="2:14" x14ac:dyDescent="0.2">
      <c r="B35" s="1" t="s">
        <v>285</v>
      </c>
      <c r="C35" s="163">
        <f>Intangibles!C15</f>
        <v>0</v>
      </c>
      <c r="D35" s="163">
        <f>Intangibles!D15</f>
        <v>0</v>
      </c>
      <c r="E35" s="163">
        <f>Intangibles!E15</f>
        <v>0</v>
      </c>
      <c r="F35" s="163">
        <f>Intangibles!F15</f>
        <v>0</v>
      </c>
      <c r="G35" s="165">
        <f>Intangibles!G15</f>
        <v>0</v>
      </c>
      <c r="H35" s="163" t="e">
        <f>Intangibles!H15</f>
        <v>#DIV/0!</v>
      </c>
      <c r="I35" s="163" t="e">
        <f>Intangibles!I15</f>
        <v>#DIV/0!</v>
      </c>
      <c r="J35" s="163" t="e">
        <f>Intangibles!J15</f>
        <v>#REF!</v>
      </c>
      <c r="K35" s="163" t="e">
        <f>Intangibles!K15</f>
        <v>#REF!</v>
      </c>
      <c r="L35" s="163" t="e">
        <f>Intangibles!L15</f>
        <v>#REF!</v>
      </c>
      <c r="N35" s="1" t="s">
        <v>265</v>
      </c>
    </row>
  </sheetData>
  <mergeCells count="7">
    <mergeCell ref="C29:L29"/>
    <mergeCell ref="C2:G2"/>
    <mergeCell ref="H2:L2"/>
    <mergeCell ref="S2:Z2"/>
    <mergeCell ref="AA2:AC2"/>
    <mergeCell ref="C4:L4"/>
    <mergeCell ref="S4:AC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656B3-206F-B84F-BDA0-3686EA4048BA}">
  <sheetPr>
    <tabColor theme="6" tint="0.59999389629810485"/>
  </sheetPr>
  <dimension ref="B13"/>
  <sheetViews>
    <sheetView workbookViewId="0">
      <selection activeCell="B13" sqref="B13"/>
    </sheetView>
  </sheetViews>
  <sheetFormatPr baseColWidth="10" defaultRowHeight="16" x14ac:dyDescent="0.2"/>
  <cols>
    <col min="1" max="16384" width="10.83203125" style="1"/>
  </cols>
  <sheetData>
    <row r="13" spans="2:2" s="103" customFormat="1" ht="49" x14ac:dyDescent="0.2">
      <c r="B13" s="105" t="s">
        <v>335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C8E58-364F-B44E-A240-E7C7601A85E3}">
  <dimension ref="A1:C21"/>
  <sheetViews>
    <sheetView tabSelected="1" topLeftCell="A4" zoomScale="187" zoomScaleNormal="100" workbookViewId="0">
      <selection activeCell="C9" sqref="C9"/>
    </sheetView>
  </sheetViews>
  <sheetFormatPr baseColWidth="10" defaultRowHeight="16" x14ac:dyDescent="0.2"/>
  <cols>
    <col min="1" max="1" width="2" style="102" customWidth="1"/>
    <col min="2" max="2" width="34.6640625" style="1" customWidth="1"/>
    <col min="3" max="3" width="11.6640625" style="1" bestFit="1" customWidth="1"/>
    <col min="4" max="4" width="10.83203125" style="1" customWidth="1"/>
    <col min="5" max="7" width="10.83203125" style="1"/>
    <col min="8" max="8" width="10.83203125" style="1" customWidth="1"/>
    <col min="9" max="12" width="10.83203125" style="1"/>
    <col min="13" max="13" width="28" style="1" customWidth="1"/>
    <col min="14" max="14" width="9.5" style="1" customWidth="1"/>
    <col min="15" max="15" width="24.6640625" style="1" customWidth="1"/>
    <col min="16" max="26" width="10.83203125" style="1"/>
    <col min="27" max="27" width="2" style="1" customWidth="1"/>
    <col min="28" max="28" width="12.33203125" style="1" customWidth="1"/>
    <col min="29" max="16384" width="10.83203125" style="1"/>
  </cols>
  <sheetData>
    <row r="1" spans="1:3" s="102" customFormat="1" ht="18" customHeight="1" x14ac:dyDescent="0.2">
      <c r="A1" s="103"/>
      <c r="B1" s="104" t="s">
        <v>336</v>
      </c>
    </row>
    <row r="2" spans="1:3" s="102" customFormat="1" ht="18" customHeight="1" x14ac:dyDescent="0.2">
      <c r="A2" s="103"/>
      <c r="B2" s="104"/>
    </row>
    <row r="3" spans="1:3" ht="17" customHeight="1" x14ac:dyDescent="0.2"/>
    <row r="4" spans="1:3" ht="17" customHeight="1" x14ac:dyDescent="0.2">
      <c r="B4" s="223" t="s">
        <v>340</v>
      </c>
      <c r="C4" s="223"/>
    </row>
    <row r="5" spans="1:3" ht="17" customHeight="1" x14ac:dyDescent="0.2">
      <c r="B5" s="1" t="s">
        <v>341</v>
      </c>
      <c r="C5" s="163">
        <f>'Statement Q'!N116</f>
        <v>0</v>
      </c>
    </row>
    <row r="6" spans="1:3" ht="17" customHeight="1" x14ac:dyDescent="0.2">
      <c r="B6" s="1" t="s">
        <v>85</v>
      </c>
      <c r="C6" s="187">
        <f ca="1">Overview!C3</f>
        <v>103.45</v>
      </c>
    </row>
    <row r="7" spans="1:3" ht="17" customHeight="1" x14ac:dyDescent="0.2">
      <c r="B7" s="1" t="s">
        <v>312</v>
      </c>
      <c r="C7" s="189">
        <f ca="1">C5*C6</f>
        <v>0</v>
      </c>
    </row>
    <row r="8" spans="1:3" ht="17" customHeight="1" x14ac:dyDescent="0.2">
      <c r="B8" s="1" t="s">
        <v>302</v>
      </c>
      <c r="C8" s="163">
        <f>'Statement Q'!J47</f>
        <v>0</v>
      </c>
    </row>
    <row r="9" spans="1:3" ht="17" customHeight="1" x14ac:dyDescent="0.2">
      <c r="B9" s="1" t="s">
        <v>342</v>
      </c>
      <c r="C9" s="212">
        <f ca="1">[1]Sheet1!$C$10/1000</f>
        <v>4.3229999999999998E-2</v>
      </c>
    </row>
    <row r="10" spans="1:3" ht="17" customHeight="1" x14ac:dyDescent="0.2">
      <c r="B10" s="1" t="s">
        <v>343</v>
      </c>
      <c r="C10" s="187">
        <v>0.84350000000000003</v>
      </c>
    </row>
    <row r="11" spans="1:3" ht="17" customHeight="1" x14ac:dyDescent="0.2">
      <c r="B11" s="1" t="s">
        <v>344</v>
      </c>
      <c r="C11" s="188">
        <v>5.5E-2</v>
      </c>
    </row>
    <row r="12" spans="1:3" ht="17" customHeight="1" x14ac:dyDescent="0.2">
      <c r="B12" s="1" t="s">
        <v>104</v>
      </c>
      <c r="C12" s="188">
        <v>0.21</v>
      </c>
    </row>
    <row r="13" spans="1:3" ht="17" customHeight="1" x14ac:dyDescent="0.2">
      <c r="B13" s="1" t="s">
        <v>345</v>
      </c>
      <c r="C13" s="188">
        <v>6.9099999999999995E-2</v>
      </c>
    </row>
    <row r="14" spans="1:3" ht="17" customHeight="1" x14ac:dyDescent="0.2"/>
    <row r="15" spans="1:3" ht="17" customHeight="1" x14ac:dyDescent="0.2">
      <c r="B15" s="223" t="s">
        <v>346</v>
      </c>
      <c r="C15" s="223"/>
    </row>
    <row r="16" spans="1:3" ht="17" customHeight="1" x14ac:dyDescent="0.2">
      <c r="B16" s="1" t="s">
        <v>337</v>
      </c>
      <c r="C16" s="190" t="e">
        <f ca="1">C8/(C8+C7)</f>
        <v>#DIV/0!</v>
      </c>
    </row>
    <row r="17" spans="2:3" ht="17" customHeight="1" x14ac:dyDescent="0.2">
      <c r="B17" s="1" t="s">
        <v>338</v>
      </c>
      <c r="C17" s="190" t="e">
        <f ca="1">C7/(C8+C7)</f>
        <v>#DIV/0!</v>
      </c>
    </row>
    <row r="18" spans="2:3" ht="17" customHeight="1" x14ac:dyDescent="0.2">
      <c r="B18" s="1" t="s">
        <v>347</v>
      </c>
      <c r="C18" s="190">
        <f>C13*(1-C12)</f>
        <v>5.4588999999999999E-2</v>
      </c>
    </row>
    <row r="19" spans="2:3" ht="17" customHeight="1" x14ac:dyDescent="0.2">
      <c r="B19" s="1" t="s">
        <v>339</v>
      </c>
      <c r="C19" s="190">
        <f ca="1">C9+C10*C11</f>
        <v>8.9622499999999994E-2</v>
      </c>
    </row>
    <row r="20" spans="2:3" ht="17" customHeight="1" x14ac:dyDescent="0.2">
      <c r="B20" s="1" t="s">
        <v>336</v>
      </c>
      <c r="C20" s="190" t="e">
        <f ca="1">(C17*C19)+(C16*C18)</f>
        <v>#DIV/0!</v>
      </c>
    </row>
    <row r="21" spans="2:3" ht="17" customHeight="1" x14ac:dyDescent="0.2"/>
  </sheetData>
  <mergeCells count="2">
    <mergeCell ref="B4:C4"/>
    <mergeCell ref="B15:C15"/>
  </mergeCell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95C7-175C-2A49-87A2-B8B85EB00898}">
  <dimension ref="A1:AB26"/>
  <sheetViews>
    <sheetView topLeftCell="A7" zoomScale="188" zoomScaleNormal="100" workbookViewId="0">
      <selection activeCell="C14" sqref="C14"/>
    </sheetView>
  </sheetViews>
  <sheetFormatPr baseColWidth="10" defaultRowHeight="16" x14ac:dyDescent="0.2"/>
  <cols>
    <col min="1" max="1" width="2" style="102" customWidth="1"/>
    <col min="2" max="2" width="34.6640625" style="1" customWidth="1"/>
    <col min="3" max="3" width="10.83203125" style="1"/>
    <col min="4" max="4" width="10.83203125" style="1" customWidth="1"/>
    <col min="5" max="7" width="10.83203125" style="1"/>
    <col min="8" max="8" width="10.83203125" style="1" customWidth="1"/>
    <col min="9" max="12" width="10.83203125" style="1"/>
    <col min="13" max="13" width="28" style="1" customWidth="1"/>
    <col min="14" max="14" width="9.5" style="1" customWidth="1"/>
    <col min="15" max="15" width="24.6640625" style="1" customWidth="1"/>
    <col min="16" max="26" width="10.83203125" style="1"/>
    <col min="27" max="27" width="2" style="1" customWidth="1"/>
    <col min="28" max="28" width="12.33203125" style="1" customWidth="1"/>
    <col min="29" max="16384" width="10.83203125" style="1"/>
  </cols>
  <sheetData>
    <row r="1" spans="1:28" s="102" customFormat="1" ht="18" customHeight="1" x14ac:dyDescent="0.2">
      <c r="A1" s="103"/>
      <c r="B1" s="104" t="s">
        <v>348</v>
      </c>
    </row>
    <row r="2" spans="1:28" s="102" customFormat="1" ht="18" customHeight="1" x14ac:dyDescent="0.2">
      <c r="A2" s="103"/>
      <c r="B2" s="104"/>
    </row>
    <row r="3" spans="1:28" x14ac:dyDescent="0.2">
      <c r="A3" s="103"/>
      <c r="C3" s="223" t="s">
        <v>168</v>
      </c>
      <c r="D3" s="223"/>
      <c r="E3" s="223"/>
      <c r="F3" s="223"/>
      <c r="G3" s="226"/>
      <c r="H3" s="227" t="s">
        <v>169</v>
      </c>
      <c r="I3" s="223"/>
      <c r="J3" s="223"/>
      <c r="K3" s="223"/>
      <c r="L3" s="223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B3" s="143"/>
    </row>
    <row r="4" spans="1:28" ht="10" customHeight="1" x14ac:dyDescent="0.2"/>
    <row r="5" spans="1:28" ht="16" customHeight="1" x14ac:dyDescent="0.2">
      <c r="A5" s="108"/>
      <c r="B5" s="92"/>
      <c r="C5" s="222" t="s">
        <v>360</v>
      </c>
      <c r="D5" s="222"/>
      <c r="E5" s="222"/>
      <c r="F5" s="222"/>
      <c r="G5" s="222"/>
      <c r="H5" s="222"/>
      <c r="I5" s="222"/>
      <c r="J5" s="222"/>
      <c r="K5" s="222"/>
      <c r="L5" s="222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B5" s="144"/>
    </row>
    <row r="6" spans="1:28" x14ac:dyDescent="0.2">
      <c r="B6" s="7" t="s">
        <v>216</v>
      </c>
      <c r="C6" s="62">
        <f>'Statement Y'!D3</f>
        <v>2021</v>
      </c>
      <c r="D6" s="62">
        <f>'Statement Y'!E3</f>
        <v>2022</v>
      </c>
      <c r="E6" s="62">
        <f>'Statement Y'!F3</f>
        <v>2023</v>
      </c>
      <c r="F6" s="62">
        <f>'Statement Y'!G3</f>
        <v>2024</v>
      </c>
      <c r="G6" s="62">
        <f>'Statement Y'!H3</f>
        <v>2025</v>
      </c>
      <c r="H6" s="62">
        <f>G6+1</f>
        <v>2026</v>
      </c>
      <c r="I6" s="62">
        <f t="shared" ref="I6:L6" si="0">H6+1</f>
        <v>2027</v>
      </c>
      <c r="J6" s="62">
        <f t="shared" si="0"/>
        <v>2028</v>
      </c>
      <c r="K6" s="62">
        <f t="shared" si="0"/>
        <v>2029</v>
      </c>
      <c r="L6" s="62">
        <f t="shared" si="0"/>
        <v>2030</v>
      </c>
      <c r="O6" s="7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B6" s="144"/>
    </row>
    <row r="7" spans="1:28" x14ac:dyDescent="0.2">
      <c r="B7" s="8" t="s">
        <v>300</v>
      </c>
      <c r="C7" s="163" t="e">
        <f>'Cash Flow'!C20</f>
        <v>#DIV/0!</v>
      </c>
      <c r="D7" s="163" t="e">
        <f>'Cash Flow'!D20</f>
        <v>#DIV/0!</v>
      </c>
      <c r="E7" s="163" t="e">
        <f>'Cash Flow'!E20</f>
        <v>#DIV/0!</v>
      </c>
      <c r="F7" s="163" t="e">
        <f>'Cash Flow'!F20</f>
        <v>#DIV/0!</v>
      </c>
      <c r="G7" s="165">
        <f>'Cash Flow'!G20</f>
        <v>0</v>
      </c>
      <c r="H7" s="163" t="e">
        <f ca="1">'Cash Flow'!H20</f>
        <v>#REF!</v>
      </c>
      <c r="I7" s="163" t="e">
        <f ca="1">'Cash Flow'!I20</f>
        <v>#REF!</v>
      </c>
      <c r="J7" s="163" t="e">
        <f ca="1">'Cash Flow'!J20</f>
        <v>#REF!</v>
      </c>
      <c r="K7" s="163" t="e">
        <f ca="1">'Cash Flow'!K20</f>
        <v>#REF!</v>
      </c>
      <c r="L7" s="163" t="e">
        <f ca="1">'Cash Flow'!L20</f>
        <v>#REF!</v>
      </c>
      <c r="N7" s="91"/>
      <c r="O7" s="7"/>
      <c r="P7" s="110"/>
      <c r="Q7" s="110"/>
      <c r="R7" s="110"/>
      <c r="S7" s="110"/>
      <c r="T7" s="110"/>
      <c r="U7" s="110"/>
      <c r="V7" s="110"/>
      <c r="W7" s="110"/>
      <c r="X7" s="112"/>
      <c r="Y7" s="112"/>
      <c r="Z7" s="112"/>
      <c r="AB7" s="112"/>
    </row>
    <row r="8" spans="1:28" x14ac:dyDescent="0.2">
      <c r="B8" s="8" t="s">
        <v>349</v>
      </c>
      <c r="C8" s="164">
        <v>0</v>
      </c>
      <c r="D8" s="164">
        <v>0</v>
      </c>
      <c r="E8" s="164">
        <v>0</v>
      </c>
      <c r="F8" s="164">
        <v>0</v>
      </c>
      <c r="G8" s="176">
        <v>0</v>
      </c>
      <c r="H8" s="164">
        <v>0</v>
      </c>
      <c r="I8" s="164">
        <v>0</v>
      </c>
      <c r="J8" s="164">
        <v>0</v>
      </c>
      <c r="K8" s="164">
        <v>0</v>
      </c>
      <c r="L8" s="164" t="e">
        <f ca="1">L7*(1+C14)/(C15-C14)</f>
        <v>#REF!</v>
      </c>
      <c r="N8" s="91"/>
      <c r="O8" s="7"/>
      <c r="P8" s="110"/>
      <c r="Q8" s="110"/>
      <c r="R8" s="110"/>
      <c r="S8" s="110"/>
      <c r="T8" s="110"/>
      <c r="U8" s="110"/>
      <c r="V8" s="110"/>
      <c r="W8" s="110"/>
      <c r="X8" s="112"/>
      <c r="Y8" s="112"/>
      <c r="Z8" s="112"/>
      <c r="AB8" s="112"/>
    </row>
    <row r="9" spans="1:28" x14ac:dyDescent="0.2">
      <c r="B9" s="1" t="s">
        <v>351</v>
      </c>
      <c r="C9" s="157"/>
      <c r="D9" s="157"/>
      <c r="E9" s="157"/>
      <c r="F9" s="157"/>
      <c r="G9" s="192"/>
      <c r="H9" s="36">
        <v>1</v>
      </c>
      <c r="I9" s="36">
        <v>2</v>
      </c>
      <c r="J9" s="36">
        <v>3</v>
      </c>
      <c r="K9" s="36">
        <v>4</v>
      </c>
      <c r="L9" s="36">
        <v>5</v>
      </c>
      <c r="N9" s="91"/>
    </row>
    <row r="10" spans="1:28" x14ac:dyDescent="0.2">
      <c r="B10" s="1" t="s">
        <v>352</v>
      </c>
      <c r="C10" s="157"/>
      <c r="D10" s="157"/>
      <c r="E10" s="157"/>
      <c r="F10" s="157"/>
      <c r="G10" s="192"/>
      <c r="H10" s="164" t="e">
        <f ca="1">H7/(1+$C$15)^H9</f>
        <v>#REF!</v>
      </c>
      <c r="I10" s="164" t="e">
        <f t="shared" ref="I10:L10" ca="1" si="1">I7/(1+$C$15)^I9</f>
        <v>#REF!</v>
      </c>
      <c r="J10" s="164" t="e">
        <f t="shared" ca="1" si="1"/>
        <v>#REF!</v>
      </c>
      <c r="K10" s="164" t="e">
        <f t="shared" ca="1" si="1"/>
        <v>#REF!</v>
      </c>
      <c r="L10" s="164" t="e">
        <f t="shared" ca="1" si="1"/>
        <v>#REF!</v>
      </c>
      <c r="N10" s="91"/>
    </row>
    <row r="11" spans="1:28" x14ac:dyDescent="0.2">
      <c r="B11" s="1" t="s">
        <v>353</v>
      </c>
      <c r="C11" s="157"/>
      <c r="D11" s="157"/>
      <c r="E11" s="157"/>
      <c r="F11" s="157"/>
      <c r="G11" s="192"/>
      <c r="H11" s="157"/>
      <c r="I11" s="157"/>
      <c r="J11" s="157"/>
      <c r="K11" s="157"/>
      <c r="L11" s="164" t="e">
        <f ca="1">L8/(1+C15)^L9</f>
        <v>#REF!</v>
      </c>
    </row>
    <row r="13" spans="1:28" x14ac:dyDescent="0.2">
      <c r="B13" s="223" t="s">
        <v>361</v>
      </c>
      <c r="C13" s="223"/>
    </row>
    <row r="14" spans="1:28" x14ac:dyDescent="0.2">
      <c r="B14" s="1" t="s">
        <v>350</v>
      </c>
      <c r="C14" s="175">
        <v>0.02</v>
      </c>
    </row>
    <row r="15" spans="1:28" x14ac:dyDescent="0.2">
      <c r="B15" s="1" t="s">
        <v>336</v>
      </c>
      <c r="C15" s="191" t="e">
        <f ca="1">WACC!C20</f>
        <v>#DIV/0!</v>
      </c>
    </row>
    <row r="18" spans="2:3" x14ac:dyDescent="0.2">
      <c r="B18" s="223" t="s">
        <v>91</v>
      </c>
      <c r="C18" s="223"/>
    </row>
    <row r="19" spans="2:3" x14ac:dyDescent="0.2">
      <c r="B19" s="1" t="s">
        <v>359</v>
      </c>
      <c r="C19" s="107" t="e">
        <f ca="1">SUM(H10:L10)</f>
        <v>#REF!</v>
      </c>
    </row>
    <row r="20" spans="2:3" x14ac:dyDescent="0.2">
      <c r="B20" s="1" t="s">
        <v>353</v>
      </c>
      <c r="C20" s="107" t="e">
        <f ca="1">L11</f>
        <v>#REF!</v>
      </c>
    </row>
    <row r="21" spans="2:3" x14ac:dyDescent="0.2">
      <c r="B21" s="7" t="s">
        <v>356</v>
      </c>
      <c r="C21" s="112" t="e">
        <f ca="1">C19+C20</f>
        <v>#REF!</v>
      </c>
    </row>
    <row r="22" spans="2:3" x14ac:dyDescent="0.2">
      <c r="B22" s="1" t="s">
        <v>354</v>
      </c>
      <c r="C22" s="20">
        <f>'Statement Q'!N25+'Statement Q'!N26</f>
        <v>0</v>
      </c>
    </row>
    <row r="23" spans="2:3" x14ac:dyDescent="0.2">
      <c r="B23" s="1" t="s">
        <v>355</v>
      </c>
      <c r="C23" s="20">
        <f>'Statement Q'!N47</f>
        <v>0</v>
      </c>
    </row>
    <row r="24" spans="2:3" x14ac:dyDescent="0.2">
      <c r="B24" s="7" t="s">
        <v>357</v>
      </c>
      <c r="C24" s="112" t="e">
        <f ca="1">C21+C22-C23</f>
        <v>#REF!</v>
      </c>
    </row>
    <row r="25" spans="2:3" x14ac:dyDescent="0.2">
      <c r="B25" s="1" t="s">
        <v>4</v>
      </c>
      <c r="C25" s="107" t="e">
        <f>'Statement Q'!N20</f>
        <v>#DIV/0!</v>
      </c>
    </row>
    <row r="26" spans="2:3" x14ac:dyDescent="0.2">
      <c r="B26" s="193" t="s">
        <v>358</v>
      </c>
      <c r="C26" s="194" t="e">
        <f ca="1">C24/C25</f>
        <v>#REF!</v>
      </c>
    </row>
  </sheetData>
  <mergeCells count="8">
    <mergeCell ref="X3:Z3"/>
    <mergeCell ref="C5:L5"/>
    <mergeCell ref="P5:Z5"/>
    <mergeCell ref="B13:C13"/>
    <mergeCell ref="B18:C18"/>
    <mergeCell ref="C3:G3"/>
    <mergeCell ref="H3:L3"/>
    <mergeCell ref="P3:W3"/>
  </mergeCells>
  <pageMargins left="0.7" right="0.7" top="0.75" bottom="0.75" header="0.3" footer="0.3"/>
  <pageSetup paperSize="9"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E6D8F-441B-BF4F-895E-E03FB7DF7C08}">
  <dimension ref="A1:N34"/>
  <sheetViews>
    <sheetView topLeftCell="A22" zoomScale="192" zoomScaleNormal="100" workbookViewId="0">
      <selection activeCell="C33" sqref="C33"/>
    </sheetView>
  </sheetViews>
  <sheetFormatPr baseColWidth="10" defaultRowHeight="16" x14ac:dyDescent="0.2"/>
  <cols>
    <col min="1" max="1" width="2" style="102" customWidth="1"/>
    <col min="2" max="2" width="25.6640625" style="1" customWidth="1"/>
    <col min="3" max="3" width="10.83203125" style="1"/>
    <col min="4" max="4" width="10.83203125" style="1" customWidth="1"/>
    <col min="5" max="7" width="10.83203125" style="1"/>
    <col min="8" max="8" width="10.83203125" style="1" customWidth="1"/>
    <col min="9" max="12" width="10.83203125" style="1"/>
    <col min="13" max="14" width="9.5" style="1" customWidth="1"/>
    <col min="15" max="16384" width="10.83203125" style="1"/>
  </cols>
  <sheetData>
    <row r="1" spans="1:14" s="102" customFormat="1" ht="18" customHeight="1" x14ac:dyDescent="0.2">
      <c r="A1" s="103"/>
      <c r="B1" s="104" t="s">
        <v>374</v>
      </c>
    </row>
    <row r="2" spans="1:14" x14ac:dyDescent="0.2">
      <c r="A2" s="103"/>
      <c r="C2" s="223" t="s">
        <v>168</v>
      </c>
      <c r="D2" s="223"/>
      <c r="E2" s="223"/>
      <c r="F2" s="223"/>
      <c r="G2" s="226"/>
      <c r="H2" s="227" t="s">
        <v>169</v>
      </c>
      <c r="I2" s="223"/>
      <c r="J2" s="223"/>
      <c r="K2" s="223"/>
      <c r="L2" s="223"/>
    </row>
    <row r="3" spans="1:14" ht="10" customHeight="1" x14ac:dyDescent="0.2"/>
    <row r="4" spans="1:14" ht="16" customHeight="1" x14ac:dyDescent="0.2">
      <c r="A4" s="108"/>
      <c r="B4" s="92"/>
      <c r="C4" s="222" t="s">
        <v>178</v>
      </c>
      <c r="D4" s="222"/>
      <c r="E4" s="222"/>
      <c r="F4" s="222"/>
      <c r="G4" s="222"/>
      <c r="H4" s="222"/>
      <c r="I4" s="222"/>
      <c r="J4" s="222"/>
      <c r="K4" s="222"/>
      <c r="L4" s="222"/>
    </row>
    <row r="5" spans="1:14" x14ac:dyDescent="0.2">
      <c r="B5" s="7" t="s">
        <v>179</v>
      </c>
      <c r="C5" s="62">
        <f>'Statement Y'!D3</f>
        <v>2021</v>
      </c>
      <c r="D5" s="62">
        <f>'Statement Y'!E3</f>
        <v>2022</v>
      </c>
      <c r="E5" s="62">
        <f>'Statement Y'!F3</f>
        <v>2023</v>
      </c>
      <c r="F5" s="62">
        <f>'Statement Y'!G3</f>
        <v>2024</v>
      </c>
      <c r="G5" s="62">
        <f>'Statement Y'!H3</f>
        <v>2025</v>
      </c>
      <c r="H5" s="62">
        <f>G5+1</f>
        <v>2026</v>
      </c>
      <c r="I5" s="62">
        <f t="shared" ref="I5:L5" si="0">H5+1</f>
        <v>2027</v>
      </c>
      <c r="J5" s="62">
        <f t="shared" si="0"/>
        <v>2028</v>
      </c>
      <c r="K5" s="62">
        <f t="shared" si="0"/>
        <v>2029</v>
      </c>
      <c r="L5" s="62">
        <f t="shared" si="0"/>
        <v>2030</v>
      </c>
    </row>
    <row r="6" spans="1:14" x14ac:dyDescent="0.2">
      <c r="B6" s="7" t="s">
        <v>6</v>
      </c>
      <c r="C6" s="110">
        <f>'Statement Y'!D5</f>
        <v>0</v>
      </c>
      <c r="D6" s="110">
        <f>'Statement Y'!E5</f>
        <v>0</v>
      </c>
      <c r="E6" s="110">
        <f>'Statement Y'!F5</f>
        <v>0</v>
      </c>
      <c r="F6" s="110">
        <f>'Statement Y'!G5</f>
        <v>0</v>
      </c>
      <c r="G6" s="111">
        <f>'Statement Y'!H5</f>
        <v>0</v>
      </c>
      <c r="H6" s="110" t="e">
        <f>Revenue!H12</f>
        <v>#REF!</v>
      </c>
      <c r="I6" s="110" t="e">
        <f>Revenue!I12</f>
        <v>#REF!</v>
      </c>
      <c r="J6" s="110" t="e">
        <f>Revenue!J12</f>
        <v>#REF!</v>
      </c>
      <c r="K6" s="110" t="e">
        <f>Revenue!K12</f>
        <v>#REF!</v>
      </c>
      <c r="L6" s="110" t="e">
        <f>Revenue!L12</f>
        <v>#REF!</v>
      </c>
      <c r="N6" s="91"/>
    </row>
    <row r="7" spans="1:14" x14ac:dyDescent="0.2">
      <c r="B7" s="7" t="s">
        <v>14</v>
      </c>
      <c r="C7" s="110">
        <f>'Statement Y'!D18</f>
        <v>0</v>
      </c>
      <c r="D7" s="110">
        <f>'Statement Y'!E18</f>
        <v>0</v>
      </c>
      <c r="E7" s="110">
        <f>'Statement Y'!F18</f>
        <v>0</v>
      </c>
      <c r="F7" s="110">
        <f>'Statement Y'!G18</f>
        <v>0</v>
      </c>
      <c r="G7" s="111">
        <f>'Statement Y'!H18</f>
        <v>0</v>
      </c>
      <c r="H7" s="110" t="e">
        <f ca="1">'P&amp;L'!H17</f>
        <v>#REF!</v>
      </c>
      <c r="I7" s="110" t="e">
        <f ca="1">'P&amp;L'!I17</f>
        <v>#REF!</v>
      </c>
      <c r="J7" s="110" t="e">
        <f ca="1">'P&amp;L'!J17</f>
        <v>#REF!</v>
      </c>
      <c r="K7" s="110" t="e">
        <f ca="1">'P&amp;L'!K17</f>
        <v>#REF!</v>
      </c>
      <c r="L7" s="110" t="e">
        <f ca="1">'P&amp;L'!L17</f>
        <v>#REF!</v>
      </c>
      <c r="N7" s="91"/>
    </row>
    <row r="8" spans="1:14" x14ac:dyDescent="0.2">
      <c r="N8" s="91"/>
    </row>
    <row r="9" spans="1:14" x14ac:dyDescent="0.2">
      <c r="C9" s="222" t="s">
        <v>184</v>
      </c>
      <c r="D9" s="222"/>
      <c r="E9" s="222"/>
      <c r="F9" s="222"/>
      <c r="G9" s="222"/>
      <c r="H9" s="222"/>
      <c r="I9" s="222"/>
      <c r="J9" s="222"/>
      <c r="K9" s="222"/>
      <c r="L9" s="222"/>
      <c r="N9" s="91"/>
    </row>
    <row r="10" spans="1:14" x14ac:dyDescent="0.2">
      <c r="B10" s="7" t="s">
        <v>375</v>
      </c>
      <c r="C10" s="62">
        <f>C5</f>
        <v>2021</v>
      </c>
      <c r="D10" s="62">
        <f t="shared" ref="D10:L10" si="1">D5</f>
        <v>2022</v>
      </c>
      <c r="E10" s="62">
        <f t="shared" si="1"/>
        <v>2023</v>
      </c>
      <c r="F10" s="62">
        <f t="shared" si="1"/>
        <v>2024</v>
      </c>
      <c r="G10" s="62">
        <f t="shared" si="1"/>
        <v>2025</v>
      </c>
      <c r="H10" s="62">
        <f t="shared" si="1"/>
        <v>2026</v>
      </c>
      <c r="I10" s="62">
        <f t="shared" si="1"/>
        <v>2027</v>
      </c>
      <c r="J10" s="62">
        <f t="shared" si="1"/>
        <v>2028</v>
      </c>
      <c r="K10" s="62">
        <f t="shared" si="1"/>
        <v>2029</v>
      </c>
      <c r="L10" s="62">
        <f t="shared" si="1"/>
        <v>2030</v>
      </c>
      <c r="N10" s="91"/>
    </row>
    <row r="11" spans="1:14" x14ac:dyDescent="0.2">
      <c r="B11" s="1" t="s">
        <v>6</v>
      </c>
      <c r="C11" s="157"/>
      <c r="D11" s="115" t="e">
        <f>(D6-C6)/C6</f>
        <v>#DIV/0!</v>
      </c>
      <c r="E11" s="115" t="e">
        <f t="shared" ref="E11:L11" si="2">(E6-D6)/D6</f>
        <v>#DIV/0!</v>
      </c>
      <c r="F11" s="115" t="e">
        <f t="shared" si="2"/>
        <v>#DIV/0!</v>
      </c>
      <c r="G11" s="116" t="e">
        <f t="shared" si="2"/>
        <v>#DIV/0!</v>
      </c>
      <c r="H11" s="115" t="e">
        <f t="shared" si="2"/>
        <v>#REF!</v>
      </c>
      <c r="I11" s="115" t="e">
        <f t="shared" si="2"/>
        <v>#REF!</v>
      </c>
      <c r="J11" s="115" t="e">
        <f t="shared" si="2"/>
        <v>#REF!</v>
      </c>
      <c r="K11" s="115" t="e">
        <f t="shared" si="2"/>
        <v>#REF!</v>
      </c>
      <c r="L11" s="115" t="e">
        <f t="shared" si="2"/>
        <v>#REF!</v>
      </c>
      <c r="N11" s="91"/>
    </row>
    <row r="12" spans="1:14" x14ac:dyDescent="0.2">
      <c r="B12" s="1" t="s">
        <v>14</v>
      </c>
      <c r="C12" s="157"/>
      <c r="D12" s="115">
        <f>IF(C7=0,
IF(D7=0,0,IF(D7&gt;0,1,-1)),
(D7-C7)/ABS(C7)
)</f>
        <v>0</v>
      </c>
      <c r="E12" s="115">
        <f>IF(D7=0,
IF(E7=0,0,IF(E7&gt;0,1,-1)),
(E7-D7)/ABS(D7)
)</f>
        <v>0</v>
      </c>
      <c r="F12" s="115">
        <f>IF(E7=0,
IF(F7=0,0,IF(F7&gt;0,1,-1)),
(F7-E7)/ABS(E7)
)</f>
        <v>0</v>
      </c>
      <c r="G12" s="116">
        <f t="shared" ref="G12:L12" si="3">IF(F7=0,
IF(G7=0,0,IF(G7&gt;0,1,-1)),
(G7-F7)/ABS(F7)
)</f>
        <v>0</v>
      </c>
      <c r="H12" s="115" t="e">
        <f t="shared" ca="1" si="3"/>
        <v>#REF!</v>
      </c>
      <c r="I12" s="115" t="e">
        <f t="shared" ca="1" si="3"/>
        <v>#REF!</v>
      </c>
      <c r="J12" s="115" t="e">
        <f t="shared" ca="1" si="3"/>
        <v>#REF!</v>
      </c>
      <c r="K12" s="115" t="e">
        <f t="shared" ca="1" si="3"/>
        <v>#REF!</v>
      </c>
      <c r="L12" s="115" t="e">
        <f t="shared" ca="1" si="3"/>
        <v>#REF!</v>
      </c>
      <c r="N12" s="91"/>
    </row>
    <row r="13" spans="1:14" x14ac:dyDescent="0.2">
      <c r="N13" s="91"/>
    </row>
    <row r="14" spans="1:14" x14ac:dyDescent="0.2">
      <c r="C14" s="222" t="s">
        <v>406</v>
      </c>
      <c r="D14" s="222"/>
      <c r="E14" s="222"/>
      <c r="F14" s="222"/>
      <c r="G14" s="222"/>
      <c r="H14" s="222"/>
      <c r="I14" s="222"/>
      <c r="J14" s="222"/>
      <c r="K14" s="222"/>
      <c r="L14" s="222"/>
      <c r="N14" s="91"/>
    </row>
    <row r="15" spans="1:14" x14ac:dyDescent="0.2">
      <c r="C15" s="62">
        <f>C5</f>
        <v>2021</v>
      </c>
      <c r="D15" s="62">
        <f t="shared" ref="D15:L15" si="4">D5</f>
        <v>2022</v>
      </c>
      <c r="E15" s="62">
        <f t="shared" si="4"/>
        <v>2023</v>
      </c>
      <c r="F15" s="62">
        <f t="shared" si="4"/>
        <v>2024</v>
      </c>
      <c r="G15" s="62">
        <f t="shared" si="4"/>
        <v>2025</v>
      </c>
      <c r="H15" s="62">
        <f t="shared" si="4"/>
        <v>2026</v>
      </c>
      <c r="I15" s="62">
        <f t="shared" si="4"/>
        <v>2027</v>
      </c>
      <c r="J15" s="62">
        <f t="shared" si="4"/>
        <v>2028</v>
      </c>
      <c r="K15" s="62">
        <f t="shared" si="4"/>
        <v>2029</v>
      </c>
      <c r="L15" s="62">
        <f t="shared" si="4"/>
        <v>2030</v>
      </c>
      <c r="N15" s="91"/>
    </row>
    <row r="16" spans="1:14" x14ac:dyDescent="0.2">
      <c r="B16" s="1" t="s">
        <v>407</v>
      </c>
      <c r="C16" s="94">
        <f>'Statement Y'!D20</f>
        <v>0</v>
      </c>
      <c r="D16" s="94">
        <f>'Statement Y'!E20</f>
        <v>0</v>
      </c>
      <c r="E16" s="94">
        <f>'Statement Y'!F20</f>
        <v>0</v>
      </c>
      <c r="F16" s="94">
        <f>'Statement Y'!G20</f>
        <v>0</v>
      </c>
      <c r="G16" s="213">
        <f>'Statement Y'!H20</f>
        <v>0</v>
      </c>
      <c r="H16" s="218">
        <f>G16*(1+H17)</f>
        <v>0</v>
      </c>
      <c r="I16" s="218">
        <f t="shared" ref="I16:L16" si="5">H16*(1+I17)</f>
        <v>0</v>
      </c>
      <c r="J16" s="218">
        <f t="shared" si="5"/>
        <v>0</v>
      </c>
      <c r="K16" s="218">
        <f t="shared" si="5"/>
        <v>0</v>
      </c>
      <c r="L16" s="218">
        <f t="shared" si="5"/>
        <v>0</v>
      </c>
      <c r="N16" s="91"/>
    </row>
    <row r="17" spans="2:14" x14ac:dyDescent="0.2">
      <c r="B17" s="1" t="s">
        <v>408</v>
      </c>
      <c r="C17" s="157"/>
      <c r="D17" s="214" t="e">
        <f>D16/C16-1</f>
        <v>#DIV/0!</v>
      </c>
      <c r="E17" s="214" t="e">
        <f t="shared" ref="E17:G17" si="6">E16/D16-1</f>
        <v>#DIV/0!</v>
      </c>
      <c r="F17" s="214" t="e">
        <f t="shared" si="6"/>
        <v>#DIV/0!</v>
      </c>
      <c r="G17" s="215" t="e">
        <f t="shared" si="6"/>
        <v>#DIV/0!</v>
      </c>
      <c r="H17" s="216">
        <v>0.03</v>
      </c>
      <c r="I17" s="217">
        <v>0.03</v>
      </c>
      <c r="J17" s="217">
        <v>0.03</v>
      </c>
      <c r="K17" s="217">
        <v>0.02</v>
      </c>
      <c r="L17" s="217">
        <v>0.02</v>
      </c>
      <c r="N17" s="91"/>
    </row>
    <row r="18" spans="2:14" x14ac:dyDescent="0.2">
      <c r="N18" s="91"/>
    </row>
    <row r="19" spans="2:14" x14ac:dyDescent="0.2">
      <c r="N19" s="91"/>
    </row>
    <row r="20" spans="2:14" x14ac:dyDescent="0.2">
      <c r="B20" s="223" t="s">
        <v>377</v>
      </c>
      <c r="C20" s="223"/>
      <c r="N20" s="91"/>
    </row>
    <row r="21" spans="2:14" x14ac:dyDescent="0.2">
      <c r="B21" s="1" t="s">
        <v>376</v>
      </c>
      <c r="C21" s="107" t="e">
        <f ca="1">L7</f>
        <v>#REF!</v>
      </c>
    </row>
    <row r="22" spans="2:14" x14ac:dyDescent="0.2">
      <c r="B22" s="1" t="s">
        <v>336</v>
      </c>
      <c r="C22" s="172" t="e">
        <f ca="1">WACC!C20</f>
        <v>#DIV/0!</v>
      </c>
    </row>
    <row r="23" spans="2:14" x14ac:dyDescent="0.2">
      <c r="B23" s="8" t="s">
        <v>378</v>
      </c>
      <c r="C23" s="137">
        <v>25</v>
      </c>
    </row>
    <row r="24" spans="2:14" x14ac:dyDescent="0.2">
      <c r="B24" s="1" t="s">
        <v>384</v>
      </c>
      <c r="C24" s="20">
        <f>L16</f>
        <v>0</v>
      </c>
    </row>
    <row r="25" spans="2:14" x14ac:dyDescent="0.2">
      <c r="B25" s="1" t="s">
        <v>379</v>
      </c>
      <c r="C25" s="20" t="e">
        <f ca="1">C21/(1+C22)^5</f>
        <v>#REF!</v>
      </c>
    </row>
    <row r="26" spans="2:14" x14ac:dyDescent="0.2">
      <c r="B26" s="193" t="s">
        <v>358</v>
      </c>
      <c r="C26" s="194" t="e">
        <f ca="1">C25/C24*C23</f>
        <v>#REF!</v>
      </c>
    </row>
    <row r="28" spans="2:14" x14ac:dyDescent="0.2">
      <c r="B28" s="223" t="s">
        <v>380</v>
      </c>
      <c r="C28" s="223"/>
    </row>
    <row r="29" spans="2:14" x14ac:dyDescent="0.2">
      <c r="B29" s="1" t="s">
        <v>381</v>
      </c>
      <c r="C29" s="107" t="e">
        <f>L6</f>
        <v>#REF!</v>
      </c>
    </row>
    <row r="30" spans="2:14" x14ac:dyDescent="0.2">
      <c r="B30" s="1" t="s">
        <v>336</v>
      </c>
      <c r="C30" s="172" t="e">
        <f ca="1">WACC!C20</f>
        <v>#DIV/0!</v>
      </c>
    </row>
    <row r="31" spans="2:14" x14ac:dyDescent="0.2">
      <c r="B31" s="8" t="s">
        <v>382</v>
      </c>
      <c r="C31" s="137">
        <v>3.5</v>
      </c>
    </row>
    <row r="32" spans="2:14" x14ac:dyDescent="0.2">
      <c r="B32" s="1" t="s">
        <v>384</v>
      </c>
      <c r="C32" s="20">
        <f>L16</f>
        <v>0</v>
      </c>
    </row>
    <row r="33" spans="2:3" x14ac:dyDescent="0.2">
      <c r="B33" s="1" t="s">
        <v>383</v>
      </c>
      <c r="C33" s="20" t="e">
        <f ca="1">C29/(1+C30)^5</f>
        <v>#REF!</v>
      </c>
    </row>
    <row r="34" spans="2:3" x14ac:dyDescent="0.2">
      <c r="B34" s="193" t="s">
        <v>358</v>
      </c>
      <c r="C34" s="194" t="e">
        <f ca="1">C33/C32*C31</f>
        <v>#REF!</v>
      </c>
    </row>
  </sheetData>
  <mergeCells count="7">
    <mergeCell ref="C9:L9"/>
    <mergeCell ref="B20:C20"/>
    <mergeCell ref="B28:C28"/>
    <mergeCell ref="C2:G2"/>
    <mergeCell ref="H2:L2"/>
    <mergeCell ref="C4:L4"/>
    <mergeCell ref="C14:L1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A1518-986C-904D-A3A8-59534CD71A6D}">
  <dimension ref="A1:N8"/>
  <sheetViews>
    <sheetView zoomScale="230" zoomScaleNormal="100" workbookViewId="0">
      <selection activeCell="A5" sqref="A5"/>
    </sheetView>
  </sheetViews>
  <sheetFormatPr baseColWidth="10" defaultRowHeight="16" x14ac:dyDescent="0.2"/>
  <cols>
    <col min="1" max="1" width="2" style="102" customWidth="1"/>
    <col min="2" max="2" width="25.6640625" style="1" customWidth="1"/>
    <col min="3" max="3" width="10.83203125" style="1"/>
    <col min="4" max="4" width="10.83203125" style="1" customWidth="1"/>
    <col min="5" max="7" width="10.83203125" style="1"/>
    <col min="8" max="8" width="10.83203125" style="1" customWidth="1"/>
    <col min="9" max="12" width="10.83203125" style="1"/>
    <col min="13" max="14" width="9.5" style="1" customWidth="1"/>
    <col min="15" max="16384" width="10.83203125" style="1"/>
  </cols>
  <sheetData>
    <row r="1" spans="1:14" s="102" customFormat="1" ht="18" customHeight="1" x14ac:dyDescent="0.2">
      <c r="A1" s="103"/>
      <c r="B1" s="104" t="s">
        <v>389</v>
      </c>
    </row>
    <row r="2" spans="1:14" x14ac:dyDescent="0.2">
      <c r="N2" s="91"/>
    </row>
    <row r="3" spans="1:14" x14ac:dyDescent="0.2">
      <c r="N3" s="91"/>
    </row>
    <row r="4" spans="1:14" x14ac:dyDescent="0.2">
      <c r="B4" s="223" t="s">
        <v>390</v>
      </c>
      <c r="C4" s="223"/>
      <c r="N4" s="91"/>
    </row>
    <row r="5" spans="1:14" x14ac:dyDescent="0.2">
      <c r="B5" s="1" t="s">
        <v>386</v>
      </c>
      <c r="C5" s="209" t="e">
        <f ca="1">DCF!C26</f>
        <v>#REF!</v>
      </c>
    </row>
    <row r="6" spans="1:14" x14ac:dyDescent="0.2">
      <c r="B6" s="1" t="s">
        <v>387</v>
      </c>
      <c r="C6" s="209" t="e">
        <f ca="1">'PE and PS'!C26</f>
        <v>#REF!</v>
      </c>
    </row>
    <row r="7" spans="1:14" x14ac:dyDescent="0.2">
      <c r="B7" s="1" t="s">
        <v>388</v>
      </c>
      <c r="C7" s="209" t="e">
        <f ca="1">'PE and PS'!C34</f>
        <v>#REF!</v>
      </c>
    </row>
    <row r="8" spans="1:14" x14ac:dyDescent="0.2">
      <c r="B8" s="193" t="s">
        <v>385</v>
      </c>
      <c r="C8" s="194" t="e">
        <f ca="1">AVERAGE(C5:C7)</f>
        <v>#REF!</v>
      </c>
    </row>
  </sheetData>
  <mergeCells count="1"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Overview</vt:lpstr>
      <vt:lpstr>Financials -&gt;</vt:lpstr>
      <vt:lpstr>Statement Y</vt:lpstr>
      <vt:lpstr>Statement Q</vt:lpstr>
      <vt:lpstr>Statements</vt:lpstr>
      <vt:lpstr>Forecast -&gt;</vt:lpstr>
      <vt:lpstr>Revenue</vt:lpstr>
      <vt:lpstr>COGS &amp; OpEx</vt:lpstr>
      <vt:lpstr>PP&amp;E</vt:lpstr>
      <vt:lpstr>Intangibles</vt:lpstr>
      <vt:lpstr>WC</vt:lpstr>
      <vt:lpstr>Other Assets &amp; Liabilities</vt:lpstr>
      <vt:lpstr>Financing</vt:lpstr>
      <vt:lpstr>Output -&gt;</vt:lpstr>
      <vt:lpstr>P&amp;L</vt:lpstr>
      <vt:lpstr>Balance Sheet</vt:lpstr>
      <vt:lpstr>Cash Flow</vt:lpstr>
      <vt:lpstr>Valuation -&gt;</vt:lpstr>
      <vt:lpstr>WACC</vt:lpstr>
      <vt:lpstr>DCF</vt:lpstr>
      <vt:lpstr>PE and PS</vt:lpstr>
      <vt:lpstr>AVG target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dumitras</dc:creator>
  <cp:lastModifiedBy>adi dumitras</cp:lastModifiedBy>
  <dcterms:created xsi:type="dcterms:W3CDTF">2025-11-16T22:36:04Z</dcterms:created>
  <dcterms:modified xsi:type="dcterms:W3CDTF">2026-04-24T23:00:34Z</dcterms:modified>
</cp:coreProperties>
</file>