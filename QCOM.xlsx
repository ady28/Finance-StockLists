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104743C-DFB4-4C48-9394-4BA9BC302284}" xr6:coauthVersionLast="47" xr6:coauthVersionMax="47" xr10:uidLastSave="{00000000-0000-0000-0000-000000000000}"/>
  <bookViews>
    <workbookView xWindow="0" yWindow="0" windowWidth="25600" windowHeight="14400" activeTab="2" xr2:uid="{AEC0C047-6E16-294C-82BD-58123BA913A1}"/>
  </bookViews>
  <sheets>
    <sheet name="Overview" sheetId="2" r:id="rId1"/>
    <sheet name="Financials -&gt;" sheetId="13" r:id="rId2"/>
    <sheet name="Statement Y" sheetId="1" r:id="rId3"/>
    <sheet name="Statement Q" sheetId="3" r:id="rId4"/>
    <sheet name="Statements" sheetId="5" r:id="rId5"/>
    <sheet name="Forecast -&gt;" sheetId="6" r:id="rId6"/>
    <sheet name="Revenue" sheetId="7" r:id="rId7"/>
    <sheet name="COGS &amp; OpEx" sheetId="8" r:id="rId8"/>
    <sheet name="WC &amp; Investments" sheetId="9" r:id="rId9"/>
    <sheet name="FCF &amp; Other" sheetId="10" r:id="rId10"/>
    <sheet name="Valuation -&gt;" sheetId="11" r:id="rId11"/>
    <sheet name="WACC" sheetId="12" r:id="rId12"/>
    <sheet name="DCF" sheetId="14" r:id="rId13"/>
    <sheet name="Multiples" sheetId="15" r:id="rId14"/>
    <sheet name="AVG target price" sheetId="16" r:id="rId15"/>
    <sheet name="Reverse DCF" sheetId="17" r:id="rId16"/>
    <sheet name="Forecast" sheetId="4" r:id="rId17"/>
  </sheets>
  <externalReferences>
    <externalReference r:id="rId18"/>
    <externalReference r:id="rId19"/>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2" l="1"/>
  <c r="C10" i="12"/>
  <c r="C3" i="2"/>
  <c r="G44" i="17"/>
  <c r="F44" i="17"/>
  <c r="E44" i="17"/>
  <c r="D44" i="17"/>
  <c r="C44" i="17"/>
  <c r="G42" i="17"/>
  <c r="F42" i="17"/>
  <c r="E42" i="17"/>
  <c r="D42" i="17"/>
  <c r="C25" i="17"/>
  <c r="C24" i="17"/>
  <c r="C22" i="17"/>
  <c r="G7" i="17"/>
  <c r="F7" i="17"/>
  <c r="E7" i="17"/>
  <c r="D7" i="17"/>
  <c r="H7" i="17"/>
  <c r="I7" i="17" s="1"/>
  <c r="J7" i="17" s="1"/>
  <c r="K7" i="17" s="1"/>
  <c r="L7" i="17" s="1"/>
  <c r="G48" i="17"/>
  <c r="F48" i="17"/>
  <c r="E48" i="17"/>
  <c r="D48" i="17"/>
  <c r="C33" i="17"/>
  <c r="C32" i="17"/>
  <c r="C35" i="17"/>
  <c r="F41" i="17"/>
  <c r="E41" i="17"/>
  <c r="D41" i="17"/>
  <c r="G31" i="15"/>
  <c r="F31" i="15"/>
  <c r="E31" i="15"/>
  <c r="D31" i="15"/>
  <c r="C31" i="15"/>
  <c r="G30" i="15"/>
  <c r="F30" i="15"/>
  <c r="E30" i="15"/>
  <c r="D30" i="15"/>
  <c r="C30" i="15"/>
  <c r="G23" i="15"/>
  <c r="F23" i="15"/>
  <c r="E23" i="15"/>
  <c r="D23" i="15"/>
  <c r="C23" i="15"/>
  <c r="G18" i="15"/>
  <c r="F18" i="15"/>
  <c r="E18" i="15"/>
  <c r="D18" i="15"/>
  <c r="C18" i="15"/>
  <c r="G8" i="15"/>
  <c r="F8" i="15"/>
  <c r="E8" i="15"/>
  <c r="D8" i="15"/>
  <c r="G7" i="15"/>
  <c r="F7" i="15"/>
  <c r="E7" i="15"/>
  <c r="D7" i="15"/>
  <c r="G6" i="15"/>
  <c r="F6" i="15"/>
  <c r="E6" i="15"/>
  <c r="D6" i="15"/>
  <c r="C6" i="15"/>
  <c r="F19" i="15"/>
  <c r="E19" i="15"/>
  <c r="G14" i="15"/>
  <c r="F14" i="15"/>
  <c r="E14" i="15"/>
  <c r="G13" i="15"/>
  <c r="F13" i="15"/>
  <c r="E13" i="15"/>
  <c r="G12" i="15"/>
  <c r="F12" i="15"/>
  <c r="E12" i="15"/>
  <c r="D12" i="15"/>
  <c r="C25" i="14"/>
  <c r="C23" i="14"/>
  <c r="C22" i="14"/>
  <c r="G7" i="14"/>
  <c r="F7" i="14"/>
  <c r="E7" i="14"/>
  <c r="D7" i="14"/>
  <c r="C8" i="12"/>
  <c r="C5" i="12"/>
  <c r="C18" i="12"/>
  <c r="G24" i="10"/>
  <c r="F24" i="10"/>
  <c r="E24" i="10"/>
  <c r="D24" i="10"/>
  <c r="C24" i="10"/>
  <c r="G23" i="10"/>
  <c r="F23" i="10"/>
  <c r="E23" i="10"/>
  <c r="D23" i="10"/>
  <c r="C23" i="10"/>
  <c r="G22" i="10"/>
  <c r="F22" i="10"/>
  <c r="E22" i="10"/>
  <c r="D22" i="10"/>
  <c r="G17" i="10"/>
  <c r="F17" i="10"/>
  <c r="E17" i="10"/>
  <c r="D17" i="10"/>
  <c r="C17" i="10"/>
  <c r="G11" i="10"/>
  <c r="F11" i="10"/>
  <c r="E11" i="10"/>
  <c r="D11" i="10"/>
  <c r="C11" i="10"/>
  <c r="G10" i="10"/>
  <c r="F10" i="10"/>
  <c r="E10" i="10"/>
  <c r="D10" i="10"/>
  <c r="C10" i="10"/>
  <c r="G9" i="10"/>
  <c r="F9" i="10"/>
  <c r="E9" i="10"/>
  <c r="D9" i="10"/>
  <c r="B10" i="10"/>
  <c r="B9" i="10"/>
  <c r="G7" i="10"/>
  <c r="F7" i="10"/>
  <c r="E7" i="10"/>
  <c r="D7" i="10"/>
  <c r="G6" i="10"/>
  <c r="F6" i="10"/>
  <c r="E6" i="10"/>
  <c r="D6" i="10"/>
  <c r="C6" i="10"/>
  <c r="G8" i="10"/>
  <c r="G12" i="10" s="1"/>
  <c r="G29" i="10" s="1"/>
  <c r="G30" i="10" s="1"/>
  <c r="F8" i="10"/>
  <c r="F12" i="10" s="1"/>
  <c r="F29" i="10" s="1"/>
  <c r="F30" i="10" s="1"/>
  <c r="E8" i="10"/>
  <c r="E12" i="10" s="1"/>
  <c r="D8" i="10"/>
  <c r="D12" i="10" s="1"/>
  <c r="D29" i="10" s="1"/>
  <c r="D30" i="10" s="1"/>
  <c r="G45" i="9"/>
  <c r="F45" i="9"/>
  <c r="E45" i="9"/>
  <c r="D45" i="9"/>
  <c r="C45" i="9"/>
  <c r="C46" i="9"/>
  <c r="G42" i="9"/>
  <c r="F42" i="9"/>
  <c r="E42" i="9"/>
  <c r="D42" i="9"/>
  <c r="C42" i="9"/>
  <c r="C22" i="10" s="1"/>
  <c r="G35" i="9"/>
  <c r="F35" i="9"/>
  <c r="E35" i="9"/>
  <c r="D35" i="9"/>
  <c r="C35" i="9"/>
  <c r="G30" i="9"/>
  <c r="F30" i="9"/>
  <c r="E30" i="9"/>
  <c r="D30" i="9"/>
  <c r="C30" i="9"/>
  <c r="G29" i="9"/>
  <c r="F29" i="9"/>
  <c r="E29" i="9"/>
  <c r="D29" i="9"/>
  <c r="C29" i="9"/>
  <c r="G28" i="9"/>
  <c r="F28" i="9"/>
  <c r="E28" i="9"/>
  <c r="D28" i="9"/>
  <c r="C28" i="9"/>
  <c r="G15" i="9"/>
  <c r="F15" i="9"/>
  <c r="E15" i="9"/>
  <c r="D15" i="9"/>
  <c r="E22" i="9"/>
  <c r="D22" i="9"/>
  <c r="C15" i="9"/>
  <c r="G14" i="9"/>
  <c r="F14" i="9"/>
  <c r="E14" i="9"/>
  <c r="D14" i="9"/>
  <c r="F21" i="9"/>
  <c r="C14" i="9"/>
  <c r="G13" i="9"/>
  <c r="F13" i="9"/>
  <c r="E13" i="9"/>
  <c r="D13" i="9"/>
  <c r="C13" i="9"/>
  <c r="G8" i="9"/>
  <c r="F8" i="9"/>
  <c r="E8" i="9"/>
  <c r="D8" i="9"/>
  <c r="G7" i="9"/>
  <c r="F7" i="9"/>
  <c r="E7" i="9"/>
  <c r="D7" i="9"/>
  <c r="C7" i="9"/>
  <c r="G46" i="9"/>
  <c r="F46" i="9"/>
  <c r="E46" i="9"/>
  <c r="D46" i="9"/>
  <c r="G36" i="9"/>
  <c r="G37" i="9" s="1"/>
  <c r="F36" i="9"/>
  <c r="F37" i="9" s="1"/>
  <c r="E36" i="9"/>
  <c r="E37" i="9" s="1"/>
  <c r="D36" i="9"/>
  <c r="D37" i="9" s="1"/>
  <c r="L23" i="9"/>
  <c r="K23" i="9"/>
  <c r="J23" i="9"/>
  <c r="I23" i="9"/>
  <c r="H23" i="9"/>
  <c r="G22" i="9"/>
  <c r="G20" i="9"/>
  <c r="F20" i="9"/>
  <c r="E20" i="9"/>
  <c r="D20" i="9"/>
  <c r="C20" i="9"/>
  <c r="G21" i="9"/>
  <c r="E21" i="9"/>
  <c r="D21" i="9"/>
  <c r="W14" i="8"/>
  <c r="V14" i="8"/>
  <c r="U14" i="8"/>
  <c r="T14" i="8"/>
  <c r="S14" i="8"/>
  <c r="R14" i="8"/>
  <c r="Q14" i="8"/>
  <c r="P14" i="8"/>
  <c r="W13" i="8"/>
  <c r="V13" i="8"/>
  <c r="U13" i="8"/>
  <c r="T13" i="8"/>
  <c r="S13" i="8"/>
  <c r="R13" i="8"/>
  <c r="Q13" i="8"/>
  <c r="P13" i="8"/>
  <c r="O13" i="8"/>
  <c r="O12" i="8"/>
  <c r="W12" i="8"/>
  <c r="V12" i="8"/>
  <c r="U12" i="8"/>
  <c r="T12" i="8"/>
  <c r="S12" i="8"/>
  <c r="R12" i="8"/>
  <c r="Q12" i="8"/>
  <c r="P12" i="8"/>
  <c r="W11" i="8"/>
  <c r="V11" i="8"/>
  <c r="U11" i="8"/>
  <c r="T11" i="8"/>
  <c r="S11" i="8"/>
  <c r="R11" i="8"/>
  <c r="Q11" i="8"/>
  <c r="P11" i="8"/>
  <c r="AB5" i="8"/>
  <c r="AB10" i="8" s="1"/>
  <c r="AB4" i="8"/>
  <c r="W6" i="8"/>
  <c r="Z6" i="8"/>
  <c r="Y6" i="8"/>
  <c r="V6" i="8"/>
  <c r="U6" i="8"/>
  <c r="T6" i="8"/>
  <c r="S6" i="8"/>
  <c r="R6" i="8"/>
  <c r="Q6" i="8"/>
  <c r="P6" i="8"/>
  <c r="W5" i="8"/>
  <c r="V5" i="8"/>
  <c r="U5" i="8"/>
  <c r="T5" i="8"/>
  <c r="S5" i="8"/>
  <c r="R5" i="8"/>
  <c r="Q5" i="8"/>
  <c r="P5" i="8"/>
  <c r="G14" i="8"/>
  <c r="F14" i="8"/>
  <c r="E14" i="8"/>
  <c r="D14" i="8"/>
  <c r="C14" i="8"/>
  <c r="G13" i="8"/>
  <c r="F13" i="8"/>
  <c r="E13" i="8"/>
  <c r="D13" i="8"/>
  <c r="C13" i="8"/>
  <c r="G12" i="8"/>
  <c r="F12" i="8"/>
  <c r="E12" i="8"/>
  <c r="D12" i="8"/>
  <c r="C12" i="8"/>
  <c r="C9" i="10" s="1"/>
  <c r="B13" i="8"/>
  <c r="B12" i="8"/>
  <c r="B20" i="8" s="1"/>
  <c r="G11" i="8"/>
  <c r="F11" i="8"/>
  <c r="E11" i="8"/>
  <c r="D11" i="8"/>
  <c r="C11" i="8"/>
  <c r="G6" i="8"/>
  <c r="F6" i="8"/>
  <c r="E6" i="8"/>
  <c r="D6" i="8"/>
  <c r="C6" i="8"/>
  <c r="O21" i="8"/>
  <c r="O20" i="8"/>
  <c r="O19" i="8"/>
  <c r="B19" i="8"/>
  <c r="Z18" i="8"/>
  <c r="Y18" i="8"/>
  <c r="X18" i="8"/>
  <c r="G21" i="8"/>
  <c r="F21" i="8"/>
  <c r="E21" i="8"/>
  <c r="D21" i="8"/>
  <c r="C21" i="8"/>
  <c r="B21" i="8"/>
  <c r="G20" i="8"/>
  <c r="F20" i="8"/>
  <c r="E20" i="8"/>
  <c r="D20" i="8"/>
  <c r="G19" i="8"/>
  <c r="F19" i="8"/>
  <c r="E19" i="8"/>
  <c r="D19" i="8"/>
  <c r="C19" i="8"/>
  <c r="Z10" i="8"/>
  <c r="Y10" i="8"/>
  <c r="X10" i="8"/>
  <c r="G5" i="8"/>
  <c r="F5" i="8"/>
  <c r="E5" i="8"/>
  <c r="D5" i="8"/>
  <c r="C5" i="8"/>
  <c r="AB9" i="8"/>
  <c r="Z5" i="7"/>
  <c r="Y5" i="7"/>
  <c r="X5" i="7"/>
  <c r="W5" i="7"/>
  <c r="V5" i="7"/>
  <c r="U5" i="7"/>
  <c r="T5" i="7"/>
  <c r="T14" i="7" s="1"/>
  <c r="S5" i="7"/>
  <c r="Z11" i="7"/>
  <c r="Y11" i="7"/>
  <c r="X11" i="7"/>
  <c r="W11" i="7"/>
  <c r="V11" i="7"/>
  <c r="U11" i="7"/>
  <c r="T11" i="7"/>
  <c r="S11" i="7"/>
  <c r="Z10" i="7"/>
  <c r="Y10" i="7"/>
  <c r="Y19" i="7" s="1"/>
  <c r="X10" i="7"/>
  <c r="W10" i="7"/>
  <c r="W19" i="7" s="1"/>
  <c r="V10" i="7"/>
  <c r="V19" i="7" s="1"/>
  <c r="U10" i="7"/>
  <c r="U19" i="7" s="1"/>
  <c r="T10" i="7"/>
  <c r="T19" i="7" s="1"/>
  <c r="S10" i="7"/>
  <c r="Z9" i="7"/>
  <c r="Z18" i="7" s="1"/>
  <c r="Y9" i="7"/>
  <c r="Y18" i="7" s="1"/>
  <c r="X9" i="7"/>
  <c r="X18" i="7" s="1"/>
  <c r="W9" i="7"/>
  <c r="W18" i="7" s="1"/>
  <c r="V9" i="7"/>
  <c r="V18" i="7" s="1"/>
  <c r="U9" i="7"/>
  <c r="U18" i="7" s="1"/>
  <c r="T9" i="7"/>
  <c r="T18" i="7" s="1"/>
  <c r="S9" i="7"/>
  <c r="Z8" i="7"/>
  <c r="Y8" i="7"/>
  <c r="X8" i="7"/>
  <c r="W8" i="7"/>
  <c r="V8" i="7"/>
  <c r="U8" i="7"/>
  <c r="T8" i="7"/>
  <c r="S8" i="7"/>
  <c r="Z7" i="7"/>
  <c r="Y7" i="7"/>
  <c r="X7" i="7"/>
  <c r="W7" i="7"/>
  <c r="V7" i="7"/>
  <c r="U7" i="7"/>
  <c r="T7" i="7"/>
  <c r="S7" i="7"/>
  <c r="Z6" i="7"/>
  <c r="Y6" i="7"/>
  <c r="X6" i="7"/>
  <c r="W6" i="7"/>
  <c r="V6" i="7"/>
  <c r="U6" i="7"/>
  <c r="T6" i="7"/>
  <c r="S6" i="7"/>
  <c r="C6" i="7"/>
  <c r="G17" i="7"/>
  <c r="F17" i="7"/>
  <c r="E17" i="7"/>
  <c r="G11" i="7"/>
  <c r="F11" i="7"/>
  <c r="E11" i="7"/>
  <c r="D11" i="7"/>
  <c r="C11" i="7"/>
  <c r="G10" i="7"/>
  <c r="F10" i="7"/>
  <c r="F19" i="7" s="1"/>
  <c r="E10" i="7"/>
  <c r="E19" i="7" s="1"/>
  <c r="D10" i="7"/>
  <c r="D19" i="7" s="1"/>
  <c r="C10" i="7"/>
  <c r="G9" i="7"/>
  <c r="F9" i="7"/>
  <c r="F18" i="7" s="1"/>
  <c r="E9" i="7"/>
  <c r="E18" i="7" s="1"/>
  <c r="D9" i="7"/>
  <c r="D18" i="7" s="1"/>
  <c r="C9" i="7"/>
  <c r="G8" i="7"/>
  <c r="F8" i="7"/>
  <c r="E8" i="7"/>
  <c r="D8" i="7"/>
  <c r="C8" i="7"/>
  <c r="G7" i="7"/>
  <c r="F7" i="7"/>
  <c r="E7" i="7"/>
  <c r="D7" i="7"/>
  <c r="C7" i="7"/>
  <c r="G6" i="7"/>
  <c r="F6" i="7"/>
  <c r="E6" i="7"/>
  <c r="D6" i="7"/>
  <c r="R10" i="7"/>
  <c r="R19" i="7" s="1"/>
  <c r="R9" i="7"/>
  <c r="R18" i="7" s="1"/>
  <c r="R8" i="7"/>
  <c r="R7" i="7"/>
  <c r="R6" i="7"/>
  <c r="B10" i="7"/>
  <c r="B19" i="7" s="1"/>
  <c r="B9" i="7"/>
  <c r="B18" i="7" s="1"/>
  <c r="B8" i="7"/>
  <c r="B7" i="7"/>
  <c r="B6" i="7"/>
  <c r="B15" i="7" s="1"/>
  <c r="AC14" i="7"/>
  <c r="AB14" i="7"/>
  <c r="AA14" i="7"/>
  <c r="Z20" i="7"/>
  <c r="Y20" i="7"/>
  <c r="X20" i="7"/>
  <c r="W20" i="7"/>
  <c r="T20" i="7"/>
  <c r="G20" i="7"/>
  <c r="F20" i="7"/>
  <c r="E20" i="7"/>
  <c r="D20" i="7"/>
  <c r="Y17" i="7"/>
  <c r="R17" i="7"/>
  <c r="B17" i="7"/>
  <c r="Y16" i="7"/>
  <c r="U16" i="7"/>
  <c r="T16" i="7"/>
  <c r="R16" i="7"/>
  <c r="B16" i="7"/>
  <c r="Y15" i="7"/>
  <c r="R15" i="7"/>
  <c r="Z14" i="7"/>
  <c r="Y14" i="7"/>
  <c r="X14" i="7"/>
  <c r="W14" i="7"/>
  <c r="V14" i="7"/>
  <c r="U14" i="7"/>
  <c r="S14" i="7"/>
  <c r="G5" i="7"/>
  <c r="F5" i="7"/>
  <c r="E5" i="7"/>
  <c r="D5" i="7"/>
  <c r="C5" i="7"/>
  <c r="C41" i="2"/>
  <c r="C40" i="2"/>
  <c r="C39" i="2"/>
  <c r="C38" i="2"/>
  <c r="C24" i="2"/>
  <c r="C23" i="2"/>
  <c r="C18" i="2"/>
  <c r="C27" i="2"/>
  <c r="C28" i="2" s="1"/>
  <c r="N141" i="3"/>
  <c r="W103" i="5"/>
  <c r="W102" i="5"/>
  <c r="U18" i="5"/>
  <c r="U104" i="5" s="1"/>
  <c r="J168" i="3"/>
  <c r="I168" i="3"/>
  <c r="H168" i="3"/>
  <c r="G168" i="3"/>
  <c r="F168" i="3"/>
  <c r="E168" i="3"/>
  <c r="D168" i="3"/>
  <c r="C168" i="3"/>
  <c r="U79" i="5"/>
  <c r="W79" i="5" s="1"/>
  <c r="U77" i="5"/>
  <c r="W77" i="5" s="1"/>
  <c r="U75" i="5"/>
  <c r="W75" i="5" s="1"/>
  <c r="U72" i="5"/>
  <c r="W72" i="5" s="1"/>
  <c r="U71" i="5"/>
  <c r="W71" i="5" s="1"/>
  <c r="U61" i="5"/>
  <c r="W61" i="5" s="1"/>
  <c r="I153" i="3"/>
  <c r="H153" i="3"/>
  <c r="G153" i="3"/>
  <c r="F153" i="3"/>
  <c r="E153" i="3"/>
  <c r="D153" i="3"/>
  <c r="C153" i="3"/>
  <c r="I152" i="3"/>
  <c r="H152" i="3"/>
  <c r="G152" i="3"/>
  <c r="F152" i="3"/>
  <c r="E152" i="3"/>
  <c r="D152" i="3"/>
  <c r="C152" i="3"/>
  <c r="I149" i="3"/>
  <c r="H149" i="3"/>
  <c r="G149" i="3"/>
  <c r="F149" i="3"/>
  <c r="E149" i="3"/>
  <c r="D149" i="3"/>
  <c r="C149" i="3"/>
  <c r="I148" i="3"/>
  <c r="H148" i="3"/>
  <c r="G148" i="3"/>
  <c r="F148" i="3"/>
  <c r="E148" i="3"/>
  <c r="D148" i="3"/>
  <c r="C148" i="3"/>
  <c r="I143" i="3"/>
  <c r="H143" i="3"/>
  <c r="G143" i="3"/>
  <c r="F143" i="3"/>
  <c r="E143" i="3"/>
  <c r="D143" i="3"/>
  <c r="C143" i="3"/>
  <c r="I137" i="3"/>
  <c r="I138" i="3" s="1"/>
  <c r="H137" i="3"/>
  <c r="H138" i="3" s="1"/>
  <c r="G137" i="3"/>
  <c r="G138" i="3" s="1"/>
  <c r="F137" i="3"/>
  <c r="F138" i="3" s="1"/>
  <c r="E137" i="3"/>
  <c r="E138" i="3" s="1"/>
  <c r="D137" i="3"/>
  <c r="D138" i="3" s="1"/>
  <c r="C137" i="3"/>
  <c r="C138" i="3" s="1"/>
  <c r="I135" i="3"/>
  <c r="I136" i="3" s="1"/>
  <c r="H135" i="3"/>
  <c r="H136" i="3" s="1"/>
  <c r="G135" i="3"/>
  <c r="G136" i="3" s="1"/>
  <c r="F135" i="3"/>
  <c r="F136" i="3" s="1"/>
  <c r="E135" i="3"/>
  <c r="E136" i="3" s="1"/>
  <c r="D135" i="3"/>
  <c r="D136" i="3" s="1"/>
  <c r="C135" i="3"/>
  <c r="C136" i="3" s="1"/>
  <c r="I133" i="3"/>
  <c r="I134" i="3" s="1"/>
  <c r="H133" i="3"/>
  <c r="H134" i="3" s="1"/>
  <c r="G133" i="3"/>
  <c r="G134" i="3" s="1"/>
  <c r="F133" i="3"/>
  <c r="F134" i="3" s="1"/>
  <c r="E133" i="3"/>
  <c r="E134" i="3" s="1"/>
  <c r="D133" i="3"/>
  <c r="D134" i="3" s="1"/>
  <c r="C133" i="3"/>
  <c r="C134" i="3" s="1"/>
  <c r="I130" i="3"/>
  <c r="H130" i="3"/>
  <c r="G130" i="3"/>
  <c r="F130" i="3"/>
  <c r="E130" i="3"/>
  <c r="D130" i="3"/>
  <c r="C130" i="3"/>
  <c r="I128" i="3"/>
  <c r="I129" i="3" s="1"/>
  <c r="H128" i="3"/>
  <c r="H129" i="3" s="1"/>
  <c r="G128" i="3"/>
  <c r="G129" i="3" s="1"/>
  <c r="F128" i="3"/>
  <c r="F129" i="3" s="1"/>
  <c r="E128" i="3"/>
  <c r="E129" i="3" s="1"/>
  <c r="D128" i="3"/>
  <c r="D129" i="3" s="1"/>
  <c r="C128" i="3"/>
  <c r="C129" i="3" s="1"/>
  <c r="I126" i="3"/>
  <c r="I127" i="3" s="1"/>
  <c r="H126" i="3"/>
  <c r="H127" i="3" s="1"/>
  <c r="G126" i="3"/>
  <c r="G127" i="3" s="1"/>
  <c r="F126" i="3"/>
  <c r="F127" i="3" s="1"/>
  <c r="E126" i="3"/>
  <c r="E127" i="3" s="1"/>
  <c r="D126" i="3"/>
  <c r="D127" i="3" s="1"/>
  <c r="C126" i="3"/>
  <c r="C127" i="3" s="1"/>
  <c r="I124" i="3"/>
  <c r="I125" i="3" s="1"/>
  <c r="H124" i="3"/>
  <c r="H125" i="3" s="1"/>
  <c r="G124" i="3"/>
  <c r="G125" i="3" s="1"/>
  <c r="F124" i="3"/>
  <c r="F125" i="3" s="1"/>
  <c r="E124" i="3"/>
  <c r="E125" i="3" s="1"/>
  <c r="D124" i="3"/>
  <c r="D125" i="3" s="1"/>
  <c r="C124" i="3"/>
  <c r="C125" i="3" s="1"/>
  <c r="I71" i="3"/>
  <c r="I131" i="3" s="1"/>
  <c r="I132" i="3" s="1"/>
  <c r="H71" i="3"/>
  <c r="H131" i="3" s="1"/>
  <c r="H132" i="3" s="1"/>
  <c r="G71" i="3"/>
  <c r="G131" i="3" s="1"/>
  <c r="G132" i="3" s="1"/>
  <c r="F71" i="3"/>
  <c r="F131" i="3" s="1"/>
  <c r="F132" i="3" s="1"/>
  <c r="E71" i="3"/>
  <c r="E131" i="3" s="1"/>
  <c r="E132" i="3" s="1"/>
  <c r="D71" i="3"/>
  <c r="D131" i="3" s="1"/>
  <c r="D132" i="3" s="1"/>
  <c r="C71" i="3"/>
  <c r="C131" i="3" s="1"/>
  <c r="C132" i="3" s="1"/>
  <c r="I59" i="3"/>
  <c r="T51" i="5" s="1"/>
  <c r="H59" i="3"/>
  <c r="S51" i="5" s="1"/>
  <c r="G59" i="3"/>
  <c r="R51" i="5" s="1"/>
  <c r="F59" i="3"/>
  <c r="Q51" i="5" s="1"/>
  <c r="E59" i="3"/>
  <c r="P51" i="5" s="1"/>
  <c r="D59" i="3"/>
  <c r="O51" i="5" s="1"/>
  <c r="C59" i="3"/>
  <c r="N51" i="5" s="1"/>
  <c r="I45" i="3"/>
  <c r="T37" i="5" s="1"/>
  <c r="H45" i="3"/>
  <c r="S37" i="5" s="1"/>
  <c r="G45" i="3"/>
  <c r="R37" i="5" s="1"/>
  <c r="F45" i="3"/>
  <c r="Q37" i="5" s="1"/>
  <c r="E45" i="3"/>
  <c r="P37" i="5" s="1"/>
  <c r="D45" i="3"/>
  <c r="O37" i="5" s="1"/>
  <c r="C45" i="3"/>
  <c r="N37" i="5" s="1"/>
  <c r="I13" i="3"/>
  <c r="I122" i="3" s="1"/>
  <c r="I123" i="3" s="1"/>
  <c r="H13" i="3"/>
  <c r="H122" i="3" s="1"/>
  <c r="H123" i="3" s="1"/>
  <c r="G13" i="3"/>
  <c r="G122" i="3" s="1"/>
  <c r="G123" i="3" s="1"/>
  <c r="F13" i="3"/>
  <c r="F122" i="3" s="1"/>
  <c r="F123" i="3" s="1"/>
  <c r="E13" i="3"/>
  <c r="E122" i="3" s="1"/>
  <c r="E123" i="3" s="1"/>
  <c r="D13" i="3"/>
  <c r="D122" i="3" s="1"/>
  <c r="D123" i="3" s="1"/>
  <c r="C13" i="3"/>
  <c r="I9" i="3"/>
  <c r="T7" i="5" s="1"/>
  <c r="H9" i="3"/>
  <c r="S7" i="5" s="1"/>
  <c r="G9" i="3"/>
  <c r="R7" i="5" s="1"/>
  <c r="F9" i="3"/>
  <c r="Q7" i="5" s="1"/>
  <c r="E9" i="3"/>
  <c r="P7" i="5" s="1"/>
  <c r="D9" i="3"/>
  <c r="O7" i="5" s="1"/>
  <c r="C9" i="3"/>
  <c r="N7" i="5" s="1"/>
  <c r="N102" i="5" s="1"/>
  <c r="N13" i="5"/>
  <c r="D180" i="1"/>
  <c r="E180" i="1"/>
  <c r="F180" i="1"/>
  <c r="G180" i="1"/>
  <c r="H180" i="1"/>
  <c r="I180" i="1"/>
  <c r="J180" i="1"/>
  <c r="K180" i="1"/>
  <c r="L180" i="1"/>
  <c r="C180" i="1"/>
  <c r="T75" i="5"/>
  <c r="S75" i="5"/>
  <c r="R75" i="5"/>
  <c r="Q75" i="5"/>
  <c r="P75" i="5"/>
  <c r="O75" i="5"/>
  <c r="N75" i="5"/>
  <c r="L75" i="5"/>
  <c r="K75" i="5"/>
  <c r="J75" i="5"/>
  <c r="I75" i="5"/>
  <c r="H75" i="5"/>
  <c r="G75" i="5"/>
  <c r="F75" i="5"/>
  <c r="E75" i="5"/>
  <c r="D75" i="5"/>
  <c r="C75" i="5"/>
  <c r="L60" i="5"/>
  <c r="W35" i="5"/>
  <c r="W30" i="5"/>
  <c r="U81" i="5"/>
  <c r="W81" i="5" s="1"/>
  <c r="T81" i="5"/>
  <c r="S81" i="5"/>
  <c r="R81" i="5"/>
  <c r="Q81" i="5"/>
  <c r="P81" i="5"/>
  <c r="O81" i="5"/>
  <c r="N81" i="5"/>
  <c r="U80" i="5"/>
  <c r="T80" i="5"/>
  <c r="S80" i="5"/>
  <c r="R80" i="5"/>
  <c r="W80" i="5" s="1"/>
  <c r="Q80" i="5"/>
  <c r="P80" i="5"/>
  <c r="O80" i="5"/>
  <c r="N80" i="5"/>
  <c r="T79" i="5"/>
  <c r="S79" i="5"/>
  <c r="R79" i="5"/>
  <c r="Q79" i="5"/>
  <c r="P79" i="5"/>
  <c r="O79" i="5"/>
  <c r="N79" i="5"/>
  <c r="U78" i="5"/>
  <c r="T78" i="5"/>
  <c r="S78" i="5"/>
  <c r="R78" i="5"/>
  <c r="W78" i="5" s="1"/>
  <c r="Q78" i="5"/>
  <c r="P78" i="5"/>
  <c r="O78" i="5"/>
  <c r="N78" i="5"/>
  <c r="T77" i="5"/>
  <c r="S77" i="5"/>
  <c r="R77" i="5"/>
  <c r="Q77" i="5"/>
  <c r="P77" i="5"/>
  <c r="O77" i="5"/>
  <c r="N77" i="5"/>
  <c r="U76" i="5"/>
  <c r="T76" i="5"/>
  <c r="S76" i="5"/>
  <c r="R76" i="5"/>
  <c r="W76" i="5" s="1"/>
  <c r="Q76" i="5"/>
  <c r="P76" i="5"/>
  <c r="O76" i="5"/>
  <c r="N76" i="5"/>
  <c r="U74" i="5"/>
  <c r="T74" i="5"/>
  <c r="S74" i="5"/>
  <c r="R74" i="5"/>
  <c r="Q74" i="5"/>
  <c r="P74" i="5"/>
  <c r="O74" i="5"/>
  <c r="N74" i="5"/>
  <c r="U73" i="5"/>
  <c r="T73" i="5"/>
  <c r="S73" i="5"/>
  <c r="R73" i="5"/>
  <c r="Q73" i="5"/>
  <c r="P73" i="5"/>
  <c r="O73" i="5"/>
  <c r="N73" i="5"/>
  <c r="T72" i="5"/>
  <c r="S72" i="5"/>
  <c r="R72" i="5"/>
  <c r="Q72" i="5"/>
  <c r="P72" i="5"/>
  <c r="O72" i="5"/>
  <c r="N72" i="5"/>
  <c r="T71" i="5"/>
  <c r="S71" i="5"/>
  <c r="R71" i="5"/>
  <c r="Q71" i="5"/>
  <c r="P71" i="5"/>
  <c r="O71" i="5"/>
  <c r="N71" i="5"/>
  <c r="T70" i="5"/>
  <c r="S70" i="5"/>
  <c r="R70" i="5"/>
  <c r="Q70" i="5"/>
  <c r="P70" i="5"/>
  <c r="O70" i="5"/>
  <c r="N70" i="5"/>
  <c r="U69" i="5"/>
  <c r="T69" i="5"/>
  <c r="S69" i="5"/>
  <c r="R69" i="5"/>
  <c r="Q69" i="5"/>
  <c r="P69" i="5"/>
  <c r="O69" i="5"/>
  <c r="N69" i="5"/>
  <c r="U68" i="5"/>
  <c r="T68" i="5"/>
  <c r="S68" i="5"/>
  <c r="R68" i="5"/>
  <c r="Q68" i="5"/>
  <c r="P68" i="5"/>
  <c r="O68" i="5"/>
  <c r="N68" i="5"/>
  <c r="U67" i="5"/>
  <c r="T67" i="5"/>
  <c r="S67" i="5"/>
  <c r="R67" i="5"/>
  <c r="Q67" i="5"/>
  <c r="P67" i="5"/>
  <c r="O67" i="5"/>
  <c r="N67" i="5"/>
  <c r="U66" i="5"/>
  <c r="T66" i="5"/>
  <c r="S66" i="5"/>
  <c r="R66" i="5"/>
  <c r="W66" i="5" s="1"/>
  <c r="Q66" i="5"/>
  <c r="P66" i="5"/>
  <c r="O66" i="5"/>
  <c r="N66" i="5"/>
  <c r="U65" i="5"/>
  <c r="T65" i="5"/>
  <c r="S65" i="5"/>
  <c r="R65" i="5"/>
  <c r="W65" i="5" s="1"/>
  <c r="Q65" i="5"/>
  <c r="P65" i="5"/>
  <c r="O65" i="5"/>
  <c r="N65" i="5"/>
  <c r="U64" i="5"/>
  <c r="T64" i="5"/>
  <c r="S64" i="5"/>
  <c r="R64" i="5"/>
  <c r="Q64" i="5"/>
  <c r="P64" i="5"/>
  <c r="O64" i="5"/>
  <c r="N64" i="5"/>
  <c r="U63" i="5"/>
  <c r="T63" i="5"/>
  <c r="S63" i="5"/>
  <c r="R63" i="5"/>
  <c r="Q63" i="5"/>
  <c r="P63" i="5"/>
  <c r="O63" i="5"/>
  <c r="N63" i="5"/>
  <c r="U62" i="5"/>
  <c r="T62" i="5"/>
  <c r="S62" i="5"/>
  <c r="R62" i="5"/>
  <c r="Q62" i="5"/>
  <c r="P62" i="5"/>
  <c r="O62" i="5"/>
  <c r="N62" i="5"/>
  <c r="T61" i="5"/>
  <c r="S61" i="5"/>
  <c r="R61" i="5"/>
  <c r="Q61" i="5"/>
  <c r="P61" i="5"/>
  <c r="O61" i="5"/>
  <c r="N61" i="5"/>
  <c r="T60" i="5"/>
  <c r="U56" i="5"/>
  <c r="T56" i="5"/>
  <c r="S56" i="5"/>
  <c r="R56" i="5"/>
  <c r="Q56" i="5"/>
  <c r="P56" i="5"/>
  <c r="O56" i="5"/>
  <c r="N56" i="5"/>
  <c r="U55" i="5"/>
  <c r="W55" i="5" s="1"/>
  <c r="T55" i="5"/>
  <c r="S55" i="5"/>
  <c r="R55" i="5"/>
  <c r="Q55" i="5"/>
  <c r="P55" i="5"/>
  <c r="O55" i="5"/>
  <c r="N55" i="5"/>
  <c r="U54" i="5"/>
  <c r="W54" i="5" s="1"/>
  <c r="T54" i="5"/>
  <c r="S54" i="5"/>
  <c r="R54" i="5"/>
  <c r="Q54" i="5"/>
  <c r="P54" i="5"/>
  <c r="O54" i="5"/>
  <c r="N54" i="5"/>
  <c r="U53" i="5"/>
  <c r="W53" i="5" s="1"/>
  <c r="T53" i="5"/>
  <c r="S53" i="5"/>
  <c r="R53" i="5"/>
  <c r="Q53" i="5"/>
  <c r="P53" i="5"/>
  <c r="O53" i="5"/>
  <c r="N53" i="5"/>
  <c r="U52" i="5"/>
  <c r="W52" i="5" s="1"/>
  <c r="T52" i="5"/>
  <c r="S52" i="5"/>
  <c r="R52" i="5"/>
  <c r="Q52" i="5"/>
  <c r="P52" i="5"/>
  <c r="O52" i="5"/>
  <c r="N52" i="5"/>
  <c r="U50" i="5"/>
  <c r="W50" i="5" s="1"/>
  <c r="T50" i="5"/>
  <c r="S50" i="5"/>
  <c r="R50" i="5"/>
  <c r="Q50" i="5"/>
  <c r="P50" i="5"/>
  <c r="O50" i="5"/>
  <c r="N50" i="5"/>
  <c r="U49" i="5"/>
  <c r="W49" i="5" s="1"/>
  <c r="T49" i="5"/>
  <c r="S49" i="5"/>
  <c r="R49" i="5"/>
  <c r="Q49" i="5"/>
  <c r="P49" i="5"/>
  <c r="O49" i="5"/>
  <c r="N49" i="5"/>
  <c r="U48" i="5"/>
  <c r="W48" i="5" s="1"/>
  <c r="T48" i="5"/>
  <c r="S48" i="5"/>
  <c r="R48" i="5"/>
  <c r="Q48" i="5"/>
  <c r="P48" i="5"/>
  <c r="O48" i="5"/>
  <c r="N48" i="5"/>
  <c r="U47" i="5"/>
  <c r="W47" i="5" s="1"/>
  <c r="T47" i="5"/>
  <c r="S47" i="5"/>
  <c r="R47" i="5"/>
  <c r="Q47" i="5"/>
  <c r="P47" i="5"/>
  <c r="O47" i="5"/>
  <c r="N47" i="5"/>
  <c r="U46" i="5"/>
  <c r="W46" i="5" s="1"/>
  <c r="T46" i="5"/>
  <c r="S46" i="5"/>
  <c r="R46" i="5"/>
  <c r="Q46" i="5"/>
  <c r="P46" i="5"/>
  <c r="O46" i="5"/>
  <c r="N46" i="5"/>
  <c r="U45" i="5"/>
  <c r="W45" i="5" s="1"/>
  <c r="T45" i="5"/>
  <c r="S45" i="5"/>
  <c r="R45" i="5"/>
  <c r="Q45" i="5"/>
  <c r="P45" i="5"/>
  <c r="O45" i="5"/>
  <c r="N45" i="5"/>
  <c r="U44" i="5"/>
  <c r="W44" i="5" s="1"/>
  <c r="T44" i="5"/>
  <c r="S44" i="5"/>
  <c r="R44" i="5"/>
  <c r="Q44" i="5"/>
  <c r="P44" i="5"/>
  <c r="O44" i="5"/>
  <c r="N44" i="5"/>
  <c r="U43" i="5"/>
  <c r="W43" i="5" s="1"/>
  <c r="T43" i="5"/>
  <c r="S43" i="5"/>
  <c r="R43" i="5"/>
  <c r="Q43" i="5"/>
  <c r="P43" i="5"/>
  <c r="O43" i="5"/>
  <c r="N43" i="5"/>
  <c r="U42" i="5"/>
  <c r="W42" i="5" s="1"/>
  <c r="T42" i="5"/>
  <c r="S42" i="5"/>
  <c r="R42" i="5"/>
  <c r="Q42" i="5"/>
  <c r="P42" i="5"/>
  <c r="O42" i="5"/>
  <c r="N42" i="5"/>
  <c r="U41" i="5"/>
  <c r="W41" i="5" s="1"/>
  <c r="T41" i="5"/>
  <c r="S41" i="5"/>
  <c r="R41" i="5"/>
  <c r="Q41" i="5"/>
  <c r="P41" i="5"/>
  <c r="O41" i="5"/>
  <c r="N41" i="5"/>
  <c r="U40" i="5"/>
  <c r="W40" i="5" s="1"/>
  <c r="T40" i="5"/>
  <c r="S40" i="5"/>
  <c r="R40" i="5"/>
  <c r="Q40" i="5"/>
  <c r="P40" i="5"/>
  <c r="O40" i="5"/>
  <c r="N40" i="5"/>
  <c r="U39" i="5"/>
  <c r="W39" i="5" s="1"/>
  <c r="T39" i="5"/>
  <c r="S39" i="5"/>
  <c r="R39" i="5"/>
  <c r="Q39" i="5"/>
  <c r="P39" i="5"/>
  <c r="O39" i="5"/>
  <c r="N39" i="5"/>
  <c r="U38" i="5"/>
  <c r="W38" i="5" s="1"/>
  <c r="T38" i="5"/>
  <c r="S38" i="5"/>
  <c r="R38" i="5"/>
  <c r="Q38" i="5"/>
  <c r="P38" i="5"/>
  <c r="O38" i="5"/>
  <c r="N38" i="5"/>
  <c r="U36" i="5"/>
  <c r="W36" i="5" s="1"/>
  <c r="T36" i="5"/>
  <c r="S36" i="5"/>
  <c r="R36" i="5"/>
  <c r="Q36" i="5"/>
  <c r="P36" i="5"/>
  <c r="O36" i="5"/>
  <c r="N36" i="5"/>
  <c r="U35" i="5"/>
  <c r="T35" i="5"/>
  <c r="S35" i="5"/>
  <c r="R35" i="5"/>
  <c r="Q35" i="5"/>
  <c r="P35" i="5"/>
  <c r="O35" i="5"/>
  <c r="N35" i="5"/>
  <c r="U34" i="5"/>
  <c r="W34" i="5" s="1"/>
  <c r="T34" i="5"/>
  <c r="S34" i="5"/>
  <c r="R34" i="5"/>
  <c r="Q34" i="5"/>
  <c r="P34" i="5"/>
  <c r="O34" i="5"/>
  <c r="N34" i="5"/>
  <c r="U33" i="5"/>
  <c r="W33" i="5" s="1"/>
  <c r="T33" i="5"/>
  <c r="S33" i="5"/>
  <c r="R33" i="5"/>
  <c r="Q33" i="5"/>
  <c r="P33" i="5"/>
  <c r="O33" i="5"/>
  <c r="N33" i="5"/>
  <c r="U32" i="5"/>
  <c r="W32" i="5" s="1"/>
  <c r="T32" i="5"/>
  <c r="S32" i="5"/>
  <c r="R32" i="5"/>
  <c r="Q32" i="5"/>
  <c r="P32" i="5"/>
  <c r="O32" i="5"/>
  <c r="N32" i="5"/>
  <c r="U31" i="5"/>
  <c r="W31" i="5" s="1"/>
  <c r="T31" i="5"/>
  <c r="S31" i="5"/>
  <c r="R31" i="5"/>
  <c r="Q31" i="5"/>
  <c r="P31" i="5"/>
  <c r="O31" i="5"/>
  <c r="N31" i="5"/>
  <c r="U30" i="5"/>
  <c r="T30" i="5"/>
  <c r="S30" i="5"/>
  <c r="R30" i="5"/>
  <c r="Q30" i="5"/>
  <c r="P30" i="5"/>
  <c r="O30" i="5"/>
  <c r="N30" i="5"/>
  <c r="U29" i="5"/>
  <c r="W29" i="5" s="1"/>
  <c r="T29" i="5"/>
  <c r="S29" i="5"/>
  <c r="R29" i="5"/>
  <c r="Q29" i="5"/>
  <c r="P29" i="5"/>
  <c r="O29" i="5"/>
  <c r="N29" i="5"/>
  <c r="U28" i="5"/>
  <c r="W28" i="5" s="1"/>
  <c r="T28" i="5"/>
  <c r="S28" i="5"/>
  <c r="R28" i="5"/>
  <c r="Q28" i="5"/>
  <c r="P28" i="5"/>
  <c r="O28" i="5"/>
  <c r="N28" i="5"/>
  <c r="U27" i="5"/>
  <c r="W27" i="5" s="1"/>
  <c r="T27" i="5"/>
  <c r="S27" i="5"/>
  <c r="R27" i="5"/>
  <c r="Q27" i="5"/>
  <c r="P27" i="5"/>
  <c r="O27" i="5"/>
  <c r="N27" i="5"/>
  <c r="U26" i="5"/>
  <c r="W26" i="5" s="1"/>
  <c r="T26" i="5"/>
  <c r="S26" i="5"/>
  <c r="R26" i="5"/>
  <c r="Q26" i="5"/>
  <c r="P26" i="5"/>
  <c r="O26" i="5"/>
  <c r="N26" i="5"/>
  <c r="U25" i="5"/>
  <c r="W25" i="5" s="1"/>
  <c r="T25" i="5"/>
  <c r="S25" i="5"/>
  <c r="R25" i="5"/>
  <c r="Q25" i="5"/>
  <c r="P25" i="5"/>
  <c r="O25" i="5"/>
  <c r="N25" i="5"/>
  <c r="U24" i="5"/>
  <c r="W24" i="5" s="1"/>
  <c r="T24" i="5"/>
  <c r="S24" i="5"/>
  <c r="R24" i="5"/>
  <c r="Q24" i="5"/>
  <c r="P24" i="5"/>
  <c r="O24" i="5"/>
  <c r="N24" i="5"/>
  <c r="U23" i="5"/>
  <c r="W23" i="5" s="1"/>
  <c r="T23" i="5"/>
  <c r="S23" i="5"/>
  <c r="R23" i="5"/>
  <c r="Q23" i="5"/>
  <c r="P23" i="5"/>
  <c r="O23" i="5"/>
  <c r="N23" i="5"/>
  <c r="N5" i="5"/>
  <c r="O5" i="5"/>
  <c r="O91" i="5" s="1"/>
  <c r="P5" i="5"/>
  <c r="P91" i="5" s="1"/>
  <c r="Q5" i="5"/>
  <c r="Q91" i="5" s="1"/>
  <c r="R5" i="5"/>
  <c r="S5" i="5"/>
  <c r="S91" i="5" s="1"/>
  <c r="T5" i="5"/>
  <c r="U5" i="5"/>
  <c r="U91" i="5" s="1"/>
  <c r="N6" i="5"/>
  <c r="O6" i="5"/>
  <c r="O92" i="5" s="1"/>
  <c r="P6" i="5"/>
  <c r="P92" i="5" s="1"/>
  <c r="Q6" i="5"/>
  <c r="Q92" i="5" s="1"/>
  <c r="R6" i="5"/>
  <c r="S6" i="5"/>
  <c r="S92" i="5" s="1"/>
  <c r="T6" i="5"/>
  <c r="T92" i="5" s="1"/>
  <c r="U6" i="5"/>
  <c r="U92" i="5" s="1"/>
  <c r="N8" i="5"/>
  <c r="O8" i="5"/>
  <c r="P8" i="5"/>
  <c r="Q8" i="5"/>
  <c r="R8" i="5"/>
  <c r="S8" i="5"/>
  <c r="T8" i="5"/>
  <c r="U8" i="5"/>
  <c r="N9" i="5"/>
  <c r="O9" i="5"/>
  <c r="P9" i="5"/>
  <c r="Q9" i="5"/>
  <c r="R9" i="5"/>
  <c r="S9" i="5"/>
  <c r="T9" i="5"/>
  <c r="U9" i="5"/>
  <c r="N10" i="5"/>
  <c r="O10" i="5"/>
  <c r="P10" i="5"/>
  <c r="Q10" i="5"/>
  <c r="R10" i="5"/>
  <c r="S10" i="5"/>
  <c r="T10" i="5"/>
  <c r="U10" i="5"/>
  <c r="O11" i="5"/>
  <c r="P11" i="5"/>
  <c r="P94" i="5" s="1"/>
  <c r="Q11" i="5"/>
  <c r="Q94" i="5" s="1"/>
  <c r="R11" i="5"/>
  <c r="S11" i="5"/>
  <c r="S94" i="5" s="1"/>
  <c r="T11" i="5"/>
  <c r="T94" i="5" s="1"/>
  <c r="N12" i="5"/>
  <c r="N103" i="5" s="1"/>
  <c r="O12" i="5"/>
  <c r="O13" i="5" s="1"/>
  <c r="P12" i="5"/>
  <c r="P13" i="5" s="1"/>
  <c r="Q12" i="5"/>
  <c r="Q13" i="5" s="1"/>
  <c r="R12" i="5"/>
  <c r="R13" i="5" s="1"/>
  <c r="S12" i="5"/>
  <c r="S13" i="5" s="1"/>
  <c r="T12" i="5"/>
  <c r="T13" i="5" s="1"/>
  <c r="U12" i="5"/>
  <c r="N14" i="5"/>
  <c r="O14" i="5"/>
  <c r="P14" i="5"/>
  <c r="Q14" i="5"/>
  <c r="R14" i="5"/>
  <c r="W14" i="5" s="1"/>
  <c r="S14" i="5"/>
  <c r="T14" i="5"/>
  <c r="U14" i="5"/>
  <c r="N15" i="5"/>
  <c r="O15" i="5"/>
  <c r="P15" i="5"/>
  <c r="Q15" i="5"/>
  <c r="R15" i="5"/>
  <c r="W15" i="5" s="1"/>
  <c r="S15" i="5"/>
  <c r="T15" i="5"/>
  <c r="U15" i="5"/>
  <c r="N16" i="5"/>
  <c r="O16" i="5"/>
  <c r="O96" i="5" s="1"/>
  <c r="P16" i="5"/>
  <c r="P96" i="5" s="1"/>
  <c r="Q16" i="5"/>
  <c r="Q96" i="5" s="1"/>
  <c r="R16" i="5"/>
  <c r="S16" i="5"/>
  <c r="S96" i="5" s="1"/>
  <c r="T16" i="5"/>
  <c r="T96" i="5" s="1"/>
  <c r="U16" i="5"/>
  <c r="N17" i="5"/>
  <c r="O17" i="5"/>
  <c r="P17" i="5"/>
  <c r="Q17" i="5"/>
  <c r="R17" i="5"/>
  <c r="W17" i="5" s="1"/>
  <c r="S17" i="5"/>
  <c r="T17" i="5"/>
  <c r="N18" i="5"/>
  <c r="O18" i="5"/>
  <c r="O104" i="5" s="1"/>
  <c r="P18" i="5"/>
  <c r="P104" i="5" s="1"/>
  <c r="Q18" i="5"/>
  <c r="Q104" i="5" s="1"/>
  <c r="R18" i="5"/>
  <c r="N19" i="5"/>
  <c r="N20" i="5" s="1"/>
  <c r="O19" i="5"/>
  <c r="O98" i="5" s="1"/>
  <c r="P19" i="5"/>
  <c r="P98" i="5" s="1"/>
  <c r="Q19" i="5"/>
  <c r="Q98" i="5" s="1"/>
  <c r="R19" i="5"/>
  <c r="S19" i="5"/>
  <c r="T19" i="5"/>
  <c r="T98" i="5" s="1"/>
  <c r="U19" i="5"/>
  <c r="U98" i="5" s="1"/>
  <c r="O20" i="5"/>
  <c r="O99" i="5" s="1"/>
  <c r="P20" i="5"/>
  <c r="P99" i="5" s="1"/>
  <c r="Q20" i="5"/>
  <c r="Q99" i="5" s="1"/>
  <c r="R20" i="5"/>
  <c r="R99" i="5" s="1"/>
  <c r="T20" i="5"/>
  <c r="U3" i="5"/>
  <c r="T3" i="5"/>
  <c r="S3" i="5"/>
  <c r="R3" i="5"/>
  <c r="Q3" i="5"/>
  <c r="P3" i="5"/>
  <c r="O3" i="5"/>
  <c r="N3" i="5"/>
  <c r="U2" i="5"/>
  <c r="T2" i="5"/>
  <c r="S2" i="5"/>
  <c r="R2" i="5"/>
  <c r="Q2" i="5"/>
  <c r="P2" i="5"/>
  <c r="O2" i="5"/>
  <c r="N2" i="5"/>
  <c r="L81" i="5"/>
  <c r="K81" i="5"/>
  <c r="J81" i="5"/>
  <c r="I81" i="5"/>
  <c r="H81" i="5"/>
  <c r="G81" i="5"/>
  <c r="F81" i="5"/>
  <c r="E81" i="5"/>
  <c r="D81" i="5"/>
  <c r="C81" i="5"/>
  <c r="L80" i="5"/>
  <c r="K80" i="5"/>
  <c r="J80" i="5"/>
  <c r="I80" i="5"/>
  <c r="H80" i="5"/>
  <c r="G80" i="5"/>
  <c r="F80" i="5"/>
  <c r="E80" i="5"/>
  <c r="D80" i="5"/>
  <c r="C80" i="5"/>
  <c r="L79" i="5"/>
  <c r="K79" i="5"/>
  <c r="J79" i="5"/>
  <c r="I79" i="5"/>
  <c r="H79" i="5"/>
  <c r="G79" i="5"/>
  <c r="F79" i="5"/>
  <c r="E79" i="5"/>
  <c r="D79" i="5"/>
  <c r="C79" i="5"/>
  <c r="C78" i="5"/>
  <c r="D78" i="5"/>
  <c r="E78" i="5"/>
  <c r="F78" i="5"/>
  <c r="G78" i="5"/>
  <c r="H78" i="5"/>
  <c r="I78" i="5"/>
  <c r="J78" i="5"/>
  <c r="K78" i="5"/>
  <c r="L78" i="5"/>
  <c r="L77" i="5"/>
  <c r="K77" i="5"/>
  <c r="J77" i="5"/>
  <c r="I77" i="5"/>
  <c r="H77" i="5"/>
  <c r="G77" i="5"/>
  <c r="F77" i="5"/>
  <c r="E77" i="5"/>
  <c r="D77" i="5"/>
  <c r="C77" i="5"/>
  <c r="L76" i="5"/>
  <c r="K76" i="5"/>
  <c r="J76" i="5"/>
  <c r="I76" i="5"/>
  <c r="H76" i="5"/>
  <c r="G76" i="5"/>
  <c r="F76" i="5"/>
  <c r="E76" i="5"/>
  <c r="D76" i="5"/>
  <c r="C76" i="5"/>
  <c r="L74" i="5"/>
  <c r="K74" i="5"/>
  <c r="J74" i="5"/>
  <c r="I74" i="5"/>
  <c r="H74" i="5"/>
  <c r="G74" i="5"/>
  <c r="F74" i="5"/>
  <c r="E74" i="5"/>
  <c r="D74" i="5"/>
  <c r="C74" i="5"/>
  <c r="L73" i="5"/>
  <c r="K73" i="5"/>
  <c r="J73" i="5"/>
  <c r="I73" i="5"/>
  <c r="H73" i="5"/>
  <c r="G73" i="5"/>
  <c r="F73" i="5"/>
  <c r="E73" i="5"/>
  <c r="D73" i="5"/>
  <c r="C73" i="5"/>
  <c r="L72" i="5"/>
  <c r="K72" i="5"/>
  <c r="J72" i="5"/>
  <c r="I72" i="5"/>
  <c r="H72" i="5"/>
  <c r="G72" i="5"/>
  <c r="F72" i="5"/>
  <c r="E72" i="5"/>
  <c r="D72" i="5"/>
  <c r="C72" i="5"/>
  <c r="L71" i="5"/>
  <c r="K71" i="5"/>
  <c r="J71" i="5"/>
  <c r="I71" i="5"/>
  <c r="H71" i="5"/>
  <c r="G71" i="5"/>
  <c r="F71" i="5"/>
  <c r="E71" i="5"/>
  <c r="D71" i="5"/>
  <c r="C71" i="5"/>
  <c r="L70" i="5"/>
  <c r="K70" i="5"/>
  <c r="J70" i="5"/>
  <c r="I70" i="5"/>
  <c r="H70" i="5"/>
  <c r="G70" i="5"/>
  <c r="F70" i="5"/>
  <c r="E70" i="5"/>
  <c r="D70" i="5"/>
  <c r="C70" i="5"/>
  <c r="C69" i="5"/>
  <c r="D69" i="5"/>
  <c r="E69" i="5"/>
  <c r="F69" i="5"/>
  <c r="G69" i="5"/>
  <c r="H69" i="5"/>
  <c r="I69" i="5"/>
  <c r="J69" i="5"/>
  <c r="K69" i="5"/>
  <c r="L69" i="5"/>
  <c r="L68" i="5"/>
  <c r="K68" i="5"/>
  <c r="J68" i="5"/>
  <c r="I68" i="5"/>
  <c r="H68" i="5"/>
  <c r="G68" i="5"/>
  <c r="F68" i="5"/>
  <c r="E68" i="5"/>
  <c r="D68" i="5"/>
  <c r="C68" i="5"/>
  <c r="C67" i="5"/>
  <c r="D67" i="5"/>
  <c r="E67" i="5"/>
  <c r="F67" i="5"/>
  <c r="G67" i="5"/>
  <c r="H67" i="5"/>
  <c r="I67" i="5"/>
  <c r="J67" i="5"/>
  <c r="K67" i="5"/>
  <c r="L67" i="5"/>
  <c r="L66" i="5"/>
  <c r="K66" i="5"/>
  <c r="J66" i="5"/>
  <c r="I66" i="5"/>
  <c r="H66" i="5"/>
  <c r="G66" i="5"/>
  <c r="F66" i="5"/>
  <c r="E66" i="5"/>
  <c r="D66" i="5"/>
  <c r="C66" i="5"/>
  <c r="L65" i="5"/>
  <c r="K65" i="5"/>
  <c r="J65" i="5"/>
  <c r="I65" i="5"/>
  <c r="H65" i="5"/>
  <c r="G65" i="5"/>
  <c r="F65" i="5"/>
  <c r="E65" i="5"/>
  <c r="D65" i="5"/>
  <c r="C65" i="5"/>
  <c r="L64" i="5"/>
  <c r="K64" i="5"/>
  <c r="J64" i="5"/>
  <c r="I64" i="5"/>
  <c r="H64" i="5"/>
  <c r="G64" i="5"/>
  <c r="F64" i="5"/>
  <c r="E64" i="5"/>
  <c r="D64" i="5"/>
  <c r="C64" i="5"/>
  <c r="L63" i="5"/>
  <c r="K63" i="5"/>
  <c r="J63" i="5"/>
  <c r="I63" i="5"/>
  <c r="H63" i="5"/>
  <c r="G63" i="5"/>
  <c r="F63" i="5"/>
  <c r="E63" i="5"/>
  <c r="D63" i="5"/>
  <c r="C63" i="5"/>
  <c r="L62" i="5"/>
  <c r="K62" i="5"/>
  <c r="J62" i="5"/>
  <c r="I62" i="5"/>
  <c r="H62" i="5"/>
  <c r="G62" i="5"/>
  <c r="F62" i="5"/>
  <c r="E62" i="5"/>
  <c r="D62" i="5"/>
  <c r="C62" i="5"/>
  <c r="L61" i="5"/>
  <c r="K61" i="5"/>
  <c r="J61" i="5"/>
  <c r="I61" i="5"/>
  <c r="H61" i="5"/>
  <c r="G61" i="5"/>
  <c r="F61" i="5"/>
  <c r="E61" i="5"/>
  <c r="D61" i="5"/>
  <c r="C61" i="5"/>
  <c r="L56" i="5"/>
  <c r="K56" i="5"/>
  <c r="J56" i="5"/>
  <c r="I56" i="5"/>
  <c r="H56" i="5"/>
  <c r="G56" i="5"/>
  <c r="F56" i="5"/>
  <c r="E56" i="5"/>
  <c r="D56" i="5"/>
  <c r="C56" i="5"/>
  <c r="L55" i="5"/>
  <c r="K55" i="5"/>
  <c r="J55" i="5"/>
  <c r="I55" i="5"/>
  <c r="H55" i="5"/>
  <c r="G55" i="5"/>
  <c r="F55" i="5"/>
  <c r="E55" i="5"/>
  <c r="D55" i="5"/>
  <c r="C55" i="5"/>
  <c r="L54" i="5"/>
  <c r="K54" i="5"/>
  <c r="J54" i="5"/>
  <c r="I54" i="5"/>
  <c r="H54" i="5"/>
  <c r="G54" i="5"/>
  <c r="F54" i="5"/>
  <c r="E54" i="5"/>
  <c r="D54" i="5"/>
  <c r="C54" i="5"/>
  <c r="L53" i="5"/>
  <c r="K53" i="5"/>
  <c r="J53" i="5"/>
  <c r="I53" i="5"/>
  <c r="H53" i="5"/>
  <c r="G53" i="5"/>
  <c r="F53" i="5"/>
  <c r="E53" i="5"/>
  <c r="D53" i="5"/>
  <c r="C53" i="5"/>
  <c r="L52" i="5"/>
  <c r="L57" i="5" s="1"/>
  <c r="K52" i="5"/>
  <c r="K57" i="5" s="1"/>
  <c r="J52" i="5"/>
  <c r="J57" i="5" s="1"/>
  <c r="I52" i="5"/>
  <c r="I57" i="5" s="1"/>
  <c r="H52" i="5"/>
  <c r="H57" i="5" s="1"/>
  <c r="G52" i="5"/>
  <c r="G57" i="5" s="1"/>
  <c r="F52" i="5"/>
  <c r="F57" i="5" s="1"/>
  <c r="E52" i="5"/>
  <c r="E57" i="5" s="1"/>
  <c r="D52" i="5"/>
  <c r="D57" i="5" s="1"/>
  <c r="C52" i="5"/>
  <c r="C57" i="5" s="1"/>
  <c r="L50" i="5"/>
  <c r="K50" i="5"/>
  <c r="J50" i="5"/>
  <c r="I50" i="5"/>
  <c r="H50" i="5"/>
  <c r="G50" i="5"/>
  <c r="F50" i="5"/>
  <c r="E50" i="5"/>
  <c r="D50" i="5"/>
  <c r="C50" i="5"/>
  <c r="L49" i="5"/>
  <c r="K49" i="5"/>
  <c r="J49" i="5"/>
  <c r="I49" i="5"/>
  <c r="H49" i="5"/>
  <c r="G49" i="5"/>
  <c r="F49" i="5"/>
  <c r="E49" i="5"/>
  <c r="D49" i="5"/>
  <c r="C49" i="5"/>
  <c r="L48" i="5"/>
  <c r="K48" i="5"/>
  <c r="J48" i="5"/>
  <c r="I48" i="5"/>
  <c r="H48" i="5"/>
  <c r="G48" i="5"/>
  <c r="F48" i="5"/>
  <c r="E48" i="5"/>
  <c r="D48" i="5"/>
  <c r="C48" i="5"/>
  <c r="L47" i="5"/>
  <c r="K47" i="5"/>
  <c r="J47" i="5"/>
  <c r="I47" i="5"/>
  <c r="H47" i="5"/>
  <c r="G47" i="5"/>
  <c r="F47" i="5"/>
  <c r="E47" i="5"/>
  <c r="D47" i="5"/>
  <c r="C47" i="5"/>
  <c r="L46" i="5"/>
  <c r="K46" i="5"/>
  <c r="J46" i="5"/>
  <c r="I46" i="5"/>
  <c r="H46" i="5"/>
  <c r="G46" i="5"/>
  <c r="F46" i="5"/>
  <c r="E46" i="5"/>
  <c r="D46" i="5"/>
  <c r="C46" i="5"/>
  <c r="L45" i="5"/>
  <c r="K45" i="5"/>
  <c r="J45" i="5"/>
  <c r="I45" i="5"/>
  <c r="H45" i="5"/>
  <c r="G45" i="5"/>
  <c r="F45" i="5"/>
  <c r="E45" i="5"/>
  <c r="D45" i="5"/>
  <c r="C45" i="5"/>
  <c r="L44" i="5"/>
  <c r="K44" i="5"/>
  <c r="J44" i="5"/>
  <c r="I44" i="5"/>
  <c r="H44" i="5"/>
  <c r="G44" i="5"/>
  <c r="F44" i="5"/>
  <c r="E44" i="5"/>
  <c r="D44" i="5"/>
  <c r="C44" i="5"/>
  <c r="L43" i="5"/>
  <c r="K43" i="5"/>
  <c r="J43" i="5"/>
  <c r="I43" i="5"/>
  <c r="H43" i="5"/>
  <c r="G43" i="5"/>
  <c r="F43" i="5"/>
  <c r="E43" i="5"/>
  <c r="D43" i="5"/>
  <c r="C43" i="5"/>
  <c r="L42" i="5"/>
  <c r="K42" i="5"/>
  <c r="J42" i="5"/>
  <c r="I42" i="5"/>
  <c r="H42" i="5"/>
  <c r="G42" i="5"/>
  <c r="F42" i="5"/>
  <c r="E42" i="5"/>
  <c r="D42" i="5"/>
  <c r="C42" i="5"/>
  <c r="L41" i="5"/>
  <c r="K41" i="5"/>
  <c r="J41" i="5"/>
  <c r="I41" i="5"/>
  <c r="H41" i="5"/>
  <c r="G41" i="5"/>
  <c r="F41" i="5"/>
  <c r="E41" i="5"/>
  <c r="D41" i="5"/>
  <c r="C41" i="5"/>
  <c r="L40" i="5"/>
  <c r="K40" i="5"/>
  <c r="J40" i="5"/>
  <c r="I40" i="5"/>
  <c r="H40" i="5"/>
  <c r="G40" i="5"/>
  <c r="F40" i="5"/>
  <c r="E40" i="5"/>
  <c r="D40" i="5"/>
  <c r="C40" i="5"/>
  <c r="L39" i="5"/>
  <c r="K39" i="5"/>
  <c r="J39" i="5"/>
  <c r="I39" i="5"/>
  <c r="H39" i="5"/>
  <c r="G39" i="5"/>
  <c r="F39" i="5"/>
  <c r="E39" i="5"/>
  <c r="D39" i="5"/>
  <c r="C39" i="5"/>
  <c r="L38" i="5"/>
  <c r="L87" i="5" s="1"/>
  <c r="K38" i="5"/>
  <c r="K87" i="5" s="1"/>
  <c r="J38" i="5"/>
  <c r="J87" i="5" s="1"/>
  <c r="I38" i="5"/>
  <c r="I87" i="5" s="1"/>
  <c r="H38" i="5"/>
  <c r="H87" i="5" s="1"/>
  <c r="G38" i="5"/>
  <c r="G87" i="5" s="1"/>
  <c r="F38" i="5"/>
  <c r="F87" i="5" s="1"/>
  <c r="E38" i="5"/>
  <c r="E87" i="5" s="1"/>
  <c r="D38" i="5"/>
  <c r="D87" i="5" s="1"/>
  <c r="C38" i="5"/>
  <c r="C87" i="5" s="1"/>
  <c r="L36" i="5"/>
  <c r="K36" i="5"/>
  <c r="J36" i="5"/>
  <c r="I36" i="5"/>
  <c r="H36" i="5"/>
  <c r="G36" i="5"/>
  <c r="F36" i="5"/>
  <c r="E36" i="5"/>
  <c r="D36" i="5"/>
  <c r="C36" i="5"/>
  <c r="L35" i="5"/>
  <c r="K35" i="5"/>
  <c r="J35" i="5"/>
  <c r="I35" i="5"/>
  <c r="H35" i="5"/>
  <c r="G35" i="5"/>
  <c r="F35" i="5"/>
  <c r="E35" i="5"/>
  <c r="D35" i="5"/>
  <c r="C35" i="5"/>
  <c r="L34" i="5"/>
  <c r="K34" i="5"/>
  <c r="J34" i="5"/>
  <c r="I34" i="5"/>
  <c r="H34" i="5"/>
  <c r="G34" i="5"/>
  <c r="F34" i="5"/>
  <c r="E34" i="5"/>
  <c r="D34" i="5"/>
  <c r="C34" i="5"/>
  <c r="L33" i="5"/>
  <c r="K33" i="5"/>
  <c r="J33" i="5"/>
  <c r="I33" i="5"/>
  <c r="H33" i="5"/>
  <c r="G33" i="5"/>
  <c r="F33" i="5"/>
  <c r="E33" i="5"/>
  <c r="D33" i="5"/>
  <c r="C33" i="5"/>
  <c r="L32" i="5"/>
  <c r="K32" i="5"/>
  <c r="J32" i="5"/>
  <c r="I32" i="5"/>
  <c r="H32" i="5"/>
  <c r="G32" i="5"/>
  <c r="F32" i="5"/>
  <c r="E32" i="5"/>
  <c r="D32" i="5"/>
  <c r="C32" i="5"/>
  <c r="L31" i="5"/>
  <c r="K31" i="5"/>
  <c r="J31" i="5"/>
  <c r="I31" i="5"/>
  <c r="H31" i="5"/>
  <c r="G31" i="5"/>
  <c r="F31" i="5"/>
  <c r="E31" i="5"/>
  <c r="D31" i="5"/>
  <c r="C31" i="5"/>
  <c r="L30" i="5"/>
  <c r="K30" i="5"/>
  <c r="J30" i="5"/>
  <c r="I30" i="5"/>
  <c r="H30" i="5"/>
  <c r="G30" i="5"/>
  <c r="F30" i="5"/>
  <c r="E30" i="5"/>
  <c r="D30" i="5"/>
  <c r="C30" i="5"/>
  <c r="L29" i="5"/>
  <c r="K29" i="5"/>
  <c r="J29" i="5"/>
  <c r="I29" i="5"/>
  <c r="H29" i="5"/>
  <c r="G29" i="5"/>
  <c r="F29" i="5"/>
  <c r="E29" i="5"/>
  <c r="D29" i="5"/>
  <c r="C29" i="5"/>
  <c r="L28" i="5"/>
  <c r="K28" i="5"/>
  <c r="J28" i="5"/>
  <c r="I28" i="5"/>
  <c r="H28" i="5"/>
  <c r="G28" i="5"/>
  <c r="F28" i="5"/>
  <c r="E28" i="5"/>
  <c r="D28" i="5"/>
  <c r="C28" i="5"/>
  <c r="L27" i="5"/>
  <c r="K27" i="5"/>
  <c r="J27" i="5"/>
  <c r="I27" i="5"/>
  <c r="H27" i="5"/>
  <c r="G27" i="5"/>
  <c r="F27" i="5"/>
  <c r="E27" i="5"/>
  <c r="D27" i="5"/>
  <c r="C27" i="5"/>
  <c r="L26" i="5"/>
  <c r="K26" i="5"/>
  <c r="J26" i="5"/>
  <c r="I26" i="5"/>
  <c r="H26" i="5"/>
  <c r="G26" i="5"/>
  <c r="F26" i="5"/>
  <c r="E26" i="5"/>
  <c r="D26" i="5"/>
  <c r="C26" i="5"/>
  <c r="L25" i="5"/>
  <c r="K25" i="5"/>
  <c r="J25" i="5"/>
  <c r="I25" i="5"/>
  <c r="H25" i="5"/>
  <c r="G25" i="5"/>
  <c r="F25" i="5"/>
  <c r="E25" i="5"/>
  <c r="D25" i="5"/>
  <c r="C25" i="5"/>
  <c r="L24" i="5"/>
  <c r="K24" i="5"/>
  <c r="J24" i="5"/>
  <c r="I24" i="5"/>
  <c r="H24" i="5"/>
  <c r="G24" i="5"/>
  <c r="F24" i="5"/>
  <c r="E24" i="5"/>
  <c r="D24" i="5"/>
  <c r="C24" i="5"/>
  <c r="L23" i="5"/>
  <c r="K23" i="5"/>
  <c r="J23" i="5"/>
  <c r="I23" i="5"/>
  <c r="H23" i="5"/>
  <c r="G23" i="5"/>
  <c r="F23" i="5"/>
  <c r="E23" i="5"/>
  <c r="D23" i="5"/>
  <c r="C23" i="5"/>
  <c r="L19" i="5"/>
  <c r="K19" i="5"/>
  <c r="K98" i="5" s="1"/>
  <c r="J19" i="5"/>
  <c r="J98" i="5" s="1"/>
  <c r="I19" i="5"/>
  <c r="H19" i="5"/>
  <c r="G19" i="5"/>
  <c r="F19" i="5"/>
  <c r="F98" i="5" s="1"/>
  <c r="E19" i="5"/>
  <c r="D19" i="5"/>
  <c r="D98" i="5" s="1"/>
  <c r="C19" i="5"/>
  <c r="K18" i="5"/>
  <c r="J18" i="5"/>
  <c r="I18" i="5"/>
  <c r="H18" i="5"/>
  <c r="G18" i="5"/>
  <c r="F18" i="5"/>
  <c r="E18" i="5"/>
  <c r="D18" i="5"/>
  <c r="C18" i="5"/>
  <c r="L17" i="5"/>
  <c r="K17" i="5"/>
  <c r="J17" i="5"/>
  <c r="I17" i="5"/>
  <c r="H17" i="5"/>
  <c r="G17" i="5"/>
  <c r="F17" i="5"/>
  <c r="E17" i="5"/>
  <c r="D17" i="5"/>
  <c r="C17" i="5"/>
  <c r="L16" i="5"/>
  <c r="L96" i="5" s="1"/>
  <c r="K16" i="5"/>
  <c r="K96" i="5" s="1"/>
  <c r="J16" i="5"/>
  <c r="I16" i="5"/>
  <c r="I96" i="5" s="1"/>
  <c r="H16" i="5"/>
  <c r="G16" i="5"/>
  <c r="F16" i="5"/>
  <c r="F96" i="5" s="1"/>
  <c r="E16" i="5"/>
  <c r="D16" i="5"/>
  <c r="D96" i="5" s="1"/>
  <c r="C16" i="5"/>
  <c r="L15" i="5"/>
  <c r="K15" i="5"/>
  <c r="J15" i="5"/>
  <c r="I15" i="5"/>
  <c r="H15" i="5"/>
  <c r="G15" i="5"/>
  <c r="F15" i="5"/>
  <c r="E15" i="5"/>
  <c r="D15" i="5"/>
  <c r="L14" i="5"/>
  <c r="K14" i="5"/>
  <c r="J14" i="5"/>
  <c r="I14" i="5"/>
  <c r="H14" i="5"/>
  <c r="G14" i="5"/>
  <c r="F14" i="5"/>
  <c r="E14" i="5"/>
  <c r="D14" i="5"/>
  <c r="C15" i="5"/>
  <c r="C14" i="5"/>
  <c r="L12" i="5"/>
  <c r="L13" i="5" s="1"/>
  <c r="K12" i="5"/>
  <c r="K13" i="5" s="1"/>
  <c r="J12" i="5"/>
  <c r="J13" i="5" s="1"/>
  <c r="I12" i="5"/>
  <c r="I13" i="5" s="1"/>
  <c r="H12" i="5"/>
  <c r="H13" i="5" s="1"/>
  <c r="G12" i="5"/>
  <c r="G13" i="5" s="1"/>
  <c r="F12" i="5"/>
  <c r="F13" i="5" s="1"/>
  <c r="E12" i="5"/>
  <c r="E13" i="5" s="1"/>
  <c r="D12" i="5"/>
  <c r="D13" i="5" s="1"/>
  <c r="C12" i="5"/>
  <c r="C13" i="5" s="1"/>
  <c r="L10" i="5"/>
  <c r="K10" i="5"/>
  <c r="J10" i="5"/>
  <c r="I10" i="5"/>
  <c r="H10" i="5"/>
  <c r="G10" i="5"/>
  <c r="F10" i="5"/>
  <c r="E10" i="5"/>
  <c r="D10" i="5"/>
  <c r="C10" i="5"/>
  <c r="L9" i="5"/>
  <c r="K9" i="5"/>
  <c r="J9" i="5"/>
  <c r="I9" i="5"/>
  <c r="H9" i="5"/>
  <c r="G9" i="5"/>
  <c r="F9" i="5"/>
  <c r="E9" i="5"/>
  <c r="D9" i="5"/>
  <c r="C9" i="5"/>
  <c r="L8" i="5"/>
  <c r="K8" i="5"/>
  <c r="J8" i="5"/>
  <c r="I8" i="5"/>
  <c r="I11" i="5" s="1"/>
  <c r="H8" i="5"/>
  <c r="G8" i="5"/>
  <c r="F8" i="5"/>
  <c r="E8" i="5"/>
  <c r="D8" i="5"/>
  <c r="C8" i="5"/>
  <c r="L6" i="5"/>
  <c r="L92" i="5" s="1"/>
  <c r="K6" i="5"/>
  <c r="K92" i="5" s="1"/>
  <c r="J6" i="5"/>
  <c r="I6" i="5"/>
  <c r="H6" i="5"/>
  <c r="G6" i="5"/>
  <c r="F6" i="5"/>
  <c r="E6" i="5"/>
  <c r="E92" i="5" s="1"/>
  <c r="D6" i="5"/>
  <c r="D92" i="5" s="1"/>
  <c r="C6" i="5"/>
  <c r="L5" i="5"/>
  <c r="L104" i="5" s="1"/>
  <c r="K5" i="5"/>
  <c r="J5" i="5"/>
  <c r="I5" i="5"/>
  <c r="H5" i="5"/>
  <c r="G5" i="5"/>
  <c r="F5" i="5"/>
  <c r="E5" i="5"/>
  <c r="D5" i="5"/>
  <c r="C5" i="5"/>
  <c r="L3" i="5"/>
  <c r="K3" i="5"/>
  <c r="J3" i="5"/>
  <c r="I3" i="5"/>
  <c r="H3" i="5"/>
  <c r="G3" i="5"/>
  <c r="F3" i="5"/>
  <c r="E3" i="5"/>
  <c r="D3" i="5"/>
  <c r="C3" i="5"/>
  <c r="L2" i="5"/>
  <c r="K2" i="5"/>
  <c r="J2" i="5"/>
  <c r="I2" i="5"/>
  <c r="H2" i="5"/>
  <c r="G2" i="5"/>
  <c r="F2" i="5"/>
  <c r="E2" i="5"/>
  <c r="D2" i="5"/>
  <c r="C2" i="5"/>
  <c r="J143" i="3"/>
  <c r="E147" i="1"/>
  <c r="F147" i="1"/>
  <c r="G147" i="1"/>
  <c r="H147" i="1"/>
  <c r="I147" i="1"/>
  <c r="J147" i="1"/>
  <c r="K147" i="1"/>
  <c r="L147" i="1"/>
  <c r="D147" i="1"/>
  <c r="X21" i="4"/>
  <c r="Y21" i="4"/>
  <c r="W21" i="4"/>
  <c r="P11" i="4"/>
  <c r="Q11" i="4"/>
  <c r="Q18" i="4" s="1"/>
  <c r="Q25" i="4" s="1"/>
  <c r="R11" i="4"/>
  <c r="R18" i="4" s="1"/>
  <c r="R25" i="4" s="1"/>
  <c r="S11" i="4"/>
  <c r="S18" i="4" s="1"/>
  <c r="S25" i="4" s="1"/>
  <c r="T11" i="4"/>
  <c r="U11" i="4"/>
  <c r="V11" i="4"/>
  <c r="P10" i="4"/>
  <c r="Q10" i="4"/>
  <c r="R10" i="4"/>
  <c r="S10" i="4"/>
  <c r="T10" i="4"/>
  <c r="U10" i="4"/>
  <c r="V10" i="4"/>
  <c r="P9" i="4"/>
  <c r="Q9" i="4"/>
  <c r="Q16" i="4" s="1"/>
  <c r="Q24" i="4" s="1"/>
  <c r="R9" i="4"/>
  <c r="S9" i="4"/>
  <c r="S16" i="4" s="1"/>
  <c r="S24" i="4" s="1"/>
  <c r="T9" i="4"/>
  <c r="T16" i="4" s="1"/>
  <c r="T24" i="4" s="1"/>
  <c r="U9" i="4"/>
  <c r="U16" i="4" s="1"/>
  <c r="U24" i="4" s="1"/>
  <c r="V9" i="4"/>
  <c r="P8" i="4"/>
  <c r="Q8" i="4"/>
  <c r="Q15" i="4" s="1"/>
  <c r="Q23" i="4" s="1"/>
  <c r="R8" i="4"/>
  <c r="R15" i="4" s="1"/>
  <c r="R23" i="4" s="1"/>
  <c r="S8" i="4"/>
  <c r="S15" i="4" s="1"/>
  <c r="S23" i="4" s="1"/>
  <c r="T8" i="4"/>
  <c r="U8" i="4"/>
  <c r="V8" i="4"/>
  <c r="P7" i="4"/>
  <c r="Q7" i="4"/>
  <c r="Q14" i="4" s="1"/>
  <c r="Q22" i="4" s="1"/>
  <c r="R7" i="4"/>
  <c r="R14" i="4" s="1"/>
  <c r="R22" i="4" s="1"/>
  <c r="S7" i="4"/>
  <c r="S14" i="4" s="1"/>
  <c r="S22" i="4" s="1"/>
  <c r="T7" i="4"/>
  <c r="T14" i="4" s="1"/>
  <c r="T22" i="4" s="1"/>
  <c r="U7" i="4"/>
  <c r="U14" i="4" s="1"/>
  <c r="U22" i="4" s="1"/>
  <c r="V7" i="4"/>
  <c r="O8" i="4"/>
  <c r="O9" i="4"/>
  <c r="O10" i="4"/>
  <c r="O11" i="4"/>
  <c r="O7" i="4"/>
  <c r="N8" i="4"/>
  <c r="N9" i="4"/>
  <c r="N10" i="4"/>
  <c r="N11" i="4"/>
  <c r="N7" i="4"/>
  <c r="P6" i="4"/>
  <c r="P21" i="4" s="1"/>
  <c r="Q6" i="4"/>
  <c r="Q21" i="4" s="1"/>
  <c r="R6" i="4"/>
  <c r="R21" i="4" s="1"/>
  <c r="S6" i="4"/>
  <c r="S21" i="4" s="1"/>
  <c r="T6" i="4"/>
  <c r="T21" i="4" s="1"/>
  <c r="U6" i="4"/>
  <c r="U21" i="4" s="1"/>
  <c r="V6" i="4"/>
  <c r="V21" i="4" s="1"/>
  <c r="O6" i="4"/>
  <c r="O21" i="4" s="1"/>
  <c r="D58" i="4"/>
  <c r="E58" i="4"/>
  <c r="E59" i="4" s="1"/>
  <c r="F58" i="4"/>
  <c r="G58" i="4"/>
  <c r="C58" i="4"/>
  <c r="H57" i="4"/>
  <c r="I57" i="4"/>
  <c r="J57" i="4"/>
  <c r="K57" i="4"/>
  <c r="L57" i="4"/>
  <c r="H51" i="4"/>
  <c r="I51" i="4"/>
  <c r="J51" i="4"/>
  <c r="K51" i="4"/>
  <c r="L51" i="4"/>
  <c r="D45" i="4"/>
  <c r="E45" i="4"/>
  <c r="F45" i="4"/>
  <c r="G45" i="4"/>
  <c r="C45" i="4"/>
  <c r="B45" i="4"/>
  <c r="D44" i="4"/>
  <c r="E44" i="4"/>
  <c r="F44" i="4"/>
  <c r="G44" i="4"/>
  <c r="C44" i="4"/>
  <c r="B44" i="4"/>
  <c r="D43" i="4"/>
  <c r="E43" i="4"/>
  <c r="F43" i="4"/>
  <c r="G43" i="4"/>
  <c r="C43" i="4"/>
  <c r="B43" i="4"/>
  <c r="D42" i="4"/>
  <c r="E42" i="4"/>
  <c r="F42" i="4"/>
  <c r="G42" i="4"/>
  <c r="C42" i="4"/>
  <c r="B42" i="4"/>
  <c r="D41" i="4"/>
  <c r="E41" i="4"/>
  <c r="F41" i="4"/>
  <c r="G41" i="4"/>
  <c r="C41" i="4"/>
  <c r="B41" i="4"/>
  <c r="D39" i="4"/>
  <c r="E39" i="4"/>
  <c r="F39" i="4"/>
  <c r="G39" i="4"/>
  <c r="C39" i="4"/>
  <c r="B39" i="4"/>
  <c r="B38" i="4"/>
  <c r="D37" i="4"/>
  <c r="E37" i="4"/>
  <c r="F37" i="4"/>
  <c r="G37" i="4"/>
  <c r="C37" i="4"/>
  <c r="D35" i="4"/>
  <c r="E35" i="4"/>
  <c r="F35" i="4"/>
  <c r="G35" i="4"/>
  <c r="C35" i="4"/>
  <c r="B37" i="4"/>
  <c r="B35" i="4"/>
  <c r="D33" i="4"/>
  <c r="E33" i="4"/>
  <c r="F33" i="4"/>
  <c r="G33" i="4"/>
  <c r="C33" i="4"/>
  <c r="B33" i="4"/>
  <c r="D29" i="4"/>
  <c r="E29" i="4"/>
  <c r="F29" i="4"/>
  <c r="G29" i="4"/>
  <c r="C29" i="4"/>
  <c r="B31" i="4"/>
  <c r="B29" i="4"/>
  <c r="H28" i="4"/>
  <c r="I28" i="4"/>
  <c r="J28" i="4"/>
  <c r="K28" i="4"/>
  <c r="L28" i="4"/>
  <c r="I18" i="4"/>
  <c r="J18" i="4"/>
  <c r="K18" i="4"/>
  <c r="L18" i="4"/>
  <c r="H18" i="4"/>
  <c r="I16" i="4"/>
  <c r="J16" i="4"/>
  <c r="K16" i="4"/>
  <c r="L16" i="4"/>
  <c r="H16" i="4"/>
  <c r="I15" i="4"/>
  <c r="J15" i="4"/>
  <c r="K15" i="4"/>
  <c r="L15" i="4"/>
  <c r="H15" i="4"/>
  <c r="I14" i="4"/>
  <c r="J14" i="4"/>
  <c r="K14" i="4"/>
  <c r="L14" i="4"/>
  <c r="H14" i="4"/>
  <c r="L21" i="4"/>
  <c r="H21" i="4"/>
  <c r="I21" i="4"/>
  <c r="J21" i="4"/>
  <c r="K21" i="4"/>
  <c r="G11" i="4"/>
  <c r="F11" i="4"/>
  <c r="E11" i="4"/>
  <c r="D11" i="4"/>
  <c r="G10" i="4"/>
  <c r="F10" i="4"/>
  <c r="E10" i="4"/>
  <c r="D10" i="4"/>
  <c r="G9" i="4"/>
  <c r="F9" i="4"/>
  <c r="E9" i="4"/>
  <c r="D9" i="4"/>
  <c r="G8" i="4"/>
  <c r="F8" i="4"/>
  <c r="E8" i="4"/>
  <c r="D8" i="4"/>
  <c r="D7" i="4"/>
  <c r="E7" i="4"/>
  <c r="F7" i="4"/>
  <c r="G7" i="4"/>
  <c r="C7" i="4"/>
  <c r="C8" i="4"/>
  <c r="C9" i="4"/>
  <c r="C10" i="4"/>
  <c r="C11" i="4"/>
  <c r="C12" i="4"/>
  <c r="B7" i="4"/>
  <c r="B8" i="4"/>
  <c r="B9" i="4"/>
  <c r="B10" i="4"/>
  <c r="B11" i="4"/>
  <c r="P9" i="3"/>
  <c r="D145" i="1"/>
  <c r="E145" i="1"/>
  <c r="F145" i="1"/>
  <c r="G145" i="1"/>
  <c r="H145" i="1"/>
  <c r="C48" i="4" s="1"/>
  <c r="I145" i="1"/>
  <c r="D48" i="4" s="1"/>
  <c r="J145" i="1"/>
  <c r="E48" i="4" s="1"/>
  <c r="K145" i="1"/>
  <c r="F48" i="4" s="1"/>
  <c r="L145" i="1"/>
  <c r="G48" i="4" s="1"/>
  <c r="C145" i="1"/>
  <c r="D166" i="1"/>
  <c r="E166" i="1"/>
  <c r="F166" i="1"/>
  <c r="G166" i="1"/>
  <c r="H166" i="1"/>
  <c r="I166" i="1"/>
  <c r="J166" i="1"/>
  <c r="K166" i="1"/>
  <c r="L166" i="1"/>
  <c r="C166" i="1"/>
  <c r="D165" i="1"/>
  <c r="E165" i="1"/>
  <c r="F165" i="1"/>
  <c r="G165" i="1"/>
  <c r="H165" i="1"/>
  <c r="I165" i="1"/>
  <c r="J165" i="1"/>
  <c r="K165" i="1"/>
  <c r="L165" i="1"/>
  <c r="C165" i="1"/>
  <c r="E161" i="1"/>
  <c r="F161" i="1"/>
  <c r="G161" i="1"/>
  <c r="H161" i="1"/>
  <c r="I161" i="1"/>
  <c r="J161" i="1"/>
  <c r="K161" i="1"/>
  <c r="L161" i="1"/>
  <c r="D161" i="1"/>
  <c r="E160" i="1"/>
  <c r="F160" i="1"/>
  <c r="G160" i="1"/>
  <c r="H160" i="1"/>
  <c r="I160" i="1"/>
  <c r="J160" i="1"/>
  <c r="K160" i="1"/>
  <c r="L160" i="1"/>
  <c r="D160" i="1"/>
  <c r="E159" i="1"/>
  <c r="F159" i="1"/>
  <c r="G159" i="1"/>
  <c r="H159" i="1"/>
  <c r="I159" i="1"/>
  <c r="J159" i="1"/>
  <c r="K159" i="1"/>
  <c r="L159" i="1"/>
  <c r="D159" i="1"/>
  <c r="E157" i="1"/>
  <c r="F157" i="1"/>
  <c r="G157" i="1"/>
  <c r="H157" i="1"/>
  <c r="I157" i="1"/>
  <c r="J157" i="1"/>
  <c r="K157" i="1"/>
  <c r="L157" i="1"/>
  <c r="E156" i="1"/>
  <c r="F156" i="1"/>
  <c r="G156" i="1"/>
  <c r="H156" i="1"/>
  <c r="I156" i="1"/>
  <c r="J156" i="1"/>
  <c r="K156" i="1"/>
  <c r="L156" i="1"/>
  <c r="D156" i="1"/>
  <c r="D157" i="1"/>
  <c r="E154" i="1"/>
  <c r="F154" i="1"/>
  <c r="G154" i="1"/>
  <c r="H154" i="1"/>
  <c r="I154" i="1"/>
  <c r="J154" i="1"/>
  <c r="K154" i="1"/>
  <c r="L154" i="1"/>
  <c r="D154" i="1"/>
  <c r="E153" i="1"/>
  <c r="F153" i="1"/>
  <c r="G153" i="1"/>
  <c r="H153" i="1"/>
  <c r="I153" i="1"/>
  <c r="J153" i="1"/>
  <c r="K153" i="1"/>
  <c r="L153" i="1"/>
  <c r="D153" i="1"/>
  <c r="H152" i="1"/>
  <c r="I152" i="1"/>
  <c r="J152" i="1"/>
  <c r="K152" i="1"/>
  <c r="L152" i="1"/>
  <c r="G152" i="1"/>
  <c r="F152" i="1"/>
  <c r="E152" i="1"/>
  <c r="E151" i="1"/>
  <c r="D152" i="1"/>
  <c r="H151" i="1"/>
  <c r="G151" i="1"/>
  <c r="F151" i="1"/>
  <c r="D151" i="1"/>
  <c r="L151" i="1"/>
  <c r="K151" i="1"/>
  <c r="J151" i="1"/>
  <c r="I151" i="1"/>
  <c r="P6" i="3"/>
  <c r="P7" i="3"/>
  <c r="P8" i="3"/>
  <c r="P10" i="3"/>
  <c r="P11" i="3"/>
  <c r="P12" i="3"/>
  <c r="P14" i="3"/>
  <c r="P15" i="3"/>
  <c r="P16" i="3"/>
  <c r="P17" i="3"/>
  <c r="P18" i="3"/>
  <c r="P19" i="3"/>
  <c r="P20" i="3"/>
  <c r="P21" i="3"/>
  <c r="P22" i="3"/>
  <c r="P23" i="3"/>
  <c r="P24" i="3"/>
  <c r="P25" i="3"/>
  <c r="P26" i="3"/>
  <c r="P27" i="3"/>
  <c r="P5" i="3"/>
  <c r="P3" i="3"/>
  <c r="J152" i="3"/>
  <c r="J153" i="3"/>
  <c r="J148" i="3"/>
  <c r="J149" i="3"/>
  <c r="Q6" i="3"/>
  <c r="Q7" i="3"/>
  <c r="Q8" i="3"/>
  <c r="Q10" i="3"/>
  <c r="Q11" i="3"/>
  <c r="Q12" i="3"/>
  <c r="Q14" i="3"/>
  <c r="Q15" i="3"/>
  <c r="Q16" i="3"/>
  <c r="Q17" i="3"/>
  <c r="Q18" i="3"/>
  <c r="Q19" i="3"/>
  <c r="Q20" i="3"/>
  <c r="Q21" i="3"/>
  <c r="Q22" i="3"/>
  <c r="Q23" i="3"/>
  <c r="Q24" i="3"/>
  <c r="Q25" i="3"/>
  <c r="Q26" i="3"/>
  <c r="Q27" i="3"/>
  <c r="Q5" i="3"/>
  <c r="Q3" i="3"/>
  <c r="N25" i="3"/>
  <c r="N24" i="3"/>
  <c r="N22" i="3"/>
  <c r="N23" i="3"/>
  <c r="N15" i="3"/>
  <c r="N16" i="3"/>
  <c r="N17" i="3"/>
  <c r="N18" i="3"/>
  <c r="N19" i="3"/>
  <c r="N20" i="3"/>
  <c r="N21" i="3"/>
  <c r="N10" i="3"/>
  <c r="N11" i="3"/>
  <c r="N12" i="3"/>
  <c r="N14" i="3"/>
  <c r="N8" i="3"/>
  <c r="N6" i="3"/>
  <c r="N7" i="3"/>
  <c r="N5" i="3"/>
  <c r="J135" i="3"/>
  <c r="J136" i="3" s="1"/>
  <c r="J71" i="3"/>
  <c r="J130" i="3"/>
  <c r="J128" i="3"/>
  <c r="J129" i="3" s="1"/>
  <c r="J126" i="3"/>
  <c r="J127" i="3" s="1"/>
  <c r="J124" i="3"/>
  <c r="J125" i="3" s="1"/>
  <c r="J59" i="3"/>
  <c r="U51" i="5" s="1"/>
  <c r="W51" i="5" s="1"/>
  <c r="J45" i="3"/>
  <c r="U37" i="5" s="1"/>
  <c r="W37" i="5" s="1"/>
  <c r="J13" i="3"/>
  <c r="J9" i="3"/>
  <c r="D130" i="1"/>
  <c r="E130" i="1"/>
  <c r="F130" i="1"/>
  <c r="G130" i="1"/>
  <c r="H130" i="1"/>
  <c r="I130" i="1"/>
  <c r="J130" i="1"/>
  <c r="K130" i="1"/>
  <c r="L130" i="1"/>
  <c r="C130" i="1"/>
  <c r="D128" i="1"/>
  <c r="D129" i="1" s="1"/>
  <c r="E128" i="1"/>
  <c r="E129" i="1" s="1"/>
  <c r="F128" i="1"/>
  <c r="F129" i="1" s="1"/>
  <c r="G128" i="1"/>
  <c r="G129" i="1" s="1"/>
  <c r="H128" i="1"/>
  <c r="H129" i="1" s="1"/>
  <c r="I128" i="1"/>
  <c r="I129" i="1" s="1"/>
  <c r="J128" i="1"/>
  <c r="J129" i="1" s="1"/>
  <c r="K128" i="1"/>
  <c r="K129" i="1" s="1"/>
  <c r="L128" i="1"/>
  <c r="L129" i="1" s="1"/>
  <c r="C128" i="1"/>
  <c r="C129" i="1" s="1"/>
  <c r="D137" i="1"/>
  <c r="D138" i="1" s="1"/>
  <c r="E137" i="1"/>
  <c r="E138" i="1" s="1"/>
  <c r="F137" i="1"/>
  <c r="F138" i="1" s="1"/>
  <c r="G137" i="1"/>
  <c r="G138" i="1" s="1"/>
  <c r="H137" i="1"/>
  <c r="H138" i="1" s="1"/>
  <c r="I137" i="1"/>
  <c r="I138" i="1" s="1"/>
  <c r="J137" i="1"/>
  <c r="J138" i="1" s="1"/>
  <c r="K137" i="1"/>
  <c r="K138" i="1" s="1"/>
  <c r="L137" i="1"/>
  <c r="L138" i="1" s="1"/>
  <c r="C137" i="1"/>
  <c r="C138" i="1" s="1"/>
  <c r="D135" i="1"/>
  <c r="D136" i="1" s="1"/>
  <c r="E135" i="1"/>
  <c r="E136" i="1" s="1"/>
  <c r="F135" i="1"/>
  <c r="F136" i="1" s="1"/>
  <c r="G135" i="1"/>
  <c r="G136" i="1" s="1"/>
  <c r="H135" i="1"/>
  <c r="H136" i="1" s="1"/>
  <c r="I135" i="1"/>
  <c r="I136" i="1" s="1"/>
  <c r="J135" i="1"/>
  <c r="J136" i="1" s="1"/>
  <c r="K135" i="1"/>
  <c r="K136" i="1" s="1"/>
  <c r="L135" i="1"/>
  <c r="L136" i="1" s="1"/>
  <c r="C135" i="1"/>
  <c r="C136" i="1" s="1"/>
  <c r="J133" i="1"/>
  <c r="J134" i="1" s="1"/>
  <c r="K133" i="1"/>
  <c r="K134" i="1" s="1"/>
  <c r="L133" i="1"/>
  <c r="L134" i="1" s="1"/>
  <c r="D133" i="1"/>
  <c r="D134" i="1" s="1"/>
  <c r="E133" i="1"/>
  <c r="E134" i="1" s="1"/>
  <c r="F133" i="1"/>
  <c r="F134" i="1" s="1"/>
  <c r="G133" i="1"/>
  <c r="G134" i="1" s="1"/>
  <c r="H133" i="1"/>
  <c r="H134" i="1" s="1"/>
  <c r="I133" i="1"/>
  <c r="I134" i="1" s="1"/>
  <c r="C133" i="1"/>
  <c r="C134" i="1" s="1"/>
  <c r="D126" i="1"/>
  <c r="D127" i="1" s="1"/>
  <c r="E126" i="1"/>
  <c r="E127" i="1" s="1"/>
  <c r="F126" i="1"/>
  <c r="F127" i="1" s="1"/>
  <c r="G126" i="1"/>
  <c r="G127" i="1" s="1"/>
  <c r="H126" i="1"/>
  <c r="H127" i="1" s="1"/>
  <c r="I126" i="1"/>
  <c r="I127" i="1" s="1"/>
  <c r="J126" i="1"/>
  <c r="J127" i="1" s="1"/>
  <c r="K126" i="1"/>
  <c r="K127" i="1" s="1"/>
  <c r="L126" i="1"/>
  <c r="L127" i="1" s="1"/>
  <c r="C126" i="1"/>
  <c r="C127" i="1" s="1"/>
  <c r="K124" i="1"/>
  <c r="K125" i="1" s="1"/>
  <c r="L124" i="1"/>
  <c r="L125" i="1" s="1"/>
  <c r="D124" i="1"/>
  <c r="D125" i="1" s="1"/>
  <c r="E124" i="1"/>
  <c r="E125" i="1" s="1"/>
  <c r="F124" i="1"/>
  <c r="F125" i="1" s="1"/>
  <c r="G124" i="1"/>
  <c r="G125" i="1" s="1"/>
  <c r="H124" i="1"/>
  <c r="H125" i="1" s="1"/>
  <c r="I124" i="1"/>
  <c r="I125" i="1" s="1"/>
  <c r="J124" i="1"/>
  <c r="J125" i="1" s="1"/>
  <c r="C124" i="1"/>
  <c r="C125" i="1" s="1"/>
  <c r="E9" i="1"/>
  <c r="E164" i="1" s="1"/>
  <c r="D71" i="1"/>
  <c r="D131" i="1" s="1"/>
  <c r="D132" i="1" s="1"/>
  <c r="E71" i="1"/>
  <c r="E131" i="1" s="1"/>
  <c r="E132" i="1" s="1"/>
  <c r="F71" i="1"/>
  <c r="F131" i="1" s="1"/>
  <c r="F132" i="1" s="1"/>
  <c r="G71" i="1"/>
  <c r="G131" i="1" s="1"/>
  <c r="G132" i="1" s="1"/>
  <c r="H71" i="1"/>
  <c r="H131" i="1" s="1"/>
  <c r="H132" i="1" s="1"/>
  <c r="I71" i="1"/>
  <c r="I131" i="1" s="1"/>
  <c r="I132" i="1" s="1"/>
  <c r="J71" i="1"/>
  <c r="J131" i="1" s="1"/>
  <c r="J132" i="1" s="1"/>
  <c r="K71" i="1"/>
  <c r="K131" i="1" s="1"/>
  <c r="K132" i="1" s="1"/>
  <c r="L71" i="1"/>
  <c r="L131" i="1" s="1"/>
  <c r="L132" i="1" s="1"/>
  <c r="C71" i="1"/>
  <c r="C131" i="1" s="1"/>
  <c r="C132" i="1" s="1"/>
  <c r="L59" i="1"/>
  <c r="L51" i="5" s="1"/>
  <c r="L45" i="1"/>
  <c r="L37" i="5" s="1"/>
  <c r="K59" i="1"/>
  <c r="K51" i="5" s="1"/>
  <c r="K45" i="1"/>
  <c r="K37" i="5" s="1"/>
  <c r="J59" i="1"/>
  <c r="J51" i="5" s="1"/>
  <c r="J45" i="1"/>
  <c r="J37" i="5" s="1"/>
  <c r="I59" i="1"/>
  <c r="I51" i="5" s="1"/>
  <c r="I45" i="1"/>
  <c r="I37" i="5" s="1"/>
  <c r="G59" i="1"/>
  <c r="G51" i="5" s="1"/>
  <c r="H59" i="1"/>
  <c r="H51" i="5" s="1"/>
  <c r="G45" i="1"/>
  <c r="G37" i="5" s="1"/>
  <c r="H45" i="1"/>
  <c r="H37" i="5" s="1"/>
  <c r="E59" i="1"/>
  <c r="E51" i="5" s="1"/>
  <c r="F59" i="1"/>
  <c r="F51" i="5" s="1"/>
  <c r="E45" i="1"/>
  <c r="E37" i="5" s="1"/>
  <c r="F45" i="1"/>
  <c r="F37" i="5" s="1"/>
  <c r="D59" i="1"/>
  <c r="D51" i="5" s="1"/>
  <c r="C59" i="1"/>
  <c r="C51" i="5" s="1"/>
  <c r="D45" i="1"/>
  <c r="D37" i="5" s="1"/>
  <c r="C45" i="1"/>
  <c r="C37" i="5" s="1"/>
  <c r="L13" i="1"/>
  <c r="G38" i="4" s="1"/>
  <c r="L9" i="1"/>
  <c r="K13" i="1"/>
  <c r="K9" i="1"/>
  <c r="F31" i="4" s="1"/>
  <c r="J13" i="1"/>
  <c r="J9" i="1"/>
  <c r="E31" i="4" s="1"/>
  <c r="I13" i="1"/>
  <c r="I9" i="1"/>
  <c r="H13" i="1"/>
  <c r="H9" i="1"/>
  <c r="C31" i="4" s="1"/>
  <c r="G13" i="1"/>
  <c r="G122" i="1" s="1"/>
  <c r="G123" i="1" s="1"/>
  <c r="G9" i="1"/>
  <c r="F13" i="1"/>
  <c r="F122" i="1" s="1"/>
  <c r="F9" i="1"/>
  <c r="F164" i="1" s="1"/>
  <c r="E13" i="1"/>
  <c r="D13" i="1"/>
  <c r="D9" i="1"/>
  <c r="D164" i="1" s="1"/>
  <c r="C13" i="1"/>
  <c r="C9" i="1"/>
  <c r="C6" i="12" l="1"/>
  <c r="C7" i="12" s="1"/>
  <c r="C15" i="17"/>
  <c r="C23" i="17" s="1"/>
  <c r="C26" i="17" s="1"/>
  <c r="C10" i="16"/>
  <c r="C7" i="10"/>
  <c r="C8" i="10" s="1"/>
  <c r="C12" i="10" s="1"/>
  <c r="C8" i="9"/>
  <c r="AA10" i="7"/>
  <c r="AA11" i="7" s="1"/>
  <c r="X6" i="8" s="1"/>
  <c r="Z19" i="7"/>
  <c r="X19" i="7"/>
  <c r="AE10" i="7"/>
  <c r="H10" i="7"/>
  <c r="G19" i="7"/>
  <c r="G18" i="7"/>
  <c r="H18" i="7"/>
  <c r="G6" i="17"/>
  <c r="G40" i="17" s="1"/>
  <c r="G5" i="15"/>
  <c r="G6" i="14"/>
  <c r="G5" i="10"/>
  <c r="G6" i="9"/>
  <c r="F14" i="7"/>
  <c r="F6" i="17"/>
  <c r="F40" i="17" s="1"/>
  <c r="F5" i="15"/>
  <c r="F6" i="14"/>
  <c r="F5" i="10"/>
  <c r="F6" i="9"/>
  <c r="E14" i="7"/>
  <c r="E6" i="17"/>
  <c r="E40" i="17" s="1"/>
  <c r="E6" i="14"/>
  <c r="E6" i="9"/>
  <c r="E5" i="10"/>
  <c r="E5" i="15"/>
  <c r="D14" i="7"/>
  <c r="D6" i="17"/>
  <c r="D40" i="17" s="1"/>
  <c r="D5" i="15"/>
  <c r="D5" i="10"/>
  <c r="D6" i="14"/>
  <c r="D6" i="9"/>
  <c r="C14" i="7"/>
  <c r="C5" i="10"/>
  <c r="C6" i="9"/>
  <c r="C5" i="15"/>
  <c r="C6" i="17"/>
  <c r="C40" i="17" s="1"/>
  <c r="C6" i="14"/>
  <c r="G49" i="17"/>
  <c r="G47" i="17"/>
  <c r="F49" i="17"/>
  <c r="F47" i="17"/>
  <c r="E49" i="17"/>
  <c r="E47" i="17"/>
  <c r="D49" i="17"/>
  <c r="G41" i="17"/>
  <c r="F43" i="17"/>
  <c r="F45" i="17"/>
  <c r="F46" i="17"/>
  <c r="E43" i="17"/>
  <c r="E45" i="17"/>
  <c r="E46" i="17"/>
  <c r="D43" i="17"/>
  <c r="D45" i="17"/>
  <c r="D19" i="15"/>
  <c r="G28" i="15"/>
  <c r="G29" i="15"/>
  <c r="G32" i="15" s="1"/>
  <c r="F28" i="15"/>
  <c r="F29" i="15"/>
  <c r="F32" i="15" s="1"/>
  <c r="E28" i="15"/>
  <c r="E29" i="15"/>
  <c r="E32" i="15" s="1"/>
  <c r="D28" i="15"/>
  <c r="D29" i="15"/>
  <c r="D32" i="15" s="1"/>
  <c r="C28" i="15"/>
  <c r="C29" i="15"/>
  <c r="C32" i="15" s="1"/>
  <c r="H18" i="15"/>
  <c r="I18" i="15" s="1"/>
  <c r="J18" i="15" s="1"/>
  <c r="K18" i="15" s="1"/>
  <c r="L18" i="15" s="1"/>
  <c r="G19" i="15"/>
  <c r="C19" i="12"/>
  <c r="E29" i="10"/>
  <c r="E30" i="10" s="1"/>
  <c r="C36" i="9"/>
  <c r="C37" i="9" s="1"/>
  <c r="F22" i="9"/>
  <c r="G44" i="9"/>
  <c r="G43" i="9"/>
  <c r="F44" i="9"/>
  <c r="F43" i="9"/>
  <c r="E43" i="9"/>
  <c r="E44" i="9"/>
  <c r="D43" i="9"/>
  <c r="D44" i="9"/>
  <c r="C43" i="9"/>
  <c r="C44" i="9"/>
  <c r="G23" i="9"/>
  <c r="F23" i="9"/>
  <c r="E23" i="9"/>
  <c r="D23" i="9"/>
  <c r="C20" i="8"/>
  <c r="W19" i="8"/>
  <c r="S21" i="8"/>
  <c r="V20" i="8"/>
  <c r="Q20" i="8"/>
  <c r="V19" i="8"/>
  <c r="R19" i="8"/>
  <c r="W21" i="8"/>
  <c r="R21" i="8"/>
  <c r="W20" i="8"/>
  <c r="T20" i="8"/>
  <c r="R20" i="8"/>
  <c r="T19" i="8"/>
  <c r="P19" i="8"/>
  <c r="V21" i="8"/>
  <c r="P21" i="8"/>
  <c r="S19" i="8"/>
  <c r="T21" i="8"/>
  <c r="Q21" i="8"/>
  <c r="S20" i="8"/>
  <c r="P20" i="8"/>
  <c r="Q19" i="8"/>
  <c r="U21" i="8"/>
  <c r="U20" i="8"/>
  <c r="U19" i="8"/>
  <c r="W18" i="8"/>
  <c r="W10" i="8"/>
  <c r="V10" i="8"/>
  <c r="V18" i="8"/>
  <c r="U18" i="8"/>
  <c r="U10" i="8"/>
  <c r="T10" i="8"/>
  <c r="T18" i="8"/>
  <c r="S10" i="8"/>
  <c r="S18" i="8"/>
  <c r="R18" i="8"/>
  <c r="R10" i="8"/>
  <c r="Q18" i="8"/>
  <c r="Q10" i="8"/>
  <c r="P10" i="8"/>
  <c r="P18" i="8"/>
  <c r="H5" i="8"/>
  <c r="G18" i="8"/>
  <c r="G10" i="8"/>
  <c r="F18" i="8"/>
  <c r="F10" i="8"/>
  <c r="E18" i="8"/>
  <c r="E10" i="8"/>
  <c r="D10" i="8"/>
  <c r="D18" i="8"/>
  <c r="C10" i="8"/>
  <c r="C18" i="8"/>
  <c r="U20" i="7"/>
  <c r="V20" i="7"/>
  <c r="E16" i="7"/>
  <c r="W17" i="7"/>
  <c r="F15" i="7"/>
  <c r="F16" i="7"/>
  <c r="U17" i="7"/>
  <c r="D15" i="7"/>
  <c r="V17" i="7"/>
  <c r="T17" i="7"/>
  <c r="D17" i="7"/>
  <c r="D16" i="7"/>
  <c r="V15" i="7"/>
  <c r="V16" i="7"/>
  <c r="W16" i="7"/>
  <c r="W15" i="7"/>
  <c r="T15" i="7"/>
  <c r="U15" i="7"/>
  <c r="E15" i="7"/>
  <c r="Z17" i="7"/>
  <c r="AA8" i="7"/>
  <c r="AE8" i="7" s="1"/>
  <c r="X17" i="7"/>
  <c r="H8" i="7"/>
  <c r="I8" i="7" s="1"/>
  <c r="J8" i="7" s="1"/>
  <c r="K8" i="7" s="1"/>
  <c r="L8" i="7" s="1"/>
  <c r="AA7" i="7"/>
  <c r="Z16" i="7"/>
  <c r="X16" i="7"/>
  <c r="AE7" i="7"/>
  <c r="G16" i="7"/>
  <c r="H7" i="7"/>
  <c r="I7" i="7" s="1"/>
  <c r="J7" i="7" s="1"/>
  <c r="K7" i="7" s="1"/>
  <c r="L7" i="7" s="1"/>
  <c r="AA6" i="7"/>
  <c r="Z15" i="7"/>
  <c r="X15" i="7"/>
  <c r="AE6" i="7"/>
  <c r="H6" i="7"/>
  <c r="H9" i="7" s="1"/>
  <c r="G15" i="7"/>
  <c r="H5" i="7"/>
  <c r="G14" i="7"/>
  <c r="C15" i="2"/>
  <c r="C13" i="2"/>
  <c r="S104" i="5"/>
  <c r="S20" i="5"/>
  <c r="S99" i="5" s="1"/>
  <c r="T99" i="5"/>
  <c r="K104" i="5"/>
  <c r="F104" i="5"/>
  <c r="J103" i="5"/>
  <c r="H104" i="5"/>
  <c r="E104" i="5"/>
  <c r="G104" i="5"/>
  <c r="E103" i="5"/>
  <c r="J104" i="5"/>
  <c r="C104" i="5"/>
  <c r="G96" i="5"/>
  <c r="L103" i="5"/>
  <c r="C103" i="5"/>
  <c r="I104" i="5"/>
  <c r="D104" i="5"/>
  <c r="F103" i="5"/>
  <c r="H11" i="4"/>
  <c r="I11" i="4" s="1"/>
  <c r="J11" i="4" s="1"/>
  <c r="K11" i="4" s="1"/>
  <c r="L11" i="4" s="1"/>
  <c r="W73" i="5"/>
  <c r="W74" i="5"/>
  <c r="C50" i="2" s="1"/>
  <c r="W64" i="5"/>
  <c r="W69" i="5"/>
  <c r="W62" i="5"/>
  <c r="W68" i="5"/>
  <c r="W63" i="5"/>
  <c r="W67" i="5"/>
  <c r="U70" i="5"/>
  <c r="W70" i="5" s="1"/>
  <c r="C48" i="2" s="1"/>
  <c r="C49" i="2" s="1"/>
  <c r="C51" i="2" s="1"/>
  <c r="J137" i="3"/>
  <c r="J138" i="3" s="1"/>
  <c r="U13" i="5"/>
  <c r="W13" i="5" s="1"/>
  <c r="C16" i="2"/>
  <c r="J122" i="3"/>
  <c r="J123" i="3" s="1"/>
  <c r="U11" i="5"/>
  <c r="Q9" i="3"/>
  <c r="R9" i="3" s="1"/>
  <c r="U7" i="5"/>
  <c r="U96" i="5"/>
  <c r="W8" i="5"/>
  <c r="W9" i="5"/>
  <c r="W10" i="5"/>
  <c r="S98" i="5"/>
  <c r="P15" i="4"/>
  <c r="P23" i="4" s="1"/>
  <c r="N11" i="5"/>
  <c r="O94" i="5" s="1"/>
  <c r="C122" i="3"/>
  <c r="C123" i="3" s="1"/>
  <c r="R91" i="5"/>
  <c r="W5" i="5"/>
  <c r="R96" i="5"/>
  <c r="W16" i="5"/>
  <c r="R104" i="5"/>
  <c r="W18" i="5"/>
  <c r="W104" i="5" s="1"/>
  <c r="R95" i="5"/>
  <c r="L98" i="5"/>
  <c r="I98" i="5"/>
  <c r="G98" i="5"/>
  <c r="E98" i="5"/>
  <c r="E95" i="5"/>
  <c r="J92" i="5"/>
  <c r="H92" i="5"/>
  <c r="F92" i="5"/>
  <c r="T57" i="5"/>
  <c r="S57" i="5"/>
  <c r="R57" i="5"/>
  <c r="Q57" i="5"/>
  <c r="P57" i="5"/>
  <c r="O57" i="5"/>
  <c r="N57" i="5"/>
  <c r="H98" i="5"/>
  <c r="J96" i="5"/>
  <c r="H96" i="5"/>
  <c r="J95" i="5"/>
  <c r="G92" i="5"/>
  <c r="E96" i="5"/>
  <c r="L95" i="5"/>
  <c r="F95" i="5"/>
  <c r="I92" i="5"/>
  <c r="T91" i="5"/>
  <c r="T104" i="5"/>
  <c r="R92" i="5"/>
  <c r="W6" i="5"/>
  <c r="O93" i="5"/>
  <c r="O102" i="5"/>
  <c r="P93" i="5"/>
  <c r="P102" i="5"/>
  <c r="Q93" i="5"/>
  <c r="Q102" i="5"/>
  <c r="R93" i="5"/>
  <c r="R102" i="5"/>
  <c r="W7" i="5"/>
  <c r="S93" i="5"/>
  <c r="S102" i="5"/>
  <c r="T93" i="5"/>
  <c r="T102" i="5"/>
  <c r="U93" i="5"/>
  <c r="U102" i="5"/>
  <c r="R94" i="5"/>
  <c r="O95" i="5"/>
  <c r="O103" i="5"/>
  <c r="P95" i="5"/>
  <c r="P103" i="5"/>
  <c r="Q95" i="5"/>
  <c r="Q103" i="5"/>
  <c r="W12" i="5"/>
  <c r="C37" i="2" s="1"/>
  <c r="R103" i="5"/>
  <c r="S95" i="5"/>
  <c r="S103" i="5"/>
  <c r="T95" i="5"/>
  <c r="T103" i="5"/>
  <c r="U95" i="5"/>
  <c r="U103" i="5"/>
  <c r="N60" i="5"/>
  <c r="N104" i="5"/>
  <c r="K95" i="5"/>
  <c r="K103" i="5"/>
  <c r="I95" i="5"/>
  <c r="I103" i="5"/>
  <c r="H95" i="5"/>
  <c r="H103" i="5"/>
  <c r="G95" i="5"/>
  <c r="G103" i="5"/>
  <c r="D95" i="5"/>
  <c r="D103" i="5"/>
  <c r="U57" i="5"/>
  <c r="W57" i="5" s="1"/>
  <c r="W56" i="5"/>
  <c r="W87" i="5" s="1"/>
  <c r="O60" i="5"/>
  <c r="O97" i="5"/>
  <c r="P60" i="5"/>
  <c r="P97" i="5"/>
  <c r="Q60" i="5"/>
  <c r="Q97" i="5"/>
  <c r="R60" i="5"/>
  <c r="R97" i="5"/>
  <c r="S60" i="5"/>
  <c r="S97" i="5"/>
  <c r="T97" i="5"/>
  <c r="U60" i="5"/>
  <c r="U20" i="5"/>
  <c r="U99" i="5" s="1"/>
  <c r="U97" i="5"/>
  <c r="R98" i="5"/>
  <c r="W19" i="5"/>
  <c r="K97" i="5"/>
  <c r="L97" i="5"/>
  <c r="K84" i="5"/>
  <c r="J97" i="5"/>
  <c r="J84" i="5"/>
  <c r="I97" i="5"/>
  <c r="I84" i="5"/>
  <c r="H97" i="5"/>
  <c r="H84" i="5"/>
  <c r="G84" i="5"/>
  <c r="G97" i="5"/>
  <c r="F84" i="5"/>
  <c r="F97" i="5"/>
  <c r="E84" i="5"/>
  <c r="E97" i="5"/>
  <c r="D84" i="5"/>
  <c r="D97" i="5"/>
  <c r="C84" i="5"/>
  <c r="C22" i="2"/>
  <c r="L7" i="5"/>
  <c r="L84" i="5"/>
  <c r="C20" i="2"/>
  <c r="L91" i="5"/>
  <c r="L85" i="5"/>
  <c r="K7" i="5"/>
  <c r="K102" i="5" s="1"/>
  <c r="K85" i="5"/>
  <c r="K91" i="5"/>
  <c r="J7" i="5"/>
  <c r="J102" i="5" s="1"/>
  <c r="J85" i="5"/>
  <c r="J91" i="5"/>
  <c r="I7" i="5"/>
  <c r="I102" i="5" s="1"/>
  <c r="I85" i="5"/>
  <c r="I91" i="5"/>
  <c r="H7" i="5"/>
  <c r="H102" i="5" s="1"/>
  <c r="H85" i="5"/>
  <c r="H91" i="5"/>
  <c r="G7" i="5"/>
  <c r="G102" i="5" s="1"/>
  <c r="G85" i="5"/>
  <c r="G91" i="5"/>
  <c r="F7" i="5"/>
  <c r="F102" i="5" s="1"/>
  <c r="F91" i="5"/>
  <c r="F85" i="5"/>
  <c r="E7" i="5"/>
  <c r="E102" i="5" s="1"/>
  <c r="E91" i="5"/>
  <c r="E85" i="5"/>
  <c r="D7" i="5"/>
  <c r="D102" i="5" s="1"/>
  <c r="D91" i="5"/>
  <c r="D85" i="5"/>
  <c r="C7" i="5"/>
  <c r="C102" i="5" s="1"/>
  <c r="C85" i="5"/>
  <c r="L20" i="5"/>
  <c r="K20" i="5"/>
  <c r="K60" i="5"/>
  <c r="J20" i="5"/>
  <c r="J60" i="5"/>
  <c r="I20" i="5"/>
  <c r="I60" i="5"/>
  <c r="H20" i="5"/>
  <c r="H60" i="5"/>
  <c r="G20" i="5"/>
  <c r="G60" i="5"/>
  <c r="F20" i="5"/>
  <c r="F60" i="5"/>
  <c r="E20" i="5"/>
  <c r="E60" i="5"/>
  <c r="D20" i="5"/>
  <c r="D60" i="5"/>
  <c r="C20" i="5"/>
  <c r="C60" i="5"/>
  <c r="D11" i="5"/>
  <c r="L11" i="5"/>
  <c r="J11" i="5"/>
  <c r="J94" i="5" s="1"/>
  <c r="H11" i="5"/>
  <c r="E11" i="5"/>
  <c r="E94" i="5" s="1"/>
  <c r="K11" i="5"/>
  <c r="K94" i="5" s="1"/>
  <c r="G11" i="5"/>
  <c r="F11" i="5"/>
  <c r="F94" i="5" s="1"/>
  <c r="C11" i="5"/>
  <c r="F59" i="4"/>
  <c r="E14" i="4"/>
  <c r="E22" i="4" s="1"/>
  <c r="U18" i="4"/>
  <c r="U25" i="4" s="1"/>
  <c r="R16" i="4"/>
  <c r="R24" i="4" s="1"/>
  <c r="T15" i="4"/>
  <c r="T23" i="4" s="1"/>
  <c r="T18" i="4"/>
  <c r="T25" i="4" s="1"/>
  <c r="P18" i="4"/>
  <c r="P25" i="4" s="1"/>
  <c r="P16" i="4"/>
  <c r="P24" i="4" s="1"/>
  <c r="U15" i="4"/>
  <c r="U23" i="4" s="1"/>
  <c r="P14" i="4"/>
  <c r="P22" i="4" s="1"/>
  <c r="O12" i="4"/>
  <c r="G16" i="4"/>
  <c r="G24" i="4" s="1"/>
  <c r="E15" i="4"/>
  <c r="E23" i="4" s="1"/>
  <c r="F14" i="4"/>
  <c r="F22" i="4" s="1"/>
  <c r="C54" i="4"/>
  <c r="H9" i="4"/>
  <c r="I9" i="4" s="1"/>
  <c r="J9" i="4" s="1"/>
  <c r="K9" i="4" s="1"/>
  <c r="L9" i="4" s="1"/>
  <c r="G18" i="4"/>
  <c r="G25" i="4" s="1"/>
  <c r="F18" i="4"/>
  <c r="F25" i="4" s="1"/>
  <c r="E18" i="4"/>
  <c r="E25" i="4" s="1"/>
  <c r="D18" i="4"/>
  <c r="D25" i="4" s="1"/>
  <c r="D15" i="4"/>
  <c r="D23" i="4" s="1"/>
  <c r="E16" i="4"/>
  <c r="E24" i="4" s="1"/>
  <c r="F15" i="4"/>
  <c r="F23" i="4" s="1"/>
  <c r="D14" i="4"/>
  <c r="D22" i="4" s="1"/>
  <c r="C34" i="4"/>
  <c r="D16" i="4"/>
  <c r="D24" i="4" s="1"/>
  <c r="F16" i="4"/>
  <c r="F24" i="4" s="1"/>
  <c r="C52" i="4"/>
  <c r="G15" i="4"/>
  <c r="G23" i="4" s="1"/>
  <c r="H8" i="4"/>
  <c r="I8" i="4" s="1"/>
  <c r="J8" i="4" s="1"/>
  <c r="K8" i="4" s="1"/>
  <c r="L8" i="4" s="1"/>
  <c r="C30" i="4"/>
  <c r="C36" i="4"/>
  <c r="W11" i="4"/>
  <c r="V18" i="4"/>
  <c r="V25" i="4" s="1"/>
  <c r="P17" i="4"/>
  <c r="P12" i="4"/>
  <c r="Q12" i="4"/>
  <c r="Q17" i="4"/>
  <c r="R12" i="4"/>
  <c r="R19" i="4" s="1"/>
  <c r="R17" i="4"/>
  <c r="S12" i="4"/>
  <c r="S17" i="4"/>
  <c r="T12" i="4"/>
  <c r="T19" i="4" s="1"/>
  <c r="T17" i="4"/>
  <c r="U12" i="4"/>
  <c r="U17" i="4"/>
  <c r="V12" i="4"/>
  <c r="V17" i="4"/>
  <c r="V16" i="4"/>
  <c r="V24" i="4" s="1"/>
  <c r="W9" i="4"/>
  <c r="V15" i="4"/>
  <c r="V23" i="4" s="1"/>
  <c r="W8" i="4"/>
  <c r="V14" i="4"/>
  <c r="V22" i="4" s="1"/>
  <c r="W7" i="4"/>
  <c r="D59" i="4"/>
  <c r="L164" i="1"/>
  <c r="G31" i="4"/>
  <c r="K122" i="1"/>
  <c r="F38" i="4"/>
  <c r="J122" i="1"/>
  <c r="E38" i="4"/>
  <c r="I122" i="1"/>
  <c r="D38" i="4"/>
  <c r="H122" i="1"/>
  <c r="H123" i="1" s="1"/>
  <c r="C38" i="4"/>
  <c r="H58" i="4"/>
  <c r="I58" i="4" s="1"/>
  <c r="J58" i="4" s="1"/>
  <c r="K58" i="4" s="1"/>
  <c r="L58" i="4" s="1"/>
  <c r="G59" i="4"/>
  <c r="D46" i="4"/>
  <c r="E46" i="4"/>
  <c r="F46" i="4"/>
  <c r="G46" i="4"/>
  <c r="E40" i="4"/>
  <c r="F40" i="4"/>
  <c r="G40" i="4"/>
  <c r="D40" i="4"/>
  <c r="C53" i="4"/>
  <c r="F32" i="4"/>
  <c r="G32" i="4"/>
  <c r="G17" i="4"/>
  <c r="G12" i="4"/>
  <c r="F17" i="4"/>
  <c r="F12" i="4"/>
  <c r="E12" i="4"/>
  <c r="E52" i="4" s="1"/>
  <c r="E17" i="4"/>
  <c r="D17" i="4"/>
  <c r="D12" i="4"/>
  <c r="D54" i="4" s="1"/>
  <c r="G14" i="4"/>
  <c r="G22" i="4" s="1"/>
  <c r="H7" i="4"/>
  <c r="I164" i="1"/>
  <c r="D31" i="4"/>
  <c r="E32" i="4" s="1"/>
  <c r="R17" i="3"/>
  <c r="R8" i="3"/>
  <c r="R25" i="3"/>
  <c r="R5" i="3"/>
  <c r="P13" i="3"/>
  <c r="R26" i="3"/>
  <c r="E158" i="1"/>
  <c r="L155" i="1"/>
  <c r="H155" i="1"/>
  <c r="D155" i="1"/>
  <c r="C164" i="1"/>
  <c r="F158" i="1"/>
  <c r="I155" i="1"/>
  <c r="F155" i="1"/>
  <c r="G164" i="1"/>
  <c r="J155" i="1"/>
  <c r="D158" i="1"/>
  <c r="K164" i="1"/>
  <c r="J164" i="1"/>
  <c r="H164" i="1"/>
  <c r="E155" i="1"/>
  <c r="I158" i="1"/>
  <c r="G155" i="1"/>
  <c r="H158" i="1"/>
  <c r="G158" i="1"/>
  <c r="K155" i="1"/>
  <c r="L158" i="1"/>
  <c r="K158" i="1"/>
  <c r="J158" i="1"/>
  <c r="R23" i="3"/>
  <c r="R15" i="3"/>
  <c r="R18" i="3"/>
  <c r="R21" i="3"/>
  <c r="R14" i="3"/>
  <c r="R20" i="3"/>
  <c r="R22" i="3"/>
  <c r="R27" i="3"/>
  <c r="R19" i="3"/>
  <c r="R12" i="3"/>
  <c r="R11" i="3"/>
  <c r="R7" i="3"/>
  <c r="R6" i="3"/>
  <c r="R24" i="3"/>
  <c r="R16" i="3"/>
  <c r="R10" i="3"/>
  <c r="N27" i="3"/>
  <c r="C11" i="2" s="1"/>
  <c r="Q13" i="3"/>
  <c r="R13" i="3" s="1"/>
  <c r="N9" i="3"/>
  <c r="N26" i="3"/>
  <c r="N13" i="3"/>
  <c r="J133" i="3"/>
  <c r="J134" i="3" s="1"/>
  <c r="C122" i="1"/>
  <c r="C123" i="1" s="1"/>
  <c r="E122" i="1"/>
  <c r="E123" i="1" s="1"/>
  <c r="F123" i="1"/>
  <c r="K123" i="1"/>
  <c r="L122" i="1"/>
  <c r="L123" i="1" s="1"/>
  <c r="D122" i="1"/>
  <c r="D123" i="1" s="1"/>
  <c r="I123" i="1"/>
  <c r="J123" i="1"/>
  <c r="J131" i="3"/>
  <c r="J132" i="3" s="1"/>
  <c r="D3" i="1"/>
  <c r="E3" i="1" s="1"/>
  <c r="F3" i="1" s="1"/>
  <c r="G3" i="1" s="1"/>
  <c r="H3" i="1" s="1"/>
  <c r="C17" i="12" l="1"/>
  <c r="C16" i="12"/>
  <c r="C20" i="12" s="1"/>
  <c r="C7" i="15"/>
  <c r="C42" i="17"/>
  <c r="C29" i="10"/>
  <c r="C30" i="10" s="1"/>
  <c r="C22" i="9"/>
  <c r="C21" i="9"/>
  <c r="C23" i="9" s="1"/>
  <c r="I10" i="7"/>
  <c r="J10" i="7" s="1"/>
  <c r="K10" i="7" s="1"/>
  <c r="L10" i="7" s="1"/>
  <c r="H11" i="7"/>
  <c r="H20" i="7" s="1"/>
  <c r="AB6" i="8"/>
  <c r="X11" i="8"/>
  <c r="AB11" i="8" s="1"/>
  <c r="X13" i="8"/>
  <c r="AB13" i="8" s="1"/>
  <c r="X12" i="8"/>
  <c r="G27" i="15"/>
  <c r="G22" i="15"/>
  <c r="G17" i="15"/>
  <c r="G11" i="15"/>
  <c r="G21" i="10"/>
  <c r="G28" i="10"/>
  <c r="G16" i="10"/>
  <c r="G12" i="9"/>
  <c r="G41" i="9"/>
  <c r="G27" i="9"/>
  <c r="G19" i="9"/>
  <c r="G34" i="9"/>
  <c r="F11" i="15"/>
  <c r="F17" i="15"/>
  <c r="F22" i="15"/>
  <c r="F27" i="15"/>
  <c r="F21" i="10"/>
  <c r="F16" i="10"/>
  <c r="F28" i="10"/>
  <c r="F27" i="9"/>
  <c r="F12" i="9"/>
  <c r="F34" i="9"/>
  <c r="F19" i="9"/>
  <c r="F41" i="9"/>
  <c r="E41" i="9"/>
  <c r="E34" i="9"/>
  <c r="E12" i="9"/>
  <c r="E27" i="9"/>
  <c r="E19" i="9"/>
  <c r="E21" i="10"/>
  <c r="E16" i="10"/>
  <c r="E28" i="10"/>
  <c r="E17" i="15"/>
  <c r="E27" i="15"/>
  <c r="E11" i="15"/>
  <c r="E22" i="15"/>
  <c r="D22" i="15"/>
  <c r="D11" i="15"/>
  <c r="D27" i="15"/>
  <c r="D17" i="15"/>
  <c r="D28" i="10"/>
  <c r="D16" i="10"/>
  <c r="D21" i="10"/>
  <c r="D41" i="9"/>
  <c r="D19" i="9"/>
  <c r="D12" i="9"/>
  <c r="D27" i="9"/>
  <c r="D34" i="9"/>
  <c r="C16" i="10"/>
  <c r="C21" i="10"/>
  <c r="C28" i="10"/>
  <c r="C19" i="9"/>
  <c r="C27" i="9"/>
  <c r="C34" i="9"/>
  <c r="C12" i="9"/>
  <c r="C41" i="9"/>
  <c r="C27" i="15"/>
  <c r="C11" i="15"/>
  <c r="C17" i="15"/>
  <c r="C22" i="15"/>
  <c r="C21" i="17"/>
  <c r="H10" i="17" s="1"/>
  <c r="H6" i="17"/>
  <c r="H40" i="17" s="1"/>
  <c r="H5" i="15"/>
  <c r="H6" i="9"/>
  <c r="H6" i="14"/>
  <c r="H5" i="10"/>
  <c r="G45" i="17"/>
  <c r="G43" i="17"/>
  <c r="G46" i="17"/>
  <c r="H41" i="17"/>
  <c r="G33" i="15"/>
  <c r="G34" i="15"/>
  <c r="F33" i="15"/>
  <c r="F34" i="15"/>
  <c r="E33" i="15"/>
  <c r="E34" i="15"/>
  <c r="D33" i="15"/>
  <c r="D34" i="15"/>
  <c r="C41" i="15"/>
  <c r="C58" i="15"/>
  <c r="C50" i="15"/>
  <c r="C17" i="2"/>
  <c r="H10" i="8"/>
  <c r="H18" i="8"/>
  <c r="I5" i="8"/>
  <c r="AA9" i="7"/>
  <c r="I6" i="7"/>
  <c r="I9" i="7" s="1"/>
  <c r="I5" i="7"/>
  <c r="H14" i="7"/>
  <c r="G94" i="5"/>
  <c r="K86" i="5"/>
  <c r="K88" i="5" s="1"/>
  <c r="J86" i="5"/>
  <c r="J88" i="5" s="1"/>
  <c r="W20" i="5"/>
  <c r="C12" i="2" s="1"/>
  <c r="U94" i="5"/>
  <c r="W11" i="5"/>
  <c r="W85" i="5"/>
  <c r="W84" i="5"/>
  <c r="K93" i="5"/>
  <c r="J93" i="5"/>
  <c r="I93" i="5"/>
  <c r="H93" i="5"/>
  <c r="G93" i="5"/>
  <c r="F93" i="5"/>
  <c r="E93" i="5"/>
  <c r="D93" i="5"/>
  <c r="K99" i="5"/>
  <c r="J99" i="5"/>
  <c r="I99" i="5"/>
  <c r="H99" i="5"/>
  <c r="G99" i="5"/>
  <c r="F99" i="5"/>
  <c r="E99" i="5"/>
  <c r="D99" i="5"/>
  <c r="D94" i="5"/>
  <c r="L94" i="5"/>
  <c r="L93" i="5"/>
  <c r="L102" i="5"/>
  <c r="W60" i="5"/>
  <c r="I86" i="5"/>
  <c r="I88" i="5" s="1"/>
  <c r="H86" i="5"/>
  <c r="H88" i="5" s="1"/>
  <c r="G86" i="5"/>
  <c r="G88" i="5" s="1"/>
  <c r="F86" i="5"/>
  <c r="F88" i="5" s="1"/>
  <c r="E86" i="5"/>
  <c r="E88" i="5" s="1"/>
  <c r="D86" i="5"/>
  <c r="D88" i="5" s="1"/>
  <c r="C86" i="5"/>
  <c r="C88" i="5" s="1"/>
  <c r="L86" i="5"/>
  <c r="L88" i="5" s="1"/>
  <c r="C21" i="2"/>
  <c r="L99" i="5"/>
  <c r="H94" i="5"/>
  <c r="I94" i="5"/>
  <c r="S19" i="4"/>
  <c r="Q19" i="4"/>
  <c r="V19" i="4"/>
  <c r="W10" i="4"/>
  <c r="X11" i="4"/>
  <c r="Z11" i="4" s="1"/>
  <c r="W18" i="4"/>
  <c r="P19" i="4"/>
  <c r="W16" i="4"/>
  <c r="X9" i="4"/>
  <c r="Z9" i="4" s="1"/>
  <c r="X8" i="4"/>
  <c r="Z8" i="4" s="1"/>
  <c r="W15" i="4"/>
  <c r="G53" i="4"/>
  <c r="G54" i="4"/>
  <c r="G52" i="4"/>
  <c r="F54" i="4"/>
  <c r="F53" i="4"/>
  <c r="F52" i="4"/>
  <c r="X7" i="4"/>
  <c r="Z7" i="4" s="1"/>
  <c r="W14" i="4"/>
  <c r="U19" i="4"/>
  <c r="C67" i="4"/>
  <c r="C74" i="4"/>
  <c r="G34" i="4"/>
  <c r="G19" i="4"/>
  <c r="G30" i="4"/>
  <c r="G36" i="4"/>
  <c r="F34" i="4"/>
  <c r="F19" i="4"/>
  <c r="F30" i="4"/>
  <c r="F36" i="4"/>
  <c r="E34" i="4"/>
  <c r="E19" i="4"/>
  <c r="E30" i="4"/>
  <c r="E36" i="4"/>
  <c r="D53" i="4"/>
  <c r="D34" i="4"/>
  <c r="D19" i="4"/>
  <c r="D30" i="4"/>
  <c r="D36" i="4"/>
  <c r="H10" i="4"/>
  <c r="I7" i="4"/>
  <c r="D32" i="4"/>
  <c r="D52" i="4"/>
  <c r="E54" i="4"/>
  <c r="E53" i="4"/>
  <c r="I3" i="1"/>
  <c r="C6" i="4"/>
  <c r="C15" i="14" l="1"/>
  <c r="C56" i="15"/>
  <c r="H44" i="17"/>
  <c r="H42" i="17"/>
  <c r="C39" i="15"/>
  <c r="C48" i="15"/>
  <c r="D47" i="17"/>
  <c r="C49" i="17"/>
  <c r="C7" i="17"/>
  <c r="C41" i="17" s="1"/>
  <c r="C7" i="14"/>
  <c r="C8" i="15"/>
  <c r="H6" i="8"/>
  <c r="H48" i="17"/>
  <c r="H6" i="10"/>
  <c r="H6" i="15"/>
  <c r="H12" i="15" s="1"/>
  <c r="H7" i="9"/>
  <c r="H17" i="15"/>
  <c r="H22" i="15"/>
  <c r="H11" i="15"/>
  <c r="H27" i="15"/>
  <c r="H12" i="9"/>
  <c r="H34" i="9"/>
  <c r="H41" i="9"/>
  <c r="H27" i="9"/>
  <c r="H19" i="9"/>
  <c r="H16" i="10"/>
  <c r="H28" i="10"/>
  <c r="H21" i="10"/>
  <c r="D13" i="15"/>
  <c r="C33" i="15"/>
  <c r="AB12" i="8"/>
  <c r="X14" i="8"/>
  <c r="AB14" i="8" s="1"/>
  <c r="I5" i="15"/>
  <c r="I6" i="14"/>
  <c r="I6" i="17"/>
  <c r="I40" i="17" s="1"/>
  <c r="I5" i="10"/>
  <c r="I6" i="9"/>
  <c r="H46" i="17"/>
  <c r="I10" i="17"/>
  <c r="I41" i="17"/>
  <c r="J5" i="8"/>
  <c r="I10" i="8"/>
  <c r="I18" i="8"/>
  <c r="I11" i="7"/>
  <c r="I18" i="7"/>
  <c r="AA20" i="7"/>
  <c r="AE11" i="7"/>
  <c r="AA18" i="7"/>
  <c r="AE9" i="7"/>
  <c r="J6" i="7"/>
  <c r="J9" i="7" s="1"/>
  <c r="I20" i="7"/>
  <c r="J5" i="7"/>
  <c r="I14" i="7"/>
  <c r="W86" i="5"/>
  <c r="W88" i="5" s="1"/>
  <c r="X18" i="4"/>
  <c r="Y11" i="4"/>
  <c r="W17" i="4"/>
  <c r="W12" i="4"/>
  <c r="X16" i="4"/>
  <c r="Y9" i="4"/>
  <c r="X15" i="4"/>
  <c r="Y8" i="4"/>
  <c r="X14" i="4"/>
  <c r="X10" i="4"/>
  <c r="Z10" i="4" s="1"/>
  <c r="Y7" i="4"/>
  <c r="H17" i="4"/>
  <c r="H12" i="4"/>
  <c r="I10" i="4"/>
  <c r="J7" i="4"/>
  <c r="D6" i="4"/>
  <c r="J3" i="1"/>
  <c r="C28" i="4"/>
  <c r="C21" i="4"/>
  <c r="C51" i="4"/>
  <c r="C57" i="4"/>
  <c r="I44" i="17" l="1"/>
  <c r="I48" i="17" s="1"/>
  <c r="I42" i="17"/>
  <c r="C45" i="17"/>
  <c r="D46" i="17"/>
  <c r="C43" i="17"/>
  <c r="C34" i="15"/>
  <c r="D14" i="15"/>
  <c r="H13" i="8"/>
  <c r="H10" i="10" s="1"/>
  <c r="H12" i="8"/>
  <c r="H11" i="8"/>
  <c r="H45" i="9"/>
  <c r="H23" i="10" s="1"/>
  <c r="H36" i="9"/>
  <c r="H42" i="9"/>
  <c r="H13" i="9"/>
  <c r="H28" i="9" s="1"/>
  <c r="I17" i="15"/>
  <c r="I11" i="15"/>
  <c r="I22" i="15"/>
  <c r="I27" i="15"/>
  <c r="I16" i="10"/>
  <c r="I21" i="10"/>
  <c r="I28" i="10"/>
  <c r="I34" i="9"/>
  <c r="I41" i="9"/>
  <c r="I19" i="9"/>
  <c r="I12" i="9"/>
  <c r="I27" i="9"/>
  <c r="I7" i="9"/>
  <c r="I6" i="15"/>
  <c r="I12" i="15" s="1"/>
  <c r="I6" i="10"/>
  <c r="I6" i="8"/>
  <c r="J5" i="10"/>
  <c r="J6" i="17"/>
  <c r="J40" i="17" s="1"/>
  <c r="J6" i="9"/>
  <c r="J5" i="15"/>
  <c r="J6" i="14"/>
  <c r="H47" i="17"/>
  <c r="H49" i="17"/>
  <c r="J10" i="17"/>
  <c r="J41" i="17"/>
  <c r="I46" i="17"/>
  <c r="K5" i="8"/>
  <c r="J18" i="8"/>
  <c r="J10" i="8"/>
  <c r="J18" i="7"/>
  <c r="J11" i="7"/>
  <c r="K6" i="7"/>
  <c r="K9" i="7" s="1"/>
  <c r="J20" i="7"/>
  <c r="K5" i="7"/>
  <c r="J14" i="7"/>
  <c r="W19" i="4"/>
  <c r="Y18" i="4"/>
  <c r="Y16" i="4"/>
  <c r="Y15" i="4"/>
  <c r="X12" i="4"/>
  <c r="Z12" i="4" s="1"/>
  <c r="X17" i="4"/>
  <c r="Y10" i="4"/>
  <c r="Y14" i="4"/>
  <c r="H19" i="4"/>
  <c r="H29" i="4"/>
  <c r="H31" i="4" s="1"/>
  <c r="H33" i="4"/>
  <c r="H35" i="4"/>
  <c r="I17" i="4"/>
  <c r="I12" i="4"/>
  <c r="J10" i="4"/>
  <c r="K7" i="4"/>
  <c r="D21" i="4"/>
  <c r="D51" i="4"/>
  <c r="D57" i="4"/>
  <c r="D28" i="4"/>
  <c r="E6" i="4"/>
  <c r="K3" i="1"/>
  <c r="J44" i="17" l="1"/>
  <c r="J48" i="17" s="1"/>
  <c r="J42" i="17"/>
  <c r="H9" i="10"/>
  <c r="H14" i="8"/>
  <c r="H11" i="10" s="1"/>
  <c r="H8" i="9"/>
  <c r="H7" i="10"/>
  <c r="H8" i="10" s="1"/>
  <c r="H12" i="10" s="1"/>
  <c r="H44" i="9"/>
  <c r="H22" i="10"/>
  <c r="I36" i="9"/>
  <c r="I42" i="9"/>
  <c r="I13" i="9"/>
  <c r="I28" i="9" s="1"/>
  <c r="I45" i="9"/>
  <c r="I23" i="10" s="1"/>
  <c r="I13" i="8"/>
  <c r="I10" i="10" s="1"/>
  <c r="I12" i="8"/>
  <c r="I11" i="8"/>
  <c r="J28" i="10"/>
  <c r="J16" i="10"/>
  <c r="J21" i="10"/>
  <c r="J19" i="9"/>
  <c r="J34" i="9"/>
  <c r="J41" i="9"/>
  <c r="J27" i="9"/>
  <c r="J12" i="9"/>
  <c r="J22" i="15"/>
  <c r="J11" i="15"/>
  <c r="J27" i="15"/>
  <c r="J17" i="15"/>
  <c r="J6" i="15"/>
  <c r="J12" i="15" s="1"/>
  <c r="J6" i="10"/>
  <c r="J7" i="9"/>
  <c r="J6" i="8"/>
  <c r="K5" i="15"/>
  <c r="K6" i="9"/>
  <c r="K6" i="17"/>
  <c r="K40" i="17" s="1"/>
  <c r="K6" i="14"/>
  <c r="K5" i="10"/>
  <c r="K10" i="17"/>
  <c r="K41" i="17"/>
  <c r="J46" i="17"/>
  <c r="I47" i="17"/>
  <c r="I49" i="17"/>
  <c r="L5" i="8"/>
  <c r="K10" i="8"/>
  <c r="K18" i="8"/>
  <c r="K11" i="7"/>
  <c r="K18" i="7"/>
  <c r="L6" i="7"/>
  <c r="L5" i="7"/>
  <c r="K14" i="7"/>
  <c r="Y12" i="4"/>
  <c r="Y19" i="4" s="1"/>
  <c r="Y17" i="4"/>
  <c r="X19" i="4"/>
  <c r="H32" i="4"/>
  <c r="H52" i="4"/>
  <c r="I35" i="4"/>
  <c r="I19" i="4"/>
  <c r="I29" i="4"/>
  <c r="I31" i="4" s="1"/>
  <c r="I33" i="4"/>
  <c r="J17" i="4"/>
  <c r="J12" i="4"/>
  <c r="K10" i="4"/>
  <c r="L7" i="4"/>
  <c r="L10" i="4" s="1"/>
  <c r="E28" i="4"/>
  <c r="E21" i="4"/>
  <c r="E51" i="4"/>
  <c r="E57" i="4"/>
  <c r="F6" i="4"/>
  <c r="L3" i="1"/>
  <c r="G6" i="4" s="1"/>
  <c r="H38" i="4"/>
  <c r="H39" i="4" s="1"/>
  <c r="K44" i="17" l="1"/>
  <c r="K42" i="17"/>
  <c r="H14" i="9"/>
  <c r="H29" i="9" s="1"/>
  <c r="H15" i="9"/>
  <c r="H30" i="9" s="1"/>
  <c r="H29" i="10"/>
  <c r="H7" i="15"/>
  <c r="H13" i="15" s="1"/>
  <c r="I44" i="9"/>
  <c r="I22" i="10"/>
  <c r="I14" i="8"/>
  <c r="I11" i="10" s="1"/>
  <c r="I9" i="10"/>
  <c r="I7" i="10"/>
  <c r="I8" i="10" s="1"/>
  <c r="I8" i="9"/>
  <c r="J42" i="9"/>
  <c r="J13" i="9"/>
  <c r="J28" i="9" s="1"/>
  <c r="J45" i="9"/>
  <c r="J23" i="10" s="1"/>
  <c r="J36" i="9"/>
  <c r="J12" i="8"/>
  <c r="J11" i="8"/>
  <c r="J13" i="8"/>
  <c r="J10" i="10" s="1"/>
  <c r="K17" i="15"/>
  <c r="K11" i="15"/>
  <c r="K27" i="15"/>
  <c r="K22" i="15"/>
  <c r="K19" i="9"/>
  <c r="K41" i="9"/>
  <c r="K27" i="9"/>
  <c r="K12" i="9"/>
  <c r="K34" i="9"/>
  <c r="K16" i="10"/>
  <c r="K28" i="10"/>
  <c r="K21" i="10"/>
  <c r="K20" i="7"/>
  <c r="K6" i="15"/>
  <c r="K12" i="15" s="1"/>
  <c r="K6" i="8"/>
  <c r="K6" i="10"/>
  <c r="K7" i="9"/>
  <c r="L14" i="7"/>
  <c r="L6" i="17"/>
  <c r="L40" i="17" s="1"/>
  <c r="L6" i="9"/>
  <c r="L5" i="10"/>
  <c r="L5" i="15"/>
  <c r="L6" i="14"/>
  <c r="L10" i="17"/>
  <c r="C29" i="17" s="1"/>
  <c r="L41" i="17"/>
  <c r="L8" i="17"/>
  <c r="L11" i="17" s="1"/>
  <c r="C30" i="17" s="1"/>
  <c r="K48" i="17"/>
  <c r="K46" i="17"/>
  <c r="J47" i="17"/>
  <c r="J49" i="17"/>
  <c r="L10" i="8"/>
  <c r="L18" i="8"/>
  <c r="L9" i="7"/>
  <c r="I38" i="4"/>
  <c r="I39" i="4" s="1"/>
  <c r="H40" i="4"/>
  <c r="H43" i="4"/>
  <c r="H53" i="4"/>
  <c r="I32" i="4"/>
  <c r="I52" i="4"/>
  <c r="J35" i="4"/>
  <c r="J19" i="4"/>
  <c r="J29" i="4"/>
  <c r="J31" i="4" s="1"/>
  <c r="J33" i="4"/>
  <c r="K12" i="4"/>
  <c r="K17" i="4"/>
  <c r="L17" i="4"/>
  <c r="L12" i="4"/>
  <c r="F21" i="4"/>
  <c r="F51" i="4"/>
  <c r="F57" i="4"/>
  <c r="F28" i="4"/>
  <c r="G28" i="4"/>
  <c r="G21" i="4"/>
  <c r="G51" i="4"/>
  <c r="G57" i="4"/>
  <c r="L44" i="17" l="1"/>
  <c r="L42" i="17"/>
  <c r="I14" i="9"/>
  <c r="I29" i="9" s="1"/>
  <c r="I15" i="9"/>
  <c r="I30" i="9" s="1"/>
  <c r="J44" i="9"/>
  <c r="J22" i="10"/>
  <c r="J14" i="8"/>
  <c r="J11" i="10" s="1"/>
  <c r="J9" i="10"/>
  <c r="J7" i="10"/>
  <c r="J8" i="10" s="1"/>
  <c r="J8" i="9"/>
  <c r="K13" i="8"/>
  <c r="K10" i="10" s="1"/>
  <c r="K11" i="8"/>
  <c r="K12" i="8"/>
  <c r="K13" i="9"/>
  <c r="K28" i="9" s="1"/>
  <c r="K45" i="9"/>
  <c r="K23" i="10" s="1"/>
  <c r="K42" i="9"/>
  <c r="K36" i="9"/>
  <c r="L41" i="9"/>
  <c r="L27" i="9"/>
  <c r="L34" i="9"/>
  <c r="L12" i="9"/>
  <c r="L19" i="9"/>
  <c r="L28" i="10"/>
  <c r="L16" i="10"/>
  <c r="L21" i="10"/>
  <c r="L17" i="15"/>
  <c r="L11" i="15"/>
  <c r="L22" i="15"/>
  <c r="L27" i="15"/>
  <c r="I12" i="10"/>
  <c r="H35" i="9"/>
  <c r="H24" i="10" s="1"/>
  <c r="H30" i="10" s="1"/>
  <c r="L46" i="17"/>
  <c r="K47" i="17"/>
  <c r="K49" i="17"/>
  <c r="C31" i="17"/>
  <c r="C34" i="17" s="1"/>
  <c r="C36" i="17" s="1"/>
  <c r="C16" i="17" s="1"/>
  <c r="L11" i="7"/>
  <c r="L18" i="7"/>
  <c r="J38" i="4"/>
  <c r="J39" i="4" s="1"/>
  <c r="H44" i="4"/>
  <c r="H45" i="4" s="1"/>
  <c r="I40" i="4"/>
  <c r="I43" i="4"/>
  <c r="I53" i="4"/>
  <c r="J32" i="4"/>
  <c r="J52" i="4"/>
  <c r="K29" i="4"/>
  <c r="K31" i="4" s="1"/>
  <c r="K33" i="4"/>
  <c r="K19" i="4"/>
  <c r="K35" i="4"/>
  <c r="L19" i="4"/>
  <c r="L35" i="4"/>
  <c r="C73" i="4"/>
  <c r="C75" i="4" s="1"/>
  <c r="C78" i="4" s="1"/>
  <c r="C79" i="4" s="1"/>
  <c r="C80" i="4" s="1"/>
  <c r="L29" i="4"/>
  <c r="L31" i="4" s="1"/>
  <c r="L33" i="4"/>
  <c r="J14" i="9" l="1"/>
  <c r="J29" i="9" s="1"/>
  <c r="J15" i="9"/>
  <c r="J30" i="9" s="1"/>
  <c r="K8" i="9"/>
  <c r="K7" i="10"/>
  <c r="K8" i="10" s="1"/>
  <c r="K9" i="10"/>
  <c r="K14" i="8"/>
  <c r="K11" i="10" s="1"/>
  <c r="K44" i="9"/>
  <c r="K22" i="10"/>
  <c r="I7" i="15"/>
  <c r="I13" i="15" s="1"/>
  <c r="I29" i="10"/>
  <c r="I30" i="10" s="1"/>
  <c r="H8" i="15"/>
  <c r="H14" i="15" s="1"/>
  <c r="H7" i="14"/>
  <c r="H10" i="14" s="1"/>
  <c r="J12" i="10"/>
  <c r="I35" i="9"/>
  <c r="I24" i="10" s="1"/>
  <c r="L20" i="7"/>
  <c r="L6" i="8"/>
  <c r="L6" i="10"/>
  <c r="L7" i="9"/>
  <c r="L6" i="15"/>
  <c r="L47" i="17"/>
  <c r="K38" i="4"/>
  <c r="K39" i="4" s="1"/>
  <c r="L38" i="4"/>
  <c r="L39" i="4" s="1"/>
  <c r="H54" i="4"/>
  <c r="H46" i="4"/>
  <c r="I44" i="4"/>
  <c r="I45" i="4" s="1"/>
  <c r="J40" i="4"/>
  <c r="J43" i="4"/>
  <c r="J53" i="4"/>
  <c r="K32" i="4"/>
  <c r="K52" i="4"/>
  <c r="L32" i="4"/>
  <c r="L52" i="4"/>
  <c r="K14" i="9" l="1"/>
  <c r="K29" i="9" s="1"/>
  <c r="K15" i="9"/>
  <c r="K30" i="9" s="1"/>
  <c r="I7" i="14"/>
  <c r="I10" i="14" s="1"/>
  <c r="I8" i="15"/>
  <c r="I14" i="15" s="1"/>
  <c r="J7" i="15"/>
  <c r="J13" i="15" s="1"/>
  <c r="J29" i="10"/>
  <c r="J30" i="10" s="1"/>
  <c r="L12" i="8"/>
  <c r="L13" i="8"/>
  <c r="L10" i="10" s="1"/>
  <c r="L11" i="8"/>
  <c r="L13" i="9"/>
  <c r="L28" i="9" s="1"/>
  <c r="L45" i="9"/>
  <c r="L23" i="10" s="1"/>
  <c r="L42" i="9"/>
  <c r="L36" i="9"/>
  <c r="C47" i="15"/>
  <c r="C51" i="15" s="1"/>
  <c r="C52" i="15" s="1"/>
  <c r="C7" i="16" s="1"/>
  <c r="L12" i="15"/>
  <c r="J35" i="9"/>
  <c r="J24" i="10" s="1"/>
  <c r="K12" i="10"/>
  <c r="L48" i="17"/>
  <c r="L49" i="17"/>
  <c r="I46" i="4"/>
  <c r="I54" i="4"/>
  <c r="J44" i="4"/>
  <c r="J45" i="4" s="1"/>
  <c r="K40" i="4"/>
  <c r="K43" i="4"/>
  <c r="K53" i="4"/>
  <c r="L43" i="4"/>
  <c r="L40" i="4"/>
  <c r="L53" i="4"/>
  <c r="J7" i="14" l="1"/>
  <c r="J10" i="14" s="1"/>
  <c r="J8" i="15"/>
  <c r="J14" i="15" s="1"/>
  <c r="L14" i="8"/>
  <c r="L11" i="10" s="1"/>
  <c r="L9" i="10"/>
  <c r="L7" i="10"/>
  <c r="L8" i="10" s="1"/>
  <c r="L8" i="9"/>
  <c r="L22" i="10"/>
  <c r="L44" i="9"/>
  <c r="K7" i="15"/>
  <c r="K13" i="15" s="1"/>
  <c r="K29" i="10"/>
  <c r="K35" i="9"/>
  <c r="K24" i="10" s="1"/>
  <c r="J54" i="4"/>
  <c r="J46" i="4"/>
  <c r="K44" i="4"/>
  <c r="K45" i="4" s="1"/>
  <c r="L44" i="4"/>
  <c r="L45" i="4" s="1"/>
  <c r="L14" i="9" l="1"/>
  <c r="L29" i="9" s="1"/>
  <c r="L15" i="9"/>
  <c r="L30" i="9" s="1"/>
  <c r="L12" i="10"/>
  <c r="K30" i="10"/>
  <c r="K46" i="4"/>
  <c r="K54" i="4"/>
  <c r="L46" i="4"/>
  <c r="L54" i="4"/>
  <c r="C64" i="4"/>
  <c r="C68" i="4" s="1"/>
  <c r="C69" i="4" s="1"/>
  <c r="C70" i="4" s="1"/>
  <c r="L7" i="15" l="1"/>
  <c r="L29" i="10"/>
  <c r="K8" i="15"/>
  <c r="K14" i="15" s="1"/>
  <c r="K7" i="14"/>
  <c r="K10" i="14" s="1"/>
  <c r="L35" i="9"/>
  <c r="L24" i="10" s="1"/>
  <c r="C38" i="15" l="1"/>
  <c r="C42" i="15" s="1"/>
  <c r="C43" i="15" s="1"/>
  <c r="C44" i="15" s="1"/>
  <c r="C6" i="16" s="1"/>
  <c r="L13" i="15"/>
  <c r="L30" i="10"/>
  <c r="L7" i="14" l="1"/>
  <c r="L8" i="15"/>
  <c r="L10" i="14" l="1"/>
  <c r="C19" i="14" s="1"/>
  <c r="L8" i="14"/>
  <c r="L11" i="14" s="1"/>
  <c r="C20" i="14" s="1"/>
  <c r="L14" i="15"/>
  <c r="C55" i="15"/>
  <c r="C59" i="15" s="1"/>
  <c r="C60" i="15" s="1"/>
  <c r="C61" i="15" s="1"/>
  <c r="C8" i="16" s="1"/>
  <c r="C21" i="14" l="1"/>
  <c r="C24" i="14" s="1"/>
  <c r="C26" i="14" s="1"/>
  <c r="C5" i="16" s="1"/>
  <c r="C9" i="16" s="1"/>
  <c r="C11"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tc={D55170DE-D29C-4F4C-BC78-13AE6F9F404C}</author>
    <author>tc={A41AB250-5BA2-D740-BE73-957C38DDE54D}</author>
    <author>tc={A747821F-4B2B-554C-A0ED-A0D13393C30D}</author>
    <author>tc={1510354A-4336-6843-86DA-FAC588317F31}</author>
    <author>tc={8E9767EE-FF6A-254C-B42F-6E6608E15BAD}</author>
    <author>tc={2F8DD255-9973-034B-9B97-9F8F2BC370B2}</author>
    <author>tc={D3719020-49EB-4148-8E04-2A9090B98623}</author>
    <author>tc={9DB90C00-73B7-AE4A-A375-BFBD4CA72EE7}</author>
    <author>tc={117FBCED-FBB4-0645-B6DC-575A3FFF7862}</author>
    <author>tc={21F34777-C5A3-684E-86A7-6290AAC85589}</author>
    <author>tc={C842E854-BF97-304C-A2B8-105CED2DDDBE}</author>
    <author>tc={E35EFEE3-2465-094E-9886-8F7780A30357}</author>
    <author>tc={4D93E015-CA08-BD46-8221-6BA1278944C2}</author>
    <author>tc={A52194D2-10D2-B448-9A00-2135D2B234C4}</author>
  </authors>
  <commentList>
    <comment ref="L3" authorId="0" shapeId="0" xr:uid="{D55170DE-D29C-4F4C-BC78-13AE6F9F404C}">
      <text>
        <t>[Threaded comment]
Your version of Excel allows you to read this threaded comment; however, any edits to it will get removed if the file is opened in a newer version of Excel. Learn more: https://go.microsoft.com/fwlink/?linkid=870924
Comment:
    Automotive revenues for FY2029 expected at 8B. Now they are about 4B.</t>
      </text>
    </comment>
    <comment ref="C12" authorId="1" shapeId="0" xr:uid="{A41AB250-5BA2-D740-BE73-957C38DDE54D}">
      <text>
        <t>[Threaded comment]
Your version of Excel allows you to read this threaded comment; however, any edits to it will get removed if the file is opened in a newer version of Excel. Learn more: https://go.microsoft.com/fwlink/?linkid=870924
Comment:
    Gain from a sale and also cost for restructuring which led to a net gain</t>
      </text>
    </comment>
    <comment ref="D12" authorId="2" shapeId="0" xr:uid="{A747821F-4B2B-554C-A0ED-A0D13393C30D}">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E12" authorId="3" shapeId="0" xr:uid="{1510354A-4336-6843-86DA-FAC588317F31}">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F12" authorId="4" shapeId="0" xr:uid="{8E9767EE-FF6A-254C-B42F-6E6608E15BAD}">
      <text>
        <t>[Threaded comment]
Your version of Excel allows you to read this threaded comment; however, any edits to it will get removed if the file is opened in a newer version of Excel. Learn more: https://go.microsoft.com/fwlink/?linkid=870924
Comment:
    Expenses related to a fine and restructuring</t>
      </text>
    </comment>
    <comment ref="G12" authorId="5" shapeId="0" xr:uid="{2F8DD255-9973-034B-9B97-9F8F2BC370B2}">
      <text>
        <t>[Threaded comment]
Your version of Excel allows you to read this threaded comment; however, any edits to it will get removed if the file is opened in a newer version of Excel. Learn more: https://go.microsoft.com/fwlink/?linkid=870924
Comment:
    Income from a favorable legal settlement</t>
      </text>
    </comment>
    <comment ref="I12" authorId="6" shapeId="0" xr:uid="{D3719020-49EB-4148-8E04-2A9090B98623}">
      <text>
        <t>[Threaded comment]
Your version of Excel allows you to read this threaded comment; however, any edits to it will get removed if the file is opened in a newer version of Excel. Learn more: https://go.microsoft.com/fwlink/?linkid=870924
Comment:
    Gains related to an EU ruling</t>
      </text>
    </comment>
    <comment ref="J12" authorId="7" shapeId="0" xr:uid="{9DB90C00-73B7-AE4A-A375-BFBD4CA72EE7}">
      <text>
        <t>[Threaded comment]
Your version of Excel allows you to read this threaded comment; however, any edits to it will get removed if the file is opened in a newer version of Excel. Learn more: https://go.microsoft.com/fwlink/?linkid=870924
Comment:
    Expense related to restructuring and asset impairment</t>
      </text>
    </comment>
    <comment ref="K12" authorId="8" shapeId="0" xr:uid="{117FBCED-FBB4-0645-B6DC-575A3FFF7862}">
      <text>
        <t>[Threaded comment]
Your version of Excel allows you to read this threaded comment; however, any edits to it will get removed if the file is opened in a newer version of Excel. Learn more: https://go.microsoft.com/fwlink/?linkid=870924
Comment:
    Expenses related to restructuring and lawsuits</t>
      </text>
    </comment>
    <comment ref="L12" authorId="9" shapeId="0" xr:uid="{21F34777-C5A3-684E-86A7-6290AAC85589}">
      <text>
        <t xml:space="preserve">[Threaded comment]
Your version of Excel allows you to read this threaded comment; however, any edits to it will get removed if the file is opened in a newer version of Excel. Learn more: https://go.microsoft.com/fwlink/?linkid=870924
Comment:
    Expense related to restructuring. Page 72 of 10-K </t>
      </text>
    </comment>
    <comment ref="B143" authorId="10" shapeId="0" xr:uid="{C842E854-BF97-304C-A2B8-105CED2DDDBE}">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Reply:
    Sometimes because of rounding, the numbers will not be exact. just try to align them with the value from the Cashflow statement</t>
      </text>
    </comment>
    <comment ref="B144" authorId="11" shapeId="0" xr:uid="{E35EFEE3-2465-094E-9886-8F7780A30357}">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or amortization.
Reply:
    Sometimes because of rounding, the numbers will not be exact. just try to align them with the value from the Cashflow statement</t>
      </text>
    </comment>
    <comment ref="B146" authorId="12" shapeId="0" xr:uid="{4D93E015-CA08-BD46-8221-6BA1278944C2}">
      <text>
        <t>[Threaded comment]
Your version of Excel allows you to read this threaded comment; however, any edits to it will get removed if the file is opened in a newer version of Excel. Learn more: https://go.microsoft.com/fwlink/?linkid=870924
Comment:
    Search for Human Capital to find yearly value
Reply:
    Actual number (no zeroes removed)</t>
      </text>
    </comment>
    <comment ref="B184" authorId="13" shapeId="0" xr:uid="{A52194D2-10D2-B448-9A00-2135D2B234C4}">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tc={4EB4FA87-953D-8645-B0FA-14EFD48763C9}</author>
    <author>tc={1A7B896A-63D9-D045-ACC9-628EAE422898}</author>
    <author>tc={16117EBE-EF6B-A94F-BDB5-85FA76F06282}</author>
    <author>tc={4970C39C-8BFA-7440-978F-EE5B06A2D392}</author>
  </authors>
  <commentList>
    <comment ref="U17" authorId="0" shapeId="0" xr:uid="{4EB4FA87-953D-8645-B0FA-14EFD48763C9}">
      <text>
        <t>[Threaded comment]
Your version of Excel allows you to read this threaded comment; however, any edits to it will get removed if the file is opened in a newer version of Excel. Learn more: https://go.microsoft.com/fwlink/?linkid=870924
Comment:
    The company had a 5.7B tax income that is a one time thing so i adjusted with a -500M tax payment</t>
      </text>
    </comment>
    <comment ref="L18" authorId="1" shapeId="0" xr:uid="{1A7B896A-63D9-D045-ACC9-628EAE422898}">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 ref="S18" authorId="2" shapeId="0" xr:uid="{16117EBE-EF6B-A94F-BDB5-85FA76F06282}">
      <text>
        <t>[Threaded comment]
Your version of Excel allows you to read this threaded comment; however, any edits to it will get removed if the file is opened in a newer version of Excel. Learn more: https://go.microsoft.com/fwlink/?linkid=870924
Comment:
    Value entered manually to account for the one time 5.7B tax expense</t>
      </text>
    </comment>
    <comment ref="T18" authorId="3" shapeId="0" xr:uid="{4970C39C-8BFA-7440-978F-EE5B06A2D392}">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tc={22DA816C-BC83-2C49-8AC5-6847ECA6F59E}</author>
  </authors>
  <commentList>
    <comment ref="B35" authorId="0" shapeId="0" xr:uid="{22DA816C-BC83-2C49-8AC5-6847ECA6F59E}">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tc={E514551E-57D1-C64F-9F6B-834E54C6187B}</author>
    <author>tc={B68485F3-9AC0-2842-9592-B9FA2B30BC9A}</author>
  </authors>
  <commentList>
    <comment ref="B9" authorId="0" shapeId="0" xr:uid="{E514551E-57D1-C64F-9F6B-834E54C6187B}">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68485F3-9AC0-2842-9592-B9FA2B30BC9A}">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<sst xmlns="http://schemas.openxmlformats.org/spreadsheetml/2006/main" count="818" uniqueCount="393">
  <si>
    <t>Date</t>
  </si>
  <si>
    <t>28.09.2025</t>
  </si>
  <si>
    <t>FY</t>
  </si>
  <si>
    <t>29.09.2024</t>
  </si>
  <si>
    <t>24.09.2023</t>
  </si>
  <si>
    <t>25.09.2022</t>
  </si>
  <si>
    <t>26.09.2021</t>
  </si>
  <si>
    <t>27.09.2020</t>
  </si>
  <si>
    <t>29.09.2019</t>
  </si>
  <si>
    <t>30.09.2018</t>
  </si>
  <si>
    <t>24.09.2017</t>
  </si>
  <si>
    <t>25.09.2016</t>
  </si>
  <si>
    <t>Ticker</t>
  </si>
  <si>
    <t>QCOM</t>
  </si>
  <si>
    <t>Units</t>
  </si>
  <si>
    <t>Shares outstanding</t>
  </si>
  <si>
    <t>M</t>
  </si>
  <si>
    <t>Income statement</t>
  </si>
  <si>
    <t>Equipment and services</t>
  </si>
  <si>
    <t>Licensing</t>
  </si>
  <si>
    <t>Revenue</t>
  </si>
  <si>
    <t>COGS</t>
  </si>
  <si>
    <t>Gross Profit</t>
  </si>
  <si>
    <t>R&amp;D</t>
  </si>
  <si>
    <t>SG&amp;A</t>
  </si>
  <si>
    <t>Other</t>
  </si>
  <si>
    <t>OpEx</t>
  </si>
  <si>
    <t>Operating income</t>
  </si>
  <si>
    <t>Income before taxes</t>
  </si>
  <si>
    <t>Discontinued ops</t>
  </si>
  <si>
    <t>Net income</t>
  </si>
  <si>
    <t>Minority interest</t>
  </si>
  <si>
    <t>Total net income</t>
  </si>
  <si>
    <t>Basic Shares outstanding avg</t>
  </si>
  <si>
    <t>Diluted Shares outstanding avg</t>
  </si>
  <si>
    <t>Basic EPS</t>
  </si>
  <si>
    <t>Diluted EPS</t>
  </si>
  <si>
    <t>Investment &amp; other income</t>
  </si>
  <si>
    <t>Balance sheet</t>
  </si>
  <si>
    <t>Cash and cash equivalents</t>
  </si>
  <si>
    <t>Marketable securities</t>
  </si>
  <si>
    <t>Acc receivable</t>
  </si>
  <si>
    <t>Inventories</t>
  </si>
  <si>
    <t>Other current assets</t>
  </si>
  <si>
    <t>Current assets</t>
  </si>
  <si>
    <t>Deferred tax assets</t>
  </si>
  <si>
    <t>PP&amp;E</t>
  </si>
  <si>
    <t>Goodwill</t>
  </si>
  <si>
    <t>Other intangible assets</t>
  </si>
  <si>
    <t>Other assets</t>
  </si>
  <si>
    <t>Long term assets</t>
  </si>
  <si>
    <t>Total assets</t>
  </si>
  <si>
    <t>Acc payable</t>
  </si>
  <si>
    <t>Payroll and other benefits</t>
  </si>
  <si>
    <t>Unearned revenues</t>
  </si>
  <si>
    <t>Short-term debt</t>
  </si>
  <si>
    <t>Other current liabilities</t>
  </si>
  <si>
    <t>Long-term debt</t>
  </si>
  <si>
    <t>Other liabilities</t>
  </si>
  <si>
    <t>Long term liabilities</t>
  </si>
  <si>
    <t>Total liabilities</t>
  </si>
  <si>
    <t>Current liabilities</t>
  </si>
  <si>
    <t>Preferred stock par value</t>
  </si>
  <si>
    <t>Common stock par value</t>
  </si>
  <si>
    <t>Retained earnings</t>
  </si>
  <si>
    <t>Other comprehensive income</t>
  </si>
  <si>
    <t>Stockholder equity</t>
  </si>
  <si>
    <t>Total equity</t>
  </si>
  <si>
    <t>Total liabilities and equity</t>
  </si>
  <si>
    <t>Income tax payable</t>
  </si>
  <si>
    <t>Interest income/expense</t>
  </si>
  <si>
    <t>Held for sale</t>
  </si>
  <si>
    <t>Restricted cash</t>
  </si>
  <si>
    <t>Cashflow statement</t>
  </si>
  <si>
    <t>D&amp;A</t>
  </si>
  <si>
    <t>Excess tax provision</t>
  </si>
  <si>
    <t>Gains on marketable securities</t>
  </si>
  <si>
    <t>Asset impairment</t>
  </si>
  <si>
    <t>Impairment marketable securities</t>
  </si>
  <si>
    <t>Gain sale wireless spectrum</t>
  </si>
  <si>
    <t>Other items</t>
  </si>
  <si>
    <t>Change acc receivable</t>
  </si>
  <si>
    <t>Change inventories</t>
  </si>
  <si>
    <t>Change other assets</t>
  </si>
  <si>
    <t>Change acc payable</t>
  </si>
  <si>
    <t>Change payroll</t>
  </si>
  <si>
    <t>Change unearned revenues</t>
  </si>
  <si>
    <t>Operating cashflow</t>
  </si>
  <si>
    <t>CapEx</t>
  </si>
  <si>
    <t>Purchase marketable securities</t>
  </si>
  <si>
    <t>Sale marketable securities</t>
  </si>
  <si>
    <t>Purchase trading securities</t>
  </si>
  <si>
    <t>Sale trading securities</t>
  </si>
  <si>
    <t>Purchase other marketable securities</t>
  </si>
  <si>
    <t>Sale other marketable securities</t>
  </si>
  <si>
    <t>Release collateral</t>
  </si>
  <si>
    <t>Acquisitions &amp; other investments</t>
  </si>
  <si>
    <t>Proceeds other investments</t>
  </si>
  <si>
    <t>Sale wireless spectrum</t>
  </si>
  <si>
    <t>Investing cashflow</t>
  </si>
  <si>
    <t>Proceeds short term debt</t>
  </si>
  <si>
    <t>Repayment short term debt</t>
  </si>
  <si>
    <t>Proceeds long term debt</t>
  </si>
  <si>
    <t>Repayment long term debt</t>
  </si>
  <si>
    <t>Proceeds issuance common stock</t>
  </si>
  <si>
    <t>Repurchase/retire common stock</t>
  </si>
  <si>
    <t>Dividends</t>
  </si>
  <si>
    <t>Payments tax share based awards</t>
  </si>
  <si>
    <t>Payment purchase RF360 venture</t>
  </si>
  <si>
    <t>Financing cashflow</t>
  </si>
  <si>
    <t>Exchange rate change effect</t>
  </si>
  <si>
    <t>Net increase/decrease in cash</t>
  </si>
  <si>
    <t>Begin cash</t>
  </si>
  <si>
    <t>End cash</t>
  </si>
  <si>
    <t>Share compensation</t>
  </si>
  <si>
    <t>Discontinued operations activities</t>
  </si>
  <si>
    <t>Proceeds sales PP&amp;E</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</si>
  <si>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</si>
  <si>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</si>
  <si>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</si>
  <si>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</si>
  <si>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</si>
  <si>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</si>
  <si>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</si>
  <si>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</si>
  <si>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</si>
  <si>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</si>
  <si>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</si>
  <si>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</si>
  <si>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</si>
  <si>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</si>
  <si>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</si>
  <si>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</si>
  <si>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Discontinued operations financing</t>
  </si>
  <si>
    <t>Discontinued operations investing</t>
  </si>
  <si>
    <t>Check End Cash</t>
  </si>
  <si>
    <t>Calculated End Cash</t>
  </si>
  <si>
    <t>Other data</t>
  </si>
  <si>
    <t>Check balance</t>
  </si>
  <si>
    <t>Q</t>
  </si>
  <si>
    <t>Q1 2025</t>
  </si>
  <si>
    <t>23.06.2024</t>
  </si>
  <si>
    <t>Q3 2024</t>
  </si>
  <si>
    <t>29.12.2024</t>
  </si>
  <si>
    <t>30.03.2025</t>
  </si>
  <si>
    <t>Q2 2025</t>
  </si>
  <si>
    <t>29.06.2025</t>
  </si>
  <si>
    <t>Q3 2025</t>
  </si>
  <si>
    <t>Dividends per share</t>
  </si>
  <si>
    <t>Net income with discontinued</t>
  </si>
  <si>
    <t>Income tax expense/benefit</t>
  </si>
  <si>
    <t>Q4 2024</t>
  </si>
  <si>
    <t>Q4 2025</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</si>
  <si>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</si>
  <si>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</si>
  <si>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</si>
  <si>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</si>
  <si>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</si>
  <si>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</si>
  <si>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</si>
  <si>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</si>
  <si>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</si>
  <si>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</si>
  <si>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</si>
  <si>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</si>
  <si>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</si>
  <si>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</si>
  <si>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</si>
  <si>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</si>
  <si>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</si>
  <si>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</si>
  <si>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</si>
  <si>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</si>
  <si>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</si>
  <si>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28.12.2025</t>
  </si>
  <si>
    <t>Q1 2026</t>
  </si>
  <si>
    <t>History</t>
  </si>
  <si>
    <t>Forecast</t>
  </si>
  <si>
    <t>Revenues</t>
  </si>
  <si>
    <t>Company specifics</t>
  </si>
  <si>
    <t>Revenue breakdown</t>
  </si>
  <si>
    <t>QCT</t>
  </si>
  <si>
    <t>Handset</t>
  </si>
  <si>
    <t>Automotive</t>
  </si>
  <si>
    <t>IoT</t>
  </si>
  <si>
    <t>QTL</t>
  </si>
  <si>
    <t>Total</t>
  </si>
  <si>
    <t>Revenue growth</t>
  </si>
  <si>
    <t>Handset Growth</t>
  </si>
  <si>
    <t>Automotive Growth</t>
  </si>
  <si>
    <t>IoT Growth</t>
  </si>
  <si>
    <t>QCT Growth</t>
  </si>
  <si>
    <t>QTL Growth</t>
  </si>
  <si>
    <t>Total Growth</t>
  </si>
  <si>
    <t>Revenue Drivers</t>
  </si>
  <si>
    <t>Handset growth</t>
  </si>
  <si>
    <t>Expenses</t>
  </si>
  <si>
    <t>% of revenue</t>
  </si>
  <si>
    <t>Gross profit growth</t>
  </si>
  <si>
    <t>Operating income growth</t>
  </si>
  <si>
    <t>Net income growth</t>
  </si>
  <si>
    <t>Net income margin</t>
  </si>
  <si>
    <t>Share dilution or buybacks</t>
  </si>
  <si>
    <t>Avg diluted shares</t>
  </si>
  <si>
    <t>Dilution rate</t>
  </si>
  <si>
    <t>PE valuation</t>
  </si>
  <si>
    <t>Year 5 earnings</t>
  </si>
  <si>
    <t>Discount rate</t>
  </si>
  <si>
    <t>Applied PE ratio</t>
  </si>
  <si>
    <t>Shares at year 5</t>
  </si>
  <si>
    <t>Price per share year 5</t>
  </si>
  <si>
    <t>PV of price</t>
  </si>
  <si>
    <t>Up/Downside</t>
  </si>
  <si>
    <t>PS valuation</t>
  </si>
  <si>
    <t>Year 5 revenue</t>
  </si>
  <si>
    <t>Revenue per share year 5</t>
  </si>
  <si>
    <t>Applied PS ratio</t>
  </si>
  <si>
    <t>Price per share at year 5</t>
  </si>
  <si>
    <t>Automotive growth</t>
  </si>
  <si>
    <t>IoT growth</t>
  </si>
  <si>
    <t>QTL growth</t>
  </si>
  <si>
    <t>Dividend growth</t>
  </si>
  <si>
    <t>Misc financials</t>
  </si>
  <si>
    <t>Free Cash Flow</t>
  </si>
  <si>
    <t>Mosc financials</t>
  </si>
  <si>
    <t>Change NWC</t>
  </si>
  <si>
    <t>Discontinued operations</t>
  </si>
  <si>
    <t>DuPont Identity</t>
  </si>
  <si>
    <t>ROA</t>
  </si>
  <si>
    <t>ROE</t>
  </si>
  <si>
    <t>Profit Margin (Earnings/Revenue)</t>
  </si>
  <si>
    <t>Asset Turnover (Revenue/Total assets)</t>
  </si>
  <si>
    <t>Equity Multiplier (Total assets/Equity)</t>
  </si>
  <si>
    <t>Geowth rates</t>
  </si>
  <si>
    <t>PE</t>
  </si>
  <si>
    <t>PE adjusted</t>
  </si>
  <si>
    <t>CAGR 10y EPS</t>
  </si>
  <si>
    <t>CAGR 10y Net income</t>
  </si>
  <si>
    <t>CAGR 10y Revenue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</si>
  <si>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</si>
  <si>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</si>
  <si>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</si>
  <si>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</si>
  <si>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</si>
  <si>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NOPAT</t>
  </si>
  <si>
    <t>ROIC</t>
  </si>
  <si>
    <t>Insider %</t>
  </si>
  <si>
    <t>Shares held by insiders</t>
  </si>
  <si>
    <t>Total shares</t>
  </si>
  <si>
    <t>Check that stock repurchases are done with FCF and not debt</t>
  </si>
  <si>
    <t>Adjusted FCF = Op cashflow - Stock based compensation -Capex</t>
  </si>
  <si>
    <t>Cash remaining = FCF - dividends - debt repayments</t>
  </si>
  <si>
    <t>Cash remaining - stock repurchase value should be positive</t>
  </si>
  <si>
    <t>Adj FCF</t>
  </si>
  <si>
    <t>Debt repayment</t>
  </si>
  <si>
    <t>Stock repurchase</t>
  </si>
  <si>
    <t>Cover</t>
  </si>
  <si>
    <t>Market cap</t>
  </si>
  <si>
    <t>Net debt</t>
  </si>
  <si>
    <t>EV</t>
  </si>
  <si>
    <t>EBITDA</t>
  </si>
  <si>
    <t>Cash remaining</t>
  </si>
  <si>
    <t>Q2 2026</t>
  </si>
  <si>
    <t>29.03.2026</t>
  </si>
  <si>
    <t>Income tax provision</t>
  </si>
  <si>
    <t>Units conversion</t>
  </si>
  <si>
    <t>PS</t>
  </si>
  <si>
    <t>Cash per share</t>
  </si>
  <si>
    <t>CAGR 10y dividend</t>
  </si>
  <si>
    <t>CAGR 10y price</t>
  </si>
  <si>
    <t>Free Cash Flow to Equity</t>
  </si>
  <si>
    <t>Market data</t>
  </si>
  <si>
    <t>Last market price for period</t>
  </si>
  <si>
    <t>Debt</t>
  </si>
  <si>
    <t>Equity</t>
  </si>
  <si>
    <t>Cash</t>
  </si>
  <si>
    <t>Forecast -&gt;</t>
  </si>
  <si>
    <t>Revenue forecast</t>
  </si>
  <si>
    <t>Revenues (million)</t>
  </si>
  <si>
    <t>Revenues (thousand)</t>
  </si>
  <si>
    <t>FQ1</t>
  </si>
  <si>
    <t>FQ2</t>
  </si>
  <si>
    <t>FQ3</t>
  </si>
  <si>
    <t>Growth rates</t>
  </si>
  <si>
    <t>Revenue growth %</t>
  </si>
  <si>
    <t>Q4-Q1-Q2</t>
  </si>
  <si>
    <t>COGS &amp; OpEx forecast</t>
  </si>
  <si>
    <t>COGS and OpEx</t>
  </si>
  <si>
    <t>COGS &amp; OpEx</t>
  </si>
  <si>
    <t>Expenses (million)</t>
  </si>
  <si>
    <t>Expenses (thousand)</t>
  </si>
  <si>
    <t>Expenses % of Revenue</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</si>
  <si>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</si>
  <si>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</si>
  <si>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</si>
  <si>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</si>
  <si>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</si>
  <si>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</si>
  <si>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</si>
  <si>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</si>
  <si>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</si>
  <si>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</si>
  <si>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</si>
  <si>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</si>
  <si>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</si>
  <si>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</si>
  <si>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</si>
  <si>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</si>
  <si>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</si>
  <si>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</si>
  <si>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</si>
  <si>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</si>
  <si>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</si>
  <si>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</si>
  <si>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</si>
  <si>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</si>
  <si>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</si>
  <si>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</si>
  <si>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</si>
  <si>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</si>
  <si>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</si>
  <si>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</si>
  <si>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</si>
  <si>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</si>
  <si>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Valuation -&gt;</t>
  </si>
  <si>
    <t>WACC</t>
  </si>
  <si>
    <t>Inputs</t>
  </si>
  <si>
    <t>Shares Outstanding</t>
  </si>
  <si>
    <t>Risk free rate</t>
  </si>
  <si>
    <t>Beta</t>
  </si>
  <si>
    <t>Market risk premium</t>
  </si>
  <si>
    <t>Cost of debt</t>
  </si>
  <si>
    <t>Calculations</t>
  </si>
  <si>
    <t>Debt/(Debt+Equity)</t>
  </si>
  <si>
    <t>Equity/(Debt+Equity)</t>
  </si>
  <si>
    <t>Cost of debt with tax</t>
  </si>
  <si>
    <t>Cost of equity</t>
  </si>
  <si>
    <t>Financials -&gt;</t>
  </si>
  <si>
    <t>DCF</t>
  </si>
  <si>
    <t>PV of FCF</t>
  </si>
  <si>
    <t>Perpetual cashflow</t>
  </si>
  <si>
    <t>Period</t>
  </si>
  <si>
    <t>PV of UFCF</t>
  </si>
  <si>
    <t>PV of Perpetual cashflow</t>
  </si>
  <si>
    <t>Input parameters</t>
  </si>
  <si>
    <t>Perpetual growth</t>
  </si>
  <si>
    <t>Total PV of Unlevered FCF</t>
  </si>
  <si>
    <t>Enterprise value</t>
  </si>
  <si>
    <t>(+) Cash</t>
  </si>
  <si>
    <t>(-) Debt</t>
  </si>
  <si>
    <t>Equity value</t>
  </si>
  <si>
    <t>Price per share</t>
  </si>
  <si>
    <t>Multiples valuations</t>
  </si>
  <si>
    <t>Revenues, earnings cash</t>
  </si>
  <si>
    <t>% Growth</t>
  </si>
  <si>
    <t>Shares</t>
  </si>
  <si>
    <t>Historical price</t>
  </si>
  <si>
    <t>Historical ratios</t>
  </si>
  <si>
    <t>Market Cap</t>
  </si>
  <si>
    <t>EV/EBIT</t>
  </si>
  <si>
    <t>EV/UFCF</t>
  </si>
  <si>
    <t>EV/EBIT valuation</t>
  </si>
  <si>
    <t>Year 5 EBIT</t>
  </si>
  <si>
    <t>Applied EV/EBIT ratio</t>
  </si>
  <si>
    <t>Shares outstanding diluted</t>
  </si>
  <si>
    <t>PV of price per share</t>
  </si>
  <si>
    <t>Year 5 sales</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</si>
  <si>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</si>
  <si>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</si>
  <si>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</si>
  <si>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</si>
  <si>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</si>
  <si>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</si>
  <si>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</si>
  <si>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</si>
  <si>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</si>
  <si>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</si>
  <si>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</si>
  <si>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</si>
  <si>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</si>
  <si>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</si>
  <si>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</si>
  <si>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</si>
  <si>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</si>
  <si>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</si>
  <si>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</si>
  <si>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</si>
  <si>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</si>
  <si>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</si>
  <si>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</si>
  <si>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</si>
  <si>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EBIT margin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</si>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</sst>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_(* \(#,##0\);_(* &quot;-&quot;_);_(@_)"/>
    <numFmt numFmtId="164" formatCode="0.00_);[Red]\(0.00\)"/>
    <numFmt numFmtId="165" formatCode="0.0%"/>
    <numFmt numFmtId="166" formatCode="0.00_);\(0.00\)"/>
    <numFmt numFmtId="167" formatCode="0.0"/>
    <numFmt numFmtId="168" formatCode="#,##0.0_);\(#,##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theme="9"/>
      <name val="Aptos Narrow"/>
      <family val="2"/>
      <scheme val="minor"/>
    </font>
    <font>
      <b/>
      <sz val="12"/>
      <color rgb="FFFFFFFF"/>
      <name val="Aptos Narrow"/>
      <scheme val="minor"/>
    </font>
    <font>
      <i/>
      <sz val="12"/>
      <color theme="1"/>
      <name val="Aptos Narrow"/>
      <scheme val="minor"/>
    </font>
    <font>
      <i/>
      <sz val="12"/>
      <color rgb="FF000000"/>
      <name val="Aptos Narrow"/>
      <scheme val="minor"/>
    </font>
    <font>
      <b/>
      <sz val="12"/>
      <color theme="0"/>
      <name val="Aptos Narrow (Body)"/>
    </font>
    <font>
      <sz val="12"/>
      <color rgb="FF000000"/>
      <name val="Aptos Narrow"/>
      <family val="2"/>
      <scheme val="minor"/>
    </font>
    <font>
      <b/>
      <sz val="12"/>
      <color rgb="FFF2F2F2"/>
      <name val="Aptos Narrow"/>
      <scheme val="minor"/>
    </font>
    <font>
      <b/>
      <sz val="40"/>
      <color rgb="FF002060"/>
      <name val="Arial"/>
      <family val="2"/>
      <charset val="204"/>
    </font>
    <font>
      <b/>
      <sz val="12"/>
      <color rgb="FF002060"/>
      <name val="Arial"/>
      <family val="2"/>
      <charset val="204"/>
    </font>
    <font>
      <sz val="9"/>
      <name val="Arial"/>
      <family val="2"/>
      <charset val="204"/>
    </font>
    <font>
      <b/>
      <sz val="12"/>
      <color theme="9"/>
      <name val="Aptos Narrow"/>
      <scheme val="minor"/>
    </font>
    <font>
      <b/>
      <i/>
      <sz val="12"/>
      <color theme="1"/>
      <name val="Aptos Narrow"/>
      <scheme val="minor"/>
    </font>
    <font>
      <b/>
      <sz val="12"/>
      <color rgb="FF4EA72E"/>
      <name val="Aptos Narrow"/>
      <scheme val="minor"/>
    </font>
    <font>
      <sz val="12"/>
      <color rgb="FF4EA72E"/>
      <name val="Aptos Narrow"/>
      <family val="2"/>
      <scheme val="minor"/>
    </font>
    <font>
      <sz val="12"/>
      <color theme="9"/>
      <name val="Aptos Narrow"/>
      <scheme val="minor"/>
    </font>
    <font>
      <b/>
      <sz val="12"/>
      <color rgb="FF000000"/>
      <name val="Aptos Narrow"/>
      <scheme val="minor"/>
    </font>
  </fonts>
  <fills count="20">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002060"/>
        <bgColor rgb="FF000000"/>
      </patternFill>
    </fill>
    <fill>
      <patternFill patternType="solid">
        <fgColor theme="0" tint="-0.499984740745262"/>
        <bgColor indexed="64"/>
      </patternFill>
    </fill>
    <fill>
      <patternFill patternType="solid">
        <fgColor rgb="FF808080"/>
        <bgColor rgb="FF000000"/>
      </patternFill>
    </fill>
    <fill>
      <patternFill patternType="solid">
        <fgColor rgb="FFFFFAD5"/>
        <bgColor rgb="FF000000"/>
      </patternFill>
    </fill>
    <fill>
      <patternFill patternType="solid">
        <fgColor rgb="FFFFFFFF"/>
        <bgColor rgb="FF000000"/>
      </patternFill>
    </fill>
    <fill>
      <patternFill patternType="solid">
        <fgColor rgb="FF4D93D9"/>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s>
  <borders count="30">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56">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0" fontId="2" fillId="4" borderId="1" xfId="0" applyFont="1" applyFill="1" applyBorder="1"/>
    <xf numFmtId="38" fontId="6" fillId="3" borderId="1" xfId="0" applyNumberFormat="1" applyFont="1" applyFill="1" applyBorder="1"/>
    <xf numFmtId="38" fontId="2" fillId="3" borderId="0" xfId="0" applyNumberFormat="1" applyFont="1" applyFill="1"/>
    <xf numFmtId="0" fontId="2" fillId="3" borderId="1" xfId="0" applyFont="1" applyFill="1" applyBorder="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3" xfId="0" applyFont="1" applyFill="1" applyBorder="1"/>
    <xf numFmtId="0" fontId="3" fillId="5" borderId="6" xfId="0" applyFont="1" applyFill="1" applyBorder="1" applyAlignment="1">
      <alignment horizontal="center"/>
    </xf>
    <xf numFmtId="38" fontId="0" fillId="3" borderId="7" xfId="0" applyNumberFormat="1" applyFill="1" applyBorder="1"/>
    <xf numFmtId="38" fontId="0" fillId="3" borderId="8"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2" fillId="3" borderId="5"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38" fontId="2" fillId="3" borderId="14" xfId="0" applyNumberFormat="1" applyFont="1" applyFill="1" applyBorder="1"/>
    <xf numFmtId="38" fontId="2" fillId="3" borderId="1"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38" fontId="0" fillId="10" borderId="0" xfId="0" applyNumberFormat="1"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0" fontId="0" fillId="2" borderId="0" xfId="0" applyFill="1"/>
    <xf numFmtId="0" fontId="0" fillId="4" borderId="0" xfId="0" applyFill="1" applyAlignment="1">
      <alignment horizontal="left" indent="1"/>
    </xf>
    <xf numFmtId="0" fontId="0" fillId="3" borderId="0" xfId="0" applyFill="1" applyAlignment="1">
      <alignment horizontal="left" indent="1"/>
    </xf>
    <xf numFmtId="38" fontId="10" fillId="3" borderId="0" xfId="0" applyNumberFormat="1" applyFont="1" applyFill="1"/>
    <xf numFmtId="0" fontId="11" fillId="11" borderId="0" xfId="0" applyFont="1" applyFill="1"/>
    <xf numFmtId="0" fontId="12" fillId="12" borderId="0" xfId="0" applyFont="1" applyFill="1"/>
    <xf numFmtId="0" fontId="13" fillId="13" borderId="0" xfId="0" applyFont="1" applyFill="1"/>
    <xf numFmtId="0" fontId="12" fillId="3" borderId="0" xfId="0" applyFont="1" applyFill="1"/>
    <xf numFmtId="0" fontId="12" fillId="3" borderId="0" xfId="0" applyFont="1" applyFill="1" applyAlignment="1">
      <alignment horizontal="left" indent="1"/>
    </xf>
    <xf numFmtId="165" fontId="12" fillId="3" borderId="0" xfId="1" applyNumberFormat="1" applyFont="1" applyFill="1"/>
    <xf numFmtId="38" fontId="10" fillId="3" borderId="4" xfId="0" applyNumberFormat="1" applyFont="1" applyFill="1" applyBorder="1"/>
    <xf numFmtId="38" fontId="0" fillId="3" borderId="4" xfId="0" applyNumberFormat="1" applyFill="1" applyBorder="1"/>
    <xf numFmtId="165" fontId="12" fillId="3" borderId="4" xfId="1" applyNumberFormat="1" applyFont="1" applyFill="1" applyBorder="1"/>
    <xf numFmtId="165" fontId="12" fillId="3" borderId="0" xfId="1" applyNumberFormat="1" applyFont="1" applyFill="1" applyBorder="1"/>
    <xf numFmtId="165" fontId="0" fillId="3" borderId="0" xfId="0" applyNumberFormat="1" applyFill="1"/>
    <xf numFmtId="165" fontId="13" fillId="14" borderId="0" xfId="0" applyNumberFormat="1" applyFont="1" applyFill="1"/>
    <xf numFmtId="165" fontId="12" fillId="3" borderId="0" xfId="0" applyNumberFormat="1" applyFont="1" applyFill="1"/>
    <xf numFmtId="0" fontId="12" fillId="3" borderId="0" xfId="0" applyFont="1" applyFill="1" applyAlignment="1">
      <alignment horizontal="left"/>
    </xf>
    <xf numFmtId="165" fontId="12" fillId="3" borderId="4" xfId="0" applyNumberFormat="1" applyFont="1" applyFill="1" applyBorder="1"/>
    <xf numFmtId="165" fontId="13" fillId="15" borderId="0" xfId="0" applyNumberFormat="1" applyFont="1" applyFill="1"/>
    <xf numFmtId="165" fontId="12" fillId="8" borderId="0" xfId="1" applyNumberFormat="1" applyFont="1" applyFill="1"/>
    <xf numFmtId="38" fontId="0" fillId="8" borderId="0" xfId="0" applyNumberFormat="1" applyFill="1"/>
    <xf numFmtId="9" fontId="12" fillId="3" borderId="0" xfId="1" applyFont="1" applyFill="1"/>
    <xf numFmtId="10" fontId="10" fillId="3" borderId="0" xfId="1" applyNumberFormat="1" applyFont="1" applyFill="1"/>
    <xf numFmtId="165" fontId="2" fillId="8" borderId="0" xfId="1" applyNumberFormat="1" applyFont="1" applyFill="1"/>
    <xf numFmtId="165" fontId="13" fillId="15" borderId="4" xfId="0" applyNumberFormat="1" applyFont="1" applyFill="1" applyBorder="1"/>
    <xf numFmtId="9" fontId="12" fillId="3" borderId="4" xfId="1" applyFont="1" applyFill="1" applyBorder="1"/>
    <xf numFmtId="0" fontId="0" fillId="3" borderId="4" xfId="0" applyFill="1" applyBorder="1"/>
    <xf numFmtId="10" fontId="10" fillId="3" borderId="4" xfId="1" applyNumberFormat="1" applyFont="1" applyFill="1" applyBorder="1"/>
    <xf numFmtId="165" fontId="0" fillId="3" borderId="0" xfId="1" applyNumberFormat="1" applyFont="1" applyFill="1"/>
    <xf numFmtId="165" fontId="0" fillId="3" borderId="4" xfId="1" applyNumberFormat="1" applyFont="1" applyFill="1" applyBorder="1"/>
    <xf numFmtId="0" fontId="4" fillId="2" borderId="16" xfId="0" applyFont="1" applyFill="1" applyBorder="1"/>
    <xf numFmtId="0" fontId="4" fillId="2" borderId="17" xfId="0" applyFont="1" applyFill="1" applyBorder="1"/>
    <xf numFmtId="0" fontId="0" fillId="3" borderId="18" xfId="0" applyFill="1" applyBorder="1"/>
    <xf numFmtId="38" fontId="0" fillId="3" borderId="19" xfId="0" applyNumberFormat="1" applyFill="1" applyBorder="1"/>
    <xf numFmtId="165" fontId="0" fillId="8" borderId="19" xfId="1" applyNumberFormat="1" applyFont="1" applyFill="1" applyBorder="1"/>
    <xf numFmtId="0" fontId="0" fillId="8" borderId="19" xfId="0" applyFill="1" applyBorder="1"/>
    <xf numFmtId="2" fontId="0" fillId="3" borderId="19" xfId="0" applyNumberFormat="1" applyFill="1" applyBorder="1"/>
    <xf numFmtId="0" fontId="0" fillId="3" borderId="20" xfId="0" applyFill="1" applyBorder="1"/>
    <xf numFmtId="165" fontId="0" fillId="3" borderId="21" xfId="1" applyNumberFormat="1" applyFont="1" applyFill="1" applyBorder="1"/>
    <xf numFmtId="3" fontId="0" fillId="3" borderId="19" xfId="0" applyNumberFormat="1" applyFill="1" applyBorder="1"/>
    <xf numFmtId="0" fontId="0" fillId="3" borderId="0" xfId="0" applyFill="1" applyAlignment="1">
      <alignment horizontal="center"/>
    </xf>
    <xf numFmtId="0" fontId="4" fillId="2" borderId="0" xfId="0" applyFont="1" applyFill="1" applyAlignment="1">
      <alignment horizontal="right"/>
    </xf>
    <xf numFmtId="0" fontId="4" fillId="2" borderId="0" xfId="0" applyFont="1" applyFill="1" applyAlignment="1">
      <alignment horizontal="center"/>
    </xf>
    <xf numFmtId="0" fontId="11" fillId="16" borderId="2" xfId="0" applyFont="1" applyFill="1" applyBorder="1"/>
    <xf numFmtId="0" fontId="15" fillId="16" borderId="2" xfId="0" applyFont="1" applyFill="1" applyBorder="1"/>
    <xf numFmtId="0" fontId="0" fillId="3" borderId="0" xfId="0" applyFill="1" applyAlignment="1">
      <alignment horizontal="left"/>
    </xf>
    <xf numFmtId="10" fontId="2" fillId="3" borderId="0" xfId="0" applyNumberFormat="1" applyFont="1" applyFill="1"/>
    <xf numFmtId="165" fontId="2" fillId="3" borderId="0" xfId="1" applyNumberFormat="1" applyFont="1" applyFill="1"/>
    <xf numFmtId="37" fontId="10" fillId="3" borderId="0" xfId="0" applyNumberFormat="1" applyFont="1" applyFill="1"/>
    <xf numFmtId="37" fontId="2" fillId="3" borderId="0" xfId="0" applyNumberFormat="1" applyFont="1" applyFill="1"/>
    <xf numFmtId="37" fontId="1" fillId="9" borderId="1" xfId="0" applyNumberFormat="1" applyFont="1" applyFill="1" applyBorder="1"/>
    <xf numFmtId="164" fontId="2" fillId="3" borderId="2" xfId="0" applyNumberFormat="1" applyFont="1" applyFill="1" applyBorder="1"/>
    <xf numFmtId="38" fontId="1" fillId="9" borderId="2" xfId="0" applyNumberFormat="1" applyFont="1" applyFill="1" applyBorder="1"/>
    <xf numFmtId="37" fontId="0" fillId="3" borderId="0" xfId="0" applyNumberFormat="1" applyFill="1"/>
    <xf numFmtId="37" fontId="1" fillId="9" borderId="0" xfId="0" applyNumberFormat="1" applyFont="1" applyFill="1"/>
    <xf numFmtId="37" fontId="1" fillId="9" borderId="2" xfId="0" applyNumberFormat="1" applyFont="1" applyFill="1" applyBorder="1"/>
    <xf numFmtId="166" fontId="2" fillId="3" borderId="2" xfId="0" applyNumberFormat="1" applyFont="1" applyFill="1" applyBorder="1"/>
    <xf numFmtId="0" fontId="16" fillId="16" borderId="2" xfId="0" applyFont="1" applyFill="1" applyBorder="1"/>
    <xf numFmtId="165" fontId="1" fillId="3" borderId="0" xfId="1" applyNumberFormat="1" applyFont="1" applyFill="1"/>
    <xf numFmtId="2" fontId="2" fillId="3" borderId="0" xfId="1" applyNumberFormat="1" applyFont="1" applyFill="1"/>
    <xf numFmtId="2" fontId="0"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167" fontId="0" fillId="3" borderId="0" xfId="0" applyNumberFormat="1" applyFill="1"/>
    <xf numFmtId="10" fontId="2" fillId="3" borderId="0" xfId="1" applyNumberFormat="1" applyFont="1" applyFill="1"/>
    <xf numFmtId="9" fontId="0" fillId="3" borderId="0" xfId="1" applyFont="1" applyFill="1" applyBorder="1"/>
    <xf numFmtId="3" fontId="0" fillId="3" borderId="0" xfId="0" applyNumberFormat="1" applyFill="1"/>
    <xf numFmtId="38" fontId="1" fillId="9" borderId="15" xfId="0" applyNumberFormat="1" applyFont="1" applyFill="1" applyBorder="1"/>
    <xf numFmtId="3" fontId="0" fillId="8" borderId="0" xfId="0" applyNumberFormat="1" applyFill="1"/>
    <xf numFmtId="2" fontId="0" fillId="3" borderId="0" xfId="0" applyNumberFormat="1" applyFill="1"/>
    <xf numFmtId="0" fontId="17" fillId="3" borderId="0" xfId="0" applyFont="1" applyFill="1" applyAlignment="1">
      <alignment vertical="top"/>
    </xf>
    <xf numFmtId="0" fontId="0" fillId="3" borderId="0" xfId="0" applyFill="1" applyAlignment="1">
      <alignment vertical="top"/>
    </xf>
    <xf numFmtId="0" fontId="18" fillId="3" borderId="0" xfId="0" applyFont="1" applyFill="1" applyAlignment="1">
      <alignment vertical="top"/>
    </xf>
    <xf numFmtId="0" fontId="19" fillId="3" borderId="0" xfId="0" applyFont="1" applyFill="1" applyAlignment="1">
      <alignment vertical="top"/>
    </xf>
    <xf numFmtId="0" fontId="19" fillId="3" borderId="4" xfId="0" applyFont="1" applyFill="1" applyBorder="1" applyAlignment="1">
      <alignment vertical="top"/>
    </xf>
    <xf numFmtId="0" fontId="4" fillId="2" borderId="22" xfId="0" applyFont="1" applyFill="1" applyBorder="1" applyAlignment="1">
      <alignment horizontal="center"/>
    </xf>
    <xf numFmtId="0" fontId="15" fillId="15" borderId="0" xfId="0" applyFont="1" applyFill="1" applyAlignment="1">
      <alignment vertical="top"/>
    </xf>
    <xf numFmtId="0" fontId="15" fillId="15" borderId="0" xfId="0" applyFont="1" applyFill="1"/>
    <xf numFmtId="0" fontId="4" fillId="2" borderId="22" xfId="0" applyFont="1" applyFill="1" applyBorder="1" applyAlignment="1">
      <alignment horizontal="left"/>
    </xf>
    <xf numFmtId="37" fontId="10" fillId="3" borderId="25" xfId="0" applyNumberFormat="1" applyFont="1" applyFill="1" applyBorder="1"/>
    <xf numFmtId="37" fontId="20" fillId="3" borderId="0" xfId="0" applyNumberFormat="1" applyFont="1" applyFill="1"/>
    <xf numFmtId="37" fontId="20" fillId="3" borderId="25" xfId="0" applyNumberFormat="1" applyFont="1" applyFill="1" applyBorder="1"/>
    <xf numFmtId="37" fontId="1" fillId="3" borderId="0" xfId="0" applyNumberFormat="1" applyFont="1" applyFill="1"/>
    <xf numFmtId="165" fontId="12" fillId="3" borderId="25" xfId="1" applyNumberFormat="1" applyFont="1" applyFill="1" applyBorder="1"/>
    <xf numFmtId="165" fontId="21" fillId="3" borderId="0" xfId="1" applyNumberFormat="1" applyFont="1" applyFill="1"/>
    <xf numFmtId="165" fontId="21" fillId="3" borderId="25" xfId="1" applyNumberFormat="1" applyFont="1" applyFill="1" applyBorder="1"/>
    <xf numFmtId="38" fontId="22" fillId="15" borderId="0" xfId="0" applyNumberFormat="1" applyFont="1" applyFill="1"/>
    <xf numFmtId="38" fontId="22" fillId="15" borderId="25" xfId="0" applyNumberFormat="1" applyFont="1" applyFill="1" applyBorder="1"/>
    <xf numFmtId="38" fontId="23" fillId="15" borderId="0" xfId="0" applyNumberFormat="1" applyFont="1" applyFill="1"/>
    <xf numFmtId="38" fontId="23" fillId="15" borderId="25"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7" fontId="24" fillId="3" borderId="0" xfId="0" applyNumberFormat="1" applyFont="1" applyFill="1"/>
    <xf numFmtId="37" fontId="24" fillId="3" borderId="25" xfId="0" applyNumberFormat="1" applyFont="1" applyFill="1" applyBorder="1"/>
    <xf numFmtId="37" fontId="23" fillId="15" borderId="0" xfId="0" applyNumberFormat="1" applyFont="1" applyFill="1"/>
    <xf numFmtId="37" fontId="23" fillId="15" borderId="25" xfId="0" applyNumberFormat="1" applyFont="1" applyFill="1" applyBorder="1"/>
    <xf numFmtId="38" fontId="22" fillId="18" borderId="0" xfId="0" applyNumberFormat="1" applyFont="1" applyFill="1"/>
    <xf numFmtId="38" fontId="23" fillId="18" borderId="0" xfId="0" applyNumberFormat="1" applyFont="1" applyFill="1"/>
    <xf numFmtId="168" fontId="0" fillId="15" borderId="0" xfId="0" applyNumberFormat="1" applyFill="1"/>
    <xf numFmtId="168" fontId="0" fillId="15" borderId="25" xfId="0" applyNumberFormat="1" applyFill="1" applyBorder="1"/>
    <xf numFmtId="167" fontId="0" fillId="8" borderId="0" xfId="0" applyNumberFormat="1" applyFill="1"/>
    <xf numFmtId="37" fontId="0" fillId="15" borderId="0" xfId="0" applyNumberFormat="1" applyFill="1"/>
    <xf numFmtId="37" fontId="0" fillId="15" borderId="25" xfId="0" applyNumberFormat="1" applyFill="1" applyBorder="1"/>
    <xf numFmtId="165" fontId="12" fillId="15" borderId="0" xfId="1" applyNumberFormat="1" applyFont="1" applyFill="1"/>
    <xf numFmtId="165" fontId="12" fillId="15" borderId="25" xfId="1" applyNumberFormat="1" applyFont="1" applyFill="1" applyBorder="1"/>
    <xf numFmtId="168" fontId="0" fillId="18" borderId="0" xfId="0" applyNumberFormat="1" applyFill="1"/>
    <xf numFmtId="37" fontId="1" fillId="3" borderId="25" xfId="0" applyNumberFormat="1" applyFont="1" applyFill="1" applyBorder="1"/>
    <xf numFmtId="0" fontId="15" fillId="15" borderId="0" xfId="0" applyFont="1" applyFill="1" applyAlignment="1">
      <alignment horizontal="left"/>
    </xf>
    <xf numFmtId="10" fontId="10" fillId="3" borderId="0" xfId="0" applyNumberFormat="1" applyFont="1" applyFill="1"/>
    <xf numFmtId="10" fontId="10" fillId="3" borderId="25" xfId="0" applyNumberFormat="1" applyFont="1" applyFill="1" applyBorder="1"/>
    <xf numFmtId="10" fontId="0" fillId="8" borderId="0" xfId="0" applyNumberFormat="1" applyFill="1"/>
    <xf numFmtId="37" fontId="2" fillId="3" borderId="25" xfId="0" applyNumberFormat="1" applyFont="1" applyFill="1" applyBorder="1"/>
    <xf numFmtId="4" fontId="24" fillId="3" borderId="0" xfId="0" applyNumberFormat="1" applyFont="1" applyFill="1"/>
    <xf numFmtId="3" fontId="2" fillId="3" borderId="0" xfId="0" applyNumberFormat="1" applyFont="1" applyFill="1"/>
    <xf numFmtId="10" fontId="24" fillId="3" borderId="0" xfId="1" applyNumberFormat="1" applyFont="1" applyFill="1"/>
    <xf numFmtId="0" fontId="25" fillId="19" borderId="0" xfId="0" applyFont="1" applyFill="1"/>
    <xf numFmtId="37" fontId="2" fillId="10" borderId="25" xfId="0" applyNumberFormat="1" applyFont="1" applyFill="1" applyBorder="1"/>
    <xf numFmtId="10" fontId="2" fillId="8" borderId="0" xfId="1" applyNumberFormat="1" applyFont="1" applyFill="1"/>
    <xf numFmtId="0" fontId="0" fillId="7" borderId="26" xfId="0" applyFill="1" applyBorder="1"/>
    <xf numFmtId="166" fontId="0" fillId="7" borderId="27" xfId="0" applyNumberFormat="1" applyFill="1" applyBorder="1"/>
    <xf numFmtId="38" fontId="10" fillId="3" borderId="25" xfId="0" applyNumberFormat="1" applyFont="1" applyFill="1" applyBorder="1"/>
    <xf numFmtId="165" fontId="13" fillId="15" borderId="25" xfId="0" applyNumberFormat="1" applyFont="1" applyFill="1" applyBorder="1"/>
    <xf numFmtId="0" fontId="10" fillId="3" borderId="0" xfId="0" applyFont="1" applyFill="1"/>
    <xf numFmtId="0" fontId="10" fillId="3" borderId="25" xfId="0" applyFont="1" applyFill="1" applyBorder="1"/>
    <xf numFmtId="2" fontId="1" fillId="3" borderId="0" xfId="0" applyNumberFormat="1" applyFont="1" applyFill="1"/>
    <xf numFmtId="2" fontId="1" fillId="3" borderId="25" xfId="0" applyNumberFormat="1" applyFont="1" applyFill="1" applyBorder="1"/>
    <xf numFmtId="3" fontId="0" fillId="3" borderId="25" xfId="0" applyNumberFormat="1" applyFill="1" applyBorder="1"/>
    <xf numFmtId="3" fontId="10" fillId="3" borderId="0" xfId="0" applyNumberFormat="1" applyFont="1" applyFill="1"/>
    <xf numFmtId="3" fontId="10" fillId="3" borderId="25" xfId="0" applyNumberFormat="1" applyFont="1" applyFill="1" applyBorder="1"/>
    <xf numFmtId="10" fontId="0" fillId="3" borderId="0" xfId="0" applyNumberFormat="1" applyFill="1"/>
    <xf numFmtId="2" fontId="0" fillId="8" borderId="0" xfId="0" applyNumberFormat="1" applyFill="1"/>
    <xf numFmtId="166" fontId="0" fillId="3" borderId="0" xfId="0" applyNumberFormat="1" applyFill="1"/>
    <xf numFmtId="0" fontId="0" fillId="7" borderId="18" xfId="0" applyFill="1" applyBorder="1"/>
    <xf numFmtId="166" fontId="0" fillId="7" borderId="19" xfId="0" applyNumberFormat="1" applyFill="1" applyBorder="1"/>
    <xf numFmtId="10" fontId="2" fillId="8" borderId="21" xfId="1" applyNumberFormat="1" applyFont="1" applyFill="1" applyBorder="1"/>
    <xf numFmtId="10" fontId="2" fillId="8" borderId="19" xfId="1" applyNumberFormat="1" applyFont="1" applyFill="1" applyBorder="1"/>
    <xf numFmtId="10" fontId="2" fillId="3" borderId="19" xfId="1" applyNumberFormat="1" applyFont="1" applyFill="1" applyBorder="1"/>
    <xf numFmtId="37" fontId="0" fillId="3" borderId="19" xfId="0" applyNumberFormat="1" applyFill="1" applyBorder="1"/>
    <xf numFmtId="37" fontId="2" fillId="3" borderId="21" xfId="0" applyNumberFormat="1" applyFont="1" applyFill="1" applyBorder="1"/>
    <xf numFmtId="0" fontId="1" fillId="3" borderId="18" xfId="0" applyFont="1" applyFill="1" applyBorder="1"/>
    <xf numFmtId="37" fontId="1" fillId="3" borderId="19" xfId="0" applyNumberFormat="1" applyFont="1" applyFill="1" applyBorder="1"/>
    <xf numFmtId="0" fontId="0" fillId="7" borderId="28" xfId="0" applyFill="1" applyBorder="1"/>
    <xf numFmtId="166" fontId="0" fillId="7" borderId="29" xfId="0" applyNumberFormat="1" applyFill="1" applyBorder="1"/>
    <xf numFmtId="10" fontId="12" fillId="8" borderId="0" xfId="1" applyNumberFormat="1" applyFont="1" applyFill="1"/>
    <xf numFmtId="10" fontId="12" fillId="3" borderId="0" xfId="1" applyNumberFormat="1" applyFont="1" applyFill="1"/>
    <xf numFmtId="0" fontId="4" fillId="2"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1" fillId="11" borderId="23" xfId="0" applyFont="1" applyFill="1" applyBorder="1" applyAlignment="1">
      <alignment horizontal="center"/>
    </xf>
    <xf numFmtId="0" fontId="4" fillId="2" borderId="24" xfId="0" applyFont="1" applyFill="1" applyBorder="1" applyAlignment="1">
      <alignment horizontal="center"/>
    </xf>
    <xf numFmtId="0" fontId="4" fillId="2" borderId="22"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0" fillId="3" borderId="0" xfId="0" applyFill="1" applyAlignment="1">
      <alignment horizontal="left"/>
    </xf>
    <xf numFmtId="0" fontId="14" fillId="2"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8136B34B-393F-8041-A995-EC44811756DB}"/>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DBE.xlsx" TargetMode="External"/><Relationship Id="rId1" Type="http://schemas.openxmlformats.org/officeDocument/2006/relationships/externalLinkPath" Target="ADB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8">
          <cell r="C8">
            <v>228.99</v>
          </cell>
          <cell r="F8">
            <v>1.5985</v>
          </cell>
        </row>
        <row r="10">
          <cell r="C10">
            <v>44.53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row r="3">
          <cell r="H3">
            <v>2021</v>
          </cell>
          <cell r="I3">
            <v>2022</v>
          </cell>
          <cell r="J3">
            <v>2023</v>
          </cell>
          <cell r="K3">
            <v>2024</v>
          </cell>
          <cell r="L3">
            <v>2025</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312E89-78DF-2C41-9F37-0481EBE70D1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3" dT="2025-12-04T23:33:24.15" personId="{C1312E89-78DF-2C41-9F37-0481EBE70D1D}" id="{D55170DE-D29C-4F4C-BC78-13AE6F9F404C}">
    <text>Automotive revenues for FY2029 expected at 8B. Now they are about 4B.</text>
  </threadedComment>
  <threadedComment ref="C12" dT="2025-12-03T21:38:19.62" personId="{C1312E89-78DF-2C41-9F37-0481EBE70D1D}" id="{A41AB250-5BA2-D740-BE73-957C38DDE54D}">
    <text>Gain from a sale and also cost for restructuring which led to a net gain</text>
  </threadedComment>
  <threadedComment ref="D12" dT="2025-12-03T21:35:54.95" personId="{C1312E89-78DF-2C41-9F37-0481EBE70D1D}" id="{A747821F-4B2B-554C-A0ED-A0D13393C30D}">
    <text>Costs related to fines</text>
  </threadedComment>
  <threadedComment ref="E12" dT="2025-12-03T21:34:56.16" personId="{C1312E89-78DF-2C41-9F37-0481EBE70D1D}" id="{1510354A-4336-6843-86DA-FAC588317F31}">
    <text>Costs related to fines</text>
  </threadedComment>
  <threadedComment ref="F12" dT="2025-12-03T21:33:58.01" personId="{C1312E89-78DF-2C41-9F37-0481EBE70D1D}" id="{8E9767EE-FF6A-254C-B42F-6E6608E15BAD}">
    <text>Expenses related to a fine and restructuring</text>
  </threadedComment>
  <threadedComment ref="G12" dT="2025-12-03T21:32:15.90" personId="{C1312E89-78DF-2C41-9F37-0481EBE70D1D}" id="{2F8DD255-9973-034B-9B97-9F8F2BC370B2}">
    <text>Income from a favorable legal settlement</text>
  </threadedComment>
  <threadedComment ref="I12" dT="2025-12-03T21:31:39.18" personId="{C1312E89-78DF-2C41-9F37-0481EBE70D1D}" id="{D3719020-49EB-4148-8E04-2A9090B98623}">
    <text>Gains related to an EU ruling</text>
  </threadedComment>
  <threadedComment ref="J12" dT="2025-12-03T21:29:38.44" personId="{C1312E89-78DF-2C41-9F37-0481EBE70D1D}" id="{9DB90C00-73B7-AE4A-A375-BFBD4CA72EE7}">
    <text>Expense related to restructuring and asset impairment</text>
  </threadedComment>
  <threadedComment ref="K12" dT="2025-12-03T21:28:46.41" personId="{C1312E89-78DF-2C41-9F37-0481EBE70D1D}" id="{117FBCED-FBB4-0645-B6DC-575A3FFF7862}">
    <text>Expenses related to restructuring and lawsuits</text>
  </threadedComment>
  <threadedComment ref="L12" dT="2025-12-03T21:27:43.05" personId="{C1312E89-78DF-2C41-9F37-0481EBE70D1D}" id="{21F34777-C5A3-684E-86A7-6290AAC85589}">
    <text xml:space="preserve">Expense related to restructuring. Page 72 of 10-K </text>
  </threadedComment>
  <threadedComment ref="B143" dT="2025-12-03T21:09:49.91" personId="{C1312E89-78DF-2C41-9F37-0481EBE70D1D}" id="{C842E854-BF97-304C-A2B8-105CED2DDDBE}">
    <text>Since D&amp;A is presented together in the Cashflow statement we need to find them separated.
In the FY 2018 10-K we find them at page 87/88 in the lower part/upper part. Just search for depreciation.</text>
  </threadedComment>
  <threadedComment ref="B143" dT="2025-12-03T21:19:40.68" personId="{C1312E89-78DF-2C41-9F37-0481EBE70D1D}" id="{C25AD1C1-0DBB-5647-A5B5-DD0FC3BA47A4}" parentId="{C842E854-BF97-304C-A2B8-105CED2DDDBE}">
    <text>Sometimes because of rounding, the numbers will not be exact. just try to align them with the value from the Cashflow statement</text>
  </threadedComment>
  <threadedComment ref="B144" dT="2025-12-03T21:13:05.83" personId="{C1312E89-78DF-2C41-9F37-0481EBE70D1D}" id="{E35EFEE3-2465-094E-9886-8F7780A30357}">
    <text>Since D&amp;A is presented together in the Cashflow statement we need to find them separated.
In the FY 2018 10-K we find them at page 87/88 in the lower part/upper part. Just search for depreciation or amortization.</text>
  </threadedComment>
  <threadedComment ref="B144" dT="2025-12-03T21:19:50.25" personId="{C1312E89-78DF-2C41-9F37-0481EBE70D1D}" id="{A1F6AAB9-A602-3D44-8029-53F168F3EA79}" parentId="{E35EFEE3-2465-094E-9886-8F7780A30357}">
    <text>Sometimes because of rounding, the numbers will not be exact. just try to align them with the value from the Cashflow statement</text>
  </threadedComment>
  <threadedComment ref="B146" dT="2025-12-05T20:58:53.49" personId="{C1312E89-78DF-2C41-9F37-0481EBE70D1D}" id="{4D93E015-CA08-BD46-8221-6BA1278944C2}">
    <text>Search for Human Capital to find yearly value</text>
  </threadedComment>
  <threadedComment ref="B146" dT="2025-12-06T22:26:11.07" personId="{C1312E89-78DF-2C41-9F37-0481EBE70D1D}" id="{48C32011-7978-F04E-A470-AF32825265EE}" parentId="{4D93E015-CA08-BD46-8221-6BA1278944C2}">
    <text>Actual number (no zeroes removed)</text>
  </threadedComment>
  <threadedComment ref="B184" dT="2026-04-25T21:52:20.00" personId="{C1312E89-78DF-2C41-9F37-0481EBE70D1D}" id="{A52194D2-10D2-B448-9A00-2135D2B234C4}">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U17" dT="2026-05-02T13:52:24.45" personId="{C1312E89-78DF-2C41-9F37-0481EBE70D1D}" id="{4EB4FA87-953D-8645-B0FA-14EFD48763C9}">
    <text>The company had a 5.7B tax income that is a one time thing so i adjusted with a -500M tax payment</text>
  </threadedComment>
  <threadedComment ref="L18" dT="2026-02-25T20:53:46.13" personId="{C1312E89-78DF-2C41-9F37-0481EBE70D1D}" id="{1A7B896A-63D9-D045-ACC9-628EAE422898}">
    <text>Value entered manually since the taxes are a one time thing based on a law from the Big Beautiful Bill</text>
  </threadedComment>
  <threadedComment ref="S18" dT="2026-05-02T14:39:35.11" personId="{C1312E89-78DF-2C41-9F37-0481EBE70D1D}" id="{16117EBE-EF6B-A94F-BDB5-85FA76F06282}">
    <text>Value entered manually to account for the one time 5.7B tax expense</text>
  </threadedComment>
  <threadedComment ref="T18" dT="2026-02-25T20:54:50.71" personId="{C1312E89-78DF-2C41-9F37-0481EBE70D1D}" id="{4970C39C-8BFA-7440-978F-EE5B06A2D392}">
    <text>Value entered manually since the taxes are a one time thing based on a law from the Big Beautiful Bill</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312E89-78DF-2C41-9F37-0481EBE70D1D}" id="{22DA816C-BC83-2C49-8AC5-6847ECA6F59E}">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312E89-78DF-2C41-9F37-0481EBE70D1D}" id="{E514551E-57D1-C64F-9F6B-834E54C6187B}">
    <text>10 year government bond yield</text>
  </threadedComment>
  <threadedComment ref="B13" dT="2026-02-28T14:33:08.42" personId="{C1312E89-78DF-2C41-9F37-0481EBE70D1D}" id="{B68485F3-9AC0-2842-9592-B9FA2B30BC9A}">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B2:E51"/>
  <sheetViews>
    <sheetView zoomScale="200" workbookViewId="0">
      <selection activeCell="C12" sqref="C12"/>
    </sheetView>
  </sheetViews>
  <sheetFormatPr baseColWidth="10" defaultRowHeight="16" x14ac:dyDescent="0.2"/>
  <cols>
    <col min="1" max="1" width="10.83203125" style="1"/>
    <col min="2" max="2" width="19.33203125" style="1" customWidth="1"/>
    <col min="3" max="16384" width="10.83203125" style="1"/>
  </cols>
  <sheetData>
    <row r="2" spans="2:5" x14ac:dyDescent="0.2">
      <c r="B2" s="1" t="s">
        <v>12</v>
      </c>
      <c r="C2" s="39" t="s">
        <v>13</v>
      </c>
    </row>
    <row r="3" spans="2:5" x14ac:dyDescent="0.2">
      <c r="B3" s="1" t="s">
        <v>153</v>
      </c>
      <c r="C3" s="38">
        <f>[1]Sheet1!$C$8</f>
        <v>228.99</v>
      </c>
    </row>
    <row r="6" spans="2:5" x14ac:dyDescent="0.2">
      <c r="E6" s="38"/>
    </row>
    <row r="7" spans="2:5" x14ac:dyDescent="0.2">
      <c r="B7" s="1" t="s">
        <v>14</v>
      </c>
      <c r="C7" s="39" t="s">
        <v>16</v>
      </c>
    </row>
    <row r="8" spans="2:5" x14ac:dyDescent="0.2">
      <c r="B8" s="1" t="s">
        <v>265</v>
      </c>
      <c r="C8" s="164">
        <v>1000000</v>
      </c>
    </row>
    <row r="11" spans="2:5" x14ac:dyDescent="0.2">
      <c r="B11" s="1" t="s">
        <v>234</v>
      </c>
      <c r="C11" s="159">
        <f>C3/'Statement Q'!N27</f>
        <v>24.968979139373175</v>
      </c>
      <c r="E11" s="159"/>
    </row>
    <row r="12" spans="2:5" x14ac:dyDescent="0.2">
      <c r="B12" s="1" t="s">
        <v>235</v>
      </c>
      <c r="C12" s="159">
        <f>C3/Statements!W20</f>
        <v>25.76881747269891</v>
      </c>
    </row>
    <row r="13" spans="2:5" x14ac:dyDescent="0.2">
      <c r="B13" s="1" t="s">
        <v>266</v>
      </c>
      <c r="C13" s="165">
        <f>C3/(Statements!W5/Statements!W19)</f>
        <v>5.5695540169941111</v>
      </c>
    </row>
    <row r="15" spans="2:5" x14ac:dyDescent="0.2">
      <c r="B15" s="1" t="s">
        <v>257</v>
      </c>
      <c r="C15" s="162">
        <f>C3*'Statement Q'!J141</f>
        <v>241355.46000000002</v>
      </c>
    </row>
    <row r="16" spans="2:5" x14ac:dyDescent="0.2">
      <c r="B16" s="1" t="s">
        <v>258</v>
      </c>
      <c r="C16" s="162">
        <f>(Statements!W42+Statements!W47)-Statements!W23</f>
        <v>5471</v>
      </c>
    </row>
    <row r="17" spans="2:3" x14ac:dyDescent="0.2">
      <c r="B17" s="1" t="s">
        <v>259</v>
      </c>
      <c r="C17" s="162">
        <f>C15+C16</f>
        <v>246826.46000000002</v>
      </c>
    </row>
    <row r="18" spans="2:3" x14ac:dyDescent="0.2">
      <c r="B18" s="1" t="s">
        <v>267</v>
      </c>
      <c r="C18" s="162">
        <f>Statements!W23/'Statement Q'!N141</f>
        <v>9.2969639468690701</v>
      </c>
    </row>
    <row r="20" spans="2:3" x14ac:dyDescent="0.2">
      <c r="B20" s="1" t="s">
        <v>238</v>
      </c>
      <c r="C20" s="141">
        <f>((Statements!L5/Statements!C5)^(1/9))-1</f>
        <v>7.2666421319119712E-2</v>
      </c>
    </row>
    <row r="21" spans="2:3" x14ac:dyDescent="0.2">
      <c r="B21" s="1" t="s">
        <v>236</v>
      </c>
      <c r="C21" s="141">
        <f>((Statements!L20/Statements!C20)^(1/9))-1</f>
        <v>0.10816168941159443</v>
      </c>
    </row>
    <row r="22" spans="2:3" x14ac:dyDescent="0.2">
      <c r="B22" s="1" t="s">
        <v>237</v>
      </c>
      <c r="C22" s="141">
        <f>((Statements!L18/Statements!C18)^(1/9))-1</f>
        <v>7.1321572872242278E-2</v>
      </c>
    </row>
    <row r="23" spans="2:3" x14ac:dyDescent="0.2">
      <c r="B23" s="1" t="s">
        <v>268</v>
      </c>
      <c r="C23" s="141">
        <f>_xlfn.RRI(9,'Statement Y'!C142,'Statement Y'!L142)</f>
        <v>6.2300880899514244E-2</v>
      </c>
    </row>
    <row r="24" spans="2:3" x14ac:dyDescent="0.2">
      <c r="B24" s="1" t="s">
        <v>269</v>
      </c>
      <c r="C24" s="141">
        <f>_xlfn.RRI(9,'Statement Y'!C184,'Statement Y'!L184)</f>
        <v>0.11651659112440194</v>
      </c>
    </row>
    <row r="26" spans="2:3" x14ac:dyDescent="0.2">
      <c r="B26" s="1" t="s">
        <v>247</v>
      </c>
      <c r="C26" s="1">
        <v>0.57299999999999995</v>
      </c>
    </row>
    <row r="27" spans="2:3" x14ac:dyDescent="0.2">
      <c r="B27" s="1" t="s">
        <v>248</v>
      </c>
      <c r="C27" s="20">
        <f>'Statement Q'!N141</f>
        <v>1054</v>
      </c>
    </row>
    <row r="28" spans="2:3" x14ac:dyDescent="0.2">
      <c r="B28" s="1" t="s">
        <v>246</v>
      </c>
      <c r="C28" s="160">
        <f>C26/C27</f>
        <v>5.4364326375711566E-4</v>
      </c>
    </row>
    <row r="31" spans="2:3" x14ac:dyDescent="0.2">
      <c r="B31" s="1" t="s">
        <v>239</v>
      </c>
    </row>
    <row r="32" spans="2:3" x14ac:dyDescent="0.2">
      <c r="B32" s="1" t="s">
        <v>240</v>
      </c>
    </row>
    <row r="33" spans="2:3" x14ac:dyDescent="0.2">
      <c r="B33" s="1" t="s">
        <v>241</v>
      </c>
    </row>
    <row r="34" spans="2:3" x14ac:dyDescent="0.2">
      <c r="B34" s="1" t="s">
        <v>242</v>
      </c>
    </row>
    <row r="35" spans="2:3" x14ac:dyDescent="0.2">
      <c r="B35" s="1" t="s">
        <v>243</v>
      </c>
    </row>
    <row r="37" spans="2:3" x14ac:dyDescent="0.2">
      <c r="B37" s="1" t="s">
        <v>244</v>
      </c>
      <c r="C37" s="20">
        <f>Statements!W12*(1-'Statement Y'!I145)</f>
        <v>9831.7128950526749</v>
      </c>
    </row>
    <row r="38" spans="2:3" x14ac:dyDescent="0.2">
      <c r="B38" s="1" t="s">
        <v>273</v>
      </c>
      <c r="C38" s="20">
        <f>Statements!W42+Statements!W47</f>
        <v>15270</v>
      </c>
    </row>
    <row r="39" spans="2:3" x14ac:dyDescent="0.2">
      <c r="B39" s="1" t="s">
        <v>274</v>
      </c>
      <c r="C39" s="20">
        <f>Statements!W56</f>
        <v>27278</v>
      </c>
    </row>
    <row r="40" spans="2:3" x14ac:dyDescent="0.2">
      <c r="B40" s="1" t="s">
        <v>275</v>
      </c>
      <c r="C40" s="20">
        <f>Statements!W23</f>
        <v>9799</v>
      </c>
    </row>
    <row r="41" spans="2:3" x14ac:dyDescent="0.2">
      <c r="B41" s="1" t="s">
        <v>245</v>
      </c>
      <c r="C41" s="141">
        <f>C37/(C38+C39-C40)</f>
        <v>0.30021414073873021</v>
      </c>
    </row>
    <row r="44" spans="2:3" x14ac:dyDescent="0.2">
      <c r="B44" s="1" t="s">
        <v>249</v>
      </c>
    </row>
    <row r="45" spans="2:3" x14ac:dyDescent="0.2">
      <c r="B45" s="1" t="s">
        <v>250</v>
      </c>
    </row>
    <row r="46" spans="2:3" x14ac:dyDescent="0.2">
      <c r="B46" s="1" t="s">
        <v>251</v>
      </c>
    </row>
    <row r="47" spans="2:3" x14ac:dyDescent="0.2">
      <c r="B47" s="1" t="s">
        <v>252</v>
      </c>
    </row>
    <row r="48" spans="2:3" x14ac:dyDescent="0.2">
      <c r="B48" s="1" t="s">
        <v>253</v>
      </c>
      <c r="C48" s="20">
        <f>Statements!W70-Statements!W63+Statements!W71</f>
        <v>9431</v>
      </c>
    </row>
    <row r="49" spans="2:3" x14ac:dyDescent="0.2">
      <c r="B49" s="1" t="s">
        <v>261</v>
      </c>
      <c r="C49" s="20">
        <f>C48-Statements!W76+Statements!W75</f>
        <v>10638</v>
      </c>
    </row>
    <row r="50" spans="2:3" x14ac:dyDescent="0.2">
      <c r="B50" s="1" t="s">
        <v>255</v>
      </c>
      <c r="C50" s="20">
        <f>Statements!W74</f>
        <v>-10735</v>
      </c>
    </row>
    <row r="51" spans="2:3" x14ac:dyDescent="0.2">
      <c r="B51" s="1" t="s">
        <v>256</v>
      </c>
      <c r="C51" s="20">
        <f>C49+C50</f>
        <v>-97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9138B-499B-4848-85AA-D66B19261445}">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R184"/>
  <sheetViews>
    <sheetView tabSelected="1" zoomScale="150" zoomScaleNormal="150" workbookViewId="0">
      <pane xSplit="2" ySplit="3" topLeftCell="F4" activePane="bottomRight" state="frozen"/>
      <selection pane="topRight" activeCell="C1" sqref="C1"/>
      <selection pane="bottomLeft" activeCell="A4" sqref="A4"/>
      <selection pane="bottomRight" activeCell="I9" sqref="I9"/>
    </sheetView>
  </sheetViews>
  <sheetFormatPr baseColWidth="10" defaultRowHeight="16" outlineLevelRow="2" outlineLevelCol="1" x14ac:dyDescent="0.2"/>
  <cols>
    <col min="1" max="1" width="3.6640625" style="1" customWidth="1"/>
    <col min="2" max="2" width="31"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5" t="s">
        <v>0</v>
      </c>
      <c r="C2" s="3" t="s">
        <v>11</v>
      </c>
      <c r="D2" s="3" t="s">
        <v>10</v>
      </c>
      <c r="E2" s="3" t="s">
        <v>9</v>
      </c>
      <c r="F2" s="3" t="s">
        <v>8</v>
      </c>
      <c r="G2" s="3" t="s">
        <v>7</v>
      </c>
      <c r="H2" s="3" t="s">
        <v>6</v>
      </c>
      <c r="I2" s="3" t="s">
        <v>5</v>
      </c>
      <c r="J2" s="3" t="s">
        <v>4</v>
      </c>
      <c r="K2" s="3" t="s">
        <v>3</v>
      </c>
      <c r="L2" s="3" t="s">
        <v>1</v>
      </c>
    </row>
    <row r="3" spans="1:12" s="5" customFormat="1" x14ac:dyDescent="0.2">
      <c r="A3" s="4"/>
      <c r="B3" s="66" t="s">
        <v>2</v>
      </c>
      <c r="C3" s="5">
        <v>2016</v>
      </c>
      <c r="D3" s="5">
        <f>C3+1</f>
        <v>2017</v>
      </c>
      <c r="E3" s="5">
        <f t="shared" ref="E3:L3" si="0">D3+1</f>
        <v>2018</v>
      </c>
      <c r="F3" s="5">
        <f t="shared" si="0"/>
        <v>2019</v>
      </c>
      <c r="G3" s="5">
        <f t="shared" si="0"/>
        <v>2020</v>
      </c>
      <c r="H3" s="5">
        <f t="shared" si="0"/>
        <v>2021</v>
      </c>
      <c r="I3" s="5">
        <f t="shared" si="0"/>
        <v>2022</v>
      </c>
      <c r="J3" s="5">
        <f t="shared" si="0"/>
        <v>2023</v>
      </c>
      <c r="K3" s="5">
        <f t="shared" si="0"/>
        <v>2024</v>
      </c>
      <c r="L3" s="5">
        <f t="shared" si="0"/>
        <v>2025</v>
      </c>
    </row>
    <row r="4" spans="1:12" s="14" customFormat="1" ht="17" thickBot="1" x14ac:dyDescent="0.25">
      <c r="A4" s="4"/>
      <c r="B4" s="15" t="s">
        <v>17</v>
      </c>
    </row>
    <row r="5" spans="1:12" outlineLevel="1" x14ac:dyDescent="0.2">
      <c r="B5" s="9" t="s">
        <v>18</v>
      </c>
      <c r="C5" s="27">
        <v>15467</v>
      </c>
      <c r="D5" s="27">
        <v>16647</v>
      </c>
      <c r="E5" s="27">
        <v>17400</v>
      </c>
      <c r="F5" s="27">
        <v>14611</v>
      </c>
      <c r="G5" s="27">
        <v>16298</v>
      </c>
      <c r="H5" s="27">
        <v>26741</v>
      </c>
      <c r="I5" s="27">
        <v>37171</v>
      </c>
      <c r="J5" s="27">
        <v>30028</v>
      </c>
      <c r="K5" s="27">
        <v>32791</v>
      </c>
      <c r="L5" s="27">
        <v>37869</v>
      </c>
    </row>
    <row r="6" spans="1:12" outlineLevel="1" x14ac:dyDescent="0.2">
      <c r="B6" s="9" t="s">
        <v>19</v>
      </c>
      <c r="C6" s="27">
        <v>8087</v>
      </c>
      <c r="D6" s="27">
        <v>5644</v>
      </c>
      <c r="E6" s="27">
        <v>5332</v>
      </c>
      <c r="F6" s="27">
        <v>9662</v>
      </c>
      <c r="G6" s="27">
        <v>7233</v>
      </c>
      <c r="H6" s="27">
        <v>6825</v>
      </c>
      <c r="I6" s="27">
        <v>7029</v>
      </c>
      <c r="J6" s="27">
        <v>5792</v>
      </c>
      <c r="K6" s="27">
        <v>6171</v>
      </c>
      <c r="L6" s="27">
        <v>6415</v>
      </c>
    </row>
    <row r="7" spans="1:12" s="58" customFormat="1" outlineLevel="1" x14ac:dyDescent="0.2">
      <c r="A7" s="7"/>
      <c r="B7" s="17" t="s">
        <v>20</v>
      </c>
      <c r="C7" s="56">
        <v>23554</v>
      </c>
      <c r="D7" s="56">
        <v>22291</v>
      </c>
      <c r="E7" s="56">
        <v>22732</v>
      </c>
      <c r="F7" s="56">
        <v>24273</v>
      </c>
      <c r="G7" s="56">
        <v>23531</v>
      </c>
      <c r="H7" s="56">
        <v>33566</v>
      </c>
      <c r="I7" s="56">
        <v>44200</v>
      </c>
      <c r="J7" s="56">
        <v>35820</v>
      </c>
      <c r="K7" s="56">
        <v>38962</v>
      </c>
      <c r="L7" s="56">
        <v>44284</v>
      </c>
    </row>
    <row r="8" spans="1:12" outlineLevel="1" x14ac:dyDescent="0.2">
      <c r="B8" s="9" t="s">
        <v>21</v>
      </c>
      <c r="C8" s="27">
        <v>9749</v>
      </c>
      <c r="D8" s="27">
        <v>9792</v>
      </c>
      <c r="E8" s="27">
        <v>10244</v>
      </c>
      <c r="F8" s="27">
        <v>8599</v>
      </c>
      <c r="G8" s="27">
        <v>9255</v>
      </c>
      <c r="H8" s="27">
        <v>14262</v>
      </c>
      <c r="I8" s="27">
        <v>18635</v>
      </c>
      <c r="J8" s="27">
        <v>15869</v>
      </c>
      <c r="K8" s="27">
        <v>17060</v>
      </c>
      <c r="L8" s="27">
        <v>19738</v>
      </c>
    </row>
    <row r="9" spans="1:12" s="58" customFormat="1" outlineLevel="1" x14ac:dyDescent="0.2">
      <c r="A9" s="7"/>
      <c r="B9" s="17" t="s">
        <v>22</v>
      </c>
      <c r="C9" s="59">
        <f t="shared" ref="C9:L9" si="1">C7-C8</f>
        <v>13805</v>
      </c>
      <c r="D9" s="59">
        <f t="shared" si="1"/>
        <v>12499</v>
      </c>
      <c r="E9" s="59">
        <f>E7-E8</f>
        <v>12488</v>
      </c>
      <c r="F9" s="59">
        <f t="shared" si="1"/>
        <v>15674</v>
      </c>
      <c r="G9" s="59">
        <f t="shared" si="1"/>
        <v>14276</v>
      </c>
      <c r="H9" s="59">
        <f t="shared" si="1"/>
        <v>19304</v>
      </c>
      <c r="I9" s="59">
        <f t="shared" si="1"/>
        <v>25565</v>
      </c>
      <c r="J9" s="59">
        <f t="shared" si="1"/>
        <v>19951</v>
      </c>
      <c r="K9" s="59">
        <f t="shared" si="1"/>
        <v>21902</v>
      </c>
      <c r="L9" s="59">
        <f t="shared" si="1"/>
        <v>24546</v>
      </c>
    </row>
    <row r="10" spans="1:12" outlineLevel="1" x14ac:dyDescent="0.2">
      <c r="B10" s="9" t="s">
        <v>23</v>
      </c>
      <c r="C10" s="27">
        <v>5151</v>
      </c>
      <c r="D10" s="27">
        <v>5485</v>
      </c>
      <c r="E10" s="27">
        <v>5625</v>
      </c>
      <c r="F10" s="27">
        <v>5398</v>
      </c>
      <c r="G10" s="27">
        <v>5975</v>
      </c>
      <c r="H10" s="27">
        <v>7176</v>
      </c>
      <c r="I10" s="27">
        <v>8194</v>
      </c>
      <c r="J10" s="27">
        <v>8818</v>
      </c>
      <c r="K10" s="27">
        <v>8893</v>
      </c>
      <c r="L10" s="27">
        <v>9042</v>
      </c>
    </row>
    <row r="11" spans="1:12" s="8" customFormat="1" outlineLevel="1" x14ac:dyDescent="0.2">
      <c r="B11" s="12" t="s">
        <v>24</v>
      </c>
      <c r="C11" s="27">
        <v>2385</v>
      </c>
      <c r="D11" s="27">
        <v>2658</v>
      </c>
      <c r="E11" s="27">
        <v>2986</v>
      </c>
      <c r="F11" s="27">
        <v>2195</v>
      </c>
      <c r="G11" s="27">
        <v>2074</v>
      </c>
      <c r="H11" s="27">
        <v>2339</v>
      </c>
      <c r="I11" s="27">
        <v>2570</v>
      </c>
      <c r="J11" s="27">
        <v>2483</v>
      </c>
      <c r="K11" s="27">
        <v>2759</v>
      </c>
      <c r="L11" s="27">
        <v>3110</v>
      </c>
    </row>
    <row r="12" spans="1:12" outlineLevel="1" x14ac:dyDescent="0.2">
      <c r="B12" s="12" t="s">
        <v>25</v>
      </c>
      <c r="C12" s="27">
        <v>-226</v>
      </c>
      <c r="D12" s="27">
        <v>1742</v>
      </c>
      <c r="E12" s="27">
        <v>3135</v>
      </c>
      <c r="F12" s="27">
        <v>414</v>
      </c>
      <c r="G12" s="27">
        <v>-28</v>
      </c>
      <c r="H12" s="27">
        <v>0</v>
      </c>
      <c r="I12" s="27">
        <v>-1059</v>
      </c>
      <c r="J12" s="27">
        <v>862</v>
      </c>
      <c r="K12" s="27">
        <v>179</v>
      </c>
      <c r="L12" s="27">
        <v>39</v>
      </c>
    </row>
    <row r="13" spans="1:12" outlineLevel="1" x14ac:dyDescent="0.2">
      <c r="B13" s="12" t="s">
        <v>26</v>
      </c>
      <c r="C13" s="20">
        <f t="shared" ref="C13:L13" si="2">SUM(C10:C12)</f>
        <v>7310</v>
      </c>
      <c r="D13" s="20">
        <f t="shared" si="2"/>
        <v>9885</v>
      </c>
      <c r="E13" s="20">
        <f t="shared" si="2"/>
        <v>11746</v>
      </c>
      <c r="F13" s="20">
        <f t="shared" si="2"/>
        <v>8007</v>
      </c>
      <c r="G13" s="20">
        <f t="shared" si="2"/>
        <v>8021</v>
      </c>
      <c r="H13" s="20">
        <f t="shared" si="2"/>
        <v>9515</v>
      </c>
      <c r="I13" s="20">
        <f t="shared" si="2"/>
        <v>9705</v>
      </c>
      <c r="J13" s="20">
        <f t="shared" si="2"/>
        <v>12163</v>
      </c>
      <c r="K13" s="20">
        <f t="shared" si="2"/>
        <v>11831</v>
      </c>
      <c r="L13" s="20">
        <f t="shared" si="2"/>
        <v>12191</v>
      </c>
    </row>
    <row r="14" spans="1:12" s="58" customFormat="1" outlineLevel="1" x14ac:dyDescent="0.2">
      <c r="A14" s="7"/>
      <c r="B14" s="17" t="s">
        <v>27</v>
      </c>
      <c r="C14" s="56">
        <v>6495</v>
      </c>
      <c r="D14" s="56">
        <v>2614</v>
      </c>
      <c r="E14" s="56">
        <v>742</v>
      </c>
      <c r="F14" s="56">
        <v>7667</v>
      </c>
      <c r="G14" s="56">
        <v>6255</v>
      </c>
      <c r="H14" s="56">
        <v>9789</v>
      </c>
      <c r="I14" s="56">
        <v>15860</v>
      </c>
      <c r="J14" s="56">
        <v>7788</v>
      </c>
      <c r="K14" s="56">
        <v>10071</v>
      </c>
      <c r="L14" s="56">
        <v>12355</v>
      </c>
    </row>
    <row r="15" spans="1:12" outlineLevel="1" x14ac:dyDescent="0.2">
      <c r="B15" s="12" t="s">
        <v>70</v>
      </c>
      <c r="C15" s="27">
        <v>-297</v>
      </c>
      <c r="D15" s="27">
        <v>-494</v>
      </c>
      <c r="E15" s="27">
        <v>-768</v>
      </c>
      <c r="F15" s="27">
        <v>-627</v>
      </c>
      <c r="G15" s="27">
        <v>-602</v>
      </c>
      <c r="H15" s="27">
        <v>-559</v>
      </c>
      <c r="I15" s="27">
        <v>-490</v>
      </c>
      <c r="J15" s="27">
        <v>-694</v>
      </c>
      <c r="K15" s="27">
        <v>-697</v>
      </c>
      <c r="L15" s="27">
        <v>-664</v>
      </c>
    </row>
    <row r="16" spans="1:12" outlineLevel="1" x14ac:dyDescent="0.2">
      <c r="B16" s="12" t="s">
        <v>37</v>
      </c>
      <c r="C16" s="27">
        <v>635</v>
      </c>
      <c r="D16" s="27">
        <v>900</v>
      </c>
      <c r="E16" s="27">
        <v>539</v>
      </c>
      <c r="F16" s="27">
        <v>441</v>
      </c>
      <c r="G16" s="27">
        <v>66</v>
      </c>
      <c r="H16" s="27">
        <v>1044</v>
      </c>
      <c r="I16" s="27">
        <v>-372</v>
      </c>
      <c r="J16" s="27">
        <v>349</v>
      </c>
      <c r="K16" s="27">
        <v>962</v>
      </c>
      <c r="L16" s="27">
        <v>972</v>
      </c>
    </row>
    <row r="17" spans="1:12" s="58" customFormat="1" outlineLevel="1" x14ac:dyDescent="0.2">
      <c r="A17" s="7"/>
      <c r="B17" s="17" t="s">
        <v>28</v>
      </c>
      <c r="C17" s="56">
        <v>6833</v>
      </c>
      <c r="D17" s="56">
        <v>3020</v>
      </c>
      <c r="E17" s="56">
        <v>513</v>
      </c>
      <c r="F17" s="56">
        <v>7481</v>
      </c>
      <c r="G17" s="56">
        <v>5719</v>
      </c>
      <c r="H17" s="56">
        <v>10274</v>
      </c>
      <c r="I17" s="56">
        <v>14998</v>
      </c>
      <c r="J17" s="56">
        <v>7443</v>
      </c>
      <c r="K17" s="56">
        <v>10336</v>
      </c>
      <c r="L17" s="56">
        <v>12663</v>
      </c>
    </row>
    <row r="18" spans="1:12" outlineLevel="1" x14ac:dyDescent="0.2">
      <c r="B18" s="12" t="s">
        <v>150</v>
      </c>
      <c r="C18" s="27">
        <v>-1131</v>
      </c>
      <c r="D18" s="27">
        <v>-555</v>
      </c>
      <c r="E18" s="27">
        <v>-5377</v>
      </c>
      <c r="F18" s="27">
        <v>-3095</v>
      </c>
      <c r="G18" s="27">
        <v>-521</v>
      </c>
      <c r="H18" s="27">
        <v>-1231</v>
      </c>
      <c r="I18" s="27">
        <v>-2012</v>
      </c>
      <c r="J18" s="27">
        <v>-104</v>
      </c>
      <c r="K18" s="27">
        <v>-226</v>
      </c>
      <c r="L18" s="27">
        <v>-7122</v>
      </c>
    </row>
    <row r="19" spans="1:12" s="58" customFormat="1" outlineLevel="1" x14ac:dyDescent="0.2">
      <c r="A19" s="7"/>
      <c r="B19" s="17" t="s">
        <v>30</v>
      </c>
      <c r="C19" s="56">
        <v>5702</v>
      </c>
      <c r="D19" s="56">
        <v>2465</v>
      </c>
      <c r="E19" s="56">
        <v>-4864</v>
      </c>
      <c r="F19" s="56">
        <v>4386</v>
      </c>
      <c r="G19" s="56">
        <v>5198</v>
      </c>
      <c r="H19" s="56">
        <v>9043</v>
      </c>
      <c r="I19" s="56">
        <v>12986</v>
      </c>
      <c r="J19" s="56">
        <v>7339</v>
      </c>
      <c r="K19" s="56">
        <v>10110</v>
      </c>
      <c r="L19" s="56">
        <v>5541</v>
      </c>
    </row>
    <row r="20" spans="1:12" outlineLevel="1" x14ac:dyDescent="0.2">
      <c r="B20" s="12" t="s">
        <v>29</v>
      </c>
      <c r="C20" s="27">
        <v>0</v>
      </c>
      <c r="D20" s="27">
        <v>1</v>
      </c>
      <c r="E20" s="27">
        <v>0</v>
      </c>
      <c r="F20" s="27">
        <v>0</v>
      </c>
      <c r="G20" s="27">
        <v>0</v>
      </c>
      <c r="H20" s="27">
        <v>0</v>
      </c>
      <c r="I20" s="27">
        <v>-50</v>
      </c>
      <c r="J20" s="27">
        <v>-107</v>
      </c>
      <c r="K20" s="27">
        <v>32</v>
      </c>
      <c r="L20" s="27">
        <v>0</v>
      </c>
    </row>
    <row r="21" spans="1:12" s="37" customFormat="1" outlineLevel="1" x14ac:dyDescent="0.2">
      <c r="A21" s="8"/>
      <c r="B21" s="34" t="s">
        <v>149</v>
      </c>
      <c r="C21" s="35">
        <v>5702</v>
      </c>
      <c r="D21" s="35">
        <v>2466</v>
      </c>
      <c r="E21" s="35">
        <v>-4864</v>
      </c>
      <c r="F21" s="35">
        <v>4386</v>
      </c>
      <c r="G21" s="35">
        <v>5198</v>
      </c>
      <c r="H21" s="35">
        <v>9043</v>
      </c>
      <c r="I21" s="35">
        <v>12936</v>
      </c>
      <c r="J21" s="35">
        <v>7232</v>
      </c>
      <c r="K21" s="35">
        <v>10142</v>
      </c>
      <c r="L21" s="35">
        <v>5541</v>
      </c>
    </row>
    <row r="22" spans="1:12" outlineLevel="1" x14ac:dyDescent="0.2">
      <c r="B22" s="12" t="s">
        <v>31</v>
      </c>
      <c r="C22" s="27">
        <v>3</v>
      </c>
      <c r="D22" s="27">
        <v>0</v>
      </c>
      <c r="E22" s="27">
        <v>0</v>
      </c>
      <c r="F22" s="27">
        <v>0</v>
      </c>
      <c r="G22" s="27">
        <v>0</v>
      </c>
      <c r="H22" s="27">
        <v>0</v>
      </c>
      <c r="I22" s="27">
        <v>0</v>
      </c>
      <c r="J22" s="27">
        <v>0</v>
      </c>
      <c r="K22" s="27">
        <v>0</v>
      </c>
      <c r="L22" s="27">
        <v>0</v>
      </c>
    </row>
    <row r="23" spans="1:12" outlineLevel="1" x14ac:dyDescent="0.2">
      <c r="B23" s="12" t="s">
        <v>32</v>
      </c>
      <c r="C23" s="27">
        <v>5705</v>
      </c>
      <c r="D23" s="27">
        <v>2466</v>
      </c>
      <c r="E23" s="27">
        <v>-4864</v>
      </c>
      <c r="F23" s="27">
        <v>4386</v>
      </c>
      <c r="G23" s="27">
        <v>5198</v>
      </c>
      <c r="H23" s="27">
        <v>9043</v>
      </c>
      <c r="I23" s="27">
        <v>12936</v>
      </c>
      <c r="J23" s="27">
        <v>7232</v>
      </c>
      <c r="K23" s="27">
        <v>10142</v>
      </c>
      <c r="L23" s="27">
        <v>5541</v>
      </c>
    </row>
    <row r="24" spans="1:12" outlineLevel="1" x14ac:dyDescent="0.2">
      <c r="B24" s="12" t="s">
        <v>33</v>
      </c>
      <c r="C24" s="27">
        <v>1484</v>
      </c>
      <c r="D24" s="27">
        <v>1477</v>
      </c>
      <c r="E24" s="27">
        <v>1463</v>
      </c>
      <c r="F24" s="27">
        <v>1210</v>
      </c>
      <c r="G24" s="27">
        <v>1135</v>
      </c>
      <c r="H24" s="27">
        <v>1131</v>
      </c>
      <c r="I24" s="27">
        <v>1123</v>
      </c>
      <c r="J24" s="27">
        <v>1117</v>
      </c>
      <c r="K24" s="27">
        <v>1116</v>
      </c>
      <c r="L24" s="27">
        <v>1096</v>
      </c>
    </row>
    <row r="25" spans="1:12" outlineLevel="1" x14ac:dyDescent="0.2">
      <c r="B25" s="12" t="s">
        <v>34</v>
      </c>
      <c r="C25" s="27">
        <v>1498</v>
      </c>
      <c r="D25" s="27">
        <v>1490</v>
      </c>
      <c r="E25" s="27">
        <v>1463</v>
      </c>
      <c r="F25" s="27">
        <v>1220</v>
      </c>
      <c r="G25" s="27">
        <v>1149</v>
      </c>
      <c r="H25" s="27">
        <v>1149</v>
      </c>
      <c r="I25" s="27">
        <v>1137</v>
      </c>
      <c r="J25" s="27">
        <v>1126</v>
      </c>
      <c r="K25" s="27">
        <v>1130</v>
      </c>
      <c r="L25" s="27">
        <v>1105</v>
      </c>
    </row>
    <row r="26" spans="1:12" outlineLevel="1" x14ac:dyDescent="0.2">
      <c r="B26" s="12" t="s">
        <v>35</v>
      </c>
      <c r="C26" s="31">
        <v>3.84</v>
      </c>
      <c r="D26" s="31">
        <v>1.67</v>
      </c>
      <c r="E26" s="31">
        <v>-3.32</v>
      </c>
      <c r="F26" s="31">
        <v>3.63</v>
      </c>
      <c r="G26" s="31">
        <v>4.58</v>
      </c>
      <c r="H26" s="31">
        <v>7.99</v>
      </c>
      <c r="I26" s="31">
        <v>11.52</v>
      </c>
      <c r="J26" s="31">
        <v>6.47</v>
      </c>
      <c r="K26" s="31">
        <v>9.09</v>
      </c>
      <c r="L26" s="31">
        <v>5.05</v>
      </c>
    </row>
    <row r="27" spans="1:12" s="16" customFormat="1" ht="17" outlineLevel="1" thickBot="1" x14ac:dyDescent="0.25">
      <c r="A27" s="1"/>
      <c r="B27" s="10" t="s">
        <v>36</v>
      </c>
      <c r="C27" s="32">
        <v>3.81</v>
      </c>
      <c r="D27" s="32">
        <v>1.65</v>
      </c>
      <c r="E27" s="32">
        <v>-3.32</v>
      </c>
      <c r="F27" s="32">
        <v>3.59</v>
      </c>
      <c r="G27" s="32">
        <v>4.5199999999999996</v>
      </c>
      <c r="H27" s="32">
        <v>7.87</v>
      </c>
      <c r="I27" s="32">
        <v>11.37</v>
      </c>
      <c r="J27" s="32">
        <v>6.42</v>
      </c>
      <c r="K27" s="32">
        <v>8.9700000000000006</v>
      </c>
      <c r="L27" s="32">
        <v>5.01</v>
      </c>
    </row>
    <row r="28" spans="1:12" s="16" customFormat="1" ht="17" thickBot="1" x14ac:dyDescent="0.25">
      <c r="A28" s="1"/>
      <c r="B28" s="6"/>
      <c r="F28" s="6"/>
      <c r="G28" s="6"/>
      <c r="H28" s="6"/>
      <c r="I28" s="6"/>
      <c r="J28" s="6"/>
      <c r="K28" s="6"/>
      <c r="L28" s="6"/>
    </row>
    <row r="29" spans="1:12" s="14" customFormat="1" ht="17" thickBot="1" x14ac:dyDescent="0.25">
      <c r="A29" s="4"/>
      <c r="B29" s="15" t="s">
        <v>38</v>
      </c>
    </row>
    <row r="30" spans="1:12" hidden="1" outlineLevel="1" x14ac:dyDescent="0.2">
      <c r="B30" s="9" t="s">
        <v>39</v>
      </c>
      <c r="C30" s="27">
        <v>5946</v>
      </c>
      <c r="D30" s="27">
        <v>35029</v>
      </c>
      <c r="E30" s="27">
        <v>11777</v>
      </c>
      <c r="F30" s="27">
        <v>11839</v>
      </c>
      <c r="G30" s="27">
        <v>6707</v>
      </c>
      <c r="H30" s="27">
        <v>7116</v>
      </c>
      <c r="I30" s="27">
        <v>2773</v>
      </c>
      <c r="J30" s="27">
        <v>8450</v>
      </c>
      <c r="K30" s="27">
        <v>7849</v>
      </c>
      <c r="L30" s="27">
        <v>5520</v>
      </c>
    </row>
    <row r="31" spans="1:12" hidden="1" outlineLevel="1" x14ac:dyDescent="0.2">
      <c r="B31" s="9" t="s">
        <v>72</v>
      </c>
      <c r="C31" s="27">
        <v>0</v>
      </c>
      <c r="D31" s="27">
        <v>0</v>
      </c>
      <c r="E31" s="27">
        <v>0</v>
      </c>
      <c r="F31" s="27">
        <v>0</v>
      </c>
      <c r="G31" s="27">
        <v>0</v>
      </c>
      <c r="H31" s="27">
        <v>0</v>
      </c>
      <c r="I31" s="27">
        <v>0</v>
      </c>
      <c r="J31" s="27">
        <v>0</v>
      </c>
      <c r="K31" s="27">
        <v>0</v>
      </c>
      <c r="L31" s="27">
        <v>2323</v>
      </c>
    </row>
    <row r="32" spans="1:12" hidden="1" outlineLevel="1" x14ac:dyDescent="0.2">
      <c r="B32" s="9" t="s">
        <v>40</v>
      </c>
      <c r="C32" s="27">
        <v>12702</v>
      </c>
      <c r="D32" s="27">
        <v>2279</v>
      </c>
      <c r="E32" s="27">
        <v>311</v>
      </c>
      <c r="F32" s="27">
        <v>421</v>
      </c>
      <c r="G32" s="27">
        <v>4507</v>
      </c>
      <c r="H32" s="27">
        <v>5298</v>
      </c>
      <c r="I32" s="27">
        <v>3609</v>
      </c>
      <c r="J32" s="27">
        <v>2874</v>
      </c>
      <c r="K32" s="27">
        <v>5451</v>
      </c>
      <c r="L32" s="27">
        <v>4635</v>
      </c>
    </row>
    <row r="33" spans="1:12" hidden="1" outlineLevel="1" x14ac:dyDescent="0.2">
      <c r="B33" s="9" t="s">
        <v>41</v>
      </c>
      <c r="C33" s="27">
        <v>2219</v>
      </c>
      <c r="D33" s="27">
        <v>3632</v>
      </c>
      <c r="E33" s="27">
        <v>2904</v>
      </c>
      <c r="F33" s="27">
        <v>2471</v>
      </c>
      <c r="G33" s="27">
        <v>4003</v>
      </c>
      <c r="H33" s="27">
        <v>3579</v>
      </c>
      <c r="I33" s="27">
        <v>5643</v>
      </c>
      <c r="J33" s="27">
        <v>3183</v>
      </c>
      <c r="K33" s="27">
        <v>3929</v>
      </c>
      <c r="L33" s="27">
        <v>4315</v>
      </c>
    </row>
    <row r="34" spans="1:12" hidden="1" outlineLevel="1" x14ac:dyDescent="0.2">
      <c r="B34" s="9" t="s">
        <v>42</v>
      </c>
      <c r="C34" s="27">
        <v>1556</v>
      </c>
      <c r="D34" s="27">
        <v>2035</v>
      </c>
      <c r="E34" s="27">
        <v>1693</v>
      </c>
      <c r="F34" s="27">
        <v>1400</v>
      </c>
      <c r="G34" s="27">
        <v>2598</v>
      </c>
      <c r="H34" s="27">
        <v>3228</v>
      </c>
      <c r="I34" s="27">
        <v>6341</v>
      </c>
      <c r="J34" s="27">
        <v>6422</v>
      </c>
      <c r="K34" s="27">
        <v>6423</v>
      </c>
      <c r="L34" s="27">
        <v>6526</v>
      </c>
    </row>
    <row r="35" spans="1:12" hidden="1" outlineLevel="1" x14ac:dyDescent="0.2">
      <c r="B35" s="9" t="s">
        <v>71</v>
      </c>
      <c r="C35" s="27">
        <v>0</v>
      </c>
      <c r="D35" s="27">
        <v>0</v>
      </c>
      <c r="E35" s="27">
        <v>0</v>
      </c>
      <c r="F35" s="27">
        <v>0</v>
      </c>
      <c r="G35" s="27">
        <v>0</v>
      </c>
      <c r="H35" s="27">
        <v>0</v>
      </c>
      <c r="I35" s="27">
        <v>733</v>
      </c>
      <c r="J35" s="27">
        <v>341</v>
      </c>
      <c r="K35" s="27">
        <v>0</v>
      </c>
      <c r="L35" s="27">
        <v>0</v>
      </c>
    </row>
    <row r="36" spans="1:12" hidden="1" outlineLevel="1" x14ac:dyDescent="0.2">
      <c r="B36" s="9" t="s">
        <v>43</v>
      </c>
      <c r="C36" s="27">
        <v>558</v>
      </c>
      <c r="D36" s="27">
        <v>618</v>
      </c>
      <c r="E36" s="27">
        <v>699</v>
      </c>
      <c r="F36" s="27">
        <v>634</v>
      </c>
      <c r="G36" s="27">
        <v>704</v>
      </c>
      <c r="H36" s="27">
        <v>854</v>
      </c>
      <c r="I36" s="27">
        <v>1625</v>
      </c>
      <c r="J36" s="27">
        <v>1194</v>
      </c>
      <c r="K36" s="27">
        <v>1579</v>
      </c>
      <c r="L36" s="27">
        <v>2435</v>
      </c>
    </row>
    <row r="37" spans="1:12" s="57" customFormat="1" hidden="1" outlineLevel="1" x14ac:dyDescent="0.2">
      <c r="A37" s="7"/>
      <c r="B37" s="11" t="s">
        <v>44</v>
      </c>
      <c r="C37" s="60">
        <v>22981</v>
      </c>
      <c r="D37" s="60">
        <v>43593</v>
      </c>
      <c r="E37" s="60">
        <v>17384</v>
      </c>
      <c r="F37" s="60">
        <v>16765</v>
      </c>
      <c r="G37" s="60">
        <v>18519</v>
      </c>
      <c r="H37" s="60">
        <v>20075</v>
      </c>
      <c r="I37" s="60">
        <v>20724</v>
      </c>
      <c r="J37" s="60">
        <v>22464</v>
      </c>
      <c r="K37" s="60">
        <v>25231</v>
      </c>
      <c r="L37" s="60">
        <v>25754</v>
      </c>
    </row>
    <row r="38" spans="1:12" hidden="1" outlineLevel="1" x14ac:dyDescent="0.2">
      <c r="B38" s="9" t="s">
        <v>40</v>
      </c>
      <c r="C38" s="27">
        <v>13702</v>
      </c>
      <c r="D38" s="27">
        <v>1270</v>
      </c>
      <c r="E38" s="27">
        <v>35</v>
      </c>
      <c r="F38" s="27">
        <v>0</v>
      </c>
      <c r="G38" s="27">
        <v>0</v>
      </c>
      <c r="H38" s="27">
        <v>0</v>
      </c>
      <c r="I38" s="27">
        <v>0</v>
      </c>
      <c r="J38" s="27">
        <v>0</v>
      </c>
      <c r="K38" s="27">
        <v>0</v>
      </c>
      <c r="L38" s="27">
        <v>0</v>
      </c>
    </row>
    <row r="39" spans="1:12" hidden="1" outlineLevel="1" x14ac:dyDescent="0.2">
      <c r="B39" s="9" t="s">
        <v>45</v>
      </c>
      <c r="C39" s="27">
        <v>2030</v>
      </c>
      <c r="D39" s="27">
        <v>2900</v>
      </c>
      <c r="E39" s="27">
        <v>904</v>
      </c>
      <c r="F39" s="27">
        <v>1196</v>
      </c>
      <c r="G39" s="27">
        <v>1351</v>
      </c>
      <c r="H39" s="27">
        <v>1591</v>
      </c>
      <c r="I39" s="27">
        <v>1803</v>
      </c>
      <c r="J39" s="27">
        <v>3310</v>
      </c>
      <c r="K39" s="27">
        <v>5162</v>
      </c>
      <c r="L39" s="27">
        <v>743</v>
      </c>
    </row>
    <row r="40" spans="1:12" hidden="1" outlineLevel="1" x14ac:dyDescent="0.2">
      <c r="B40" s="9" t="s">
        <v>46</v>
      </c>
      <c r="C40" s="27">
        <v>2306</v>
      </c>
      <c r="D40" s="27">
        <v>3216</v>
      </c>
      <c r="E40" s="27">
        <v>2975</v>
      </c>
      <c r="F40" s="27">
        <v>3081</v>
      </c>
      <c r="G40" s="27">
        <v>3711</v>
      </c>
      <c r="H40" s="27">
        <v>4559</v>
      </c>
      <c r="I40" s="27">
        <v>5168</v>
      </c>
      <c r="J40" s="27">
        <v>5042</v>
      </c>
      <c r="K40" s="27">
        <v>4665</v>
      </c>
      <c r="L40" s="27">
        <v>4690</v>
      </c>
    </row>
    <row r="41" spans="1:12" hidden="1" outlineLevel="1" x14ac:dyDescent="0.2">
      <c r="B41" s="9" t="s">
        <v>47</v>
      </c>
      <c r="C41" s="27">
        <v>5679</v>
      </c>
      <c r="D41" s="27">
        <v>6623</v>
      </c>
      <c r="E41" s="27">
        <v>6498</v>
      </c>
      <c r="F41" s="27">
        <v>6282</v>
      </c>
      <c r="G41" s="27">
        <v>6323</v>
      </c>
      <c r="H41" s="27">
        <v>7246</v>
      </c>
      <c r="I41" s="27">
        <v>10508</v>
      </c>
      <c r="J41" s="27">
        <v>10642</v>
      </c>
      <c r="K41" s="27">
        <v>10799</v>
      </c>
      <c r="L41" s="27">
        <v>11358</v>
      </c>
    </row>
    <row r="42" spans="1:12" hidden="1" outlineLevel="1" x14ac:dyDescent="0.2">
      <c r="B42" s="9" t="s">
        <v>48</v>
      </c>
      <c r="C42" s="27">
        <v>3500</v>
      </c>
      <c r="D42" s="27">
        <v>3737</v>
      </c>
      <c r="E42" s="27">
        <v>2955</v>
      </c>
      <c r="F42" s="27">
        <v>2172</v>
      </c>
      <c r="G42" s="27">
        <v>1653</v>
      </c>
      <c r="H42" s="27">
        <v>1458</v>
      </c>
      <c r="I42" s="27">
        <v>1882</v>
      </c>
      <c r="J42" s="27">
        <v>1408</v>
      </c>
      <c r="K42" s="27">
        <v>1244</v>
      </c>
      <c r="L42" s="27">
        <v>1148</v>
      </c>
    </row>
    <row r="43" spans="1:12" hidden="1" outlineLevel="1" x14ac:dyDescent="0.2">
      <c r="B43" s="9" t="s">
        <v>71</v>
      </c>
      <c r="C43" s="27">
        <v>0</v>
      </c>
      <c r="D43" s="27">
        <v>0</v>
      </c>
      <c r="E43" s="27">
        <v>0</v>
      </c>
      <c r="F43" s="27">
        <v>0</v>
      </c>
      <c r="G43" s="27">
        <v>0</v>
      </c>
      <c r="H43" s="27">
        <v>0</v>
      </c>
      <c r="I43" s="27">
        <v>1200</v>
      </c>
      <c r="J43" s="27">
        <v>88</v>
      </c>
      <c r="K43" s="27">
        <v>0</v>
      </c>
      <c r="L43" s="27">
        <v>0</v>
      </c>
    </row>
    <row r="44" spans="1:12" hidden="1" outlineLevel="1" x14ac:dyDescent="0.2">
      <c r="B44" s="9" t="s">
        <v>49</v>
      </c>
      <c r="C44" s="27">
        <v>2161</v>
      </c>
      <c r="D44" s="27">
        <v>4147</v>
      </c>
      <c r="E44" s="27">
        <v>1935</v>
      </c>
      <c r="F44" s="27">
        <v>3461</v>
      </c>
      <c r="G44" s="27">
        <v>4037</v>
      </c>
      <c r="H44" s="27">
        <v>6311</v>
      </c>
      <c r="I44" s="27">
        <v>7729</v>
      </c>
      <c r="J44" s="27">
        <v>8086</v>
      </c>
      <c r="K44" s="27">
        <v>8053</v>
      </c>
      <c r="L44" s="27">
        <v>6450</v>
      </c>
    </row>
    <row r="45" spans="1:12" s="57" customFormat="1" hidden="1" outlineLevel="1" x14ac:dyDescent="0.2">
      <c r="A45" s="7"/>
      <c r="B45" s="11" t="s">
        <v>50</v>
      </c>
      <c r="C45" s="61">
        <f>SUM(C38:C44)</f>
        <v>29378</v>
      </c>
      <c r="D45" s="61">
        <f>SUM(D38:D44)</f>
        <v>21893</v>
      </c>
      <c r="E45" s="61">
        <f t="shared" ref="E45:F45" si="3">SUM(E38:E44)</f>
        <v>15302</v>
      </c>
      <c r="F45" s="61">
        <f t="shared" si="3"/>
        <v>16192</v>
      </c>
      <c r="G45" s="61">
        <f t="shared" ref="G45" si="4">SUM(G38:G44)</f>
        <v>17075</v>
      </c>
      <c r="H45" s="61">
        <f t="shared" ref="H45:L45" si="5">SUM(H38:H44)</f>
        <v>21165</v>
      </c>
      <c r="I45" s="61">
        <f t="shared" si="5"/>
        <v>28290</v>
      </c>
      <c r="J45" s="61">
        <f t="shared" si="5"/>
        <v>28576</v>
      </c>
      <c r="K45" s="61">
        <f t="shared" si="5"/>
        <v>29923</v>
      </c>
      <c r="L45" s="61">
        <f t="shared" si="5"/>
        <v>24389</v>
      </c>
    </row>
    <row r="46" spans="1:12" s="58" customFormat="1" hidden="1" outlineLevel="1" x14ac:dyDescent="0.2">
      <c r="A46" s="7"/>
      <c r="B46" s="17" t="s">
        <v>51</v>
      </c>
      <c r="C46" s="56">
        <v>52359</v>
      </c>
      <c r="D46" s="56">
        <v>65486</v>
      </c>
      <c r="E46" s="56">
        <v>32686</v>
      </c>
      <c r="F46" s="56">
        <v>32957</v>
      </c>
      <c r="G46" s="56">
        <v>35594</v>
      </c>
      <c r="H46" s="56">
        <v>41240</v>
      </c>
      <c r="I46" s="56">
        <v>49014</v>
      </c>
      <c r="J46" s="56">
        <v>51040</v>
      </c>
      <c r="K46" s="56">
        <v>55154</v>
      </c>
      <c r="L46" s="56">
        <v>50143</v>
      </c>
    </row>
    <row r="47" spans="1:12" hidden="1" outlineLevel="1" x14ac:dyDescent="0.2">
      <c r="B47" s="9" t="s">
        <v>52</v>
      </c>
      <c r="C47" s="27">
        <v>1858</v>
      </c>
      <c r="D47" s="27">
        <v>1971</v>
      </c>
      <c r="E47" s="27">
        <v>1825</v>
      </c>
      <c r="F47" s="27">
        <v>1368</v>
      </c>
      <c r="G47" s="27">
        <v>2248</v>
      </c>
      <c r="H47" s="27">
        <v>2750</v>
      </c>
      <c r="I47" s="27">
        <v>3796</v>
      </c>
      <c r="J47" s="27">
        <v>1912</v>
      </c>
      <c r="K47" s="27">
        <v>2584</v>
      </c>
      <c r="L47" s="27">
        <v>2791</v>
      </c>
    </row>
    <row r="48" spans="1:12" hidden="1" outlineLevel="1" x14ac:dyDescent="0.2">
      <c r="B48" s="9" t="s">
        <v>53</v>
      </c>
      <c r="C48" s="27">
        <v>934</v>
      </c>
      <c r="D48" s="27">
        <v>1183</v>
      </c>
      <c r="E48" s="27">
        <v>1081</v>
      </c>
      <c r="F48" s="27">
        <v>1048</v>
      </c>
      <c r="G48" s="27">
        <v>1053</v>
      </c>
      <c r="H48" s="27">
        <v>1531</v>
      </c>
      <c r="I48" s="27">
        <v>1486</v>
      </c>
      <c r="J48" s="27">
        <v>1685</v>
      </c>
      <c r="K48" s="27">
        <v>1834</v>
      </c>
      <c r="L48" s="27">
        <v>1839</v>
      </c>
    </row>
    <row r="49" spans="1:12" hidden="1" outlineLevel="1" x14ac:dyDescent="0.2">
      <c r="B49" s="9" t="s">
        <v>54</v>
      </c>
      <c r="C49" s="27">
        <v>509</v>
      </c>
      <c r="D49" s="27">
        <v>502</v>
      </c>
      <c r="E49" s="27">
        <v>500</v>
      </c>
      <c r="F49" s="27">
        <v>565</v>
      </c>
      <c r="G49" s="27">
        <v>568</v>
      </c>
      <c r="H49" s="27">
        <v>612</v>
      </c>
      <c r="I49" s="27">
        <v>369</v>
      </c>
      <c r="J49" s="27">
        <v>293</v>
      </c>
      <c r="K49" s="27">
        <v>297</v>
      </c>
      <c r="L49" s="27">
        <v>358</v>
      </c>
    </row>
    <row r="50" spans="1:12" hidden="1" outlineLevel="1" x14ac:dyDescent="0.2">
      <c r="B50" s="9" t="s">
        <v>55</v>
      </c>
      <c r="C50" s="27">
        <v>1749</v>
      </c>
      <c r="D50" s="27">
        <v>2495</v>
      </c>
      <c r="E50" s="27">
        <v>1005</v>
      </c>
      <c r="F50" s="27">
        <v>2496</v>
      </c>
      <c r="G50" s="27">
        <v>500</v>
      </c>
      <c r="H50" s="27">
        <v>2044</v>
      </c>
      <c r="I50" s="27">
        <v>1945</v>
      </c>
      <c r="J50" s="27">
        <v>914</v>
      </c>
      <c r="K50" s="27">
        <v>1364</v>
      </c>
      <c r="L50" s="27">
        <v>0</v>
      </c>
    </row>
    <row r="51" spans="1:12" hidden="1" outlineLevel="1" x14ac:dyDescent="0.2">
      <c r="B51" s="9" t="s">
        <v>71</v>
      </c>
      <c r="C51" s="27">
        <v>0</v>
      </c>
      <c r="D51" s="27">
        <v>0</v>
      </c>
      <c r="E51" s="27">
        <v>0</v>
      </c>
      <c r="F51" s="27">
        <v>0</v>
      </c>
      <c r="G51" s="27">
        <v>0</v>
      </c>
      <c r="H51" s="27">
        <v>0</v>
      </c>
      <c r="I51" s="27">
        <v>581</v>
      </c>
      <c r="J51" s="27">
        <v>333</v>
      </c>
      <c r="K51" s="27">
        <v>0</v>
      </c>
      <c r="L51" s="27">
        <v>0</v>
      </c>
    </row>
    <row r="52" spans="1:12" hidden="1" outlineLevel="1" x14ac:dyDescent="0.2">
      <c r="B52" s="9" t="s">
        <v>56</v>
      </c>
      <c r="C52" s="27">
        <v>2261</v>
      </c>
      <c r="D52" s="27">
        <v>4756</v>
      </c>
      <c r="E52" s="27">
        <v>6825</v>
      </c>
      <c r="F52" s="27">
        <v>3458</v>
      </c>
      <c r="G52" s="27">
        <v>4303</v>
      </c>
      <c r="H52" s="27">
        <v>5014</v>
      </c>
      <c r="I52" s="27">
        <v>3689</v>
      </c>
      <c r="J52" s="27">
        <v>4491</v>
      </c>
      <c r="K52" s="27">
        <v>4425</v>
      </c>
      <c r="L52" s="27">
        <v>4156</v>
      </c>
    </row>
    <row r="53" spans="1:12" s="57" customFormat="1" hidden="1" outlineLevel="1" x14ac:dyDescent="0.2">
      <c r="A53" s="7"/>
      <c r="B53" s="11" t="s">
        <v>61</v>
      </c>
      <c r="C53" s="60">
        <v>7311</v>
      </c>
      <c r="D53" s="60">
        <v>10907</v>
      </c>
      <c r="E53" s="60">
        <v>11389</v>
      </c>
      <c r="F53" s="60">
        <v>8935</v>
      </c>
      <c r="G53" s="60">
        <v>8672</v>
      </c>
      <c r="H53" s="60">
        <v>11951</v>
      </c>
      <c r="I53" s="60">
        <v>11866</v>
      </c>
      <c r="J53" s="60">
        <v>9628</v>
      </c>
      <c r="K53" s="60">
        <v>10504</v>
      </c>
      <c r="L53" s="60">
        <v>9144</v>
      </c>
    </row>
    <row r="54" spans="1:12" hidden="1" outlineLevel="1" x14ac:dyDescent="0.2">
      <c r="B54" s="9" t="s">
        <v>54</v>
      </c>
      <c r="C54" s="27">
        <v>2377</v>
      </c>
      <c r="D54" s="27">
        <v>2003</v>
      </c>
      <c r="E54" s="27">
        <v>1620</v>
      </c>
      <c r="F54" s="27">
        <v>1160</v>
      </c>
      <c r="G54" s="27">
        <v>761</v>
      </c>
      <c r="H54" s="27">
        <v>364</v>
      </c>
      <c r="I54" s="27">
        <v>144</v>
      </c>
      <c r="J54" s="27">
        <v>99</v>
      </c>
      <c r="K54" s="27">
        <v>88</v>
      </c>
      <c r="L54" s="27">
        <v>71</v>
      </c>
    </row>
    <row r="55" spans="1:12" hidden="1" outlineLevel="1" x14ac:dyDescent="0.2">
      <c r="B55" s="9" t="s">
        <v>57</v>
      </c>
      <c r="C55" s="27">
        <v>10008</v>
      </c>
      <c r="D55" s="27">
        <v>19398</v>
      </c>
      <c r="E55" s="27">
        <v>15365</v>
      </c>
      <c r="F55" s="27">
        <v>13437</v>
      </c>
      <c r="G55" s="27">
        <v>15226</v>
      </c>
      <c r="H55" s="27">
        <v>13701</v>
      </c>
      <c r="I55" s="27">
        <v>13537</v>
      </c>
      <c r="J55" s="27">
        <v>14484</v>
      </c>
      <c r="K55" s="27">
        <v>13270</v>
      </c>
      <c r="L55" s="27">
        <v>14811</v>
      </c>
    </row>
    <row r="56" spans="1:12" hidden="1" outlineLevel="1" x14ac:dyDescent="0.2">
      <c r="B56" s="9" t="s">
        <v>69</v>
      </c>
      <c r="C56" s="27">
        <v>0</v>
      </c>
      <c r="D56" s="27">
        <v>0</v>
      </c>
      <c r="E56" s="27">
        <v>2312</v>
      </c>
      <c r="F56" s="27">
        <v>2088</v>
      </c>
      <c r="G56" s="27">
        <v>1872</v>
      </c>
      <c r="H56" s="27">
        <v>1713</v>
      </c>
      <c r="I56" s="27">
        <v>1472</v>
      </c>
      <c r="J56" s="27">
        <v>1080</v>
      </c>
      <c r="K56" s="27">
        <v>0</v>
      </c>
      <c r="L56" s="27">
        <v>0</v>
      </c>
    </row>
    <row r="57" spans="1:12" hidden="1" outlineLevel="1" x14ac:dyDescent="0.2">
      <c r="B57" s="9" t="s">
        <v>71</v>
      </c>
      <c r="C57" s="27">
        <v>0</v>
      </c>
      <c r="D57" s="27">
        <v>0</v>
      </c>
      <c r="E57" s="27">
        <v>0</v>
      </c>
      <c r="F57" s="27">
        <v>0</v>
      </c>
      <c r="G57" s="27">
        <v>0</v>
      </c>
      <c r="H57" s="27">
        <v>0</v>
      </c>
      <c r="I57" s="27">
        <v>119</v>
      </c>
      <c r="J57" s="27">
        <v>38</v>
      </c>
      <c r="K57" s="27">
        <v>0</v>
      </c>
      <c r="L57" s="27">
        <v>0</v>
      </c>
    </row>
    <row r="58" spans="1:12" hidden="1" outlineLevel="1" x14ac:dyDescent="0.2">
      <c r="B58" s="9" t="s">
        <v>58</v>
      </c>
      <c r="C58" s="27">
        <v>895</v>
      </c>
      <c r="D58" s="27">
        <v>2432</v>
      </c>
      <c r="E58" s="27">
        <v>1225</v>
      </c>
      <c r="F58" s="27">
        <v>2428</v>
      </c>
      <c r="G58" s="27">
        <v>2986</v>
      </c>
      <c r="H58" s="27">
        <v>3561</v>
      </c>
      <c r="I58" s="27">
        <v>3863</v>
      </c>
      <c r="J58" s="27">
        <v>4130</v>
      </c>
      <c r="K58" s="27">
        <v>5018</v>
      </c>
      <c r="L58" s="27">
        <v>4911</v>
      </c>
    </row>
    <row r="59" spans="1:12" s="57" customFormat="1" hidden="1" outlineLevel="1" x14ac:dyDescent="0.2">
      <c r="A59" s="7"/>
      <c r="B59" s="11" t="s">
        <v>59</v>
      </c>
      <c r="C59" s="61">
        <f>SUM(C54:C58)</f>
        <v>13280</v>
      </c>
      <c r="D59" s="61">
        <f>SUM(D54:D58)</f>
        <v>23833</v>
      </c>
      <c r="E59" s="61">
        <f t="shared" ref="E59:F59" si="6">SUM(E54:E58)</f>
        <v>20522</v>
      </c>
      <c r="F59" s="61">
        <f t="shared" si="6"/>
        <v>19113</v>
      </c>
      <c r="G59" s="61">
        <f t="shared" ref="G59" si="7">SUM(G54:G58)</f>
        <v>20845</v>
      </c>
      <c r="H59" s="61">
        <f t="shared" ref="H59:L59" si="8">SUM(H54:H58)</f>
        <v>19339</v>
      </c>
      <c r="I59" s="61">
        <f t="shared" si="8"/>
        <v>19135</v>
      </c>
      <c r="J59" s="61">
        <f t="shared" si="8"/>
        <v>19831</v>
      </c>
      <c r="K59" s="61">
        <f t="shared" si="8"/>
        <v>18376</v>
      </c>
      <c r="L59" s="61">
        <f t="shared" si="8"/>
        <v>19793</v>
      </c>
    </row>
    <row r="60" spans="1:12" s="58" customFormat="1" hidden="1" outlineLevel="1" x14ac:dyDescent="0.2">
      <c r="A60" s="7"/>
      <c r="B60" s="17" t="s">
        <v>60</v>
      </c>
      <c r="C60" s="56">
        <v>20591</v>
      </c>
      <c r="D60" s="56">
        <v>34740</v>
      </c>
      <c r="E60" s="56">
        <v>31758</v>
      </c>
      <c r="F60" s="56">
        <v>28048</v>
      </c>
      <c r="G60" s="56">
        <v>29517</v>
      </c>
      <c r="H60" s="56">
        <v>31290</v>
      </c>
      <c r="I60" s="56">
        <v>31001</v>
      </c>
      <c r="J60" s="56">
        <v>29459</v>
      </c>
      <c r="K60" s="56">
        <v>28880</v>
      </c>
      <c r="L60" s="56">
        <v>28937</v>
      </c>
    </row>
    <row r="61" spans="1:12" hidden="1" outlineLevel="1" x14ac:dyDescent="0.2">
      <c r="B61" s="9" t="s">
        <v>62</v>
      </c>
      <c r="C61" s="27">
        <v>0</v>
      </c>
      <c r="D61" s="27">
        <v>0</v>
      </c>
      <c r="E61" s="27">
        <v>0</v>
      </c>
      <c r="F61" s="27">
        <v>0</v>
      </c>
      <c r="G61" s="27">
        <v>0</v>
      </c>
      <c r="H61" s="27">
        <v>0</v>
      </c>
      <c r="I61" s="27">
        <v>0</v>
      </c>
      <c r="J61" s="27">
        <v>0</v>
      </c>
      <c r="K61" s="27">
        <v>0</v>
      </c>
      <c r="L61" s="27">
        <v>0</v>
      </c>
    </row>
    <row r="62" spans="1:12" hidden="1" outlineLevel="1" x14ac:dyDescent="0.2">
      <c r="B62" s="9" t="s">
        <v>63</v>
      </c>
      <c r="C62" s="27">
        <v>414</v>
      </c>
      <c r="D62" s="27">
        <v>274</v>
      </c>
      <c r="E62" s="27">
        <v>0</v>
      </c>
      <c r="F62" s="27">
        <v>343</v>
      </c>
      <c r="G62" s="27">
        <v>586</v>
      </c>
      <c r="H62" s="27">
        <v>0</v>
      </c>
      <c r="I62" s="27">
        <v>195</v>
      </c>
      <c r="J62" s="27">
        <v>490</v>
      </c>
      <c r="K62" s="27">
        <v>0</v>
      </c>
      <c r="L62" s="27">
        <v>0</v>
      </c>
    </row>
    <row r="63" spans="1:12" hidden="1" outlineLevel="1" x14ac:dyDescent="0.2">
      <c r="B63" s="9" t="s">
        <v>64</v>
      </c>
      <c r="C63" s="27">
        <v>30936</v>
      </c>
      <c r="D63" s="27">
        <v>30088</v>
      </c>
      <c r="E63" s="27">
        <v>663</v>
      </c>
      <c r="F63" s="27">
        <v>4466</v>
      </c>
      <c r="G63" s="27">
        <v>5284</v>
      </c>
      <c r="H63" s="27">
        <v>9822</v>
      </c>
      <c r="I63" s="27">
        <v>17840</v>
      </c>
      <c r="J63" s="27">
        <v>20733</v>
      </c>
      <c r="K63" s="27">
        <v>25687</v>
      </c>
      <c r="L63" s="27">
        <v>20646</v>
      </c>
    </row>
    <row r="64" spans="1:12" hidden="1" outlineLevel="1" x14ac:dyDescent="0.2">
      <c r="B64" s="9" t="s">
        <v>65</v>
      </c>
      <c r="C64" s="27">
        <v>428</v>
      </c>
      <c r="D64" s="27">
        <v>384</v>
      </c>
      <c r="E64" s="27">
        <v>265</v>
      </c>
      <c r="F64" s="27">
        <v>100</v>
      </c>
      <c r="G64" s="27">
        <v>207</v>
      </c>
      <c r="H64" s="27">
        <v>128</v>
      </c>
      <c r="I64" s="27">
        <v>-22</v>
      </c>
      <c r="J64" s="27">
        <v>358</v>
      </c>
      <c r="K64" s="27">
        <v>587</v>
      </c>
      <c r="L64" s="27">
        <v>560</v>
      </c>
    </row>
    <row r="65" spans="1:12" s="57" customFormat="1" hidden="1" outlineLevel="1" x14ac:dyDescent="0.2">
      <c r="A65" s="7"/>
      <c r="B65" s="11" t="s">
        <v>66</v>
      </c>
      <c r="C65" s="60">
        <v>31778</v>
      </c>
      <c r="D65" s="60">
        <v>30746</v>
      </c>
      <c r="E65" s="60">
        <v>928</v>
      </c>
      <c r="F65" s="60">
        <v>4909</v>
      </c>
      <c r="G65" s="60">
        <v>6077</v>
      </c>
      <c r="H65" s="60">
        <v>9950</v>
      </c>
      <c r="I65" s="60">
        <v>18013</v>
      </c>
      <c r="J65" s="60">
        <v>21581</v>
      </c>
      <c r="K65" s="60">
        <v>26274</v>
      </c>
      <c r="L65" s="60">
        <v>21206</v>
      </c>
    </row>
    <row r="66" spans="1:12" hidden="1" outlineLevel="1" x14ac:dyDescent="0.2">
      <c r="B66" s="9" t="s">
        <v>31</v>
      </c>
      <c r="C66" s="27">
        <v>-10</v>
      </c>
      <c r="D66" s="27">
        <v>0</v>
      </c>
      <c r="E66" s="27">
        <v>0</v>
      </c>
      <c r="F66" s="27">
        <v>0</v>
      </c>
      <c r="G66" s="27">
        <v>0</v>
      </c>
      <c r="H66" s="27">
        <v>0</v>
      </c>
      <c r="I66" s="27">
        <v>0</v>
      </c>
      <c r="J66" s="27">
        <v>0</v>
      </c>
      <c r="K66" s="27">
        <v>0</v>
      </c>
      <c r="L66" s="27">
        <v>0</v>
      </c>
    </row>
    <row r="67" spans="1:12" s="8" customFormat="1" hidden="1" outlineLevel="1" x14ac:dyDescent="0.2">
      <c r="B67" s="12" t="s">
        <v>67</v>
      </c>
      <c r="C67" s="27">
        <v>31768</v>
      </c>
      <c r="D67" s="27">
        <v>30746</v>
      </c>
      <c r="E67" s="27">
        <v>928</v>
      </c>
      <c r="F67" s="27">
        <v>4909</v>
      </c>
      <c r="G67" s="27">
        <v>6077</v>
      </c>
      <c r="H67" s="27">
        <v>9950</v>
      </c>
      <c r="I67" s="27">
        <v>18013</v>
      </c>
      <c r="J67" s="27">
        <v>21581</v>
      </c>
      <c r="K67" s="27">
        <v>26274</v>
      </c>
      <c r="L67" s="27">
        <v>21206</v>
      </c>
    </row>
    <row r="68" spans="1:12" s="62" customFormat="1" ht="17" hidden="1" outlineLevel="1" thickBot="1" x14ac:dyDescent="0.25">
      <c r="A68" s="7"/>
      <c r="B68" s="19" t="s">
        <v>68</v>
      </c>
      <c r="C68" s="63">
        <v>52359</v>
      </c>
      <c r="D68" s="63">
        <v>65486</v>
      </c>
      <c r="E68" s="63">
        <v>32718</v>
      </c>
      <c r="F68" s="63">
        <v>32957</v>
      </c>
      <c r="G68" s="63">
        <v>35594</v>
      </c>
      <c r="H68" s="63">
        <v>41240</v>
      </c>
      <c r="I68" s="63">
        <v>49014</v>
      </c>
      <c r="J68" s="63">
        <v>51040</v>
      </c>
      <c r="K68" s="63">
        <v>55154</v>
      </c>
      <c r="L68" s="63">
        <v>50143</v>
      </c>
    </row>
    <row r="69" spans="1:12" collapsed="1" x14ac:dyDescent="0.2">
      <c r="B69" s="1"/>
    </row>
    <row r="70" spans="1:12" s="14" customFormat="1" ht="17" thickBot="1" x14ac:dyDescent="0.25">
      <c r="A70" s="4"/>
      <c r="B70" s="15" t="s">
        <v>73</v>
      </c>
    </row>
    <row r="71" spans="1:12" outlineLevel="1" x14ac:dyDescent="0.2">
      <c r="B71" s="9" t="s">
        <v>30</v>
      </c>
      <c r="C71" s="20">
        <f>C19</f>
        <v>5702</v>
      </c>
      <c r="D71" s="20">
        <f t="shared" ref="D71:L71" si="9">D19</f>
        <v>2465</v>
      </c>
      <c r="E71" s="20">
        <f t="shared" si="9"/>
        <v>-4864</v>
      </c>
      <c r="F71" s="20">
        <f t="shared" si="9"/>
        <v>4386</v>
      </c>
      <c r="G71" s="20">
        <f t="shared" si="9"/>
        <v>5198</v>
      </c>
      <c r="H71" s="20">
        <f t="shared" si="9"/>
        <v>9043</v>
      </c>
      <c r="I71" s="20">
        <f t="shared" si="9"/>
        <v>12986</v>
      </c>
      <c r="J71" s="20">
        <f t="shared" si="9"/>
        <v>7339</v>
      </c>
      <c r="K71" s="20">
        <f t="shared" si="9"/>
        <v>10110</v>
      </c>
      <c r="L71" s="20">
        <f t="shared" si="9"/>
        <v>5541</v>
      </c>
    </row>
    <row r="72" spans="1:12" outlineLevel="1" x14ac:dyDescent="0.2">
      <c r="B72" s="9" t="s">
        <v>74</v>
      </c>
      <c r="C72" s="27">
        <v>1428</v>
      </c>
      <c r="D72" s="27">
        <v>1461</v>
      </c>
      <c r="E72" s="27">
        <v>1561</v>
      </c>
      <c r="F72" s="27">
        <v>1401</v>
      </c>
      <c r="G72" s="27">
        <v>1393</v>
      </c>
      <c r="H72" s="27">
        <v>1582</v>
      </c>
      <c r="I72" s="27">
        <v>1762</v>
      </c>
      <c r="J72" s="27">
        <v>1809</v>
      </c>
      <c r="K72" s="27">
        <v>1706</v>
      </c>
      <c r="L72" s="27">
        <v>1602</v>
      </c>
    </row>
    <row r="73" spans="1:12" outlineLevel="1" x14ac:dyDescent="0.2">
      <c r="B73" s="9" t="s">
        <v>75</v>
      </c>
      <c r="C73" s="27">
        <v>-200</v>
      </c>
      <c r="D73" s="27">
        <v>-400</v>
      </c>
      <c r="E73" s="27">
        <v>4502</v>
      </c>
      <c r="F73" s="27">
        <v>1976</v>
      </c>
      <c r="G73" s="27">
        <v>-309</v>
      </c>
      <c r="H73" s="27">
        <v>-245</v>
      </c>
      <c r="I73" s="27">
        <v>-138</v>
      </c>
      <c r="J73" s="27">
        <v>-1269</v>
      </c>
      <c r="K73" s="27">
        <v>-3064</v>
      </c>
      <c r="L73" s="27">
        <v>3980</v>
      </c>
    </row>
    <row r="74" spans="1:12" outlineLevel="1" x14ac:dyDescent="0.2">
      <c r="B74" s="12" t="s">
        <v>114</v>
      </c>
      <c r="C74" s="27">
        <v>943</v>
      </c>
      <c r="D74" s="27">
        <v>914</v>
      </c>
      <c r="E74" s="27">
        <v>883</v>
      </c>
      <c r="F74" s="27">
        <v>1037</v>
      </c>
      <c r="G74" s="27">
        <v>1212</v>
      </c>
      <c r="H74" s="27">
        <v>1663</v>
      </c>
      <c r="I74" s="27">
        <v>2031</v>
      </c>
      <c r="J74" s="27">
        <v>2484</v>
      </c>
      <c r="K74" s="27">
        <v>2648</v>
      </c>
      <c r="L74" s="27">
        <v>2783</v>
      </c>
    </row>
    <row r="75" spans="1:12" outlineLevel="1" x14ac:dyDescent="0.2">
      <c r="B75" s="9" t="s">
        <v>76</v>
      </c>
      <c r="C75" s="27">
        <v>-288</v>
      </c>
      <c r="D75" s="27">
        <v>-530</v>
      </c>
      <c r="E75" s="27">
        <v>-124</v>
      </c>
      <c r="F75" s="27">
        <v>-356</v>
      </c>
      <c r="G75" s="27">
        <v>-336</v>
      </c>
      <c r="H75" s="27">
        <v>-1002</v>
      </c>
      <c r="I75" s="27">
        <v>432</v>
      </c>
      <c r="J75" s="27">
        <v>-152</v>
      </c>
      <c r="K75" s="27">
        <v>-349</v>
      </c>
      <c r="L75" s="27">
        <v>-381</v>
      </c>
    </row>
    <row r="76" spans="1:12" outlineLevel="1" x14ac:dyDescent="0.2">
      <c r="B76" s="9" t="s">
        <v>77</v>
      </c>
      <c r="C76" s="27">
        <v>107</v>
      </c>
      <c r="D76" s="27">
        <v>76</v>
      </c>
      <c r="E76" s="27">
        <v>273</v>
      </c>
      <c r="F76" s="27">
        <v>203</v>
      </c>
      <c r="G76" s="27">
        <v>0</v>
      </c>
      <c r="H76" s="27">
        <v>5</v>
      </c>
      <c r="I76" s="27">
        <v>2</v>
      </c>
      <c r="J76" s="27">
        <v>182</v>
      </c>
      <c r="K76" s="27">
        <v>7</v>
      </c>
      <c r="L76" s="27">
        <v>17</v>
      </c>
    </row>
    <row r="77" spans="1:12" outlineLevel="1" x14ac:dyDescent="0.2">
      <c r="B77" s="9" t="s">
        <v>78</v>
      </c>
      <c r="C77" s="27">
        <v>172</v>
      </c>
      <c r="D77" s="27">
        <v>177</v>
      </c>
      <c r="E77" s="27">
        <v>75</v>
      </c>
      <c r="F77" s="27">
        <v>135</v>
      </c>
      <c r="G77" s="27">
        <v>405</v>
      </c>
      <c r="H77" s="27">
        <v>33</v>
      </c>
      <c r="I77" s="27">
        <v>47</v>
      </c>
      <c r="J77" s="27">
        <v>132</v>
      </c>
      <c r="K77" s="27">
        <v>79</v>
      </c>
      <c r="L77" s="27">
        <v>113</v>
      </c>
    </row>
    <row r="78" spans="1:12" outlineLevel="1" x14ac:dyDescent="0.2">
      <c r="B78" s="9" t="s">
        <v>79</v>
      </c>
      <c r="C78" s="27">
        <v>-380</v>
      </c>
      <c r="D78" s="27">
        <v>0</v>
      </c>
      <c r="E78" s="27">
        <v>0</v>
      </c>
      <c r="F78" s="27">
        <v>0</v>
      </c>
      <c r="G78" s="27">
        <v>0</v>
      </c>
      <c r="H78" s="27">
        <v>0</v>
      </c>
      <c r="I78" s="27">
        <v>0</v>
      </c>
      <c r="J78" s="27">
        <v>0</v>
      </c>
      <c r="K78" s="27">
        <v>0</v>
      </c>
      <c r="L78" s="27">
        <v>0</v>
      </c>
    </row>
    <row r="79" spans="1:12" outlineLevel="1" x14ac:dyDescent="0.2">
      <c r="B79" s="9" t="s">
        <v>80</v>
      </c>
      <c r="C79" s="27">
        <v>77</v>
      </c>
      <c r="D79" s="27">
        <v>146</v>
      </c>
      <c r="E79" s="27">
        <v>129</v>
      </c>
      <c r="F79" s="27">
        <v>-272</v>
      </c>
      <c r="G79" s="27">
        <v>-142</v>
      </c>
      <c r="H79" s="27">
        <v>-82</v>
      </c>
      <c r="I79" s="27">
        <v>-56</v>
      </c>
      <c r="J79" s="27">
        <v>25</v>
      </c>
      <c r="K79" s="27">
        <v>-67</v>
      </c>
      <c r="L79" s="27">
        <v>-57</v>
      </c>
    </row>
    <row r="80" spans="1:12" outlineLevel="1" x14ac:dyDescent="0.2">
      <c r="B80" s="9" t="s">
        <v>81</v>
      </c>
      <c r="C80" s="27">
        <v>-232</v>
      </c>
      <c r="D80" s="27">
        <v>-1104</v>
      </c>
      <c r="E80" s="27">
        <v>734</v>
      </c>
      <c r="F80" s="27">
        <v>1373</v>
      </c>
      <c r="G80" s="27">
        <v>-1529</v>
      </c>
      <c r="H80" s="27">
        <v>426</v>
      </c>
      <c r="I80" s="27">
        <v>-2066</v>
      </c>
      <c r="J80" s="27">
        <v>2472</v>
      </c>
      <c r="K80" s="27">
        <v>-768</v>
      </c>
      <c r="L80" s="27">
        <v>-365</v>
      </c>
    </row>
    <row r="81" spans="1:12" outlineLevel="1" x14ac:dyDescent="0.2">
      <c r="B81" s="9" t="s">
        <v>82</v>
      </c>
      <c r="C81" s="27">
        <v>-49</v>
      </c>
      <c r="D81" s="27">
        <v>-200</v>
      </c>
      <c r="E81" s="27">
        <v>337</v>
      </c>
      <c r="F81" s="27">
        <v>273</v>
      </c>
      <c r="G81" s="27">
        <v>-1157</v>
      </c>
      <c r="H81" s="27">
        <v>-622</v>
      </c>
      <c r="I81" s="27">
        <v>-3137</v>
      </c>
      <c r="J81" s="27">
        <v>8</v>
      </c>
      <c r="K81" s="27">
        <v>13</v>
      </c>
      <c r="L81" s="27">
        <v>-138</v>
      </c>
    </row>
    <row r="82" spans="1:12" outlineLevel="1" x14ac:dyDescent="0.2">
      <c r="B82" s="9" t="s">
        <v>83</v>
      </c>
      <c r="C82" s="27">
        <v>246</v>
      </c>
      <c r="D82" s="27">
        <v>169</v>
      </c>
      <c r="E82" s="27">
        <v>30</v>
      </c>
      <c r="F82" s="27">
        <v>78</v>
      </c>
      <c r="G82" s="27">
        <v>-110</v>
      </c>
      <c r="H82" s="27">
        <v>-1649</v>
      </c>
      <c r="I82" s="27">
        <v>-2266</v>
      </c>
      <c r="J82" s="27">
        <v>603</v>
      </c>
      <c r="K82" s="27">
        <v>230</v>
      </c>
      <c r="L82" s="27">
        <v>971</v>
      </c>
    </row>
    <row r="83" spans="1:12" outlineLevel="1" x14ac:dyDescent="0.2">
      <c r="B83" s="9" t="s">
        <v>84</v>
      </c>
      <c r="C83" s="27">
        <v>541</v>
      </c>
      <c r="D83" s="27">
        <v>-45</v>
      </c>
      <c r="E83" s="27">
        <v>-94</v>
      </c>
      <c r="F83" s="27">
        <v>-443</v>
      </c>
      <c r="G83" s="27">
        <v>907</v>
      </c>
      <c r="H83" s="27">
        <v>495</v>
      </c>
      <c r="I83" s="27">
        <v>1036</v>
      </c>
      <c r="J83" s="27">
        <v>-1880</v>
      </c>
      <c r="K83" s="27">
        <v>682</v>
      </c>
      <c r="L83" s="27">
        <v>119</v>
      </c>
    </row>
    <row r="84" spans="1:12" outlineLevel="1" x14ac:dyDescent="0.2">
      <c r="B84" s="9" t="s">
        <v>85</v>
      </c>
      <c r="C84" s="27">
        <v>-128</v>
      </c>
      <c r="D84" s="27">
        <v>2103</v>
      </c>
      <c r="E84" s="27">
        <v>687</v>
      </c>
      <c r="F84" s="27">
        <v>-2376</v>
      </c>
      <c r="G84" s="27">
        <v>528</v>
      </c>
      <c r="H84" s="27">
        <v>1091</v>
      </c>
      <c r="I84" s="27">
        <v>-1043</v>
      </c>
      <c r="J84" s="27">
        <v>1</v>
      </c>
      <c r="K84" s="27">
        <v>1046</v>
      </c>
      <c r="L84" s="27">
        <v>-235</v>
      </c>
    </row>
    <row r="85" spans="1:12" outlineLevel="1" x14ac:dyDescent="0.2">
      <c r="B85" s="9" t="s">
        <v>86</v>
      </c>
      <c r="C85" s="27">
        <v>-307</v>
      </c>
      <c r="D85" s="27">
        <v>-231</v>
      </c>
      <c r="E85" s="27">
        <v>-234</v>
      </c>
      <c r="F85" s="27">
        <v>-129</v>
      </c>
      <c r="G85" s="27">
        <v>-246</v>
      </c>
      <c r="H85" s="27">
        <v>-202</v>
      </c>
      <c r="I85" s="27">
        <v>-324</v>
      </c>
      <c r="J85" s="27">
        <v>-56</v>
      </c>
      <c r="K85" s="27">
        <v>20</v>
      </c>
      <c r="L85" s="27">
        <v>62</v>
      </c>
    </row>
    <row r="86" spans="1:12" outlineLevel="1" x14ac:dyDescent="0.2">
      <c r="B86" s="9" t="s">
        <v>115</v>
      </c>
      <c r="C86" s="27">
        <v>0</v>
      </c>
      <c r="D86" s="27">
        <v>0</v>
      </c>
      <c r="E86" s="27">
        <v>0</v>
      </c>
      <c r="F86" s="27">
        <v>0</v>
      </c>
      <c r="G86" s="27">
        <v>0</v>
      </c>
      <c r="H86" s="27">
        <v>0</v>
      </c>
      <c r="I86" s="27">
        <v>-170</v>
      </c>
      <c r="J86" s="27">
        <v>-399</v>
      </c>
      <c r="K86" s="27">
        <v>-91</v>
      </c>
      <c r="L86" s="27">
        <v>0</v>
      </c>
    </row>
    <row r="87" spans="1:12" s="58" customFormat="1" outlineLevel="1" x14ac:dyDescent="0.2">
      <c r="A87" s="7"/>
      <c r="B87" s="17" t="s">
        <v>87</v>
      </c>
      <c r="C87" s="56">
        <v>7632</v>
      </c>
      <c r="D87" s="56">
        <v>5001</v>
      </c>
      <c r="E87" s="56">
        <v>3895</v>
      </c>
      <c r="F87" s="56">
        <v>7286</v>
      </c>
      <c r="G87" s="56">
        <v>5814</v>
      </c>
      <c r="H87" s="56">
        <v>10536</v>
      </c>
      <c r="I87" s="56">
        <v>9096</v>
      </c>
      <c r="J87" s="56">
        <v>11299</v>
      </c>
      <c r="K87" s="56">
        <v>12202</v>
      </c>
      <c r="L87" s="56">
        <v>14012</v>
      </c>
    </row>
    <row r="88" spans="1:12" outlineLevel="1" x14ac:dyDescent="0.2">
      <c r="B88" s="9" t="s">
        <v>88</v>
      </c>
      <c r="C88" s="27">
        <v>-539</v>
      </c>
      <c r="D88" s="27">
        <v>-690</v>
      </c>
      <c r="E88" s="27">
        <v>-784</v>
      </c>
      <c r="F88" s="27">
        <v>-887</v>
      </c>
      <c r="G88" s="27">
        <v>-1407</v>
      </c>
      <c r="H88" s="27">
        <v>-1888</v>
      </c>
      <c r="I88" s="27">
        <v>-2262</v>
      </c>
      <c r="J88" s="27">
        <v>-1450</v>
      </c>
      <c r="K88" s="27">
        <v>-1041</v>
      </c>
      <c r="L88" s="27">
        <v>-1192</v>
      </c>
    </row>
    <row r="89" spans="1:12" outlineLevel="1" x14ac:dyDescent="0.2">
      <c r="B89" s="9" t="s">
        <v>89</v>
      </c>
      <c r="C89" s="27">
        <v>-18015</v>
      </c>
      <c r="D89" s="27">
        <v>-19062</v>
      </c>
      <c r="E89" s="27">
        <v>-5936</v>
      </c>
      <c r="F89" s="27">
        <v>0</v>
      </c>
      <c r="G89" s="27">
        <v>-6213</v>
      </c>
      <c r="H89" s="27">
        <v>-5907</v>
      </c>
      <c r="I89" s="27">
        <v>-1414</v>
      </c>
      <c r="J89" s="27">
        <v>-668</v>
      </c>
      <c r="K89" s="27">
        <v>-5069</v>
      </c>
      <c r="L89" s="27">
        <v>-4694</v>
      </c>
    </row>
    <row r="90" spans="1:12" outlineLevel="1" x14ac:dyDescent="0.2">
      <c r="B90" s="9" t="s">
        <v>90</v>
      </c>
      <c r="C90" s="27">
        <v>14386</v>
      </c>
      <c r="D90" s="27">
        <v>41715</v>
      </c>
      <c r="E90" s="27">
        <v>9188</v>
      </c>
      <c r="F90" s="27">
        <v>198</v>
      </c>
      <c r="G90" s="27">
        <v>2399</v>
      </c>
      <c r="H90" s="27">
        <v>5555</v>
      </c>
      <c r="I90" s="27">
        <v>2622</v>
      </c>
      <c r="J90" s="27">
        <v>1566</v>
      </c>
      <c r="K90" s="27">
        <v>2677</v>
      </c>
      <c r="L90" s="27">
        <v>5755</v>
      </c>
    </row>
    <row r="91" spans="1:12" outlineLevel="1" x14ac:dyDescent="0.2">
      <c r="B91" s="9" t="s">
        <v>91</v>
      </c>
      <c r="C91" s="27">
        <v>-177</v>
      </c>
      <c r="D91" s="27">
        <v>0</v>
      </c>
      <c r="E91" s="27">
        <v>0</v>
      </c>
      <c r="F91" s="27">
        <v>0</v>
      </c>
      <c r="G91" s="27">
        <v>0</v>
      </c>
      <c r="H91" s="27">
        <v>0</v>
      </c>
      <c r="I91" s="27">
        <v>0</v>
      </c>
      <c r="J91" s="27">
        <v>0</v>
      </c>
      <c r="K91" s="27">
        <v>0</v>
      </c>
      <c r="L91" s="27">
        <v>0</v>
      </c>
    </row>
    <row r="92" spans="1:12" outlineLevel="1" x14ac:dyDescent="0.2">
      <c r="B92" s="9" t="s">
        <v>92</v>
      </c>
      <c r="C92" s="27">
        <v>779</v>
      </c>
      <c r="D92" s="27">
        <v>0</v>
      </c>
      <c r="E92" s="27">
        <v>0</v>
      </c>
      <c r="F92" s="27">
        <v>0</v>
      </c>
      <c r="G92" s="27">
        <v>0</v>
      </c>
      <c r="H92" s="27">
        <v>0</v>
      </c>
      <c r="I92" s="27">
        <v>0</v>
      </c>
      <c r="J92" s="27">
        <v>0</v>
      </c>
      <c r="K92" s="27">
        <v>0</v>
      </c>
      <c r="L92" s="27">
        <v>0</v>
      </c>
    </row>
    <row r="93" spans="1:12" outlineLevel="1" x14ac:dyDescent="0.2">
      <c r="B93" s="9" t="s">
        <v>93</v>
      </c>
      <c r="C93" s="27">
        <v>0</v>
      </c>
      <c r="D93" s="27">
        <v>-710</v>
      </c>
      <c r="E93" s="27">
        <v>-49</v>
      </c>
      <c r="F93" s="27">
        <v>0</v>
      </c>
      <c r="G93" s="27">
        <v>0</v>
      </c>
      <c r="H93" s="27">
        <v>0</v>
      </c>
      <c r="I93" s="27">
        <v>0</v>
      </c>
      <c r="J93" s="27">
        <v>0</v>
      </c>
      <c r="K93" s="27">
        <v>0</v>
      </c>
      <c r="L93" s="27">
        <v>0</v>
      </c>
    </row>
    <row r="94" spans="1:12" outlineLevel="1" x14ac:dyDescent="0.2">
      <c r="B94" s="9" t="s">
        <v>94</v>
      </c>
      <c r="C94" s="27">
        <v>450</v>
      </c>
      <c r="D94" s="27">
        <v>706</v>
      </c>
      <c r="E94" s="27">
        <v>50</v>
      </c>
      <c r="F94" s="27">
        <v>0</v>
      </c>
      <c r="G94" s="27">
        <v>0</v>
      </c>
      <c r="H94" s="27">
        <v>0</v>
      </c>
      <c r="I94" s="27">
        <v>0</v>
      </c>
      <c r="J94" s="27">
        <v>0</v>
      </c>
      <c r="K94" s="27">
        <v>0</v>
      </c>
      <c r="L94" s="27">
        <v>0</v>
      </c>
    </row>
    <row r="95" spans="1:12" outlineLevel="1" x14ac:dyDescent="0.2">
      <c r="B95" s="9" t="s">
        <v>95</v>
      </c>
      <c r="C95" s="27">
        <v>0</v>
      </c>
      <c r="D95" s="27">
        <v>-2000</v>
      </c>
      <c r="E95" s="27">
        <v>2000</v>
      </c>
      <c r="F95" s="27">
        <v>0</v>
      </c>
      <c r="G95" s="27">
        <v>0</v>
      </c>
      <c r="H95" s="27">
        <v>0</v>
      </c>
      <c r="I95" s="27">
        <v>0</v>
      </c>
      <c r="J95" s="27">
        <v>0</v>
      </c>
      <c r="K95" s="27">
        <v>0</v>
      </c>
      <c r="L95" s="27">
        <v>0</v>
      </c>
    </row>
    <row r="96" spans="1:12" outlineLevel="1" x14ac:dyDescent="0.2">
      <c r="B96" s="9" t="s">
        <v>96</v>
      </c>
      <c r="C96" s="27">
        <v>-812</v>
      </c>
      <c r="D96" s="27">
        <v>-1544</v>
      </c>
      <c r="E96" s="27">
        <v>-326</v>
      </c>
      <c r="F96" s="27">
        <v>-252</v>
      </c>
      <c r="G96" s="27">
        <v>-185</v>
      </c>
      <c r="H96" s="27">
        <v>-1377</v>
      </c>
      <c r="I96" s="27">
        <v>-4912</v>
      </c>
      <c r="J96" s="27">
        <v>-235</v>
      </c>
      <c r="K96" s="27">
        <v>-254</v>
      </c>
      <c r="L96" s="27">
        <v>-743</v>
      </c>
    </row>
    <row r="97" spans="1:12" outlineLevel="1" x14ac:dyDescent="0.2">
      <c r="B97" s="9" t="s">
        <v>116</v>
      </c>
      <c r="C97" s="27">
        <v>0</v>
      </c>
      <c r="D97" s="27">
        <v>0</v>
      </c>
      <c r="E97" s="27">
        <v>0</v>
      </c>
      <c r="F97" s="27">
        <v>0</v>
      </c>
      <c r="G97" s="27">
        <v>0</v>
      </c>
      <c r="H97" s="27">
        <v>0</v>
      </c>
      <c r="I97" s="27">
        <v>0</v>
      </c>
      <c r="J97" s="27">
        <v>127</v>
      </c>
      <c r="K97" s="27">
        <v>10</v>
      </c>
      <c r="L97" s="27">
        <v>14</v>
      </c>
    </row>
    <row r="98" spans="1:12" outlineLevel="1" x14ac:dyDescent="0.2">
      <c r="B98" s="9" t="s">
        <v>97</v>
      </c>
      <c r="C98" s="27">
        <v>59</v>
      </c>
      <c r="D98" s="27">
        <v>23</v>
      </c>
      <c r="E98" s="27">
        <v>222</v>
      </c>
      <c r="F98" s="27">
        <v>68</v>
      </c>
      <c r="G98" s="27">
        <v>100</v>
      </c>
      <c r="H98" s="27">
        <v>320</v>
      </c>
      <c r="I98" s="27">
        <v>132</v>
      </c>
      <c r="J98" s="27">
        <v>20</v>
      </c>
      <c r="K98" s="27">
        <v>88</v>
      </c>
      <c r="L98" s="27">
        <v>61</v>
      </c>
    </row>
    <row r="99" spans="1:12" outlineLevel="1" x14ac:dyDescent="0.2">
      <c r="B99" s="9" t="s">
        <v>98</v>
      </c>
      <c r="C99" s="27">
        <v>232</v>
      </c>
      <c r="D99" s="27">
        <v>0</v>
      </c>
      <c r="E99" s="27">
        <v>0</v>
      </c>
      <c r="F99" s="27">
        <v>0</v>
      </c>
      <c r="G99" s="27">
        <v>0</v>
      </c>
      <c r="H99" s="27">
        <v>0</v>
      </c>
      <c r="I99" s="27">
        <v>0</v>
      </c>
      <c r="J99" s="27">
        <v>0</v>
      </c>
      <c r="K99" s="27">
        <v>0</v>
      </c>
      <c r="L99" s="27">
        <v>0</v>
      </c>
    </row>
    <row r="100" spans="1:12" outlineLevel="1" x14ac:dyDescent="0.2">
      <c r="B100" s="9" t="s">
        <v>134</v>
      </c>
      <c r="C100" s="27">
        <v>0</v>
      </c>
      <c r="D100" s="27">
        <v>0</v>
      </c>
      <c r="E100" s="27">
        <v>0</v>
      </c>
      <c r="F100" s="27">
        <v>0</v>
      </c>
      <c r="G100" s="27">
        <v>0</v>
      </c>
      <c r="H100" s="27">
        <v>0</v>
      </c>
      <c r="I100" s="27">
        <v>0</v>
      </c>
      <c r="J100" s="27">
        <v>1383</v>
      </c>
      <c r="K100" s="27">
        <v>2</v>
      </c>
      <c r="L100" s="27">
        <v>0</v>
      </c>
    </row>
    <row r="101" spans="1:12" outlineLevel="1" x14ac:dyDescent="0.2">
      <c r="B101" s="12" t="s">
        <v>80</v>
      </c>
      <c r="C101" s="27">
        <v>149</v>
      </c>
      <c r="D101" s="27">
        <v>25</v>
      </c>
      <c r="E101" s="27">
        <v>16</v>
      </c>
      <c r="F101" s="27">
        <v>67</v>
      </c>
      <c r="G101" s="27">
        <v>43</v>
      </c>
      <c r="H101" s="27">
        <v>-59</v>
      </c>
      <c r="I101" s="27">
        <v>30</v>
      </c>
      <c r="J101" s="27">
        <v>19</v>
      </c>
      <c r="K101" s="27">
        <v>-36</v>
      </c>
      <c r="L101" s="27">
        <v>-1</v>
      </c>
    </row>
    <row r="102" spans="1:12" s="58" customFormat="1" outlineLevel="1" x14ac:dyDescent="0.2">
      <c r="A102" s="7"/>
      <c r="B102" s="17" t="s">
        <v>99</v>
      </c>
      <c r="C102" s="56">
        <v>-3488</v>
      </c>
      <c r="D102" s="56">
        <v>18463</v>
      </c>
      <c r="E102" s="56">
        <v>4381</v>
      </c>
      <c r="F102" s="56">
        <v>-806</v>
      </c>
      <c r="G102" s="56">
        <v>-5263</v>
      </c>
      <c r="H102" s="56">
        <v>-3356</v>
      </c>
      <c r="I102" s="56">
        <v>-5804</v>
      </c>
      <c r="J102" s="56">
        <v>762</v>
      </c>
      <c r="K102" s="56">
        <v>-3623</v>
      </c>
      <c r="L102" s="56">
        <v>-800</v>
      </c>
    </row>
    <row r="103" spans="1:12" outlineLevel="1" x14ac:dyDescent="0.2">
      <c r="B103" s="9" t="s">
        <v>100</v>
      </c>
      <c r="C103" s="27">
        <v>8949</v>
      </c>
      <c r="D103" s="27">
        <v>8558</v>
      </c>
      <c r="E103" s="27">
        <v>11131</v>
      </c>
      <c r="F103" s="27">
        <v>5989</v>
      </c>
      <c r="G103" s="27">
        <v>2848</v>
      </c>
      <c r="H103" s="27">
        <v>2886</v>
      </c>
      <c r="I103" s="27">
        <v>7000</v>
      </c>
      <c r="J103" s="27">
        <v>5068</v>
      </c>
      <c r="K103" s="27">
        <v>799</v>
      </c>
      <c r="L103" s="27">
        <v>998</v>
      </c>
    </row>
    <row r="104" spans="1:12" outlineLevel="1" x14ac:dyDescent="0.2">
      <c r="B104" s="9" t="s">
        <v>101</v>
      </c>
      <c r="C104" s="27">
        <v>-8200</v>
      </c>
      <c r="D104" s="27">
        <v>-9309</v>
      </c>
      <c r="E104" s="27">
        <v>-11127</v>
      </c>
      <c r="F104" s="27">
        <v>-6492</v>
      </c>
      <c r="G104" s="27">
        <v>-2846</v>
      </c>
      <c r="H104" s="27">
        <v>-2885</v>
      </c>
      <c r="I104" s="27">
        <v>-7003</v>
      </c>
      <c r="J104" s="27">
        <v>-5566</v>
      </c>
      <c r="K104" s="27">
        <v>-799</v>
      </c>
      <c r="L104" s="27">
        <v>-998</v>
      </c>
    </row>
    <row r="105" spans="1:12" outlineLevel="1" x14ac:dyDescent="0.2">
      <c r="B105" s="9" t="s">
        <v>117</v>
      </c>
      <c r="C105" s="27">
        <v>0</v>
      </c>
      <c r="D105" s="27">
        <v>0</v>
      </c>
      <c r="E105" s="27">
        <v>0</v>
      </c>
      <c r="F105" s="27">
        <v>0</v>
      </c>
      <c r="G105" s="27">
        <v>0</v>
      </c>
      <c r="H105" s="27">
        <v>0</v>
      </c>
      <c r="I105" s="27">
        <v>-349</v>
      </c>
      <c r="J105" s="27">
        <v>0</v>
      </c>
      <c r="K105" s="27">
        <v>0</v>
      </c>
      <c r="L105" s="27">
        <v>0</v>
      </c>
    </row>
    <row r="106" spans="1:12" outlineLevel="1" x14ac:dyDescent="0.2">
      <c r="B106" s="9" t="s">
        <v>102</v>
      </c>
      <c r="C106" s="27">
        <v>0</v>
      </c>
      <c r="D106" s="27">
        <v>10953</v>
      </c>
      <c r="E106" s="27">
        <v>0</v>
      </c>
      <c r="F106" s="27">
        <v>0</v>
      </c>
      <c r="G106" s="27">
        <v>1988</v>
      </c>
      <c r="H106" s="27">
        <v>0</v>
      </c>
      <c r="I106" s="27">
        <v>1477</v>
      </c>
      <c r="J106" s="27">
        <v>1880</v>
      </c>
      <c r="K106" s="27">
        <v>0</v>
      </c>
      <c r="L106" s="27">
        <v>1487</v>
      </c>
    </row>
    <row r="107" spans="1:12" outlineLevel="1" x14ac:dyDescent="0.2">
      <c r="B107" s="9" t="s">
        <v>103</v>
      </c>
      <c r="C107" s="27">
        <v>0</v>
      </c>
      <c r="D107" s="27">
        <v>0</v>
      </c>
      <c r="E107" s="27">
        <v>-5500</v>
      </c>
      <c r="F107" s="27">
        <v>0</v>
      </c>
      <c r="G107" s="27">
        <v>-2219</v>
      </c>
      <c r="H107" s="27">
        <v>0</v>
      </c>
      <c r="I107" s="27">
        <v>-1540</v>
      </c>
      <c r="J107" s="27">
        <v>-1446</v>
      </c>
      <c r="K107" s="27">
        <v>-914</v>
      </c>
      <c r="L107" s="27">
        <v>-1365</v>
      </c>
    </row>
    <row r="108" spans="1:12" outlineLevel="1" x14ac:dyDescent="0.2">
      <c r="B108" s="9" t="s">
        <v>104</v>
      </c>
      <c r="C108" s="27">
        <v>668</v>
      </c>
      <c r="D108" s="27">
        <v>497</v>
      </c>
      <c r="E108" s="27">
        <v>603</v>
      </c>
      <c r="F108" s="27">
        <v>414</v>
      </c>
      <c r="G108" s="27">
        <v>329</v>
      </c>
      <c r="H108" s="27">
        <v>347</v>
      </c>
      <c r="I108" s="27">
        <v>356</v>
      </c>
      <c r="J108" s="27">
        <v>434</v>
      </c>
      <c r="K108" s="27">
        <v>383</v>
      </c>
      <c r="L108" s="27">
        <v>404</v>
      </c>
    </row>
    <row r="109" spans="1:12" outlineLevel="1" x14ac:dyDescent="0.2">
      <c r="B109" s="9" t="s">
        <v>105</v>
      </c>
      <c r="C109" s="27">
        <v>-3923</v>
      </c>
      <c r="D109" s="27">
        <v>-1342</v>
      </c>
      <c r="E109" s="27">
        <v>-22580</v>
      </c>
      <c r="F109" s="27">
        <v>-1793</v>
      </c>
      <c r="G109" s="27">
        <v>-2450</v>
      </c>
      <c r="H109" s="27">
        <v>-3366</v>
      </c>
      <c r="I109" s="27">
        <v>-3129</v>
      </c>
      <c r="J109" s="27">
        <v>-2973</v>
      </c>
      <c r="K109" s="27">
        <v>-4121</v>
      </c>
      <c r="L109" s="27">
        <v>-8791</v>
      </c>
    </row>
    <row r="110" spans="1:12" outlineLevel="1" x14ac:dyDescent="0.2">
      <c r="B110" s="9" t="s">
        <v>106</v>
      </c>
      <c r="C110" s="27">
        <v>-2990</v>
      </c>
      <c r="D110" s="27">
        <v>-3252</v>
      </c>
      <c r="E110" s="27">
        <v>-3466</v>
      </c>
      <c r="F110" s="27">
        <v>-2968</v>
      </c>
      <c r="G110" s="27">
        <v>-2882</v>
      </c>
      <c r="H110" s="27">
        <v>-3008</v>
      </c>
      <c r="I110" s="27">
        <v>-3212</v>
      </c>
      <c r="J110" s="27">
        <v>-3462</v>
      </c>
      <c r="K110" s="27">
        <v>-3687</v>
      </c>
      <c r="L110" s="27">
        <v>-3805</v>
      </c>
    </row>
    <row r="111" spans="1:12" outlineLevel="1" x14ac:dyDescent="0.2">
      <c r="B111" s="9" t="s">
        <v>107</v>
      </c>
      <c r="C111" s="27">
        <v>-224</v>
      </c>
      <c r="D111" s="27">
        <v>-268</v>
      </c>
      <c r="E111" s="27">
        <v>-280</v>
      </c>
      <c r="F111" s="27">
        <v>-268</v>
      </c>
      <c r="G111" s="27">
        <v>-347</v>
      </c>
      <c r="H111" s="27">
        <v>-737</v>
      </c>
      <c r="I111" s="27">
        <v>-766</v>
      </c>
      <c r="J111" s="27">
        <v>-521</v>
      </c>
      <c r="K111" s="27">
        <v>-932</v>
      </c>
      <c r="L111" s="27">
        <v>-1115</v>
      </c>
    </row>
    <row r="112" spans="1:12" outlineLevel="1" x14ac:dyDescent="0.2">
      <c r="B112" s="9" t="s">
        <v>108</v>
      </c>
      <c r="C112" s="27">
        <v>0</v>
      </c>
      <c r="D112" s="27">
        <v>-115</v>
      </c>
      <c r="E112" s="27">
        <v>-157</v>
      </c>
      <c r="F112" s="27">
        <v>-1163</v>
      </c>
      <c r="G112" s="27">
        <v>-55</v>
      </c>
      <c r="H112" s="27">
        <v>-16</v>
      </c>
      <c r="I112" s="27">
        <v>0</v>
      </c>
      <c r="J112" s="27">
        <v>0</v>
      </c>
      <c r="K112" s="27">
        <v>0</v>
      </c>
      <c r="L112" s="27">
        <v>0</v>
      </c>
    </row>
    <row r="113" spans="1:12" outlineLevel="1" x14ac:dyDescent="0.2">
      <c r="B113" s="9" t="s">
        <v>80</v>
      </c>
      <c r="C113" s="27">
        <v>-34</v>
      </c>
      <c r="D113" s="27">
        <v>-151</v>
      </c>
      <c r="E113" s="27">
        <v>-111</v>
      </c>
      <c r="F113" s="27">
        <v>-105</v>
      </c>
      <c r="G113" s="27">
        <v>-73</v>
      </c>
      <c r="H113" s="27">
        <v>-19</v>
      </c>
      <c r="I113" s="27">
        <v>-30</v>
      </c>
      <c r="J113" s="27">
        <v>-19</v>
      </c>
      <c r="K113" s="27">
        <v>-17</v>
      </c>
      <c r="L113" s="27">
        <v>-11</v>
      </c>
    </row>
    <row r="114" spans="1:12" outlineLevel="1" x14ac:dyDescent="0.2">
      <c r="B114" s="9" t="s">
        <v>133</v>
      </c>
      <c r="C114" s="27">
        <v>0</v>
      </c>
      <c r="D114" s="27">
        <v>0</v>
      </c>
      <c r="E114" s="27">
        <v>0</v>
      </c>
      <c r="F114" s="27">
        <v>0</v>
      </c>
      <c r="G114" s="27">
        <v>0</v>
      </c>
      <c r="H114" s="27">
        <v>0</v>
      </c>
      <c r="I114" s="27">
        <v>0</v>
      </c>
      <c r="J114" s="27">
        <v>-58</v>
      </c>
      <c r="K114" s="27">
        <v>19</v>
      </c>
      <c r="L114" s="27">
        <v>0</v>
      </c>
    </row>
    <row r="115" spans="1:12" s="58" customFormat="1" outlineLevel="1" x14ac:dyDescent="0.2">
      <c r="A115" s="7"/>
      <c r="B115" s="17" t="s">
        <v>109</v>
      </c>
      <c r="C115" s="56">
        <v>-5754</v>
      </c>
      <c r="D115" s="56">
        <v>5571</v>
      </c>
      <c r="E115" s="56">
        <v>-31487</v>
      </c>
      <c r="F115" s="56">
        <v>-6386</v>
      </c>
      <c r="G115" s="56">
        <v>-5707</v>
      </c>
      <c r="H115" s="56">
        <v>-6798</v>
      </c>
      <c r="I115" s="56">
        <v>-7196</v>
      </c>
      <c r="J115" s="56">
        <v>-6663</v>
      </c>
      <c r="K115" s="56">
        <v>-9269</v>
      </c>
      <c r="L115" s="56">
        <v>-13196</v>
      </c>
    </row>
    <row r="116" spans="1:12" outlineLevel="1" x14ac:dyDescent="0.2">
      <c r="B116" s="9" t="s">
        <v>110</v>
      </c>
      <c r="C116" s="27">
        <v>-4</v>
      </c>
      <c r="D116" s="27">
        <v>48</v>
      </c>
      <c r="E116" s="27">
        <v>-41</v>
      </c>
      <c r="F116" s="27">
        <v>-32</v>
      </c>
      <c r="G116" s="27">
        <v>24</v>
      </c>
      <c r="H116" s="27">
        <v>27</v>
      </c>
      <c r="I116" s="27">
        <v>-113</v>
      </c>
      <c r="J116" s="27">
        <v>30</v>
      </c>
      <c r="K116" s="27">
        <v>12</v>
      </c>
      <c r="L116" s="27">
        <v>-22</v>
      </c>
    </row>
    <row r="117" spans="1:12" s="57" customFormat="1" outlineLevel="1" x14ac:dyDescent="0.2">
      <c r="A117" s="7"/>
      <c r="B117" s="11" t="s">
        <v>111</v>
      </c>
      <c r="C117" s="60">
        <v>-1614</v>
      </c>
      <c r="D117" s="60">
        <v>29083</v>
      </c>
      <c r="E117" s="60">
        <v>-23252</v>
      </c>
      <c r="F117" s="60">
        <v>62</v>
      </c>
      <c r="G117" s="60">
        <v>-5132</v>
      </c>
      <c r="H117" s="60">
        <v>409</v>
      </c>
      <c r="I117" s="60">
        <v>-4017</v>
      </c>
      <c r="J117" s="60">
        <v>5428</v>
      </c>
      <c r="K117" s="60">
        <v>-678</v>
      </c>
      <c r="L117" s="60">
        <v>-6</v>
      </c>
    </row>
    <row r="118" spans="1:12" s="57" customFormat="1" outlineLevel="1" x14ac:dyDescent="0.2">
      <c r="A118" s="7"/>
      <c r="B118" s="11" t="s">
        <v>112</v>
      </c>
      <c r="C118" s="60">
        <v>7560</v>
      </c>
      <c r="D118" s="60">
        <v>5946</v>
      </c>
      <c r="E118" s="60">
        <v>35029</v>
      </c>
      <c r="F118" s="60">
        <v>11777</v>
      </c>
      <c r="G118" s="60">
        <v>11839</v>
      </c>
      <c r="H118" s="60">
        <v>6707</v>
      </c>
      <c r="I118" s="60">
        <v>7116</v>
      </c>
      <c r="J118" s="60">
        <v>3099</v>
      </c>
      <c r="K118" s="60">
        <v>8527</v>
      </c>
      <c r="L118" s="60">
        <v>7849</v>
      </c>
    </row>
    <row r="119" spans="1:12" s="62" customFormat="1" ht="17" outlineLevel="1" thickBot="1" x14ac:dyDescent="0.25">
      <c r="A119" s="7"/>
      <c r="B119" s="19" t="s">
        <v>113</v>
      </c>
      <c r="C119" s="56">
        <v>5946</v>
      </c>
      <c r="D119" s="56">
        <v>35029</v>
      </c>
      <c r="E119" s="56">
        <v>11777</v>
      </c>
      <c r="F119" s="56">
        <v>11839</v>
      </c>
      <c r="G119" s="56">
        <v>6707</v>
      </c>
      <c r="H119" s="56">
        <v>7116</v>
      </c>
      <c r="I119" s="56">
        <v>3099</v>
      </c>
      <c r="J119" s="56">
        <v>8527</v>
      </c>
      <c r="K119" s="56">
        <v>7849</v>
      </c>
      <c r="L119" s="56">
        <v>7843</v>
      </c>
    </row>
    <row r="120" spans="1:12" x14ac:dyDescent="0.2">
      <c r="B120" s="1"/>
    </row>
    <row r="121" spans="1:12" s="14" customFormat="1" ht="17" thickBot="1" x14ac:dyDescent="0.25">
      <c r="A121" s="4"/>
      <c r="B121" s="15" t="s">
        <v>118</v>
      </c>
    </row>
    <row r="122" spans="1:12" hidden="1" outlineLevel="2" x14ac:dyDescent="0.2">
      <c r="B122" s="9" t="s">
        <v>119</v>
      </c>
      <c r="C122" s="20">
        <f>C7-C8-C13+C15+C16+C18</f>
        <v>5702</v>
      </c>
      <c r="D122" s="20">
        <f t="shared" ref="D122:L122" si="10">D7-D8-D13+D15+D16+D18</f>
        <v>2465</v>
      </c>
      <c r="E122" s="20">
        <f t="shared" si="10"/>
        <v>-4864</v>
      </c>
      <c r="F122" s="20">
        <f t="shared" si="10"/>
        <v>4386</v>
      </c>
      <c r="G122" s="20">
        <f t="shared" si="10"/>
        <v>5198</v>
      </c>
      <c r="H122" s="20">
        <f t="shared" si="10"/>
        <v>9043</v>
      </c>
      <c r="I122" s="20">
        <f t="shared" si="10"/>
        <v>12986</v>
      </c>
      <c r="J122" s="20">
        <f t="shared" si="10"/>
        <v>7339</v>
      </c>
      <c r="K122" s="20">
        <f t="shared" si="10"/>
        <v>10110</v>
      </c>
      <c r="L122" s="20">
        <f t="shared" si="10"/>
        <v>5541</v>
      </c>
    </row>
    <row r="123" spans="1:12" s="18" customFormat="1" hidden="1" outlineLevel="1" collapsed="1" x14ac:dyDescent="0.2">
      <c r="A123" s="7"/>
      <c r="B123" s="17" t="s">
        <v>120</v>
      </c>
      <c r="C123" s="24">
        <f>C19-C122</f>
        <v>0</v>
      </c>
      <c r="D123" s="24">
        <f t="shared" ref="D123:L123" si="11">D19-D122</f>
        <v>0</v>
      </c>
      <c r="E123" s="24">
        <f t="shared" si="11"/>
        <v>0</v>
      </c>
      <c r="F123" s="24">
        <f t="shared" si="11"/>
        <v>0</v>
      </c>
      <c r="G123" s="24">
        <f t="shared" si="11"/>
        <v>0</v>
      </c>
      <c r="H123" s="24">
        <f t="shared" si="11"/>
        <v>0</v>
      </c>
      <c r="I123" s="24">
        <f t="shared" si="11"/>
        <v>0</v>
      </c>
      <c r="J123" s="24">
        <f t="shared" si="11"/>
        <v>0</v>
      </c>
      <c r="K123" s="24">
        <f t="shared" si="11"/>
        <v>0</v>
      </c>
      <c r="L123" s="24">
        <f t="shared" si="11"/>
        <v>0</v>
      </c>
    </row>
    <row r="124" spans="1:12" hidden="1" outlineLevel="2" x14ac:dyDescent="0.2">
      <c r="B124" s="9" t="s">
        <v>121</v>
      </c>
      <c r="C124" s="20">
        <f>SUM(C30:C36)+SUM(C38:C44)</f>
        <v>52359</v>
      </c>
      <c r="D124" s="20">
        <f t="shared" ref="D124:L124" si="12">SUM(D30:D36)+SUM(D38:D44)</f>
        <v>65486</v>
      </c>
      <c r="E124" s="20">
        <f t="shared" si="12"/>
        <v>32686</v>
      </c>
      <c r="F124" s="20">
        <f t="shared" si="12"/>
        <v>32957</v>
      </c>
      <c r="G124" s="20">
        <f t="shared" si="12"/>
        <v>35594</v>
      </c>
      <c r="H124" s="20">
        <f t="shared" si="12"/>
        <v>41240</v>
      </c>
      <c r="I124" s="20">
        <f t="shared" si="12"/>
        <v>49014</v>
      </c>
      <c r="J124" s="20">
        <f t="shared" si="12"/>
        <v>51040</v>
      </c>
      <c r="K124" s="20">
        <f t="shared" si="12"/>
        <v>55154</v>
      </c>
      <c r="L124" s="20">
        <f t="shared" si="12"/>
        <v>50143</v>
      </c>
    </row>
    <row r="125" spans="1:12" s="7" customFormat="1" hidden="1" outlineLevel="1" collapsed="1" x14ac:dyDescent="0.2">
      <c r="B125" s="11" t="s">
        <v>122</v>
      </c>
      <c r="C125" s="23">
        <f>C46-C124</f>
        <v>0</v>
      </c>
      <c r="D125" s="23">
        <f t="shared" ref="D125:L125" si="13">D46-D124</f>
        <v>0</v>
      </c>
      <c r="E125" s="23">
        <f t="shared" si="13"/>
        <v>0</v>
      </c>
      <c r="F125" s="23">
        <f t="shared" si="13"/>
        <v>0</v>
      </c>
      <c r="G125" s="23">
        <f t="shared" si="13"/>
        <v>0</v>
      </c>
      <c r="H125" s="23">
        <f t="shared" si="13"/>
        <v>0</v>
      </c>
      <c r="I125" s="23">
        <f t="shared" si="13"/>
        <v>0</v>
      </c>
      <c r="J125" s="23">
        <f t="shared" si="13"/>
        <v>0</v>
      </c>
      <c r="K125" s="23">
        <f t="shared" si="13"/>
        <v>0</v>
      </c>
      <c r="L125" s="23">
        <f t="shared" si="13"/>
        <v>0</v>
      </c>
    </row>
    <row r="126" spans="1:12" hidden="1" outlineLevel="2" x14ac:dyDescent="0.2">
      <c r="B126" s="9" t="s">
        <v>123</v>
      </c>
      <c r="C126" s="20">
        <f>SUM(C47:C52)+SUM(C54:C58)</f>
        <v>20591</v>
      </c>
      <c r="D126" s="20">
        <f t="shared" ref="D126:L126" si="14">SUM(D47:D52)+SUM(D54:D58)</f>
        <v>34740</v>
      </c>
      <c r="E126" s="20">
        <f t="shared" si="14"/>
        <v>31758</v>
      </c>
      <c r="F126" s="20">
        <f t="shared" si="14"/>
        <v>28048</v>
      </c>
      <c r="G126" s="20">
        <f t="shared" si="14"/>
        <v>29517</v>
      </c>
      <c r="H126" s="20">
        <f t="shared" si="14"/>
        <v>31290</v>
      </c>
      <c r="I126" s="20">
        <f t="shared" si="14"/>
        <v>31001</v>
      </c>
      <c r="J126" s="20">
        <f t="shared" si="14"/>
        <v>29459</v>
      </c>
      <c r="K126" s="20">
        <f t="shared" si="14"/>
        <v>28880</v>
      </c>
      <c r="L126" s="20">
        <f t="shared" si="14"/>
        <v>28937</v>
      </c>
    </row>
    <row r="127" spans="1:12" s="7" customFormat="1" hidden="1" outlineLevel="1" collapsed="1" x14ac:dyDescent="0.2">
      <c r="B127" s="11" t="s">
        <v>124</v>
      </c>
      <c r="C127" s="23">
        <f>C60-C126</f>
        <v>0</v>
      </c>
      <c r="D127" s="23">
        <f t="shared" ref="D127:L127" si="15">D60-D126</f>
        <v>0</v>
      </c>
      <c r="E127" s="23">
        <f t="shared" si="15"/>
        <v>0</v>
      </c>
      <c r="F127" s="23">
        <f t="shared" si="15"/>
        <v>0</v>
      </c>
      <c r="G127" s="23">
        <f t="shared" si="15"/>
        <v>0</v>
      </c>
      <c r="H127" s="23">
        <f t="shared" si="15"/>
        <v>0</v>
      </c>
      <c r="I127" s="23">
        <f t="shared" si="15"/>
        <v>0</v>
      </c>
      <c r="J127" s="23">
        <f t="shared" si="15"/>
        <v>0</v>
      </c>
      <c r="K127" s="23">
        <f t="shared" si="15"/>
        <v>0</v>
      </c>
      <c r="L127" s="23">
        <f t="shared" si="15"/>
        <v>0</v>
      </c>
    </row>
    <row r="128" spans="1:12" hidden="1" outlineLevel="2" x14ac:dyDescent="0.2">
      <c r="B128" s="9" t="s">
        <v>125</v>
      </c>
      <c r="C128" s="20">
        <f>SUM(C61:C64)+C66</f>
        <v>31768</v>
      </c>
      <c r="D128" s="20">
        <f t="shared" ref="D128:L128" si="16">SUM(D61:D64)+D66</f>
        <v>30746</v>
      </c>
      <c r="E128" s="20">
        <f t="shared" si="16"/>
        <v>928</v>
      </c>
      <c r="F128" s="20">
        <f t="shared" si="16"/>
        <v>4909</v>
      </c>
      <c r="G128" s="20">
        <f t="shared" si="16"/>
        <v>6077</v>
      </c>
      <c r="H128" s="20">
        <f t="shared" si="16"/>
        <v>9950</v>
      </c>
      <c r="I128" s="20">
        <f t="shared" si="16"/>
        <v>18013</v>
      </c>
      <c r="J128" s="20">
        <f t="shared" si="16"/>
        <v>21581</v>
      </c>
      <c r="K128" s="20">
        <f t="shared" si="16"/>
        <v>26274</v>
      </c>
      <c r="L128" s="20">
        <f t="shared" si="16"/>
        <v>21206</v>
      </c>
    </row>
    <row r="129" spans="1:12" s="7" customFormat="1" hidden="1" outlineLevel="1" collapsed="1" x14ac:dyDescent="0.2">
      <c r="B129" s="11" t="s">
        <v>126</v>
      </c>
      <c r="C129" s="23">
        <f>C67-C128</f>
        <v>0</v>
      </c>
      <c r="D129" s="23">
        <f t="shared" ref="D129:L129" si="17">D67-D128</f>
        <v>0</v>
      </c>
      <c r="E129" s="23">
        <f t="shared" si="17"/>
        <v>0</v>
      </c>
      <c r="F129" s="23">
        <f t="shared" si="17"/>
        <v>0</v>
      </c>
      <c r="G129" s="23">
        <f t="shared" si="17"/>
        <v>0</v>
      </c>
      <c r="H129" s="23">
        <f t="shared" si="17"/>
        <v>0</v>
      </c>
      <c r="I129" s="23">
        <f t="shared" si="17"/>
        <v>0</v>
      </c>
      <c r="J129" s="23">
        <f t="shared" si="17"/>
        <v>0</v>
      </c>
      <c r="K129" s="23">
        <f t="shared" si="17"/>
        <v>0</v>
      </c>
      <c r="L129" s="23">
        <f t="shared" si="17"/>
        <v>0</v>
      </c>
    </row>
    <row r="130" spans="1:12" s="18" customFormat="1" hidden="1" outlineLevel="1" x14ac:dyDescent="0.2">
      <c r="A130" s="7"/>
      <c r="B130" s="17" t="s">
        <v>138</v>
      </c>
      <c r="C130" s="22">
        <f>C46-(C60+C67)</f>
        <v>0</v>
      </c>
      <c r="D130" s="22">
        <f t="shared" ref="D130:L130" si="18">D46-(D60+D67)</f>
        <v>0</v>
      </c>
      <c r="E130" s="22">
        <f t="shared" si="18"/>
        <v>0</v>
      </c>
      <c r="F130" s="22">
        <f t="shared" si="18"/>
        <v>0</v>
      </c>
      <c r="G130" s="22">
        <f t="shared" si="18"/>
        <v>0</v>
      </c>
      <c r="H130" s="22">
        <f t="shared" si="18"/>
        <v>0</v>
      </c>
      <c r="I130" s="22">
        <f t="shared" si="18"/>
        <v>0</v>
      </c>
      <c r="J130" s="22">
        <f t="shared" si="18"/>
        <v>0</v>
      </c>
      <c r="K130" s="22">
        <f t="shared" si="18"/>
        <v>0</v>
      </c>
      <c r="L130" s="22">
        <f t="shared" si="18"/>
        <v>0</v>
      </c>
    </row>
    <row r="131" spans="1:12" hidden="1" outlineLevel="2" x14ac:dyDescent="0.2">
      <c r="B131" s="9" t="s">
        <v>127</v>
      </c>
      <c r="C131" s="20">
        <f t="shared" ref="C131:L131" si="19">SUM(C71:C86)</f>
        <v>7632</v>
      </c>
      <c r="D131" s="20">
        <f t="shared" si="19"/>
        <v>5001</v>
      </c>
      <c r="E131" s="20">
        <f t="shared" si="19"/>
        <v>3895</v>
      </c>
      <c r="F131" s="20">
        <f t="shared" si="19"/>
        <v>7286</v>
      </c>
      <c r="G131" s="20">
        <f t="shared" si="19"/>
        <v>5814</v>
      </c>
      <c r="H131" s="20">
        <f t="shared" si="19"/>
        <v>10536</v>
      </c>
      <c r="I131" s="20">
        <f t="shared" si="19"/>
        <v>9096</v>
      </c>
      <c r="J131" s="20">
        <f t="shared" si="19"/>
        <v>11299</v>
      </c>
      <c r="K131" s="20">
        <f t="shared" si="19"/>
        <v>12202</v>
      </c>
      <c r="L131" s="20">
        <f t="shared" si="19"/>
        <v>14012</v>
      </c>
    </row>
    <row r="132" spans="1:12" s="7" customFormat="1" hidden="1" outlineLevel="1" collapsed="1" x14ac:dyDescent="0.2">
      <c r="B132" s="11" t="s">
        <v>128</v>
      </c>
      <c r="C132" s="23">
        <f t="shared" ref="C132:L132" si="20">C87-C131</f>
        <v>0</v>
      </c>
      <c r="D132" s="23">
        <f t="shared" si="20"/>
        <v>0</v>
      </c>
      <c r="E132" s="23">
        <f t="shared" si="20"/>
        <v>0</v>
      </c>
      <c r="F132" s="23">
        <f t="shared" si="20"/>
        <v>0</v>
      </c>
      <c r="G132" s="23">
        <f t="shared" si="20"/>
        <v>0</v>
      </c>
      <c r="H132" s="23">
        <f t="shared" si="20"/>
        <v>0</v>
      </c>
      <c r="I132" s="23">
        <f t="shared" si="20"/>
        <v>0</v>
      </c>
      <c r="J132" s="23">
        <f t="shared" si="20"/>
        <v>0</v>
      </c>
      <c r="K132" s="23">
        <f t="shared" si="20"/>
        <v>0</v>
      </c>
      <c r="L132" s="23">
        <f t="shared" si="20"/>
        <v>0</v>
      </c>
    </row>
    <row r="133" spans="1:12" hidden="1" outlineLevel="2" x14ac:dyDescent="0.2">
      <c r="B133" s="9" t="s">
        <v>129</v>
      </c>
      <c r="C133" s="20">
        <f t="shared" ref="C133:L133" si="21">SUM(C88:C101)</f>
        <v>-3488</v>
      </c>
      <c r="D133" s="20">
        <f t="shared" si="21"/>
        <v>18463</v>
      </c>
      <c r="E133" s="20">
        <f t="shared" si="21"/>
        <v>4381</v>
      </c>
      <c r="F133" s="20">
        <f t="shared" si="21"/>
        <v>-806</v>
      </c>
      <c r="G133" s="20">
        <f t="shared" si="21"/>
        <v>-5263</v>
      </c>
      <c r="H133" s="20">
        <f t="shared" si="21"/>
        <v>-3356</v>
      </c>
      <c r="I133" s="20">
        <f t="shared" si="21"/>
        <v>-5804</v>
      </c>
      <c r="J133" s="20">
        <f t="shared" si="21"/>
        <v>762</v>
      </c>
      <c r="K133" s="20">
        <f t="shared" si="21"/>
        <v>-3623</v>
      </c>
      <c r="L133" s="20">
        <f t="shared" si="21"/>
        <v>-800</v>
      </c>
    </row>
    <row r="134" spans="1:12" s="7" customFormat="1" hidden="1" outlineLevel="1" collapsed="1" x14ac:dyDescent="0.2">
      <c r="B134" s="11" t="s">
        <v>130</v>
      </c>
      <c r="C134" s="23">
        <f t="shared" ref="C134:L134" si="22">C102-C133</f>
        <v>0</v>
      </c>
      <c r="D134" s="23">
        <f t="shared" si="22"/>
        <v>0</v>
      </c>
      <c r="E134" s="23">
        <f t="shared" si="22"/>
        <v>0</v>
      </c>
      <c r="F134" s="23">
        <f t="shared" si="22"/>
        <v>0</v>
      </c>
      <c r="G134" s="23">
        <f t="shared" si="22"/>
        <v>0</v>
      </c>
      <c r="H134" s="23">
        <f t="shared" si="22"/>
        <v>0</v>
      </c>
      <c r="I134" s="23">
        <f t="shared" si="22"/>
        <v>0</v>
      </c>
      <c r="J134" s="23">
        <f t="shared" si="22"/>
        <v>0</v>
      </c>
      <c r="K134" s="23">
        <f t="shared" si="22"/>
        <v>0</v>
      </c>
      <c r="L134" s="23">
        <f t="shared" si="22"/>
        <v>0</v>
      </c>
    </row>
    <row r="135" spans="1:12" hidden="1" outlineLevel="2" x14ac:dyDescent="0.2">
      <c r="B135" s="9" t="s">
        <v>131</v>
      </c>
      <c r="C135" s="20">
        <f t="shared" ref="C135:L135" si="23">SUM(C103:C114)</f>
        <v>-5754</v>
      </c>
      <c r="D135" s="20">
        <f t="shared" si="23"/>
        <v>5571</v>
      </c>
      <c r="E135" s="20">
        <f t="shared" si="23"/>
        <v>-31487</v>
      </c>
      <c r="F135" s="20">
        <f t="shared" si="23"/>
        <v>-6386</v>
      </c>
      <c r="G135" s="20">
        <f t="shared" si="23"/>
        <v>-5707</v>
      </c>
      <c r="H135" s="20">
        <f t="shared" si="23"/>
        <v>-6798</v>
      </c>
      <c r="I135" s="20">
        <f t="shared" si="23"/>
        <v>-7196</v>
      </c>
      <c r="J135" s="20">
        <f t="shared" si="23"/>
        <v>-6663</v>
      </c>
      <c r="K135" s="20">
        <f t="shared" si="23"/>
        <v>-9269</v>
      </c>
      <c r="L135" s="20">
        <f t="shared" si="23"/>
        <v>-13196</v>
      </c>
    </row>
    <row r="136" spans="1:12" s="7" customFormat="1" hidden="1" outlineLevel="1" collapsed="1" x14ac:dyDescent="0.2">
      <c r="B136" s="11" t="s">
        <v>132</v>
      </c>
      <c r="C136" s="23">
        <f t="shared" ref="C136:L136" si="24">C115-C135</f>
        <v>0</v>
      </c>
      <c r="D136" s="23">
        <f t="shared" si="24"/>
        <v>0</v>
      </c>
      <c r="E136" s="23">
        <f t="shared" si="24"/>
        <v>0</v>
      </c>
      <c r="F136" s="23">
        <f t="shared" si="24"/>
        <v>0</v>
      </c>
      <c r="G136" s="23">
        <f t="shared" si="24"/>
        <v>0</v>
      </c>
      <c r="H136" s="23">
        <f t="shared" si="24"/>
        <v>0</v>
      </c>
      <c r="I136" s="23">
        <f t="shared" si="24"/>
        <v>0</v>
      </c>
      <c r="J136" s="23">
        <f t="shared" si="24"/>
        <v>0</v>
      </c>
      <c r="K136" s="23">
        <f t="shared" si="24"/>
        <v>0</v>
      </c>
      <c r="L136" s="23">
        <f t="shared" si="24"/>
        <v>0</v>
      </c>
    </row>
    <row r="137" spans="1:12" hidden="1" outlineLevel="2" x14ac:dyDescent="0.2">
      <c r="B137" s="9" t="s">
        <v>136</v>
      </c>
      <c r="C137" s="20">
        <f t="shared" ref="C137:L137" si="25">C87+C102+C115+C116+C118</f>
        <v>5946</v>
      </c>
      <c r="D137" s="20">
        <f t="shared" si="25"/>
        <v>35029</v>
      </c>
      <c r="E137" s="20">
        <f t="shared" si="25"/>
        <v>11777</v>
      </c>
      <c r="F137" s="20">
        <f t="shared" si="25"/>
        <v>11839</v>
      </c>
      <c r="G137" s="20">
        <f t="shared" si="25"/>
        <v>6707</v>
      </c>
      <c r="H137" s="20">
        <f t="shared" si="25"/>
        <v>7116</v>
      </c>
      <c r="I137" s="20">
        <f t="shared" si="25"/>
        <v>3099</v>
      </c>
      <c r="J137" s="20">
        <f t="shared" si="25"/>
        <v>8527</v>
      </c>
      <c r="K137" s="20">
        <f t="shared" si="25"/>
        <v>7849</v>
      </c>
      <c r="L137" s="20">
        <f t="shared" si="25"/>
        <v>7843</v>
      </c>
    </row>
    <row r="138" spans="1:12" s="18" customFormat="1" hidden="1" outlineLevel="1" collapsed="1" x14ac:dyDescent="0.2">
      <c r="A138" s="7"/>
      <c r="B138" s="17" t="s">
        <v>135</v>
      </c>
      <c r="C138" s="22">
        <f t="shared" ref="C138:L138" si="26">C119-C137</f>
        <v>0</v>
      </c>
      <c r="D138" s="22">
        <f t="shared" si="26"/>
        <v>0</v>
      </c>
      <c r="E138" s="22">
        <f t="shared" si="26"/>
        <v>0</v>
      </c>
      <c r="F138" s="22">
        <f t="shared" si="26"/>
        <v>0</v>
      </c>
      <c r="G138" s="22">
        <f t="shared" si="26"/>
        <v>0</v>
      </c>
      <c r="H138" s="22">
        <f t="shared" si="26"/>
        <v>0</v>
      </c>
      <c r="I138" s="22">
        <f t="shared" si="26"/>
        <v>0</v>
      </c>
      <c r="J138" s="22">
        <f t="shared" si="26"/>
        <v>0</v>
      </c>
      <c r="K138" s="22">
        <f t="shared" si="26"/>
        <v>0</v>
      </c>
      <c r="L138" s="22">
        <f t="shared" si="26"/>
        <v>0</v>
      </c>
    </row>
    <row r="139" spans="1:12" collapsed="1" x14ac:dyDescent="0.2">
      <c r="B139" s="8"/>
      <c r="F139" s="8"/>
      <c r="G139" s="8"/>
      <c r="H139" s="8"/>
      <c r="I139" s="8"/>
      <c r="J139" s="8"/>
      <c r="K139" s="8"/>
      <c r="L139" s="8"/>
    </row>
    <row r="140" spans="1:12" s="14" customFormat="1" ht="17" thickBot="1" x14ac:dyDescent="0.25">
      <c r="A140" s="4"/>
      <c r="B140" s="15" t="s">
        <v>137</v>
      </c>
    </row>
    <row r="141" spans="1:12" outlineLevel="1" x14ac:dyDescent="0.2">
      <c r="B141" s="9" t="s">
        <v>15</v>
      </c>
      <c r="C141" s="29">
        <v>1478</v>
      </c>
      <c r="D141" s="29">
        <v>1474</v>
      </c>
      <c r="E141" s="29">
        <v>1212</v>
      </c>
      <c r="F141" s="27">
        <v>1142</v>
      </c>
      <c r="G141" s="27">
        <v>1131</v>
      </c>
      <c r="H141" s="27">
        <v>1120</v>
      </c>
      <c r="I141" s="27">
        <v>1121</v>
      </c>
      <c r="J141" s="27">
        <v>1113</v>
      </c>
      <c r="K141" s="27">
        <v>1111</v>
      </c>
      <c r="L141" s="27">
        <v>1071</v>
      </c>
    </row>
    <row r="142" spans="1:12" outlineLevel="1" x14ac:dyDescent="0.2">
      <c r="B142" s="12" t="s">
        <v>148</v>
      </c>
      <c r="C142" s="30">
        <v>2.02</v>
      </c>
      <c r="D142" s="30">
        <v>2.2000000000000002</v>
      </c>
      <c r="E142" s="30">
        <v>2.38</v>
      </c>
      <c r="F142" s="28">
        <v>2.48</v>
      </c>
      <c r="G142" s="28">
        <v>2.54</v>
      </c>
      <c r="H142" s="28">
        <v>2.66</v>
      </c>
      <c r="I142" s="28">
        <v>2.86</v>
      </c>
      <c r="J142" s="28">
        <v>3.1</v>
      </c>
      <c r="K142" s="28">
        <v>3.3</v>
      </c>
      <c r="L142" s="28">
        <v>3.48</v>
      </c>
    </row>
    <row r="143" spans="1:12" outlineLevel="1" x14ac:dyDescent="0.2">
      <c r="B143" s="9" t="s">
        <v>165</v>
      </c>
      <c r="C143" s="27">
        <v>624</v>
      </c>
      <c r="D143" s="27">
        <v>684</v>
      </c>
      <c r="E143" s="27">
        <v>776</v>
      </c>
      <c r="F143" s="27">
        <v>674</v>
      </c>
      <c r="G143" s="27">
        <v>772</v>
      </c>
      <c r="H143" s="27">
        <v>1045</v>
      </c>
      <c r="I143" s="27">
        <v>1280</v>
      </c>
      <c r="J143" s="27">
        <v>1391</v>
      </c>
      <c r="K143" s="27">
        <v>1395</v>
      </c>
      <c r="L143" s="27">
        <v>1281</v>
      </c>
    </row>
    <row r="144" spans="1:12" outlineLevel="1" x14ac:dyDescent="0.2">
      <c r="B144" s="9" t="s">
        <v>166</v>
      </c>
      <c r="C144" s="27">
        <v>804</v>
      </c>
      <c r="D144" s="27">
        <v>777</v>
      </c>
      <c r="E144" s="27">
        <v>785</v>
      </c>
      <c r="F144" s="27">
        <v>727</v>
      </c>
      <c r="G144" s="27">
        <v>621</v>
      </c>
      <c r="H144" s="27">
        <v>537</v>
      </c>
      <c r="I144" s="27">
        <v>482</v>
      </c>
      <c r="J144" s="27">
        <v>418</v>
      </c>
      <c r="K144" s="27">
        <v>311</v>
      </c>
      <c r="L144" s="27">
        <v>321</v>
      </c>
    </row>
    <row r="145" spans="1:13" outlineLevel="1" x14ac:dyDescent="0.2">
      <c r="B145" s="9" t="s">
        <v>172</v>
      </c>
      <c r="C145" s="140">
        <f>(-1*C18)/C17</f>
        <v>0.16552026928142835</v>
      </c>
      <c r="D145" s="140">
        <f t="shared" ref="D145:L145" si="27">(-1*D18)/D17</f>
        <v>0.18377483443708609</v>
      </c>
      <c r="E145" s="140">
        <f t="shared" si="27"/>
        <v>10.481481481481481</v>
      </c>
      <c r="F145" s="140">
        <f t="shared" si="27"/>
        <v>0.41371474401817937</v>
      </c>
      <c r="G145" s="140">
        <f t="shared" si="27"/>
        <v>9.1099842629830396E-2</v>
      </c>
      <c r="H145" s="140">
        <f t="shared" si="27"/>
        <v>0.11981701382129648</v>
      </c>
      <c r="I145" s="140">
        <f t="shared" si="27"/>
        <v>0.13415122016268835</v>
      </c>
      <c r="J145" s="140">
        <f t="shared" si="27"/>
        <v>1.3972860405750369E-2</v>
      </c>
      <c r="K145" s="140">
        <f t="shared" si="27"/>
        <v>2.186532507739938E-2</v>
      </c>
      <c r="L145" s="140">
        <f t="shared" si="27"/>
        <v>0.56242596541104006</v>
      </c>
    </row>
    <row r="146" spans="1:13" outlineLevel="1" x14ac:dyDescent="0.2">
      <c r="B146" s="9" t="s">
        <v>173</v>
      </c>
      <c r="C146" s="27">
        <v>30500</v>
      </c>
      <c r="D146" s="27">
        <v>33800</v>
      </c>
      <c r="E146" s="27">
        <v>35400</v>
      </c>
      <c r="F146" s="27">
        <v>37000</v>
      </c>
      <c r="G146" s="27">
        <v>41000</v>
      </c>
      <c r="H146" s="27">
        <v>45000</v>
      </c>
      <c r="I146" s="27">
        <v>51000</v>
      </c>
      <c r="J146" s="27">
        <v>50000</v>
      </c>
      <c r="K146" s="27">
        <v>49000</v>
      </c>
      <c r="L146" s="27">
        <v>52000</v>
      </c>
    </row>
    <row r="147" spans="1:13" outlineLevel="1" x14ac:dyDescent="0.2">
      <c r="B147" s="9" t="s">
        <v>221</v>
      </c>
      <c r="C147" s="98"/>
      <c r="D147" s="141">
        <f>(D142-C142)/C142</f>
        <v>8.9108910891089188E-2</v>
      </c>
      <c r="E147" s="141">
        <f t="shared" ref="E147:L147" si="28">(E142-D142)/D142</f>
        <v>8.1818181818181679E-2</v>
      </c>
      <c r="F147" s="141">
        <f t="shared" si="28"/>
        <v>4.2016806722689114E-2</v>
      </c>
      <c r="G147" s="141">
        <f t="shared" si="28"/>
        <v>2.4193548387096794E-2</v>
      </c>
      <c r="H147" s="141">
        <f t="shared" si="28"/>
        <v>4.7244094488189017E-2</v>
      </c>
      <c r="I147" s="141">
        <f t="shared" si="28"/>
        <v>7.5187969924811929E-2</v>
      </c>
      <c r="J147" s="141">
        <f t="shared" si="28"/>
        <v>8.3916083916083989E-2</v>
      </c>
      <c r="K147" s="141">
        <f t="shared" si="28"/>
        <v>6.4516129032257979E-2</v>
      </c>
      <c r="L147" s="141">
        <f t="shared" si="28"/>
        <v>5.4545454545454598E-2</v>
      </c>
      <c r="M147" s="107"/>
    </row>
    <row r="148" spans="1:13" outlineLevel="1" x14ac:dyDescent="0.2"/>
    <row r="149" spans="1:13" x14ac:dyDescent="0.2">
      <c r="B149" s="1"/>
    </row>
    <row r="150" spans="1:13" s="14" customFormat="1" ht="17" thickBot="1" x14ac:dyDescent="0.25">
      <c r="A150" s="4"/>
      <c r="B150" s="15" t="s">
        <v>167</v>
      </c>
    </row>
    <row r="151" spans="1:13" outlineLevel="1" x14ac:dyDescent="0.2">
      <c r="B151" s="9" t="s">
        <v>18</v>
      </c>
      <c r="C151" s="87"/>
      <c r="D151" s="82">
        <f t="shared" ref="D151:L151" si="29">IF(C5=0,
IF(D5=0,0,IF(D5&gt;0,1,-1)),
(D5-C5)/ABS(C5)
)</f>
        <v>7.6291459235792336E-2</v>
      </c>
      <c r="E151" s="82">
        <f t="shared" si="29"/>
        <v>4.5233375382951885E-2</v>
      </c>
      <c r="F151" s="82">
        <f t="shared" si="29"/>
        <v>-0.16028735632183908</v>
      </c>
      <c r="G151" s="82">
        <f t="shared" si="29"/>
        <v>0.1154609540756964</v>
      </c>
      <c r="H151" s="82">
        <f t="shared" si="29"/>
        <v>0.64075346668302857</v>
      </c>
      <c r="I151" s="82">
        <f t="shared" si="29"/>
        <v>0.39003776971691412</v>
      </c>
      <c r="J151" s="82">
        <f t="shared" si="29"/>
        <v>-0.1921659358101746</v>
      </c>
      <c r="K151" s="82">
        <f t="shared" si="29"/>
        <v>9.2014120154522441E-2</v>
      </c>
      <c r="L151" s="82">
        <f t="shared" si="29"/>
        <v>0.15485956512457685</v>
      </c>
    </row>
    <row r="152" spans="1:13" outlineLevel="1" x14ac:dyDescent="0.2">
      <c r="B152" s="9" t="s">
        <v>19</v>
      </c>
      <c r="C152" s="88"/>
      <c r="D152" s="82">
        <f>IF(C6=0,
IF(D6=0,0,IF(D6&gt;0,1,-1)),
(D6-C6)/ABS(C6)
)</f>
        <v>-0.30208977371089402</v>
      </c>
      <c r="E152" s="82">
        <f>IF(D6=0,
IF(E6=0,0,IF(E6&gt;0,1,-1)),
(E6-D6)/ABS(D6)
)</f>
        <v>-5.5279943302622252E-2</v>
      </c>
      <c r="F152" s="82">
        <f>IF(E6=0,
IF(F6=0,0,IF(F6&gt;0,1,-1)),
(F6-E6)/ABS(E6)
)</f>
        <v>0.81207801950487624</v>
      </c>
      <c r="G152" s="82">
        <f>IF(F6=0,
IF(G6=0,0,IF(G6&gt;0,1,-1)),
(G6-F6)/ABS(F6)
)</f>
        <v>-0.25139722624715377</v>
      </c>
      <c r="H152" s="82">
        <f t="shared" ref="H152:L152" si="30">IF(G6=0,
IF(H6=0,0,IF(H6&gt;0,1,-1)),
(H6-G6)/ABS(G6)
)</f>
        <v>-5.640812940688511E-2</v>
      </c>
      <c r="I152" s="82">
        <f t="shared" si="30"/>
        <v>2.989010989010989E-2</v>
      </c>
      <c r="J152" s="82">
        <f t="shared" si="30"/>
        <v>-0.17598520415421823</v>
      </c>
      <c r="K152" s="82">
        <f t="shared" si="30"/>
        <v>6.543508287292818E-2</v>
      </c>
      <c r="L152" s="82">
        <f t="shared" si="30"/>
        <v>3.9539782855290875E-2</v>
      </c>
    </row>
    <row r="153" spans="1:13" s="18" customFormat="1" outlineLevel="1" x14ac:dyDescent="0.2">
      <c r="A153" s="7"/>
      <c r="B153" s="17" t="s">
        <v>20</v>
      </c>
      <c r="C153" s="89"/>
      <c r="D153" s="83">
        <f>IF(C7=0,
IF(D7=0,0,IF(D7&gt;0,1,-1)),
(D7-C7)/ABS(C7)
)</f>
        <v>-5.3621465568480936E-2</v>
      </c>
      <c r="E153" s="83">
        <f t="shared" ref="E153:L153" si="31">IF(D7=0,
IF(E7=0,0,IF(E7&gt;0,1,-1)),
(E7-D7)/ABS(D7)
)</f>
        <v>1.9783769234220087E-2</v>
      </c>
      <c r="F153" s="83">
        <f t="shared" si="31"/>
        <v>6.7789899700862216E-2</v>
      </c>
      <c r="G153" s="83">
        <f t="shared" si="31"/>
        <v>-3.0568944918221892E-2</v>
      </c>
      <c r="H153" s="83">
        <f t="shared" si="31"/>
        <v>0.42645871403680252</v>
      </c>
      <c r="I153" s="83">
        <f t="shared" si="31"/>
        <v>0.31680867544539115</v>
      </c>
      <c r="J153" s="83">
        <f t="shared" si="31"/>
        <v>-0.18959276018099547</v>
      </c>
      <c r="K153" s="83">
        <f t="shared" si="31"/>
        <v>8.7716359575656058E-2</v>
      </c>
      <c r="L153" s="83">
        <f t="shared" si="31"/>
        <v>0.1365946306657769</v>
      </c>
    </row>
    <row r="154" spans="1:13" outlineLevel="1" x14ac:dyDescent="0.2">
      <c r="B154" s="9" t="s">
        <v>21</v>
      </c>
      <c r="C154" s="87"/>
      <c r="D154" s="82">
        <f>IF(C8=0,
IF(D8=0,0,IF(D8&gt;0,1,-1)),
(D8-C8)/ABS(C8)
)</f>
        <v>4.4107087906451944E-3</v>
      </c>
      <c r="E154" s="82">
        <f t="shared" ref="E154:L154" si="32">IF(D8=0,
IF(E8=0,0,IF(E8&gt;0,1,-1)),
(E8-D8)/ABS(D8)
)</f>
        <v>4.6160130718954251E-2</v>
      </c>
      <c r="F154" s="82">
        <f t="shared" si="32"/>
        <v>-0.16058180398281921</v>
      </c>
      <c r="G154" s="82">
        <f t="shared" si="32"/>
        <v>7.6287940458192816E-2</v>
      </c>
      <c r="H154" s="82">
        <f t="shared" si="32"/>
        <v>0.5410048622366288</v>
      </c>
      <c r="I154" s="82">
        <f t="shared" si="32"/>
        <v>0.30661898751928202</v>
      </c>
      <c r="J154" s="82">
        <f t="shared" si="32"/>
        <v>-0.14843037295411859</v>
      </c>
      <c r="K154" s="82">
        <f t="shared" si="32"/>
        <v>7.5051988153002708E-2</v>
      </c>
      <c r="L154" s="82">
        <f t="shared" si="32"/>
        <v>0.15697538100820632</v>
      </c>
    </row>
    <row r="155" spans="1:13" s="18" customFormat="1" outlineLevel="1" x14ac:dyDescent="0.2">
      <c r="A155" s="7"/>
      <c r="B155" s="17" t="s">
        <v>22</v>
      </c>
      <c r="C155" s="89"/>
      <c r="D155" s="83">
        <f>IF(C9=0,
IF(D9=0,0,IF(D9&gt;0,1,-1)),
(D9-C9)/ABS(C9)
)</f>
        <v>-9.460340456356392E-2</v>
      </c>
      <c r="E155" s="83">
        <f t="shared" ref="E155:L155" si="33">IF(D9=0,
IF(E9=0,0,IF(E9&gt;0,1,-1)),
(E9-D9)/ABS(D9)
)</f>
        <v>-8.8007040563245064E-4</v>
      </c>
      <c r="F155" s="83">
        <f t="shared" si="33"/>
        <v>0.25512491992312619</v>
      </c>
      <c r="G155" s="83">
        <f t="shared" si="33"/>
        <v>-8.9192292969248438E-2</v>
      </c>
      <c r="H155" s="83">
        <f t="shared" si="33"/>
        <v>0.35219949565704678</v>
      </c>
      <c r="I155" s="83">
        <f t="shared" si="33"/>
        <v>0.32433692498963945</v>
      </c>
      <c r="J155" s="83">
        <f t="shared" si="33"/>
        <v>-0.21959710541756308</v>
      </c>
      <c r="K155" s="83">
        <f t="shared" si="33"/>
        <v>9.7789584481980857E-2</v>
      </c>
      <c r="L155" s="83">
        <f t="shared" si="33"/>
        <v>0.12071956898913341</v>
      </c>
    </row>
    <row r="156" spans="1:13" outlineLevel="1" x14ac:dyDescent="0.2">
      <c r="B156" s="9" t="s">
        <v>23</v>
      </c>
      <c r="C156" s="87"/>
      <c r="D156" s="82">
        <f t="shared" ref="D156:L157" si="34">IF(C10=0,
IF(D10=0,0,IF(D10&gt;0,1,-1)),
(D10-C10)/ABS(C10)
)</f>
        <v>6.4841778295476604E-2</v>
      </c>
      <c r="E156" s="82">
        <f t="shared" si="34"/>
        <v>2.5524156791248861E-2</v>
      </c>
      <c r="F156" s="82">
        <f t="shared" si="34"/>
        <v>-4.0355555555555554E-2</v>
      </c>
      <c r="G156" s="82">
        <f t="shared" si="34"/>
        <v>0.10689144127454613</v>
      </c>
      <c r="H156" s="82">
        <f t="shared" si="34"/>
        <v>0.2010041841004184</v>
      </c>
      <c r="I156" s="82">
        <f t="shared" si="34"/>
        <v>0.14186176142697882</v>
      </c>
      <c r="J156" s="82">
        <f t="shared" si="34"/>
        <v>7.6153282889919446E-2</v>
      </c>
      <c r="K156" s="82">
        <f t="shared" si="34"/>
        <v>8.5053300068042639E-3</v>
      </c>
      <c r="L156" s="82">
        <f t="shared" si="34"/>
        <v>1.675475092769594E-2</v>
      </c>
    </row>
    <row r="157" spans="1:13" outlineLevel="1" x14ac:dyDescent="0.2">
      <c r="B157" s="12" t="s">
        <v>24</v>
      </c>
      <c r="C157" s="87"/>
      <c r="D157" s="82">
        <f t="shared" si="34"/>
        <v>0.11446540880503145</v>
      </c>
      <c r="E157" s="82">
        <f t="shared" si="34"/>
        <v>0.12340105342362678</v>
      </c>
      <c r="F157" s="82">
        <f t="shared" si="34"/>
        <v>-0.26490288010716678</v>
      </c>
      <c r="G157" s="82">
        <f t="shared" si="34"/>
        <v>-5.5125284738041E-2</v>
      </c>
      <c r="H157" s="82">
        <f t="shared" si="34"/>
        <v>0.12777242044358728</v>
      </c>
      <c r="I157" s="82">
        <f t="shared" si="34"/>
        <v>9.8760153911928175E-2</v>
      </c>
      <c r="J157" s="82">
        <f t="shared" si="34"/>
        <v>-3.3852140077821009E-2</v>
      </c>
      <c r="K157" s="82">
        <f t="shared" si="34"/>
        <v>0.11115585984695932</v>
      </c>
      <c r="L157" s="82">
        <f t="shared" si="34"/>
        <v>0.12722000724900326</v>
      </c>
    </row>
    <row r="158" spans="1:13" outlineLevel="1" x14ac:dyDescent="0.2">
      <c r="B158" s="12" t="s">
        <v>26</v>
      </c>
      <c r="C158" s="87"/>
      <c r="D158" s="82">
        <f>IF(C13=0,
IF(D13=0,0,IF(D13&gt;0,1,-1)),
(D13-C13)/ABS(C13)
)</f>
        <v>0.35225718194254446</v>
      </c>
      <c r="E158" s="82">
        <f t="shared" ref="E158:L158" si="35">IF(D13=0,
IF(E13=0,0,IF(E13&gt;0,1,-1)),
(E13-D13)/ABS(D13)
)</f>
        <v>0.18826504805260497</v>
      </c>
      <c r="F158" s="82">
        <f t="shared" si="35"/>
        <v>-0.31832113059765027</v>
      </c>
      <c r="G158" s="82">
        <f t="shared" si="35"/>
        <v>1.7484700886724117E-3</v>
      </c>
      <c r="H158" s="82">
        <f t="shared" si="35"/>
        <v>0.18626106470514897</v>
      </c>
      <c r="I158" s="82">
        <f t="shared" si="35"/>
        <v>1.9968470835522858E-2</v>
      </c>
      <c r="J158" s="82">
        <f t="shared" si="35"/>
        <v>0.2532715095311695</v>
      </c>
      <c r="K158" s="82">
        <f t="shared" si="35"/>
        <v>-2.72958973937351E-2</v>
      </c>
      <c r="L158" s="82">
        <f t="shared" si="35"/>
        <v>3.0428535204124758E-2</v>
      </c>
    </row>
    <row r="159" spans="1:13" s="18" customFormat="1" outlineLevel="1" x14ac:dyDescent="0.2">
      <c r="A159" s="7"/>
      <c r="B159" s="17" t="s">
        <v>27</v>
      </c>
      <c r="C159" s="89"/>
      <c r="D159" s="83">
        <f>IF(C14=0,
IF(D14=0,0,IF(D14&gt;0,1,-1)),
(D14-C14)/ABS(C14)
)</f>
        <v>-0.59753656658968435</v>
      </c>
      <c r="E159" s="83">
        <f t="shared" ref="E159:L159" si="36">IF(D14=0,
IF(E14=0,0,IF(E14&gt;0,1,-1)),
(E14-D14)/ABS(D14)
)</f>
        <v>-0.71614384085692429</v>
      </c>
      <c r="F159" s="83">
        <f t="shared" si="36"/>
        <v>9.3328840970350413</v>
      </c>
      <c r="G159" s="83">
        <f t="shared" si="36"/>
        <v>-0.1841659058301813</v>
      </c>
      <c r="H159" s="83">
        <f t="shared" si="36"/>
        <v>0.56498800959232609</v>
      </c>
      <c r="I159" s="83">
        <f t="shared" si="36"/>
        <v>0.6201859229747676</v>
      </c>
      <c r="J159" s="83">
        <f t="shared" si="36"/>
        <v>-0.50895334174022699</v>
      </c>
      <c r="K159" s="83">
        <f t="shared" si="36"/>
        <v>0.29314329738058553</v>
      </c>
      <c r="L159" s="83">
        <f t="shared" si="36"/>
        <v>0.22678979247343858</v>
      </c>
    </row>
    <row r="160" spans="1:13" s="84" customFormat="1" outlineLevel="1" x14ac:dyDescent="0.2">
      <c r="A160" s="7"/>
      <c r="B160" s="85" t="s">
        <v>28</v>
      </c>
      <c r="C160" s="89"/>
      <c r="D160" s="86">
        <f>IF(C17=0,
IF(D17=0,0,IF(D17&gt;0,1,-1)),
(D17-C17)/ABS(C17)
)</f>
        <v>-0.55802722084004097</v>
      </c>
      <c r="E160" s="86">
        <f t="shared" ref="E160:L160" si="37">IF(D17=0,
IF(E17=0,0,IF(E17&gt;0,1,-1)),
(E17-D17)/ABS(D17)
)</f>
        <v>-0.83013245033112582</v>
      </c>
      <c r="F160" s="86">
        <f t="shared" si="37"/>
        <v>13.582846003898636</v>
      </c>
      <c r="G160" s="86">
        <f t="shared" si="37"/>
        <v>-0.23553000935703783</v>
      </c>
      <c r="H160" s="86">
        <f t="shared" si="37"/>
        <v>0.79646791397097394</v>
      </c>
      <c r="I160" s="86">
        <f t="shared" si="37"/>
        <v>0.4598014405294919</v>
      </c>
      <c r="J160" s="86">
        <f t="shared" si="37"/>
        <v>-0.50373383117749038</v>
      </c>
      <c r="K160" s="86">
        <f t="shared" si="37"/>
        <v>0.38868735724842135</v>
      </c>
      <c r="L160" s="86">
        <f t="shared" si="37"/>
        <v>0.22513544891640866</v>
      </c>
    </row>
    <row r="161" spans="1:18" s="84" customFormat="1" outlineLevel="1" x14ac:dyDescent="0.2">
      <c r="A161" s="7"/>
      <c r="B161" s="85" t="s">
        <v>30</v>
      </c>
      <c r="C161" s="89"/>
      <c r="D161" s="86">
        <f>IF(C19=0,
IF(D19=0,0,IF(D19&gt;0,1,-1)),
(D19-C19)/ABS(C19)
)</f>
        <v>-0.56769554542265876</v>
      </c>
      <c r="E161" s="86">
        <f t="shared" ref="E161:L161" si="38">IF(D19=0,
IF(E19=0,0,IF(E19&gt;0,1,-1)),
(E19-D19)/ABS(D19)
)</f>
        <v>-2.9732251521298174</v>
      </c>
      <c r="F161" s="86">
        <f t="shared" si="38"/>
        <v>1.9017269736842106</v>
      </c>
      <c r="G161" s="86">
        <f t="shared" si="38"/>
        <v>0.18513451892384861</v>
      </c>
      <c r="H161" s="86">
        <f t="shared" si="38"/>
        <v>0.73970757983839941</v>
      </c>
      <c r="I161" s="86">
        <f t="shared" si="38"/>
        <v>0.43602786685834349</v>
      </c>
      <c r="J161" s="86">
        <f t="shared" si="38"/>
        <v>-0.43485291852764518</v>
      </c>
      <c r="K161" s="86">
        <f t="shared" si="38"/>
        <v>0.377571876277422</v>
      </c>
      <c r="L161" s="86">
        <f t="shared" si="38"/>
        <v>-0.4519287833827893</v>
      </c>
    </row>
    <row r="162" spans="1:18" x14ac:dyDescent="0.2">
      <c r="B162" s="1"/>
    </row>
    <row r="163" spans="1:18" s="14" customFormat="1" ht="17" thickBot="1" x14ac:dyDescent="0.25">
      <c r="A163" s="4"/>
      <c r="B163" s="15" t="s">
        <v>168</v>
      </c>
    </row>
    <row r="164" spans="1:18" outlineLevel="1" x14ac:dyDescent="0.2">
      <c r="B164" s="9" t="s">
        <v>169</v>
      </c>
      <c r="C164" s="82">
        <f>C9/C7</f>
        <v>0.58610002547338036</v>
      </c>
      <c r="D164" s="82">
        <f t="shared" ref="D164:L164" si="39">D9/D7</f>
        <v>0.56071957292180696</v>
      </c>
      <c r="E164" s="82">
        <f t="shared" si="39"/>
        <v>0.54935773359141293</v>
      </c>
      <c r="F164" s="82">
        <f t="shared" si="39"/>
        <v>0.64573806286820745</v>
      </c>
      <c r="G164" s="82">
        <f t="shared" si="39"/>
        <v>0.606689048489227</v>
      </c>
      <c r="H164" s="82">
        <f t="shared" si="39"/>
        <v>0.57510576178275641</v>
      </c>
      <c r="I164" s="82">
        <f t="shared" si="39"/>
        <v>0.5783936651583711</v>
      </c>
      <c r="J164" s="82">
        <f t="shared" si="39"/>
        <v>0.55697934115019543</v>
      </c>
      <c r="K164" s="82">
        <f t="shared" si="39"/>
        <v>0.56213746727580716</v>
      </c>
      <c r="L164" s="82">
        <f t="shared" si="39"/>
        <v>0.55428597236022037</v>
      </c>
    </row>
    <row r="165" spans="1:18" outlineLevel="1" x14ac:dyDescent="0.2">
      <c r="B165" s="9" t="s">
        <v>170</v>
      </c>
      <c r="C165" s="82">
        <f>C14/C7</f>
        <v>0.27574934193767514</v>
      </c>
      <c r="D165" s="82">
        <f t="shared" ref="D165:L165" si="40">D14/D7</f>
        <v>0.11726705845408461</v>
      </c>
      <c r="E165" s="82">
        <f t="shared" si="40"/>
        <v>3.2641210628189338E-2</v>
      </c>
      <c r="F165" s="82">
        <f t="shared" si="40"/>
        <v>0.31586536480863509</v>
      </c>
      <c r="G165" s="82">
        <f t="shared" si="40"/>
        <v>0.26581955717989036</v>
      </c>
      <c r="H165" s="82">
        <f t="shared" si="40"/>
        <v>0.2916343919442293</v>
      </c>
      <c r="I165" s="82">
        <f t="shared" si="40"/>
        <v>0.35882352941176471</v>
      </c>
      <c r="J165" s="82">
        <f t="shared" si="40"/>
        <v>0.21742043551088777</v>
      </c>
      <c r="K165" s="82">
        <f t="shared" si="40"/>
        <v>0.25848262409527234</v>
      </c>
      <c r="L165" s="82">
        <f t="shared" si="40"/>
        <v>0.27899467076144885</v>
      </c>
    </row>
    <row r="166" spans="1:18" s="92" customFormat="1" outlineLevel="1" x14ac:dyDescent="0.2">
      <c r="A166" s="1"/>
      <c r="B166" s="90" t="s">
        <v>171</v>
      </c>
      <c r="C166" s="91">
        <f>C19/C7</f>
        <v>0.24208202428462258</v>
      </c>
      <c r="D166" s="91">
        <f t="shared" ref="D166:L166" si="41">D19/D7</f>
        <v>0.11058274639989234</v>
      </c>
      <c r="E166" s="91">
        <f t="shared" si="41"/>
        <v>-0.21397149392926271</v>
      </c>
      <c r="F166" s="91">
        <f t="shared" si="41"/>
        <v>0.18069459893709058</v>
      </c>
      <c r="G166" s="91">
        <f t="shared" si="41"/>
        <v>0.22090008924397603</v>
      </c>
      <c r="H166" s="91">
        <f t="shared" si="41"/>
        <v>0.2694095215396532</v>
      </c>
      <c r="I166" s="91">
        <f t="shared" si="41"/>
        <v>0.29380090497737554</v>
      </c>
      <c r="J166" s="91">
        <f t="shared" si="41"/>
        <v>0.2048855388051368</v>
      </c>
      <c r="K166" s="91">
        <f t="shared" si="41"/>
        <v>0.25948359940454802</v>
      </c>
      <c r="L166" s="91">
        <f t="shared" si="41"/>
        <v>0.12512419835606539</v>
      </c>
    </row>
    <row r="167" spans="1:18" x14ac:dyDescent="0.2">
      <c r="B167" s="1"/>
    </row>
    <row r="168" spans="1:18" ht="17" thickBot="1" x14ac:dyDescent="0.25">
      <c r="B168" s="15" t="s">
        <v>179</v>
      </c>
      <c r="C168" s="14"/>
      <c r="D168" s="14"/>
      <c r="E168" s="14"/>
      <c r="F168" s="14"/>
      <c r="G168" s="14"/>
      <c r="H168" s="14"/>
      <c r="I168" s="14"/>
      <c r="J168" s="14"/>
      <c r="K168" s="14"/>
      <c r="L168" s="14"/>
      <c r="M168" s="14"/>
      <c r="N168" s="14"/>
      <c r="O168" s="14"/>
      <c r="P168" s="14"/>
      <c r="Q168" s="14"/>
      <c r="R168" s="14"/>
    </row>
    <row r="169" spans="1:18" hidden="1" outlineLevel="1" x14ac:dyDescent="0.2"/>
    <row r="170" spans="1:18" hidden="1" outlineLevel="1" x14ac:dyDescent="0.2"/>
    <row r="171" spans="1:18" collapsed="1" x14ac:dyDescent="0.2">
      <c r="B171" s="1"/>
    </row>
    <row r="172" spans="1:18" ht="17" thickBot="1" x14ac:dyDescent="0.25">
      <c r="B172" s="15" t="s">
        <v>180</v>
      </c>
      <c r="C172" s="14"/>
      <c r="D172" s="14"/>
      <c r="E172" s="14"/>
      <c r="F172" s="14"/>
      <c r="G172" s="14"/>
      <c r="H172" s="14"/>
      <c r="I172" s="14"/>
      <c r="J172" s="14"/>
      <c r="K172" s="14"/>
      <c r="L172" s="14"/>
      <c r="M172" s="14"/>
      <c r="N172" s="14"/>
      <c r="O172" s="14"/>
      <c r="P172" s="14"/>
      <c r="Q172" s="14"/>
      <c r="R172" s="14"/>
    </row>
    <row r="173" spans="1:18" outlineLevel="1" x14ac:dyDescent="0.2">
      <c r="B173" s="94" t="s">
        <v>182</v>
      </c>
      <c r="H173" s="27">
        <v>20475</v>
      </c>
      <c r="I173" s="27">
        <v>28815</v>
      </c>
      <c r="J173" s="27">
        <v>22570</v>
      </c>
      <c r="K173" s="27">
        <v>24863</v>
      </c>
      <c r="L173" s="27">
        <v>27793</v>
      </c>
    </row>
    <row r="174" spans="1:18" outlineLevel="1" x14ac:dyDescent="0.2">
      <c r="B174" s="94" t="s">
        <v>183</v>
      </c>
      <c r="H174" s="27">
        <v>1110</v>
      </c>
      <c r="I174" s="27">
        <v>1509</v>
      </c>
      <c r="J174" s="27">
        <v>1872</v>
      </c>
      <c r="K174" s="27">
        <v>2910</v>
      </c>
      <c r="L174" s="27">
        <v>3957</v>
      </c>
    </row>
    <row r="175" spans="1:18" outlineLevel="1" x14ac:dyDescent="0.2">
      <c r="B175" s="94" t="s">
        <v>184</v>
      </c>
      <c r="H175" s="27">
        <v>5434</v>
      </c>
      <c r="I175" s="27">
        <v>7353</v>
      </c>
      <c r="J175" s="27">
        <v>5940</v>
      </c>
      <c r="K175" s="27">
        <v>5423</v>
      </c>
      <c r="L175" s="27">
        <v>6617</v>
      </c>
    </row>
    <row r="176" spans="1:18" outlineLevel="1" x14ac:dyDescent="0.2">
      <c r="B176" s="9" t="s">
        <v>181</v>
      </c>
      <c r="H176" s="27">
        <v>27019</v>
      </c>
      <c r="I176" s="27">
        <v>37677</v>
      </c>
      <c r="J176" s="27">
        <v>30382</v>
      </c>
      <c r="K176" s="27">
        <v>33196</v>
      </c>
      <c r="L176" s="27">
        <v>38367</v>
      </c>
    </row>
    <row r="177" spans="1:18" outlineLevel="1" x14ac:dyDescent="0.2">
      <c r="B177" s="9" t="s">
        <v>185</v>
      </c>
      <c r="H177" s="27">
        <v>6320</v>
      </c>
      <c r="I177" s="27">
        <v>6358</v>
      </c>
      <c r="J177" s="27">
        <v>5306</v>
      </c>
      <c r="K177" s="27">
        <v>5572</v>
      </c>
      <c r="L177" s="27">
        <v>5582</v>
      </c>
    </row>
    <row r="178" spans="1:18" x14ac:dyDescent="0.2">
      <c r="B178" s="1"/>
      <c r="I178" s="20"/>
    </row>
    <row r="179" spans="1:18" ht="17" thickBot="1" x14ac:dyDescent="0.25">
      <c r="B179" s="15" t="s">
        <v>222</v>
      </c>
      <c r="C179" s="14"/>
      <c r="D179" s="14"/>
      <c r="E179" s="14"/>
      <c r="F179" s="14"/>
      <c r="G179" s="14"/>
      <c r="H179" s="14"/>
      <c r="I179" s="14"/>
      <c r="J179" s="14"/>
      <c r="K179" s="14"/>
      <c r="L179" s="14"/>
      <c r="M179" s="14"/>
      <c r="N179" s="14"/>
      <c r="O179" s="14"/>
      <c r="P179" s="14"/>
      <c r="Q179" s="14"/>
      <c r="R179" s="14"/>
    </row>
    <row r="180" spans="1:18" x14ac:dyDescent="0.2">
      <c r="B180" s="9" t="s">
        <v>270</v>
      </c>
      <c r="C180" s="36">
        <f>C87+C88-C74</f>
        <v>6150</v>
      </c>
      <c r="D180" s="36">
        <f t="shared" ref="D180:L180" si="42">D87+D88-D74</f>
        <v>3397</v>
      </c>
      <c r="E180" s="36">
        <f t="shared" si="42"/>
        <v>2228</v>
      </c>
      <c r="F180" s="36">
        <f t="shared" si="42"/>
        <v>5362</v>
      </c>
      <c r="G180" s="36">
        <f t="shared" si="42"/>
        <v>3195</v>
      </c>
      <c r="H180" s="36">
        <f t="shared" si="42"/>
        <v>6985</v>
      </c>
      <c r="I180" s="36">
        <f t="shared" si="42"/>
        <v>4803</v>
      </c>
      <c r="J180" s="36">
        <f t="shared" si="42"/>
        <v>7365</v>
      </c>
      <c r="K180" s="36">
        <f t="shared" si="42"/>
        <v>8513</v>
      </c>
      <c r="L180" s="36">
        <f t="shared" si="42"/>
        <v>10037</v>
      </c>
    </row>
    <row r="182" spans="1:18" x14ac:dyDescent="0.2">
      <c r="B182" s="1"/>
    </row>
    <row r="183" spans="1:18" s="14" customFormat="1" ht="17" thickBot="1" x14ac:dyDescent="0.25">
      <c r="A183" s="4"/>
      <c r="B183" s="15" t="s">
        <v>271</v>
      </c>
    </row>
    <row r="184" spans="1:18" x14ac:dyDescent="0.2">
      <c r="B184" s="9" t="s">
        <v>272</v>
      </c>
      <c r="C184" s="31">
        <v>62.75</v>
      </c>
      <c r="D184" s="31">
        <v>52.09</v>
      </c>
      <c r="E184" s="31">
        <v>72.03</v>
      </c>
      <c r="F184" s="31">
        <v>76.63</v>
      </c>
      <c r="G184" s="31">
        <v>114.5</v>
      </c>
      <c r="H184" s="31">
        <v>133.88</v>
      </c>
      <c r="I184" s="31">
        <v>121.19</v>
      </c>
      <c r="J184" s="31">
        <v>107.68</v>
      </c>
      <c r="K184" s="31">
        <v>170.13</v>
      </c>
      <c r="L184" s="31">
        <v>169.2</v>
      </c>
      <c r="M184" s="31"/>
      <c r="N184" s="31"/>
      <c r="O184" s="31"/>
    </row>
  </sheetData>
  <pageMargins left="0.7" right="0.7" top="0.75" bottom="0.75" header="0.3" footer="0.3"/>
  <ignoredErrors>
    <ignoredError sqref="C45:F45 C59:D59 E59:F59 G45:L45 G59:L59 C133 D133:L133 C135:L135" formulaRange="1"/>
    <ignoredError sqref="D158"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68"/>
  <sheetViews>
    <sheetView zoomScale="162" workbookViewId="0">
      <pane xSplit="2" ySplit="3" topLeftCell="H18" activePane="bottomRight" state="frozen"/>
      <selection pane="topRight" activeCell="C1" sqref="C1"/>
      <selection pane="bottomLeft" activeCell="A4" sqref="A4"/>
      <selection pane="bottomRight" activeCell="N27" sqref="N27"/>
    </sheetView>
  </sheetViews>
  <sheetFormatPr baseColWidth="10" defaultRowHeight="16" outlineLevelRow="2" outlineLevelCol="1" x14ac:dyDescent="0.2"/>
  <cols>
    <col min="1" max="1" width="3.6640625" style="1" customWidth="1"/>
    <col min="2" max="2" width="31"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5" t="s">
        <v>0</v>
      </c>
      <c r="C2" s="3" t="s">
        <v>141</v>
      </c>
      <c r="D2" s="3" t="s">
        <v>3</v>
      </c>
      <c r="E2" s="3" t="s">
        <v>143</v>
      </c>
      <c r="F2" s="3" t="s">
        <v>144</v>
      </c>
      <c r="G2" s="3" t="s">
        <v>146</v>
      </c>
      <c r="H2" s="40" t="s">
        <v>1</v>
      </c>
      <c r="I2" s="40" t="s">
        <v>174</v>
      </c>
      <c r="J2" s="40" t="s">
        <v>263</v>
      </c>
      <c r="K2" s="2"/>
      <c r="L2" s="2"/>
      <c r="M2" s="2"/>
      <c r="N2" s="47"/>
      <c r="O2" s="2"/>
      <c r="P2" s="49"/>
      <c r="Q2" s="50"/>
      <c r="R2" s="51"/>
      <c r="S2" s="2"/>
    </row>
    <row r="3" spans="1:19" s="5" customFormat="1" x14ac:dyDescent="0.2">
      <c r="A3" s="4"/>
      <c r="B3" s="66" t="s">
        <v>139</v>
      </c>
      <c r="C3" s="3" t="s">
        <v>142</v>
      </c>
      <c r="D3" s="3" t="s">
        <v>151</v>
      </c>
      <c r="E3" s="3" t="s">
        <v>140</v>
      </c>
      <c r="F3" s="3" t="s">
        <v>145</v>
      </c>
      <c r="G3" s="3" t="s">
        <v>147</v>
      </c>
      <c r="H3" s="40" t="s">
        <v>152</v>
      </c>
      <c r="I3" s="40" t="s">
        <v>175</v>
      </c>
      <c r="J3" s="40" t="s">
        <v>262</v>
      </c>
      <c r="K3" s="4"/>
      <c r="L3" s="4"/>
      <c r="M3" s="4"/>
      <c r="N3" s="48"/>
      <c r="O3" s="4"/>
      <c r="P3" s="52" t="str">
        <f>I3</f>
        <v>Q1 2026</v>
      </c>
      <c r="Q3" s="5" t="str">
        <f>J3</f>
        <v>Q2 2026</v>
      </c>
      <c r="R3" s="53" t="s">
        <v>156</v>
      </c>
      <c r="S3" s="4"/>
    </row>
    <row r="4" spans="1:19" s="14" customFormat="1" ht="17" thickBot="1" x14ac:dyDescent="0.25">
      <c r="A4" s="4"/>
      <c r="B4" s="15" t="s">
        <v>17</v>
      </c>
      <c r="I4" s="41"/>
      <c r="J4" s="41"/>
      <c r="K4" s="4"/>
      <c r="L4" s="4"/>
      <c r="M4" s="4"/>
      <c r="N4" s="42" t="s">
        <v>154</v>
      </c>
      <c r="O4" s="4"/>
      <c r="P4" s="243" t="s">
        <v>155</v>
      </c>
      <c r="Q4" s="244"/>
      <c r="R4" s="245"/>
      <c r="S4" s="4"/>
    </row>
    <row r="5" spans="1:19" outlineLevel="1" x14ac:dyDescent="0.2">
      <c r="B5" s="9" t="s">
        <v>18</v>
      </c>
      <c r="C5" s="27">
        <v>7993</v>
      </c>
      <c r="D5" s="27">
        <v>8532</v>
      </c>
      <c r="E5" s="27">
        <v>9942</v>
      </c>
      <c r="F5" s="27">
        <v>9359</v>
      </c>
      <c r="G5" s="27">
        <v>8893</v>
      </c>
      <c r="H5" s="27">
        <v>9674</v>
      </c>
      <c r="I5" s="27">
        <v>10466</v>
      </c>
      <c r="J5" s="27">
        <v>9060</v>
      </c>
      <c r="K5" s="20"/>
      <c r="L5" s="20"/>
      <c r="M5" s="20"/>
      <c r="N5" s="43">
        <f>SUM(G5:J5)</f>
        <v>38093</v>
      </c>
      <c r="P5" s="54">
        <f>I5</f>
        <v>10466</v>
      </c>
      <c r="Q5" s="20">
        <f>J5</f>
        <v>9060</v>
      </c>
      <c r="R5" s="55">
        <f>IF(P5=0,
IF(Q5=0,0,IF(Q5&gt;0,1,-1)),
(Q5-P5)/ABS(P5)
)</f>
        <v>-0.13433976686413146</v>
      </c>
    </row>
    <row r="6" spans="1:19" outlineLevel="1" x14ac:dyDescent="0.2">
      <c r="B6" s="9" t="s">
        <v>19</v>
      </c>
      <c r="C6" s="27">
        <v>1400</v>
      </c>
      <c r="D6" s="27">
        <v>1712</v>
      </c>
      <c r="E6" s="27">
        <v>1727</v>
      </c>
      <c r="F6" s="27">
        <v>1620</v>
      </c>
      <c r="G6" s="27">
        <v>1472</v>
      </c>
      <c r="H6" s="27">
        <v>1596</v>
      </c>
      <c r="I6" s="27">
        <v>1786</v>
      </c>
      <c r="J6" s="27">
        <v>1539</v>
      </c>
      <c r="K6" s="20"/>
      <c r="L6" s="20"/>
      <c r="M6" s="20"/>
      <c r="N6" s="43">
        <f t="shared" ref="N6:N23" si="0">SUM(G6:J6)</f>
        <v>6393</v>
      </c>
      <c r="P6" s="54">
        <f t="shared" ref="P6:P27" si="1">I6</f>
        <v>1786</v>
      </c>
      <c r="Q6" s="20">
        <f t="shared" ref="Q6:Q27" si="2">J6</f>
        <v>1539</v>
      </c>
      <c r="R6" s="55">
        <f t="shared" ref="R6:R27" si="3">IF(P6=0,
IF(Q6=0,0,IF(Q6&gt;0,1,-1)),
(Q6-P6)/ABS(P6)
)</f>
        <v>-0.13829787234042554</v>
      </c>
    </row>
    <row r="7" spans="1:19" s="18" customFormat="1" outlineLevel="1" x14ac:dyDescent="0.2">
      <c r="A7" s="7"/>
      <c r="B7" s="17" t="s">
        <v>20</v>
      </c>
      <c r="C7" s="56">
        <v>9393</v>
      </c>
      <c r="D7" s="56">
        <v>10244</v>
      </c>
      <c r="E7" s="56">
        <v>11669</v>
      </c>
      <c r="F7" s="56">
        <v>10979</v>
      </c>
      <c r="G7" s="56">
        <v>10365</v>
      </c>
      <c r="H7" s="56">
        <v>11270</v>
      </c>
      <c r="I7" s="56">
        <v>12252</v>
      </c>
      <c r="J7" s="56">
        <v>10599</v>
      </c>
      <c r="K7" s="21"/>
      <c r="L7" s="21"/>
      <c r="M7" s="21"/>
      <c r="N7" s="64">
        <f t="shared" si="0"/>
        <v>44486</v>
      </c>
      <c r="O7" s="7"/>
      <c r="P7" s="74">
        <f t="shared" si="1"/>
        <v>12252</v>
      </c>
      <c r="Q7" s="59">
        <f t="shared" si="2"/>
        <v>10599</v>
      </c>
      <c r="R7" s="70">
        <f t="shared" si="3"/>
        <v>-0.13491674828599412</v>
      </c>
      <c r="S7" s="7"/>
    </row>
    <row r="8" spans="1:19" outlineLevel="1" x14ac:dyDescent="0.2">
      <c r="B8" s="9" t="s">
        <v>21</v>
      </c>
      <c r="C8" s="27">
        <v>4174</v>
      </c>
      <c r="D8" s="27">
        <v>4467</v>
      </c>
      <c r="E8" s="27">
        <v>5161</v>
      </c>
      <c r="F8" s="27">
        <v>4937</v>
      </c>
      <c r="G8" s="27">
        <v>4606</v>
      </c>
      <c r="H8" s="27">
        <v>5033</v>
      </c>
      <c r="I8" s="27">
        <v>5568</v>
      </c>
      <c r="J8" s="27">
        <v>4900</v>
      </c>
      <c r="K8" s="20"/>
      <c r="L8" s="20"/>
      <c r="M8" s="20"/>
      <c r="N8" s="43">
        <f>SUM(G8:J8)</f>
        <v>20107</v>
      </c>
      <c r="P8" s="54">
        <f t="shared" si="1"/>
        <v>5568</v>
      </c>
      <c r="Q8" s="20">
        <f t="shared" si="2"/>
        <v>4900</v>
      </c>
      <c r="R8" s="55">
        <f t="shared" si="3"/>
        <v>-0.11997126436781609</v>
      </c>
    </row>
    <row r="9" spans="1:19" s="18" customFormat="1" outlineLevel="1" x14ac:dyDescent="0.2">
      <c r="A9" s="7"/>
      <c r="B9" s="17" t="s">
        <v>22</v>
      </c>
      <c r="C9" s="59">
        <f>C7-C8</f>
        <v>5219</v>
      </c>
      <c r="D9" s="59">
        <f t="shared" ref="D9:H9" si="4">D7-D8</f>
        <v>5777</v>
      </c>
      <c r="E9" s="59">
        <f t="shared" si="4"/>
        <v>6508</v>
      </c>
      <c r="F9" s="59">
        <f t="shared" si="4"/>
        <v>6042</v>
      </c>
      <c r="G9" s="59">
        <f t="shared" si="4"/>
        <v>5759</v>
      </c>
      <c r="H9" s="59">
        <f t="shared" si="4"/>
        <v>6237</v>
      </c>
      <c r="I9" s="59">
        <f t="shared" ref="I9:J9" si="5">I7-I8</f>
        <v>6684</v>
      </c>
      <c r="J9" s="59">
        <f t="shared" si="5"/>
        <v>5699</v>
      </c>
      <c r="K9" s="21"/>
      <c r="L9" s="21"/>
      <c r="M9" s="21"/>
      <c r="N9" s="64">
        <f t="shared" si="0"/>
        <v>24379</v>
      </c>
      <c r="O9" s="7"/>
      <c r="P9" s="74">
        <f t="shared" si="1"/>
        <v>6684</v>
      </c>
      <c r="Q9" s="59">
        <f t="shared" si="2"/>
        <v>5699</v>
      </c>
      <c r="R9" s="70">
        <f t="shared" si="3"/>
        <v>-0.1473668461998803</v>
      </c>
      <c r="S9" s="7"/>
    </row>
    <row r="10" spans="1:19" outlineLevel="1" x14ac:dyDescent="0.2">
      <c r="B10" s="9" t="s">
        <v>23</v>
      </c>
      <c r="C10" s="27">
        <v>2259</v>
      </c>
      <c r="D10" s="27">
        <v>2302</v>
      </c>
      <c r="E10" s="27">
        <v>2230</v>
      </c>
      <c r="F10" s="27">
        <v>2216</v>
      </c>
      <c r="G10" s="27">
        <v>2226</v>
      </c>
      <c r="H10" s="27">
        <v>2370</v>
      </c>
      <c r="I10" s="27">
        <v>2453</v>
      </c>
      <c r="J10" s="27">
        <v>2463</v>
      </c>
      <c r="K10" s="20"/>
      <c r="L10" s="20"/>
      <c r="M10" s="20"/>
      <c r="N10" s="43">
        <f t="shared" si="0"/>
        <v>9512</v>
      </c>
      <c r="P10" s="54">
        <f t="shared" si="1"/>
        <v>2453</v>
      </c>
      <c r="Q10" s="20">
        <f t="shared" si="2"/>
        <v>2463</v>
      </c>
      <c r="R10" s="55">
        <f t="shared" si="3"/>
        <v>4.0766408479412965E-3</v>
      </c>
    </row>
    <row r="11" spans="1:19" s="8" customFormat="1" outlineLevel="1" x14ac:dyDescent="0.2">
      <c r="B11" s="12" t="s">
        <v>24</v>
      </c>
      <c r="C11" s="27">
        <v>664</v>
      </c>
      <c r="D11" s="27">
        <v>762</v>
      </c>
      <c r="E11" s="27">
        <v>723</v>
      </c>
      <c r="F11" s="27">
        <v>706</v>
      </c>
      <c r="G11" s="27">
        <v>771</v>
      </c>
      <c r="H11" s="27">
        <v>910</v>
      </c>
      <c r="I11" s="27">
        <v>865</v>
      </c>
      <c r="J11" s="27">
        <v>898</v>
      </c>
      <c r="K11" s="20"/>
      <c r="L11" s="20"/>
      <c r="M11" s="20"/>
      <c r="N11" s="43">
        <f t="shared" si="0"/>
        <v>3444</v>
      </c>
      <c r="P11" s="75">
        <f t="shared" si="1"/>
        <v>865</v>
      </c>
      <c r="Q11" s="36">
        <f t="shared" si="2"/>
        <v>898</v>
      </c>
      <c r="R11" s="71">
        <f t="shared" si="3"/>
        <v>3.8150289017341042E-2</v>
      </c>
    </row>
    <row r="12" spans="1:19" outlineLevel="1" x14ac:dyDescent="0.2">
      <c r="B12" s="12" t="s">
        <v>25</v>
      </c>
      <c r="C12" s="27">
        <v>75</v>
      </c>
      <c r="D12" s="27">
        <v>132</v>
      </c>
      <c r="E12" s="27">
        <v>0</v>
      </c>
      <c r="F12" s="27">
        <v>0</v>
      </c>
      <c r="G12" s="27">
        <v>0</v>
      </c>
      <c r="H12" s="27">
        <v>39</v>
      </c>
      <c r="I12" s="27">
        <v>0</v>
      </c>
      <c r="J12" s="27">
        <v>29</v>
      </c>
      <c r="K12" s="20"/>
      <c r="L12" s="20"/>
      <c r="M12" s="20"/>
      <c r="N12" s="43">
        <f t="shared" si="0"/>
        <v>68</v>
      </c>
      <c r="P12" s="54">
        <f t="shared" si="1"/>
        <v>0</v>
      </c>
      <c r="Q12" s="20">
        <f t="shared" si="2"/>
        <v>29</v>
      </c>
      <c r="R12" s="55">
        <f t="shared" si="3"/>
        <v>1</v>
      </c>
    </row>
    <row r="13" spans="1:19" outlineLevel="1" x14ac:dyDescent="0.2">
      <c r="B13" s="12" t="s">
        <v>26</v>
      </c>
      <c r="C13" s="20">
        <f t="shared" ref="C13:H13" si="6">SUM(C10:C12)</f>
        <v>2998</v>
      </c>
      <c r="D13" s="20">
        <f t="shared" si="6"/>
        <v>3196</v>
      </c>
      <c r="E13" s="20">
        <f t="shared" si="6"/>
        <v>2953</v>
      </c>
      <c r="F13" s="20">
        <f t="shared" si="6"/>
        <v>2922</v>
      </c>
      <c r="G13" s="20">
        <f t="shared" si="6"/>
        <v>2997</v>
      </c>
      <c r="H13" s="20">
        <f t="shared" si="6"/>
        <v>3319</v>
      </c>
      <c r="I13" s="20">
        <f t="shared" ref="I13:J13" si="7">SUM(I10:I12)</f>
        <v>3318</v>
      </c>
      <c r="J13" s="20">
        <f t="shared" si="7"/>
        <v>3390</v>
      </c>
      <c r="K13" s="20"/>
      <c r="L13" s="20"/>
      <c r="M13" s="20"/>
      <c r="N13" s="43">
        <f t="shared" si="0"/>
        <v>13024</v>
      </c>
      <c r="P13" s="54">
        <f t="shared" si="1"/>
        <v>3318</v>
      </c>
      <c r="Q13" s="20">
        <f>J13</f>
        <v>3390</v>
      </c>
      <c r="R13" s="55">
        <f t="shared" si="3"/>
        <v>2.1699819168173599E-2</v>
      </c>
    </row>
    <row r="14" spans="1:19" s="18" customFormat="1" outlineLevel="1" x14ac:dyDescent="0.2">
      <c r="A14" s="7"/>
      <c r="B14" s="17" t="s">
        <v>27</v>
      </c>
      <c r="C14" s="56">
        <v>2221</v>
      </c>
      <c r="D14" s="56">
        <v>2581</v>
      </c>
      <c r="E14" s="56">
        <v>3555</v>
      </c>
      <c r="F14" s="56">
        <v>3120</v>
      </c>
      <c r="G14" s="56">
        <v>2762</v>
      </c>
      <c r="H14" s="56">
        <v>2918</v>
      </c>
      <c r="I14" s="56">
        <v>3366</v>
      </c>
      <c r="J14" s="56">
        <v>2309</v>
      </c>
      <c r="K14" s="21"/>
      <c r="L14" s="21"/>
      <c r="M14" s="21"/>
      <c r="N14" s="64">
        <f t="shared" si="0"/>
        <v>11355</v>
      </c>
      <c r="O14" s="7"/>
      <c r="P14" s="74">
        <f t="shared" si="1"/>
        <v>3366</v>
      </c>
      <c r="Q14" s="59">
        <f t="shared" si="2"/>
        <v>2309</v>
      </c>
      <c r="R14" s="70">
        <f t="shared" si="3"/>
        <v>-0.31402257872846107</v>
      </c>
      <c r="S14" s="7"/>
    </row>
    <row r="15" spans="1:19" outlineLevel="1" x14ac:dyDescent="0.2">
      <c r="B15" s="12" t="s">
        <v>70</v>
      </c>
      <c r="C15" s="27">
        <v>-168</v>
      </c>
      <c r="D15" s="27">
        <v>-178</v>
      </c>
      <c r="E15" s="27">
        <v>-163</v>
      </c>
      <c r="F15" s="27">
        <v>-163</v>
      </c>
      <c r="G15" s="27">
        <v>-168</v>
      </c>
      <c r="H15" s="27">
        <v>-171</v>
      </c>
      <c r="I15" s="27">
        <v>-169</v>
      </c>
      <c r="J15" s="27">
        <v>-171</v>
      </c>
      <c r="K15" s="20"/>
      <c r="L15" s="20"/>
      <c r="M15" s="20"/>
      <c r="N15" s="43">
        <f t="shared" si="0"/>
        <v>-679</v>
      </c>
      <c r="P15" s="54">
        <f t="shared" si="1"/>
        <v>-169</v>
      </c>
      <c r="Q15" s="20">
        <f t="shared" si="2"/>
        <v>-171</v>
      </c>
      <c r="R15" s="55">
        <f t="shared" si="3"/>
        <v>-1.1834319526627219E-2</v>
      </c>
    </row>
    <row r="16" spans="1:19" outlineLevel="1" x14ac:dyDescent="0.2">
      <c r="B16" s="12" t="s">
        <v>37</v>
      </c>
      <c r="C16" s="27">
        <v>226</v>
      </c>
      <c r="D16" s="27">
        <v>194</v>
      </c>
      <c r="E16" s="27">
        <v>243</v>
      </c>
      <c r="F16" s="27">
        <v>148</v>
      </c>
      <c r="G16" s="27">
        <v>358</v>
      </c>
      <c r="H16" s="27">
        <v>224</v>
      </c>
      <c r="I16" s="27">
        <v>350</v>
      </c>
      <c r="J16" s="27">
        <v>94</v>
      </c>
      <c r="K16" s="20"/>
      <c r="L16" s="20"/>
      <c r="M16" s="20"/>
      <c r="N16" s="43">
        <f t="shared" si="0"/>
        <v>1026</v>
      </c>
      <c r="P16" s="54">
        <f t="shared" si="1"/>
        <v>350</v>
      </c>
      <c r="Q16" s="20">
        <f t="shared" si="2"/>
        <v>94</v>
      </c>
      <c r="R16" s="55">
        <f t="shared" si="3"/>
        <v>-0.73142857142857143</v>
      </c>
    </row>
    <row r="17" spans="1:19" s="18" customFormat="1" outlineLevel="1" x14ac:dyDescent="0.2">
      <c r="A17" s="7"/>
      <c r="B17" s="17" t="s">
        <v>28</v>
      </c>
      <c r="C17" s="56">
        <v>2279</v>
      </c>
      <c r="D17" s="56">
        <v>2597</v>
      </c>
      <c r="E17" s="56">
        <v>3635</v>
      </c>
      <c r="F17" s="56">
        <v>3105</v>
      </c>
      <c r="G17" s="56">
        <v>2952</v>
      </c>
      <c r="H17" s="56">
        <v>2971</v>
      </c>
      <c r="I17" s="56">
        <v>3547</v>
      </c>
      <c r="J17" s="56">
        <v>2232</v>
      </c>
      <c r="K17" s="21"/>
      <c r="L17" s="21"/>
      <c r="M17" s="21"/>
      <c r="N17" s="64">
        <f t="shared" si="0"/>
        <v>11702</v>
      </c>
      <c r="O17" s="7"/>
      <c r="P17" s="74">
        <f t="shared" si="1"/>
        <v>3547</v>
      </c>
      <c r="Q17" s="59">
        <f t="shared" si="2"/>
        <v>2232</v>
      </c>
      <c r="R17" s="70">
        <f t="shared" si="3"/>
        <v>-0.37073583309839303</v>
      </c>
      <c r="S17" s="7"/>
    </row>
    <row r="18" spans="1:19" outlineLevel="1" x14ac:dyDescent="0.2">
      <c r="B18" s="12" t="s">
        <v>150</v>
      </c>
      <c r="C18" s="27">
        <v>-171</v>
      </c>
      <c r="D18" s="27">
        <v>318</v>
      </c>
      <c r="E18" s="27">
        <v>-455</v>
      </c>
      <c r="F18" s="27">
        <v>-293</v>
      </c>
      <c r="G18" s="27">
        <v>-286</v>
      </c>
      <c r="H18" s="27">
        <v>-6088</v>
      </c>
      <c r="I18" s="27">
        <v>-543</v>
      </c>
      <c r="J18" s="27">
        <v>5138</v>
      </c>
      <c r="K18" s="20"/>
      <c r="L18" s="20"/>
      <c r="M18" s="20"/>
      <c r="N18" s="43">
        <f t="shared" si="0"/>
        <v>-1779</v>
      </c>
      <c r="P18" s="54">
        <f t="shared" si="1"/>
        <v>-543</v>
      </c>
      <c r="Q18" s="20">
        <f t="shared" si="2"/>
        <v>5138</v>
      </c>
      <c r="R18" s="55">
        <f t="shared" si="3"/>
        <v>10.462246777163903</v>
      </c>
    </row>
    <row r="19" spans="1:19" s="18" customFormat="1" outlineLevel="1" x14ac:dyDescent="0.2">
      <c r="A19" s="7"/>
      <c r="B19" s="17" t="s">
        <v>30</v>
      </c>
      <c r="C19" s="56">
        <v>2108</v>
      </c>
      <c r="D19" s="56">
        <v>2915</v>
      </c>
      <c r="E19" s="56">
        <v>3180</v>
      </c>
      <c r="F19" s="56">
        <v>2812</v>
      </c>
      <c r="G19" s="56">
        <v>2666</v>
      </c>
      <c r="H19" s="56">
        <v>-3117</v>
      </c>
      <c r="I19" s="56">
        <v>3004</v>
      </c>
      <c r="J19" s="56">
        <v>7370</v>
      </c>
      <c r="K19" s="21"/>
      <c r="L19" s="21"/>
      <c r="M19" s="21"/>
      <c r="N19" s="64">
        <f t="shared" si="0"/>
        <v>9923</v>
      </c>
      <c r="O19" s="7"/>
      <c r="P19" s="74">
        <f t="shared" si="1"/>
        <v>3004</v>
      </c>
      <c r="Q19" s="59">
        <f t="shared" si="2"/>
        <v>7370</v>
      </c>
      <c r="R19" s="70">
        <f t="shared" si="3"/>
        <v>1.4533954727030627</v>
      </c>
      <c r="S19" s="7"/>
    </row>
    <row r="20" spans="1:19" outlineLevel="1" x14ac:dyDescent="0.2">
      <c r="B20" s="12" t="s">
        <v>29</v>
      </c>
      <c r="C20" s="27">
        <v>21</v>
      </c>
      <c r="D20" s="27">
        <v>5</v>
      </c>
      <c r="E20" s="27">
        <v>0</v>
      </c>
      <c r="F20" s="27">
        <v>0</v>
      </c>
      <c r="G20" s="27">
        <v>0</v>
      </c>
      <c r="H20" s="27">
        <v>0</v>
      </c>
      <c r="I20" s="27">
        <v>0</v>
      </c>
      <c r="J20" s="27">
        <v>0</v>
      </c>
      <c r="K20" s="20"/>
      <c r="L20" s="20"/>
      <c r="M20" s="20"/>
      <c r="N20" s="43">
        <f t="shared" si="0"/>
        <v>0</v>
      </c>
      <c r="P20" s="54">
        <f t="shared" si="1"/>
        <v>0</v>
      </c>
      <c r="Q20" s="20">
        <f t="shared" si="2"/>
        <v>0</v>
      </c>
      <c r="R20" s="55">
        <f t="shared" si="3"/>
        <v>0</v>
      </c>
    </row>
    <row r="21" spans="1:19" s="37" customFormat="1" outlineLevel="1" x14ac:dyDescent="0.2">
      <c r="A21" s="8"/>
      <c r="B21" s="34" t="s">
        <v>149</v>
      </c>
      <c r="C21" s="35">
        <v>2129</v>
      </c>
      <c r="D21" s="35">
        <v>2920</v>
      </c>
      <c r="E21" s="35">
        <v>3180</v>
      </c>
      <c r="F21" s="35">
        <v>2812</v>
      </c>
      <c r="G21" s="35">
        <v>2666</v>
      </c>
      <c r="H21" s="35">
        <v>-3117</v>
      </c>
      <c r="I21" s="35">
        <v>3004</v>
      </c>
      <c r="J21" s="35">
        <v>7370</v>
      </c>
      <c r="K21" s="36"/>
      <c r="L21" s="36"/>
      <c r="M21" s="36"/>
      <c r="N21" s="44">
        <f t="shared" si="0"/>
        <v>9923</v>
      </c>
      <c r="O21" s="8"/>
      <c r="P21" s="76">
        <f t="shared" si="1"/>
        <v>3004</v>
      </c>
      <c r="Q21" s="77">
        <f t="shared" si="2"/>
        <v>7370</v>
      </c>
      <c r="R21" s="72">
        <f t="shared" si="3"/>
        <v>1.4533954727030627</v>
      </c>
      <c r="S21" s="8"/>
    </row>
    <row r="22" spans="1:19" outlineLevel="1" x14ac:dyDescent="0.2">
      <c r="B22" s="12" t="s">
        <v>31</v>
      </c>
      <c r="C22" s="27">
        <v>0</v>
      </c>
      <c r="D22" s="27">
        <v>0</v>
      </c>
      <c r="E22" s="27">
        <v>0</v>
      </c>
      <c r="F22" s="27">
        <v>0</v>
      </c>
      <c r="G22" s="27">
        <v>0</v>
      </c>
      <c r="H22" s="27">
        <v>0</v>
      </c>
      <c r="I22" s="27">
        <v>0</v>
      </c>
      <c r="J22" s="27">
        <v>0</v>
      </c>
      <c r="K22" s="20"/>
      <c r="L22" s="20"/>
      <c r="M22" s="20"/>
      <c r="N22" s="43">
        <f t="shared" si="0"/>
        <v>0</v>
      </c>
      <c r="P22" s="54">
        <f t="shared" si="1"/>
        <v>0</v>
      </c>
      <c r="Q22" s="20">
        <f t="shared" si="2"/>
        <v>0</v>
      </c>
      <c r="R22" s="55">
        <f t="shared" si="3"/>
        <v>0</v>
      </c>
    </row>
    <row r="23" spans="1:19" outlineLevel="1" x14ac:dyDescent="0.2">
      <c r="B23" s="12" t="s">
        <v>32</v>
      </c>
      <c r="C23" s="27">
        <v>2129</v>
      </c>
      <c r="D23" s="27">
        <v>2920</v>
      </c>
      <c r="E23" s="27">
        <v>3180</v>
      </c>
      <c r="F23" s="27">
        <v>2812</v>
      </c>
      <c r="G23" s="27">
        <v>2666</v>
      </c>
      <c r="H23" s="27">
        <v>-3117</v>
      </c>
      <c r="I23" s="27">
        <v>3004</v>
      </c>
      <c r="J23" s="27">
        <v>7370</v>
      </c>
      <c r="K23" s="20"/>
      <c r="L23" s="20"/>
      <c r="M23" s="20"/>
      <c r="N23" s="43">
        <f t="shared" si="0"/>
        <v>9923</v>
      </c>
      <c r="P23" s="54">
        <f t="shared" si="1"/>
        <v>3004</v>
      </c>
      <c r="Q23" s="20">
        <f t="shared" si="2"/>
        <v>7370</v>
      </c>
      <c r="R23" s="55">
        <f t="shared" si="3"/>
        <v>1.4533954727030627</v>
      </c>
    </row>
    <row r="24" spans="1:19" outlineLevel="1" x14ac:dyDescent="0.2">
      <c r="B24" s="12" t="s">
        <v>33</v>
      </c>
      <c r="C24" s="27">
        <v>1116</v>
      </c>
      <c r="D24" s="27">
        <v>1115</v>
      </c>
      <c r="E24" s="27">
        <v>1110</v>
      </c>
      <c r="F24" s="27">
        <v>1104</v>
      </c>
      <c r="G24" s="27">
        <v>1092</v>
      </c>
      <c r="H24" s="27">
        <v>1078</v>
      </c>
      <c r="I24" s="27">
        <v>1070</v>
      </c>
      <c r="J24" s="27">
        <v>1066</v>
      </c>
      <c r="K24" s="20"/>
      <c r="L24" s="20"/>
      <c r="M24" s="20"/>
      <c r="N24" s="43">
        <f>AVERAGE(G24:J24)</f>
        <v>1076.5</v>
      </c>
      <c r="P24" s="54">
        <f t="shared" si="1"/>
        <v>1070</v>
      </c>
      <c r="Q24" s="20">
        <f t="shared" si="2"/>
        <v>1066</v>
      </c>
      <c r="R24" s="55">
        <f t="shared" si="3"/>
        <v>-3.7383177570093459E-3</v>
      </c>
    </row>
    <row r="25" spans="1:19" outlineLevel="1" x14ac:dyDescent="0.2">
      <c r="B25" s="12" t="s">
        <v>34</v>
      </c>
      <c r="C25" s="27">
        <v>1134</v>
      </c>
      <c r="D25" s="27">
        <v>1129</v>
      </c>
      <c r="E25" s="27">
        <v>1122</v>
      </c>
      <c r="F25" s="27">
        <v>1115</v>
      </c>
      <c r="G25" s="27">
        <v>1099</v>
      </c>
      <c r="H25" s="27">
        <v>1078</v>
      </c>
      <c r="I25" s="27">
        <v>1079</v>
      </c>
      <c r="J25" s="27">
        <v>1072</v>
      </c>
      <c r="K25" s="20"/>
      <c r="L25" s="20"/>
      <c r="M25" s="20"/>
      <c r="N25" s="43">
        <f>AVERAGE((G25:J25))</f>
        <v>1082</v>
      </c>
      <c r="P25" s="54">
        <f t="shared" si="1"/>
        <v>1079</v>
      </c>
      <c r="Q25" s="20">
        <f t="shared" si="2"/>
        <v>1072</v>
      </c>
      <c r="R25" s="55">
        <f t="shared" si="3"/>
        <v>-6.4874884151992582E-3</v>
      </c>
    </row>
    <row r="26" spans="1:19" outlineLevel="1" x14ac:dyDescent="0.2">
      <c r="B26" s="12" t="s">
        <v>35</v>
      </c>
      <c r="C26" s="31">
        <v>1.91</v>
      </c>
      <c r="D26" s="31">
        <v>2.62</v>
      </c>
      <c r="E26" s="31">
        <v>2.86</v>
      </c>
      <c r="F26" s="31">
        <v>2.5499999999999998</v>
      </c>
      <c r="G26" s="31">
        <v>2.44</v>
      </c>
      <c r="H26" s="31">
        <v>-2.89</v>
      </c>
      <c r="I26" s="31">
        <v>2.81</v>
      </c>
      <c r="J26" s="31">
        <v>6.92</v>
      </c>
      <c r="K26" s="25"/>
      <c r="L26" s="25"/>
      <c r="M26" s="25"/>
      <c r="N26" s="45">
        <f>N19/N24</f>
        <v>9.2178355782628891</v>
      </c>
      <c r="P26" s="78">
        <f t="shared" si="1"/>
        <v>2.81</v>
      </c>
      <c r="Q26" s="79">
        <f t="shared" si="2"/>
        <v>6.92</v>
      </c>
      <c r="R26" s="55">
        <f t="shared" si="3"/>
        <v>1.4626334519572952</v>
      </c>
    </row>
    <row r="27" spans="1:19" s="16" customFormat="1" ht="17" outlineLevel="1" thickBot="1" x14ac:dyDescent="0.25">
      <c r="A27" s="1"/>
      <c r="B27" s="10" t="s">
        <v>36</v>
      </c>
      <c r="C27" s="32">
        <v>1.86</v>
      </c>
      <c r="D27" s="32">
        <v>2.59</v>
      </c>
      <c r="E27" s="32">
        <v>2.83</v>
      </c>
      <c r="F27" s="32">
        <v>2.52</v>
      </c>
      <c r="G27" s="32">
        <v>2.4300000000000002</v>
      </c>
      <c r="H27" s="32">
        <v>-2.89</v>
      </c>
      <c r="I27" s="32">
        <v>2.78</v>
      </c>
      <c r="J27" s="32">
        <v>6.88</v>
      </c>
      <c r="K27" s="25"/>
      <c r="L27" s="25"/>
      <c r="M27" s="25"/>
      <c r="N27" s="46">
        <f>N19/N25</f>
        <v>9.1709796672828094</v>
      </c>
      <c r="O27" s="1"/>
      <c r="P27" s="80">
        <f t="shared" si="1"/>
        <v>2.78</v>
      </c>
      <c r="Q27" s="81">
        <f t="shared" si="2"/>
        <v>6.88</v>
      </c>
      <c r="R27" s="73">
        <f t="shared" si="3"/>
        <v>1.474820143884892</v>
      </c>
      <c r="S27" s="1"/>
    </row>
    <row r="28" spans="1:19" s="16" customFormat="1" ht="17" thickBot="1" x14ac:dyDescent="0.25">
      <c r="A28" s="1"/>
      <c r="B28" s="6"/>
      <c r="D28" s="6"/>
      <c r="E28" s="6"/>
      <c r="F28" s="6"/>
      <c r="G28" s="6"/>
      <c r="H28" s="6"/>
      <c r="I28" s="6"/>
      <c r="J28" s="6"/>
      <c r="K28" s="8"/>
      <c r="L28" s="8"/>
      <c r="M28" s="8"/>
      <c r="O28" s="1"/>
      <c r="S28" s="1"/>
    </row>
    <row r="29" spans="1:19" s="14" customFormat="1" ht="17" thickBot="1" x14ac:dyDescent="0.25">
      <c r="A29" s="4"/>
      <c r="B29" s="15" t="s">
        <v>38</v>
      </c>
      <c r="K29" s="4"/>
      <c r="L29" s="4"/>
      <c r="M29" s="4"/>
      <c r="O29" s="4"/>
      <c r="S29" s="4"/>
    </row>
    <row r="30" spans="1:19" outlineLevel="1" x14ac:dyDescent="0.2">
      <c r="B30" s="9" t="s">
        <v>39</v>
      </c>
      <c r="C30" s="27">
        <v>7770</v>
      </c>
      <c r="D30" s="27">
        <v>7849</v>
      </c>
      <c r="E30" s="27">
        <v>8713</v>
      </c>
      <c r="F30" s="27">
        <v>7203</v>
      </c>
      <c r="G30" s="27">
        <v>5448</v>
      </c>
      <c r="H30" s="27">
        <v>5520</v>
      </c>
      <c r="I30" s="27">
        <v>7205</v>
      </c>
      <c r="J30" s="27">
        <v>5435</v>
      </c>
      <c r="K30" s="20"/>
      <c r="L30" s="20"/>
      <c r="M30" s="20"/>
    </row>
    <row r="31" spans="1:19" outlineLevel="1" x14ac:dyDescent="0.2">
      <c r="B31" s="9" t="s">
        <v>72</v>
      </c>
      <c r="C31" s="27">
        <v>0</v>
      </c>
      <c r="D31" s="27">
        <v>0</v>
      </c>
      <c r="E31" s="27">
        <v>0</v>
      </c>
      <c r="F31" s="27">
        <v>0</v>
      </c>
      <c r="G31" s="27">
        <v>2323</v>
      </c>
      <c r="H31" s="27">
        <v>2323</v>
      </c>
      <c r="I31" s="27">
        <v>0</v>
      </c>
      <c r="J31" s="27">
        <v>0</v>
      </c>
      <c r="K31" s="20"/>
      <c r="L31" s="20"/>
      <c r="M31" s="20"/>
    </row>
    <row r="32" spans="1:19" outlineLevel="1" x14ac:dyDescent="0.2">
      <c r="B32" s="9" t="s">
        <v>40</v>
      </c>
      <c r="C32" s="27">
        <v>5262</v>
      </c>
      <c r="D32" s="27">
        <v>5451</v>
      </c>
      <c r="E32" s="27">
        <v>5592</v>
      </c>
      <c r="F32" s="27">
        <v>6643</v>
      </c>
      <c r="G32" s="27">
        <v>4563</v>
      </c>
      <c r="H32" s="27">
        <v>4635</v>
      </c>
      <c r="I32" s="27">
        <v>4617</v>
      </c>
      <c r="J32" s="27">
        <v>4364</v>
      </c>
      <c r="K32" s="20"/>
      <c r="L32" s="20"/>
      <c r="M32" s="20"/>
    </row>
    <row r="33" spans="1:19" outlineLevel="1" x14ac:dyDescent="0.2">
      <c r="B33" s="9" t="s">
        <v>41</v>
      </c>
      <c r="C33" s="27">
        <v>2948</v>
      </c>
      <c r="D33" s="27">
        <v>3929</v>
      </c>
      <c r="E33" s="27">
        <v>3550</v>
      </c>
      <c r="F33" s="27">
        <v>3699</v>
      </c>
      <c r="G33" s="27">
        <v>3410</v>
      </c>
      <c r="H33" s="27">
        <v>4315</v>
      </c>
      <c r="I33" s="27">
        <v>4153</v>
      </c>
      <c r="J33" s="27">
        <v>4347</v>
      </c>
      <c r="K33" s="20"/>
      <c r="L33" s="20"/>
      <c r="M33" s="20"/>
    </row>
    <row r="34" spans="1:19" outlineLevel="1" x14ac:dyDescent="0.2">
      <c r="B34" s="9" t="s">
        <v>42</v>
      </c>
      <c r="C34" s="27">
        <v>6020</v>
      </c>
      <c r="D34" s="27">
        <v>6423</v>
      </c>
      <c r="E34" s="27">
        <v>6303</v>
      </c>
      <c r="F34" s="27">
        <v>6196</v>
      </c>
      <c r="G34" s="27">
        <v>6338</v>
      </c>
      <c r="H34" s="27">
        <v>6526</v>
      </c>
      <c r="I34" s="27">
        <v>6665</v>
      </c>
      <c r="J34" s="27">
        <v>7368</v>
      </c>
      <c r="K34" s="20"/>
      <c r="L34" s="20"/>
      <c r="M34" s="20"/>
    </row>
    <row r="35" spans="1:19" outlineLevel="1" x14ac:dyDescent="0.2">
      <c r="B35" s="9" t="s">
        <v>71</v>
      </c>
      <c r="C35" s="27">
        <v>0</v>
      </c>
      <c r="D35" s="27">
        <v>0</v>
      </c>
      <c r="E35" s="27">
        <v>0</v>
      </c>
      <c r="F35" s="27">
        <v>0</v>
      </c>
      <c r="G35" s="27">
        <v>0</v>
      </c>
      <c r="H35" s="27">
        <v>0</v>
      </c>
      <c r="I35" s="27">
        <v>0</v>
      </c>
      <c r="J35" s="27">
        <v>0</v>
      </c>
      <c r="K35" s="20"/>
      <c r="L35" s="20"/>
      <c r="M35" s="20"/>
    </row>
    <row r="36" spans="1:19" outlineLevel="1" x14ac:dyDescent="0.2">
      <c r="B36" s="9" t="s">
        <v>43</v>
      </c>
      <c r="C36" s="27">
        <v>1332</v>
      </c>
      <c r="D36" s="27">
        <v>1579</v>
      </c>
      <c r="E36" s="27">
        <v>1907</v>
      </c>
      <c r="F36" s="27">
        <v>2339</v>
      </c>
      <c r="G36" s="27">
        <v>2831</v>
      </c>
      <c r="H36" s="27">
        <v>2435</v>
      </c>
      <c r="I36" s="27">
        <v>1968</v>
      </c>
      <c r="J36" s="27">
        <v>1598</v>
      </c>
      <c r="K36" s="20"/>
      <c r="L36" s="20"/>
      <c r="M36" s="20"/>
    </row>
    <row r="37" spans="1:19" s="7" customFormat="1" outlineLevel="1" x14ac:dyDescent="0.2">
      <c r="B37" s="11" t="s">
        <v>44</v>
      </c>
      <c r="C37" s="60">
        <v>23332</v>
      </c>
      <c r="D37" s="60">
        <v>25231</v>
      </c>
      <c r="E37" s="60">
        <v>26065</v>
      </c>
      <c r="F37" s="60">
        <v>26080</v>
      </c>
      <c r="G37" s="60">
        <v>24913</v>
      </c>
      <c r="H37" s="60">
        <v>25754</v>
      </c>
      <c r="I37" s="60">
        <v>24608</v>
      </c>
      <c r="J37" s="60">
        <v>23112</v>
      </c>
      <c r="K37" s="21"/>
      <c r="L37" s="21"/>
      <c r="M37" s="21"/>
    </row>
    <row r="38" spans="1:19" outlineLevel="1" x14ac:dyDescent="0.2">
      <c r="B38" s="9" t="s">
        <v>40</v>
      </c>
      <c r="C38" s="27">
        <v>0</v>
      </c>
      <c r="D38" s="27">
        <v>0</v>
      </c>
      <c r="E38" s="27">
        <v>0</v>
      </c>
      <c r="F38" s="27">
        <v>0</v>
      </c>
      <c r="G38" s="27">
        <v>0</v>
      </c>
      <c r="H38" s="27">
        <v>0</v>
      </c>
      <c r="I38" s="27">
        <v>0</v>
      </c>
      <c r="J38" s="27">
        <v>0</v>
      </c>
      <c r="K38" s="20"/>
      <c r="L38" s="20"/>
      <c r="M38" s="20"/>
    </row>
    <row r="39" spans="1:19" outlineLevel="1" x14ac:dyDescent="0.2">
      <c r="B39" s="9" t="s">
        <v>45</v>
      </c>
      <c r="C39" s="27">
        <v>4420</v>
      </c>
      <c r="D39" s="27">
        <v>5162</v>
      </c>
      <c r="E39" s="27">
        <v>5409</v>
      </c>
      <c r="F39" s="27">
        <v>5750</v>
      </c>
      <c r="G39" s="27">
        <v>6114</v>
      </c>
      <c r="H39" s="27">
        <v>743</v>
      </c>
      <c r="I39" s="27">
        <v>0</v>
      </c>
      <c r="J39" s="27">
        <v>5968</v>
      </c>
      <c r="K39" s="20"/>
      <c r="L39" s="20"/>
      <c r="M39" s="20"/>
    </row>
    <row r="40" spans="1:19" outlineLevel="1" x14ac:dyDescent="0.2">
      <c r="B40" s="9" t="s">
        <v>46</v>
      </c>
      <c r="C40" s="27">
        <v>4744</v>
      </c>
      <c r="D40" s="27">
        <v>4665</v>
      </c>
      <c r="E40" s="27">
        <v>4460</v>
      </c>
      <c r="F40" s="27">
        <v>4410</v>
      </c>
      <c r="G40" s="27">
        <v>4496</v>
      </c>
      <c r="H40" s="27">
        <v>4690</v>
      </c>
      <c r="I40" s="27">
        <v>4893</v>
      </c>
      <c r="J40" s="27">
        <v>5071</v>
      </c>
      <c r="K40" s="20"/>
      <c r="L40" s="20"/>
      <c r="M40" s="20"/>
    </row>
    <row r="41" spans="1:19" outlineLevel="1" x14ac:dyDescent="0.2">
      <c r="B41" s="9" t="s">
        <v>47</v>
      </c>
      <c r="C41" s="27">
        <v>10770</v>
      </c>
      <c r="D41" s="27">
        <v>10799</v>
      </c>
      <c r="E41" s="27">
        <v>10908</v>
      </c>
      <c r="F41" s="27">
        <v>10948</v>
      </c>
      <c r="G41" s="27">
        <v>11366</v>
      </c>
      <c r="H41" s="27">
        <v>11358</v>
      </c>
      <c r="I41" s="27">
        <v>14183</v>
      </c>
      <c r="J41" s="27">
        <v>14251</v>
      </c>
      <c r="K41" s="20"/>
      <c r="L41" s="20"/>
      <c r="M41" s="20"/>
    </row>
    <row r="42" spans="1:19" outlineLevel="1" x14ac:dyDescent="0.2">
      <c r="B42" s="9" t="s">
        <v>48</v>
      </c>
      <c r="C42" s="27">
        <v>1296</v>
      </c>
      <c r="D42" s="27">
        <v>1244</v>
      </c>
      <c r="E42" s="27">
        <v>1225</v>
      </c>
      <c r="F42" s="27">
        <v>1183</v>
      </c>
      <c r="G42" s="27">
        <v>1202</v>
      </c>
      <c r="H42" s="27">
        <v>1148</v>
      </c>
      <c r="I42" s="27">
        <v>1627</v>
      </c>
      <c r="J42" s="27">
        <v>1575</v>
      </c>
      <c r="K42" s="20"/>
      <c r="L42" s="20"/>
      <c r="M42" s="20"/>
    </row>
    <row r="43" spans="1:19" outlineLevel="1" x14ac:dyDescent="0.2">
      <c r="B43" s="9" t="s">
        <v>71</v>
      </c>
      <c r="C43" s="27">
        <v>0</v>
      </c>
      <c r="D43" s="27">
        <v>0</v>
      </c>
      <c r="E43" s="27">
        <v>0</v>
      </c>
      <c r="F43" s="27">
        <v>0</v>
      </c>
      <c r="G43" s="27">
        <v>0</v>
      </c>
      <c r="H43" s="27">
        <v>0</v>
      </c>
      <c r="I43" s="27">
        <v>0</v>
      </c>
      <c r="J43" s="27">
        <v>0</v>
      </c>
      <c r="K43" s="20"/>
      <c r="L43" s="20"/>
      <c r="M43" s="20"/>
    </row>
    <row r="44" spans="1:19" outlineLevel="1" x14ac:dyDescent="0.2">
      <c r="B44" s="9" t="s">
        <v>49</v>
      </c>
      <c r="C44" s="27">
        <v>8179</v>
      </c>
      <c r="D44" s="27">
        <v>8053</v>
      </c>
      <c r="E44" s="27">
        <v>7508</v>
      </c>
      <c r="F44" s="27">
        <v>7001</v>
      </c>
      <c r="G44" s="27">
        <v>6771</v>
      </c>
      <c r="H44" s="27">
        <v>6450</v>
      </c>
      <c r="I44" s="27">
        <v>7723</v>
      </c>
      <c r="J44" s="27">
        <v>7159</v>
      </c>
      <c r="K44" s="20"/>
      <c r="L44" s="20"/>
      <c r="M44" s="20"/>
    </row>
    <row r="45" spans="1:19" s="7" customFormat="1" outlineLevel="1" x14ac:dyDescent="0.2">
      <c r="B45" s="11" t="s">
        <v>50</v>
      </c>
      <c r="C45" s="61">
        <f t="shared" ref="C45:H45" si="8">SUM(C38:C44)</f>
        <v>29409</v>
      </c>
      <c r="D45" s="61">
        <f t="shared" si="8"/>
        <v>29923</v>
      </c>
      <c r="E45" s="61">
        <f t="shared" si="8"/>
        <v>29510</v>
      </c>
      <c r="F45" s="61">
        <f t="shared" si="8"/>
        <v>29292</v>
      </c>
      <c r="G45" s="61">
        <f t="shared" si="8"/>
        <v>29949</v>
      </c>
      <c r="H45" s="61">
        <f t="shared" si="8"/>
        <v>24389</v>
      </c>
      <c r="I45" s="61">
        <f t="shared" ref="I45:J45" si="9">SUM(I38:I44)</f>
        <v>28426</v>
      </c>
      <c r="J45" s="61">
        <f t="shared" si="9"/>
        <v>34024</v>
      </c>
      <c r="K45" s="21"/>
      <c r="L45" s="21"/>
      <c r="M45" s="21"/>
    </row>
    <row r="46" spans="1:19" s="18" customFormat="1" outlineLevel="1" x14ac:dyDescent="0.2">
      <c r="A46" s="7"/>
      <c r="B46" s="17" t="s">
        <v>51</v>
      </c>
      <c r="C46" s="56">
        <v>52741</v>
      </c>
      <c r="D46" s="56">
        <v>55154</v>
      </c>
      <c r="E46" s="56">
        <v>55575</v>
      </c>
      <c r="F46" s="56">
        <v>55372</v>
      </c>
      <c r="G46" s="56">
        <v>54862</v>
      </c>
      <c r="H46" s="56">
        <v>50143</v>
      </c>
      <c r="I46" s="56">
        <v>53034</v>
      </c>
      <c r="J46" s="56">
        <v>57136</v>
      </c>
      <c r="K46" s="21"/>
      <c r="L46" s="21"/>
      <c r="M46" s="21"/>
      <c r="O46" s="7"/>
      <c r="S46" s="7"/>
    </row>
    <row r="47" spans="1:19" outlineLevel="1" x14ac:dyDescent="0.2">
      <c r="B47" s="9" t="s">
        <v>52</v>
      </c>
      <c r="C47" s="27">
        <v>2586</v>
      </c>
      <c r="D47" s="27">
        <v>2584</v>
      </c>
      <c r="E47" s="27">
        <v>2581</v>
      </c>
      <c r="F47" s="27">
        <v>2479</v>
      </c>
      <c r="G47" s="27">
        <v>2337</v>
      </c>
      <c r="H47" s="27">
        <v>2791</v>
      </c>
      <c r="I47" s="27">
        <v>2709</v>
      </c>
      <c r="J47" s="27">
        <v>2973</v>
      </c>
      <c r="K47" s="20"/>
      <c r="L47" s="20"/>
      <c r="M47" s="20"/>
    </row>
    <row r="48" spans="1:19" outlineLevel="1" x14ac:dyDescent="0.2">
      <c r="B48" s="9" t="s">
        <v>53</v>
      </c>
      <c r="C48" s="27">
        <v>1780</v>
      </c>
      <c r="D48" s="27">
        <v>1834</v>
      </c>
      <c r="E48" s="27">
        <v>1424</v>
      </c>
      <c r="F48" s="27">
        <v>1248</v>
      </c>
      <c r="G48" s="27">
        <v>1586</v>
      </c>
      <c r="H48" s="27">
        <v>1839</v>
      </c>
      <c r="I48" s="27">
        <v>1505</v>
      </c>
      <c r="J48" s="27">
        <v>1370</v>
      </c>
      <c r="K48" s="20"/>
      <c r="L48" s="20"/>
      <c r="M48" s="20"/>
    </row>
    <row r="49" spans="1:19" outlineLevel="1" x14ac:dyDescent="0.2">
      <c r="B49" s="9" t="s">
        <v>54</v>
      </c>
      <c r="C49" s="27">
        <v>263</v>
      </c>
      <c r="D49" s="27">
        <v>297</v>
      </c>
      <c r="E49" s="27">
        <v>212</v>
      </c>
      <c r="F49" s="27">
        <v>232</v>
      </c>
      <c r="G49" s="27">
        <v>285</v>
      </c>
      <c r="H49" s="27">
        <v>358</v>
      </c>
      <c r="I49" s="27">
        <v>379</v>
      </c>
      <c r="J49" s="27">
        <v>323</v>
      </c>
      <c r="K49" s="20"/>
      <c r="L49" s="20"/>
      <c r="M49" s="20"/>
    </row>
    <row r="50" spans="1:19" outlineLevel="1" x14ac:dyDescent="0.2">
      <c r="B50" s="9" t="s">
        <v>55</v>
      </c>
      <c r="C50" s="27">
        <v>1364</v>
      </c>
      <c r="D50" s="27">
        <v>1364</v>
      </c>
      <c r="E50" s="27">
        <v>1365</v>
      </c>
      <c r="F50" s="27">
        <v>1365</v>
      </c>
      <c r="G50" s="27">
        <v>0</v>
      </c>
      <c r="H50" s="27">
        <v>0</v>
      </c>
      <c r="I50" s="27">
        <v>0</v>
      </c>
      <c r="J50" s="27">
        <v>498</v>
      </c>
      <c r="K50" s="20"/>
      <c r="L50" s="20"/>
      <c r="M50" s="20"/>
    </row>
    <row r="51" spans="1:19" outlineLevel="1" x14ac:dyDescent="0.2">
      <c r="B51" s="9" t="s">
        <v>71</v>
      </c>
      <c r="C51" s="27">
        <v>0</v>
      </c>
      <c r="D51" s="27">
        <v>0</v>
      </c>
      <c r="E51" s="27">
        <v>0</v>
      </c>
      <c r="F51" s="27">
        <v>0</v>
      </c>
      <c r="G51" s="27">
        <v>0</v>
      </c>
      <c r="H51" s="27">
        <v>0</v>
      </c>
      <c r="I51" s="27">
        <v>0</v>
      </c>
      <c r="J51" s="27">
        <v>0</v>
      </c>
      <c r="K51" s="20"/>
      <c r="L51" s="20"/>
      <c r="M51" s="20"/>
    </row>
    <row r="52" spans="1:19" outlineLevel="1" x14ac:dyDescent="0.2">
      <c r="B52" s="9" t="s">
        <v>56</v>
      </c>
      <c r="C52" s="27">
        <v>3754</v>
      </c>
      <c r="D52" s="27">
        <v>4425</v>
      </c>
      <c r="E52" s="27">
        <v>4372</v>
      </c>
      <c r="F52" s="27">
        <v>4220</v>
      </c>
      <c r="G52" s="27">
        <v>3592</v>
      </c>
      <c r="H52" s="27">
        <v>4156</v>
      </c>
      <c r="I52" s="27">
        <v>5229</v>
      </c>
      <c r="J52" s="27">
        <v>4603</v>
      </c>
      <c r="K52" s="20"/>
      <c r="L52" s="20"/>
      <c r="M52" s="20"/>
    </row>
    <row r="53" spans="1:19" s="7" customFormat="1" outlineLevel="1" x14ac:dyDescent="0.2">
      <c r="B53" s="11" t="s">
        <v>61</v>
      </c>
      <c r="C53" s="60">
        <v>9747</v>
      </c>
      <c r="D53" s="60">
        <v>10504</v>
      </c>
      <c r="E53" s="60">
        <v>9954</v>
      </c>
      <c r="F53" s="60">
        <v>9544</v>
      </c>
      <c r="G53" s="60">
        <v>7800</v>
      </c>
      <c r="H53" s="60">
        <v>9144</v>
      </c>
      <c r="I53" s="60">
        <v>9822</v>
      </c>
      <c r="J53" s="60">
        <v>9767</v>
      </c>
      <c r="K53" s="21"/>
      <c r="L53" s="21"/>
      <c r="M53" s="21"/>
    </row>
    <row r="54" spans="1:19" outlineLevel="1" x14ac:dyDescent="0.2">
      <c r="B54" s="9" t="s">
        <v>54</v>
      </c>
      <c r="C54" s="27">
        <v>108</v>
      </c>
      <c r="D54" s="27">
        <v>88</v>
      </c>
      <c r="E54" s="27">
        <v>77</v>
      </c>
      <c r="F54" s="27">
        <v>82</v>
      </c>
      <c r="G54" s="27">
        <v>93</v>
      </c>
      <c r="H54" s="27">
        <v>71</v>
      </c>
      <c r="I54" s="27">
        <v>79</v>
      </c>
      <c r="J54" s="27">
        <v>70</v>
      </c>
      <c r="K54" s="20"/>
      <c r="L54" s="20"/>
      <c r="M54" s="20"/>
    </row>
    <row r="55" spans="1:19" outlineLevel="1" x14ac:dyDescent="0.2">
      <c r="B55" s="9" t="s">
        <v>57</v>
      </c>
      <c r="C55" s="27">
        <v>13190</v>
      </c>
      <c r="D55" s="27">
        <v>13270</v>
      </c>
      <c r="E55" s="27">
        <v>13212</v>
      </c>
      <c r="F55" s="27">
        <v>13258</v>
      </c>
      <c r="G55" s="27">
        <v>14788</v>
      </c>
      <c r="H55" s="27">
        <v>14811</v>
      </c>
      <c r="I55" s="27">
        <v>14817</v>
      </c>
      <c r="J55" s="27">
        <v>14772</v>
      </c>
      <c r="K55" s="20"/>
      <c r="L55" s="20"/>
      <c r="M55" s="20"/>
    </row>
    <row r="56" spans="1:19" outlineLevel="1" x14ac:dyDescent="0.2">
      <c r="B56" s="9" t="s">
        <v>69</v>
      </c>
      <c r="C56" s="27">
        <v>526</v>
      </c>
      <c r="D56" s="27">
        <v>0</v>
      </c>
      <c r="E56" s="27">
        <v>0</v>
      </c>
      <c r="F56" s="27">
        <v>0</v>
      </c>
      <c r="G56" s="27">
        <v>0</v>
      </c>
      <c r="H56" s="27">
        <v>0</v>
      </c>
      <c r="I56" s="27">
        <v>0</v>
      </c>
      <c r="J56" s="27">
        <v>0</v>
      </c>
      <c r="K56" s="20"/>
      <c r="L56" s="20"/>
      <c r="M56" s="20"/>
    </row>
    <row r="57" spans="1:19" outlineLevel="1" x14ac:dyDescent="0.2">
      <c r="B57" s="9" t="s">
        <v>71</v>
      </c>
      <c r="C57" s="27">
        <v>0</v>
      </c>
      <c r="D57" s="27">
        <v>0</v>
      </c>
      <c r="E57" s="27">
        <v>0</v>
      </c>
      <c r="F57" s="27">
        <v>0</v>
      </c>
      <c r="G57" s="27">
        <v>0</v>
      </c>
      <c r="H57" s="27">
        <v>0</v>
      </c>
      <c r="I57" s="27">
        <v>0</v>
      </c>
      <c r="J57" s="27">
        <v>0</v>
      </c>
      <c r="K57" s="20"/>
      <c r="L57" s="20"/>
      <c r="M57" s="20"/>
    </row>
    <row r="58" spans="1:19" outlineLevel="1" x14ac:dyDescent="0.2">
      <c r="B58" s="9" t="s">
        <v>58</v>
      </c>
      <c r="C58" s="27">
        <v>4500</v>
      </c>
      <c r="D58" s="27">
        <v>5018</v>
      </c>
      <c r="E58" s="27">
        <v>5452</v>
      </c>
      <c r="F58" s="27">
        <v>4760</v>
      </c>
      <c r="G58" s="27">
        <v>4972</v>
      </c>
      <c r="H58" s="27">
        <v>4911</v>
      </c>
      <c r="I58" s="27">
        <v>5243</v>
      </c>
      <c r="J58" s="27">
        <v>5249</v>
      </c>
      <c r="K58" s="20"/>
      <c r="L58" s="20"/>
      <c r="M58" s="20"/>
    </row>
    <row r="59" spans="1:19" s="7" customFormat="1" outlineLevel="1" x14ac:dyDescent="0.2">
      <c r="B59" s="11" t="s">
        <v>59</v>
      </c>
      <c r="C59" s="61">
        <f t="shared" ref="C59:H59" si="10">SUM(C54:C58)</f>
        <v>18324</v>
      </c>
      <c r="D59" s="61">
        <f t="shared" si="10"/>
        <v>18376</v>
      </c>
      <c r="E59" s="61">
        <f t="shared" si="10"/>
        <v>18741</v>
      </c>
      <c r="F59" s="61">
        <f t="shared" si="10"/>
        <v>18100</v>
      </c>
      <c r="G59" s="61">
        <f t="shared" si="10"/>
        <v>19853</v>
      </c>
      <c r="H59" s="61">
        <f t="shared" si="10"/>
        <v>19793</v>
      </c>
      <c r="I59" s="61">
        <f t="shared" ref="I59:J59" si="11">SUM(I54:I58)</f>
        <v>20139</v>
      </c>
      <c r="J59" s="61">
        <f t="shared" si="11"/>
        <v>20091</v>
      </c>
      <c r="K59" s="21"/>
      <c r="L59" s="21"/>
      <c r="M59" s="21"/>
    </row>
    <row r="60" spans="1:19" s="18" customFormat="1" outlineLevel="1" x14ac:dyDescent="0.2">
      <c r="A60" s="7"/>
      <c r="B60" s="17" t="s">
        <v>60</v>
      </c>
      <c r="C60" s="56">
        <v>28071</v>
      </c>
      <c r="D60" s="56">
        <v>28880</v>
      </c>
      <c r="E60" s="56">
        <v>28695</v>
      </c>
      <c r="F60" s="56">
        <v>27644</v>
      </c>
      <c r="G60" s="56">
        <v>27653</v>
      </c>
      <c r="H60" s="56">
        <v>28937</v>
      </c>
      <c r="I60" s="56">
        <v>29961</v>
      </c>
      <c r="J60" s="56">
        <v>29858</v>
      </c>
      <c r="K60" s="21"/>
      <c r="L60" s="21"/>
      <c r="M60" s="21"/>
      <c r="O60" s="7"/>
      <c r="S60" s="7"/>
    </row>
    <row r="61" spans="1:19" outlineLevel="1" x14ac:dyDescent="0.2">
      <c r="B61" s="9" t="s">
        <v>62</v>
      </c>
      <c r="C61" s="27">
        <v>0</v>
      </c>
      <c r="D61" s="27">
        <v>0</v>
      </c>
      <c r="E61" s="27">
        <v>0</v>
      </c>
      <c r="F61" s="27">
        <v>0</v>
      </c>
      <c r="G61" s="27">
        <v>0</v>
      </c>
      <c r="H61" s="27">
        <v>0</v>
      </c>
      <c r="I61" s="27">
        <v>0</v>
      </c>
      <c r="J61" s="27">
        <v>0</v>
      </c>
      <c r="K61" s="20"/>
      <c r="L61" s="20"/>
      <c r="M61" s="20"/>
    </row>
    <row r="62" spans="1:19" outlineLevel="1" x14ac:dyDescent="0.2">
      <c r="B62" s="9" t="s">
        <v>63</v>
      </c>
      <c r="C62" s="27">
        <v>0</v>
      </c>
      <c r="D62" s="27">
        <v>0</v>
      </c>
      <c r="E62" s="27">
        <v>0</v>
      </c>
      <c r="F62" s="27">
        <v>0</v>
      </c>
      <c r="G62" s="27">
        <v>0</v>
      </c>
      <c r="H62" s="27">
        <v>0</v>
      </c>
      <c r="I62" s="27">
        <v>0</v>
      </c>
      <c r="J62" s="27">
        <v>0</v>
      </c>
      <c r="K62" s="20"/>
      <c r="L62" s="20"/>
      <c r="M62" s="20"/>
    </row>
    <row r="63" spans="1:19" outlineLevel="1" x14ac:dyDescent="0.2">
      <c r="B63" s="9" t="s">
        <v>64</v>
      </c>
      <c r="C63" s="27">
        <v>24273</v>
      </c>
      <c r="D63" s="27">
        <v>25687</v>
      </c>
      <c r="E63" s="27">
        <v>26607</v>
      </c>
      <c r="F63" s="27">
        <v>27333</v>
      </c>
      <c r="G63" s="27">
        <v>26552</v>
      </c>
      <c r="H63" s="27">
        <v>20646</v>
      </c>
      <c r="I63" s="27">
        <v>22498</v>
      </c>
      <c r="J63" s="27">
        <v>26901</v>
      </c>
      <c r="K63" s="20"/>
      <c r="L63" s="20"/>
      <c r="M63" s="20"/>
    </row>
    <row r="64" spans="1:19" outlineLevel="1" x14ac:dyDescent="0.2">
      <c r="B64" s="9" t="s">
        <v>65</v>
      </c>
      <c r="C64" s="27">
        <v>397</v>
      </c>
      <c r="D64" s="27">
        <v>587</v>
      </c>
      <c r="E64" s="27">
        <v>273</v>
      </c>
      <c r="F64" s="27">
        <v>395</v>
      </c>
      <c r="G64" s="27">
        <v>657</v>
      </c>
      <c r="H64" s="27">
        <v>560</v>
      </c>
      <c r="I64" s="27">
        <v>575</v>
      </c>
      <c r="J64" s="27">
        <v>377</v>
      </c>
      <c r="K64" s="20"/>
      <c r="L64" s="20"/>
      <c r="M64" s="20"/>
    </row>
    <row r="65" spans="1:19" s="7" customFormat="1" outlineLevel="1" x14ac:dyDescent="0.2">
      <c r="B65" s="11" t="s">
        <v>66</v>
      </c>
      <c r="C65" s="60">
        <v>24670</v>
      </c>
      <c r="D65" s="60">
        <v>26274</v>
      </c>
      <c r="E65" s="60">
        <v>26880</v>
      </c>
      <c r="F65" s="60">
        <v>27728</v>
      </c>
      <c r="G65" s="60">
        <v>27209</v>
      </c>
      <c r="H65" s="60">
        <v>21206</v>
      </c>
      <c r="I65" s="60">
        <v>23073</v>
      </c>
      <c r="J65" s="60">
        <v>27278</v>
      </c>
      <c r="K65" s="21"/>
      <c r="L65" s="21"/>
      <c r="M65" s="21"/>
    </row>
    <row r="66" spans="1:19" outlineLevel="1" x14ac:dyDescent="0.2">
      <c r="B66" s="9" t="s">
        <v>31</v>
      </c>
      <c r="C66" s="27">
        <v>0</v>
      </c>
      <c r="D66" s="27">
        <v>0</v>
      </c>
      <c r="E66" s="27">
        <v>0</v>
      </c>
      <c r="F66" s="27">
        <v>0</v>
      </c>
      <c r="G66" s="27">
        <v>0</v>
      </c>
      <c r="H66" s="27">
        <v>0</v>
      </c>
      <c r="I66" s="27">
        <v>0</v>
      </c>
      <c r="J66" s="27">
        <v>0</v>
      </c>
      <c r="K66" s="20"/>
      <c r="L66" s="20"/>
      <c r="M66" s="20"/>
    </row>
    <row r="67" spans="1:19" s="8" customFormat="1" outlineLevel="1" x14ac:dyDescent="0.2">
      <c r="B67" s="12" t="s">
        <v>67</v>
      </c>
      <c r="C67" s="27">
        <v>24670</v>
      </c>
      <c r="D67" s="27">
        <v>26274</v>
      </c>
      <c r="E67" s="27">
        <v>26880</v>
      </c>
      <c r="F67" s="27">
        <v>27728</v>
      </c>
      <c r="G67" s="27">
        <v>27209</v>
      </c>
      <c r="H67" s="27">
        <v>21206</v>
      </c>
      <c r="I67" s="27">
        <v>23073</v>
      </c>
      <c r="J67" s="27">
        <v>27278</v>
      </c>
      <c r="K67" s="20"/>
      <c r="L67" s="20"/>
      <c r="M67" s="20"/>
    </row>
    <row r="68" spans="1:19" s="13" customFormat="1" ht="17" outlineLevel="1" thickBot="1" x14ac:dyDescent="0.25">
      <c r="A68" s="7"/>
      <c r="B68" s="19" t="s">
        <v>68</v>
      </c>
      <c r="C68" s="63">
        <v>52741</v>
      </c>
      <c r="D68" s="63">
        <v>55154</v>
      </c>
      <c r="E68" s="63">
        <v>55575</v>
      </c>
      <c r="F68" s="63">
        <v>55372</v>
      </c>
      <c r="G68" s="63">
        <v>54862</v>
      </c>
      <c r="H68" s="63">
        <v>50143</v>
      </c>
      <c r="I68" s="63">
        <v>53034</v>
      </c>
      <c r="J68" s="63">
        <v>57136</v>
      </c>
      <c r="K68" s="21"/>
      <c r="L68" s="21"/>
      <c r="M68" s="21"/>
      <c r="O68" s="7"/>
      <c r="S68" s="7"/>
    </row>
    <row r="69" spans="1:19" x14ac:dyDescent="0.2">
      <c r="B69" s="1"/>
    </row>
    <row r="70" spans="1:19" s="14" customFormat="1" ht="17" thickBot="1" x14ac:dyDescent="0.25">
      <c r="A70" s="4"/>
      <c r="B70" s="15" t="s">
        <v>73</v>
      </c>
      <c r="K70" s="4"/>
      <c r="L70" s="4"/>
      <c r="M70" s="4"/>
      <c r="O70" s="4"/>
      <c r="S70" s="4"/>
    </row>
    <row r="71" spans="1:19" outlineLevel="1" x14ac:dyDescent="0.2">
      <c r="B71" s="9" t="s">
        <v>30</v>
      </c>
      <c r="C71" s="20">
        <f t="shared" ref="C71:H71" si="12">C19</f>
        <v>2108</v>
      </c>
      <c r="D71" s="20">
        <f t="shared" si="12"/>
        <v>2915</v>
      </c>
      <c r="E71" s="20">
        <f t="shared" si="12"/>
        <v>3180</v>
      </c>
      <c r="F71" s="20">
        <f t="shared" si="12"/>
        <v>2812</v>
      </c>
      <c r="G71" s="20">
        <f t="shared" si="12"/>
        <v>2666</v>
      </c>
      <c r="H71" s="20">
        <f t="shared" si="12"/>
        <v>-3117</v>
      </c>
      <c r="I71" s="20">
        <f t="shared" ref="I71:J71" si="13">I19</f>
        <v>3004</v>
      </c>
      <c r="J71" s="20">
        <f t="shared" si="13"/>
        <v>7370</v>
      </c>
      <c r="K71" s="20"/>
      <c r="L71" s="20"/>
      <c r="M71" s="20"/>
    </row>
    <row r="72" spans="1:19" outlineLevel="1" x14ac:dyDescent="0.2">
      <c r="B72" s="9" t="s">
        <v>74</v>
      </c>
      <c r="C72" s="27">
        <v>419</v>
      </c>
      <c r="D72" s="27">
        <v>439</v>
      </c>
      <c r="E72" s="27">
        <v>436</v>
      </c>
      <c r="F72" s="27">
        <v>397</v>
      </c>
      <c r="G72" s="27">
        <v>398</v>
      </c>
      <c r="H72" s="27">
        <v>371</v>
      </c>
      <c r="I72" s="27">
        <v>393</v>
      </c>
      <c r="J72" s="27">
        <v>413</v>
      </c>
      <c r="K72" s="27"/>
      <c r="L72" s="27"/>
      <c r="M72" s="20"/>
    </row>
    <row r="73" spans="1:19" outlineLevel="1" x14ac:dyDescent="0.2">
      <c r="B73" s="9" t="s">
        <v>264</v>
      </c>
      <c r="C73" s="27">
        <v>-774</v>
      </c>
      <c r="D73" s="27">
        <v>-526</v>
      </c>
      <c r="E73" s="27">
        <v>247</v>
      </c>
      <c r="F73" s="27">
        <v>-1146</v>
      </c>
      <c r="G73" s="27">
        <v>-636</v>
      </c>
      <c r="H73" s="27">
        <v>5515</v>
      </c>
      <c r="I73" s="27">
        <v>291</v>
      </c>
      <c r="J73" s="27">
        <v>-6147</v>
      </c>
      <c r="K73" s="27"/>
      <c r="L73" s="27"/>
      <c r="M73" s="20"/>
    </row>
    <row r="74" spans="1:19" outlineLevel="1" x14ac:dyDescent="0.2">
      <c r="B74" s="12" t="s">
        <v>114</v>
      </c>
      <c r="C74" s="27">
        <v>644</v>
      </c>
      <c r="D74" s="27">
        <v>697</v>
      </c>
      <c r="E74" s="27">
        <v>759</v>
      </c>
      <c r="F74" s="27">
        <v>702</v>
      </c>
      <c r="G74" s="27">
        <v>659</v>
      </c>
      <c r="H74" s="27">
        <v>663</v>
      </c>
      <c r="I74" s="27">
        <v>888</v>
      </c>
      <c r="J74" s="27">
        <v>861</v>
      </c>
      <c r="K74" s="27"/>
      <c r="L74" s="27"/>
      <c r="M74" s="20"/>
    </row>
    <row r="75" spans="1:19" outlineLevel="1" x14ac:dyDescent="0.2">
      <c r="B75" s="9" t="s">
        <v>76</v>
      </c>
      <c r="C75" s="27">
        <v>-42</v>
      </c>
      <c r="D75" s="27">
        <v>-35</v>
      </c>
      <c r="E75" s="27">
        <v>-45</v>
      </c>
      <c r="F75" s="27">
        <v>36</v>
      </c>
      <c r="G75" s="27">
        <v>-288</v>
      </c>
      <c r="H75" s="27">
        <v>-84</v>
      </c>
      <c r="I75" s="27">
        <v>-165</v>
      </c>
      <c r="J75" s="27">
        <v>118</v>
      </c>
      <c r="K75" s="27"/>
      <c r="L75" s="27"/>
      <c r="M75" s="20"/>
    </row>
    <row r="76" spans="1:19" outlineLevel="1" x14ac:dyDescent="0.2">
      <c r="B76" s="9" t="s">
        <v>77</v>
      </c>
      <c r="C76" s="27">
        <v>5</v>
      </c>
      <c r="D76" s="27">
        <v>-60</v>
      </c>
      <c r="E76" s="27">
        <v>0</v>
      </c>
      <c r="F76" s="27">
        <v>41</v>
      </c>
      <c r="G76" s="27">
        <v>52</v>
      </c>
      <c r="H76" s="27">
        <v>-76</v>
      </c>
      <c r="I76" s="27">
        <v>0</v>
      </c>
      <c r="J76" s="27">
        <v>0</v>
      </c>
      <c r="K76" s="27"/>
      <c r="L76" s="27"/>
      <c r="M76" s="20"/>
    </row>
    <row r="77" spans="1:19" outlineLevel="1" x14ac:dyDescent="0.2">
      <c r="B77" s="9" t="s">
        <v>78</v>
      </c>
      <c r="C77" s="27">
        <v>0</v>
      </c>
      <c r="D77" s="27">
        <v>79</v>
      </c>
      <c r="E77" s="27">
        <v>0</v>
      </c>
      <c r="F77" s="27">
        <v>0</v>
      </c>
      <c r="G77" s="27">
        <v>0</v>
      </c>
      <c r="H77" s="27">
        <v>113</v>
      </c>
      <c r="I77" s="27">
        <v>0</v>
      </c>
      <c r="J77" s="27">
        <v>0</v>
      </c>
      <c r="K77" s="27"/>
      <c r="L77" s="27"/>
      <c r="M77" s="20"/>
    </row>
    <row r="78" spans="1:19" outlineLevel="1" x14ac:dyDescent="0.2">
      <c r="B78" s="9" t="s">
        <v>79</v>
      </c>
      <c r="C78" s="27">
        <v>0</v>
      </c>
      <c r="D78" s="27">
        <v>0</v>
      </c>
      <c r="E78" s="27">
        <v>0</v>
      </c>
      <c r="F78" s="27">
        <v>0</v>
      </c>
      <c r="G78" s="27">
        <v>0</v>
      </c>
      <c r="H78" s="27">
        <v>0</v>
      </c>
      <c r="I78" s="27">
        <v>0</v>
      </c>
      <c r="J78" s="27">
        <v>0</v>
      </c>
      <c r="K78" s="27"/>
      <c r="L78" s="27"/>
      <c r="M78" s="20"/>
    </row>
    <row r="79" spans="1:19" outlineLevel="1" x14ac:dyDescent="0.2">
      <c r="B79" s="9" t="s">
        <v>80</v>
      </c>
      <c r="C79" s="27">
        <v>-33</v>
      </c>
      <c r="D79" s="27">
        <v>-4</v>
      </c>
      <c r="E79" s="27">
        <v>-23</v>
      </c>
      <c r="F79" s="27">
        <v>-46</v>
      </c>
      <c r="G79" s="27">
        <v>46</v>
      </c>
      <c r="H79" s="27">
        <v>-34</v>
      </c>
      <c r="I79" s="27">
        <v>-40</v>
      </c>
      <c r="J79" s="27">
        <v>-90</v>
      </c>
      <c r="K79" s="27"/>
      <c r="L79" s="27"/>
      <c r="M79" s="20"/>
    </row>
    <row r="80" spans="1:19" outlineLevel="1" x14ac:dyDescent="0.2">
      <c r="B80" s="9" t="s">
        <v>81</v>
      </c>
      <c r="C80" s="27">
        <v>129</v>
      </c>
      <c r="D80" s="27">
        <v>-989</v>
      </c>
      <c r="E80" s="27">
        <v>392</v>
      </c>
      <c r="F80" s="27">
        <v>-165</v>
      </c>
      <c r="G80" s="27">
        <v>308</v>
      </c>
      <c r="H80" s="27">
        <v>-900</v>
      </c>
      <c r="I80" s="27">
        <v>243</v>
      </c>
      <c r="J80" s="27">
        <v>-185</v>
      </c>
      <c r="K80" s="27"/>
      <c r="L80" s="27"/>
      <c r="M80" s="20"/>
    </row>
    <row r="81" spans="1:19" outlineLevel="1" x14ac:dyDescent="0.2">
      <c r="B81" s="9" t="s">
        <v>82</v>
      </c>
      <c r="C81" s="27">
        <v>69</v>
      </c>
      <c r="D81" s="27">
        <v>-384</v>
      </c>
      <c r="E81" s="27">
        <v>111</v>
      </c>
      <c r="F81" s="27">
        <v>91</v>
      </c>
      <c r="G81" s="27">
        <v>-169</v>
      </c>
      <c r="H81" s="27">
        <v>-171</v>
      </c>
      <c r="I81" s="27">
        <v>-99</v>
      </c>
      <c r="J81" s="27">
        <v>-703</v>
      </c>
      <c r="K81" s="27"/>
      <c r="L81" s="27"/>
      <c r="M81" s="20"/>
    </row>
    <row r="82" spans="1:19" outlineLevel="1" x14ac:dyDescent="0.2">
      <c r="B82" s="9" t="s">
        <v>83</v>
      </c>
      <c r="C82" s="27">
        <v>-101</v>
      </c>
      <c r="D82" s="27">
        <v>110</v>
      </c>
      <c r="E82" s="27">
        <v>148</v>
      </c>
      <c r="F82" s="27">
        <v>151</v>
      </c>
      <c r="G82" s="27">
        <v>62</v>
      </c>
      <c r="H82" s="27">
        <v>610</v>
      </c>
      <c r="I82" s="27">
        <v>553</v>
      </c>
      <c r="J82" s="27">
        <v>466</v>
      </c>
      <c r="K82" s="27"/>
      <c r="L82" s="27"/>
      <c r="M82" s="20"/>
    </row>
    <row r="83" spans="1:19" outlineLevel="1" x14ac:dyDescent="0.2">
      <c r="B83" s="9" t="s">
        <v>84</v>
      </c>
      <c r="C83" s="27">
        <v>271</v>
      </c>
      <c r="D83" s="27">
        <v>-9</v>
      </c>
      <c r="E83" s="27">
        <v>11</v>
      </c>
      <c r="F83" s="27">
        <v>-108</v>
      </c>
      <c r="G83" s="27">
        <v>-123</v>
      </c>
      <c r="H83" s="27">
        <v>339</v>
      </c>
      <c r="I83" s="27">
        <v>-73</v>
      </c>
      <c r="J83" s="27">
        <v>302</v>
      </c>
      <c r="K83" s="27"/>
      <c r="L83" s="27"/>
      <c r="M83" s="20"/>
    </row>
    <row r="84" spans="1:19" outlineLevel="1" x14ac:dyDescent="0.2">
      <c r="B84" s="9" t="s">
        <v>85</v>
      </c>
      <c r="C84" s="27">
        <v>368</v>
      </c>
      <c r="D84" s="27">
        <v>392</v>
      </c>
      <c r="E84" s="27">
        <v>-541</v>
      </c>
      <c r="F84" s="27">
        <v>-232</v>
      </c>
      <c r="G84" s="27">
        <v>-170</v>
      </c>
      <c r="H84" s="27">
        <v>708</v>
      </c>
      <c r="I84" s="27">
        <v>100</v>
      </c>
      <c r="J84" s="27">
        <v>108</v>
      </c>
      <c r="K84" s="27"/>
      <c r="L84" s="27"/>
      <c r="M84" s="20"/>
    </row>
    <row r="85" spans="1:19" outlineLevel="1" x14ac:dyDescent="0.2">
      <c r="B85" s="9" t="s">
        <v>86</v>
      </c>
      <c r="C85" s="27">
        <v>-11</v>
      </c>
      <c r="D85" s="27">
        <v>22</v>
      </c>
      <c r="E85" s="27">
        <v>-88</v>
      </c>
      <c r="F85" s="27">
        <v>21</v>
      </c>
      <c r="G85" s="27">
        <v>70</v>
      </c>
      <c r="H85" s="27">
        <v>59</v>
      </c>
      <c r="I85" s="27">
        <v>-130</v>
      </c>
      <c r="J85" s="27">
        <v>-64</v>
      </c>
      <c r="K85" s="27"/>
      <c r="L85" s="27"/>
      <c r="M85" s="20"/>
    </row>
    <row r="86" spans="1:19" outlineLevel="1" x14ac:dyDescent="0.2">
      <c r="B86" s="9" t="s">
        <v>115</v>
      </c>
      <c r="C86" s="27">
        <v>0</v>
      </c>
      <c r="D86" s="27">
        <v>0</v>
      </c>
      <c r="E86" s="27">
        <v>0</v>
      </c>
      <c r="F86" s="27">
        <v>0</v>
      </c>
      <c r="G86" s="27">
        <v>0</v>
      </c>
      <c r="H86" s="27">
        <v>0</v>
      </c>
      <c r="I86" s="27">
        <v>0</v>
      </c>
      <c r="J86" s="27">
        <v>0</v>
      </c>
      <c r="K86" s="27"/>
      <c r="L86" s="27"/>
      <c r="M86" s="20"/>
    </row>
    <row r="87" spans="1:19" s="18" customFormat="1" outlineLevel="1" x14ac:dyDescent="0.2">
      <c r="A87" s="7"/>
      <c r="B87" s="17" t="s">
        <v>87</v>
      </c>
      <c r="C87" s="56">
        <v>3052</v>
      </c>
      <c r="D87" s="56">
        <v>2647</v>
      </c>
      <c r="E87" s="56">
        <v>4587</v>
      </c>
      <c r="F87" s="56">
        <v>2554</v>
      </c>
      <c r="G87" s="56">
        <v>2875</v>
      </c>
      <c r="H87" s="56">
        <v>3996</v>
      </c>
      <c r="I87" s="56">
        <v>4965</v>
      </c>
      <c r="J87" s="56">
        <v>2449</v>
      </c>
      <c r="K87" s="33"/>
      <c r="L87" s="33"/>
      <c r="M87" s="21"/>
      <c r="O87" s="7"/>
      <c r="S87" s="7"/>
    </row>
    <row r="88" spans="1:19" outlineLevel="1" x14ac:dyDescent="0.2">
      <c r="B88" s="9" t="s">
        <v>88</v>
      </c>
      <c r="C88" s="27">
        <v>-387</v>
      </c>
      <c r="D88" s="27">
        <v>-256</v>
      </c>
      <c r="E88" s="27">
        <v>-277</v>
      </c>
      <c r="F88" s="27">
        <v>-214</v>
      </c>
      <c r="G88" s="27">
        <v>-294</v>
      </c>
      <c r="H88" s="27">
        <v>-407</v>
      </c>
      <c r="I88" s="27">
        <v>-549</v>
      </c>
      <c r="J88" s="27">
        <v>-533</v>
      </c>
      <c r="K88" s="27"/>
      <c r="L88" s="27"/>
      <c r="M88" s="20"/>
    </row>
    <row r="89" spans="1:19" outlineLevel="1" x14ac:dyDescent="0.2">
      <c r="B89" s="9" t="s">
        <v>89</v>
      </c>
      <c r="C89" s="27">
        <v>-1314</v>
      </c>
      <c r="D89" s="27">
        <v>-913</v>
      </c>
      <c r="E89" s="27">
        <v>-914</v>
      </c>
      <c r="F89" s="27">
        <v>-2412</v>
      </c>
      <c r="G89" s="27">
        <v>-459</v>
      </c>
      <c r="H89" s="27">
        <v>-909</v>
      </c>
      <c r="I89" s="27">
        <v>-883</v>
      </c>
      <c r="J89" s="27">
        <v>-1042</v>
      </c>
      <c r="K89" s="27"/>
      <c r="L89" s="27"/>
      <c r="M89" s="20"/>
    </row>
    <row r="90" spans="1:19" outlineLevel="1" x14ac:dyDescent="0.2">
      <c r="B90" s="9" t="s">
        <v>90</v>
      </c>
      <c r="C90" s="27">
        <v>717</v>
      </c>
      <c r="D90" s="27">
        <v>782</v>
      </c>
      <c r="E90" s="27">
        <v>752</v>
      </c>
      <c r="F90" s="27">
        <v>1403</v>
      </c>
      <c r="G90" s="27">
        <v>2737</v>
      </c>
      <c r="H90" s="27">
        <v>863</v>
      </c>
      <c r="I90" s="27">
        <v>767</v>
      </c>
      <c r="J90" s="27">
        <v>1218</v>
      </c>
      <c r="K90" s="27"/>
      <c r="L90" s="27"/>
      <c r="M90" s="20"/>
    </row>
    <row r="91" spans="1:19" outlineLevel="1" x14ac:dyDescent="0.2">
      <c r="B91" s="9" t="s">
        <v>91</v>
      </c>
      <c r="C91" s="27">
        <v>0</v>
      </c>
      <c r="D91" s="27">
        <v>0</v>
      </c>
      <c r="E91" s="27">
        <v>0</v>
      </c>
      <c r="F91" s="27">
        <v>0</v>
      </c>
      <c r="G91" s="27">
        <v>0</v>
      </c>
      <c r="H91" s="27">
        <v>0</v>
      </c>
      <c r="I91" s="27">
        <v>0</v>
      </c>
      <c r="J91" s="27">
        <v>0</v>
      </c>
      <c r="K91" s="27"/>
      <c r="L91" s="27"/>
      <c r="M91" s="20"/>
    </row>
    <row r="92" spans="1:19" outlineLevel="1" x14ac:dyDescent="0.2">
      <c r="B92" s="9" t="s">
        <v>92</v>
      </c>
      <c r="C92" s="27">
        <v>0</v>
      </c>
      <c r="D92" s="27">
        <v>0</v>
      </c>
      <c r="E92" s="27">
        <v>0</v>
      </c>
      <c r="F92" s="27">
        <v>0</v>
      </c>
      <c r="G92" s="27">
        <v>0</v>
      </c>
      <c r="H92" s="27">
        <v>0</v>
      </c>
      <c r="I92" s="27">
        <v>0</v>
      </c>
      <c r="J92" s="27">
        <v>0</v>
      </c>
      <c r="K92" s="27"/>
      <c r="L92" s="27"/>
      <c r="M92" s="20"/>
    </row>
    <row r="93" spans="1:19" outlineLevel="1" x14ac:dyDescent="0.2">
      <c r="B93" s="9" t="s">
        <v>93</v>
      </c>
      <c r="C93" s="27">
        <v>0</v>
      </c>
      <c r="D93" s="27">
        <v>0</v>
      </c>
      <c r="E93" s="27">
        <v>0</v>
      </c>
      <c r="F93" s="27">
        <v>0</v>
      </c>
      <c r="G93" s="27">
        <v>0</v>
      </c>
      <c r="H93" s="27">
        <v>0</v>
      </c>
      <c r="I93" s="27">
        <v>0</v>
      </c>
      <c r="J93" s="27">
        <v>0</v>
      </c>
      <c r="K93" s="27"/>
      <c r="L93" s="27"/>
      <c r="M93" s="20"/>
    </row>
    <row r="94" spans="1:19" outlineLevel="1" x14ac:dyDescent="0.2">
      <c r="B94" s="9" t="s">
        <v>94</v>
      </c>
      <c r="C94" s="27">
        <v>0</v>
      </c>
      <c r="D94" s="27">
        <v>0</v>
      </c>
      <c r="E94" s="27">
        <v>0</v>
      </c>
      <c r="F94" s="27">
        <v>0</v>
      </c>
      <c r="G94" s="27">
        <v>0</v>
      </c>
      <c r="H94" s="27">
        <v>0</v>
      </c>
      <c r="I94" s="27">
        <v>0</v>
      </c>
      <c r="J94" s="27">
        <v>0</v>
      </c>
      <c r="K94" s="27"/>
      <c r="L94" s="27"/>
      <c r="M94" s="20"/>
    </row>
    <row r="95" spans="1:19" outlineLevel="1" x14ac:dyDescent="0.2">
      <c r="B95" s="9" t="s">
        <v>95</v>
      </c>
      <c r="C95" s="27">
        <v>0</v>
      </c>
      <c r="D95" s="27">
        <v>0</v>
      </c>
      <c r="E95" s="27">
        <v>0</v>
      </c>
      <c r="F95" s="27">
        <v>0</v>
      </c>
      <c r="G95" s="27">
        <v>0</v>
      </c>
      <c r="H95" s="27">
        <v>0</v>
      </c>
      <c r="I95" s="27">
        <v>0</v>
      </c>
      <c r="J95" s="27">
        <v>0</v>
      </c>
      <c r="K95" s="27"/>
      <c r="L95" s="27"/>
      <c r="M95" s="20"/>
    </row>
    <row r="96" spans="1:19" outlineLevel="1" x14ac:dyDescent="0.2">
      <c r="B96" s="9" t="s">
        <v>96</v>
      </c>
      <c r="C96" s="27">
        <v>-69</v>
      </c>
      <c r="D96" s="27">
        <v>-20</v>
      </c>
      <c r="E96" s="27">
        <v>-260</v>
      </c>
      <c r="F96" s="27">
        <v>-81</v>
      </c>
      <c r="G96" s="27">
        <v>-370</v>
      </c>
      <c r="H96" s="27">
        <v>-32</v>
      </c>
      <c r="I96" s="27">
        <v>-1090</v>
      </c>
      <c r="J96" s="27">
        <v>-148</v>
      </c>
      <c r="K96" s="27"/>
      <c r="L96" s="27"/>
      <c r="M96" s="20"/>
    </row>
    <row r="97" spans="1:19" outlineLevel="1" x14ac:dyDescent="0.2">
      <c r="B97" s="9" t="s">
        <v>116</v>
      </c>
      <c r="C97" s="27">
        <v>2</v>
      </c>
      <c r="D97" s="27">
        <v>0</v>
      </c>
      <c r="E97" s="27">
        <v>0</v>
      </c>
      <c r="F97" s="27">
        <v>0</v>
      </c>
      <c r="G97" s="27">
        <v>0</v>
      </c>
      <c r="H97" s="27">
        <v>14</v>
      </c>
      <c r="I97" s="27">
        <v>0</v>
      </c>
      <c r="J97" s="27">
        <v>0</v>
      </c>
      <c r="K97" s="27"/>
      <c r="L97" s="27"/>
      <c r="M97" s="20"/>
    </row>
    <row r="98" spans="1:19" outlineLevel="1" x14ac:dyDescent="0.2">
      <c r="B98" s="9" t="s">
        <v>97</v>
      </c>
      <c r="C98" s="27">
        <v>8</v>
      </c>
      <c r="D98" s="27">
        <v>18</v>
      </c>
      <c r="E98" s="27">
        <v>0</v>
      </c>
      <c r="F98" s="27">
        <v>41</v>
      </c>
      <c r="G98" s="27">
        <v>12</v>
      </c>
      <c r="H98" s="27">
        <v>8</v>
      </c>
      <c r="I98" s="27">
        <v>0</v>
      </c>
      <c r="J98" s="27">
        <v>0</v>
      </c>
      <c r="K98" s="27"/>
      <c r="L98" s="27"/>
      <c r="M98" s="20"/>
    </row>
    <row r="99" spans="1:19" outlineLevel="1" x14ac:dyDescent="0.2">
      <c r="B99" s="9" t="s">
        <v>98</v>
      </c>
      <c r="C99" s="27">
        <v>0</v>
      </c>
      <c r="D99" s="27">
        <v>0</v>
      </c>
      <c r="E99" s="27">
        <v>0</v>
      </c>
      <c r="F99" s="27">
        <v>0</v>
      </c>
      <c r="G99" s="27">
        <v>0</v>
      </c>
      <c r="H99" s="27">
        <v>0</v>
      </c>
      <c r="I99" s="27">
        <v>0</v>
      </c>
      <c r="J99" s="27">
        <v>0</v>
      </c>
      <c r="K99" s="27"/>
      <c r="L99" s="27"/>
      <c r="M99" s="20"/>
    </row>
    <row r="100" spans="1:19" outlineLevel="1" x14ac:dyDescent="0.2">
      <c r="B100" s="9" t="s">
        <v>134</v>
      </c>
      <c r="C100" s="27">
        <v>-2</v>
      </c>
      <c r="D100" s="27">
        <v>4</v>
      </c>
      <c r="E100" s="27">
        <v>0</v>
      </c>
      <c r="F100" s="27">
        <v>0</v>
      </c>
      <c r="G100" s="27">
        <v>0</v>
      </c>
      <c r="H100" s="27">
        <v>0</v>
      </c>
      <c r="I100" s="27">
        <v>0</v>
      </c>
      <c r="J100" s="27">
        <v>0</v>
      </c>
      <c r="K100" s="27"/>
      <c r="L100" s="27"/>
      <c r="M100" s="20"/>
    </row>
    <row r="101" spans="1:19" outlineLevel="1" x14ac:dyDescent="0.2">
      <c r="B101" s="12" t="s">
        <v>80</v>
      </c>
      <c r="C101" s="27">
        <v>2</v>
      </c>
      <c r="D101" s="27">
        <v>0</v>
      </c>
      <c r="E101" s="27">
        <v>28</v>
      </c>
      <c r="F101" s="27">
        <v>-26</v>
      </c>
      <c r="G101" s="27">
        <v>5</v>
      </c>
      <c r="H101" s="27">
        <v>-8</v>
      </c>
      <c r="I101" s="27">
        <v>34</v>
      </c>
      <c r="J101" s="27">
        <v>4</v>
      </c>
      <c r="K101" s="27"/>
      <c r="L101" s="27"/>
      <c r="M101" s="20"/>
    </row>
    <row r="102" spans="1:19" s="18" customFormat="1" outlineLevel="1" x14ac:dyDescent="0.2">
      <c r="A102" s="7"/>
      <c r="B102" s="17" t="s">
        <v>99</v>
      </c>
      <c r="C102" s="56">
        <v>-1043</v>
      </c>
      <c r="D102" s="56">
        <v>-385</v>
      </c>
      <c r="E102" s="56">
        <v>-671</v>
      </c>
      <c r="F102" s="56">
        <v>-1289</v>
      </c>
      <c r="G102" s="56">
        <v>1631</v>
      </c>
      <c r="H102" s="56">
        <v>-471</v>
      </c>
      <c r="I102" s="56">
        <v>-1721</v>
      </c>
      <c r="J102" s="56">
        <v>-501</v>
      </c>
      <c r="K102" s="33"/>
      <c r="L102" s="33"/>
      <c r="M102" s="21"/>
      <c r="O102" s="7"/>
      <c r="S102" s="7"/>
    </row>
    <row r="103" spans="1:19" outlineLevel="1" x14ac:dyDescent="0.2">
      <c r="B103" s="9" t="s">
        <v>100</v>
      </c>
      <c r="C103" s="27">
        <v>0</v>
      </c>
      <c r="D103" s="27">
        <v>0</v>
      </c>
      <c r="E103" s="27">
        <v>500</v>
      </c>
      <c r="F103" s="27">
        <v>0</v>
      </c>
      <c r="G103" s="27">
        <v>498</v>
      </c>
      <c r="H103" s="27">
        <v>0</v>
      </c>
      <c r="I103" s="27">
        <v>0</v>
      </c>
      <c r="J103" s="27">
        <v>1246</v>
      </c>
      <c r="K103" s="27"/>
      <c r="L103" s="27"/>
      <c r="M103" s="20"/>
    </row>
    <row r="104" spans="1:19" outlineLevel="1" x14ac:dyDescent="0.2">
      <c r="B104" s="9" t="s">
        <v>101</v>
      </c>
      <c r="C104" s="27">
        <v>0</v>
      </c>
      <c r="D104" s="27">
        <v>0</v>
      </c>
      <c r="E104" s="27">
        <v>-500</v>
      </c>
      <c r="F104" s="27">
        <v>0</v>
      </c>
      <c r="G104" s="27">
        <v>-498</v>
      </c>
      <c r="H104" s="27">
        <v>0</v>
      </c>
      <c r="I104" s="27">
        <v>0</v>
      </c>
      <c r="J104" s="27">
        <v>-750</v>
      </c>
      <c r="K104" s="27"/>
      <c r="L104" s="27"/>
      <c r="M104" s="20"/>
    </row>
    <row r="105" spans="1:19" outlineLevel="1" x14ac:dyDescent="0.2">
      <c r="B105" s="9" t="s">
        <v>117</v>
      </c>
      <c r="C105" s="27">
        <v>0</v>
      </c>
      <c r="D105" s="27">
        <v>0</v>
      </c>
      <c r="E105" s="27">
        <v>0</v>
      </c>
      <c r="F105" s="27">
        <v>0</v>
      </c>
      <c r="G105" s="27">
        <v>0</v>
      </c>
      <c r="H105" s="27">
        <v>0</v>
      </c>
      <c r="I105" s="27">
        <v>0</v>
      </c>
      <c r="J105" s="27">
        <v>-174</v>
      </c>
      <c r="K105" s="27"/>
      <c r="L105" s="27"/>
      <c r="M105" s="20"/>
    </row>
    <row r="106" spans="1:19" outlineLevel="1" x14ac:dyDescent="0.2">
      <c r="B106" s="9" t="s">
        <v>102</v>
      </c>
      <c r="C106" s="27">
        <v>0</v>
      </c>
      <c r="D106" s="27">
        <v>0</v>
      </c>
      <c r="E106" s="27">
        <v>0</v>
      </c>
      <c r="F106" s="27">
        <v>0</v>
      </c>
      <c r="G106" s="27">
        <v>1487</v>
      </c>
      <c r="H106" s="27">
        <v>0</v>
      </c>
      <c r="I106" s="27">
        <v>0</v>
      </c>
      <c r="J106" s="27">
        <v>0</v>
      </c>
      <c r="K106" s="27"/>
      <c r="L106" s="27"/>
      <c r="M106" s="20"/>
    </row>
    <row r="107" spans="1:19" outlineLevel="1" x14ac:dyDescent="0.2">
      <c r="B107" s="9" t="s">
        <v>103</v>
      </c>
      <c r="C107" s="27">
        <v>-914</v>
      </c>
      <c r="D107" s="27">
        <v>0</v>
      </c>
      <c r="E107" s="27">
        <v>0</v>
      </c>
      <c r="F107" s="27">
        <v>0</v>
      </c>
      <c r="G107" s="27">
        <v>-1365</v>
      </c>
      <c r="H107" s="27">
        <v>0</v>
      </c>
      <c r="I107" s="27">
        <v>0</v>
      </c>
      <c r="J107" s="27">
        <v>0</v>
      </c>
      <c r="K107" s="27"/>
      <c r="L107" s="27"/>
      <c r="M107" s="20"/>
    </row>
    <row r="108" spans="1:19" outlineLevel="1" x14ac:dyDescent="0.2">
      <c r="B108" s="9" t="s">
        <v>104</v>
      </c>
      <c r="C108" s="27">
        <v>1</v>
      </c>
      <c r="D108" s="27">
        <v>187</v>
      </c>
      <c r="E108" s="27">
        <v>0</v>
      </c>
      <c r="F108" s="27">
        <v>201</v>
      </c>
      <c r="G108" s="27">
        <v>0</v>
      </c>
      <c r="H108" s="27">
        <v>203</v>
      </c>
      <c r="I108" s="27">
        <v>0</v>
      </c>
      <c r="J108" s="27">
        <v>0</v>
      </c>
      <c r="K108" s="27"/>
      <c r="L108" s="27"/>
      <c r="M108" s="20"/>
    </row>
    <row r="109" spans="1:19" outlineLevel="1" x14ac:dyDescent="0.2">
      <c r="B109" s="9" t="s">
        <v>105</v>
      </c>
      <c r="C109" s="27">
        <v>-1303</v>
      </c>
      <c r="D109" s="27">
        <v>-1303</v>
      </c>
      <c r="E109" s="27">
        <v>-1750</v>
      </c>
      <c r="F109" s="27">
        <v>-1748</v>
      </c>
      <c r="G109" s="27">
        <v>-2849</v>
      </c>
      <c r="H109" s="27">
        <v>-2444</v>
      </c>
      <c r="I109" s="27">
        <v>-2650</v>
      </c>
      <c r="J109" s="27">
        <v>-2792</v>
      </c>
      <c r="K109" s="27"/>
      <c r="L109" s="27"/>
      <c r="M109" s="20"/>
    </row>
    <row r="110" spans="1:19" outlineLevel="1" x14ac:dyDescent="0.2">
      <c r="B110" s="9" t="s">
        <v>106</v>
      </c>
      <c r="C110" s="27">
        <v>-949</v>
      </c>
      <c r="D110" s="27">
        <v>-948</v>
      </c>
      <c r="E110" s="27">
        <v>-942</v>
      </c>
      <c r="F110" s="27">
        <v>-938</v>
      </c>
      <c r="G110" s="27">
        <v>-968</v>
      </c>
      <c r="H110" s="27">
        <v>-957</v>
      </c>
      <c r="I110" s="27">
        <v>-949</v>
      </c>
      <c r="J110" s="27">
        <v>-946</v>
      </c>
      <c r="K110" s="27"/>
      <c r="L110" s="27"/>
      <c r="M110" s="20"/>
    </row>
    <row r="111" spans="1:19" outlineLevel="1" x14ac:dyDescent="0.2">
      <c r="B111" s="9" t="s">
        <v>107</v>
      </c>
      <c r="C111" s="27">
        <v>-282</v>
      </c>
      <c r="D111" s="27">
        <v>-135</v>
      </c>
      <c r="E111" s="27">
        <v>-315</v>
      </c>
      <c r="F111" s="27">
        <v>-294</v>
      </c>
      <c r="G111" s="27">
        <v>-269</v>
      </c>
      <c r="H111" s="27">
        <v>-237</v>
      </c>
      <c r="I111" s="27">
        <v>-280</v>
      </c>
      <c r="J111" s="27">
        <v>-256</v>
      </c>
      <c r="K111" s="27"/>
      <c r="L111" s="27"/>
      <c r="M111" s="20"/>
    </row>
    <row r="112" spans="1:19" outlineLevel="1" x14ac:dyDescent="0.2">
      <c r="B112" s="9" t="s">
        <v>108</v>
      </c>
      <c r="C112" s="27">
        <v>0</v>
      </c>
      <c r="D112" s="27">
        <v>0</v>
      </c>
      <c r="E112" s="27">
        <v>0</v>
      </c>
      <c r="F112" s="27">
        <v>0</v>
      </c>
      <c r="G112" s="27">
        <v>0</v>
      </c>
      <c r="H112" s="27">
        <v>0</v>
      </c>
      <c r="I112" s="27">
        <v>0</v>
      </c>
      <c r="J112" s="27">
        <v>0</v>
      </c>
      <c r="K112" s="27"/>
      <c r="L112" s="27"/>
      <c r="M112" s="20"/>
    </row>
    <row r="113" spans="1:19" outlineLevel="1" x14ac:dyDescent="0.2">
      <c r="B113" s="9" t="s">
        <v>80</v>
      </c>
      <c r="C113" s="27">
        <v>-21</v>
      </c>
      <c r="D113" s="27">
        <v>0</v>
      </c>
      <c r="E113" s="27">
        <v>-1</v>
      </c>
      <c r="F113" s="27">
        <v>-2</v>
      </c>
      <c r="G113" s="27">
        <v>-7</v>
      </c>
      <c r="H113" s="27">
        <v>-1</v>
      </c>
      <c r="I113" s="27">
        <v>-3</v>
      </c>
      <c r="J113" s="27">
        <v>-21</v>
      </c>
      <c r="K113" s="27"/>
      <c r="L113" s="27"/>
      <c r="M113" s="20"/>
    </row>
    <row r="114" spans="1:19" outlineLevel="1" x14ac:dyDescent="0.2">
      <c r="B114" s="9" t="s">
        <v>133</v>
      </c>
      <c r="C114" s="27">
        <v>19</v>
      </c>
      <c r="D114" s="27">
        <v>0</v>
      </c>
      <c r="E114" s="27">
        <v>0</v>
      </c>
      <c r="F114" s="27">
        <v>0</v>
      </c>
      <c r="G114" s="27">
        <v>0</v>
      </c>
      <c r="H114" s="27">
        <v>0</v>
      </c>
      <c r="I114" s="27">
        <v>0</v>
      </c>
      <c r="J114" s="27">
        <v>0</v>
      </c>
      <c r="K114" s="27"/>
      <c r="L114" s="27"/>
      <c r="M114" s="20"/>
    </row>
    <row r="115" spans="1:19" s="18" customFormat="1" outlineLevel="1" x14ac:dyDescent="0.2">
      <c r="A115" s="7"/>
      <c r="B115" s="17" t="s">
        <v>109</v>
      </c>
      <c r="C115" s="56">
        <v>-3449</v>
      </c>
      <c r="D115" s="56">
        <v>-2199</v>
      </c>
      <c r="E115" s="56">
        <v>-3008</v>
      </c>
      <c r="F115" s="56">
        <v>-2781</v>
      </c>
      <c r="G115" s="56">
        <v>-3971</v>
      </c>
      <c r="H115" s="56">
        <v>-3436</v>
      </c>
      <c r="I115" s="56">
        <v>-3882</v>
      </c>
      <c r="J115" s="56">
        <v>-3693</v>
      </c>
      <c r="K115" s="33"/>
      <c r="L115" s="33"/>
      <c r="M115" s="21"/>
      <c r="O115" s="7"/>
      <c r="S115" s="7"/>
    </row>
    <row r="116" spans="1:19" outlineLevel="1" x14ac:dyDescent="0.2">
      <c r="B116" s="9" t="s">
        <v>110</v>
      </c>
      <c r="C116" s="27">
        <v>-9</v>
      </c>
      <c r="D116" s="27">
        <v>16</v>
      </c>
      <c r="E116" s="27">
        <v>-44</v>
      </c>
      <c r="F116" s="27">
        <v>6</v>
      </c>
      <c r="G116" s="27">
        <v>33</v>
      </c>
      <c r="H116" s="27">
        <v>-17</v>
      </c>
      <c r="I116" s="27">
        <v>0</v>
      </c>
      <c r="J116" s="27">
        <v>-25</v>
      </c>
      <c r="K116" s="27"/>
      <c r="L116" s="27"/>
      <c r="M116" s="20"/>
    </row>
    <row r="117" spans="1:19" s="7" customFormat="1" outlineLevel="1" x14ac:dyDescent="0.2">
      <c r="B117" s="11" t="s">
        <v>111</v>
      </c>
      <c r="C117" s="60">
        <v>-1449</v>
      </c>
      <c r="D117" s="60">
        <v>79</v>
      </c>
      <c r="E117" s="60">
        <v>864</v>
      </c>
      <c r="F117" s="60">
        <v>-1510</v>
      </c>
      <c r="G117" s="60">
        <v>568</v>
      </c>
      <c r="H117" s="60">
        <v>72</v>
      </c>
      <c r="I117" s="60">
        <v>-638</v>
      </c>
      <c r="J117" s="60">
        <v>-1770</v>
      </c>
      <c r="K117" s="33"/>
      <c r="L117" s="27"/>
      <c r="M117" s="21"/>
    </row>
    <row r="118" spans="1:19" s="7" customFormat="1" outlineLevel="1" x14ac:dyDescent="0.2">
      <c r="B118" s="11" t="s">
        <v>112</v>
      </c>
      <c r="C118" s="60">
        <v>9219</v>
      </c>
      <c r="D118" s="60">
        <v>7770</v>
      </c>
      <c r="E118" s="60">
        <v>7849</v>
      </c>
      <c r="F118" s="60">
        <v>8713</v>
      </c>
      <c r="G118" s="60">
        <v>7203</v>
      </c>
      <c r="H118" s="60">
        <v>7771</v>
      </c>
      <c r="I118" s="60">
        <v>7843</v>
      </c>
      <c r="J118" s="60">
        <v>7205</v>
      </c>
      <c r="K118" s="21"/>
      <c r="L118" s="21"/>
      <c r="M118" s="21"/>
    </row>
    <row r="119" spans="1:19" s="13" customFormat="1" ht="17" outlineLevel="1" thickBot="1" x14ac:dyDescent="0.25">
      <c r="A119" s="7"/>
      <c r="B119" s="19" t="s">
        <v>113</v>
      </c>
      <c r="C119" s="63">
        <v>7770</v>
      </c>
      <c r="D119" s="63">
        <v>7849</v>
      </c>
      <c r="E119" s="63">
        <v>8713</v>
      </c>
      <c r="F119" s="63">
        <v>7203</v>
      </c>
      <c r="G119" s="63">
        <v>7771</v>
      </c>
      <c r="H119" s="63">
        <v>7843</v>
      </c>
      <c r="I119" s="63">
        <v>7205</v>
      </c>
      <c r="J119" s="63">
        <v>5435</v>
      </c>
      <c r="K119" s="21"/>
      <c r="L119" s="21"/>
      <c r="M119" s="21"/>
      <c r="O119" s="7"/>
      <c r="S119" s="7"/>
    </row>
    <row r="120" spans="1:19" x14ac:dyDescent="0.2">
      <c r="B120" s="1"/>
    </row>
    <row r="121" spans="1:19" s="14" customFormat="1" ht="17" thickBot="1" x14ac:dyDescent="0.25">
      <c r="A121" s="4"/>
      <c r="B121" s="15" t="s">
        <v>118</v>
      </c>
      <c r="K121" s="4"/>
      <c r="L121" s="4"/>
      <c r="M121" s="4"/>
      <c r="O121" s="4"/>
      <c r="S121" s="4"/>
    </row>
    <row r="122" spans="1:19" hidden="1" outlineLevel="2" x14ac:dyDescent="0.2">
      <c r="B122" s="9" t="s">
        <v>119</v>
      </c>
      <c r="C122" s="20">
        <f t="shared" ref="C122:H122" si="14">C7-C8-C13+C15+C16+C18</f>
        <v>2108</v>
      </c>
      <c r="D122" s="20">
        <f t="shared" si="14"/>
        <v>2915</v>
      </c>
      <c r="E122" s="20">
        <f t="shared" si="14"/>
        <v>3180</v>
      </c>
      <c r="F122" s="20">
        <f t="shared" si="14"/>
        <v>2812</v>
      </c>
      <c r="G122" s="20">
        <f t="shared" si="14"/>
        <v>2666</v>
      </c>
      <c r="H122" s="20">
        <f t="shared" si="14"/>
        <v>-3117</v>
      </c>
      <c r="I122" s="20">
        <f t="shared" ref="I122:J122" si="15">I7-I8-I13+I15+I16+I18</f>
        <v>3004</v>
      </c>
      <c r="J122" s="20">
        <f t="shared" si="15"/>
        <v>7370</v>
      </c>
      <c r="K122" s="20"/>
      <c r="L122" s="20"/>
      <c r="M122" s="20"/>
    </row>
    <row r="123" spans="1:19" s="18" customFormat="1" hidden="1" outlineLevel="1" collapsed="1" x14ac:dyDescent="0.2">
      <c r="A123" s="7"/>
      <c r="B123" s="17" t="s">
        <v>120</v>
      </c>
      <c r="C123" s="24">
        <f t="shared" ref="C123:H123" si="16">C19-C122</f>
        <v>0</v>
      </c>
      <c r="D123" s="24">
        <f t="shared" si="16"/>
        <v>0</v>
      </c>
      <c r="E123" s="24">
        <f t="shared" si="16"/>
        <v>0</v>
      </c>
      <c r="F123" s="24">
        <f t="shared" si="16"/>
        <v>0</v>
      </c>
      <c r="G123" s="24">
        <f t="shared" si="16"/>
        <v>0</v>
      </c>
      <c r="H123" s="24">
        <f t="shared" si="16"/>
        <v>0</v>
      </c>
      <c r="I123" s="24">
        <f t="shared" ref="I123:J123" si="17">I19-I122</f>
        <v>0</v>
      </c>
      <c r="J123" s="24">
        <f t="shared" si="17"/>
        <v>0</v>
      </c>
      <c r="K123" s="26"/>
      <c r="L123" s="26"/>
      <c r="M123" s="26"/>
      <c r="O123" s="7"/>
      <c r="S123" s="7"/>
    </row>
    <row r="124" spans="1:19" hidden="1" outlineLevel="2" x14ac:dyDescent="0.2">
      <c r="B124" s="9" t="s">
        <v>121</v>
      </c>
      <c r="C124" s="20">
        <f t="shared" ref="C124:H124" si="18">SUM(C30:C36)+SUM(C38:C44)</f>
        <v>52741</v>
      </c>
      <c r="D124" s="20">
        <f t="shared" si="18"/>
        <v>55154</v>
      </c>
      <c r="E124" s="20">
        <f t="shared" si="18"/>
        <v>55575</v>
      </c>
      <c r="F124" s="20">
        <f t="shared" si="18"/>
        <v>55372</v>
      </c>
      <c r="G124" s="20">
        <f t="shared" si="18"/>
        <v>54862</v>
      </c>
      <c r="H124" s="20">
        <f t="shared" si="18"/>
        <v>50143</v>
      </c>
      <c r="I124" s="20">
        <f t="shared" ref="I124:J124" si="19">SUM(I30:I36)+SUM(I38:I44)</f>
        <v>53034</v>
      </c>
      <c r="J124" s="20">
        <f t="shared" si="19"/>
        <v>57136</v>
      </c>
      <c r="K124" s="20"/>
      <c r="L124" s="20"/>
      <c r="M124" s="20"/>
    </row>
    <row r="125" spans="1:19" s="7" customFormat="1" hidden="1" outlineLevel="1" collapsed="1" x14ac:dyDescent="0.2">
      <c r="B125" s="11" t="s">
        <v>122</v>
      </c>
      <c r="C125" s="23">
        <f t="shared" ref="C125:H125" si="20">C46-C124</f>
        <v>0</v>
      </c>
      <c r="D125" s="23">
        <f t="shared" si="20"/>
        <v>0</v>
      </c>
      <c r="E125" s="23">
        <f t="shared" si="20"/>
        <v>0</v>
      </c>
      <c r="F125" s="23">
        <f t="shared" si="20"/>
        <v>0</v>
      </c>
      <c r="G125" s="23">
        <f t="shared" si="20"/>
        <v>0</v>
      </c>
      <c r="H125" s="23">
        <f t="shared" si="20"/>
        <v>0</v>
      </c>
      <c r="I125" s="23">
        <f t="shared" ref="I125:J125" si="21">I46-I124</f>
        <v>0</v>
      </c>
      <c r="J125" s="23">
        <f t="shared" si="21"/>
        <v>0</v>
      </c>
      <c r="K125" s="26"/>
      <c r="L125" s="26"/>
      <c r="M125" s="26"/>
    </row>
    <row r="126" spans="1:19" hidden="1" outlineLevel="2" x14ac:dyDescent="0.2">
      <c r="B126" s="9" t="s">
        <v>123</v>
      </c>
      <c r="C126" s="20">
        <f t="shared" ref="C126:H126" si="22">SUM(C47:C52)+SUM(C54:C58)</f>
        <v>28071</v>
      </c>
      <c r="D126" s="20">
        <f t="shared" si="22"/>
        <v>28880</v>
      </c>
      <c r="E126" s="20">
        <f t="shared" si="22"/>
        <v>28695</v>
      </c>
      <c r="F126" s="20">
        <f t="shared" si="22"/>
        <v>27644</v>
      </c>
      <c r="G126" s="20">
        <f t="shared" si="22"/>
        <v>27653</v>
      </c>
      <c r="H126" s="20">
        <f t="shared" si="22"/>
        <v>28937</v>
      </c>
      <c r="I126" s="20">
        <f t="shared" ref="I126:J126" si="23">SUM(I47:I52)+SUM(I54:I58)</f>
        <v>29961</v>
      </c>
      <c r="J126" s="20">
        <f t="shared" si="23"/>
        <v>29858</v>
      </c>
      <c r="K126" s="20"/>
      <c r="L126" s="20"/>
      <c r="M126" s="20"/>
    </row>
    <row r="127" spans="1:19" s="7" customFormat="1" hidden="1" outlineLevel="1" collapsed="1" x14ac:dyDescent="0.2">
      <c r="B127" s="11" t="s">
        <v>124</v>
      </c>
      <c r="C127" s="23">
        <f t="shared" ref="C127:H127" si="24">C60-C126</f>
        <v>0</v>
      </c>
      <c r="D127" s="23">
        <f t="shared" si="24"/>
        <v>0</v>
      </c>
      <c r="E127" s="23">
        <f t="shared" si="24"/>
        <v>0</v>
      </c>
      <c r="F127" s="23">
        <f t="shared" si="24"/>
        <v>0</v>
      </c>
      <c r="G127" s="23">
        <f t="shared" si="24"/>
        <v>0</v>
      </c>
      <c r="H127" s="23">
        <f t="shared" si="24"/>
        <v>0</v>
      </c>
      <c r="I127" s="23">
        <f t="shared" ref="I127:J127" si="25">I60-I126</f>
        <v>0</v>
      </c>
      <c r="J127" s="23">
        <f t="shared" si="25"/>
        <v>0</v>
      </c>
      <c r="K127" s="26"/>
      <c r="L127" s="26"/>
      <c r="M127" s="26"/>
    </row>
    <row r="128" spans="1:19" hidden="1" outlineLevel="2" x14ac:dyDescent="0.2">
      <c r="B128" s="9" t="s">
        <v>125</v>
      </c>
      <c r="C128" s="20">
        <f t="shared" ref="C128:H128" si="26">SUM(C61:C64)+C66</f>
        <v>24670</v>
      </c>
      <c r="D128" s="20">
        <f t="shared" si="26"/>
        <v>26274</v>
      </c>
      <c r="E128" s="20">
        <f t="shared" si="26"/>
        <v>26880</v>
      </c>
      <c r="F128" s="20">
        <f t="shared" si="26"/>
        <v>27728</v>
      </c>
      <c r="G128" s="20">
        <f t="shared" si="26"/>
        <v>27209</v>
      </c>
      <c r="H128" s="20">
        <f t="shared" si="26"/>
        <v>21206</v>
      </c>
      <c r="I128" s="20">
        <f t="shared" ref="I128:J128" si="27">SUM(I61:I64)+I66</f>
        <v>23073</v>
      </c>
      <c r="J128" s="20">
        <f t="shared" si="27"/>
        <v>27278</v>
      </c>
      <c r="K128" s="20"/>
      <c r="L128" s="20"/>
      <c r="M128" s="20"/>
    </row>
    <row r="129" spans="1:19" s="7" customFormat="1" hidden="1" outlineLevel="1" collapsed="1" x14ac:dyDescent="0.2">
      <c r="B129" s="11" t="s">
        <v>126</v>
      </c>
      <c r="C129" s="23">
        <f t="shared" ref="C129:H129" si="28">C67-C128</f>
        <v>0</v>
      </c>
      <c r="D129" s="23">
        <f t="shared" si="28"/>
        <v>0</v>
      </c>
      <c r="E129" s="23">
        <f t="shared" si="28"/>
        <v>0</v>
      </c>
      <c r="F129" s="23">
        <f t="shared" si="28"/>
        <v>0</v>
      </c>
      <c r="G129" s="23">
        <f t="shared" si="28"/>
        <v>0</v>
      </c>
      <c r="H129" s="23">
        <f t="shared" si="28"/>
        <v>0</v>
      </c>
      <c r="I129" s="23">
        <f t="shared" ref="I129:J129" si="29">I67-I128</f>
        <v>0</v>
      </c>
      <c r="J129" s="23">
        <f t="shared" si="29"/>
        <v>0</v>
      </c>
      <c r="K129" s="26"/>
      <c r="L129" s="26"/>
      <c r="M129" s="26"/>
    </row>
    <row r="130" spans="1:19" s="18" customFormat="1" hidden="1" outlineLevel="1" x14ac:dyDescent="0.2">
      <c r="A130" s="7"/>
      <c r="B130" s="17" t="s">
        <v>138</v>
      </c>
      <c r="C130" s="22">
        <f t="shared" ref="C130:H130" si="30">C46-(C60+C67)</f>
        <v>0</v>
      </c>
      <c r="D130" s="22">
        <f t="shared" si="30"/>
        <v>0</v>
      </c>
      <c r="E130" s="22">
        <f t="shared" si="30"/>
        <v>0</v>
      </c>
      <c r="F130" s="22">
        <f t="shared" si="30"/>
        <v>0</v>
      </c>
      <c r="G130" s="22">
        <f t="shared" si="30"/>
        <v>0</v>
      </c>
      <c r="H130" s="22">
        <f t="shared" si="30"/>
        <v>0</v>
      </c>
      <c r="I130" s="22">
        <f t="shared" ref="I130:J130" si="31">I46-(I60+I67)</f>
        <v>0</v>
      </c>
      <c r="J130" s="22">
        <f t="shared" si="31"/>
        <v>0</v>
      </c>
      <c r="K130" s="26"/>
      <c r="L130" s="26"/>
      <c r="M130" s="26"/>
      <c r="O130" s="7"/>
      <c r="S130" s="7"/>
    </row>
    <row r="131" spans="1:19" hidden="1" outlineLevel="2" x14ac:dyDescent="0.2">
      <c r="B131" s="9" t="s">
        <v>127</v>
      </c>
      <c r="C131" s="20">
        <f t="shared" ref="C131:H131" si="32">SUM(C71:C86)</f>
        <v>3052</v>
      </c>
      <c r="D131" s="20">
        <f t="shared" si="32"/>
        <v>2647</v>
      </c>
      <c r="E131" s="20">
        <f t="shared" si="32"/>
        <v>4587</v>
      </c>
      <c r="F131" s="20">
        <f t="shared" si="32"/>
        <v>2554</v>
      </c>
      <c r="G131" s="20">
        <f t="shared" si="32"/>
        <v>2875</v>
      </c>
      <c r="H131" s="20">
        <f t="shared" si="32"/>
        <v>3996</v>
      </c>
      <c r="I131" s="20">
        <f t="shared" ref="I131:J131" si="33">SUM(I71:I86)</f>
        <v>4965</v>
      </c>
      <c r="J131" s="20">
        <f t="shared" si="33"/>
        <v>2449</v>
      </c>
      <c r="K131" s="20"/>
      <c r="L131" s="20"/>
      <c r="M131" s="20"/>
    </row>
    <row r="132" spans="1:19" s="7" customFormat="1" hidden="1" outlineLevel="1" collapsed="1" x14ac:dyDescent="0.2">
      <c r="B132" s="11" t="s">
        <v>128</v>
      </c>
      <c r="C132" s="23">
        <f t="shared" ref="C132:H132" si="34">C87-C131</f>
        <v>0</v>
      </c>
      <c r="D132" s="23">
        <f t="shared" si="34"/>
        <v>0</v>
      </c>
      <c r="E132" s="23">
        <f t="shared" si="34"/>
        <v>0</v>
      </c>
      <c r="F132" s="23">
        <f t="shared" si="34"/>
        <v>0</v>
      </c>
      <c r="G132" s="23">
        <f t="shared" si="34"/>
        <v>0</v>
      </c>
      <c r="H132" s="23">
        <f t="shared" si="34"/>
        <v>0</v>
      </c>
      <c r="I132" s="23">
        <f t="shared" ref="I132:J132" si="35">I87-I131</f>
        <v>0</v>
      </c>
      <c r="J132" s="23">
        <f t="shared" si="35"/>
        <v>0</v>
      </c>
      <c r="K132" s="26"/>
      <c r="L132" s="26"/>
      <c r="M132" s="26"/>
    </row>
    <row r="133" spans="1:19" hidden="1" outlineLevel="2" x14ac:dyDescent="0.2">
      <c r="B133" s="9" t="s">
        <v>129</v>
      </c>
      <c r="C133" s="20">
        <f t="shared" ref="C133:H133" si="36">SUM(C88:C101)</f>
        <v>-1043</v>
      </c>
      <c r="D133" s="20">
        <f t="shared" si="36"/>
        <v>-385</v>
      </c>
      <c r="E133" s="20">
        <f t="shared" si="36"/>
        <v>-671</v>
      </c>
      <c r="F133" s="20">
        <f t="shared" si="36"/>
        <v>-1289</v>
      </c>
      <c r="G133" s="20">
        <f t="shared" si="36"/>
        <v>1631</v>
      </c>
      <c r="H133" s="20">
        <f t="shared" si="36"/>
        <v>-471</v>
      </c>
      <c r="I133" s="20">
        <f t="shared" ref="I133:J133" si="37">SUM(I88:I101)</f>
        <v>-1721</v>
      </c>
      <c r="J133" s="20">
        <f t="shared" si="37"/>
        <v>-501</v>
      </c>
      <c r="K133" s="20"/>
      <c r="L133" s="20"/>
      <c r="M133" s="20"/>
    </row>
    <row r="134" spans="1:19" s="7" customFormat="1" hidden="1" outlineLevel="1" collapsed="1" x14ac:dyDescent="0.2">
      <c r="B134" s="11" t="s">
        <v>130</v>
      </c>
      <c r="C134" s="23">
        <f t="shared" ref="C134:H134" si="38">C102-C133</f>
        <v>0</v>
      </c>
      <c r="D134" s="23">
        <f t="shared" si="38"/>
        <v>0</v>
      </c>
      <c r="E134" s="23">
        <f t="shared" si="38"/>
        <v>0</v>
      </c>
      <c r="F134" s="23">
        <f t="shared" si="38"/>
        <v>0</v>
      </c>
      <c r="G134" s="23">
        <f t="shared" si="38"/>
        <v>0</v>
      </c>
      <c r="H134" s="23">
        <f t="shared" si="38"/>
        <v>0</v>
      </c>
      <c r="I134" s="23">
        <f t="shared" ref="I134:J134" si="39">I102-I133</f>
        <v>0</v>
      </c>
      <c r="J134" s="23">
        <f t="shared" si="39"/>
        <v>0</v>
      </c>
      <c r="K134" s="26"/>
      <c r="L134" s="26"/>
      <c r="M134" s="26"/>
    </row>
    <row r="135" spans="1:19" hidden="1" outlineLevel="2" x14ac:dyDescent="0.2">
      <c r="B135" s="9" t="s">
        <v>131</v>
      </c>
      <c r="C135" s="20">
        <f t="shared" ref="C135:H135" si="40">SUM(C103:C114)</f>
        <v>-3449</v>
      </c>
      <c r="D135" s="20">
        <f t="shared" si="40"/>
        <v>-2199</v>
      </c>
      <c r="E135" s="20">
        <f t="shared" si="40"/>
        <v>-3008</v>
      </c>
      <c r="F135" s="20">
        <f t="shared" si="40"/>
        <v>-2781</v>
      </c>
      <c r="G135" s="20">
        <f t="shared" si="40"/>
        <v>-3971</v>
      </c>
      <c r="H135" s="20">
        <f t="shared" si="40"/>
        <v>-3436</v>
      </c>
      <c r="I135" s="20">
        <f t="shared" ref="I135:J135" si="41">SUM(I103:I114)</f>
        <v>-3882</v>
      </c>
      <c r="J135" s="20">
        <f t="shared" si="41"/>
        <v>-3693</v>
      </c>
      <c r="K135" s="20"/>
      <c r="L135" s="20"/>
      <c r="M135" s="20"/>
    </row>
    <row r="136" spans="1:19" s="7" customFormat="1" hidden="1" outlineLevel="1" collapsed="1" x14ac:dyDescent="0.2">
      <c r="B136" s="11" t="s">
        <v>132</v>
      </c>
      <c r="C136" s="23">
        <f t="shared" ref="C136:H136" si="42">C115-C135</f>
        <v>0</v>
      </c>
      <c r="D136" s="23">
        <f t="shared" si="42"/>
        <v>0</v>
      </c>
      <c r="E136" s="23">
        <f t="shared" si="42"/>
        <v>0</v>
      </c>
      <c r="F136" s="23">
        <f t="shared" si="42"/>
        <v>0</v>
      </c>
      <c r="G136" s="23">
        <f t="shared" si="42"/>
        <v>0</v>
      </c>
      <c r="H136" s="23">
        <f t="shared" si="42"/>
        <v>0</v>
      </c>
      <c r="I136" s="23">
        <f t="shared" ref="I136:J136" si="43">I115-I135</f>
        <v>0</v>
      </c>
      <c r="J136" s="23">
        <f t="shared" si="43"/>
        <v>0</v>
      </c>
      <c r="K136" s="26"/>
      <c r="L136" s="26"/>
      <c r="M136" s="26"/>
    </row>
    <row r="137" spans="1:19" hidden="1" outlineLevel="2" x14ac:dyDescent="0.2">
      <c r="B137" s="9" t="s">
        <v>136</v>
      </c>
      <c r="C137" s="20">
        <f t="shared" ref="C137:H137" si="44">C87+C102+C115+C116+C118</f>
        <v>7770</v>
      </c>
      <c r="D137" s="20">
        <f t="shared" si="44"/>
        <v>7849</v>
      </c>
      <c r="E137" s="20">
        <f t="shared" si="44"/>
        <v>8713</v>
      </c>
      <c r="F137" s="20">
        <f t="shared" si="44"/>
        <v>7203</v>
      </c>
      <c r="G137" s="20">
        <f t="shared" si="44"/>
        <v>7771</v>
      </c>
      <c r="H137" s="20">
        <f t="shared" si="44"/>
        <v>7843</v>
      </c>
      <c r="I137" s="20">
        <f t="shared" ref="I137:J137" si="45">I87+I102+I115+I116+I118</f>
        <v>7205</v>
      </c>
      <c r="J137" s="20">
        <f t="shared" si="45"/>
        <v>5435</v>
      </c>
      <c r="K137" s="20"/>
      <c r="L137" s="20"/>
      <c r="M137" s="20"/>
    </row>
    <row r="138" spans="1:19" s="18" customFormat="1" hidden="1" outlineLevel="1" collapsed="1" x14ac:dyDescent="0.2">
      <c r="A138" s="7"/>
      <c r="B138" s="17" t="s">
        <v>135</v>
      </c>
      <c r="C138" s="22">
        <f t="shared" ref="C138:H138" si="46">C119-C137</f>
        <v>0</v>
      </c>
      <c r="D138" s="22">
        <f t="shared" si="46"/>
        <v>0</v>
      </c>
      <c r="E138" s="22">
        <f t="shared" si="46"/>
        <v>0</v>
      </c>
      <c r="F138" s="22">
        <f t="shared" si="46"/>
        <v>0</v>
      </c>
      <c r="G138" s="22">
        <f t="shared" si="46"/>
        <v>0</v>
      </c>
      <c r="H138" s="22">
        <f t="shared" si="46"/>
        <v>0</v>
      </c>
      <c r="I138" s="22">
        <f t="shared" ref="I138:J138" si="47">I119-I137</f>
        <v>0</v>
      </c>
      <c r="J138" s="22">
        <f t="shared" si="47"/>
        <v>0</v>
      </c>
      <c r="K138" s="26"/>
      <c r="L138" s="26"/>
      <c r="M138" s="26"/>
      <c r="O138" s="7"/>
      <c r="S138" s="7"/>
    </row>
    <row r="139" spans="1:19" collapsed="1" x14ac:dyDescent="0.2">
      <c r="B139" s="8"/>
      <c r="D139" s="8"/>
      <c r="E139" s="8"/>
      <c r="F139" s="8"/>
      <c r="G139" s="8"/>
      <c r="H139" s="8"/>
      <c r="I139" s="8"/>
      <c r="J139" s="8"/>
      <c r="K139" s="8"/>
      <c r="L139" s="8"/>
      <c r="M139" s="8"/>
    </row>
    <row r="140" spans="1:19" s="14" customFormat="1" ht="17" thickBot="1" x14ac:dyDescent="0.25">
      <c r="A140" s="4"/>
      <c r="B140" s="15" t="s">
        <v>137</v>
      </c>
      <c r="K140" s="4"/>
      <c r="L140" s="4"/>
      <c r="M140" s="4"/>
      <c r="O140" s="4"/>
      <c r="S140" s="4"/>
    </row>
    <row r="141" spans="1:19" outlineLevel="1" x14ac:dyDescent="0.2">
      <c r="B141" s="9" t="s">
        <v>15</v>
      </c>
      <c r="C141" s="27">
        <v>1114</v>
      </c>
      <c r="D141" s="27">
        <v>1111</v>
      </c>
      <c r="E141" s="27">
        <v>1106</v>
      </c>
      <c r="F141" s="27">
        <v>1098</v>
      </c>
      <c r="G141" s="27">
        <v>1079</v>
      </c>
      <c r="H141" s="27">
        <v>1071</v>
      </c>
      <c r="I141" s="27">
        <v>1067</v>
      </c>
      <c r="J141" s="27">
        <v>1054</v>
      </c>
      <c r="K141" s="20"/>
      <c r="L141" s="20"/>
      <c r="M141" s="20"/>
      <c r="N141" s="20">
        <f>J141</f>
        <v>1054</v>
      </c>
    </row>
    <row r="142" spans="1:19" outlineLevel="1" x14ac:dyDescent="0.2">
      <c r="B142" s="12" t="s">
        <v>148</v>
      </c>
      <c r="C142" s="28">
        <v>0.85</v>
      </c>
      <c r="D142" s="28">
        <v>0.84999999999999964</v>
      </c>
      <c r="E142" s="28">
        <v>0.85</v>
      </c>
      <c r="F142" s="28">
        <v>0.85</v>
      </c>
      <c r="G142" s="28">
        <v>0.89</v>
      </c>
      <c r="H142" s="28">
        <v>0.89000000000000012</v>
      </c>
      <c r="I142" s="28">
        <v>0.89000000000000012</v>
      </c>
      <c r="J142" s="28">
        <v>0.89000000000000012</v>
      </c>
      <c r="K142" s="8"/>
      <c r="L142" s="8"/>
      <c r="M142" s="8"/>
    </row>
    <row r="143" spans="1:19" outlineLevel="1" x14ac:dyDescent="0.2">
      <c r="B143" s="12" t="s">
        <v>221</v>
      </c>
      <c r="C143" s="141" t="e">
        <f>(C142-B142)/B142</f>
        <v>#VALUE!</v>
      </c>
      <c r="D143" s="141">
        <f t="shared" ref="D143" si="48">(D142-C142)/C142</f>
        <v>-3.9184342045593759E-16</v>
      </c>
      <c r="E143" s="141">
        <f t="shared" ref="E143" si="49">(E142-D142)/D142</f>
        <v>3.9184342045593779E-16</v>
      </c>
      <c r="F143" s="141">
        <f t="shared" ref="F143" si="50">(F142-E142)/E142</f>
        <v>0</v>
      </c>
      <c r="G143" s="141">
        <f t="shared" ref="G143" si="51">(G142-F142)/F142</f>
        <v>4.7058823529411806E-2</v>
      </c>
      <c r="H143" s="141">
        <f t="shared" ref="H143" si="52">(H142-G142)/G142</f>
        <v>1.2474416007024232E-16</v>
      </c>
      <c r="I143" s="141">
        <f t="shared" ref="I143" si="53">(I142-H142)/H142</f>
        <v>0</v>
      </c>
      <c r="J143" s="141">
        <f t="shared" ref="J143" si="54">(J142-I142)/I142</f>
        <v>0</v>
      </c>
      <c r="K143" s="8"/>
      <c r="L143" s="8"/>
      <c r="M143" s="8"/>
    </row>
    <row r="144" spans="1:19" x14ac:dyDescent="0.2">
      <c r="B144" s="1"/>
    </row>
    <row r="145" spans="1:19" s="67" customFormat="1" ht="17" thickBot="1" x14ac:dyDescent="0.25">
      <c r="A145" s="1"/>
      <c r="B145" s="15" t="s">
        <v>164</v>
      </c>
      <c r="C145" s="69"/>
      <c r="D145" s="69"/>
      <c r="E145" s="69"/>
      <c r="F145" s="69"/>
      <c r="G145" s="69"/>
      <c r="H145" s="69"/>
      <c r="I145" s="69"/>
      <c r="J145" s="69"/>
      <c r="K145" s="1"/>
      <c r="L145" s="1"/>
      <c r="M145" s="1"/>
      <c r="O145" s="4"/>
      <c r="S145" s="4"/>
    </row>
    <row r="146" spans="1:19" outlineLevel="1" x14ac:dyDescent="0.2">
      <c r="B146" s="9" t="s">
        <v>157</v>
      </c>
      <c r="C146" s="27">
        <v>9500</v>
      </c>
      <c r="D146" s="27">
        <v>10500</v>
      </c>
      <c r="E146" s="27">
        <v>10300</v>
      </c>
      <c r="F146" s="27">
        <v>9900</v>
      </c>
      <c r="G146" s="27">
        <v>10300</v>
      </c>
      <c r="H146" s="27">
        <v>11800</v>
      </c>
      <c r="I146" s="27">
        <v>10200</v>
      </c>
      <c r="J146" s="27">
        <v>9200</v>
      </c>
    </row>
    <row r="147" spans="1:19" outlineLevel="1" x14ac:dyDescent="0.2">
      <c r="B147" s="9" t="s">
        <v>158</v>
      </c>
      <c r="C147" s="27">
        <v>10300</v>
      </c>
      <c r="D147" s="27">
        <v>11300</v>
      </c>
      <c r="E147" s="27">
        <v>11200</v>
      </c>
      <c r="F147" s="27">
        <v>10700</v>
      </c>
      <c r="G147" s="27">
        <v>11100</v>
      </c>
      <c r="H147" s="27">
        <v>12600</v>
      </c>
      <c r="I147" s="27">
        <v>11000</v>
      </c>
      <c r="J147" s="27">
        <v>10000</v>
      </c>
    </row>
    <row r="148" spans="1:19" outlineLevel="1" x14ac:dyDescent="0.2">
      <c r="B148" s="9" t="s">
        <v>162</v>
      </c>
      <c r="C148" s="36">
        <f t="shared" ref="C148" si="55">D7</f>
        <v>10244</v>
      </c>
      <c r="D148" s="36">
        <f t="shared" ref="D148" si="56">E7</f>
        <v>11669</v>
      </c>
      <c r="E148" s="36">
        <f t="shared" ref="E148" si="57">F7</f>
        <v>10979</v>
      </c>
      <c r="F148" s="36">
        <f t="shared" ref="F148" si="58">G7</f>
        <v>10365</v>
      </c>
      <c r="G148" s="36">
        <f t="shared" ref="G148" si="59">H7</f>
        <v>11270</v>
      </c>
      <c r="H148" s="36">
        <f t="shared" ref="H148" si="60">I7</f>
        <v>12252</v>
      </c>
      <c r="I148" s="36">
        <f t="shared" ref="I148" si="61">J7</f>
        <v>10599</v>
      </c>
      <c r="J148" s="36">
        <f t="shared" ref="J148" si="62">K7</f>
        <v>0</v>
      </c>
    </row>
    <row r="149" spans="1:19" outlineLevel="1" x14ac:dyDescent="0.2">
      <c r="B149" s="9" t="s">
        <v>159</v>
      </c>
      <c r="C149" s="68" t="str">
        <f t="shared" ref="C149" si="63">IF(D7&gt;C147, "BEAT", IF(D7&lt;C146, "MISSED", "MET"))</f>
        <v>MET</v>
      </c>
      <c r="D149" s="68" t="str">
        <f t="shared" ref="D149" si="64">IF(E7&gt;D147, "BEAT", IF(E7&lt;D146, "MISSED", "MET"))</f>
        <v>BEAT</v>
      </c>
      <c r="E149" s="68" t="str">
        <f t="shared" ref="E149" si="65">IF(F7&gt;E147, "BEAT", IF(F7&lt;E146, "MISSED", "MET"))</f>
        <v>MET</v>
      </c>
      <c r="F149" s="68" t="str">
        <f t="shared" ref="F149" si="66">IF(G7&gt;F147, "BEAT", IF(G7&lt;F146, "MISSED", "MET"))</f>
        <v>MET</v>
      </c>
      <c r="G149" s="68" t="str">
        <f t="shared" ref="G149" si="67">IF(H7&gt;G147, "BEAT", IF(H7&lt;G146, "MISSED", "MET"))</f>
        <v>BEAT</v>
      </c>
      <c r="H149" s="68" t="str">
        <f t="shared" ref="H149" si="68">IF(I7&gt;H147, "BEAT", IF(I7&lt;H146, "MISSED", "MET"))</f>
        <v>MET</v>
      </c>
      <c r="I149" s="68" t="str">
        <f t="shared" ref="I149" si="69">IF(J7&gt;I147, "BEAT", IF(J7&lt;I146, "MISSED", "MET"))</f>
        <v>MET</v>
      </c>
      <c r="J149" s="68" t="str">
        <f t="shared" ref="J149" si="70">IF(K7&gt;J147, "BEAT", IF(K7&lt;J146, "MISSED", "MET"))</f>
        <v>MISSED</v>
      </c>
    </row>
    <row r="150" spans="1:19" outlineLevel="1" x14ac:dyDescent="0.2">
      <c r="B150" s="9" t="s">
        <v>160</v>
      </c>
      <c r="C150" s="31">
        <v>2.38</v>
      </c>
      <c r="D150" s="31">
        <v>2.39</v>
      </c>
      <c r="E150" s="31">
        <v>2.38</v>
      </c>
      <c r="F150" s="31">
        <v>2.14</v>
      </c>
      <c r="G150" s="31">
        <v>2.23</v>
      </c>
      <c r="H150" s="31">
        <v>2.5499999999999998</v>
      </c>
      <c r="I150" s="31">
        <v>1.69</v>
      </c>
      <c r="J150" s="31">
        <v>1.26</v>
      </c>
    </row>
    <row r="151" spans="1:19" outlineLevel="1" x14ac:dyDescent="0.2">
      <c r="B151" s="9" t="s">
        <v>161</v>
      </c>
      <c r="C151" s="31">
        <v>2.58</v>
      </c>
      <c r="D151" s="31">
        <v>2.59</v>
      </c>
      <c r="E151" s="31">
        <v>2.58</v>
      </c>
      <c r="F151" s="31">
        <v>2.34</v>
      </c>
      <c r="G151" s="31">
        <v>2.4300000000000002</v>
      </c>
      <c r="H151" s="31">
        <v>2.75</v>
      </c>
      <c r="I151" s="31">
        <v>1.89</v>
      </c>
      <c r="J151" s="31">
        <v>1.46</v>
      </c>
    </row>
    <row r="152" spans="1:19" outlineLevel="1" x14ac:dyDescent="0.2">
      <c r="B152" s="9" t="s">
        <v>163</v>
      </c>
      <c r="C152" s="25">
        <f t="shared" ref="C152" si="71">D27</f>
        <v>2.59</v>
      </c>
      <c r="D152" s="25">
        <f t="shared" ref="D152" si="72">E27</f>
        <v>2.83</v>
      </c>
      <c r="E152" s="25">
        <f t="shared" ref="E152" si="73">F27</f>
        <v>2.52</v>
      </c>
      <c r="F152" s="25">
        <f t="shared" ref="F152" si="74">G27</f>
        <v>2.4300000000000002</v>
      </c>
      <c r="G152" s="25">
        <f t="shared" ref="G152" si="75">H27</f>
        <v>-2.89</v>
      </c>
      <c r="H152" s="25">
        <f t="shared" ref="H152" si="76">I27</f>
        <v>2.78</v>
      </c>
      <c r="I152" s="25">
        <f t="shared" ref="I152" si="77">J27</f>
        <v>6.88</v>
      </c>
      <c r="J152" s="25">
        <f t="shared" ref="J152" si="78">K27</f>
        <v>0</v>
      </c>
      <c r="K152" s="20"/>
      <c r="L152" s="20"/>
      <c r="M152" s="20"/>
    </row>
    <row r="153" spans="1:19" outlineLevel="1" x14ac:dyDescent="0.2">
      <c r="B153" s="12" t="s">
        <v>159</v>
      </c>
      <c r="C153" s="68" t="str">
        <f t="shared" ref="C153" si="79">IF(D27&gt;C151, "BEAT", IF(D27&lt;C150, "MISSED", "MET"))</f>
        <v>BEAT</v>
      </c>
      <c r="D153" s="68" t="str">
        <f t="shared" ref="D153" si="80">IF(E27&gt;D151, "BEAT", IF(E27&lt;D150, "MISSED", "MET"))</f>
        <v>BEAT</v>
      </c>
      <c r="E153" s="68" t="str">
        <f t="shared" ref="E153" si="81">IF(F27&gt;E151, "BEAT", IF(F27&lt;E150, "MISSED", "MET"))</f>
        <v>MET</v>
      </c>
      <c r="F153" s="68" t="str">
        <f t="shared" ref="F153" si="82">IF(G27&gt;F151, "BEAT", IF(G27&lt;F150, "MISSED", "MET"))</f>
        <v>BEAT</v>
      </c>
      <c r="G153" s="68" t="str">
        <f t="shared" ref="G153" si="83">IF(H27&gt;G151, "BEAT", IF(H27&lt;G150, "MISSED", "MET"))</f>
        <v>MISSED</v>
      </c>
      <c r="H153" s="68" t="str">
        <f t="shared" ref="H153" si="84">IF(I27&gt;H151, "BEAT", IF(I27&lt;H150, "MISSED", "MET"))</f>
        <v>BEAT</v>
      </c>
      <c r="I153" s="68" t="str">
        <f t="shared" ref="I153" si="85">IF(J27&gt;I151, "BEAT", IF(J27&lt;I150, "MISSED", "MET"))</f>
        <v>BEAT</v>
      </c>
      <c r="J153" s="68" t="str">
        <f t="shared" ref="J153" si="86">IF(K27&gt;J151, "BEAT", IF(K27&lt;J150, "MISSED", "MET"))</f>
        <v>MISSED</v>
      </c>
      <c r="K153" s="8"/>
      <c r="L153" s="8"/>
      <c r="M153" s="8"/>
    </row>
    <row r="154" spans="1:19" outlineLevel="1" x14ac:dyDescent="0.2">
      <c r="B154" s="12"/>
      <c r="C154" s="68"/>
      <c r="D154" s="68"/>
      <c r="E154" s="68"/>
      <c r="F154" s="68"/>
      <c r="G154" s="68"/>
      <c r="H154" s="68"/>
      <c r="I154" s="68"/>
      <c r="J154" s="68"/>
      <c r="K154" s="8"/>
      <c r="L154" s="8"/>
      <c r="M154" s="8"/>
    </row>
    <row r="155" spans="1:19" x14ac:dyDescent="0.2">
      <c r="B155" s="1"/>
    </row>
    <row r="156" spans="1:19" ht="17" thickBot="1" x14ac:dyDescent="0.25">
      <c r="B156" s="137" t="s">
        <v>179</v>
      </c>
      <c r="C156" s="138"/>
      <c r="D156" s="138"/>
      <c r="E156" s="138"/>
      <c r="F156" s="138"/>
      <c r="G156" s="138"/>
      <c r="H156" s="138"/>
      <c r="I156" s="138"/>
      <c r="J156" s="138"/>
    </row>
    <row r="157" spans="1:19" outlineLevel="1" x14ac:dyDescent="0.2"/>
    <row r="158" spans="1:19" outlineLevel="1" x14ac:dyDescent="0.2"/>
    <row r="159" spans="1:19" x14ac:dyDescent="0.2">
      <c r="B159" s="1"/>
    </row>
    <row r="160" spans="1:19" ht="17" thickBot="1" x14ac:dyDescent="0.25">
      <c r="B160" s="137" t="s">
        <v>180</v>
      </c>
      <c r="C160" s="138"/>
      <c r="D160" s="138"/>
      <c r="E160" s="138"/>
      <c r="F160" s="138"/>
      <c r="G160" s="138"/>
      <c r="H160" s="138"/>
      <c r="I160" s="138"/>
      <c r="J160" s="138"/>
    </row>
    <row r="161" spans="2:10" outlineLevel="1" x14ac:dyDescent="0.2">
      <c r="B161" s="94" t="s">
        <v>182</v>
      </c>
      <c r="C161" s="27">
        <v>5899</v>
      </c>
      <c r="D161" s="27">
        <v>6096</v>
      </c>
      <c r="E161" s="27">
        <v>7574</v>
      </c>
      <c r="F161" s="27">
        <v>6929</v>
      </c>
      <c r="G161" s="27">
        <v>6328</v>
      </c>
      <c r="H161" s="27">
        <v>6961</v>
      </c>
      <c r="I161" s="27">
        <v>7824</v>
      </c>
      <c r="J161" s="27">
        <v>6024</v>
      </c>
    </row>
    <row r="162" spans="2:10" outlineLevel="1" x14ac:dyDescent="0.2">
      <c r="B162" s="94" t="s">
        <v>183</v>
      </c>
      <c r="C162" s="27">
        <v>811</v>
      </c>
      <c r="D162" s="27">
        <v>899</v>
      </c>
      <c r="E162" s="27">
        <v>961</v>
      </c>
      <c r="F162" s="27">
        <v>959</v>
      </c>
      <c r="G162" s="27">
        <v>984</v>
      </c>
      <c r="H162" s="27">
        <v>1053</v>
      </c>
      <c r="I162" s="27">
        <v>1101</v>
      </c>
      <c r="J162" s="27">
        <v>1326</v>
      </c>
    </row>
    <row r="163" spans="2:10" outlineLevel="1" x14ac:dyDescent="0.2">
      <c r="B163" s="94" t="s">
        <v>184</v>
      </c>
      <c r="C163" s="27">
        <v>1359</v>
      </c>
      <c r="D163" s="27">
        <v>1683</v>
      </c>
      <c r="E163" s="27">
        <v>1549</v>
      </c>
      <c r="F163" s="27">
        <v>1581</v>
      </c>
      <c r="G163" s="27">
        <v>1681</v>
      </c>
      <c r="H163" s="27">
        <v>1807</v>
      </c>
      <c r="I163" s="27">
        <v>1688</v>
      </c>
      <c r="J163" s="27">
        <v>1726</v>
      </c>
    </row>
    <row r="164" spans="2:10" outlineLevel="1" x14ac:dyDescent="0.2">
      <c r="B164" s="9" t="s">
        <v>181</v>
      </c>
      <c r="C164" s="27">
        <v>8069</v>
      </c>
      <c r="D164" s="27">
        <v>8678</v>
      </c>
      <c r="E164" s="27">
        <v>10084</v>
      </c>
      <c r="F164" s="27">
        <v>9469</v>
      </c>
      <c r="G164" s="27">
        <v>8993</v>
      </c>
      <c r="H164" s="27">
        <v>9821</v>
      </c>
      <c r="I164" s="27">
        <v>10613</v>
      </c>
      <c r="J164" s="27">
        <v>9076</v>
      </c>
    </row>
    <row r="165" spans="2:10" outlineLevel="1" x14ac:dyDescent="0.2">
      <c r="B165" s="9" t="s">
        <v>185</v>
      </c>
      <c r="C165" s="27">
        <v>1273</v>
      </c>
      <c r="D165" s="27">
        <v>1521</v>
      </c>
      <c r="E165" s="27">
        <v>1535</v>
      </c>
      <c r="F165" s="27">
        <v>1319</v>
      </c>
      <c r="G165" s="27">
        <v>1318</v>
      </c>
      <c r="H165" s="27">
        <v>1409</v>
      </c>
      <c r="I165" s="27">
        <v>1529</v>
      </c>
      <c r="J165" s="27">
        <v>1382</v>
      </c>
    </row>
    <row r="166" spans="2:10" x14ac:dyDescent="0.2">
      <c r="B166" s="1"/>
    </row>
    <row r="167" spans="2:10" ht="17" thickBot="1" x14ac:dyDescent="0.25">
      <c r="B167" s="137" t="s">
        <v>224</v>
      </c>
      <c r="C167" s="138"/>
      <c r="D167" s="138"/>
      <c r="E167" s="138"/>
      <c r="F167" s="138"/>
      <c r="G167" s="138"/>
      <c r="H167" s="138"/>
      <c r="I167" s="138"/>
      <c r="J167" s="138"/>
    </row>
    <row r="168" spans="2:10" x14ac:dyDescent="0.2">
      <c r="B168" s="9" t="s">
        <v>223</v>
      </c>
      <c r="C168" s="20">
        <f>C87+C88-C74</f>
        <v>2021</v>
      </c>
      <c r="D168" s="20">
        <f t="shared" ref="D168:J168" si="87">D87+D88-D74</f>
        <v>1694</v>
      </c>
      <c r="E168" s="20">
        <f t="shared" si="87"/>
        <v>3551</v>
      </c>
      <c r="F168" s="20">
        <f t="shared" si="87"/>
        <v>1638</v>
      </c>
      <c r="G168" s="20">
        <f t="shared" si="87"/>
        <v>1922</v>
      </c>
      <c r="H168" s="20">
        <f t="shared" si="87"/>
        <v>2926</v>
      </c>
      <c r="I168" s="20">
        <f t="shared" si="87"/>
        <v>3528</v>
      </c>
      <c r="J168" s="20">
        <f t="shared" si="87"/>
        <v>1055</v>
      </c>
    </row>
  </sheetData>
  <mergeCells count="1">
    <mergeCell ref="P4:R4"/>
  </mergeCells>
  <phoneticPr fontId="5" type="noConversion"/>
  <pageMargins left="0.7" right="0.7" top="0.75" bottom="0.75" header="0.3" footer="0.3"/>
  <ignoredErrors>
    <ignoredError sqref="J59 J133 J135 J45 N5:N8 N10:N12 N14:N23 N24:N25" formulaRange="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D8421-B565-D745-AC0F-C2DB16742BD1}">
  <dimension ref="B2:W104"/>
  <sheetViews>
    <sheetView zoomScale="150" workbookViewId="0">
      <pane xSplit="2" ySplit="3" topLeftCell="S12" activePane="bottomRight" state="frozen"/>
      <selection pane="topRight" activeCell="C1" sqref="C1"/>
      <selection pane="bottomLeft" activeCell="A4" sqref="A4"/>
      <selection pane="bottomRight" activeCell="W20" sqref="W20"/>
    </sheetView>
  </sheetViews>
  <sheetFormatPr baseColWidth="10" defaultRowHeight="16" outlineLevelRow="1" outlineLevelCol="1" x14ac:dyDescent="0.2"/>
  <cols>
    <col min="1" max="1" width="2.83203125" style="1" customWidth="1"/>
    <col min="2" max="2" width="37.1640625" style="1" customWidth="1"/>
    <col min="3" max="3" width="11" style="1" customWidth="1"/>
    <col min="4" max="11" width="10.83203125" style="1"/>
    <col min="12" max="12" width="9.33203125" style="1" customWidth="1"/>
    <col min="13" max="13" width="4.6640625" style="1" customWidth="1"/>
    <col min="14" max="21" width="10.83203125" style="1" customWidth="1" outlineLevel="1"/>
    <col min="22" max="22" width="5.33203125" style="1" customWidth="1"/>
    <col min="23" max="16384" width="10.83203125" style="1"/>
  </cols>
  <sheetData>
    <row r="2" spans="2:23" x14ac:dyDescent="0.2">
      <c r="B2" s="65" t="s">
        <v>0</v>
      </c>
      <c r="C2" s="3" t="str">
        <f>'Statement Y'!C2</f>
        <v>25.09.2016</v>
      </c>
      <c r="D2" s="3" t="str">
        <f>'Statement Y'!D2</f>
        <v>24.09.2017</v>
      </c>
      <c r="E2" s="3" t="str">
        <f>'Statement Y'!E2</f>
        <v>30.09.2018</v>
      </c>
      <c r="F2" s="3" t="str">
        <f>'Statement Y'!F2</f>
        <v>29.09.2019</v>
      </c>
      <c r="G2" s="3" t="str">
        <f>'Statement Y'!G2</f>
        <v>27.09.2020</v>
      </c>
      <c r="H2" s="3" t="str">
        <f>'Statement Y'!H2</f>
        <v>26.09.2021</v>
      </c>
      <c r="I2" s="3" t="str">
        <f>'Statement Y'!I2</f>
        <v>25.09.2022</v>
      </c>
      <c r="J2" s="3" t="str">
        <f>'Statement Y'!J2</f>
        <v>24.09.2023</v>
      </c>
      <c r="K2" s="3" t="str">
        <f>'Statement Y'!K2</f>
        <v>29.09.2024</v>
      </c>
      <c r="L2" s="3" t="str">
        <f>'Statement Y'!L2</f>
        <v>28.09.2025</v>
      </c>
      <c r="N2" s="3" t="str">
        <f>'Statement Q'!C2</f>
        <v>23.06.2024</v>
      </c>
      <c r="O2" s="3" t="str">
        <f>'Statement Q'!D2</f>
        <v>29.09.2024</v>
      </c>
      <c r="P2" s="3" t="str">
        <f>'Statement Q'!E2</f>
        <v>29.12.2024</v>
      </c>
      <c r="Q2" s="3" t="str">
        <f>'Statement Q'!F2</f>
        <v>30.03.2025</v>
      </c>
      <c r="R2" s="3" t="str">
        <f>'Statement Q'!G2</f>
        <v>29.06.2025</v>
      </c>
      <c r="S2" s="3" t="str">
        <f>'Statement Q'!H2</f>
        <v>28.09.2025</v>
      </c>
      <c r="T2" s="3" t="str">
        <f>'Statement Q'!I2</f>
        <v>28.12.2025</v>
      </c>
      <c r="U2" s="3" t="str">
        <f>'Statement Q'!J2</f>
        <v>29.03.2026</v>
      </c>
      <c r="W2" s="3"/>
    </row>
    <row r="3" spans="2:23" x14ac:dyDescent="0.2">
      <c r="B3" s="66" t="s">
        <v>2</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154</v>
      </c>
    </row>
    <row r="4" spans="2:23" ht="17" thickBot="1" x14ac:dyDescent="0.25">
      <c r="B4" s="15" t="s">
        <v>17</v>
      </c>
      <c r="C4" s="14"/>
      <c r="D4" s="14"/>
      <c r="E4" s="14"/>
      <c r="F4" s="14"/>
      <c r="G4" s="14"/>
      <c r="H4" s="14"/>
      <c r="I4" s="14"/>
      <c r="J4" s="14"/>
      <c r="K4" s="14"/>
      <c r="L4" s="14"/>
      <c r="N4" s="14"/>
      <c r="O4" s="14"/>
      <c r="P4" s="14"/>
      <c r="Q4" s="14"/>
      <c r="R4" s="14"/>
      <c r="S4" s="14"/>
      <c r="T4" s="14"/>
      <c r="U4" s="14"/>
      <c r="W4" s="14"/>
    </row>
    <row r="5" spans="2:23" outlineLevel="1" x14ac:dyDescent="0.2">
      <c r="B5" s="17" t="s">
        <v>20</v>
      </c>
      <c r="C5" s="59">
        <f>'Statement Y'!C7</f>
        <v>23554</v>
      </c>
      <c r="D5" s="59">
        <f>'Statement Y'!D7</f>
        <v>22291</v>
      </c>
      <c r="E5" s="59">
        <f>'Statement Y'!E7</f>
        <v>22732</v>
      </c>
      <c r="F5" s="59">
        <f>'Statement Y'!F7</f>
        <v>24273</v>
      </c>
      <c r="G5" s="59">
        <f>'Statement Y'!G7</f>
        <v>23531</v>
      </c>
      <c r="H5" s="59">
        <f>'Statement Y'!H7</f>
        <v>33566</v>
      </c>
      <c r="I5" s="59">
        <f>'Statement Y'!I7</f>
        <v>44200</v>
      </c>
      <c r="J5" s="59">
        <f>'Statement Y'!J7</f>
        <v>35820</v>
      </c>
      <c r="K5" s="59">
        <f>'Statement Y'!K7</f>
        <v>38962</v>
      </c>
      <c r="L5" s="59">
        <f>'Statement Y'!L7</f>
        <v>44284</v>
      </c>
      <c r="N5" s="59">
        <f>'Statement Q'!C7</f>
        <v>9393</v>
      </c>
      <c r="O5" s="59">
        <f>'Statement Q'!D7</f>
        <v>10244</v>
      </c>
      <c r="P5" s="59">
        <f>'Statement Q'!E7</f>
        <v>11669</v>
      </c>
      <c r="Q5" s="59">
        <f>'Statement Q'!F7</f>
        <v>10979</v>
      </c>
      <c r="R5" s="59">
        <f>'Statement Q'!G7</f>
        <v>10365</v>
      </c>
      <c r="S5" s="59">
        <f>'Statement Q'!H7</f>
        <v>11270</v>
      </c>
      <c r="T5" s="59">
        <f>'Statement Q'!I7</f>
        <v>12252</v>
      </c>
      <c r="U5" s="59">
        <f>'Statement Q'!J7</f>
        <v>10599</v>
      </c>
      <c r="W5" s="59">
        <f>SUM(R5:U5)</f>
        <v>44486</v>
      </c>
    </row>
    <row r="6" spans="2:23" outlineLevel="1" x14ac:dyDescent="0.2">
      <c r="B6" s="9" t="s">
        <v>21</v>
      </c>
      <c r="C6" s="36">
        <f>'Statement Y'!C8</f>
        <v>9749</v>
      </c>
      <c r="D6" s="36">
        <f>'Statement Y'!D8</f>
        <v>9792</v>
      </c>
      <c r="E6" s="36">
        <f>'Statement Y'!E8</f>
        <v>10244</v>
      </c>
      <c r="F6" s="36">
        <f>'Statement Y'!F8</f>
        <v>8599</v>
      </c>
      <c r="G6" s="36">
        <f>'Statement Y'!G8</f>
        <v>9255</v>
      </c>
      <c r="H6" s="36">
        <f>'Statement Y'!H8</f>
        <v>14262</v>
      </c>
      <c r="I6" s="36">
        <f>'Statement Y'!I8</f>
        <v>18635</v>
      </c>
      <c r="J6" s="36">
        <f>'Statement Y'!J8</f>
        <v>15869</v>
      </c>
      <c r="K6" s="36">
        <f>'Statement Y'!K8</f>
        <v>17060</v>
      </c>
      <c r="L6" s="36">
        <f>'Statement Y'!L8</f>
        <v>19738</v>
      </c>
      <c r="N6" s="36">
        <f>'Statement Q'!C8</f>
        <v>4174</v>
      </c>
      <c r="O6" s="36">
        <f>'Statement Q'!D8</f>
        <v>4467</v>
      </c>
      <c r="P6" s="36">
        <f>'Statement Q'!E8</f>
        <v>5161</v>
      </c>
      <c r="Q6" s="36">
        <f>'Statement Q'!F8</f>
        <v>4937</v>
      </c>
      <c r="R6" s="36">
        <f>'Statement Q'!G8</f>
        <v>4606</v>
      </c>
      <c r="S6" s="36">
        <f>'Statement Q'!H8</f>
        <v>5033</v>
      </c>
      <c r="T6" s="36">
        <f>'Statement Q'!I8</f>
        <v>5568</v>
      </c>
      <c r="U6" s="36">
        <f>'Statement Q'!J8</f>
        <v>4900</v>
      </c>
      <c r="W6" s="36">
        <f t="shared" ref="W6:W18" si="0">SUM(R6:U6)</f>
        <v>20107</v>
      </c>
    </row>
    <row r="7" spans="2:23" outlineLevel="1" x14ac:dyDescent="0.2">
      <c r="B7" s="17" t="s">
        <v>22</v>
      </c>
      <c r="C7" s="59">
        <f t="shared" ref="C7:L7" si="1">C5-C6</f>
        <v>13805</v>
      </c>
      <c r="D7" s="59">
        <f t="shared" si="1"/>
        <v>12499</v>
      </c>
      <c r="E7" s="59">
        <f t="shared" si="1"/>
        <v>12488</v>
      </c>
      <c r="F7" s="59">
        <f t="shared" si="1"/>
        <v>15674</v>
      </c>
      <c r="G7" s="59">
        <f t="shared" si="1"/>
        <v>14276</v>
      </c>
      <c r="H7" s="59">
        <f t="shared" si="1"/>
        <v>19304</v>
      </c>
      <c r="I7" s="59">
        <f t="shared" si="1"/>
        <v>25565</v>
      </c>
      <c r="J7" s="59">
        <f t="shared" si="1"/>
        <v>19951</v>
      </c>
      <c r="K7" s="59">
        <f t="shared" si="1"/>
        <v>21902</v>
      </c>
      <c r="L7" s="59">
        <f t="shared" si="1"/>
        <v>24546</v>
      </c>
      <c r="N7" s="59">
        <f>'Statement Q'!C9</f>
        <v>5219</v>
      </c>
      <c r="O7" s="59">
        <f>'Statement Q'!D9</f>
        <v>5777</v>
      </c>
      <c r="P7" s="59">
        <f>'Statement Q'!E9</f>
        <v>6508</v>
      </c>
      <c r="Q7" s="59">
        <f>'Statement Q'!F9</f>
        <v>6042</v>
      </c>
      <c r="R7" s="59">
        <f>'Statement Q'!G9</f>
        <v>5759</v>
      </c>
      <c r="S7" s="59">
        <f>'Statement Q'!H9</f>
        <v>6237</v>
      </c>
      <c r="T7" s="59">
        <f>'Statement Q'!I9</f>
        <v>6684</v>
      </c>
      <c r="U7" s="59">
        <f>'Statement Q'!J9</f>
        <v>5699</v>
      </c>
      <c r="W7" s="59">
        <f t="shared" si="0"/>
        <v>24379</v>
      </c>
    </row>
    <row r="8" spans="2:23" outlineLevel="1" x14ac:dyDescent="0.2">
      <c r="B8" s="9" t="s">
        <v>23</v>
      </c>
      <c r="C8" s="143">
        <f>'Statement Y'!C10</f>
        <v>5151</v>
      </c>
      <c r="D8" s="143">
        <f>'Statement Y'!D10</f>
        <v>5485</v>
      </c>
      <c r="E8" s="143">
        <f>'Statement Y'!E10</f>
        <v>5625</v>
      </c>
      <c r="F8" s="143">
        <f>'Statement Y'!F10</f>
        <v>5398</v>
      </c>
      <c r="G8" s="143">
        <f>'Statement Y'!G10</f>
        <v>5975</v>
      </c>
      <c r="H8" s="143">
        <f>'Statement Y'!H10</f>
        <v>7176</v>
      </c>
      <c r="I8" s="143">
        <f>'Statement Y'!I10</f>
        <v>8194</v>
      </c>
      <c r="J8" s="143">
        <f>'Statement Y'!J10</f>
        <v>8818</v>
      </c>
      <c r="K8" s="143">
        <f>'Statement Y'!K10</f>
        <v>8893</v>
      </c>
      <c r="L8" s="143">
        <f>'Statement Y'!L10</f>
        <v>9042</v>
      </c>
      <c r="N8" s="143">
        <f>'Statement Q'!C10</f>
        <v>2259</v>
      </c>
      <c r="O8" s="143">
        <f>'Statement Q'!D10</f>
        <v>2302</v>
      </c>
      <c r="P8" s="143">
        <f>'Statement Q'!E10</f>
        <v>2230</v>
      </c>
      <c r="Q8" s="143">
        <f>'Statement Q'!F10</f>
        <v>2216</v>
      </c>
      <c r="R8" s="143">
        <f>'Statement Q'!G10</f>
        <v>2226</v>
      </c>
      <c r="S8" s="143">
        <f>'Statement Q'!H10</f>
        <v>2370</v>
      </c>
      <c r="T8" s="143">
        <f>'Statement Q'!I10</f>
        <v>2453</v>
      </c>
      <c r="U8" s="143">
        <f>'Statement Q'!J10</f>
        <v>2463</v>
      </c>
      <c r="W8" s="143">
        <f t="shared" si="0"/>
        <v>9512</v>
      </c>
    </row>
    <row r="9" spans="2:23" outlineLevel="1" x14ac:dyDescent="0.2">
      <c r="B9" s="12" t="s">
        <v>24</v>
      </c>
      <c r="C9" s="143">
        <f>'Statement Y'!C11</f>
        <v>2385</v>
      </c>
      <c r="D9" s="143">
        <f>'Statement Y'!D11</f>
        <v>2658</v>
      </c>
      <c r="E9" s="143">
        <f>'Statement Y'!E11</f>
        <v>2986</v>
      </c>
      <c r="F9" s="143">
        <f>'Statement Y'!F11</f>
        <v>2195</v>
      </c>
      <c r="G9" s="143">
        <f>'Statement Y'!G11</f>
        <v>2074</v>
      </c>
      <c r="H9" s="143">
        <f>'Statement Y'!H11</f>
        <v>2339</v>
      </c>
      <c r="I9" s="143">
        <f>'Statement Y'!I11</f>
        <v>2570</v>
      </c>
      <c r="J9" s="143">
        <f>'Statement Y'!J11</f>
        <v>2483</v>
      </c>
      <c r="K9" s="143">
        <f>'Statement Y'!K11</f>
        <v>2759</v>
      </c>
      <c r="L9" s="143">
        <f>'Statement Y'!L11</f>
        <v>3110</v>
      </c>
      <c r="N9" s="143">
        <f>'Statement Q'!C11</f>
        <v>664</v>
      </c>
      <c r="O9" s="143">
        <f>'Statement Q'!D11</f>
        <v>762</v>
      </c>
      <c r="P9" s="143">
        <f>'Statement Q'!E11</f>
        <v>723</v>
      </c>
      <c r="Q9" s="143">
        <f>'Statement Q'!F11</f>
        <v>706</v>
      </c>
      <c r="R9" s="143">
        <f>'Statement Q'!G11</f>
        <v>771</v>
      </c>
      <c r="S9" s="143">
        <f>'Statement Q'!H11</f>
        <v>910</v>
      </c>
      <c r="T9" s="143">
        <f>'Statement Q'!I11</f>
        <v>865</v>
      </c>
      <c r="U9" s="143">
        <f>'Statement Q'!J11</f>
        <v>898</v>
      </c>
      <c r="W9" s="143">
        <f t="shared" si="0"/>
        <v>3444</v>
      </c>
    </row>
    <row r="10" spans="2:23" outlineLevel="1" x14ac:dyDescent="0.2">
      <c r="B10" s="12" t="s">
        <v>25</v>
      </c>
      <c r="C10" s="143">
        <f>'Statement Y'!C12</f>
        <v>-226</v>
      </c>
      <c r="D10" s="143">
        <f>'Statement Y'!D12</f>
        <v>1742</v>
      </c>
      <c r="E10" s="143">
        <f>'Statement Y'!E12</f>
        <v>3135</v>
      </c>
      <c r="F10" s="143">
        <f>'Statement Y'!F12</f>
        <v>414</v>
      </c>
      <c r="G10" s="143">
        <f>'Statement Y'!G12</f>
        <v>-28</v>
      </c>
      <c r="H10" s="143">
        <f>'Statement Y'!H12</f>
        <v>0</v>
      </c>
      <c r="I10" s="143">
        <f>'Statement Y'!I12</f>
        <v>-1059</v>
      </c>
      <c r="J10" s="143">
        <f>'Statement Y'!J12</f>
        <v>862</v>
      </c>
      <c r="K10" s="143">
        <f>'Statement Y'!K12</f>
        <v>179</v>
      </c>
      <c r="L10" s="143">
        <f>'Statement Y'!L12</f>
        <v>39</v>
      </c>
      <c r="N10" s="143">
        <f>'Statement Q'!C12</f>
        <v>75</v>
      </c>
      <c r="O10" s="143">
        <f>'Statement Q'!D12</f>
        <v>132</v>
      </c>
      <c r="P10" s="143">
        <f>'Statement Q'!E12</f>
        <v>0</v>
      </c>
      <c r="Q10" s="143">
        <f>'Statement Q'!F12</f>
        <v>0</v>
      </c>
      <c r="R10" s="143">
        <f>'Statement Q'!G12</f>
        <v>0</v>
      </c>
      <c r="S10" s="143">
        <f>'Statement Q'!H12</f>
        <v>39</v>
      </c>
      <c r="T10" s="143">
        <f>'Statement Q'!I12</f>
        <v>0</v>
      </c>
      <c r="U10" s="143">
        <f>'Statement Q'!J12</f>
        <v>29</v>
      </c>
      <c r="W10" s="143">
        <f t="shared" si="0"/>
        <v>68</v>
      </c>
    </row>
    <row r="11" spans="2:23" outlineLevel="1" x14ac:dyDescent="0.2">
      <c r="B11" s="12" t="s">
        <v>26</v>
      </c>
      <c r="C11" s="143">
        <f>SUM(C8:C10)</f>
        <v>7310</v>
      </c>
      <c r="D11" s="143">
        <f t="shared" ref="D11:L11" si="2">SUM(D8:D10)</f>
        <v>9885</v>
      </c>
      <c r="E11" s="143">
        <f t="shared" si="2"/>
        <v>11746</v>
      </c>
      <c r="F11" s="143">
        <f t="shared" si="2"/>
        <v>8007</v>
      </c>
      <c r="G11" s="143">
        <f t="shared" si="2"/>
        <v>8021</v>
      </c>
      <c r="H11" s="143">
        <f t="shared" si="2"/>
        <v>9515</v>
      </c>
      <c r="I11" s="143">
        <f t="shared" si="2"/>
        <v>9705</v>
      </c>
      <c r="J11" s="143">
        <f t="shared" si="2"/>
        <v>12163</v>
      </c>
      <c r="K11" s="143">
        <f t="shared" si="2"/>
        <v>11831</v>
      </c>
      <c r="L11" s="143">
        <f t="shared" si="2"/>
        <v>12191</v>
      </c>
      <c r="N11" s="143">
        <f>'Statement Q'!C13</f>
        <v>2998</v>
      </c>
      <c r="O11" s="143">
        <f>'Statement Q'!D13</f>
        <v>3196</v>
      </c>
      <c r="P11" s="143">
        <f>'Statement Q'!E13</f>
        <v>2953</v>
      </c>
      <c r="Q11" s="143">
        <f>'Statement Q'!F13</f>
        <v>2922</v>
      </c>
      <c r="R11" s="143">
        <f>'Statement Q'!G13</f>
        <v>2997</v>
      </c>
      <c r="S11" s="143">
        <f>'Statement Q'!H13</f>
        <v>3319</v>
      </c>
      <c r="T11" s="143">
        <f>'Statement Q'!I13</f>
        <v>3318</v>
      </c>
      <c r="U11" s="143">
        <f>'Statement Q'!J13</f>
        <v>3390</v>
      </c>
      <c r="W11" s="143">
        <f t="shared" si="0"/>
        <v>13024</v>
      </c>
    </row>
    <row r="12" spans="2:23" outlineLevel="1" x14ac:dyDescent="0.2">
      <c r="B12" s="17" t="s">
        <v>27</v>
      </c>
      <c r="C12" s="59">
        <f>'Statement Y'!C14</f>
        <v>6495</v>
      </c>
      <c r="D12" s="59">
        <f>'Statement Y'!D14</f>
        <v>2614</v>
      </c>
      <c r="E12" s="59">
        <f>'Statement Y'!E14</f>
        <v>742</v>
      </c>
      <c r="F12" s="59">
        <f>'Statement Y'!F14</f>
        <v>7667</v>
      </c>
      <c r="G12" s="59">
        <f>'Statement Y'!G14</f>
        <v>6255</v>
      </c>
      <c r="H12" s="59">
        <f>'Statement Y'!H14</f>
        <v>9789</v>
      </c>
      <c r="I12" s="59">
        <f>'Statement Y'!I14</f>
        <v>15860</v>
      </c>
      <c r="J12" s="59">
        <f>'Statement Y'!J14</f>
        <v>7788</v>
      </c>
      <c r="K12" s="59">
        <f>'Statement Y'!K14</f>
        <v>10071</v>
      </c>
      <c r="L12" s="59">
        <f>'Statement Y'!L14</f>
        <v>12355</v>
      </c>
      <c r="N12" s="59">
        <f>'Statement Q'!C14</f>
        <v>2221</v>
      </c>
      <c r="O12" s="59">
        <f>'Statement Q'!D14</f>
        <v>2581</v>
      </c>
      <c r="P12" s="59">
        <f>'Statement Q'!E14</f>
        <v>3555</v>
      </c>
      <c r="Q12" s="59">
        <f>'Statement Q'!F14</f>
        <v>3120</v>
      </c>
      <c r="R12" s="59">
        <f>'Statement Q'!G14</f>
        <v>2762</v>
      </c>
      <c r="S12" s="59">
        <f>'Statement Q'!H14</f>
        <v>2918</v>
      </c>
      <c r="T12" s="59">
        <f>'Statement Q'!I14</f>
        <v>3366</v>
      </c>
      <c r="U12" s="59">
        <f>'Statement Q'!J14</f>
        <v>2309</v>
      </c>
      <c r="W12" s="59">
        <f t="shared" si="0"/>
        <v>11355</v>
      </c>
    </row>
    <row r="13" spans="2:23" outlineLevel="1" x14ac:dyDescent="0.2">
      <c r="B13" s="85" t="s">
        <v>260</v>
      </c>
      <c r="C13" s="163">
        <f>C12+C61</f>
        <v>7923</v>
      </c>
      <c r="D13" s="163">
        <f t="shared" ref="D13:L13" si="3">D12+D61</f>
        <v>4075</v>
      </c>
      <c r="E13" s="163">
        <f t="shared" si="3"/>
        <v>2303</v>
      </c>
      <c r="F13" s="163">
        <f t="shared" si="3"/>
        <v>9068</v>
      </c>
      <c r="G13" s="163">
        <f t="shared" si="3"/>
        <v>7648</v>
      </c>
      <c r="H13" s="163">
        <f t="shared" si="3"/>
        <v>11371</v>
      </c>
      <c r="I13" s="163">
        <f t="shared" si="3"/>
        <v>17622</v>
      </c>
      <c r="J13" s="163">
        <f t="shared" si="3"/>
        <v>9597</v>
      </c>
      <c r="K13" s="163">
        <f t="shared" si="3"/>
        <v>11777</v>
      </c>
      <c r="L13" s="163">
        <f t="shared" si="3"/>
        <v>13957</v>
      </c>
      <c r="N13" s="163">
        <f>N12+N61</f>
        <v>2640</v>
      </c>
      <c r="O13" s="163">
        <f t="shared" ref="O13:U13" si="4">O12+O61</f>
        <v>3020</v>
      </c>
      <c r="P13" s="163">
        <f t="shared" si="4"/>
        <v>3991</v>
      </c>
      <c r="Q13" s="163">
        <f t="shared" si="4"/>
        <v>3517</v>
      </c>
      <c r="R13" s="163">
        <f t="shared" si="4"/>
        <v>3160</v>
      </c>
      <c r="S13" s="163">
        <f t="shared" si="4"/>
        <v>3289</v>
      </c>
      <c r="T13" s="163">
        <f t="shared" si="4"/>
        <v>3759</v>
      </c>
      <c r="U13" s="163">
        <f t="shared" si="4"/>
        <v>2722</v>
      </c>
      <c r="W13" s="61">
        <f>SUM(R13:U13)</f>
        <v>12930</v>
      </c>
    </row>
    <row r="14" spans="2:23" outlineLevel="1" x14ac:dyDescent="0.2">
      <c r="B14" s="12" t="s">
        <v>70</v>
      </c>
      <c r="C14" s="143">
        <f>'Statement Y'!C15</f>
        <v>-297</v>
      </c>
      <c r="D14" s="143">
        <f>'Statement Y'!D15</f>
        <v>-494</v>
      </c>
      <c r="E14" s="143">
        <f>'Statement Y'!E15</f>
        <v>-768</v>
      </c>
      <c r="F14" s="143">
        <f>'Statement Y'!F15</f>
        <v>-627</v>
      </c>
      <c r="G14" s="143">
        <f>'Statement Y'!G15</f>
        <v>-602</v>
      </c>
      <c r="H14" s="143">
        <f>'Statement Y'!H15</f>
        <v>-559</v>
      </c>
      <c r="I14" s="143">
        <f>'Statement Y'!I15</f>
        <v>-490</v>
      </c>
      <c r="J14" s="143">
        <f>'Statement Y'!J15</f>
        <v>-694</v>
      </c>
      <c r="K14" s="143">
        <f>'Statement Y'!K15</f>
        <v>-697</v>
      </c>
      <c r="L14" s="143">
        <f>'Statement Y'!L15</f>
        <v>-664</v>
      </c>
      <c r="N14" s="143">
        <f>'Statement Q'!C15</f>
        <v>-168</v>
      </c>
      <c r="O14" s="143">
        <f>'Statement Q'!D15</f>
        <v>-178</v>
      </c>
      <c r="P14" s="143">
        <f>'Statement Q'!E15</f>
        <v>-163</v>
      </c>
      <c r="Q14" s="143">
        <f>'Statement Q'!F15</f>
        <v>-163</v>
      </c>
      <c r="R14" s="143">
        <f>'Statement Q'!G15</f>
        <v>-168</v>
      </c>
      <c r="S14" s="143">
        <f>'Statement Q'!H15</f>
        <v>-171</v>
      </c>
      <c r="T14" s="143">
        <f>'Statement Q'!I15</f>
        <v>-169</v>
      </c>
      <c r="U14" s="143">
        <f>'Statement Q'!J15</f>
        <v>-171</v>
      </c>
      <c r="W14" s="143">
        <f t="shared" si="0"/>
        <v>-679</v>
      </c>
    </row>
    <row r="15" spans="2:23" outlineLevel="1" x14ac:dyDescent="0.2">
      <c r="B15" s="12" t="s">
        <v>37</v>
      </c>
      <c r="C15" s="143">
        <f>'Statement Y'!C16</f>
        <v>635</v>
      </c>
      <c r="D15" s="143">
        <f>'Statement Y'!D16</f>
        <v>900</v>
      </c>
      <c r="E15" s="143">
        <f>'Statement Y'!E16</f>
        <v>539</v>
      </c>
      <c r="F15" s="143">
        <f>'Statement Y'!F16</f>
        <v>441</v>
      </c>
      <c r="G15" s="143">
        <f>'Statement Y'!G16</f>
        <v>66</v>
      </c>
      <c r="H15" s="143">
        <f>'Statement Y'!H16</f>
        <v>1044</v>
      </c>
      <c r="I15" s="143">
        <f>'Statement Y'!I16</f>
        <v>-372</v>
      </c>
      <c r="J15" s="143">
        <f>'Statement Y'!J16</f>
        <v>349</v>
      </c>
      <c r="K15" s="143">
        <f>'Statement Y'!K16</f>
        <v>962</v>
      </c>
      <c r="L15" s="143">
        <f>'Statement Y'!L16</f>
        <v>972</v>
      </c>
      <c r="N15" s="143">
        <f>'Statement Q'!C16</f>
        <v>226</v>
      </c>
      <c r="O15" s="143">
        <f>'Statement Q'!D16</f>
        <v>194</v>
      </c>
      <c r="P15" s="143">
        <f>'Statement Q'!E16</f>
        <v>243</v>
      </c>
      <c r="Q15" s="143">
        <f>'Statement Q'!F16</f>
        <v>148</v>
      </c>
      <c r="R15" s="143">
        <f>'Statement Q'!G16</f>
        <v>358</v>
      </c>
      <c r="S15" s="143">
        <f>'Statement Q'!H16</f>
        <v>224</v>
      </c>
      <c r="T15" s="143">
        <f>'Statement Q'!I16</f>
        <v>350</v>
      </c>
      <c r="U15" s="143">
        <f>'Statement Q'!J16</f>
        <v>94</v>
      </c>
      <c r="W15" s="143">
        <f t="shared" si="0"/>
        <v>1026</v>
      </c>
    </row>
    <row r="16" spans="2:23" outlineLevel="1" x14ac:dyDescent="0.2">
      <c r="B16" s="17" t="s">
        <v>28</v>
      </c>
      <c r="C16" s="144">
        <f>'Statement Y'!C17</f>
        <v>6833</v>
      </c>
      <c r="D16" s="144">
        <f>'Statement Y'!D17</f>
        <v>3020</v>
      </c>
      <c r="E16" s="144">
        <f>'Statement Y'!E17</f>
        <v>513</v>
      </c>
      <c r="F16" s="144">
        <f>'Statement Y'!F17</f>
        <v>7481</v>
      </c>
      <c r="G16" s="144">
        <f>'Statement Y'!G17</f>
        <v>5719</v>
      </c>
      <c r="H16" s="144">
        <f>'Statement Y'!H17</f>
        <v>10274</v>
      </c>
      <c r="I16" s="144">
        <f>'Statement Y'!I17</f>
        <v>14998</v>
      </c>
      <c r="J16" s="144">
        <f>'Statement Y'!J17</f>
        <v>7443</v>
      </c>
      <c r="K16" s="144">
        <f>'Statement Y'!K17</f>
        <v>10336</v>
      </c>
      <c r="L16" s="144">
        <f>'Statement Y'!L17</f>
        <v>12663</v>
      </c>
      <c r="N16" s="144">
        <f>'Statement Q'!C17</f>
        <v>2279</v>
      </c>
      <c r="O16" s="144">
        <f>'Statement Q'!D17</f>
        <v>2597</v>
      </c>
      <c r="P16" s="144">
        <f>'Statement Q'!E17</f>
        <v>3635</v>
      </c>
      <c r="Q16" s="144">
        <f>'Statement Q'!F17</f>
        <v>3105</v>
      </c>
      <c r="R16" s="144">
        <f>'Statement Q'!G17</f>
        <v>2952</v>
      </c>
      <c r="S16" s="144">
        <f>'Statement Q'!H17</f>
        <v>2971</v>
      </c>
      <c r="T16" s="144">
        <f>'Statement Q'!I17</f>
        <v>3547</v>
      </c>
      <c r="U16" s="144">
        <f>'Statement Q'!J17</f>
        <v>2232</v>
      </c>
      <c r="W16" s="144">
        <f t="shared" si="0"/>
        <v>11702</v>
      </c>
    </row>
    <row r="17" spans="2:23" outlineLevel="1" x14ac:dyDescent="0.2">
      <c r="B17" s="12" t="s">
        <v>150</v>
      </c>
      <c r="C17" s="143">
        <f>'Statement Y'!C18</f>
        <v>-1131</v>
      </c>
      <c r="D17" s="143">
        <f>'Statement Y'!D18</f>
        <v>-555</v>
      </c>
      <c r="E17" s="143">
        <f>'Statement Y'!E18</f>
        <v>-5377</v>
      </c>
      <c r="F17" s="143">
        <f>'Statement Y'!F18</f>
        <v>-3095</v>
      </c>
      <c r="G17" s="143">
        <f>'Statement Y'!G18</f>
        <v>-521</v>
      </c>
      <c r="H17" s="143">
        <f>'Statement Y'!H18</f>
        <v>-1231</v>
      </c>
      <c r="I17" s="143">
        <f>'Statement Y'!I18</f>
        <v>-2012</v>
      </c>
      <c r="J17" s="143">
        <f>'Statement Y'!J18</f>
        <v>-104</v>
      </c>
      <c r="K17" s="143">
        <f>'Statement Y'!K18</f>
        <v>-226</v>
      </c>
      <c r="L17" s="143">
        <f>'Statement Y'!L18</f>
        <v>-7122</v>
      </c>
      <c r="N17" s="143">
        <f>'Statement Q'!C18</f>
        <v>-171</v>
      </c>
      <c r="O17" s="143">
        <f>'Statement Q'!D18</f>
        <v>318</v>
      </c>
      <c r="P17" s="143">
        <f>'Statement Q'!E18</f>
        <v>-455</v>
      </c>
      <c r="Q17" s="143">
        <f>'Statement Q'!F18</f>
        <v>-293</v>
      </c>
      <c r="R17" s="143">
        <f>'Statement Q'!G18</f>
        <v>-286</v>
      </c>
      <c r="S17" s="143">
        <f>'Statement Q'!H18</f>
        <v>-6088</v>
      </c>
      <c r="T17" s="143">
        <f>'Statement Q'!I18</f>
        <v>-543</v>
      </c>
      <c r="U17" s="143">
        <v>-500</v>
      </c>
      <c r="W17" s="143">
        <f t="shared" si="0"/>
        <v>-7417</v>
      </c>
    </row>
    <row r="18" spans="2:23" outlineLevel="1" x14ac:dyDescent="0.2">
      <c r="B18" s="17" t="s">
        <v>30</v>
      </c>
      <c r="C18" s="144">
        <f>'Statement Y'!C19</f>
        <v>5702</v>
      </c>
      <c r="D18" s="144">
        <f>'Statement Y'!D19</f>
        <v>2465</v>
      </c>
      <c r="E18" s="144">
        <f>'Statement Y'!E19</f>
        <v>-4864</v>
      </c>
      <c r="F18" s="144">
        <f>'Statement Y'!F19</f>
        <v>4386</v>
      </c>
      <c r="G18" s="144">
        <f>'Statement Y'!G19</f>
        <v>5198</v>
      </c>
      <c r="H18" s="144">
        <f>'Statement Y'!H19</f>
        <v>9043</v>
      </c>
      <c r="I18" s="144">
        <f>'Statement Y'!I19</f>
        <v>12986</v>
      </c>
      <c r="J18" s="144">
        <f>'Statement Y'!J19</f>
        <v>7339</v>
      </c>
      <c r="K18" s="144">
        <f>'Statement Y'!K19</f>
        <v>10110</v>
      </c>
      <c r="L18" s="144">
        <v>10600</v>
      </c>
      <c r="N18" s="144">
        <f>'Statement Q'!C19</f>
        <v>2108</v>
      </c>
      <c r="O18" s="144">
        <f>'Statement Q'!D19</f>
        <v>2915</v>
      </c>
      <c r="P18" s="144">
        <f>'Statement Q'!E19</f>
        <v>3180</v>
      </c>
      <c r="Q18" s="144">
        <f>'Statement Q'!F19</f>
        <v>2812</v>
      </c>
      <c r="R18" s="144">
        <f>'Statement Q'!G19</f>
        <v>2666</v>
      </c>
      <c r="S18" s="144">
        <v>2517</v>
      </c>
      <c r="T18" s="144">
        <v>2700</v>
      </c>
      <c r="U18" s="144">
        <f>U16+U17</f>
        <v>1732</v>
      </c>
      <c r="W18" s="144">
        <f t="shared" si="0"/>
        <v>9615</v>
      </c>
    </row>
    <row r="19" spans="2:23" outlineLevel="1" x14ac:dyDescent="0.2">
      <c r="B19" s="12" t="s">
        <v>34</v>
      </c>
      <c r="C19" s="36">
        <f>'Statement Y'!C25</f>
        <v>1498</v>
      </c>
      <c r="D19" s="36">
        <f>'Statement Y'!D25</f>
        <v>1490</v>
      </c>
      <c r="E19" s="36">
        <f>'Statement Y'!E25</f>
        <v>1463</v>
      </c>
      <c r="F19" s="36">
        <f>'Statement Y'!F25</f>
        <v>1220</v>
      </c>
      <c r="G19" s="36">
        <f>'Statement Y'!G25</f>
        <v>1149</v>
      </c>
      <c r="H19" s="36">
        <f>'Statement Y'!H25</f>
        <v>1149</v>
      </c>
      <c r="I19" s="36">
        <f>'Statement Y'!I25</f>
        <v>1137</v>
      </c>
      <c r="J19" s="36">
        <f>'Statement Y'!J25</f>
        <v>1126</v>
      </c>
      <c r="K19" s="36">
        <f>'Statement Y'!K25</f>
        <v>1130</v>
      </c>
      <c r="L19" s="36">
        <f>'Statement Y'!L25</f>
        <v>1105</v>
      </c>
      <c r="N19" s="36">
        <f>'Statement Q'!C25</f>
        <v>1134</v>
      </c>
      <c r="O19" s="36">
        <f>'Statement Q'!D25</f>
        <v>1129</v>
      </c>
      <c r="P19" s="36">
        <f>'Statement Q'!E25</f>
        <v>1122</v>
      </c>
      <c r="Q19" s="36">
        <f>'Statement Q'!F25</f>
        <v>1115</v>
      </c>
      <c r="R19" s="36">
        <f>'Statement Q'!G25</f>
        <v>1099</v>
      </c>
      <c r="S19" s="36">
        <f>'Statement Q'!H25</f>
        <v>1078</v>
      </c>
      <c r="T19" s="36">
        <f>'Statement Q'!I25</f>
        <v>1079</v>
      </c>
      <c r="U19" s="36">
        <f>'Statement Q'!J25</f>
        <v>1072</v>
      </c>
      <c r="W19" s="36">
        <f>AVERAGE(R19:U19)</f>
        <v>1082</v>
      </c>
    </row>
    <row r="20" spans="2:23" ht="17" outlineLevel="1" thickBot="1" x14ac:dyDescent="0.25">
      <c r="B20" s="10" t="s">
        <v>36</v>
      </c>
      <c r="C20" s="145">
        <f>C18/C19</f>
        <v>3.8064085447263016</v>
      </c>
      <c r="D20" s="145">
        <f t="shared" ref="D20:L20" si="5">D18/D19</f>
        <v>1.6543624161073827</v>
      </c>
      <c r="E20" s="145">
        <f t="shared" si="5"/>
        <v>-3.3246753246753249</v>
      </c>
      <c r="F20" s="145">
        <f t="shared" si="5"/>
        <v>3.5950819672131149</v>
      </c>
      <c r="G20" s="145">
        <f t="shared" si="5"/>
        <v>4.5239338555265451</v>
      </c>
      <c r="H20" s="145">
        <f t="shared" si="5"/>
        <v>7.8703220191470846</v>
      </c>
      <c r="I20" s="145">
        <f t="shared" si="5"/>
        <v>11.421284080914688</v>
      </c>
      <c r="J20" s="145">
        <f t="shared" si="5"/>
        <v>6.517761989342806</v>
      </c>
      <c r="K20" s="145">
        <f t="shared" si="5"/>
        <v>8.946902654867257</v>
      </c>
      <c r="L20" s="145">
        <f t="shared" si="5"/>
        <v>9.5927601809954748</v>
      </c>
      <c r="N20" s="145">
        <f>N18/N19</f>
        <v>1.8589065255731922</v>
      </c>
      <c r="O20" s="145">
        <f t="shared" ref="O20:U20" si="6">O18/O19</f>
        <v>2.5819309123117802</v>
      </c>
      <c r="P20" s="145">
        <f t="shared" si="6"/>
        <v>2.8342245989304811</v>
      </c>
      <c r="Q20" s="145">
        <f t="shared" si="6"/>
        <v>2.5219730941704035</v>
      </c>
      <c r="R20" s="145">
        <f t="shared" si="6"/>
        <v>2.4258416742493174</v>
      </c>
      <c r="S20" s="145">
        <f t="shared" si="6"/>
        <v>2.3348794063079779</v>
      </c>
      <c r="T20" s="150">
        <f t="shared" si="6"/>
        <v>2.5023169601482853</v>
      </c>
      <c r="U20" s="150">
        <f t="shared" si="6"/>
        <v>1.6156716417910448</v>
      </c>
      <c r="W20" s="150">
        <f>W18/W19</f>
        <v>8.8863216266173755</v>
      </c>
    </row>
    <row r="22" spans="2:23" ht="17" thickBot="1" x14ac:dyDescent="0.25">
      <c r="B22" s="15" t="s">
        <v>38</v>
      </c>
      <c r="C22" s="14"/>
      <c r="D22" s="14"/>
      <c r="E22" s="14"/>
      <c r="F22" s="14"/>
      <c r="G22" s="14"/>
      <c r="H22" s="14"/>
      <c r="I22" s="14"/>
      <c r="J22" s="14"/>
      <c r="K22" s="14"/>
      <c r="L22" s="14"/>
      <c r="N22" s="14"/>
      <c r="O22" s="14"/>
      <c r="P22" s="14"/>
      <c r="Q22" s="14"/>
      <c r="R22" s="14"/>
      <c r="S22" s="14"/>
      <c r="T22" s="14"/>
      <c r="U22" s="14"/>
      <c r="W22" s="14"/>
    </row>
    <row r="23" spans="2:23" outlineLevel="1" x14ac:dyDescent="0.2">
      <c r="B23" s="9" t="s">
        <v>39</v>
      </c>
      <c r="C23" s="36">
        <f>'Statement Y'!C30+'Statement Y'!C32</f>
        <v>18648</v>
      </c>
      <c r="D23" s="36">
        <f>'Statement Y'!D30+'Statement Y'!D32</f>
        <v>37308</v>
      </c>
      <c r="E23" s="36">
        <f>'Statement Y'!E30+'Statement Y'!E32</f>
        <v>12088</v>
      </c>
      <c r="F23" s="36">
        <f>'Statement Y'!F30+'Statement Y'!F32</f>
        <v>12260</v>
      </c>
      <c r="G23" s="36">
        <f>'Statement Y'!G30+'Statement Y'!G32</f>
        <v>11214</v>
      </c>
      <c r="H23" s="36">
        <f>'Statement Y'!H30+'Statement Y'!H32</f>
        <v>12414</v>
      </c>
      <c r="I23" s="36">
        <f>'Statement Y'!I30+'Statement Y'!I32</f>
        <v>6382</v>
      </c>
      <c r="J23" s="36">
        <f>'Statement Y'!J30+'Statement Y'!J32</f>
        <v>11324</v>
      </c>
      <c r="K23" s="36">
        <f>'Statement Y'!K30+'Statement Y'!K32</f>
        <v>13300</v>
      </c>
      <c r="L23" s="36">
        <f>'Statement Y'!L30+'Statement Y'!L32</f>
        <v>10155</v>
      </c>
      <c r="N23" s="36">
        <f>'Statement Q'!C30+'Statement Q'!C32</f>
        <v>13032</v>
      </c>
      <c r="O23" s="36">
        <f>'Statement Q'!D30+'Statement Q'!D32</f>
        <v>13300</v>
      </c>
      <c r="P23" s="36">
        <f>'Statement Q'!E30+'Statement Q'!E32</f>
        <v>14305</v>
      </c>
      <c r="Q23" s="36">
        <f>'Statement Q'!F30+'Statement Q'!F32</f>
        <v>13846</v>
      </c>
      <c r="R23" s="36">
        <f>'Statement Q'!G30+'Statement Q'!G32</f>
        <v>10011</v>
      </c>
      <c r="S23" s="36">
        <f>'Statement Q'!H30+'Statement Q'!H32</f>
        <v>10155</v>
      </c>
      <c r="T23" s="36">
        <f>'Statement Q'!I30+'Statement Q'!I32</f>
        <v>11822</v>
      </c>
      <c r="U23" s="36">
        <f>'Statement Q'!J30+'Statement Q'!J32</f>
        <v>9799</v>
      </c>
      <c r="W23" s="36">
        <f>U23</f>
        <v>9799</v>
      </c>
    </row>
    <row r="24" spans="2:23" outlineLevel="1" x14ac:dyDescent="0.2">
      <c r="B24" s="9" t="s">
        <v>72</v>
      </c>
      <c r="C24" s="36">
        <f>'Statement Y'!C31</f>
        <v>0</v>
      </c>
      <c r="D24" s="36">
        <f>'Statement Y'!D31</f>
        <v>0</v>
      </c>
      <c r="E24" s="36">
        <f>'Statement Y'!E31</f>
        <v>0</v>
      </c>
      <c r="F24" s="36">
        <f>'Statement Y'!F31</f>
        <v>0</v>
      </c>
      <c r="G24" s="36">
        <f>'Statement Y'!G31</f>
        <v>0</v>
      </c>
      <c r="H24" s="36">
        <f>'Statement Y'!H31</f>
        <v>0</v>
      </c>
      <c r="I24" s="36">
        <f>'Statement Y'!I31</f>
        <v>0</v>
      </c>
      <c r="J24" s="36">
        <f>'Statement Y'!J31</f>
        <v>0</v>
      </c>
      <c r="K24" s="36">
        <f>'Statement Y'!K31</f>
        <v>0</v>
      </c>
      <c r="L24" s="36">
        <f>'Statement Y'!L31</f>
        <v>2323</v>
      </c>
      <c r="N24" s="36">
        <f>'Statement Q'!C31</f>
        <v>0</v>
      </c>
      <c r="O24" s="36">
        <f>'Statement Q'!D31</f>
        <v>0</v>
      </c>
      <c r="P24" s="36">
        <f>'Statement Q'!E31</f>
        <v>0</v>
      </c>
      <c r="Q24" s="36">
        <f>'Statement Q'!F31</f>
        <v>0</v>
      </c>
      <c r="R24" s="36">
        <f>'Statement Q'!G31</f>
        <v>2323</v>
      </c>
      <c r="S24" s="36">
        <f>'Statement Q'!H31</f>
        <v>2323</v>
      </c>
      <c r="T24" s="36">
        <f>'Statement Q'!I31</f>
        <v>0</v>
      </c>
      <c r="U24" s="36">
        <f>'Statement Q'!J31</f>
        <v>0</v>
      </c>
      <c r="W24" s="36">
        <f t="shared" ref="W24:W57" si="7">U24</f>
        <v>0</v>
      </c>
    </row>
    <row r="25" spans="2:23" outlineLevel="1" x14ac:dyDescent="0.2">
      <c r="B25" s="9" t="s">
        <v>41</v>
      </c>
      <c r="C25" s="36">
        <f>'Statement Y'!C33</f>
        <v>2219</v>
      </c>
      <c r="D25" s="36">
        <f>'Statement Y'!D33</f>
        <v>3632</v>
      </c>
      <c r="E25" s="36">
        <f>'Statement Y'!E33</f>
        <v>2904</v>
      </c>
      <c r="F25" s="36">
        <f>'Statement Y'!F33</f>
        <v>2471</v>
      </c>
      <c r="G25" s="36">
        <f>'Statement Y'!G33</f>
        <v>4003</v>
      </c>
      <c r="H25" s="36">
        <f>'Statement Y'!H33</f>
        <v>3579</v>
      </c>
      <c r="I25" s="36">
        <f>'Statement Y'!I33</f>
        <v>5643</v>
      </c>
      <c r="J25" s="36">
        <f>'Statement Y'!J33</f>
        <v>3183</v>
      </c>
      <c r="K25" s="36">
        <f>'Statement Y'!K33</f>
        <v>3929</v>
      </c>
      <c r="L25" s="36">
        <f>'Statement Y'!L33</f>
        <v>4315</v>
      </c>
      <c r="N25" s="36">
        <f>'Statement Q'!C33</f>
        <v>2948</v>
      </c>
      <c r="O25" s="36">
        <f>'Statement Q'!D33</f>
        <v>3929</v>
      </c>
      <c r="P25" s="36">
        <f>'Statement Q'!E33</f>
        <v>3550</v>
      </c>
      <c r="Q25" s="36">
        <f>'Statement Q'!F33</f>
        <v>3699</v>
      </c>
      <c r="R25" s="36">
        <f>'Statement Q'!G33</f>
        <v>3410</v>
      </c>
      <c r="S25" s="36">
        <f>'Statement Q'!H33</f>
        <v>4315</v>
      </c>
      <c r="T25" s="36">
        <f>'Statement Q'!I33</f>
        <v>4153</v>
      </c>
      <c r="U25" s="36">
        <f>'Statement Q'!J33</f>
        <v>4347</v>
      </c>
      <c r="W25" s="36">
        <f t="shared" si="7"/>
        <v>4347</v>
      </c>
    </row>
    <row r="26" spans="2:23" outlineLevel="1" x14ac:dyDescent="0.2">
      <c r="B26" s="9" t="s">
        <v>42</v>
      </c>
      <c r="C26" s="36">
        <f>'Statement Y'!C34</f>
        <v>1556</v>
      </c>
      <c r="D26" s="36">
        <f>'Statement Y'!D34</f>
        <v>2035</v>
      </c>
      <c r="E26" s="36">
        <f>'Statement Y'!E34</f>
        <v>1693</v>
      </c>
      <c r="F26" s="36">
        <f>'Statement Y'!F34</f>
        <v>1400</v>
      </c>
      <c r="G26" s="36">
        <f>'Statement Y'!G34</f>
        <v>2598</v>
      </c>
      <c r="H26" s="36">
        <f>'Statement Y'!H34</f>
        <v>3228</v>
      </c>
      <c r="I26" s="36">
        <f>'Statement Y'!I34</f>
        <v>6341</v>
      </c>
      <c r="J26" s="36">
        <f>'Statement Y'!J34</f>
        <v>6422</v>
      </c>
      <c r="K26" s="36">
        <f>'Statement Y'!K34</f>
        <v>6423</v>
      </c>
      <c r="L26" s="36">
        <f>'Statement Y'!L34</f>
        <v>6526</v>
      </c>
      <c r="N26" s="36">
        <f>'Statement Q'!C34</f>
        <v>6020</v>
      </c>
      <c r="O26" s="36">
        <f>'Statement Q'!D34</f>
        <v>6423</v>
      </c>
      <c r="P26" s="36">
        <f>'Statement Q'!E34</f>
        <v>6303</v>
      </c>
      <c r="Q26" s="36">
        <f>'Statement Q'!F34</f>
        <v>6196</v>
      </c>
      <c r="R26" s="36">
        <f>'Statement Q'!G34</f>
        <v>6338</v>
      </c>
      <c r="S26" s="36">
        <f>'Statement Q'!H34</f>
        <v>6526</v>
      </c>
      <c r="T26" s="36">
        <f>'Statement Q'!I34</f>
        <v>6665</v>
      </c>
      <c r="U26" s="36">
        <f>'Statement Q'!J34</f>
        <v>7368</v>
      </c>
      <c r="W26" s="36">
        <f t="shared" si="7"/>
        <v>7368</v>
      </c>
    </row>
    <row r="27" spans="2:23" outlineLevel="1" x14ac:dyDescent="0.2">
      <c r="B27" s="9" t="s">
        <v>71</v>
      </c>
      <c r="C27" s="36">
        <f>'Statement Y'!C35</f>
        <v>0</v>
      </c>
      <c r="D27" s="36">
        <f>'Statement Y'!D35</f>
        <v>0</v>
      </c>
      <c r="E27" s="36">
        <f>'Statement Y'!E35</f>
        <v>0</v>
      </c>
      <c r="F27" s="36">
        <f>'Statement Y'!F35</f>
        <v>0</v>
      </c>
      <c r="G27" s="36">
        <f>'Statement Y'!G35</f>
        <v>0</v>
      </c>
      <c r="H27" s="36">
        <f>'Statement Y'!H35</f>
        <v>0</v>
      </c>
      <c r="I27" s="36">
        <f>'Statement Y'!I35</f>
        <v>733</v>
      </c>
      <c r="J27" s="36">
        <f>'Statement Y'!J35</f>
        <v>341</v>
      </c>
      <c r="K27" s="36">
        <f>'Statement Y'!K35</f>
        <v>0</v>
      </c>
      <c r="L27" s="36">
        <f>'Statement Y'!L35</f>
        <v>0</v>
      </c>
      <c r="N27" s="36">
        <f>'Statement Q'!C35</f>
        <v>0</v>
      </c>
      <c r="O27" s="36">
        <f>'Statement Q'!D35</f>
        <v>0</v>
      </c>
      <c r="P27" s="36">
        <f>'Statement Q'!E35</f>
        <v>0</v>
      </c>
      <c r="Q27" s="36">
        <f>'Statement Q'!F35</f>
        <v>0</v>
      </c>
      <c r="R27" s="36">
        <f>'Statement Q'!G35</f>
        <v>0</v>
      </c>
      <c r="S27" s="36">
        <f>'Statement Q'!H35</f>
        <v>0</v>
      </c>
      <c r="T27" s="36">
        <f>'Statement Q'!I35</f>
        <v>0</v>
      </c>
      <c r="U27" s="36">
        <f>'Statement Q'!J35</f>
        <v>0</v>
      </c>
      <c r="W27" s="36">
        <f t="shared" si="7"/>
        <v>0</v>
      </c>
    </row>
    <row r="28" spans="2:23" outlineLevel="1" x14ac:dyDescent="0.2">
      <c r="B28" s="9" t="s">
        <v>43</v>
      </c>
      <c r="C28" s="36">
        <f>'Statement Y'!C36</f>
        <v>558</v>
      </c>
      <c r="D28" s="36">
        <f>'Statement Y'!D36</f>
        <v>618</v>
      </c>
      <c r="E28" s="36">
        <f>'Statement Y'!E36</f>
        <v>699</v>
      </c>
      <c r="F28" s="36">
        <f>'Statement Y'!F36</f>
        <v>634</v>
      </c>
      <c r="G28" s="36">
        <f>'Statement Y'!G36</f>
        <v>704</v>
      </c>
      <c r="H28" s="36">
        <f>'Statement Y'!H36</f>
        <v>854</v>
      </c>
      <c r="I28" s="36">
        <f>'Statement Y'!I36</f>
        <v>1625</v>
      </c>
      <c r="J28" s="36">
        <f>'Statement Y'!J36</f>
        <v>1194</v>
      </c>
      <c r="K28" s="36">
        <f>'Statement Y'!K36</f>
        <v>1579</v>
      </c>
      <c r="L28" s="36">
        <f>'Statement Y'!L36</f>
        <v>2435</v>
      </c>
      <c r="N28" s="36">
        <f>'Statement Q'!C36</f>
        <v>1332</v>
      </c>
      <c r="O28" s="36">
        <f>'Statement Q'!D36</f>
        <v>1579</v>
      </c>
      <c r="P28" s="36">
        <f>'Statement Q'!E36</f>
        <v>1907</v>
      </c>
      <c r="Q28" s="36">
        <f>'Statement Q'!F36</f>
        <v>2339</v>
      </c>
      <c r="R28" s="36">
        <f>'Statement Q'!G36</f>
        <v>2831</v>
      </c>
      <c r="S28" s="36">
        <f>'Statement Q'!H36</f>
        <v>2435</v>
      </c>
      <c r="T28" s="36">
        <f>'Statement Q'!I36</f>
        <v>1968</v>
      </c>
      <c r="U28" s="36">
        <f>'Statement Q'!J36</f>
        <v>1598</v>
      </c>
      <c r="W28" s="36">
        <f t="shared" si="7"/>
        <v>1598</v>
      </c>
    </row>
    <row r="29" spans="2:23" outlineLevel="1" x14ac:dyDescent="0.2">
      <c r="B29" s="11" t="s">
        <v>44</v>
      </c>
      <c r="C29" s="61">
        <f>'Statement Y'!C37</f>
        <v>22981</v>
      </c>
      <c r="D29" s="61">
        <f>'Statement Y'!D37</f>
        <v>43593</v>
      </c>
      <c r="E29" s="61">
        <f>'Statement Y'!E37</f>
        <v>17384</v>
      </c>
      <c r="F29" s="61">
        <f>'Statement Y'!F37</f>
        <v>16765</v>
      </c>
      <c r="G29" s="61">
        <f>'Statement Y'!G37</f>
        <v>18519</v>
      </c>
      <c r="H29" s="61">
        <f>'Statement Y'!H37</f>
        <v>20075</v>
      </c>
      <c r="I29" s="61">
        <f>'Statement Y'!I37</f>
        <v>20724</v>
      </c>
      <c r="J29" s="61">
        <f>'Statement Y'!J37</f>
        <v>22464</v>
      </c>
      <c r="K29" s="61">
        <f>'Statement Y'!K37</f>
        <v>25231</v>
      </c>
      <c r="L29" s="61">
        <f>'Statement Y'!L37</f>
        <v>25754</v>
      </c>
      <c r="N29" s="61">
        <f>'Statement Q'!C37</f>
        <v>23332</v>
      </c>
      <c r="O29" s="61">
        <f>'Statement Q'!D37</f>
        <v>25231</v>
      </c>
      <c r="P29" s="61">
        <f>'Statement Q'!E37</f>
        <v>26065</v>
      </c>
      <c r="Q29" s="61">
        <f>'Statement Q'!F37</f>
        <v>26080</v>
      </c>
      <c r="R29" s="61">
        <f>'Statement Q'!G37</f>
        <v>24913</v>
      </c>
      <c r="S29" s="61">
        <f>'Statement Q'!H37</f>
        <v>25754</v>
      </c>
      <c r="T29" s="61">
        <f>'Statement Q'!I37</f>
        <v>24608</v>
      </c>
      <c r="U29" s="61">
        <f>'Statement Q'!J37</f>
        <v>23112</v>
      </c>
      <c r="W29" s="61">
        <f t="shared" si="7"/>
        <v>23112</v>
      </c>
    </row>
    <row r="30" spans="2:23" outlineLevel="1" x14ac:dyDescent="0.2">
      <c r="B30" s="9" t="s">
        <v>40</v>
      </c>
      <c r="C30" s="20">
        <f>'Statement Y'!C38</f>
        <v>13702</v>
      </c>
      <c r="D30" s="20">
        <f>'Statement Y'!D38</f>
        <v>1270</v>
      </c>
      <c r="E30" s="20">
        <f>'Statement Y'!E38</f>
        <v>35</v>
      </c>
      <c r="F30" s="20">
        <f>'Statement Y'!F38</f>
        <v>0</v>
      </c>
      <c r="G30" s="20">
        <f>'Statement Y'!G38</f>
        <v>0</v>
      </c>
      <c r="H30" s="20">
        <f>'Statement Y'!H38</f>
        <v>0</v>
      </c>
      <c r="I30" s="20">
        <f>'Statement Y'!I38</f>
        <v>0</v>
      </c>
      <c r="J30" s="20">
        <f>'Statement Y'!J38</f>
        <v>0</v>
      </c>
      <c r="K30" s="20">
        <f>'Statement Y'!K38</f>
        <v>0</v>
      </c>
      <c r="L30" s="20">
        <f>'Statement Y'!L38</f>
        <v>0</v>
      </c>
      <c r="N30" s="20">
        <f>'Statement Q'!C38</f>
        <v>0</v>
      </c>
      <c r="O30" s="20">
        <f>'Statement Q'!D38</f>
        <v>0</v>
      </c>
      <c r="P30" s="20">
        <f>'Statement Q'!E38</f>
        <v>0</v>
      </c>
      <c r="Q30" s="20">
        <f>'Statement Q'!F38</f>
        <v>0</v>
      </c>
      <c r="R30" s="20">
        <f>'Statement Q'!G38</f>
        <v>0</v>
      </c>
      <c r="S30" s="20">
        <f>'Statement Q'!H38</f>
        <v>0</v>
      </c>
      <c r="T30" s="20">
        <f>'Statement Q'!I38</f>
        <v>0</v>
      </c>
      <c r="U30" s="20">
        <f>'Statement Q'!J38</f>
        <v>0</v>
      </c>
      <c r="W30" s="20">
        <f t="shared" si="7"/>
        <v>0</v>
      </c>
    </row>
    <row r="31" spans="2:23" outlineLevel="1" x14ac:dyDescent="0.2">
      <c r="B31" s="9" t="s">
        <v>45</v>
      </c>
      <c r="C31" s="20">
        <f>'Statement Y'!C39</f>
        <v>2030</v>
      </c>
      <c r="D31" s="20">
        <f>'Statement Y'!D39</f>
        <v>2900</v>
      </c>
      <c r="E31" s="20">
        <f>'Statement Y'!E39</f>
        <v>904</v>
      </c>
      <c r="F31" s="20">
        <f>'Statement Y'!F39</f>
        <v>1196</v>
      </c>
      <c r="G31" s="20">
        <f>'Statement Y'!G39</f>
        <v>1351</v>
      </c>
      <c r="H31" s="20">
        <f>'Statement Y'!H39</f>
        <v>1591</v>
      </c>
      <c r="I31" s="20">
        <f>'Statement Y'!I39</f>
        <v>1803</v>
      </c>
      <c r="J31" s="20">
        <f>'Statement Y'!J39</f>
        <v>3310</v>
      </c>
      <c r="K31" s="20">
        <f>'Statement Y'!K39</f>
        <v>5162</v>
      </c>
      <c r="L31" s="20">
        <f>'Statement Y'!L39</f>
        <v>743</v>
      </c>
      <c r="N31" s="20">
        <f>'Statement Q'!C39</f>
        <v>4420</v>
      </c>
      <c r="O31" s="20">
        <f>'Statement Q'!D39</f>
        <v>5162</v>
      </c>
      <c r="P31" s="20">
        <f>'Statement Q'!E39</f>
        <v>5409</v>
      </c>
      <c r="Q31" s="20">
        <f>'Statement Q'!F39</f>
        <v>5750</v>
      </c>
      <c r="R31" s="20">
        <f>'Statement Q'!G39</f>
        <v>6114</v>
      </c>
      <c r="S31" s="20">
        <f>'Statement Q'!H39</f>
        <v>743</v>
      </c>
      <c r="T31" s="20">
        <f>'Statement Q'!I39</f>
        <v>0</v>
      </c>
      <c r="U31" s="20">
        <f>'Statement Q'!J39</f>
        <v>5968</v>
      </c>
      <c r="W31" s="20">
        <f t="shared" si="7"/>
        <v>5968</v>
      </c>
    </row>
    <row r="32" spans="2:23" outlineLevel="1" x14ac:dyDescent="0.2">
      <c r="B32" s="9" t="s">
        <v>46</v>
      </c>
      <c r="C32" s="20">
        <f>'Statement Y'!C40</f>
        <v>2306</v>
      </c>
      <c r="D32" s="20">
        <f>'Statement Y'!D40</f>
        <v>3216</v>
      </c>
      <c r="E32" s="20">
        <f>'Statement Y'!E40</f>
        <v>2975</v>
      </c>
      <c r="F32" s="20">
        <f>'Statement Y'!F40</f>
        <v>3081</v>
      </c>
      <c r="G32" s="20">
        <f>'Statement Y'!G40</f>
        <v>3711</v>
      </c>
      <c r="H32" s="20">
        <f>'Statement Y'!H40</f>
        <v>4559</v>
      </c>
      <c r="I32" s="20">
        <f>'Statement Y'!I40</f>
        <v>5168</v>
      </c>
      <c r="J32" s="20">
        <f>'Statement Y'!J40</f>
        <v>5042</v>
      </c>
      <c r="K32" s="20">
        <f>'Statement Y'!K40</f>
        <v>4665</v>
      </c>
      <c r="L32" s="20">
        <f>'Statement Y'!L40</f>
        <v>4690</v>
      </c>
      <c r="N32" s="20">
        <f>'Statement Q'!C40</f>
        <v>4744</v>
      </c>
      <c r="O32" s="20">
        <f>'Statement Q'!D40</f>
        <v>4665</v>
      </c>
      <c r="P32" s="20">
        <f>'Statement Q'!E40</f>
        <v>4460</v>
      </c>
      <c r="Q32" s="20">
        <f>'Statement Q'!F40</f>
        <v>4410</v>
      </c>
      <c r="R32" s="20">
        <f>'Statement Q'!G40</f>
        <v>4496</v>
      </c>
      <c r="S32" s="20">
        <f>'Statement Q'!H40</f>
        <v>4690</v>
      </c>
      <c r="T32" s="20">
        <f>'Statement Q'!I40</f>
        <v>4893</v>
      </c>
      <c r="U32" s="20">
        <f>'Statement Q'!J40</f>
        <v>5071</v>
      </c>
      <c r="W32" s="20">
        <f t="shared" si="7"/>
        <v>5071</v>
      </c>
    </row>
    <row r="33" spans="2:23" outlineLevel="1" x14ac:dyDescent="0.2">
      <c r="B33" s="9" t="s">
        <v>47</v>
      </c>
      <c r="C33" s="20">
        <f>'Statement Y'!C41</f>
        <v>5679</v>
      </c>
      <c r="D33" s="20">
        <f>'Statement Y'!D41</f>
        <v>6623</v>
      </c>
      <c r="E33" s="20">
        <f>'Statement Y'!E41</f>
        <v>6498</v>
      </c>
      <c r="F33" s="20">
        <f>'Statement Y'!F41</f>
        <v>6282</v>
      </c>
      <c r="G33" s="20">
        <f>'Statement Y'!G41</f>
        <v>6323</v>
      </c>
      <c r="H33" s="20">
        <f>'Statement Y'!H41</f>
        <v>7246</v>
      </c>
      <c r="I33" s="20">
        <f>'Statement Y'!I41</f>
        <v>10508</v>
      </c>
      <c r="J33" s="20">
        <f>'Statement Y'!J41</f>
        <v>10642</v>
      </c>
      <c r="K33" s="20">
        <f>'Statement Y'!K41</f>
        <v>10799</v>
      </c>
      <c r="L33" s="20">
        <f>'Statement Y'!L41</f>
        <v>11358</v>
      </c>
      <c r="N33" s="20">
        <f>'Statement Q'!C41</f>
        <v>10770</v>
      </c>
      <c r="O33" s="20">
        <f>'Statement Q'!D41</f>
        <v>10799</v>
      </c>
      <c r="P33" s="20">
        <f>'Statement Q'!E41</f>
        <v>10908</v>
      </c>
      <c r="Q33" s="20">
        <f>'Statement Q'!F41</f>
        <v>10948</v>
      </c>
      <c r="R33" s="20">
        <f>'Statement Q'!G41</f>
        <v>11366</v>
      </c>
      <c r="S33" s="20">
        <f>'Statement Q'!H41</f>
        <v>11358</v>
      </c>
      <c r="T33" s="20">
        <f>'Statement Q'!I41</f>
        <v>14183</v>
      </c>
      <c r="U33" s="20">
        <f>'Statement Q'!J41</f>
        <v>14251</v>
      </c>
      <c r="W33" s="20">
        <f t="shared" si="7"/>
        <v>14251</v>
      </c>
    </row>
    <row r="34" spans="2:23" outlineLevel="1" x14ac:dyDescent="0.2">
      <c r="B34" s="9" t="s">
        <v>48</v>
      </c>
      <c r="C34" s="20">
        <f>'Statement Y'!C42</f>
        <v>3500</v>
      </c>
      <c r="D34" s="20">
        <f>'Statement Y'!D42</f>
        <v>3737</v>
      </c>
      <c r="E34" s="20">
        <f>'Statement Y'!E42</f>
        <v>2955</v>
      </c>
      <c r="F34" s="20">
        <f>'Statement Y'!F42</f>
        <v>2172</v>
      </c>
      <c r="G34" s="20">
        <f>'Statement Y'!G42</f>
        <v>1653</v>
      </c>
      <c r="H34" s="20">
        <f>'Statement Y'!H42</f>
        <v>1458</v>
      </c>
      <c r="I34" s="20">
        <f>'Statement Y'!I42</f>
        <v>1882</v>
      </c>
      <c r="J34" s="20">
        <f>'Statement Y'!J42</f>
        <v>1408</v>
      </c>
      <c r="K34" s="20">
        <f>'Statement Y'!K42</f>
        <v>1244</v>
      </c>
      <c r="L34" s="20">
        <f>'Statement Y'!L42</f>
        <v>1148</v>
      </c>
      <c r="N34" s="20">
        <f>'Statement Q'!C42</f>
        <v>1296</v>
      </c>
      <c r="O34" s="20">
        <f>'Statement Q'!D42</f>
        <v>1244</v>
      </c>
      <c r="P34" s="20">
        <f>'Statement Q'!E42</f>
        <v>1225</v>
      </c>
      <c r="Q34" s="20">
        <f>'Statement Q'!F42</f>
        <v>1183</v>
      </c>
      <c r="R34" s="20">
        <f>'Statement Q'!G42</f>
        <v>1202</v>
      </c>
      <c r="S34" s="20">
        <f>'Statement Q'!H42</f>
        <v>1148</v>
      </c>
      <c r="T34" s="20">
        <f>'Statement Q'!I42</f>
        <v>1627</v>
      </c>
      <c r="U34" s="20">
        <f>'Statement Q'!J42</f>
        <v>1575</v>
      </c>
      <c r="W34" s="20">
        <f t="shared" si="7"/>
        <v>1575</v>
      </c>
    </row>
    <row r="35" spans="2:23" outlineLevel="1" x14ac:dyDescent="0.2">
      <c r="B35" s="9" t="s">
        <v>71</v>
      </c>
      <c r="C35" s="20">
        <f>'Statement Y'!C43</f>
        <v>0</v>
      </c>
      <c r="D35" s="20">
        <f>'Statement Y'!D43</f>
        <v>0</v>
      </c>
      <c r="E35" s="20">
        <f>'Statement Y'!E43</f>
        <v>0</v>
      </c>
      <c r="F35" s="20">
        <f>'Statement Y'!F43</f>
        <v>0</v>
      </c>
      <c r="G35" s="20">
        <f>'Statement Y'!G43</f>
        <v>0</v>
      </c>
      <c r="H35" s="20">
        <f>'Statement Y'!H43</f>
        <v>0</v>
      </c>
      <c r="I35" s="20">
        <f>'Statement Y'!I43</f>
        <v>1200</v>
      </c>
      <c r="J35" s="20">
        <f>'Statement Y'!J43</f>
        <v>88</v>
      </c>
      <c r="K35" s="20">
        <f>'Statement Y'!K43</f>
        <v>0</v>
      </c>
      <c r="L35" s="20">
        <f>'Statement Y'!L43</f>
        <v>0</v>
      </c>
      <c r="N35" s="20">
        <f>'Statement Q'!C43</f>
        <v>0</v>
      </c>
      <c r="O35" s="20">
        <f>'Statement Q'!D43</f>
        <v>0</v>
      </c>
      <c r="P35" s="20">
        <f>'Statement Q'!E43</f>
        <v>0</v>
      </c>
      <c r="Q35" s="20">
        <f>'Statement Q'!F43</f>
        <v>0</v>
      </c>
      <c r="R35" s="20">
        <f>'Statement Q'!G43</f>
        <v>0</v>
      </c>
      <c r="S35" s="20">
        <f>'Statement Q'!H43</f>
        <v>0</v>
      </c>
      <c r="T35" s="20">
        <f>'Statement Q'!I43</f>
        <v>0</v>
      </c>
      <c r="U35" s="20">
        <f>'Statement Q'!J43</f>
        <v>0</v>
      </c>
      <c r="W35" s="20">
        <f t="shared" si="7"/>
        <v>0</v>
      </c>
    </row>
    <row r="36" spans="2:23" outlineLevel="1" x14ac:dyDescent="0.2">
      <c r="B36" s="9" t="s">
        <v>49</v>
      </c>
      <c r="C36" s="20">
        <f>'Statement Y'!C44</f>
        <v>2161</v>
      </c>
      <c r="D36" s="20">
        <f>'Statement Y'!D44</f>
        <v>4147</v>
      </c>
      <c r="E36" s="20">
        <f>'Statement Y'!E44</f>
        <v>1935</v>
      </c>
      <c r="F36" s="20">
        <f>'Statement Y'!F44</f>
        <v>3461</v>
      </c>
      <c r="G36" s="20">
        <f>'Statement Y'!G44</f>
        <v>4037</v>
      </c>
      <c r="H36" s="20">
        <f>'Statement Y'!H44</f>
        <v>6311</v>
      </c>
      <c r="I36" s="20">
        <f>'Statement Y'!I44</f>
        <v>7729</v>
      </c>
      <c r="J36" s="20">
        <f>'Statement Y'!J44</f>
        <v>8086</v>
      </c>
      <c r="K36" s="20">
        <f>'Statement Y'!K44</f>
        <v>8053</v>
      </c>
      <c r="L36" s="20">
        <f>'Statement Y'!L44</f>
        <v>6450</v>
      </c>
      <c r="N36" s="20">
        <f>'Statement Q'!C44</f>
        <v>8179</v>
      </c>
      <c r="O36" s="20">
        <f>'Statement Q'!D44</f>
        <v>8053</v>
      </c>
      <c r="P36" s="20">
        <f>'Statement Q'!E44</f>
        <v>7508</v>
      </c>
      <c r="Q36" s="20">
        <f>'Statement Q'!F44</f>
        <v>7001</v>
      </c>
      <c r="R36" s="20">
        <f>'Statement Q'!G44</f>
        <v>6771</v>
      </c>
      <c r="S36" s="20">
        <f>'Statement Q'!H44</f>
        <v>6450</v>
      </c>
      <c r="T36" s="20">
        <f>'Statement Q'!I44</f>
        <v>7723</v>
      </c>
      <c r="U36" s="20">
        <f>'Statement Q'!J44</f>
        <v>7159</v>
      </c>
      <c r="W36" s="20">
        <f t="shared" si="7"/>
        <v>7159</v>
      </c>
    </row>
    <row r="37" spans="2:23" outlineLevel="1" x14ac:dyDescent="0.2">
      <c r="B37" s="11" t="s">
        <v>50</v>
      </c>
      <c r="C37" s="61">
        <f>'Statement Y'!C45</f>
        <v>29378</v>
      </c>
      <c r="D37" s="61">
        <f>'Statement Y'!D45</f>
        <v>21893</v>
      </c>
      <c r="E37" s="61">
        <f>'Statement Y'!E45</f>
        <v>15302</v>
      </c>
      <c r="F37" s="61">
        <f>'Statement Y'!F45</f>
        <v>16192</v>
      </c>
      <c r="G37" s="61">
        <f>'Statement Y'!G45</f>
        <v>17075</v>
      </c>
      <c r="H37" s="61">
        <f>'Statement Y'!H45</f>
        <v>21165</v>
      </c>
      <c r="I37" s="61">
        <f>'Statement Y'!I45</f>
        <v>28290</v>
      </c>
      <c r="J37" s="61">
        <f>'Statement Y'!J45</f>
        <v>28576</v>
      </c>
      <c r="K37" s="61">
        <f>'Statement Y'!K45</f>
        <v>29923</v>
      </c>
      <c r="L37" s="61">
        <f>'Statement Y'!L45</f>
        <v>24389</v>
      </c>
      <c r="N37" s="61">
        <f>'Statement Q'!C45</f>
        <v>29409</v>
      </c>
      <c r="O37" s="61">
        <f>'Statement Q'!D45</f>
        <v>29923</v>
      </c>
      <c r="P37" s="61">
        <f>'Statement Q'!E45</f>
        <v>29510</v>
      </c>
      <c r="Q37" s="61">
        <f>'Statement Q'!F45</f>
        <v>29292</v>
      </c>
      <c r="R37" s="61">
        <f>'Statement Q'!G45</f>
        <v>29949</v>
      </c>
      <c r="S37" s="61">
        <f>'Statement Q'!H45</f>
        <v>24389</v>
      </c>
      <c r="T37" s="61">
        <f>'Statement Q'!I45</f>
        <v>28426</v>
      </c>
      <c r="U37" s="61">
        <f>'Statement Q'!J45</f>
        <v>34024</v>
      </c>
      <c r="W37" s="61">
        <f t="shared" si="7"/>
        <v>34024</v>
      </c>
    </row>
    <row r="38" spans="2:23" outlineLevel="1" x14ac:dyDescent="0.2">
      <c r="B38" s="17" t="s">
        <v>51</v>
      </c>
      <c r="C38" s="59">
        <f>'Statement Y'!C46</f>
        <v>52359</v>
      </c>
      <c r="D38" s="59">
        <f>'Statement Y'!D46</f>
        <v>65486</v>
      </c>
      <c r="E38" s="59">
        <f>'Statement Y'!E46</f>
        <v>32686</v>
      </c>
      <c r="F38" s="59">
        <f>'Statement Y'!F46</f>
        <v>32957</v>
      </c>
      <c r="G38" s="59">
        <f>'Statement Y'!G46</f>
        <v>35594</v>
      </c>
      <c r="H38" s="59">
        <f>'Statement Y'!H46</f>
        <v>41240</v>
      </c>
      <c r="I38" s="59">
        <f>'Statement Y'!I46</f>
        <v>49014</v>
      </c>
      <c r="J38" s="59">
        <f>'Statement Y'!J46</f>
        <v>51040</v>
      </c>
      <c r="K38" s="59">
        <f>'Statement Y'!K46</f>
        <v>55154</v>
      </c>
      <c r="L38" s="59">
        <f>'Statement Y'!L46</f>
        <v>50143</v>
      </c>
      <c r="N38" s="61">
        <f>'Statement Q'!C46</f>
        <v>52741</v>
      </c>
      <c r="O38" s="61">
        <f>'Statement Q'!D46</f>
        <v>55154</v>
      </c>
      <c r="P38" s="61">
        <f>'Statement Q'!E46</f>
        <v>55575</v>
      </c>
      <c r="Q38" s="61">
        <f>'Statement Q'!F46</f>
        <v>55372</v>
      </c>
      <c r="R38" s="61">
        <f>'Statement Q'!G46</f>
        <v>54862</v>
      </c>
      <c r="S38" s="61">
        <f>'Statement Q'!H46</f>
        <v>50143</v>
      </c>
      <c r="T38" s="61">
        <f>'Statement Q'!I46</f>
        <v>53034</v>
      </c>
      <c r="U38" s="61">
        <f>'Statement Q'!J46</f>
        <v>57136</v>
      </c>
      <c r="W38" s="61">
        <f t="shared" si="7"/>
        <v>57136</v>
      </c>
    </row>
    <row r="39" spans="2:23" outlineLevel="1" x14ac:dyDescent="0.2">
      <c r="B39" s="9" t="s">
        <v>52</v>
      </c>
      <c r="C39" s="36">
        <f>'Statement Y'!C47</f>
        <v>1858</v>
      </c>
      <c r="D39" s="36">
        <f>'Statement Y'!D47</f>
        <v>1971</v>
      </c>
      <c r="E39" s="36">
        <f>'Statement Y'!E47</f>
        <v>1825</v>
      </c>
      <c r="F39" s="36">
        <f>'Statement Y'!F47</f>
        <v>1368</v>
      </c>
      <c r="G39" s="36">
        <f>'Statement Y'!G47</f>
        <v>2248</v>
      </c>
      <c r="H39" s="36">
        <f>'Statement Y'!H47</f>
        <v>2750</v>
      </c>
      <c r="I39" s="36">
        <f>'Statement Y'!I47</f>
        <v>3796</v>
      </c>
      <c r="J39" s="36">
        <f>'Statement Y'!J47</f>
        <v>1912</v>
      </c>
      <c r="K39" s="36">
        <f>'Statement Y'!K47</f>
        <v>2584</v>
      </c>
      <c r="L39" s="36">
        <f>'Statement Y'!L47</f>
        <v>2791</v>
      </c>
      <c r="N39" s="36">
        <f>'Statement Q'!C47</f>
        <v>2586</v>
      </c>
      <c r="O39" s="36">
        <f>'Statement Q'!D47</f>
        <v>2584</v>
      </c>
      <c r="P39" s="36">
        <f>'Statement Q'!E47</f>
        <v>2581</v>
      </c>
      <c r="Q39" s="36">
        <f>'Statement Q'!F47</f>
        <v>2479</v>
      </c>
      <c r="R39" s="36">
        <f>'Statement Q'!G47</f>
        <v>2337</v>
      </c>
      <c r="S39" s="36">
        <f>'Statement Q'!H47</f>
        <v>2791</v>
      </c>
      <c r="T39" s="36">
        <f>'Statement Q'!I47</f>
        <v>2709</v>
      </c>
      <c r="U39" s="36">
        <f>'Statement Q'!J47</f>
        <v>2973</v>
      </c>
      <c r="W39" s="36">
        <f t="shared" si="7"/>
        <v>2973</v>
      </c>
    </row>
    <row r="40" spans="2:23" outlineLevel="1" x14ac:dyDescent="0.2">
      <c r="B40" s="9" t="s">
        <v>53</v>
      </c>
      <c r="C40" s="36">
        <f>'Statement Y'!C48</f>
        <v>934</v>
      </c>
      <c r="D40" s="36">
        <f>'Statement Y'!D48</f>
        <v>1183</v>
      </c>
      <c r="E40" s="36">
        <f>'Statement Y'!E48</f>
        <v>1081</v>
      </c>
      <c r="F40" s="36">
        <f>'Statement Y'!F48</f>
        <v>1048</v>
      </c>
      <c r="G40" s="36">
        <f>'Statement Y'!G48</f>
        <v>1053</v>
      </c>
      <c r="H40" s="36">
        <f>'Statement Y'!H48</f>
        <v>1531</v>
      </c>
      <c r="I40" s="36">
        <f>'Statement Y'!I48</f>
        <v>1486</v>
      </c>
      <c r="J40" s="36">
        <f>'Statement Y'!J48</f>
        <v>1685</v>
      </c>
      <c r="K40" s="36">
        <f>'Statement Y'!K48</f>
        <v>1834</v>
      </c>
      <c r="L40" s="36">
        <f>'Statement Y'!L48</f>
        <v>1839</v>
      </c>
      <c r="N40" s="36">
        <f>'Statement Q'!C48</f>
        <v>1780</v>
      </c>
      <c r="O40" s="36">
        <f>'Statement Q'!D48</f>
        <v>1834</v>
      </c>
      <c r="P40" s="36">
        <f>'Statement Q'!E48</f>
        <v>1424</v>
      </c>
      <c r="Q40" s="36">
        <f>'Statement Q'!F48</f>
        <v>1248</v>
      </c>
      <c r="R40" s="36">
        <f>'Statement Q'!G48</f>
        <v>1586</v>
      </c>
      <c r="S40" s="36">
        <f>'Statement Q'!H48</f>
        <v>1839</v>
      </c>
      <c r="T40" s="36">
        <f>'Statement Q'!I48</f>
        <v>1505</v>
      </c>
      <c r="U40" s="36">
        <f>'Statement Q'!J48</f>
        <v>1370</v>
      </c>
      <c r="W40" s="36">
        <f t="shared" si="7"/>
        <v>1370</v>
      </c>
    </row>
    <row r="41" spans="2:23" outlineLevel="1" x14ac:dyDescent="0.2">
      <c r="B41" s="9" t="s">
        <v>54</v>
      </c>
      <c r="C41" s="36">
        <f>'Statement Y'!C49</f>
        <v>509</v>
      </c>
      <c r="D41" s="36">
        <f>'Statement Y'!D49</f>
        <v>502</v>
      </c>
      <c r="E41" s="36">
        <f>'Statement Y'!E49</f>
        <v>500</v>
      </c>
      <c r="F41" s="36">
        <f>'Statement Y'!F49</f>
        <v>565</v>
      </c>
      <c r="G41" s="36">
        <f>'Statement Y'!G49</f>
        <v>568</v>
      </c>
      <c r="H41" s="36">
        <f>'Statement Y'!H49</f>
        <v>612</v>
      </c>
      <c r="I41" s="36">
        <f>'Statement Y'!I49</f>
        <v>369</v>
      </c>
      <c r="J41" s="36">
        <f>'Statement Y'!J49</f>
        <v>293</v>
      </c>
      <c r="K41" s="36">
        <f>'Statement Y'!K49</f>
        <v>297</v>
      </c>
      <c r="L41" s="36">
        <f>'Statement Y'!L49</f>
        <v>358</v>
      </c>
      <c r="N41" s="36">
        <f>'Statement Q'!C49</f>
        <v>263</v>
      </c>
      <c r="O41" s="36">
        <f>'Statement Q'!D49</f>
        <v>297</v>
      </c>
      <c r="P41" s="36">
        <f>'Statement Q'!E49</f>
        <v>212</v>
      </c>
      <c r="Q41" s="36">
        <f>'Statement Q'!F49</f>
        <v>232</v>
      </c>
      <c r="R41" s="36">
        <f>'Statement Q'!G49</f>
        <v>285</v>
      </c>
      <c r="S41" s="36">
        <f>'Statement Q'!H49</f>
        <v>358</v>
      </c>
      <c r="T41" s="36">
        <f>'Statement Q'!I49</f>
        <v>379</v>
      </c>
      <c r="U41" s="36">
        <f>'Statement Q'!J49</f>
        <v>323</v>
      </c>
      <c r="W41" s="36">
        <f t="shared" si="7"/>
        <v>323</v>
      </c>
    </row>
    <row r="42" spans="2:23" outlineLevel="1" x14ac:dyDescent="0.2">
      <c r="B42" s="9" t="s">
        <v>55</v>
      </c>
      <c r="C42" s="36">
        <f>'Statement Y'!C50</f>
        <v>1749</v>
      </c>
      <c r="D42" s="36">
        <f>'Statement Y'!D50</f>
        <v>2495</v>
      </c>
      <c r="E42" s="36">
        <f>'Statement Y'!E50</f>
        <v>1005</v>
      </c>
      <c r="F42" s="36">
        <f>'Statement Y'!F50</f>
        <v>2496</v>
      </c>
      <c r="G42" s="36">
        <f>'Statement Y'!G50</f>
        <v>500</v>
      </c>
      <c r="H42" s="36">
        <f>'Statement Y'!H50</f>
        <v>2044</v>
      </c>
      <c r="I42" s="36">
        <f>'Statement Y'!I50</f>
        <v>1945</v>
      </c>
      <c r="J42" s="36">
        <f>'Statement Y'!J50</f>
        <v>914</v>
      </c>
      <c r="K42" s="36">
        <f>'Statement Y'!K50</f>
        <v>1364</v>
      </c>
      <c r="L42" s="36">
        <f>'Statement Y'!L50</f>
        <v>0</v>
      </c>
      <c r="N42" s="36">
        <f>'Statement Q'!C50</f>
        <v>1364</v>
      </c>
      <c r="O42" s="36">
        <f>'Statement Q'!D50</f>
        <v>1364</v>
      </c>
      <c r="P42" s="36">
        <f>'Statement Q'!E50</f>
        <v>1365</v>
      </c>
      <c r="Q42" s="36">
        <f>'Statement Q'!F50</f>
        <v>1365</v>
      </c>
      <c r="R42" s="36">
        <f>'Statement Q'!G50</f>
        <v>0</v>
      </c>
      <c r="S42" s="36">
        <f>'Statement Q'!H50</f>
        <v>0</v>
      </c>
      <c r="T42" s="36">
        <f>'Statement Q'!I50</f>
        <v>0</v>
      </c>
      <c r="U42" s="36">
        <f>'Statement Q'!J50</f>
        <v>498</v>
      </c>
      <c r="W42" s="36">
        <f t="shared" si="7"/>
        <v>498</v>
      </c>
    </row>
    <row r="43" spans="2:23" outlineLevel="1" x14ac:dyDescent="0.2">
      <c r="B43" s="9" t="s">
        <v>71</v>
      </c>
      <c r="C43" s="36">
        <f>'Statement Y'!C51</f>
        <v>0</v>
      </c>
      <c r="D43" s="36">
        <f>'Statement Y'!D51</f>
        <v>0</v>
      </c>
      <c r="E43" s="36">
        <f>'Statement Y'!E51</f>
        <v>0</v>
      </c>
      <c r="F43" s="36">
        <f>'Statement Y'!F51</f>
        <v>0</v>
      </c>
      <c r="G43" s="36">
        <f>'Statement Y'!G51</f>
        <v>0</v>
      </c>
      <c r="H43" s="36">
        <f>'Statement Y'!H51</f>
        <v>0</v>
      </c>
      <c r="I43" s="36">
        <f>'Statement Y'!I51</f>
        <v>581</v>
      </c>
      <c r="J43" s="36">
        <f>'Statement Y'!J51</f>
        <v>333</v>
      </c>
      <c r="K43" s="36">
        <f>'Statement Y'!K51</f>
        <v>0</v>
      </c>
      <c r="L43" s="36">
        <f>'Statement Y'!L51</f>
        <v>0</v>
      </c>
      <c r="N43" s="36">
        <f>'Statement Q'!C51</f>
        <v>0</v>
      </c>
      <c r="O43" s="36">
        <f>'Statement Q'!D51</f>
        <v>0</v>
      </c>
      <c r="P43" s="36">
        <f>'Statement Q'!E51</f>
        <v>0</v>
      </c>
      <c r="Q43" s="36">
        <f>'Statement Q'!F51</f>
        <v>0</v>
      </c>
      <c r="R43" s="36">
        <f>'Statement Q'!G51</f>
        <v>0</v>
      </c>
      <c r="S43" s="36">
        <f>'Statement Q'!H51</f>
        <v>0</v>
      </c>
      <c r="T43" s="36">
        <f>'Statement Q'!I51</f>
        <v>0</v>
      </c>
      <c r="U43" s="36">
        <f>'Statement Q'!J51</f>
        <v>0</v>
      </c>
      <c r="W43" s="36">
        <f t="shared" si="7"/>
        <v>0</v>
      </c>
    </row>
    <row r="44" spans="2:23" outlineLevel="1" x14ac:dyDescent="0.2">
      <c r="B44" s="9" t="s">
        <v>56</v>
      </c>
      <c r="C44" s="36">
        <f>'Statement Y'!C52</f>
        <v>2261</v>
      </c>
      <c r="D44" s="36">
        <f>'Statement Y'!D52</f>
        <v>4756</v>
      </c>
      <c r="E44" s="36">
        <f>'Statement Y'!E52</f>
        <v>6825</v>
      </c>
      <c r="F44" s="36">
        <f>'Statement Y'!F52</f>
        <v>3458</v>
      </c>
      <c r="G44" s="36">
        <f>'Statement Y'!G52</f>
        <v>4303</v>
      </c>
      <c r="H44" s="36">
        <f>'Statement Y'!H52</f>
        <v>5014</v>
      </c>
      <c r="I44" s="36">
        <f>'Statement Y'!I52</f>
        <v>3689</v>
      </c>
      <c r="J44" s="36">
        <f>'Statement Y'!J52</f>
        <v>4491</v>
      </c>
      <c r="K44" s="36">
        <f>'Statement Y'!K52</f>
        <v>4425</v>
      </c>
      <c r="L44" s="36">
        <f>'Statement Y'!L52</f>
        <v>4156</v>
      </c>
      <c r="N44" s="36">
        <f>'Statement Q'!C52</f>
        <v>3754</v>
      </c>
      <c r="O44" s="36">
        <f>'Statement Q'!D52</f>
        <v>4425</v>
      </c>
      <c r="P44" s="36">
        <f>'Statement Q'!E52</f>
        <v>4372</v>
      </c>
      <c r="Q44" s="36">
        <f>'Statement Q'!F52</f>
        <v>4220</v>
      </c>
      <c r="R44" s="36">
        <f>'Statement Q'!G52</f>
        <v>3592</v>
      </c>
      <c r="S44" s="36">
        <f>'Statement Q'!H52</f>
        <v>4156</v>
      </c>
      <c r="T44" s="36">
        <f>'Statement Q'!I52</f>
        <v>5229</v>
      </c>
      <c r="U44" s="36">
        <f>'Statement Q'!J52</f>
        <v>4603</v>
      </c>
      <c r="W44" s="36">
        <f t="shared" si="7"/>
        <v>4603</v>
      </c>
    </row>
    <row r="45" spans="2:23" outlineLevel="1" x14ac:dyDescent="0.2">
      <c r="B45" s="11" t="s">
        <v>61</v>
      </c>
      <c r="C45" s="61">
        <f>'Statement Y'!C53</f>
        <v>7311</v>
      </c>
      <c r="D45" s="61">
        <f>'Statement Y'!D53</f>
        <v>10907</v>
      </c>
      <c r="E45" s="61">
        <f>'Statement Y'!E53</f>
        <v>11389</v>
      </c>
      <c r="F45" s="61">
        <f>'Statement Y'!F53</f>
        <v>8935</v>
      </c>
      <c r="G45" s="61">
        <f>'Statement Y'!G53</f>
        <v>8672</v>
      </c>
      <c r="H45" s="61">
        <f>'Statement Y'!H53</f>
        <v>11951</v>
      </c>
      <c r="I45" s="61">
        <f>'Statement Y'!I53</f>
        <v>11866</v>
      </c>
      <c r="J45" s="61">
        <f>'Statement Y'!J53</f>
        <v>9628</v>
      </c>
      <c r="K45" s="61">
        <f>'Statement Y'!K53</f>
        <v>10504</v>
      </c>
      <c r="L45" s="61">
        <f>'Statement Y'!L53</f>
        <v>9144</v>
      </c>
      <c r="N45" s="61">
        <f>'Statement Q'!C53</f>
        <v>9747</v>
      </c>
      <c r="O45" s="61">
        <f>'Statement Q'!D53</f>
        <v>10504</v>
      </c>
      <c r="P45" s="61">
        <f>'Statement Q'!E53</f>
        <v>9954</v>
      </c>
      <c r="Q45" s="61">
        <f>'Statement Q'!F53</f>
        <v>9544</v>
      </c>
      <c r="R45" s="61">
        <f>'Statement Q'!G53</f>
        <v>7800</v>
      </c>
      <c r="S45" s="61">
        <f>'Statement Q'!H53</f>
        <v>9144</v>
      </c>
      <c r="T45" s="61">
        <f>'Statement Q'!I53</f>
        <v>9822</v>
      </c>
      <c r="U45" s="61">
        <f>'Statement Q'!J53</f>
        <v>9767</v>
      </c>
      <c r="W45" s="61">
        <f t="shared" si="7"/>
        <v>9767</v>
      </c>
    </row>
    <row r="46" spans="2:23" outlineLevel="1" x14ac:dyDescent="0.2">
      <c r="B46" s="9" t="s">
        <v>54</v>
      </c>
      <c r="C46" s="36">
        <f>'Statement Y'!C54</f>
        <v>2377</v>
      </c>
      <c r="D46" s="36">
        <f>'Statement Y'!D54</f>
        <v>2003</v>
      </c>
      <c r="E46" s="36">
        <f>'Statement Y'!E54</f>
        <v>1620</v>
      </c>
      <c r="F46" s="36">
        <f>'Statement Y'!F54</f>
        <v>1160</v>
      </c>
      <c r="G46" s="36">
        <f>'Statement Y'!G54</f>
        <v>761</v>
      </c>
      <c r="H46" s="36">
        <f>'Statement Y'!H54</f>
        <v>364</v>
      </c>
      <c r="I46" s="36">
        <f>'Statement Y'!I54</f>
        <v>144</v>
      </c>
      <c r="J46" s="36">
        <f>'Statement Y'!J54</f>
        <v>99</v>
      </c>
      <c r="K46" s="36">
        <f>'Statement Y'!K54</f>
        <v>88</v>
      </c>
      <c r="L46" s="36">
        <f>'Statement Y'!L54</f>
        <v>71</v>
      </c>
      <c r="N46" s="36">
        <f>'Statement Q'!C54</f>
        <v>108</v>
      </c>
      <c r="O46" s="36">
        <f>'Statement Q'!D54</f>
        <v>88</v>
      </c>
      <c r="P46" s="36">
        <f>'Statement Q'!E54</f>
        <v>77</v>
      </c>
      <c r="Q46" s="36">
        <f>'Statement Q'!F54</f>
        <v>82</v>
      </c>
      <c r="R46" s="36">
        <f>'Statement Q'!G54</f>
        <v>93</v>
      </c>
      <c r="S46" s="36">
        <f>'Statement Q'!H54</f>
        <v>71</v>
      </c>
      <c r="T46" s="36">
        <f>'Statement Q'!I54</f>
        <v>79</v>
      </c>
      <c r="U46" s="36">
        <f>'Statement Q'!J54</f>
        <v>70</v>
      </c>
      <c r="W46" s="36">
        <f t="shared" si="7"/>
        <v>70</v>
      </c>
    </row>
    <row r="47" spans="2:23" outlineLevel="1" x14ac:dyDescent="0.2">
      <c r="B47" s="9" t="s">
        <v>57</v>
      </c>
      <c r="C47" s="36">
        <f>'Statement Y'!C55</f>
        <v>10008</v>
      </c>
      <c r="D47" s="36">
        <f>'Statement Y'!D55</f>
        <v>19398</v>
      </c>
      <c r="E47" s="36">
        <f>'Statement Y'!E55</f>
        <v>15365</v>
      </c>
      <c r="F47" s="36">
        <f>'Statement Y'!F55</f>
        <v>13437</v>
      </c>
      <c r="G47" s="36">
        <f>'Statement Y'!G55</f>
        <v>15226</v>
      </c>
      <c r="H47" s="36">
        <f>'Statement Y'!H55</f>
        <v>13701</v>
      </c>
      <c r="I47" s="36">
        <f>'Statement Y'!I55</f>
        <v>13537</v>
      </c>
      <c r="J47" s="36">
        <f>'Statement Y'!J55</f>
        <v>14484</v>
      </c>
      <c r="K47" s="36">
        <f>'Statement Y'!K55</f>
        <v>13270</v>
      </c>
      <c r="L47" s="36">
        <f>'Statement Y'!L55</f>
        <v>14811</v>
      </c>
      <c r="N47" s="36">
        <f>'Statement Q'!C55</f>
        <v>13190</v>
      </c>
      <c r="O47" s="36">
        <f>'Statement Q'!D55</f>
        <v>13270</v>
      </c>
      <c r="P47" s="36">
        <f>'Statement Q'!E55</f>
        <v>13212</v>
      </c>
      <c r="Q47" s="36">
        <f>'Statement Q'!F55</f>
        <v>13258</v>
      </c>
      <c r="R47" s="36">
        <f>'Statement Q'!G55</f>
        <v>14788</v>
      </c>
      <c r="S47" s="36">
        <f>'Statement Q'!H55</f>
        <v>14811</v>
      </c>
      <c r="T47" s="36">
        <f>'Statement Q'!I55</f>
        <v>14817</v>
      </c>
      <c r="U47" s="36">
        <f>'Statement Q'!J55</f>
        <v>14772</v>
      </c>
      <c r="W47" s="36">
        <f t="shared" si="7"/>
        <v>14772</v>
      </c>
    </row>
    <row r="48" spans="2:23" outlineLevel="1" x14ac:dyDescent="0.2">
      <c r="B48" s="9" t="s">
        <v>69</v>
      </c>
      <c r="C48" s="36">
        <f>'Statement Y'!C56</f>
        <v>0</v>
      </c>
      <c r="D48" s="36">
        <f>'Statement Y'!D56</f>
        <v>0</v>
      </c>
      <c r="E48" s="36">
        <f>'Statement Y'!E56</f>
        <v>2312</v>
      </c>
      <c r="F48" s="36">
        <f>'Statement Y'!F56</f>
        <v>2088</v>
      </c>
      <c r="G48" s="36">
        <f>'Statement Y'!G56</f>
        <v>1872</v>
      </c>
      <c r="H48" s="36">
        <f>'Statement Y'!H56</f>
        <v>1713</v>
      </c>
      <c r="I48" s="36">
        <f>'Statement Y'!I56</f>
        <v>1472</v>
      </c>
      <c r="J48" s="36">
        <f>'Statement Y'!J56</f>
        <v>1080</v>
      </c>
      <c r="K48" s="36">
        <f>'Statement Y'!K56</f>
        <v>0</v>
      </c>
      <c r="L48" s="36">
        <f>'Statement Y'!L56</f>
        <v>0</v>
      </c>
      <c r="N48" s="36">
        <f>'Statement Q'!C56</f>
        <v>526</v>
      </c>
      <c r="O48" s="36">
        <f>'Statement Q'!D56</f>
        <v>0</v>
      </c>
      <c r="P48" s="36">
        <f>'Statement Q'!E56</f>
        <v>0</v>
      </c>
      <c r="Q48" s="36">
        <f>'Statement Q'!F56</f>
        <v>0</v>
      </c>
      <c r="R48" s="36">
        <f>'Statement Q'!G56</f>
        <v>0</v>
      </c>
      <c r="S48" s="36">
        <f>'Statement Q'!H56</f>
        <v>0</v>
      </c>
      <c r="T48" s="36">
        <f>'Statement Q'!I56</f>
        <v>0</v>
      </c>
      <c r="U48" s="36">
        <f>'Statement Q'!J56</f>
        <v>0</v>
      </c>
      <c r="W48" s="36">
        <f t="shared" si="7"/>
        <v>0</v>
      </c>
    </row>
    <row r="49" spans="2:23" outlineLevel="1" x14ac:dyDescent="0.2">
      <c r="B49" s="9" t="s">
        <v>71</v>
      </c>
      <c r="C49" s="36">
        <f>'Statement Y'!C57</f>
        <v>0</v>
      </c>
      <c r="D49" s="36">
        <f>'Statement Y'!D57</f>
        <v>0</v>
      </c>
      <c r="E49" s="36">
        <f>'Statement Y'!E57</f>
        <v>0</v>
      </c>
      <c r="F49" s="36">
        <f>'Statement Y'!F57</f>
        <v>0</v>
      </c>
      <c r="G49" s="36">
        <f>'Statement Y'!G57</f>
        <v>0</v>
      </c>
      <c r="H49" s="36">
        <f>'Statement Y'!H57</f>
        <v>0</v>
      </c>
      <c r="I49" s="36">
        <f>'Statement Y'!I57</f>
        <v>119</v>
      </c>
      <c r="J49" s="36">
        <f>'Statement Y'!J57</f>
        <v>38</v>
      </c>
      <c r="K49" s="36">
        <f>'Statement Y'!K57</f>
        <v>0</v>
      </c>
      <c r="L49" s="36">
        <f>'Statement Y'!L57</f>
        <v>0</v>
      </c>
      <c r="N49" s="36">
        <f>'Statement Q'!C57</f>
        <v>0</v>
      </c>
      <c r="O49" s="36">
        <f>'Statement Q'!D57</f>
        <v>0</v>
      </c>
      <c r="P49" s="36">
        <f>'Statement Q'!E57</f>
        <v>0</v>
      </c>
      <c r="Q49" s="36">
        <f>'Statement Q'!F57</f>
        <v>0</v>
      </c>
      <c r="R49" s="36">
        <f>'Statement Q'!G57</f>
        <v>0</v>
      </c>
      <c r="S49" s="36">
        <f>'Statement Q'!H57</f>
        <v>0</v>
      </c>
      <c r="T49" s="36">
        <f>'Statement Q'!I57</f>
        <v>0</v>
      </c>
      <c r="U49" s="36">
        <f>'Statement Q'!J57</f>
        <v>0</v>
      </c>
      <c r="W49" s="36">
        <f t="shared" si="7"/>
        <v>0</v>
      </c>
    </row>
    <row r="50" spans="2:23" outlineLevel="1" x14ac:dyDescent="0.2">
      <c r="B50" s="9" t="s">
        <v>58</v>
      </c>
      <c r="C50" s="36">
        <f>'Statement Y'!C58</f>
        <v>895</v>
      </c>
      <c r="D50" s="36">
        <f>'Statement Y'!D58</f>
        <v>2432</v>
      </c>
      <c r="E50" s="36">
        <f>'Statement Y'!E58</f>
        <v>1225</v>
      </c>
      <c r="F50" s="36">
        <f>'Statement Y'!F58</f>
        <v>2428</v>
      </c>
      <c r="G50" s="36">
        <f>'Statement Y'!G58</f>
        <v>2986</v>
      </c>
      <c r="H50" s="36">
        <f>'Statement Y'!H58</f>
        <v>3561</v>
      </c>
      <c r="I50" s="36">
        <f>'Statement Y'!I58</f>
        <v>3863</v>
      </c>
      <c r="J50" s="36">
        <f>'Statement Y'!J58</f>
        <v>4130</v>
      </c>
      <c r="K50" s="36">
        <f>'Statement Y'!K58</f>
        <v>5018</v>
      </c>
      <c r="L50" s="36">
        <f>'Statement Y'!L58</f>
        <v>4911</v>
      </c>
      <c r="N50" s="36">
        <f>'Statement Q'!C58</f>
        <v>4500</v>
      </c>
      <c r="O50" s="36">
        <f>'Statement Q'!D58</f>
        <v>5018</v>
      </c>
      <c r="P50" s="36">
        <f>'Statement Q'!E58</f>
        <v>5452</v>
      </c>
      <c r="Q50" s="36">
        <f>'Statement Q'!F58</f>
        <v>4760</v>
      </c>
      <c r="R50" s="36">
        <f>'Statement Q'!G58</f>
        <v>4972</v>
      </c>
      <c r="S50" s="36">
        <f>'Statement Q'!H58</f>
        <v>4911</v>
      </c>
      <c r="T50" s="36">
        <f>'Statement Q'!I58</f>
        <v>5243</v>
      </c>
      <c r="U50" s="36">
        <f>'Statement Q'!J58</f>
        <v>5249</v>
      </c>
      <c r="W50" s="36">
        <f t="shared" si="7"/>
        <v>5249</v>
      </c>
    </row>
    <row r="51" spans="2:23" outlineLevel="1" x14ac:dyDescent="0.2">
      <c r="B51" s="11" t="s">
        <v>59</v>
      </c>
      <c r="C51" s="61">
        <f>'Statement Y'!C59</f>
        <v>13280</v>
      </c>
      <c r="D51" s="61">
        <f>'Statement Y'!D59</f>
        <v>23833</v>
      </c>
      <c r="E51" s="61">
        <f>'Statement Y'!E59</f>
        <v>20522</v>
      </c>
      <c r="F51" s="61">
        <f>'Statement Y'!F59</f>
        <v>19113</v>
      </c>
      <c r="G51" s="61">
        <f>'Statement Y'!G59</f>
        <v>20845</v>
      </c>
      <c r="H51" s="61">
        <f>'Statement Y'!H59</f>
        <v>19339</v>
      </c>
      <c r="I51" s="61">
        <f>'Statement Y'!I59</f>
        <v>19135</v>
      </c>
      <c r="J51" s="61">
        <f>'Statement Y'!J59</f>
        <v>19831</v>
      </c>
      <c r="K51" s="61">
        <f>'Statement Y'!K59</f>
        <v>18376</v>
      </c>
      <c r="L51" s="61">
        <f>'Statement Y'!L59</f>
        <v>19793</v>
      </c>
      <c r="N51" s="61">
        <f>'Statement Q'!C59</f>
        <v>18324</v>
      </c>
      <c r="O51" s="61">
        <f>'Statement Q'!D59</f>
        <v>18376</v>
      </c>
      <c r="P51" s="61">
        <f>'Statement Q'!E59</f>
        <v>18741</v>
      </c>
      <c r="Q51" s="61">
        <f>'Statement Q'!F59</f>
        <v>18100</v>
      </c>
      <c r="R51" s="61">
        <f>'Statement Q'!G59</f>
        <v>19853</v>
      </c>
      <c r="S51" s="61">
        <f>'Statement Q'!H59</f>
        <v>19793</v>
      </c>
      <c r="T51" s="61">
        <f>'Statement Q'!I59</f>
        <v>20139</v>
      </c>
      <c r="U51" s="61">
        <f>'Statement Q'!J59</f>
        <v>20091</v>
      </c>
      <c r="W51" s="61">
        <f t="shared" si="7"/>
        <v>20091</v>
      </c>
    </row>
    <row r="52" spans="2:23" outlineLevel="1" x14ac:dyDescent="0.2">
      <c r="B52" s="17" t="s">
        <v>60</v>
      </c>
      <c r="C52" s="59">
        <f>'Statement Y'!C60</f>
        <v>20591</v>
      </c>
      <c r="D52" s="59">
        <f>'Statement Y'!D60</f>
        <v>34740</v>
      </c>
      <c r="E52" s="59">
        <f>'Statement Y'!E60</f>
        <v>31758</v>
      </c>
      <c r="F52" s="59">
        <f>'Statement Y'!F60</f>
        <v>28048</v>
      </c>
      <c r="G52" s="59">
        <f>'Statement Y'!G60</f>
        <v>29517</v>
      </c>
      <c r="H52" s="59">
        <f>'Statement Y'!H60</f>
        <v>31290</v>
      </c>
      <c r="I52" s="59">
        <f>'Statement Y'!I60</f>
        <v>31001</v>
      </c>
      <c r="J52" s="59">
        <f>'Statement Y'!J60</f>
        <v>29459</v>
      </c>
      <c r="K52" s="59">
        <f>'Statement Y'!K60</f>
        <v>28880</v>
      </c>
      <c r="L52" s="59">
        <f>'Statement Y'!L60</f>
        <v>28937</v>
      </c>
      <c r="N52" s="59">
        <f>'Statement Q'!C60</f>
        <v>28071</v>
      </c>
      <c r="O52" s="59">
        <f>'Statement Q'!D60</f>
        <v>28880</v>
      </c>
      <c r="P52" s="59">
        <f>'Statement Q'!E60</f>
        <v>28695</v>
      </c>
      <c r="Q52" s="59">
        <f>'Statement Q'!F60</f>
        <v>27644</v>
      </c>
      <c r="R52" s="59">
        <f>'Statement Q'!G60</f>
        <v>27653</v>
      </c>
      <c r="S52" s="59">
        <f>'Statement Q'!H60</f>
        <v>28937</v>
      </c>
      <c r="T52" s="59">
        <f>'Statement Q'!I60</f>
        <v>29961</v>
      </c>
      <c r="U52" s="59">
        <f>'Statement Q'!J60</f>
        <v>29858</v>
      </c>
      <c r="W52" s="59">
        <f t="shared" si="7"/>
        <v>29858</v>
      </c>
    </row>
    <row r="53" spans="2:23" outlineLevel="1" x14ac:dyDescent="0.2">
      <c r="B53" s="9" t="s">
        <v>63</v>
      </c>
      <c r="C53" s="36">
        <f>'Statement Y'!C62</f>
        <v>414</v>
      </c>
      <c r="D53" s="36">
        <f>'Statement Y'!D62</f>
        <v>274</v>
      </c>
      <c r="E53" s="36">
        <f>'Statement Y'!E62</f>
        <v>0</v>
      </c>
      <c r="F53" s="36">
        <f>'Statement Y'!F62</f>
        <v>343</v>
      </c>
      <c r="G53" s="36">
        <f>'Statement Y'!G62</f>
        <v>586</v>
      </c>
      <c r="H53" s="36">
        <f>'Statement Y'!H62</f>
        <v>0</v>
      </c>
      <c r="I53" s="36">
        <f>'Statement Y'!I62</f>
        <v>195</v>
      </c>
      <c r="J53" s="36">
        <f>'Statement Y'!J62</f>
        <v>490</v>
      </c>
      <c r="K53" s="36">
        <f>'Statement Y'!K62</f>
        <v>0</v>
      </c>
      <c r="L53" s="36">
        <f>'Statement Y'!L62</f>
        <v>0</v>
      </c>
      <c r="N53" s="36">
        <f>'Statement Q'!C62</f>
        <v>0</v>
      </c>
      <c r="O53" s="36">
        <f>'Statement Q'!D62</f>
        <v>0</v>
      </c>
      <c r="P53" s="36">
        <f>'Statement Q'!E62</f>
        <v>0</v>
      </c>
      <c r="Q53" s="36">
        <f>'Statement Q'!F62</f>
        <v>0</v>
      </c>
      <c r="R53" s="36">
        <f>'Statement Q'!G62</f>
        <v>0</v>
      </c>
      <c r="S53" s="36">
        <f>'Statement Q'!H62</f>
        <v>0</v>
      </c>
      <c r="T53" s="36">
        <f>'Statement Q'!I62</f>
        <v>0</v>
      </c>
      <c r="U53" s="36">
        <f>'Statement Q'!J62</f>
        <v>0</v>
      </c>
      <c r="W53" s="36">
        <f t="shared" si="7"/>
        <v>0</v>
      </c>
    </row>
    <row r="54" spans="2:23" outlineLevel="1" x14ac:dyDescent="0.2">
      <c r="B54" s="9" t="s">
        <v>64</v>
      </c>
      <c r="C54" s="36">
        <f>'Statement Y'!C63</f>
        <v>30936</v>
      </c>
      <c r="D54" s="36">
        <f>'Statement Y'!D63</f>
        <v>30088</v>
      </c>
      <c r="E54" s="36">
        <f>'Statement Y'!E63</f>
        <v>663</v>
      </c>
      <c r="F54" s="36">
        <f>'Statement Y'!F63</f>
        <v>4466</v>
      </c>
      <c r="G54" s="36">
        <f>'Statement Y'!G63</f>
        <v>5284</v>
      </c>
      <c r="H54" s="36">
        <f>'Statement Y'!H63</f>
        <v>9822</v>
      </c>
      <c r="I54" s="36">
        <f>'Statement Y'!I63</f>
        <v>17840</v>
      </c>
      <c r="J54" s="36">
        <f>'Statement Y'!J63</f>
        <v>20733</v>
      </c>
      <c r="K54" s="36">
        <f>'Statement Y'!K63</f>
        <v>25687</v>
      </c>
      <c r="L54" s="36">
        <f>'Statement Y'!L63</f>
        <v>20646</v>
      </c>
      <c r="N54" s="36">
        <f>'Statement Q'!C63</f>
        <v>24273</v>
      </c>
      <c r="O54" s="36">
        <f>'Statement Q'!D63</f>
        <v>25687</v>
      </c>
      <c r="P54" s="36">
        <f>'Statement Q'!E63</f>
        <v>26607</v>
      </c>
      <c r="Q54" s="36">
        <f>'Statement Q'!F63</f>
        <v>27333</v>
      </c>
      <c r="R54" s="36">
        <f>'Statement Q'!G63</f>
        <v>26552</v>
      </c>
      <c r="S54" s="36">
        <f>'Statement Q'!H63</f>
        <v>20646</v>
      </c>
      <c r="T54" s="36">
        <f>'Statement Q'!I63</f>
        <v>22498</v>
      </c>
      <c r="U54" s="36">
        <f>'Statement Q'!J63</f>
        <v>26901</v>
      </c>
      <c r="W54" s="36">
        <f t="shared" si="7"/>
        <v>26901</v>
      </c>
    </row>
    <row r="55" spans="2:23" outlineLevel="1" x14ac:dyDescent="0.2">
      <c r="B55" s="9" t="s">
        <v>65</v>
      </c>
      <c r="C55" s="36">
        <f>'Statement Y'!C64</f>
        <v>428</v>
      </c>
      <c r="D55" s="36">
        <f>'Statement Y'!D64</f>
        <v>384</v>
      </c>
      <c r="E55" s="36">
        <f>'Statement Y'!E64</f>
        <v>265</v>
      </c>
      <c r="F55" s="36">
        <f>'Statement Y'!F64</f>
        <v>100</v>
      </c>
      <c r="G55" s="36">
        <f>'Statement Y'!G64</f>
        <v>207</v>
      </c>
      <c r="H55" s="36">
        <f>'Statement Y'!H64</f>
        <v>128</v>
      </c>
      <c r="I55" s="36">
        <f>'Statement Y'!I64</f>
        <v>-22</v>
      </c>
      <c r="J55" s="36">
        <f>'Statement Y'!J64</f>
        <v>358</v>
      </c>
      <c r="K55" s="36">
        <f>'Statement Y'!K64</f>
        <v>587</v>
      </c>
      <c r="L55" s="36">
        <f>'Statement Y'!L64</f>
        <v>560</v>
      </c>
      <c r="N55" s="36">
        <f>'Statement Q'!C64</f>
        <v>397</v>
      </c>
      <c r="O55" s="36">
        <f>'Statement Q'!D64</f>
        <v>587</v>
      </c>
      <c r="P55" s="36">
        <f>'Statement Q'!E64</f>
        <v>273</v>
      </c>
      <c r="Q55" s="36">
        <f>'Statement Q'!F64</f>
        <v>395</v>
      </c>
      <c r="R55" s="36">
        <f>'Statement Q'!G64</f>
        <v>657</v>
      </c>
      <c r="S55" s="36">
        <f>'Statement Q'!H64</f>
        <v>560</v>
      </c>
      <c r="T55" s="36">
        <f>'Statement Q'!I64</f>
        <v>575</v>
      </c>
      <c r="U55" s="36">
        <f>'Statement Q'!J64</f>
        <v>377</v>
      </c>
      <c r="W55" s="36">
        <f t="shared" si="7"/>
        <v>377</v>
      </c>
    </row>
    <row r="56" spans="2:23" outlineLevel="1" x14ac:dyDescent="0.2">
      <c r="B56" s="11" t="s">
        <v>66</v>
      </c>
      <c r="C56" s="61">
        <f>'Statement Y'!C65</f>
        <v>31778</v>
      </c>
      <c r="D56" s="61">
        <f>'Statement Y'!D65</f>
        <v>30746</v>
      </c>
      <c r="E56" s="61">
        <f>'Statement Y'!E65</f>
        <v>928</v>
      </c>
      <c r="F56" s="61">
        <f>'Statement Y'!F65</f>
        <v>4909</v>
      </c>
      <c r="G56" s="61">
        <f>'Statement Y'!G65</f>
        <v>6077</v>
      </c>
      <c r="H56" s="61">
        <f>'Statement Y'!H65</f>
        <v>9950</v>
      </c>
      <c r="I56" s="61">
        <f>'Statement Y'!I65</f>
        <v>18013</v>
      </c>
      <c r="J56" s="61">
        <f>'Statement Y'!J65</f>
        <v>21581</v>
      </c>
      <c r="K56" s="61">
        <f>'Statement Y'!K65</f>
        <v>26274</v>
      </c>
      <c r="L56" s="61">
        <f>'Statement Y'!L65</f>
        <v>21206</v>
      </c>
      <c r="N56" s="61">
        <f>'Statement Q'!C65</f>
        <v>24670</v>
      </c>
      <c r="O56" s="61">
        <f>'Statement Q'!D65</f>
        <v>26274</v>
      </c>
      <c r="P56" s="61">
        <f>'Statement Q'!E65</f>
        <v>26880</v>
      </c>
      <c r="Q56" s="61">
        <f>'Statement Q'!F65</f>
        <v>27728</v>
      </c>
      <c r="R56" s="61">
        <f>'Statement Q'!G65</f>
        <v>27209</v>
      </c>
      <c r="S56" s="61">
        <f>'Statement Q'!H65</f>
        <v>21206</v>
      </c>
      <c r="T56" s="61">
        <f>'Statement Q'!I65</f>
        <v>23073</v>
      </c>
      <c r="U56" s="61">
        <f>'Statement Q'!J65</f>
        <v>27278</v>
      </c>
      <c r="W56" s="61">
        <f t="shared" si="7"/>
        <v>27278</v>
      </c>
    </row>
    <row r="57" spans="2:23" ht="17" outlineLevel="1" thickBot="1" x14ac:dyDescent="0.25">
      <c r="B57" s="19" t="s">
        <v>68</v>
      </c>
      <c r="C57" s="146">
        <f>C52+C56</f>
        <v>52369</v>
      </c>
      <c r="D57" s="146">
        <f t="shared" ref="D57:L57" si="8">D52+D56</f>
        <v>65486</v>
      </c>
      <c r="E57" s="146">
        <f t="shared" si="8"/>
        <v>32686</v>
      </c>
      <c r="F57" s="146">
        <f t="shared" si="8"/>
        <v>32957</v>
      </c>
      <c r="G57" s="146">
        <f t="shared" si="8"/>
        <v>35594</v>
      </c>
      <c r="H57" s="146">
        <f t="shared" si="8"/>
        <v>41240</v>
      </c>
      <c r="I57" s="146">
        <f t="shared" si="8"/>
        <v>49014</v>
      </c>
      <c r="J57" s="146">
        <f t="shared" si="8"/>
        <v>51040</v>
      </c>
      <c r="K57" s="146">
        <f t="shared" si="8"/>
        <v>55154</v>
      </c>
      <c r="L57" s="146">
        <f t="shared" si="8"/>
        <v>50143</v>
      </c>
      <c r="N57" s="146">
        <f>N52+N56</f>
        <v>52741</v>
      </c>
      <c r="O57" s="146">
        <f t="shared" ref="O57:U57" si="9">O52+O56</f>
        <v>55154</v>
      </c>
      <c r="P57" s="146">
        <f t="shared" si="9"/>
        <v>55575</v>
      </c>
      <c r="Q57" s="146">
        <f t="shared" si="9"/>
        <v>55372</v>
      </c>
      <c r="R57" s="146">
        <f t="shared" si="9"/>
        <v>54862</v>
      </c>
      <c r="S57" s="146">
        <f t="shared" si="9"/>
        <v>50143</v>
      </c>
      <c r="T57" s="146">
        <f t="shared" si="9"/>
        <v>53034</v>
      </c>
      <c r="U57" s="146">
        <f t="shared" si="9"/>
        <v>57136</v>
      </c>
      <c r="W57" s="146">
        <f t="shared" si="7"/>
        <v>57136</v>
      </c>
    </row>
    <row r="59" spans="2:23" ht="17" thickBot="1" x14ac:dyDescent="0.25">
      <c r="B59" s="15" t="s">
        <v>73</v>
      </c>
      <c r="C59" s="14"/>
      <c r="D59" s="14"/>
      <c r="E59" s="14"/>
      <c r="F59" s="14"/>
      <c r="G59" s="14"/>
      <c r="H59" s="14"/>
      <c r="I59" s="14"/>
      <c r="J59" s="14"/>
      <c r="K59" s="14"/>
      <c r="L59" s="14"/>
      <c r="N59" s="14"/>
      <c r="O59" s="14"/>
      <c r="P59" s="14"/>
      <c r="Q59" s="14"/>
      <c r="R59" s="14"/>
      <c r="S59" s="14"/>
      <c r="T59" s="14"/>
      <c r="U59" s="14"/>
      <c r="W59" s="14"/>
    </row>
    <row r="60" spans="2:23" outlineLevel="1" x14ac:dyDescent="0.2">
      <c r="B60" s="9" t="s">
        <v>30</v>
      </c>
      <c r="C60" s="147">
        <f>C18</f>
        <v>5702</v>
      </c>
      <c r="D60" s="147">
        <f t="shared" ref="D60:L60" si="10">D18</f>
        <v>2465</v>
      </c>
      <c r="E60" s="147">
        <f t="shared" si="10"/>
        <v>-4864</v>
      </c>
      <c r="F60" s="147">
        <f t="shared" si="10"/>
        <v>4386</v>
      </c>
      <c r="G60" s="147">
        <f t="shared" si="10"/>
        <v>5198</v>
      </c>
      <c r="H60" s="147">
        <f t="shared" si="10"/>
        <v>9043</v>
      </c>
      <c r="I60" s="147">
        <f t="shared" si="10"/>
        <v>12986</v>
      </c>
      <c r="J60" s="147">
        <f t="shared" si="10"/>
        <v>7339</v>
      </c>
      <c r="K60" s="147">
        <f t="shared" si="10"/>
        <v>10110</v>
      </c>
      <c r="L60" s="147">
        <f t="shared" si="10"/>
        <v>10600</v>
      </c>
      <c r="N60" s="147">
        <f>N18</f>
        <v>2108</v>
      </c>
      <c r="O60" s="147">
        <f t="shared" ref="O60:U60" si="11">O18</f>
        <v>2915</v>
      </c>
      <c r="P60" s="147">
        <f t="shared" si="11"/>
        <v>3180</v>
      </c>
      <c r="Q60" s="147">
        <f t="shared" si="11"/>
        <v>2812</v>
      </c>
      <c r="R60" s="147">
        <f t="shared" si="11"/>
        <v>2666</v>
      </c>
      <c r="S60" s="147">
        <f t="shared" si="11"/>
        <v>2517</v>
      </c>
      <c r="T60" s="147">
        <f t="shared" si="11"/>
        <v>2700</v>
      </c>
      <c r="U60" s="147">
        <f t="shared" si="11"/>
        <v>1732</v>
      </c>
      <c r="W60" s="147">
        <f>SUM(R60:U60)</f>
        <v>9615</v>
      </c>
    </row>
    <row r="61" spans="2:23" outlineLevel="1" x14ac:dyDescent="0.2">
      <c r="B61" s="9" t="s">
        <v>74</v>
      </c>
      <c r="C61" s="143">
        <f>'Statement Y'!C72</f>
        <v>1428</v>
      </c>
      <c r="D61" s="143">
        <f>'Statement Y'!D72</f>
        <v>1461</v>
      </c>
      <c r="E61" s="143">
        <f>'Statement Y'!E72</f>
        <v>1561</v>
      </c>
      <c r="F61" s="143">
        <f>'Statement Y'!F72</f>
        <v>1401</v>
      </c>
      <c r="G61" s="143">
        <f>'Statement Y'!G72</f>
        <v>1393</v>
      </c>
      <c r="H61" s="143">
        <f>'Statement Y'!H72</f>
        <v>1582</v>
      </c>
      <c r="I61" s="143">
        <f>'Statement Y'!I72</f>
        <v>1762</v>
      </c>
      <c r="J61" s="143">
        <f>'Statement Y'!J72</f>
        <v>1809</v>
      </c>
      <c r="K61" s="143">
        <f>'Statement Y'!K72</f>
        <v>1706</v>
      </c>
      <c r="L61" s="143">
        <f>'Statement Y'!L72</f>
        <v>1602</v>
      </c>
      <c r="N61" s="143">
        <f>'Statement Q'!C72</f>
        <v>419</v>
      </c>
      <c r="O61" s="143">
        <f>'Statement Q'!D72</f>
        <v>439</v>
      </c>
      <c r="P61" s="143">
        <f>'Statement Q'!E72</f>
        <v>436</v>
      </c>
      <c r="Q61" s="143">
        <f>'Statement Q'!F72</f>
        <v>397</v>
      </c>
      <c r="R61" s="143">
        <f>'Statement Q'!G72</f>
        <v>398</v>
      </c>
      <c r="S61" s="143">
        <f>'Statement Q'!H72</f>
        <v>371</v>
      </c>
      <c r="T61" s="143">
        <f>'Statement Q'!I72</f>
        <v>393</v>
      </c>
      <c r="U61" s="143">
        <f>'Statement Q'!J72</f>
        <v>413</v>
      </c>
      <c r="W61" s="143">
        <f t="shared" ref="W61:W79" si="12">SUM(R61:U61)</f>
        <v>1575</v>
      </c>
    </row>
    <row r="62" spans="2:23" outlineLevel="1" x14ac:dyDescent="0.2">
      <c r="B62" s="9" t="s">
        <v>75</v>
      </c>
      <c r="C62" s="143">
        <f>'Statement Y'!C73</f>
        <v>-200</v>
      </c>
      <c r="D62" s="143">
        <f>'Statement Y'!D73</f>
        <v>-400</v>
      </c>
      <c r="E62" s="143">
        <f>'Statement Y'!E73</f>
        <v>4502</v>
      </c>
      <c r="F62" s="143">
        <f>'Statement Y'!F73</f>
        <v>1976</v>
      </c>
      <c r="G62" s="143">
        <f>'Statement Y'!G73</f>
        <v>-309</v>
      </c>
      <c r="H62" s="143">
        <f>'Statement Y'!H73</f>
        <v>-245</v>
      </c>
      <c r="I62" s="143">
        <f>'Statement Y'!I73</f>
        <v>-138</v>
      </c>
      <c r="J62" s="143">
        <f>'Statement Y'!J73</f>
        <v>-1269</v>
      </c>
      <c r="K62" s="143">
        <f>'Statement Y'!K73</f>
        <v>-3064</v>
      </c>
      <c r="L62" s="143">
        <f>'Statement Y'!L73</f>
        <v>3980</v>
      </c>
      <c r="N62" s="143">
        <f>'Statement Q'!C73</f>
        <v>-774</v>
      </c>
      <c r="O62" s="143">
        <f>'Statement Q'!D73</f>
        <v>-526</v>
      </c>
      <c r="P62" s="143">
        <f>'Statement Q'!E73</f>
        <v>247</v>
      </c>
      <c r="Q62" s="143">
        <f>'Statement Q'!F73</f>
        <v>-1146</v>
      </c>
      <c r="R62" s="143">
        <f>'Statement Q'!G73</f>
        <v>-636</v>
      </c>
      <c r="S62" s="143">
        <f>'Statement Q'!H73</f>
        <v>5515</v>
      </c>
      <c r="T62" s="143">
        <f>'Statement Q'!I73</f>
        <v>291</v>
      </c>
      <c r="U62" s="143">
        <f>'Statement Q'!J73</f>
        <v>-6147</v>
      </c>
      <c r="W62" s="143">
        <f t="shared" si="12"/>
        <v>-977</v>
      </c>
    </row>
    <row r="63" spans="2:23" outlineLevel="1" x14ac:dyDescent="0.2">
      <c r="B63" s="12" t="s">
        <v>114</v>
      </c>
      <c r="C63" s="143">
        <f>'Statement Y'!C74</f>
        <v>943</v>
      </c>
      <c r="D63" s="143">
        <f>'Statement Y'!D74</f>
        <v>914</v>
      </c>
      <c r="E63" s="143">
        <f>'Statement Y'!E74</f>
        <v>883</v>
      </c>
      <c r="F63" s="143">
        <f>'Statement Y'!F74</f>
        <v>1037</v>
      </c>
      <c r="G63" s="143">
        <f>'Statement Y'!G74</f>
        <v>1212</v>
      </c>
      <c r="H63" s="143">
        <f>'Statement Y'!H74</f>
        <v>1663</v>
      </c>
      <c r="I63" s="143">
        <f>'Statement Y'!I74</f>
        <v>2031</v>
      </c>
      <c r="J63" s="143">
        <f>'Statement Y'!J74</f>
        <v>2484</v>
      </c>
      <c r="K63" s="143">
        <f>'Statement Y'!K74</f>
        <v>2648</v>
      </c>
      <c r="L63" s="143">
        <f>'Statement Y'!L74</f>
        <v>2783</v>
      </c>
      <c r="N63" s="143">
        <f>'Statement Q'!C74</f>
        <v>644</v>
      </c>
      <c r="O63" s="143">
        <f>'Statement Q'!D74</f>
        <v>697</v>
      </c>
      <c r="P63" s="143">
        <f>'Statement Q'!E74</f>
        <v>759</v>
      </c>
      <c r="Q63" s="143">
        <f>'Statement Q'!F74</f>
        <v>702</v>
      </c>
      <c r="R63" s="143">
        <f>'Statement Q'!G74</f>
        <v>659</v>
      </c>
      <c r="S63" s="143">
        <f>'Statement Q'!H74</f>
        <v>663</v>
      </c>
      <c r="T63" s="143">
        <f>'Statement Q'!I74</f>
        <v>888</v>
      </c>
      <c r="U63" s="143">
        <f>'Statement Q'!J74</f>
        <v>861</v>
      </c>
      <c r="W63" s="143">
        <f t="shared" si="12"/>
        <v>3071</v>
      </c>
    </row>
    <row r="64" spans="2:23" outlineLevel="1" x14ac:dyDescent="0.2">
      <c r="B64" s="9" t="s">
        <v>76</v>
      </c>
      <c r="C64" s="143">
        <f>'Statement Y'!C75</f>
        <v>-288</v>
      </c>
      <c r="D64" s="143">
        <f>'Statement Y'!D75</f>
        <v>-530</v>
      </c>
      <c r="E64" s="143">
        <f>'Statement Y'!E75</f>
        <v>-124</v>
      </c>
      <c r="F64" s="143">
        <f>'Statement Y'!F75</f>
        <v>-356</v>
      </c>
      <c r="G64" s="143">
        <f>'Statement Y'!G75</f>
        <v>-336</v>
      </c>
      <c r="H64" s="143">
        <f>'Statement Y'!H75</f>
        <v>-1002</v>
      </c>
      <c r="I64" s="143">
        <f>'Statement Y'!I75</f>
        <v>432</v>
      </c>
      <c r="J64" s="143">
        <f>'Statement Y'!J75</f>
        <v>-152</v>
      </c>
      <c r="K64" s="143">
        <f>'Statement Y'!K75</f>
        <v>-349</v>
      </c>
      <c r="L64" s="143">
        <f>'Statement Y'!L75</f>
        <v>-381</v>
      </c>
      <c r="N64" s="143">
        <f>'Statement Q'!C75</f>
        <v>-42</v>
      </c>
      <c r="O64" s="143">
        <f>'Statement Q'!D75</f>
        <v>-35</v>
      </c>
      <c r="P64" s="143">
        <f>'Statement Q'!E75</f>
        <v>-45</v>
      </c>
      <c r="Q64" s="143">
        <f>'Statement Q'!F75</f>
        <v>36</v>
      </c>
      <c r="R64" s="143">
        <f>'Statement Q'!G75</f>
        <v>-288</v>
      </c>
      <c r="S64" s="143">
        <f>'Statement Q'!H75</f>
        <v>-84</v>
      </c>
      <c r="T64" s="143">
        <f>'Statement Q'!I75</f>
        <v>-165</v>
      </c>
      <c r="U64" s="143">
        <f>'Statement Q'!J75</f>
        <v>118</v>
      </c>
      <c r="W64" s="143">
        <f t="shared" si="12"/>
        <v>-419</v>
      </c>
    </row>
    <row r="65" spans="2:23" outlineLevel="1" x14ac:dyDescent="0.2">
      <c r="B65" s="9" t="s">
        <v>77</v>
      </c>
      <c r="C65" s="143">
        <f>'Statement Y'!C76</f>
        <v>107</v>
      </c>
      <c r="D65" s="143">
        <f>'Statement Y'!D76</f>
        <v>76</v>
      </c>
      <c r="E65" s="143">
        <f>'Statement Y'!E76</f>
        <v>273</v>
      </c>
      <c r="F65" s="143">
        <f>'Statement Y'!F76</f>
        <v>203</v>
      </c>
      <c r="G65" s="143">
        <f>'Statement Y'!G76</f>
        <v>0</v>
      </c>
      <c r="H65" s="143">
        <f>'Statement Y'!H76</f>
        <v>5</v>
      </c>
      <c r="I65" s="143">
        <f>'Statement Y'!I76</f>
        <v>2</v>
      </c>
      <c r="J65" s="143">
        <f>'Statement Y'!J76</f>
        <v>182</v>
      </c>
      <c r="K65" s="143">
        <f>'Statement Y'!K76</f>
        <v>7</v>
      </c>
      <c r="L65" s="143">
        <f>'Statement Y'!L76</f>
        <v>17</v>
      </c>
      <c r="N65" s="143">
        <f>'Statement Q'!C76</f>
        <v>5</v>
      </c>
      <c r="O65" s="143">
        <f>'Statement Q'!D76</f>
        <v>-60</v>
      </c>
      <c r="P65" s="143">
        <f>'Statement Q'!E76</f>
        <v>0</v>
      </c>
      <c r="Q65" s="143">
        <f>'Statement Q'!F76</f>
        <v>41</v>
      </c>
      <c r="R65" s="143">
        <f>'Statement Q'!G76</f>
        <v>52</v>
      </c>
      <c r="S65" s="143">
        <f>'Statement Q'!H76</f>
        <v>-76</v>
      </c>
      <c r="T65" s="143">
        <f>'Statement Q'!I76</f>
        <v>0</v>
      </c>
      <c r="U65" s="143">
        <f>'Statement Q'!J76</f>
        <v>0</v>
      </c>
      <c r="W65" s="143">
        <f t="shared" si="12"/>
        <v>-24</v>
      </c>
    </row>
    <row r="66" spans="2:23" outlineLevel="1" x14ac:dyDescent="0.2">
      <c r="B66" s="9" t="s">
        <v>78</v>
      </c>
      <c r="C66" s="143">
        <f>'Statement Y'!C77</f>
        <v>172</v>
      </c>
      <c r="D66" s="143">
        <f>'Statement Y'!D77</f>
        <v>177</v>
      </c>
      <c r="E66" s="143">
        <f>'Statement Y'!E77</f>
        <v>75</v>
      </c>
      <c r="F66" s="143">
        <f>'Statement Y'!F77</f>
        <v>135</v>
      </c>
      <c r="G66" s="143">
        <f>'Statement Y'!G77</f>
        <v>405</v>
      </c>
      <c r="H66" s="143">
        <f>'Statement Y'!H77</f>
        <v>33</v>
      </c>
      <c r="I66" s="143">
        <f>'Statement Y'!I77</f>
        <v>47</v>
      </c>
      <c r="J66" s="143">
        <f>'Statement Y'!J77</f>
        <v>132</v>
      </c>
      <c r="K66" s="143">
        <f>'Statement Y'!K77</f>
        <v>79</v>
      </c>
      <c r="L66" s="143">
        <f>'Statement Y'!L77</f>
        <v>113</v>
      </c>
      <c r="N66" s="143">
        <f>'Statement Q'!C77</f>
        <v>0</v>
      </c>
      <c r="O66" s="143">
        <f>'Statement Q'!D77</f>
        <v>79</v>
      </c>
      <c r="P66" s="143">
        <f>'Statement Q'!E77</f>
        <v>0</v>
      </c>
      <c r="Q66" s="143">
        <f>'Statement Q'!F77</f>
        <v>0</v>
      </c>
      <c r="R66" s="143">
        <f>'Statement Q'!G77</f>
        <v>0</v>
      </c>
      <c r="S66" s="143">
        <f>'Statement Q'!H77</f>
        <v>113</v>
      </c>
      <c r="T66" s="143">
        <f>'Statement Q'!I77</f>
        <v>0</v>
      </c>
      <c r="U66" s="143">
        <f>'Statement Q'!J77</f>
        <v>0</v>
      </c>
      <c r="W66" s="143">
        <f t="shared" si="12"/>
        <v>113</v>
      </c>
    </row>
    <row r="67" spans="2:23" outlineLevel="1" x14ac:dyDescent="0.2">
      <c r="B67" s="9" t="s">
        <v>80</v>
      </c>
      <c r="C67" s="143">
        <f>'Statement Y'!C78+'Statement Y'!C79</f>
        <v>-303</v>
      </c>
      <c r="D67" s="143">
        <f>'Statement Y'!D78+'Statement Y'!D79</f>
        <v>146</v>
      </c>
      <c r="E67" s="143">
        <f>'Statement Y'!E78+'Statement Y'!E79</f>
        <v>129</v>
      </c>
      <c r="F67" s="143">
        <f>'Statement Y'!F78+'Statement Y'!F79</f>
        <v>-272</v>
      </c>
      <c r="G67" s="143">
        <f>'Statement Y'!G78+'Statement Y'!G79</f>
        <v>-142</v>
      </c>
      <c r="H67" s="143">
        <f>'Statement Y'!H78+'Statement Y'!H79</f>
        <v>-82</v>
      </c>
      <c r="I67" s="143">
        <f>'Statement Y'!I78+'Statement Y'!I79</f>
        <v>-56</v>
      </c>
      <c r="J67" s="143">
        <f>'Statement Y'!J78+'Statement Y'!J79</f>
        <v>25</v>
      </c>
      <c r="K67" s="143">
        <f>'Statement Y'!K78+'Statement Y'!K79</f>
        <v>-67</v>
      </c>
      <c r="L67" s="143">
        <f>'Statement Y'!L78+'Statement Y'!L79</f>
        <v>-57</v>
      </c>
      <c r="N67" s="143">
        <f>'Statement Q'!C78+'Statement Q'!C79</f>
        <v>-33</v>
      </c>
      <c r="O67" s="143">
        <f>'Statement Q'!D78+'Statement Q'!D79</f>
        <v>-4</v>
      </c>
      <c r="P67" s="143">
        <f>'Statement Q'!E78+'Statement Q'!E79</f>
        <v>-23</v>
      </c>
      <c r="Q67" s="143">
        <f>'Statement Q'!F78+'Statement Q'!F79</f>
        <v>-46</v>
      </c>
      <c r="R67" s="143">
        <f>'Statement Q'!G78+'Statement Q'!G79</f>
        <v>46</v>
      </c>
      <c r="S67" s="143">
        <f>'Statement Q'!H78+'Statement Q'!H79</f>
        <v>-34</v>
      </c>
      <c r="T67" s="143">
        <f>'Statement Q'!I78+'Statement Q'!I79</f>
        <v>-40</v>
      </c>
      <c r="U67" s="143">
        <f>'Statement Q'!J78+'Statement Q'!J79</f>
        <v>-90</v>
      </c>
      <c r="W67" s="143">
        <f t="shared" si="12"/>
        <v>-118</v>
      </c>
    </row>
    <row r="68" spans="2:23" outlineLevel="1" x14ac:dyDescent="0.2">
      <c r="B68" s="9" t="s">
        <v>225</v>
      </c>
      <c r="C68" s="143">
        <f>SUM('Statement Y'!C80:C85)</f>
        <v>71</v>
      </c>
      <c r="D68" s="143">
        <f>SUM('Statement Y'!D80:D85)</f>
        <v>692</v>
      </c>
      <c r="E68" s="143">
        <f>SUM('Statement Y'!E80:E85)</f>
        <v>1460</v>
      </c>
      <c r="F68" s="143">
        <f>SUM('Statement Y'!F80:F85)</f>
        <v>-1224</v>
      </c>
      <c r="G68" s="143">
        <f>SUM('Statement Y'!G80:G85)</f>
        <v>-1607</v>
      </c>
      <c r="H68" s="143">
        <f>SUM('Statement Y'!H80:H85)</f>
        <v>-461</v>
      </c>
      <c r="I68" s="143">
        <f>SUM('Statement Y'!I80:I85)</f>
        <v>-7800</v>
      </c>
      <c r="J68" s="143">
        <f>SUM('Statement Y'!J80:J85)</f>
        <v>1148</v>
      </c>
      <c r="K68" s="143">
        <f>SUM('Statement Y'!K80:K85)</f>
        <v>1223</v>
      </c>
      <c r="L68" s="143">
        <f>SUM('Statement Y'!L80:L85)</f>
        <v>414</v>
      </c>
      <c r="N68" s="143">
        <f>SUM('Statement Q'!C80:C85)</f>
        <v>725</v>
      </c>
      <c r="O68" s="143">
        <f>SUM('Statement Q'!D80:D85)</f>
        <v>-858</v>
      </c>
      <c r="P68" s="143">
        <f>SUM('Statement Q'!E80:E85)</f>
        <v>33</v>
      </c>
      <c r="Q68" s="143">
        <f>SUM('Statement Q'!F80:F85)</f>
        <v>-242</v>
      </c>
      <c r="R68" s="143">
        <f>SUM('Statement Q'!G80:G85)</f>
        <v>-22</v>
      </c>
      <c r="S68" s="143">
        <f>SUM('Statement Q'!H80:H85)</f>
        <v>645</v>
      </c>
      <c r="T68" s="143">
        <f>SUM('Statement Q'!I80:I85)</f>
        <v>594</v>
      </c>
      <c r="U68" s="143">
        <f>SUM('Statement Q'!J80:J85)</f>
        <v>-76</v>
      </c>
      <c r="W68" s="143">
        <f t="shared" si="12"/>
        <v>1141</v>
      </c>
    </row>
    <row r="69" spans="2:23" outlineLevel="1" x14ac:dyDescent="0.2">
      <c r="B69" s="9" t="s">
        <v>226</v>
      </c>
      <c r="C69" s="143">
        <f>'Statement Y'!C86</f>
        <v>0</v>
      </c>
      <c r="D69" s="143">
        <f>'Statement Y'!D86</f>
        <v>0</v>
      </c>
      <c r="E69" s="143">
        <f>'Statement Y'!E86</f>
        <v>0</v>
      </c>
      <c r="F69" s="143">
        <f>'Statement Y'!F86</f>
        <v>0</v>
      </c>
      <c r="G69" s="143">
        <f>'Statement Y'!G86</f>
        <v>0</v>
      </c>
      <c r="H69" s="143">
        <f>'Statement Y'!H86</f>
        <v>0</v>
      </c>
      <c r="I69" s="143">
        <f>'Statement Y'!I86</f>
        <v>-170</v>
      </c>
      <c r="J69" s="143">
        <f>'Statement Y'!J86</f>
        <v>-399</v>
      </c>
      <c r="K69" s="143">
        <f>'Statement Y'!K86</f>
        <v>-91</v>
      </c>
      <c r="L69" s="143">
        <f>'Statement Y'!L86</f>
        <v>0</v>
      </c>
      <c r="N69" s="143">
        <f>'Statement Q'!C86</f>
        <v>0</v>
      </c>
      <c r="O69" s="143">
        <f>'Statement Q'!D86</f>
        <v>0</v>
      </c>
      <c r="P69" s="143">
        <f>'Statement Q'!E86</f>
        <v>0</v>
      </c>
      <c r="Q69" s="143">
        <f>'Statement Q'!F86</f>
        <v>0</v>
      </c>
      <c r="R69" s="143">
        <f>'Statement Q'!G86</f>
        <v>0</v>
      </c>
      <c r="S69" s="143">
        <f>'Statement Q'!H86</f>
        <v>0</v>
      </c>
      <c r="T69" s="143">
        <f>'Statement Q'!I86</f>
        <v>0</v>
      </c>
      <c r="U69" s="143">
        <f>'Statement Q'!J86</f>
        <v>0</v>
      </c>
      <c r="W69" s="143">
        <f t="shared" si="12"/>
        <v>0</v>
      </c>
    </row>
    <row r="70" spans="2:23" outlineLevel="1" x14ac:dyDescent="0.2">
      <c r="B70" s="17" t="s">
        <v>87</v>
      </c>
      <c r="C70" s="144">
        <f>'Statement Y'!C87</f>
        <v>7632</v>
      </c>
      <c r="D70" s="144">
        <f>'Statement Y'!D87</f>
        <v>5001</v>
      </c>
      <c r="E70" s="144">
        <f>'Statement Y'!E87</f>
        <v>3895</v>
      </c>
      <c r="F70" s="144">
        <f>'Statement Y'!F87</f>
        <v>7286</v>
      </c>
      <c r="G70" s="144">
        <f>'Statement Y'!G87</f>
        <v>5814</v>
      </c>
      <c r="H70" s="144">
        <f>'Statement Y'!H87</f>
        <v>10536</v>
      </c>
      <c r="I70" s="144">
        <f>'Statement Y'!I87</f>
        <v>9096</v>
      </c>
      <c r="J70" s="144">
        <f>'Statement Y'!J87</f>
        <v>11299</v>
      </c>
      <c r="K70" s="144">
        <f>'Statement Y'!K87</f>
        <v>12202</v>
      </c>
      <c r="L70" s="144">
        <f>'Statement Y'!L87</f>
        <v>14012</v>
      </c>
      <c r="N70" s="144">
        <f>'Statement Q'!C87</f>
        <v>3052</v>
      </c>
      <c r="O70" s="144">
        <f>'Statement Q'!D87</f>
        <v>2647</v>
      </c>
      <c r="P70" s="144">
        <f>'Statement Q'!E87</f>
        <v>4587</v>
      </c>
      <c r="Q70" s="144">
        <f>'Statement Q'!F87</f>
        <v>2554</v>
      </c>
      <c r="R70" s="144">
        <f>'Statement Q'!G87</f>
        <v>2875</v>
      </c>
      <c r="S70" s="144">
        <f>'Statement Q'!H87</f>
        <v>3996</v>
      </c>
      <c r="T70" s="144">
        <f>'Statement Q'!I87</f>
        <v>4965</v>
      </c>
      <c r="U70" s="144">
        <f>'Statement Q'!J87</f>
        <v>2449</v>
      </c>
      <c r="W70" s="144">
        <f t="shared" si="12"/>
        <v>14285</v>
      </c>
    </row>
    <row r="71" spans="2:23" outlineLevel="1" x14ac:dyDescent="0.2">
      <c r="B71" s="9" t="s">
        <v>88</v>
      </c>
      <c r="C71" s="143">
        <f>'Statement Y'!C88</f>
        <v>-539</v>
      </c>
      <c r="D71" s="143">
        <f>'Statement Y'!D88</f>
        <v>-690</v>
      </c>
      <c r="E71" s="143">
        <f>'Statement Y'!E88</f>
        <v>-784</v>
      </c>
      <c r="F71" s="143">
        <f>'Statement Y'!F88</f>
        <v>-887</v>
      </c>
      <c r="G71" s="143">
        <f>'Statement Y'!G88</f>
        <v>-1407</v>
      </c>
      <c r="H71" s="143">
        <f>'Statement Y'!H88</f>
        <v>-1888</v>
      </c>
      <c r="I71" s="143">
        <f>'Statement Y'!I88</f>
        <v>-2262</v>
      </c>
      <c r="J71" s="143">
        <f>'Statement Y'!J88</f>
        <v>-1450</v>
      </c>
      <c r="K71" s="143">
        <f>'Statement Y'!K88</f>
        <v>-1041</v>
      </c>
      <c r="L71" s="143">
        <f>'Statement Y'!L88</f>
        <v>-1192</v>
      </c>
      <c r="N71" s="143">
        <f>'Statement Q'!C88</f>
        <v>-387</v>
      </c>
      <c r="O71" s="143">
        <f>'Statement Q'!D88</f>
        <v>-256</v>
      </c>
      <c r="P71" s="143">
        <f>'Statement Q'!E88</f>
        <v>-277</v>
      </c>
      <c r="Q71" s="143">
        <f>'Statement Q'!F88</f>
        <v>-214</v>
      </c>
      <c r="R71" s="143">
        <f>'Statement Q'!G88</f>
        <v>-294</v>
      </c>
      <c r="S71" s="143">
        <f>'Statement Q'!H88</f>
        <v>-407</v>
      </c>
      <c r="T71" s="143">
        <f>'Statement Q'!I88</f>
        <v>-549</v>
      </c>
      <c r="U71" s="143">
        <f>'Statement Q'!J88</f>
        <v>-533</v>
      </c>
      <c r="W71" s="143">
        <f t="shared" si="12"/>
        <v>-1783</v>
      </c>
    </row>
    <row r="72" spans="2:23" outlineLevel="1" x14ac:dyDescent="0.2">
      <c r="B72" s="17" t="s">
        <v>99</v>
      </c>
      <c r="C72" s="144">
        <f>'Statement Y'!C102</f>
        <v>-3488</v>
      </c>
      <c r="D72" s="144">
        <f>'Statement Y'!D102</f>
        <v>18463</v>
      </c>
      <c r="E72" s="144">
        <f>'Statement Y'!E102</f>
        <v>4381</v>
      </c>
      <c r="F72" s="144">
        <f>'Statement Y'!F102</f>
        <v>-806</v>
      </c>
      <c r="G72" s="144">
        <f>'Statement Y'!G102</f>
        <v>-5263</v>
      </c>
      <c r="H72" s="144">
        <f>'Statement Y'!H102</f>
        <v>-3356</v>
      </c>
      <c r="I72" s="144">
        <f>'Statement Y'!I102</f>
        <v>-5804</v>
      </c>
      <c r="J72" s="144">
        <f>'Statement Y'!J102</f>
        <v>762</v>
      </c>
      <c r="K72" s="144">
        <f>'Statement Y'!K102</f>
        <v>-3623</v>
      </c>
      <c r="L72" s="144">
        <f>'Statement Y'!L102</f>
        <v>-800</v>
      </c>
      <c r="N72" s="144">
        <f>'Statement Q'!C102</f>
        <v>-1043</v>
      </c>
      <c r="O72" s="144">
        <f>'Statement Q'!D102</f>
        <v>-385</v>
      </c>
      <c r="P72" s="144">
        <f>'Statement Q'!E102</f>
        <v>-671</v>
      </c>
      <c r="Q72" s="144">
        <f>'Statement Q'!F102</f>
        <v>-1289</v>
      </c>
      <c r="R72" s="144">
        <f>'Statement Q'!G102</f>
        <v>1631</v>
      </c>
      <c r="S72" s="144">
        <f>'Statement Q'!H102</f>
        <v>-471</v>
      </c>
      <c r="T72" s="144">
        <f>'Statement Q'!I102</f>
        <v>-1721</v>
      </c>
      <c r="U72" s="144">
        <f>'Statement Q'!J102</f>
        <v>-501</v>
      </c>
      <c r="W72" s="144">
        <f t="shared" si="12"/>
        <v>-1062</v>
      </c>
    </row>
    <row r="73" spans="2:23" outlineLevel="1" x14ac:dyDescent="0.2">
      <c r="B73" s="9" t="s">
        <v>104</v>
      </c>
      <c r="C73" s="143">
        <f>'Statement Y'!C108</f>
        <v>668</v>
      </c>
      <c r="D73" s="143">
        <f>'Statement Y'!D108</f>
        <v>497</v>
      </c>
      <c r="E73" s="143">
        <f>'Statement Y'!E108</f>
        <v>603</v>
      </c>
      <c r="F73" s="143">
        <f>'Statement Y'!F108</f>
        <v>414</v>
      </c>
      <c r="G73" s="143">
        <f>'Statement Y'!G108</f>
        <v>329</v>
      </c>
      <c r="H73" s="143">
        <f>'Statement Y'!H108</f>
        <v>347</v>
      </c>
      <c r="I73" s="143">
        <f>'Statement Y'!I108</f>
        <v>356</v>
      </c>
      <c r="J73" s="143">
        <f>'Statement Y'!J108</f>
        <v>434</v>
      </c>
      <c r="K73" s="143">
        <f>'Statement Y'!K108</f>
        <v>383</v>
      </c>
      <c r="L73" s="143">
        <f>'Statement Y'!L108</f>
        <v>404</v>
      </c>
      <c r="N73" s="143">
        <f>'Statement Q'!C108</f>
        <v>1</v>
      </c>
      <c r="O73" s="143">
        <f>'Statement Q'!D108</f>
        <v>187</v>
      </c>
      <c r="P73" s="143">
        <f>'Statement Q'!E108</f>
        <v>0</v>
      </c>
      <c r="Q73" s="143">
        <f>'Statement Q'!F108</f>
        <v>201</v>
      </c>
      <c r="R73" s="143">
        <f>'Statement Q'!G108</f>
        <v>0</v>
      </c>
      <c r="S73" s="143">
        <f>'Statement Q'!H108</f>
        <v>203</v>
      </c>
      <c r="T73" s="143">
        <f>'Statement Q'!I108</f>
        <v>0</v>
      </c>
      <c r="U73" s="143">
        <f>'Statement Q'!J108</f>
        <v>0</v>
      </c>
      <c r="W73" s="143">
        <f t="shared" si="12"/>
        <v>203</v>
      </c>
    </row>
    <row r="74" spans="2:23" outlineLevel="1" x14ac:dyDescent="0.2">
      <c r="B74" s="9" t="s">
        <v>105</v>
      </c>
      <c r="C74" s="143">
        <f>'Statement Y'!C109</f>
        <v>-3923</v>
      </c>
      <c r="D74" s="143">
        <f>'Statement Y'!D109</f>
        <v>-1342</v>
      </c>
      <c r="E74" s="143">
        <f>'Statement Y'!E109</f>
        <v>-22580</v>
      </c>
      <c r="F74" s="143">
        <f>'Statement Y'!F109</f>
        <v>-1793</v>
      </c>
      <c r="G74" s="143">
        <f>'Statement Y'!G109</f>
        <v>-2450</v>
      </c>
      <c r="H74" s="143">
        <f>'Statement Y'!H109</f>
        <v>-3366</v>
      </c>
      <c r="I74" s="143">
        <f>'Statement Y'!I109</f>
        <v>-3129</v>
      </c>
      <c r="J74" s="143">
        <f>'Statement Y'!J109</f>
        <v>-2973</v>
      </c>
      <c r="K74" s="143">
        <f>'Statement Y'!K109</f>
        <v>-4121</v>
      </c>
      <c r="L74" s="143">
        <f>'Statement Y'!L109</f>
        <v>-8791</v>
      </c>
      <c r="N74" s="143">
        <f>'Statement Q'!C109</f>
        <v>-1303</v>
      </c>
      <c r="O74" s="143">
        <f>'Statement Q'!D109</f>
        <v>-1303</v>
      </c>
      <c r="P74" s="143">
        <f>'Statement Q'!E109</f>
        <v>-1750</v>
      </c>
      <c r="Q74" s="143">
        <f>'Statement Q'!F109</f>
        <v>-1748</v>
      </c>
      <c r="R74" s="143">
        <f>'Statement Q'!G109</f>
        <v>-2849</v>
      </c>
      <c r="S74" s="143">
        <f>'Statement Q'!H109</f>
        <v>-2444</v>
      </c>
      <c r="T74" s="143">
        <f>'Statement Q'!I109</f>
        <v>-2650</v>
      </c>
      <c r="U74" s="143">
        <f>'Statement Q'!J109</f>
        <v>-2792</v>
      </c>
      <c r="W74" s="143">
        <f t="shared" si="12"/>
        <v>-10735</v>
      </c>
    </row>
    <row r="75" spans="2:23" outlineLevel="1" x14ac:dyDescent="0.2">
      <c r="B75" s="9" t="s">
        <v>254</v>
      </c>
      <c r="C75" s="143">
        <f>'Statement Y'!C104+'Statement Y'!C107</f>
        <v>-8200</v>
      </c>
      <c r="D75" s="143">
        <f>'Statement Y'!D104+'Statement Y'!D107</f>
        <v>-9309</v>
      </c>
      <c r="E75" s="143">
        <f>'Statement Y'!E104+'Statement Y'!E107</f>
        <v>-16627</v>
      </c>
      <c r="F75" s="143">
        <f>'Statement Y'!F104+'Statement Y'!F107</f>
        <v>-6492</v>
      </c>
      <c r="G75" s="143">
        <f>'Statement Y'!G104+'Statement Y'!G107</f>
        <v>-5065</v>
      </c>
      <c r="H75" s="143">
        <f>'Statement Y'!H104+'Statement Y'!H107</f>
        <v>-2885</v>
      </c>
      <c r="I75" s="143">
        <f>'Statement Y'!I104+'Statement Y'!I107</f>
        <v>-8543</v>
      </c>
      <c r="J75" s="143">
        <f>'Statement Y'!J104+'Statement Y'!J107</f>
        <v>-7012</v>
      </c>
      <c r="K75" s="143">
        <f>'Statement Y'!K104+'Statement Y'!K107</f>
        <v>-1713</v>
      </c>
      <c r="L75" s="143">
        <f>'Statement Y'!L104+'Statement Y'!L107</f>
        <v>-2363</v>
      </c>
      <c r="N75" s="143">
        <f>'Statement Q'!C104+'Statement Q'!C107</f>
        <v>-914</v>
      </c>
      <c r="O75" s="143">
        <f>'Statement Q'!D104+'Statement Q'!D107</f>
        <v>0</v>
      </c>
      <c r="P75" s="143">
        <f>'Statement Q'!E104+'Statement Q'!E107</f>
        <v>-500</v>
      </c>
      <c r="Q75" s="143">
        <f>'Statement Q'!F104+'Statement Q'!F107</f>
        <v>0</v>
      </c>
      <c r="R75" s="143">
        <f>'Statement Q'!G104+'Statement Q'!G107</f>
        <v>-1863</v>
      </c>
      <c r="S75" s="143">
        <f>'Statement Q'!H104+'Statement Q'!H107</f>
        <v>0</v>
      </c>
      <c r="T75" s="143">
        <f>'Statement Q'!I104+'Statement Q'!I107</f>
        <v>0</v>
      </c>
      <c r="U75" s="143">
        <f>'Statement Q'!J104+'Statement Q'!J107</f>
        <v>-750</v>
      </c>
      <c r="W75" s="143">
        <f>SUM(R75:U75)</f>
        <v>-2613</v>
      </c>
    </row>
    <row r="76" spans="2:23" outlineLevel="1" x14ac:dyDescent="0.2">
      <c r="B76" s="9" t="s">
        <v>106</v>
      </c>
      <c r="C76" s="143">
        <f>'Statement Y'!C110</f>
        <v>-2990</v>
      </c>
      <c r="D76" s="143">
        <f>'Statement Y'!D110</f>
        <v>-3252</v>
      </c>
      <c r="E76" s="143">
        <f>'Statement Y'!E110</f>
        <v>-3466</v>
      </c>
      <c r="F76" s="143">
        <f>'Statement Y'!F110</f>
        <v>-2968</v>
      </c>
      <c r="G76" s="143">
        <f>'Statement Y'!G110</f>
        <v>-2882</v>
      </c>
      <c r="H76" s="143">
        <f>'Statement Y'!H110</f>
        <v>-3008</v>
      </c>
      <c r="I76" s="143">
        <f>'Statement Y'!I110</f>
        <v>-3212</v>
      </c>
      <c r="J76" s="143">
        <f>'Statement Y'!J110</f>
        <v>-3462</v>
      </c>
      <c r="K76" s="143">
        <f>'Statement Y'!K110</f>
        <v>-3687</v>
      </c>
      <c r="L76" s="143">
        <f>'Statement Y'!L110</f>
        <v>-3805</v>
      </c>
      <c r="N76" s="143">
        <f>'Statement Q'!C110</f>
        <v>-949</v>
      </c>
      <c r="O76" s="143">
        <f>'Statement Q'!D110</f>
        <v>-948</v>
      </c>
      <c r="P76" s="143">
        <f>'Statement Q'!E110</f>
        <v>-942</v>
      </c>
      <c r="Q76" s="143">
        <f>'Statement Q'!F110</f>
        <v>-938</v>
      </c>
      <c r="R76" s="143">
        <f>'Statement Q'!G110</f>
        <v>-968</v>
      </c>
      <c r="S76" s="143">
        <f>'Statement Q'!H110</f>
        <v>-957</v>
      </c>
      <c r="T76" s="143">
        <f>'Statement Q'!I110</f>
        <v>-949</v>
      </c>
      <c r="U76" s="143">
        <f>'Statement Q'!J110</f>
        <v>-946</v>
      </c>
      <c r="W76" s="143">
        <f t="shared" si="12"/>
        <v>-3820</v>
      </c>
    </row>
    <row r="77" spans="2:23" outlineLevel="1" x14ac:dyDescent="0.2">
      <c r="B77" s="17" t="s">
        <v>109</v>
      </c>
      <c r="C77" s="144">
        <f>'Statement Y'!C115</f>
        <v>-5754</v>
      </c>
      <c r="D77" s="144">
        <f>'Statement Y'!D115</f>
        <v>5571</v>
      </c>
      <c r="E77" s="144">
        <f>'Statement Y'!E115</f>
        <v>-31487</v>
      </c>
      <c r="F77" s="144">
        <f>'Statement Y'!F115</f>
        <v>-6386</v>
      </c>
      <c r="G77" s="144">
        <f>'Statement Y'!G115</f>
        <v>-5707</v>
      </c>
      <c r="H77" s="144">
        <f>'Statement Y'!H115</f>
        <v>-6798</v>
      </c>
      <c r="I77" s="144">
        <f>'Statement Y'!I115</f>
        <v>-7196</v>
      </c>
      <c r="J77" s="144">
        <f>'Statement Y'!J115</f>
        <v>-6663</v>
      </c>
      <c r="K77" s="144">
        <f>'Statement Y'!K115</f>
        <v>-9269</v>
      </c>
      <c r="L77" s="144">
        <f>'Statement Y'!L115</f>
        <v>-13196</v>
      </c>
      <c r="N77" s="144">
        <f>'Statement Q'!C115</f>
        <v>-3449</v>
      </c>
      <c r="O77" s="144">
        <f>'Statement Q'!D115</f>
        <v>-2199</v>
      </c>
      <c r="P77" s="144">
        <f>'Statement Q'!E115</f>
        <v>-3008</v>
      </c>
      <c r="Q77" s="144">
        <f>'Statement Q'!F115</f>
        <v>-2781</v>
      </c>
      <c r="R77" s="144">
        <f>'Statement Q'!G115</f>
        <v>-3971</v>
      </c>
      <c r="S77" s="144">
        <f>'Statement Q'!H115</f>
        <v>-3436</v>
      </c>
      <c r="T77" s="144">
        <f>'Statement Q'!I115</f>
        <v>-3882</v>
      </c>
      <c r="U77" s="144">
        <f>'Statement Q'!J115</f>
        <v>-3693</v>
      </c>
      <c r="W77" s="144">
        <f t="shared" si="12"/>
        <v>-14982</v>
      </c>
    </row>
    <row r="78" spans="2:23" outlineLevel="1" x14ac:dyDescent="0.2">
      <c r="B78" s="9" t="s">
        <v>110</v>
      </c>
      <c r="C78" s="143">
        <f>'Statement Y'!C116</f>
        <v>-4</v>
      </c>
      <c r="D78" s="143">
        <f>'Statement Y'!D116</f>
        <v>48</v>
      </c>
      <c r="E78" s="143">
        <f>'Statement Y'!E116</f>
        <v>-41</v>
      </c>
      <c r="F78" s="143">
        <f>'Statement Y'!F116</f>
        <v>-32</v>
      </c>
      <c r="G78" s="143">
        <f>'Statement Y'!G116</f>
        <v>24</v>
      </c>
      <c r="H78" s="143">
        <f>'Statement Y'!H116</f>
        <v>27</v>
      </c>
      <c r="I78" s="143">
        <f>'Statement Y'!I116</f>
        <v>-113</v>
      </c>
      <c r="J78" s="143">
        <f>'Statement Y'!J116</f>
        <v>30</v>
      </c>
      <c r="K78" s="143">
        <f>'Statement Y'!K116</f>
        <v>12</v>
      </c>
      <c r="L78" s="143">
        <f>'Statement Y'!L116</f>
        <v>-22</v>
      </c>
      <c r="N78" s="143">
        <f>'Statement Q'!C116</f>
        <v>-9</v>
      </c>
      <c r="O78" s="143">
        <f>'Statement Q'!D116</f>
        <v>16</v>
      </c>
      <c r="P78" s="143">
        <f>'Statement Q'!E116</f>
        <v>-44</v>
      </c>
      <c r="Q78" s="143">
        <f>'Statement Q'!F116</f>
        <v>6</v>
      </c>
      <c r="R78" s="143">
        <f>'Statement Q'!G116</f>
        <v>33</v>
      </c>
      <c r="S78" s="143">
        <f>'Statement Q'!H116</f>
        <v>-17</v>
      </c>
      <c r="T78" s="143">
        <f>'Statement Q'!I116</f>
        <v>0</v>
      </c>
      <c r="U78" s="143">
        <f>'Statement Q'!J116</f>
        <v>-25</v>
      </c>
      <c r="W78" s="143">
        <f t="shared" si="12"/>
        <v>-9</v>
      </c>
    </row>
    <row r="79" spans="2:23" outlineLevel="1" x14ac:dyDescent="0.2">
      <c r="B79" s="11" t="s">
        <v>111</v>
      </c>
      <c r="C79" s="148">
        <f>'Statement Y'!C117</f>
        <v>-1614</v>
      </c>
      <c r="D79" s="148">
        <f>'Statement Y'!D117</f>
        <v>29083</v>
      </c>
      <c r="E79" s="148">
        <f>'Statement Y'!E117</f>
        <v>-23252</v>
      </c>
      <c r="F79" s="148">
        <f>'Statement Y'!F117</f>
        <v>62</v>
      </c>
      <c r="G79" s="148">
        <f>'Statement Y'!G117</f>
        <v>-5132</v>
      </c>
      <c r="H79" s="148">
        <f>'Statement Y'!H117</f>
        <v>409</v>
      </c>
      <c r="I79" s="148">
        <f>'Statement Y'!I117</f>
        <v>-4017</v>
      </c>
      <c r="J79" s="148">
        <f>'Statement Y'!J117</f>
        <v>5428</v>
      </c>
      <c r="K79" s="148">
        <f>'Statement Y'!K117</f>
        <v>-678</v>
      </c>
      <c r="L79" s="148">
        <f>'Statement Y'!L117</f>
        <v>-6</v>
      </c>
      <c r="N79" s="148">
        <f>'Statement Q'!C117</f>
        <v>-1449</v>
      </c>
      <c r="O79" s="148">
        <f>'Statement Q'!D117</f>
        <v>79</v>
      </c>
      <c r="P79" s="148">
        <f>'Statement Q'!E117</f>
        <v>864</v>
      </c>
      <c r="Q79" s="148">
        <f>'Statement Q'!F117</f>
        <v>-1510</v>
      </c>
      <c r="R79" s="148">
        <f>'Statement Q'!G117</f>
        <v>568</v>
      </c>
      <c r="S79" s="148">
        <f>'Statement Q'!H117</f>
        <v>72</v>
      </c>
      <c r="T79" s="148">
        <f>'Statement Q'!I117</f>
        <v>-638</v>
      </c>
      <c r="U79" s="148">
        <f>'Statement Q'!J117</f>
        <v>-1770</v>
      </c>
      <c r="W79" s="148">
        <f t="shared" si="12"/>
        <v>-1768</v>
      </c>
    </row>
    <row r="80" spans="2:23" outlineLevel="1" x14ac:dyDescent="0.2">
      <c r="B80" s="11" t="s">
        <v>112</v>
      </c>
      <c r="C80" s="148">
        <f>'Statement Y'!C118</f>
        <v>7560</v>
      </c>
      <c r="D80" s="148">
        <f>'Statement Y'!D118</f>
        <v>5946</v>
      </c>
      <c r="E80" s="148">
        <f>'Statement Y'!E118</f>
        <v>35029</v>
      </c>
      <c r="F80" s="148">
        <f>'Statement Y'!F118</f>
        <v>11777</v>
      </c>
      <c r="G80" s="148">
        <f>'Statement Y'!G118</f>
        <v>11839</v>
      </c>
      <c r="H80" s="148">
        <f>'Statement Y'!H118</f>
        <v>6707</v>
      </c>
      <c r="I80" s="148">
        <f>'Statement Y'!I118</f>
        <v>7116</v>
      </c>
      <c r="J80" s="148">
        <f>'Statement Y'!J118</f>
        <v>3099</v>
      </c>
      <c r="K80" s="148">
        <f>'Statement Y'!K118</f>
        <v>8527</v>
      </c>
      <c r="L80" s="148">
        <f>'Statement Y'!L118</f>
        <v>7849</v>
      </c>
      <c r="N80" s="148">
        <f>'Statement Q'!C118</f>
        <v>9219</v>
      </c>
      <c r="O80" s="148">
        <f>'Statement Q'!D118</f>
        <v>7770</v>
      </c>
      <c r="P80" s="148">
        <f>'Statement Q'!E118</f>
        <v>7849</v>
      </c>
      <c r="Q80" s="148">
        <f>'Statement Q'!F118</f>
        <v>8713</v>
      </c>
      <c r="R80" s="148">
        <f>'Statement Q'!G118</f>
        <v>7203</v>
      </c>
      <c r="S80" s="148">
        <f>'Statement Q'!H118</f>
        <v>7771</v>
      </c>
      <c r="T80" s="148">
        <f>'Statement Q'!I118</f>
        <v>7843</v>
      </c>
      <c r="U80" s="148">
        <f>'Statement Q'!J118</f>
        <v>7205</v>
      </c>
      <c r="W80" s="148">
        <f>R80</f>
        <v>7203</v>
      </c>
    </row>
    <row r="81" spans="2:23" ht="17" outlineLevel="1" thickBot="1" x14ac:dyDescent="0.25">
      <c r="B81" s="19" t="s">
        <v>113</v>
      </c>
      <c r="C81" s="149">
        <f>'Statement Y'!C119</f>
        <v>5946</v>
      </c>
      <c r="D81" s="149">
        <f>'Statement Y'!D119</f>
        <v>35029</v>
      </c>
      <c r="E81" s="149">
        <f>'Statement Y'!E119</f>
        <v>11777</v>
      </c>
      <c r="F81" s="149">
        <f>'Statement Y'!F119</f>
        <v>11839</v>
      </c>
      <c r="G81" s="149">
        <f>'Statement Y'!G119</f>
        <v>6707</v>
      </c>
      <c r="H81" s="149">
        <f>'Statement Y'!H119</f>
        <v>7116</v>
      </c>
      <c r="I81" s="149">
        <f>'Statement Y'!I119</f>
        <v>3099</v>
      </c>
      <c r="J81" s="149">
        <f>'Statement Y'!J119</f>
        <v>8527</v>
      </c>
      <c r="K81" s="149">
        <f>'Statement Y'!K119</f>
        <v>7849</v>
      </c>
      <c r="L81" s="149">
        <f>'Statement Y'!L119</f>
        <v>7843</v>
      </c>
      <c r="N81" s="149">
        <f>'Statement Q'!C119</f>
        <v>7770</v>
      </c>
      <c r="O81" s="149">
        <f>'Statement Q'!D119</f>
        <v>7849</v>
      </c>
      <c r="P81" s="149">
        <f>'Statement Q'!E119</f>
        <v>8713</v>
      </c>
      <c r="Q81" s="149">
        <f>'Statement Q'!F119</f>
        <v>7203</v>
      </c>
      <c r="R81" s="149">
        <f>'Statement Q'!G119</f>
        <v>7771</v>
      </c>
      <c r="S81" s="149">
        <f>'Statement Q'!H119</f>
        <v>7843</v>
      </c>
      <c r="T81" s="149">
        <f>'Statement Q'!I119</f>
        <v>7205</v>
      </c>
      <c r="U81" s="149">
        <f>'Statement Q'!J119</f>
        <v>5435</v>
      </c>
      <c r="W81" s="149">
        <f>U81</f>
        <v>5435</v>
      </c>
    </row>
    <row r="83" spans="2:23" ht="17" thickBot="1" x14ac:dyDescent="0.25">
      <c r="B83" s="15" t="s">
        <v>227</v>
      </c>
      <c r="C83" s="151"/>
      <c r="D83" s="151"/>
      <c r="E83" s="151"/>
      <c r="F83" s="151"/>
      <c r="G83" s="151"/>
      <c r="H83" s="151"/>
      <c r="I83" s="151"/>
      <c r="J83" s="151"/>
      <c r="K83" s="151"/>
      <c r="L83" s="151"/>
      <c r="N83" s="151"/>
      <c r="O83" s="151"/>
      <c r="P83" s="151"/>
      <c r="Q83" s="151"/>
      <c r="R83" s="151"/>
      <c r="S83" s="151"/>
      <c r="T83" s="151"/>
      <c r="U83" s="151"/>
      <c r="W83" s="151"/>
    </row>
    <row r="84" spans="2:23" x14ac:dyDescent="0.2">
      <c r="B84" s="9" t="s">
        <v>230</v>
      </c>
      <c r="C84" s="141">
        <f>C18/C5</f>
        <v>0.24208202428462258</v>
      </c>
      <c r="D84" s="141">
        <f t="shared" ref="D84:L84" si="13">D18/D5</f>
        <v>0.11058274639989234</v>
      </c>
      <c r="E84" s="141">
        <f t="shared" si="13"/>
        <v>-0.21397149392926271</v>
      </c>
      <c r="F84" s="141">
        <f t="shared" si="13"/>
        <v>0.18069459893709058</v>
      </c>
      <c r="G84" s="141">
        <f t="shared" si="13"/>
        <v>0.22090008924397603</v>
      </c>
      <c r="H84" s="141">
        <f t="shared" si="13"/>
        <v>0.2694095215396532</v>
      </c>
      <c r="I84" s="141">
        <f t="shared" si="13"/>
        <v>0.29380090497737554</v>
      </c>
      <c r="J84" s="141">
        <f t="shared" si="13"/>
        <v>0.2048855388051368</v>
      </c>
      <c r="K84" s="141">
        <f t="shared" si="13"/>
        <v>0.25948359940454802</v>
      </c>
      <c r="L84" s="141">
        <f t="shared" si="13"/>
        <v>0.23936410441694517</v>
      </c>
      <c r="N84" s="155"/>
      <c r="O84" s="155"/>
      <c r="P84" s="155"/>
      <c r="Q84" s="155"/>
      <c r="R84" s="155"/>
      <c r="S84" s="155"/>
      <c r="T84" s="155"/>
      <c r="U84" s="155"/>
      <c r="W84" s="122">
        <f t="shared" ref="W84" si="14">W18/W5</f>
        <v>0.21613541338848177</v>
      </c>
    </row>
    <row r="85" spans="2:23" x14ac:dyDescent="0.2">
      <c r="B85" s="9" t="s">
        <v>231</v>
      </c>
      <c r="C85" s="153">
        <f>C5/C38</f>
        <v>0.44985580320479762</v>
      </c>
      <c r="D85" s="153">
        <f t="shared" ref="D85:L85" si="15">D5/D38</f>
        <v>0.34039336652108848</v>
      </c>
      <c r="E85" s="153">
        <f t="shared" si="15"/>
        <v>0.6954659487242244</v>
      </c>
      <c r="F85" s="153">
        <f t="shared" si="15"/>
        <v>0.7365051430652062</v>
      </c>
      <c r="G85" s="153">
        <f t="shared" si="15"/>
        <v>0.66109456649997189</v>
      </c>
      <c r="H85" s="153">
        <f t="shared" si="15"/>
        <v>0.81391852570320078</v>
      </c>
      <c r="I85" s="153">
        <f t="shared" si="15"/>
        <v>0.90178316399396086</v>
      </c>
      <c r="J85" s="153">
        <f t="shared" si="15"/>
        <v>0.70180250783699061</v>
      </c>
      <c r="K85" s="153">
        <f t="shared" si="15"/>
        <v>0.70642201834862384</v>
      </c>
      <c r="L85" s="153">
        <f t="shared" si="15"/>
        <v>0.88315417904792293</v>
      </c>
      <c r="N85" s="156"/>
      <c r="O85" s="156"/>
      <c r="P85" s="156"/>
      <c r="Q85" s="156"/>
      <c r="R85" s="156"/>
      <c r="S85" s="156"/>
      <c r="T85" s="156"/>
      <c r="U85" s="156"/>
      <c r="W85" s="154">
        <f t="shared" ref="W85" si="16">W5/W38</f>
        <v>0.77859843181181743</v>
      </c>
    </row>
    <row r="86" spans="2:23" x14ac:dyDescent="0.2">
      <c r="B86" s="11" t="s">
        <v>228</v>
      </c>
      <c r="C86" s="152">
        <f>C84*C85</f>
        <v>0.10890200347600222</v>
      </c>
      <c r="D86" s="152">
        <f t="shared" ref="D86:L86" si="17">D84*D85</f>
        <v>3.7641633326207131E-2</v>
      </c>
      <c r="E86" s="152">
        <f t="shared" si="17"/>
        <v>-0.14880988802545431</v>
      </c>
      <c r="F86" s="152">
        <f t="shared" si="17"/>
        <v>0.13308250144127196</v>
      </c>
      <c r="G86" s="152">
        <f t="shared" si="17"/>
        <v>0.14603584873855144</v>
      </c>
      <c r="H86" s="152">
        <f t="shared" si="17"/>
        <v>0.21927740058195924</v>
      </c>
      <c r="I86" s="152">
        <f t="shared" si="17"/>
        <v>0.26494470967478678</v>
      </c>
      <c r="J86" s="152">
        <f t="shared" si="17"/>
        <v>0.14378918495297807</v>
      </c>
      <c r="K86" s="152">
        <f t="shared" si="17"/>
        <v>0.18330492801972659</v>
      </c>
      <c r="L86" s="152">
        <f t="shared" si="17"/>
        <v>0.21139540912988852</v>
      </c>
      <c r="N86" s="157"/>
      <c r="O86" s="157"/>
      <c r="P86" s="157"/>
      <c r="Q86" s="157"/>
      <c r="R86" s="157"/>
      <c r="S86" s="157"/>
      <c r="T86" s="157"/>
      <c r="U86" s="157"/>
      <c r="W86" s="152">
        <f t="shared" ref="W86" si="18">W84*W85</f>
        <v>0.1682826939232708</v>
      </c>
    </row>
    <row r="87" spans="2:23" x14ac:dyDescent="0.2">
      <c r="B87" s="9" t="s">
        <v>232</v>
      </c>
      <c r="C87" s="153">
        <f>C38/C56</f>
        <v>1.6476493171376423</v>
      </c>
      <c r="D87" s="153">
        <f t="shared" ref="D87:L87" si="19">D38/D56</f>
        <v>2.1299030768230014</v>
      </c>
      <c r="E87" s="153">
        <f t="shared" si="19"/>
        <v>35.22198275862069</v>
      </c>
      <c r="F87" s="153">
        <f t="shared" si="19"/>
        <v>6.7135872886534935</v>
      </c>
      <c r="G87" s="153">
        <f t="shared" si="19"/>
        <v>5.8571663649827217</v>
      </c>
      <c r="H87" s="153">
        <f t="shared" si="19"/>
        <v>4.1447236180904525</v>
      </c>
      <c r="I87" s="153">
        <f t="shared" si="19"/>
        <v>2.7210348081940818</v>
      </c>
      <c r="J87" s="153">
        <f t="shared" si="19"/>
        <v>2.3650433251471203</v>
      </c>
      <c r="K87" s="153">
        <f t="shared" si="19"/>
        <v>2.099185506584456</v>
      </c>
      <c r="L87" s="153">
        <f t="shared" si="19"/>
        <v>2.3645666320852587</v>
      </c>
      <c r="N87" s="158"/>
      <c r="O87" s="158"/>
      <c r="P87" s="158"/>
      <c r="Q87" s="158"/>
      <c r="R87" s="158"/>
      <c r="S87" s="158"/>
      <c r="T87" s="158"/>
      <c r="U87" s="158"/>
      <c r="W87" s="153">
        <f t="shared" ref="W87" si="20">W38/W56</f>
        <v>2.094581714201921</v>
      </c>
    </row>
    <row r="88" spans="2:23" x14ac:dyDescent="0.2">
      <c r="B88" s="11" t="s">
        <v>229</v>
      </c>
      <c r="C88" s="152">
        <f>C86*C87</f>
        <v>0.1794323116621562</v>
      </c>
      <c r="D88" s="152">
        <f t="shared" ref="D88:L88" si="21">D86*D87</f>
        <v>8.0173030638131804E-2</v>
      </c>
      <c r="E88" s="152">
        <f t="shared" si="21"/>
        <v>-5.2413793103448274</v>
      </c>
      <c r="F88" s="152">
        <f t="shared" si="21"/>
        <v>0.89346099001833368</v>
      </c>
      <c r="G88" s="152">
        <f t="shared" si="21"/>
        <v>0.8553562613131479</v>
      </c>
      <c r="H88" s="152">
        <f t="shared" si="21"/>
        <v>0.90884422110552765</v>
      </c>
      <c r="I88" s="152">
        <f t="shared" si="21"/>
        <v>0.7209237772719701</v>
      </c>
      <c r="J88" s="152">
        <f t="shared" si="21"/>
        <v>0.34006765210138556</v>
      </c>
      <c r="K88" s="152">
        <f t="shared" si="21"/>
        <v>0.38479104818451698</v>
      </c>
      <c r="L88" s="152">
        <f t="shared" si="21"/>
        <v>0.49985853060454588</v>
      </c>
      <c r="N88" s="157"/>
      <c r="O88" s="157"/>
      <c r="P88" s="157"/>
      <c r="Q88" s="157"/>
      <c r="R88" s="157"/>
      <c r="S88" s="157"/>
      <c r="T88" s="157"/>
      <c r="U88" s="157"/>
      <c r="W88" s="152">
        <f t="shared" ref="W88" si="22">W86*W87</f>
        <v>0.35248185350832173</v>
      </c>
    </row>
    <row r="90" spans="2:23" ht="17" thickBot="1" x14ac:dyDescent="0.25">
      <c r="B90" s="151" t="s">
        <v>233</v>
      </c>
      <c r="C90" s="151"/>
      <c r="D90" s="151"/>
      <c r="E90" s="151"/>
      <c r="F90" s="151"/>
      <c r="G90" s="151"/>
      <c r="H90" s="151"/>
      <c r="I90" s="151"/>
      <c r="J90" s="151"/>
      <c r="K90" s="151"/>
      <c r="L90" s="151"/>
      <c r="N90" s="151"/>
      <c r="O90" s="151"/>
      <c r="P90" s="151"/>
      <c r="Q90" s="151"/>
      <c r="R90" s="151"/>
      <c r="S90" s="151"/>
      <c r="T90" s="151"/>
      <c r="U90" s="151"/>
      <c r="W90" s="151"/>
    </row>
    <row r="91" spans="2:23" x14ac:dyDescent="0.2">
      <c r="B91" s="11" t="s">
        <v>20</v>
      </c>
      <c r="C91" s="156"/>
      <c r="D91" s="152">
        <f>(D5-C5)/C5</f>
        <v>-5.3621465568480936E-2</v>
      </c>
      <c r="E91" s="152">
        <f t="shared" ref="E91:L91" si="23">(E5-D5)/D5</f>
        <v>1.9783769234220087E-2</v>
      </c>
      <c r="F91" s="152">
        <f t="shared" si="23"/>
        <v>6.7789899700862216E-2</v>
      </c>
      <c r="G91" s="152">
        <f t="shared" si="23"/>
        <v>-3.0568944918221892E-2</v>
      </c>
      <c r="H91" s="152">
        <f t="shared" si="23"/>
        <v>0.42645871403680252</v>
      </c>
      <c r="I91" s="152">
        <f t="shared" si="23"/>
        <v>0.31680867544539115</v>
      </c>
      <c r="J91" s="152">
        <f t="shared" si="23"/>
        <v>-0.18959276018099547</v>
      </c>
      <c r="K91" s="152">
        <f t="shared" si="23"/>
        <v>8.7716359575656058E-2</v>
      </c>
      <c r="L91" s="152">
        <f t="shared" si="23"/>
        <v>0.1365946306657769</v>
      </c>
      <c r="N91" s="156"/>
      <c r="O91" s="152">
        <f t="shared" ref="O91:U91" si="24">(O5-N5)/N5</f>
        <v>9.0599382518897056E-2</v>
      </c>
      <c r="P91" s="152">
        <f t="shared" si="24"/>
        <v>0.13910581803982819</v>
      </c>
      <c r="Q91" s="152">
        <f t="shared" si="24"/>
        <v>-5.9131030936669812E-2</v>
      </c>
      <c r="R91" s="152">
        <f t="shared" si="24"/>
        <v>-5.592494762728846E-2</v>
      </c>
      <c r="S91" s="152">
        <f t="shared" si="24"/>
        <v>8.7313072841292819E-2</v>
      </c>
      <c r="T91" s="152">
        <f t="shared" si="24"/>
        <v>8.7133984028393965E-2</v>
      </c>
      <c r="U91" s="152">
        <f t="shared" si="24"/>
        <v>-0.13491674828599412</v>
      </c>
      <c r="W91" s="158"/>
    </row>
    <row r="92" spans="2:23" x14ac:dyDescent="0.2">
      <c r="B92" s="9" t="s">
        <v>21</v>
      </c>
      <c r="C92" s="156"/>
      <c r="D92" s="141">
        <f>(D6-C6)/C6</f>
        <v>4.4107087906451944E-3</v>
      </c>
      <c r="E92" s="141">
        <f t="shared" ref="E92:L92" si="25">(E6-D6)/D6</f>
        <v>4.6160130718954251E-2</v>
      </c>
      <c r="F92" s="141">
        <f t="shared" si="25"/>
        <v>-0.16058180398281921</v>
      </c>
      <c r="G92" s="141">
        <f t="shared" si="25"/>
        <v>7.6287940458192816E-2</v>
      </c>
      <c r="H92" s="141">
        <f t="shared" si="25"/>
        <v>0.5410048622366288</v>
      </c>
      <c r="I92" s="141">
        <f t="shared" si="25"/>
        <v>0.30661898751928202</v>
      </c>
      <c r="J92" s="141">
        <f t="shared" si="25"/>
        <v>-0.14843037295411859</v>
      </c>
      <c r="K92" s="141">
        <f t="shared" si="25"/>
        <v>7.5051988153002708E-2</v>
      </c>
      <c r="L92" s="141">
        <f t="shared" si="25"/>
        <v>0.15697538100820632</v>
      </c>
      <c r="N92" s="156"/>
      <c r="O92" s="141">
        <f t="shared" ref="O92:U92" si="26">(O6-N6)/N6</f>
        <v>7.0196454240536652E-2</v>
      </c>
      <c r="P92" s="141">
        <f t="shared" si="26"/>
        <v>0.1553615401835684</v>
      </c>
      <c r="Q92" s="141">
        <f t="shared" si="26"/>
        <v>-4.3402441387328038E-2</v>
      </c>
      <c r="R92" s="141">
        <f t="shared" si="26"/>
        <v>-6.7044764026736883E-2</v>
      </c>
      <c r="S92" s="141">
        <f t="shared" si="26"/>
        <v>9.2705167173252279E-2</v>
      </c>
      <c r="T92" s="141">
        <f t="shared" si="26"/>
        <v>0.10629843035962647</v>
      </c>
      <c r="U92" s="141">
        <f t="shared" si="26"/>
        <v>-0.11997126436781609</v>
      </c>
      <c r="W92" s="158"/>
    </row>
    <row r="93" spans="2:23" x14ac:dyDescent="0.2">
      <c r="B93" s="11" t="s">
        <v>22</v>
      </c>
      <c r="C93" s="156"/>
      <c r="D93" s="152">
        <f>(D7-C7)/C7</f>
        <v>-9.460340456356392E-2</v>
      </c>
      <c r="E93" s="152">
        <f t="shared" ref="E93:L93" si="27">(E7-D7)/D7</f>
        <v>-8.8007040563245064E-4</v>
      </c>
      <c r="F93" s="152">
        <f t="shared" si="27"/>
        <v>0.25512491992312619</v>
      </c>
      <c r="G93" s="152">
        <f t="shared" si="27"/>
        <v>-8.9192292969248438E-2</v>
      </c>
      <c r="H93" s="152">
        <f t="shared" si="27"/>
        <v>0.35219949565704678</v>
      </c>
      <c r="I93" s="152">
        <f t="shared" si="27"/>
        <v>0.32433692498963945</v>
      </c>
      <c r="J93" s="152">
        <f t="shared" si="27"/>
        <v>-0.21959710541756308</v>
      </c>
      <c r="K93" s="152">
        <f t="shared" si="27"/>
        <v>9.7789584481980857E-2</v>
      </c>
      <c r="L93" s="152">
        <f t="shared" si="27"/>
        <v>0.12071956898913341</v>
      </c>
      <c r="N93" s="156"/>
      <c r="O93" s="152">
        <f t="shared" ref="O93:U93" si="28">(O7-N7)/N7</f>
        <v>0.10691703391454302</v>
      </c>
      <c r="P93" s="152">
        <f t="shared" si="28"/>
        <v>0.12653626449714384</v>
      </c>
      <c r="Q93" s="152">
        <f t="shared" si="28"/>
        <v>-7.1604179471419796E-2</v>
      </c>
      <c r="R93" s="152">
        <f t="shared" si="28"/>
        <v>-4.6838795100959944E-2</v>
      </c>
      <c r="S93" s="152">
        <f t="shared" si="28"/>
        <v>8.3000520923771484E-2</v>
      </c>
      <c r="T93" s="152">
        <f t="shared" si="28"/>
        <v>7.1669071669071674E-2</v>
      </c>
      <c r="U93" s="152">
        <f t="shared" si="28"/>
        <v>-0.1473668461998803</v>
      </c>
      <c r="W93" s="158"/>
    </row>
    <row r="94" spans="2:23" x14ac:dyDescent="0.2">
      <c r="B94" s="12" t="s">
        <v>26</v>
      </c>
      <c r="C94" s="156"/>
      <c r="D94" s="141">
        <f>(D11-C11)/C11</f>
        <v>0.35225718194254446</v>
      </c>
      <c r="E94" s="141">
        <f t="shared" ref="E94:L94" si="29">(E11-D11)/D11</f>
        <v>0.18826504805260497</v>
      </c>
      <c r="F94" s="141">
        <f t="shared" si="29"/>
        <v>-0.31832113059765027</v>
      </c>
      <c r="G94" s="141">
        <f t="shared" si="29"/>
        <v>1.7484700886724117E-3</v>
      </c>
      <c r="H94" s="141">
        <f t="shared" si="29"/>
        <v>0.18626106470514897</v>
      </c>
      <c r="I94" s="141">
        <f t="shared" si="29"/>
        <v>1.9968470835522858E-2</v>
      </c>
      <c r="J94" s="141">
        <f t="shared" si="29"/>
        <v>0.2532715095311695</v>
      </c>
      <c r="K94" s="141">
        <f t="shared" si="29"/>
        <v>-2.72958973937351E-2</v>
      </c>
      <c r="L94" s="141">
        <f t="shared" si="29"/>
        <v>3.0428535204124758E-2</v>
      </c>
      <c r="N94" s="156"/>
      <c r="O94" s="141">
        <f t="shared" ref="O94:U94" si="30">(O11-N11)/N11</f>
        <v>6.6044029352901934E-2</v>
      </c>
      <c r="P94" s="141">
        <f t="shared" si="30"/>
        <v>-7.6032540675844806E-2</v>
      </c>
      <c r="Q94" s="141">
        <f t="shared" si="30"/>
        <v>-1.0497798848628514E-2</v>
      </c>
      <c r="R94" s="141">
        <f t="shared" si="30"/>
        <v>2.5667351129363448E-2</v>
      </c>
      <c r="S94" s="141">
        <f t="shared" si="30"/>
        <v>0.10744077410744077</v>
      </c>
      <c r="T94" s="141">
        <f t="shared" si="30"/>
        <v>-3.0129557095510696E-4</v>
      </c>
      <c r="U94" s="141">
        <f t="shared" si="30"/>
        <v>2.1699819168173599E-2</v>
      </c>
      <c r="W94" s="158"/>
    </row>
    <row r="95" spans="2:23" x14ac:dyDescent="0.2">
      <c r="B95" s="11" t="s">
        <v>27</v>
      </c>
      <c r="C95" s="156"/>
      <c r="D95" s="152">
        <f>(D12-C12)/C12</f>
        <v>-0.59753656658968435</v>
      </c>
      <c r="E95" s="152">
        <f t="shared" ref="E95:L95" si="31">(E12-D12)/D12</f>
        <v>-0.71614384085692429</v>
      </c>
      <c r="F95" s="152">
        <f t="shared" si="31"/>
        <v>9.3328840970350413</v>
      </c>
      <c r="G95" s="152">
        <f t="shared" si="31"/>
        <v>-0.1841659058301813</v>
      </c>
      <c r="H95" s="152">
        <f t="shared" si="31"/>
        <v>0.56498800959232609</v>
      </c>
      <c r="I95" s="152">
        <f t="shared" si="31"/>
        <v>0.6201859229747676</v>
      </c>
      <c r="J95" s="152">
        <f t="shared" si="31"/>
        <v>-0.50895334174022699</v>
      </c>
      <c r="K95" s="152">
        <f t="shared" si="31"/>
        <v>0.29314329738058553</v>
      </c>
      <c r="L95" s="152">
        <f t="shared" si="31"/>
        <v>0.22678979247343858</v>
      </c>
      <c r="N95" s="156"/>
      <c r="O95" s="152">
        <f t="shared" ref="O95:U95" si="32">(O12-N12)/N12</f>
        <v>0.16208914903196758</v>
      </c>
      <c r="P95" s="152">
        <f t="shared" si="32"/>
        <v>0.3773731111972104</v>
      </c>
      <c r="Q95" s="152">
        <f t="shared" si="32"/>
        <v>-0.12236286919831224</v>
      </c>
      <c r="R95" s="152">
        <f t="shared" si="32"/>
        <v>-0.11474358974358974</v>
      </c>
      <c r="S95" s="152">
        <f t="shared" si="32"/>
        <v>5.6480811006517015E-2</v>
      </c>
      <c r="T95" s="152">
        <f t="shared" si="32"/>
        <v>0.15352981494174092</v>
      </c>
      <c r="U95" s="152">
        <f t="shared" si="32"/>
        <v>-0.31402257872846107</v>
      </c>
      <c r="W95" s="158"/>
    </row>
    <row r="96" spans="2:23" x14ac:dyDescent="0.2">
      <c r="B96" s="11" t="s">
        <v>28</v>
      </c>
      <c r="C96" s="156"/>
      <c r="D96" s="152">
        <f>(D16-C16)/C16</f>
        <v>-0.55802722084004097</v>
      </c>
      <c r="E96" s="152">
        <f t="shared" ref="E96:L96" si="33">(E16-D16)/D16</f>
        <v>-0.83013245033112582</v>
      </c>
      <c r="F96" s="152">
        <f t="shared" si="33"/>
        <v>13.582846003898636</v>
      </c>
      <c r="G96" s="152">
        <f t="shared" si="33"/>
        <v>-0.23553000935703783</v>
      </c>
      <c r="H96" s="152">
        <f t="shared" si="33"/>
        <v>0.79646791397097394</v>
      </c>
      <c r="I96" s="152">
        <f t="shared" si="33"/>
        <v>0.4598014405294919</v>
      </c>
      <c r="J96" s="152">
        <f t="shared" si="33"/>
        <v>-0.50373383117749038</v>
      </c>
      <c r="K96" s="152">
        <f t="shared" si="33"/>
        <v>0.38868735724842135</v>
      </c>
      <c r="L96" s="152">
        <f t="shared" si="33"/>
        <v>0.22513544891640866</v>
      </c>
      <c r="N96" s="156"/>
      <c r="O96" s="152">
        <f t="shared" ref="O96:U96" si="34">(O16-N16)/N16</f>
        <v>0.13953488372093023</v>
      </c>
      <c r="P96" s="152">
        <f t="shared" si="34"/>
        <v>0.39969195225259913</v>
      </c>
      <c r="Q96" s="152">
        <f t="shared" si="34"/>
        <v>-0.14580467675378267</v>
      </c>
      <c r="R96" s="152">
        <f t="shared" si="34"/>
        <v>-4.9275362318840582E-2</v>
      </c>
      <c r="S96" s="152">
        <f t="shared" si="34"/>
        <v>6.4363143631436318E-3</v>
      </c>
      <c r="T96" s="152">
        <f t="shared" si="34"/>
        <v>0.19387411645910468</v>
      </c>
      <c r="U96" s="152">
        <f t="shared" si="34"/>
        <v>-0.37073583309839303</v>
      </c>
      <c r="W96" s="158"/>
    </row>
    <row r="97" spans="2:23" x14ac:dyDescent="0.2">
      <c r="B97" s="11" t="s">
        <v>30</v>
      </c>
      <c r="C97" s="156"/>
      <c r="D97" s="152">
        <f>(D18-C18)/C18</f>
        <v>-0.56769554542265876</v>
      </c>
      <c r="E97" s="152">
        <f t="shared" ref="E97:L97" si="35">(E18-D18)/D18</f>
        <v>-2.9732251521298174</v>
      </c>
      <c r="F97" s="152">
        <f t="shared" si="35"/>
        <v>-1.9017269736842106</v>
      </c>
      <c r="G97" s="152">
        <f t="shared" si="35"/>
        <v>0.18513451892384861</v>
      </c>
      <c r="H97" s="152">
        <f t="shared" si="35"/>
        <v>0.73970757983839941</v>
      </c>
      <c r="I97" s="152">
        <f t="shared" si="35"/>
        <v>0.43602786685834349</v>
      </c>
      <c r="J97" s="152">
        <f t="shared" si="35"/>
        <v>-0.43485291852764518</v>
      </c>
      <c r="K97" s="152">
        <f t="shared" si="35"/>
        <v>0.377571876277422</v>
      </c>
      <c r="L97" s="152">
        <f t="shared" si="35"/>
        <v>4.8466864490603362E-2</v>
      </c>
      <c r="N97" s="156"/>
      <c r="O97" s="152">
        <f t="shared" ref="O97:U97" si="36">(O18-N18)/N18</f>
        <v>0.38282732447817835</v>
      </c>
      <c r="P97" s="152">
        <f t="shared" si="36"/>
        <v>9.0909090909090912E-2</v>
      </c>
      <c r="Q97" s="152">
        <f t="shared" si="36"/>
        <v>-0.11572327044025157</v>
      </c>
      <c r="R97" s="152">
        <f t="shared" si="36"/>
        <v>-5.1920341394025606E-2</v>
      </c>
      <c r="S97" s="152">
        <f t="shared" si="36"/>
        <v>-5.5888972243060768E-2</v>
      </c>
      <c r="T97" s="152">
        <f t="shared" si="36"/>
        <v>7.270560190703218E-2</v>
      </c>
      <c r="U97" s="152">
        <f t="shared" si="36"/>
        <v>-0.35851851851851851</v>
      </c>
      <c r="W97" s="158"/>
    </row>
    <row r="98" spans="2:23" x14ac:dyDescent="0.2">
      <c r="B98" s="12" t="s">
        <v>34</v>
      </c>
      <c r="C98" s="156"/>
      <c r="D98" s="141">
        <f>(D19-C19)/C19</f>
        <v>-5.3404539385847796E-3</v>
      </c>
      <c r="E98" s="141">
        <f t="shared" ref="E98:L98" si="37">(E19-D19)/D19</f>
        <v>-1.8120805369127517E-2</v>
      </c>
      <c r="F98" s="141">
        <f t="shared" si="37"/>
        <v>-0.16609706083390294</v>
      </c>
      <c r="G98" s="141">
        <f t="shared" si="37"/>
        <v>-5.8196721311475408E-2</v>
      </c>
      <c r="H98" s="141">
        <f t="shared" si="37"/>
        <v>0</v>
      </c>
      <c r="I98" s="141">
        <f t="shared" si="37"/>
        <v>-1.0443864229765013E-2</v>
      </c>
      <c r="J98" s="141">
        <f t="shared" si="37"/>
        <v>-9.6745822339489879E-3</v>
      </c>
      <c r="K98" s="141">
        <f t="shared" si="37"/>
        <v>3.552397868561279E-3</v>
      </c>
      <c r="L98" s="141">
        <f t="shared" si="37"/>
        <v>-2.2123893805309734E-2</v>
      </c>
      <c r="N98" s="156"/>
      <c r="O98" s="141">
        <f t="shared" ref="O98:U98" si="38">(O19-N19)/N19</f>
        <v>-4.4091710758377423E-3</v>
      </c>
      <c r="P98" s="141">
        <f t="shared" si="38"/>
        <v>-6.2001771479185119E-3</v>
      </c>
      <c r="Q98" s="141">
        <f t="shared" si="38"/>
        <v>-6.2388591800356507E-3</v>
      </c>
      <c r="R98" s="141">
        <f t="shared" si="38"/>
        <v>-1.4349775784753363E-2</v>
      </c>
      <c r="S98" s="141">
        <f t="shared" si="38"/>
        <v>-1.9108280254777069E-2</v>
      </c>
      <c r="T98" s="141">
        <f t="shared" si="38"/>
        <v>9.2764378478664194E-4</v>
      </c>
      <c r="U98" s="141">
        <f t="shared" si="38"/>
        <v>-6.4874884151992582E-3</v>
      </c>
      <c r="W98" s="158"/>
    </row>
    <row r="99" spans="2:23" x14ac:dyDescent="0.2">
      <c r="B99" s="12" t="s">
        <v>36</v>
      </c>
      <c r="C99" s="156"/>
      <c r="D99" s="141">
        <f>(D20-C20)/C20</f>
        <v>-0.56537444767996159</v>
      </c>
      <c r="E99" s="141">
        <f t="shared" ref="E99:L99" si="39">(E20-D20)/D20</f>
        <v>-3.0096414741445172</v>
      </c>
      <c r="F99" s="141">
        <f t="shared" si="39"/>
        <v>-2.0813332479508193</v>
      </c>
      <c r="G99" s="141">
        <f t="shared" si="39"/>
        <v>0.2583673743142692</v>
      </c>
      <c r="H99" s="141">
        <f t="shared" si="39"/>
        <v>0.7397075798383993</v>
      </c>
      <c r="I99" s="141">
        <f t="shared" si="39"/>
        <v>0.45118383379088539</v>
      </c>
      <c r="J99" s="141">
        <f t="shared" si="39"/>
        <v>-0.42933194348661863</v>
      </c>
      <c r="K99" s="141">
        <f t="shared" si="39"/>
        <v>0.37269551565343123</v>
      </c>
      <c r="L99" s="141">
        <f t="shared" si="39"/>
        <v>7.2187834275458565E-2</v>
      </c>
      <c r="N99" s="156"/>
      <c r="O99" s="141">
        <f t="shared" ref="O99:U99" si="40">(O20-N20)/N20</f>
        <v>0.3889514490329975</v>
      </c>
      <c r="P99" s="141">
        <f t="shared" si="40"/>
        <v>9.7715119105493423E-2</v>
      </c>
      <c r="Q99" s="141">
        <f t="shared" si="40"/>
        <v>-0.11017175733987643</v>
      </c>
      <c r="R99" s="141">
        <f t="shared" si="40"/>
        <v>-3.8117543816504625E-2</v>
      </c>
      <c r="S99" s="141">
        <f t="shared" si="40"/>
        <v>-3.7497198975068327E-2</v>
      </c>
      <c r="T99" s="141">
        <f t="shared" si="40"/>
        <v>7.1711435454847608E-2</v>
      </c>
      <c r="U99" s="141">
        <f t="shared" si="40"/>
        <v>-0.3543297401879491</v>
      </c>
      <c r="W99" s="158"/>
    </row>
    <row r="101" spans="2:23" ht="17" thickBot="1" x14ac:dyDescent="0.25">
      <c r="B101" s="15" t="s">
        <v>168</v>
      </c>
      <c r="C101" s="14"/>
      <c r="D101" s="14"/>
      <c r="E101" s="14"/>
      <c r="F101" s="14"/>
      <c r="G101" s="14"/>
      <c r="H101" s="14"/>
      <c r="I101" s="14"/>
      <c r="J101" s="14"/>
      <c r="K101" s="14"/>
      <c r="L101" s="14"/>
      <c r="N101" s="14"/>
      <c r="O101" s="14"/>
      <c r="P101" s="14"/>
      <c r="Q101" s="14"/>
      <c r="R101" s="14"/>
      <c r="S101" s="14"/>
      <c r="T101" s="14"/>
      <c r="U101" s="14"/>
      <c r="W101" s="151"/>
    </row>
    <row r="102" spans="2:23" x14ac:dyDescent="0.2">
      <c r="B102" s="9" t="s">
        <v>169</v>
      </c>
      <c r="C102" s="82">
        <f>C7/C5</f>
        <v>0.58610002547338036</v>
      </c>
      <c r="D102" s="82">
        <f t="shared" ref="D102:L102" si="41">D7/D5</f>
        <v>0.56071957292180696</v>
      </c>
      <c r="E102" s="82">
        <f t="shared" si="41"/>
        <v>0.54935773359141293</v>
      </c>
      <c r="F102" s="82">
        <f t="shared" si="41"/>
        <v>0.64573806286820745</v>
      </c>
      <c r="G102" s="82">
        <f t="shared" si="41"/>
        <v>0.606689048489227</v>
      </c>
      <c r="H102" s="82">
        <f t="shared" si="41"/>
        <v>0.57510576178275641</v>
      </c>
      <c r="I102" s="82">
        <f t="shared" si="41"/>
        <v>0.5783936651583711</v>
      </c>
      <c r="J102" s="82">
        <f t="shared" si="41"/>
        <v>0.55697934115019543</v>
      </c>
      <c r="K102" s="82">
        <f t="shared" si="41"/>
        <v>0.56213746727580716</v>
      </c>
      <c r="L102" s="82">
        <f t="shared" si="41"/>
        <v>0.55428597236022037</v>
      </c>
      <c r="N102" s="82">
        <f t="shared" ref="N102:U102" si="42">N7/N5</f>
        <v>0.555626530394975</v>
      </c>
      <c r="O102" s="82">
        <f t="shared" si="42"/>
        <v>0.56393986723935963</v>
      </c>
      <c r="P102" s="82">
        <f t="shared" si="42"/>
        <v>0.55771702802296685</v>
      </c>
      <c r="Q102" s="82">
        <f t="shared" si="42"/>
        <v>0.55032334456690046</v>
      </c>
      <c r="R102" s="82">
        <f t="shared" si="42"/>
        <v>0.5556198745779064</v>
      </c>
      <c r="S102" s="82">
        <f t="shared" si="42"/>
        <v>0.55341614906832293</v>
      </c>
      <c r="T102" s="82">
        <f t="shared" si="42"/>
        <v>0.54554358472086195</v>
      </c>
      <c r="U102" s="82">
        <f t="shared" si="42"/>
        <v>0.53769223511652042</v>
      </c>
      <c r="W102" s="82">
        <f t="shared" ref="W102" si="43">W7/W5</f>
        <v>0.54801510587600588</v>
      </c>
    </row>
    <row r="103" spans="2:23" x14ac:dyDescent="0.2">
      <c r="B103" s="9" t="s">
        <v>170</v>
      </c>
      <c r="C103" s="82">
        <f>C12/C5</f>
        <v>0.27574934193767514</v>
      </c>
      <c r="D103" s="82">
        <f t="shared" ref="D103:L103" si="44">D12/D5</f>
        <v>0.11726705845408461</v>
      </c>
      <c r="E103" s="82">
        <f t="shared" si="44"/>
        <v>3.2641210628189338E-2</v>
      </c>
      <c r="F103" s="82">
        <f t="shared" si="44"/>
        <v>0.31586536480863509</v>
      </c>
      <c r="G103" s="82">
        <f t="shared" si="44"/>
        <v>0.26581955717989036</v>
      </c>
      <c r="H103" s="82">
        <f t="shared" si="44"/>
        <v>0.2916343919442293</v>
      </c>
      <c r="I103" s="82">
        <f t="shared" si="44"/>
        <v>0.35882352941176471</v>
      </c>
      <c r="J103" s="82">
        <f t="shared" si="44"/>
        <v>0.21742043551088777</v>
      </c>
      <c r="K103" s="82">
        <f t="shared" si="44"/>
        <v>0.25848262409527234</v>
      </c>
      <c r="L103" s="82">
        <f t="shared" si="44"/>
        <v>0.27899467076144885</v>
      </c>
      <c r="N103" s="82">
        <f t="shared" ref="N103:U103" si="45">N12/N5</f>
        <v>0.23645267752581708</v>
      </c>
      <c r="O103" s="82">
        <f t="shared" si="45"/>
        <v>0.25195236235845375</v>
      </c>
      <c r="P103" s="82">
        <f t="shared" si="45"/>
        <v>0.30465335504327706</v>
      </c>
      <c r="Q103" s="82">
        <f t="shared" si="45"/>
        <v>0.28417888696602606</v>
      </c>
      <c r="R103" s="82">
        <f t="shared" si="45"/>
        <v>0.26647370959961408</v>
      </c>
      <c r="S103" s="82">
        <f t="shared" si="45"/>
        <v>0.25891748003549248</v>
      </c>
      <c r="T103" s="82">
        <f t="shared" si="45"/>
        <v>0.27473065621939274</v>
      </c>
      <c r="U103" s="82">
        <f t="shared" si="45"/>
        <v>0.21785074063590903</v>
      </c>
      <c r="W103" s="82">
        <f t="shared" ref="W103" si="46">W12/W5</f>
        <v>0.25524884233241918</v>
      </c>
    </row>
    <row r="104" spans="2:23" x14ac:dyDescent="0.2">
      <c r="B104" s="9" t="s">
        <v>171</v>
      </c>
      <c r="C104" s="161">
        <f>C18/C5</f>
        <v>0.24208202428462258</v>
      </c>
      <c r="D104" s="161">
        <f t="shared" ref="D104:L104" si="47">D18/D5</f>
        <v>0.11058274639989234</v>
      </c>
      <c r="E104" s="161">
        <f t="shared" si="47"/>
        <v>-0.21397149392926271</v>
      </c>
      <c r="F104" s="161">
        <f t="shared" si="47"/>
        <v>0.18069459893709058</v>
      </c>
      <c r="G104" s="161">
        <f t="shared" si="47"/>
        <v>0.22090008924397603</v>
      </c>
      <c r="H104" s="161">
        <f t="shared" si="47"/>
        <v>0.2694095215396532</v>
      </c>
      <c r="I104" s="161">
        <f t="shared" si="47"/>
        <v>0.29380090497737554</v>
      </c>
      <c r="J104" s="161">
        <f t="shared" si="47"/>
        <v>0.2048855388051368</v>
      </c>
      <c r="K104" s="161">
        <f t="shared" si="47"/>
        <v>0.25948359940454802</v>
      </c>
      <c r="L104" s="161">
        <f t="shared" si="47"/>
        <v>0.23936410441694517</v>
      </c>
      <c r="N104" s="161">
        <f t="shared" ref="N104:U104" si="48">N18/N5</f>
        <v>0.22442244224422442</v>
      </c>
      <c r="O104" s="161">
        <f t="shared" si="48"/>
        <v>0.28455681374463099</v>
      </c>
      <c r="P104" s="161">
        <f t="shared" si="48"/>
        <v>0.27251692518639131</v>
      </c>
      <c r="Q104" s="161">
        <f t="shared" si="48"/>
        <v>0.25612533017579014</v>
      </c>
      <c r="R104" s="161">
        <f t="shared" si="48"/>
        <v>0.25721177038109022</v>
      </c>
      <c r="S104" s="161">
        <f t="shared" si="48"/>
        <v>0.22333629103815439</v>
      </c>
      <c r="T104" s="161">
        <f t="shared" si="48"/>
        <v>0.22037218413320275</v>
      </c>
      <c r="U104" s="161">
        <f t="shared" si="48"/>
        <v>0.1634116426077932</v>
      </c>
      <c r="W104" s="161">
        <f t="shared" ref="W104" si="49">W18/W5</f>
        <v>0.21613541338848177</v>
      </c>
    </row>
  </sheetData>
  <pageMargins left="0.7" right="0.7" top="0.75" bottom="0.75" header="0.3" footer="0.3"/>
  <ignoredErrors>
    <ignoredError sqref="C68:L68 N68:U68" formulaRange="1"/>
    <ignoredError sqref="C87:L87 W87" formula="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62CAF-B75C-7949-8AAF-2AA76DFE38AD}">
  <sheetPr>
    <tabColor theme="6" tint="0.59999389629810485"/>
  </sheetPr>
  <dimension ref="B13"/>
  <sheetViews>
    <sheetView topLeftCell="A6" workbookViewId="0">
      <selection activeCell="I18" sqref="I18"/>
    </sheetView>
  </sheetViews>
  <sheetFormatPr baseColWidth="10" defaultRowHeight="16" x14ac:dyDescent="0.2"/>
  <cols>
    <col min="1" max="16384" width="10.83203125" style="1"/>
  </cols>
  <sheetData>
    <row r="13" spans="2:2" s="167" customFormat="1" ht="49" x14ac:dyDescent="0.2">
      <c r="B13" s="166" t="s">
        <v>276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8AC82-8384-BF4A-AA47-C37A23D5882C}">
  <dimension ref="A1:AE21"/>
  <sheetViews>
    <sheetView topLeftCell="H1" zoomScale="163" zoomScaleNormal="75" workbookViewId="0">
      <selection activeCell="N6" sqref="N6:N9"/>
    </sheetView>
  </sheetViews>
  <sheetFormatPr baseColWidth="10" defaultRowHeight="16" x14ac:dyDescent="0.2"/>
  <cols>
    <col min="1" max="1" width="2" style="16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277</v>
      </c>
      <c r="O1" s="170"/>
    </row>
    <row r="2" spans="1:31" x14ac:dyDescent="0.2">
      <c r="A2" s="167"/>
      <c r="C2" s="242" t="s">
        <v>176</v>
      </c>
      <c r="D2" s="242"/>
      <c r="E2" s="242"/>
      <c r="F2" s="242"/>
      <c r="G2" s="249"/>
      <c r="H2" s="250" t="s">
        <v>177</v>
      </c>
      <c r="I2" s="242"/>
      <c r="J2" s="242"/>
      <c r="K2" s="242"/>
      <c r="L2" s="242"/>
      <c r="O2" s="120"/>
      <c r="S2" s="242" t="s">
        <v>176</v>
      </c>
      <c r="T2" s="242"/>
      <c r="U2" s="242"/>
      <c r="V2" s="242"/>
      <c r="W2" s="242"/>
      <c r="X2" s="242"/>
      <c r="Y2" s="242"/>
      <c r="Z2" s="242"/>
      <c r="AA2" s="242" t="s">
        <v>177</v>
      </c>
      <c r="AB2" s="242"/>
      <c r="AC2" s="242"/>
      <c r="AE2" s="171" t="s">
        <v>154</v>
      </c>
    </row>
    <row r="3" spans="1:31" ht="10" customHeight="1" x14ac:dyDescent="0.2">
      <c r="O3" s="120"/>
    </row>
    <row r="4" spans="1:31" ht="16" customHeight="1" x14ac:dyDescent="0.2">
      <c r="A4" s="172"/>
      <c r="B4" s="173"/>
      <c r="C4" s="246" t="s">
        <v>178</v>
      </c>
      <c r="D4" s="246"/>
      <c r="E4" s="246"/>
      <c r="F4" s="246"/>
      <c r="G4" s="246"/>
      <c r="H4" s="246"/>
      <c r="I4" s="246"/>
      <c r="J4" s="246"/>
      <c r="K4" s="246"/>
      <c r="L4" s="246"/>
      <c r="O4" s="120"/>
      <c r="S4" s="247" t="s">
        <v>178</v>
      </c>
      <c r="T4" s="248"/>
      <c r="U4" s="248"/>
      <c r="V4" s="248"/>
      <c r="W4" s="248"/>
      <c r="X4" s="248"/>
      <c r="Y4" s="248"/>
      <c r="Z4" s="248"/>
      <c r="AA4" s="248"/>
      <c r="AB4" s="248"/>
      <c r="AC4" s="248"/>
      <c r="AE4" s="174" t="s">
        <v>285</v>
      </c>
    </row>
    <row r="5" spans="1:31"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120"/>
      <c r="R5" s="7" t="s">
        <v>279</v>
      </c>
      <c r="S5" s="66" t="str">
        <f>'Statement Q'!C3</f>
        <v>Q3 2024</v>
      </c>
      <c r="T5" s="66" t="str">
        <f>'Statement Q'!D3</f>
        <v>Q4 2024</v>
      </c>
      <c r="U5" s="66" t="str">
        <f>'Statement Q'!E3</f>
        <v>Q1 2025</v>
      </c>
      <c r="V5" s="66" t="str">
        <f>'Statement Q'!F3</f>
        <v>Q2 2025</v>
      </c>
      <c r="W5" s="66" t="str">
        <f>'Statement Q'!G3</f>
        <v>Q3 2025</v>
      </c>
      <c r="X5" s="66" t="str">
        <f>'Statement Q'!H3</f>
        <v>Q4 2025</v>
      </c>
      <c r="Y5" s="66" t="str">
        <f>'Statement Q'!I3</f>
        <v>Q1 2026</v>
      </c>
      <c r="Z5" s="66" t="str">
        <f>'Statement Q'!J3</f>
        <v>Q2 2026</v>
      </c>
      <c r="AA5" s="66" t="s">
        <v>280</v>
      </c>
      <c r="AB5" s="66" t="s">
        <v>281</v>
      </c>
      <c r="AC5" s="66" t="s">
        <v>282</v>
      </c>
      <c r="AE5" s="65" t="s">
        <v>280</v>
      </c>
    </row>
    <row r="6" spans="1:31" x14ac:dyDescent="0.2">
      <c r="B6" s="95" t="str">
        <f>'Statement Y'!B173</f>
        <v>Handset</v>
      </c>
      <c r="C6" s="142">
        <f>'Statement Y'!H173</f>
        <v>20475</v>
      </c>
      <c r="D6" s="142">
        <f>'Statement Y'!I173</f>
        <v>28815</v>
      </c>
      <c r="E6" s="142">
        <f>'Statement Y'!J173</f>
        <v>22570</v>
      </c>
      <c r="F6" s="142">
        <f>'Statement Y'!K173</f>
        <v>24863</v>
      </c>
      <c r="G6" s="175">
        <f>'Statement Y'!L173</f>
        <v>27793</v>
      </c>
      <c r="H6" s="147">
        <f t="shared" ref="H6:L8" si="1">G6*(1+H15)</f>
        <v>24457.84</v>
      </c>
      <c r="I6" s="147">
        <f t="shared" si="1"/>
        <v>23234.948</v>
      </c>
      <c r="J6" s="147">
        <f t="shared" si="1"/>
        <v>25326.093320000004</v>
      </c>
      <c r="K6" s="147">
        <f t="shared" si="1"/>
        <v>28365.224518400006</v>
      </c>
      <c r="L6" s="147">
        <f t="shared" si="1"/>
        <v>32620.008196160004</v>
      </c>
      <c r="N6" s="139"/>
      <c r="O6" s="120"/>
      <c r="Q6" s="139"/>
      <c r="R6" s="95" t="str">
        <f>'Statement Q'!B161</f>
        <v>Handset</v>
      </c>
      <c r="S6" s="142">
        <f>'Statement Q'!C161</f>
        <v>5899</v>
      </c>
      <c r="T6" s="142">
        <f>'Statement Q'!D161</f>
        <v>6096</v>
      </c>
      <c r="U6" s="142">
        <f>'Statement Q'!E161</f>
        <v>7574</v>
      </c>
      <c r="V6" s="142">
        <f>'Statement Q'!F161</f>
        <v>6929</v>
      </c>
      <c r="W6" s="142">
        <f>'Statement Q'!G161</f>
        <v>6328</v>
      </c>
      <c r="X6" s="142">
        <f>'Statement Q'!H161</f>
        <v>6961</v>
      </c>
      <c r="Y6" s="142">
        <f>'Statement Q'!I161</f>
        <v>7824</v>
      </c>
      <c r="Z6" s="175">
        <f>'Statement Q'!J161</f>
        <v>6024</v>
      </c>
      <c r="AA6" s="147">
        <f>Z6*(1+AA15)</f>
        <v>4518</v>
      </c>
      <c r="AB6" s="147"/>
      <c r="AC6" s="147"/>
      <c r="AE6" s="147">
        <f>SUM(X6:AA6)</f>
        <v>25327</v>
      </c>
    </row>
    <row r="7" spans="1:31" x14ac:dyDescent="0.2">
      <c r="B7" s="95" t="str">
        <f>'Statement Y'!B174</f>
        <v>Automotive</v>
      </c>
      <c r="C7" s="142">
        <f>'Statement Y'!H174</f>
        <v>1110</v>
      </c>
      <c r="D7" s="142">
        <f>'Statement Y'!I174</f>
        <v>1509</v>
      </c>
      <c r="E7" s="142">
        <f>'Statement Y'!J174</f>
        <v>1872</v>
      </c>
      <c r="F7" s="142">
        <f>'Statement Y'!K174</f>
        <v>2910</v>
      </c>
      <c r="G7" s="175">
        <f>'Statement Y'!L174</f>
        <v>3957</v>
      </c>
      <c r="H7" s="147">
        <f t="shared" si="1"/>
        <v>4154.8500000000004</v>
      </c>
      <c r="I7" s="147">
        <f t="shared" si="1"/>
        <v>4778.0775000000003</v>
      </c>
      <c r="J7" s="147">
        <f t="shared" si="1"/>
        <v>5733.6930000000002</v>
      </c>
      <c r="K7" s="147">
        <f t="shared" si="1"/>
        <v>7740.4855500000012</v>
      </c>
      <c r="L7" s="147">
        <f t="shared" si="1"/>
        <v>10062.631215000001</v>
      </c>
      <c r="N7" s="139"/>
      <c r="O7" s="120"/>
      <c r="Q7" s="139"/>
      <c r="R7" s="95" t="str">
        <f>'Statement Q'!B162</f>
        <v>Automotive</v>
      </c>
      <c r="S7" s="142">
        <f>'Statement Q'!C162</f>
        <v>811</v>
      </c>
      <c r="T7" s="142">
        <f>'Statement Q'!D162</f>
        <v>899</v>
      </c>
      <c r="U7" s="142">
        <f>'Statement Q'!E162</f>
        <v>961</v>
      </c>
      <c r="V7" s="142">
        <f>'Statement Q'!F162</f>
        <v>959</v>
      </c>
      <c r="W7" s="142">
        <f>'Statement Q'!G162</f>
        <v>984</v>
      </c>
      <c r="X7" s="142">
        <f>'Statement Q'!H162</f>
        <v>1053</v>
      </c>
      <c r="Y7" s="142">
        <f>'Statement Q'!I162</f>
        <v>1101</v>
      </c>
      <c r="Z7" s="175">
        <f>'Statement Q'!J162</f>
        <v>1326</v>
      </c>
      <c r="AA7" s="147">
        <f>Z7*(1+AA16)</f>
        <v>1790.1000000000001</v>
      </c>
      <c r="AB7" s="147"/>
      <c r="AC7" s="147"/>
      <c r="AE7" s="147">
        <f t="shared" ref="AE7:AE10" si="2">SUM(X7:AA7)</f>
        <v>5270.1</v>
      </c>
    </row>
    <row r="8" spans="1:31" x14ac:dyDescent="0.2">
      <c r="B8" s="95" t="str">
        <f>'Statement Y'!B175</f>
        <v>IoT</v>
      </c>
      <c r="C8" s="142">
        <f>'Statement Y'!H175</f>
        <v>5434</v>
      </c>
      <c r="D8" s="142">
        <f>'Statement Y'!I175</f>
        <v>7353</v>
      </c>
      <c r="E8" s="142">
        <f>'Statement Y'!J175</f>
        <v>5940</v>
      </c>
      <c r="F8" s="142">
        <f>'Statement Y'!K175</f>
        <v>5423</v>
      </c>
      <c r="G8" s="175">
        <f>'Statement Y'!L175</f>
        <v>6617</v>
      </c>
      <c r="H8" s="147">
        <f t="shared" si="1"/>
        <v>7014.02</v>
      </c>
      <c r="I8" s="147">
        <f t="shared" si="1"/>
        <v>7505.001400000001</v>
      </c>
      <c r="J8" s="147">
        <f t="shared" si="1"/>
        <v>8030.3514980000018</v>
      </c>
      <c r="K8" s="147">
        <f t="shared" si="1"/>
        <v>8592.4761028600024</v>
      </c>
      <c r="L8" s="147">
        <f t="shared" si="1"/>
        <v>9193.9494300602037</v>
      </c>
      <c r="N8" s="139"/>
      <c r="O8" s="120"/>
      <c r="Q8" s="139"/>
      <c r="R8" s="95" t="str">
        <f>'Statement Q'!B163</f>
        <v>IoT</v>
      </c>
      <c r="S8" s="142">
        <f>'Statement Q'!C163</f>
        <v>1359</v>
      </c>
      <c r="T8" s="142">
        <f>'Statement Q'!D163</f>
        <v>1683</v>
      </c>
      <c r="U8" s="142">
        <f>'Statement Q'!E163</f>
        <v>1549</v>
      </c>
      <c r="V8" s="142">
        <f>'Statement Q'!F163</f>
        <v>1581</v>
      </c>
      <c r="W8" s="142">
        <f>'Statement Q'!G163</f>
        <v>1681</v>
      </c>
      <c r="X8" s="142">
        <f>'Statement Q'!H163</f>
        <v>1807</v>
      </c>
      <c r="Y8" s="142">
        <f>'Statement Q'!I163</f>
        <v>1688</v>
      </c>
      <c r="Z8" s="175">
        <f>'Statement Q'!J163</f>
        <v>1726</v>
      </c>
      <c r="AA8" s="147">
        <f>Z8*(1+AA17)</f>
        <v>1846.8200000000002</v>
      </c>
      <c r="AB8" s="147"/>
      <c r="AC8" s="147"/>
      <c r="AE8" s="147">
        <f t="shared" si="2"/>
        <v>7067.82</v>
      </c>
    </row>
    <row r="9" spans="1:31" x14ac:dyDescent="0.2">
      <c r="B9" s="1" t="str">
        <f>'Statement Y'!B176</f>
        <v>QCT</v>
      </c>
      <c r="C9" s="142">
        <f>'Statement Y'!H176</f>
        <v>27019</v>
      </c>
      <c r="D9" s="142">
        <f>'Statement Y'!I176</f>
        <v>37677</v>
      </c>
      <c r="E9" s="142">
        <f>'Statement Y'!J176</f>
        <v>30382</v>
      </c>
      <c r="F9" s="142">
        <f>'Statement Y'!K176</f>
        <v>33196</v>
      </c>
      <c r="G9" s="175">
        <f>'Statement Y'!L176</f>
        <v>38367</v>
      </c>
      <c r="H9" s="143">
        <f>SUM(H6:H8)</f>
        <v>35626.710000000006</v>
      </c>
      <c r="I9" s="143">
        <f t="shared" ref="I9:L9" si="3">SUM(I6:I8)</f>
        <v>35518.026899999997</v>
      </c>
      <c r="J9" s="143">
        <f t="shared" si="3"/>
        <v>39090.137818000003</v>
      </c>
      <c r="K9" s="143">
        <f t="shared" si="3"/>
        <v>44698.186171260008</v>
      </c>
      <c r="L9" s="143">
        <f t="shared" si="3"/>
        <v>51876.588841220211</v>
      </c>
      <c r="N9" s="139"/>
      <c r="O9" s="120"/>
      <c r="Q9" s="139"/>
      <c r="R9" s="1" t="str">
        <f>'Statement Q'!B164</f>
        <v>QCT</v>
      </c>
      <c r="S9" s="142">
        <f>'Statement Q'!C164</f>
        <v>8069</v>
      </c>
      <c r="T9" s="142">
        <f>'Statement Q'!D164</f>
        <v>8678</v>
      </c>
      <c r="U9" s="142">
        <f>'Statement Q'!E164</f>
        <v>10084</v>
      </c>
      <c r="V9" s="142">
        <f>'Statement Q'!F164</f>
        <v>9469</v>
      </c>
      <c r="W9" s="142">
        <f>'Statement Q'!G164</f>
        <v>8993</v>
      </c>
      <c r="X9" s="142">
        <f>'Statement Q'!H164</f>
        <v>9821</v>
      </c>
      <c r="Y9" s="142">
        <f>'Statement Q'!I164</f>
        <v>10613</v>
      </c>
      <c r="Z9" s="175">
        <f>'Statement Q'!J164</f>
        <v>9076</v>
      </c>
      <c r="AA9" s="147">
        <f>SUM(AA6:AA8)</f>
        <v>8154.92</v>
      </c>
      <c r="AB9" s="147"/>
      <c r="AC9" s="147"/>
      <c r="AE9" s="147">
        <f t="shared" si="2"/>
        <v>37664.92</v>
      </c>
    </row>
    <row r="10" spans="1:31" x14ac:dyDescent="0.2">
      <c r="B10" s="1" t="str">
        <f>'Statement Y'!B177</f>
        <v>QTL</v>
      </c>
      <c r="C10" s="142">
        <f>'Statement Y'!H177</f>
        <v>6320</v>
      </c>
      <c r="D10" s="142">
        <f>'Statement Y'!I177</f>
        <v>6358</v>
      </c>
      <c r="E10" s="142">
        <f>'Statement Y'!J177</f>
        <v>5306</v>
      </c>
      <c r="F10" s="142">
        <f>'Statement Y'!K177</f>
        <v>5572</v>
      </c>
      <c r="G10" s="175">
        <f>'Statement Y'!L177</f>
        <v>5582</v>
      </c>
      <c r="H10" s="147">
        <f>G10*(1+H19)</f>
        <v>5247.08</v>
      </c>
      <c r="I10" s="147">
        <f t="shared" ref="I10:L10" si="4">H10*(1+I19)</f>
        <v>5089.6675999999998</v>
      </c>
      <c r="J10" s="147">
        <f t="shared" si="4"/>
        <v>5191.4609519999995</v>
      </c>
      <c r="K10" s="147">
        <f t="shared" si="4"/>
        <v>5347.2047805599996</v>
      </c>
      <c r="L10" s="147">
        <f t="shared" si="4"/>
        <v>5507.6209239767995</v>
      </c>
      <c r="N10" s="139"/>
      <c r="O10" s="120"/>
      <c r="Q10" s="139"/>
      <c r="R10" s="1" t="str">
        <f>'Statement Q'!B165</f>
        <v>QTL</v>
      </c>
      <c r="S10" s="142">
        <f>'Statement Q'!C165</f>
        <v>1273</v>
      </c>
      <c r="T10" s="142">
        <f>'Statement Q'!D165</f>
        <v>1521</v>
      </c>
      <c r="U10" s="142">
        <f>'Statement Q'!E165</f>
        <v>1535</v>
      </c>
      <c r="V10" s="142">
        <f>'Statement Q'!F165</f>
        <v>1319</v>
      </c>
      <c r="W10" s="142">
        <f>'Statement Q'!G165</f>
        <v>1318</v>
      </c>
      <c r="X10" s="142">
        <f>'Statement Q'!H165</f>
        <v>1409</v>
      </c>
      <c r="Y10" s="142">
        <f>'Statement Q'!I165</f>
        <v>1529</v>
      </c>
      <c r="Z10" s="175">
        <f>'Statement Q'!J165</f>
        <v>1382</v>
      </c>
      <c r="AA10" s="147">
        <f>Z10*(1+AA19)</f>
        <v>1243.8</v>
      </c>
      <c r="AB10" s="147"/>
      <c r="AC10" s="147"/>
      <c r="AE10" s="147">
        <f t="shared" si="2"/>
        <v>5563.8</v>
      </c>
    </row>
    <row r="11" spans="1:31" x14ac:dyDescent="0.2">
      <c r="B11" s="7" t="s">
        <v>186</v>
      </c>
      <c r="C11" s="176">
        <f>'Statement Y'!H7</f>
        <v>33566</v>
      </c>
      <c r="D11" s="176">
        <f>'Statement Y'!I7</f>
        <v>44200</v>
      </c>
      <c r="E11" s="176">
        <f>'Statement Y'!J7</f>
        <v>35820</v>
      </c>
      <c r="F11" s="176">
        <f>'Statement Y'!K7</f>
        <v>38962</v>
      </c>
      <c r="G11" s="177">
        <f>'Statement Y'!L7</f>
        <v>44284</v>
      </c>
      <c r="H11" s="178">
        <f>SUM(H9:H10)</f>
        <v>40873.790000000008</v>
      </c>
      <c r="I11" s="178">
        <f t="shared" ref="I11:L11" si="5">SUM(I9:I10)</f>
        <v>40607.694499999998</v>
      </c>
      <c r="J11" s="178">
        <f t="shared" si="5"/>
        <v>44281.598770000004</v>
      </c>
      <c r="K11" s="178">
        <f t="shared" si="5"/>
        <v>50045.390951820009</v>
      </c>
      <c r="L11" s="178">
        <f t="shared" si="5"/>
        <v>57384.209765197011</v>
      </c>
      <c r="O11" s="120"/>
      <c r="Q11" s="134"/>
      <c r="R11" s="7" t="s">
        <v>186</v>
      </c>
      <c r="S11" s="176">
        <f>'Statement Q'!C7</f>
        <v>9393</v>
      </c>
      <c r="T11" s="176">
        <f>'Statement Q'!D7</f>
        <v>10244</v>
      </c>
      <c r="U11" s="176">
        <f>'Statement Q'!E7</f>
        <v>11669</v>
      </c>
      <c r="V11" s="176">
        <f>'Statement Q'!F7</f>
        <v>10979</v>
      </c>
      <c r="W11" s="176">
        <f>'Statement Q'!G7</f>
        <v>10365</v>
      </c>
      <c r="X11" s="176">
        <f>'Statement Q'!H7</f>
        <v>11270</v>
      </c>
      <c r="Y11" s="176">
        <f>'Statement Q'!I7</f>
        <v>12252</v>
      </c>
      <c r="Z11" s="177">
        <f>'Statement Q'!J7</f>
        <v>10599</v>
      </c>
      <c r="AA11" s="178">
        <f>SUM(AA9:AA10)</f>
        <v>9398.7199999999993</v>
      </c>
      <c r="AB11" s="178"/>
      <c r="AC11" s="178"/>
      <c r="AE11" s="178">
        <f>SUM(X11:AA11)</f>
        <v>43519.72</v>
      </c>
    </row>
    <row r="12" spans="1:31" x14ac:dyDescent="0.2">
      <c r="O12" s="120"/>
      <c r="Q12" s="134"/>
    </row>
    <row r="13" spans="1:31" x14ac:dyDescent="0.2">
      <c r="C13" s="246" t="s">
        <v>283</v>
      </c>
      <c r="D13" s="246"/>
      <c r="E13" s="246"/>
      <c r="F13" s="246"/>
      <c r="G13" s="246"/>
      <c r="H13" s="246"/>
      <c r="I13" s="246"/>
      <c r="J13" s="246"/>
      <c r="K13" s="246"/>
      <c r="L13" s="246"/>
      <c r="O13" s="120"/>
      <c r="Q13" s="134"/>
      <c r="S13" s="247" t="s">
        <v>283</v>
      </c>
      <c r="T13" s="248"/>
      <c r="U13" s="248"/>
      <c r="V13" s="248"/>
      <c r="W13" s="248"/>
      <c r="X13" s="248"/>
      <c r="Y13" s="248"/>
      <c r="Z13" s="248"/>
      <c r="AA13" s="248"/>
      <c r="AB13" s="248"/>
      <c r="AC13" s="248"/>
    </row>
    <row r="14" spans="1:31" x14ac:dyDescent="0.2">
      <c r="B14" s="7" t="s">
        <v>284</v>
      </c>
      <c r="C14" s="66">
        <f t="shared" ref="C14:L14" si="6">C5</f>
        <v>2021</v>
      </c>
      <c r="D14" s="66">
        <f t="shared" si="6"/>
        <v>2022</v>
      </c>
      <c r="E14" s="66">
        <f t="shared" si="6"/>
        <v>2023</v>
      </c>
      <c r="F14" s="66">
        <f t="shared" si="6"/>
        <v>2024</v>
      </c>
      <c r="G14" s="66">
        <f t="shared" si="6"/>
        <v>2025</v>
      </c>
      <c r="H14" s="66">
        <f t="shared" si="6"/>
        <v>2026</v>
      </c>
      <c r="I14" s="66">
        <f t="shared" si="6"/>
        <v>2027</v>
      </c>
      <c r="J14" s="66">
        <f t="shared" si="6"/>
        <v>2028</v>
      </c>
      <c r="K14" s="66">
        <f t="shared" si="6"/>
        <v>2029</v>
      </c>
      <c r="L14" s="66">
        <f t="shared" si="6"/>
        <v>2030</v>
      </c>
      <c r="O14" s="120"/>
      <c r="Q14" s="134"/>
      <c r="R14" s="7" t="s">
        <v>284</v>
      </c>
      <c r="S14" s="66" t="str">
        <f t="shared" ref="S14:AC14" si="7">S5</f>
        <v>Q3 2024</v>
      </c>
      <c r="T14" s="66" t="str">
        <f t="shared" si="7"/>
        <v>Q4 2024</v>
      </c>
      <c r="U14" s="66" t="str">
        <f t="shared" si="7"/>
        <v>Q1 2025</v>
      </c>
      <c r="V14" s="66" t="str">
        <f t="shared" si="7"/>
        <v>Q2 2025</v>
      </c>
      <c r="W14" s="66" t="str">
        <f t="shared" si="7"/>
        <v>Q3 2025</v>
      </c>
      <c r="X14" s="66" t="str">
        <f t="shared" si="7"/>
        <v>Q4 2025</v>
      </c>
      <c r="Y14" s="66" t="str">
        <f t="shared" si="7"/>
        <v>Q1 2026</v>
      </c>
      <c r="Z14" s="66" t="str">
        <f t="shared" si="7"/>
        <v>Q2 2026</v>
      </c>
      <c r="AA14" s="66" t="str">
        <f t="shared" si="7"/>
        <v>FQ1</v>
      </c>
      <c r="AB14" s="66" t="str">
        <f t="shared" si="7"/>
        <v>FQ2</v>
      </c>
      <c r="AC14" s="66" t="str">
        <f t="shared" si="7"/>
        <v>FQ3</v>
      </c>
    </row>
    <row r="15" spans="1:31" x14ac:dyDescent="0.2">
      <c r="B15" s="95" t="str">
        <f>B6</f>
        <v>Handset</v>
      </c>
      <c r="C15" s="89"/>
      <c r="D15" s="102">
        <f t="shared" ref="D15:G16" si="8">D6/C6-1</f>
        <v>0.40732600732600743</v>
      </c>
      <c r="E15" s="102">
        <f t="shared" si="8"/>
        <v>-0.21672739892417148</v>
      </c>
      <c r="F15" s="102">
        <f t="shared" si="8"/>
        <v>0.1015950376606114</v>
      </c>
      <c r="G15" s="179">
        <f t="shared" si="8"/>
        <v>0.11784579495636094</v>
      </c>
      <c r="H15" s="113">
        <v>-0.12</v>
      </c>
      <c r="I15" s="108">
        <v>-0.05</v>
      </c>
      <c r="J15" s="108">
        <v>0.09</v>
      </c>
      <c r="K15" s="108">
        <v>0.12</v>
      </c>
      <c r="L15" s="108">
        <v>0.15</v>
      </c>
      <c r="O15" s="120"/>
      <c r="Q15" s="134"/>
      <c r="R15" s="95" t="str">
        <f>R6</f>
        <v>Handset</v>
      </c>
      <c r="S15" s="89"/>
      <c r="T15" s="102">
        <f t="shared" ref="T15:Z17" si="9">T6/S6-1</f>
        <v>3.3395490761146007E-2</v>
      </c>
      <c r="U15" s="102">
        <f t="shared" si="9"/>
        <v>0.24245406824146976</v>
      </c>
      <c r="V15" s="102">
        <f t="shared" si="9"/>
        <v>-8.5159757063638764E-2</v>
      </c>
      <c r="W15" s="102">
        <f t="shared" si="9"/>
        <v>-8.673690287198732E-2</v>
      </c>
      <c r="X15" s="102">
        <f t="shared" si="9"/>
        <v>0.10003160556257895</v>
      </c>
      <c r="Y15" s="102">
        <f t="shared" si="9"/>
        <v>0.12397644016664278</v>
      </c>
      <c r="Z15" s="179">
        <f t="shared" si="9"/>
        <v>-0.23006134969325154</v>
      </c>
      <c r="AA15" s="113">
        <v>-0.25</v>
      </c>
      <c r="AB15" s="102"/>
      <c r="AC15" s="102"/>
    </row>
    <row r="16" spans="1:31" x14ac:dyDescent="0.2">
      <c r="B16" s="95" t="str">
        <f>B7</f>
        <v>Automotive</v>
      </c>
      <c r="C16" s="89"/>
      <c r="D16" s="102">
        <f t="shared" si="8"/>
        <v>0.35945945945945956</v>
      </c>
      <c r="E16" s="102">
        <f t="shared" si="8"/>
        <v>0.24055666003976151</v>
      </c>
      <c r="F16" s="102">
        <f t="shared" si="8"/>
        <v>0.55448717948717952</v>
      </c>
      <c r="G16" s="179">
        <f t="shared" si="8"/>
        <v>0.35979381443298974</v>
      </c>
      <c r="H16" s="113">
        <v>0.05</v>
      </c>
      <c r="I16" s="108">
        <v>0.15</v>
      </c>
      <c r="J16" s="108">
        <v>0.2</v>
      </c>
      <c r="K16" s="108">
        <v>0.35</v>
      </c>
      <c r="L16" s="108">
        <v>0.3</v>
      </c>
      <c r="O16" s="120"/>
      <c r="Q16" s="134"/>
      <c r="R16" s="95" t="str">
        <f>R7</f>
        <v>Automotive</v>
      </c>
      <c r="S16" s="89"/>
      <c r="T16" s="102">
        <f t="shared" si="9"/>
        <v>0.10850801479654737</v>
      </c>
      <c r="U16" s="102">
        <f t="shared" si="9"/>
        <v>6.8965517241379226E-2</v>
      </c>
      <c r="V16" s="102">
        <f t="shared" si="9"/>
        <v>-2.0811654526534662E-3</v>
      </c>
      <c r="W16" s="102">
        <f t="shared" si="9"/>
        <v>2.6068821689259725E-2</v>
      </c>
      <c r="X16" s="102">
        <f t="shared" si="9"/>
        <v>7.0121951219512146E-2</v>
      </c>
      <c r="Y16" s="102">
        <f t="shared" si="9"/>
        <v>4.5584045584045496E-2</v>
      </c>
      <c r="Z16" s="179">
        <f t="shared" si="9"/>
        <v>0.20435967302452318</v>
      </c>
      <c r="AA16" s="113">
        <v>0.35</v>
      </c>
      <c r="AB16" s="102"/>
      <c r="AC16" s="102"/>
    </row>
    <row r="17" spans="2:29" x14ac:dyDescent="0.2">
      <c r="B17" s="95" t="str">
        <f>B8</f>
        <v>IoT</v>
      </c>
      <c r="C17" s="89"/>
      <c r="D17" s="102">
        <f>D8/C8-1</f>
        <v>0.35314685314685312</v>
      </c>
      <c r="E17" s="102">
        <f t="shared" ref="E17:G17" si="10">E8/D8-1</f>
        <v>-0.19216646266829862</v>
      </c>
      <c r="F17" s="102">
        <f t="shared" si="10"/>
        <v>-8.7037037037037024E-2</v>
      </c>
      <c r="G17" s="179">
        <f t="shared" si="10"/>
        <v>0.22017333579199705</v>
      </c>
      <c r="H17" s="113">
        <v>0.06</v>
      </c>
      <c r="I17" s="108">
        <v>7.0000000000000007E-2</v>
      </c>
      <c r="J17" s="108">
        <v>7.0000000000000007E-2</v>
      </c>
      <c r="K17" s="108">
        <v>7.0000000000000007E-2</v>
      </c>
      <c r="L17" s="108">
        <v>7.0000000000000007E-2</v>
      </c>
      <c r="O17" s="120"/>
      <c r="Q17" s="134"/>
      <c r="R17" s="95" t="str">
        <f>R8</f>
        <v>IoT</v>
      </c>
      <c r="S17" s="89"/>
      <c r="T17" s="102">
        <f t="shared" si="9"/>
        <v>0.23841059602649017</v>
      </c>
      <c r="U17" s="102">
        <f t="shared" si="9"/>
        <v>-7.9619726678550218E-2</v>
      </c>
      <c r="V17" s="102">
        <f t="shared" si="9"/>
        <v>2.0658489347966436E-2</v>
      </c>
      <c r="W17" s="102">
        <f t="shared" si="9"/>
        <v>6.3251106894370634E-2</v>
      </c>
      <c r="X17" s="102">
        <f t="shared" si="9"/>
        <v>7.4955383700178402E-2</v>
      </c>
      <c r="Y17" s="102">
        <f t="shared" si="9"/>
        <v>-6.585500830105151E-2</v>
      </c>
      <c r="Z17" s="179">
        <f t="shared" si="9"/>
        <v>2.2511848341232321E-2</v>
      </c>
      <c r="AA17" s="113">
        <v>7.0000000000000007E-2</v>
      </c>
      <c r="AB17" s="102"/>
      <c r="AC17" s="102"/>
    </row>
    <row r="18" spans="2:29" x14ac:dyDescent="0.2">
      <c r="B18" s="1" t="str">
        <f t="shared" ref="B18:B19" si="11">B9</f>
        <v>QCT</v>
      </c>
      <c r="C18" s="89"/>
      <c r="D18" s="102">
        <f t="shared" ref="D18:G18" si="12">D9/C9-1</f>
        <v>0.39446315555720046</v>
      </c>
      <c r="E18" s="102">
        <f t="shared" si="12"/>
        <v>-0.19361944953154442</v>
      </c>
      <c r="F18" s="102">
        <f t="shared" si="12"/>
        <v>9.2620630636561119E-2</v>
      </c>
      <c r="G18" s="179">
        <f t="shared" si="12"/>
        <v>0.15577177973249778</v>
      </c>
      <c r="H18" s="102">
        <f>H9/G9-1</f>
        <v>-7.1423097974821936E-2</v>
      </c>
      <c r="I18" s="102">
        <f t="shared" ref="I18:L18" si="13">I9/H9-1</f>
        <v>-3.0506072550625651E-3</v>
      </c>
      <c r="J18" s="102">
        <f t="shared" si="13"/>
        <v>0.10057177241453141</v>
      </c>
      <c r="K18" s="102">
        <f t="shared" si="13"/>
        <v>0.14346453264939996</v>
      </c>
      <c r="L18" s="102">
        <f t="shared" si="13"/>
        <v>0.16059718044164772</v>
      </c>
      <c r="O18" s="120"/>
      <c r="Q18" s="134"/>
      <c r="R18" s="1" t="str">
        <f t="shared" ref="R18:R19" si="14">R9</f>
        <v>QCT</v>
      </c>
      <c r="S18" s="89"/>
      <c r="T18" s="102">
        <f t="shared" ref="T18:Z18" si="15">T9/S9-1</f>
        <v>7.5474036435741798E-2</v>
      </c>
      <c r="U18" s="102">
        <f t="shared" si="15"/>
        <v>0.16201889836367833</v>
      </c>
      <c r="V18" s="102">
        <f t="shared" si="15"/>
        <v>-6.0987703292344264E-2</v>
      </c>
      <c r="W18" s="102">
        <f t="shared" si="15"/>
        <v>-5.0269299820466795E-2</v>
      </c>
      <c r="X18" s="102">
        <f t="shared" si="15"/>
        <v>9.2071611253196961E-2</v>
      </c>
      <c r="Y18" s="102">
        <f t="shared" si="15"/>
        <v>8.0643518989919505E-2</v>
      </c>
      <c r="Z18" s="179">
        <f t="shared" si="15"/>
        <v>-0.14482238763780264</v>
      </c>
      <c r="AA18" s="102">
        <f>AA9/Z9-1</f>
        <v>-0.10148523578669011</v>
      </c>
      <c r="AB18" s="102"/>
      <c r="AC18" s="102"/>
    </row>
    <row r="19" spans="2:29" x14ac:dyDescent="0.2">
      <c r="B19" s="1" t="str">
        <f t="shared" si="11"/>
        <v>QTL</v>
      </c>
      <c r="C19" s="89"/>
      <c r="D19" s="102">
        <f t="shared" ref="D19:G19" si="16">D10/C10-1</f>
        <v>6.0126582278481333E-3</v>
      </c>
      <c r="E19" s="102">
        <f t="shared" si="16"/>
        <v>-0.16546083674111356</v>
      </c>
      <c r="F19" s="102">
        <f t="shared" si="16"/>
        <v>5.0131926121371961E-2</v>
      </c>
      <c r="G19" s="179">
        <f t="shared" si="16"/>
        <v>1.7946877243359971E-3</v>
      </c>
      <c r="H19" s="113">
        <v>-0.06</v>
      </c>
      <c r="I19" s="108">
        <v>-0.03</v>
      </c>
      <c r="J19" s="108">
        <v>0.02</v>
      </c>
      <c r="K19" s="108">
        <v>0.03</v>
      </c>
      <c r="L19" s="108">
        <v>0.03</v>
      </c>
      <c r="O19" s="120"/>
      <c r="Q19" s="134"/>
      <c r="R19" s="1" t="str">
        <f t="shared" si="14"/>
        <v>QTL</v>
      </c>
      <c r="S19" s="89"/>
      <c r="T19" s="102">
        <f t="shared" ref="T19:Z19" si="17">T10/S10-1</f>
        <v>0.19481539670070691</v>
      </c>
      <c r="U19" s="102">
        <f t="shared" si="17"/>
        <v>9.2044707429321804E-3</v>
      </c>
      <c r="V19" s="102">
        <f t="shared" si="17"/>
        <v>-0.14071661237785016</v>
      </c>
      <c r="W19" s="102">
        <f t="shared" si="17"/>
        <v>-7.5815011372248886E-4</v>
      </c>
      <c r="X19" s="102">
        <f t="shared" si="17"/>
        <v>6.9044006069802766E-2</v>
      </c>
      <c r="Y19" s="102">
        <f t="shared" si="17"/>
        <v>8.516678495386798E-2</v>
      </c>
      <c r="Z19" s="179">
        <f t="shared" si="17"/>
        <v>-9.6141268803139335E-2</v>
      </c>
      <c r="AA19" s="113">
        <v>-0.1</v>
      </c>
      <c r="AB19" s="102"/>
      <c r="AC19" s="102"/>
    </row>
    <row r="20" spans="2:29" x14ac:dyDescent="0.2">
      <c r="B20" s="7" t="s">
        <v>186</v>
      </c>
      <c r="C20" s="89"/>
      <c r="D20" s="180">
        <f t="shared" ref="D20:L20" si="18">D11/C11-1</f>
        <v>0.31680867544539115</v>
      </c>
      <c r="E20" s="180">
        <f t="shared" si="18"/>
        <v>-0.18959276018099547</v>
      </c>
      <c r="F20" s="180">
        <f t="shared" si="18"/>
        <v>8.7716359575656044E-2</v>
      </c>
      <c r="G20" s="181">
        <f t="shared" si="18"/>
        <v>0.13659463066577682</v>
      </c>
      <c r="H20" s="180">
        <f t="shared" si="18"/>
        <v>-7.700772287959512E-2</v>
      </c>
      <c r="I20" s="180">
        <f t="shared" si="18"/>
        <v>-6.5101743684646829E-3</v>
      </c>
      <c r="J20" s="180">
        <f t="shared" si="18"/>
        <v>9.047310651925855E-2</v>
      </c>
      <c r="K20" s="180">
        <f t="shared" si="18"/>
        <v>0.13016224214842187</v>
      </c>
      <c r="L20" s="180">
        <f t="shared" si="18"/>
        <v>0.14664325073296514</v>
      </c>
      <c r="O20" s="120"/>
      <c r="Q20" s="134"/>
      <c r="R20" s="7" t="s">
        <v>186</v>
      </c>
      <c r="S20" s="89"/>
      <c r="T20" s="180">
        <f t="shared" ref="T20:AA20" si="19">T11/S11-1</f>
        <v>9.0599382518897098E-2</v>
      </c>
      <c r="U20" s="180">
        <f t="shared" si="19"/>
        <v>0.13910581803982813</v>
      </c>
      <c r="V20" s="180">
        <f t="shared" si="19"/>
        <v>-5.9131030936669826E-2</v>
      </c>
      <c r="W20" s="180">
        <f t="shared" si="19"/>
        <v>-5.5924947627288502E-2</v>
      </c>
      <c r="X20" s="180">
        <f t="shared" si="19"/>
        <v>8.7313072841292749E-2</v>
      </c>
      <c r="Y20" s="180">
        <f t="shared" si="19"/>
        <v>8.7133984028394007E-2</v>
      </c>
      <c r="Z20" s="181">
        <f t="shared" si="19"/>
        <v>-0.13491674828599409</v>
      </c>
      <c r="AA20" s="180">
        <f t="shared" si="19"/>
        <v>-0.11324464572129456</v>
      </c>
    </row>
    <row r="21" spans="2:29" x14ac:dyDescent="0.2">
      <c r="O21" s="120"/>
      <c r="Q21" s="134"/>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9:L9 AA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A10B9-3530-074A-B263-C64303D01B0B}">
  <dimension ref="A1:AB21"/>
  <sheetViews>
    <sheetView topLeftCell="A15" zoomScale="178" zoomScaleNormal="100" workbookViewId="0">
      <selection activeCell="AB14" sqref="AB14"/>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286</v>
      </c>
    </row>
    <row r="2" spans="1:28" x14ac:dyDescent="0.2">
      <c r="A2" s="167"/>
      <c r="C2" s="242" t="s">
        <v>176</v>
      </c>
      <c r="D2" s="242"/>
      <c r="E2" s="242"/>
      <c r="F2" s="242"/>
      <c r="G2" s="249"/>
      <c r="H2" s="250" t="s">
        <v>177</v>
      </c>
      <c r="I2" s="242"/>
      <c r="J2" s="242"/>
      <c r="K2" s="242"/>
      <c r="L2" s="242"/>
      <c r="P2" s="242" t="s">
        <v>176</v>
      </c>
      <c r="Q2" s="242"/>
      <c r="R2" s="242"/>
      <c r="S2" s="242"/>
      <c r="T2" s="242"/>
      <c r="U2" s="242"/>
      <c r="V2" s="242"/>
      <c r="W2" s="242"/>
      <c r="X2" s="242" t="s">
        <v>177</v>
      </c>
      <c r="Y2" s="242"/>
      <c r="Z2" s="242"/>
      <c r="AB2" s="171" t="s">
        <v>154</v>
      </c>
    </row>
    <row r="3" spans="1:28" ht="10" customHeight="1" x14ac:dyDescent="0.2"/>
    <row r="4" spans="1:28" ht="16" customHeight="1" x14ac:dyDescent="0.2">
      <c r="A4" s="172"/>
      <c r="B4" s="173"/>
      <c r="C4" s="246" t="s">
        <v>178</v>
      </c>
      <c r="D4" s="246"/>
      <c r="E4" s="246"/>
      <c r="F4" s="246"/>
      <c r="G4" s="246"/>
      <c r="H4" s="246"/>
      <c r="I4" s="246"/>
      <c r="J4" s="246"/>
      <c r="K4" s="246"/>
      <c r="L4" s="246"/>
      <c r="P4" s="248" t="s">
        <v>178</v>
      </c>
      <c r="Q4" s="248"/>
      <c r="R4" s="248"/>
      <c r="S4" s="248"/>
      <c r="T4" s="248"/>
      <c r="U4" s="248"/>
      <c r="V4" s="248"/>
      <c r="W4" s="248"/>
      <c r="X4" s="248"/>
      <c r="Y4" s="248"/>
      <c r="Z4" s="248"/>
      <c r="AB4" s="174" t="str">
        <f>Revenue!AE4</f>
        <v>Q4-Q1-Q2</v>
      </c>
    </row>
    <row r="5" spans="1:28"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7" t="s">
        <v>279</v>
      </c>
      <c r="P5" s="66" t="str">
        <f>Revenue!S5</f>
        <v>Q3 2024</v>
      </c>
      <c r="Q5" s="66" t="str">
        <f>Revenue!T5</f>
        <v>Q4 2024</v>
      </c>
      <c r="R5" s="66" t="str">
        <f>Revenue!U5</f>
        <v>Q1 2025</v>
      </c>
      <c r="S5" s="66" t="str">
        <f>Revenue!V5</f>
        <v>Q2 2025</v>
      </c>
      <c r="T5" s="66" t="str">
        <f>Revenue!W5</f>
        <v>Q3 2025</v>
      </c>
      <c r="U5" s="66" t="str">
        <f>Revenue!X5</f>
        <v>Q4 2025</v>
      </c>
      <c r="V5" s="66" t="str">
        <f>Revenue!Y5</f>
        <v>Q1 2026</v>
      </c>
      <c r="W5" s="66" t="str">
        <f>Revenue!Z5</f>
        <v>Q2 2026</v>
      </c>
      <c r="X5" s="66" t="s">
        <v>280</v>
      </c>
      <c r="Y5" s="66" t="s">
        <v>281</v>
      </c>
      <c r="Z5" s="66" t="s">
        <v>282</v>
      </c>
      <c r="AB5" s="174" t="str">
        <f>Revenue!AE5</f>
        <v>FQ1</v>
      </c>
    </row>
    <row r="6" spans="1:28"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c r="O6" s="7" t="s">
        <v>20</v>
      </c>
      <c r="P6" s="176">
        <f>Revenue!S11</f>
        <v>9393</v>
      </c>
      <c r="Q6" s="176">
        <f>Revenue!T11</f>
        <v>10244</v>
      </c>
      <c r="R6" s="176">
        <f>Revenue!U11</f>
        <v>11669</v>
      </c>
      <c r="S6" s="176">
        <f>Revenue!V11</f>
        <v>10979</v>
      </c>
      <c r="T6" s="176">
        <f>Revenue!W11</f>
        <v>10365</v>
      </c>
      <c r="U6" s="176">
        <f>Revenue!X11</f>
        <v>11270</v>
      </c>
      <c r="V6" s="176">
        <f>Revenue!Y11</f>
        <v>12252</v>
      </c>
      <c r="W6" s="183">
        <f>Revenue!Z11</f>
        <v>10599</v>
      </c>
      <c r="X6" s="176">
        <f>Revenue!AA11</f>
        <v>9398.7199999999993</v>
      </c>
      <c r="Y6" s="176">
        <f>Revenue!AB11</f>
        <v>0</v>
      </c>
      <c r="Z6" s="176">
        <f>Revenue!AC11</f>
        <v>0</v>
      </c>
      <c r="AB6" s="178">
        <f>SUM(U6:X6)</f>
        <v>43519.72</v>
      </c>
    </row>
    <row r="7" spans="1:28" x14ac:dyDescent="0.2">
      <c r="N7" s="134"/>
    </row>
    <row r="8" spans="1:28" x14ac:dyDescent="0.2">
      <c r="N8" s="134"/>
    </row>
    <row r="9" spans="1:28" x14ac:dyDescent="0.2">
      <c r="C9" s="246" t="s">
        <v>287</v>
      </c>
      <c r="D9" s="246"/>
      <c r="E9" s="246"/>
      <c r="F9" s="246"/>
      <c r="G9" s="246"/>
      <c r="H9" s="246"/>
      <c r="I9" s="246"/>
      <c r="J9" s="246"/>
      <c r="K9" s="246"/>
      <c r="L9" s="246"/>
      <c r="N9" s="134"/>
      <c r="P9" s="248" t="s">
        <v>288</v>
      </c>
      <c r="Q9" s="248"/>
      <c r="R9" s="248"/>
      <c r="S9" s="248"/>
      <c r="T9" s="248"/>
      <c r="U9" s="248"/>
      <c r="V9" s="248"/>
      <c r="W9" s="248"/>
      <c r="X9" s="248"/>
      <c r="Y9" s="248"/>
      <c r="Z9" s="248"/>
      <c r="AB9" s="174" t="str">
        <f>AB4</f>
        <v>Q4-Q1-Q2</v>
      </c>
    </row>
    <row r="10" spans="1:28" x14ac:dyDescent="0.2">
      <c r="B10" s="7" t="s">
        <v>289</v>
      </c>
      <c r="C10" s="66">
        <f t="shared" ref="C10:L10" si="1">C5</f>
        <v>2021</v>
      </c>
      <c r="D10" s="66">
        <f t="shared" si="1"/>
        <v>2022</v>
      </c>
      <c r="E10" s="66">
        <f t="shared" si="1"/>
        <v>2023</v>
      </c>
      <c r="F10" s="66">
        <f t="shared" si="1"/>
        <v>2024</v>
      </c>
      <c r="G10" s="66">
        <f t="shared" si="1"/>
        <v>2025</v>
      </c>
      <c r="H10" s="66">
        <f t="shared" si="1"/>
        <v>2026</v>
      </c>
      <c r="I10" s="66">
        <f t="shared" si="1"/>
        <v>2027</v>
      </c>
      <c r="J10" s="66">
        <f t="shared" si="1"/>
        <v>2028</v>
      </c>
      <c r="K10" s="66">
        <f t="shared" si="1"/>
        <v>2029</v>
      </c>
      <c r="L10" s="66">
        <f t="shared" si="1"/>
        <v>2030</v>
      </c>
      <c r="N10" s="134"/>
      <c r="O10" s="7" t="s">
        <v>290</v>
      </c>
      <c r="P10" s="66" t="str">
        <f t="shared" ref="P10:Z10" si="2">P5</f>
        <v>Q3 2024</v>
      </c>
      <c r="Q10" s="66" t="str">
        <f t="shared" si="2"/>
        <v>Q4 2024</v>
      </c>
      <c r="R10" s="66" t="str">
        <f t="shared" si="2"/>
        <v>Q1 2025</v>
      </c>
      <c r="S10" s="66" t="str">
        <f t="shared" si="2"/>
        <v>Q2 2025</v>
      </c>
      <c r="T10" s="66" t="str">
        <f t="shared" si="2"/>
        <v>Q3 2025</v>
      </c>
      <c r="U10" s="66" t="str">
        <f t="shared" si="2"/>
        <v>Q4 2025</v>
      </c>
      <c r="V10" s="66" t="str">
        <f t="shared" si="2"/>
        <v>Q1 2026</v>
      </c>
      <c r="W10" s="66" t="str">
        <f t="shared" si="2"/>
        <v>Q2 2026</v>
      </c>
      <c r="X10" s="66" t="str">
        <f t="shared" si="2"/>
        <v>FQ1</v>
      </c>
      <c r="Y10" s="66" t="str">
        <f t="shared" si="2"/>
        <v>FQ2</v>
      </c>
      <c r="Z10" s="66" t="str">
        <f t="shared" si="2"/>
        <v>FQ3</v>
      </c>
      <c r="AB10" s="65" t="str">
        <f>AB5</f>
        <v>FQ1</v>
      </c>
    </row>
    <row r="11" spans="1:28" x14ac:dyDescent="0.2">
      <c r="B11" s="7" t="s">
        <v>21</v>
      </c>
      <c r="C11" s="182">
        <f>'Statement Y'!H8</f>
        <v>14262</v>
      </c>
      <c r="D11" s="182">
        <f>'Statement Y'!I8</f>
        <v>18635</v>
      </c>
      <c r="E11" s="182">
        <f>'Statement Y'!J8</f>
        <v>15869</v>
      </c>
      <c r="F11" s="182">
        <f>'Statement Y'!K8</f>
        <v>17060</v>
      </c>
      <c r="G11" s="183">
        <f>'Statement Y'!L8</f>
        <v>19738</v>
      </c>
      <c r="H11" s="21">
        <f t="shared" ref="H11:L13" si="3">H19*H$6</f>
        <v>17984.467600000004</v>
      </c>
      <c r="I11" s="21">
        <f t="shared" si="3"/>
        <v>17867.385579999998</v>
      </c>
      <c r="J11" s="21">
        <f t="shared" si="3"/>
        <v>19483.903458800003</v>
      </c>
      <c r="K11" s="21">
        <f t="shared" si="3"/>
        <v>22520.425928319004</v>
      </c>
      <c r="L11" s="21">
        <f t="shared" si="3"/>
        <v>25822.894394338655</v>
      </c>
      <c r="N11" s="134"/>
      <c r="O11" s="7" t="s">
        <v>21</v>
      </c>
      <c r="P11" s="182">
        <f>'Statement Q'!C8</f>
        <v>4174</v>
      </c>
      <c r="Q11" s="182">
        <f>'Statement Q'!D8</f>
        <v>4467</v>
      </c>
      <c r="R11" s="182">
        <f>'Statement Q'!E8</f>
        <v>5161</v>
      </c>
      <c r="S11" s="182">
        <f>'Statement Q'!F8</f>
        <v>4937</v>
      </c>
      <c r="T11" s="182">
        <f>'Statement Q'!G8</f>
        <v>4606</v>
      </c>
      <c r="U11" s="182">
        <f>'Statement Q'!H8</f>
        <v>5033</v>
      </c>
      <c r="V11" s="182">
        <f>'Statement Q'!I8</f>
        <v>5568</v>
      </c>
      <c r="W11" s="183">
        <f>'Statement Q'!J8</f>
        <v>4900</v>
      </c>
      <c r="X11" s="21">
        <f>X19*X$6</f>
        <v>4323.4111999999996</v>
      </c>
      <c r="Y11" s="21"/>
      <c r="Z11" s="21"/>
      <c r="AB11" s="21">
        <f>SUM(U11:X11)</f>
        <v>19824.411199999999</v>
      </c>
    </row>
    <row r="12" spans="1:28" x14ac:dyDescent="0.2">
      <c r="B12" s="1" t="str">
        <f>'Statement Y'!B10</f>
        <v>R&amp;D</v>
      </c>
      <c r="C12" s="184">
        <f>'Statement Y'!H10</f>
        <v>7176</v>
      </c>
      <c r="D12" s="184">
        <f>'Statement Y'!I10</f>
        <v>8194</v>
      </c>
      <c r="E12" s="184">
        <f>'Statement Y'!J10</f>
        <v>8818</v>
      </c>
      <c r="F12" s="184">
        <f>'Statement Y'!K10</f>
        <v>8893</v>
      </c>
      <c r="G12" s="185">
        <f>'Statement Y'!L10</f>
        <v>9042</v>
      </c>
      <c r="H12" s="20">
        <f t="shared" si="3"/>
        <v>8583.4959000000017</v>
      </c>
      <c r="I12" s="20">
        <f t="shared" si="3"/>
        <v>8527.6158449999984</v>
      </c>
      <c r="J12" s="20">
        <f t="shared" si="3"/>
        <v>8856.3197540000019</v>
      </c>
      <c r="K12" s="20">
        <f t="shared" si="3"/>
        <v>10009.078190364002</v>
      </c>
      <c r="L12" s="20">
        <f t="shared" si="3"/>
        <v>10902.999855387432</v>
      </c>
      <c r="N12" s="134"/>
      <c r="O12" s="1" t="str">
        <f>'Statement Q'!B10</f>
        <v>R&amp;D</v>
      </c>
      <c r="P12" s="184">
        <f>'Statement Q'!C10</f>
        <v>2259</v>
      </c>
      <c r="Q12" s="184">
        <f>'Statement Q'!D10</f>
        <v>2302</v>
      </c>
      <c r="R12" s="184">
        <f>'Statement Q'!E10</f>
        <v>2230</v>
      </c>
      <c r="S12" s="184">
        <f>'Statement Q'!F10</f>
        <v>2216</v>
      </c>
      <c r="T12" s="184">
        <f>'Statement Q'!G10</f>
        <v>2226</v>
      </c>
      <c r="U12" s="184">
        <f>'Statement Q'!H10</f>
        <v>2370</v>
      </c>
      <c r="V12" s="184">
        <f>'Statement Q'!I10</f>
        <v>2453</v>
      </c>
      <c r="W12" s="185">
        <f>'Statement Q'!J10</f>
        <v>2463</v>
      </c>
      <c r="X12" s="36">
        <f>X20*X$6</f>
        <v>2255.6927999999998</v>
      </c>
      <c r="Y12" s="20"/>
      <c r="Z12" s="20"/>
      <c r="AB12" s="20">
        <f t="shared" ref="AB12:AB14" si="4">SUM(U12:X12)</f>
        <v>9541.6928000000007</v>
      </c>
    </row>
    <row r="13" spans="1:28" x14ac:dyDescent="0.2">
      <c r="B13" s="1" t="str">
        <f>'Statement Y'!B11</f>
        <v>SG&amp;A</v>
      </c>
      <c r="C13" s="184">
        <f>'Statement Y'!H11</f>
        <v>2339</v>
      </c>
      <c r="D13" s="184">
        <f>'Statement Y'!I11</f>
        <v>2570</v>
      </c>
      <c r="E13" s="184">
        <f>'Statement Y'!J11</f>
        <v>2483</v>
      </c>
      <c r="F13" s="184">
        <f>'Statement Y'!K11</f>
        <v>2759</v>
      </c>
      <c r="G13" s="185">
        <f>'Statement Y'!L11</f>
        <v>3110</v>
      </c>
      <c r="H13" s="20">
        <f t="shared" si="3"/>
        <v>2861.165300000001</v>
      </c>
      <c r="I13" s="20">
        <f t="shared" si="3"/>
        <v>2842.5386149999999</v>
      </c>
      <c r="J13" s="20">
        <f t="shared" si="3"/>
        <v>3099.7119139000006</v>
      </c>
      <c r="K13" s="20">
        <f t="shared" si="3"/>
        <v>3503.1773666274012</v>
      </c>
      <c r="L13" s="20">
        <f t="shared" si="3"/>
        <v>4016.8946835637912</v>
      </c>
      <c r="M13" s="139"/>
      <c r="N13" s="139"/>
      <c r="O13" s="1" t="str">
        <f>'Statement Q'!B11</f>
        <v>SG&amp;A</v>
      </c>
      <c r="P13" s="184">
        <f>'Statement Q'!C11</f>
        <v>664</v>
      </c>
      <c r="Q13" s="184">
        <f>'Statement Q'!D11</f>
        <v>762</v>
      </c>
      <c r="R13" s="184">
        <f>'Statement Q'!E11</f>
        <v>723</v>
      </c>
      <c r="S13" s="184">
        <f>'Statement Q'!F11</f>
        <v>706</v>
      </c>
      <c r="T13" s="184">
        <f>'Statement Q'!G11</f>
        <v>771</v>
      </c>
      <c r="U13" s="184">
        <f>'Statement Q'!H11</f>
        <v>910</v>
      </c>
      <c r="V13" s="184">
        <f>'Statement Q'!I11</f>
        <v>865</v>
      </c>
      <c r="W13" s="185">
        <f>'Statement Q'!J11</f>
        <v>898</v>
      </c>
      <c r="X13" s="36">
        <f>X21*X$6</f>
        <v>751.89760000000001</v>
      </c>
      <c r="Y13" s="20"/>
      <c r="Z13" s="20"/>
      <c r="AB13" s="20">
        <f t="shared" si="4"/>
        <v>3424.8976000000002</v>
      </c>
    </row>
    <row r="14" spans="1:28" x14ac:dyDescent="0.2">
      <c r="B14" s="7" t="s">
        <v>26</v>
      </c>
      <c r="C14" s="182">
        <f>'Statement Y'!H13</f>
        <v>9515</v>
      </c>
      <c r="D14" s="182">
        <f>'Statement Y'!I13</f>
        <v>9705</v>
      </c>
      <c r="E14" s="182">
        <f>'Statement Y'!J13</f>
        <v>12163</v>
      </c>
      <c r="F14" s="182">
        <f>'Statement Y'!K13</f>
        <v>11831</v>
      </c>
      <c r="G14" s="183">
        <f>'Statement Y'!L13</f>
        <v>12191</v>
      </c>
      <c r="H14" s="21">
        <f>SUM(H12:H13)</f>
        <v>11444.661200000002</v>
      </c>
      <c r="I14" s="21">
        <f>SUM(I12:I13)</f>
        <v>11370.154459999998</v>
      </c>
      <c r="J14" s="21">
        <f>SUM(J12:J13)</f>
        <v>11956.031667900003</v>
      </c>
      <c r="K14" s="21">
        <f>SUM(K12:K13)</f>
        <v>13512.255556991404</v>
      </c>
      <c r="L14" s="21">
        <f>SUM(L12:L13)</f>
        <v>14919.894538951223</v>
      </c>
      <c r="M14" s="139"/>
      <c r="N14" s="139"/>
      <c r="O14" s="7" t="s">
        <v>26</v>
      </c>
      <c r="P14" s="182">
        <f>'Statement Q'!C13</f>
        <v>2998</v>
      </c>
      <c r="Q14" s="182">
        <f>'Statement Q'!D13</f>
        <v>3196</v>
      </c>
      <c r="R14" s="182">
        <f>'Statement Q'!E13</f>
        <v>2953</v>
      </c>
      <c r="S14" s="182">
        <f>'Statement Q'!F13</f>
        <v>2922</v>
      </c>
      <c r="T14" s="182">
        <f>'Statement Q'!G13</f>
        <v>2997</v>
      </c>
      <c r="U14" s="182">
        <f>'Statement Q'!H13</f>
        <v>3319</v>
      </c>
      <c r="V14" s="182">
        <f>'Statement Q'!I13</f>
        <v>3318</v>
      </c>
      <c r="W14" s="183">
        <f>'Statement Q'!J13</f>
        <v>3390</v>
      </c>
      <c r="X14" s="21">
        <f>SUM(X12:X13)</f>
        <v>3007.5904</v>
      </c>
      <c r="Y14" s="21"/>
      <c r="Z14" s="21"/>
      <c r="AB14" s="21">
        <f t="shared" si="4"/>
        <v>13034.590400000001</v>
      </c>
    </row>
    <row r="17" spans="2:26" x14ac:dyDescent="0.2">
      <c r="C17" s="246" t="s">
        <v>291</v>
      </c>
      <c r="D17" s="246"/>
      <c r="E17" s="246"/>
      <c r="F17" s="246"/>
      <c r="G17" s="246"/>
      <c r="H17" s="246"/>
      <c r="I17" s="246"/>
      <c r="J17" s="246"/>
      <c r="K17" s="246"/>
      <c r="L17" s="246"/>
      <c r="P17" s="248" t="s">
        <v>291</v>
      </c>
      <c r="Q17" s="248"/>
      <c r="R17" s="248"/>
      <c r="S17" s="248"/>
      <c r="T17" s="248"/>
      <c r="U17" s="248"/>
      <c r="V17" s="248"/>
      <c r="W17" s="248"/>
      <c r="X17" s="248"/>
      <c r="Y17" s="248"/>
      <c r="Z17" s="248"/>
    </row>
    <row r="18" spans="2:26" x14ac:dyDescent="0.2">
      <c r="B18" s="7" t="s">
        <v>197</v>
      </c>
      <c r="C18" s="66">
        <f t="shared" ref="C18:L18" si="5">C5</f>
        <v>2021</v>
      </c>
      <c r="D18" s="66">
        <f t="shared" si="5"/>
        <v>2022</v>
      </c>
      <c r="E18" s="66">
        <f t="shared" si="5"/>
        <v>2023</v>
      </c>
      <c r="F18" s="66">
        <f t="shared" si="5"/>
        <v>2024</v>
      </c>
      <c r="G18" s="66">
        <f t="shared" si="5"/>
        <v>2025</v>
      </c>
      <c r="H18" s="66">
        <f t="shared" si="5"/>
        <v>2026</v>
      </c>
      <c r="I18" s="66">
        <f t="shared" si="5"/>
        <v>2027</v>
      </c>
      <c r="J18" s="66">
        <f t="shared" si="5"/>
        <v>2028</v>
      </c>
      <c r="K18" s="66">
        <f t="shared" si="5"/>
        <v>2029</v>
      </c>
      <c r="L18" s="66">
        <f t="shared" si="5"/>
        <v>2030</v>
      </c>
      <c r="O18" s="7" t="s">
        <v>197</v>
      </c>
      <c r="P18" s="66" t="str">
        <f t="shared" ref="P18:Z18" si="6">P5</f>
        <v>Q3 2024</v>
      </c>
      <c r="Q18" s="66" t="str">
        <f t="shared" si="6"/>
        <v>Q4 2024</v>
      </c>
      <c r="R18" s="66" t="str">
        <f t="shared" si="6"/>
        <v>Q1 2025</v>
      </c>
      <c r="S18" s="66" t="str">
        <f t="shared" si="6"/>
        <v>Q2 2025</v>
      </c>
      <c r="T18" s="66" t="str">
        <f t="shared" si="6"/>
        <v>Q3 2025</v>
      </c>
      <c r="U18" s="66" t="str">
        <f t="shared" si="6"/>
        <v>Q4 2025</v>
      </c>
      <c r="V18" s="66" t="str">
        <f t="shared" si="6"/>
        <v>Q1 2026</v>
      </c>
      <c r="W18" s="66" t="str">
        <f t="shared" si="6"/>
        <v>Q2 2026</v>
      </c>
      <c r="X18" s="66" t="str">
        <f t="shared" si="6"/>
        <v>FQ1</v>
      </c>
      <c r="Y18" s="66" t="str">
        <f t="shared" si="6"/>
        <v>FQ2</v>
      </c>
      <c r="Z18" s="66" t="str">
        <f t="shared" si="6"/>
        <v>FQ3</v>
      </c>
    </row>
    <row r="19" spans="2:26" x14ac:dyDescent="0.2">
      <c r="B19" s="1" t="str">
        <f>B11</f>
        <v>COGS</v>
      </c>
      <c r="C19" s="102">
        <f t="shared" ref="C19:G21" si="7">C11/C$6</f>
        <v>0.42489423821724365</v>
      </c>
      <c r="D19" s="102">
        <f t="shared" si="7"/>
        <v>0.42160633484162896</v>
      </c>
      <c r="E19" s="102">
        <f t="shared" si="7"/>
        <v>0.44302065884980457</v>
      </c>
      <c r="F19" s="102">
        <f t="shared" si="7"/>
        <v>0.43786253272419279</v>
      </c>
      <c r="G19" s="179">
        <f t="shared" si="7"/>
        <v>0.44571402763977963</v>
      </c>
      <c r="H19" s="113">
        <v>0.44</v>
      </c>
      <c r="I19" s="113">
        <v>0.44</v>
      </c>
      <c r="J19" s="113">
        <v>0.44</v>
      </c>
      <c r="K19" s="113">
        <v>0.45</v>
      </c>
      <c r="L19" s="113">
        <v>0.45</v>
      </c>
      <c r="O19" s="1" t="str">
        <f>O11</f>
        <v>COGS</v>
      </c>
      <c r="P19" s="102">
        <f t="shared" ref="P19:W21" si="8">P11/P$6</f>
        <v>0.444373469605025</v>
      </c>
      <c r="Q19" s="102">
        <f t="shared" si="8"/>
        <v>0.43606013276064037</v>
      </c>
      <c r="R19" s="102">
        <f t="shared" si="8"/>
        <v>0.44228297197703315</v>
      </c>
      <c r="S19" s="102">
        <f t="shared" si="8"/>
        <v>0.44967665543309954</v>
      </c>
      <c r="T19" s="102">
        <f t="shared" si="8"/>
        <v>0.4443801254220936</v>
      </c>
      <c r="U19" s="102">
        <f t="shared" si="8"/>
        <v>0.44658385093167702</v>
      </c>
      <c r="V19" s="102">
        <f t="shared" si="8"/>
        <v>0.4544564152791381</v>
      </c>
      <c r="W19" s="179">
        <f t="shared" si="8"/>
        <v>0.46230776488347958</v>
      </c>
      <c r="X19" s="113">
        <v>0.46</v>
      </c>
      <c r="Y19" s="113"/>
      <c r="Z19" s="113"/>
    </row>
    <row r="20" spans="2:26" x14ac:dyDescent="0.2">
      <c r="B20" s="1" t="str">
        <f>B12</f>
        <v>R&amp;D</v>
      </c>
      <c r="C20" s="102">
        <f t="shared" si="7"/>
        <v>0.21378776142525174</v>
      </c>
      <c r="D20" s="102">
        <f t="shared" si="7"/>
        <v>0.1853846153846154</v>
      </c>
      <c r="E20" s="102">
        <f t="shared" si="7"/>
        <v>0.24617532104969292</v>
      </c>
      <c r="F20" s="102">
        <f t="shared" si="7"/>
        <v>0.22824803654843182</v>
      </c>
      <c r="G20" s="179">
        <f t="shared" si="7"/>
        <v>0.20418209737151116</v>
      </c>
      <c r="H20" s="113">
        <v>0.21</v>
      </c>
      <c r="I20" s="113">
        <v>0.21</v>
      </c>
      <c r="J20" s="113">
        <v>0.2</v>
      </c>
      <c r="K20" s="113">
        <v>0.2</v>
      </c>
      <c r="L20" s="113">
        <v>0.19</v>
      </c>
      <c r="O20" s="1" t="str">
        <f>O12</f>
        <v>R&amp;D</v>
      </c>
      <c r="P20" s="102">
        <f t="shared" si="8"/>
        <v>0.24049824337272438</v>
      </c>
      <c r="Q20" s="102">
        <f t="shared" si="8"/>
        <v>0.2247169074580242</v>
      </c>
      <c r="R20" s="102">
        <f t="shared" si="8"/>
        <v>0.19110463621561402</v>
      </c>
      <c r="S20" s="102">
        <f t="shared" si="8"/>
        <v>0.20183987612715185</v>
      </c>
      <c r="T20" s="102">
        <f t="shared" si="8"/>
        <v>0.21476121562952244</v>
      </c>
      <c r="U20" s="102">
        <f t="shared" si="8"/>
        <v>0.21029281277728482</v>
      </c>
      <c r="V20" s="102">
        <f t="shared" si="8"/>
        <v>0.20021221025138752</v>
      </c>
      <c r="W20" s="179">
        <f t="shared" si="8"/>
        <v>0.23238041324653269</v>
      </c>
      <c r="X20" s="113">
        <v>0.24</v>
      </c>
      <c r="Y20" s="113"/>
      <c r="Z20" s="113"/>
    </row>
    <row r="21" spans="2:26" x14ac:dyDescent="0.2">
      <c r="B21" s="1" t="str">
        <f>B13</f>
        <v>SG&amp;A</v>
      </c>
      <c r="C21" s="102">
        <f t="shared" si="7"/>
        <v>6.9683608413275339E-2</v>
      </c>
      <c r="D21" s="102">
        <f t="shared" si="7"/>
        <v>5.8144796380090499E-2</v>
      </c>
      <c r="E21" s="102">
        <f t="shared" si="7"/>
        <v>6.9318816303740927E-2</v>
      </c>
      <c r="F21" s="102">
        <f t="shared" si="7"/>
        <v>7.0812586622863299E-2</v>
      </c>
      <c r="G21" s="179">
        <f t="shared" si="7"/>
        <v>7.0228524975160328E-2</v>
      </c>
      <c r="H21" s="113">
        <v>7.0000000000000007E-2</v>
      </c>
      <c r="I21" s="113">
        <v>7.0000000000000007E-2</v>
      </c>
      <c r="J21" s="113">
        <v>7.0000000000000007E-2</v>
      </c>
      <c r="K21" s="113">
        <v>7.0000000000000007E-2</v>
      </c>
      <c r="L21" s="113">
        <v>7.0000000000000007E-2</v>
      </c>
      <c r="O21" s="1" t="str">
        <f>O13</f>
        <v>SG&amp;A</v>
      </c>
      <c r="P21" s="102">
        <f t="shared" si="8"/>
        <v>7.0690940061748114E-2</v>
      </c>
      <c r="Q21" s="102">
        <f t="shared" si="8"/>
        <v>7.4385005857087072E-2</v>
      </c>
      <c r="R21" s="102">
        <f t="shared" si="8"/>
        <v>6.1959036764075756E-2</v>
      </c>
      <c r="S21" s="102">
        <f t="shared" si="8"/>
        <v>6.4304581473722561E-2</v>
      </c>
      <c r="T21" s="102">
        <f t="shared" si="8"/>
        <v>7.4384949348769894E-2</v>
      </c>
      <c r="U21" s="102">
        <f t="shared" si="8"/>
        <v>8.0745341614906832E-2</v>
      </c>
      <c r="V21" s="102">
        <f t="shared" si="8"/>
        <v>7.0600718250081615E-2</v>
      </c>
      <c r="W21" s="179">
        <f t="shared" si="8"/>
        <v>8.4724974054156049E-2</v>
      </c>
      <c r="X21" s="113">
        <v>0.08</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39ED4-1B42-5943-B0F9-B35D31D8EC90}">
  <dimension ref="A1:AB46"/>
  <sheetViews>
    <sheetView topLeftCell="A38" zoomScale="189" zoomScaleNormal="100" workbookViewId="0">
      <selection activeCell="L46" sqref="L4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292</v>
      </c>
    </row>
    <row r="2" spans="1:28" s="169" customFormat="1" ht="18" customHeight="1" x14ac:dyDescent="0.2">
      <c r="A2" s="167"/>
      <c r="B2" s="168"/>
    </row>
    <row r="3" spans="1:28" x14ac:dyDescent="0.2">
      <c r="A3" s="167"/>
      <c r="C3" s="242" t="s">
        <v>176</v>
      </c>
      <c r="D3" s="242"/>
      <c r="E3" s="242"/>
      <c r="F3" s="242"/>
      <c r="G3" s="249"/>
      <c r="H3" s="250" t="s">
        <v>177</v>
      </c>
      <c r="I3" s="242"/>
      <c r="J3" s="242"/>
      <c r="K3" s="242"/>
      <c r="L3" s="242"/>
      <c r="P3" s="251"/>
      <c r="Q3" s="251"/>
      <c r="R3" s="251"/>
      <c r="S3" s="251"/>
      <c r="T3" s="251"/>
      <c r="U3" s="251"/>
      <c r="V3" s="251"/>
      <c r="W3" s="251"/>
      <c r="X3" s="251"/>
      <c r="Y3" s="251"/>
      <c r="Z3" s="251"/>
      <c r="AB3" s="186"/>
    </row>
    <row r="4" spans="1:28" ht="10" customHeight="1" x14ac:dyDescent="0.2"/>
    <row r="5" spans="1:28" ht="16" customHeight="1" x14ac:dyDescent="0.2">
      <c r="A5" s="172"/>
      <c r="B5" s="173"/>
      <c r="C5" s="246" t="s">
        <v>178</v>
      </c>
      <c r="D5" s="246"/>
      <c r="E5" s="246"/>
      <c r="F5" s="246"/>
      <c r="G5" s="246"/>
      <c r="H5" s="246"/>
      <c r="I5" s="246"/>
      <c r="J5" s="246"/>
      <c r="K5" s="246"/>
      <c r="L5" s="246"/>
      <c r="P5" s="251"/>
      <c r="Q5" s="251"/>
      <c r="R5" s="251"/>
      <c r="S5" s="251"/>
      <c r="T5" s="251"/>
      <c r="U5" s="251"/>
      <c r="V5" s="251"/>
      <c r="W5" s="251"/>
      <c r="X5" s="251"/>
      <c r="Y5" s="251"/>
      <c r="Z5" s="251"/>
      <c r="AB5" s="187"/>
    </row>
    <row r="6" spans="1:28" x14ac:dyDescent="0.2">
      <c r="B6" s="7" t="s">
        <v>279</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7" t="s">
        <v>20</v>
      </c>
      <c r="C7" s="176">
        <f>Revenue!C11</f>
        <v>33566</v>
      </c>
      <c r="D7" s="176">
        <f>Revenue!D11</f>
        <v>44200</v>
      </c>
      <c r="E7" s="176">
        <f>Revenue!E11</f>
        <v>35820</v>
      </c>
      <c r="F7" s="176">
        <f>Revenue!F11</f>
        <v>38962</v>
      </c>
      <c r="G7" s="177">
        <f>Revenue!G11</f>
        <v>44284</v>
      </c>
      <c r="H7" s="176">
        <f>Revenue!H11</f>
        <v>40873.790000000008</v>
      </c>
      <c r="I7" s="176">
        <f>Revenue!I11</f>
        <v>40607.694499999998</v>
      </c>
      <c r="J7" s="176">
        <f>Revenue!J11</f>
        <v>44281.598770000004</v>
      </c>
      <c r="K7" s="176">
        <f>Revenue!K11</f>
        <v>50045.390951820009</v>
      </c>
      <c r="L7" s="176">
        <f>Revenue!L11</f>
        <v>57384.209765197011</v>
      </c>
      <c r="N7" s="134"/>
      <c r="O7" s="7"/>
      <c r="P7" s="176"/>
      <c r="Q7" s="176"/>
      <c r="R7" s="176"/>
      <c r="S7" s="176"/>
      <c r="T7" s="176"/>
      <c r="U7" s="176"/>
      <c r="V7" s="176"/>
      <c r="W7" s="176"/>
      <c r="X7" s="178"/>
      <c r="Y7" s="178"/>
      <c r="Z7" s="178"/>
      <c r="AB7" s="178"/>
    </row>
    <row r="8" spans="1:28" x14ac:dyDescent="0.2">
      <c r="B8" s="8" t="s">
        <v>21</v>
      </c>
      <c r="C8" s="189">
        <f>'COGS &amp; OpEx'!C11</f>
        <v>14262</v>
      </c>
      <c r="D8" s="189">
        <f>'COGS &amp; OpEx'!D11</f>
        <v>18635</v>
      </c>
      <c r="E8" s="189">
        <f>'COGS &amp; OpEx'!E11</f>
        <v>15869</v>
      </c>
      <c r="F8" s="189">
        <f>'COGS &amp; OpEx'!F11</f>
        <v>17060</v>
      </c>
      <c r="G8" s="190">
        <f>'COGS &amp; OpEx'!G11</f>
        <v>19738</v>
      </c>
      <c r="H8" s="189">
        <f>'COGS &amp; OpEx'!H11</f>
        <v>17984.467600000004</v>
      </c>
      <c r="I8" s="189">
        <f>'COGS &amp; OpEx'!I11</f>
        <v>17867.385579999998</v>
      </c>
      <c r="J8" s="189">
        <f>'COGS &amp; OpEx'!J11</f>
        <v>19483.903458800003</v>
      </c>
      <c r="K8" s="189">
        <f>'COGS &amp; OpEx'!K11</f>
        <v>22520.425928319004</v>
      </c>
      <c r="L8" s="189">
        <f>'COGS &amp; OpEx'!L11</f>
        <v>25822.894394338655</v>
      </c>
      <c r="N8" s="134"/>
      <c r="O8" s="7"/>
      <c r="P8" s="176"/>
      <c r="Q8" s="176"/>
      <c r="R8" s="176"/>
      <c r="S8" s="176"/>
      <c r="T8" s="176"/>
      <c r="U8" s="176"/>
      <c r="V8" s="176"/>
      <c r="W8" s="176"/>
      <c r="X8" s="178"/>
      <c r="Y8" s="178"/>
      <c r="Z8" s="178"/>
      <c r="AB8" s="178"/>
    </row>
    <row r="9" spans="1:28" x14ac:dyDescent="0.2">
      <c r="N9" s="134"/>
    </row>
    <row r="10" spans="1:28" x14ac:dyDescent="0.2">
      <c r="N10" s="134"/>
    </row>
    <row r="11" spans="1:28" x14ac:dyDescent="0.2">
      <c r="C11" s="246" t="s">
        <v>293</v>
      </c>
      <c r="D11" s="246"/>
      <c r="E11" s="246"/>
      <c r="F11" s="246"/>
      <c r="G11" s="246"/>
      <c r="H11" s="246"/>
      <c r="I11" s="246"/>
      <c r="J11" s="246"/>
      <c r="K11" s="246"/>
      <c r="L11" s="246"/>
      <c r="N11" s="134"/>
      <c r="P11" s="251"/>
      <c r="Q11" s="251"/>
      <c r="R11" s="251"/>
      <c r="S11" s="251"/>
      <c r="T11" s="251"/>
      <c r="U11" s="251"/>
      <c r="V11" s="251"/>
      <c r="W11" s="251"/>
      <c r="X11" s="251"/>
      <c r="Y11" s="251"/>
      <c r="Z11" s="251"/>
      <c r="AB11" s="187"/>
    </row>
    <row r="12" spans="1:28" x14ac:dyDescent="0.2">
      <c r="B12" s="7" t="s">
        <v>294</v>
      </c>
      <c r="C12" s="66">
        <f t="shared" ref="C12:L12" si="0">C6</f>
        <v>2021</v>
      </c>
      <c r="D12" s="66">
        <f t="shared" si="0"/>
        <v>2022</v>
      </c>
      <c r="E12" s="66">
        <f t="shared" si="0"/>
        <v>2023</v>
      </c>
      <c r="F12" s="66">
        <f t="shared" si="0"/>
        <v>2024</v>
      </c>
      <c r="G12" s="66">
        <f t="shared" si="0"/>
        <v>2025</v>
      </c>
      <c r="H12" s="66">
        <f t="shared" si="0"/>
        <v>2026</v>
      </c>
      <c r="I12" s="66">
        <f t="shared" si="0"/>
        <v>2027</v>
      </c>
      <c r="J12" s="66">
        <f t="shared" si="0"/>
        <v>2028</v>
      </c>
      <c r="K12" s="66">
        <f t="shared" si="0"/>
        <v>2029</v>
      </c>
      <c r="L12" s="66">
        <f t="shared" si="0"/>
        <v>2030</v>
      </c>
      <c r="N12" s="134"/>
      <c r="O12" s="7"/>
      <c r="P12" s="188"/>
      <c r="Q12" s="188"/>
      <c r="R12" s="188"/>
      <c r="S12" s="188"/>
      <c r="T12" s="188"/>
      <c r="U12" s="188"/>
      <c r="V12" s="188"/>
      <c r="W12" s="188"/>
      <c r="X12" s="188"/>
      <c r="Y12" s="188"/>
      <c r="Z12" s="188"/>
      <c r="AB12" s="187"/>
    </row>
    <row r="13" spans="1:28" x14ac:dyDescent="0.2">
      <c r="B13" s="8" t="s">
        <v>295</v>
      </c>
      <c r="C13" s="191">
        <f>Statements!H25</f>
        <v>3579</v>
      </c>
      <c r="D13" s="191">
        <f>Statements!I25</f>
        <v>5643</v>
      </c>
      <c r="E13" s="191">
        <f>Statements!J25</f>
        <v>3183</v>
      </c>
      <c r="F13" s="191">
        <f>Statements!K25</f>
        <v>3929</v>
      </c>
      <c r="G13" s="192">
        <f>Statements!L25</f>
        <v>4315</v>
      </c>
      <c r="H13" s="36">
        <f>H20*H7/365</f>
        <v>4031.3875068493162</v>
      </c>
      <c r="I13" s="36">
        <f>I20*I7/365</f>
        <v>4005.1424712328762</v>
      </c>
      <c r="J13" s="36">
        <f>J20*J7/365</f>
        <v>4367.5001526575343</v>
      </c>
      <c r="K13" s="36">
        <f>K20*K7/365</f>
        <v>4935.9837651110147</v>
      </c>
      <c r="L13" s="36">
        <f>L20*L7/365</f>
        <v>5659.8124699920336</v>
      </c>
      <c r="N13" s="134"/>
      <c r="O13" s="7"/>
      <c r="P13" s="193"/>
      <c r="Q13" s="193"/>
      <c r="R13" s="193"/>
      <c r="S13" s="193"/>
      <c r="T13" s="193"/>
      <c r="U13" s="193"/>
      <c r="V13" s="193"/>
      <c r="W13" s="193"/>
      <c r="X13" s="21"/>
      <c r="Y13" s="21"/>
      <c r="Z13" s="21"/>
      <c r="AB13" s="20"/>
    </row>
    <row r="14" spans="1:28" x14ac:dyDescent="0.2">
      <c r="B14" s="8" t="s">
        <v>296</v>
      </c>
      <c r="C14" s="191">
        <f>Statements!H26</f>
        <v>3228</v>
      </c>
      <c r="D14" s="191">
        <f>Statements!I26</f>
        <v>6341</v>
      </c>
      <c r="E14" s="191">
        <f>Statements!J26</f>
        <v>6422</v>
      </c>
      <c r="F14" s="191">
        <f>Statements!K26</f>
        <v>6423</v>
      </c>
      <c r="G14" s="192">
        <f>Statements!L26</f>
        <v>6526</v>
      </c>
      <c r="H14" s="36">
        <f>H21*H8/365</f>
        <v>6405.4268164383575</v>
      </c>
      <c r="I14" s="36">
        <f t="shared" ref="I14:L14" si="1">I21*I8/365</f>
        <v>6363.7263709589033</v>
      </c>
      <c r="J14" s="36">
        <f t="shared" si="1"/>
        <v>6939.4724647780831</v>
      </c>
      <c r="K14" s="36">
        <f t="shared" si="1"/>
        <v>8020.9736183053992</v>
      </c>
      <c r="L14" s="36">
        <f t="shared" si="1"/>
        <v>9197.1952637370541</v>
      </c>
      <c r="N14" s="134"/>
      <c r="O14" s="7"/>
      <c r="P14" s="193"/>
      <c r="Q14" s="193"/>
      <c r="R14" s="193"/>
      <c r="S14" s="193"/>
      <c r="T14" s="193"/>
      <c r="U14" s="193"/>
      <c r="V14" s="193"/>
      <c r="W14" s="193"/>
      <c r="X14" s="21"/>
      <c r="Y14" s="21"/>
      <c r="Z14" s="21"/>
      <c r="AB14" s="20"/>
    </row>
    <row r="15" spans="1:28" x14ac:dyDescent="0.2">
      <c r="B15" s="1" t="s">
        <v>297</v>
      </c>
      <c r="C15" s="191">
        <f>Statements!H39</f>
        <v>2750</v>
      </c>
      <c r="D15" s="191">
        <f>Statements!I39</f>
        <v>3796</v>
      </c>
      <c r="E15" s="191">
        <f>Statements!J39</f>
        <v>1912</v>
      </c>
      <c r="F15" s="191">
        <f>Statements!K39</f>
        <v>2584</v>
      </c>
      <c r="G15" s="192">
        <f>Statements!L39</f>
        <v>2791</v>
      </c>
      <c r="H15" s="20">
        <f>H22*H8/365</f>
        <v>2463.6256986301373</v>
      </c>
      <c r="I15" s="20">
        <f>I22*I8/365</f>
        <v>2447.5870657534242</v>
      </c>
      <c r="J15" s="20">
        <f>J22*J8/365</f>
        <v>2669.0278710684938</v>
      </c>
      <c r="K15" s="20">
        <f>K22*K8/365</f>
        <v>3084.9898531943841</v>
      </c>
      <c r="L15" s="20">
        <f>L22*L8/365</f>
        <v>3537.382793745021</v>
      </c>
      <c r="N15" s="134"/>
      <c r="P15" s="194"/>
      <c r="Q15" s="194"/>
      <c r="R15" s="194"/>
      <c r="S15" s="194"/>
      <c r="T15" s="194"/>
      <c r="U15" s="194"/>
      <c r="V15" s="194"/>
      <c r="W15" s="194"/>
      <c r="X15" s="36"/>
      <c r="Y15" s="20"/>
      <c r="Z15" s="20"/>
      <c r="AB15" s="20"/>
    </row>
    <row r="16" spans="1:28" x14ac:dyDescent="0.2">
      <c r="D16" s="20"/>
    </row>
    <row r="18" spans="2:12" x14ac:dyDescent="0.2">
      <c r="C18" s="246" t="s">
        <v>298</v>
      </c>
      <c r="D18" s="246"/>
      <c r="E18" s="246"/>
      <c r="F18" s="246"/>
      <c r="G18" s="246"/>
      <c r="H18" s="246"/>
      <c r="I18" s="246"/>
      <c r="J18" s="246"/>
      <c r="K18" s="246"/>
      <c r="L18" s="246"/>
    </row>
    <row r="19" spans="2:12" x14ac:dyDescent="0.2">
      <c r="B19" s="7" t="s">
        <v>299</v>
      </c>
      <c r="C19" s="66">
        <f t="shared" ref="C19:L19" si="2">C6</f>
        <v>2021</v>
      </c>
      <c r="D19" s="66">
        <f t="shared" si="2"/>
        <v>2022</v>
      </c>
      <c r="E19" s="66">
        <f t="shared" si="2"/>
        <v>2023</v>
      </c>
      <c r="F19" s="66">
        <f t="shared" si="2"/>
        <v>2024</v>
      </c>
      <c r="G19" s="66">
        <f t="shared" si="2"/>
        <v>2025</v>
      </c>
      <c r="H19" s="66">
        <f t="shared" si="2"/>
        <v>2026</v>
      </c>
      <c r="I19" s="66">
        <f t="shared" si="2"/>
        <v>2027</v>
      </c>
      <c r="J19" s="66">
        <f t="shared" si="2"/>
        <v>2028</v>
      </c>
      <c r="K19" s="66">
        <f t="shared" si="2"/>
        <v>2029</v>
      </c>
      <c r="L19" s="66">
        <f t="shared" si="2"/>
        <v>2030</v>
      </c>
    </row>
    <row r="20" spans="2:12" x14ac:dyDescent="0.2">
      <c r="B20" s="1" t="s">
        <v>300</v>
      </c>
      <c r="C20" s="195">
        <f>C13/C7*365</f>
        <v>38.91839957099446</v>
      </c>
      <c r="D20" s="195">
        <f>D13/D7*365</f>
        <v>46.599434389140271</v>
      </c>
      <c r="E20" s="195">
        <f>E13/E7*365</f>
        <v>32.434254606365158</v>
      </c>
      <c r="F20" s="195">
        <f>F13/F7*365</f>
        <v>36.807273753914075</v>
      </c>
      <c r="G20" s="196">
        <f>G13/G7*365</f>
        <v>35.565328335290403</v>
      </c>
      <c r="H20" s="197">
        <v>36</v>
      </c>
      <c r="I20" s="197">
        <v>36</v>
      </c>
      <c r="J20" s="197">
        <v>36</v>
      </c>
      <c r="K20" s="197">
        <v>36</v>
      </c>
      <c r="L20" s="197">
        <v>36</v>
      </c>
    </row>
    <row r="21" spans="2:12" x14ac:dyDescent="0.2">
      <c r="B21" s="1" t="s">
        <v>301</v>
      </c>
      <c r="C21" s="195">
        <f>C14/C8*365</f>
        <v>82.612536811106438</v>
      </c>
      <c r="D21" s="195">
        <f t="shared" ref="D21:G21" si="3">D14/D8*365</f>
        <v>124.19989267507378</v>
      </c>
      <c r="E21" s="195">
        <f t="shared" si="3"/>
        <v>147.7112609490201</v>
      </c>
      <c r="F21" s="195">
        <f t="shared" si="3"/>
        <v>137.42057444314187</v>
      </c>
      <c r="G21" s="196">
        <f t="shared" si="3"/>
        <v>120.68041341574629</v>
      </c>
      <c r="H21" s="197">
        <v>130</v>
      </c>
      <c r="I21" s="197">
        <v>130</v>
      </c>
      <c r="J21" s="197">
        <v>130</v>
      </c>
      <c r="K21" s="197">
        <v>130</v>
      </c>
      <c r="L21" s="197">
        <v>130</v>
      </c>
    </row>
    <row r="22" spans="2:12" x14ac:dyDescent="0.2">
      <c r="B22" s="1" t="s">
        <v>302</v>
      </c>
      <c r="C22" s="195">
        <f>C15/C8*365</f>
        <v>70.379329687280887</v>
      </c>
      <c r="D22" s="195">
        <f>D15/D8*365</f>
        <v>74.351489133351222</v>
      </c>
      <c r="E22" s="195">
        <f>E15/E8*365</f>
        <v>43.977566324280041</v>
      </c>
      <c r="F22" s="195">
        <f>F15/F8*365</f>
        <v>55.284876905041038</v>
      </c>
      <c r="G22" s="196">
        <f>G15/G8*365</f>
        <v>51.611865437227685</v>
      </c>
      <c r="H22" s="197">
        <v>50</v>
      </c>
      <c r="I22" s="197">
        <v>50</v>
      </c>
      <c r="J22" s="197">
        <v>50</v>
      </c>
      <c r="K22" s="197">
        <v>50</v>
      </c>
      <c r="L22" s="197">
        <v>50</v>
      </c>
    </row>
    <row r="23" spans="2:12" x14ac:dyDescent="0.2">
      <c r="B23" s="1" t="s">
        <v>303</v>
      </c>
      <c r="C23" s="195">
        <f>C20+C21-C22</f>
        <v>51.151606694820003</v>
      </c>
      <c r="D23" s="195">
        <f t="shared" ref="D23:L23" si="4">D20+D21-D22</f>
        <v>96.447837930862832</v>
      </c>
      <c r="E23" s="195">
        <f t="shared" si="4"/>
        <v>136.16794923110521</v>
      </c>
      <c r="F23" s="195">
        <f t="shared" si="4"/>
        <v>118.9429712920149</v>
      </c>
      <c r="G23" s="196">
        <f t="shared" si="4"/>
        <v>104.633876313809</v>
      </c>
      <c r="H23" s="195">
        <f t="shared" si="4"/>
        <v>116</v>
      </c>
      <c r="I23" s="195">
        <f t="shared" si="4"/>
        <v>116</v>
      </c>
      <c r="J23" s="195">
        <f t="shared" si="4"/>
        <v>116</v>
      </c>
      <c r="K23" s="195">
        <f t="shared" si="4"/>
        <v>116</v>
      </c>
      <c r="L23" s="195">
        <f t="shared" si="4"/>
        <v>116</v>
      </c>
    </row>
    <row r="25" spans="2:12" x14ac:dyDescent="0.2">
      <c r="B25" s="251"/>
      <c r="C25" s="251"/>
    </row>
    <row r="26" spans="2:12" x14ac:dyDescent="0.2">
      <c r="B26" s="186"/>
      <c r="C26" s="246" t="s">
        <v>304</v>
      </c>
      <c r="D26" s="246"/>
      <c r="E26" s="246"/>
      <c r="F26" s="246"/>
      <c r="G26" s="246"/>
      <c r="H26" s="246"/>
      <c r="I26" s="246"/>
      <c r="J26" s="246"/>
      <c r="K26" s="246"/>
      <c r="L26" s="246"/>
    </row>
    <row r="27" spans="2:12" x14ac:dyDescent="0.2">
      <c r="B27" s="7" t="s">
        <v>294</v>
      </c>
      <c r="C27" s="66">
        <f t="shared" ref="C27:L27" si="5">C6</f>
        <v>2021</v>
      </c>
      <c r="D27" s="66">
        <f t="shared" si="5"/>
        <v>2022</v>
      </c>
      <c r="E27" s="66">
        <f t="shared" si="5"/>
        <v>2023</v>
      </c>
      <c r="F27" s="66">
        <f t="shared" si="5"/>
        <v>2024</v>
      </c>
      <c r="G27" s="66">
        <f t="shared" si="5"/>
        <v>2025</v>
      </c>
      <c r="H27" s="66">
        <f t="shared" si="5"/>
        <v>2026</v>
      </c>
      <c r="I27" s="66">
        <f t="shared" si="5"/>
        <v>2027</v>
      </c>
      <c r="J27" s="66">
        <f t="shared" si="5"/>
        <v>2028</v>
      </c>
      <c r="K27" s="66">
        <f t="shared" si="5"/>
        <v>2029</v>
      </c>
      <c r="L27" s="66">
        <f t="shared" si="5"/>
        <v>2030</v>
      </c>
    </row>
    <row r="28" spans="2:12" x14ac:dyDescent="0.2">
      <c r="B28" s="1" t="s">
        <v>305</v>
      </c>
      <c r="C28" s="191">
        <f>'Statement Y'!H80</f>
        <v>426</v>
      </c>
      <c r="D28" s="191">
        <f>'Statement Y'!I80</f>
        <v>-2066</v>
      </c>
      <c r="E28" s="191">
        <f>'Statement Y'!J80</f>
        <v>2472</v>
      </c>
      <c r="F28" s="191">
        <f>'Statement Y'!K80</f>
        <v>-768</v>
      </c>
      <c r="G28" s="192">
        <f>'Statement Y'!L80</f>
        <v>-365</v>
      </c>
      <c r="H28" s="36">
        <f>-(H13-G13)</f>
        <v>283.6124931506838</v>
      </c>
      <c r="I28" s="36">
        <f t="shared" ref="I28:L29" si="6">-(I13-H13)</f>
        <v>26.245035616439964</v>
      </c>
      <c r="J28" s="36">
        <f t="shared" si="6"/>
        <v>-362.35768142465804</v>
      </c>
      <c r="K28" s="36">
        <f t="shared" si="6"/>
        <v>-568.48361245348042</v>
      </c>
      <c r="L28" s="36">
        <f t="shared" si="6"/>
        <v>-723.82870488101889</v>
      </c>
    </row>
    <row r="29" spans="2:12" x14ac:dyDescent="0.2">
      <c r="B29" s="1" t="s">
        <v>306</v>
      </c>
      <c r="C29" s="191">
        <f>'Statement Y'!H81</f>
        <v>-622</v>
      </c>
      <c r="D29" s="191">
        <f>'Statement Y'!I81</f>
        <v>-3137</v>
      </c>
      <c r="E29" s="191">
        <f>'Statement Y'!J81</f>
        <v>8</v>
      </c>
      <c r="F29" s="191">
        <f>'Statement Y'!K81</f>
        <v>13</v>
      </c>
      <c r="G29" s="192">
        <f>'Statement Y'!L81</f>
        <v>-138</v>
      </c>
      <c r="H29" s="36">
        <f>-(H14-G14)</f>
        <v>120.57318356164251</v>
      </c>
      <c r="I29" s="36">
        <f t="shared" si="6"/>
        <v>41.700445479454174</v>
      </c>
      <c r="J29" s="36">
        <f t="shared" si="6"/>
        <v>-575.7460938191798</v>
      </c>
      <c r="K29" s="36">
        <f t="shared" si="6"/>
        <v>-1081.5011535273161</v>
      </c>
      <c r="L29" s="36">
        <f t="shared" si="6"/>
        <v>-1176.2216454316549</v>
      </c>
    </row>
    <row r="30" spans="2:12" x14ac:dyDescent="0.2">
      <c r="B30" s="1" t="s">
        <v>307</v>
      </c>
      <c r="C30" s="191">
        <f>'Statement Y'!H83</f>
        <v>495</v>
      </c>
      <c r="D30" s="191">
        <f>'Statement Y'!I83</f>
        <v>1036</v>
      </c>
      <c r="E30" s="191">
        <f>'Statement Y'!J83</f>
        <v>-1880</v>
      </c>
      <c r="F30" s="191">
        <f>'Statement Y'!K83</f>
        <v>682</v>
      </c>
      <c r="G30" s="192">
        <f>'Statement Y'!L83</f>
        <v>119</v>
      </c>
      <c r="H30" s="20">
        <f>H15-G15</f>
        <v>-327.37430136986268</v>
      </c>
      <c r="I30" s="20">
        <f t="shared" ref="I30:L30" si="7">I15-H15</f>
        <v>-16.038632876713109</v>
      </c>
      <c r="J30" s="20">
        <f t="shared" si="7"/>
        <v>221.44080531506961</v>
      </c>
      <c r="K30" s="20">
        <f t="shared" si="7"/>
        <v>415.96198212589024</v>
      </c>
      <c r="L30" s="20">
        <f t="shared" si="7"/>
        <v>452.39294055063692</v>
      </c>
    </row>
    <row r="31" spans="2:12" x14ac:dyDescent="0.2">
      <c r="B31" s="186"/>
      <c r="C31" s="186"/>
    </row>
    <row r="32" spans="2:12" x14ac:dyDescent="0.2">
      <c r="B32" s="186"/>
      <c r="C32" s="186"/>
    </row>
    <row r="33" spans="2:12" x14ac:dyDescent="0.2">
      <c r="B33" s="186"/>
      <c r="C33" s="246" t="s">
        <v>308</v>
      </c>
      <c r="D33" s="246"/>
      <c r="E33" s="246"/>
      <c r="F33" s="246"/>
      <c r="G33" s="246"/>
      <c r="H33" s="246"/>
      <c r="I33" s="246"/>
      <c r="J33" s="246"/>
      <c r="K33" s="246"/>
      <c r="L33" s="246"/>
    </row>
    <row r="34" spans="2:12" x14ac:dyDescent="0.2">
      <c r="B34" s="7" t="s">
        <v>294</v>
      </c>
      <c r="C34" s="66">
        <f t="shared" ref="C34:L34" si="8">C6</f>
        <v>2021</v>
      </c>
      <c r="D34" s="66">
        <f t="shared" si="8"/>
        <v>2022</v>
      </c>
      <c r="E34" s="66">
        <f t="shared" si="8"/>
        <v>2023</v>
      </c>
      <c r="F34" s="66">
        <f t="shared" si="8"/>
        <v>2024</v>
      </c>
      <c r="G34" s="66">
        <f t="shared" si="8"/>
        <v>2025</v>
      </c>
      <c r="H34" s="66">
        <f t="shared" si="8"/>
        <v>2026</v>
      </c>
      <c r="I34" s="66">
        <f t="shared" si="8"/>
        <v>2027</v>
      </c>
      <c r="J34" s="66">
        <f t="shared" si="8"/>
        <v>2028</v>
      </c>
      <c r="K34" s="66">
        <f t="shared" si="8"/>
        <v>2029</v>
      </c>
      <c r="L34" s="66">
        <f t="shared" si="8"/>
        <v>2030</v>
      </c>
    </row>
    <row r="35" spans="2:12" x14ac:dyDescent="0.2">
      <c r="B35" s="1" t="s">
        <v>309</v>
      </c>
      <c r="C35" s="191">
        <f>Statements!H68</f>
        <v>-461</v>
      </c>
      <c r="D35" s="191">
        <f>Statements!I68</f>
        <v>-7800</v>
      </c>
      <c r="E35" s="191">
        <f>Statements!J68</f>
        <v>1148</v>
      </c>
      <c r="F35" s="191">
        <f>Statements!K68</f>
        <v>1223</v>
      </c>
      <c r="G35" s="192">
        <f>Statements!L68</f>
        <v>414</v>
      </c>
      <c r="H35" s="36">
        <f>H36+H28+H29+H30</f>
        <v>894.2871753424638</v>
      </c>
      <c r="I35" s="36">
        <f t="shared" ref="I35:L35" si="9">I36+I28+I29+I30</f>
        <v>864.06073821918096</v>
      </c>
      <c r="J35" s="36">
        <f t="shared" si="9"/>
        <v>168.96900547123187</v>
      </c>
      <c r="K35" s="36">
        <f t="shared" si="9"/>
        <v>-233.11496481850611</v>
      </c>
      <c r="L35" s="36">
        <f t="shared" si="9"/>
        <v>-299.97321445809666</v>
      </c>
    </row>
    <row r="36" spans="2:12" x14ac:dyDescent="0.2">
      <c r="B36" s="1" t="s">
        <v>310</v>
      </c>
      <c r="C36" s="198">
        <f>C35-C28-C29-C30</f>
        <v>-760</v>
      </c>
      <c r="D36" s="198">
        <f t="shared" ref="D36:G36" si="10">D35-D28-D29-D30</f>
        <v>-3633</v>
      </c>
      <c r="E36" s="198">
        <f t="shared" si="10"/>
        <v>548</v>
      </c>
      <c r="F36" s="198">
        <f t="shared" si="10"/>
        <v>1296</v>
      </c>
      <c r="G36" s="199">
        <f t="shared" si="10"/>
        <v>798</v>
      </c>
      <c r="H36" s="20">
        <f>H7*H37</f>
        <v>817.47580000000016</v>
      </c>
      <c r="I36" s="20">
        <f>I7*I37</f>
        <v>812.15388999999993</v>
      </c>
      <c r="J36" s="20">
        <f>J7*J37</f>
        <v>885.6319754000001</v>
      </c>
      <c r="K36" s="20">
        <f>K7*K37</f>
        <v>1000.9078190364002</v>
      </c>
      <c r="L36" s="20">
        <f>L7*L37</f>
        <v>1147.6841953039402</v>
      </c>
    </row>
    <row r="37" spans="2:12" x14ac:dyDescent="0.2">
      <c r="B37" s="100" t="s">
        <v>197</v>
      </c>
      <c r="C37" s="200">
        <f>C36/C7</f>
        <v>-2.264195912530537E-2</v>
      </c>
      <c r="D37" s="200">
        <f>D36/D7</f>
        <v>-8.2194570135746603E-2</v>
      </c>
      <c r="E37" s="200">
        <f>E36/E7</f>
        <v>1.5298715801228364E-2</v>
      </c>
      <c r="F37" s="200">
        <f>F36/F7</f>
        <v>3.3263179508238795E-2</v>
      </c>
      <c r="G37" s="201">
        <f>G36/G7</f>
        <v>1.8020052389124741E-2</v>
      </c>
      <c r="H37" s="113">
        <v>0.02</v>
      </c>
      <c r="I37" s="113">
        <v>0.02</v>
      </c>
      <c r="J37" s="113">
        <v>0.02</v>
      </c>
      <c r="K37" s="113">
        <v>0.02</v>
      </c>
      <c r="L37" s="113">
        <v>0.02</v>
      </c>
    </row>
    <row r="38" spans="2:12" x14ac:dyDescent="0.2">
      <c r="C38" s="147"/>
    </row>
    <row r="39" spans="2:12" x14ac:dyDescent="0.2">
      <c r="C39" s="202"/>
    </row>
    <row r="40" spans="2:12" x14ac:dyDescent="0.2">
      <c r="C40" s="246" t="s">
        <v>311</v>
      </c>
      <c r="D40" s="246"/>
      <c r="E40" s="246"/>
      <c r="F40" s="246"/>
      <c r="G40" s="246"/>
      <c r="H40" s="246"/>
      <c r="I40" s="246"/>
      <c r="J40" s="246"/>
      <c r="K40" s="246"/>
      <c r="L40" s="246"/>
    </row>
    <row r="41" spans="2:12" x14ac:dyDescent="0.2">
      <c r="B41" s="7" t="s">
        <v>294</v>
      </c>
      <c r="C41" s="66">
        <f t="shared" ref="C41:L41" si="11">C6</f>
        <v>2021</v>
      </c>
      <c r="D41" s="66">
        <f t="shared" si="11"/>
        <v>2022</v>
      </c>
      <c r="E41" s="66">
        <f t="shared" si="11"/>
        <v>2023</v>
      </c>
      <c r="F41" s="66">
        <f t="shared" si="11"/>
        <v>2024</v>
      </c>
      <c r="G41" s="66">
        <f t="shared" si="11"/>
        <v>2025</v>
      </c>
      <c r="H41" s="66">
        <f t="shared" si="11"/>
        <v>2026</v>
      </c>
      <c r="I41" s="66">
        <f t="shared" si="11"/>
        <v>2027</v>
      </c>
      <c r="J41" s="66">
        <f t="shared" si="11"/>
        <v>2028</v>
      </c>
      <c r="K41" s="66">
        <f t="shared" si="11"/>
        <v>2029</v>
      </c>
      <c r="L41" s="66">
        <f t="shared" si="11"/>
        <v>2030</v>
      </c>
    </row>
    <row r="42" spans="2:12" x14ac:dyDescent="0.2">
      <c r="B42" s="1" t="s">
        <v>74</v>
      </c>
      <c r="C42" s="191">
        <f>Statements!H61</f>
        <v>1582</v>
      </c>
      <c r="D42" s="191">
        <f>Statements!I61</f>
        <v>1762</v>
      </c>
      <c r="E42" s="191">
        <f>Statements!J61</f>
        <v>1809</v>
      </c>
      <c r="F42" s="191">
        <f>Statements!K61</f>
        <v>1706</v>
      </c>
      <c r="G42" s="192">
        <f>Statements!L61</f>
        <v>1602</v>
      </c>
      <c r="H42" s="36">
        <f>H7*H43</f>
        <v>1634.9516000000003</v>
      </c>
      <c r="I42" s="36">
        <f>I7*I43</f>
        <v>1624.3077799999999</v>
      </c>
      <c r="J42" s="36">
        <f>J7*J43</f>
        <v>1771.2639508000002</v>
      </c>
      <c r="K42" s="36">
        <f>K7*K43</f>
        <v>2001.8156380728003</v>
      </c>
      <c r="L42" s="36">
        <f>L7*L43</f>
        <v>2295.3683906078804</v>
      </c>
    </row>
    <row r="43" spans="2:12" x14ac:dyDescent="0.2">
      <c r="B43" s="100" t="s">
        <v>312</v>
      </c>
      <c r="C43" s="200">
        <f>C42/C7</f>
        <v>4.7131025442411961E-2</v>
      </c>
      <c r="D43" s="200">
        <f>D42/D7</f>
        <v>3.9864253393665158E-2</v>
      </c>
      <c r="E43" s="200">
        <f>E42/E7</f>
        <v>5.0502512562814073E-2</v>
      </c>
      <c r="F43" s="200">
        <f>F42/F7</f>
        <v>4.3786253272419279E-2</v>
      </c>
      <c r="G43" s="201">
        <f>G42/G7</f>
        <v>3.6175593893957185E-2</v>
      </c>
      <c r="H43" s="113">
        <v>0.04</v>
      </c>
      <c r="I43" s="113">
        <v>0.04</v>
      </c>
      <c r="J43" s="113">
        <v>0.04</v>
      </c>
      <c r="K43" s="113">
        <v>0.04</v>
      </c>
      <c r="L43" s="113">
        <v>0.04</v>
      </c>
    </row>
    <row r="44" spans="2:12" x14ac:dyDescent="0.2">
      <c r="B44" s="100" t="s">
        <v>313</v>
      </c>
      <c r="C44" s="200">
        <f>C42/C45</f>
        <v>0.83792372881355937</v>
      </c>
      <c r="D44" s="200">
        <f t="shared" ref="D44:L44" si="12">D42/D45</f>
        <v>0.77895667550839964</v>
      </c>
      <c r="E44" s="200">
        <f t="shared" si="12"/>
        <v>1.2475862068965518</v>
      </c>
      <c r="F44" s="200">
        <f t="shared" si="12"/>
        <v>1.6388088376560999</v>
      </c>
      <c r="G44" s="201">
        <f t="shared" si="12"/>
        <v>1.3439597315436242</v>
      </c>
      <c r="H44" s="200">
        <f t="shared" si="12"/>
        <v>1.3333333333333333</v>
      </c>
      <c r="I44" s="200">
        <f t="shared" si="12"/>
        <v>1.3333333333333335</v>
      </c>
      <c r="J44" s="200">
        <f t="shared" si="12"/>
        <v>1.3333333333333333</v>
      </c>
      <c r="K44" s="200">
        <f t="shared" si="12"/>
        <v>1.3333333333333335</v>
      </c>
      <c r="L44" s="200">
        <f t="shared" si="12"/>
        <v>1.3333333333333333</v>
      </c>
    </row>
    <row r="45" spans="2:12" x14ac:dyDescent="0.2">
      <c r="B45" s="1" t="s">
        <v>88</v>
      </c>
      <c r="C45" s="191">
        <f>-Statements!H71</f>
        <v>1888</v>
      </c>
      <c r="D45" s="191">
        <f>-Statements!I71</f>
        <v>2262</v>
      </c>
      <c r="E45" s="191">
        <f>-Statements!J71</f>
        <v>1450</v>
      </c>
      <c r="F45" s="191">
        <f>-Statements!K71</f>
        <v>1041</v>
      </c>
      <c r="G45" s="192">
        <f>-Statements!L71</f>
        <v>1192</v>
      </c>
      <c r="H45" s="36">
        <f>H7*H46</f>
        <v>1226.2137000000002</v>
      </c>
      <c r="I45" s="36">
        <f>I7*I46</f>
        <v>1218.2308349999998</v>
      </c>
      <c r="J45" s="36">
        <f>J7*J46</f>
        <v>1328.4479631000002</v>
      </c>
      <c r="K45" s="36">
        <f>K7*K46</f>
        <v>1501.3617285546002</v>
      </c>
      <c r="L45" s="36">
        <f>L7*L46</f>
        <v>1721.5262929559103</v>
      </c>
    </row>
    <row r="46" spans="2:12" x14ac:dyDescent="0.2">
      <c r="B46" s="100" t="s">
        <v>312</v>
      </c>
      <c r="C46" s="200">
        <f>C45/C7</f>
        <v>5.6247393195495439E-2</v>
      </c>
      <c r="D46" s="200">
        <f>D45/D7</f>
        <v>5.1176470588235295E-2</v>
      </c>
      <c r="E46" s="200">
        <f>E45/E7</f>
        <v>4.0480178671133446E-2</v>
      </c>
      <c r="F46" s="200">
        <f>F45/F7</f>
        <v>2.6718340947589958E-2</v>
      </c>
      <c r="G46" s="201">
        <f>G45/G7</f>
        <v>2.6917170987264025E-2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13164-E93D-934A-84F0-16E47FBDB85F}">
  <dimension ref="A1:AE30"/>
  <sheetViews>
    <sheetView topLeftCell="H21" zoomScale="194" workbookViewId="0">
      <selection activeCell="C5" sqref="C5"/>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314</v>
      </c>
    </row>
    <row r="2" spans="1:31" x14ac:dyDescent="0.2">
      <c r="A2" s="167"/>
      <c r="C2" s="242" t="s">
        <v>176</v>
      </c>
      <c r="D2" s="242"/>
      <c r="E2" s="242"/>
      <c r="F2" s="242"/>
      <c r="G2" s="249"/>
      <c r="H2" s="250" t="s">
        <v>177</v>
      </c>
      <c r="I2" s="242"/>
      <c r="J2" s="242"/>
      <c r="K2" s="242"/>
      <c r="L2" s="242"/>
      <c r="S2" s="251"/>
      <c r="T2" s="251"/>
      <c r="U2" s="251"/>
      <c r="V2" s="251"/>
      <c r="W2" s="251"/>
      <c r="X2" s="251"/>
      <c r="Y2" s="251"/>
      <c r="Z2" s="251"/>
      <c r="AA2" s="251"/>
      <c r="AB2" s="251"/>
      <c r="AC2" s="251"/>
      <c r="AE2" s="186"/>
    </row>
    <row r="3" spans="1:31" ht="10" customHeight="1" x14ac:dyDescent="0.2"/>
    <row r="4" spans="1:31" ht="16" customHeight="1" x14ac:dyDescent="0.2">
      <c r="A4" s="172"/>
      <c r="B4" s="173"/>
      <c r="C4" s="246" t="s">
        <v>17</v>
      </c>
      <c r="D4" s="246"/>
      <c r="E4" s="246"/>
      <c r="F4" s="246"/>
      <c r="G4" s="246"/>
      <c r="H4" s="246"/>
      <c r="I4" s="246"/>
      <c r="J4" s="246"/>
      <c r="K4" s="246"/>
      <c r="L4" s="246"/>
      <c r="S4" s="251"/>
      <c r="T4" s="251"/>
      <c r="U4" s="251"/>
      <c r="V4" s="251"/>
      <c r="W4" s="251"/>
      <c r="X4" s="251"/>
      <c r="Y4" s="251"/>
      <c r="Z4" s="251"/>
      <c r="AA4" s="251"/>
      <c r="AB4" s="251"/>
      <c r="AC4" s="251"/>
      <c r="AE4" s="187"/>
    </row>
    <row r="5" spans="1:31" x14ac:dyDescent="0.2">
      <c r="B5" s="7" t="s">
        <v>294</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c r="R5" s="7"/>
      <c r="S5" s="188"/>
      <c r="T5" s="188"/>
      <c r="U5" s="188"/>
      <c r="V5" s="188"/>
      <c r="W5" s="188"/>
      <c r="X5" s="188"/>
      <c r="Y5" s="188"/>
      <c r="Z5" s="188"/>
      <c r="AA5" s="188"/>
      <c r="AB5" s="188"/>
      <c r="AC5" s="188"/>
      <c r="AE5" s="187"/>
    </row>
    <row r="6" spans="1:31"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9" t="s">
        <v>315</v>
      </c>
      <c r="Q6" s="139"/>
      <c r="S6" s="142"/>
      <c r="T6" s="142"/>
      <c r="U6" s="142"/>
      <c r="V6" s="142"/>
      <c r="W6" s="142"/>
      <c r="X6" s="142"/>
      <c r="Y6" s="142"/>
      <c r="Z6" s="142"/>
      <c r="AA6" s="147"/>
      <c r="AB6" s="147"/>
      <c r="AC6" s="147"/>
      <c r="AE6" s="147"/>
    </row>
    <row r="7" spans="1:31" x14ac:dyDescent="0.2">
      <c r="B7" s="1" t="s">
        <v>21</v>
      </c>
      <c r="C7" s="142">
        <f>'COGS &amp; OpEx'!C11</f>
        <v>14262</v>
      </c>
      <c r="D7" s="142">
        <f>'COGS &amp; OpEx'!D11</f>
        <v>18635</v>
      </c>
      <c r="E7" s="142">
        <f>'COGS &amp; OpEx'!E11</f>
        <v>15869</v>
      </c>
      <c r="F7" s="142">
        <f>'COGS &amp; OpEx'!F11</f>
        <v>17060</v>
      </c>
      <c r="G7" s="175">
        <f>'COGS &amp; OpEx'!G11</f>
        <v>19738</v>
      </c>
      <c r="H7" s="189">
        <f>'COGS &amp; OpEx'!H11</f>
        <v>17984.467600000004</v>
      </c>
      <c r="I7" s="189">
        <f>'COGS &amp; OpEx'!I11</f>
        <v>17867.385579999998</v>
      </c>
      <c r="J7" s="189">
        <f>'COGS &amp; OpEx'!J11</f>
        <v>19483.903458800003</v>
      </c>
      <c r="K7" s="189">
        <f>'COGS &amp; OpEx'!K11</f>
        <v>22520.425928319004</v>
      </c>
      <c r="L7" s="189">
        <f>'COGS &amp; OpEx'!L11</f>
        <v>25822.894394338655</v>
      </c>
      <c r="N7" s="139" t="s">
        <v>316</v>
      </c>
      <c r="Q7" s="139"/>
      <c r="S7" s="142"/>
      <c r="T7" s="142"/>
      <c r="U7" s="142"/>
      <c r="V7" s="142"/>
      <c r="W7" s="142"/>
      <c r="X7" s="142"/>
      <c r="Y7" s="142"/>
      <c r="Z7" s="142"/>
      <c r="AA7" s="147"/>
      <c r="AB7" s="147"/>
      <c r="AC7" s="147"/>
      <c r="AE7" s="147"/>
    </row>
    <row r="8" spans="1:31" x14ac:dyDescent="0.2">
      <c r="B8" s="7" t="s">
        <v>317</v>
      </c>
      <c r="C8" s="178">
        <f>C6-C7</f>
        <v>19304</v>
      </c>
      <c r="D8" s="178">
        <f t="shared" ref="D8:L8" si="0">D6-D7</f>
        <v>25565</v>
      </c>
      <c r="E8" s="178">
        <f t="shared" si="0"/>
        <v>19951</v>
      </c>
      <c r="F8" s="178">
        <f t="shared" si="0"/>
        <v>21902</v>
      </c>
      <c r="G8" s="203">
        <f t="shared" si="0"/>
        <v>24546</v>
      </c>
      <c r="H8" s="178">
        <f t="shared" si="0"/>
        <v>22889.322400000005</v>
      </c>
      <c r="I8" s="178">
        <f t="shared" si="0"/>
        <v>22740.308919999999</v>
      </c>
      <c r="J8" s="178">
        <f t="shared" si="0"/>
        <v>24797.695311200001</v>
      </c>
      <c r="K8" s="178">
        <f t="shared" si="0"/>
        <v>27524.965023501005</v>
      </c>
      <c r="L8" s="178">
        <f t="shared" si="0"/>
        <v>31561.315370858356</v>
      </c>
      <c r="N8" s="139"/>
      <c r="Q8" s="139"/>
      <c r="S8" s="142"/>
      <c r="T8" s="142"/>
      <c r="U8" s="142"/>
      <c r="V8" s="142"/>
      <c r="W8" s="142"/>
      <c r="X8" s="142"/>
      <c r="Y8" s="142"/>
      <c r="Z8" s="142"/>
      <c r="AA8" s="147"/>
      <c r="AB8" s="147"/>
      <c r="AC8" s="147"/>
      <c r="AE8" s="147"/>
    </row>
    <row r="9" spans="1:31" x14ac:dyDescent="0.2">
      <c r="B9" s="1" t="str">
        <f>'COGS &amp; OpEx'!B12</f>
        <v>R&amp;D</v>
      </c>
      <c r="C9" s="142">
        <f>'COGS &amp; OpEx'!C12</f>
        <v>7176</v>
      </c>
      <c r="D9" s="142">
        <f>'COGS &amp; OpEx'!D12</f>
        <v>8194</v>
      </c>
      <c r="E9" s="142">
        <f>'COGS &amp; OpEx'!E12</f>
        <v>8818</v>
      </c>
      <c r="F9" s="142">
        <f>'COGS &amp; OpEx'!F12</f>
        <v>8893</v>
      </c>
      <c r="G9" s="175">
        <f>'COGS &amp; OpEx'!G12</f>
        <v>9042</v>
      </c>
      <c r="H9" s="189">
        <f>'COGS &amp; OpEx'!H12</f>
        <v>8583.4959000000017</v>
      </c>
      <c r="I9" s="189">
        <f>'COGS &amp; OpEx'!I12</f>
        <v>8527.6158449999984</v>
      </c>
      <c r="J9" s="189">
        <f>'COGS &amp; OpEx'!J12</f>
        <v>8856.3197540000019</v>
      </c>
      <c r="K9" s="189">
        <f>'COGS &amp; OpEx'!K12</f>
        <v>10009.078190364002</v>
      </c>
      <c r="L9" s="189">
        <f>'COGS &amp; OpEx'!L12</f>
        <v>10902.999855387432</v>
      </c>
      <c r="N9" s="139" t="s">
        <v>316</v>
      </c>
      <c r="Q9" s="139"/>
      <c r="S9" s="142"/>
      <c r="T9" s="142"/>
      <c r="U9" s="142"/>
      <c r="V9" s="142"/>
      <c r="W9" s="142"/>
      <c r="X9" s="142"/>
      <c r="Y9" s="142"/>
      <c r="Z9" s="142"/>
      <c r="AA9" s="147"/>
      <c r="AB9" s="147"/>
      <c r="AC9" s="147"/>
      <c r="AE9" s="147"/>
    </row>
    <row r="10" spans="1:31" x14ac:dyDescent="0.2">
      <c r="B10" s="1" t="str">
        <f>'COGS &amp; OpEx'!B13</f>
        <v>SG&amp;A</v>
      </c>
      <c r="C10" s="142">
        <f>'COGS &amp; OpEx'!C13</f>
        <v>2339</v>
      </c>
      <c r="D10" s="142">
        <f>'COGS &amp; OpEx'!D13</f>
        <v>2570</v>
      </c>
      <c r="E10" s="142">
        <f>'COGS &amp; OpEx'!E13</f>
        <v>2483</v>
      </c>
      <c r="F10" s="142">
        <f>'COGS &amp; OpEx'!F13</f>
        <v>2759</v>
      </c>
      <c r="G10" s="175">
        <f>'COGS &amp; OpEx'!G13</f>
        <v>3110</v>
      </c>
      <c r="H10" s="189">
        <f>'COGS &amp; OpEx'!H13</f>
        <v>2861.165300000001</v>
      </c>
      <c r="I10" s="189">
        <f>'COGS &amp; OpEx'!I13</f>
        <v>2842.5386149999999</v>
      </c>
      <c r="J10" s="189">
        <f>'COGS &amp; OpEx'!J13</f>
        <v>3099.7119139000006</v>
      </c>
      <c r="K10" s="189">
        <f>'COGS &amp; OpEx'!K13</f>
        <v>3503.1773666274012</v>
      </c>
      <c r="L10" s="189">
        <f>'COGS &amp; OpEx'!L13</f>
        <v>4016.8946835637912</v>
      </c>
      <c r="N10" s="139" t="s">
        <v>316</v>
      </c>
      <c r="Q10" s="139"/>
      <c r="S10" s="142"/>
      <c r="T10" s="142"/>
      <c r="U10" s="142"/>
      <c r="V10" s="142"/>
      <c r="W10" s="142"/>
      <c r="X10" s="142"/>
      <c r="Y10" s="142"/>
      <c r="Z10" s="142"/>
      <c r="AA10" s="147"/>
      <c r="AB10" s="147"/>
      <c r="AC10" s="147"/>
      <c r="AE10" s="147"/>
    </row>
    <row r="11" spans="1:31" x14ac:dyDescent="0.2">
      <c r="B11" s="1" t="s">
        <v>26</v>
      </c>
      <c r="C11" s="142">
        <f>'COGS &amp; OpEx'!C14</f>
        <v>9515</v>
      </c>
      <c r="D11" s="142">
        <f>'COGS &amp; OpEx'!D14</f>
        <v>9705</v>
      </c>
      <c r="E11" s="142">
        <f>'COGS &amp; OpEx'!E14</f>
        <v>12163</v>
      </c>
      <c r="F11" s="142">
        <f>'COGS &amp; OpEx'!F14</f>
        <v>11831</v>
      </c>
      <c r="G11" s="175">
        <f>'COGS &amp; OpEx'!G14</f>
        <v>12191</v>
      </c>
      <c r="H11" s="189">
        <f>'COGS &amp; OpEx'!H14</f>
        <v>11444.661200000002</v>
      </c>
      <c r="I11" s="189">
        <f>'COGS &amp; OpEx'!I14</f>
        <v>11370.154459999998</v>
      </c>
      <c r="J11" s="189">
        <f>'COGS &amp; OpEx'!J14</f>
        <v>11956.031667900003</v>
      </c>
      <c r="K11" s="189">
        <f>'COGS &amp; OpEx'!K14</f>
        <v>13512.255556991404</v>
      </c>
      <c r="L11" s="189">
        <f>'COGS &amp; OpEx'!L14</f>
        <v>14919.894538951223</v>
      </c>
      <c r="N11" s="204" t="s">
        <v>316</v>
      </c>
      <c r="Q11" s="139"/>
      <c r="S11" s="142"/>
      <c r="T11" s="142"/>
      <c r="U11" s="142"/>
      <c r="V11" s="142"/>
      <c r="W11" s="142"/>
      <c r="X11" s="142"/>
      <c r="Y11" s="142"/>
      <c r="Z11" s="142"/>
      <c r="AA11" s="147"/>
      <c r="AB11" s="147"/>
      <c r="AC11" s="147"/>
      <c r="AE11" s="147"/>
    </row>
    <row r="12" spans="1:31" x14ac:dyDescent="0.2">
      <c r="B12" s="7" t="s">
        <v>318</v>
      </c>
      <c r="C12" s="178">
        <f t="shared" ref="C12:L12" si="1">C8-C11</f>
        <v>9789</v>
      </c>
      <c r="D12" s="178">
        <f t="shared" si="1"/>
        <v>15860</v>
      </c>
      <c r="E12" s="178">
        <f t="shared" si="1"/>
        <v>7788</v>
      </c>
      <c r="F12" s="178">
        <f t="shared" si="1"/>
        <v>10071</v>
      </c>
      <c r="G12" s="203">
        <f t="shared" si="1"/>
        <v>12355</v>
      </c>
      <c r="H12" s="178">
        <f t="shared" si="1"/>
        <v>11444.661200000002</v>
      </c>
      <c r="I12" s="178">
        <f t="shared" si="1"/>
        <v>11370.154460000002</v>
      </c>
      <c r="J12" s="178">
        <f t="shared" si="1"/>
        <v>12841.663643299999</v>
      </c>
      <c r="K12" s="178">
        <f t="shared" si="1"/>
        <v>14012.709466509601</v>
      </c>
      <c r="L12" s="178">
        <f t="shared" si="1"/>
        <v>16641.420831907133</v>
      </c>
      <c r="N12" s="139"/>
      <c r="Q12" s="139"/>
      <c r="S12" s="142"/>
      <c r="T12" s="142"/>
      <c r="U12" s="142"/>
      <c r="V12" s="142"/>
      <c r="W12" s="142"/>
      <c r="X12" s="142"/>
      <c r="Y12" s="142"/>
      <c r="Z12" s="142"/>
      <c r="AA12" s="147"/>
      <c r="AB12" s="147"/>
      <c r="AC12" s="147"/>
      <c r="AE12" s="147"/>
    </row>
    <row r="15" spans="1:31" x14ac:dyDescent="0.2">
      <c r="C15" s="246" t="s">
        <v>319</v>
      </c>
      <c r="D15" s="246"/>
      <c r="E15" s="246"/>
      <c r="F15" s="246"/>
      <c r="G15" s="246"/>
      <c r="H15" s="246"/>
      <c r="I15" s="246"/>
      <c r="J15" s="246"/>
      <c r="K15" s="246"/>
      <c r="L15" s="246"/>
    </row>
    <row r="16" spans="1:31" x14ac:dyDescent="0.2">
      <c r="C16" s="66">
        <f t="shared" ref="C16:L16" si="2">C5</f>
        <v>2021</v>
      </c>
      <c r="D16" s="66">
        <f t="shared" si="2"/>
        <v>2022</v>
      </c>
      <c r="E16" s="66">
        <f t="shared" si="2"/>
        <v>2023</v>
      </c>
      <c r="F16" s="66">
        <f t="shared" si="2"/>
        <v>2024</v>
      </c>
      <c r="G16" s="66">
        <f t="shared" si="2"/>
        <v>2025</v>
      </c>
      <c r="H16" s="66">
        <f t="shared" si="2"/>
        <v>2026</v>
      </c>
      <c r="I16" s="66">
        <f t="shared" si="2"/>
        <v>2027</v>
      </c>
      <c r="J16" s="66">
        <f t="shared" si="2"/>
        <v>2028</v>
      </c>
      <c r="K16" s="66">
        <f t="shared" si="2"/>
        <v>2029</v>
      </c>
      <c r="L16" s="66">
        <f t="shared" si="2"/>
        <v>2030</v>
      </c>
    </row>
    <row r="17" spans="2:14" x14ac:dyDescent="0.2">
      <c r="B17" s="1" t="s">
        <v>172</v>
      </c>
      <c r="C17" s="205">
        <f>'Statement Y'!H145</f>
        <v>0.11981701382129648</v>
      </c>
      <c r="D17" s="205">
        <f>'Statement Y'!I145</f>
        <v>0.13415122016268835</v>
      </c>
      <c r="E17" s="205">
        <f>'Statement Y'!J145</f>
        <v>1.3972860405750369E-2</v>
      </c>
      <c r="F17" s="205">
        <f>'Statement Y'!K145</f>
        <v>2.186532507739938E-2</v>
      </c>
      <c r="G17" s="206">
        <f>'Statement Y'!L145</f>
        <v>0.56242596541104006</v>
      </c>
      <c r="H17" s="207">
        <v>0.21</v>
      </c>
      <c r="I17" s="207">
        <v>0.21</v>
      </c>
      <c r="J17" s="207">
        <v>0.21</v>
      </c>
      <c r="K17" s="207">
        <v>0.21</v>
      </c>
      <c r="L17" s="207">
        <v>0.21</v>
      </c>
    </row>
    <row r="20" spans="2:14" x14ac:dyDescent="0.2">
      <c r="C20" s="246" t="s">
        <v>320</v>
      </c>
      <c r="D20" s="246"/>
      <c r="E20" s="246"/>
      <c r="F20" s="246"/>
      <c r="G20" s="246"/>
      <c r="H20" s="246"/>
      <c r="I20" s="246"/>
      <c r="J20" s="246"/>
      <c r="K20" s="246"/>
      <c r="L20" s="246"/>
    </row>
    <row r="21" spans="2:14" x14ac:dyDescent="0.2">
      <c r="B21" s="7" t="s">
        <v>294</v>
      </c>
      <c r="C21" s="66">
        <f t="shared" ref="C21:L21" si="3">C5</f>
        <v>2021</v>
      </c>
      <c r="D21" s="66">
        <f t="shared" si="3"/>
        <v>2022</v>
      </c>
      <c r="E21" s="66">
        <f t="shared" si="3"/>
        <v>2023</v>
      </c>
      <c r="F21" s="66">
        <f t="shared" si="3"/>
        <v>2024</v>
      </c>
      <c r="G21" s="66">
        <f t="shared" si="3"/>
        <v>2025</v>
      </c>
      <c r="H21" s="66">
        <f t="shared" si="3"/>
        <v>2026</v>
      </c>
      <c r="I21" s="66">
        <f t="shared" si="3"/>
        <v>2027</v>
      </c>
      <c r="J21" s="66">
        <f t="shared" si="3"/>
        <v>2028</v>
      </c>
      <c r="K21" s="66">
        <f t="shared" si="3"/>
        <v>2029</v>
      </c>
      <c r="L21" s="66">
        <f t="shared" si="3"/>
        <v>2030</v>
      </c>
    </row>
    <row r="22" spans="2:14" x14ac:dyDescent="0.2">
      <c r="B22" s="1" t="s">
        <v>74</v>
      </c>
      <c r="C22" s="142">
        <f>'WC &amp; Investments'!C42</f>
        <v>1582</v>
      </c>
      <c r="D22" s="142">
        <f>'WC &amp; Investments'!D42</f>
        <v>1762</v>
      </c>
      <c r="E22" s="142">
        <f>'WC &amp; Investments'!E42</f>
        <v>1809</v>
      </c>
      <c r="F22" s="142">
        <f>'WC &amp; Investments'!F42</f>
        <v>1706</v>
      </c>
      <c r="G22" s="175">
        <f>'WC &amp; Investments'!G42</f>
        <v>1602</v>
      </c>
      <c r="H22" s="142">
        <f>'WC &amp; Investments'!H42</f>
        <v>1634.9516000000003</v>
      </c>
      <c r="I22" s="142">
        <f>'WC &amp; Investments'!I42</f>
        <v>1624.3077799999999</v>
      </c>
      <c r="J22" s="142">
        <f>'WC &amp; Investments'!J42</f>
        <v>1771.2639508000002</v>
      </c>
      <c r="K22" s="142">
        <f>'WC &amp; Investments'!K42</f>
        <v>2001.8156380728003</v>
      </c>
      <c r="L22" s="142">
        <f>'WC &amp; Investments'!L42</f>
        <v>2295.3683906078804</v>
      </c>
      <c r="N22" s="1" t="s">
        <v>321</v>
      </c>
    </row>
    <row r="23" spans="2:14" x14ac:dyDescent="0.2">
      <c r="B23" s="1" t="s">
        <v>88</v>
      </c>
      <c r="C23" s="142">
        <f>'WC &amp; Investments'!C45</f>
        <v>1888</v>
      </c>
      <c r="D23" s="142">
        <f>'WC &amp; Investments'!D45</f>
        <v>2262</v>
      </c>
      <c r="E23" s="142">
        <f>'WC &amp; Investments'!E45</f>
        <v>1450</v>
      </c>
      <c r="F23" s="142">
        <f>'WC &amp; Investments'!F45</f>
        <v>1041</v>
      </c>
      <c r="G23" s="175">
        <f>'WC &amp; Investments'!G45</f>
        <v>1192</v>
      </c>
      <c r="H23" s="142">
        <f>'WC &amp; Investments'!H45</f>
        <v>1226.2137000000002</v>
      </c>
      <c r="I23" s="142">
        <f>'WC &amp; Investments'!I45</f>
        <v>1218.2308349999998</v>
      </c>
      <c r="J23" s="142">
        <f>'WC &amp; Investments'!J45</f>
        <v>1328.4479631000002</v>
      </c>
      <c r="K23" s="142">
        <f>'WC &amp; Investments'!K45</f>
        <v>1501.3617285546002</v>
      </c>
      <c r="L23" s="142">
        <f>'WC &amp; Investments'!L45</f>
        <v>1721.5262929559103</v>
      </c>
      <c r="N23" s="1" t="s">
        <v>321</v>
      </c>
    </row>
    <row r="24" spans="2:14" x14ac:dyDescent="0.2">
      <c r="B24" s="1" t="s">
        <v>322</v>
      </c>
      <c r="C24" s="142">
        <f>'WC &amp; Investments'!C35</f>
        <v>-461</v>
      </c>
      <c r="D24" s="142">
        <f>'WC &amp; Investments'!D35</f>
        <v>-7800</v>
      </c>
      <c r="E24" s="142">
        <f>'WC &amp; Investments'!E35</f>
        <v>1148</v>
      </c>
      <c r="F24" s="142">
        <f>'WC &amp; Investments'!F35</f>
        <v>1223</v>
      </c>
      <c r="G24" s="175">
        <f>'WC &amp; Investments'!G35</f>
        <v>414</v>
      </c>
      <c r="H24" s="142">
        <f>'WC &amp; Investments'!H35</f>
        <v>894.2871753424638</v>
      </c>
      <c r="I24" s="142">
        <f>'WC &amp; Investments'!I35</f>
        <v>864.06073821918096</v>
      </c>
      <c r="J24" s="142">
        <f>'WC &amp; Investments'!J35</f>
        <v>168.96900547123187</v>
      </c>
      <c r="K24" s="142">
        <f>'WC &amp; Investments'!K35</f>
        <v>-233.11496481850611</v>
      </c>
      <c r="L24" s="142">
        <f>'WC &amp; Investments'!L35</f>
        <v>-299.97321445809666</v>
      </c>
      <c r="N24" s="1" t="s">
        <v>321</v>
      </c>
    </row>
    <row r="27" spans="2:14" x14ac:dyDescent="0.2">
      <c r="C27" s="246" t="s">
        <v>323</v>
      </c>
      <c r="D27" s="246"/>
      <c r="E27" s="246"/>
      <c r="F27" s="246"/>
      <c r="G27" s="246"/>
      <c r="H27" s="246"/>
      <c r="I27" s="246"/>
      <c r="J27" s="246"/>
      <c r="K27" s="246"/>
      <c r="L27" s="246"/>
    </row>
    <row r="28" spans="2:14" x14ac:dyDescent="0.2">
      <c r="B28" s="7" t="s">
        <v>294</v>
      </c>
      <c r="C28" s="66">
        <f t="shared" ref="C28:L28" si="4">C5</f>
        <v>2021</v>
      </c>
      <c r="D28" s="66">
        <f t="shared" si="4"/>
        <v>2022</v>
      </c>
      <c r="E28" s="66">
        <f t="shared" si="4"/>
        <v>2023</v>
      </c>
      <c r="F28" s="66">
        <f t="shared" si="4"/>
        <v>2024</v>
      </c>
      <c r="G28" s="66">
        <f t="shared" si="4"/>
        <v>2025</v>
      </c>
      <c r="H28" s="66">
        <f t="shared" si="4"/>
        <v>2026</v>
      </c>
      <c r="I28" s="66">
        <f t="shared" si="4"/>
        <v>2027</v>
      </c>
      <c r="J28" s="66">
        <f t="shared" si="4"/>
        <v>2028</v>
      </c>
      <c r="K28" s="66">
        <f t="shared" si="4"/>
        <v>2029</v>
      </c>
      <c r="L28" s="66">
        <f t="shared" si="4"/>
        <v>2030</v>
      </c>
    </row>
    <row r="29" spans="2:14" x14ac:dyDescent="0.2">
      <c r="B29" s="1" t="s">
        <v>244</v>
      </c>
      <c r="C29" s="143">
        <f>C12*(1-C17)</f>
        <v>8616.1112517033289</v>
      </c>
      <c r="D29" s="143">
        <f t="shared" ref="D29:L29" si="5">D12*(1-D17)</f>
        <v>13732.361648219763</v>
      </c>
      <c r="E29" s="143">
        <f t="shared" si="5"/>
        <v>7679.1793631600158</v>
      </c>
      <c r="F29" s="143">
        <f t="shared" si="5"/>
        <v>9850.7943111455115</v>
      </c>
      <c r="G29" s="208">
        <f t="shared" si="5"/>
        <v>5406.2271973466004</v>
      </c>
      <c r="H29" s="143">
        <f t="shared" si="5"/>
        <v>9041.2823480000025</v>
      </c>
      <c r="I29" s="143">
        <f t="shared" si="5"/>
        <v>8982.4220234000022</v>
      </c>
      <c r="J29" s="143">
        <f t="shared" si="5"/>
        <v>10144.914278206999</v>
      </c>
      <c r="K29" s="143">
        <f t="shared" si="5"/>
        <v>11070.040478542585</v>
      </c>
      <c r="L29" s="143">
        <f t="shared" si="5"/>
        <v>13146.722457206635</v>
      </c>
    </row>
    <row r="30" spans="2:14" x14ac:dyDescent="0.2">
      <c r="B30" s="7" t="s">
        <v>323</v>
      </c>
      <c r="C30" s="178">
        <f>C29+C22-C23+C24</f>
        <v>7849.1112517033289</v>
      </c>
      <c r="D30" s="178">
        <f t="shared" ref="D30:L30" si="6">D29+D22-D23+D24</f>
        <v>5432.3616482197631</v>
      </c>
      <c r="E30" s="178">
        <f t="shared" si="6"/>
        <v>9186.1793631600158</v>
      </c>
      <c r="F30" s="178">
        <f t="shared" si="6"/>
        <v>11738.794311145512</v>
      </c>
      <c r="G30" s="203">
        <f t="shared" si="6"/>
        <v>6230.2271973466004</v>
      </c>
      <c r="H30" s="178">
        <f t="shared" si="6"/>
        <v>10344.307423342467</v>
      </c>
      <c r="I30" s="178">
        <f t="shared" si="6"/>
        <v>10252.559706619182</v>
      </c>
      <c r="J30" s="178">
        <f t="shared" si="6"/>
        <v>10756.699271378233</v>
      </c>
      <c r="K30" s="178">
        <f t="shared" si="6"/>
        <v>11337.379423242279</v>
      </c>
      <c r="L30" s="178">
        <f t="shared" si="6"/>
        <v>13420.591340400508</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1CF7A-8635-9A4E-9884-A8C06B663F57}">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CF151-B6B8-C746-A173-F2E203780231}">
  <dimension ref="A1:C21"/>
  <sheetViews>
    <sheetView topLeftCell="A13" zoomScale="187" zoomScaleNormal="100" workbookViewId="0">
      <selection activeCell="C21" sqref="C21"/>
    </sheetView>
  </sheetViews>
  <sheetFormatPr baseColWidth="10" defaultRowHeight="16" x14ac:dyDescent="0.2"/>
  <cols>
    <col min="1" max="1" width="2" style="16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69" customFormat="1" ht="18" customHeight="1" x14ac:dyDescent="0.2">
      <c r="A1" s="167"/>
      <c r="B1" s="168" t="s">
        <v>325</v>
      </c>
    </row>
    <row r="2" spans="1:3" s="169" customFormat="1" ht="18" customHeight="1" x14ac:dyDescent="0.2">
      <c r="A2" s="167"/>
      <c r="B2" s="168"/>
    </row>
    <row r="3" spans="1:3" ht="17" customHeight="1" x14ac:dyDescent="0.2"/>
    <row r="4" spans="1:3" ht="17" customHeight="1" x14ac:dyDescent="0.2">
      <c r="B4" s="242" t="s">
        <v>326</v>
      </c>
      <c r="C4" s="242"/>
    </row>
    <row r="5" spans="1:3" ht="17" customHeight="1" x14ac:dyDescent="0.2">
      <c r="B5" s="1" t="s">
        <v>327</v>
      </c>
      <c r="C5" s="189">
        <f>'Statement Q'!N141</f>
        <v>1054</v>
      </c>
    </row>
    <row r="6" spans="1:3" ht="17" customHeight="1" x14ac:dyDescent="0.2">
      <c r="B6" s="1" t="s">
        <v>153</v>
      </c>
      <c r="C6" s="209">
        <f>Overview!C3</f>
        <v>228.99</v>
      </c>
    </row>
    <row r="7" spans="1:3" ht="17" customHeight="1" x14ac:dyDescent="0.2">
      <c r="B7" s="1" t="s">
        <v>274</v>
      </c>
      <c r="C7" s="210">
        <f>C5*C6</f>
        <v>241355.46000000002</v>
      </c>
    </row>
    <row r="8" spans="1:3" ht="17" customHeight="1" x14ac:dyDescent="0.2">
      <c r="B8" s="1" t="s">
        <v>273</v>
      </c>
      <c r="C8" s="189">
        <f>Statements!W42+Statements!W47</f>
        <v>15270</v>
      </c>
    </row>
    <row r="9" spans="1:3" ht="17" customHeight="1" x14ac:dyDescent="0.2">
      <c r="B9" s="1" t="s">
        <v>328</v>
      </c>
      <c r="C9" s="211">
        <f>[1]Sheet1!$C$10/1000</f>
        <v>4.453E-2</v>
      </c>
    </row>
    <row r="10" spans="1:3" ht="17" customHeight="1" x14ac:dyDescent="0.2">
      <c r="B10" s="1" t="s">
        <v>329</v>
      </c>
      <c r="C10" s="209">
        <f>[1]Sheet1!$F$8</f>
        <v>1.5985</v>
      </c>
    </row>
    <row r="11" spans="1:3" ht="17" customHeight="1" x14ac:dyDescent="0.2">
      <c r="B11" s="1" t="s">
        <v>330</v>
      </c>
      <c r="C11" s="117">
        <v>0.05</v>
      </c>
    </row>
    <row r="12" spans="1:3" ht="17" customHeight="1" x14ac:dyDescent="0.2">
      <c r="B12" s="1" t="s">
        <v>172</v>
      </c>
      <c r="C12" s="117">
        <v>0.21</v>
      </c>
    </row>
    <row r="13" spans="1:3" ht="17" customHeight="1" x14ac:dyDescent="0.2">
      <c r="B13" s="1" t="s">
        <v>331</v>
      </c>
      <c r="C13" s="117">
        <v>5.3999999999999999E-2</v>
      </c>
    </row>
    <row r="14" spans="1:3" ht="17" customHeight="1" x14ac:dyDescent="0.2"/>
    <row r="15" spans="1:3" ht="17" customHeight="1" x14ac:dyDescent="0.2">
      <c r="B15" s="242" t="s">
        <v>332</v>
      </c>
      <c r="C15" s="242"/>
    </row>
    <row r="16" spans="1:3" ht="17" customHeight="1" x14ac:dyDescent="0.2">
      <c r="B16" s="1" t="s">
        <v>333</v>
      </c>
      <c r="C16" s="140">
        <f>C8/(C8+C7)</f>
        <v>5.9503059439231003E-2</v>
      </c>
    </row>
    <row r="17" spans="2:3" ht="17" customHeight="1" x14ac:dyDescent="0.2">
      <c r="B17" s="1" t="s">
        <v>334</v>
      </c>
      <c r="C17" s="140">
        <f>C7/(C8+C7)</f>
        <v>0.94049694056076905</v>
      </c>
    </row>
    <row r="18" spans="2:3" ht="17" customHeight="1" x14ac:dyDescent="0.2">
      <c r="B18" s="1" t="s">
        <v>335</v>
      </c>
      <c r="C18" s="140">
        <f>C13*(1-C12)</f>
        <v>4.2660000000000003E-2</v>
      </c>
    </row>
    <row r="19" spans="2:3" ht="17" customHeight="1" x14ac:dyDescent="0.2">
      <c r="B19" s="1" t="s">
        <v>336</v>
      </c>
      <c r="C19" s="140">
        <f>C9+C10*C11</f>
        <v>0.12445500000000001</v>
      </c>
    </row>
    <row r="20" spans="2:3" ht="17" customHeight="1" x14ac:dyDescent="0.2">
      <c r="B20" s="1" t="s">
        <v>325</v>
      </c>
      <c r="C20" s="140">
        <f>(C17*C19)+(C16*C18)</f>
        <v>0.11958794725316811</v>
      </c>
    </row>
    <row r="21" spans="2:3" ht="17" customHeight="1" x14ac:dyDescent="0.2">
      <c r="B21" s="1" t="s">
        <v>392</v>
      </c>
      <c r="C21" s="117">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DDC6F-4BE1-8242-88B5-FFE1267D0136}">
  <dimension ref="A1:AB26"/>
  <sheetViews>
    <sheetView topLeftCell="A12" zoomScale="188" zoomScaleNormal="100" workbookViewId="0">
      <selection activeCell="C16" sqref="C1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338</v>
      </c>
    </row>
    <row r="2" spans="1:28" s="169" customFormat="1" ht="18" customHeight="1" x14ac:dyDescent="0.2">
      <c r="A2" s="167"/>
      <c r="B2" s="168"/>
    </row>
    <row r="3" spans="1:28" x14ac:dyDescent="0.2">
      <c r="A3" s="167"/>
      <c r="C3" s="242" t="s">
        <v>176</v>
      </c>
      <c r="D3" s="242"/>
      <c r="E3" s="242"/>
      <c r="F3" s="242"/>
      <c r="G3" s="249"/>
      <c r="H3" s="250" t="s">
        <v>177</v>
      </c>
      <c r="I3" s="242"/>
      <c r="J3" s="242"/>
      <c r="K3" s="242"/>
      <c r="L3" s="242"/>
      <c r="P3" s="251"/>
      <c r="Q3" s="251"/>
      <c r="R3" s="251"/>
      <c r="S3" s="251"/>
      <c r="T3" s="251"/>
      <c r="U3" s="251"/>
      <c r="V3" s="251"/>
      <c r="W3" s="251"/>
      <c r="X3" s="251"/>
      <c r="Y3" s="251"/>
      <c r="Z3" s="251"/>
      <c r="AB3" s="186"/>
    </row>
    <row r="4" spans="1:28" ht="10" customHeight="1" x14ac:dyDescent="0.2"/>
    <row r="5" spans="1:28" ht="16" customHeight="1" x14ac:dyDescent="0.2">
      <c r="A5" s="172"/>
      <c r="B5" s="173"/>
      <c r="C5" s="246" t="s">
        <v>339</v>
      </c>
      <c r="D5" s="246"/>
      <c r="E5" s="246"/>
      <c r="F5" s="246"/>
      <c r="G5" s="246"/>
      <c r="H5" s="246"/>
      <c r="I5" s="246"/>
      <c r="J5" s="246"/>
      <c r="K5" s="246"/>
      <c r="L5" s="246"/>
      <c r="P5" s="251"/>
      <c r="Q5" s="251"/>
      <c r="R5" s="251"/>
      <c r="S5" s="251"/>
      <c r="T5" s="251"/>
      <c r="U5" s="251"/>
      <c r="V5" s="251"/>
      <c r="W5" s="251"/>
      <c r="X5" s="251"/>
      <c r="Y5" s="251"/>
      <c r="Z5" s="251"/>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89">
        <f>'FCF &amp; Other'!H30</f>
        <v>10344.307423342467</v>
      </c>
      <c r="I7" s="189">
        <f>'FCF &amp; Other'!I30</f>
        <v>10252.559706619182</v>
      </c>
      <c r="J7" s="189">
        <f>'FCF &amp; Other'!J30</f>
        <v>10756.699271378233</v>
      </c>
      <c r="K7" s="189">
        <f>'FCF &amp; Other'!K30</f>
        <v>11337.379423242279</v>
      </c>
      <c r="L7" s="189">
        <f>'FCF &amp; Other'!L30</f>
        <v>13420.591340400508</v>
      </c>
      <c r="N7" s="134"/>
      <c r="O7" s="7"/>
      <c r="P7" s="176"/>
      <c r="Q7" s="176"/>
      <c r="R7" s="176"/>
      <c r="S7" s="176"/>
      <c r="T7" s="176"/>
      <c r="U7" s="176"/>
      <c r="V7" s="176"/>
      <c r="W7" s="176"/>
      <c r="X7" s="178"/>
      <c r="Y7" s="178"/>
      <c r="Z7" s="178"/>
      <c r="AB7" s="178"/>
    </row>
    <row r="8" spans="1:28" x14ac:dyDescent="0.2">
      <c r="B8" s="8" t="s">
        <v>340</v>
      </c>
      <c r="C8" s="143">
        <v>0</v>
      </c>
      <c r="D8" s="143">
        <v>0</v>
      </c>
      <c r="E8" s="143">
        <v>0</v>
      </c>
      <c r="F8" s="143">
        <v>0</v>
      </c>
      <c r="G8" s="208">
        <v>0</v>
      </c>
      <c r="H8" s="143">
        <v>0</v>
      </c>
      <c r="I8" s="143">
        <v>0</v>
      </c>
      <c r="J8" s="143">
        <v>0</v>
      </c>
      <c r="K8" s="143">
        <v>0</v>
      </c>
      <c r="L8" s="143">
        <f>L7*(1+C14)/(C15-C14)</f>
        <v>137456.42464553402</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H7/(1+$C$15)^H9</f>
        <v>9239.3879808384081</v>
      </c>
      <c r="I10" s="143">
        <f t="shared" ref="I10:L10" si="0">I7/(1+$C$15)^I9</f>
        <v>8179.2951149238825</v>
      </c>
      <c r="J10" s="143">
        <f t="shared" si="0"/>
        <v>7664.8627675121143</v>
      </c>
      <c r="K10" s="143">
        <f t="shared" si="0"/>
        <v>7215.7225061695699</v>
      </c>
      <c r="L10" s="143">
        <f t="shared" si="0"/>
        <v>7629.2277496552952</v>
      </c>
      <c r="N10" s="134"/>
    </row>
    <row r="11" spans="1:28" x14ac:dyDescent="0.2">
      <c r="B11" s="1" t="s">
        <v>343</v>
      </c>
      <c r="C11" s="212"/>
      <c r="D11" s="212"/>
      <c r="E11" s="212"/>
      <c r="F11" s="212"/>
      <c r="G11" s="213"/>
      <c r="H11" s="212"/>
      <c r="I11" s="212"/>
      <c r="J11" s="212"/>
      <c r="K11" s="212"/>
      <c r="L11" s="143">
        <f>L8/(1+C15)^L9</f>
        <v>78140.101481013757</v>
      </c>
    </row>
    <row r="13" spans="1:28" x14ac:dyDescent="0.2">
      <c r="B13" s="242" t="s">
        <v>344</v>
      </c>
      <c r="C13" s="242"/>
    </row>
    <row r="14" spans="1:28" x14ac:dyDescent="0.2">
      <c r="B14" s="1" t="s">
        <v>345</v>
      </c>
      <c r="C14" s="214">
        <v>0.02</v>
      </c>
    </row>
    <row r="15" spans="1:28" x14ac:dyDescent="0.2">
      <c r="B15" s="1" t="s">
        <v>325</v>
      </c>
      <c r="C15" s="160">
        <f>WACC!C20</f>
        <v>0.11958794725316811</v>
      </c>
    </row>
    <row r="18" spans="2:3" x14ac:dyDescent="0.2">
      <c r="B18" s="242" t="s">
        <v>159</v>
      </c>
      <c r="C18" s="242"/>
    </row>
    <row r="19" spans="2:3" x14ac:dyDescent="0.2">
      <c r="B19" s="1" t="s">
        <v>346</v>
      </c>
      <c r="C19" s="147">
        <f>SUM(H10:L10)</f>
        <v>39928.496119099269</v>
      </c>
    </row>
    <row r="20" spans="2:3" x14ac:dyDescent="0.2">
      <c r="B20" s="1" t="s">
        <v>343</v>
      </c>
      <c r="C20" s="147">
        <f>L11</f>
        <v>78140.101481013757</v>
      </c>
    </row>
    <row r="21" spans="2:3" x14ac:dyDescent="0.2">
      <c r="B21" s="7" t="s">
        <v>347</v>
      </c>
      <c r="C21" s="178">
        <f>C19+C20</f>
        <v>118068.59760011302</v>
      </c>
    </row>
    <row r="22" spans="2:3" x14ac:dyDescent="0.2">
      <c r="B22" s="1" t="s">
        <v>348</v>
      </c>
      <c r="C22" s="20">
        <f>Statements!W23</f>
        <v>9799</v>
      </c>
    </row>
    <row r="23" spans="2:3" x14ac:dyDescent="0.2">
      <c r="B23" s="1" t="s">
        <v>349</v>
      </c>
      <c r="C23" s="20">
        <f>Statements!W42+Statements!W47</f>
        <v>15270</v>
      </c>
    </row>
    <row r="24" spans="2:3" x14ac:dyDescent="0.2">
      <c r="B24" s="7" t="s">
        <v>350</v>
      </c>
      <c r="C24" s="178">
        <f>C21+C22-C23</f>
        <v>112597.59760011302</v>
      </c>
    </row>
    <row r="25" spans="2:3" x14ac:dyDescent="0.2">
      <c r="B25" s="1" t="s">
        <v>15</v>
      </c>
      <c r="C25" s="147">
        <f>'Statement Q'!N141</f>
        <v>1054</v>
      </c>
    </row>
    <row r="26" spans="2:3" x14ac:dyDescent="0.2">
      <c r="B26" s="215" t="s">
        <v>351</v>
      </c>
      <c r="C26" s="216">
        <f>C24/C25</f>
        <v>106.82884022781121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C0DD5-B235-D141-814F-F59AB1E0C09F}">
  <dimension ref="A1:N61"/>
  <sheetViews>
    <sheetView topLeftCell="A37" zoomScale="192" zoomScaleNormal="100" workbookViewId="0">
      <selection activeCell="C39" sqref="C39"/>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352</v>
      </c>
    </row>
    <row r="2" spans="1:14" x14ac:dyDescent="0.2">
      <c r="A2" s="167"/>
      <c r="C2" s="242" t="s">
        <v>176</v>
      </c>
      <c r="D2" s="242"/>
      <c r="E2" s="242"/>
      <c r="F2" s="242"/>
      <c r="G2" s="249"/>
      <c r="H2" s="250" t="s">
        <v>177</v>
      </c>
      <c r="I2" s="242"/>
      <c r="J2" s="242"/>
      <c r="K2" s="242"/>
      <c r="L2" s="242"/>
    </row>
    <row r="3" spans="1:14" ht="10" customHeight="1" x14ac:dyDescent="0.2"/>
    <row r="4" spans="1:14" ht="16" customHeight="1" x14ac:dyDescent="0.2">
      <c r="A4" s="172"/>
      <c r="B4" s="173"/>
      <c r="C4" s="246" t="s">
        <v>353</v>
      </c>
      <c r="D4" s="246"/>
      <c r="E4" s="246"/>
      <c r="F4" s="246"/>
      <c r="G4" s="246"/>
      <c r="H4" s="246"/>
      <c r="I4" s="246"/>
      <c r="J4" s="246"/>
      <c r="K4" s="246"/>
      <c r="L4" s="246"/>
    </row>
    <row r="5" spans="1:14" x14ac:dyDescent="0.2">
      <c r="B5" s="7" t="s">
        <v>279</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row>
    <row r="6" spans="1:14"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row>
    <row r="7" spans="1:14" x14ac:dyDescent="0.2">
      <c r="B7" s="7" t="s">
        <v>318</v>
      </c>
      <c r="C7" s="176">
        <f>'FCF &amp; Other'!C12</f>
        <v>9789</v>
      </c>
      <c r="D7" s="176">
        <f>'FCF &amp; Other'!D12</f>
        <v>15860</v>
      </c>
      <c r="E7" s="176">
        <f>'FCF &amp; Other'!E12</f>
        <v>7788</v>
      </c>
      <c r="F7" s="176">
        <f>'FCF &amp; Other'!F12</f>
        <v>10071</v>
      </c>
      <c r="G7" s="177">
        <f>'FCF &amp; Other'!G12</f>
        <v>12355</v>
      </c>
      <c r="H7" s="176">
        <f>'FCF &amp; Other'!H12</f>
        <v>11444.661200000002</v>
      </c>
      <c r="I7" s="176">
        <f>'FCF &amp; Other'!I12</f>
        <v>11370.154460000002</v>
      </c>
      <c r="J7" s="176">
        <f>'FCF &amp; Other'!J12</f>
        <v>12841.663643299999</v>
      </c>
      <c r="K7" s="176">
        <f>'FCF &amp; Other'!K12</f>
        <v>14012.709466509601</v>
      </c>
      <c r="L7" s="176">
        <f>'FCF &amp; Other'!L12</f>
        <v>16641.420831907133</v>
      </c>
      <c r="N7" s="134"/>
    </row>
    <row r="8" spans="1:14" x14ac:dyDescent="0.2">
      <c r="B8" s="7" t="s">
        <v>323</v>
      </c>
      <c r="C8" s="176">
        <f>'FCF &amp; Other'!C30</f>
        <v>7849.1112517033289</v>
      </c>
      <c r="D8" s="176">
        <f>'FCF &amp; Other'!D30</f>
        <v>5432.3616482197631</v>
      </c>
      <c r="E8" s="176">
        <f>'FCF &amp; Other'!E30</f>
        <v>9186.1793631600158</v>
      </c>
      <c r="F8" s="176">
        <f>'FCF &amp; Other'!F30</f>
        <v>11738.794311145512</v>
      </c>
      <c r="G8" s="177">
        <f>'FCF &amp; Other'!G30</f>
        <v>6230.2271973466004</v>
      </c>
      <c r="H8" s="176">
        <f>'FCF &amp; Other'!H30</f>
        <v>10344.307423342467</v>
      </c>
      <c r="I8" s="176">
        <f>'FCF &amp; Other'!I30</f>
        <v>10252.559706619182</v>
      </c>
      <c r="J8" s="176">
        <f>'FCF &amp; Other'!J30</f>
        <v>10756.699271378233</v>
      </c>
      <c r="K8" s="176">
        <f>'FCF &amp; Other'!K30</f>
        <v>11337.379423242279</v>
      </c>
      <c r="L8" s="176">
        <f>'FCF &amp; Other'!L30</f>
        <v>13420.591340400508</v>
      </c>
      <c r="N8" s="134"/>
    </row>
    <row r="9" spans="1:14" x14ac:dyDescent="0.2">
      <c r="N9" s="134"/>
    </row>
    <row r="10" spans="1:14" x14ac:dyDescent="0.2">
      <c r="C10" s="246" t="s">
        <v>283</v>
      </c>
      <c r="D10" s="246"/>
      <c r="E10" s="246"/>
      <c r="F10" s="246"/>
      <c r="G10" s="246"/>
      <c r="H10" s="246"/>
      <c r="I10" s="246"/>
      <c r="J10" s="246"/>
      <c r="K10" s="246"/>
      <c r="L10" s="246"/>
      <c r="N10" s="134"/>
    </row>
    <row r="11" spans="1:14" x14ac:dyDescent="0.2">
      <c r="B11" s="7" t="s">
        <v>354</v>
      </c>
      <c r="C11" s="66">
        <f>C5</f>
        <v>2021</v>
      </c>
      <c r="D11" s="66">
        <f t="shared" ref="D11:L11" si="0">D5</f>
        <v>2022</v>
      </c>
      <c r="E11" s="66">
        <f t="shared" si="0"/>
        <v>2023</v>
      </c>
      <c r="F11" s="66">
        <f t="shared" si="0"/>
        <v>2024</v>
      </c>
      <c r="G11" s="66">
        <f t="shared" si="0"/>
        <v>2025</v>
      </c>
      <c r="H11" s="66">
        <f t="shared" si="0"/>
        <v>2026</v>
      </c>
      <c r="I11" s="66">
        <f t="shared" si="0"/>
        <v>2027</v>
      </c>
      <c r="J11" s="66">
        <f t="shared" si="0"/>
        <v>2028</v>
      </c>
      <c r="K11" s="66">
        <f t="shared" si="0"/>
        <v>2029</v>
      </c>
      <c r="L11" s="66">
        <f t="shared" si="0"/>
        <v>2030</v>
      </c>
      <c r="N11" s="134"/>
    </row>
    <row r="12" spans="1:14" x14ac:dyDescent="0.2">
      <c r="B12" s="1" t="s">
        <v>20</v>
      </c>
      <c r="C12" s="212"/>
      <c r="D12" s="102">
        <f>(D6-C6)/C6</f>
        <v>0.31680867544539115</v>
      </c>
      <c r="E12" s="102">
        <f t="shared" ref="E12:L14" si="1">(E6-D6)/D6</f>
        <v>-0.18959276018099547</v>
      </c>
      <c r="F12" s="102">
        <f t="shared" si="1"/>
        <v>8.7716359575656058E-2</v>
      </c>
      <c r="G12" s="179">
        <f t="shared" si="1"/>
        <v>0.1365946306657769</v>
      </c>
      <c r="H12" s="102">
        <f t="shared" si="1"/>
        <v>-7.7007722879595161E-2</v>
      </c>
      <c r="I12" s="102">
        <f t="shared" si="1"/>
        <v>-6.5101743684647375E-3</v>
      </c>
      <c r="J12" s="102">
        <f t="shared" si="1"/>
        <v>9.0473106519258481E-2</v>
      </c>
      <c r="K12" s="102">
        <f t="shared" si="1"/>
        <v>0.13016224214842195</v>
      </c>
      <c r="L12" s="102">
        <f t="shared" si="1"/>
        <v>0.14664325073296505</v>
      </c>
      <c r="N12" s="134"/>
    </row>
    <row r="13" spans="1:14" x14ac:dyDescent="0.2">
      <c r="B13" s="1" t="s">
        <v>318</v>
      </c>
      <c r="C13" s="212"/>
      <c r="D13" s="102">
        <f t="shared" ref="D13:D14" si="2">(D7-C7)/C7</f>
        <v>0.6201859229747676</v>
      </c>
      <c r="E13" s="102">
        <f t="shared" si="1"/>
        <v>-0.50895334174022699</v>
      </c>
      <c r="F13" s="102">
        <f t="shared" si="1"/>
        <v>0.29314329738058553</v>
      </c>
      <c r="G13" s="179">
        <f t="shared" si="1"/>
        <v>0.22678979247343858</v>
      </c>
      <c r="H13" s="102">
        <f t="shared" si="1"/>
        <v>-7.3681813031161295E-2</v>
      </c>
      <c r="I13" s="102">
        <f t="shared" si="1"/>
        <v>-6.5101743684645467E-3</v>
      </c>
      <c r="J13" s="102">
        <f t="shared" si="1"/>
        <v>0.12941857460923153</v>
      </c>
      <c r="K13" s="102">
        <f t="shared" si="1"/>
        <v>9.1191130350200628E-2</v>
      </c>
      <c r="L13" s="102">
        <f t="shared" si="1"/>
        <v>0.18759479540199964</v>
      </c>
      <c r="N13" s="134"/>
    </row>
    <row r="14" spans="1:14" x14ac:dyDescent="0.2">
      <c r="B14" s="1" t="s">
        <v>323</v>
      </c>
      <c r="C14" s="212"/>
      <c r="D14" s="102">
        <f t="shared" si="2"/>
        <v>-0.30790105095772585</v>
      </c>
      <c r="E14" s="102">
        <f t="shared" si="1"/>
        <v>0.69101027472469823</v>
      </c>
      <c r="F14" s="102">
        <f t="shared" si="1"/>
        <v>0.27787558320735906</v>
      </c>
      <c r="G14" s="179">
        <f t="shared" si="1"/>
        <v>-0.469261745950242</v>
      </c>
      <c r="H14" s="102">
        <f t="shared" si="1"/>
        <v>0.66034192585272289</v>
      </c>
      <c r="I14" s="102">
        <f t="shared" si="1"/>
        <v>-8.8693919243207266E-3</v>
      </c>
      <c r="J14" s="102">
        <f t="shared" si="1"/>
        <v>4.9172068164945369E-2</v>
      </c>
      <c r="K14" s="102">
        <f t="shared" si="1"/>
        <v>5.3983116680517237E-2</v>
      </c>
      <c r="L14" s="102">
        <f t="shared" si="1"/>
        <v>0.18374721700567989</v>
      </c>
      <c r="N14" s="134"/>
    </row>
    <row r="15" spans="1:14" x14ac:dyDescent="0.2">
      <c r="N15" s="134"/>
    </row>
    <row r="16" spans="1:14" x14ac:dyDescent="0.2">
      <c r="C16" s="246" t="s">
        <v>355</v>
      </c>
      <c r="D16" s="246"/>
      <c r="E16" s="246"/>
      <c r="F16" s="246"/>
      <c r="G16" s="246"/>
      <c r="H16" s="246"/>
      <c r="I16" s="246"/>
      <c r="J16" s="246"/>
      <c r="K16" s="246"/>
      <c r="L16" s="246"/>
      <c r="N16" s="134"/>
    </row>
    <row r="17" spans="2:14" x14ac:dyDescent="0.2">
      <c r="C17" s="66">
        <f t="shared" ref="C17:L17" si="3">C5</f>
        <v>2021</v>
      </c>
      <c r="D17" s="66">
        <f t="shared" si="3"/>
        <v>2022</v>
      </c>
      <c r="E17" s="66">
        <f t="shared" si="3"/>
        <v>2023</v>
      </c>
      <c r="F17" s="66">
        <f t="shared" si="3"/>
        <v>2024</v>
      </c>
      <c r="G17" s="66">
        <f t="shared" si="3"/>
        <v>2025</v>
      </c>
      <c r="H17" s="66">
        <f t="shared" si="3"/>
        <v>2026</v>
      </c>
      <c r="I17" s="66">
        <f t="shared" si="3"/>
        <v>2027</v>
      </c>
      <c r="J17" s="66">
        <f t="shared" si="3"/>
        <v>2028</v>
      </c>
      <c r="K17" s="66">
        <f t="shared" si="3"/>
        <v>2029</v>
      </c>
      <c r="L17" s="66">
        <f t="shared" si="3"/>
        <v>2030</v>
      </c>
      <c r="N17" s="134"/>
    </row>
    <row r="18" spans="2:14" x14ac:dyDescent="0.2">
      <c r="B18" s="1" t="s">
        <v>203</v>
      </c>
      <c r="C18" s="96">
        <f>Statements!H19</f>
        <v>1149</v>
      </c>
      <c r="D18" s="96">
        <f>Statements!I19</f>
        <v>1137</v>
      </c>
      <c r="E18" s="96">
        <f>Statements!J19</f>
        <v>1126</v>
      </c>
      <c r="F18" s="96">
        <f>Statements!K19</f>
        <v>1130</v>
      </c>
      <c r="G18" s="217">
        <f>Statements!L19</f>
        <v>1105</v>
      </c>
      <c r="H18" s="162">
        <f>G18*(1+H19)</f>
        <v>1082.9000000000001</v>
      </c>
      <c r="I18" s="162">
        <f t="shared" ref="I18:L18" si="4">H18*(1+I19)</f>
        <v>1061.242</v>
      </c>
      <c r="J18" s="162">
        <f t="shared" si="4"/>
        <v>1045.3233699999998</v>
      </c>
      <c r="K18" s="162">
        <f t="shared" si="4"/>
        <v>1029.6435194499998</v>
      </c>
      <c r="L18" s="162">
        <f t="shared" si="4"/>
        <v>1019.3470842554998</v>
      </c>
      <c r="N18" s="134"/>
    </row>
    <row r="19" spans="2:14" x14ac:dyDescent="0.2">
      <c r="B19" s="1" t="s">
        <v>204</v>
      </c>
      <c r="C19" s="212"/>
      <c r="D19" s="112">
        <f>D18/C18-1</f>
        <v>-1.0443864229765065E-2</v>
      </c>
      <c r="E19" s="112">
        <f t="shared" ref="E19:G19" si="5">E18/D18-1</f>
        <v>-9.674582233949014E-3</v>
      </c>
      <c r="F19" s="112">
        <f t="shared" si="5"/>
        <v>3.5523978685612079E-3</v>
      </c>
      <c r="G19" s="218">
        <f t="shared" si="5"/>
        <v>-2.2123893805309769E-2</v>
      </c>
      <c r="H19" s="108">
        <v>-0.02</v>
      </c>
      <c r="I19" s="113">
        <v>-0.02</v>
      </c>
      <c r="J19" s="113">
        <v>-1.4999999999999999E-2</v>
      </c>
      <c r="K19" s="113">
        <v>-1.4999999999999999E-2</v>
      </c>
      <c r="L19" s="113">
        <v>-0.01</v>
      </c>
      <c r="N19" s="134"/>
    </row>
    <row r="20" spans="2:14" x14ac:dyDescent="0.2">
      <c r="N20" s="134"/>
    </row>
    <row r="21" spans="2:14" x14ac:dyDescent="0.2">
      <c r="C21" s="246" t="s">
        <v>356</v>
      </c>
      <c r="D21" s="246"/>
      <c r="E21" s="246"/>
      <c r="F21" s="246"/>
      <c r="G21" s="246"/>
      <c r="H21" s="246"/>
      <c r="I21" s="246"/>
      <c r="J21" s="246"/>
      <c r="K21" s="246"/>
      <c r="L21" s="246"/>
      <c r="N21" s="134"/>
    </row>
    <row r="22" spans="2:14" x14ac:dyDescent="0.2">
      <c r="C22" s="66">
        <f>C5</f>
        <v>2021</v>
      </c>
      <c r="D22" s="66">
        <f t="shared" ref="D22:L22" si="6">D5</f>
        <v>2022</v>
      </c>
      <c r="E22" s="66">
        <f t="shared" si="6"/>
        <v>2023</v>
      </c>
      <c r="F22" s="66">
        <f t="shared" si="6"/>
        <v>2024</v>
      </c>
      <c r="G22" s="66">
        <f t="shared" si="6"/>
        <v>2025</v>
      </c>
      <c r="H22" s="66">
        <f t="shared" si="6"/>
        <v>2026</v>
      </c>
      <c r="I22" s="66">
        <f t="shared" si="6"/>
        <v>2027</v>
      </c>
      <c r="J22" s="66">
        <f t="shared" si="6"/>
        <v>2028</v>
      </c>
      <c r="K22" s="66">
        <f t="shared" si="6"/>
        <v>2029</v>
      </c>
      <c r="L22" s="66">
        <f t="shared" si="6"/>
        <v>2030</v>
      </c>
      <c r="N22" s="134"/>
    </row>
    <row r="23" spans="2:14" x14ac:dyDescent="0.2">
      <c r="B23" s="1" t="s">
        <v>153</v>
      </c>
      <c r="C23" s="219">
        <f>'Statement Y'!H184</f>
        <v>133.88</v>
      </c>
      <c r="D23" s="219">
        <f>'Statement Y'!I184</f>
        <v>121.19</v>
      </c>
      <c r="E23" s="219">
        <f>'Statement Y'!J184</f>
        <v>107.68</v>
      </c>
      <c r="F23" s="219">
        <f>'Statement Y'!K184</f>
        <v>170.13</v>
      </c>
      <c r="G23" s="220">
        <f>'Statement Y'!L184</f>
        <v>169.2</v>
      </c>
      <c r="H23" s="212"/>
      <c r="I23" s="212"/>
      <c r="J23" s="212"/>
      <c r="K23" s="212"/>
      <c r="L23" s="212"/>
      <c r="N23" s="134"/>
    </row>
    <row r="24" spans="2:14" x14ac:dyDescent="0.2">
      <c r="N24" s="134"/>
    </row>
    <row r="25" spans="2:14" x14ac:dyDescent="0.2">
      <c r="N25" s="134"/>
    </row>
    <row r="26" spans="2:14" x14ac:dyDescent="0.2">
      <c r="C26" s="246" t="s">
        <v>357</v>
      </c>
      <c r="D26" s="246"/>
      <c r="E26" s="246"/>
      <c r="F26" s="246"/>
      <c r="G26" s="246"/>
      <c r="H26" s="246"/>
      <c r="I26" s="246"/>
      <c r="J26" s="246"/>
      <c r="K26" s="246"/>
      <c r="L26" s="246"/>
      <c r="N26" s="134"/>
    </row>
    <row r="27" spans="2:14" x14ac:dyDescent="0.2">
      <c r="C27" s="66">
        <f>C5</f>
        <v>2021</v>
      </c>
      <c r="D27" s="66">
        <f t="shared" ref="D27:L27" si="7">D5</f>
        <v>2022</v>
      </c>
      <c r="E27" s="66">
        <f t="shared" si="7"/>
        <v>2023</v>
      </c>
      <c r="F27" s="66">
        <f t="shared" si="7"/>
        <v>2024</v>
      </c>
      <c r="G27" s="66">
        <f t="shared" si="7"/>
        <v>2025</v>
      </c>
      <c r="H27" s="66">
        <f t="shared" si="7"/>
        <v>2026</v>
      </c>
      <c r="I27" s="66">
        <f t="shared" si="7"/>
        <v>2027</v>
      </c>
      <c r="J27" s="66">
        <f t="shared" si="7"/>
        <v>2028</v>
      </c>
      <c r="K27" s="66">
        <f t="shared" si="7"/>
        <v>2029</v>
      </c>
      <c r="L27" s="66">
        <f t="shared" si="7"/>
        <v>2030</v>
      </c>
      <c r="N27" s="134"/>
    </row>
    <row r="28" spans="2:14" x14ac:dyDescent="0.2">
      <c r="B28" s="7" t="s">
        <v>266</v>
      </c>
      <c r="C28" s="221">
        <f>C23/(C6/C18)</f>
        <v>4.5828552702139067</v>
      </c>
      <c r="D28" s="221">
        <f t="shared" ref="D28:G28" si="8">D23/(D6/D18)</f>
        <v>3.1174893665158372</v>
      </c>
      <c r="E28" s="221">
        <f t="shared" si="8"/>
        <v>3.3849156895589059</v>
      </c>
      <c r="F28" s="221">
        <f t="shared" si="8"/>
        <v>4.9342153893537288</v>
      </c>
      <c r="G28" s="222">
        <f t="shared" si="8"/>
        <v>4.2219763345677892</v>
      </c>
      <c r="H28" s="212"/>
      <c r="I28" s="212"/>
      <c r="J28" s="212"/>
      <c r="K28" s="212"/>
      <c r="L28" s="212"/>
      <c r="N28" s="134"/>
    </row>
    <row r="29" spans="2:14" x14ac:dyDescent="0.2">
      <c r="B29" s="1" t="s">
        <v>358</v>
      </c>
      <c r="C29" s="162">
        <f>C23*C18</f>
        <v>153828.12</v>
      </c>
      <c r="D29" s="162">
        <f t="shared" ref="D29:G29" si="9">D23*D18</f>
        <v>137793.03</v>
      </c>
      <c r="E29" s="162">
        <f t="shared" si="9"/>
        <v>121247.68000000001</v>
      </c>
      <c r="F29" s="162">
        <f t="shared" si="9"/>
        <v>192246.9</v>
      </c>
      <c r="G29" s="223">
        <f t="shared" si="9"/>
        <v>186966</v>
      </c>
      <c r="H29" s="212"/>
      <c r="I29" s="212"/>
      <c r="J29" s="212"/>
      <c r="K29" s="212"/>
      <c r="L29" s="212"/>
      <c r="N29" s="134"/>
    </row>
    <row r="30" spans="2:14" x14ac:dyDescent="0.2">
      <c r="B30" s="1" t="s">
        <v>273</v>
      </c>
      <c r="C30" s="142">
        <f>Statements!H42+Statements!H47</f>
        <v>15745</v>
      </c>
      <c r="D30" s="224">
        <f>Statements!I42+Statements!I47</f>
        <v>15482</v>
      </c>
      <c r="E30" s="224">
        <f>Statements!J42+Statements!J47</f>
        <v>15398</v>
      </c>
      <c r="F30" s="224">
        <f>Statements!K42+Statements!K47</f>
        <v>14634</v>
      </c>
      <c r="G30" s="225">
        <f>Statements!L42+Statements!L47</f>
        <v>14811</v>
      </c>
      <c r="H30" s="212"/>
      <c r="I30" s="212"/>
      <c r="J30" s="212"/>
      <c r="K30" s="212"/>
      <c r="L30" s="212"/>
      <c r="N30" s="134"/>
    </row>
    <row r="31" spans="2:14" x14ac:dyDescent="0.2">
      <c r="B31" s="1" t="s">
        <v>275</v>
      </c>
      <c r="C31" s="224">
        <f>Statements!H23</f>
        <v>12414</v>
      </c>
      <c r="D31" s="224">
        <f>Statements!I23</f>
        <v>6382</v>
      </c>
      <c r="E31" s="224">
        <f>Statements!J23</f>
        <v>11324</v>
      </c>
      <c r="F31" s="224">
        <f>Statements!K23</f>
        <v>13300</v>
      </c>
      <c r="G31" s="225">
        <f>Statements!L23</f>
        <v>10155</v>
      </c>
      <c r="H31" s="212"/>
      <c r="I31" s="212"/>
      <c r="J31" s="212"/>
      <c r="K31" s="212"/>
      <c r="L31" s="212"/>
      <c r="N31" s="134"/>
    </row>
    <row r="32" spans="2:14" x14ac:dyDescent="0.2">
      <c r="B32" s="1" t="s">
        <v>259</v>
      </c>
      <c r="C32" s="162">
        <f>C29+C30-C31</f>
        <v>157159.12</v>
      </c>
      <c r="D32" s="162">
        <f t="shared" ref="D32:G32" si="10">D29+D30-D31</f>
        <v>146893.03</v>
      </c>
      <c r="E32" s="162">
        <f t="shared" si="10"/>
        <v>125321.68</v>
      </c>
      <c r="F32" s="162">
        <f t="shared" si="10"/>
        <v>193580.9</v>
      </c>
      <c r="G32" s="223">
        <f t="shared" si="10"/>
        <v>191622</v>
      </c>
      <c r="H32" s="212"/>
      <c r="I32" s="212"/>
      <c r="J32" s="212"/>
      <c r="K32" s="212"/>
      <c r="L32" s="212"/>
      <c r="N32" s="134"/>
    </row>
    <row r="33" spans="2:14" x14ac:dyDescent="0.2">
      <c r="B33" s="7" t="s">
        <v>359</v>
      </c>
      <c r="C33" s="221">
        <f>C32/C7</f>
        <v>16.0546654408009</v>
      </c>
      <c r="D33" s="221">
        <f t="shared" ref="D33:G33" si="11">D32/D7</f>
        <v>9.2618556116015132</v>
      </c>
      <c r="E33" s="221">
        <f t="shared" si="11"/>
        <v>16.091638418079096</v>
      </c>
      <c r="F33" s="221">
        <f t="shared" si="11"/>
        <v>19.221616522688908</v>
      </c>
      <c r="G33" s="222">
        <f t="shared" si="11"/>
        <v>15.509672197490895</v>
      </c>
      <c r="H33" s="212"/>
      <c r="I33" s="212"/>
      <c r="J33" s="212"/>
      <c r="K33" s="212"/>
      <c r="L33" s="212"/>
      <c r="N33" s="134"/>
    </row>
    <row r="34" spans="2:14" x14ac:dyDescent="0.2">
      <c r="B34" s="7" t="s">
        <v>360</v>
      </c>
      <c r="C34" s="221">
        <f>C32/C8</f>
        <v>20.022536942114947</v>
      </c>
      <c r="D34" s="221">
        <f t="shared" ref="D34:G34" si="12">D32/D8</f>
        <v>27.04036283153907</v>
      </c>
      <c r="E34" s="221">
        <f t="shared" si="12"/>
        <v>13.642415964855463</v>
      </c>
      <c r="F34" s="221">
        <f t="shared" si="12"/>
        <v>16.490696988889457</v>
      </c>
      <c r="G34" s="222">
        <f t="shared" si="12"/>
        <v>30.756823777086353</v>
      </c>
      <c r="H34" s="212"/>
      <c r="I34" s="212"/>
      <c r="J34" s="212"/>
      <c r="K34" s="212"/>
      <c r="L34" s="212"/>
      <c r="N34" s="134"/>
    </row>
    <row r="35" spans="2:14" x14ac:dyDescent="0.2">
      <c r="N35" s="134"/>
    </row>
    <row r="36" spans="2:14" x14ac:dyDescent="0.2">
      <c r="N36" s="134"/>
    </row>
    <row r="37" spans="2:14" x14ac:dyDescent="0.2">
      <c r="B37" s="242" t="s">
        <v>361</v>
      </c>
      <c r="C37" s="242"/>
      <c r="N37" s="134"/>
    </row>
    <row r="38" spans="2:14" x14ac:dyDescent="0.2">
      <c r="B38" s="1" t="s">
        <v>362</v>
      </c>
      <c r="C38" s="147">
        <f>L7</f>
        <v>16641.420831907133</v>
      </c>
    </row>
    <row r="39" spans="2:14" x14ac:dyDescent="0.2">
      <c r="B39" s="1" t="s">
        <v>325</v>
      </c>
      <c r="C39" s="226">
        <f>WACC!C20</f>
        <v>0.11958794725316811</v>
      </c>
    </row>
    <row r="40" spans="2:14" x14ac:dyDescent="0.2">
      <c r="B40" s="8" t="s">
        <v>363</v>
      </c>
      <c r="C40" s="227">
        <v>15</v>
      </c>
    </row>
    <row r="41" spans="2:14" x14ac:dyDescent="0.2">
      <c r="B41" s="1" t="s">
        <v>364</v>
      </c>
      <c r="C41" s="20">
        <f>L18</f>
        <v>1019.3470842554998</v>
      </c>
    </row>
    <row r="42" spans="2:14" x14ac:dyDescent="0.2">
      <c r="B42" s="1" t="s">
        <v>259</v>
      </c>
      <c r="C42" s="20">
        <f>(C38*C40)-G30+G31</f>
        <v>244965.312478607</v>
      </c>
    </row>
    <row r="43" spans="2:14" x14ac:dyDescent="0.2">
      <c r="B43" s="1" t="s">
        <v>351</v>
      </c>
      <c r="C43" s="20">
        <f>C42/C41</f>
        <v>240.31590050362701</v>
      </c>
    </row>
    <row r="44" spans="2:14" x14ac:dyDescent="0.2">
      <c r="B44" s="215" t="s">
        <v>365</v>
      </c>
      <c r="C44" s="216">
        <f>C43/(1+C48)^5</f>
        <v>136.61281312444444</v>
      </c>
    </row>
    <row r="46" spans="2:14" x14ac:dyDescent="0.2">
      <c r="B46" s="242" t="s">
        <v>213</v>
      </c>
      <c r="C46" s="242"/>
    </row>
    <row r="47" spans="2:14" x14ac:dyDescent="0.2">
      <c r="B47" s="1" t="s">
        <v>366</v>
      </c>
      <c r="C47" s="147">
        <f>L6</f>
        <v>57384.209765197011</v>
      </c>
    </row>
    <row r="48" spans="2:14" x14ac:dyDescent="0.2">
      <c r="B48" s="1" t="s">
        <v>325</v>
      </c>
      <c r="C48" s="226">
        <f>WACC!C20</f>
        <v>0.11958794725316811</v>
      </c>
    </row>
    <row r="49" spans="2:3" x14ac:dyDescent="0.2">
      <c r="B49" s="8" t="s">
        <v>216</v>
      </c>
      <c r="C49" s="227">
        <v>4</v>
      </c>
    </row>
    <row r="50" spans="2:3" x14ac:dyDescent="0.2">
      <c r="B50" s="1" t="s">
        <v>364</v>
      </c>
      <c r="C50" s="20">
        <f>L18</f>
        <v>1019.3470842554998</v>
      </c>
    </row>
    <row r="51" spans="2:3" x14ac:dyDescent="0.2">
      <c r="B51" s="1" t="s">
        <v>351</v>
      </c>
      <c r="C51" s="20">
        <f>(C47*C49)/C50</f>
        <v>225.1802576434844</v>
      </c>
    </row>
    <row r="52" spans="2:3" x14ac:dyDescent="0.2">
      <c r="B52" s="215" t="s">
        <v>365</v>
      </c>
      <c r="C52" s="216">
        <f>C51/(1+C48)^5</f>
        <v>128.00862694601142</v>
      </c>
    </row>
    <row r="54" spans="2:3" x14ac:dyDescent="0.2">
      <c r="B54" s="242" t="s">
        <v>367</v>
      </c>
      <c r="C54" s="242"/>
    </row>
    <row r="55" spans="2:3" x14ac:dyDescent="0.2">
      <c r="B55" s="1" t="s">
        <v>368</v>
      </c>
      <c r="C55" s="147">
        <f>L8</f>
        <v>13420.591340400508</v>
      </c>
    </row>
    <row r="56" spans="2:3" x14ac:dyDescent="0.2">
      <c r="B56" s="1" t="s">
        <v>325</v>
      </c>
      <c r="C56" s="226">
        <f>WACC!C20</f>
        <v>0.11958794725316811</v>
      </c>
    </row>
    <row r="57" spans="2:3" x14ac:dyDescent="0.2">
      <c r="B57" s="8" t="s">
        <v>369</v>
      </c>
      <c r="C57" s="227">
        <v>18</v>
      </c>
    </row>
    <row r="58" spans="2:3" x14ac:dyDescent="0.2">
      <c r="B58" s="1" t="s">
        <v>364</v>
      </c>
      <c r="C58" s="20">
        <f>L18</f>
        <v>1019.3470842554998</v>
      </c>
    </row>
    <row r="59" spans="2:3" x14ac:dyDescent="0.2">
      <c r="B59" s="1" t="s">
        <v>259</v>
      </c>
      <c r="C59" s="20">
        <f>(C55*C57)-G30+G31</f>
        <v>236914.64412720915</v>
      </c>
    </row>
    <row r="60" spans="2:3" x14ac:dyDescent="0.2">
      <c r="B60" s="1" t="s">
        <v>351</v>
      </c>
      <c r="C60" s="20">
        <f>C59/C58</f>
        <v>232.41803286291284</v>
      </c>
    </row>
    <row r="61" spans="2:3" x14ac:dyDescent="0.2">
      <c r="B61" s="215" t="s">
        <v>365</v>
      </c>
      <c r="C61" s="216">
        <f>C60/(1+C56)^5</f>
        <v>132.12309807096136</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DEE8B-7AC7-B740-9799-2192D742BF3F}">
  <dimension ref="A1:N11"/>
  <sheetViews>
    <sheetView zoomScale="168" zoomScaleNormal="100" workbookViewId="0">
      <selection activeCell="C11" sqref="C11"/>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370</v>
      </c>
    </row>
    <row r="2" spans="1:14" x14ac:dyDescent="0.2">
      <c r="N2" s="134"/>
    </row>
    <row r="3" spans="1:14" x14ac:dyDescent="0.2">
      <c r="N3" s="134"/>
    </row>
    <row r="4" spans="1:14" x14ac:dyDescent="0.2">
      <c r="B4" s="242" t="s">
        <v>371</v>
      </c>
      <c r="C4" s="242"/>
      <c r="N4" s="134"/>
    </row>
    <row r="5" spans="1:14" x14ac:dyDescent="0.2">
      <c r="B5" s="1" t="s">
        <v>372</v>
      </c>
      <c r="C5" s="228">
        <f>DCF!C26</f>
        <v>106.82884022781121</v>
      </c>
    </row>
    <row r="6" spans="1:14" x14ac:dyDescent="0.2">
      <c r="B6" s="1" t="s">
        <v>373</v>
      </c>
      <c r="C6" s="228">
        <f>Multiples!C44</f>
        <v>136.61281312444444</v>
      </c>
    </row>
    <row r="7" spans="1:14" x14ac:dyDescent="0.2">
      <c r="B7" s="1" t="s">
        <v>374</v>
      </c>
      <c r="C7" s="228">
        <f>Multiples!C52</f>
        <v>128.00862694601142</v>
      </c>
    </row>
    <row r="8" spans="1:14" x14ac:dyDescent="0.2">
      <c r="B8" s="1" t="s">
        <v>375</v>
      </c>
      <c r="C8" s="228">
        <f>Multiples!C61</f>
        <v>132.12309807096136</v>
      </c>
    </row>
    <row r="9" spans="1:14" x14ac:dyDescent="0.2">
      <c r="B9" s="215" t="s">
        <v>376</v>
      </c>
      <c r="C9" s="216">
        <f>AVERAGE(C5:C8)</f>
        <v>125.89334459230712</v>
      </c>
    </row>
    <row r="10" spans="1:14" x14ac:dyDescent="0.2">
      <c r="B10" s="1" t="s">
        <v>377</v>
      </c>
      <c r="C10" s="38">
        <f>Overview!C3</f>
        <v>228.99</v>
      </c>
    </row>
    <row r="11" spans="1:14" x14ac:dyDescent="0.2">
      <c r="B11" s="1" t="s">
        <v>378</v>
      </c>
      <c r="C11" s="122">
        <f>(C9-C10)/C10</f>
        <v>-0.45022339581507004</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2B80F-51A4-9A46-B171-36D50C118C54}">
  <dimension ref="A1:AB49"/>
  <sheetViews>
    <sheetView topLeftCell="A11" zoomScale="209" zoomScaleNormal="100" workbookViewId="0">
      <selection activeCell="C18" sqref="C18"/>
    </sheetView>
  </sheetViews>
  <sheetFormatPr baseColWidth="10" defaultRowHeight="16" x14ac:dyDescent="0.2"/>
  <cols>
    <col min="1" max="1" width="2" style="16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379</v>
      </c>
    </row>
    <row r="2" spans="1:28" s="169" customFormat="1" ht="18" customHeight="1" x14ac:dyDescent="0.2">
      <c r="A2" s="167"/>
      <c r="B2" s="168"/>
    </row>
    <row r="3" spans="1:28" x14ac:dyDescent="0.2">
      <c r="A3" s="167"/>
      <c r="C3" s="242" t="s">
        <v>176</v>
      </c>
      <c r="D3" s="242"/>
      <c r="E3" s="242"/>
      <c r="F3" s="242"/>
      <c r="G3" s="249"/>
      <c r="H3" s="250" t="s">
        <v>177</v>
      </c>
      <c r="I3" s="242"/>
      <c r="J3" s="242"/>
      <c r="K3" s="242"/>
      <c r="L3" s="242"/>
      <c r="P3" s="251"/>
      <c r="Q3" s="251"/>
      <c r="R3" s="251"/>
      <c r="S3" s="251"/>
      <c r="T3" s="251"/>
      <c r="U3" s="251"/>
      <c r="V3" s="251"/>
      <c r="W3" s="251"/>
      <c r="X3" s="251"/>
      <c r="Y3" s="251"/>
      <c r="Z3" s="251"/>
      <c r="AB3" s="186"/>
    </row>
    <row r="4" spans="1:28" ht="10" customHeight="1" x14ac:dyDescent="0.2"/>
    <row r="5" spans="1:28" ht="16" customHeight="1" x14ac:dyDescent="0.2">
      <c r="A5" s="172"/>
      <c r="B5" s="173"/>
      <c r="C5" s="246" t="s">
        <v>339</v>
      </c>
      <c r="D5" s="246"/>
      <c r="E5" s="246"/>
      <c r="F5" s="246"/>
      <c r="G5" s="246"/>
      <c r="H5" s="246"/>
      <c r="I5" s="246"/>
      <c r="J5" s="246"/>
      <c r="K5" s="246"/>
      <c r="L5" s="246"/>
      <c r="P5" s="251"/>
      <c r="Q5" s="251"/>
      <c r="R5" s="251"/>
      <c r="S5" s="251"/>
      <c r="T5" s="251"/>
      <c r="U5" s="251"/>
      <c r="V5" s="251"/>
      <c r="W5" s="251"/>
      <c r="X5" s="251"/>
      <c r="Y5" s="251"/>
      <c r="Z5" s="251"/>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43">
        <f>G7*(1+$C$17)</f>
        <v>8628.8646683250408</v>
      </c>
      <c r="I7" s="143">
        <f t="shared" ref="I7:L7" si="0">H7*(1+$C$17)</f>
        <v>11950.977565630181</v>
      </c>
      <c r="J7" s="143">
        <f t="shared" si="0"/>
        <v>16552.103928397799</v>
      </c>
      <c r="K7" s="143">
        <f t="shared" si="0"/>
        <v>22924.663940830953</v>
      </c>
      <c r="L7" s="143">
        <f t="shared" si="0"/>
        <v>31750.659558050869</v>
      </c>
      <c r="N7" s="134"/>
      <c r="O7" s="7"/>
      <c r="P7" s="176"/>
      <c r="Q7" s="176"/>
      <c r="R7" s="176"/>
      <c r="S7" s="176"/>
      <c r="T7" s="176"/>
      <c r="U7" s="176"/>
      <c r="V7" s="176"/>
      <c r="W7" s="176"/>
      <c r="X7" s="178"/>
      <c r="Y7" s="178"/>
      <c r="Z7" s="178"/>
      <c r="AB7" s="178"/>
    </row>
    <row r="8" spans="1:28" x14ac:dyDescent="0.2">
      <c r="B8" s="8" t="s">
        <v>340</v>
      </c>
      <c r="C8" s="212"/>
      <c r="D8" s="212"/>
      <c r="E8" s="212"/>
      <c r="F8" s="212"/>
      <c r="G8" s="213"/>
      <c r="H8" s="212"/>
      <c r="I8" s="212"/>
      <c r="J8" s="212"/>
      <c r="K8" s="212"/>
      <c r="L8" s="143">
        <f>L7*(1+C20)/(C21-C20)</f>
        <v>325196.70946608082</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H7/(1+$C$21)^H9</f>
        <v>7707.1789576650644</v>
      </c>
      <c r="I10" s="143">
        <f t="shared" ref="I10:L10" si="1">I7/(1+$C$21)^I9</f>
        <v>9534.2602450795621</v>
      </c>
      <c r="J10" s="143">
        <f t="shared" si="1"/>
        <v>11794.473557734013</v>
      </c>
      <c r="K10" s="143">
        <f t="shared" si="1"/>
        <v>14590.498153842453</v>
      </c>
      <c r="L10" s="143">
        <f t="shared" si="1"/>
        <v>18049.354668965796</v>
      </c>
      <c r="N10" s="134"/>
    </row>
    <row r="11" spans="1:28" x14ac:dyDescent="0.2">
      <c r="B11" s="1" t="s">
        <v>343</v>
      </c>
      <c r="C11" s="212"/>
      <c r="D11" s="212"/>
      <c r="E11" s="212"/>
      <c r="F11" s="212"/>
      <c r="G11" s="213"/>
      <c r="H11" s="212"/>
      <c r="I11" s="212"/>
      <c r="J11" s="212"/>
      <c r="K11" s="212"/>
      <c r="L11" s="143">
        <f>L8/(1+C21)^L9</f>
        <v>184865.15959148301</v>
      </c>
    </row>
    <row r="13" spans="1:28" ht="17" thickBot="1" x14ac:dyDescent="0.25"/>
    <row r="14" spans="1:28" x14ac:dyDescent="0.2">
      <c r="B14" s="252" t="s">
        <v>380</v>
      </c>
      <c r="C14" s="253"/>
    </row>
    <row r="15" spans="1:28" x14ac:dyDescent="0.2">
      <c r="B15" s="229" t="s">
        <v>381</v>
      </c>
      <c r="C15" s="230">
        <f>Overview!C3</f>
        <v>228.99</v>
      </c>
    </row>
    <row r="16" spans="1:28" x14ac:dyDescent="0.2">
      <c r="B16" s="229" t="s">
        <v>382</v>
      </c>
      <c r="C16" s="230">
        <f>C36</f>
        <v>228.71909409370957</v>
      </c>
    </row>
    <row r="17" spans="2:9" ht="17" thickBot="1" x14ac:dyDescent="0.25">
      <c r="B17" s="131" t="s">
        <v>383</v>
      </c>
      <c r="C17" s="231">
        <v>0.38500000000000001</v>
      </c>
      <c r="E17" s="254" t="s">
        <v>384</v>
      </c>
      <c r="F17" s="254"/>
      <c r="G17" s="254"/>
      <c r="H17" s="254"/>
      <c r="I17" s="254"/>
    </row>
    <row r="18" spans="2:9" ht="17" thickBot="1" x14ac:dyDescent="0.25"/>
    <row r="19" spans="2:9" x14ac:dyDescent="0.2">
      <c r="B19" s="252" t="s">
        <v>344</v>
      </c>
      <c r="C19" s="253"/>
    </row>
    <row r="20" spans="2:9" x14ac:dyDescent="0.2">
      <c r="B20" s="126" t="s">
        <v>345</v>
      </c>
      <c r="C20" s="232">
        <v>0.02</v>
      </c>
    </row>
    <row r="21" spans="2:9" x14ac:dyDescent="0.2">
      <c r="B21" s="126" t="s">
        <v>325</v>
      </c>
      <c r="C21" s="233">
        <f>WACC!C20</f>
        <v>0.11958794725316811</v>
      </c>
    </row>
    <row r="22" spans="2:9" x14ac:dyDescent="0.2">
      <c r="B22" s="126" t="s">
        <v>15</v>
      </c>
      <c r="C22" s="234">
        <f>'Statement Q'!N141</f>
        <v>1054</v>
      </c>
    </row>
    <row r="23" spans="2:9" x14ac:dyDescent="0.2">
      <c r="B23" s="126" t="s">
        <v>257</v>
      </c>
      <c r="C23" s="234">
        <f>C15*C22</f>
        <v>241355.46000000002</v>
      </c>
    </row>
    <row r="24" spans="2:9" x14ac:dyDescent="0.2">
      <c r="B24" s="126" t="s">
        <v>275</v>
      </c>
      <c r="C24" s="234">
        <f>Statements!W23</f>
        <v>9799</v>
      </c>
    </row>
    <row r="25" spans="2:9" x14ac:dyDescent="0.2">
      <c r="B25" s="126" t="s">
        <v>273</v>
      </c>
      <c r="C25" s="234">
        <f>Statements!W42+Statements!W47</f>
        <v>15270</v>
      </c>
    </row>
    <row r="26" spans="2:9" ht="17" thickBot="1" x14ac:dyDescent="0.25">
      <c r="B26" s="131" t="s">
        <v>385</v>
      </c>
      <c r="C26" s="235">
        <f>C23+C25-C24</f>
        <v>246826.46000000002</v>
      </c>
    </row>
    <row r="27" spans="2:9" ht="17" thickBot="1" x14ac:dyDescent="0.25"/>
    <row r="28" spans="2:9" x14ac:dyDescent="0.2">
      <c r="B28" s="252" t="s">
        <v>159</v>
      </c>
      <c r="C28" s="253"/>
    </row>
    <row r="29" spans="2:9" x14ac:dyDescent="0.2">
      <c r="B29" s="126" t="s">
        <v>346</v>
      </c>
      <c r="C29" s="234">
        <f>SUM(H10:L10)</f>
        <v>61675.765583286891</v>
      </c>
    </row>
    <row r="30" spans="2:9" x14ac:dyDescent="0.2">
      <c r="B30" s="126" t="s">
        <v>343</v>
      </c>
      <c r="C30" s="234">
        <f>L11</f>
        <v>184865.15959148301</v>
      </c>
    </row>
    <row r="31" spans="2:9" x14ac:dyDescent="0.2">
      <c r="B31" s="236" t="s">
        <v>347</v>
      </c>
      <c r="C31" s="237">
        <f>C29+C30</f>
        <v>246540.92517476989</v>
      </c>
    </row>
    <row r="32" spans="2:9" x14ac:dyDescent="0.2">
      <c r="B32" s="126" t="s">
        <v>348</v>
      </c>
      <c r="C32" s="127">
        <f>C24</f>
        <v>9799</v>
      </c>
    </row>
    <row r="33" spans="2:12" x14ac:dyDescent="0.2">
      <c r="B33" s="126" t="s">
        <v>349</v>
      </c>
      <c r="C33" s="127">
        <f>C25</f>
        <v>15270</v>
      </c>
    </row>
    <row r="34" spans="2:12" x14ac:dyDescent="0.2">
      <c r="B34" s="236" t="s">
        <v>350</v>
      </c>
      <c r="C34" s="237">
        <f>C31+C32-C33</f>
        <v>241069.92517476989</v>
      </c>
    </row>
    <row r="35" spans="2:12" x14ac:dyDescent="0.2">
      <c r="B35" s="126" t="s">
        <v>15</v>
      </c>
      <c r="C35" s="234">
        <f>C22</f>
        <v>1054</v>
      </c>
    </row>
    <row r="36" spans="2:12" ht="17" thickBot="1" x14ac:dyDescent="0.25">
      <c r="B36" s="238" t="s">
        <v>351</v>
      </c>
      <c r="C36" s="239">
        <f>C34/C35</f>
        <v>228.71909409370957</v>
      </c>
    </row>
    <row r="39" spans="2:12" x14ac:dyDescent="0.2">
      <c r="C39" s="246" t="s">
        <v>386</v>
      </c>
      <c r="D39" s="246"/>
      <c r="E39" s="246"/>
      <c r="F39" s="246"/>
      <c r="G39" s="246"/>
      <c r="H39" s="246"/>
      <c r="I39" s="246"/>
      <c r="J39" s="246"/>
      <c r="K39" s="246"/>
      <c r="L39" s="246"/>
    </row>
    <row r="40" spans="2:12" x14ac:dyDescent="0.2">
      <c r="C40" s="66">
        <f>C6</f>
        <v>2021</v>
      </c>
      <c r="D40" s="66">
        <f t="shared" ref="D40:L41" si="2">D6</f>
        <v>2022</v>
      </c>
      <c r="E40" s="66">
        <f t="shared" si="2"/>
        <v>2023</v>
      </c>
      <c r="F40" s="66">
        <f t="shared" si="2"/>
        <v>2024</v>
      </c>
      <c r="G40" s="66">
        <f t="shared" si="2"/>
        <v>2025</v>
      </c>
      <c r="H40" s="66">
        <f t="shared" si="2"/>
        <v>2026</v>
      </c>
      <c r="I40" s="66">
        <f t="shared" si="2"/>
        <v>2027</v>
      </c>
      <c r="J40" s="66">
        <f t="shared" si="2"/>
        <v>2028</v>
      </c>
      <c r="K40" s="66">
        <f t="shared" si="2"/>
        <v>2029</v>
      </c>
      <c r="L40" s="66">
        <f t="shared" si="2"/>
        <v>2030</v>
      </c>
    </row>
    <row r="41" spans="2:12" x14ac:dyDescent="0.2">
      <c r="B41" s="8" t="s">
        <v>323</v>
      </c>
      <c r="C41" s="189">
        <f>C7</f>
        <v>7849.1112517033289</v>
      </c>
      <c r="D41" s="189">
        <f t="shared" si="2"/>
        <v>5432.3616482197631</v>
      </c>
      <c r="E41" s="189">
        <f t="shared" si="2"/>
        <v>9186.1793631600158</v>
      </c>
      <c r="F41" s="189">
        <f t="shared" si="2"/>
        <v>11738.794311145512</v>
      </c>
      <c r="G41" s="190">
        <f t="shared" si="2"/>
        <v>6230.2271973466004</v>
      </c>
      <c r="H41" s="162">
        <f t="shared" si="2"/>
        <v>8628.8646683250408</v>
      </c>
      <c r="I41" s="162">
        <f t="shared" si="2"/>
        <v>11950.977565630181</v>
      </c>
      <c r="J41" s="162">
        <f t="shared" si="2"/>
        <v>16552.103928397799</v>
      </c>
      <c r="K41" s="162">
        <f t="shared" si="2"/>
        <v>22924.663940830953</v>
      </c>
      <c r="L41" s="162">
        <f t="shared" si="2"/>
        <v>31750.659558050869</v>
      </c>
    </row>
    <row r="42" spans="2:12" x14ac:dyDescent="0.2">
      <c r="B42" s="1" t="s">
        <v>318</v>
      </c>
      <c r="C42" s="189">
        <f>'FCF &amp; Other'!C12</f>
        <v>9789</v>
      </c>
      <c r="D42" s="189">
        <f>'FCF &amp; Other'!D12</f>
        <v>15860</v>
      </c>
      <c r="E42" s="189">
        <f>'FCF &amp; Other'!E12</f>
        <v>7788</v>
      </c>
      <c r="F42" s="189">
        <f>'FCF &amp; Other'!F12</f>
        <v>10071</v>
      </c>
      <c r="G42" s="190">
        <f>'FCF &amp; Other'!G12</f>
        <v>12355</v>
      </c>
      <c r="H42" s="162">
        <f>H41/H43</f>
        <v>9587.6274092500444</v>
      </c>
      <c r="I42" s="162">
        <f t="shared" ref="I42:L42" si="3">I41/I43</f>
        <v>13278.863961811312</v>
      </c>
      <c r="J42" s="162">
        <f t="shared" si="3"/>
        <v>18391.226587108664</v>
      </c>
      <c r="K42" s="162">
        <f t="shared" si="3"/>
        <v>25471.848823145501</v>
      </c>
      <c r="L42" s="162">
        <f t="shared" si="3"/>
        <v>35278.510620056521</v>
      </c>
    </row>
    <row r="43" spans="2:12" x14ac:dyDescent="0.2">
      <c r="B43" s="100" t="s">
        <v>387</v>
      </c>
      <c r="C43" s="102">
        <f>C41/C42</f>
        <v>0.80182973252664513</v>
      </c>
      <c r="D43" s="102">
        <f t="shared" ref="D43:G43" si="4">D41/D42</f>
        <v>0.34251964995080475</v>
      </c>
      <c r="E43" s="102">
        <f t="shared" si="4"/>
        <v>1.1795299644530066</v>
      </c>
      <c r="F43" s="102">
        <f t="shared" si="4"/>
        <v>1.165603645233394</v>
      </c>
      <c r="G43" s="179">
        <f t="shared" si="4"/>
        <v>0.50426768088600571</v>
      </c>
      <c r="H43" s="240">
        <v>0.9</v>
      </c>
      <c r="I43" s="240">
        <v>0.9</v>
      </c>
      <c r="J43" s="240">
        <v>0.9</v>
      </c>
      <c r="K43" s="240">
        <v>0.9</v>
      </c>
      <c r="L43" s="240">
        <v>0.9</v>
      </c>
    </row>
    <row r="44" spans="2:12" x14ac:dyDescent="0.2">
      <c r="B44" s="1" t="s">
        <v>20</v>
      </c>
      <c r="C44" s="189">
        <f>Revenue!C11</f>
        <v>33566</v>
      </c>
      <c r="D44" s="189">
        <f>Revenue!D11</f>
        <v>44200</v>
      </c>
      <c r="E44" s="189">
        <f>Revenue!E11</f>
        <v>35820</v>
      </c>
      <c r="F44" s="189">
        <f>Revenue!F11</f>
        <v>38962</v>
      </c>
      <c r="G44" s="190">
        <f>Revenue!G11</f>
        <v>44284</v>
      </c>
      <c r="H44" s="162">
        <f>H41/H45</f>
        <v>34515.458673300163</v>
      </c>
      <c r="I44" s="162">
        <f t="shared" ref="I44:L44" si="5">I41/I45</f>
        <v>47803.910262520723</v>
      </c>
      <c r="J44" s="162">
        <f t="shared" si="5"/>
        <v>66208.415713591196</v>
      </c>
      <c r="K44" s="162">
        <f t="shared" si="5"/>
        <v>91698.655763323812</v>
      </c>
      <c r="L44" s="162">
        <f t="shared" si="5"/>
        <v>127002.63823220348</v>
      </c>
    </row>
    <row r="45" spans="2:12" x14ac:dyDescent="0.2">
      <c r="B45" s="100" t="s">
        <v>388</v>
      </c>
      <c r="C45" s="102">
        <f>C41/C44</f>
        <v>0.23384112648821215</v>
      </c>
      <c r="D45" s="102">
        <f t="shared" ref="D45:G45" si="6">D41/D44</f>
        <v>0.12290410968822993</v>
      </c>
      <c r="E45" s="102">
        <f t="shared" si="6"/>
        <v>0.25645391856951466</v>
      </c>
      <c r="F45" s="102">
        <f t="shared" si="6"/>
        <v>0.30128828887494252</v>
      </c>
      <c r="G45" s="179">
        <f t="shared" si="6"/>
        <v>0.14068799560443052</v>
      </c>
      <c r="H45" s="240">
        <v>0.25</v>
      </c>
      <c r="I45" s="240">
        <v>0.25</v>
      </c>
      <c r="J45" s="240">
        <v>0.25</v>
      </c>
      <c r="K45" s="240">
        <v>0.25</v>
      </c>
      <c r="L45" s="240">
        <v>0.25</v>
      </c>
    </row>
    <row r="46" spans="2:12" x14ac:dyDescent="0.2">
      <c r="B46" s="100" t="s">
        <v>389</v>
      </c>
      <c r="C46" s="212"/>
      <c r="D46" s="102">
        <f>D41/C41-1</f>
        <v>-0.3079010509577258</v>
      </c>
      <c r="E46" s="102">
        <f t="shared" ref="E46:L47" si="7">E41/D41-1</f>
        <v>0.69101027472469823</v>
      </c>
      <c r="F46" s="102">
        <f t="shared" si="7"/>
        <v>0.27787558320735917</v>
      </c>
      <c r="G46" s="179">
        <f t="shared" si="7"/>
        <v>-0.46926174595024206</v>
      </c>
      <c r="H46" s="241">
        <f t="shared" si="7"/>
        <v>0.38499999999999979</v>
      </c>
      <c r="I46" s="241">
        <f t="shared" si="7"/>
        <v>0.38500000000000001</v>
      </c>
      <c r="J46" s="241">
        <f t="shared" si="7"/>
        <v>0.38499999999999979</v>
      </c>
      <c r="K46" s="241">
        <f t="shared" si="7"/>
        <v>0.38500000000000001</v>
      </c>
      <c r="L46" s="241">
        <f t="shared" si="7"/>
        <v>0.38500000000000001</v>
      </c>
    </row>
    <row r="47" spans="2:12" x14ac:dyDescent="0.2">
      <c r="B47" s="100" t="s">
        <v>390</v>
      </c>
      <c r="C47" s="212"/>
      <c r="D47" s="102">
        <f>D42/C42-1</f>
        <v>0.62018592297476749</v>
      </c>
      <c r="E47" s="102">
        <f t="shared" si="7"/>
        <v>-0.50895334174022699</v>
      </c>
      <c r="F47" s="102">
        <f t="shared" si="7"/>
        <v>0.29314329738058542</v>
      </c>
      <c r="G47" s="179">
        <f t="shared" si="7"/>
        <v>0.22678979247343856</v>
      </c>
      <c r="H47" s="241">
        <f t="shared" si="7"/>
        <v>-0.22398806885875799</v>
      </c>
      <c r="I47" s="241">
        <f t="shared" si="7"/>
        <v>0.38500000000000001</v>
      </c>
      <c r="J47" s="241">
        <f t="shared" si="7"/>
        <v>0.38499999999999979</v>
      </c>
      <c r="K47" s="241">
        <f t="shared" si="7"/>
        <v>0.38500000000000001</v>
      </c>
      <c r="L47" s="241">
        <f t="shared" si="7"/>
        <v>0.38500000000000001</v>
      </c>
    </row>
    <row r="48" spans="2:12" x14ac:dyDescent="0.2">
      <c r="B48" s="100" t="s">
        <v>187</v>
      </c>
      <c r="C48" s="212"/>
      <c r="D48" s="102">
        <f>D44/C44-1</f>
        <v>0.31680867544539115</v>
      </c>
      <c r="E48" s="102">
        <f t="shared" ref="E48:L48" si="8">E44/D44-1</f>
        <v>-0.18959276018099547</v>
      </c>
      <c r="F48" s="102">
        <f t="shared" si="8"/>
        <v>8.7716359575656044E-2</v>
      </c>
      <c r="G48" s="179">
        <f t="shared" si="8"/>
        <v>0.13659463066577682</v>
      </c>
      <c r="H48" s="241">
        <f t="shared" si="8"/>
        <v>-0.22058850435145505</v>
      </c>
      <c r="I48" s="241">
        <f t="shared" si="8"/>
        <v>0.38500000000000001</v>
      </c>
      <c r="J48" s="241">
        <f t="shared" si="8"/>
        <v>0.38499999999999979</v>
      </c>
      <c r="K48" s="241">
        <f t="shared" si="8"/>
        <v>0.38500000000000001</v>
      </c>
      <c r="L48" s="241">
        <f t="shared" si="8"/>
        <v>0.38500000000000001</v>
      </c>
    </row>
    <row r="49" spans="2:12" x14ac:dyDescent="0.2">
      <c r="B49" s="100" t="s">
        <v>391</v>
      </c>
      <c r="C49" s="102">
        <f>C42/C44</f>
        <v>0.2916343919442293</v>
      </c>
      <c r="D49" s="102">
        <f t="shared" ref="D49:L49" si="9">D42/D44</f>
        <v>0.35882352941176471</v>
      </c>
      <c r="E49" s="102">
        <f t="shared" si="9"/>
        <v>0.21742043551088777</v>
      </c>
      <c r="F49" s="102">
        <f t="shared" si="9"/>
        <v>0.25848262409527234</v>
      </c>
      <c r="G49" s="179">
        <f t="shared" si="9"/>
        <v>0.27899467076144885</v>
      </c>
      <c r="H49" s="241">
        <f t="shared" si="9"/>
        <v>0.27777777777777773</v>
      </c>
      <c r="I49" s="241">
        <f t="shared" si="9"/>
        <v>0.27777777777777779</v>
      </c>
      <c r="J49" s="241">
        <f t="shared" si="9"/>
        <v>0.27777777777777773</v>
      </c>
      <c r="K49" s="241">
        <f t="shared" si="9"/>
        <v>0.27777777777777773</v>
      </c>
      <c r="L49" s="241">
        <f t="shared" si="9"/>
        <v>0.27777777777777779</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DB145-2732-9742-9F48-5CE22F2661B6}">
  <dimension ref="B5:Z80"/>
  <sheetViews>
    <sheetView topLeftCell="A69" zoomScale="200" workbookViewId="0">
      <selection activeCell="V12" sqref="V12"/>
    </sheetView>
  </sheetViews>
  <sheetFormatPr baseColWidth="10" defaultRowHeight="16" x14ac:dyDescent="0.2"/>
  <cols>
    <col min="1" max="1" width="3.83203125" style="1" customWidth="1"/>
    <col min="2" max="2" width="23.1640625" style="1" customWidth="1"/>
    <col min="3" max="12" width="10.83203125" style="1"/>
    <col min="13" max="13" width="26.5" style="1" customWidth="1"/>
    <col min="14" max="14" width="21.1640625" style="1" customWidth="1"/>
    <col min="15" max="16384" width="10.83203125" style="1"/>
  </cols>
  <sheetData>
    <row r="5" spans="2:26" x14ac:dyDescent="0.2">
      <c r="B5" s="93"/>
      <c r="C5" s="242" t="s">
        <v>176</v>
      </c>
      <c r="D5" s="242"/>
      <c r="E5" s="242"/>
      <c r="F5" s="242"/>
      <c r="G5" s="249"/>
      <c r="H5" s="250" t="s">
        <v>177</v>
      </c>
      <c r="I5" s="242"/>
      <c r="J5" s="242"/>
      <c r="K5" s="242"/>
      <c r="L5" s="242"/>
      <c r="N5" s="93"/>
      <c r="O5" s="242" t="s">
        <v>176</v>
      </c>
      <c r="P5" s="242"/>
      <c r="Q5" s="242"/>
      <c r="R5" s="242"/>
      <c r="S5" s="242"/>
      <c r="T5" s="242"/>
      <c r="U5" s="242"/>
      <c r="V5" s="242"/>
      <c r="W5" s="255" t="s">
        <v>177</v>
      </c>
      <c r="X5" s="255"/>
      <c r="Y5" s="255"/>
      <c r="Z5" s="135"/>
    </row>
    <row r="6" spans="2:26" x14ac:dyDescent="0.2">
      <c r="B6" s="66" t="s">
        <v>178</v>
      </c>
      <c r="C6" s="66">
        <f>'Statement Y'!H3</f>
        <v>2021</v>
      </c>
      <c r="D6" s="66">
        <f>'Statement Y'!I3</f>
        <v>2022</v>
      </c>
      <c r="E6" s="66">
        <f>'Statement Y'!J3</f>
        <v>2023</v>
      </c>
      <c r="F6" s="66">
        <f>'Statement Y'!K3</f>
        <v>2024</v>
      </c>
      <c r="G6" s="66">
        <f>'Statement Y'!L3</f>
        <v>2025</v>
      </c>
      <c r="H6" s="66">
        <v>1</v>
      </c>
      <c r="I6" s="66">
        <v>2</v>
      </c>
      <c r="J6" s="66">
        <v>3</v>
      </c>
      <c r="K6" s="66">
        <v>4</v>
      </c>
      <c r="L6" s="66">
        <v>5</v>
      </c>
      <c r="N6" s="66" t="s">
        <v>178</v>
      </c>
      <c r="O6" s="66" t="str">
        <f>'Statement Q'!C3</f>
        <v>Q3 2024</v>
      </c>
      <c r="P6" s="66" t="str">
        <f>'Statement Q'!D3</f>
        <v>Q4 2024</v>
      </c>
      <c r="Q6" s="66" t="str">
        <f>'Statement Q'!E3</f>
        <v>Q1 2025</v>
      </c>
      <c r="R6" s="66" t="str">
        <f>'Statement Q'!F3</f>
        <v>Q2 2025</v>
      </c>
      <c r="S6" s="66" t="str">
        <f>'Statement Q'!G3</f>
        <v>Q3 2025</v>
      </c>
      <c r="T6" s="66" t="str">
        <f>'Statement Q'!H3</f>
        <v>Q4 2025</v>
      </c>
      <c r="U6" s="66" t="str">
        <f>'Statement Q'!I3</f>
        <v>Q1 2026</v>
      </c>
      <c r="V6" s="66" t="str">
        <f>'Statement Q'!J3</f>
        <v>Q2 2026</v>
      </c>
      <c r="W6" s="135">
        <v>1</v>
      </c>
      <c r="X6" s="135">
        <v>2</v>
      </c>
      <c r="Y6" s="135">
        <v>3</v>
      </c>
      <c r="Z6" s="136" t="s">
        <v>154</v>
      </c>
    </row>
    <row r="7" spans="2:26" x14ac:dyDescent="0.2">
      <c r="B7" s="95" t="str">
        <f>'Statement Y'!B173</f>
        <v>Handset</v>
      </c>
      <c r="C7" s="96">
        <f>'Statement Y'!H173</f>
        <v>20475</v>
      </c>
      <c r="D7" s="96">
        <f>'Statement Y'!I173</f>
        <v>28815</v>
      </c>
      <c r="E7" s="96">
        <f>'Statement Y'!J173</f>
        <v>22570</v>
      </c>
      <c r="F7" s="96">
        <f>'Statement Y'!K173</f>
        <v>24863</v>
      </c>
      <c r="G7" s="103">
        <f>'Statement Y'!L173</f>
        <v>27793</v>
      </c>
      <c r="H7" s="20">
        <f>G7*(1+H14)</f>
        <v>24457.84</v>
      </c>
      <c r="I7" s="20">
        <f t="shared" ref="I7:L7" si="0">H7*(1+I14)</f>
        <v>23234.948</v>
      </c>
      <c r="J7" s="20">
        <f t="shared" si="0"/>
        <v>25326.093320000004</v>
      </c>
      <c r="K7" s="20">
        <f t="shared" si="0"/>
        <v>28365.224518400006</v>
      </c>
      <c r="L7" s="20">
        <f t="shared" si="0"/>
        <v>32620.008196160004</v>
      </c>
      <c r="M7" s="134" t="s">
        <v>195</v>
      </c>
      <c r="N7" s="95" t="str">
        <f>'Statement Q'!B161</f>
        <v>Handset</v>
      </c>
      <c r="O7" s="96">
        <f>'Statement Q'!C161</f>
        <v>5899</v>
      </c>
      <c r="P7" s="96">
        <f>'Statement Q'!D161</f>
        <v>6096</v>
      </c>
      <c r="Q7" s="96">
        <f>'Statement Q'!E161</f>
        <v>7574</v>
      </c>
      <c r="R7" s="96">
        <f>'Statement Q'!F161</f>
        <v>6929</v>
      </c>
      <c r="S7" s="96">
        <f>'Statement Q'!G161</f>
        <v>6328</v>
      </c>
      <c r="T7" s="96">
        <f>'Statement Q'!H161</f>
        <v>6961</v>
      </c>
      <c r="U7" s="96">
        <f>'Statement Q'!I161</f>
        <v>7824</v>
      </c>
      <c r="V7" s="103">
        <f>'Statement Q'!J161</f>
        <v>6024</v>
      </c>
      <c r="W7" s="20">
        <f>V7*(1+W22)</f>
        <v>4518</v>
      </c>
      <c r="X7" s="20">
        <f t="shared" ref="X7:Y7" si="1">W7*(1+X22)</f>
        <v>3840.2999999999997</v>
      </c>
      <c r="Y7" s="20">
        <f t="shared" si="1"/>
        <v>3840.2999999999997</v>
      </c>
      <c r="Z7" s="20">
        <f>SUM(U7:X7)</f>
        <v>22206.3</v>
      </c>
    </row>
    <row r="8" spans="2:26" x14ac:dyDescent="0.2">
      <c r="B8" s="95" t="str">
        <f>'Statement Y'!B174</f>
        <v>Automotive</v>
      </c>
      <c r="C8" s="96">
        <f>'Statement Y'!H174</f>
        <v>1110</v>
      </c>
      <c r="D8" s="96">
        <f>'Statement Y'!I174</f>
        <v>1509</v>
      </c>
      <c r="E8" s="96">
        <f>'Statement Y'!J174</f>
        <v>1872</v>
      </c>
      <c r="F8" s="96">
        <f>'Statement Y'!K174</f>
        <v>2910</v>
      </c>
      <c r="G8" s="103">
        <f>'Statement Y'!L174</f>
        <v>3957</v>
      </c>
      <c r="H8" s="20">
        <f>G8*(1+H15)</f>
        <v>4154.8500000000004</v>
      </c>
      <c r="I8" s="20">
        <f t="shared" ref="I8:L8" si="2">H8*(1+I15)</f>
        <v>4570.3350000000009</v>
      </c>
      <c r="J8" s="20">
        <f t="shared" si="2"/>
        <v>5255.8852500000003</v>
      </c>
      <c r="K8" s="20">
        <f t="shared" si="2"/>
        <v>6832.6508250000006</v>
      </c>
      <c r="L8" s="20">
        <f t="shared" si="2"/>
        <v>9224.0786137500018</v>
      </c>
      <c r="M8" s="134" t="s">
        <v>218</v>
      </c>
      <c r="N8" s="95" t="str">
        <f>'Statement Q'!B162</f>
        <v>Automotive</v>
      </c>
      <c r="O8" s="96">
        <f>'Statement Q'!C162</f>
        <v>811</v>
      </c>
      <c r="P8" s="96">
        <f>'Statement Q'!D162</f>
        <v>899</v>
      </c>
      <c r="Q8" s="96">
        <f>'Statement Q'!E162</f>
        <v>961</v>
      </c>
      <c r="R8" s="96">
        <f>'Statement Q'!F162</f>
        <v>959</v>
      </c>
      <c r="S8" s="96">
        <f>'Statement Q'!G162</f>
        <v>984</v>
      </c>
      <c r="T8" s="96">
        <f>'Statement Q'!H162</f>
        <v>1053</v>
      </c>
      <c r="U8" s="96">
        <f>'Statement Q'!I162</f>
        <v>1101</v>
      </c>
      <c r="V8" s="103">
        <f>'Statement Q'!J162</f>
        <v>1326</v>
      </c>
      <c r="W8" s="20">
        <f>V8*(1+W23)</f>
        <v>1790.1000000000001</v>
      </c>
      <c r="X8" s="20">
        <f t="shared" ref="X8:Y8" si="3">W8*(1+X23)</f>
        <v>2148.12</v>
      </c>
      <c r="Y8" s="20">
        <f t="shared" si="3"/>
        <v>2148.12</v>
      </c>
      <c r="Z8" s="20">
        <f t="shared" ref="Z8:Z12" si="4">SUM(U8:X8)</f>
        <v>6365.22</v>
      </c>
    </row>
    <row r="9" spans="2:26" x14ac:dyDescent="0.2">
      <c r="B9" s="95" t="str">
        <f>'Statement Y'!B175</f>
        <v>IoT</v>
      </c>
      <c r="C9" s="96">
        <f>'Statement Y'!H175</f>
        <v>5434</v>
      </c>
      <c r="D9" s="96">
        <f>'Statement Y'!I175</f>
        <v>7353</v>
      </c>
      <c r="E9" s="96">
        <f>'Statement Y'!J175</f>
        <v>5940</v>
      </c>
      <c r="F9" s="96">
        <f>'Statement Y'!K175</f>
        <v>5423</v>
      </c>
      <c r="G9" s="103">
        <f>'Statement Y'!L175</f>
        <v>6617</v>
      </c>
      <c r="H9" s="20">
        <f>G9*(1+H16)</f>
        <v>7014.02</v>
      </c>
      <c r="I9" s="20">
        <f t="shared" ref="I9:L9" si="5">H9*(1+I16)</f>
        <v>7505.001400000001</v>
      </c>
      <c r="J9" s="20">
        <f t="shared" si="5"/>
        <v>8030.3514980000018</v>
      </c>
      <c r="K9" s="20">
        <f t="shared" si="5"/>
        <v>8592.4761028600024</v>
      </c>
      <c r="L9" s="20">
        <f t="shared" si="5"/>
        <v>9193.9494300602037</v>
      </c>
      <c r="M9" s="134" t="s">
        <v>219</v>
      </c>
      <c r="N9" s="95" t="str">
        <f>'Statement Q'!B163</f>
        <v>IoT</v>
      </c>
      <c r="O9" s="96">
        <f>'Statement Q'!C163</f>
        <v>1359</v>
      </c>
      <c r="P9" s="96">
        <f>'Statement Q'!D163</f>
        <v>1683</v>
      </c>
      <c r="Q9" s="96">
        <f>'Statement Q'!E163</f>
        <v>1549</v>
      </c>
      <c r="R9" s="96">
        <f>'Statement Q'!F163</f>
        <v>1581</v>
      </c>
      <c r="S9" s="96">
        <f>'Statement Q'!G163</f>
        <v>1681</v>
      </c>
      <c r="T9" s="96">
        <f>'Statement Q'!H163</f>
        <v>1807</v>
      </c>
      <c r="U9" s="96">
        <f>'Statement Q'!I163</f>
        <v>1688</v>
      </c>
      <c r="V9" s="103">
        <f>'Statement Q'!J163</f>
        <v>1726</v>
      </c>
      <c r="W9" s="20">
        <f>V9*(1+W24)</f>
        <v>1846.8200000000002</v>
      </c>
      <c r="X9" s="20">
        <f t="shared" ref="X9:Y9" si="6">W9*(1+X24)</f>
        <v>1939.1610000000003</v>
      </c>
      <c r="Y9" s="20">
        <f t="shared" si="6"/>
        <v>1939.1610000000003</v>
      </c>
      <c r="Z9" s="20">
        <f t="shared" si="4"/>
        <v>7199.9809999999998</v>
      </c>
    </row>
    <row r="10" spans="2:26" x14ac:dyDescent="0.2">
      <c r="B10" s="1" t="str">
        <f>'Statement Y'!B176</f>
        <v>QCT</v>
      </c>
      <c r="C10" s="96">
        <f>'Statement Y'!H176</f>
        <v>27019</v>
      </c>
      <c r="D10" s="96">
        <f>'Statement Y'!I176</f>
        <v>37677</v>
      </c>
      <c r="E10" s="96">
        <f>'Statement Y'!J176</f>
        <v>30382</v>
      </c>
      <c r="F10" s="96">
        <f>'Statement Y'!K176</f>
        <v>33196</v>
      </c>
      <c r="G10" s="103">
        <f>'Statement Y'!L176</f>
        <v>38367</v>
      </c>
      <c r="H10" s="20">
        <f>SUM(H7:H9)</f>
        <v>35626.710000000006</v>
      </c>
      <c r="I10" s="20">
        <f t="shared" ref="I10:L10" si="7">SUM(I7:I9)</f>
        <v>35310.284400000004</v>
      </c>
      <c r="J10" s="20">
        <f t="shared" si="7"/>
        <v>38612.330068000003</v>
      </c>
      <c r="K10" s="20">
        <f t="shared" si="7"/>
        <v>43790.351446260014</v>
      </c>
      <c r="L10" s="20">
        <f t="shared" si="7"/>
        <v>51038.036239970206</v>
      </c>
      <c r="N10" s="139" t="str">
        <f>'Statement Q'!B164</f>
        <v>QCT</v>
      </c>
      <c r="O10" s="96">
        <f>'Statement Q'!C164</f>
        <v>8069</v>
      </c>
      <c r="P10" s="96">
        <f>'Statement Q'!D164</f>
        <v>8678</v>
      </c>
      <c r="Q10" s="96">
        <f>'Statement Q'!E164</f>
        <v>10084</v>
      </c>
      <c r="R10" s="96">
        <f>'Statement Q'!F164</f>
        <v>9469</v>
      </c>
      <c r="S10" s="96">
        <f>'Statement Q'!G164</f>
        <v>8993</v>
      </c>
      <c r="T10" s="96">
        <f>'Statement Q'!H164</f>
        <v>9821</v>
      </c>
      <c r="U10" s="96">
        <f>'Statement Q'!I164</f>
        <v>10613</v>
      </c>
      <c r="V10" s="103">
        <f>'Statement Q'!J164</f>
        <v>9076</v>
      </c>
      <c r="W10" s="20">
        <f>SUM(W7:W9)</f>
        <v>8154.92</v>
      </c>
      <c r="X10" s="20">
        <f t="shared" ref="X10:Y10" si="8">SUM(X7:X9)</f>
        <v>7927.5810000000001</v>
      </c>
      <c r="Y10" s="20">
        <f t="shared" si="8"/>
        <v>7927.5810000000001</v>
      </c>
      <c r="Z10" s="20">
        <f t="shared" si="4"/>
        <v>35771.500999999997</v>
      </c>
    </row>
    <row r="11" spans="2:26" x14ac:dyDescent="0.2">
      <c r="B11" s="1" t="str">
        <f>'Statement Y'!B177</f>
        <v>QTL</v>
      </c>
      <c r="C11" s="96">
        <f>'Statement Y'!H177</f>
        <v>6320</v>
      </c>
      <c r="D11" s="96">
        <f>'Statement Y'!I177</f>
        <v>6358</v>
      </c>
      <c r="E11" s="96">
        <f>'Statement Y'!J177</f>
        <v>5306</v>
      </c>
      <c r="F11" s="96">
        <f>'Statement Y'!K177</f>
        <v>5572</v>
      </c>
      <c r="G11" s="103">
        <f>'Statement Y'!L177</f>
        <v>5582</v>
      </c>
      <c r="H11" s="20">
        <f>G11*(1+H18)</f>
        <v>5247.08</v>
      </c>
      <c r="I11" s="20">
        <f t="shared" ref="I11:L11" si="9">H11*(1+I18)</f>
        <v>5089.6675999999998</v>
      </c>
      <c r="J11" s="20">
        <f t="shared" si="9"/>
        <v>5191.4609519999995</v>
      </c>
      <c r="K11" s="20">
        <f t="shared" si="9"/>
        <v>5347.2047805599996</v>
      </c>
      <c r="L11" s="20">
        <f t="shared" si="9"/>
        <v>5507.6209239767995</v>
      </c>
      <c r="M11" s="134" t="s">
        <v>220</v>
      </c>
      <c r="N11" s="139" t="str">
        <f>'Statement Q'!B165</f>
        <v>QTL</v>
      </c>
      <c r="O11" s="96">
        <f>'Statement Q'!C165</f>
        <v>1273</v>
      </c>
      <c r="P11" s="96">
        <f>'Statement Q'!D165</f>
        <v>1521</v>
      </c>
      <c r="Q11" s="96">
        <f>'Statement Q'!E165</f>
        <v>1535</v>
      </c>
      <c r="R11" s="96">
        <f>'Statement Q'!F165</f>
        <v>1319</v>
      </c>
      <c r="S11" s="96">
        <f>'Statement Q'!G165</f>
        <v>1318</v>
      </c>
      <c r="T11" s="96">
        <f>'Statement Q'!H165</f>
        <v>1409</v>
      </c>
      <c r="U11" s="96">
        <f>'Statement Q'!I165</f>
        <v>1529</v>
      </c>
      <c r="V11" s="103">
        <f>'Statement Q'!J165</f>
        <v>1382</v>
      </c>
      <c r="W11" s="20">
        <f>V11*(1+W25)</f>
        <v>1243.8</v>
      </c>
      <c r="X11" s="20">
        <f t="shared" ref="X11:Y11" si="10">W11*(1+X25)</f>
        <v>1169.1719999999998</v>
      </c>
      <c r="Y11" s="20">
        <f t="shared" si="10"/>
        <v>1169.1719999999998</v>
      </c>
      <c r="Z11" s="20">
        <f t="shared" si="4"/>
        <v>5323.9719999999998</v>
      </c>
    </row>
    <row r="12" spans="2:26" x14ac:dyDescent="0.2">
      <c r="B12" s="1" t="s">
        <v>186</v>
      </c>
      <c r="C12" s="20">
        <f>SUM(C10,C11)</f>
        <v>33339</v>
      </c>
      <c r="D12" s="20">
        <f t="shared" ref="D12:G12" si="11">SUM(D10,D11)</f>
        <v>44035</v>
      </c>
      <c r="E12" s="20">
        <f t="shared" si="11"/>
        <v>35688</v>
      </c>
      <c r="F12" s="20">
        <f t="shared" si="11"/>
        <v>38768</v>
      </c>
      <c r="G12" s="104">
        <f t="shared" si="11"/>
        <v>43949</v>
      </c>
      <c r="H12" s="20">
        <f>SUM(H10:H11)</f>
        <v>40873.790000000008</v>
      </c>
      <c r="I12" s="20">
        <f t="shared" ref="I12:L12" si="12">SUM(I10:I11)</f>
        <v>40399.952000000005</v>
      </c>
      <c r="J12" s="20">
        <f t="shared" si="12"/>
        <v>43803.791020000004</v>
      </c>
      <c r="K12" s="20">
        <f t="shared" si="12"/>
        <v>49137.556226820016</v>
      </c>
      <c r="L12" s="20">
        <f t="shared" si="12"/>
        <v>56545.657163947006</v>
      </c>
      <c r="N12" s="1" t="s">
        <v>186</v>
      </c>
      <c r="O12" s="20">
        <f>SUM(O10,O11)</f>
        <v>9342</v>
      </c>
      <c r="P12" s="20">
        <f t="shared" ref="P12:V12" si="13">SUM(P10,P11)</f>
        <v>10199</v>
      </c>
      <c r="Q12" s="20">
        <f t="shared" si="13"/>
        <v>11619</v>
      </c>
      <c r="R12" s="20">
        <f t="shared" si="13"/>
        <v>10788</v>
      </c>
      <c r="S12" s="20">
        <f t="shared" si="13"/>
        <v>10311</v>
      </c>
      <c r="T12" s="20">
        <f t="shared" si="13"/>
        <v>11230</v>
      </c>
      <c r="U12" s="20">
        <f t="shared" si="13"/>
        <v>12142</v>
      </c>
      <c r="V12" s="104">
        <f t="shared" si="13"/>
        <v>10458</v>
      </c>
      <c r="W12" s="20">
        <f>SUM(W10:W11)</f>
        <v>9398.7199999999993</v>
      </c>
      <c r="X12" s="20">
        <f t="shared" ref="X12:Y12" si="14">SUM(X10:X11)</f>
        <v>9096.7530000000006</v>
      </c>
      <c r="Y12" s="20">
        <f t="shared" si="14"/>
        <v>9096.7530000000006</v>
      </c>
      <c r="Z12" s="20">
        <f t="shared" si="4"/>
        <v>41095.472999999998</v>
      </c>
    </row>
    <row r="13" spans="2:26" x14ac:dyDescent="0.2">
      <c r="B13" s="97" t="s">
        <v>187</v>
      </c>
      <c r="C13" s="97"/>
      <c r="D13" s="97"/>
      <c r="E13" s="97"/>
      <c r="F13" s="97"/>
      <c r="G13" s="97"/>
      <c r="H13" s="97"/>
      <c r="I13" s="97"/>
      <c r="J13" s="97"/>
      <c r="K13" s="97"/>
      <c r="L13" s="97"/>
      <c r="N13" s="97" t="s">
        <v>187</v>
      </c>
      <c r="O13" s="97"/>
      <c r="P13" s="97"/>
      <c r="Q13" s="97"/>
      <c r="R13" s="97"/>
      <c r="S13" s="97"/>
      <c r="T13" s="97"/>
      <c r="U13" s="97"/>
      <c r="V13" s="97"/>
      <c r="W13" s="97"/>
      <c r="X13" s="97"/>
      <c r="Y13" s="97"/>
      <c r="Z13" s="97"/>
    </row>
    <row r="14" spans="2:26" x14ac:dyDescent="0.2">
      <c r="B14" s="101" t="s">
        <v>188</v>
      </c>
      <c r="C14" s="98"/>
      <c r="D14" s="102">
        <f>(D7-C7)/C7</f>
        <v>0.40732600732600732</v>
      </c>
      <c r="E14" s="102">
        <f t="shared" ref="E14:G14" si="15">(E7-D7)/D7</f>
        <v>-0.21672739892417145</v>
      </c>
      <c r="F14" s="102">
        <f t="shared" si="15"/>
        <v>0.10159503766061143</v>
      </c>
      <c r="G14" s="105">
        <f t="shared" si="15"/>
        <v>0.11784579495636086</v>
      </c>
      <c r="H14" s="106">
        <f>H22</f>
        <v>-0.12</v>
      </c>
      <c r="I14" s="106">
        <f t="shared" ref="I14:L14" si="16">I22</f>
        <v>-0.05</v>
      </c>
      <c r="J14" s="106">
        <f t="shared" si="16"/>
        <v>0.09</v>
      </c>
      <c r="K14" s="106">
        <f t="shared" si="16"/>
        <v>0.12</v>
      </c>
      <c r="L14" s="106">
        <f t="shared" si="16"/>
        <v>0.15</v>
      </c>
      <c r="N14" s="101" t="s">
        <v>188</v>
      </c>
      <c r="O14" s="98"/>
      <c r="P14" s="102">
        <f>(P7-O7)/O7</f>
        <v>3.3395490761145959E-2</v>
      </c>
      <c r="Q14" s="102">
        <f t="shared" ref="Q14:W14" si="17">(Q7-P7)/P7</f>
        <v>0.24245406824146981</v>
      </c>
      <c r="R14" s="102">
        <f t="shared" si="17"/>
        <v>-8.5159757063638764E-2</v>
      </c>
      <c r="S14" s="102">
        <f t="shared" si="17"/>
        <v>-8.6736902871987306E-2</v>
      </c>
      <c r="T14" s="102">
        <f t="shared" si="17"/>
        <v>0.10003160556257902</v>
      </c>
      <c r="U14" s="102">
        <f t="shared" si="17"/>
        <v>0.12397644016664272</v>
      </c>
      <c r="V14" s="105">
        <f t="shared" si="17"/>
        <v>-0.23006134969325154</v>
      </c>
      <c r="W14" s="102">
        <f t="shared" si="17"/>
        <v>-0.25</v>
      </c>
      <c r="X14" s="102">
        <f t="shared" ref="X14:X19" si="18">(X7-W7)/W7</f>
        <v>-0.15000000000000005</v>
      </c>
      <c r="Y14" s="102">
        <f t="shared" ref="Y14:Y19" si="19">(Y7-X7)/X7</f>
        <v>0</v>
      </c>
    </row>
    <row r="15" spans="2:26" x14ac:dyDescent="0.2">
      <c r="B15" s="101" t="s">
        <v>189</v>
      </c>
      <c r="C15" s="98"/>
      <c r="D15" s="102">
        <f t="shared" ref="D15:G19" si="20">(D8-C8)/C8</f>
        <v>0.35945945945945945</v>
      </c>
      <c r="E15" s="102">
        <f t="shared" si="20"/>
        <v>0.24055666003976142</v>
      </c>
      <c r="F15" s="102">
        <f t="shared" si="20"/>
        <v>0.55448717948717952</v>
      </c>
      <c r="G15" s="105">
        <f t="shared" si="20"/>
        <v>0.35979381443298969</v>
      </c>
      <c r="H15" s="106">
        <f>H23</f>
        <v>0.05</v>
      </c>
      <c r="I15" s="106">
        <f t="shared" ref="I15:L15" si="21">I23</f>
        <v>0.1</v>
      </c>
      <c r="J15" s="106">
        <f t="shared" si="21"/>
        <v>0.15</v>
      </c>
      <c r="K15" s="106">
        <f t="shared" si="21"/>
        <v>0.3</v>
      </c>
      <c r="L15" s="106">
        <f t="shared" si="21"/>
        <v>0.35</v>
      </c>
      <c r="N15" s="101" t="s">
        <v>189</v>
      </c>
      <c r="O15" s="98"/>
      <c r="P15" s="102">
        <f t="shared" ref="P15:W19" si="22">(P8-O8)/O8</f>
        <v>0.10850801479654747</v>
      </c>
      <c r="Q15" s="102">
        <f t="shared" si="22"/>
        <v>6.8965517241379309E-2</v>
      </c>
      <c r="R15" s="102">
        <f t="shared" si="22"/>
        <v>-2.0811654526534861E-3</v>
      </c>
      <c r="S15" s="102">
        <f t="shared" si="22"/>
        <v>2.6068821689259645E-2</v>
      </c>
      <c r="T15" s="102">
        <f t="shared" si="22"/>
        <v>7.0121951219512202E-2</v>
      </c>
      <c r="U15" s="102">
        <f t="shared" si="22"/>
        <v>4.5584045584045586E-2</v>
      </c>
      <c r="V15" s="105">
        <f t="shared" si="22"/>
        <v>0.20435967302452315</v>
      </c>
      <c r="W15" s="102">
        <f t="shared" si="22"/>
        <v>0.35000000000000009</v>
      </c>
      <c r="X15" s="102">
        <f t="shared" si="18"/>
        <v>0.19999999999999984</v>
      </c>
      <c r="Y15" s="102">
        <f t="shared" si="19"/>
        <v>0</v>
      </c>
    </row>
    <row r="16" spans="2:26" x14ac:dyDescent="0.2">
      <c r="B16" s="101" t="s">
        <v>190</v>
      </c>
      <c r="C16" s="98"/>
      <c r="D16" s="102">
        <f t="shared" si="20"/>
        <v>0.35314685314685312</v>
      </c>
      <c r="E16" s="102">
        <f t="shared" si="20"/>
        <v>-0.19216646266829865</v>
      </c>
      <c r="F16" s="102">
        <f t="shared" si="20"/>
        <v>-8.7037037037037038E-2</v>
      </c>
      <c r="G16" s="105">
        <f t="shared" si="20"/>
        <v>0.22017333579199705</v>
      </c>
      <c r="H16" s="106">
        <f>H24</f>
        <v>0.06</v>
      </c>
      <c r="I16" s="106">
        <f t="shared" ref="I16:L16" si="23">I24</f>
        <v>7.0000000000000007E-2</v>
      </c>
      <c r="J16" s="106">
        <f t="shared" si="23"/>
        <v>7.0000000000000007E-2</v>
      </c>
      <c r="K16" s="106">
        <f t="shared" si="23"/>
        <v>7.0000000000000007E-2</v>
      </c>
      <c r="L16" s="106">
        <f t="shared" si="23"/>
        <v>7.0000000000000007E-2</v>
      </c>
      <c r="N16" s="101" t="s">
        <v>190</v>
      </c>
      <c r="O16" s="98"/>
      <c r="P16" s="102">
        <f t="shared" si="22"/>
        <v>0.23841059602649006</v>
      </c>
      <c r="Q16" s="102">
        <f t="shared" si="22"/>
        <v>-7.9619726678550204E-2</v>
      </c>
      <c r="R16" s="102">
        <f t="shared" si="22"/>
        <v>2.0658489347966429E-2</v>
      </c>
      <c r="S16" s="102">
        <f t="shared" si="22"/>
        <v>6.3251106894370648E-2</v>
      </c>
      <c r="T16" s="102">
        <f t="shared" si="22"/>
        <v>7.4955383700178471E-2</v>
      </c>
      <c r="U16" s="102">
        <f t="shared" si="22"/>
        <v>-6.5855008301051468E-2</v>
      </c>
      <c r="V16" s="105">
        <f t="shared" si="22"/>
        <v>2.2511848341232227E-2</v>
      </c>
      <c r="W16" s="102">
        <f t="shared" si="22"/>
        <v>7.000000000000009E-2</v>
      </c>
      <c r="X16" s="102">
        <f t="shared" si="18"/>
        <v>5.0000000000000058E-2</v>
      </c>
      <c r="Y16" s="102">
        <f t="shared" si="19"/>
        <v>0</v>
      </c>
    </row>
    <row r="17" spans="2:25" x14ac:dyDescent="0.2">
      <c r="B17" s="100" t="s">
        <v>191</v>
      </c>
      <c r="C17" s="98"/>
      <c r="D17" s="102">
        <f t="shared" si="20"/>
        <v>0.39446315555720046</v>
      </c>
      <c r="E17" s="102">
        <f t="shared" si="20"/>
        <v>-0.19361944953154445</v>
      </c>
      <c r="F17" s="102">
        <f t="shared" si="20"/>
        <v>9.2620630636561119E-2</v>
      </c>
      <c r="G17" s="105">
        <f t="shared" si="20"/>
        <v>0.15577177973249789</v>
      </c>
      <c r="H17" s="106">
        <f>(H10-G10)/G10</f>
        <v>-7.142309797482195E-2</v>
      </c>
      <c r="I17" s="106">
        <f t="shared" ref="I17:L17" si="24">(I10-H10)/H10</f>
        <v>-8.8816957838655959E-3</v>
      </c>
      <c r="J17" s="106">
        <f t="shared" si="24"/>
        <v>9.351512524209514E-2</v>
      </c>
      <c r="K17" s="106">
        <f t="shared" si="24"/>
        <v>0.13410279486218576</v>
      </c>
      <c r="L17" s="106">
        <f t="shared" si="24"/>
        <v>0.16550871491873337</v>
      </c>
      <c r="N17" s="100" t="s">
        <v>191</v>
      </c>
      <c r="O17" s="98"/>
      <c r="P17" s="102">
        <f t="shared" si="22"/>
        <v>7.5474036435741729E-2</v>
      </c>
      <c r="Q17" s="102">
        <f t="shared" si="22"/>
        <v>0.16201889836367828</v>
      </c>
      <c r="R17" s="102">
        <f t="shared" si="22"/>
        <v>-6.0987703292344306E-2</v>
      </c>
      <c r="S17" s="102">
        <f t="shared" si="22"/>
        <v>-5.0269299820466788E-2</v>
      </c>
      <c r="T17" s="102">
        <f t="shared" si="22"/>
        <v>9.2071611253196933E-2</v>
      </c>
      <c r="U17" s="102">
        <f t="shared" si="22"/>
        <v>8.064351898991956E-2</v>
      </c>
      <c r="V17" s="105">
        <f t="shared" si="22"/>
        <v>-0.1448223876378027</v>
      </c>
      <c r="W17" s="102">
        <f t="shared" si="22"/>
        <v>-0.10148523578669016</v>
      </c>
      <c r="X17" s="102">
        <f t="shared" si="18"/>
        <v>-2.7877526695540843E-2</v>
      </c>
      <c r="Y17" s="102">
        <f t="shared" si="19"/>
        <v>0</v>
      </c>
    </row>
    <row r="18" spans="2:25" x14ac:dyDescent="0.2">
      <c r="B18" s="100" t="s">
        <v>192</v>
      </c>
      <c r="C18" s="99"/>
      <c r="D18" s="102">
        <f t="shared" si="20"/>
        <v>6.0126582278481012E-3</v>
      </c>
      <c r="E18" s="102">
        <f t="shared" si="20"/>
        <v>-0.16546083674111356</v>
      </c>
      <c r="F18" s="102">
        <f t="shared" si="20"/>
        <v>5.0131926121372031E-2</v>
      </c>
      <c r="G18" s="105">
        <f t="shared" si="20"/>
        <v>1.7946877243359654E-3</v>
      </c>
      <c r="H18" s="106">
        <f>H25</f>
        <v>-0.06</v>
      </c>
      <c r="I18" s="106">
        <f t="shared" ref="I18:L18" si="25">I25</f>
        <v>-0.03</v>
      </c>
      <c r="J18" s="106">
        <f t="shared" si="25"/>
        <v>0.02</v>
      </c>
      <c r="K18" s="106">
        <f t="shared" si="25"/>
        <v>0.03</v>
      </c>
      <c r="L18" s="106">
        <f t="shared" si="25"/>
        <v>0.03</v>
      </c>
      <c r="N18" s="100" t="s">
        <v>192</v>
      </c>
      <c r="O18" s="99"/>
      <c r="P18" s="102">
        <f t="shared" si="22"/>
        <v>0.19481539670070699</v>
      </c>
      <c r="Q18" s="102">
        <f t="shared" si="22"/>
        <v>9.204470742932281E-3</v>
      </c>
      <c r="R18" s="102">
        <f t="shared" si="22"/>
        <v>-0.14071661237785016</v>
      </c>
      <c r="S18" s="102">
        <f t="shared" si="22"/>
        <v>-7.5815011372251705E-4</v>
      </c>
      <c r="T18" s="102">
        <f t="shared" si="22"/>
        <v>6.9044006069802738E-2</v>
      </c>
      <c r="U18" s="102">
        <f t="shared" si="22"/>
        <v>8.5166784953867994E-2</v>
      </c>
      <c r="V18" s="105">
        <f t="shared" si="22"/>
        <v>-9.6141268803139307E-2</v>
      </c>
      <c r="W18" s="102">
        <f t="shared" si="22"/>
        <v>-0.10000000000000003</v>
      </c>
      <c r="X18" s="102">
        <f t="shared" si="18"/>
        <v>-6.000000000000013E-2</v>
      </c>
      <c r="Y18" s="102">
        <f t="shared" si="19"/>
        <v>0</v>
      </c>
    </row>
    <row r="19" spans="2:25" x14ac:dyDescent="0.2">
      <c r="B19" s="100" t="s">
        <v>193</v>
      </c>
      <c r="C19" s="99"/>
      <c r="D19" s="102">
        <f t="shared" si="20"/>
        <v>0.32082545967185577</v>
      </c>
      <c r="E19" s="102">
        <f t="shared" si="20"/>
        <v>-0.18955376405132282</v>
      </c>
      <c r="F19" s="102">
        <f t="shared" si="20"/>
        <v>8.6303519390271241E-2</v>
      </c>
      <c r="G19" s="105">
        <f t="shared" si="20"/>
        <v>0.13364114733801072</v>
      </c>
      <c r="H19" s="106">
        <f>(H12-G12)/G12</f>
        <v>-6.9972240551548201E-2</v>
      </c>
      <c r="I19" s="106">
        <f t="shared" ref="I19:L19" si="26">(I12-H12)/H12</f>
        <v>-1.1592710145058808E-2</v>
      </c>
      <c r="J19" s="106">
        <f t="shared" si="26"/>
        <v>8.4253541192326142E-2</v>
      </c>
      <c r="K19" s="106">
        <f t="shared" si="26"/>
        <v>0.1217649222275011</v>
      </c>
      <c r="L19" s="106">
        <f t="shared" si="26"/>
        <v>0.15076250237050937</v>
      </c>
      <c r="N19" s="100" t="s">
        <v>193</v>
      </c>
      <c r="O19" s="99"/>
      <c r="P19" s="102">
        <f t="shared" si="22"/>
        <v>9.1736244915435666E-2</v>
      </c>
      <c r="Q19" s="102">
        <f t="shared" si="22"/>
        <v>0.13922933620943229</v>
      </c>
      <c r="R19" s="102">
        <f t="shared" si="22"/>
        <v>-7.1520784921249678E-2</v>
      </c>
      <c r="S19" s="102">
        <f t="shared" si="22"/>
        <v>-4.4215795328142384E-2</v>
      </c>
      <c r="T19" s="102">
        <f t="shared" si="22"/>
        <v>8.9128115604694011E-2</v>
      </c>
      <c r="U19" s="102">
        <f t="shared" si="22"/>
        <v>8.1211041852181656E-2</v>
      </c>
      <c r="V19" s="105">
        <f t="shared" si="22"/>
        <v>-0.13869214297479823</v>
      </c>
      <c r="W19" s="102">
        <f t="shared" si="22"/>
        <v>-0.101288965385351</v>
      </c>
      <c r="X19" s="102">
        <f t="shared" si="18"/>
        <v>-3.2128523884103234E-2</v>
      </c>
      <c r="Y19" s="102">
        <f t="shared" si="19"/>
        <v>0</v>
      </c>
    </row>
    <row r="21" spans="2:25" x14ac:dyDescent="0.2">
      <c r="B21" s="66" t="s">
        <v>194</v>
      </c>
      <c r="C21" s="66">
        <f>C6</f>
        <v>2021</v>
      </c>
      <c r="D21" s="66">
        <f t="shared" ref="D21:K21" si="27">D6</f>
        <v>2022</v>
      </c>
      <c r="E21" s="66">
        <f t="shared" si="27"/>
        <v>2023</v>
      </c>
      <c r="F21" s="66">
        <f t="shared" si="27"/>
        <v>2024</v>
      </c>
      <c r="G21" s="66">
        <f t="shared" si="27"/>
        <v>2025</v>
      </c>
      <c r="H21" s="66">
        <f t="shared" si="27"/>
        <v>1</v>
      </c>
      <c r="I21" s="66">
        <f t="shared" si="27"/>
        <v>2</v>
      </c>
      <c r="J21" s="66">
        <f t="shared" si="27"/>
        <v>3</v>
      </c>
      <c r="K21" s="66">
        <f t="shared" si="27"/>
        <v>4</v>
      </c>
      <c r="L21" s="66">
        <f>L6</f>
        <v>5</v>
      </c>
      <c r="N21" s="66" t="s">
        <v>194</v>
      </c>
      <c r="O21" s="66" t="str">
        <f>O6</f>
        <v>Q3 2024</v>
      </c>
      <c r="P21" s="66" t="str">
        <f t="shared" ref="P21:Y21" si="28">P6</f>
        <v>Q4 2024</v>
      </c>
      <c r="Q21" s="66" t="str">
        <f t="shared" si="28"/>
        <v>Q1 2025</v>
      </c>
      <c r="R21" s="66" t="str">
        <f t="shared" si="28"/>
        <v>Q2 2025</v>
      </c>
      <c r="S21" s="66" t="str">
        <f t="shared" si="28"/>
        <v>Q3 2025</v>
      </c>
      <c r="T21" s="66" t="str">
        <f t="shared" si="28"/>
        <v>Q4 2025</v>
      </c>
      <c r="U21" s="66" t="str">
        <f t="shared" si="28"/>
        <v>Q1 2026</v>
      </c>
      <c r="V21" s="66" t="str">
        <f t="shared" si="28"/>
        <v>Q2 2026</v>
      </c>
      <c r="W21" s="66">
        <f t="shared" si="28"/>
        <v>1</v>
      </c>
      <c r="X21" s="66">
        <f t="shared" si="28"/>
        <v>2</v>
      </c>
      <c r="Y21" s="66">
        <f t="shared" si="28"/>
        <v>3</v>
      </c>
    </row>
    <row r="22" spans="2:25" x14ac:dyDescent="0.2">
      <c r="B22" s="100" t="s">
        <v>195</v>
      </c>
      <c r="C22" s="98"/>
      <c r="D22" s="109">
        <f>D14</f>
        <v>0.40732600732600732</v>
      </c>
      <c r="E22" s="109">
        <f t="shared" ref="E22:G22" si="29">E14</f>
        <v>-0.21672739892417145</v>
      </c>
      <c r="F22" s="109">
        <f t="shared" si="29"/>
        <v>0.10159503766061143</v>
      </c>
      <c r="G22" s="111">
        <f t="shared" si="29"/>
        <v>0.11784579495636086</v>
      </c>
      <c r="H22" s="108">
        <v>-0.12</v>
      </c>
      <c r="I22" s="108">
        <v>-0.05</v>
      </c>
      <c r="J22" s="108">
        <v>0.09</v>
      </c>
      <c r="K22" s="108">
        <v>0.12</v>
      </c>
      <c r="L22" s="108">
        <v>0.15</v>
      </c>
      <c r="N22" s="100" t="s">
        <v>195</v>
      </c>
      <c r="O22" s="98"/>
      <c r="P22" s="109">
        <f>P14</f>
        <v>3.3395490761145959E-2</v>
      </c>
      <c r="Q22" s="109">
        <f t="shared" ref="Q22:V22" si="30">Q14</f>
        <v>0.24245406824146981</v>
      </c>
      <c r="R22" s="109">
        <f t="shared" si="30"/>
        <v>-8.5159757063638764E-2</v>
      </c>
      <c r="S22" s="109">
        <f t="shared" si="30"/>
        <v>-8.6736902871987306E-2</v>
      </c>
      <c r="T22" s="109">
        <f t="shared" si="30"/>
        <v>0.10003160556257902</v>
      </c>
      <c r="U22" s="109">
        <f t="shared" si="30"/>
        <v>0.12397644016664272</v>
      </c>
      <c r="V22" s="111">
        <f t="shared" si="30"/>
        <v>-0.23006134969325154</v>
      </c>
      <c r="W22" s="108">
        <v>-0.25</v>
      </c>
      <c r="X22" s="108">
        <v>-0.15</v>
      </c>
      <c r="Y22" s="108"/>
    </row>
    <row r="23" spans="2:25" x14ac:dyDescent="0.2">
      <c r="B23" s="110" t="s">
        <v>189</v>
      </c>
      <c r="C23" s="98"/>
      <c r="D23" s="109">
        <f>D15</f>
        <v>0.35945945945945945</v>
      </c>
      <c r="E23" s="109">
        <f t="shared" ref="E23:G23" si="31">E15</f>
        <v>0.24055666003976142</v>
      </c>
      <c r="F23" s="109">
        <f t="shared" si="31"/>
        <v>0.55448717948717952</v>
      </c>
      <c r="G23" s="111">
        <f t="shared" si="31"/>
        <v>0.35979381443298969</v>
      </c>
      <c r="H23" s="108">
        <v>0.05</v>
      </c>
      <c r="I23" s="108">
        <v>0.1</v>
      </c>
      <c r="J23" s="108">
        <v>0.15</v>
      </c>
      <c r="K23" s="108">
        <v>0.3</v>
      </c>
      <c r="L23" s="108">
        <v>0.35</v>
      </c>
      <c r="N23" s="110" t="s">
        <v>189</v>
      </c>
      <c r="O23" s="98"/>
      <c r="P23" s="109">
        <f>P15</f>
        <v>0.10850801479654747</v>
      </c>
      <c r="Q23" s="109">
        <f t="shared" ref="Q23:V23" si="32">Q15</f>
        <v>6.8965517241379309E-2</v>
      </c>
      <c r="R23" s="109">
        <f t="shared" si="32"/>
        <v>-2.0811654526534861E-3</v>
      </c>
      <c r="S23" s="109">
        <f t="shared" si="32"/>
        <v>2.6068821689259645E-2</v>
      </c>
      <c r="T23" s="109">
        <f t="shared" si="32"/>
        <v>7.0121951219512202E-2</v>
      </c>
      <c r="U23" s="109">
        <f t="shared" si="32"/>
        <v>4.5584045584045586E-2</v>
      </c>
      <c r="V23" s="111">
        <f t="shared" si="32"/>
        <v>0.20435967302452315</v>
      </c>
      <c r="W23" s="108">
        <v>0.35</v>
      </c>
      <c r="X23" s="108">
        <v>0.2</v>
      </c>
      <c r="Y23" s="108"/>
    </row>
    <row r="24" spans="2:25" x14ac:dyDescent="0.2">
      <c r="B24" s="110" t="s">
        <v>190</v>
      </c>
      <c r="C24" s="98"/>
      <c r="D24" s="109">
        <f>D16</f>
        <v>0.35314685314685312</v>
      </c>
      <c r="E24" s="109">
        <f t="shared" ref="E24:G24" si="33">E16</f>
        <v>-0.19216646266829865</v>
      </c>
      <c r="F24" s="109">
        <f t="shared" si="33"/>
        <v>-8.7037037037037038E-2</v>
      </c>
      <c r="G24" s="111">
        <f t="shared" si="33"/>
        <v>0.22017333579199705</v>
      </c>
      <c r="H24" s="108">
        <v>0.06</v>
      </c>
      <c r="I24" s="108">
        <v>7.0000000000000007E-2</v>
      </c>
      <c r="J24" s="108">
        <v>7.0000000000000007E-2</v>
      </c>
      <c r="K24" s="108">
        <v>7.0000000000000007E-2</v>
      </c>
      <c r="L24" s="108">
        <v>7.0000000000000007E-2</v>
      </c>
      <c r="N24" s="110" t="s">
        <v>190</v>
      </c>
      <c r="O24" s="98"/>
      <c r="P24" s="109">
        <f>P16</f>
        <v>0.23841059602649006</v>
      </c>
      <c r="Q24" s="109">
        <f t="shared" ref="Q24:V24" si="34">Q16</f>
        <v>-7.9619726678550204E-2</v>
      </c>
      <c r="R24" s="109">
        <f t="shared" si="34"/>
        <v>2.0658489347966429E-2</v>
      </c>
      <c r="S24" s="109">
        <f t="shared" si="34"/>
        <v>6.3251106894370648E-2</v>
      </c>
      <c r="T24" s="109">
        <f t="shared" si="34"/>
        <v>7.4955383700178471E-2</v>
      </c>
      <c r="U24" s="109">
        <f t="shared" si="34"/>
        <v>-6.5855008301051468E-2</v>
      </c>
      <c r="V24" s="111">
        <f t="shared" si="34"/>
        <v>2.2511848341232227E-2</v>
      </c>
      <c r="W24" s="108">
        <v>7.0000000000000007E-2</v>
      </c>
      <c r="X24" s="108">
        <v>0.05</v>
      </c>
      <c r="Y24" s="108"/>
    </row>
    <row r="25" spans="2:25" x14ac:dyDescent="0.2">
      <c r="B25" s="100" t="s">
        <v>192</v>
      </c>
      <c r="C25" s="99"/>
      <c r="D25" s="109">
        <f>D18</f>
        <v>6.0126582278481012E-3</v>
      </c>
      <c r="E25" s="109">
        <f t="shared" ref="E25:G25" si="35">E18</f>
        <v>-0.16546083674111356</v>
      </c>
      <c r="F25" s="109">
        <f t="shared" si="35"/>
        <v>5.0131926121372031E-2</v>
      </c>
      <c r="G25" s="111">
        <f t="shared" si="35"/>
        <v>1.7946877243359654E-3</v>
      </c>
      <c r="H25" s="108">
        <v>-0.06</v>
      </c>
      <c r="I25" s="108">
        <v>-0.03</v>
      </c>
      <c r="J25" s="108">
        <v>0.02</v>
      </c>
      <c r="K25" s="108">
        <v>0.03</v>
      </c>
      <c r="L25" s="108">
        <v>0.03</v>
      </c>
      <c r="N25" s="100" t="s">
        <v>192</v>
      </c>
      <c r="O25" s="99"/>
      <c r="P25" s="109">
        <f>P18</f>
        <v>0.19481539670070699</v>
      </c>
      <c r="Q25" s="109">
        <f t="shared" ref="Q25:V25" si="36">Q18</f>
        <v>9.204470742932281E-3</v>
      </c>
      <c r="R25" s="109">
        <f t="shared" si="36"/>
        <v>-0.14071661237785016</v>
      </c>
      <c r="S25" s="109">
        <f t="shared" si="36"/>
        <v>-7.5815011372251705E-4</v>
      </c>
      <c r="T25" s="109">
        <f t="shared" si="36"/>
        <v>6.9044006069802738E-2</v>
      </c>
      <c r="U25" s="109">
        <f t="shared" si="36"/>
        <v>8.5166784953867994E-2</v>
      </c>
      <c r="V25" s="111">
        <f t="shared" si="36"/>
        <v>-9.6141268803139307E-2</v>
      </c>
      <c r="W25" s="108">
        <v>-0.1</v>
      </c>
      <c r="X25" s="108">
        <v>-0.06</v>
      </c>
      <c r="Y25" s="108"/>
    </row>
    <row r="26" spans="2:25" x14ac:dyDescent="0.2">
      <c r="E26" s="107"/>
      <c r="H26" s="107"/>
    </row>
    <row r="28" spans="2:25" x14ac:dyDescent="0.2">
      <c r="B28" s="66" t="s">
        <v>196</v>
      </c>
      <c r="C28" s="66">
        <f>C6</f>
        <v>2021</v>
      </c>
      <c r="D28" s="66">
        <f t="shared" ref="D28:L28" si="37">D6</f>
        <v>2022</v>
      </c>
      <c r="E28" s="66">
        <f t="shared" si="37"/>
        <v>2023</v>
      </c>
      <c r="F28" s="66">
        <f t="shared" si="37"/>
        <v>2024</v>
      </c>
      <c r="G28" s="66">
        <f t="shared" si="37"/>
        <v>2025</v>
      </c>
      <c r="H28" s="66">
        <f t="shared" si="37"/>
        <v>1</v>
      </c>
      <c r="I28" s="66">
        <f t="shared" si="37"/>
        <v>2</v>
      </c>
      <c r="J28" s="66">
        <f t="shared" si="37"/>
        <v>3</v>
      </c>
      <c r="K28" s="66">
        <f t="shared" si="37"/>
        <v>4</v>
      </c>
      <c r="L28" s="66">
        <f t="shared" si="37"/>
        <v>5</v>
      </c>
    </row>
    <row r="29" spans="2:25" x14ac:dyDescent="0.2">
      <c r="B29" s="1" t="str">
        <f>'Statement Y'!B8</f>
        <v>COGS</v>
      </c>
      <c r="C29" s="96">
        <f>'Statement Y'!H8</f>
        <v>14262</v>
      </c>
      <c r="D29" s="96">
        <f>'Statement Y'!I8</f>
        <v>18635</v>
      </c>
      <c r="E29" s="96">
        <f>'Statement Y'!J8</f>
        <v>15869</v>
      </c>
      <c r="F29" s="96">
        <f>'Statement Y'!K8</f>
        <v>17060</v>
      </c>
      <c r="G29" s="103">
        <f>'Statement Y'!L8</f>
        <v>19738</v>
      </c>
      <c r="H29" s="20">
        <f>H12*H30</f>
        <v>17984.467600000004</v>
      </c>
      <c r="I29" s="20">
        <f t="shared" ref="I29:L29" si="38">I12*I30</f>
        <v>17775.978880000002</v>
      </c>
      <c r="J29" s="20">
        <f t="shared" si="38"/>
        <v>19273.668048800002</v>
      </c>
      <c r="K29" s="20">
        <f t="shared" si="38"/>
        <v>22111.900302069007</v>
      </c>
      <c r="L29" s="20">
        <f t="shared" si="38"/>
        <v>25445.545723776155</v>
      </c>
    </row>
    <row r="30" spans="2:25" x14ac:dyDescent="0.2">
      <c r="B30" s="100" t="s">
        <v>197</v>
      </c>
      <c r="C30" s="112">
        <f>C29/C12</f>
        <v>0.42778727616305229</v>
      </c>
      <c r="D30" s="112">
        <f t="shared" ref="D30:G30" si="39">D29/D12</f>
        <v>0.42318610196434653</v>
      </c>
      <c r="E30" s="112">
        <f t="shared" si="39"/>
        <v>0.44465926922214749</v>
      </c>
      <c r="F30" s="112">
        <f t="shared" si="39"/>
        <v>0.44005365249690465</v>
      </c>
      <c r="G30" s="118">
        <f t="shared" si="39"/>
        <v>0.44911147011308561</v>
      </c>
      <c r="H30" s="113">
        <v>0.44</v>
      </c>
      <c r="I30" s="113">
        <v>0.44</v>
      </c>
      <c r="J30" s="113">
        <v>0.44</v>
      </c>
      <c r="K30" s="113">
        <v>0.45</v>
      </c>
      <c r="L30" s="113">
        <v>0.45</v>
      </c>
    </row>
    <row r="31" spans="2:25" x14ac:dyDescent="0.2">
      <c r="B31" s="1" t="str">
        <f>'Statement Y'!B9</f>
        <v>Gross Profit</v>
      </c>
      <c r="C31" s="96">
        <f>'Statement Y'!H9</f>
        <v>19304</v>
      </c>
      <c r="D31" s="96">
        <f>'Statement Y'!I9</f>
        <v>25565</v>
      </c>
      <c r="E31" s="96">
        <f>'Statement Y'!J9</f>
        <v>19951</v>
      </c>
      <c r="F31" s="96">
        <f>'Statement Y'!K9</f>
        <v>21902</v>
      </c>
      <c r="G31" s="103">
        <f>'Statement Y'!L9</f>
        <v>24546</v>
      </c>
      <c r="H31" s="20">
        <f>H12-H29</f>
        <v>22889.322400000005</v>
      </c>
      <c r="I31" s="20">
        <f t="shared" ref="I31:L31" si="40">I12-I29</f>
        <v>22623.973120000002</v>
      </c>
      <c r="J31" s="20">
        <f t="shared" si="40"/>
        <v>24530.122971200002</v>
      </c>
      <c r="K31" s="20">
        <f t="shared" si="40"/>
        <v>27025.655924751009</v>
      </c>
      <c r="L31" s="20">
        <f t="shared" si="40"/>
        <v>31100.111440170851</v>
      </c>
    </row>
    <row r="32" spans="2:25" x14ac:dyDescent="0.2">
      <c r="B32" s="100" t="s">
        <v>198</v>
      </c>
      <c r="C32" s="98"/>
      <c r="D32" s="112">
        <f>(D31-C31)/C31</f>
        <v>0.32433692498963945</v>
      </c>
      <c r="E32" s="112">
        <f t="shared" ref="E32:L32" si="41">(E31-D31)/D31</f>
        <v>-0.21959710541756308</v>
      </c>
      <c r="F32" s="112">
        <f t="shared" si="41"/>
        <v>9.7789584481980857E-2</v>
      </c>
      <c r="G32" s="118">
        <f t="shared" si="41"/>
        <v>0.12071956898913341</v>
      </c>
      <c r="H32" s="112">
        <f t="shared" si="41"/>
        <v>-6.7492772753197885E-2</v>
      </c>
      <c r="I32" s="112">
        <f t="shared" si="41"/>
        <v>-1.1592710145058822E-2</v>
      </c>
      <c r="J32" s="112">
        <f t="shared" si="41"/>
        <v>8.4253541192326156E-2</v>
      </c>
      <c r="K32" s="112">
        <f t="shared" si="41"/>
        <v>0.10173340575915286</v>
      </c>
      <c r="L32" s="112">
        <f t="shared" si="41"/>
        <v>0.15076250237050928</v>
      </c>
    </row>
    <row r="33" spans="2:12" x14ac:dyDescent="0.2">
      <c r="B33" s="1" t="str">
        <f>'Statement Y'!B10</f>
        <v>R&amp;D</v>
      </c>
      <c r="C33" s="96">
        <f>'Statement Y'!H10</f>
        <v>7176</v>
      </c>
      <c r="D33" s="96">
        <f>'Statement Y'!I10</f>
        <v>8194</v>
      </c>
      <c r="E33" s="96">
        <f>'Statement Y'!J10</f>
        <v>8818</v>
      </c>
      <c r="F33" s="96">
        <f>'Statement Y'!K10</f>
        <v>8893</v>
      </c>
      <c r="G33" s="103">
        <f>'Statement Y'!L10</f>
        <v>9042</v>
      </c>
      <c r="H33" s="20">
        <f>H12*H34</f>
        <v>8583.4959000000017</v>
      </c>
      <c r="I33" s="20">
        <f t="shared" ref="I33:L33" si="42">I12*I34</f>
        <v>8483.98992</v>
      </c>
      <c r="J33" s="20">
        <f t="shared" si="42"/>
        <v>8760.7582040000016</v>
      </c>
      <c r="K33" s="20">
        <f t="shared" si="42"/>
        <v>9827.5112453640031</v>
      </c>
      <c r="L33" s="20">
        <f t="shared" si="42"/>
        <v>10743.674861149932</v>
      </c>
    </row>
    <row r="34" spans="2:12" x14ac:dyDescent="0.2">
      <c r="B34" s="100" t="s">
        <v>197</v>
      </c>
      <c r="C34" s="112">
        <f>C33/C12</f>
        <v>0.21524340862053451</v>
      </c>
      <c r="D34" s="112">
        <f t="shared" ref="D34:G34" si="43">D33/D12</f>
        <v>0.18607925513795845</v>
      </c>
      <c r="E34" s="112">
        <f t="shared" si="43"/>
        <v>0.24708585518941942</v>
      </c>
      <c r="F34" s="112">
        <f t="shared" si="43"/>
        <v>0.22939021873710277</v>
      </c>
      <c r="G34" s="118">
        <f t="shared" si="43"/>
        <v>0.20573846958975175</v>
      </c>
      <c r="H34" s="113">
        <v>0.21</v>
      </c>
      <c r="I34" s="113">
        <v>0.21</v>
      </c>
      <c r="J34" s="113">
        <v>0.2</v>
      </c>
      <c r="K34" s="113">
        <v>0.2</v>
      </c>
      <c r="L34" s="113">
        <v>0.19</v>
      </c>
    </row>
    <row r="35" spans="2:12" x14ac:dyDescent="0.2">
      <c r="B35" s="1" t="str">
        <f>'Statement Y'!B11</f>
        <v>SG&amp;A</v>
      </c>
      <c r="C35" s="96">
        <f>'Statement Y'!H11</f>
        <v>2339</v>
      </c>
      <c r="D35" s="96">
        <f>'Statement Y'!I11</f>
        <v>2570</v>
      </c>
      <c r="E35" s="96">
        <f>'Statement Y'!J11</f>
        <v>2483</v>
      </c>
      <c r="F35" s="96">
        <f>'Statement Y'!K11</f>
        <v>2759</v>
      </c>
      <c r="G35" s="103">
        <f>'Statement Y'!L11</f>
        <v>3110</v>
      </c>
      <c r="H35" s="20">
        <f>H12*H36</f>
        <v>2861.165300000001</v>
      </c>
      <c r="I35" s="20">
        <f t="shared" ref="I35:L35" si="44">I12*I36</f>
        <v>2827.9966400000008</v>
      </c>
      <c r="J35" s="20">
        <f t="shared" si="44"/>
        <v>2628.2274612000001</v>
      </c>
      <c r="K35" s="20">
        <f t="shared" si="44"/>
        <v>3439.6289358774015</v>
      </c>
      <c r="L35" s="20">
        <f t="shared" si="44"/>
        <v>3958.1960014762908</v>
      </c>
    </row>
    <row r="36" spans="2:12" x14ac:dyDescent="0.2">
      <c r="B36" s="100" t="s">
        <v>197</v>
      </c>
      <c r="C36" s="112">
        <f>C35/C12</f>
        <v>7.0158073127568318E-2</v>
      </c>
      <c r="D36" s="112">
        <f t="shared" ref="D36:G36" si="45">D35/D12</f>
        <v>5.8362666061087774E-2</v>
      </c>
      <c r="E36" s="112">
        <f t="shared" si="45"/>
        <v>6.9575207352611523E-2</v>
      </c>
      <c r="F36" s="112">
        <f t="shared" si="45"/>
        <v>7.1166941807676437E-2</v>
      </c>
      <c r="G36" s="118">
        <f t="shared" si="45"/>
        <v>7.0763839905344836E-2</v>
      </c>
      <c r="H36" s="113">
        <v>7.0000000000000007E-2</v>
      </c>
      <c r="I36" s="113">
        <v>7.0000000000000007E-2</v>
      </c>
      <c r="J36" s="113">
        <v>0.06</v>
      </c>
      <c r="K36" s="113">
        <v>7.0000000000000007E-2</v>
      </c>
      <c r="L36" s="113">
        <v>7.0000000000000007E-2</v>
      </c>
    </row>
    <row r="37" spans="2:12" x14ac:dyDescent="0.2">
      <c r="B37" s="1" t="str">
        <f>'Statement Y'!B12</f>
        <v>Other</v>
      </c>
      <c r="C37" s="96">
        <f>'Statement Y'!H12</f>
        <v>0</v>
      </c>
      <c r="D37" s="142">
        <f>'Statement Y'!I12</f>
        <v>-1059</v>
      </c>
      <c r="E37" s="96">
        <f>'Statement Y'!J12</f>
        <v>862</v>
      </c>
      <c r="F37" s="96">
        <f>'Statement Y'!K12</f>
        <v>179</v>
      </c>
      <c r="G37" s="103">
        <f>'Statement Y'!L12</f>
        <v>39</v>
      </c>
      <c r="H37" s="114">
        <v>0</v>
      </c>
      <c r="I37" s="114">
        <v>0</v>
      </c>
      <c r="J37" s="114">
        <v>0</v>
      </c>
      <c r="K37" s="114">
        <v>0</v>
      </c>
      <c r="L37" s="114">
        <v>0</v>
      </c>
    </row>
    <row r="38" spans="2:12" x14ac:dyDescent="0.2">
      <c r="B38" s="1" t="str">
        <f>'Statement Y'!B13</f>
        <v>OpEx</v>
      </c>
      <c r="C38" s="96">
        <f>'Statement Y'!H13</f>
        <v>9515</v>
      </c>
      <c r="D38" s="96">
        <f>'Statement Y'!I13</f>
        <v>9705</v>
      </c>
      <c r="E38" s="96">
        <f>'Statement Y'!J13</f>
        <v>12163</v>
      </c>
      <c r="F38" s="96">
        <f>'Statement Y'!K13</f>
        <v>11831</v>
      </c>
      <c r="G38" s="103">
        <f>'Statement Y'!L13</f>
        <v>12191</v>
      </c>
      <c r="H38" s="20">
        <f>SUM(H33+H35+H37)</f>
        <v>11444.661200000002</v>
      </c>
      <c r="I38" s="20">
        <f t="shared" ref="I38:L38" si="46">SUM(I33+I35+I37)</f>
        <v>11311.986560000001</v>
      </c>
      <c r="J38" s="20">
        <f t="shared" si="46"/>
        <v>11388.985665200002</v>
      </c>
      <c r="K38" s="20">
        <f t="shared" si="46"/>
        <v>13267.140181241404</v>
      </c>
      <c r="L38" s="20">
        <f t="shared" si="46"/>
        <v>14701.870862626223</v>
      </c>
    </row>
    <row r="39" spans="2:12" x14ac:dyDescent="0.2">
      <c r="B39" s="1" t="str">
        <f>'Statement Y'!B14</f>
        <v>Operating income</v>
      </c>
      <c r="C39" s="96">
        <f>'Statement Y'!H14</f>
        <v>9789</v>
      </c>
      <c r="D39" s="96">
        <f>'Statement Y'!I14</f>
        <v>15860</v>
      </c>
      <c r="E39" s="96">
        <f>'Statement Y'!J14</f>
        <v>7788</v>
      </c>
      <c r="F39" s="96">
        <f>'Statement Y'!K14</f>
        <v>10071</v>
      </c>
      <c r="G39" s="103">
        <f>'Statement Y'!L14</f>
        <v>12355</v>
      </c>
      <c r="H39" s="20">
        <f>H31-H38</f>
        <v>11444.661200000002</v>
      </c>
      <c r="I39" s="20">
        <f t="shared" ref="I39:L39" si="47">I31-I38</f>
        <v>11311.986560000001</v>
      </c>
      <c r="J39" s="20">
        <f t="shared" si="47"/>
        <v>13141.137306000001</v>
      </c>
      <c r="K39" s="20">
        <f t="shared" si="47"/>
        <v>13758.515743509604</v>
      </c>
      <c r="L39" s="20">
        <f t="shared" si="47"/>
        <v>16398.240577544628</v>
      </c>
    </row>
    <row r="40" spans="2:12" x14ac:dyDescent="0.2">
      <c r="B40" s="100" t="s">
        <v>199</v>
      </c>
      <c r="C40" s="98"/>
      <c r="D40" s="115">
        <f>(D39-C39)/C39</f>
        <v>0.6201859229747676</v>
      </c>
      <c r="E40" s="115">
        <f t="shared" ref="E40:G40" si="48">(E39-D39)/D39</f>
        <v>-0.50895334174022699</v>
      </c>
      <c r="F40" s="115">
        <f t="shared" si="48"/>
        <v>0.29314329738058553</v>
      </c>
      <c r="G40" s="119">
        <f t="shared" si="48"/>
        <v>0.22678979247343858</v>
      </c>
      <c r="H40" s="115">
        <f t="shared" ref="H40" si="49">(H39-G39)/G39</f>
        <v>-7.3681813031161295E-2</v>
      </c>
      <c r="I40" s="115">
        <f t="shared" ref="I40" si="50">(I39-H39)/H39</f>
        <v>-1.1592710145058822E-2</v>
      </c>
      <c r="J40" s="115">
        <f t="shared" ref="J40" si="51">(J39-I39)/I39</f>
        <v>0.16170022270606368</v>
      </c>
      <c r="K40" s="115">
        <f t="shared" ref="K40" si="52">(K39-J39)/J39</f>
        <v>4.6980594079001077E-2</v>
      </c>
      <c r="L40" s="115">
        <f t="shared" ref="L40" si="53">(L39-K39)/K39</f>
        <v>0.19186116316945584</v>
      </c>
    </row>
    <row r="41" spans="2:12" x14ac:dyDescent="0.2">
      <c r="B41" s="1" t="str">
        <f>'Statement Y'!B15</f>
        <v>Interest income/expense</v>
      </c>
      <c r="C41" s="96">
        <f>'Statement Y'!H15</f>
        <v>-559</v>
      </c>
      <c r="D41" s="96">
        <f>'Statement Y'!I15</f>
        <v>-490</v>
      </c>
      <c r="E41" s="96">
        <f>'Statement Y'!J15</f>
        <v>-694</v>
      </c>
      <c r="F41" s="96">
        <f>'Statement Y'!K15</f>
        <v>-697</v>
      </c>
      <c r="G41" s="103">
        <f>'Statement Y'!L15</f>
        <v>-664</v>
      </c>
      <c r="H41" s="114">
        <v>-660</v>
      </c>
      <c r="I41" s="114">
        <v>-630</v>
      </c>
      <c r="J41" s="114">
        <v>-610</v>
      </c>
      <c r="K41" s="114">
        <v>-595</v>
      </c>
      <c r="L41" s="114">
        <v>-580</v>
      </c>
    </row>
    <row r="42" spans="2:12" x14ac:dyDescent="0.2">
      <c r="B42" s="1" t="str">
        <f>'Statement Y'!B16</f>
        <v>Investment &amp; other income</v>
      </c>
      <c r="C42" s="96">
        <f>'Statement Y'!H16</f>
        <v>1044</v>
      </c>
      <c r="D42" s="96">
        <f>'Statement Y'!I16</f>
        <v>-372</v>
      </c>
      <c r="E42" s="96">
        <f>'Statement Y'!J16</f>
        <v>349</v>
      </c>
      <c r="F42" s="96">
        <f>'Statement Y'!K16</f>
        <v>962</v>
      </c>
      <c r="G42" s="103">
        <f>'Statement Y'!L16</f>
        <v>972</v>
      </c>
      <c r="H42" s="114">
        <v>600</v>
      </c>
      <c r="I42" s="114">
        <v>600</v>
      </c>
      <c r="J42" s="114">
        <v>600</v>
      </c>
      <c r="K42" s="114">
        <v>600</v>
      </c>
      <c r="L42" s="114">
        <v>600</v>
      </c>
    </row>
    <row r="43" spans="2:12" x14ac:dyDescent="0.2">
      <c r="B43" s="1" t="str">
        <f>'Statement Y'!B17</f>
        <v>Income before taxes</v>
      </c>
      <c r="C43" s="96">
        <f>'Statement Y'!H17</f>
        <v>10274</v>
      </c>
      <c r="D43" s="96">
        <f>'Statement Y'!I17</f>
        <v>14998</v>
      </c>
      <c r="E43" s="96">
        <f>'Statement Y'!J17</f>
        <v>7443</v>
      </c>
      <c r="F43" s="96">
        <f>'Statement Y'!K17</f>
        <v>10336</v>
      </c>
      <c r="G43" s="103">
        <f>'Statement Y'!L17</f>
        <v>12663</v>
      </c>
      <c r="H43" s="20">
        <f>H39+H41+H42</f>
        <v>11384.661200000002</v>
      </c>
      <c r="I43" s="20">
        <f t="shared" ref="I43:L43" si="54">I39+I41+I42</f>
        <v>11281.986560000001</v>
      </c>
      <c r="J43" s="20">
        <f t="shared" si="54"/>
        <v>13131.137306000001</v>
      </c>
      <c r="K43" s="20">
        <f t="shared" si="54"/>
        <v>13763.515743509604</v>
      </c>
      <c r="L43" s="20">
        <f t="shared" si="54"/>
        <v>16418.240577544628</v>
      </c>
    </row>
    <row r="44" spans="2:12" x14ac:dyDescent="0.2">
      <c r="B44" s="1" t="str">
        <f>'Statement Y'!B18</f>
        <v>Income tax expense/benefit</v>
      </c>
      <c r="C44" s="96">
        <f>'Statement Y'!H18</f>
        <v>-1231</v>
      </c>
      <c r="D44" s="96">
        <f>'Statement Y'!I18</f>
        <v>-2012</v>
      </c>
      <c r="E44" s="96">
        <f>'Statement Y'!J18</f>
        <v>-104</v>
      </c>
      <c r="F44" s="96">
        <f>'Statement Y'!K18</f>
        <v>-226</v>
      </c>
      <c r="G44" s="103">
        <f>'Statement Y'!L18</f>
        <v>-7122</v>
      </c>
      <c r="H44" s="20">
        <f>H43*H48</f>
        <v>2390.7788520000004</v>
      </c>
      <c r="I44" s="20">
        <f t="shared" ref="I44:L44" si="55">I43*I48</f>
        <v>2369.2171776</v>
      </c>
      <c r="J44" s="20">
        <f t="shared" si="55"/>
        <v>2757.5388342599999</v>
      </c>
      <c r="K44" s="20">
        <f t="shared" si="55"/>
        <v>2890.3383061370168</v>
      </c>
      <c r="L44" s="20">
        <f t="shared" si="55"/>
        <v>3447.8305212843716</v>
      </c>
    </row>
    <row r="45" spans="2:12" x14ac:dyDescent="0.2">
      <c r="B45" s="1" t="str">
        <f>'Statement Y'!B19</f>
        <v>Net income</v>
      </c>
      <c r="C45" s="96">
        <f>'Statement Y'!H19</f>
        <v>9043</v>
      </c>
      <c r="D45" s="96">
        <f>'Statement Y'!I19</f>
        <v>12986</v>
      </c>
      <c r="E45" s="96">
        <f>'Statement Y'!J19</f>
        <v>7339</v>
      </c>
      <c r="F45" s="96">
        <f>'Statement Y'!K19</f>
        <v>10110</v>
      </c>
      <c r="G45" s="103">
        <f>'Statement Y'!L19</f>
        <v>5541</v>
      </c>
      <c r="H45" s="20">
        <f>H43-H44</f>
        <v>8993.8823480000028</v>
      </c>
      <c r="I45" s="20">
        <f t="shared" ref="I45:L45" si="56">I43-I44</f>
        <v>8912.7693824000016</v>
      </c>
      <c r="J45" s="20">
        <f t="shared" si="56"/>
        <v>10373.598471740001</v>
      </c>
      <c r="K45" s="20">
        <f t="shared" si="56"/>
        <v>10873.177437372588</v>
      </c>
      <c r="L45" s="20">
        <f t="shared" si="56"/>
        <v>12970.410056260256</v>
      </c>
    </row>
    <row r="46" spans="2:12" x14ac:dyDescent="0.2">
      <c r="B46" s="100" t="s">
        <v>200</v>
      </c>
      <c r="C46" s="98"/>
      <c r="D46" s="115">
        <f>(D45-C45)/C45</f>
        <v>0.43602786685834349</v>
      </c>
      <c r="E46" s="115">
        <f t="shared" ref="E46:G46" si="57">(E45-D45)/D45</f>
        <v>-0.43485291852764518</v>
      </c>
      <c r="F46" s="115">
        <f t="shared" si="57"/>
        <v>0.377571876277422</v>
      </c>
      <c r="G46" s="119">
        <f t="shared" si="57"/>
        <v>-0.4519287833827893</v>
      </c>
      <c r="H46" s="115">
        <f t="shared" ref="H46" si="58">(H45-G45)/G45</f>
        <v>0.62315147951633332</v>
      </c>
      <c r="I46" s="115">
        <f t="shared" ref="I46" si="59">(I45-H45)/H45</f>
        <v>-9.0186820842768235E-3</v>
      </c>
      <c r="J46" s="115">
        <f t="shared" ref="J46" si="60">(J45-I45)/I45</f>
        <v>0.16390293820736465</v>
      </c>
      <c r="K46" s="115">
        <f t="shared" ref="K46" si="61">(K45-J45)/J45</f>
        <v>4.8158695075151754E-2</v>
      </c>
      <c r="L46" s="115">
        <f t="shared" ref="L46" si="62">(L45-K45)/K45</f>
        <v>0.19288130180596477</v>
      </c>
    </row>
    <row r="47" spans="2:12" x14ac:dyDescent="0.2">
      <c r="G47" s="120"/>
    </row>
    <row r="48" spans="2:12" x14ac:dyDescent="0.2">
      <c r="B48" s="1" t="s">
        <v>172</v>
      </c>
      <c r="C48" s="116">
        <f>'Statement Y'!H145</f>
        <v>0.11981701382129648</v>
      </c>
      <c r="D48" s="116">
        <f>'Statement Y'!I145</f>
        <v>0.13415122016268835</v>
      </c>
      <c r="E48" s="116">
        <f>'Statement Y'!J145</f>
        <v>1.3972860405750369E-2</v>
      </c>
      <c r="F48" s="116">
        <f>'Statement Y'!K145</f>
        <v>2.186532507739938E-2</v>
      </c>
      <c r="G48" s="121">
        <f>'Statement Y'!L145</f>
        <v>0.56242596541104006</v>
      </c>
      <c r="H48" s="117">
        <v>0.21</v>
      </c>
      <c r="I48" s="117">
        <v>0.21</v>
      </c>
      <c r="J48" s="117">
        <v>0.21</v>
      </c>
      <c r="K48" s="117">
        <v>0.21</v>
      </c>
      <c r="L48" s="117">
        <v>0.21</v>
      </c>
    </row>
    <row r="51" spans="2:12" x14ac:dyDescent="0.2">
      <c r="B51" s="66" t="s">
        <v>168</v>
      </c>
      <c r="C51" s="66">
        <f>C6</f>
        <v>2021</v>
      </c>
      <c r="D51" s="66">
        <f t="shared" ref="D51:L51" si="63">D6</f>
        <v>2022</v>
      </c>
      <c r="E51" s="66">
        <f t="shared" si="63"/>
        <v>2023</v>
      </c>
      <c r="F51" s="66">
        <f t="shared" si="63"/>
        <v>2024</v>
      </c>
      <c r="G51" s="66">
        <f t="shared" si="63"/>
        <v>2025</v>
      </c>
      <c r="H51" s="66">
        <f t="shared" si="63"/>
        <v>1</v>
      </c>
      <c r="I51" s="66">
        <f t="shared" si="63"/>
        <v>2</v>
      </c>
      <c r="J51" s="66">
        <f t="shared" si="63"/>
        <v>3</v>
      </c>
      <c r="K51" s="66">
        <f t="shared" si="63"/>
        <v>4</v>
      </c>
      <c r="L51" s="66">
        <f t="shared" si="63"/>
        <v>5</v>
      </c>
    </row>
    <row r="52" spans="2:12" x14ac:dyDescent="0.2">
      <c r="B52" s="1" t="s">
        <v>169</v>
      </c>
      <c r="C52" s="122">
        <f>C31/C12</f>
        <v>0.57902156633372326</v>
      </c>
      <c r="D52" s="122">
        <f t="shared" ref="D52:L52" si="64">D31/D12</f>
        <v>0.58056091745202676</v>
      </c>
      <c r="E52" s="122">
        <f t="shared" si="64"/>
        <v>0.55903945303743552</v>
      </c>
      <c r="F52" s="122">
        <f t="shared" si="64"/>
        <v>0.56495047461824188</v>
      </c>
      <c r="G52" s="123">
        <f t="shared" si="64"/>
        <v>0.55851100138797238</v>
      </c>
      <c r="H52" s="122">
        <f t="shared" si="64"/>
        <v>0.56000000000000005</v>
      </c>
      <c r="I52" s="122">
        <f t="shared" si="64"/>
        <v>0.55999999999999994</v>
      </c>
      <c r="J52" s="122">
        <f t="shared" si="64"/>
        <v>0.55999999999999994</v>
      </c>
      <c r="K52" s="122">
        <f t="shared" si="64"/>
        <v>0.55000000000000004</v>
      </c>
      <c r="L52" s="122">
        <f t="shared" si="64"/>
        <v>0.54999999999999993</v>
      </c>
    </row>
    <row r="53" spans="2:12" x14ac:dyDescent="0.2">
      <c r="B53" s="1" t="s">
        <v>170</v>
      </c>
      <c r="C53" s="122">
        <f>C39/C12</f>
        <v>0.29362008458562044</v>
      </c>
      <c r="D53" s="122">
        <f t="shared" ref="D53:L53" si="65">D39/D12</f>
        <v>0.36016804814352221</v>
      </c>
      <c r="E53" s="122">
        <f t="shared" si="65"/>
        <v>0.21822461331540013</v>
      </c>
      <c r="F53" s="122">
        <f t="shared" si="65"/>
        <v>0.2597761040033017</v>
      </c>
      <c r="G53" s="123">
        <f t="shared" si="65"/>
        <v>0.28112129968827504</v>
      </c>
      <c r="H53" s="122">
        <f t="shared" si="65"/>
        <v>0.28000000000000003</v>
      </c>
      <c r="I53" s="122">
        <f t="shared" si="65"/>
        <v>0.27999999999999997</v>
      </c>
      <c r="J53" s="122">
        <f t="shared" si="65"/>
        <v>0.3</v>
      </c>
      <c r="K53" s="122">
        <f t="shared" si="65"/>
        <v>0.28000000000000003</v>
      </c>
      <c r="L53" s="122">
        <f t="shared" si="65"/>
        <v>0.28999999999999992</v>
      </c>
    </row>
    <row r="54" spans="2:12" x14ac:dyDescent="0.2">
      <c r="B54" s="1" t="s">
        <v>201</v>
      </c>
      <c r="C54" s="122">
        <f>C45/C12</f>
        <v>0.27124388853894837</v>
      </c>
      <c r="D54" s="122">
        <f t="shared" ref="D54:L54" si="66">D45/D12</f>
        <v>0.29490178267287387</v>
      </c>
      <c r="E54" s="122">
        <f t="shared" si="66"/>
        <v>0.20564335350818203</v>
      </c>
      <c r="F54" s="122">
        <f t="shared" si="66"/>
        <v>0.26078208832026412</v>
      </c>
      <c r="G54" s="123">
        <f t="shared" si="66"/>
        <v>0.12607795399212723</v>
      </c>
      <c r="H54" s="122">
        <f t="shared" si="66"/>
        <v>0.22004033264348624</v>
      </c>
      <c r="I54" s="122">
        <f t="shared" si="66"/>
        <v>0.22061336563964234</v>
      </c>
      <c r="J54" s="122">
        <f t="shared" si="66"/>
        <v>0.23681965031299704</v>
      </c>
      <c r="K54" s="122">
        <f t="shared" si="66"/>
        <v>0.22128038657807414</v>
      </c>
      <c r="L54" s="122">
        <f t="shared" si="66"/>
        <v>0.22937942022062255</v>
      </c>
    </row>
    <row r="57" spans="2:12" x14ac:dyDescent="0.2">
      <c r="B57" s="66" t="s">
        <v>202</v>
      </c>
      <c r="C57" s="66">
        <f>C6</f>
        <v>2021</v>
      </c>
      <c r="D57" s="66">
        <f t="shared" ref="D57:L57" si="67">D6</f>
        <v>2022</v>
      </c>
      <c r="E57" s="66">
        <f t="shared" si="67"/>
        <v>2023</v>
      </c>
      <c r="F57" s="66">
        <f t="shared" si="67"/>
        <v>2024</v>
      </c>
      <c r="G57" s="66">
        <f t="shared" si="67"/>
        <v>2025</v>
      </c>
      <c r="H57" s="66">
        <f t="shared" si="67"/>
        <v>1</v>
      </c>
      <c r="I57" s="66">
        <f t="shared" si="67"/>
        <v>2</v>
      </c>
      <c r="J57" s="66">
        <f t="shared" si="67"/>
        <v>3</v>
      </c>
      <c r="K57" s="66">
        <f t="shared" si="67"/>
        <v>4</v>
      </c>
      <c r="L57" s="66">
        <f t="shared" si="67"/>
        <v>5</v>
      </c>
    </row>
    <row r="58" spans="2:12" x14ac:dyDescent="0.2">
      <c r="B58" s="1" t="s">
        <v>203</v>
      </c>
      <c r="C58" s="96">
        <f>'Statement Y'!H25</f>
        <v>1149</v>
      </c>
      <c r="D58" s="96">
        <f>'Statement Y'!I25</f>
        <v>1137</v>
      </c>
      <c r="E58" s="96">
        <f>'Statement Y'!J25</f>
        <v>1126</v>
      </c>
      <c r="F58" s="96">
        <f>'Statement Y'!K25</f>
        <v>1130</v>
      </c>
      <c r="G58" s="103">
        <f>'Statement Y'!L25</f>
        <v>1105</v>
      </c>
      <c r="H58" s="20">
        <f>G58*(1+H59)</f>
        <v>1077.375</v>
      </c>
      <c r="I58" s="20">
        <f t="shared" ref="I58:L58" si="68">H58*(1+I59)</f>
        <v>1050.440625</v>
      </c>
      <c r="J58" s="20">
        <f t="shared" si="68"/>
        <v>1029.4318125</v>
      </c>
      <c r="K58" s="20">
        <f t="shared" si="68"/>
        <v>1019.137494375</v>
      </c>
      <c r="L58" s="20">
        <f t="shared" si="68"/>
        <v>1008.9461194312499</v>
      </c>
    </row>
    <row r="59" spans="2:12" x14ac:dyDescent="0.2">
      <c r="B59" s="1" t="s">
        <v>204</v>
      </c>
      <c r="C59" s="98"/>
      <c r="D59" s="122">
        <f>(D58-C58)/C58</f>
        <v>-1.0443864229765013E-2</v>
      </c>
      <c r="E59" s="122">
        <f t="shared" ref="E59:G59" si="69">(E58-D58)/D58</f>
        <v>-9.6745822339489879E-3</v>
      </c>
      <c r="F59" s="122">
        <f t="shared" si="69"/>
        <v>3.552397868561279E-3</v>
      </c>
      <c r="G59" s="123">
        <f t="shared" si="69"/>
        <v>-2.2123893805309734E-2</v>
      </c>
      <c r="H59" s="117">
        <v>-2.5000000000000001E-2</v>
      </c>
      <c r="I59" s="117">
        <v>-2.5000000000000001E-2</v>
      </c>
      <c r="J59" s="117">
        <v>-0.02</v>
      </c>
      <c r="K59" s="117">
        <v>-0.01</v>
      </c>
      <c r="L59" s="117">
        <v>-0.01</v>
      </c>
    </row>
    <row r="62" spans="2:12" ht="17" thickBot="1" x14ac:dyDescent="0.25"/>
    <row r="63" spans="2:12" x14ac:dyDescent="0.2">
      <c r="B63" s="124" t="s">
        <v>205</v>
      </c>
      <c r="C63" s="125"/>
    </row>
    <row r="64" spans="2:12" x14ac:dyDescent="0.2">
      <c r="B64" s="126" t="s">
        <v>206</v>
      </c>
      <c r="C64" s="127">
        <f>L45</f>
        <v>12970.410056260256</v>
      </c>
    </row>
    <row r="65" spans="2:5" x14ac:dyDescent="0.2">
      <c r="B65" s="126" t="s">
        <v>207</v>
      </c>
      <c r="C65" s="128">
        <v>0.1</v>
      </c>
    </row>
    <row r="66" spans="2:5" x14ac:dyDescent="0.2">
      <c r="B66" s="126" t="s">
        <v>208</v>
      </c>
      <c r="C66" s="129">
        <v>25</v>
      </c>
    </row>
    <row r="67" spans="2:5" x14ac:dyDescent="0.2">
      <c r="B67" s="126" t="s">
        <v>209</v>
      </c>
      <c r="C67" s="127">
        <f>L58</f>
        <v>1008.9461194312499</v>
      </c>
    </row>
    <row r="68" spans="2:5" x14ac:dyDescent="0.2">
      <c r="B68" s="126" t="s">
        <v>210</v>
      </c>
      <c r="C68" s="130">
        <f>(C64*C66)/C67</f>
        <v>321.38510190147139</v>
      </c>
    </row>
    <row r="69" spans="2:5" x14ac:dyDescent="0.2">
      <c r="B69" s="126" t="s">
        <v>211</v>
      </c>
      <c r="C69" s="130">
        <f>C68/(1+C65)^5</f>
        <v>199.55486268416294</v>
      </c>
    </row>
    <row r="70" spans="2:5" ht="17" thickBot="1" x14ac:dyDescent="0.25">
      <c r="B70" s="131" t="s">
        <v>212</v>
      </c>
      <c r="C70" s="132">
        <f>(C69-Overview!C3)/Overview!C3</f>
        <v>-0.1285433307822921</v>
      </c>
      <c r="E70" s="107"/>
    </row>
    <row r="71" spans="2:5" ht="17" thickBot="1" x14ac:dyDescent="0.25">
      <c r="E71" s="107"/>
    </row>
    <row r="72" spans="2:5" x14ac:dyDescent="0.2">
      <c r="B72" s="124" t="s">
        <v>213</v>
      </c>
      <c r="C72" s="125"/>
      <c r="E72" s="107"/>
    </row>
    <row r="73" spans="2:5" x14ac:dyDescent="0.2">
      <c r="B73" s="126" t="s">
        <v>214</v>
      </c>
      <c r="C73" s="133">
        <f>L12</f>
        <v>56545.657163947006</v>
      </c>
    </row>
    <row r="74" spans="2:5" x14ac:dyDescent="0.2">
      <c r="B74" s="126" t="s">
        <v>209</v>
      </c>
      <c r="C74" s="127">
        <f>L58</f>
        <v>1008.9461194312499</v>
      </c>
    </row>
    <row r="75" spans="2:5" x14ac:dyDescent="0.2">
      <c r="B75" s="126" t="s">
        <v>215</v>
      </c>
      <c r="C75" s="130">
        <f>C73/C74</f>
        <v>56.044278356333031</v>
      </c>
    </row>
    <row r="76" spans="2:5" x14ac:dyDescent="0.2">
      <c r="B76" s="126" t="s">
        <v>207</v>
      </c>
      <c r="C76" s="128">
        <v>0.1</v>
      </c>
    </row>
    <row r="77" spans="2:5" x14ac:dyDescent="0.2">
      <c r="B77" s="126" t="s">
        <v>216</v>
      </c>
      <c r="C77" s="129">
        <v>5</v>
      </c>
    </row>
    <row r="78" spans="2:5" x14ac:dyDescent="0.2">
      <c r="B78" s="126" t="s">
        <v>217</v>
      </c>
      <c r="C78" s="130">
        <f>C75*C77</f>
        <v>280.22139178166515</v>
      </c>
    </row>
    <row r="79" spans="2:5" x14ac:dyDescent="0.2">
      <c r="B79" s="126" t="s">
        <v>211</v>
      </c>
      <c r="C79" s="130">
        <f>C78/(1+C76)^5</f>
        <v>173.99543733454934</v>
      </c>
    </row>
    <row r="80" spans="2:5" ht="17" thickBot="1" x14ac:dyDescent="0.25">
      <c r="B80" s="131" t="s">
        <v>212</v>
      </c>
      <c r="C80" s="132">
        <f>(C79-Overview!C3)/Overview!C3</f>
        <v>-0.24016141606817185</v>
      </c>
    </row>
  </sheetData>
  <mergeCells count="4">
    <mergeCell ref="C5:G5"/>
    <mergeCell ref="H5:L5"/>
    <mergeCell ref="O5:V5"/>
    <mergeCell ref="W5:Y5"/>
  </mergeCells>
  <pageMargins left="0.7" right="0.7" top="0.75" bottom="0.75" header="0.3" footer="0.3"/>
  <ignoredErrors>
    <ignoredError sqref="H10:L10 H18:L18 H40:L40 W10"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lpstr>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2026-06-02T22:42:40Z</dcterms:modified>
</cp:coreProperties>
</file>