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67BF8BE-7673-B24C-AB82-65C44D10DE3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5" l="1"/>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0" i="12"/>
  <c r="F30"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0" i="12"/>
  <c r="E35" i="7"/>
  <c r="F35" i="7"/>
  <c r="D35" i="7"/>
  <c r="C35" i="7"/>
  <c r="AC83" i="3"/>
  <c r="AC105" i="3" s="1"/>
  <c r="AA148" i="3"/>
  <c r="Q148" i="3"/>
  <c r="N148" i="3"/>
  <c r="P148" i="3"/>
  <c r="O148" i="3"/>
  <c r="M148" i="3"/>
  <c r="C30"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J7" i="5" l="1"/>
  <c r="K7" i="5" s="1"/>
  <c r="L7" i="5" s="1"/>
  <c r="I10" i="5"/>
  <c r="J10" i="5"/>
  <c r="K9" i="5"/>
  <c r="H10" i="21"/>
  <c r="H15" i="21"/>
  <c r="H12" i="5"/>
  <c r="AC75" i="3"/>
  <c r="C22" i="14" s="1"/>
  <c r="AA155" i="3"/>
  <c r="C64" i="12"/>
  <c r="C44" i="12"/>
  <c r="AC176" i="3"/>
  <c r="AC177" i="3"/>
  <c r="Q185" i="3"/>
  <c r="P185" i="3"/>
  <c r="O185" i="3"/>
  <c r="N185" i="3"/>
  <c r="M185" i="3"/>
  <c r="AC184" i="3"/>
  <c r="E48" i="17"/>
  <c r="C23" i="11"/>
  <c r="C25" i="14"/>
  <c r="I6" i="5"/>
  <c r="I12" i="5" s="1"/>
  <c r="H6" i="14"/>
  <c r="H40" i="14" s="1"/>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F19" i="12"/>
  <c r="D19" i="12"/>
  <c r="G12" i="12"/>
  <c r="C29" i="12"/>
  <c r="E28" i="12"/>
  <c r="D28" i="12"/>
  <c r="G19" i="12"/>
  <c r="F12" i="12"/>
  <c r="E12" i="12"/>
  <c r="D12" i="12"/>
  <c r="G29" i="12"/>
  <c r="G8" i="8"/>
  <c r="D8" i="8"/>
  <c r="C46" i="7"/>
  <c r="G43" i="7"/>
  <c r="C43" i="7"/>
  <c r="F27" i="7"/>
  <c r="D12" i="7"/>
  <c r="D19" i="6"/>
  <c r="D36" i="7"/>
  <c r="D37" i="7" s="1"/>
  <c r="E27" i="7"/>
  <c r="V19" i="6"/>
  <c r="S19" i="6"/>
  <c r="Q19" i="6"/>
  <c r="R18" i="5"/>
  <c r="R16"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3" i="12"/>
  <c r="C63" i="12"/>
  <c r="C53" i="16"/>
  <c r="I72" i="17"/>
  <c r="C51" i="12"/>
  <c r="C24" i="21"/>
  <c r="C26" i="21" s="1"/>
  <c r="I10" i="1" s="1"/>
  <c r="I71" i="17"/>
  <c r="C52" i="16"/>
  <c r="AC185" i="3"/>
  <c r="C22" i="11"/>
  <c r="C24" i="14"/>
  <c r="C25" i="11"/>
  <c r="C46" i="12"/>
  <c r="C66" i="12"/>
  <c r="J6" i="5"/>
  <c r="J12"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J5" i="21" s="1"/>
  <c r="I15" i="5"/>
  <c r="J10" i="21" l="1"/>
  <c r="J15" i="21"/>
  <c r="C32" i="14"/>
  <c r="K6" i="5"/>
  <c r="K10" i="5" s="1"/>
  <c r="K12"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J34" i="7"/>
  <c r="J41" i="7"/>
  <c r="J12" i="7"/>
  <c r="J19" i="7"/>
  <c r="J27" i="7"/>
  <c r="K6" i="7"/>
  <c r="C7" i="12"/>
  <c r="C42" i="14"/>
  <c r="C49" i="14" s="1"/>
  <c r="C27" i="8"/>
  <c r="C28" i="8" s="1"/>
  <c r="F7" i="12"/>
  <c r="F42" i="14"/>
  <c r="F27" i="8"/>
  <c r="F28" i="8" s="1"/>
  <c r="E7" i="12"/>
  <c r="E42" i="14"/>
  <c r="E27" i="8"/>
  <c r="E28" i="8" s="1"/>
  <c r="H17" i="12"/>
  <c r="H11" i="12"/>
  <c r="H27" i="12"/>
  <c r="H22" i="12"/>
  <c r="K5" i="5"/>
  <c r="K5" i="21" s="1"/>
  <c r="J15" i="5"/>
  <c r="AE6" i="5"/>
  <c r="K10" i="21" l="1"/>
  <c r="K15" i="21"/>
  <c r="C21" i="14"/>
  <c r="C15" i="11"/>
  <c r="C59" i="12"/>
  <c r="C39" i="12"/>
  <c r="L6" i="5"/>
  <c r="L10" i="5" s="1"/>
  <c r="L12"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L5" i="21" s="1"/>
  <c r="K15" i="5"/>
  <c r="AE7" i="5"/>
  <c r="L10" i="21" l="1"/>
  <c r="L15" i="21"/>
  <c r="I7" i="14"/>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5"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20" i="5" l="1"/>
  <c r="H6" i="8" l="1"/>
  <c r="H6" i="12"/>
  <c r="H12"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20" i="5" l="1"/>
  <c r="J20" i="5"/>
  <c r="K20" i="5"/>
  <c r="L20" i="5"/>
  <c r="I6" i="6" l="1"/>
  <c r="I6" i="8"/>
  <c r="I6" i="12"/>
  <c r="I12" i="12" s="1"/>
  <c r="I22" i="5"/>
  <c r="I7" i="7"/>
  <c r="J6" i="6"/>
  <c r="J6" i="8"/>
  <c r="J22" i="5"/>
  <c r="J7" i="7"/>
  <c r="J6" i="12"/>
  <c r="K6" i="6"/>
  <c r="K6" i="12"/>
  <c r="K6" i="8"/>
  <c r="K22" i="5"/>
  <c r="K7" i="7"/>
  <c r="L6" i="6"/>
  <c r="L6" i="8"/>
  <c r="L6" i="12"/>
  <c r="L22" i="5"/>
  <c r="L7" i="7"/>
  <c r="J12" i="12" l="1"/>
  <c r="K12"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0" i="12"/>
  <c r="C54" i="12" s="1"/>
  <c r="C55" i="12" s="1"/>
  <c r="C7" i="13" s="1"/>
  <c r="I5" i="1" s="1"/>
  <c r="L12"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38" i="12" s="1"/>
  <c r="C41" i="12" s="1"/>
  <c r="C42" i="12" s="1"/>
  <c r="L30" i="7"/>
  <c r="L29" i="7"/>
  <c r="K35" i="7" l="1"/>
  <c r="K22" i="8" s="1"/>
  <c r="K28" i="8" s="1"/>
  <c r="L35" i="7"/>
  <c r="L22" i="8" s="1"/>
  <c r="L28" i="8" s="1"/>
  <c r="C45" i="12"/>
  <c r="C47" i="12" s="1"/>
  <c r="C6" i="13" s="1"/>
  <c r="I4" i="1" s="1"/>
  <c r="I28" i="8"/>
  <c r="J35" i="7"/>
  <c r="J22" i="8" s="1"/>
  <c r="J28" i="8" s="1"/>
  <c r="L13" i="12"/>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l="1"/>
  <c r="AA12" i="5"/>
  <c r="X6" i="6" s="1"/>
  <c r="AE10" i="5"/>
  <c r="I7" i="1"/>
  <c r="C11" i="13"/>
  <c r="I8"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<sst xmlns="http://schemas.openxmlformats.org/spreadsheetml/2006/main" count="823" uniqueCount="428">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</sst>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1.6626000000000001</v>
    <v>0.17</v>
    <v>1.008E-3</v>
    <v>-0.37</v>
    <v>-2.1930000000000001E-3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170.63</v>
    <v>3</v>
    <v>Semiconductors &amp; Semiconductor Equipment</v>
    <v>Stock</v>
    <v>46269.900570173435</v>
    <v>4</v>
    <v>167.04</v>
    <v>177177000000</v>
    <v>QUALCOMM INCORPORATED</v>
    <v>QUALCOMM INCORPORATED</v>
    <v>169.98</v>
    <v>19.509599999999999</v>
    <v>168.57</v>
    <v>168.74</v>
    <v>168.37</v>
    <v>1050000000</v>
    <v>QCOM</v>
    <v>QUALCOMM INCORPORATED (XNAS:QCOM)</v>
    <v>8530083</v>
    <v>9759347</v>
    <v>1991</v>
  </rv>
  <rv s="4">
    <v>5</v>
  </rv>
  <rv s="0">
    <v>https://www.bing.com/financeapi/forcetrigger?t=a33knm&amp;q=10+Y+TSY+YLD+NDX&amp;form=skydnc</v>
    <v>Learn more on Bing</v>
  </rv>
  <rv s="5">
    <v>7</v>
    <v>10 Y TSY YLD NDX</v>
    <v>8</v>
    <v>9</v>
    <v>Finance</v>
    <v>10</v>
    <v>en-US</v>
    <v>a33knm</v>
    <v>268435456</v>
    <v>1</v>
    <v>Powered by Refinitiv</v>
    <v>48.06</v>
    <v>39.47</v>
    <v>-0.34</v>
    <v>-7.0889999999999998E-3</v>
    <v>US</v>
    <v>47.68</v>
    <v>Index</v>
    <v>7</v>
    <v>47.32</v>
    <v>10 Y TSY YLD NDX</v>
    <v>47.66</v>
    <v>47.96</v>
    <v>47.62</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1" t="s">
        <v>17</v>
      </c>
      <c r="C2" s="242"/>
      <c r="E2" s="241" t="s">
        <v>284</v>
      </c>
      <c r="F2" s="242"/>
      <c r="H2" s="241" t="s">
        <v>325</v>
      </c>
      <c r="I2" s="242"/>
    </row>
    <row r="3" spans="2:9" x14ac:dyDescent="0.2">
      <c r="B3" s="185" t="s">
        <v>11</v>
      </c>
      <c r="C3" s="217" t="e" vm="1">
        <v>#VALUE!</v>
      </c>
      <c r="D3" s="2"/>
      <c r="E3" s="185" t="s">
        <v>236</v>
      </c>
      <c r="F3" s="187">
        <f ca="1">Statement!AC156</f>
        <v>179201.88</v>
      </c>
      <c r="H3" s="185" t="str">
        <f>'AVG target price'!B5</f>
        <v>DCF price</v>
      </c>
      <c r="I3" s="211">
        <f ca="1">'AVG target price'!C5</f>
        <v>119.23431706091708</v>
      </c>
    </row>
    <row r="4" spans="2:9" x14ac:dyDescent="0.2">
      <c r="B4" s="185" t="s">
        <v>0</v>
      </c>
      <c r="C4" s="189" t="str" cm="1">
        <f t="array" aca="1" ref="C4" ca="1">_FV(C3,"Ticker symbol",TRUE)</f>
        <v>QCOM</v>
      </c>
      <c r="E4" s="186" t="s">
        <v>180</v>
      </c>
      <c r="F4" s="188">
        <f ca="1">Statement!AC157</f>
        <v>186167.88</v>
      </c>
      <c r="H4" s="185" t="str">
        <f>'AVG target price'!B6</f>
        <v>EV/EBIT price</v>
      </c>
      <c r="I4" s="211">
        <f ca="1">'AVG target price'!C6</f>
        <v>193.35967431903734</v>
      </c>
    </row>
    <row r="5" spans="2:9" x14ac:dyDescent="0.2">
      <c r="B5" s="185" t="s">
        <v>1</v>
      </c>
      <c r="C5" s="208" cm="1">
        <f t="array" aca="1" ref="C5" ca="1">_FV(C3,"Price",TRUE)</f>
        <v>168.74</v>
      </c>
      <c r="E5" s="185" t="s">
        <v>240</v>
      </c>
      <c r="F5" s="190">
        <f>Statement!AC26</f>
        <v>8.8483427020740457</v>
      </c>
      <c r="H5" s="185" t="str">
        <f>'AVG target price'!B7</f>
        <v>PS price</v>
      </c>
      <c r="I5" s="211">
        <f ca="1">'AVG target price'!C7</f>
        <v>197.24172217952881</v>
      </c>
    </row>
    <row r="6" spans="2:9" x14ac:dyDescent="0.2">
      <c r="B6" s="185" t="s">
        <v>2</v>
      </c>
      <c r="C6" s="208" cm="1">
        <f t="array" aca="1" ref="C6" ca="1">_FV(C3,"Price (Extended hours)",TRUE)</f>
        <v>168.37</v>
      </c>
      <c r="E6" s="185" t="s">
        <v>234</v>
      </c>
      <c r="F6" s="190">
        <f ca="1">Statement!AC153</f>
        <v>19.070237860525843</v>
      </c>
      <c r="H6" s="185" t="str">
        <f>'AVG target price'!B8</f>
        <v>EV/FCFF price</v>
      </c>
      <c r="I6" s="211">
        <f ca="1">'AVG target price'!C8</f>
        <v>160.89221737946522</v>
      </c>
    </row>
    <row r="7" spans="2:9" x14ac:dyDescent="0.2">
      <c r="B7" s="185" t="s">
        <v>3</v>
      </c>
      <c r="C7" s="6" cm="1">
        <f t="array" aca="1" ref="C7" ca="1">_FV(C3,"Change")</f>
        <v>0.17</v>
      </c>
      <c r="E7" s="186" t="s">
        <v>193</v>
      </c>
      <c r="F7" s="191">
        <f ca="1">Statement!AC154</f>
        <v>4.1143489606971047</v>
      </c>
      <c r="H7" s="184" t="str">
        <f>'AVG target price'!B9</f>
        <v>AVG price</v>
      </c>
      <c r="I7" s="212">
        <f ca="1">'AVG target price'!C9</f>
        <v>167.68198273473712</v>
      </c>
    </row>
    <row r="8" spans="2:9" x14ac:dyDescent="0.2">
      <c r="B8" s="185" t="s">
        <v>4</v>
      </c>
      <c r="C8" s="6" cm="1">
        <f t="array" aca="1" ref="C8" ca="1">_FV(C3,"Change (extended hours)",TRUE)</f>
        <v>-0.37</v>
      </c>
      <c r="E8" s="185" t="s">
        <v>262</v>
      </c>
      <c r="F8" s="192">
        <f ca="1">Statement!AC164</f>
        <v>4.003306215314259E-2</v>
      </c>
      <c r="H8" s="184" t="str">
        <f>'AVG target price'!B11</f>
        <v>Upside/Downside</v>
      </c>
      <c r="I8" s="213">
        <f ca="1">'AVG target price'!C11</f>
        <v>-6.2701035039877343E-3</v>
      </c>
    </row>
    <row r="9" spans="2:9" x14ac:dyDescent="0.2">
      <c r="B9" s="185" t="s">
        <v>5</v>
      </c>
      <c r="C9" s="73" cm="1">
        <f t="array" aca="1" ref="C9" ca="1">_FV(C3,"Change (%)",TRUE)</f>
        <v>1.008E-3</v>
      </c>
      <c r="E9" s="185" t="s">
        <v>285</v>
      </c>
      <c r="F9" s="192">
        <f ca="1">Statement!AC165</f>
        <v>5.2437730840784909E-2</v>
      </c>
    </row>
    <row r="10" spans="2:9" x14ac:dyDescent="0.2">
      <c r="B10" s="185" t="s">
        <v>6</v>
      </c>
      <c r="C10" s="73" cm="1">
        <f t="array" aca="1" ref="C10" ca="1">_FV(C3,"Change % (extended hours)",TRUE)</f>
        <v>-2.1930000000000001E-3</v>
      </c>
      <c r="E10" s="185" t="s">
        <v>290</v>
      </c>
      <c r="F10" s="192">
        <f ca="1">Statement!AC167</f>
        <v>5.1617762045799966E-2</v>
      </c>
      <c r="H10" s="184" t="s">
        <v>413</v>
      </c>
      <c r="I10" s="212">
        <f ca="1">DDM!C26</f>
        <v>36.010425920321765</v>
      </c>
    </row>
    <row r="11" spans="2:9" x14ac:dyDescent="0.2">
      <c r="B11" s="185" t="s">
        <v>7</v>
      </c>
      <c r="C11" s="209" cm="1">
        <f t="array" aca="1" ref="C11" ca="1">_FV(C3,"52 week high",TRUE)</f>
        <v>259.92</v>
      </c>
      <c r="E11" s="186" t="s">
        <v>286</v>
      </c>
      <c r="F11" s="193">
        <f ca="1">Statement!AC166</f>
        <v>2.1275334834656868E-2</v>
      </c>
    </row>
    <row r="12" spans="2:9" x14ac:dyDescent="0.2">
      <c r="B12" s="185" t="s">
        <v>8</v>
      </c>
      <c r="C12" s="209" cm="1">
        <f t="array" aca="1" ref="C12" ca="1">_FV(C3,"52 week low",TRUE)</f>
        <v>121.99</v>
      </c>
      <c r="E12" s="185" t="s">
        <v>94</v>
      </c>
      <c r="F12" s="192">
        <f>Statement!AC122</f>
        <v>0.16596649641780117</v>
      </c>
    </row>
    <row r="13" spans="2:9" x14ac:dyDescent="0.2">
      <c r="B13" s="185" t="s">
        <v>9</v>
      </c>
      <c r="C13" s="209" cm="1">
        <f t="array" aca="1" ref="C13" ca="1">_FV(C3,"Beta")</f>
        <v>1.6626000000000001</v>
      </c>
      <c r="E13" s="185" t="s">
        <v>96</v>
      </c>
      <c r="F13" s="192">
        <f>Statement!AC124</f>
        <v>0.3442403644515149</v>
      </c>
    </row>
    <row r="14" spans="2:9" x14ac:dyDescent="0.2">
      <c r="B14" s="186" t="s">
        <v>10</v>
      </c>
      <c r="C14" s="210" cm="1">
        <f t="array" aca="1" ref="C14" ca="1">_FV(C3,"Volume average",TRUE)</f>
        <v>9759347</v>
      </c>
      <c r="E14" s="186" t="s">
        <v>97</v>
      </c>
      <c r="F14" s="193">
        <f>Statement!AC143</f>
        <v>0.25062860459696928</v>
      </c>
    </row>
    <row r="15" spans="2:9" x14ac:dyDescent="0.2">
      <c r="E15" s="185" t="s">
        <v>287</v>
      </c>
      <c r="F15" s="192">
        <f ca="1">Statement!AC179</f>
        <v>-3.8872360044437032E-2</v>
      </c>
    </row>
    <row r="16" spans="2:9" x14ac:dyDescent="0.2">
      <c r="E16" s="186" t="s">
        <v>292</v>
      </c>
      <c r="F16" s="191">
        <f>Statement!AC178</f>
        <v>-6.6342857142857143</v>
      </c>
    </row>
    <row r="17" spans="2:9" x14ac:dyDescent="0.2">
      <c r="B17" s="243" t="s">
        <v>83</v>
      </c>
      <c r="C17" s="243"/>
      <c r="E17" s="184" t="s">
        <v>293</v>
      </c>
      <c r="F17" s="194">
        <f>Statement!AC174</f>
        <v>9.4161958568738226E-4</v>
      </c>
    </row>
    <row r="18" spans="2:9" x14ac:dyDescent="0.2">
      <c r="B18" s="184" t="s">
        <v>12</v>
      </c>
      <c r="C18" s="69" t="s">
        <v>341</v>
      </c>
      <c r="E18" s="185" t="s">
        <v>294</v>
      </c>
      <c r="F18" s="190">
        <f>Statement!AC147</f>
        <v>137.86178331838977</v>
      </c>
      <c r="I18" s="50"/>
    </row>
    <row r="19" spans="2:9" x14ac:dyDescent="0.2">
      <c r="B19" s="184" t="s">
        <v>13</v>
      </c>
      <c r="C19" s="70">
        <v>1000000</v>
      </c>
      <c r="E19" s="185" t="s">
        <v>255</v>
      </c>
      <c r="F19" s="190">
        <f>Statement!AC149</f>
        <v>0.25186202906934702</v>
      </c>
    </row>
    <row r="20" spans="2:9" x14ac:dyDescent="0.2">
      <c r="B20" s="184" t="s">
        <v>84</v>
      </c>
      <c r="C20" s="69" t="s">
        <v>86</v>
      </c>
      <c r="E20" s="186" t="s">
        <v>295</v>
      </c>
      <c r="F20" s="191">
        <f>Statement!AC150</f>
        <v>1.1365986156137737</v>
      </c>
    </row>
    <row r="21" spans="2:9" x14ac:dyDescent="0.2">
      <c r="B21" s="184" t="s">
        <v>85</v>
      </c>
      <c r="C21" s="69" t="s">
        <v>86</v>
      </c>
      <c r="I21" s="50"/>
    </row>
    <row r="22" spans="2:9" x14ac:dyDescent="0.2">
      <c r="B22" s="184" t="s">
        <v>87</v>
      </c>
      <c r="C22" s="69" t="s">
        <v>343</v>
      </c>
    </row>
    <row r="25" spans="2:9" x14ac:dyDescent="0.2">
      <c r="B25" s="243" t="s">
        <v>99</v>
      </c>
      <c r="C25" s="243"/>
      <c r="E25" s="241" t="s">
        <v>338</v>
      </c>
      <c r="F25" s="242"/>
    </row>
    <row r="26" spans="2:9" x14ac:dyDescent="0.2">
      <c r="B26" s="184" t="s">
        <v>100</v>
      </c>
      <c r="C26" s="170">
        <v>0.21</v>
      </c>
      <c r="E26" s="185" t="e" vm="2">
        <v>#VALUE!</v>
      </c>
      <c r="F26" s="219" cm="1">
        <f t="array" aca="1" ref="F26" ca="1">_FV(E26,"Price")</f>
        <v>47.62</v>
      </c>
    </row>
    <row r="27" spans="2:9" x14ac:dyDescent="0.2">
      <c r="B27" s="184" t="s">
        <v>164</v>
      </c>
      <c r="C27" s="221">
        <v>5.3499999999999999E-2</v>
      </c>
      <c r="E27" s="186" t="s">
        <v>339</v>
      </c>
      <c r="F27" s="220">
        <f ca="1">F26/1000</f>
        <v>4.7619999999999996E-2</v>
      </c>
    </row>
    <row r="28" spans="2:9" x14ac:dyDescent="0.2">
      <c r="B28" s="184" t="s">
        <v>356</v>
      </c>
      <c r="C28" s="221">
        <v>0</v>
      </c>
    </row>
    <row r="29" spans="2:9" x14ac:dyDescent="0.2">
      <c r="B29" s="184" t="s">
        <v>414</v>
      </c>
      <c r="C29" s="221">
        <v>0</v>
      </c>
    </row>
    <row r="33" spans="2:8" x14ac:dyDescent="0.2">
      <c r="B33" s="238" t="s">
        <v>333</v>
      </c>
      <c r="C33" s="238"/>
      <c r="D33" s="238"/>
      <c r="E33" s="238"/>
      <c r="F33" s="238"/>
      <c r="G33" s="238"/>
      <c r="H33" s="238"/>
    </row>
    <row r="35" spans="2:8" x14ac:dyDescent="0.2">
      <c r="B35" s="16" t="s">
        <v>334</v>
      </c>
      <c r="C35" s="1" t="s">
        <v>350</v>
      </c>
    </row>
    <row r="36" spans="2:8" x14ac:dyDescent="0.2">
      <c r="B36" s="16" t="s">
        <v>335</v>
      </c>
      <c r="C36" s="1" t="s">
        <v>349</v>
      </c>
    </row>
    <row r="39" spans="2:8" ht="6" customHeight="1" x14ac:dyDescent="0.2">
      <c r="B39" s="238"/>
      <c r="C39" s="238"/>
      <c r="D39" s="238"/>
      <c r="E39" s="238"/>
      <c r="F39" s="238"/>
      <c r="G39" s="238"/>
      <c r="H39" s="238"/>
    </row>
    <row r="42" spans="2:8" x14ac:dyDescent="0.2">
      <c r="B42" s="238" t="s">
        <v>336</v>
      </c>
      <c r="C42" s="238"/>
      <c r="D42" s="238"/>
      <c r="E42" s="238"/>
      <c r="F42" s="238"/>
      <c r="G42" s="238"/>
      <c r="H42" s="238"/>
    </row>
    <row r="44" spans="2:8" x14ac:dyDescent="0.2">
      <c r="B44" s="41" t="s">
        <v>337</v>
      </c>
      <c r="C44" s="41" t="s">
        <v>377</v>
      </c>
      <c r="D44" s="41"/>
      <c r="E44" s="41" t="s">
        <v>415</v>
      </c>
    </row>
    <row r="45" spans="2:8" x14ac:dyDescent="0.2">
      <c r="B45" s="1" t="s">
        <v>371</v>
      </c>
      <c r="C45" s="1" t="s">
        <v>420</v>
      </c>
    </row>
    <row r="46" spans="2:8" x14ac:dyDescent="0.2">
      <c r="C46" s="1" t="s">
        <v>421</v>
      </c>
    </row>
    <row r="47" spans="2:8" x14ac:dyDescent="0.2">
      <c r="B47" s="1" t="s">
        <v>371</v>
      </c>
      <c r="C47" s="1" t="s">
        <v>424</v>
      </c>
    </row>
    <row r="48" spans="2:8" x14ac:dyDescent="0.2">
      <c r="B48" s="1" t="s">
        <v>371</v>
      </c>
      <c r="C48" s="1" t="s">
        <v>417</v>
      </c>
    </row>
    <row r="49" spans="2:8" x14ac:dyDescent="0.2">
      <c r="B49" s="1" t="s">
        <v>371</v>
      </c>
      <c r="C49" s="1" t="s">
        <v>418</v>
      </c>
    </row>
    <row r="50" spans="2:8" x14ac:dyDescent="0.2">
      <c r="B50" s="1" t="s">
        <v>371</v>
      </c>
      <c r="C50" s="1" t="s">
        <v>419</v>
      </c>
    </row>
    <row r="51" spans="2:8" x14ac:dyDescent="0.2">
      <c r="B51" s="1" t="s">
        <v>371</v>
      </c>
      <c r="C51" s="1" t="s">
        <v>422</v>
      </c>
    </row>
    <row r="52" spans="2:8" x14ac:dyDescent="0.2">
      <c r="B52" s="1" t="s">
        <v>371</v>
      </c>
      <c r="C52" s="1" t="s">
        <v>423</v>
      </c>
    </row>
    <row r="53" spans="2:8" x14ac:dyDescent="0.2">
      <c r="B53" s="1" t="s">
        <v>371</v>
      </c>
      <c r="C53" s="1" t="s">
        <v>425</v>
      </c>
    </row>
    <row r="55" spans="2:8" ht="5" customHeight="1" x14ac:dyDescent="0.2">
      <c r="B55" s="238"/>
      <c r="C55" s="238"/>
      <c r="D55" s="238"/>
      <c r="E55" s="238"/>
      <c r="F55" s="238"/>
      <c r="G55" s="238"/>
      <c r="H55" s="238"/>
    </row>
    <row r="58" spans="2:8" x14ac:dyDescent="0.2">
      <c r="B58" s="238" t="s">
        <v>101</v>
      </c>
      <c r="C58" s="238"/>
      <c r="D58" s="238"/>
      <c r="E58" s="238"/>
      <c r="F58" s="238"/>
      <c r="G58" s="238"/>
      <c r="H58" s="238"/>
    </row>
    <row r="60" spans="2:8" x14ac:dyDescent="0.2">
      <c r="B60" s="41" t="s">
        <v>337</v>
      </c>
      <c r="C60" s="41" t="s">
        <v>377</v>
      </c>
      <c r="D60" s="41"/>
      <c r="E60" s="41" t="s">
        <v>347</v>
      </c>
    </row>
    <row r="61" spans="2:8" x14ac:dyDescent="0.2">
      <c r="B61" s="1" t="s">
        <v>371</v>
      </c>
      <c r="C61" s="1" t="s">
        <v>28</v>
      </c>
      <c r="E61" s="1" t="s">
        <v>379</v>
      </c>
    </row>
    <row r="62" spans="2:8" x14ac:dyDescent="0.2">
      <c r="B62" s="1" t="s">
        <v>371</v>
      </c>
      <c r="C62" s="1" t="s">
        <v>29</v>
      </c>
      <c r="E62" s="1" t="s">
        <v>373</v>
      </c>
    </row>
    <row r="63" spans="2:8" x14ac:dyDescent="0.2">
      <c r="B63" s="1" t="s">
        <v>371</v>
      </c>
      <c r="C63" s="1" t="s">
        <v>374</v>
      </c>
      <c r="E63" s="1" t="s">
        <v>373</v>
      </c>
    </row>
    <row r="65" spans="2:8" x14ac:dyDescent="0.2">
      <c r="B65" s="41" t="s">
        <v>337</v>
      </c>
      <c r="C65" s="41" t="s">
        <v>366</v>
      </c>
      <c r="D65" s="41"/>
      <c r="E65" s="41" t="s">
        <v>370</v>
      </c>
    </row>
    <row r="66" spans="2:8" x14ac:dyDescent="0.2">
      <c r="B66" s="1" t="s">
        <v>371</v>
      </c>
      <c r="C66" s="1" t="s">
        <v>28</v>
      </c>
      <c r="E66" s="1" t="s">
        <v>372</v>
      </c>
    </row>
    <row r="67" spans="2:8" x14ac:dyDescent="0.2">
      <c r="B67" s="1" t="s">
        <v>371</v>
      </c>
      <c r="C67" s="1" t="s">
        <v>29</v>
      </c>
      <c r="E67" s="1" t="s">
        <v>373</v>
      </c>
    </row>
    <row r="68" spans="2:8" x14ac:dyDescent="0.2">
      <c r="B68" s="1" t="s">
        <v>371</v>
      </c>
      <c r="C68" s="1" t="s">
        <v>374</v>
      </c>
      <c r="E68" s="1" t="s">
        <v>373</v>
      </c>
    </row>
    <row r="70" spans="2:8" x14ac:dyDescent="0.2">
      <c r="B70" s="41" t="s">
        <v>337</v>
      </c>
      <c r="C70" s="41" t="s">
        <v>366</v>
      </c>
      <c r="D70" s="41"/>
      <c r="E70" s="41" t="s">
        <v>345</v>
      </c>
    </row>
    <row r="71" spans="2:8" x14ac:dyDescent="0.2">
      <c r="B71" s="1" t="s">
        <v>371</v>
      </c>
      <c r="C71" s="1" t="s">
        <v>28</v>
      </c>
      <c r="E71" s="1" t="s">
        <v>372</v>
      </c>
    </row>
    <row r="72" spans="2:8" x14ac:dyDescent="0.2">
      <c r="B72" s="1" t="s">
        <v>371</v>
      </c>
      <c r="C72" s="1" t="s">
        <v>29</v>
      </c>
      <c r="E72" s="1" t="s">
        <v>373</v>
      </c>
    </row>
    <row r="73" spans="2:8" x14ac:dyDescent="0.2">
      <c r="B73" s="1" t="s">
        <v>371</v>
      </c>
      <c r="C73" s="1" t="s">
        <v>374</v>
      </c>
      <c r="E73" s="1" t="s">
        <v>373</v>
      </c>
    </row>
    <row r="75" spans="2:8" ht="5" customHeight="1" x14ac:dyDescent="0.2">
      <c r="B75" s="238"/>
      <c r="C75" s="238"/>
      <c r="D75" s="238"/>
      <c r="E75" s="238"/>
      <c r="F75" s="238"/>
      <c r="G75" s="238"/>
      <c r="H75" s="238"/>
    </row>
  </sheetData>
  <mergeCells count="12">
    <mergeCell ref="B58:H58"/>
    <mergeCell ref="B75:H75"/>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W127" activePane="bottomRight" state="frozen"/>
      <selection pane="topRight" activeCell="C1" sqref="C1"/>
      <selection pane="bottomLeft" activeCell="A4" sqref="A4"/>
      <selection pane="bottomRight" activeCell="U131" sqref="U13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367</v>
      </c>
      <c r="U2" s="10" t="s">
        <v>382</v>
      </c>
      <c r="V2" s="10" t="s">
        <v>378</v>
      </c>
      <c r="W2" s="10" t="s">
        <v>384</v>
      </c>
      <c r="X2" s="10" t="s">
        <v>366</v>
      </c>
      <c r="Y2" s="10" t="s">
        <v>380</v>
      </c>
      <c r="Z2" s="10" t="s">
        <v>377</v>
      </c>
      <c r="AA2" s="10" t="s">
        <v>416</v>
      </c>
      <c r="AB2" s="7"/>
      <c r="AD2" s="7"/>
      <c r="AE2" s="7"/>
    </row>
    <row r="3" spans="1:31" s="13" customFormat="1" x14ac:dyDescent="0.2">
      <c r="A3" s="11"/>
      <c r="B3" s="12" t="s">
        <v>16</v>
      </c>
      <c r="M3" s="13">
        <v>2021</v>
      </c>
      <c r="N3" s="13">
        <v>2022</v>
      </c>
      <c r="O3" s="13">
        <v>2023</v>
      </c>
      <c r="P3" s="13">
        <v>2024</v>
      </c>
      <c r="Q3" s="13">
        <v>2025</v>
      </c>
      <c r="R3" s="11"/>
      <c r="S3" s="11"/>
      <c r="T3" s="10" t="s">
        <v>383</v>
      </c>
      <c r="U3" s="10" t="s">
        <v>381</v>
      </c>
      <c r="V3" s="10" t="s">
        <v>348</v>
      </c>
      <c r="W3" s="10" t="s">
        <v>346</v>
      </c>
      <c r="X3" s="10" t="s">
        <v>345</v>
      </c>
      <c r="Y3" s="10" t="s">
        <v>344</v>
      </c>
      <c r="Z3" s="10" t="s">
        <v>347</v>
      </c>
      <c r="AA3" s="10" t="s">
        <v>415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342</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369</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231</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232</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233</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342</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168.74</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168.74</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227</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Z131" si="127">IF(T130&gt;T129, "BEAT", IF(T130&lt;T128, "MISSED", "MET"))</f>
        <v>BEAT</v>
      </c>
      <c r="U131" s="227" t="str">
        <f t="shared" si="127"/>
        <v>MET</v>
      </c>
      <c r="V131" s="227" t="str">
        <f t="shared" si="127"/>
        <v>MET</v>
      </c>
      <c r="W131" s="227" t="str">
        <f t="shared" si="127"/>
        <v>BEAT</v>
      </c>
      <c r="X131" s="227" t="str">
        <f t="shared" si="127"/>
        <v>MET</v>
      </c>
      <c r="Y131" s="227" t="str">
        <f t="shared" si="127"/>
        <v>MET</v>
      </c>
      <c r="Z131" s="227" t="str">
        <f t="shared" si="127"/>
        <v>MET</v>
      </c>
      <c r="AA131" s="227" t="str">
        <f t="shared" ref="AA131" si="128">IF(AA130&gt;AA129, "BEAT", IF(AA130&lt;AA128, "MISSED", "MET"))</f>
        <v>MISSED</v>
      </c>
      <c r="AC131" s="49"/>
    </row>
    <row r="132" spans="2:29" x14ac:dyDescent="0.2">
      <c r="B132" s="20" t="s">
        <v>398</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399</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400</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Z135" si="134">IF(T134&gt;T133, "BEAT", IF(T134&lt;T132, "MISSED", "MET"))</f>
        <v>BEAT</v>
      </c>
      <c r="U135" s="227" t="str">
        <f t="shared" si="134"/>
        <v>MET</v>
      </c>
      <c r="V135" s="227" t="str">
        <f t="shared" si="134"/>
        <v>MET</v>
      </c>
      <c r="W135" s="227" t="str">
        <f t="shared" si="134"/>
        <v>BEAT</v>
      </c>
      <c r="X135" s="227" t="str">
        <f t="shared" si="134"/>
        <v>MET</v>
      </c>
      <c r="Y135" s="227" t="str">
        <f t="shared" si="134"/>
        <v>MET</v>
      </c>
      <c r="Z135" s="227" t="str">
        <f t="shared" si="134"/>
        <v>BEAT</v>
      </c>
      <c r="AA135" s="227" t="str">
        <f t="shared" ref="AA135" si="135">IF(AA134&gt;AA133, "BEAT", IF(AA134&lt;AA132, "MISSED", "MET"))</f>
        <v>MISSED</v>
      </c>
      <c r="AC135" s="49"/>
    </row>
    <row r="136" spans="2:29" x14ac:dyDescent="0.2">
      <c r="B136" s="20" t="s">
        <v>401</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402</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403</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Z139" si="141">IF(T138&gt;T137, "BEAT", IF(T138&lt;T136, "MISSED", "MET"))</f>
        <v>MET</v>
      </c>
      <c r="U139" s="227" t="str">
        <f t="shared" si="141"/>
        <v>MET</v>
      </c>
      <c r="V139" s="227" t="str">
        <f t="shared" si="141"/>
        <v>MET</v>
      </c>
      <c r="W139" s="227" t="str">
        <f t="shared" si="141"/>
        <v>MET</v>
      </c>
      <c r="X139" s="227" t="str">
        <f t="shared" si="141"/>
        <v>MET</v>
      </c>
      <c r="Y139" s="227" t="str">
        <f t="shared" si="141"/>
        <v>MET</v>
      </c>
      <c r="Z139" s="227" t="str">
        <f t="shared" si="141"/>
        <v>MET</v>
      </c>
      <c r="AA139" s="227" t="str">
        <f t="shared" ref="AA139" si="142">IF(AA138&gt;AA137, "BEAT", IF(AA138&lt;AA136, "MISSED", "MET"))</f>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Z149" si="160">(T107-T106)/T49</f>
        <v>5.0772626931567331E-2</v>
      </c>
      <c r="U149" s="179">
        <f t="shared" si="160"/>
        <v>1.011904761904762E-2</v>
      </c>
      <c r="V149" s="179">
        <f t="shared" si="160"/>
        <v>2.8022215810732835E-2</v>
      </c>
      <c r="W149" s="179">
        <f t="shared" si="160"/>
        <v>0.17556690800837957</v>
      </c>
      <c r="X149" s="179">
        <f t="shared" si="160"/>
        <v>0.21956050174478922</v>
      </c>
      <c r="Y149" s="179">
        <f t="shared" si="160"/>
        <v>0.12980540025137607</v>
      </c>
      <c r="Z149" s="179">
        <f t="shared" si="160"/>
        <v>0.20056455751887969</v>
      </c>
      <c r="AA149" s="179">
        <f t="shared" ref="AA149" si="161">(AA107-AA106)/AA49</f>
        <v>0.25186202906934702</v>
      </c>
      <c r="AC149" s="179">
        <f>(AC107-AC106)/AC49</f>
        <v>0.25186202906934702</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Z152" si="166">IF(T13&gt;=0,"N/A",IF(T12&lt;=0,"N/A",T12/-T13))</f>
        <v>14.5</v>
      </c>
      <c r="U152" s="181">
        <f t="shared" si="166"/>
        <v>21.809815950920246</v>
      </c>
      <c r="V152" s="181">
        <f t="shared" si="166"/>
        <v>19.141104294478527</v>
      </c>
      <c r="W152" s="181">
        <f t="shared" si="166"/>
        <v>16.44047619047619</v>
      </c>
      <c r="X152" s="181">
        <f t="shared" si="166"/>
        <v>17.064327485380115</v>
      </c>
      <c r="Y152" s="181">
        <f t="shared" si="166"/>
        <v>19.917159763313609</v>
      </c>
      <c r="Z152" s="181">
        <f t="shared" si="166"/>
        <v>13.502923976608187</v>
      </c>
      <c r="AA152" s="181">
        <f t="shared" ref="AA152" si="167">IF(AA13&gt;=0,"N/A",IF(AA12&lt;=0,"N/A",AA12/-AA13))</f>
        <v>9.1348314606741567</v>
      </c>
      <c r="AC152" s="181">
        <f>IF(AC13&gt;=0,"N/A",IF(AC12&lt;=0,"N/A",AC12/-AC13))</f>
        <v>14.831640058055152</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19.070237860525843</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4.1143489606971047</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6.4059946489261703</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143">
        <f>Statement!T116*Statement!T78</f>
        <v>191396.25</v>
      </c>
      <c r="U156" s="143">
        <f>Statement!U116*Statement!U78</f>
        <v>175794.32</v>
      </c>
      <c r="V156" s="143">
        <f>Statement!V116*Statement!V78</f>
        <v>169213.76</v>
      </c>
      <c r="W156" s="143">
        <f>Statement!W116*Statement!W78</f>
        <v>172174.44</v>
      </c>
      <c r="X156" s="143">
        <f>Statement!X116*Statement!X78</f>
        <v>182736</v>
      </c>
      <c r="Y156" s="143">
        <f>Statement!Y116*Statement!Y78</f>
        <v>188095.56</v>
      </c>
      <c r="Z156" s="143">
        <f>Statement!Z116*Statement!Z78</f>
        <v>134736.6</v>
      </c>
      <c r="AA156" s="143">
        <f>Statement!AA116*Statement!AA78</f>
        <v>201132.18</v>
      </c>
      <c r="AC156" s="143">
        <f ca="1">Statement!AC116*Statement!AC78</f>
        <v>179201.88</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143">
        <f t="shared" ref="T157:Z157" si="168">T156+T107-T106+T48+T45</f>
        <v>192730.25</v>
      </c>
      <c r="U157" s="143">
        <f t="shared" si="168"/>
        <v>176066.32</v>
      </c>
      <c r="V157" s="143">
        <f t="shared" si="168"/>
        <v>169990.76</v>
      </c>
      <c r="W157" s="143">
        <f t="shared" si="168"/>
        <v>176951.44</v>
      </c>
      <c r="X157" s="143">
        <f t="shared" si="168"/>
        <v>187392</v>
      </c>
      <c r="Y157" s="143">
        <f t="shared" si="168"/>
        <v>191090.56</v>
      </c>
      <c r="Z157" s="143">
        <f t="shared" si="168"/>
        <v>140207.6</v>
      </c>
      <c r="AA157" s="143">
        <f t="shared" ref="AA157" si="169">AA156+AA107-AA106+AA48+AA45</f>
        <v>208098.18</v>
      </c>
      <c r="AC157" s="143">
        <f ca="1">AC156+AC107-AC106+AC48+AC45</f>
        <v>186167.88</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4.2245593174185352</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18.217817790390448</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9749.7648055654645</v>
      </c>
    </row>
    <row r="162" spans="2:29" x14ac:dyDescent="0.2">
      <c r="B162" s="20" t="s">
        <v>260</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24.97935321996097</v>
      </c>
    </row>
    <row r="163" spans="2:29" x14ac:dyDescent="0.2">
      <c r="B163" s="20" t="s">
        <v>261</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19.094602148118451</v>
      </c>
    </row>
    <row r="164" spans="2:29" x14ac:dyDescent="0.2">
      <c r="B164" s="20" t="s">
        <v>262</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4.003306215314259E-2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5.2437730840784909E-2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2.1275334834656868E-2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5.1617762045799966E-2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7.296240418906319E-2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0.22124364177102351</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0.16279386402831986</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0.53317535545023698</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1.2893783105659324</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1.8225536660161694</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9.4161958568738226E-4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Z176" si="179">T54/T59</f>
        <v>#DIV/0!</v>
      </c>
      <c r="U176" s="154">
        <f t="shared" si="179"/>
        <v>0.16546762589928057</v>
      </c>
      <c r="V176" s="154">
        <f t="shared" si="179"/>
        <v>0.27486296006264682</v>
      </c>
      <c r="W176" s="154">
        <f t="shared" si="179"/>
        <v>0.22921739130434782</v>
      </c>
      <c r="X176" s="154">
        <f t="shared" si="179"/>
        <v>0.16591591591591592</v>
      </c>
      <c r="Y176" s="154">
        <f t="shared" si="179"/>
        <v>0.17885196374622356</v>
      </c>
      <c r="Z176" s="154">
        <f t="shared" si="179"/>
        <v>0.35157207023274806</v>
      </c>
      <c r="AA176" s="154">
        <f t="shared" ref="AA176" si="180">AA54/AA59</f>
        <v>0.83753784056508573</v>
      </c>
      <c r="AC176" s="154">
        <f>AC54/AC59</f>
        <v>0.26143052979598419</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Z177" si="181">T54/T5</f>
        <v>0</v>
      </c>
      <c r="U177" s="154">
        <f t="shared" si="181"/>
        <v>6.5044134030336792E-2</v>
      </c>
      <c r="V177" s="154">
        <f t="shared" si="181"/>
        <v>6.3940249567355861E-2</v>
      </c>
      <c r="W177" s="154">
        <f t="shared" si="181"/>
        <v>6.2971810797897751E-2</v>
      </c>
      <c r="X177" s="154">
        <f t="shared" si="181"/>
        <v>5.8828748890860691E-2</v>
      </c>
      <c r="Y177" s="154">
        <f t="shared" si="181"/>
        <v>7.2477962781586677E-2</v>
      </c>
      <c r="Z177" s="154">
        <f t="shared" si="181"/>
        <v>8.1234078686668557E-2</v>
      </c>
      <c r="AA177" s="154">
        <f t="shared" ref="AA177" si="182">AA54/AA5</f>
        <v>8.3442243892630941E-2</v>
      </c>
      <c r="AC177" s="154">
        <f>AC54/AC5</f>
        <v>7.3568121993283109E-2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-3.8872360044437032E-2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Z180" si="185">-T109/T5</f>
        <v>0</v>
      </c>
      <c r="U180" s="154">
        <f t="shared" si="185"/>
        <v>2.3738109520952951E-2</v>
      </c>
      <c r="V180" s="154">
        <f t="shared" si="185"/>
        <v>1.9491756990618454E-2</v>
      </c>
      <c r="W180" s="154">
        <f t="shared" si="185"/>
        <v>2.8093645484949834E-2</v>
      </c>
      <c r="X180" s="154">
        <f t="shared" si="185"/>
        <v>3.6113575865128658E-2</v>
      </c>
      <c r="Y180" s="154">
        <f t="shared" si="185"/>
        <v>4.4809010773751226E-2</v>
      </c>
      <c r="Z180" s="154">
        <f t="shared" si="185"/>
        <v>5.0287762996509104E-2</v>
      </c>
      <c r="AA180" s="154">
        <f t="shared" ref="AA180" si="186">-AA109/AA5</f>
        <v>4.9864280687644515E-2</v>
      </c>
      <c r="AC180" s="154">
        <f>-AC109/AC5</f>
        <v>4.5044022873740583E-2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Z181" si="187">-(T109/T59)</f>
        <v>#DIV/0!</v>
      </c>
      <c r="U181" s="154">
        <f t="shared" si="187"/>
        <v>6.0388053193808591E-2</v>
      </c>
      <c r="V181" s="154">
        <f t="shared" si="187"/>
        <v>8.3790133124510571E-2</v>
      </c>
      <c r="W181" s="154">
        <f t="shared" si="187"/>
        <v>0.10226086956521739</v>
      </c>
      <c r="X181" s="154">
        <f t="shared" si="187"/>
        <v>0.10185185185185185</v>
      </c>
      <c r="Y181" s="154">
        <f t="shared" si="187"/>
        <v>0.11057401812688822</v>
      </c>
      <c r="Z181" s="154">
        <f t="shared" si="187"/>
        <v>0.21763985300122499</v>
      </c>
      <c r="AA181" s="154">
        <f t="shared" ref="AA181" si="188">-(AA109/AA59)</f>
        <v>0.50050454086781027</v>
      </c>
      <c r="AC181" s="154">
        <f>-(AC109/AC59)</f>
        <v>0.1600677364728651</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Z182" si="189">-T109/T53</f>
        <v>#DIV/0!</v>
      </c>
      <c r="U182" s="154">
        <f t="shared" si="189"/>
        <v>0.63532110091743121</v>
      </c>
      <c r="V182" s="154">
        <f t="shared" si="189"/>
        <v>0.53904282115869018</v>
      </c>
      <c r="W182" s="154">
        <f t="shared" si="189"/>
        <v>0.7386934673366834</v>
      </c>
      <c r="X182" s="154">
        <f t="shared" si="189"/>
        <v>1.0970350404312668</v>
      </c>
      <c r="Y182" s="154">
        <f t="shared" si="189"/>
        <v>1.3969465648854962</v>
      </c>
      <c r="Z182" s="154">
        <f t="shared" si="189"/>
        <v>1.2905569007263922</v>
      </c>
      <c r="AA182" s="154">
        <f t="shared" ref="AA182" si="190">-AA109/AA53</f>
        <v>1.2525252525252526</v>
      </c>
      <c r="AC182" s="154">
        <f>-AC109/AC53</f>
        <v>1.2619198982835347</v>
      </c>
    </row>
    <row r="183" spans="1:31" x14ac:dyDescent="0.2">
      <c r="B183" s="20" t="s">
        <v>365</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362</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363</v>
      </c>
      <c r="M185" s="228">
        <f>IF(AND(M12&gt;0,M107&gt;0),(M107-M106)/M12,"N/A")</f>
        <v>0.34027990601695779</v>
      </c>
      <c r="N185" s="228">
        <f t="shared" ref="N185:Q185" si="195">IF(AND(N12&gt;0,N107&gt;0),(N107-N106)/N12,"N/A")</f>
        <v>0.57377049180327866</v>
      </c>
      <c r="O185" s="228">
        <f t="shared" si="195"/>
        <v>0.52311248073959937</v>
      </c>
      <c r="P185" s="228">
        <f t="shared" si="195"/>
        <v>0.13245953728527454</v>
      </c>
      <c r="Q185" s="228">
        <f t="shared" si="195"/>
        <v>0.37685147713476325</v>
      </c>
      <c r="T185" s="49"/>
      <c r="U185" s="49"/>
      <c r="V185" s="49"/>
      <c r="W185" s="49"/>
      <c r="X185" s="49"/>
      <c r="Y185" s="49"/>
      <c r="Z185" s="49"/>
      <c r="AA185" s="49"/>
      <c r="AC185" s="228">
        <f t="shared" ref="AC185" si="196">IF(AND(AC12&gt;0,AC107&gt;0),(AC107-AC106)/AC12,"N/A")</f>
        <v>0.68167139641843622</v>
      </c>
    </row>
    <row r="186" spans="1:31" x14ac:dyDescent="0.2">
      <c r="B186" s="20" t="s">
        <v>364</v>
      </c>
      <c r="M186" s="228">
        <f>M5/(M107+M111-M106)</f>
        <v>2.5273699269633312</v>
      </c>
      <c r="N186" s="228">
        <f t="shared" ref="N186:Q186" si="197">N5/(N107+N111-N106)</f>
        <v>1.6302142883487627</v>
      </c>
      <c r="O186" s="228">
        <f t="shared" si="197"/>
        <v>1.3962190606119664</v>
      </c>
      <c r="P186" s="228">
        <f t="shared" si="197"/>
        <v>1.4112576064908722</v>
      </c>
      <c r="Q186" s="228">
        <f t="shared" si="197"/>
        <v>1.7123192328512875</v>
      </c>
      <c r="T186" s="49"/>
      <c r="U186" s="49"/>
      <c r="V186" s="49"/>
      <c r="W186" s="49"/>
      <c r="X186" s="49"/>
      <c r="Y186" s="49"/>
      <c r="Z186" s="49"/>
      <c r="AA186" s="49"/>
      <c r="AC186" s="228">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22" t="s">
        <v>385</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22" t="s">
        <v>386</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22" t="s">
        <v>387</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388</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389</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385</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22" t="s">
        <v>386</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22" t="s">
        <v>387</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388</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389</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215">100*(1+((O116-$M116)/ABS($M116)))</f>
        <v>80.430236032267715</v>
      </c>
      <c r="P210" s="143">
        <f t="shared" si="215"/>
        <v>127.07648640573647</v>
      </c>
      <c r="Q210" s="143">
        <f t="shared" si="215"/>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216">100*(1+((O5-$M5)/ABS($M5)))</f>
        <v>106.71512840374189</v>
      </c>
      <c r="P211" s="143">
        <f t="shared" si="216"/>
        <v>116.07579097896681</v>
      </c>
      <c r="Q211" s="143">
        <f t="shared" si="216"/>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217">100*(1+((O26-$M26)/ABS($M26)))</f>
        <v>82.846251588310025</v>
      </c>
      <c r="P212" s="143">
        <f t="shared" si="217"/>
        <v>113.59593392630241</v>
      </c>
      <c r="Q212" s="143">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8" t="s">
        <v>230</v>
      </c>
      <c r="C4" s="238"/>
      <c r="E4" s="238" t="s">
        <v>237</v>
      </c>
      <c r="F4" s="238"/>
      <c r="G4" s="238"/>
    </row>
    <row r="5" spans="2:7" x14ac:dyDescent="0.2">
      <c r="B5" s="20" t="s">
        <v>1</v>
      </c>
      <c r="C5" s="172">
        <f ca="1">Overview!C5</f>
        <v>168.74</v>
      </c>
      <c r="E5" s="12"/>
      <c r="F5" s="132" t="s">
        <v>238</v>
      </c>
      <c r="G5" s="132" t="s">
        <v>239</v>
      </c>
    </row>
    <row r="6" spans="2:7" x14ac:dyDescent="0.2">
      <c r="B6" s="20" t="s">
        <v>236</v>
      </c>
      <c r="C6" s="173">
        <f ca="1">Statement!AC156</f>
        <v>179201.88</v>
      </c>
      <c r="E6" s="20" t="s">
        <v>19</v>
      </c>
      <c r="F6" s="178">
        <f>IF(Statement!M5&lt;=0,"N/A",_xlfn.RRI(4,Statement!M5,Statement!Q5))</f>
        <v>7.1733517181768569E-2</v>
      </c>
      <c r="G6" s="178" t="str">
        <f>IF(Statement!H5&lt;=0,"N/A",_xlfn.RRI(9,Statement!H5,Statement!Q5))</f>
        <v>N/A</v>
      </c>
    </row>
    <row r="7" spans="2:7" x14ac:dyDescent="0.2">
      <c r="B7" s="20" t="s">
        <v>180</v>
      </c>
      <c r="C7" s="173">
        <f ca="1">Statement!AC157</f>
        <v>186167.88</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19.070237860525843</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4.1143489606971047</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6.4059946489261703</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4.2245593174185352</v>
      </c>
    </row>
    <row r="12" spans="2:7" x14ac:dyDescent="0.2">
      <c r="B12" s="20" t="s">
        <v>196</v>
      </c>
      <c r="C12" s="174">
        <f ca="1">Statement!AC159</f>
        <v>18.217817790390448</v>
      </c>
    </row>
    <row r="15" spans="2:7" x14ac:dyDescent="0.2">
      <c r="B15" s="238" t="s">
        <v>75</v>
      </c>
      <c r="C15" s="238"/>
      <c r="E15" s="238" t="s">
        <v>243</v>
      </c>
      <c r="F15" s="238"/>
    </row>
    <row r="16" spans="2:7" x14ac:dyDescent="0.2">
      <c r="B16" s="20" t="s">
        <v>76</v>
      </c>
      <c r="C16" s="175">
        <f>Statement!AC100</f>
        <v>0.54227557411273486</v>
      </c>
      <c r="E16" s="20" t="s">
        <v>29</v>
      </c>
      <c r="F16" s="173">
        <f>Statement!AC18</f>
        <v>9521</v>
      </c>
    </row>
    <row r="17" spans="2:6" x14ac:dyDescent="0.2">
      <c r="B17" s="20" t="s">
        <v>77</v>
      </c>
      <c r="C17" s="175">
        <f>Statement!AC101</f>
        <v>0.23189162203866751</v>
      </c>
      <c r="E17" s="20" t="s">
        <v>244</v>
      </c>
      <c r="F17" s="173">
        <f>Statement!AC59</f>
        <v>12401</v>
      </c>
    </row>
    <row r="18" spans="2:6" x14ac:dyDescent="0.2">
      <c r="B18" s="20" t="s">
        <v>78</v>
      </c>
      <c r="C18" s="175">
        <f>Statement!AC102</f>
        <v>0.21605246437324135</v>
      </c>
      <c r="E18" s="20" t="s">
        <v>251</v>
      </c>
      <c r="F18" s="177">
        <f>IF(OR(F16&lt;=0, F17&lt;=0),"N/A",F16-F17)</f>
        <v>-2880</v>
      </c>
    </row>
    <row r="21" spans="2:6" x14ac:dyDescent="0.2">
      <c r="B21" s="238" t="s">
        <v>242</v>
      </c>
      <c r="C21" s="238"/>
      <c r="E21" s="238" t="s">
        <v>246</v>
      </c>
      <c r="F21" s="238"/>
    </row>
    <row r="22" spans="2:6" x14ac:dyDescent="0.2">
      <c r="B22" s="20" t="s">
        <v>92</v>
      </c>
      <c r="C22" s="175">
        <f>Statement!AC120</f>
        <v>0.21605246437324135</v>
      </c>
      <c r="E22" s="20" t="s">
        <v>94</v>
      </c>
      <c r="F22" s="175">
        <f>C24</f>
        <v>0.16596649641780117</v>
      </c>
    </row>
    <row r="23" spans="2:6" x14ac:dyDescent="0.2">
      <c r="B23" s="20" t="s">
        <v>93</v>
      </c>
      <c r="C23" s="174">
        <f>Statement!AC121</f>
        <v>0.76817682639845208</v>
      </c>
      <c r="E23" s="20" t="s">
        <v>96</v>
      </c>
      <c r="F23" s="175">
        <f>C26</f>
        <v>0.3442403644515149</v>
      </c>
    </row>
    <row r="24" spans="2:6" x14ac:dyDescent="0.2">
      <c r="B24" s="32" t="s">
        <v>94</v>
      </c>
      <c r="C24" s="176">
        <f>Statement!AC122</f>
        <v>0.16596649641780117</v>
      </c>
      <c r="E24" s="20" t="s">
        <v>97</v>
      </c>
      <c r="F24" s="175">
        <f>Statement!AC143</f>
        <v>0.25062860459696928</v>
      </c>
    </row>
    <row r="25" spans="2:6" x14ac:dyDescent="0.2">
      <c r="B25" s="20" t="s">
        <v>95</v>
      </c>
      <c r="C25" s="174">
        <f>Statement!AC123</f>
        <v>2.0741557596355484</v>
      </c>
    </row>
    <row r="26" spans="2:6" x14ac:dyDescent="0.2">
      <c r="B26" s="32" t="s">
        <v>96</v>
      </c>
      <c r="C26" s="176">
        <f>Statement!AC124</f>
        <v>0.3442403644515149</v>
      </c>
    </row>
    <row r="29" spans="2:6" x14ac:dyDescent="0.2">
      <c r="B29" s="238" t="s">
        <v>247</v>
      </c>
      <c r="C29" s="238"/>
      <c r="E29" s="238" t="s">
        <v>253</v>
      </c>
      <c r="F29" s="238"/>
    </row>
    <row r="30" spans="2:6" x14ac:dyDescent="0.2">
      <c r="B30" s="20" t="s">
        <v>131</v>
      </c>
      <c r="C30" s="174">
        <f>Statement!AC144</f>
        <v>38.663429245711178</v>
      </c>
      <c r="E30" s="20" t="s">
        <v>254</v>
      </c>
      <c r="F30" s="180">
        <f>Statement!AC148</f>
        <v>0.55210065803745756</v>
      </c>
    </row>
    <row r="31" spans="2:6" x14ac:dyDescent="0.2">
      <c r="B31" s="20" t="s">
        <v>132</v>
      </c>
      <c r="C31" s="174">
        <f>Statement!AC145</f>
        <v>151.62039561747062</v>
      </c>
      <c r="E31" s="20" t="s">
        <v>255</v>
      </c>
      <c r="F31" s="180">
        <f>Statement!AC149</f>
        <v>0.25186202906934702</v>
      </c>
    </row>
    <row r="32" spans="2:6" x14ac:dyDescent="0.2">
      <c r="B32" s="20" t="s">
        <v>133</v>
      </c>
      <c r="C32" s="174">
        <f>Statement!AC146</f>
        <v>52.422041544792023</v>
      </c>
      <c r="E32" s="20" t="s">
        <v>250</v>
      </c>
      <c r="F32" s="180">
        <f>Statement!AC151</f>
        <v>2.0155962498904758</v>
      </c>
    </row>
    <row r="33" spans="2:6" x14ac:dyDescent="0.2">
      <c r="B33" s="20" t="s">
        <v>134</v>
      </c>
      <c r="C33" s="174">
        <f>Statement!AC147</f>
        <v>137.86178331838977</v>
      </c>
      <c r="E33" s="20" t="s">
        <v>249</v>
      </c>
      <c r="F33" s="180">
        <f>Statement!AC150</f>
        <v>1.1365986156137737</v>
      </c>
    </row>
    <row r="34" spans="2:6" x14ac:dyDescent="0.2">
      <c r="E34" s="20" t="s">
        <v>256</v>
      </c>
      <c r="F34" s="182">
        <f>Statement!AC152</f>
        <v>14.831640058055152</v>
      </c>
    </row>
    <row r="37" spans="2:6" x14ac:dyDescent="0.2">
      <c r="B37" s="238" t="s">
        <v>265</v>
      </c>
      <c r="C37" s="238"/>
      <c r="E37" s="238" t="s">
        <v>268</v>
      </c>
      <c r="F37" s="238"/>
    </row>
    <row r="38" spans="2:6" x14ac:dyDescent="0.2">
      <c r="B38" s="20" t="s">
        <v>263</v>
      </c>
      <c r="C38" s="175">
        <f ca="1">Statement!AC165</f>
        <v>5.2437730840784909E-2</v>
      </c>
      <c r="E38" s="20" t="s">
        <v>267</v>
      </c>
      <c r="F38" s="175">
        <f>Statement!AC171</f>
        <v>0.53317535545023698</v>
      </c>
    </row>
    <row r="39" spans="2:6" x14ac:dyDescent="0.2">
      <c r="B39" s="54" t="s">
        <v>266</v>
      </c>
      <c r="C39" s="215">
        <f ca="1">Statement!AC164</f>
        <v>4.003306215314259E-2</v>
      </c>
      <c r="E39" s="20" t="s">
        <v>269</v>
      </c>
      <c r="F39" s="175">
        <f>Statement!AC172</f>
        <v>1.2893783105659324</v>
      </c>
    </row>
    <row r="40" spans="2:6" x14ac:dyDescent="0.2">
      <c r="B40" s="20" t="s">
        <v>264</v>
      </c>
      <c r="C40" s="175">
        <f ca="1">Statement!AC166</f>
        <v>2.1275334834656868E-2</v>
      </c>
      <c r="E40" s="20" t="s">
        <v>270</v>
      </c>
      <c r="F40" s="175">
        <f>Statement!AC173</f>
        <v>1.8225536660161694</v>
      </c>
    </row>
    <row r="41" spans="2:6" x14ac:dyDescent="0.2">
      <c r="B41" s="20" t="s">
        <v>289</v>
      </c>
      <c r="C41" s="175">
        <f ca="1">Statement!AC167</f>
        <v>5.1617762045799966E-2</v>
      </c>
    </row>
    <row r="42" spans="2:6" x14ac:dyDescent="0.2">
      <c r="B42" s="20" t="s">
        <v>291</v>
      </c>
      <c r="C42" s="175">
        <f ca="1">Statement!AC168</f>
        <v>7.296240418906319E-2</v>
      </c>
    </row>
    <row r="45" spans="2:6" x14ac:dyDescent="0.2">
      <c r="B45" s="238" t="s">
        <v>276</v>
      </c>
      <c r="C45" s="238"/>
      <c r="E45" s="238" t="s">
        <v>282</v>
      </c>
      <c r="F45" s="238"/>
    </row>
    <row r="46" spans="2:6" x14ac:dyDescent="0.2">
      <c r="B46" s="20" t="s">
        <v>274</v>
      </c>
      <c r="C46" s="175">
        <f>Statement!AC174</f>
        <v>9.4161958568738226E-4</v>
      </c>
      <c r="E46" s="20" t="s">
        <v>275</v>
      </c>
      <c r="F46" s="174">
        <f>Statement!AC175</f>
        <v>7.9085714285714284</v>
      </c>
    </row>
    <row r="47" spans="2:6" x14ac:dyDescent="0.2">
      <c r="E47" s="20" t="s">
        <v>283</v>
      </c>
      <c r="F47" s="174">
        <f>Statement!AC178</f>
        <v>-6.6342857142857143</v>
      </c>
    </row>
    <row r="48" spans="2:6" x14ac:dyDescent="0.2">
      <c r="E48" s="20" t="s">
        <v>288</v>
      </c>
      <c r="F48" s="175">
        <f ca="1">Statement!AC179</f>
        <v>-3.8872360044437032E-2</v>
      </c>
    </row>
    <row r="51" spans="2:6" x14ac:dyDescent="0.2">
      <c r="B51" s="238" t="s">
        <v>279</v>
      </c>
      <c r="C51" s="238"/>
      <c r="E51" s="238" t="s">
        <v>300</v>
      </c>
      <c r="F51" s="238"/>
    </row>
    <row r="52" spans="2:6" x14ac:dyDescent="0.2">
      <c r="B52" s="20" t="s">
        <v>277</v>
      </c>
      <c r="C52" s="175">
        <f>Statement!AC176</f>
        <v>0.26143052979598419</v>
      </c>
      <c r="E52" s="20" t="s">
        <v>301</v>
      </c>
      <c r="F52" s="175">
        <f>Statement!AC180</f>
        <v>4.5044022873740583E-2</v>
      </c>
    </row>
    <row r="53" spans="2:6" x14ac:dyDescent="0.2">
      <c r="B53" s="20" t="s">
        <v>278</v>
      </c>
      <c r="C53" s="175">
        <f>Statement!AC177</f>
        <v>7.3568121993283109E-2</v>
      </c>
      <c r="E53" s="20" t="s">
        <v>298</v>
      </c>
      <c r="F53" s="175">
        <f>Statement!AC181</f>
        <v>0.1600677364728651</v>
      </c>
    </row>
    <row r="54" spans="2:6" x14ac:dyDescent="0.2">
      <c r="E54" s="20" t="s">
        <v>299</v>
      </c>
      <c r="F54" s="175">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168.74</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179201.88</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186167.88</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19.070237860525843</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4.1143489606971047</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6.4059946489261703</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4.2245593174185352</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18.217817790390448</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0.54227557411273486</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0.23189162203866751</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0.21605246437324135</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9521</v>
      </c>
    </row>
    <row r="22" spans="2:9" x14ac:dyDescent="0.2">
      <c r="B22" s="20" t="s">
        <v>244</v>
      </c>
      <c r="C22" s="177">
        <f>Statement!M59</f>
        <v>10536</v>
      </c>
      <c r="D22" s="177">
        <f>Statement!N59</f>
        <v>9096</v>
      </c>
      <c r="E22" s="177">
        <f>Statement!O59</f>
        <v>11299</v>
      </c>
      <c r="F22" s="177">
        <f>Statement!P59</f>
        <v>12202</v>
      </c>
      <c r="G22" s="177">
        <f>Statement!Q59</f>
        <v>14012</v>
      </c>
      <c r="I22" s="177">
        <f>Statement!AC59</f>
        <v>12401</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-2880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0.21605246437324135</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0.76817682639845208</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0.16596649641780117</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2.0741557596355484</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0.3442403644515149</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0.16596649641780117</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0.3442403644515149</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0.25062860459696928</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38.663429245711178</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151.62039561747062</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52.422041544792023</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137.86178331838977</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0.55210065803745756</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0.25186202906934702</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1.1365986156137737</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2.0155962498904758</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14.831640058055152</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5.2437730840784909E-2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4.003306215314259E-2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2.1275334834656868E-2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5.1617762045799966E-2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7.296240418906319E-2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0.53317535545023698</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1.2893783105659324</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1.8225536660161694</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9.4161958568738226E-4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7.9085714285714284</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-6.6342857142857143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-3.8872360044437032E-2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0.26143052979598419</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7.3568121993283109E-2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4.5044022873740583E-2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0.1600677364728651</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1.2619198982835347</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385</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386</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387</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388</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389</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310</v>
      </c>
      <c r="D3" s="247"/>
      <c r="F3" s="248" t="s">
        <v>311</v>
      </c>
      <c r="G3" s="247"/>
    </row>
    <row r="4" spans="2:7" x14ac:dyDescent="0.2">
      <c r="B4" s="8"/>
      <c r="C4" s="10" t="str">
        <f>Statement!Z2</f>
        <v>29.03.2026</v>
      </c>
      <c r="D4" s="203" t="str">
        <f>Statement!AA2</f>
        <v>28.06.2026</v>
      </c>
      <c r="F4" s="204" t="str">
        <f>Statement!W2</f>
        <v>29.06.2025</v>
      </c>
      <c r="G4" s="203" t="str">
        <f>Statement!AA2</f>
        <v>28.06.2026</v>
      </c>
    </row>
    <row r="5" spans="2:7" x14ac:dyDescent="0.2">
      <c r="B5" s="8" t="s">
        <v>316</v>
      </c>
      <c r="C5" s="10" t="str">
        <f>Statement!Z3</f>
        <v>Q2 2026</v>
      </c>
      <c r="D5" s="203" t="str">
        <f>Statement!AA3</f>
        <v>Q3 2026</v>
      </c>
      <c r="F5" s="204" t="str">
        <f>Statement!W3</f>
        <v>Q3 2025</v>
      </c>
      <c r="G5" s="203" t="str">
        <f>Statement!AA3</f>
        <v>Q3 2026</v>
      </c>
    </row>
    <row r="6" spans="2:7" x14ac:dyDescent="0.2">
      <c r="B6" s="205" t="s">
        <v>19</v>
      </c>
      <c r="C6" s="199">
        <f>Statement!Z5</f>
        <v>10599</v>
      </c>
      <c r="D6" s="198">
        <f>Statement!AA5</f>
        <v>9947</v>
      </c>
      <c r="F6" s="199">
        <f>Statement!W5</f>
        <v>10465</v>
      </c>
      <c r="G6" s="198">
        <f>Statement!AA5</f>
        <v>9947</v>
      </c>
    </row>
    <row r="7" spans="2:7" x14ac:dyDescent="0.2">
      <c r="B7" s="206" t="s">
        <v>312</v>
      </c>
      <c r="C7" s="244">
        <f>Statement!AA89</f>
        <v>-6.1515237286536469E-2</v>
      </c>
      <c r="D7" s="245"/>
      <c r="F7" s="244">
        <f>IF(F6=0,
IF(G6=0,0,IF(G6&gt;0,1,-1)),
(G6-F6)/ABS(F6)
)</f>
        <v>-4.9498327759197325E-2</v>
      </c>
      <c r="G7" s="245"/>
    </row>
    <row r="8" spans="2:7" x14ac:dyDescent="0.2">
      <c r="B8" s="207" t="s">
        <v>20</v>
      </c>
      <c r="C8" s="200">
        <f>Statement!Z6</f>
        <v>4900</v>
      </c>
      <c r="D8" s="198">
        <f>Statement!AA6</f>
        <v>4670</v>
      </c>
      <c r="F8" s="200">
        <f>Statement!W6</f>
        <v>4606</v>
      </c>
      <c r="G8" s="198">
        <f>Statement!AA6</f>
        <v>4670</v>
      </c>
    </row>
    <row r="9" spans="2:7" x14ac:dyDescent="0.2">
      <c r="B9" s="206" t="s">
        <v>312</v>
      </c>
      <c r="C9" s="244">
        <f>Statement!AA90</f>
        <v>-4.6938775510204082E-2</v>
      </c>
      <c r="D9" s="245"/>
      <c r="F9" s="244">
        <f>IF(F8=0,
IF(G8=0,0,IF(G8&gt;0,1,-1)),
(G8-F8)/ABS(F8)
)</f>
        <v>1.3894919669995658E-2</v>
      </c>
      <c r="G9" s="245"/>
    </row>
    <row r="10" spans="2:7" x14ac:dyDescent="0.2">
      <c r="B10" s="207" t="s">
        <v>21</v>
      </c>
      <c r="C10" s="200">
        <f>Statement!Z7</f>
        <v>5699</v>
      </c>
      <c r="D10" s="198">
        <f>Statement!AA7</f>
        <v>5277</v>
      </c>
      <c r="F10" s="200">
        <f>Statement!W7</f>
        <v>5859</v>
      </c>
      <c r="G10" s="198">
        <f>Statement!AA7</f>
        <v>5277</v>
      </c>
    </row>
    <row r="11" spans="2:7" x14ac:dyDescent="0.2">
      <c r="B11" s="206" t="s">
        <v>312</v>
      </c>
      <c r="C11" s="244">
        <f>Statement!AA91</f>
        <v>-7.4048078610282508E-2</v>
      </c>
      <c r="D11" s="245"/>
      <c r="F11" s="244">
        <f>IF(F10=0,
IF(G10=0,0,IF(G10&gt;0,1,-1)),
(G10-F10)/ABS(F10)
)</f>
        <v>-9.933435739887353E-2</v>
      </c>
      <c r="G11" s="245"/>
    </row>
    <row r="12" spans="2:7" x14ac:dyDescent="0.2">
      <c r="B12" s="207" t="s">
        <v>23</v>
      </c>
      <c r="C12" s="200">
        <f>Statement!Z11</f>
        <v>3390</v>
      </c>
      <c r="D12" s="198">
        <f>Statement!AA11</f>
        <v>3651</v>
      </c>
      <c r="F12" s="200">
        <f>Statement!W11</f>
        <v>2997</v>
      </c>
      <c r="G12" s="198">
        <f>Statement!AA11</f>
        <v>3651</v>
      </c>
    </row>
    <row r="13" spans="2:7" x14ac:dyDescent="0.2">
      <c r="B13" s="206" t="s">
        <v>312</v>
      </c>
      <c r="C13" s="244">
        <f>Statement!AA94</f>
        <v>7.6991150442477882E-2</v>
      </c>
      <c r="D13" s="245"/>
      <c r="F13" s="244">
        <f>IF(F12=0,
IF(G12=0,0,IF(G12&gt;0,1,-1)),
(G12-F12)/ABS(F12)
)</f>
        <v>0.21821821821821821</v>
      </c>
      <c r="G13" s="245"/>
    </row>
    <row r="14" spans="2:7" x14ac:dyDescent="0.2">
      <c r="B14" s="207" t="s">
        <v>313</v>
      </c>
      <c r="C14" s="200">
        <f>Statement!Z12</f>
        <v>2309</v>
      </c>
      <c r="D14" s="198">
        <f>Statement!AA12</f>
        <v>1626</v>
      </c>
      <c r="F14" s="200">
        <f>Statement!W12</f>
        <v>2762</v>
      </c>
      <c r="G14" s="198">
        <f>Statement!AA12</f>
        <v>1626</v>
      </c>
    </row>
    <row r="15" spans="2:7" x14ac:dyDescent="0.2">
      <c r="B15" s="206" t="s">
        <v>312</v>
      </c>
      <c r="C15" s="244">
        <f>Statement!AA95</f>
        <v>-0.29579904720658295</v>
      </c>
      <c r="D15" s="245"/>
      <c r="F15" s="244">
        <f>IF(F14=0,
IF(G14=0,0,IF(G14&gt;0,1,-1)),
(G14-F14)/ABS(F14)
)</f>
        <v>-0.41129616220130338</v>
      </c>
      <c r="G15" s="245"/>
    </row>
    <row r="16" spans="2:7" x14ac:dyDescent="0.2">
      <c r="B16" s="207" t="s">
        <v>29</v>
      </c>
      <c r="C16" s="200">
        <f>Statement!Z18</f>
        <v>1932</v>
      </c>
      <c r="D16" s="198">
        <f>Statement!AA18</f>
        <v>2002</v>
      </c>
      <c r="F16" s="200">
        <f>Statement!W18</f>
        <v>2666</v>
      </c>
      <c r="G16" s="198">
        <f>Statement!AA18</f>
        <v>2002</v>
      </c>
    </row>
    <row r="17" spans="2:7" x14ac:dyDescent="0.2">
      <c r="B17" s="206" t="s">
        <v>312</v>
      </c>
      <c r="C17" s="244">
        <f>Statement!AA97</f>
        <v>3.6231884057971016E-2</v>
      </c>
      <c r="D17" s="245"/>
      <c r="F17" s="244">
        <f>IF(F16=0,
IF(G16=0,0,IF(G16&gt;0,1,-1)),
(G16-F16)/ABS(F16)
)</f>
        <v>-0.24906226556639161</v>
      </c>
      <c r="G17" s="245"/>
    </row>
    <row r="18" spans="2:7" x14ac:dyDescent="0.2">
      <c r="B18" s="207" t="s">
        <v>314</v>
      </c>
      <c r="C18" s="200">
        <f>Statement!Z22</f>
        <v>1072</v>
      </c>
      <c r="D18" s="198">
        <f>Statement!AA22</f>
        <v>1069</v>
      </c>
      <c r="F18" s="200">
        <f>Statement!W22</f>
        <v>1099</v>
      </c>
      <c r="G18" s="198">
        <f>Statement!AA22</f>
        <v>1069</v>
      </c>
    </row>
    <row r="19" spans="2:7" x14ac:dyDescent="0.2">
      <c r="B19" s="206" t="s">
        <v>312</v>
      </c>
      <c r="C19" s="244">
        <f>IF(C18=0,
IF(D18=0,0,IF(D18&gt;0,1,-1)),
(D18-C18)/ABS(C18)
)</f>
        <v>-2.798507462686567E-3</v>
      </c>
      <c r="D19" s="245"/>
      <c r="F19" s="244">
        <f>IF(F18=0,
IF(G18=0,0,IF(G18&gt;0,1,-1)),
(G18-F18)/ABS(F18)
)</f>
        <v>-2.7297543221110099E-2</v>
      </c>
      <c r="G19" s="245"/>
    </row>
    <row r="20" spans="2:7" x14ac:dyDescent="0.2">
      <c r="B20" s="207" t="s">
        <v>36</v>
      </c>
      <c r="C20" s="201">
        <f>Statement!Z26</f>
        <v>1.8022388059701493</v>
      </c>
      <c r="D20" s="202">
        <f>Statement!AA26</f>
        <v>1.87</v>
      </c>
      <c r="F20" s="201">
        <f>Statement!W26</f>
        <v>2.44</v>
      </c>
      <c r="G20" s="202">
        <f>Statement!AA26</f>
        <v>1.87</v>
      </c>
    </row>
    <row r="21" spans="2:7" x14ac:dyDescent="0.2">
      <c r="B21" s="206" t="s">
        <v>312</v>
      </c>
      <c r="C21" s="244">
        <f>IF(C20=0,
IF(D20=0,0,IF(D20&gt;0,1,-1)),
(D20-C20)/ABS(C20)
)</f>
        <v>3.7598343685300246E-2</v>
      </c>
      <c r="D21" s="245"/>
      <c r="F21" s="244">
        <f>IF(F20=0,
IF(G20=0,0,IF(G20&gt;0,1,-1)),
(G20-F20)/ABS(F20)
)</f>
        <v>-0.23360655737704911</v>
      </c>
      <c r="G21" s="245"/>
    </row>
    <row r="23" spans="2:7" x14ac:dyDescent="0.2">
      <c r="B23" s="8" t="s">
        <v>315</v>
      </c>
      <c r="C23" s="10" t="str">
        <f>C5</f>
        <v>Q2 2026</v>
      </c>
      <c r="D23" s="203" t="str">
        <f>D5</f>
        <v>Q3 2026</v>
      </c>
      <c r="F23" s="204" t="str">
        <f>F5</f>
        <v>Q3 2025</v>
      </c>
      <c r="G23" s="203" t="str">
        <f>G5</f>
        <v>Q3 2026</v>
      </c>
    </row>
    <row r="24" spans="2:7" x14ac:dyDescent="0.2">
      <c r="B24" s="222" t="s">
        <v>385</v>
      </c>
      <c r="C24" s="200">
        <f>Statement!Z190</f>
        <v>6024</v>
      </c>
      <c r="D24" s="198">
        <f>Statement!AA190</f>
        <v>5086</v>
      </c>
      <c r="F24" s="200">
        <f>Statement!W190</f>
        <v>6328</v>
      </c>
      <c r="G24" s="198">
        <f>Statement!AA190</f>
        <v>5086</v>
      </c>
    </row>
    <row r="25" spans="2:7" x14ac:dyDescent="0.2">
      <c r="B25" s="206" t="s">
        <v>312</v>
      </c>
      <c r="C25" s="244">
        <f>IF(C24=0,
IF(D24=0,0,IF(D24&gt;0,1,-1)),
(D24-C24)/ABS(C24)
)</f>
        <v>-0.15571049136786189</v>
      </c>
      <c r="D25" s="245"/>
      <c r="F25" s="244">
        <f>IF(F24=0,
IF(G24=0,0,IF(G24&gt;0,1,-1)),
(G24-F24)/ABS(F24)
)</f>
        <v>-0.19627054361567636</v>
      </c>
      <c r="G25" s="245"/>
    </row>
    <row r="26" spans="2:7" x14ac:dyDescent="0.2">
      <c r="B26" s="222" t="s">
        <v>386</v>
      </c>
      <c r="C26" s="200">
        <f>Statement!Z191</f>
        <v>1326</v>
      </c>
      <c r="D26" s="198">
        <f>Statement!AA191</f>
        <v>1588</v>
      </c>
      <c r="F26" s="200">
        <f>Statement!W191</f>
        <v>984</v>
      </c>
      <c r="G26" s="198">
        <f>Statement!AA191</f>
        <v>1588</v>
      </c>
    </row>
    <row r="27" spans="2:7" x14ac:dyDescent="0.2">
      <c r="B27" s="206" t="s">
        <v>312</v>
      </c>
      <c r="C27" s="244">
        <f>IF(C26=0,
IF(D26=0,0,IF(D26&gt;0,1,-1)),
(D26-C26)/ABS(C26)
)</f>
        <v>0.1975867269984917</v>
      </c>
      <c r="D27" s="245"/>
      <c r="F27" s="244">
        <f>IF(F26=0,
IF(G26=0,0,IF(G26&gt;0,1,-1)),
(G26-F26)/ABS(F26)
)</f>
        <v>0.61382113821138207</v>
      </c>
      <c r="G27" s="245"/>
    </row>
    <row r="28" spans="2:7" x14ac:dyDescent="0.2">
      <c r="B28" s="222" t="s">
        <v>387</v>
      </c>
      <c r="C28" s="200">
        <f>Statement!Z192</f>
        <v>1726</v>
      </c>
      <c r="D28" s="198">
        <f>Statement!AA192</f>
        <v>1830</v>
      </c>
      <c r="F28" s="200">
        <f>Statement!W192</f>
        <v>1681</v>
      </c>
      <c r="G28" s="198">
        <f>Statement!AA192</f>
        <v>1830</v>
      </c>
    </row>
    <row r="29" spans="2:7" x14ac:dyDescent="0.2">
      <c r="B29" s="206" t="s">
        <v>312</v>
      </c>
      <c r="C29" s="244">
        <f>IF(C28=0,
IF(D28=0,0,IF(D28&gt;0,1,-1)),
(D28-C28)/ABS(C28)
)</f>
        <v>6.0254924681344149E-2</v>
      </c>
      <c r="D29" s="245"/>
      <c r="F29" s="244">
        <f>IF(F28=0,
IF(G28=0,0,IF(G28&gt;0,1,-1)),
(G28-F28)/ABS(F28)
)</f>
        <v>8.8637715645449131E-2</v>
      </c>
      <c r="G29" s="245"/>
    </row>
    <row r="30" spans="2:7" x14ac:dyDescent="0.2">
      <c r="B30" s="20" t="s">
        <v>388</v>
      </c>
      <c r="C30" s="200">
        <f>Statement!Z193</f>
        <v>9076</v>
      </c>
      <c r="D30" s="200">
        <f>Statement!AA193</f>
        <v>8504</v>
      </c>
      <c r="F30" s="200">
        <f>Statement!W193</f>
        <v>8993</v>
      </c>
      <c r="G30" s="200">
        <f>Statement!AA193</f>
        <v>8504</v>
      </c>
    </row>
    <row r="31" spans="2:7" x14ac:dyDescent="0.2">
      <c r="B31" s="206" t="s">
        <v>312</v>
      </c>
      <c r="C31" s="244">
        <f>IF(C30=0,
IF(D30=0,0,IF(D30&gt;0,1,-1)),
(D30-C30)/ABS(C30)
)</f>
        <v>-6.3023358307624511E-2</v>
      </c>
      <c r="D31" s="245"/>
      <c r="F31" s="244">
        <f>IF(F30=0,
IF(G30=0,0,IF(G30&gt;0,1,-1)),
(G30-F30)/ABS(F30)
)</f>
        <v>-5.4375625486489491E-2</v>
      </c>
      <c r="G31" s="245"/>
    </row>
    <row r="32" spans="2:7" x14ac:dyDescent="0.2">
      <c r="B32" s="20" t="s">
        <v>389</v>
      </c>
      <c r="C32" s="200">
        <f>Statement!Z194</f>
        <v>1382</v>
      </c>
      <c r="D32" s="200">
        <f>Statement!AA194</f>
        <v>1278</v>
      </c>
      <c r="F32" s="200">
        <f>Statement!W194</f>
        <v>1318</v>
      </c>
      <c r="G32" s="200">
        <f>Statement!AA194</f>
        <v>1278</v>
      </c>
    </row>
    <row r="33" spans="2:7" x14ac:dyDescent="0.2">
      <c r="B33" s="206" t="s">
        <v>312</v>
      </c>
      <c r="C33" s="244">
        <f>IF(C32=0,
IF(D32=0,0,IF(D32&gt;0,1,-1)),
(D32-C32)/ABS(C32)
)</f>
        <v>-7.5253256150506515E-2</v>
      </c>
      <c r="D33" s="245"/>
      <c r="F33" s="244">
        <f>IF(F32=0,
IF(G32=0,0,IF(G32&gt;0,1,-1)),
(G32-F32)/ABS(F32)
)</f>
        <v>-3.0349013657056147E-2</v>
      </c>
      <c r="G33" s="24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390</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391</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392</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393</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390</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391</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392</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258</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39"/>
      <c r="H2" s="240"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35" t="s">
        <v>108</v>
      </c>
      <c r="D4" s="235"/>
      <c r="E4" s="235"/>
      <c r="F4" s="235"/>
      <c r="G4" s="235"/>
      <c r="H4" s="235"/>
      <c r="I4" s="235"/>
      <c r="J4" s="235"/>
      <c r="K4" s="235"/>
      <c r="L4" s="235"/>
      <c r="O4" s="5"/>
      <c r="S4" s="236" t="s">
        <v>108</v>
      </c>
      <c r="T4" s="237"/>
      <c r="U4" s="237"/>
      <c r="V4" s="237"/>
      <c r="W4" s="237"/>
      <c r="X4" s="237"/>
      <c r="Y4" s="237"/>
      <c r="Z4" s="237"/>
      <c r="AA4" s="237"/>
      <c r="AB4" s="237"/>
      <c r="AC4" s="237"/>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394</v>
      </c>
      <c r="O6" s="5"/>
      <c r="Q6" s="90" t="s">
        <v>394</v>
      </c>
      <c r="R6" s="223"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395</v>
      </c>
      <c r="O7" s="5"/>
      <c r="Q7" s="90" t="s">
        <v>395</v>
      </c>
      <c r="R7" s="223"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23"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396</v>
      </c>
      <c r="O8" s="5"/>
      <c r="Q8" s="90" t="s">
        <v>396</v>
      </c>
      <c r="R8" s="223"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23" t="s">
        <v>426</v>
      </c>
      <c r="C9" s="88"/>
      <c r="D9" s="88"/>
      <c r="E9" s="88"/>
      <c r="F9" s="88"/>
      <c r="G9" s="89"/>
      <c r="H9" s="64">
        <f>G9+G9*H19</f>
        <v>0</v>
      </c>
      <c r="I9" s="64">
        <v>5000</v>
      </c>
      <c r="J9" s="64">
        <f t="shared" ref="J9:L9" si="5">I9+I9*J19</f>
        <v>7000</v>
      </c>
      <c r="K9" s="64">
        <f t="shared" si="5"/>
        <v>14000</v>
      </c>
      <c r="L9" s="64">
        <f t="shared" si="5"/>
        <v>18200</v>
      </c>
      <c r="N9" s="90" t="s">
        <v>427</v>
      </c>
      <c r="O9" s="5"/>
      <c r="Q9" s="90" t="s">
        <v>427</v>
      </c>
      <c r="R9" s="223" t="s">
        <v>426</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397</v>
      </c>
      <c r="O11" s="5"/>
      <c r="Q11" s="90" t="s">
        <v>397</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35" t="s">
        <v>114</v>
      </c>
      <c r="D14" s="235"/>
      <c r="E14" s="235"/>
      <c r="F14" s="235"/>
      <c r="G14" s="235"/>
      <c r="H14" s="235"/>
      <c r="I14" s="235"/>
      <c r="J14" s="235"/>
      <c r="K14" s="235"/>
      <c r="L14" s="235"/>
      <c r="O14" s="5"/>
      <c r="Q14" s="91"/>
      <c r="S14" s="236" t="s">
        <v>114</v>
      </c>
      <c r="T14" s="237"/>
      <c r="U14" s="237"/>
      <c r="V14" s="237"/>
      <c r="W14" s="237"/>
      <c r="X14" s="237"/>
      <c r="Y14" s="237"/>
      <c r="Z14" s="237"/>
      <c r="AA14" s="237"/>
      <c r="AB14" s="237"/>
      <c r="AC14" s="237"/>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23" t="str">
        <f>B6</f>
        <v>Handset</v>
      </c>
      <c r="C16" s="47"/>
      <c r="D16" s="95">
        <f t="shared" ref="D16:G16" si="11">D6/C6-1</f>
        <v>0.48704693998811655</v>
      </c>
      <c r="E16" s="95">
        <f t="shared" si="11"/>
        <v>-9.8173972110121022E-2</v>
      </c>
      <c r="F16" s="95">
        <f t="shared" si="11"/>
        <v>0.1015950376606114</v>
      </c>
      <c r="G16" s="96">
        <f t="shared" si="11"/>
        <v>0.11784579495636094</v>
      </c>
      <c r="H16" s="97">
        <v>-0.15</v>
      </c>
      <c r="I16" s="146">
        <v>-0.25</v>
      </c>
      <c r="J16" s="146">
        <v>0.09</v>
      </c>
      <c r="K16" s="146">
        <v>0.1</v>
      </c>
      <c r="L16" s="146">
        <v>0.15</v>
      </c>
      <c r="O16" s="5"/>
      <c r="Q16" s="91"/>
      <c r="R16" s="223"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23" t="str">
        <f>B7</f>
        <v>Automotive</v>
      </c>
      <c r="C17" s="47"/>
      <c r="D17" s="95">
        <f t="shared" ref="D17:G17" si="13">D7/C7-1</f>
        <v>0.40717948717948715</v>
      </c>
      <c r="E17" s="95">
        <f t="shared" si="13"/>
        <v>0.36443148688046656</v>
      </c>
      <c r="F17" s="95">
        <f t="shared" si="13"/>
        <v>0.55448717948717952</v>
      </c>
      <c r="G17" s="96">
        <f t="shared" si="13"/>
        <v>0.35979381443298974</v>
      </c>
      <c r="H17" s="97">
        <v>0.6</v>
      </c>
      <c r="I17" s="146">
        <v>0.1</v>
      </c>
      <c r="J17" s="146">
        <v>0.2</v>
      </c>
      <c r="K17" s="146">
        <v>0.35</v>
      </c>
      <c r="L17" s="146">
        <v>0.3</v>
      </c>
      <c r="O17" s="5"/>
      <c r="Q17" s="91"/>
      <c r="R17" s="223"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23" t="str">
        <f>B8</f>
        <v>IoT</v>
      </c>
      <c r="C18" s="47"/>
      <c r="D18" s="95">
        <f>D8/C8-1</f>
        <v>0.37420886075949378</v>
      </c>
      <c r="E18" s="95">
        <f>E8/D8-1</f>
        <v>-0.14507772020725385</v>
      </c>
      <c r="F18" s="95">
        <f>F8/E8-1</f>
        <v>-8.7037037037037024E-2</v>
      </c>
      <c r="G18" s="96">
        <f>G8/F8-1</f>
        <v>0.22017333579199705</v>
      </c>
      <c r="H18" s="97">
        <v>0.06</v>
      </c>
      <c r="I18" s="146">
        <v>7.0000000000000007E-2</v>
      </c>
      <c r="J18" s="146">
        <v>7.0000000000000007E-2</v>
      </c>
      <c r="K18" s="146">
        <v>7.0000000000000007E-2</v>
      </c>
      <c r="L18" s="146">
        <v>7.0000000000000007E-2</v>
      </c>
      <c r="O18" s="5"/>
      <c r="Q18" s="91"/>
      <c r="R18" s="223"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23" t="s">
        <v>426</v>
      </c>
      <c r="C19" s="47"/>
      <c r="D19" s="95"/>
      <c r="E19" s="95"/>
      <c r="F19" s="95"/>
      <c r="G19" s="96"/>
      <c r="H19" s="97">
        <v>0</v>
      </c>
      <c r="I19" s="146">
        <v>0</v>
      </c>
      <c r="J19" s="146">
        <v>0.4</v>
      </c>
      <c r="K19" s="146">
        <v>1</v>
      </c>
      <c r="L19" s="146">
        <v>0.3</v>
      </c>
      <c r="O19" s="5"/>
      <c r="Q19" s="91"/>
      <c r="R19" s="223" t="s">
        <v>426</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389</v>
      </c>
      <c r="C21" s="47"/>
      <c r="D21" s="95">
        <f>D11/C11-1</f>
        <v>6.0126582278481333E-3</v>
      </c>
      <c r="E21" s="95">
        <f t="shared" si="14"/>
        <v>-0.16546083674111356</v>
      </c>
      <c r="F21" s="95">
        <f t="shared" si="15"/>
        <v>5.0131926121371961E-2</v>
      </c>
      <c r="G21" s="96">
        <f t="shared" si="16"/>
        <v>1.7946877243359971E-3</v>
      </c>
      <c r="H21" s="97">
        <v>-0.06</v>
      </c>
      <c r="I21" s="146">
        <v>-0.03</v>
      </c>
      <c r="J21" s="146">
        <v>0.02</v>
      </c>
      <c r="K21" s="146">
        <v>0.03</v>
      </c>
      <c r="L21" s="146">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39"/>
      <c r="H2" s="240"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35" t="s">
        <v>108</v>
      </c>
      <c r="D4" s="235"/>
      <c r="E4" s="235"/>
      <c r="F4" s="235"/>
      <c r="G4" s="235"/>
      <c r="H4" s="235"/>
      <c r="I4" s="235"/>
      <c r="J4" s="235"/>
      <c r="K4" s="235"/>
      <c r="L4" s="235"/>
      <c r="P4" s="237" t="s">
        <v>108</v>
      </c>
      <c r="Q4" s="237"/>
      <c r="R4" s="237"/>
      <c r="S4" s="237"/>
      <c r="T4" s="237"/>
      <c r="U4" s="237"/>
      <c r="V4" s="237"/>
      <c r="W4" s="237"/>
      <c r="X4" s="237"/>
      <c r="Y4" s="237"/>
      <c r="Z4" s="23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35" t="s">
        <v>117</v>
      </c>
      <c r="D9" s="235"/>
      <c r="E9" s="235"/>
      <c r="F9" s="235"/>
      <c r="G9" s="235"/>
      <c r="H9" s="235"/>
      <c r="I9" s="235"/>
      <c r="J9" s="235"/>
      <c r="K9" s="235"/>
      <c r="L9" s="235"/>
      <c r="N9" s="91"/>
      <c r="P9" s="237" t="s">
        <v>118</v>
      </c>
      <c r="Q9" s="237"/>
      <c r="R9" s="237"/>
      <c r="S9" s="237"/>
      <c r="T9" s="237"/>
      <c r="U9" s="237"/>
      <c r="V9" s="237"/>
      <c r="W9" s="237"/>
      <c r="X9" s="237"/>
      <c r="Y9" s="237"/>
      <c r="Z9" s="237"/>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35" t="s">
        <v>120</v>
      </c>
      <c r="D17" s="235"/>
      <c r="E17" s="235"/>
      <c r="F17" s="235"/>
      <c r="G17" s="235"/>
      <c r="H17" s="235"/>
      <c r="I17" s="235"/>
      <c r="J17" s="235"/>
      <c r="K17" s="235"/>
      <c r="L17" s="235"/>
      <c r="P17" s="237" t="s">
        <v>120</v>
      </c>
      <c r="Q17" s="237"/>
      <c r="R17" s="237"/>
      <c r="S17" s="237"/>
      <c r="T17" s="237"/>
      <c r="U17" s="237"/>
      <c r="V17" s="237"/>
      <c r="W17" s="237"/>
      <c r="X17" s="237"/>
      <c r="Y17" s="237"/>
      <c r="Z17" s="237"/>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39"/>
      <c r="H3" s="240"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35" t="s">
        <v>108</v>
      </c>
      <c r="D5" s="235"/>
      <c r="E5" s="235"/>
      <c r="F5" s="235"/>
      <c r="G5" s="235"/>
      <c r="H5" s="235"/>
      <c r="I5" s="235"/>
      <c r="J5" s="235"/>
      <c r="K5" s="235"/>
      <c r="L5" s="235"/>
      <c r="P5" s="249"/>
      <c r="Q5" s="249"/>
      <c r="R5" s="249"/>
      <c r="S5" s="249"/>
      <c r="T5" s="249"/>
      <c r="U5" s="249"/>
      <c r="V5" s="249"/>
      <c r="W5" s="249"/>
      <c r="X5" s="249"/>
      <c r="Y5" s="249"/>
      <c r="Z5" s="249"/>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5" t="s">
        <v>124</v>
      </c>
      <c r="D11" s="235"/>
      <c r="E11" s="235"/>
      <c r="F11" s="235"/>
      <c r="G11" s="235"/>
      <c r="H11" s="235"/>
      <c r="I11" s="235"/>
      <c r="J11" s="235"/>
      <c r="K11" s="235"/>
      <c r="L11" s="235"/>
      <c r="N11" s="91"/>
      <c r="P11" s="249"/>
      <c r="Q11" s="249"/>
      <c r="R11" s="249"/>
      <c r="S11" s="249"/>
      <c r="T11" s="249"/>
      <c r="U11" s="249"/>
      <c r="V11" s="249"/>
      <c r="W11" s="249"/>
      <c r="X11" s="249"/>
      <c r="Y11" s="249"/>
      <c r="Z11" s="249"/>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35" t="s">
        <v>129</v>
      </c>
      <c r="D18" s="235"/>
      <c r="E18" s="235"/>
      <c r="F18" s="235"/>
      <c r="G18" s="235"/>
      <c r="H18" s="235"/>
      <c r="I18" s="235"/>
      <c r="J18" s="235"/>
      <c r="K18" s="235"/>
      <c r="L18" s="235"/>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9"/>
      <c r="C25" s="249"/>
    </row>
    <row r="26" spans="2:12" x14ac:dyDescent="0.2">
      <c r="B26" s="109"/>
      <c r="C26" s="235" t="s">
        <v>135</v>
      </c>
      <c r="D26" s="235"/>
      <c r="E26" s="235"/>
      <c r="F26" s="235"/>
      <c r="G26" s="235"/>
      <c r="H26" s="235"/>
      <c r="I26" s="235"/>
      <c r="J26" s="235"/>
      <c r="K26" s="235"/>
      <c r="L26" s="235"/>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35" t="s">
        <v>139</v>
      </c>
      <c r="D33" s="235"/>
      <c r="E33" s="235"/>
      <c r="F33" s="235"/>
      <c r="G33" s="235"/>
      <c r="H33" s="235"/>
      <c r="I33" s="235"/>
      <c r="J33" s="235"/>
      <c r="K33" s="235"/>
      <c r="L33" s="235"/>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5" t="s">
        <v>142</v>
      </c>
      <c r="D40" s="235"/>
      <c r="E40" s="235"/>
      <c r="F40" s="235"/>
      <c r="G40" s="235"/>
      <c r="H40" s="235"/>
      <c r="I40" s="235"/>
      <c r="J40" s="235"/>
      <c r="K40" s="235"/>
      <c r="L40" s="235"/>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0"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39"/>
      <c r="H2" s="240" t="s">
        <v>106</v>
      </c>
      <c r="I2" s="238"/>
      <c r="J2" s="238"/>
      <c r="K2" s="238"/>
      <c r="L2" s="238"/>
      <c r="S2" s="249"/>
      <c r="T2" s="249"/>
      <c r="U2" s="249"/>
      <c r="V2" s="249"/>
      <c r="W2" s="249"/>
      <c r="X2" s="249"/>
      <c r="Y2" s="249"/>
      <c r="Z2" s="249"/>
      <c r="AA2" s="249"/>
      <c r="AB2" s="249"/>
      <c r="AC2" s="249"/>
      <c r="AE2" s="109"/>
    </row>
    <row r="3" spans="1:31" ht="10" customHeight="1" x14ac:dyDescent="0.2"/>
    <row r="4" spans="1:31" ht="16" customHeight="1" x14ac:dyDescent="0.2">
      <c r="A4" s="86"/>
      <c r="B4" s="60"/>
      <c r="C4" s="235" t="s">
        <v>18</v>
      </c>
      <c r="D4" s="235"/>
      <c r="E4" s="235"/>
      <c r="F4" s="235"/>
      <c r="G4" s="235"/>
      <c r="H4" s="235"/>
      <c r="I4" s="235"/>
      <c r="J4" s="235"/>
      <c r="K4" s="235"/>
      <c r="L4" s="235"/>
      <c r="S4" s="249"/>
      <c r="T4" s="249"/>
      <c r="U4" s="249"/>
      <c r="V4" s="249"/>
      <c r="W4" s="249"/>
      <c r="X4" s="249"/>
      <c r="Y4" s="249"/>
      <c r="Z4" s="249"/>
      <c r="AA4" s="249"/>
      <c r="AB4" s="249"/>
      <c r="AC4" s="249"/>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35" t="s">
        <v>150</v>
      </c>
      <c r="D13" s="235"/>
      <c r="E13" s="235"/>
      <c r="F13" s="235"/>
      <c r="G13" s="235"/>
      <c r="H13" s="235"/>
      <c r="I13" s="235"/>
      <c r="J13" s="235"/>
      <c r="K13" s="235"/>
      <c r="L13" s="23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5" t="s">
        <v>151</v>
      </c>
      <c r="D18" s="235"/>
      <c r="E18" s="235"/>
      <c r="F18" s="235"/>
      <c r="G18" s="235"/>
      <c r="H18" s="235"/>
      <c r="I18" s="235"/>
      <c r="J18" s="235"/>
      <c r="K18" s="235"/>
      <c r="L18" s="235"/>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35" t="s">
        <v>259</v>
      </c>
      <c r="D25" s="235"/>
      <c r="E25" s="235"/>
      <c r="F25" s="235"/>
      <c r="G25" s="235"/>
      <c r="H25" s="235"/>
      <c r="I25" s="235"/>
      <c r="J25" s="235"/>
      <c r="K25" s="235"/>
      <c r="L25" s="235"/>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35" t="s">
        <v>75</v>
      </c>
      <c r="D31" s="235"/>
      <c r="E31" s="235"/>
      <c r="F31" s="235"/>
      <c r="G31" s="235"/>
      <c r="H31" s="235"/>
      <c r="I31" s="235"/>
      <c r="J31" s="235"/>
      <c r="K31" s="235"/>
      <c r="L31" s="235"/>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0.53</v>
      </c>
      <c r="I33" s="216">
        <f t="shared" ref="I33:L33" si="9">I8/I6</f>
        <v>0.51</v>
      </c>
      <c r="J33" s="216">
        <f t="shared" si="9"/>
        <v>0.52</v>
      </c>
      <c r="K33" s="216">
        <f t="shared" si="9"/>
        <v>0.54</v>
      </c>
      <c r="L33" s="216">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0.19</v>
      </c>
      <c r="I34" s="216">
        <f t="shared" ref="I34:L34" si="10">I10/I6</f>
        <v>0.11999999999999994</v>
      </c>
      <c r="J34" s="216">
        <f t="shared" si="10"/>
        <v>0.21000000000000002</v>
      </c>
      <c r="K34" s="216">
        <f t="shared" si="10"/>
        <v>0.26999999999999996</v>
      </c>
      <c r="L34" s="216">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6">
        <f>Statement!AC78</f>
        <v>1062</v>
      </c>
    </row>
    <row r="6" spans="1:3" ht="17" customHeight="1" x14ac:dyDescent="0.2">
      <c r="B6" s="1" t="s">
        <v>1</v>
      </c>
      <c r="C6" s="133">
        <f ca="1">Overview!C5</f>
        <v>168.74</v>
      </c>
    </row>
    <row r="7" spans="1:3" ht="17" customHeight="1" x14ac:dyDescent="0.2">
      <c r="B7" s="1" t="s">
        <v>160</v>
      </c>
      <c r="C7" s="134">
        <f ca="1">C5*C6</f>
        <v>179201.88</v>
      </c>
    </row>
    <row r="8" spans="1:3" ht="17" customHeight="1" x14ac:dyDescent="0.2">
      <c r="B8" s="1" t="s">
        <v>161</v>
      </c>
      <c r="C8" s="112">
        <f>Statement!AC107</f>
        <v>15270</v>
      </c>
    </row>
    <row r="9" spans="1:3" ht="17" customHeight="1" x14ac:dyDescent="0.2">
      <c r="B9" s="1" t="s">
        <v>162</v>
      </c>
      <c r="C9" s="135">
        <f ca="1">Overview!F27</f>
        <v>4.7619999999999996E-2</v>
      </c>
    </row>
    <row r="10" spans="1:3" ht="17" customHeight="1" x14ac:dyDescent="0.2">
      <c r="B10" s="1" t="s">
        <v>9</v>
      </c>
      <c r="C10" s="133">
        <f ca="1">Overview!C13</f>
        <v>1.6626000000000001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8" t="s">
        <v>165</v>
      </c>
      <c r="C15" s="238"/>
    </row>
    <row r="16" spans="1:3" ht="17" customHeight="1" x14ac:dyDescent="0.2">
      <c r="B16" s="1" t="s">
        <v>166</v>
      </c>
      <c r="C16" s="46">
        <f ca="1">C8/(C8+C7)</f>
        <v>7.8520349574447465E-2</v>
      </c>
    </row>
    <row r="17" spans="2:3" ht="17" customHeight="1" x14ac:dyDescent="0.2">
      <c r="B17" s="1" t="s">
        <v>167</v>
      </c>
      <c r="C17" s="46">
        <f ca="1">C7/(C8+C7)</f>
        <v>0.92147965042555258</v>
      </c>
    </row>
    <row r="18" spans="2:3" ht="17" customHeight="1" x14ac:dyDescent="0.2">
      <c r="B18" s="1" t="s">
        <v>168</v>
      </c>
      <c r="C18" s="46">
        <f>C13*(1-C12)</f>
        <v>4.2265000000000004E-2</v>
      </c>
    </row>
    <row r="19" spans="2:3" ht="17" customHeight="1" x14ac:dyDescent="0.2">
      <c r="B19" s="1" t="s">
        <v>169</v>
      </c>
      <c r="C19" s="46">
        <f ca="1">C9+C10*C11</f>
        <v>0.12243699999999999</v>
      </c>
    </row>
    <row r="20" spans="2:3" ht="17" customHeight="1" x14ac:dyDescent="0.2">
      <c r="B20" s="1" t="s">
        <v>157</v>
      </c>
      <c r="C20" s="46">
        <f ca="1">(C17*C19)+(C16*C18)</f>
        <v>0.11614186653391741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39"/>
      <c r="H3" s="240"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35" t="s">
        <v>172</v>
      </c>
      <c r="D5" s="235"/>
      <c r="E5" s="235"/>
      <c r="F5" s="235"/>
      <c r="G5" s="235"/>
      <c r="H5" s="235"/>
      <c r="I5" s="235"/>
      <c r="J5" s="235"/>
      <c r="K5" s="235"/>
      <c r="L5" s="235"/>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177750.53220817546</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5653.4482151578977</v>
      </c>
      <c r="I10" s="126">
        <f t="shared" ref="I10:L10" ca="1" si="0">I7/(1+$C$15)^I9</f>
        <v>3390.528022146787</v>
      </c>
      <c r="J10" s="126">
        <f t="shared" ca="1" si="0"/>
        <v>5306.3098683213457</v>
      </c>
      <c r="K10" s="126">
        <f t="shared" ca="1" si="0"/>
        <v>7502.3574277044545</v>
      </c>
      <c r="L10" s="126">
        <f t="shared" ca="1" si="0"/>
        <v>9124.4767428496034</v>
      </c>
      <c r="N10" s="91"/>
    </row>
    <row r="11" spans="1:28" x14ac:dyDescent="0.2">
      <c r="B11" s="1" t="s">
        <v>175</v>
      </c>
      <c r="C11" s="137"/>
      <c r="D11" s="137"/>
      <c r="E11" s="137"/>
      <c r="F11" s="137"/>
      <c r="G11" s="138"/>
      <c r="H11" s="137"/>
      <c r="I11" s="137"/>
      <c r="J11" s="137"/>
      <c r="K11" s="137"/>
      <c r="L11" s="126">
        <f ca="1">L8/(1+C15)^L9</f>
        <v>102615.72444251385</v>
      </c>
    </row>
    <row r="13" spans="1:28" x14ac:dyDescent="0.2">
      <c r="B13" s="238" t="s">
        <v>176</v>
      </c>
      <c r="C13" s="238"/>
    </row>
    <row r="14" spans="1:28" x14ac:dyDescent="0.2">
      <c r="B14" s="1" t="s">
        <v>177</v>
      </c>
      <c r="C14" s="140">
        <v>2.5000000000000001E-2</v>
      </c>
    </row>
    <row r="15" spans="1:28" x14ac:dyDescent="0.2">
      <c r="B15" s="1" t="s">
        <v>157</v>
      </c>
      <c r="C15" s="135">
        <f ca="1">IF(Overview!C28&gt;0,Overview!C28,WACC!C20)</f>
        <v>0.11614186653391741</v>
      </c>
    </row>
    <row r="18" spans="2:3" x14ac:dyDescent="0.2">
      <c r="B18" s="238" t="s">
        <v>178</v>
      </c>
      <c r="C18" s="238"/>
    </row>
    <row r="19" spans="2:3" x14ac:dyDescent="0.2">
      <c r="B19" s="1" t="s">
        <v>179</v>
      </c>
      <c r="C19" s="64">
        <f ca="1">SUM(H10:L10)</f>
        <v>30977.120276180089</v>
      </c>
    </row>
    <row r="20" spans="2:3" x14ac:dyDescent="0.2">
      <c r="B20" s="1" t="s">
        <v>175</v>
      </c>
      <c r="C20" s="64">
        <f ca="1">L11</f>
        <v>102615.72444251385</v>
      </c>
    </row>
    <row r="21" spans="2:3" x14ac:dyDescent="0.2">
      <c r="B21" s="16" t="s">
        <v>180</v>
      </c>
      <c r="C21" s="94">
        <f ca="1">C19+C20</f>
        <v>133592.84471869393</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126626.84471869393</v>
      </c>
    </row>
    <row r="25" spans="2:3" x14ac:dyDescent="0.2">
      <c r="B25" s="1" t="s">
        <v>67</v>
      </c>
      <c r="C25" s="136">
        <f>Statement!AC78</f>
        <v>1062</v>
      </c>
    </row>
    <row r="26" spans="2:3" x14ac:dyDescent="0.2">
      <c r="B26" s="141" t="s">
        <v>184</v>
      </c>
      <c r="C26" s="142">
        <f ca="1">C24/C25</f>
        <v>119.23431706091708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8"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39"/>
      <c r="H2" s="240" t="s">
        <v>106</v>
      </c>
      <c r="I2" s="238"/>
      <c r="J2" s="238"/>
      <c r="K2" s="238"/>
      <c r="L2" s="238"/>
    </row>
    <row r="3" spans="1:14" ht="10" customHeight="1" x14ac:dyDescent="0.2"/>
    <row r="4" spans="1:14" ht="16" customHeight="1" x14ac:dyDescent="0.2">
      <c r="A4" s="86"/>
      <c r="B4" s="60"/>
      <c r="C4" s="235" t="s">
        <v>186</v>
      </c>
      <c r="D4" s="235"/>
      <c r="E4" s="235"/>
      <c r="F4" s="235"/>
      <c r="G4" s="235"/>
      <c r="H4" s="235"/>
      <c r="I4" s="235"/>
      <c r="J4" s="235"/>
      <c r="K4" s="235"/>
      <c r="L4" s="235"/>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N9" s="91"/>
    </row>
    <row r="10" spans="1:14" x14ac:dyDescent="0.2">
      <c r="C10" s="235" t="s">
        <v>114</v>
      </c>
      <c r="D10" s="235"/>
      <c r="E10" s="235"/>
      <c r="F10" s="235"/>
      <c r="G10" s="235"/>
      <c r="H10" s="235"/>
      <c r="I10" s="235"/>
      <c r="J10" s="235"/>
      <c r="K10" s="235"/>
      <c r="L10" s="235"/>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-4.6690678348839179E-2</v>
      </c>
      <c r="I12" s="95">
        <f t="shared" si="1"/>
        <v>1.4372748946792917E-3</v>
      </c>
      <c r="J12" s="95">
        <f t="shared" si="1"/>
        <v>0.13280571719016238</v>
      </c>
      <c r="K12" s="95">
        <f t="shared" si="1"/>
        <v>0.26255405687027977</v>
      </c>
      <c r="L12" s="95">
        <f t="shared" si="1"/>
        <v>0.19073818329793965</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-0.35078053419668137</v>
      </c>
      <c r="I13" s="95">
        <f t="shared" si="2"/>
        <v>-0.36751330006651867</v>
      </c>
      <c r="J13" s="95">
        <f t="shared" si="2"/>
        <v>0.98241000508278542</v>
      </c>
      <c r="K13" s="95">
        <f t="shared" si="2"/>
        <v>0.62328378740464496</v>
      </c>
      <c r="L13" s="95">
        <f t="shared" si="2"/>
        <v>0.27894101169037966</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-0.46486845166738955</v>
      </c>
      <c r="I14" s="95">
        <f t="shared" si="3"/>
        <v>-0.33061909631929443</v>
      </c>
      <c r="J14" s="95">
        <f t="shared" si="3"/>
        <v>0.74680597303705887</v>
      </c>
      <c r="K14" s="95">
        <f t="shared" si="3"/>
        <v>0.57806374496777579</v>
      </c>
      <c r="L14" s="95">
        <f t="shared" si="3"/>
        <v>0.35746804934960347</v>
      </c>
      <c r="N14" s="91"/>
    </row>
    <row r="15" spans="1:14" x14ac:dyDescent="0.2">
      <c r="N15" s="91"/>
    </row>
    <row r="16" spans="1:14" x14ac:dyDescent="0.2">
      <c r="C16" s="235" t="s">
        <v>188</v>
      </c>
      <c r="D16" s="235"/>
      <c r="E16" s="235"/>
      <c r="F16" s="235"/>
      <c r="G16" s="235"/>
      <c r="H16" s="235"/>
      <c r="I16" s="235"/>
      <c r="J16" s="235"/>
      <c r="K16" s="235"/>
      <c r="L16" s="235"/>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35" t="s">
        <v>191</v>
      </c>
      <c r="D21" s="235"/>
      <c r="E21" s="235"/>
      <c r="F21" s="235"/>
      <c r="G21" s="235"/>
      <c r="H21" s="235"/>
      <c r="I21" s="235"/>
      <c r="J21" s="235"/>
      <c r="K21" s="235"/>
      <c r="L21" s="235"/>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5" t="s">
        <v>192</v>
      </c>
      <c r="D26" s="235"/>
      <c r="E26" s="235"/>
      <c r="F26" s="235"/>
      <c r="G26" s="235"/>
      <c r="H26" s="235"/>
      <c r="I26" s="235"/>
      <c r="J26" s="235"/>
      <c r="K26" s="235"/>
      <c r="L26" s="235"/>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8" t="s">
        <v>197</v>
      </c>
      <c r="C37" s="238"/>
      <c r="N37" s="91"/>
    </row>
    <row r="38" spans="2:14" x14ac:dyDescent="0.2">
      <c r="B38" s="1" t="s">
        <v>198</v>
      </c>
      <c r="C38" s="64">
        <f>L7</f>
        <v>20879.693841464476</v>
      </c>
    </row>
    <row r="39" spans="2:14" x14ac:dyDescent="0.2">
      <c r="B39" s="1" t="s">
        <v>157</v>
      </c>
      <c r="C39" s="135">
        <f ca="1">IF(Overview!C28&gt;0,Overview!C28,WACC!C20)</f>
        <v>0.11614186653391741</v>
      </c>
    </row>
    <row r="40" spans="2:14" x14ac:dyDescent="0.2">
      <c r="B40" s="39" t="s">
        <v>199</v>
      </c>
      <c r="C40" s="105">
        <v>18</v>
      </c>
    </row>
    <row r="41" spans="2:14" x14ac:dyDescent="0.2">
      <c r="B41" s="1" t="s">
        <v>195</v>
      </c>
      <c r="C41" s="24">
        <f>(C38*C40)</f>
        <v>375834.48914636055</v>
      </c>
    </row>
    <row r="42" spans="2:14" x14ac:dyDescent="0.2">
      <c r="B42" s="1" t="s">
        <v>353</v>
      </c>
      <c r="C42" s="24">
        <f ca="1">C41/(1+C39)^5-G30+G31</f>
        <v>212313.97412681766</v>
      </c>
    </row>
    <row r="43" spans="2:14" x14ac:dyDescent="0.2">
      <c r="B43" s="1" t="s">
        <v>181</v>
      </c>
      <c r="C43" s="136">
        <f>Statement!AC106</f>
        <v>8304</v>
      </c>
    </row>
    <row r="44" spans="2:14" x14ac:dyDescent="0.2">
      <c r="B44" s="1" t="s">
        <v>182</v>
      </c>
      <c r="C44" s="136">
        <f>Statement!AC107</f>
        <v>15270</v>
      </c>
    </row>
    <row r="45" spans="2:14" x14ac:dyDescent="0.2">
      <c r="B45" s="1" t="s">
        <v>183</v>
      </c>
      <c r="C45" s="24">
        <f ca="1">C42+C43-C44</f>
        <v>205347.97412681766</v>
      </c>
    </row>
    <row r="46" spans="2:14" x14ac:dyDescent="0.2">
      <c r="B46" s="1" t="s">
        <v>67</v>
      </c>
      <c r="C46" s="88">
        <f>Statement!AC78</f>
        <v>1062</v>
      </c>
    </row>
    <row r="47" spans="2:14" x14ac:dyDescent="0.2">
      <c r="B47" s="141" t="s">
        <v>201</v>
      </c>
      <c r="C47" s="142">
        <f ca="1">C45/C46</f>
        <v>193.35967431903734</v>
      </c>
    </row>
    <row r="49" spans="2:3" x14ac:dyDescent="0.2">
      <c r="B49" s="238" t="s">
        <v>202</v>
      </c>
      <c r="C49" s="238"/>
    </row>
    <row r="50" spans="2:3" x14ac:dyDescent="0.2">
      <c r="B50" s="1" t="s">
        <v>203</v>
      </c>
      <c r="C50" s="64">
        <f>L6</f>
        <v>71998.944280911994</v>
      </c>
    </row>
    <row r="51" spans="2:3" x14ac:dyDescent="0.2">
      <c r="B51" s="1" t="s">
        <v>355</v>
      </c>
      <c r="C51" s="135">
        <f ca="1">IF(Overview!C29&gt;0,Overview!C29,WACC!C19)</f>
        <v>0.12243699999999999</v>
      </c>
    </row>
    <row r="52" spans="2:3" x14ac:dyDescent="0.2">
      <c r="B52" s="39" t="s">
        <v>204</v>
      </c>
      <c r="C52" s="105">
        <v>5</v>
      </c>
    </row>
    <row r="53" spans="2:3" x14ac:dyDescent="0.2">
      <c r="B53" s="1" t="s">
        <v>200</v>
      </c>
      <c r="C53" s="24">
        <f>L18</f>
        <v>1024.4422356918749</v>
      </c>
    </row>
    <row r="54" spans="2:3" x14ac:dyDescent="0.2">
      <c r="B54" s="1" t="s">
        <v>184</v>
      </c>
      <c r="C54" s="24">
        <f>(C50*C52)/C53</f>
        <v>351.40558331376417</v>
      </c>
    </row>
    <row r="55" spans="2:3" x14ac:dyDescent="0.2">
      <c r="B55" s="141" t="s">
        <v>201</v>
      </c>
      <c r="C55" s="142">
        <f ca="1">C54/(1+C51)^5</f>
        <v>197.24172217952881</v>
      </c>
    </row>
    <row r="57" spans="2:3" x14ac:dyDescent="0.2">
      <c r="B57" s="238" t="s">
        <v>319</v>
      </c>
      <c r="C57" s="238"/>
    </row>
    <row r="58" spans="2:3" x14ac:dyDescent="0.2">
      <c r="B58" s="1" t="s">
        <v>205</v>
      </c>
      <c r="C58" s="64">
        <f>L8</f>
        <v>15805.380763756404</v>
      </c>
    </row>
    <row r="59" spans="2:3" x14ac:dyDescent="0.2">
      <c r="B59" s="1" t="s">
        <v>157</v>
      </c>
      <c r="C59" s="135">
        <f ca="1">IF(Overview!C28&gt;0,Overview!C28,WACC!C20)</f>
        <v>0.11614186653391741</v>
      </c>
    </row>
    <row r="60" spans="2:3" x14ac:dyDescent="0.2">
      <c r="B60" s="39" t="s">
        <v>354</v>
      </c>
      <c r="C60" s="105">
        <v>20</v>
      </c>
    </row>
    <row r="61" spans="2:3" x14ac:dyDescent="0.2">
      <c r="B61" s="1" t="s">
        <v>195</v>
      </c>
      <c r="C61" s="24">
        <f>(C58*C60)</f>
        <v>316107.6152751281</v>
      </c>
    </row>
    <row r="62" spans="2:3" x14ac:dyDescent="0.2">
      <c r="B62" s="1" t="s">
        <v>353</v>
      </c>
      <c r="C62" s="24">
        <f ca="1">C61/(1+C59)^5-G30+G31</f>
        <v>177833.53485699208</v>
      </c>
    </row>
    <row r="63" spans="2:3" x14ac:dyDescent="0.2">
      <c r="B63" s="1" t="s">
        <v>181</v>
      </c>
      <c r="C63" s="136">
        <f>Statement!AC106</f>
        <v>8304</v>
      </c>
    </row>
    <row r="64" spans="2:3" x14ac:dyDescent="0.2">
      <c r="B64" s="1" t="s">
        <v>182</v>
      </c>
      <c r="C64" s="136">
        <f>Statement!AC107</f>
        <v>15270</v>
      </c>
    </row>
    <row r="65" spans="2:3" x14ac:dyDescent="0.2">
      <c r="B65" s="1" t="s">
        <v>183</v>
      </c>
      <c r="C65" s="24">
        <f ca="1">C62+C63-C64</f>
        <v>170867.53485699208</v>
      </c>
    </row>
    <row r="66" spans="2:3" x14ac:dyDescent="0.2">
      <c r="B66" s="1" t="s">
        <v>67</v>
      </c>
      <c r="C66" s="88">
        <f>Statement!AC78</f>
        <v>1062</v>
      </c>
    </row>
    <row r="67" spans="2:3" x14ac:dyDescent="0.2">
      <c r="B67" s="141" t="s">
        <v>201</v>
      </c>
      <c r="C67" s="142">
        <f ca="1">C65/C66</f>
        <v>160.89221737946522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8" t="s">
        <v>207</v>
      </c>
      <c r="C4" s="238"/>
      <c r="N4" s="91"/>
    </row>
    <row r="5" spans="1:14" x14ac:dyDescent="0.2">
      <c r="B5" s="1" t="s">
        <v>208</v>
      </c>
      <c r="C5" s="133">
        <f ca="1">DCF!C26</f>
        <v>119.23431706091708</v>
      </c>
    </row>
    <row r="6" spans="1:14" x14ac:dyDescent="0.2">
      <c r="B6" s="1" t="s">
        <v>209</v>
      </c>
      <c r="C6" s="133">
        <f ca="1">Multiples!C47</f>
        <v>193.35967431903734</v>
      </c>
    </row>
    <row r="7" spans="1:14" x14ac:dyDescent="0.2">
      <c r="B7" s="1" t="s">
        <v>210</v>
      </c>
      <c r="C7" s="133">
        <f ca="1">Multiples!C55</f>
        <v>197.24172217952881</v>
      </c>
    </row>
    <row r="8" spans="1:14" x14ac:dyDescent="0.2">
      <c r="B8" s="1" t="s">
        <v>320</v>
      </c>
      <c r="C8" s="133">
        <f ca="1">Multiples!C67</f>
        <v>160.89221737946522</v>
      </c>
    </row>
    <row r="9" spans="1:14" x14ac:dyDescent="0.2">
      <c r="B9" s="141" t="s">
        <v>211</v>
      </c>
      <c r="C9" s="142">
        <f ca="1">AVERAGE(C5:C8)</f>
        <v>167.68198273473712</v>
      </c>
    </row>
    <row r="10" spans="1:14" x14ac:dyDescent="0.2">
      <c r="B10" s="1" t="s">
        <v>212</v>
      </c>
      <c r="C10" s="133">
        <f ca="1">Overview!C5</f>
        <v>168.74</v>
      </c>
    </row>
    <row r="11" spans="1:14" x14ac:dyDescent="0.2">
      <c r="B11" s="1" t="s">
        <v>213</v>
      </c>
      <c r="C11" s="154">
        <f ca="1">(C9-C10)/C10</f>
        <v>-6.2701035039877343E-3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38" t="s">
        <v>105</v>
      </c>
      <c r="D2" s="238"/>
      <c r="E2" s="238"/>
      <c r="F2" s="238"/>
      <c r="G2" s="239"/>
      <c r="H2" s="240" t="s">
        <v>106</v>
      </c>
      <c r="I2" s="238"/>
      <c r="J2" s="238"/>
      <c r="K2" s="238"/>
      <c r="L2" s="238"/>
    </row>
    <row r="3" spans="1:14" ht="10" customHeight="1" x14ac:dyDescent="0.2"/>
    <row r="4" spans="1:14" ht="16" customHeight="1" x14ac:dyDescent="0.2">
      <c r="A4" s="86"/>
      <c r="B4" s="60"/>
      <c r="C4" s="235" t="s">
        <v>186</v>
      </c>
      <c r="D4" s="235"/>
      <c r="E4" s="235"/>
      <c r="F4" s="235"/>
      <c r="G4" s="235"/>
      <c r="H4" s="235"/>
      <c r="I4" s="235"/>
      <c r="J4" s="235"/>
      <c r="K4" s="235"/>
      <c r="L4" s="235"/>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240</v>
      </c>
      <c r="C6" s="230">
        <f>Statement!M26</f>
        <v>7.87</v>
      </c>
      <c r="D6" s="230">
        <f>Statement!N26</f>
        <v>11.41</v>
      </c>
      <c r="E6" s="230">
        <f>Statement!O26</f>
        <v>6.52</v>
      </c>
      <c r="F6" s="230">
        <f>Statement!P26</f>
        <v>8.94</v>
      </c>
      <c r="G6" s="231">
        <f>Statement!Q26</f>
        <v>10.172850678733031</v>
      </c>
      <c r="H6" s="137"/>
      <c r="I6" s="137"/>
      <c r="J6" s="137"/>
      <c r="K6" s="137"/>
      <c r="L6" s="137"/>
      <c r="N6" s="91"/>
    </row>
    <row r="7" spans="1:14" x14ac:dyDescent="0.2">
      <c r="B7" s="16" t="s">
        <v>405</v>
      </c>
      <c r="C7" s="230">
        <f>Statement!M82</f>
        <v>2.66</v>
      </c>
      <c r="D7" s="230">
        <f>Statement!N82</f>
        <v>2.86</v>
      </c>
      <c r="E7" s="230">
        <f>Statement!O82</f>
        <v>3.1</v>
      </c>
      <c r="F7" s="230">
        <f>Statement!P82</f>
        <v>3.3</v>
      </c>
      <c r="G7" s="231">
        <f>Statement!Q82</f>
        <v>3.48</v>
      </c>
      <c r="H7" s="137"/>
      <c r="I7" s="137"/>
      <c r="J7" s="137"/>
      <c r="K7" s="137"/>
      <c r="L7" s="137"/>
      <c r="N7" s="91"/>
    </row>
    <row r="8" spans="1:14" x14ac:dyDescent="0.2">
      <c r="N8" s="91"/>
    </row>
    <row r="9" spans="1:14" x14ac:dyDescent="0.2">
      <c r="C9" s="235" t="s">
        <v>114</v>
      </c>
      <c r="D9" s="235"/>
      <c r="E9" s="235"/>
      <c r="F9" s="235"/>
      <c r="G9" s="235"/>
      <c r="H9" s="235"/>
      <c r="I9" s="235"/>
      <c r="J9" s="235"/>
      <c r="K9" s="235"/>
      <c r="L9" s="235"/>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241</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35" t="s">
        <v>406</v>
      </c>
      <c r="D14" s="235"/>
      <c r="E14" s="235"/>
      <c r="F14" s="235"/>
      <c r="G14" s="235"/>
      <c r="H14" s="235"/>
      <c r="I14" s="235"/>
      <c r="J14" s="235"/>
      <c r="K14" s="235"/>
      <c r="L14" s="235"/>
      <c r="N14" s="91"/>
    </row>
    <row r="15" spans="1:14" x14ac:dyDescent="0.2">
      <c r="B15" s="16" t="s">
        <v>332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8" t="s">
        <v>408</v>
      </c>
      <c r="C20" s="238"/>
      <c r="N20" s="91"/>
    </row>
    <row r="21" spans="2:14" x14ac:dyDescent="0.2">
      <c r="B21" s="1" t="s">
        <v>409</v>
      </c>
      <c r="C21" s="232">
        <f>G7</f>
        <v>3.48</v>
      </c>
    </row>
    <row r="22" spans="2:14" x14ac:dyDescent="0.2">
      <c r="B22" s="1" t="s">
        <v>410</v>
      </c>
      <c r="C22" s="234">
        <v>0.06</v>
      </c>
    </row>
    <row r="23" spans="2:14" x14ac:dyDescent="0.2">
      <c r="B23" s="39" t="s">
        <v>411</v>
      </c>
      <c r="C23" s="233">
        <f>C21*(1+C22)</f>
        <v>3.6888000000000001</v>
      </c>
    </row>
    <row r="24" spans="2:14" x14ac:dyDescent="0.2">
      <c r="B24" s="1" t="s">
        <v>355</v>
      </c>
      <c r="C24" s="135">
        <f ca="1">IF(Overview!C29&gt;0,Overview!C29,WACC!C19)</f>
        <v>0.12243699999999999</v>
      </c>
    </row>
    <row r="25" spans="2:14" x14ac:dyDescent="0.2">
      <c r="B25" s="39" t="s">
        <v>412</v>
      </c>
      <c r="C25" s="234">
        <v>0.02</v>
      </c>
    </row>
    <row r="26" spans="2:14" x14ac:dyDescent="0.2">
      <c r="B26" s="141" t="s">
        <v>201</v>
      </c>
      <c r="C26" s="142">
        <f ca="1">C23/(C24-C25)</f>
        <v>36.010425920321765</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8" t="s">
        <v>105</v>
      </c>
      <c r="D3" s="238"/>
      <c r="E3" s="238"/>
      <c r="F3" s="238"/>
      <c r="G3" s="239"/>
      <c r="H3" s="240" t="s">
        <v>106</v>
      </c>
      <c r="I3" s="238"/>
      <c r="J3" s="238"/>
      <c r="K3" s="238"/>
      <c r="L3" s="238"/>
      <c r="P3" s="249"/>
      <c r="Q3" s="249"/>
      <c r="R3" s="249"/>
      <c r="S3" s="249"/>
      <c r="T3" s="249"/>
      <c r="U3" s="249"/>
      <c r="V3" s="249"/>
      <c r="W3" s="249"/>
      <c r="X3" s="249"/>
      <c r="Y3" s="249"/>
      <c r="Z3" s="249"/>
      <c r="AB3" s="109"/>
    </row>
    <row r="4" spans="1:28" ht="10" customHeight="1" x14ac:dyDescent="0.2"/>
    <row r="5" spans="1:28" ht="16" customHeight="1" x14ac:dyDescent="0.2">
      <c r="A5" s="86"/>
      <c r="B5" s="60"/>
      <c r="C5" s="235" t="s">
        <v>172</v>
      </c>
      <c r="D5" s="235"/>
      <c r="E5" s="235"/>
      <c r="F5" s="235"/>
      <c r="G5" s="235"/>
      <c r="H5" s="235"/>
      <c r="I5" s="235"/>
      <c r="J5" s="235"/>
      <c r="K5" s="235"/>
      <c r="L5" s="235"/>
      <c r="P5" s="249"/>
      <c r="Q5" s="249"/>
      <c r="R5" s="249"/>
      <c r="S5" s="249"/>
      <c r="T5" s="249"/>
      <c r="U5" s="249"/>
      <c r="V5" s="249"/>
      <c r="W5" s="249"/>
      <c r="X5" s="249"/>
      <c r="Y5" s="249"/>
      <c r="Z5" s="249"/>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12616.998159203982</v>
      </c>
      <c r="I7" s="126">
        <f t="shared" ref="I7:L7" si="0">H7*(1+$C$17)</f>
        <v>13500.188030348261</v>
      </c>
      <c r="J7" s="126">
        <f t="shared" si="0"/>
        <v>14445.201192472641</v>
      </c>
      <c r="K7" s="126">
        <f t="shared" si="0"/>
        <v>15456.365275945727</v>
      </c>
      <c r="L7" s="126">
        <f t="shared" si="0"/>
        <v>16538.310845261931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185993.21322967499</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11304.116920535367</v>
      </c>
      <c r="I10" s="126">
        <f t="shared" ref="I10:L10" ca="1" si="1">I7/(1+$C$21)^I9</f>
        <v>10836.799037504152</v>
      </c>
      <c r="J10" s="126">
        <f t="shared" ca="1" si="1"/>
        <v>10388.80031096574</v>
      </c>
      <c r="K10" s="126">
        <f t="shared" ca="1" si="1"/>
        <v>9959.322077267092</v>
      </c>
      <c r="L10" s="126">
        <f t="shared" ca="1" si="1"/>
        <v>9547.5986899125619</v>
      </c>
      <c r="N10" s="91"/>
    </row>
    <row r="11" spans="1:28" x14ac:dyDescent="0.2">
      <c r="B11" s="1" t="s">
        <v>175</v>
      </c>
      <c r="C11" s="137"/>
      <c r="D11" s="137"/>
      <c r="E11" s="137"/>
      <c r="F11" s="137"/>
      <c r="G11" s="138"/>
      <c r="H11" s="137"/>
      <c r="I11" s="137"/>
      <c r="J11" s="137"/>
      <c r="K11" s="137"/>
      <c r="L11" s="126">
        <f ca="1">L8/(1+C21)^L9</f>
        <v>107374.24006472943</v>
      </c>
    </row>
    <row r="13" spans="1:28" ht="17" thickBot="1" x14ac:dyDescent="0.25"/>
    <row r="14" spans="1:28" x14ac:dyDescent="0.2">
      <c r="B14" s="250" t="s">
        <v>215</v>
      </c>
      <c r="C14" s="251"/>
    </row>
    <row r="15" spans="1:28" x14ac:dyDescent="0.2">
      <c r="B15" s="155" t="s">
        <v>216</v>
      </c>
      <c r="C15" s="156">
        <f ca="1">Overview!C5</f>
        <v>168.74</v>
      </c>
    </row>
    <row r="16" spans="1:28" x14ac:dyDescent="0.2">
      <c r="B16" s="155" t="s">
        <v>217</v>
      </c>
      <c r="C16" s="156">
        <f ca="1">C36</f>
        <v>145.18559723896604</v>
      </c>
    </row>
    <row r="17" spans="2:9" ht="17" thickBot="1" x14ac:dyDescent="0.25">
      <c r="B17" s="157" t="s">
        <v>321</v>
      </c>
      <c r="C17" s="158">
        <v>7.0000000000000007E-2</v>
      </c>
      <c r="E17" s="252" t="s">
        <v>218</v>
      </c>
      <c r="F17" s="252"/>
      <c r="G17" s="252"/>
      <c r="H17" s="252"/>
      <c r="I17" s="252"/>
    </row>
    <row r="18" spans="2:9" ht="17" thickBot="1" x14ac:dyDescent="0.25"/>
    <row r="19" spans="2:9" x14ac:dyDescent="0.2">
      <c r="B19" s="250" t="s">
        <v>176</v>
      </c>
      <c r="C19" s="251"/>
    </row>
    <row r="20" spans="2:9" x14ac:dyDescent="0.2">
      <c r="B20" s="159" t="s">
        <v>177</v>
      </c>
      <c r="C20" s="160">
        <v>2.5000000000000001E-2</v>
      </c>
    </row>
    <row r="21" spans="2:9" x14ac:dyDescent="0.2">
      <c r="B21" s="159" t="s">
        <v>157</v>
      </c>
      <c r="C21" s="225">
        <f ca="1">IF(Overview!C28&gt;0,Overview!C28,WACC!C20)</f>
        <v>0.11614186653391741</v>
      </c>
    </row>
    <row r="22" spans="2:9" x14ac:dyDescent="0.2">
      <c r="B22" s="159" t="s">
        <v>67</v>
      </c>
      <c r="C22" s="226">
        <f>Statement!AC75</f>
        <v>1050</v>
      </c>
    </row>
    <row r="23" spans="2:9" x14ac:dyDescent="0.2">
      <c r="B23" s="159" t="s">
        <v>219</v>
      </c>
      <c r="C23" s="161">
        <f ca="1">C15*C22</f>
        <v>177177</v>
      </c>
    </row>
    <row r="24" spans="2:9" x14ac:dyDescent="0.2">
      <c r="B24" s="159" t="s">
        <v>170</v>
      </c>
      <c r="C24" s="226">
        <f>Statement!AC106</f>
        <v>8304</v>
      </c>
    </row>
    <row r="25" spans="2:9" x14ac:dyDescent="0.2">
      <c r="B25" s="159" t="s">
        <v>161</v>
      </c>
      <c r="C25" s="226">
        <f>Statement!AC107</f>
        <v>15270</v>
      </c>
    </row>
    <row r="26" spans="2:9" ht="17" thickBot="1" x14ac:dyDescent="0.25">
      <c r="B26" s="157" t="s">
        <v>220</v>
      </c>
      <c r="C26" s="162">
        <f ca="1">C23+C25-C24</f>
        <v>184143</v>
      </c>
    </row>
    <row r="27" spans="2:9" ht="17" thickBot="1" x14ac:dyDescent="0.25"/>
    <row r="28" spans="2:9" x14ac:dyDescent="0.2">
      <c r="B28" s="250" t="s">
        <v>178</v>
      </c>
      <c r="C28" s="251"/>
    </row>
    <row r="29" spans="2:9" x14ac:dyDescent="0.2">
      <c r="B29" s="159" t="s">
        <v>179</v>
      </c>
      <c r="C29" s="161">
        <f ca="1">SUM(H10:L10)</f>
        <v>52036.637036184919</v>
      </c>
    </row>
    <row r="30" spans="2:9" x14ac:dyDescent="0.2">
      <c r="B30" s="159" t="s">
        <v>175</v>
      </c>
      <c r="C30" s="161">
        <f ca="1">L11</f>
        <v>107374.24006472943</v>
      </c>
    </row>
    <row r="31" spans="2:9" x14ac:dyDescent="0.2">
      <c r="B31" s="163" t="s">
        <v>180</v>
      </c>
      <c r="C31" s="164">
        <f ca="1">C29+C30</f>
        <v>159410.87710091434</v>
      </c>
    </row>
    <row r="32" spans="2:9" x14ac:dyDescent="0.2">
      <c r="B32" s="159" t="s">
        <v>181</v>
      </c>
      <c r="C32" s="165">
        <f>C24</f>
        <v>8304</v>
      </c>
    </row>
    <row r="33" spans="2:12" x14ac:dyDescent="0.2">
      <c r="B33" s="159" t="s">
        <v>182</v>
      </c>
      <c r="C33" s="165">
        <f>C25</f>
        <v>15270</v>
      </c>
    </row>
    <row r="34" spans="2:12" x14ac:dyDescent="0.2">
      <c r="B34" s="163" t="s">
        <v>183</v>
      </c>
      <c r="C34" s="164">
        <f ca="1">C31+C32-C33</f>
        <v>152444.87710091434</v>
      </c>
    </row>
    <row r="35" spans="2:12" x14ac:dyDescent="0.2">
      <c r="B35" s="159" t="s">
        <v>67</v>
      </c>
      <c r="C35" s="161">
        <f>C22</f>
        <v>1050</v>
      </c>
    </row>
    <row r="36" spans="2:12" ht="17" thickBot="1" x14ac:dyDescent="0.25">
      <c r="B36" s="166" t="s">
        <v>184</v>
      </c>
      <c r="C36" s="167">
        <f ca="1">C34/C35</f>
        <v>145.18559723896604</v>
      </c>
    </row>
    <row r="39" spans="2:12" x14ac:dyDescent="0.2">
      <c r="C39" s="235" t="s">
        <v>221</v>
      </c>
      <c r="D39" s="235"/>
      <c r="E39" s="235"/>
      <c r="F39" s="235"/>
      <c r="G39" s="235"/>
      <c r="H39" s="235"/>
      <c r="I39" s="235"/>
      <c r="J39" s="235"/>
      <c r="K39" s="235"/>
      <c r="L39" s="235"/>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12616.998159203982</v>
      </c>
      <c r="I41" s="143">
        <f t="shared" si="2"/>
        <v>13500.188030348261</v>
      </c>
      <c r="J41" s="143">
        <f t="shared" si="2"/>
        <v>14445.201192472641</v>
      </c>
      <c r="K41" s="143">
        <f t="shared" si="2"/>
        <v>15456.365275945727</v>
      </c>
      <c r="L41" s="143">
        <f t="shared" si="2"/>
        <v>16538.310845261931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11469.998326549074</v>
      </c>
      <c r="I42" s="143">
        <f t="shared" ref="I42:L42" si="3">I41/I43</f>
        <v>12272.898209407509</v>
      </c>
      <c r="J42" s="143">
        <f t="shared" si="3"/>
        <v>13132.001084066036</v>
      </c>
      <c r="K42" s="143">
        <f t="shared" si="3"/>
        <v>14051.241159950659</v>
      </c>
      <c r="L42" s="143">
        <f t="shared" si="3"/>
        <v>15034.828041147208</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Revenue!C12</f>
        <v>33566</v>
      </c>
      <c r="D44" s="112">
        <f>Revenue!D12</f>
        <v>44200</v>
      </c>
      <c r="E44" s="112">
        <f>Revenue!E12</f>
        <v>35820</v>
      </c>
      <c r="F44" s="112">
        <f>Revenue!F12</f>
        <v>38962</v>
      </c>
      <c r="G44" s="113">
        <f>Revenue!G12</f>
        <v>44284</v>
      </c>
      <c r="H44" s="143">
        <f>H41/H45</f>
        <v>50467.992636815929</v>
      </c>
      <c r="I44" s="143">
        <f t="shared" ref="I44:L44" si="5">I41/I45</f>
        <v>54000.752121393045</v>
      </c>
      <c r="J44" s="143">
        <f t="shared" si="5"/>
        <v>57780.804769890565</v>
      </c>
      <c r="K44" s="143">
        <f t="shared" si="5"/>
        <v>61825.461103782909</v>
      </c>
      <c r="L44" s="143">
        <f t="shared" si="5"/>
        <v>66153.243381047723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7.0000000000000062E-2</v>
      </c>
      <c r="I46" s="169">
        <f t="shared" si="7"/>
        <v>7.0000000000000062E-2</v>
      </c>
      <c r="J46" s="169">
        <f t="shared" si="7"/>
        <v>7.0000000000000062E-2</v>
      </c>
      <c r="K46" s="169">
        <f t="shared" si="7"/>
        <v>7.0000000000000062E-2</v>
      </c>
      <c r="L46" s="169">
        <f t="shared" si="7"/>
        <v>7.0000000000000062E-2</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-7.1631054103676761E-2</v>
      </c>
      <c r="I47" s="169">
        <f t="shared" si="7"/>
        <v>7.0000000000000062E-2</v>
      </c>
      <c r="J47" s="169">
        <f t="shared" si="7"/>
        <v>7.0000000000000062E-2</v>
      </c>
      <c r="K47" s="169">
        <f t="shared" si="7"/>
        <v>7.0000000000000062E-2</v>
      </c>
      <c r="L47" s="169">
        <f t="shared" si="7"/>
        <v>7.0000000000000062E-2</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0.13964394898419141</v>
      </c>
      <c r="I48" s="169">
        <f t="shared" si="8"/>
        <v>7.0000000000000062E-2</v>
      </c>
      <c r="J48" s="169">
        <f t="shared" si="8"/>
        <v>7.0000000000000062E-2</v>
      </c>
      <c r="K48" s="169">
        <f t="shared" si="8"/>
        <v>7.0000000000000062E-2</v>
      </c>
      <c r="L48" s="169">
        <f t="shared" si="8"/>
        <v>7.0000000000000062E-2</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0.22727272727272727</v>
      </c>
      <c r="I49" s="169">
        <f t="shared" si="9"/>
        <v>0.22727272727272727</v>
      </c>
      <c r="J49" s="169">
        <f t="shared" si="9"/>
        <v>0.22727272727272724</v>
      </c>
      <c r="K49" s="169">
        <f t="shared" si="9"/>
        <v>0.22727272727272724</v>
      </c>
      <c r="L49" s="169">
        <f t="shared" si="9"/>
        <v>0.22727272727272724</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2026-09-04T21:37:08Z</dcterms:modified>
</cp:coreProperties>
</file>