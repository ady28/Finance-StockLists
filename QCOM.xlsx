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667B5C1-6036-E141-A5F6-DC5DA9C2643A}" xr6:coauthVersionLast="47" xr6:coauthVersionMax="47" xr10:uidLastSave="{00000000-0000-0000-0000-000000000000}"/>
  <bookViews>
    <workbookView xWindow="0" yWindow="0" windowWidth="25600" windowHeight="14400" firstSheet="3" activeTab="1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7" l="1"/>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C48" i="12"/>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60" i="3" l="1"/>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I71" i="17" l="1"/>
  <c r="C52" i="16"/>
  <c r="AC185" i="3"/>
  <c r="C22" i="11"/>
  <c r="C24" i="14"/>
  <c r="C25" i="11"/>
  <c r="C43" i="12"/>
  <c r="C60"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0"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15" i="11" l="1"/>
  <c r="C56"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47" i="12"/>
  <c r="C51" i="12" s="1"/>
  <c r="C52"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C44" i="12" s="1"/>
  <c r="C6" i="13" s="1"/>
  <c r="I4" i="1" s="1"/>
  <c r="L30" i="7"/>
  <c r="L29" i="7"/>
  <c r="L35" i="7" s="1"/>
  <c r="L22" i="8" s="1"/>
  <c r="I28" i="8" l="1"/>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5" i="12"/>
  <c r="C58" i="12" s="1"/>
  <c r="C59" i="12" s="1"/>
  <c r="C61"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<sst xmlns="http://schemas.openxmlformats.org/spreadsheetml/2006/main" count="772" uniqueCount="406">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</sst>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1.6396999999999999</v>
    <v>-5.67</v>
    <v>-3.1168000000000001E-2</v>
    <v>0.77</v>
    <v>4.3690000000000005E-3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185.79900000000001</v>
    <v>3</v>
    <v>Semiconductors &amp; Semiconductor Equipment</v>
    <v>Stock</v>
    <v>46205.999901481249</v>
    <v>4</v>
    <v>172.12</v>
    <v>185767500000</v>
    <v>QUALCOMM INCORPORATED</v>
    <v>QUALCOMM INCORPORATED</v>
    <v>182.17</v>
    <v>19.788</v>
    <v>181.92</v>
    <v>176.25</v>
    <v>177.02</v>
    <v>1054000000</v>
    <v>QCOM</v>
    <v>QUALCOMM INCORPORATED (XNAS:QCOM)</v>
    <v>18682459</v>
    <v>22834174</v>
    <v>1991</v>
  </rv>
  <rv s="4">
    <v>5</v>
  </rv>
  <rv s="0">
    <v>https://www.bing.com/financeapi/forcetrigger?t=a33knm&amp;q=10+Y+TSY+YLD+NDX&amp;form=skydnc</v>
    <v>Learn more on Bing</v>
  </rv>
  <rv s="5">
    <v>7</v>
    <v>10 Y TSY YLD NDX</v>
    <v>8</v>
    <v>9</v>
    <v>Finance</v>
    <v>10</v>
    <v>en-US</v>
    <v>a33knm</v>
    <v>268435456</v>
    <v>1</v>
    <v>Powered by Refinitiv</v>
    <v>46.87</v>
    <v>39.47</v>
    <v>0.1</v>
    <v>2.235E-3</v>
    <v>US</v>
    <v>45.05</v>
    <v>Index</v>
    <v>7</v>
    <v>44.53</v>
    <v>10 Y TSY YLD NDX</v>
    <v>45.03</v>
    <v>44.75</v>
    <v>44.85</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zoomScale="160" zoomScaleNormal="16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0" t="s">
        <v>17</v>
      </c>
      <c r="C2" s="231"/>
      <c r="E2" s="230" t="s">
        <v>284</v>
      </c>
      <c r="F2" s="231"/>
      <c r="H2" s="230" t="s">
        <v>325</v>
      </c>
      <c r="I2" s="231"/>
    </row>
    <row r="3" spans="2:9" x14ac:dyDescent="0.2">
      <c r="B3" s="185" t="s">
        <v>11</v>
      </c>
      <c r="C3" s="217" t="e" vm="1">
        <v>#VALUE!</v>
      </c>
      <c r="D3" s="2"/>
      <c r="E3" s="185" t="s">
        <v>236</v>
      </c>
      <c r="F3" s="187">
        <f ca="1">Statement!AC156</f>
        <v>186825</v>
      </c>
      <c r="H3" s="185" t="str">
        <f>'AVG target price'!B5</f>
        <v>DCF price</v>
      </c>
      <c r="I3" s="211">
        <f ca="1">'AVG target price'!C5</f>
        <v>115.05882450274875</v>
      </c>
    </row>
    <row r="4" spans="2:9" x14ac:dyDescent="0.2">
      <c r="B4" s="185" t="s">
        <v>0</v>
      </c>
      <c r="C4" s="189" t="str" cm="1">
        <f t="array" aca="1" ref="C4" ca="1">_FV(C3,"Ticker symbol",TRUE)</f>
        <v>QCOM</v>
      </c>
      <c r="E4" s="186" t="s">
        <v>180</v>
      </c>
      <c r="F4" s="188">
        <f ca="1">Statement!AC157</f>
        <v>192296</v>
      </c>
      <c r="H4" s="185" t="str">
        <f>'AVG target price'!B6</f>
        <v>EV/EBIT price</v>
      </c>
      <c r="I4" s="211">
        <f ca="1">'AVG target price'!C6</f>
        <v>179.90343954741238</v>
      </c>
    </row>
    <row r="5" spans="2:9" x14ac:dyDescent="0.2">
      <c r="B5" s="185" t="s">
        <v>1</v>
      </c>
      <c r="C5" s="208" cm="1">
        <f t="array" aca="1" ref="C5" ca="1">_FV(C3,"Price",TRUE)</f>
        <v>176.25</v>
      </c>
      <c r="E5" s="185" t="s">
        <v>240</v>
      </c>
      <c r="F5" s="190">
        <f>Statement!AC26</f>
        <v>9.418342702074046</v>
      </c>
      <c r="H5" s="185" t="str">
        <f>'AVG target price'!B7</f>
        <v>PS price</v>
      </c>
      <c r="I5" s="211">
        <f>'AVG target price'!C7</f>
        <v>190.70675093537938</v>
      </c>
    </row>
    <row r="6" spans="2:9" x14ac:dyDescent="0.2">
      <c r="B6" s="185" t="s">
        <v>2</v>
      </c>
      <c r="C6" s="208" cm="1">
        <f t="array" aca="1" ref="C6" ca="1">_FV(C3,"Price (Extended hours)",TRUE)</f>
        <v>177.02</v>
      </c>
      <c r="E6" s="185" t="s">
        <v>234</v>
      </c>
      <c r="F6" s="190">
        <f ca="1">Statement!AC153</f>
        <v>18.71348342009124</v>
      </c>
      <c r="H6" s="185" t="str">
        <f>'AVG target price'!B8</f>
        <v>EV/FCFF price</v>
      </c>
      <c r="I6" s="211">
        <f ca="1">'AVG target price'!C8</f>
        <v>173.50283052756066</v>
      </c>
    </row>
    <row r="7" spans="2:9" x14ac:dyDescent="0.2">
      <c r="B7" s="185" t="s">
        <v>3</v>
      </c>
      <c r="C7" s="6" cm="1">
        <f t="array" aca="1" ref="C7" ca="1">_FV(C3,"Change")</f>
        <v>-5.67</v>
      </c>
      <c r="E7" s="186" t="s">
        <v>193</v>
      </c>
      <c r="F7" s="191">
        <f ca="1">Statement!AC154</f>
        <v>4.2771834208047368</v>
      </c>
      <c r="H7" s="184" t="str">
        <f>'AVG target price'!B9</f>
        <v>AVG price</v>
      </c>
      <c r="I7" s="212">
        <f ca="1">'AVG target price'!C9</f>
        <v>164.79296137827529</v>
      </c>
    </row>
    <row r="8" spans="2:9" x14ac:dyDescent="0.2">
      <c r="B8" s="185" t="s">
        <v>4</v>
      </c>
      <c r="C8" s="6" cm="1">
        <f t="array" aca="1" ref="C8" ca="1">_FV(C3,"Change (extended hours)",TRUE)</f>
        <v>0.77</v>
      </c>
      <c r="E8" s="185" t="s">
        <v>262</v>
      </c>
      <c r="F8" s="192">
        <f ca="1">Statement!AC164</f>
        <v>5.0480396092600029E-2</v>
      </c>
      <c r="H8" s="184" t="str">
        <f>'AVG target price'!B11</f>
        <v>Upside/Downside</v>
      </c>
      <c r="I8" s="213">
        <f ca="1">'AVG target price'!C11</f>
        <v>-6.5004474449501873E-2</v>
      </c>
    </row>
    <row r="9" spans="2:9" x14ac:dyDescent="0.2">
      <c r="B9" s="185" t="s">
        <v>5</v>
      </c>
      <c r="C9" s="73" cm="1">
        <f t="array" aca="1" ref="C9" ca="1">_FV(C3,"Change (%)",TRUE)</f>
        <v>-3.1168000000000001E-2</v>
      </c>
      <c r="E9" s="185" t="s">
        <v>285</v>
      </c>
      <c r="F9" s="192">
        <f ca="1">Statement!AC165</f>
        <v>5.3437405401838556E-2</v>
      </c>
    </row>
    <row r="10" spans="2:9" x14ac:dyDescent="0.2">
      <c r="B10" s="185" t="s">
        <v>6</v>
      </c>
      <c r="C10" s="73" cm="1">
        <f t="array" aca="1" ref="C10" ca="1">_FV(C3,"Change % (extended hours)",TRUE)</f>
        <v>4.3690000000000005E-3</v>
      </c>
      <c r="E10" s="185" t="s">
        <v>290</v>
      </c>
      <c r="F10" s="192">
        <f ca="1">Statement!AC167</f>
        <v>5.7460190017395961E-2</v>
      </c>
    </row>
    <row r="11" spans="2:9" x14ac:dyDescent="0.2">
      <c r="B11" s="185" t="s">
        <v>7</v>
      </c>
      <c r="C11" s="209" cm="1">
        <f t="array" aca="1" ref="C11" ca="1">_FV(C3,"52 week high",TRUE)</f>
        <v>259.92</v>
      </c>
      <c r="E11" s="186" t="s">
        <v>286</v>
      </c>
      <c r="F11" s="193">
        <f ca="1">Statement!AC166</f>
        <v>2.0198581560283688E-2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1.6396999999999999</v>
      </c>
      <c r="E13" s="185" t="s">
        <v>96</v>
      </c>
      <c r="F13" s="192">
        <f>Statement!AC124</f>
        <v>0.37337781362269967</v>
      </c>
    </row>
    <row r="14" spans="2:9" x14ac:dyDescent="0.2">
      <c r="B14" s="186" t="s">
        <v>10</v>
      </c>
      <c r="C14" s="210" cm="1">
        <f t="array" aca="1" ref="C14" ca="1">_FV(C3,"Volume average",TRUE)</f>
        <v>22834174</v>
      </c>
      <c r="E14" s="186" t="s">
        <v>97</v>
      </c>
      <c r="F14" s="193">
        <f>Statement!AC143</f>
        <v>0.30177970863243947</v>
      </c>
    </row>
    <row r="15" spans="2:9" x14ac:dyDescent="0.2">
      <c r="E15" s="185" t="s">
        <v>287</v>
      </c>
      <c r="F15" s="192">
        <f ca="1">Statement!AC179</f>
        <v>-2.9284089388465141E-2</v>
      </c>
    </row>
    <row r="16" spans="2:9" x14ac:dyDescent="0.2">
      <c r="E16" s="186" t="s">
        <v>292</v>
      </c>
      <c r="F16" s="191">
        <f>Statement!AC178</f>
        <v>-5.1907020872865273</v>
      </c>
    </row>
    <row r="17" spans="2:9" x14ac:dyDescent="0.2">
      <c r="B17" s="232" t="s">
        <v>83</v>
      </c>
      <c r="C17" s="232"/>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32" t="s">
        <v>99</v>
      </c>
      <c r="C25" s="232"/>
      <c r="E25" s="230" t="s">
        <v>338</v>
      </c>
      <c r="F25" s="231"/>
    </row>
    <row r="26" spans="2:9" x14ac:dyDescent="0.2">
      <c r="B26" s="184" t="s">
        <v>100</v>
      </c>
      <c r="C26" s="170">
        <v>0.21</v>
      </c>
      <c r="E26" s="185" t="e" vm="2">
        <v>#VALUE!</v>
      </c>
      <c r="F26" s="219" cm="1">
        <f t="array" aca="1" ref="F26" ca="1">_FV(E26,"Price")</f>
        <v>44.85</v>
      </c>
    </row>
    <row r="27" spans="2:9" x14ac:dyDescent="0.2">
      <c r="B27" s="184" t="s">
        <v>164</v>
      </c>
      <c r="C27" s="221">
        <v>4.65E-2</v>
      </c>
      <c r="E27" s="186" t="s">
        <v>339</v>
      </c>
      <c r="F27" s="220">
        <f ca="1">F26/1000</f>
        <v>4.4850000000000001E-2</v>
      </c>
    </row>
    <row r="28" spans="2:9" x14ac:dyDescent="0.2">
      <c r="B28" s="184" t="s">
        <v>356</v>
      </c>
      <c r="C28" s="221">
        <v>0</v>
      </c>
    </row>
    <row r="29" spans="2:9" x14ac:dyDescent="0.2">
      <c r="B29" s="184" t="s">
        <v>355</v>
      </c>
      <c r="C29" s="221">
        <v>0.12</v>
      </c>
    </row>
    <row r="33" spans="2:8" x14ac:dyDescent="0.2">
      <c r="B33" s="233" t="s">
        <v>333</v>
      </c>
      <c r="C33" s="233"/>
      <c r="D33" s="233"/>
      <c r="E33" s="233"/>
      <c r="F33" s="233"/>
      <c r="G33" s="233"/>
      <c r="H33" s="233"/>
    </row>
    <row r="35" spans="2:8" x14ac:dyDescent="0.2">
      <c r="B35" s="16" t="s">
        <v>334</v>
      </c>
      <c r="C35" s="1" t="s">
        <v>350</v>
      </c>
    </row>
    <row r="36" spans="2:8" x14ac:dyDescent="0.2">
      <c r="B36" s="16" t="s">
        <v>335</v>
      </c>
      <c r="C36" s="1" t="s">
        <v>349</v>
      </c>
    </row>
    <row r="39" spans="2:8" ht="6" customHeight="1" x14ac:dyDescent="0.2">
      <c r="B39" s="233"/>
      <c r="C39" s="233"/>
      <c r="D39" s="233"/>
      <c r="E39" s="233"/>
      <c r="F39" s="233"/>
      <c r="G39" s="233"/>
      <c r="H39" s="233"/>
    </row>
    <row r="42" spans="2:8" x14ac:dyDescent="0.2">
      <c r="B42" s="233" t="s">
        <v>336</v>
      </c>
      <c r="C42" s="233"/>
      <c r="D42" s="233"/>
      <c r="E42" s="233"/>
      <c r="F42" s="233"/>
      <c r="G42" s="233"/>
      <c r="H42" s="233"/>
    </row>
    <row r="44" spans="2:8" x14ac:dyDescent="0.2">
      <c r="B44" s="41" t="s">
        <v>337</v>
      </c>
      <c r="C44" s="41" t="s">
        <v>377</v>
      </c>
      <c r="D44" s="41"/>
      <c r="E44" s="41" t="s">
        <v>347</v>
      </c>
    </row>
    <row r="49" spans="2:8" ht="5" customHeight="1" x14ac:dyDescent="0.2">
      <c r="B49" s="233"/>
      <c r="C49" s="233"/>
      <c r="D49" s="233"/>
      <c r="E49" s="233"/>
      <c r="F49" s="233"/>
      <c r="G49" s="233"/>
      <c r="H49" s="233"/>
    </row>
    <row r="52" spans="2:8" x14ac:dyDescent="0.2">
      <c r="B52" s="233" t="s">
        <v>101</v>
      </c>
      <c r="C52" s="233"/>
      <c r="D52" s="233"/>
      <c r="E52" s="233"/>
      <c r="F52" s="233"/>
      <c r="G52" s="233"/>
      <c r="H52" s="233"/>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3"/>
      <c r="C69" s="233"/>
      <c r="D69" s="233"/>
      <c r="E69" s="233"/>
      <c r="F69" s="233"/>
      <c r="G69" s="233"/>
      <c r="H69" s="233"/>
    </row>
  </sheetData>
  <mergeCells count="12">
    <mergeCell ref="B52:H52"/>
    <mergeCell ref="B69:H6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N103"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176.25</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176.25</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3">IF(T130&gt;T129, "BEAT", IF(T130&lt;T128, "MISSED", "MET"))</f>
        <v>MET</v>
      </c>
      <c r="U131" s="227" t="str">
        <f t="shared" si="73"/>
        <v>BEAT</v>
      </c>
      <c r="V131" s="227" t="str">
        <f t="shared" si="73"/>
        <v>MET</v>
      </c>
      <c r="W131" s="227" t="str">
        <f t="shared" si="73"/>
        <v>MET</v>
      </c>
      <c r="X131" s="227" t="str">
        <f t="shared" si="73"/>
        <v>BEAT</v>
      </c>
      <c r="Y131" s="227" t="str">
        <f t="shared" si="73"/>
        <v>MET</v>
      </c>
      <c r="Z131" s="227" t="str">
        <f t="shared" si="73"/>
        <v>MET</v>
      </c>
      <c r="AA131" s="227" t="str">
        <f t="shared" si="73"/>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4">U193</f>
        <v>8678</v>
      </c>
      <c r="U134" s="25">
        <f t="shared" si="74"/>
        <v>10084</v>
      </c>
      <c r="V134" s="25">
        <f t="shared" si="74"/>
        <v>9469</v>
      </c>
      <c r="W134" s="25">
        <f t="shared" si="74"/>
        <v>8993</v>
      </c>
      <c r="X134" s="25">
        <f t="shared" si="74"/>
        <v>9821</v>
      </c>
      <c r="Y134" s="25">
        <f t="shared" si="74"/>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5">IF(T134&gt;T133, "BEAT", IF(T134&lt;T132, "MISSED", "MET"))</f>
        <v>MET</v>
      </c>
      <c r="U135" s="227" t="str">
        <f t="shared" si="75"/>
        <v>BEAT</v>
      </c>
      <c r="V135" s="227" t="str">
        <f t="shared" si="75"/>
        <v>MET</v>
      </c>
      <c r="W135" s="227" t="str">
        <f t="shared" si="75"/>
        <v>MET</v>
      </c>
      <c r="X135" s="227" t="str">
        <f t="shared" si="75"/>
        <v>BEAT</v>
      </c>
      <c r="Y135" s="227" t="str">
        <f t="shared" si="75"/>
        <v>MET</v>
      </c>
      <c r="Z135" s="227" t="str">
        <f t="shared" si="75"/>
        <v>MET</v>
      </c>
      <c r="AA135" s="227" t="str">
        <f t="shared" si="75"/>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6">U194</f>
        <v>1015</v>
      </c>
      <c r="U138" s="25">
        <f t="shared" si="76"/>
        <v>1535</v>
      </c>
      <c r="V138" s="25">
        <f t="shared" si="76"/>
        <v>1319</v>
      </c>
      <c r="W138" s="25">
        <f t="shared" si="76"/>
        <v>1318</v>
      </c>
      <c r="X138" s="25">
        <f t="shared" si="76"/>
        <v>1409</v>
      </c>
      <c r="Y138" s="25">
        <f t="shared" si="76"/>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7">IF(T138&gt;T137, "BEAT", IF(T138&lt;T136, "MISSED", "MET"))</f>
        <v>MISSED</v>
      </c>
      <c r="U139" s="227" t="str">
        <f t="shared" si="77"/>
        <v>MET</v>
      </c>
      <c r="V139" s="227" t="str">
        <f t="shared" si="77"/>
        <v>MET</v>
      </c>
      <c r="W139" s="227" t="str">
        <f t="shared" si="77"/>
        <v>MET</v>
      </c>
      <c r="X139" s="227" t="str">
        <f t="shared" si="77"/>
        <v>MET</v>
      </c>
      <c r="Y139" s="227" t="str">
        <f t="shared" si="77"/>
        <v>MET</v>
      </c>
      <c r="Z139" s="227" t="str">
        <f t="shared" si="77"/>
        <v>MET</v>
      </c>
      <c r="AA139" s="227"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18.71348342009124</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4.2771834208047368</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6.8101583693819201</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186825</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192296</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4.3129233391647599</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16.934918538088947</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19.809670236454245</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16.080971941258031</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5.0480396092600029E-2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5.3437405401838556E-2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2.0198581560283688E-2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5.7460190017395961E-2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7.7907132343101829E-2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-2.9284089388465141E-2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365</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362</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363</v>
      </c>
      <c r="M185" s="228">
        <f>IF(AND(M12&gt;0,M107&gt;0),(M107-M106)/M12,"N/A")</f>
        <v>0.34027990601695779</v>
      </c>
      <c r="N185" s="228">
        <f t="shared" ref="N185:Q185" si="113">IF(AND(N12&gt;0,N107&gt;0),(N107-N106)/N12,"N/A")</f>
        <v>0.57377049180327866</v>
      </c>
      <c r="O185" s="228">
        <f t="shared" si="113"/>
        <v>0.52311248073959937</v>
      </c>
      <c r="P185" s="228">
        <f t="shared" si="113"/>
        <v>0.13245953728527454</v>
      </c>
      <c r="Q185" s="228">
        <f t="shared" si="113"/>
        <v>0.37685147713476325</v>
      </c>
      <c r="T185" s="49"/>
      <c r="U185" s="49"/>
      <c r="V185" s="49"/>
      <c r="W185" s="49"/>
      <c r="X185" s="49"/>
      <c r="Y185" s="49"/>
      <c r="Z185" s="49"/>
      <c r="AA185" s="49"/>
      <c r="AC185" s="228">
        <f t="shared" ref="AC185" si="114">IF(AND(AC12&gt;0,AC107&gt;0),(AC107-AC106)/AC12,"N/A")</f>
        <v>0.48181417877586968</v>
      </c>
    </row>
    <row r="186" spans="1:31" x14ac:dyDescent="0.2">
      <c r="B186" s="20" t="s">
        <v>364</v>
      </c>
      <c r="M186" s="228">
        <f>M5/(M107+M111-M106)</f>
        <v>2.5273699269633312</v>
      </c>
      <c r="N186" s="228">
        <f t="shared" ref="N186:Q186" si="115">N5/(N107+N111-N106)</f>
        <v>1.6302142883487627</v>
      </c>
      <c r="O186" s="228">
        <f t="shared" si="115"/>
        <v>1.3962190606119664</v>
      </c>
      <c r="P186" s="228">
        <f t="shared" si="115"/>
        <v>1.4112576064908722</v>
      </c>
      <c r="Q186" s="228">
        <f t="shared" si="115"/>
        <v>1.7123192328512875</v>
      </c>
      <c r="T186" s="49"/>
      <c r="U186" s="49"/>
      <c r="V186" s="49"/>
      <c r="W186" s="49"/>
      <c r="X186" s="49"/>
      <c r="Y186" s="49"/>
      <c r="Z186" s="49"/>
      <c r="AA186" s="49"/>
      <c r="AC186" s="228">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2" t="s">
        <v>388</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2" t="s">
        <v>389</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390</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391</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3" t="s">
        <v>230</v>
      </c>
      <c r="C4" s="233"/>
      <c r="E4" s="233" t="s">
        <v>237</v>
      </c>
      <c r="F4" s="233"/>
      <c r="G4" s="233"/>
    </row>
    <row r="5" spans="2:7" x14ac:dyDescent="0.2">
      <c r="B5" s="20" t="s">
        <v>1</v>
      </c>
      <c r="C5" s="172">
        <f ca="1">Overview!C5</f>
        <v>176.25</v>
      </c>
      <c r="E5" s="12"/>
      <c r="F5" s="132" t="s">
        <v>238</v>
      </c>
      <c r="G5" s="132" t="s">
        <v>239</v>
      </c>
    </row>
    <row r="6" spans="2:7" x14ac:dyDescent="0.2">
      <c r="B6" s="20" t="s">
        <v>236</v>
      </c>
      <c r="C6" s="173">
        <f ca="1">Statement!AC156</f>
        <v>186825</v>
      </c>
      <c r="E6" s="20" t="s">
        <v>19</v>
      </c>
      <c r="F6" s="178">
        <f>IF(Statement!M5&lt;=0,"N/A",_xlfn.RRI(4,Statement!M5,Statement!Q5))</f>
        <v>7.1733517181768569E-2</v>
      </c>
      <c r="G6" s="178" t="str">
        <f>IF(Statement!H5&lt;=0,"N/A",_xlfn.RRI(9,Statement!H5,Statement!Q5))</f>
        <v>N/A</v>
      </c>
    </row>
    <row r="7" spans="2:7" x14ac:dyDescent="0.2">
      <c r="B7" s="20" t="s">
        <v>180</v>
      </c>
      <c r="C7" s="173">
        <f ca="1">Statement!AC157</f>
        <v>192296</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18.71348342009124</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4.2771834208047368</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6.8101583693819201</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4.3129233391647599</v>
      </c>
    </row>
    <row r="12" spans="2:7" x14ac:dyDescent="0.2">
      <c r="B12" s="20" t="s">
        <v>196</v>
      </c>
      <c r="C12" s="174">
        <f ca="1">Statement!AC159</f>
        <v>16.934918538088947</v>
      </c>
    </row>
    <row r="15" spans="2:7" x14ac:dyDescent="0.2">
      <c r="B15" s="233" t="s">
        <v>75</v>
      </c>
      <c r="C15" s="233"/>
      <c r="E15" s="233" t="s">
        <v>243</v>
      </c>
      <c r="F15" s="233"/>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3" t="s">
        <v>242</v>
      </c>
      <c r="C21" s="233"/>
      <c r="E21" s="233" t="s">
        <v>246</v>
      </c>
      <c r="F21" s="233"/>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3" t="s">
        <v>247</v>
      </c>
      <c r="C29" s="233"/>
      <c r="E29" s="233" t="s">
        <v>253</v>
      </c>
      <c r="F29" s="233"/>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3" t="s">
        <v>265</v>
      </c>
      <c r="C37" s="233"/>
      <c r="E37" s="233" t="s">
        <v>268</v>
      </c>
      <c r="F37" s="233"/>
    </row>
    <row r="38" spans="2:6" x14ac:dyDescent="0.2">
      <c r="B38" s="20" t="s">
        <v>263</v>
      </c>
      <c r="C38" s="175">
        <f ca="1">Statement!AC165</f>
        <v>5.3437405401838556E-2</v>
      </c>
      <c r="E38" s="20" t="s">
        <v>267</v>
      </c>
      <c r="F38" s="175">
        <f>Statement!AC171</f>
        <v>0.40504718481603225</v>
      </c>
    </row>
    <row r="39" spans="2:6" x14ac:dyDescent="0.2">
      <c r="B39" s="54" t="s">
        <v>266</v>
      </c>
      <c r="C39" s="215">
        <f ca="1">Statement!AC164</f>
        <v>5.0480396092600029E-2</v>
      </c>
      <c r="E39" s="20" t="s">
        <v>269</v>
      </c>
      <c r="F39" s="175">
        <f>Statement!AC172</f>
        <v>1.1382674159686141</v>
      </c>
    </row>
    <row r="40" spans="2:6" x14ac:dyDescent="0.2">
      <c r="B40" s="20" t="s">
        <v>264</v>
      </c>
      <c r="C40" s="175">
        <f ca="1">Statement!AC166</f>
        <v>2.0198581560283688E-2</v>
      </c>
      <c r="E40" s="20" t="s">
        <v>270</v>
      </c>
      <c r="F40" s="175">
        <f>Statement!AC173</f>
        <v>1.5433146007846463</v>
      </c>
    </row>
    <row r="41" spans="2:6" x14ac:dyDescent="0.2">
      <c r="B41" s="20" t="s">
        <v>289</v>
      </c>
      <c r="C41" s="175">
        <f ca="1">Statement!AC167</f>
        <v>5.7460190017395961E-2</v>
      </c>
    </row>
    <row r="42" spans="2:6" x14ac:dyDescent="0.2">
      <c r="B42" s="20" t="s">
        <v>291</v>
      </c>
      <c r="C42" s="175">
        <f ca="1">Statement!AC168</f>
        <v>7.7907132343101829E-2</v>
      </c>
    </row>
    <row r="45" spans="2:6" x14ac:dyDescent="0.2">
      <c r="B45" s="233" t="s">
        <v>276</v>
      </c>
      <c r="C45" s="233"/>
      <c r="E45" s="233" t="s">
        <v>282</v>
      </c>
      <c r="F45" s="233"/>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-2.9284089388465141E-2</v>
      </c>
    </row>
    <row r="51" spans="2:6" x14ac:dyDescent="0.2">
      <c r="B51" s="233" t="s">
        <v>279</v>
      </c>
      <c r="C51" s="233"/>
      <c r="E51" s="233" t="s">
        <v>300</v>
      </c>
      <c r="F51" s="233"/>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176.25</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186825</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192296</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18.71348342009124</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4.2771834208047368</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6.8101583693819201</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4.3129233391647599</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16.934918538088947</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5.3437405401838556E-2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5.0480396092600029E-2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2.0198581560283688E-2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5.7460190017395961E-2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7.7907132343101829E-2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-2.9284089388465141E-2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310</v>
      </c>
      <c r="D3" s="237"/>
      <c r="F3" s="238" t="s">
        <v>311</v>
      </c>
      <c r="G3" s="237"/>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34">
        <f>Statement!AA89</f>
        <v>-0.13491674828599412</v>
      </c>
      <c r="D7" s="235"/>
      <c r="F7" s="234">
        <f>IF(F6=0,
IF(G6=0,0,IF(G6&gt;0,1,-1)),
(G6-F6)/ABS(F6)
)</f>
        <v>-3.4611531104836508E-2</v>
      </c>
      <c r="G7" s="235"/>
    </row>
    <row r="8" spans="2:7" x14ac:dyDescent="0.2">
      <c r="B8" s="207" t="s">
        <v>20</v>
      </c>
      <c r="C8" s="200">
        <f>Statement!Z6</f>
        <v>5568</v>
      </c>
      <c r="D8" s="198">
        <f>Statement!AA6</f>
        <v>4900</v>
      </c>
      <c r="F8" s="200">
        <f>Statement!W6</f>
        <v>4937</v>
      </c>
      <c r="G8" s="198">
        <f>Statement!AA6</f>
        <v>4900</v>
      </c>
    </row>
    <row r="9" spans="2:7" x14ac:dyDescent="0.2">
      <c r="B9" s="206" t="s">
        <v>312</v>
      </c>
      <c r="C9" s="234">
        <f>Statement!AA90</f>
        <v>-0.11997126436781609</v>
      </c>
      <c r="D9" s="235"/>
      <c r="F9" s="234">
        <f>IF(F8=0,
IF(G8=0,0,IF(G8&gt;0,1,-1)),
(G8-F8)/ABS(F8)
)</f>
        <v>-7.4944298156775372E-3</v>
      </c>
      <c r="G9" s="235"/>
    </row>
    <row r="10" spans="2:7" x14ac:dyDescent="0.2">
      <c r="B10" s="207" t="s">
        <v>21</v>
      </c>
      <c r="C10" s="200">
        <f>Statement!Z7</f>
        <v>6684</v>
      </c>
      <c r="D10" s="198">
        <f>Statement!AA7</f>
        <v>5699</v>
      </c>
      <c r="F10" s="200">
        <f>Statement!W7</f>
        <v>6042</v>
      </c>
      <c r="G10" s="198">
        <f>Statement!AA7</f>
        <v>5699</v>
      </c>
    </row>
    <row r="11" spans="2:7" x14ac:dyDescent="0.2">
      <c r="B11" s="206" t="s">
        <v>312</v>
      </c>
      <c r="C11" s="234">
        <f>Statement!AA91</f>
        <v>-0.1473668461998803</v>
      </c>
      <c r="D11" s="235"/>
      <c r="F11" s="234">
        <f>IF(F10=0,
IF(G10=0,0,IF(G10&gt;0,1,-1)),
(G10-F10)/ABS(F10)
)</f>
        <v>-5.6769281694803046E-2</v>
      </c>
      <c r="G11" s="235"/>
    </row>
    <row r="12" spans="2:7" x14ac:dyDescent="0.2">
      <c r="B12" s="207" t="s">
        <v>23</v>
      </c>
      <c r="C12" s="200">
        <f>Statement!Z11</f>
        <v>3318</v>
      </c>
      <c r="D12" s="198">
        <f>Statement!AA11</f>
        <v>3390</v>
      </c>
      <c r="F12" s="200">
        <f>Statement!W11</f>
        <v>2922</v>
      </c>
      <c r="G12" s="198">
        <f>Statement!AA11</f>
        <v>3390</v>
      </c>
    </row>
    <row r="13" spans="2:7" x14ac:dyDescent="0.2">
      <c r="B13" s="206" t="s">
        <v>312</v>
      </c>
      <c r="C13" s="234">
        <f>Statement!AA94</f>
        <v>2.1699819168173599E-2</v>
      </c>
      <c r="D13" s="235"/>
      <c r="F13" s="234">
        <f>IF(F12=0,
IF(G12=0,0,IF(G12&gt;0,1,-1)),
(G12-F12)/ABS(F12)
)</f>
        <v>0.16016427104722791</v>
      </c>
      <c r="G13" s="235"/>
    </row>
    <row r="14" spans="2:7" x14ac:dyDescent="0.2">
      <c r="B14" s="207" t="s">
        <v>313</v>
      </c>
      <c r="C14" s="200">
        <f>Statement!Z12</f>
        <v>3366</v>
      </c>
      <c r="D14" s="198">
        <f>Statement!AA12</f>
        <v>2309</v>
      </c>
      <c r="F14" s="200">
        <f>Statement!W12</f>
        <v>3120</v>
      </c>
      <c r="G14" s="198">
        <f>Statement!AA12</f>
        <v>2309</v>
      </c>
    </row>
    <row r="15" spans="2:7" x14ac:dyDescent="0.2">
      <c r="B15" s="206" t="s">
        <v>312</v>
      </c>
      <c r="C15" s="234">
        <f>Statement!AA95</f>
        <v>-0.31402257872846107</v>
      </c>
      <c r="D15" s="235"/>
      <c r="F15" s="234">
        <f>IF(F14=0,
IF(G14=0,0,IF(G14&gt;0,1,-1)),
(G14-F14)/ABS(F14)
)</f>
        <v>-0.25993589743589746</v>
      </c>
      <c r="G15" s="235"/>
    </row>
    <row r="16" spans="2:7" x14ac:dyDescent="0.2">
      <c r="B16" s="207" t="s">
        <v>29</v>
      </c>
      <c r="C16" s="200">
        <f>Statement!Z18</f>
        <v>3004</v>
      </c>
      <c r="D16" s="198">
        <f>Statement!AA18</f>
        <v>1932</v>
      </c>
      <c r="F16" s="200">
        <f>Statement!W18</f>
        <v>2812</v>
      </c>
      <c r="G16" s="198">
        <f>Statement!AA18</f>
        <v>1932</v>
      </c>
    </row>
    <row r="17" spans="2:7" x14ac:dyDescent="0.2">
      <c r="B17" s="206" t="s">
        <v>312</v>
      </c>
      <c r="C17" s="234">
        <f>Statement!AA97</f>
        <v>-0.35685752330226367</v>
      </c>
      <c r="D17" s="235"/>
      <c r="F17" s="234">
        <f>IF(F16=0,
IF(G16=0,0,IF(G16&gt;0,1,-1)),
(G16-F16)/ABS(F16)
)</f>
        <v>-0.31294452347083929</v>
      </c>
      <c r="G17" s="235"/>
    </row>
    <row r="18" spans="2:7" x14ac:dyDescent="0.2">
      <c r="B18" s="207" t="s">
        <v>314</v>
      </c>
      <c r="C18" s="200">
        <f>Statement!Z22</f>
        <v>1079</v>
      </c>
      <c r="D18" s="198">
        <f>Statement!AA22</f>
        <v>1072</v>
      </c>
      <c r="F18" s="200">
        <f>Statement!W22</f>
        <v>1115</v>
      </c>
      <c r="G18" s="198">
        <f>Statement!AA22</f>
        <v>1072</v>
      </c>
    </row>
    <row r="19" spans="2:7" x14ac:dyDescent="0.2">
      <c r="B19" s="206" t="s">
        <v>312</v>
      </c>
      <c r="C19" s="234">
        <f>IF(C18=0,
IF(D18=0,0,IF(D18&gt;0,1,-1)),
(D18-C18)/ABS(C18)
)</f>
        <v>-6.4874884151992582E-3</v>
      </c>
      <c r="D19" s="235"/>
      <c r="F19" s="234">
        <f>IF(F18=0,
IF(G18=0,0,IF(G18&gt;0,1,-1)),
(G18-F18)/ABS(F18)
)</f>
        <v>-3.8565022421524667E-2</v>
      </c>
      <c r="G19" s="235"/>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34">
        <f>IF(C20=0,
IF(D20=0,0,IF(D20&gt;0,1,-1)),
(D20-C20)/ABS(C20)
)</f>
        <v>-0.35171265972296784</v>
      </c>
      <c r="D21" s="235"/>
      <c r="F21" s="234">
        <f>IF(F20=0,
IF(G20=0,0,IF(G20&gt;0,1,-1)),
(G20-F20)/ABS(F20)
)</f>
        <v>-0.28482587064676618</v>
      </c>
      <c r="G21" s="235"/>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34">
        <f>IF(C24=0,
IF(D24=0,0,IF(D24&gt;0,1,-1)),
(D24-C24)/ABS(C24)
)</f>
        <v>-0.23006134969325154</v>
      </c>
      <c r="D25" s="235"/>
      <c r="F25" s="234">
        <f>IF(F24=0,
IF(G24=0,0,IF(G24&gt;0,1,-1)),
(G24-F24)/ABS(F24)
)</f>
        <v>-0.13061047770241016</v>
      </c>
      <c r="G25" s="235"/>
    </row>
    <row r="26" spans="2:7" x14ac:dyDescent="0.2">
      <c r="B26" s="222" t="s">
        <v>388</v>
      </c>
      <c r="C26" s="200">
        <f>Statement!Z191</f>
        <v>1101</v>
      </c>
      <c r="D26" s="198">
        <f>Statement!AA191</f>
        <v>1326</v>
      </c>
      <c r="F26" s="200">
        <f>Statement!W191</f>
        <v>959</v>
      </c>
      <c r="G26" s="198">
        <f>Statement!AA191</f>
        <v>1326</v>
      </c>
    </row>
    <row r="27" spans="2:7" x14ac:dyDescent="0.2">
      <c r="B27" s="206" t="s">
        <v>312</v>
      </c>
      <c r="C27" s="234">
        <f>IF(C26=0,
IF(D26=0,0,IF(D26&gt;0,1,-1)),
(D26-C26)/ABS(C26)
)</f>
        <v>0.20435967302452315</v>
      </c>
      <c r="D27" s="235"/>
      <c r="F27" s="234">
        <f>IF(F26=0,
IF(G26=0,0,IF(G26&gt;0,1,-1)),
(G26-F26)/ABS(F26)
)</f>
        <v>0.38269030239833157</v>
      </c>
      <c r="G27" s="235"/>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34">
        <f>IF(C28=0,
IF(D28=0,0,IF(D28&gt;0,1,-1)),
(D28-C28)/ABS(C28)
)</f>
        <v>2.2511848341232227E-2</v>
      </c>
      <c r="D29" s="235"/>
      <c r="F29" s="234">
        <f>IF(F28=0,
IF(G28=0,0,IF(G28&gt;0,1,-1)),
(G28-F28)/ABS(F28)
)</f>
        <v>9.1714104996837451E-2</v>
      </c>
      <c r="G29" s="235"/>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34">
        <f>IF(C30=0,
IF(D30=0,0,IF(D30&gt;0,1,-1)),
(D30-C30)/ABS(C30)
)</f>
        <v>-0.1448223876378027</v>
      </c>
      <c r="D31" s="235"/>
      <c r="F31" s="234">
        <f>IF(F30=0,
IF(G30=0,0,IF(G30&gt;0,1,-1)),
(G30-F30)/ABS(F30)
)</f>
        <v>-4.1503854683704718E-2</v>
      </c>
      <c r="G31" s="235"/>
    </row>
    <row r="32" spans="2:7" x14ac:dyDescent="0.2">
      <c r="B32" s="20" t="s">
        <v>391</v>
      </c>
      <c r="C32" s="200">
        <f>Statement!Z194</f>
        <v>1592</v>
      </c>
      <c r="D32" s="200">
        <f>Statement!AA194</f>
        <v>1382</v>
      </c>
      <c r="F32" s="200">
        <f>Statement!W194</f>
        <v>1319</v>
      </c>
      <c r="G32" s="200">
        <f>Statement!AA194</f>
        <v>1382</v>
      </c>
    </row>
    <row r="33" spans="2:7" x14ac:dyDescent="0.2">
      <c r="B33" s="206" t="s">
        <v>312</v>
      </c>
      <c r="C33" s="234">
        <f>IF(C32=0,
IF(D32=0,0,IF(D32&gt;0,1,-1)),
(D32-C32)/ABS(C32)
)</f>
        <v>-0.13190954773869346</v>
      </c>
      <c r="D33" s="235"/>
      <c r="F33" s="234">
        <f>IF(F32=0,
IF(G32=0,0,IF(G32&gt;0,1,-1)),
(G32-F32)/ABS(F32)
)</f>
        <v>4.7763457164518575E-2</v>
      </c>
      <c r="G33" s="23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1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5"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T4" zoomScale="184" zoomScaleNormal="75" workbookViewId="0">
      <selection activeCell="AA20" sqref="AA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3" t="s">
        <v>105</v>
      </c>
      <c r="D2" s="233"/>
      <c r="E2" s="233"/>
      <c r="F2" s="233"/>
      <c r="G2" s="242"/>
      <c r="H2" s="243" t="s">
        <v>106</v>
      </c>
      <c r="I2" s="233"/>
      <c r="J2" s="233"/>
      <c r="K2" s="233"/>
      <c r="L2" s="233"/>
      <c r="O2" s="5"/>
      <c r="S2" s="233" t="s">
        <v>105</v>
      </c>
      <c r="T2" s="233"/>
      <c r="U2" s="233"/>
      <c r="V2" s="233"/>
      <c r="W2" s="233"/>
      <c r="X2" s="233"/>
      <c r="Y2" s="233"/>
      <c r="Z2" s="233"/>
      <c r="AA2" s="233" t="s">
        <v>106</v>
      </c>
      <c r="AB2" s="233"/>
      <c r="AC2" s="233"/>
      <c r="AE2" s="85" t="s">
        <v>107</v>
      </c>
    </row>
    <row r="3" spans="1:31" ht="10" customHeight="1" x14ac:dyDescent="0.2">
      <c r="O3" s="5"/>
    </row>
    <row r="4" spans="1:31" ht="16" customHeight="1" x14ac:dyDescent="0.2">
      <c r="A4" s="86"/>
      <c r="B4" s="60"/>
      <c r="C4" s="239" t="s">
        <v>108</v>
      </c>
      <c r="D4" s="239"/>
      <c r="E4" s="239"/>
      <c r="F4" s="239"/>
      <c r="G4" s="239"/>
      <c r="H4" s="239"/>
      <c r="I4" s="239"/>
      <c r="J4" s="239"/>
      <c r="K4" s="239"/>
      <c r="L4" s="239"/>
      <c r="O4" s="5"/>
      <c r="S4" s="240" t="s">
        <v>108</v>
      </c>
      <c r="T4" s="241"/>
      <c r="U4" s="241"/>
      <c r="V4" s="241"/>
      <c r="W4" s="241"/>
      <c r="X4" s="241"/>
      <c r="Y4" s="241"/>
      <c r="Z4" s="241"/>
      <c r="AA4" s="241"/>
      <c r="AB4" s="241"/>
      <c r="AC4" s="241"/>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39" t="s">
        <v>114</v>
      </c>
      <c r="D13" s="239"/>
      <c r="E13" s="239"/>
      <c r="F13" s="239"/>
      <c r="G13" s="239"/>
      <c r="H13" s="239"/>
      <c r="I13" s="239"/>
      <c r="J13" s="239"/>
      <c r="K13" s="239"/>
      <c r="L13" s="239"/>
      <c r="O13" s="5"/>
      <c r="Q13" s="91"/>
      <c r="S13" s="240" t="s">
        <v>114</v>
      </c>
      <c r="T13" s="241"/>
      <c r="U13" s="241"/>
      <c r="V13" s="241"/>
      <c r="W13" s="241"/>
      <c r="X13" s="241"/>
      <c r="Y13" s="241"/>
      <c r="Z13" s="241"/>
      <c r="AA13" s="241"/>
      <c r="AB13" s="241"/>
      <c r="AC13" s="241"/>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9"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3" t="s">
        <v>105</v>
      </c>
      <c r="D2" s="233"/>
      <c r="E2" s="233"/>
      <c r="F2" s="233"/>
      <c r="G2" s="242"/>
      <c r="H2" s="243" t="s">
        <v>106</v>
      </c>
      <c r="I2" s="233"/>
      <c r="J2" s="233"/>
      <c r="K2" s="233"/>
      <c r="L2" s="233"/>
      <c r="P2" s="233" t="s">
        <v>105</v>
      </c>
      <c r="Q2" s="233"/>
      <c r="R2" s="233"/>
      <c r="S2" s="233"/>
      <c r="T2" s="233"/>
      <c r="U2" s="233"/>
      <c r="V2" s="233"/>
      <c r="W2" s="233"/>
      <c r="X2" s="233" t="s">
        <v>106</v>
      </c>
      <c r="Y2" s="233"/>
      <c r="Z2" s="233"/>
      <c r="AB2" s="85" t="s">
        <v>107</v>
      </c>
    </row>
    <row r="3" spans="1:28" ht="10" customHeight="1" x14ac:dyDescent="0.2"/>
    <row r="4" spans="1:28" ht="16" customHeight="1" x14ac:dyDescent="0.2">
      <c r="A4" s="86"/>
      <c r="B4" s="60"/>
      <c r="C4" s="239" t="s">
        <v>108</v>
      </c>
      <c r="D4" s="239"/>
      <c r="E4" s="239"/>
      <c r="F4" s="239"/>
      <c r="G4" s="239"/>
      <c r="H4" s="239"/>
      <c r="I4" s="239"/>
      <c r="J4" s="239"/>
      <c r="K4" s="239"/>
      <c r="L4" s="239"/>
      <c r="P4" s="241" t="s">
        <v>108</v>
      </c>
      <c r="Q4" s="241"/>
      <c r="R4" s="241"/>
      <c r="S4" s="241"/>
      <c r="T4" s="241"/>
      <c r="U4" s="241"/>
      <c r="V4" s="241"/>
      <c r="W4" s="241"/>
      <c r="X4" s="241"/>
      <c r="Y4" s="241"/>
      <c r="Z4" s="24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39" t="s">
        <v>117</v>
      </c>
      <c r="D9" s="239"/>
      <c r="E9" s="239"/>
      <c r="F9" s="239"/>
      <c r="G9" s="239"/>
      <c r="H9" s="239"/>
      <c r="I9" s="239"/>
      <c r="J9" s="239"/>
      <c r="K9" s="239"/>
      <c r="L9" s="239"/>
      <c r="N9" s="91"/>
      <c r="P9" s="241" t="s">
        <v>118</v>
      </c>
      <c r="Q9" s="241"/>
      <c r="R9" s="241"/>
      <c r="S9" s="241"/>
      <c r="T9" s="241"/>
      <c r="U9" s="241"/>
      <c r="V9" s="241"/>
      <c r="W9" s="241"/>
      <c r="X9" s="241"/>
      <c r="Y9" s="241"/>
      <c r="Z9" s="241"/>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39" t="s">
        <v>120</v>
      </c>
      <c r="D17" s="239"/>
      <c r="E17" s="239"/>
      <c r="F17" s="239"/>
      <c r="G17" s="239"/>
      <c r="H17" s="239"/>
      <c r="I17" s="239"/>
      <c r="J17" s="239"/>
      <c r="K17" s="239"/>
      <c r="L17" s="239"/>
      <c r="P17" s="241" t="s">
        <v>120</v>
      </c>
      <c r="Q17" s="241"/>
      <c r="R17" s="241"/>
      <c r="S17" s="241"/>
      <c r="T17" s="241"/>
      <c r="U17" s="241"/>
      <c r="V17" s="241"/>
      <c r="W17" s="241"/>
      <c r="X17" s="241"/>
      <c r="Y17" s="241"/>
      <c r="Z17" s="241"/>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abSelected="1" topLeftCell="A34" zoomScale="189" zoomScaleNormal="100" workbookViewId="0">
      <selection activeCell="F43" sqref="F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108</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9" t="s">
        <v>124</v>
      </c>
      <c r="D11" s="239"/>
      <c r="E11" s="239"/>
      <c r="F11" s="239"/>
      <c r="G11" s="239"/>
      <c r="H11" s="239"/>
      <c r="I11" s="239"/>
      <c r="J11" s="239"/>
      <c r="K11" s="239"/>
      <c r="L11" s="239"/>
      <c r="N11" s="91"/>
      <c r="P11" s="244"/>
      <c r="Q11" s="244"/>
      <c r="R11" s="244"/>
      <c r="S11" s="244"/>
      <c r="T11" s="244"/>
      <c r="U11" s="244"/>
      <c r="V11" s="244"/>
      <c r="W11" s="244"/>
      <c r="X11" s="244"/>
      <c r="Y11" s="244"/>
      <c r="Z11" s="244"/>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39" t="s">
        <v>129</v>
      </c>
      <c r="D18" s="239"/>
      <c r="E18" s="239"/>
      <c r="F18" s="239"/>
      <c r="G18" s="239"/>
      <c r="H18" s="239"/>
      <c r="I18" s="239"/>
      <c r="J18" s="239"/>
      <c r="K18" s="239"/>
      <c r="L18" s="239"/>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4"/>
      <c r="C25" s="244"/>
    </row>
    <row r="26" spans="2:12" x14ac:dyDescent="0.2">
      <c r="B26" s="109"/>
      <c r="C26" s="239" t="s">
        <v>135</v>
      </c>
      <c r="D26" s="239"/>
      <c r="E26" s="239"/>
      <c r="F26" s="239"/>
      <c r="G26" s="239"/>
      <c r="H26" s="239"/>
      <c r="I26" s="239"/>
      <c r="J26" s="239"/>
      <c r="K26" s="239"/>
      <c r="L26" s="239"/>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39" t="s">
        <v>139</v>
      </c>
      <c r="D33" s="239"/>
      <c r="E33" s="239"/>
      <c r="F33" s="239"/>
      <c r="G33" s="239"/>
      <c r="H33" s="239"/>
      <c r="I33" s="239"/>
      <c r="J33" s="239"/>
      <c r="K33" s="239"/>
      <c r="L33" s="239"/>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9" t="s">
        <v>142</v>
      </c>
      <c r="D40" s="239"/>
      <c r="E40" s="239"/>
      <c r="F40" s="239"/>
      <c r="G40" s="239"/>
      <c r="H40" s="239"/>
      <c r="I40" s="239"/>
      <c r="J40" s="239"/>
      <c r="K40" s="239"/>
      <c r="L40" s="239"/>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1.2</v>
      </c>
      <c r="I44" s="123">
        <f t="shared" si="13"/>
        <v>1.2</v>
      </c>
      <c r="J44" s="123">
        <f t="shared" si="13"/>
        <v>1.2</v>
      </c>
      <c r="K44" s="123">
        <f t="shared" si="13"/>
        <v>1.1999999999999997</v>
      </c>
      <c r="L44" s="123">
        <f t="shared" si="13"/>
        <v>1.2</v>
      </c>
    </row>
    <row r="45" spans="2:12" x14ac:dyDescent="0.2">
      <c r="B45" s="1" t="s">
        <v>58</v>
      </c>
      <c r="C45" s="114">
        <f>-Statement!M109</f>
        <v>1888</v>
      </c>
      <c r="D45" s="114">
        <f>-Statement!N109</f>
        <v>2262</v>
      </c>
      <c r="E45" s="114">
        <f>-Statement!O109</f>
        <v>1450</v>
      </c>
      <c r="F45" s="114">
        <f>-Statement!P109</f>
        <v>1041</v>
      </c>
      <c r="G45" s="115">
        <f>-Statement!Q109</f>
        <v>1192</v>
      </c>
      <c r="H45" s="25">
        <f>H7*H46</f>
        <v>1021.8447500000002</v>
      </c>
      <c r="I45" s="25">
        <f>I7*I46</f>
        <v>1015.1923624999999</v>
      </c>
      <c r="J45" s="25">
        <f>J7*J46</f>
        <v>1107.0399692500002</v>
      </c>
      <c r="K45" s="25">
        <f>K7*K46</f>
        <v>1251.1347737955</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2.5000000000000001E-2</v>
      </c>
      <c r="I46" s="97">
        <v>2.5000000000000001E-2</v>
      </c>
      <c r="J46" s="97">
        <v>2.5000000000000001E-2</v>
      </c>
      <c r="K46" s="97">
        <v>2.5000000000000001E-2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3" t="s">
        <v>105</v>
      </c>
      <c r="D2" s="233"/>
      <c r="E2" s="233"/>
      <c r="F2" s="233"/>
      <c r="G2" s="242"/>
      <c r="H2" s="243" t="s">
        <v>106</v>
      </c>
      <c r="I2" s="233"/>
      <c r="J2" s="233"/>
      <c r="K2" s="233"/>
      <c r="L2" s="233"/>
      <c r="S2" s="244"/>
      <c r="T2" s="244"/>
      <c r="U2" s="244"/>
      <c r="V2" s="244"/>
      <c r="W2" s="244"/>
      <c r="X2" s="244"/>
      <c r="Y2" s="244"/>
      <c r="Z2" s="244"/>
      <c r="AA2" s="244"/>
      <c r="AB2" s="244"/>
      <c r="AC2" s="244"/>
      <c r="AE2" s="109"/>
    </row>
    <row r="3" spans="1:31" ht="10" customHeight="1" x14ac:dyDescent="0.2"/>
    <row r="4" spans="1:31" ht="16" customHeight="1" x14ac:dyDescent="0.2">
      <c r="A4" s="86"/>
      <c r="B4" s="60"/>
      <c r="C4" s="239" t="s">
        <v>18</v>
      </c>
      <c r="D4" s="239"/>
      <c r="E4" s="239"/>
      <c r="F4" s="239"/>
      <c r="G4" s="239"/>
      <c r="H4" s="239"/>
      <c r="I4" s="239"/>
      <c r="J4" s="239"/>
      <c r="K4" s="239"/>
      <c r="L4" s="239"/>
      <c r="S4" s="244"/>
      <c r="T4" s="244"/>
      <c r="U4" s="244"/>
      <c r="V4" s="244"/>
      <c r="W4" s="244"/>
      <c r="X4" s="244"/>
      <c r="Y4" s="244"/>
      <c r="Z4" s="244"/>
      <c r="AA4" s="244"/>
      <c r="AB4" s="244"/>
      <c r="AC4" s="244"/>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39" t="s">
        <v>150</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9" t="s">
        <v>151</v>
      </c>
      <c r="D18" s="239"/>
      <c r="E18" s="239"/>
      <c r="F18" s="239"/>
      <c r="G18" s="239"/>
      <c r="H18" s="239"/>
      <c r="I18" s="239"/>
      <c r="J18" s="239"/>
      <c r="K18" s="239"/>
      <c r="L18" s="239"/>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1021.8447500000002</v>
      </c>
      <c r="I21" s="88">
        <f>'WC &amp; Investments'!I45</f>
        <v>1015.1923624999999</v>
      </c>
      <c r="J21" s="88">
        <f>'WC &amp; Investments'!J45</f>
        <v>1107.0399692500002</v>
      </c>
      <c r="K21" s="88">
        <f>'WC &amp; Investments'!K45</f>
        <v>1251.1347737955</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39" t="s">
        <v>259</v>
      </c>
      <c r="D25" s="239"/>
      <c r="E25" s="239"/>
      <c r="F25" s="239"/>
      <c r="G25" s="239"/>
      <c r="H25" s="239"/>
      <c r="I25" s="239"/>
      <c r="J25" s="239"/>
      <c r="K25" s="239"/>
      <c r="L25" s="239"/>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9962.4454400547947</v>
      </c>
      <c r="I28" s="94">
        <f t="shared" si="7"/>
        <v>9846.3077947150741</v>
      </c>
      <c r="J28" s="94">
        <f t="shared" si="7"/>
        <v>10316.299001554395</v>
      </c>
      <c r="K28" s="94">
        <f t="shared" si="7"/>
        <v>10835.230978068088</v>
      </c>
      <c r="L28" s="94">
        <f t="shared" si="7"/>
        <v>12850.770513331205</v>
      </c>
    </row>
    <row r="31" spans="2:14" x14ac:dyDescent="0.2">
      <c r="C31" s="239" t="s">
        <v>75</v>
      </c>
      <c r="D31" s="239"/>
      <c r="E31" s="239"/>
      <c r="F31" s="239"/>
      <c r="G31" s="239"/>
      <c r="H31" s="239"/>
      <c r="I31" s="239"/>
      <c r="J31" s="239"/>
      <c r="K31" s="239"/>
      <c r="L31" s="239"/>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3" t="s">
        <v>158</v>
      </c>
      <c r="C4" s="233"/>
    </row>
    <row r="5" spans="1:3" ht="17" customHeight="1" x14ac:dyDescent="0.2">
      <c r="B5" s="1" t="s">
        <v>159</v>
      </c>
      <c r="C5" s="136">
        <f>Statement!AC78</f>
        <v>1060</v>
      </c>
    </row>
    <row r="6" spans="1:3" ht="17" customHeight="1" x14ac:dyDescent="0.2">
      <c r="B6" s="1" t="s">
        <v>1</v>
      </c>
      <c r="C6" s="133">
        <f ca="1">Overview!C5</f>
        <v>176.25</v>
      </c>
    </row>
    <row r="7" spans="1:3" ht="17" customHeight="1" x14ac:dyDescent="0.2">
      <c r="B7" s="1" t="s">
        <v>160</v>
      </c>
      <c r="C7" s="134">
        <f ca="1">C5*C6</f>
        <v>186825</v>
      </c>
    </row>
    <row r="8" spans="1:3" ht="17" customHeight="1" x14ac:dyDescent="0.2">
      <c r="B8" s="1" t="s">
        <v>161</v>
      </c>
      <c r="C8" s="112">
        <f>Statement!AC107</f>
        <v>15270</v>
      </c>
    </row>
    <row r="9" spans="1:3" ht="17" customHeight="1" x14ac:dyDescent="0.2">
      <c r="B9" s="1" t="s">
        <v>162</v>
      </c>
      <c r="C9" s="135">
        <f ca="1">Overview!F27</f>
        <v>4.4850000000000001E-2</v>
      </c>
    </row>
    <row r="10" spans="1:3" ht="17" customHeight="1" x14ac:dyDescent="0.2">
      <c r="B10" s="1" t="s">
        <v>9</v>
      </c>
      <c r="C10" s="133">
        <f ca="1">Overview!C13</f>
        <v>1.6396999999999999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3" t="s">
        <v>165</v>
      </c>
      <c r="C15" s="233"/>
    </row>
    <row r="16" spans="1:3" ht="17" customHeight="1" x14ac:dyDescent="0.2">
      <c r="B16" s="1" t="s">
        <v>166</v>
      </c>
      <c r="C16" s="46">
        <f ca="1">C8/(C8+C7)</f>
        <v>7.5558524456320053E-2</v>
      </c>
    </row>
    <row r="17" spans="2:3" ht="17" customHeight="1" x14ac:dyDescent="0.2">
      <c r="B17" s="1" t="s">
        <v>167</v>
      </c>
      <c r="C17" s="46">
        <f ca="1">C7/(C8+C7)</f>
        <v>0.92444147554367995</v>
      </c>
    </row>
    <row r="18" spans="2:3" ht="17" customHeight="1" x14ac:dyDescent="0.2">
      <c r="B18" s="1" t="s">
        <v>168</v>
      </c>
      <c r="C18" s="46">
        <f>C13*(1-C12)</f>
        <v>3.6735000000000004E-2</v>
      </c>
    </row>
    <row r="19" spans="2:3" ht="17" customHeight="1" x14ac:dyDescent="0.2">
      <c r="B19" s="1" t="s">
        <v>169</v>
      </c>
      <c r="C19" s="46">
        <f ca="1">C9+C10*C11</f>
        <v>0.11863649999999999</v>
      </c>
    </row>
    <row r="20" spans="2:3" ht="17" customHeight="1" x14ac:dyDescent="0.2">
      <c r="B20" s="1" t="s">
        <v>157</v>
      </c>
      <c r="C20" s="46">
        <f ca="1">(C17*C19)+(C16*C18)</f>
        <v>0.11244814350924069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9962.4454400547947</v>
      </c>
      <c r="I7" s="112">
        <f>'FCF &amp; Other'!I28</f>
        <v>9846.3077947150741</v>
      </c>
      <c r="J7" s="112">
        <f>'FCF &amp; Other'!J28</f>
        <v>10316.299001554395</v>
      </c>
      <c r="K7" s="112">
        <f>'FCF &amp; Other'!K28</f>
        <v>10835.230978068088</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150626.86579244063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8955.4245725360779</v>
      </c>
      <c r="I10" s="126">
        <f t="shared" ref="I10:L10" ca="1" si="0">I7/(1+$C$15)^I9</f>
        <v>7956.3495780345447</v>
      </c>
      <c r="J10" s="126">
        <f t="shared" ca="1" si="0"/>
        <v>7493.4979734694343</v>
      </c>
      <c r="K10" s="126">
        <f t="shared" ca="1" si="0"/>
        <v>7074.8798917231115</v>
      </c>
      <c r="L10" s="126">
        <f t="shared" ca="1" si="0"/>
        <v>7542.7600143685713</v>
      </c>
      <c r="N10" s="91"/>
    </row>
    <row r="11" spans="1:28" x14ac:dyDescent="0.2">
      <c r="B11" s="1" t="s">
        <v>175</v>
      </c>
      <c r="C11" s="137"/>
      <c r="D11" s="137"/>
      <c r="E11" s="137"/>
      <c r="F11" s="137"/>
      <c r="G11" s="138"/>
      <c r="H11" s="137"/>
      <c r="I11" s="137"/>
      <c r="J11" s="137"/>
      <c r="K11" s="137"/>
      <c r="L11" s="126">
        <f ca="1">L8/(1+C15)^L9</f>
        <v>88410.441942781923</v>
      </c>
    </row>
    <row r="13" spans="1:28" x14ac:dyDescent="0.2">
      <c r="B13" s="233" t="s">
        <v>176</v>
      </c>
      <c r="C13" s="233"/>
    </row>
    <row r="14" spans="1:28" x14ac:dyDescent="0.2">
      <c r="B14" s="1" t="s">
        <v>177</v>
      </c>
      <c r="C14" s="140">
        <v>2.5000000000000001E-2</v>
      </c>
    </row>
    <row r="15" spans="1:28" x14ac:dyDescent="0.2">
      <c r="B15" s="1" t="s">
        <v>157</v>
      </c>
      <c r="C15" s="135">
        <f ca="1">IF(Overview!C28&gt;0,Overview!C28,WACC!C20)</f>
        <v>0.11244814350924069</v>
      </c>
    </row>
    <row r="18" spans="2:3" x14ac:dyDescent="0.2">
      <c r="B18" s="233" t="s">
        <v>178</v>
      </c>
      <c r="C18" s="233"/>
    </row>
    <row r="19" spans="2:3" x14ac:dyDescent="0.2">
      <c r="B19" s="1" t="s">
        <v>179</v>
      </c>
      <c r="C19" s="64">
        <f ca="1">SUM(H10:L10)</f>
        <v>39022.912030131738</v>
      </c>
    </row>
    <row r="20" spans="2:3" x14ac:dyDescent="0.2">
      <c r="B20" s="1" t="s">
        <v>175</v>
      </c>
      <c r="C20" s="64">
        <f ca="1">L11</f>
        <v>88410.441942781923</v>
      </c>
    </row>
    <row r="21" spans="2:3" x14ac:dyDescent="0.2">
      <c r="B21" s="16" t="s">
        <v>180</v>
      </c>
      <c r="C21" s="94">
        <f ca="1">C19+C20</f>
        <v>127433.35397291367</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121962.35397291367</v>
      </c>
    </row>
    <row r="25" spans="2:3" x14ac:dyDescent="0.2">
      <c r="B25" s="1" t="s">
        <v>67</v>
      </c>
      <c r="C25" s="136">
        <f>Statement!AC78</f>
        <v>1060</v>
      </c>
    </row>
    <row r="26" spans="2:3" x14ac:dyDescent="0.2">
      <c r="B26" s="141" t="s">
        <v>184</v>
      </c>
      <c r="C26" s="142">
        <f ca="1">C24/C25</f>
        <v>115.05882450274875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11" zoomScale="192" zoomScaleNormal="100" workbookViewId="0">
      <selection activeCell="L19" sqref="L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3" t="s">
        <v>105</v>
      </c>
      <c r="D2" s="233"/>
      <c r="E2" s="233"/>
      <c r="F2" s="233"/>
      <c r="G2" s="242"/>
      <c r="H2" s="243" t="s">
        <v>106</v>
      </c>
      <c r="I2" s="233"/>
      <c r="J2" s="233"/>
      <c r="K2" s="233"/>
      <c r="L2" s="233"/>
    </row>
    <row r="3" spans="1:14" ht="10" customHeight="1" x14ac:dyDescent="0.2"/>
    <row r="4" spans="1:14" ht="16" customHeight="1" x14ac:dyDescent="0.2">
      <c r="A4" s="86"/>
      <c r="B4" s="60"/>
      <c r="C4" s="239" t="s">
        <v>186</v>
      </c>
      <c r="D4" s="239"/>
      <c r="E4" s="239"/>
      <c r="F4" s="239"/>
      <c r="G4" s="239"/>
      <c r="H4" s="239"/>
      <c r="I4" s="239"/>
      <c r="J4" s="239"/>
      <c r="K4" s="239"/>
      <c r="L4" s="23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9962.4454400547947</v>
      </c>
      <c r="I8" s="92">
        <f>'FCF &amp; Other'!I28</f>
        <v>9846.3077947150741</v>
      </c>
      <c r="J8" s="92">
        <f>'FCF &amp; Other'!J28</f>
        <v>10316.299001554395</v>
      </c>
      <c r="K8" s="92">
        <f>'FCF &amp; Other'!K28</f>
        <v>10835.230978068088</v>
      </c>
      <c r="L8" s="92">
        <f>'FCF &amp; Other'!L28</f>
        <v>12850.770513331205</v>
      </c>
      <c r="N8" s="91"/>
    </row>
    <row r="9" spans="1:14" x14ac:dyDescent="0.2">
      <c r="N9" s="91"/>
    </row>
    <row r="10" spans="1:14" x14ac:dyDescent="0.2">
      <c r="C10" s="239" t="s">
        <v>114</v>
      </c>
      <c r="D10" s="239"/>
      <c r="E10" s="239"/>
      <c r="F10" s="239"/>
      <c r="G10" s="239"/>
      <c r="H10" s="239"/>
      <c r="I10" s="239"/>
      <c r="J10" s="239"/>
      <c r="K10" s="239"/>
      <c r="L10" s="239"/>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-0.15512259839061682</v>
      </c>
      <c r="I14" s="95">
        <f t="shared" si="3"/>
        <v>-1.1657543927194832E-2</v>
      </c>
      <c r="J14" s="95">
        <f t="shared" si="3"/>
        <v>4.7732735624168125E-2</v>
      </c>
      <c r="K14" s="95">
        <f t="shared" si="3"/>
        <v>5.0302145802046255E-2</v>
      </c>
      <c r="L14" s="95">
        <f t="shared" si="3"/>
        <v>0.18601721913845953</v>
      </c>
      <c r="N14" s="91"/>
    </row>
    <row r="15" spans="1:14" x14ac:dyDescent="0.2">
      <c r="N15" s="91"/>
    </row>
    <row r="16" spans="1:14" x14ac:dyDescent="0.2">
      <c r="C16" s="239" t="s">
        <v>188</v>
      </c>
      <c r="D16" s="239"/>
      <c r="E16" s="239"/>
      <c r="F16" s="239"/>
      <c r="G16" s="239"/>
      <c r="H16" s="239"/>
      <c r="I16" s="239"/>
      <c r="J16" s="239"/>
      <c r="K16" s="239"/>
      <c r="L16" s="23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39" t="s">
        <v>191</v>
      </c>
      <c r="D21" s="239"/>
      <c r="E21" s="239"/>
      <c r="F21" s="239"/>
      <c r="G21" s="239"/>
      <c r="H21" s="239"/>
      <c r="I21" s="239"/>
      <c r="J21" s="239"/>
      <c r="K21" s="239"/>
      <c r="L21" s="23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9" t="s">
        <v>192</v>
      </c>
      <c r="D26" s="239"/>
      <c r="E26" s="239"/>
      <c r="F26" s="239"/>
      <c r="G26" s="239"/>
      <c r="H26" s="239"/>
      <c r="I26" s="239"/>
      <c r="J26" s="239"/>
      <c r="K26" s="239"/>
      <c r="L26" s="23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3" t="s">
        <v>197</v>
      </c>
      <c r="C37" s="233"/>
      <c r="N37" s="91"/>
    </row>
    <row r="38" spans="2:14" x14ac:dyDescent="0.2">
      <c r="B38" s="1" t="s">
        <v>198</v>
      </c>
      <c r="C38" s="64">
        <f>L7</f>
        <v>16641.420831907126</v>
      </c>
    </row>
    <row r="39" spans="2:14" x14ac:dyDescent="0.2">
      <c r="B39" s="1" t="s">
        <v>157</v>
      </c>
      <c r="C39" s="135">
        <f ca="1">IF(Overview!C28&gt;0,Overview!C28,WACC!C20)</f>
        <v>0.11244814350924069</v>
      </c>
    </row>
    <row r="40" spans="2:14" x14ac:dyDescent="0.2">
      <c r="B40" s="39" t="s">
        <v>199</v>
      </c>
      <c r="C40" s="105">
        <v>20</v>
      </c>
    </row>
    <row r="41" spans="2:14" x14ac:dyDescent="0.2">
      <c r="B41" s="1" t="s">
        <v>195</v>
      </c>
      <c r="C41" s="24">
        <f>(C38*C40)</f>
        <v>332828.41663814255</v>
      </c>
    </row>
    <row r="42" spans="2:14" x14ac:dyDescent="0.2">
      <c r="B42" s="1" t="s">
        <v>353</v>
      </c>
      <c r="C42" s="24">
        <f ca="1">C41/(1+C39)^5-G30+G31</f>
        <v>190697.64592025711</v>
      </c>
    </row>
    <row r="43" spans="2:14" x14ac:dyDescent="0.2">
      <c r="B43" s="1" t="s">
        <v>67</v>
      </c>
      <c r="C43" s="88">
        <f>Statement!AC78</f>
        <v>1060</v>
      </c>
    </row>
    <row r="44" spans="2:14" x14ac:dyDescent="0.2">
      <c r="B44" s="141" t="s">
        <v>201</v>
      </c>
      <c r="C44" s="142">
        <f ca="1">C42/C43</f>
        <v>179.90343954741238</v>
      </c>
    </row>
    <row r="46" spans="2:14" x14ac:dyDescent="0.2">
      <c r="B46" s="233" t="s">
        <v>202</v>
      </c>
      <c r="C46" s="233"/>
    </row>
    <row r="47" spans="2:14" x14ac:dyDescent="0.2">
      <c r="B47" s="1" t="s">
        <v>203</v>
      </c>
      <c r="C47" s="64">
        <f>L6</f>
        <v>57384.209765196996</v>
      </c>
    </row>
    <row r="48" spans="2:14" x14ac:dyDescent="0.2">
      <c r="B48" s="1" t="s">
        <v>355</v>
      </c>
      <c r="C48" s="135">
        <f>Overview!C29</f>
        <v>0.12</v>
      </c>
    </row>
    <row r="49" spans="2:3" x14ac:dyDescent="0.2">
      <c r="B49" s="39" t="s">
        <v>204</v>
      </c>
      <c r="C49" s="105">
        <v>6</v>
      </c>
    </row>
    <row r="50" spans="2:3" x14ac:dyDescent="0.2">
      <c r="B50" s="1" t="s">
        <v>200</v>
      </c>
      <c r="C50" s="24">
        <f>L18</f>
        <v>1024.4422356918749</v>
      </c>
    </row>
    <row r="51" spans="2:3" x14ac:dyDescent="0.2">
      <c r="B51" s="1" t="s">
        <v>184</v>
      </c>
      <c r="C51" s="24">
        <f>(C47*C49)/C50</f>
        <v>336.09045644105976</v>
      </c>
    </row>
    <row r="52" spans="2:3" x14ac:dyDescent="0.2">
      <c r="B52" s="141" t="s">
        <v>201</v>
      </c>
      <c r="C52" s="142">
        <f>C51/(1+C48)^5</f>
        <v>190.70675093537938</v>
      </c>
    </row>
    <row r="54" spans="2:3" x14ac:dyDescent="0.2">
      <c r="B54" s="233" t="s">
        <v>319</v>
      </c>
      <c r="C54" s="233"/>
    </row>
    <row r="55" spans="2:3" x14ac:dyDescent="0.2">
      <c r="B55" s="1" t="s">
        <v>205</v>
      </c>
      <c r="C55" s="64">
        <f>L8</f>
        <v>12850.770513331205</v>
      </c>
    </row>
    <row r="56" spans="2:3" x14ac:dyDescent="0.2">
      <c r="B56" s="1" t="s">
        <v>157</v>
      </c>
      <c r="C56" s="135">
        <f ca="1">IF(Overview!C28&gt;0,Overview!C28,WACC!C20)</f>
        <v>0.11244814350924069</v>
      </c>
    </row>
    <row r="57" spans="2:3" x14ac:dyDescent="0.2">
      <c r="B57" s="39" t="s">
        <v>354</v>
      </c>
      <c r="C57" s="105">
        <v>25</v>
      </c>
    </row>
    <row r="58" spans="2:3" x14ac:dyDescent="0.2">
      <c r="B58" s="1" t="s">
        <v>195</v>
      </c>
      <c r="C58" s="24">
        <f>(C55*C57)</f>
        <v>321269.26283328014</v>
      </c>
    </row>
    <row r="59" spans="2:3" x14ac:dyDescent="0.2">
      <c r="B59" s="1" t="s">
        <v>353</v>
      </c>
      <c r="C59" s="24">
        <f ca="1">C58/(1+C56)^5-G30+G31</f>
        <v>183913.00035921429</v>
      </c>
    </row>
    <row r="60" spans="2:3" x14ac:dyDescent="0.2">
      <c r="B60" s="1" t="s">
        <v>67</v>
      </c>
      <c r="C60" s="88">
        <f>Statement!AC78</f>
        <v>1060</v>
      </c>
    </row>
    <row r="61" spans="2:3" x14ac:dyDescent="0.2">
      <c r="B61" s="141" t="s">
        <v>201</v>
      </c>
      <c r="C61" s="142">
        <f ca="1">C59/C60</f>
        <v>173.50283052756066</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3" t="s">
        <v>207</v>
      </c>
      <c r="C4" s="233"/>
      <c r="N4" s="91"/>
    </row>
    <row r="5" spans="1:14" x14ac:dyDescent="0.2">
      <c r="B5" s="1" t="s">
        <v>208</v>
      </c>
      <c r="C5" s="133">
        <f ca="1">DCF!C26</f>
        <v>115.05882450274875</v>
      </c>
    </row>
    <row r="6" spans="1:14" x14ac:dyDescent="0.2">
      <c r="B6" s="1" t="s">
        <v>209</v>
      </c>
      <c r="C6" s="133">
        <f ca="1">Multiples!C44</f>
        <v>179.90343954741238</v>
      </c>
    </row>
    <row r="7" spans="1:14" x14ac:dyDescent="0.2">
      <c r="B7" s="1" t="s">
        <v>210</v>
      </c>
      <c r="C7" s="133">
        <f>Multiples!C52</f>
        <v>190.70675093537938</v>
      </c>
    </row>
    <row r="8" spans="1:14" x14ac:dyDescent="0.2">
      <c r="B8" s="1" t="s">
        <v>320</v>
      </c>
      <c r="C8" s="133">
        <f ca="1">Multiples!C61</f>
        <v>173.50283052756066</v>
      </c>
    </row>
    <row r="9" spans="1:14" x14ac:dyDescent="0.2">
      <c r="B9" s="141" t="s">
        <v>211</v>
      </c>
      <c r="C9" s="142">
        <f ca="1">AVERAGE(C5:C8)</f>
        <v>164.79296137827529</v>
      </c>
    </row>
    <row r="10" spans="1:14" x14ac:dyDescent="0.2">
      <c r="B10" s="1" t="s">
        <v>212</v>
      </c>
      <c r="C10" s="133">
        <f ca="1">Overview!C5</f>
        <v>176.25</v>
      </c>
    </row>
    <row r="11" spans="1:14" x14ac:dyDescent="0.2">
      <c r="B11" s="1" t="s">
        <v>213</v>
      </c>
      <c r="C11" s="154">
        <f ca="1">(C9-C10)/C10</f>
        <v>-6.5004474449501873E-2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299157.44377062313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12369.818930228013</v>
      </c>
      <c r="I10" s="126">
        <f t="shared" ref="I10:L10" ca="1" si="1">I7/(1+$C$21)^I9</f>
        <v>12976.405934787002</v>
      </c>
      <c r="J10" s="126">
        <f t="shared" ca="1" si="1"/>
        <v>13612.738548087336</v>
      </c>
      <c r="K10" s="126">
        <f t="shared" ca="1" si="1"/>
        <v>14280.275425248137</v>
      </c>
      <c r="L10" s="126">
        <f t="shared" ca="1" si="1"/>
        <v>14980.546750425807</v>
      </c>
      <c r="N10" s="91"/>
    </row>
    <row r="11" spans="1:28" x14ac:dyDescent="0.2">
      <c r="B11" s="1" t="s">
        <v>175</v>
      </c>
      <c r="C11" s="137"/>
      <c r="D11" s="137"/>
      <c r="E11" s="137"/>
      <c r="F11" s="137"/>
      <c r="G11" s="138"/>
      <c r="H11" s="137"/>
      <c r="I11" s="137"/>
      <c r="J11" s="137"/>
      <c r="K11" s="137"/>
      <c r="L11" s="126">
        <f ca="1">L8/(1+C21)^L9</f>
        <v>175590.4677103165</v>
      </c>
    </row>
    <row r="13" spans="1:28" ht="17" thickBot="1" x14ac:dyDescent="0.25"/>
    <row r="14" spans="1:28" x14ac:dyDescent="0.2">
      <c r="B14" s="245" t="s">
        <v>215</v>
      </c>
      <c r="C14" s="246"/>
    </row>
    <row r="15" spans="1:28" x14ac:dyDescent="0.2">
      <c r="B15" s="155" t="s">
        <v>216</v>
      </c>
      <c r="C15" s="156">
        <f ca="1">Overview!C5</f>
        <v>176.25</v>
      </c>
    </row>
    <row r="16" spans="1:28" x14ac:dyDescent="0.2">
      <c r="B16" s="155" t="s">
        <v>217</v>
      </c>
      <c r="C16" s="156">
        <f ca="1">C36</f>
        <v>226.12832381318103</v>
      </c>
    </row>
    <row r="17" spans="2:9" ht="17" thickBot="1" x14ac:dyDescent="0.25">
      <c r="B17" s="157" t="s">
        <v>321</v>
      </c>
      <c r="C17" s="158">
        <v>0.16700000000000001</v>
      </c>
      <c r="E17" s="247" t="s">
        <v>218</v>
      </c>
      <c r="F17" s="247"/>
      <c r="G17" s="247"/>
      <c r="H17" s="247"/>
      <c r="I17" s="247"/>
    </row>
    <row r="18" spans="2:9" ht="17" thickBot="1" x14ac:dyDescent="0.25"/>
    <row r="19" spans="2:9" x14ac:dyDescent="0.2">
      <c r="B19" s="245" t="s">
        <v>176</v>
      </c>
      <c r="C19" s="246"/>
    </row>
    <row r="20" spans="2:9" x14ac:dyDescent="0.2">
      <c r="B20" s="159" t="s">
        <v>177</v>
      </c>
      <c r="C20" s="160">
        <v>2.5000000000000001E-2</v>
      </c>
    </row>
    <row r="21" spans="2:9" x14ac:dyDescent="0.2">
      <c r="B21" s="159" t="s">
        <v>157</v>
      </c>
      <c r="C21" s="225">
        <f ca="1">IF(Overview!C28&gt;0,Overview!C28,WACC!C20)</f>
        <v>0.11244814350924069</v>
      </c>
    </row>
    <row r="22" spans="2:9" x14ac:dyDescent="0.2">
      <c r="B22" s="159" t="s">
        <v>67</v>
      </c>
      <c r="C22" s="226">
        <f>Statement!AC75</f>
        <v>1054</v>
      </c>
    </row>
    <row r="23" spans="2:9" x14ac:dyDescent="0.2">
      <c r="B23" s="159" t="s">
        <v>219</v>
      </c>
      <c r="C23" s="161">
        <f ca="1">C15*C22</f>
        <v>185767.5</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191238.5</v>
      </c>
    </row>
    <row r="27" spans="2:9" ht="17" thickBot="1" x14ac:dyDescent="0.25"/>
    <row r="28" spans="2:9" x14ac:dyDescent="0.2">
      <c r="B28" s="245" t="s">
        <v>178</v>
      </c>
      <c r="C28" s="246"/>
    </row>
    <row r="29" spans="2:9" x14ac:dyDescent="0.2">
      <c r="B29" s="159" t="s">
        <v>179</v>
      </c>
      <c r="C29" s="161">
        <f ca="1">SUM(H10:L10)</f>
        <v>68219.7855887763</v>
      </c>
    </row>
    <row r="30" spans="2:9" x14ac:dyDescent="0.2">
      <c r="B30" s="159" t="s">
        <v>175</v>
      </c>
      <c r="C30" s="161">
        <f ca="1">L11</f>
        <v>175590.4677103165</v>
      </c>
    </row>
    <row r="31" spans="2:9" x14ac:dyDescent="0.2">
      <c r="B31" s="163" t="s">
        <v>180</v>
      </c>
      <c r="C31" s="164">
        <f ca="1">C29+C30</f>
        <v>243810.25329909282</v>
      </c>
    </row>
    <row r="32" spans="2:9" x14ac:dyDescent="0.2">
      <c r="B32" s="159" t="s">
        <v>181</v>
      </c>
      <c r="C32" s="165">
        <f>C24</f>
        <v>9799</v>
      </c>
    </row>
    <row r="33" spans="2:12" x14ac:dyDescent="0.2">
      <c r="B33" s="159" t="s">
        <v>182</v>
      </c>
      <c r="C33" s="165">
        <f>C25</f>
        <v>15270</v>
      </c>
    </row>
    <row r="34" spans="2:12" x14ac:dyDescent="0.2">
      <c r="B34" s="163" t="s">
        <v>183</v>
      </c>
      <c r="C34" s="164">
        <f ca="1">C31+C32-C33</f>
        <v>238339.25329909282</v>
      </c>
    </row>
    <row r="35" spans="2:12" x14ac:dyDescent="0.2">
      <c r="B35" s="159" t="s">
        <v>67</v>
      </c>
      <c r="C35" s="161">
        <f>C22</f>
        <v>1054</v>
      </c>
    </row>
    <row r="36" spans="2:12" ht="17" thickBot="1" x14ac:dyDescent="0.25">
      <c r="B36" s="166" t="s">
        <v>184</v>
      </c>
      <c r="C36" s="167">
        <f ca="1">C34/C35</f>
        <v>226.12832381318103</v>
      </c>
    </row>
    <row r="39" spans="2:12" x14ac:dyDescent="0.2">
      <c r="C39" s="239" t="s">
        <v>221</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2026-07-05T16:08:17Z</dcterms:modified>
</cp:coreProperties>
</file>