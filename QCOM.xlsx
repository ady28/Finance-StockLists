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2CAC794-62BA-714F-9C59-1CA23636227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3" l="1"/>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I18" i="1" s="1"/>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I17" i="1" s="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<sst xmlns="http://schemas.openxmlformats.org/spreadsheetml/2006/main" count="863" uniqueCount="437">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</sst>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1.6831</v>
    <v>-1.07</v>
    <v>-6.097E-3</v>
    <v>-7.4999999999999997E-3</v>
    <v>-4.3000000000000002E-5</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175.23</v>
    <v>3</v>
    <v>Semiconductors &amp; Semiconductor Equipment</v>
    <v>Stock</v>
    <v>46307.863137082815</v>
    <v>4</v>
    <v>172.1601</v>
    <v>183151500000</v>
    <v>QUALCOMM INCORPORATED</v>
    <v>QUALCOMM INCORPORATED</v>
    <v>175.185</v>
    <v>20.311599999999999</v>
    <v>175.5</v>
    <v>174.43</v>
    <v>174.42250000000001</v>
    <v>1050000000</v>
    <v>QCOM</v>
    <v>QUALCOMM INCORPORATED (XNAS:QCOM)</v>
    <v>6451246</v>
    <v>13926322</v>
    <v>1991</v>
  </rv>
  <rv s="4">
    <v>5</v>
  </rv>
  <rv s="0">
    <v>https://www.bing.com/financeapi/forcetrigger?t=a33knm&amp;q=10+Y+TSY+YLD+NDX&amp;form=skydnc</v>
    <v>Learn more on Bing</v>
  </rv>
  <rv s="5">
    <v>7</v>
    <v>10 Y TSY YLD NDX</v>
    <v>8</v>
    <v>9</v>
    <v>Finance</v>
    <v>10</v>
    <v>en-US</v>
    <v>a33knm</v>
    <v>268435456</v>
    <v>1</v>
    <v>Powered by Refinitiv</v>
    <v>53.64</v>
    <v>39.47</v>
    <v>0.13</v>
    <v>2.4849999999999998E-3</v>
    <v>US</v>
    <v>52.8</v>
    <v>Index</v>
    <v>7</v>
    <v>52.34</v>
    <v>10 Y TSY YLD NDX</v>
    <v>52.36</v>
    <v>52.31</v>
    <v>52.44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5"/>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7" t="s">
        <v>17</v>
      </c>
      <c r="C2" s="238"/>
      <c r="E2" s="237" t="s">
        <v>279</v>
      </c>
      <c r="F2" s="238"/>
      <c r="H2" s="237" t="s">
        <v>317</v>
      </c>
      <c r="I2" s="238"/>
      <c r="K2" s="132" t="s">
        <v>431</v>
      </c>
    </row>
    <row r="3" spans="2:11" x14ac:dyDescent="0.2">
      <c r="B3" s="181" t="s">
        <v>11</v>
      </c>
      <c r="C3" s="213" t="e" vm="1">
        <v>#VALUE!</v>
      </c>
      <c r="D3" s="2"/>
      <c r="E3" s="181" t="s">
        <v>231</v>
      </c>
      <c r="F3" s="183">
        <f ca="1">Statement!AC156</f>
        <v>185244.66</v>
      </c>
      <c r="H3" s="181" t="str">
        <f>'AVG target price'!B5</f>
        <v>DCF price</v>
      </c>
      <c r="I3" s="207">
        <f ca="1">'AVG target price'!C5</f>
        <v>111.05342524130505</v>
      </c>
      <c r="K3" s="235" t="s">
        <v>432</v>
      </c>
    </row>
    <row r="4" spans="2:11" x14ac:dyDescent="0.2">
      <c r="B4" s="181" t="s">
        <v>0</v>
      </c>
      <c r="C4" s="185" t="str" cm="1">
        <f t="array" aca="1" ref="C4" ca="1">_FV(C3,"Ticker symbol",TRUE)</f>
        <v>QCOM</v>
      </c>
      <c r="E4" s="182" t="s">
        <v>180</v>
      </c>
      <c r="F4" s="184">
        <f ca="1">Statement!AC157</f>
        <v>192210.66</v>
      </c>
      <c r="H4" s="181" t="str">
        <f>'AVG target price'!B6</f>
        <v>EV/EBIT price</v>
      </c>
      <c r="I4" s="207">
        <f ca="1">'AVG target price'!C6</f>
        <v>213.09734232557355</v>
      </c>
      <c r="K4" s="235" t="s">
        <v>433</v>
      </c>
    </row>
    <row r="5" spans="2:11" x14ac:dyDescent="0.2">
      <c r="B5" s="181" t="s">
        <v>1</v>
      </c>
      <c r="C5" s="204" cm="1">
        <f t="array" aca="1" ref="C5" ca="1">_FV(C3,"Price",TRUE)</f>
        <v>174.43</v>
      </c>
      <c r="E5" s="181" t="s">
        <v>235</v>
      </c>
      <c r="F5" s="186">
        <f>Statement!AC26</f>
        <v>8.8483427020740457</v>
      </c>
      <c r="H5" s="181" t="str">
        <f>'AVG target price'!B7</f>
        <v>PS price</v>
      </c>
      <c r="I5" s="207">
        <f ca="1">'AVG target price'!C7</f>
        <v>192.27270566264997</v>
      </c>
      <c r="K5" s="235" t="s">
        <v>434</v>
      </c>
    </row>
    <row r="6" spans="2:11" x14ac:dyDescent="0.2">
      <c r="B6" s="181" t="s">
        <v>2</v>
      </c>
      <c r="C6" s="204" cm="1">
        <f t="array" aca="1" ref="C6" ca="1">_FV(C3,"Price (Extended hours)",TRUE)</f>
        <v>174.42250000000001</v>
      </c>
      <c r="E6" s="181" t="s">
        <v>229</v>
      </c>
      <c r="F6" s="186">
        <f ca="1">Statement!AC153</f>
        <v>19.713296136135611</v>
      </c>
      <c r="H6" s="181" t="str">
        <f>'AVG target price'!B8</f>
        <v>EV/FCFF price</v>
      </c>
      <c r="I6" s="207">
        <f ca="1">'AVG target price'!C8</f>
        <v>181.41742147090665</v>
      </c>
      <c r="K6" s="236" t="s">
        <v>435</v>
      </c>
    </row>
    <row r="7" spans="2:11" x14ac:dyDescent="0.2">
      <c r="B7" s="181" t="s">
        <v>3</v>
      </c>
      <c r="C7" s="6" cm="1">
        <f t="array" aca="1" ref="C7" ca="1">_FV(C3,"Change")</f>
        <v>-1.07</v>
      </c>
      <c r="E7" s="182" t="s">
        <v>193</v>
      </c>
      <c r="F7" s="187">
        <f ca="1">Statement!AC154</f>
        <v>4.2530869338295361</v>
      </c>
      <c r="H7" s="181" t="str">
        <f>'AVG target price'!B9</f>
        <v>EV/Sales</v>
      </c>
      <c r="I7" s="207">
        <f ca="1">'AVG target price'!C9</f>
        <v>204.69572081264448</v>
      </c>
    </row>
    <row r="8" spans="2:11" x14ac:dyDescent="0.2">
      <c r="B8" s="181" t="s">
        <v>4</v>
      </c>
      <c r="C8" s="6" cm="1">
        <f t="array" aca="1" ref="C8" ca="1">_FV(C3,"Change (extended hours)",TRUE)</f>
        <v>-7.4999999999999997E-3</v>
      </c>
      <c r="E8" s="181" t="s">
        <v>257</v>
      </c>
      <c r="F8" s="188">
        <f ca="1">Statement!AC164</f>
        <v>3.8727162229669668E-2</v>
      </c>
      <c r="H8" s="180" t="str">
        <f>'AVG target price'!B10</f>
        <v>AVG price</v>
      </c>
      <c r="I8" s="208">
        <f ca="1">'AVG target price'!C10</f>
        <v>180.50732310261594</v>
      </c>
    </row>
    <row r="9" spans="2:11" x14ac:dyDescent="0.2">
      <c r="B9" s="181" t="s">
        <v>5</v>
      </c>
      <c r="C9" s="73" cm="1">
        <f t="array" aca="1" ref="C9" ca="1">_FV(C3,"Change (%)",TRUE)</f>
        <v>-6.097E-3</v>
      </c>
      <c r="E9" s="181" t="s">
        <v>280</v>
      </c>
      <c r="F9" s="188">
        <f ca="1">Statement!AC165</f>
        <v>5.0727183982537664E-2</v>
      </c>
      <c r="H9" s="180" t="str">
        <f>'AVG target price'!B12</f>
        <v>Upside/Downside</v>
      </c>
      <c r="I9" s="209">
        <f ca="1">'AVG target price'!C12</f>
        <v>3.4841042840199135E-2</v>
      </c>
    </row>
    <row r="10" spans="2:11" x14ac:dyDescent="0.2">
      <c r="B10" s="181" t="s">
        <v>6</v>
      </c>
      <c r="C10" s="73" cm="1">
        <f t="array" aca="1" ref="C10" ca="1">_FV(C3,"Change % (extended hours)",TRUE)</f>
        <v>-4.3000000000000002E-5</v>
      </c>
      <c r="E10" s="181" t="s">
        <v>285</v>
      </c>
      <c r="F10" s="188">
        <f ca="1">Statement!AC167</f>
        <v>4.9933963008704271E-2</v>
      </c>
    </row>
    <row r="11" spans="2:11" x14ac:dyDescent="0.2">
      <c r="B11" s="181" t="s">
        <v>7</v>
      </c>
      <c r="C11" s="205" cm="1">
        <f t="array" aca="1" ref="C11" ca="1">_FV(C3,"52 week high",TRUE)</f>
        <v>259.92</v>
      </c>
      <c r="E11" s="182" t="s">
        <v>281</v>
      </c>
      <c r="F11" s="189">
        <f ca="1">Statement!AC166</f>
        <v>2.0581322020294671E-2</v>
      </c>
      <c r="H11" s="180" t="s">
        <v>404</v>
      </c>
      <c r="I11" s="208">
        <f ca="1">DDM!C26</f>
        <v>34.098881950831718</v>
      </c>
    </row>
    <row r="12" spans="2:11" x14ac:dyDescent="0.2">
      <c r="B12" s="181" t="s">
        <v>8</v>
      </c>
      <c r="C12" s="205" cm="1">
        <f t="array" aca="1" ref="C12" ca="1">_FV(C3,"52 week low",TRUE)</f>
        <v>121.99</v>
      </c>
      <c r="E12" s="181" t="s">
        <v>94</v>
      </c>
      <c r="F12" s="188">
        <f>Statement!AC122</f>
        <v>0.16596649641780117</v>
      </c>
    </row>
    <row r="13" spans="2:11" x14ac:dyDescent="0.2">
      <c r="B13" s="181" t="s">
        <v>9</v>
      </c>
      <c r="C13" s="205" cm="1">
        <f t="array" aca="1" ref="C13" ca="1">_FV(C3,"Beta")</f>
        <v>1.6831</v>
      </c>
      <c r="E13" s="181" t="s">
        <v>96</v>
      </c>
      <c r="F13" s="188">
        <f>Statement!AC124</f>
        <v>0.3442403644515149</v>
      </c>
      <c r="H13" s="180" t="s">
        <v>428</v>
      </c>
      <c r="I13" s="209">
        <f>'Reverse DCF'!C17</f>
        <v>0.13</v>
      </c>
    </row>
    <row r="14" spans="2:11" x14ac:dyDescent="0.2">
      <c r="B14" s="182" t="s">
        <v>10</v>
      </c>
      <c r="C14" s="206" cm="1">
        <f t="array" aca="1" ref="C14" ca="1">_FV(C3,"Volume average",TRUE)</f>
        <v>13926322</v>
      </c>
      <c r="E14" s="182" t="s">
        <v>97</v>
      </c>
      <c r="F14" s="189">
        <f>Statement!AC143</f>
        <v>0.25062860459696928</v>
      </c>
    </row>
    <row r="15" spans="2:11" x14ac:dyDescent="0.2">
      <c r="E15" s="181" t="s">
        <v>282</v>
      </c>
      <c r="F15" s="188">
        <f ca="1">Statement!AC179</f>
        <v>-3.7604322845257727E-2</v>
      </c>
    </row>
    <row r="16" spans="2:11" x14ac:dyDescent="0.2">
      <c r="E16" s="182" t="s">
        <v>287</v>
      </c>
      <c r="F16" s="187">
        <f>Statement!AC178</f>
        <v>-6.6342857142857143</v>
      </c>
      <c r="H16" s="237" t="s">
        <v>429</v>
      </c>
      <c r="I16" s="238"/>
    </row>
    <row r="17" spans="2:9" x14ac:dyDescent="0.2">
      <c r="B17" s="239" t="s">
        <v>83</v>
      </c>
      <c r="C17" s="239"/>
      <c r="E17" s="180" t="s">
        <v>288</v>
      </c>
      <c r="F17" s="190">
        <f>Statement!AC174</f>
        <v>9.4161958568738226E-4</v>
      </c>
      <c r="H17" s="181" t="s">
        <v>157</v>
      </c>
      <c r="I17" s="233">
        <f ca="1">DCF!C15</f>
        <v>0.12163676434665674</v>
      </c>
    </row>
    <row r="18" spans="2:9" x14ac:dyDescent="0.2">
      <c r="B18" s="180" t="s">
        <v>12</v>
      </c>
      <c r="C18" s="69" t="s">
        <v>333</v>
      </c>
      <c r="E18" s="181" t="s">
        <v>289</v>
      </c>
      <c r="F18" s="186">
        <f>Statement!AC147</f>
        <v>137.86178331838977</v>
      </c>
      <c r="H18" s="182" t="s">
        <v>430</v>
      </c>
      <c r="I18" s="234">
        <f ca="1">Multiples!C54</f>
        <v>0.1281795</v>
      </c>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9" t="s">
        <v>99</v>
      </c>
      <c r="C25" s="239"/>
      <c r="E25" s="237" t="s">
        <v>330</v>
      </c>
      <c r="F25" s="238"/>
    </row>
    <row r="26" spans="2:9" x14ac:dyDescent="0.2">
      <c r="B26" s="180" t="s">
        <v>100</v>
      </c>
      <c r="C26" s="166">
        <v>0.21</v>
      </c>
      <c r="E26" s="181" t="e" vm="2">
        <v>#VALUE!</v>
      </c>
      <c r="F26" s="215" cm="1">
        <f t="array" aca="1" ref="F26" ca="1">_FV(E26,"Price")</f>
        <v>52.44</v>
      </c>
    </row>
    <row r="27" spans="2:9" x14ac:dyDescent="0.2">
      <c r="B27" s="180" t="s">
        <v>164</v>
      </c>
      <c r="C27" s="217">
        <v>5.3499999999999999E-2</v>
      </c>
      <c r="E27" s="182" t="s">
        <v>331</v>
      </c>
      <c r="F27" s="216">
        <f ca="1">F26/1000</f>
        <v>5.2440000000000001E-2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7615854-1D09-9746-95EB-1A6F003C80AE}"/>
    <hyperlink ref="K4" location="'Analysis -&gt;'!B13" display="'Analysis -&gt;'!B13" xr:uid="{8D98D1EA-37AF-5C42-B65C-FF9794D53AFE}"/>
    <hyperlink ref="K5" location="'Forecast -&gt;'!B13" display="'Forecast -&gt;'!B13" xr:uid="{A5CDB327-BC87-4C42-A4CC-9A375364E5F6}"/>
    <hyperlink ref="K6" location="'Valuation -&gt;'!B13" display="'Valuation -&gt;'!B13" xr:uid="{9B0968EA-64F8-0248-ADB4-8F839DC9F0E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14</v>
      </c>
    </row>
  </sheetData>
  <hyperlinks>
    <hyperlink ref="H6" location="Overview!B3" display="Overview'!B3" xr:uid="{D8C6F701-2E1A-E545-95D1-2AD7393C3264}"/>
    <hyperlink ref="H8" location="'Analysis -&gt;'!B13" display="'Analysis -&gt;'!B13" xr:uid="{9E9045D6-501F-384A-9D9E-7B74D79E2D96}"/>
    <hyperlink ref="H9" location="'Forecast -&gt;'!B13" display="'Forecast -&gt;'!B13" xr:uid="{B98D5F18-FFFD-C142-9086-9E9FF795C5A7}"/>
    <hyperlink ref="H10" location="'Valuation -&gt;'!B13" display="'Valuation -&gt;'!B13" xr:uid="{47B06DF5-A147-CF48-8595-54FD84B437EC}"/>
    <hyperlink ref="H7" location="'Financials -&gt;'!B13" display="'Financials -&gt;'!B13" xr:uid="{0A8298A1-B259-BA46-AF50-A415354B561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Y153"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174.43</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174.43</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19.713296136135611</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4.2530869338295361</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6.6220080989225547</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185244.66</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192210.66</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4.361683307615503</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18.809145708973482</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25.821669919152495</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24.703311924107332</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3.8727162229669668E-2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5.0727183982537664E-2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2.0581322020294671E-2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4.9933963008704271E-2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7.0582331496087392E-2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-3.7604322845257727E-2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224</v>
      </c>
    </row>
  </sheetData>
  <hyperlinks>
    <hyperlink ref="H6" location="Overview!B3" display="Overview'!B3" xr:uid="{E411EA5B-4A5D-2140-BD20-77381ABB5A05}"/>
    <hyperlink ref="H8" location="'Analysis -&gt;'!B13" display="'Analysis -&gt;'!B13" xr:uid="{AAC82E31-33A4-924A-A4E3-C89D89A459B8}"/>
    <hyperlink ref="H9" location="'Forecast -&gt;'!B13" display="'Forecast -&gt;'!B13" xr:uid="{14C87523-0D9F-614F-B4ED-B1D1A71B3419}"/>
    <hyperlink ref="H10" location="'Valuation -&gt;'!B13" display="'Valuation -&gt;'!B13" xr:uid="{B0BCF9F6-882B-E44A-BD88-3E4DCC55A596}"/>
    <hyperlink ref="H7" location="'Financials -&gt;'!B13" display="'Financials -&gt;'!B13" xr:uid="{3873FC78-7731-A447-9EFD-0C47FAD2FC5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0" t="s">
        <v>225</v>
      </c>
      <c r="C4" s="240"/>
      <c r="E4" s="240" t="s">
        <v>232</v>
      </c>
      <c r="F4" s="240"/>
      <c r="G4" s="240"/>
    </row>
    <row r="5" spans="2:7" x14ac:dyDescent="0.2">
      <c r="B5" s="20" t="s">
        <v>1</v>
      </c>
      <c r="C5" s="168">
        <f ca="1">Overview!C5</f>
        <v>174.43</v>
      </c>
      <c r="E5" s="12"/>
      <c r="F5" s="132" t="s">
        <v>233</v>
      </c>
      <c r="G5" s="132" t="s">
        <v>234</v>
      </c>
    </row>
    <row r="6" spans="2:7" x14ac:dyDescent="0.2">
      <c r="B6" s="20" t="s">
        <v>231</v>
      </c>
      <c r="C6" s="169">
        <f ca="1">Statement!AC156</f>
        <v>185244.66</v>
      </c>
      <c r="E6" s="20" t="s">
        <v>19</v>
      </c>
      <c r="F6" s="174">
        <f>IF(Statement!M5&lt;=0,"N/A",_xlfn.RRI(4,Statement!M5,Statement!Q5))</f>
        <v>7.1733517181768569E-2</v>
      </c>
      <c r="G6" s="174" t="str">
        <f>IF(Statement!H5&lt;=0,"N/A",_xlfn.RRI(9,Statement!H5,Statement!Q5))</f>
        <v>N/A</v>
      </c>
    </row>
    <row r="7" spans="2:7" x14ac:dyDescent="0.2">
      <c r="B7" s="20" t="s">
        <v>180</v>
      </c>
      <c r="C7" s="169">
        <f ca="1">Statement!AC157</f>
        <v>192210.66</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19.713296136135611</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4.2530869338295361</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6.6220080989225547</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4.361683307615503</v>
      </c>
    </row>
    <row r="12" spans="2:7" x14ac:dyDescent="0.2">
      <c r="B12" s="20" t="s">
        <v>196</v>
      </c>
      <c r="C12" s="170">
        <f ca="1">Statement!AC159</f>
        <v>18.809145708973482</v>
      </c>
    </row>
    <row r="15" spans="2:7" x14ac:dyDescent="0.2">
      <c r="B15" s="240" t="s">
        <v>75</v>
      </c>
      <c r="C15" s="240"/>
      <c r="E15" s="240" t="s">
        <v>238</v>
      </c>
      <c r="F15" s="240"/>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40" t="s">
        <v>237</v>
      </c>
      <c r="C21" s="240"/>
      <c r="E21" s="240" t="s">
        <v>241</v>
      </c>
      <c r="F21" s="240"/>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40" t="s">
        <v>242</v>
      </c>
      <c r="C29" s="240"/>
      <c r="E29" s="240" t="s">
        <v>248</v>
      </c>
      <c r="F29" s="240"/>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40" t="s">
        <v>260</v>
      </c>
      <c r="C37" s="240"/>
      <c r="E37" s="240" t="s">
        <v>263</v>
      </c>
      <c r="F37" s="240"/>
    </row>
    <row r="38" spans="2:6" x14ac:dyDescent="0.2">
      <c r="B38" s="20" t="s">
        <v>258</v>
      </c>
      <c r="C38" s="171">
        <f ca="1">Statement!AC165</f>
        <v>5.0727183982537664E-2</v>
      </c>
      <c r="E38" s="20" t="s">
        <v>262</v>
      </c>
      <c r="F38" s="171">
        <f>Statement!AC171</f>
        <v>0.53317535545023698</v>
      </c>
    </row>
    <row r="39" spans="2:6" x14ac:dyDescent="0.2">
      <c r="B39" s="54" t="s">
        <v>261</v>
      </c>
      <c r="C39" s="211">
        <f ca="1">Statement!AC164</f>
        <v>3.8727162229669668E-2</v>
      </c>
      <c r="E39" s="20" t="s">
        <v>264</v>
      </c>
      <c r="F39" s="171">
        <f>Statement!AC172</f>
        <v>1.2893783105659324</v>
      </c>
    </row>
    <row r="40" spans="2:6" x14ac:dyDescent="0.2">
      <c r="B40" s="20" t="s">
        <v>259</v>
      </c>
      <c r="C40" s="171">
        <f ca="1">Statement!AC166</f>
        <v>2.0581322020294671E-2</v>
      </c>
      <c r="E40" s="20" t="s">
        <v>265</v>
      </c>
      <c r="F40" s="171">
        <f>Statement!AC173</f>
        <v>1.8225536660161694</v>
      </c>
    </row>
    <row r="41" spans="2:6" x14ac:dyDescent="0.2">
      <c r="B41" s="20" t="s">
        <v>284</v>
      </c>
      <c r="C41" s="171">
        <f ca="1">Statement!AC167</f>
        <v>4.9933963008704271E-2</v>
      </c>
    </row>
    <row r="42" spans="2:6" x14ac:dyDescent="0.2">
      <c r="B42" s="20" t="s">
        <v>286</v>
      </c>
      <c r="C42" s="171">
        <f ca="1">Statement!AC168</f>
        <v>7.0582331496087392E-2</v>
      </c>
    </row>
    <row r="45" spans="2:6" x14ac:dyDescent="0.2">
      <c r="B45" s="240" t="s">
        <v>271</v>
      </c>
      <c r="C45" s="240"/>
      <c r="E45" s="240" t="s">
        <v>277</v>
      </c>
      <c r="F45" s="240"/>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-3.7604322845257727E-2</v>
      </c>
    </row>
    <row r="51" spans="2:6" x14ac:dyDescent="0.2">
      <c r="B51" s="240" t="s">
        <v>274</v>
      </c>
      <c r="C51" s="240"/>
      <c r="E51" s="240" t="s">
        <v>295</v>
      </c>
      <c r="F51" s="240"/>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174.43</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185244.66</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192210.66</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19.713296136135611</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4.2530869338295361</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6.6220080989225547</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4.361683307615503</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18.809145708973482</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5.0727183982537664E-2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3.8727162229669668E-2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2.0581322020294671E-2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4.9933963008704271E-2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7.0582331496087392E-2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-3.7604322845257727E-2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305</v>
      </c>
      <c r="D3" s="242"/>
      <c r="F3" s="243" t="s">
        <v>306</v>
      </c>
      <c r="G3" s="242"/>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4">
        <f>Statement!AA89</f>
        <v>-6.1515237286536469E-2</v>
      </c>
      <c r="D7" s="245"/>
      <c r="F7" s="244">
        <f>IF(F6=0,
IF(G6=0,0,IF(G6&gt;0,1,-1)),
(G6-F6)/ABS(F6)
)</f>
        <v>-4.9498327759197325E-2</v>
      </c>
      <c r="G7" s="245"/>
    </row>
    <row r="8" spans="2:7" x14ac:dyDescent="0.2">
      <c r="B8" s="203" t="s">
        <v>20</v>
      </c>
      <c r="C8" s="196">
        <f>Statement!Z6</f>
        <v>4900</v>
      </c>
      <c r="D8" s="194">
        <f>Statement!AA6</f>
        <v>4670</v>
      </c>
      <c r="F8" s="196">
        <f>Statement!W6</f>
        <v>4606</v>
      </c>
      <c r="G8" s="194">
        <f>Statement!AA6</f>
        <v>4670</v>
      </c>
    </row>
    <row r="9" spans="2:7" x14ac:dyDescent="0.2">
      <c r="B9" s="202" t="s">
        <v>307</v>
      </c>
      <c r="C9" s="244">
        <f>Statement!AA90</f>
        <v>-4.6938775510204082E-2</v>
      </c>
      <c r="D9" s="245"/>
      <c r="F9" s="244">
        <f>IF(F8=0,
IF(G8=0,0,IF(G8&gt;0,1,-1)),
(G8-F8)/ABS(F8)
)</f>
        <v>1.3894919669995658E-2</v>
      </c>
      <c r="G9" s="245"/>
    </row>
    <row r="10" spans="2:7" x14ac:dyDescent="0.2">
      <c r="B10" s="203" t="s">
        <v>21</v>
      </c>
      <c r="C10" s="196">
        <f>Statement!Z7</f>
        <v>5699</v>
      </c>
      <c r="D10" s="194">
        <f>Statement!AA7</f>
        <v>5277</v>
      </c>
      <c r="F10" s="196">
        <f>Statement!W7</f>
        <v>5859</v>
      </c>
      <c r="G10" s="194">
        <f>Statement!AA7</f>
        <v>5277</v>
      </c>
    </row>
    <row r="11" spans="2:7" x14ac:dyDescent="0.2">
      <c r="B11" s="202" t="s">
        <v>307</v>
      </c>
      <c r="C11" s="244">
        <f>Statement!AA91</f>
        <v>-7.4048078610282508E-2</v>
      </c>
      <c r="D11" s="245"/>
      <c r="F11" s="244">
        <f>IF(F10=0,
IF(G10=0,0,IF(G10&gt;0,1,-1)),
(G10-F10)/ABS(F10)
)</f>
        <v>-9.933435739887353E-2</v>
      </c>
      <c r="G11" s="245"/>
    </row>
    <row r="12" spans="2:7" x14ac:dyDescent="0.2">
      <c r="B12" s="203" t="s">
        <v>23</v>
      </c>
      <c r="C12" s="196">
        <f>Statement!Z11</f>
        <v>3390</v>
      </c>
      <c r="D12" s="194">
        <f>Statement!AA11</f>
        <v>3651</v>
      </c>
      <c r="F12" s="196">
        <f>Statement!W11</f>
        <v>2997</v>
      </c>
      <c r="G12" s="194">
        <f>Statement!AA11</f>
        <v>3651</v>
      </c>
    </row>
    <row r="13" spans="2:7" x14ac:dyDescent="0.2">
      <c r="B13" s="202" t="s">
        <v>307</v>
      </c>
      <c r="C13" s="244">
        <f>Statement!AA94</f>
        <v>7.6991150442477882E-2</v>
      </c>
      <c r="D13" s="245"/>
      <c r="F13" s="244">
        <f>IF(F12=0,
IF(G12=0,0,IF(G12&gt;0,1,-1)),
(G12-F12)/ABS(F12)
)</f>
        <v>0.21821821821821821</v>
      </c>
      <c r="G13" s="245"/>
    </row>
    <row r="14" spans="2:7" x14ac:dyDescent="0.2">
      <c r="B14" s="203" t="s">
        <v>308</v>
      </c>
      <c r="C14" s="196">
        <f>Statement!Z12</f>
        <v>2309</v>
      </c>
      <c r="D14" s="194">
        <f>Statement!AA12</f>
        <v>1626</v>
      </c>
      <c r="F14" s="196">
        <f>Statement!W12</f>
        <v>2762</v>
      </c>
      <c r="G14" s="194">
        <f>Statement!AA12</f>
        <v>1626</v>
      </c>
    </row>
    <row r="15" spans="2:7" x14ac:dyDescent="0.2">
      <c r="B15" s="202" t="s">
        <v>307</v>
      </c>
      <c r="C15" s="244">
        <f>Statement!AA95</f>
        <v>-0.29579904720658295</v>
      </c>
      <c r="D15" s="245"/>
      <c r="F15" s="244">
        <f>IF(F14=0,
IF(G14=0,0,IF(G14&gt;0,1,-1)),
(G14-F14)/ABS(F14)
)</f>
        <v>-0.41129616220130338</v>
      </c>
      <c r="G15" s="245"/>
    </row>
    <row r="16" spans="2:7" x14ac:dyDescent="0.2">
      <c r="B16" s="203" t="s">
        <v>29</v>
      </c>
      <c r="C16" s="196">
        <f>Statement!Z18</f>
        <v>1932</v>
      </c>
      <c r="D16" s="194">
        <f>Statement!AA18</f>
        <v>2002</v>
      </c>
      <c r="F16" s="196">
        <f>Statement!W18</f>
        <v>2666</v>
      </c>
      <c r="G16" s="194">
        <f>Statement!AA18</f>
        <v>2002</v>
      </c>
    </row>
    <row r="17" spans="2:7" x14ac:dyDescent="0.2">
      <c r="B17" s="202" t="s">
        <v>307</v>
      </c>
      <c r="C17" s="244">
        <f>Statement!AA97</f>
        <v>3.6231884057971016E-2</v>
      </c>
      <c r="D17" s="245"/>
      <c r="F17" s="244">
        <f>IF(F16=0,
IF(G16=0,0,IF(G16&gt;0,1,-1)),
(G16-F16)/ABS(F16)
)</f>
        <v>-0.24906226556639161</v>
      </c>
      <c r="G17" s="245"/>
    </row>
    <row r="18" spans="2:7" x14ac:dyDescent="0.2">
      <c r="B18" s="203" t="s">
        <v>309</v>
      </c>
      <c r="C18" s="196">
        <f>Statement!Z22</f>
        <v>1072</v>
      </c>
      <c r="D18" s="194">
        <f>Statement!AA22</f>
        <v>1069</v>
      </c>
      <c r="F18" s="196">
        <f>Statement!W22</f>
        <v>1099</v>
      </c>
      <c r="G18" s="194">
        <f>Statement!AA22</f>
        <v>1069</v>
      </c>
    </row>
    <row r="19" spans="2:7" x14ac:dyDescent="0.2">
      <c r="B19" s="202" t="s">
        <v>307</v>
      </c>
      <c r="C19" s="244">
        <f>IF(C18=0,
IF(D18=0,0,IF(D18&gt;0,1,-1)),
(D18-C18)/ABS(C18)
)</f>
        <v>-2.798507462686567E-3</v>
      </c>
      <c r="D19" s="245"/>
      <c r="F19" s="244">
        <f>IF(F18=0,
IF(G18=0,0,IF(G18&gt;0,1,-1)),
(G18-F18)/ABS(F18)
)</f>
        <v>-2.7297543221110099E-2</v>
      </c>
      <c r="G19" s="245"/>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4">
        <f>IF(C20=0,
IF(D20=0,0,IF(D20&gt;0,1,-1)),
(D20-C20)/ABS(C20)
)</f>
        <v>3.7598343685300246E-2</v>
      </c>
      <c r="D21" s="245"/>
      <c r="F21" s="244">
        <f>IF(F20=0,
IF(G20=0,0,IF(G20&gt;0,1,-1)),
(G20-F20)/ABS(F20)
)</f>
        <v>-0.23360655737704911</v>
      </c>
      <c r="G21" s="245"/>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4">
        <f>IF(C24=0,
IF(D24=0,0,IF(D24&gt;0,1,-1)),
(D24-C24)/ABS(C24)
)</f>
        <v>-0.15571049136786189</v>
      </c>
      <c r="D25" s="245"/>
      <c r="F25" s="244">
        <f>IF(F24=0,
IF(G24=0,0,IF(G24&gt;0,1,-1)),
(G24-F24)/ABS(F24)
)</f>
        <v>-0.19627054361567636</v>
      </c>
      <c r="G25" s="245"/>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4">
        <f>IF(C26=0,
IF(D26=0,0,IF(D26&gt;0,1,-1)),
(D26-C26)/ABS(C26)
)</f>
        <v>0.1975867269984917</v>
      </c>
      <c r="D27" s="245"/>
      <c r="F27" s="244">
        <f>IF(F26=0,
IF(G26=0,0,IF(G26&gt;0,1,-1)),
(G26-F26)/ABS(F26)
)</f>
        <v>0.61382113821138207</v>
      </c>
      <c r="G27" s="245"/>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4">
        <f>IF(C28=0,
IF(D28=0,0,IF(D28&gt;0,1,-1)),
(D28-C28)/ABS(C28)
)</f>
        <v>6.0254924681344149E-2</v>
      </c>
      <c r="D29" s="245"/>
      <c r="F29" s="244">
        <f>IF(F28=0,
IF(G28=0,0,IF(G28&gt;0,1,-1)),
(G28-F28)/ABS(F28)
)</f>
        <v>8.8637715645449131E-2</v>
      </c>
      <c r="G29" s="245"/>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4">
        <f>IF(C30=0,
IF(D30=0,0,IF(D30&gt;0,1,-1)),
(D30-C30)/ABS(C30)
)</f>
        <v>-6.3023358307624511E-2</v>
      </c>
      <c r="D31" s="245"/>
      <c r="F31" s="244">
        <f>IF(F30=0,
IF(G30=0,0,IF(G30&gt;0,1,-1)),
(G30-F30)/ABS(F30)
)</f>
        <v>-5.4375625486489491E-2</v>
      </c>
      <c r="G31" s="245"/>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4">
        <f>IF(C32=0,
IF(D32=0,0,IF(D32&gt;0,1,-1)),
(D32-C32)/ABS(C32)
)</f>
        <v>-7.5253256150506515E-2</v>
      </c>
      <c r="D33" s="245"/>
      <c r="F33" s="244">
        <f>IF(F32=0,
IF(G32=0,0,IF(G32&gt;0,1,-1)),
(G32-F32)/ABS(F32)
)</f>
        <v>-3.0349013657056147E-2</v>
      </c>
      <c r="G33" s="245"/>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103</v>
      </c>
    </row>
  </sheetData>
  <hyperlinks>
    <hyperlink ref="H6" location="Overview!B3" display="Overview'!B3" xr:uid="{0B60C889-5E71-4040-9711-1E56BC33FBCA}"/>
    <hyperlink ref="H8" location="'Analysis -&gt;'!B13" display="'Analysis -&gt;'!B13" xr:uid="{A2661D6C-7355-7A4B-98B0-4B65804BC79C}"/>
    <hyperlink ref="H9" location="'Forecast -&gt;'!B13" display="'Forecast -&gt;'!B13" xr:uid="{CD1F50EC-B7ED-1E40-BD28-988C3B78B7D7}"/>
    <hyperlink ref="H10" location="'Valuation -&gt;'!B13" display="'Valuation -&gt;'!B13" xr:uid="{6EA355A0-DB8D-4246-B6DF-6448434F8A47}"/>
    <hyperlink ref="H7" location="'Financials -&gt;'!B13" display="'Financials -&gt;'!B13" xr:uid="{5650C899-7EB6-384E-82AF-650BFD0960D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0" t="s">
        <v>105</v>
      </c>
      <c r="D2" s="240"/>
      <c r="E2" s="240"/>
      <c r="F2" s="240"/>
      <c r="G2" s="249"/>
      <c r="H2" s="250" t="s">
        <v>106</v>
      </c>
      <c r="I2" s="240"/>
      <c r="J2" s="240"/>
      <c r="K2" s="240"/>
      <c r="L2" s="240"/>
      <c r="O2" s="5"/>
      <c r="S2" s="240" t="s">
        <v>105</v>
      </c>
      <c r="T2" s="240"/>
      <c r="U2" s="240"/>
      <c r="V2" s="240"/>
      <c r="W2" s="240"/>
      <c r="X2" s="240"/>
      <c r="Y2" s="240"/>
      <c r="Z2" s="240"/>
      <c r="AA2" s="240" t="s">
        <v>106</v>
      </c>
      <c r="AB2" s="240"/>
      <c r="AC2" s="240"/>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6" t="s">
        <v>114</v>
      </c>
      <c r="D14" s="246"/>
      <c r="E14" s="246"/>
      <c r="F14" s="246"/>
      <c r="G14" s="246"/>
      <c r="H14" s="246"/>
      <c r="I14" s="246"/>
      <c r="J14" s="246"/>
      <c r="K14" s="246"/>
      <c r="L14" s="246"/>
      <c r="O14" s="5"/>
      <c r="Q14" s="91"/>
      <c r="S14" s="247" t="s">
        <v>114</v>
      </c>
      <c r="T14" s="248"/>
      <c r="U14" s="248"/>
      <c r="V14" s="248"/>
      <c r="W14" s="248"/>
      <c r="X14" s="248"/>
      <c r="Y14" s="248"/>
      <c r="Z14" s="248"/>
      <c r="AA14" s="248"/>
      <c r="AB14" s="248"/>
      <c r="AC14" s="248"/>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0" t="s">
        <v>105</v>
      </c>
      <c r="D2" s="240"/>
      <c r="E2" s="240"/>
      <c r="F2" s="240"/>
      <c r="G2" s="249"/>
      <c r="H2" s="250" t="s">
        <v>106</v>
      </c>
      <c r="I2" s="240"/>
      <c r="J2" s="240"/>
      <c r="K2" s="240"/>
      <c r="L2" s="240"/>
      <c r="P2" s="240" t="s">
        <v>105</v>
      </c>
      <c r="Q2" s="240"/>
      <c r="R2" s="240"/>
      <c r="S2" s="240"/>
      <c r="T2" s="240"/>
      <c r="U2" s="240"/>
      <c r="V2" s="240"/>
      <c r="W2" s="240"/>
      <c r="X2" s="240" t="s">
        <v>106</v>
      </c>
      <c r="Y2" s="240"/>
      <c r="Z2" s="240"/>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51"/>
      <c r="C25" s="251"/>
    </row>
    <row r="26" spans="2:12" x14ac:dyDescent="0.2">
      <c r="B26" s="109"/>
      <c r="C26" s="246" t="s">
        <v>135</v>
      </c>
      <c r="D26" s="246"/>
      <c r="E26" s="246"/>
      <c r="F26" s="246"/>
      <c r="G26" s="246"/>
      <c r="H26" s="246"/>
      <c r="I26" s="246"/>
      <c r="J26" s="246"/>
      <c r="K26" s="246"/>
      <c r="L26" s="246"/>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6" t="s">
        <v>139</v>
      </c>
      <c r="D33" s="246"/>
      <c r="E33" s="246"/>
      <c r="F33" s="246"/>
      <c r="G33" s="246"/>
      <c r="H33" s="246"/>
      <c r="I33" s="246"/>
      <c r="J33" s="246"/>
      <c r="K33" s="246"/>
      <c r="L33" s="246"/>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6" t="s">
        <v>142</v>
      </c>
      <c r="D40" s="246"/>
      <c r="E40" s="246"/>
      <c r="F40" s="246"/>
      <c r="G40" s="246"/>
      <c r="H40" s="246"/>
      <c r="I40" s="246"/>
      <c r="J40" s="246"/>
      <c r="K40" s="246"/>
      <c r="L40" s="246"/>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0" t="s">
        <v>105</v>
      </c>
      <c r="D2" s="240"/>
      <c r="E2" s="240"/>
      <c r="F2" s="240"/>
      <c r="G2" s="249"/>
      <c r="H2" s="250" t="s">
        <v>106</v>
      </c>
      <c r="I2" s="240"/>
      <c r="J2" s="240"/>
      <c r="K2" s="240"/>
      <c r="L2" s="240"/>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6" t="s">
        <v>254</v>
      </c>
      <c r="D25" s="246"/>
      <c r="E25" s="246"/>
      <c r="F25" s="246"/>
      <c r="G25" s="246"/>
      <c r="H25" s="246"/>
      <c r="I25" s="246"/>
      <c r="J25" s="246"/>
      <c r="K25" s="246"/>
      <c r="L25" s="246"/>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6" t="s">
        <v>75</v>
      </c>
      <c r="D31" s="246"/>
      <c r="E31" s="246"/>
      <c r="F31" s="246"/>
      <c r="G31" s="246"/>
      <c r="H31" s="246"/>
      <c r="I31" s="246"/>
      <c r="J31" s="246"/>
      <c r="K31" s="246"/>
      <c r="L31" s="246"/>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156</v>
      </c>
    </row>
  </sheetData>
  <hyperlinks>
    <hyperlink ref="H6" location="Overview!B3" display="Overview'!B3" xr:uid="{6013F207-540F-1649-B587-D0A267965739}"/>
    <hyperlink ref="H8" location="'Analysis -&gt;'!B13" display="'Analysis -&gt;'!B13" xr:uid="{F21FBB04-AC52-A647-B388-217F84150366}"/>
    <hyperlink ref="H9" location="'Forecast -&gt;'!B13" display="'Forecast -&gt;'!B13" xr:uid="{58F574B5-5D83-0C4F-A190-CB17B6F437F0}"/>
    <hyperlink ref="H10" location="'Valuation -&gt;'!B13" display="'Valuation -&gt;'!B13" xr:uid="{23847DEB-9734-4F49-8199-B43CE4351C5D}"/>
    <hyperlink ref="H7" location="'Financials -&gt;'!B13" display="'Financials -&gt;'!B13" xr:uid="{475EE0E0-0A10-2346-A106-16E3CD6797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0" t="s">
        <v>158</v>
      </c>
      <c r="C4" s="240"/>
    </row>
    <row r="5" spans="1:3" ht="17" customHeight="1" x14ac:dyDescent="0.2">
      <c r="B5" s="1" t="s">
        <v>159</v>
      </c>
      <c r="C5" s="136">
        <f>Statement!AC78</f>
        <v>1062</v>
      </c>
    </row>
    <row r="6" spans="1:3" ht="17" customHeight="1" x14ac:dyDescent="0.2">
      <c r="B6" s="1" t="s">
        <v>1</v>
      </c>
      <c r="C6" s="133">
        <f ca="1">Overview!C5</f>
        <v>174.43</v>
      </c>
    </row>
    <row r="7" spans="1:3" ht="17" customHeight="1" x14ac:dyDescent="0.2">
      <c r="B7" s="1" t="s">
        <v>160</v>
      </c>
      <c r="C7" s="134">
        <f ca="1">C5*C6</f>
        <v>185244.66</v>
      </c>
    </row>
    <row r="8" spans="1:3" ht="17" customHeight="1" x14ac:dyDescent="0.2">
      <c r="B8" s="1" t="s">
        <v>161</v>
      </c>
      <c r="C8" s="112">
        <f>Statement!AC107</f>
        <v>15270</v>
      </c>
    </row>
    <row r="9" spans="1:3" ht="17" customHeight="1" x14ac:dyDescent="0.2">
      <c r="B9" s="1" t="s">
        <v>162</v>
      </c>
      <c r="C9" s="135">
        <f ca="1">Overview!F27</f>
        <v>5.2440000000000001E-2</v>
      </c>
    </row>
    <row r="10" spans="1:3" ht="17" customHeight="1" x14ac:dyDescent="0.2">
      <c r="B10" s="1" t="s">
        <v>9</v>
      </c>
      <c r="C10" s="133">
        <f ca="1">Overview!C13</f>
        <v>1.6831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40" t="s">
        <v>165</v>
      </c>
      <c r="C15" s="240"/>
    </row>
    <row r="16" spans="1:3" ht="17" customHeight="1" x14ac:dyDescent="0.2">
      <c r="B16" s="1" t="s">
        <v>166</v>
      </c>
      <c r="C16" s="46">
        <f ca="1">C8/(C8+C7)</f>
        <v>7.6154032827325441E-2</v>
      </c>
    </row>
    <row r="17" spans="2:3" ht="17" customHeight="1" x14ac:dyDescent="0.2">
      <c r="B17" s="1" t="s">
        <v>167</v>
      </c>
      <c r="C17" s="46">
        <f ca="1">C7/(C8+C7)</f>
        <v>0.92384596717267453</v>
      </c>
    </row>
    <row r="18" spans="2:3" ht="17" customHeight="1" x14ac:dyDescent="0.2">
      <c r="B18" s="1" t="s">
        <v>168</v>
      </c>
      <c r="C18" s="46">
        <f>C13*(1-C12)</f>
        <v>4.2265000000000004E-2</v>
      </c>
    </row>
    <row r="19" spans="2:3" ht="17" customHeight="1" x14ac:dyDescent="0.2">
      <c r="B19" s="1" t="s">
        <v>169</v>
      </c>
      <c r="C19" s="46">
        <f ca="1">C9+C10*C11</f>
        <v>0.1281795</v>
      </c>
    </row>
    <row r="20" spans="2:3" ht="17" customHeight="1" x14ac:dyDescent="0.2">
      <c r="B20" s="1" t="s">
        <v>157</v>
      </c>
      <c r="C20" s="46">
        <f ca="1">(C17*C19)+(C16*C18)</f>
        <v>0.12163676434665674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167643.39526865364</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5625.7519758588933</v>
      </c>
      <c r="I10" s="126">
        <f t="shared" ref="I10:L10" ca="1" si="0">I7/(1+$C$15)^I9</f>
        <v>3357.3890061257653</v>
      </c>
      <c r="J10" s="126">
        <f t="shared" ca="1" si="0"/>
        <v>5228.7044755755487</v>
      </c>
      <c r="K10" s="126">
        <f t="shared" ca="1" si="0"/>
        <v>7356.4180743155193</v>
      </c>
      <c r="L10" s="126">
        <f t="shared" ca="1" si="0"/>
        <v>8903.1519035113542</v>
      </c>
      <c r="N10" s="91"/>
    </row>
    <row r="11" spans="1:28" x14ac:dyDescent="0.2">
      <c r="B11" s="1" t="s">
        <v>175</v>
      </c>
      <c r="C11" s="137"/>
      <c r="D11" s="137"/>
      <c r="E11" s="137"/>
      <c r="F11" s="137"/>
      <c r="G11" s="138"/>
      <c r="H11" s="137"/>
      <c r="I11" s="137"/>
      <c r="J11" s="137"/>
      <c r="K11" s="137"/>
      <c r="L11" s="126">
        <f ca="1">L8/(1+C15)^L9</f>
        <v>94433.322170878877</v>
      </c>
    </row>
    <row r="13" spans="1:28" x14ac:dyDescent="0.2">
      <c r="B13" s="240" t="s">
        <v>176</v>
      </c>
      <c r="C13" s="240"/>
    </row>
    <row r="14" spans="1:28" x14ac:dyDescent="0.2">
      <c r="B14" s="1" t="s">
        <v>177</v>
      </c>
      <c r="C14" s="140">
        <v>2.5000000000000001E-2</v>
      </c>
    </row>
    <row r="15" spans="1:28" x14ac:dyDescent="0.2">
      <c r="B15" s="1" t="s">
        <v>157</v>
      </c>
      <c r="C15" s="135">
        <f ca="1">IF(Overview!C28&gt;0,Overview!C28,WACC!C20)</f>
        <v>0.12163676434665674</v>
      </c>
    </row>
    <row r="18" spans="2:3" x14ac:dyDescent="0.2">
      <c r="B18" s="240" t="s">
        <v>178</v>
      </c>
      <c r="C18" s="240"/>
    </row>
    <row r="19" spans="2:3" x14ac:dyDescent="0.2">
      <c r="B19" s="1" t="s">
        <v>179</v>
      </c>
      <c r="C19" s="64">
        <f ca="1">SUM(H10:L10)</f>
        <v>30471.415435387084</v>
      </c>
    </row>
    <row r="20" spans="2:3" x14ac:dyDescent="0.2">
      <c r="B20" s="1" t="s">
        <v>175</v>
      </c>
      <c r="C20" s="64">
        <f ca="1">L11</f>
        <v>94433.322170878877</v>
      </c>
    </row>
    <row r="21" spans="2:3" x14ac:dyDescent="0.2">
      <c r="B21" s="16" t="s">
        <v>180</v>
      </c>
      <c r="C21" s="94">
        <f ca="1">C19+C20</f>
        <v>124904.73760626596</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117938.73760626596</v>
      </c>
    </row>
    <row r="25" spans="2:3" x14ac:dyDescent="0.2">
      <c r="B25" s="1" t="s">
        <v>67</v>
      </c>
      <c r="C25" s="136">
        <f>Statement!AC78</f>
        <v>1062</v>
      </c>
    </row>
    <row r="26" spans="2:3" x14ac:dyDescent="0.2">
      <c r="B26" s="231" t="s">
        <v>184</v>
      </c>
      <c r="C26" s="232">
        <f ca="1">C24/C25</f>
        <v>111.05342524130505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5625.7519758588933</v>
      </c>
      <c r="I9" s="92">
        <f ca="1">DCF!I10</f>
        <v>3357.3890061257653</v>
      </c>
      <c r="J9" s="92">
        <f ca="1">DCF!J10</f>
        <v>5228.7044755755487</v>
      </c>
      <c r="K9" s="92">
        <f ca="1">DCF!K10</f>
        <v>7356.4180743155193</v>
      </c>
      <c r="L9" s="92">
        <f ca="1">DCF!L10</f>
        <v>8903.1519035113542</v>
      </c>
      <c r="N9" s="91"/>
    </row>
    <row r="10" spans="1:14" x14ac:dyDescent="0.2">
      <c r="N10" s="91"/>
    </row>
    <row r="11" spans="1:14" x14ac:dyDescent="0.2">
      <c r="C11" s="246" t="s">
        <v>114</v>
      </c>
      <c r="D11" s="246"/>
      <c r="E11" s="246"/>
      <c r="F11" s="246"/>
      <c r="G11" s="246"/>
      <c r="H11" s="246"/>
      <c r="I11" s="246"/>
      <c r="J11" s="246"/>
      <c r="K11" s="246"/>
      <c r="L11" s="246"/>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6" t="s">
        <v>188</v>
      </c>
      <c r="D17" s="246"/>
      <c r="E17" s="246"/>
      <c r="F17" s="246"/>
      <c r="G17" s="246"/>
      <c r="H17" s="246"/>
      <c r="I17" s="246"/>
      <c r="J17" s="246"/>
      <c r="K17" s="246"/>
      <c r="L17" s="246"/>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6" t="s">
        <v>191</v>
      </c>
      <c r="D22" s="246"/>
      <c r="E22" s="246"/>
      <c r="F22" s="246"/>
      <c r="G22" s="246"/>
      <c r="H22" s="246"/>
      <c r="I22" s="246"/>
      <c r="J22" s="246"/>
      <c r="K22" s="246"/>
      <c r="L22" s="246"/>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6" t="s">
        <v>192</v>
      </c>
      <c r="D27" s="246"/>
      <c r="E27" s="246"/>
      <c r="F27" s="246"/>
      <c r="G27" s="246"/>
      <c r="H27" s="246"/>
      <c r="I27" s="246"/>
      <c r="J27" s="246"/>
      <c r="K27" s="246"/>
      <c r="L27" s="246"/>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40" t="s">
        <v>197</v>
      </c>
      <c r="C39" s="240"/>
      <c r="N39" s="91"/>
    </row>
    <row r="40" spans="2:14" x14ac:dyDescent="0.2">
      <c r="B40" s="1" t="s">
        <v>198</v>
      </c>
      <c r="C40" s="64">
        <f>L7</f>
        <v>20879.693841464476</v>
      </c>
    </row>
    <row r="41" spans="2:14" x14ac:dyDescent="0.2">
      <c r="B41" s="1" t="s">
        <v>157</v>
      </c>
      <c r="C41" s="135">
        <f ca="1">IF(Overview!C28&gt;0,Overview!C28,WACC!C20)</f>
        <v>0.12163676434665674</v>
      </c>
    </row>
    <row r="42" spans="2:14" x14ac:dyDescent="0.2">
      <c r="B42" s="39" t="s">
        <v>199</v>
      </c>
      <c r="C42" s="105">
        <v>18</v>
      </c>
    </row>
    <row r="43" spans="2:14" x14ac:dyDescent="0.2">
      <c r="B43" s="1" t="s">
        <v>419</v>
      </c>
      <c r="C43" s="24">
        <f>(C40*C42)</f>
        <v>375834.48914636055</v>
      </c>
    </row>
    <row r="44" spans="2:14" x14ac:dyDescent="0.2">
      <c r="B44" s="1" t="s">
        <v>420</v>
      </c>
      <c r="C44" s="24">
        <f ca="1">C43/(1+C41)^5</f>
        <v>211707.11401788337</v>
      </c>
    </row>
    <row r="45" spans="2:14" x14ac:dyDescent="0.2">
      <c r="B45" s="16" t="s">
        <v>421</v>
      </c>
      <c r="C45" s="108">
        <f ca="1">SUM(H9:K9)+C44</f>
        <v>233275.37754975911</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226309.37754975911</v>
      </c>
    </row>
    <row r="49" spans="2:3" x14ac:dyDescent="0.2">
      <c r="B49" s="1" t="s">
        <v>67</v>
      </c>
      <c r="C49" s="88">
        <f>Statement!AC78</f>
        <v>1062</v>
      </c>
    </row>
    <row r="50" spans="2:3" x14ac:dyDescent="0.2">
      <c r="B50" s="231" t="s">
        <v>201</v>
      </c>
      <c r="C50" s="232">
        <f ca="1">C48/C49</f>
        <v>213.09734232557355</v>
      </c>
    </row>
    <row r="52" spans="2:3" x14ac:dyDescent="0.2">
      <c r="B52" s="240" t="s">
        <v>202</v>
      </c>
      <c r="C52" s="240"/>
    </row>
    <row r="53" spans="2:3" x14ac:dyDescent="0.2">
      <c r="B53" s="1" t="s">
        <v>203</v>
      </c>
      <c r="C53" s="64">
        <f>L6</f>
        <v>71998.944280911994</v>
      </c>
    </row>
    <row r="54" spans="2:3" x14ac:dyDescent="0.2">
      <c r="B54" s="1" t="s">
        <v>346</v>
      </c>
      <c r="C54" s="135">
        <f ca="1">IF(Overview!C29&gt;0,Overview!C29,WACC!C19)</f>
        <v>0.1281795</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192.27270566264997</v>
      </c>
    </row>
    <row r="60" spans="2:3" x14ac:dyDescent="0.2">
      <c r="B60" s="240" t="s">
        <v>314</v>
      </c>
      <c r="C60" s="240"/>
    </row>
    <row r="61" spans="2:3" x14ac:dyDescent="0.2">
      <c r="B61" s="1" t="s">
        <v>423</v>
      </c>
      <c r="C61" s="64">
        <f>L8</f>
        <v>15805.380763756404</v>
      </c>
    </row>
    <row r="62" spans="2:3" x14ac:dyDescent="0.2">
      <c r="B62" s="1" t="s">
        <v>157</v>
      </c>
      <c r="C62" s="135">
        <f ca="1">IF(Overview!C28&gt;0,Overview!C28,WACC!C20)</f>
        <v>0.12163676434665674</v>
      </c>
    </row>
    <row r="63" spans="2:3" x14ac:dyDescent="0.2">
      <c r="B63" s="39" t="s">
        <v>345</v>
      </c>
      <c r="C63" s="105">
        <v>20</v>
      </c>
    </row>
    <row r="64" spans="2:3" x14ac:dyDescent="0.2">
      <c r="B64" s="1" t="s">
        <v>422</v>
      </c>
      <c r="C64" s="24">
        <f>(C61*C63)</f>
        <v>316107.6152751281</v>
      </c>
    </row>
    <row r="65" spans="2:3" x14ac:dyDescent="0.2">
      <c r="B65" s="1" t="s">
        <v>420</v>
      </c>
      <c r="C65" s="24">
        <f ca="1">C64/(1+C62)^5</f>
        <v>178063.03807022711</v>
      </c>
    </row>
    <row r="66" spans="2:3" x14ac:dyDescent="0.2">
      <c r="B66" s="16" t="s">
        <v>421</v>
      </c>
      <c r="C66" s="108">
        <f ca="1">SUM(H9:K9)+C65</f>
        <v>199631.30160210285</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192665.30160210285</v>
      </c>
    </row>
    <row r="70" spans="2:3" x14ac:dyDescent="0.2">
      <c r="B70" s="1" t="s">
        <v>67</v>
      </c>
      <c r="C70" s="88">
        <f>Statement!AC78</f>
        <v>1062</v>
      </c>
    </row>
    <row r="71" spans="2:3" x14ac:dyDescent="0.2">
      <c r="B71" s="231" t="s">
        <v>201</v>
      </c>
      <c r="C71" s="232">
        <f ca="1">C69/C70</f>
        <v>181.41742147090665</v>
      </c>
    </row>
    <row r="73" spans="2:3" x14ac:dyDescent="0.2">
      <c r="B73" s="240" t="s">
        <v>425</v>
      </c>
      <c r="C73" s="240"/>
    </row>
    <row r="74" spans="2:3" x14ac:dyDescent="0.2">
      <c r="B74" s="1" t="s">
        <v>426</v>
      </c>
      <c r="C74" s="64">
        <f>L6</f>
        <v>71998.944280911994</v>
      </c>
    </row>
    <row r="75" spans="2:3" x14ac:dyDescent="0.2">
      <c r="B75" s="1" t="s">
        <v>157</v>
      </c>
      <c r="C75" s="135">
        <f ca="1">IF(Overview!C28&gt;0,Overview!C28,WACC!C20)</f>
        <v>0.12163676434665674</v>
      </c>
    </row>
    <row r="76" spans="2:3" x14ac:dyDescent="0.2">
      <c r="B76" s="39" t="s">
        <v>427</v>
      </c>
      <c r="C76" s="105">
        <v>5</v>
      </c>
    </row>
    <row r="77" spans="2:3" x14ac:dyDescent="0.2">
      <c r="B77" s="1" t="s">
        <v>422</v>
      </c>
      <c r="C77" s="24">
        <f>(C74*C76)</f>
        <v>359994.72140455997</v>
      </c>
    </row>
    <row r="78" spans="2:3" x14ac:dyDescent="0.2">
      <c r="B78" s="1" t="s">
        <v>420</v>
      </c>
      <c r="C78" s="24">
        <f ca="1">C77/(1+C75)^5</f>
        <v>202784.59197115269</v>
      </c>
    </row>
    <row r="79" spans="2:3" x14ac:dyDescent="0.2">
      <c r="B79" s="16" t="s">
        <v>421</v>
      </c>
      <c r="C79" s="108">
        <f ca="1">SUM(H9:K9)+C78</f>
        <v>224352.85550302843</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217386.85550302843</v>
      </c>
    </row>
    <row r="83" spans="2:3" x14ac:dyDescent="0.2">
      <c r="B83" s="1" t="s">
        <v>67</v>
      </c>
      <c r="C83" s="88">
        <f>Statement!AC78</f>
        <v>1062</v>
      </c>
    </row>
    <row r="84" spans="2:3" x14ac:dyDescent="0.2">
      <c r="B84" s="231" t="s">
        <v>201</v>
      </c>
      <c r="C84" s="232">
        <f ca="1">C82/C83</f>
        <v>204.69572081264448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0" t="s">
        <v>206</v>
      </c>
      <c r="C4" s="240"/>
      <c r="N4" s="91"/>
    </row>
    <row r="5" spans="1:14" x14ac:dyDescent="0.2">
      <c r="B5" s="1" t="s">
        <v>207</v>
      </c>
      <c r="C5" s="133">
        <f ca="1">DCF!C26</f>
        <v>111.05342524130505</v>
      </c>
    </row>
    <row r="6" spans="1:14" x14ac:dyDescent="0.2">
      <c r="B6" s="1" t="s">
        <v>208</v>
      </c>
      <c r="C6" s="133">
        <f ca="1">Multiples!C50</f>
        <v>213.09734232557355</v>
      </c>
    </row>
    <row r="7" spans="1:14" x14ac:dyDescent="0.2">
      <c r="B7" s="1" t="s">
        <v>209</v>
      </c>
      <c r="C7" s="133">
        <f ca="1">Multiples!C58</f>
        <v>192.27270566264997</v>
      </c>
    </row>
    <row r="8" spans="1:14" x14ac:dyDescent="0.2">
      <c r="B8" s="1" t="s">
        <v>315</v>
      </c>
      <c r="C8" s="133">
        <f ca="1">Multiples!C71</f>
        <v>181.41742147090665</v>
      </c>
    </row>
    <row r="9" spans="1:14" x14ac:dyDescent="0.2">
      <c r="B9" s="1" t="s">
        <v>424</v>
      </c>
      <c r="C9" s="133">
        <f ca="1">Multiples!C84</f>
        <v>204.69572081264448</v>
      </c>
    </row>
    <row r="10" spans="1:14" x14ac:dyDescent="0.2">
      <c r="B10" s="231" t="s">
        <v>210</v>
      </c>
      <c r="C10" s="232">
        <f ca="1">AVERAGE(C5:C9)</f>
        <v>180.50732310261594</v>
      </c>
    </row>
    <row r="11" spans="1:14" x14ac:dyDescent="0.2">
      <c r="B11" s="1" t="s">
        <v>211</v>
      </c>
      <c r="C11" s="133">
        <f ca="1">Overview!C5</f>
        <v>174.43</v>
      </c>
    </row>
    <row r="12" spans="1:14" x14ac:dyDescent="0.2">
      <c r="B12" s="1" t="s">
        <v>212</v>
      </c>
      <c r="C12" s="152">
        <f ca="1">(C10-C11)/C11</f>
        <v>3.4841042840199135E-2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6" t="s">
        <v>397</v>
      </c>
      <c r="D14" s="246"/>
      <c r="E14" s="246"/>
      <c r="F14" s="246"/>
      <c r="G14" s="246"/>
      <c r="H14" s="246"/>
      <c r="I14" s="246"/>
      <c r="J14" s="246"/>
      <c r="K14" s="246"/>
      <c r="L14" s="246"/>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40" t="s">
        <v>399</v>
      </c>
      <c r="C20" s="240"/>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0.1281795</v>
      </c>
    </row>
    <row r="25" spans="2:14" x14ac:dyDescent="0.2">
      <c r="B25" s="39" t="s">
        <v>403</v>
      </c>
      <c r="C25" s="230">
        <v>0.02</v>
      </c>
    </row>
    <row r="26" spans="2:14" x14ac:dyDescent="0.2">
      <c r="B26" s="231" t="s">
        <v>201</v>
      </c>
      <c r="C26" s="232">
        <f ca="1">C23/(C24-C25)</f>
        <v>34.098881950831718</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13324.493383084577</v>
      </c>
      <c r="I7" s="126">
        <f t="shared" ref="I7:L7" si="0">H7*(1+$C$17)</f>
        <v>15056.677522885569</v>
      </c>
      <c r="J7" s="126">
        <f t="shared" si="0"/>
        <v>17014.045600860693</v>
      </c>
      <c r="K7" s="126">
        <f t="shared" si="0"/>
        <v>19225.871528972581</v>
      </c>
      <c r="L7" s="126">
        <f t="shared" si="0"/>
        <v>21725.234827739016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230433.6848298345</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11879.508417188852</v>
      </c>
      <c r="I10" s="126">
        <f t="shared" ref="I10:L10" ca="1" si="1">I7/(1+$C$21)^I9</f>
        <v>11968.085335757221</v>
      </c>
      <c r="J10" s="126">
        <f t="shared" ca="1" si="1"/>
        <v>12057.322708464562</v>
      </c>
      <c r="K10" s="126">
        <f t="shared" ca="1" si="1"/>
        <v>12147.225459840614</v>
      </c>
      <c r="L10" s="126">
        <f t="shared" ca="1" si="1"/>
        <v>12237.798551133777</v>
      </c>
      <c r="N10" s="91"/>
    </row>
    <row r="11" spans="1:28" x14ac:dyDescent="0.2">
      <c r="B11" s="1" t="s">
        <v>175</v>
      </c>
      <c r="C11" s="137"/>
      <c r="D11" s="137"/>
      <c r="E11" s="137"/>
      <c r="F11" s="137"/>
      <c r="G11" s="138"/>
      <c r="H11" s="137"/>
      <c r="I11" s="137"/>
      <c r="J11" s="137"/>
      <c r="K11" s="137"/>
      <c r="L11" s="126">
        <f ca="1">L8/(1+C21)^L9</f>
        <v>129803.01647843908</v>
      </c>
    </row>
    <row r="13" spans="1:28" ht="17" thickBot="1" x14ac:dyDescent="0.25"/>
    <row r="14" spans="1:28" x14ac:dyDescent="0.2">
      <c r="B14" s="252" t="s">
        <v>214</v>
      </c>
      <c r="C14" s="253"/>
    </row>
    <row r="15" spans="1:28" x14ac:dyDescent="0.2">
      <c r="B15" s="153" t="s">
        <v>215</v>
      </c>
      <c r="C15" s="154">
        <f ca="1">Overview!C5</f>
        <v>174.43</v>
      </c>
    </row>
    <row r="16" spans="1:28" x14ac:dyDescent="0.2">
      <c r="B16" s="153" t="s">
        <v>216</v>
      </c>
      <c r="C16" s="154">
        <f ca="1">C36</f>
        <v>174.40662566745152</v>
      </c>
    </row>
    <row r="17" spans="2:9" ht="17" thickBot="1" x14ac:dyDescent="0.25">
      <c r="B17" s="155" t="s">
        <v>316</v>
      </c>
      <c r="C17" s="156">
        <v>0.13</v>
      </c>
      <c r="E17" s="254" t="s">
        <v>217</v>
      </c>
      <c r="F17" s="254"/>
      <c r="G17" s="254"/>
      <c r="H17" s="254"/>
      <c r="I17" s="254"/>
    </row>
    <row r="18" spans="2:9" ht="17" thickBot="1" x14ac:dyDescent="0.25"/>
    <row r="19" spans="2:9" x14ac:dyDescent="0.2">
      <c r="B19" s="252" t="s">
        <v>176</v>
      </c>
      <c r="C19" s="253"/>
    </row>
    <row r="20" spans="2:9" x14ac:dyDescent="0.2">
      <c r="B20" s="157" t="s">
        <v>177</v>
      </c>
      <c r="C20" s="158">
        <v>2.5000000000000001E-2</v>
      </c>
    </row>
    <row r="21" spans="2:9" x14ac:dyDescent="0.2">
      <c r="B21" s="157" t="s">
        <v>157</v>
      </c>
      <c r="C21" s="221">
        <f ca="1">IF(Overview!C28&gt;0,Overview!C28,WACC!C20)</f>
        <v>0.12163676434665674</v>
      </c>
    </row>
    <row r="22" spans="2:9" x14ac:dyDescent="0.2">
      <c r="B22" s="157" t="s">
        <v>67</v>
      </c>
      <c r="C22" s="222">
        <f>Statement!AC75</f>
        <v>1050</v>
      </c>
    </row>
    <row r="23" spans="2:9" x14ac:dyDescent="0.2">
      <c r="B23" s="157" t="s">
        <v>218</v>
      </c>
      <c r="C23" s="159">
        <f ca="1">C15*C22</f>
        <v>183151.5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190117.5</v>
      </c>
    </row>
    <row r="27" spans="2:9" ht="17" thickBot="1" x14ac:dyDescent="0.25"/>
    <row r="28" spans="2:9" x14ac:dyDescent="0.2">
      <c r="B28" s="252" t="s">
        <v>178</v>
      </c>
      <c r="C28" s="253"/>
    </row>
    <row r="29" spans="2:9" x14ac:dyDescent="0.2">
      <c r="B29" s="157" t="s">
        <v>179</v>
      </c>
      <c r="C29" s="159">
        <f ca="1">SUM(H10:L10)</f>
        <v>60289.940472385024</v>
      </c>
    </row>
    <row r="30" spans="2:9" x14ac:dyDescent="0.2">
      <c r="B30" s="157" t="s">
        <v>175</v>
      </c>
      <c r="C30" s="159">
        <f ca="1">L11</f>
        <v>129803.01647843908</v>
      </c>
    </row>
    <row r="31" spans="2:9" x14ac:dyDescent="0.2">
      <c r="B31" s="161" t="s">
        <v>180</v>
      </c>
      <c r="C31" s="162">
        <f ca="1">C29+C30</f>
        <v>190092.9569508241</v>
      </c>
    </row>
    <row r="32" spans="2:9" x14ac:dyDescent="0.2">
      <c r="B32" s="157" t="s">
        <v>181</v>
      </c>
      <c r="C32" s="163">
        <f>C24</f>
        <v>8304</v>
      </c>
    </row>
    <row r="33" spans="2:3" x14ac:dyDescent="0.2">
      <c r="B33" s="157" t="s">
        <v>182</v>
      </c>
      <c r="C33" s="163">
        <f>C25</f>
        <v>15270</v>
      </c>
    </row>
    <row r="34" spans="2:3" x14ac:dyDescent="0.2">
      <c r="B34" s="161" t="s">
        <v>183</v>
      </c>
      <c r="C34" s="162">
        <f ca="1">C31+C32-C33</f>
        <v>183126.9569508241</v>
      </c>
    </row>
    <row r="35" spans="2:3" x14ac:dyDescent="0.2">
      <c r="B35" s="157" t="s">
        <v>67</v>
      </c>
      <c r="C35" s="159">
        <f>C22</f>
        <v>1050</v>
      </c>
    </row>
    <row r="36" spans="2:3" ht="17" thickBot="1" x14ac:dyDescent="0.25">
      <c r="B36" s="164" t="s">
        <v>184</v>
      </c>
      <c r="C36" s="165">
        <f ca="1">C34/C35</f>
        <v>174.40662566745152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2026-10-12T20:44:47Z</dcterms:modified>
</cp:coreProperties>
</file>