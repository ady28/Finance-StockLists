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05057DF-C07C-CF47-9982-105DDDAD4EB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 i="5" l="1"/>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48"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AA138" i="3"/>
  <c r="AA134"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8" i="3"/>
  <c r="Z139" i="3" s="1"/>
  <c r="Y138" i="3"/>
  <c r="Y139" i="3" s="1"/>
  <c r="X138" i="3"/>
  <c r="X139" i="3" s="1"/>
  <c r="W138" i="3"/>
  <c r="W139" i="3" s="1"/>
  <c r="V138" i="3"/>
  <c r="V139" i="3" s="1"/>
  <c r="U138" i="3"/>
  <c r="U139" i="3" s="1"/>
  <c r="T138" i="3"/>
  <c r="T139" i="3" s="1"/>
  <c r="W152" i="3"/>
  <c r="F10" i="16"/>
  <c r="P109" i="3"/>
  <c r="F45" i="7"/>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4" i="3"/>
  <c r="Y135" i="3" s="1"/>
  <c r="H60" i="20"/>
  <c r="X134" i="3"/>
  <c r="X135" i="3" s="1"/>
  <c r="G60" i="20"/>
  <c r="W134" i="3"/>
  <c r="W135" i="3" s="1"/>
  <c r="F60" i="20"/>
  <c r="V134" i="3"/>
  <c r="V135" i="3" s="1"/>
  <c r="E60" i="20"/>
  <c r="U134" i="3"/>
  <c r="U135" i="3" s="1"/>
  <c r="D60" i="20"/>
  <c r="T134" i="3"/>
  <c r="T135" i="3" s="1"/>
  <c r="J60" i="20"/>
  <c r="Z134" i="3"/>
  <c r="Z135" i="3" s="1"/>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3" i="12"/>
  <c r="C60"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0"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6"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47" i="12"/>
  <c r="C51" i="12" s="1"/>
  <c r="C52"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C44" i="12" s="1"/>
  <c r="C6" i="13" s="1"/>
  <c r="I4" i="1" s="1"/>
  <c r="L30" i="7"/>
  <c r="L29" i="7"/>
  <c r="L35" i="7" s="1"/>
  <c r="L22" i="8" s="1"/>
  <c r="I28" i="8" l="1"/>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5" i="12"/>
  <c r="C58" i="12" s="1"/>
  <c r="C59" i="12" s="1"/>
  <c r="C61"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<sst xmlns="http://schemas.openxmlformats.org/spreadsheetml/2006/main" count="769" uniqueCount="408">
  <si>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</si>
  <si>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</si>
  <si>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</si>
  <si>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</si>
  <si>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</si>
  <si>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</si>
  <si>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</si>
  <si>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</si>
  <si>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</si>
  <si>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</si>
  <si>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</si>
  <si>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</si>
  <si>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</si>
  <si>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</si>
  <si>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</si>
  <si>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</si>
  <si>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</si>
  <si>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</si>
  <si>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</si>
  <si>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</si>
  <si>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</si>
  <si>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</si>
  <si>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</si>
  <si>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</si>
  <si>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</si>
  <si>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</si>
  <si>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</si>
  <si>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</si>
  <si>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</si>
  <si>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</si>
  <si>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</si>
  <si>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</si>
  <si>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</si>
  <si>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</si>
  <si>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</si>
  <si>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</si>
  <si>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</si>
  <si>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</si>
  <si>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</si>
  <si>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</si>
  <si>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</si>
  <si>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</si>
  <si>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</si>
  <si>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</si>
  <si>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</si>
  <si>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</si>
  <si>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</si>
  <si>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</si>
  <si>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</si>
  <si>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</si>
  <si>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</si>
  <si>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</si>
  <si>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</si>
  <si>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</si>
  <si>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</si>
  <si>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</si>
  <si>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</si>
  <si>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</si>
  <si>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</si>
  <si>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</si>
  <si>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</si>
  <si>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</si>
  <si>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</si>
  <si>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</si>
  <si>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</si>
  <si>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</si>
  <si>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</si>
  <si>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</si>
  <si>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</si>
  <si>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</si>
  <si>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</si>
  <si>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</si>
  <si>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</si>
  <si>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</si>
  <si>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</si>
  <si>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</si>
  <si>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</si>
  <si>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</si>
  <si>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</si>
  <si>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</si>
  <si>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</si>
  <si>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</si>
  <si>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</si>
  <si>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</si>
  <si>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</si>
  <si>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</si>
  <si>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</si>
  <si>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</si>
  <si>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</si>
  <si>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</si>
  <si>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</si>
  <si>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</si>
  <si>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</si>
  <si>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</si>
  <si>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</si>
  <si>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</si>
  <si>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</si>
  <si>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</si>
  <si>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</si>
  <si>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</si>
  <si>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</si>
  <si>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</si>
  <si>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</si>
  <si>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</si>
  <si>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</si>
  <si>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</si>
  <si>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</si>
  <si>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</si>
  <si>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</si>
  <si>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</si>
  <si>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</si>
  <si>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</si>
  <si>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</si>
  <si>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</si>
  <si>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</si>
  <si>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</si>
  <si>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</si>
  <si>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</si>
  <si>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</si>
  <si>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</si>
  <si>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</si>
  <si>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</si>
  <si>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</si>
  <si>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</si>
  <si>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</si>
  <si>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</si>
  <si>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</si>
  <si>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</si>
  <si>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</si>
  <si>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</si>
  <si>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</si>
  <si>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</si>
  <si>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</si>
  <si>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</si>
  <si>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</si>
  <si>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</si>
  <si>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</si>
  <si>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</si>
  <si>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</si>
  <si>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</si>
  <si>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</si>
  <si>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</si>
  <si>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</si>
  <si>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</si>
  <si>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</si>
  <si>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</si>
  <si>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</si>
  <si>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</si>
  <si>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</si>
  <si>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</si>
  <si>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</si>
  <si>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</si>
  <si>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</si>
  <si>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</si>
  <si>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</si>
  <si>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</si>
  <si>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</si>
  <si>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</si>
  <si>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</si>
  <si>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</si>
  <si>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</si>
  <si>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</si>
  <si>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</si>
  <si>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</si>
  <si>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</si>
  <si>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</si>
  <si>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</si>
  <si>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</si>
  <si>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</si>
  <si>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</si>
  <si>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</si>
  <si>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</si>
  <si>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</si>
  <si>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</si>
  <si>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</si>
  <si>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</si>
  <si>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</si>
  <si>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</si>
  <si>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</si>
  <si>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</si>
  <si>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</si>
  <si>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</si>
  <si>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</si>
  <si>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</si>
  <si>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</si>
  <si>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</si>
  <si>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</si>
  <si>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</si>
  <si>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</si>
  <si>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</si>
  <si>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</si>
  <si>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</si>
  <si>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</si>
  <si>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</si>
  <si>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</si>
  <si>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</si>
  <si>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</si>
  <si>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</si>
  <si>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</si>
  <si>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</si>
  <si>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</si>
  <si>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</si>
  <si>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</si>
  <si>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</si>
  <si>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</si>
  <si>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</si>
  <si>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</si>
  <si>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</si>
  <si>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</si>
  <si>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</si>
  <si>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</si>
  <si>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</si>
  <si>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</si>
  <si>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</si>
  <si>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</si>
  <si>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</si>
  <si>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</si>
  <si>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</si>
  <si>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</si>
  <si>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</si>
  <si>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</si>
  <si>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</si>
  <si>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</si>
  <si>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</si>
  <si>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</si>
  <si>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</si>
  <si>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</si>
  <si>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</si>
  <si>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</si>
  <si>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</si>
  <si>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</si>
  <si>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</si>
  <si>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</si>
  <si>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</si>
  <si>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</si>
  <si>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</si>
  <si>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</si>
  <si>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</si>
  <si>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</si>
  <si>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</si>
  <si>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</si>
  <si>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</si>
  <si>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</si>
  <si>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</si>
  <si>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</si>
  <si>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</si>
  <si>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</si>
  <si>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</si>
  <si>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</si>
  <si>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</si>
  <si>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</si>
  <si>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</si>
  <si>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</si>
  <si>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</si>
  <si>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</si>
  <si>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</si>
  <si>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</si>
  <si>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</si>
  <si>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</si>
  <si>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</si>
  <si>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</si>
  <si>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</si>
  <si>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</si>
  <si>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</si>
  <si>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</si>
  <si>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</si>
  <si>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</si>
  <si>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</si>
  <si>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</si>
  <si>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</si>
  <si>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</si>
  <si>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</si>
  <si>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</si>
  <si>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</si>
  <si>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</si>
  <si>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</si>
  <si>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</si>
  <si>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</si>
  <si>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</si>
  <si>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</si>
  <si>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</si>
  <si>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</si>
  <si>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</si>
  <si>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</si>
  <si>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</si>
  <si>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</si>
  <si>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</si>
  <si>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</si>
  <si>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</si>
  <si>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</si>
  <si>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</si>
  <si>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</si>
  <si>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</si>
  <si>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</si>
  <si>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</si>
  <si>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</si>
  <si>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</si>
  <si>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</si>
  <si>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</si>
  <si>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</si>
  <si>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</si>
  <si>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</si>
  <si>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</si>
  <si>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</si>
  <si>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</si>
  <si>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</si>
  <si>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</si>
  <si>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</si>
  <si>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</si>
  <si>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</si>
  <si>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</si>
  <si>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</si>
  <si>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</si>
  <si>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</si>
  <si>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</si>
  <si>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</si>
  <si>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</si>
  <si>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</si>
  <si>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</si>
  <si>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</si>
  <si>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</si>
  <si>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</si>
  <si>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</si>
  <si>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</si>
  <si>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</si>
  <si>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</si>
  <si>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</si>
  <si>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</si>
  <si>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</si>
  <si>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</si>
  <si>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</si>
  <si>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</si>
  <si>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</si>
  <si>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</si>
  <si>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</si>
  <si>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</si>
  <si>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</si>
  <si>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</si>
  <si>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</si>
  <si>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</si>
  <si>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</si>
  <si>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</si>
  <si>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</si>
  <si>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</si>
  <si>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</si>
  <si>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</si>
  <si>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</si>
  <si>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</si>
  <si>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</si>
  <si>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</si>
  <si>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</si>
  <si>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Gross Margin Lower</t>
  </si>
  <si>
    <t>Gross Margin Upper</t>
  </si>
  <si>
    <t>Actual Gross Margin</t>
  </si>
  <si>
    <t>OpEx Lower</t>
  </si>
  <si>
    <t>OpEx Upper</t>
  </si>
  <si>
    <t>Actual OpEx</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</si>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</sst>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1.6096999999999999</v>
    <v>13.14</v>
    <v>6.1699000000000004E-2</v>
    <v>0.39</v>
    <v>1.725E-3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229.42</v>
    <v>3</v>
    <v>Semiconductors &amp; Semiconductor Equipment</v>
    <v>Stock</v>
    <v>46191.999934085157</v>
    <v>4</v>
    <v>214.73</v>
    <v>238319940000</v>
    <v>QUALCOMM INCORPORATED</v>
    <v>QUALCOMM INCORPORATED</v>
    <v>220.71</v>
    <v>23.165500000000002</v>
    <v>212.97</v>
    <v>226.11</v>
    <v>226.5</v>
    <v>1054000000</v>
    <v>QCOM</v>
    <v>QUALCOMM INCORPORATED (XNAS:QCOM)</v>
    <v>47081544</v>
    <v>21727556</v>
    <v>1991</v>
  </rv>
  <rv s="4">
    <v>5</v>
  </rv>
  <rv s="0">
    <v>https://www.bing.com/financeapi/forcetrigger?t=a33knm&amp;q=10+Y+TSY+YLD+NDX&amp;form=skydnc</v>
    <v>Learn more on Bing</v>
  </rv>
  <rv s="5">
    <v>7</v>
    <v>10 Y TSY YLD NDX</v>
    <v>8</v>
    <v>9</v>
    <v>Finance</v>
    <v>10</v>
    <v>en-US</v>
    <v>a33knm</v>
    <v>268435456</v>
    <v>1</v>
    <v>Powered by Refinitiv</v>
    <v>46.87</v>
    <v>39.47</v>
    <v>-0.12</v>
    <v>-2.6889999999999996E-3</v>
    <v>US</v>
    <v>44.53</v>
    <v>Index</v>
    <v>7</v>
    <v>44.2</v>
    <v>10 Y TSY YLD NDX</v>
    <v>44.53</v>
    <v>44.63</v>
    <v>44.51</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zoomScale="160" zoomScaleNormal="160" workbookViewId="0">
      <selection activeCell="F8" sqref="F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284</v>
      </c>
      <c r="F2" s="232"/>
      <c r="H2" s="231" t="s">
        <v>325</v>
      </c>
      <c r="I2" s="232"/>
    </row>
    <row r="3" spans="2:9" x14ac:dyDescent="0.2">
      <c r="B3" s="185" t="s">
        <v>11</v>
      </c>
      <c r="C3" s="217" t="e" vm="1">
        <v>#VALUE!</v>
      </c>
      <c r="D3" s="2"/>
      <c r="E3" s="185" t="s">
        <v>236</v>
      </c>
      <c r="F3" s="187">
        <f ca="1">Statement!AC156</f>
        <v>239676.6</v>
      </c>
      <c r="H3" s="185" t="str">
        <f>'AVG target price'!B5</f>
        <v>DCF price</v>
      </c>
      <c r="I3" s="211">
        <f ca="1">'AVG target price'!C5</f>
        <v>115.4962120112572</v>
      </c>
    </row>
    <row r="4" spans="2:9" x14ac:dyDescent="0.2">
      <c r="B4" s="185" t="s">
        <v>0</v>
      </c>
      <c r="C4" s="189" t="str" cm="1">
        <f t="array" aca="1" ref="C4" ca="1">_FV(C3,"Ticker symbol",TRUE)</f>
        <v>QCOM</v>
      </c>
      <c r="E4" s="186" t="s">
        <v>180</v>
      </c>
      <c r="F4" s="188">
        <f ca="1">Statement!AC157</f>
        <v>245147.6</v>
      </c>
      <c r="H4" s="185" t="str">
        <f>'AVG target price'!B6</f>
        <v>EV/EBIT price</v>
      </c>
      <c r="I4" s="211">
        <f ca="1">'AVG target price'!C6</f>
        <v>180.15703874400484</v>
      </c>
    </row>
    <row r="5" spans="2:9" x14ac:dyDescent="0.2">
      <c r="B5" s="185" t="s">
        <v>1</v>
      </c>
      <c r="C5" s="208" cm="1">
        <f t="array" aca="1" ref="C5" ca="1">_FV(C3,"Price",TRUE)</f>
        <v>226.11</v>
      </c>
      <c r="E5" s="185" t="s">
        <v>240</v>
      </c>
      <c r="F5" s="189">
        <f>Statement!AC26</f>
        <v>9.418342702074046</v>
      </c>
      <c r="H5" s="185" t="str">
        <f>'AVG target price'!B7</f>
        <v>PS price</v>
      </c>
      <c r="I5" s="211">
        <f>'AVG target price'!C7</f>
        <v>184.98583880894876</v>
      </c>
    </row>
    <row r="6" spans="2:9" x14ac:dyDescent="0.2">
      <c r="B6" s="185" t="s">
        <v>2</v>
      </c>
      <c r="C6" s="208" cm="1">
        <f t="array" aca="1" ref="C6" ca="1">_FV(C3,"Price (Extended hours)",TRUE)</f>
        <v>226.5</v>
      </c>
      <c r="E6" s="185" t="s">
        <v>234</v>
      </c>
      <c r="F6" s="190">
        <f ca="1">Statement!AC153</f>
        <v>24.007408431868544</v>
      </c>
      <c r="H6" s="185" t="str">
        <f>'AVG target price'!B8</f>
        <v>EV/FCFF price</v>
      </c>
      <c r="I6" s="211">
        <f ca="1">'AVG target price'!C8</f>
        <v>173.74762220661054</v>
      </c>
    </row>
    <row r="7" spans="2:9" x14ac:dyDescent="0.2">
      <c r="B7" s="185" t="s">
        <v>3</v>
      </c>
      <c r="C7" s="6" cm="1">
        <f t="array" aca="1" ref="C7" ca="1">_FV(C3,"Change")</f>
        <v>13.14</v>
      </c>
      <c r="E7" s="186" t="s">
        <v>193</v>
      </c>
      <c r="F7" s="191">
        <f ca="1">Statement!AC154</f>
        <v>5.4871713093796259</v>
      </c>
      <c r="H7" s="184" t="str">
        <f>'AVG target price'!B9</f>
        <v>AVG price</v>
      </c>
      <c r="I7" s="212">
        <f ca="1">'AVG target price'!C9</f>
        <v>163.59667794270533</v>
      </c>
    </row>
    <row r="8" spans="2:9" x14ac:dyDescent="0.2">
      <c r="B8" s="185" t="s">
        <v>4</v>
      </c>
      <c r="C8" s="6" cm="1">
        <f t="array" aca="1" ref="C8" ca="1">_FV(C3,"Change (extended hours)",TRUE)</f>
        <v>0.39</v>
      </c>
      <c r="E8" s="185" t="s">
        <v>262</v>
      </c>
      <c r="F8" s="192">
        <f ca="1">Statement!AC164</f>
        <v>3.9348855916681059E-2</v>
      </c>
      <c r="H8" s="184" t="str">
        <f>'AVG target price'!B11</f>
        <v>Upside/Downside</v>
      </c>
      <c r="I8" s="213">
        <f ca="1">'AVG target price'!C11</f>
        <v>-0.27647305319222804</v>
      </c>
    </row>
    <row r="9" spans="2:9" x14ac:dyDescent="0.2">
      <c r="B9" s="185" t="s">
        <v>5</v>
      </c>
      <c r="C9" s="73" cm="1">
        <f t="array" aca="1" ref="C9" ca="1">_FV(C3,"Change (%)",TRUE)</f>
        <v>6.1699000000000004E-2</v>
      </c>
      <c r="E9" s="185" t="s">
        <v>285</v>
      </c>
      <c r="F9" s="192">
        <f ca="1">Statement!AC165</f>
        <v>4.1653808774817766E-2</v>
      </c>
    </row>
    <row r="10" spans="2:9" x14ac:dyDescent="0.2">
      <c r="B10" s="185" t="s">
        <v>6</v>
      </c>
      <c r="C10" s="73" cm="1">
        <f t="array" aca="1" ref="C10" ca="1">_FV(C3,"Change % (extended hours)",TRUE)</f>
        <v>1.725E-3</v>
      </c>
      <c r="E10" s="185" t="s">
        <v>290</v>
      </c>
      <c r="F10" s="192">
        <f ca="1">Statement!AC167</f>
        <v>4.4789520545601862E-2</v>
      </c>
    </row>
    <row r="11" spans="2:9" x14ac:dyDescent="0.2">
      <c r="B11" s="185" t="s">
        <v>7</v>
      </c>
      <c r="C11" s="209" cm="1">
        <f t="array" aca="1" ref="C11" ca="1">_FV(C3,"52 week high",TRUE)</f>
        <v>259.92</v>
      </c>
      <c r="E11" s="186" t="s">
        <v>286</v>
      </c>
      <c r="F11" s="193">
        <f ca="1">Statement!AC166</f>
        <v>1.5744549113263454E-2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1.6096999999999999</v>
      </c>
      <c r="E13" s="185" t="s">
        <v>96</v>
      </c>
      <c r="F13" s="192">
        <f>Statement!AC124</f>
        <v>0.37337781362269967</v>
      </c>
    </row>
    <row r="14" spans="2:9" x14ac:dyDescent="0.2">
      <c r="B14" s="186" t="s">
        <v>10</v>
      </c>
      <c r="C14" s="210" cm="1">
        <f t="array" aca="1" ref="C14" ca="1">_FV(C3,"Volume average",TRUE)</f>
        <v>21727556</v>
      </c>
      <c r="E14" s="186" t="s">
        <v>97</v>
      </c>
      <c r="F14" s="193">
        <f>Statement!AC143</f>
        <v>0.30177970863243947</v>
      </c>
    </row>
    <row r="15" spans="2:9" x14ac:dyDescent="0.2">
      <c r="E15" s="185" t="s">
        <v>287</v>
      </c>
      <c r="F15" s="192">
        <f ca="1">Statement!AC179</f>
        <v>-2.2826592166277391E-2</v>
      </c>
    </row>
    <row r="16" spans="2:9" x14ac:dyDescent="0.2">
      <c r="E16" s="186" t="s">
        <v>292</v>
      </c>
      <c r="F16" s="191">
        <f>Statement!AC178</f>
        <v>-5.1907020872865273</v>
      </c>
    </row>
    <row r="17" spans="2:9" x14ac:dyDescent="0.2">
      <c r="B17" s="233" t="s">
        <v>83</v>
      </c>
      <c r="C17" s="233"/>
      <c r="E17" s="184" t="s">
        <v>293</v>
      </c>
      <c r="F17" s="194">
        <f>Statement!AC174</f>
        <v>9.4339622641509435E-4</v>
      </c>
    </row>
    <row r="18" spans="2:9" x14ac:dyDescent="0.2">
      <c r="B18" s="184" t="s">
        <v>12</v>
      </c>
      <c r="C18" s="69" t="s">
        <v>343</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345</v>
      </c>
    </row>
    <row r="25" spans="2:9" x14ac:dyDescent="0.2">
      <c r="B25" s="233" t="s">
        <v>99</v>
      </c>
      <c r="C25" s="233"/>
      <c r="E25" s="231" t="s">
        <v>340</v>
      </c>
      <c r="F25" s="232"/>
    </row>
    <row r="26" spans="2:9" x14ac:dyDescent="0.2">
      <c r="B26" s="184" t="s">
        <v>100</v>
      </c>
      <c r="C26" s="170">
        <v>0.21</v>
      </c>
      <c r="E26" s="185" t="e" vm="2">
        <v>#VALUE!</v>
      </c>
      <c r="F26" s="219" cm="1">
        <f t="array" aca="1" ref="F26" ca="1">_FV(E26,"Price")</f>
        <v>44.51</v>
      </c>
    </row>
    <row r="27" spans="2:9" x14ac:dyDescent="0.2">
      <c r="B27" s="184" t="s">
        <v>164</v>
      </c>
      <c r="C27" s="221">
        <v>4.65E-2</v>
      </c>
      <c r="E27" s="186" t="s">
        <v>341</v>
      </c>
      <c r="F27" s="220">
        <f ca="1">F26/1000</f>
        <v>4.4510000000000001E-2</v>
      </c>
    </row>
    <row r="28" spans="2:9" x14ac:dyDescent="0.2">
      <c r="B28" s="184" t="s">
        <v>364</v>
      </c>
      <c r="C28" s="221">
        <v>0</v>
      </c>
    </row>
    <row r="29" spans="2:9" x14ac:dyDescent="0.2">
      <c r="B29" s="184" t="s">
        <v>363</v>
      </c>
      <c r="C29" s="221">
        <v>0.12</v>
      </c>
    </row>
    <row r="33" spans="2:8" x14ac:dyDescent="0.2">
      <c r="B33" s="230" t="s">
        <v>335</v>
      </c>
      <c r="C33" s="230"/>
      <c r="D33" s="230"/>
      <c r="E33" s="230"/>
      <c r="F33" s="230"/>
      <c r="G33" s="230"/>
      <c r="H33" s="230"/>
    </row>
    <row r="35" spans="2:8" x14ac:dyDescent="0.2">
      <c r="B35" s="16" t="s">
        <v>336</v>
      </c>
      <c r="C35" s="1" t="s">
        <v>358</v>
      </c>
    </row>
    <row r="36" spans="2:8" x14ac:dyDescent="0.2">
      <c r="B36" s="16" t="s">
        <v>337</v>
      </c>
      <c r="C36" s="1" t="s">
        <v>357</v>
      </c>
    </row>
    <row r="39" spans="2:8" ht="6" customHeight="1" x14ac:dyDescent="0.2">
      <c r="B39" s="230"/>
      <c r="C39" s="230"/>
      <c r="D39" s="230"/>
      <c r="E39" s="230"/>
      <c r="F39" s="230"/>
      <c r="G39" s="230"/>
      <c r="H39" s="230"/>
    </row>
    <row r="42" spans="2:8" x14ac:dyDescent="0.2">
      <c r="B42" s="230" t="s">
        <v>338</v>
      </c>
      <c r="C42" s="230"/>
      <c r="D42" s="230"/>
      <c r="E42" s="230"/>
      <c r="F42" s="230"/>
      <c r="G42" s="230"/>
      <c r="H42" s="230"/>
    </row>
    <row r="44" spans="2:8" x14ac:dyDescent="0.2">
      <c r="B44" s="41" t="s">
        <v>339</v>
      </c>
      <c r="C44" s="41" t="s">
        <v>326</v>
      </c>
      <c r="D44" s="41"/>
      <c r="E44" s="41" t="s">
        <v>327</v>
      </c>
    </row>
    <row r="49" spans="2:8" ht="5" customHeight="1" x14ac:dyDescent="0.2">
      <c r="B49" s="230"/>
      <c r="C49" s="230"/>
      <c r="D49" s="230"/>
      <c r="E49" s="230"/>
      <c r="F49" s="230"/>
      <c r="G49" s="230"/>
      <c r="H49" s="230"/>
    </row>
    <row r="52" spans="2:8" x14ac:dyDescent="0.2">
      <c r="B52" s="230" t="s">
        <v>101</v>
      </c>
      <c r="C52" s="230"/>
      <c r="D52" s="230"/>
      <c r="E52" s="230"/>
      <c r="F52" s="230"/>
      <c r="G52" s="230"/>
      <c r="H52" s="230"/>
    </row>
    <row r="54" spans="2:8" x14ac:dyDescent="0.2">
      <c r="B54" s="41" t="s">
        <v>339</v>
      </c>
      <c r="C54" s="41" t="s">
        <v>385</v>
      </c>
      <c r="D54" s="41"/>
      <c r="E54" s="41" t="s">
        <v>349</v>
      </c>
    </row>
    <row r="55" spans="2:8" x14ac:dyDescent="0.2">
      <c r="B55" s="1" t="s">
        <v>379</v>
      </c>
      <c r="C55" s="1" t="s">
        <v>28</v>
      </c>
      <c r="E55" s="1" t="s">
        <v>387</v>
      </c>
    </row>
    <row r="56" spans="2:8" x14ac:dyDescent="0.2">
      <c r="B56" s="1" t="s">
        <v>379</v>
      </c>
      <c r="C56" s="1" t="s">
        <v>29</v>
      </c>
      <c r="E56" s="1" t="s">
        <v>381</v>
      </c>
    </row>
    <row r="57" spans="2:8" x14ac:dyDescent="0.2">
      <c r="B57" s="1" t="s">
        <v>379</v>
      </c>
      <c r="C57" s="1" t="s">
        <v>382</v>
      </c>
      <c r="E57" s="1" t="s">
        <v>381</v>
      </c>
    </row>
    <row r="59" spans="2:8" x14ac:dyDescent="0.2">
      <c r="B59" s="41" t="s">
        <v>339</v>
      </c>
      <c r="C59" s="41" t="s">
        <v>374</v>
      </c>
      <c r="D59" s="41"/>
      <c r="E59" s="41" t="s">
        <v>378</v>
      </c>
    </row>
    <row r="60" spans="2:8" x14ac:dyDescent="0.2">
      <c r="B60" s="1" t="s">
        <v>379</v>
      </c>
      <c r="C60" s="1" t="s">
        <v>28</v>
      </c>
      <c r="E60" s="1" t="s">
        <v>380</v>
      </c>
    </row>
    <row r="61" spans="2:8" x14ac:dyDescent="0.2">
      <c r="B61" s="1" t="s">
        <v>379</v>
      </c>
      <c r="C61" s="1" t="s">
        <v>29</v>
      </c>
      <c r="E61" s="1" t="s">
        <v>381</v>
      </c>
    </row>
    <row r="62" spans="2:8" x14ac:dyDescent="0.2">
      <c r="B62" s="1" t="s">
        <v>379</v>
      </c>
      <c r="C62" s="1" t="s">
        <v>382</v>
      </c>
      <c r="E62" s="1" t="s">
        <v>381</v>
      </c>
    </row>
    <row r="64" spans="2:8" x14ac:dyDescent="0.2">
      <c r="B64" s="41" t="s">
        <v>339</v>
      </c>
      <c r="C64" s="41" t="s">
        <v>374</v>
      </c>
      <c r="D64" s="41"/>
      <c r="E64" s="41" t="s">
        <v>347</v>
      </c>
    </row>
    <row r="65" spans="2:8" x14ac:dyDescent="0.2">
      <c r="B65" s="1" t="s">
        <v>379</v>
      </c>
      <c r="C65" s="1" t="s">
        <v>28</v>
      </c>
      <c r="E65" s="1" t="s">
        <v>380</v>
      </c>
    </row>
    <row r="66" spans="2:8" x14ac:dyDescent="0.2">
      <c r="B66" s="1" t="s">
        <v>379</v>
      </c>
      <c r="C66" s="1" t="s">
        <v>29</v>
      </c>
      <c r="E66" s="1" t="s">
        <v>381</v>
      </c>
    </row>
    <row r="67" spans="2:8" x14ac:dyDescent="0.2">
      <c r="B67" s="1" t="s">
        <v>379</v>
      </c>
      <c r="C67" s="1" t="s">
        <v>382</v>
      </c>
      <c r="E67" s="1" t="s">
        <v>381</v>
      </c>
    </row>
    <row r="69" spans="2:8" ht="5" customHeight="1" x14ac:dyDescent="0.2">
      <c r="B69" s="230"/>
      <c r="C69" s="230"/>
      <c r="D69" s="230"/>
      <c r="E69" s="230"/>
      <c r="F69" s="230"/>
      <c r="G69" s="230"/>
      <c r="H69" s="230"/>
    </row>
  </sheetData>
  <mergeCells count="12">
    <mergeCell ref="B2:C2"/>
    <mergeCell ref="B17:C17"/>
    <mergeCell ref="B25:C25"/>
    <mergeCell ref="E2:F2"/>
    <mergeCell ref="H2:I2"/>
    <mergeCell ref="E25:F25"/>
    <mergeCell ref="B52:H52"/>
    <mergeCell ref="B69:H6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5" activePane="bottomRight" state="frozen"/>
      <selection pane="topRight" activeCell="C1" sqref="C1"/>
      <selection pane="bottomLeft" activeCell="A4" sqref="A4"/>
      <selection pane="bottomRight" activeCell="B198" sqref="B19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384</v>
      </c>
      <c r="N2" s="10" t="s">
        <v>383</v>
      </c>
      <c r="O2" s="10" t="s">
        <v>376</v>
      </c>
      <c r="P2" s="10" t="s">
        <v>375</v>
      </c>
      <c r="Q2" s="10" t="s">
        <v>374</v>
      </c>
      <c r="R2" s="7"/>
      <c r="S2" s="7"/>
      <c r="T2" s="10" t="s">
        <v>394</v>
      </c>
      <c r="U2" s="10" t="s">
        <v>375</v>
      </c>
      <c r="V2" s="10" t="s">
        <v>390</v>
      </c>
      <c r="W2" s="10" t="s">
        <v>386</v>
      </c>
      <c r="X2" s="10" t="s">
        <v>392</v>
      </c>
      <c r="Y2" s="10" t="s">
        <v>374</v>
      </c>
      <c r="Z2" s="10" t="s">
        <v>388</v>
      </c>
      <c r="AA2" s="10" t="s">
        <v>385</v>
      </c>
      <c r="AB2" s="7"/>
      <c r="AD2" s="7"/>
      <c r="AE2" s="7"/>
    </row>
    <row r="3" spans="1:31" s="13" customFormat="1" x14ac:dyDescent="0.2">
      <c r="A3" s="11"/>
      <c r="B3" s="12" t="s">
        <v>16</v>
      </c>
      <c r="M3" s="13">
        <v>2021</v>
      </c>
      <c r="N3" s="13">
        <v>2022</v>
      </c>
      <c r="O3" s="13">
        <v>2023</v>
      </c>
      <c r="P3" s="13">
        <v>2024</v>
      </c>
      <c r="Q3" s="13">
        <v>2025</v>
      </c>
      <c r="R3" s="11"/>
      <c r="S3" s="11"/>
      <c r="T3" s="10" t="s">
        <v>393</v>
      </c>
      <c r="U3" s="10" t="s">
        <v>391</v>
      </c>
      <c r="V3" s="10" t="s">
        <v>389</v>
      </c>
      <c r="W3" s="10" t="s">
        <v>350</v>
      </c>
      <c r="X3" s="10" t="s">
        <v>348</v>
      </c>
      <c r="Y3" s="10" t="s">
        <v>347</v>
      </c>
      <c r="Z3" s="10" t="s">
        <v>346</v>
      </c>
      <c r="AA3" s="10" t="s">
        <v>349</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344</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377</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369</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333</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331</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344</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330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226.11</v>
      </c>
    </row>
    <row r="116" spans="1:31" x14ac:dyDescent="0.2">
      <c r="B116" s="20" t="s">
        <v>342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226.11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31800</v>
      </c>
      <c r="U128" s="21">
        <v>36300</v>
      </c>
      <c r="V128" s="21">
        <v>42000</v>
      </c>
      <c r="W128" s="21">
        <v>44000</v>
      </c>
      <c r="X128" s="21">
        <v>53000</v>
      </c>
      <c r="Y128" s="21">
        <v>63700</v>
      </c>
      <c r="Z128" s="21">
        <v>76500</v>
      </c>
      <c r="AA128" s="21">
        <v>89000</v>
      </c>
      <c r="AC128" s="49"/>
    </row>
    <row r="129" spans="2:29" x14ac:dyDescent="0.2">
      <c r="B129" s="20" t="s">
        <v>227</v>
      </c>
      <c r="C129" s="49"/>
      <c r="D129" s="49"/>
      <c r="E129" s="49"/>
      <c r="F129" s="49"/>
      <c r="G129" s="49"/>
      <c r="H129" s="49"/>
      <c r="I129" s="49"/>
      <c r="J129" s="49"/>
      <c r="K129" s="49"/>
      <c r="L129" s="49"/>
      <c r="M129" s="49"/>
      <c r="N129" s="49"/>
      <c r="O129" s="49"/>
      <c r="P129" s="49"/>
      <c r="Q129" s="49"/>
      <c r="T129" s="21">
        <v>33500</v>
      </c>
      <c r="U129" s="21">
        <v>38300</v>
      </c>
      <c r="V129" s="21">
        <v>44000</v>
      </c>
      <c r="W129" s="21">
        <v>46000</v>
      </c>
      <c r="X129" s="21">
        <v>55000</v>
      </c>
      <c r="Y129" s="21">
        <v>66300</v>
      </c>
      <c r="Z129" s="21">
        <v>79500</v>
      </c>
      <c r="AA129" s="21">
        <v>93000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8" t="str">
        <f t="shared" ref="T131:AA131" si="73">IF(T130&gt;T129, "BEAT", IF(T130&lt;T128, "MISSED", "MET"))</f>
        <v>MISSED</v>
      </c>
      <c r="U131" s="228" t="str">
        <f t="shared" si="73"/>
        <v>MISSED</v>
      </c>
      <c r="V131" s="228" t="str">
        <f t="shared" si="73"/>
        <v>MISSED</v>
      </c>
      <c r="W131" s="228" t="str">
        <f t="shared" si="73"/>
        <v>MISSED</v>
      </c>
      <c r="X131" s="228" t="str">
        <f t="shared" si="73"/>
        <v>MISSED</v>
      </c>
      <c r="Y131" s="228" t="str">
        <f t="shared" si="73"/>
        <v>MISSED</v>
      </c>
      <c r="Z131" s="228" t="str">
        <f t="shared" si="73"/>
        <v>MISSED</v>
      </c>
      <c r="AA131" s="228" t="str">
        <f t="shared" si="73"/>
        <v>MISSED</v>
      </c>
      <c r="AC131" s="49"/>
    </row>
    <row r="132" spans="2:29" x14ac:dyDescent="0.2">
      <c r="B132" s="20" t="s">
        <v>351</v>
      </c>
      <c r="C132" s="49"/>
      <c r="D132" s="49"/>
      <c r="E132" s="49"/>
      <c r="F132" s="49"/>
      <c r="G132" s="49"/>
      <c r="H132" s="49"/>
      <c r="I132" s="49"/>
      <c r="J132" s="49"/>
      <c r="K132" s="49"/>
      <c r="L132" s="49"/>
      <c r="M132" s="49"/>
      <c r="N132" s="49"/>
      <c r="O132" s="49"/>
      <c r="P132" s="49"/>
      <c r="Q132" s="49"/>
      <c r="T132" s="222">
        <v>0.73899999999999999</v>
      </c>
      <c r="U132" s="222">
        <v>0.72499999999999998</v>
      </c>
      <c r="V132" s="222">
        <v>0.70099999999999996</v>
      </c>
      <c r="W132" s="222">
        <v>0.71299999999999997</v>
      </c>
      <c r="X132" s="222">
        <v>0.72799999999999998</v>
      </c>
      <c r="Y132" s="222">
        <v>0.74299999999999999</v>
      </c>
      <c r="Z132" s="222">
        <v>0.745</v>
      </c>
      <c r="AA132" s="222">
        <v>0.745</v>
      </c>
      <c r="AC132" s="49"/>
    </row>
    <row r="133" spans="2:29" x14ac:dyDescent="0.2">
      <c r="B133" s="20" t="s">
        <v>352</v>
      </c>
      <c r="C133" s="49"/>
      <c r="D133" s="49"/>
      <c r="E133" s="49"/>
      <c r="F133" s="49"/>
      <c r="G133" s="49"/>
      <c r="H133" s="49"/>
      <c r="I133" s="49"/>
      <c r="J133" s="49"/>
      <c r="K133" s="49"/>
      <c r="L133" s="49"/>
      <c r="M133" s="49"/>
      <c r="N133" s="49"/>
      <c r="O133" s="49"/>
      <c r="P133" s="49"/>
      <c r="Q133" s="49"/>
      <c r="T133" s="222">
        <v>0.749</v>
      </c>
      <c r="U133" s="222">
        <v>0.73499999999999999</v>
      </c>
      <c r="V133" s="222">
        <v>0.71099999999999997</v>
      </c>
      <c r="W133" s="222">
        <v>0.72299999999999998</v>
      </c>
      <c r="X133" s="222">
        <v>0.73799999999999999</v>
      </c>
      <c r="Y133" s="222">
        <v>0.754</v>
      </c>
      <c r="Z133" s="222">
        <v>0.754</v>
      </c>
      <c r="AA133" s="222">
        <v>0.754</v>
      </c>
      <c r="AC133" s="49"/>
    </row>
    <row r="134" spans="2:29" x14ac:dyDescent="0.2">
      <c r="B134" s="20" t="s">
        <v>353</v>
      </c>
      <c r="C134" s="49"/>
      <c r="D134" s="49"/>
      <c r="E134" s="49"/>
      <c r="F134" s="49"/>
      <c r="G134" s="49"/>
      <c r="H134" s="49"/>
      <c r="I134" s="49"/>
      <c r="J134" s="49"/>
      <c r="K134" s="49"/>
      <c r="L134" s="49"/>
      <c r="M134" s="49"/>
      <c r="N134" s="49"/>
      <c r="O134" s="49"/>
      <c r="P134" s="49"/>
      <c r="Q134" s="49"/>
      <c r="T134" s="81">
        <f t="shared" ref="T134:AA134" si="74">U100</f>
        <v>0.56393986723935963</v>
      </c>
      <c r="U134" s="81">
        <f t="shared" si="74"/>
        <v>0.55771702802296685</v>
      </c>
      <c r="V134" s="81">
        <f t="shared" si="74"/>
        <v>0.55032334456690046</v>
      </c>
      <c r="W134" s="81">
        <f t="shared" si="74"/>
        <v>0.55986622073578596</v>
      </c>
      <c r="X134" s="81">
        <f t="shared" si="74"/>
        <v>0.55341614906832293</v>
      </c>
      <c r="Y134" s="81">
        <f t="shared" si="74"/>
        <v>0.54554358472086195</v>
      </c>
      <c r="Z134" s="81">
        <f t="shared" si="74"/>
        <v>0.53769223511652042</v>
      </c>
      <c r="AA134" s="81">
        <f t="shared" si="74"/>
        <v>0</v>
      </c>
      <c r="AC134" s="49"/>
    </row>
    <row r="135" spans="2:29" x14ac:dyDescent="0.2">
      <c r="B135" s="20" t="s">
        <v>178</v>
      </c>
      <c r="C135" s="49"/>
      <c r="D135" s="49"/>
      <c r="E135" s="49"/>
      <c r="F135" s="49"/>
      <c r="G135" s="49"/>
      <c r="H135" s="49"/>
      <c r="I135" s="49"/>
      <c r="J135" s="49"/>
      <c r="K135" s="49"/>
      <c r="L135" s="49"/>
      <c r="M135" s="49"/>
      <c r="N135" s="49"/>
      <c r="O135" s="49"/>
      <c r="P135" s="49"/>
      <c r="Q135" s="49"/>
      <c r="T135" s="228" t="str">
        <f t="shared" ref="T135:AA135" si="75">IF(T134&gt;T133, "BEAT", IF(T134&lt;T132, "MISSED", "MET"))</f>
        <v>MISSED</v>
      </c>
      <c r="U135" s="228" t="str">
        <f t="shared" si="75"/>
        <v>MISSED</v>
      </c>
      <c r="V135" s="228" t="str">
        <f t="shared" si="75"/>
        <v>MISSED</v>
      </c>
      <c r="W135" s="228" t="str">
        <f t="shared" si="75"/>
        <v>MISSED</v>
      </c>
      <c r="X135" s="228" t="str">
        <f t="shared" si="75"/>
        <v>MISSED</v>
      </c>
      <c r="Y135" s="228" t="str">
        <f t="shared" si="75"/>
        <v>MISSED</v>
      </c>
      <c r="Z135" s="228" t="str">
        <f t="shared" si="75"/>
        <v>MISSED</v>
      </c>
      <c r="AA135" s="228" t="str">
        <f t="shared" si="75"/>
        <v>MISSED</v>
      </c>
      <c r="AC135" s="49"/>
    </row>
    <row r="136" spans="2:29" x14ac:dyDescent="0.2">
      <c r="B136" s="20" t="s">
        <v>354</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355</v>
      </c>
      <c r="C137" s="49"/>
      <c r="D137" s="49"/>
      <c r="E137" s="49"/>
      <c r="F137" s="49"/>
      <c r="G137" s="49"/>
      <c r="H137" s="49"/>
      <c r="I137" s="49"/>
      <c r="J137" s="49"/>
      <c r="K137" s="49"/>
      <c r="L137" s="49"/>
      <c r="M137" s="49"/>
      <c r="N137" s="49"/>
      <c r="O137" s="49"/>
      <c r="P137" s="49"/>
      <c r="Q137" s="49"/>
      <c r="T137" s="21">
        <v>4300</v>
      </c>
      <c r="U137" s="21">
        <v>4800</v>
      </c>
      <c r="V137" s="21">
        <v>5200</v>
      </c>
      <c r="W137" s="21">
        <v>5700</v>
      </c>
      <c r="X137" s="21">
        <v>5900</v>
      </c>
      <c r="Y137" s="21">
        <v>6700</v>
      </c>
      <c r="Z137" s="21">
        <v>7700</v>
      </c>
      <c r="AA137" s="21">
        <v>8500</v>
      </c>
      <c r="AC137" s="49"/>
    </row>
    <row r="138" spans="2:29" x14ac:dyDescent="0.2">
      <c r="B138" s="20" t="s">
        <v>356</v>
      </c>
      <c r="C138" s="49"/>
      <c r="D138" s="49"/>
      <c r="E138" s="49"/>
      <c r="F138" s="49"/>
      <c r="G138" s="49"/>
      <c r="H138" s="49"/>
      <c r="I138" s="49"/>
      <c r="J138" s="49"/>
      <c r="K138" s="49"/>
      <c r="L138" s="49"/>
      <c r="M138" s="49"/>
      <c r="N138" s="49"/>
      <c r="O138" s="49"/>
      <c r="P138" s="49"/>
      <c r="Q138" s="49"/>
      <c r="T138" s="25">
        <f t="shared" ref="T138:AA138" si="76">U11</f>
        <v>3196</v>
      </c>
      <c r="U138" s="25">
        <f t="shared" si="76"/>
        <v>2953</v>
      </c>
      <c r="V138" s="25">
        <f t="shared" si="76"/>
        <v>2922</v>
      </c>
      <c r="W138" s="25">
        <f t="shared" si="76"/>
        <v>2997</v>
      </c>
      <c r="X138" s="25">
        <f t="shared" si="76"/>
        <v>3319</v>
      </c>
      <c r="Y138" s="25">
        <f t="shared" si="76"/>
        <v>3318</v>
      </c>
      <c r="Z138" s="25">
        <f t="shared" si="76"/>
        <v>3390</v>
      </c>
      <c r="AA138" s="25">
        <f t="shared" si="76"/>
        <v>0</v>
      </c>
      <c r="AC138" s="49"/>
    </row>
    <row r="139" spans="2:29" x14ac:dyDescent="0.2">
      <c r="B139" s="20" t="s">
        <v>178</v>
      </c>
      <c r="C139" s="49"/>
      <c r="D139" s="49"/>
      <c r="E139" s="49"/>
      <c r="F139" s="49"/>
      <c r="G139" s="49"/>
      <c r="H139" s="49"/>
      <c r="I139" s="49"/>
      <c r="J139" s="49"/>
      <c r="K139" s="49"/>
      <c r="L139" s="49"/>
      <c r="M139" s="49"/>
      <c r="N139" s="49"/>
      <c r="O139" s="49"/>
      <c r="P139" s="49"/>
      <c r="Q139" s="49"/>
      <c r="T139" s="228" t="str">
        <f t="shared" ref="T139:AA139" si="77">IF(T138&gt;T137, "BEAT", IF(T138&lt;T136, "MISSED", "MET"))</f>
        <v>MISSED</v>
      </c>
      <c r="U139" s="228" t="str">
        <f t="shared" si="77"/>
        <v>MISSED</v>
      </c>
      <c r="V139" s="228" t="str">
        <f t="shared" si="77"/>
        <v>MISSED</v>
      </c>
      <c r="W139" s="228" t="str">
        <f t="shared" si="77"/>
        <v>MISSED</v>
      </c>
      <c r="X139" s="228" t="str">
        <f t="shared" si="77"/>
        <v>MISSED</v>
      </c>
      <c r="Y139" s="228" t="str">
        <f t="shared" si="77"/>
        <v>MISSED</v>
      </c>
      <c r="Z139" s="228" t="str">
        <f t="shared" si="77"/>
        <v>MISSED</v>
      </c>
      <c r="AA139" s="228"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24.007408431868544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5.4871713093796259</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8.7367087029840906</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239676.6</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245147.6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5.4983088861974609</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21.589396741523558</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25.413699501643517</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20.500747166174794</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3.9348855916681059E-2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4.1653808774817766E-2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1.5744549113263454E-2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4.4789520545601862E-2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6.0727663860385202E-2</v>
      </c>
    </row>
    <row r="169" spans="2:29" x14ac:dyDescent="0.2">
      <c r="B169" s="20" t="s">
        <v>359</v>
      </c>
      <c r="M169" s="225">
        <f>M161/M5</f>
        <v>0.23384112648821215</v>
      </c>
      <c r="N169" s="225">
        <f>N161/N5</f>
        <v>0.11905795584207608</v>
      </c>
      <c r="O169" s="225">
        <f>O161/O5</f>
        <v>0.31463370639754373</v>
      </c>
      <c r="P169" s="225">
        <f>P161/P5</f>
        <v>0.28735163264579622</v>
      </c>
      <c r="Q169" s="225">
        <f>Q161/Q5</f>
        <v>0.26627195069724097</v>
      </c>
      <c r="T169" s="49"/>
      <c r="U169" s="49"/>
      <c r="V169" s="49"/>
      <c r="W169" s="49"/>
      <c r="X169" s="49"/>
      <c r="Y169" s="49"/>
      <c r="Z169" s="49"/>
      <c r="AA169" s="49"/>
      <c r="AC169" s="154">
        <f>AC161/AC5</f>
        <v>0.26820041443510878</v>
      </c>
    </row>
    <row r="170" spans="2:29" x14ac:dyDescent="0.2">
      <c r="B170" s="20" t="s">
        <v>360</v>
      </c>
      <c r="M170" s="225">
        <f>M160/M5</f>
        <v>0.20809747959244473</v>
      </c>
      <c r="N170" s="225">
        <f>N160/N5</f>
        <v>0.10866515837104072</v>
      </c>
      <c r="O170" s="225">
        <f>O160/O5</f>
        <v>0.20561139028475711</v>
      </c>
      <c r="P170" s="225">
        <f>P160/P5</f>
        <v>0.21849494379138648</v>
      </c>
      <c r="Q170" s="225">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-2.2826592166277391E-2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373</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370</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371</v>
      </c>
      <c r="M185" s="229">
        <f>IF(AND(M12&gt;0,M107&gt;0),(M107-M106)/M12,"N/A")</f>
        <v>0.34027990601695779</v>
      </c>
      <c r="N185" s="229">
        <f t="shared" ref="N185:Q185" si="113">IF(AND(N12&gt;0,N107&gt;0),(N107-N106)/N12,"N/A")</f>
        <v>0.57377049180327866</v>
      </c>
      <c r="O185" s="229">
        <f t="shared" si="113"/>
        <v>0.52311248073959937</v>
      </c>
      <c r="P185" s="229">
        <f t="shared" si="113"/>
        <v>0.13245953728527454</v>
      </c>
      <c r="Q185" s="229">
        <f t="shared" si="113"/>
        <v>0.37685147713476325</v>
      </c>
      <c r="T185" s="49"/>
      <c r="U185" s="49"/>
      <c r="V185" s="49"/>
      <c r="W185" s="49"/>
      <c r="X185" s="49"/>
      <c r="Y185" s="49"/>
      <c r="Z185" s="49"/>
      <c r="AA185" s="49"/>
      <c r="AC185" s="229">
        <f t="shared" ref="AC185" si="114">IF(AND(AC12&gt;0,AC107&gt;0),(AC107-AC106)/AC12,"N/A")</f>
        <v>0.48181417877586968</v>
      </c>
    </row>
    <row r="186" spans="1:31" x14ac:dyDescent="0.2">
      <c r="B186" s="20" t="s">
        <v>372</v>
      </c>
      <c r="M186" s="229">
        <f>M5/(M107+M111-M106)</f>
        <v>2.5273699269633312</v>
      </c>
      <c r="N186" s="229">
        <f t="shared" ref="N186:Q186" si="115">N5/(N107+N111-N106)</f>
        <v>1.6302142883487627</v>
      </c>
      <c r="O186" s="229">
        <f t="shared" si="115"/>
        <v>1.3962190606119664</v>
      </c>
      <c r="P186" s="229">
        <f t="shared" si="115"/>
        <v>1.4112576064908722</v>
      </c>
      <c r="Q186" s="229">
        <f t="shared" si="115"/>
        <v>1.7123192328512875</v>
      </c>
      <c r="T186" s="49"/>
      <c r="U186" s="49"/>
      <c r="V186" s="49"/>
      <c r="W186" s="49"/>
      <c r="X186" s="49"/>
      <c r="Y186" s="49"/>
      <c r="Z186" s="49"/>
      <c r="AA186" s="49"/>
      <c r="AC186" s="229">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3" t="s">
        <v>395</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3" t="s">
        <v>396</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3" t="s">
        <v>397</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398</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399</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3" t="s">
        <v>395</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3" t="s">
        <v>396</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3" t="s">
        <v>397</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398</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399</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365</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366</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367</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368</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0" t="s">
        <v>230</v>
      </c>
      <c r="C4" s="230"/>
      <c r="E4" s="230" t="s">
        <v>237</v>
      </c>
      <c r="F4" s="230"/>
      <c r="G4" s="230"/>
    </row>
    <row r="5" spans="2:7" x14ac:dyDescent="0.2">
      <c r="B5" s="20" t="s">
        <v>1</v>
      </c>
      <c r="C5" s="172">
        <f ca="1">Overview!C5</f>
        <v>226.11</v>
      </c>
      <c r="E5" s="12"/>
      <c r="F5" s="132" t="s">
        <v>238</v>
      </c>
      <c r="G5" s="132" t="s">
        <v>239</v>
      </c>
    </row>
    <row r="6" spans="2:7" x14ac:dyDescent="0.2">
      <c r="B6" s="20" t="s">
        <v>236</v>
      </c>
      <c r="C6" s="173">
        <f ca="1">Statement!AC156</f>
        <v>239676.6</v>
      </c>
      <c r="E6" s="20" t="s">
        <v>19</v>
      </c>
      <c r="F6" s="178">
        <f>IF(Statement!M5&lt;=0,"N/A",_xlfn.RRI(4,Statement!M5,Statement!Q5))</f>
        <v>7.1733517181768569E-2</v>
      </c>
      <c r="G6" s="178" t="str">
        <f>IF(Statement!H5&lt;=0,"N/A",_xlfn.RRI(9,Statement!H5,Statement!Q5))</f>
        <v>N/A</v>
      </c>
    </row>
    <row r="7" spans="2:7" x14ac:dyDescent="0.2">
      <c r="B7" s="20" t="s">
        <v>180</v>
      </c>
      <c r="C7" s="173">
        <f ca="1">Statement!AC157</f>
        <v>245147.6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24.007408431868544</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5.4871713093796259</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8.7367087029840906</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5.4983088861974609</v>
      </c>
    </row>
    <row r="12" spans="2:7" x14ac:dyDescent="0.2">
      <c r="B12" s="20" t="s">
        <v>196</v>
      </c>
      <c r="C12" s="174">
        <f ca="1">Statement!AC159</f>
        <v>21.589396741523558</v>
      </c>
    </row>
    <row r="15" spans="2:7" x14ac:dyDescent="0.2">
      <c r="B15" s="230" t="s">
        <v>75</v>
      </c>
      <c r="C15" s="230"/>
      <c r="E15" s="230" t="s">
        <v>243</v>
      </c>
      <c r="F15" s="230"/>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0" t="s">
        <v>242</v>
      </c>
      <c r="C21" s="230"/>
      <c r="E21" s="230" t="s">
        <v>246</v>
      </c>
      <c r="F21" s="230"/>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0" t="s">
        <v>247</v>
      </c>
      <c r="C29" s="230"/>
      <c r="E29" s="230" t="s">
        <v>253</v>
      </c>
      <c r="F29" s="230"/>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0" t="s">
        <v>265</v>
      </c>
      <c r="C37" s="230"/>
      <c r="E37" s="230" t="s">
        <v>268</v>
      </c>
      <c r="F37" s="230"/>
    </row>
    <row r="38" spans="2:6" x14ac:dyDescent="0.2">
      <c r="B38" s="20" t="s">
        <v>263</v>
      </c>
      <c r="C38" s="175">
        <f ca="1">Statement!AC165</f>
        <v>4.1653808774817766E-2</v>
      </c>
      <c r="E38" s="20" t="s">
        <v>267</v>
      </c>
      <c r="F38" s="175">
        <f>Statement!AC171</f>
        <v>0.40504718481603225</v>
      </c>
    </row>
    <row r="39" spans="2:6" x14ac:dyDescent="0.2">
      <c r="B39" s="54" t="s">
        <v>266</v>
      </c>
      <c r="C39" s="215">
        <f ca="1">Statement!AC164</f>
        <v>3.9348855916681059E-2</v>
      </c>
      <c r="E39" s="20" t="s">
        <v>269</v>
      </c>
      <c r="F39" s="175">
        <f>Statement!AC172</f>
        <v>1.1382674159686141</v>
      </c>
    </row>
    <row r="40" spans="2:6" x14ac:dyDescent="0.2">
      <c r="B40" s="20" t="s">
        <v>264</v>
      </c>
      <c r="C40" s="175">
        <f ca="1">Statement!AC166</f>
        <v>1.5744549113263454E-2</v>
      </c>
      <c r="E40" s="20" t="s">
        <v>270</v>
      </c>
      <c r="F40" s="175">
        <f>Statement!AC173</f>
        <v>1.5433146007846463</v>
      </c>
    </row>
    <row r="41" spans="2:6" x14ac:dyDescent="0.2">
      <c r="B41" s="20" t="s">
        <v>289</v>
      </c>
      <c r="C41" s="175">
        <f ca="1">Statement!AC167</f>
        <v>4.4789520545601862E-2</v>
      </c>
    </row>
    <row r="42" spans="2:6" x14ac:dyDescent="0.2">
      <c r="B42" s="20" t="s">
        <v>291</v>
      </c>
      <c r="C42" s="175">
        <f ca="1">Statement!AC168</f>
        <v>6.0727663860385202E-2</v>
      </c>
    </row>
    <row r="45" spans="2:6" x14ac:dyDescent="0.2">
      <c r="B45" s="230" t="s">
        <v>276</v>
      </c>
      <c r="C45" s="230"/>
      <c r="E45" s="230" t="s">
        <v>282</v>
      </c>
      <c r="F45" s="230"/>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-2.2826592166277391E-2</v>
      </c>
    </row>
    <row r="51" spans="2:6" x14ac:dyDescent="0.2">
      <c r="B51" s="230" t="s">
        <v>279</v>
      </c>
      <c r="C51" s="230"/>
      <c r="E51" s="230" t="s">
        <v>300</v>
      </c>
      <c r="F51" s="230"/>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226.11</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239676.6</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245147.6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24.007408431868544</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5.4871713093796259</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8.7367087029840906</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5.4983088861974609</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21.589396741523558</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4.1653808774817766E-2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3.9348855916681059E-2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1.5744549113263454E-2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4.4789520545601862E-2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6.0727663860385202E-2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-2.2826592166277391E-2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3" t="s">
        <v>395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3" t="s">
        <v>396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3" t="s">
        <v>397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4" t="s">
        <v>310</v>
      </c>
      <c r="D3" s="235"/>
      <c r="F3" s="236" t="s">
        <v>311</v>
      </c>
      <c r="G3" s="235"/>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7">
        <f>Statement!AA89</f>
        <v>-0.13491674828599412</v>
      </c>
      <c r="D7" s="238"/>
      <c r="F7" s="237">
        <f>IF(F6=0,
IF(G6=0,0,IF(G6&gt;0,1,-1)),
(G6-F6)/ABS(F6)
)</f>
        <v>-3.4611531104836508E-2</v>
      </c>
      <c r="G7" s="238"/>
    </row>
    <row r="8" spans="2:7" x14ac:dyDescent="0.2">
      <c r="B8" s="207" t="s">
        <v>20</v>
      </c>
      <c r="C8" s="200">
        <f>Statement!Z6</f>
        <v>5568</v>
      </c>
      <c r="D8" s="198">
        <f>Statement!AA6</f>
        <v>4900</v>
      </c>
      <c r="F8" s="200">
        <f>Statement!W6</f>
        <v>4937</v>
      </c>
      <c r="G8" s="198">
        <f>Statement!AA6</f>
        <v>4900</v>
      </c>
    </row>
    <row r="9" spans="2:7" x14ac:dyDescent="0.2">
      <c r="B9" s="206" t="s">
        <v>312</v>
      </c>
      <c r="C9" s="237">
        <f>Statement!AA90</f>
        <v>-0.11997126436781609</v>
      </c>
      <c r="D9" s="238"/>
      <c r="F9" s="237">
        <f>IF(F8=0,
IF(G8=0,0,IF(G8&gt;0,1,-1)),
(G8-F8)/ABS(F8)
)</f>
        <v>-7.4944298156775372E-3</v>
      </c>
      <c r="G9" s="238"/>
    </row>
    <row r="10" spans="2:7" x14ac:dyDescent="0.2">
      <c r="B10" s="207" t="s">
        <v>21</v>
      </c>
      <c r="C10" s="200">
        <f>Statement!Z7</f>
        <v>6684</v>
      </c>
      <c r="D10" s="198">
        <f>Statement!AA7</f>
        <v>5699</v>
      </c>
      <c r="F10" s="200">
        <f>Statement!W7</f>
        <v>6042</v>
      </c>
      <c r="G10" s="198">
        <f>Statement!AA7</f>
        <v>5699</v>
      </c>
    </row>
    <row r="11" spans="2:7" x14ac:dyDescent="0.2">
      <c r="B11" s="206" t="s">
        <v>312</v>
      </c>
      <c r="C11" s="237">
        <f>Statement!AA91</f>
        <v>-0.1473668461998803</v>
      </c>
      <c r="D11" s="238"/>
      <c r="F11" s="237">
        <f>IF(F10=0,
IF(G10=0,0,IF(G10&gt;0,1,-1)),
(G10-F10)/ABS(F10)
)</f>
        <v>-5.6769281694803046E-2</v>
      </c>
      <c r="G11" s="238"/>
    </row>
    <row r="12" spans="2:7" x14ac:dyDescent="0.2">
      <c r="B12" s="207" t="s">
        <v>23</v>
      </c>
      <c r="C12" s="200">
        <f>Statement!Z11</f>
        <v>3318</v>
      </c>
      <c r="D12" s="198">
        <f>Statement!AA11</f>
        <v>3390</v>
      </c>
      <c r="F12" s="200">
        <f>Statement!W11</f>
        <v>2922</v>
      </c>
      <c r="G12" s="198">
        <f>Statement!AA11</f>
        <v>3390</v>
      </c>
    </row>
    <row r="13" spans="2:7" x14ac:dyDescent="0.2">
      <c r="B13" s="206" t="s">
        <v>312</v>
      </c>
      <c r="C13" s="237">
        <f>Statement!AA94</f>
        <v>2.1699819168173599E-2</v>
      </c>
      <c r="D13" s="238"/>
      <c r="F13" s="237">
        <f>IF(F12=0,
IF(G12=0,0,IF(G12&gt;0,1,-1)),
(G12-F12)/ABS(F12)
)</f>
        <v>0.16016427104722791</v>
      </c>
      <c r="G13" s="238"/>
    </row>
    <row r="14" spans="2:7" x14ac:dyDescent="0.2">
      <c r="B14" s="207" t="s">
        <v>313</v>
      </c>
      <c r="C14" s="200">
        <f>Statement!Z12</f>
        <v>3366</v>
      </c>
      <c r="D14" s="198">
        <f>Statement!AA12</f>
        <v>2309</v>
      </c>
      <c r="F14" s="200">
        <f>Statement!W12</f>
        <v>3120</v>
      </c>
      <c r="G14" s="198">
        <f>Statement!AA12</f>
        <v>2309</v>
      </c>
    </row>
    <row r="15" spans="2:7" x14ac:dyDescent="0.2">
      <c r="B15" s="206" t="s">
        <v>312</v>
      </c>
      <c r="C15" s="237">
        <f>Statement!AA95</f>
        <v>-0.31402257872846107</v>
      </c>
      <c r="D15" s="238"/>
      <c r="F15" s="237">
        <f>IF(F14=0,
IF(G14=0,0,IF(G14&gt;0,1,-1)),
(G14-F14)/ABS(F14)
)</f>
        <v>-0.25993589743589746</v>
      </c>
      <c r="G15" s="238"/>
    </row>
    <row r="16" spans="2:7" x14ac:dyDescent="0.2">
      <c r="B16" s="207" t="s">
        <v>29</v>
      </c>
      <c r="C16" s="200">
        <f>Statement!Z18</f>
        <v>3004</v>
      </c>
      <c r="D16" s="198">
        <f>Statement!AA18</f>
        <v>1932</v>
      </c>
      <c r="F16" s="200">
        <f>Statement!W18</f>
        <v>2812</v>
      </c>
      <c r="G16" s="198">
        <f>Statement!AA18</f>
        <v>1932</v>
      </c>
    </row>
    <row r="17" spans="2:7" x14ac:dyDescent="0.2">
      <c r="B17" s="206" t="s">
        <v>312</v>
      </c>
      <c r="C17" s="237">
        <f>Statement!AA97</f>
        <v>-0.35685752330226367</v>
      </c>
      <c r="D17" s="238"/>
      <c r="F17" s="237">
        <f>IF(F16=0,
IF(G16=0,0,IF(G16&gt;0,1,-1)),
(G16-F16)/ABS(F16)
)</f>
        <v>-0.31294452347083929</v>
      </c>
      <c r="G17" s="238"/>
    </row>
    <row r="18" spans="2:7" x14ac:dyDescent="0.2">
      <c r="B18" s="207" t="s">
        <v>314</v>
      </c>
      <c r="C18" s="200">
        <f>Statement!Z22</f>
        <v>1079</v>
      </c>
      <c r="D18" s="198">
        <f>Statement!AA22</f>
        <v>1072</v>
      </c>
      <c r="F18" s="200">
        <f>Statement!W22</f>
        <v>1115</v>
      </c>
      <c r="G18" s="198">
        <f>Statement!AA22</f>
        <v>1072</v>
      </c>
    </row>
    <row r="19" spans="2:7" x14ac:dyDescent="0.2">
      <c r="B19" s="206" t="s">
        <v>312</v>
      </c>
      <c r="C19" s="237">
        <f>IF(C18=0,
IF(D18=0,0,IF(D18&gt;0,1,-1)),
(D18-C18)/ABS(C18)
)</f>
        <v>-6.4874884151992582E-3</v>
      </c>
      <c r="D19" s="238"/>
      <c r="F19" s="237">
        <f>IF(F18=0,
IF(G18=0,0,IF(G18&gt;0,1,-1)),
(G18-F18)/ABS(F18)
)</f>
        <v>-3.8565022421524667E-2</v>
      </c>
      <c r="G19" s="238"/>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7">
        <f>IF(C20=0,
IF(D20=0,0,IF(D20&gt;0,1,-1)),
(D20-C20)/ABS(C20)
)</f>
        <v>-0.35171265972296784</v>
      </c>
      <c r="D21" s="238"/>
      <c r="F21" s="237">
        <f>IF(F20=0,
IF(G20=0,0,IF(G20&gt;0,1,-1)),
(G20-F20)/ABS(F20)
)</f>
        <v>-0.28482587064676618</v>
      </c>
      <c r="G21" s="238"/>
    </row>
    <row r="23" spans="2:7" x14ac:dyDescent="0.2">
      <c r="B23" s="8" t="s">
        <v>315</v>
      </c>
      <c r="C23" s="10" t="str">
        <f>C5</f>
        <v>Q1 2026</v>
      </c>
      <c r="D23" s="203" t="str">
        <f>D5</f>
        <v>Q2 2026</v>
      </c>
      <c r="F23" s="204" t="str">
        <f>F5</f>
        <v>Q2 2025</v>
      </c>
      <c r="G23" s="203" t="str">
        <f>G5</f>
        <v>Q2 2026</v>
      </c>
    </row>
    <row r="24" spans="2:7" x14ac:dyDescent="0.2">
      <c r="B24" s="223" t="s">
        <v>395</v>
      </c>
      <c r="C24" s="200">
        <f>Statement!Z190</f>
        <v>7824</v>
      </c>
      <c r="D24" s="198">
        <f>Statement!AA190</f>
        <v>6024</v>
      </c>
      <c r="F24" s="200">
        <f>Statement!W190</f>
        <v>6929</v>
      </c>
      <c r="G24" s="198">
        <f>Statement!AA190</f>
        <v>6024</v>
      </c>
    </row>
    <row r="25" spans="2:7" x14ac:dyDescent="0.2">
      <c r="B25" s="206" t="s">
        <v>312</v>
      </c>
      <c r="C25" s="237">
        <f>IF(C24=0,
IF(D24=0,0,IF(D24&gt;0,1,-1)),
(D24-C24)/ABS(C24)
)</f>
        <v>-0.23006134969325154</v>
      </c>
      <c r="D25" s="238"/>
      <c r="F25" s="237">
        <f>IF(F24=0,
IF(G24=0,0,IF(G24&gt;0,1,-1)),
(G24-F24)/ABS(F24)
)</f>
        <v>-0.13061047770241016</v>
      </c>
      <c r="G25" s="238"/>
    </row>
    <row r="26" spans="2:7" x14ac:dyDescent="0.2">
      <c r="B26" s="223" t="s">
        <v>396</v>
      </c>
      <c r="C26" s="200">
        <f>Statement!Z191</f>
        <v>1101</v>
      </c>
      <c r="D26" s="198">
        <f>Statement!AA191</f>
        <v>1326</v>
      </c>
      <c r="F26" s="200">
        <f>Statement!W191</f>
        <v>959</v>
      </c>
      <c r="G26" s="198">
        <f>Statement!AA191</f>
        <v>1326</v>
      </c>
    </row>
    <row r="27" spans="2:7" x14ac:dyDescent="0.2">
      <c r="B27" s="206" t="s">
        <v>312</v>
      </c>
      <c r="C27" s="237">
        <f>IF(C26=0,
IF(D26=0,0,IF(D26&gt;0,1,-1)),
(D26-C26)/ABS(C26)
)</f>
        <v>0.20435967302452315</v>
      </c>
      <c r="D27" s="238"/>
      <c r="F27" s="237">
        <f>IF(F26=0,
IF(G26=0,0,IF(G26&gt;0,1,-1)),
(G26-F26)/ABS(F26)
)</f>
        <v>0.38269030239833157</v>
      </c>
      <c r="G27" s="238"/>
    </row>
    <row r="28" spans="2:7" x14ac:dyDescent="0.2">
      <c r="B28" s="223" t="s">
        <v>397</v>
      </c>
      <c r="C28" s="200">
        <f>Statement!Z192</f>
        <v>1688</v>
      </c>
      <c r="D28" s="198">
        <f>Statement!AA192</f>
        <v>1726</v>
      </c>
      <c r="F28" s="200">
        <f>Statement!W192</f>
        <v>1581</v>
      </c>
      <c r="G28" s="198">
        <f>Statement!AA192</f>
        <v>1726</v>
      </c>
    </row>
    <row r="29" spans="2:7" x14ac:dyDescent="0.2">
      <c r="B29" s="206" t="s">
        <v>312</v>
      </c>
      <c r="C29" s="237">
        <f>IF(C28=0,
IF(D28=0,0,IF(D28&gt;0,1,-1)),
(D28-C28)/ABS(C28)
)</f>
        <v>2.2511848341232227E-2</v>
      </c>
      <c r="D29" s="238"/>
      <c r="F29" s="237">
        <f>IF(F28=0,
IF(G28=0,0,IF(G28&gt;0,1,-1)),
(G28-F28)/ABS(F28)
)</f>
        <v>9.1714104996837451E-2</v>
      </c>
      <c r="G29" s="238"/>
    </row>
    <row r="30" spans="2:7" x14ac:dyDescent="0.2">
      <c r="B30" s="20" t="s">
        <v>398</v>
      </c>
      <c r="C30" s="200">
        <f>Statement!Z193</f>
        <v>10613</v>
      </c>
      <c r="D30" s="200">
        <f>Statement!AA193</f>
        <v>9076</v>
      </c>
      <c r="F30" s="200">
        <f>Statement!W193</f>
        <v>9469</v>
      </c>
      <c r="G30" s="200">
        <f>Statement!AA193</f>
        <v>9076</v>
      </c>
    </row>
    <row r="31" spans="2:7" x14ac:dyDescent="0.2">
      <c r="B31" s="206" t="s">
        <v>312</v>
      </c>
      <c r="C31" s="237">
        <f>IF(C30=0,
IF(D30=0,0,IF(D30&gt;0,1,-1)),
(D30-C30)/ABS(C30)
)</f>
        <v>-0.1448223876378027</v>
      </c>
      <c r="D31" s="238"/>
      <c r="F31" s="237">
        <f>IF(F30=0,
IF(G30=0,0,IF(G30&gt;0,1,-1)),
(G30-F30)/ABS(F30)
)</f>
        <v>-4.1503854683704718E-2</v>
      </c>
      <c r="G31" s="238"/>
    </row>
    <row r="32" spans="2:7" x14ac:dyDescent="0.2">
      <c r="B32" s="20" t="s">
        <v>399</v>
      </c>
      <c r="C32" s="200">
        <f>Statement!Z194</f>
        <v>1592</v>
      </c>
      <c r="D32" s="200">
        <f>Statement!AA194</f>
        <v>1382</v>
      </c>
      <c r="F32" s="200">
        <f>Statement!W194</f>
        <v>1319</v>
      </c>
      <c r="G32" s="200">
        <f>Statement!AA194</f>
        <v>1382</v>
      </c>
    </row>
    <row r="33" spans="2:7" x14ac:dyDescent="0.2">
      <c r="B33" s="206" t="s">
        <v>312</v>
      </c>
      <c r="C33" s="237">
        <f>IF(C32=0,
IF(D32=0,0,IF(D32&gt;0,1,-1)),
(D32-C32)/ABS(C32)
)</f>
        <v>-0.13190954773869346</v>
      </c>
      <c r="D33" s="238"/>
      <c r="F33" s="237">
        <f>IF(F32=0,
IF(G32=0,0,IF(G32&gt;0,1,-1)),
(G32-F32)/ABS(F32)
)</f>
        <v>4.7763457164518575E-2</v>
      </c>
      <c r="G33" s="238"/>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1"/>
  <sheetViews>
    <sheetView zoomScale="159" workbookViewId="0">
      <selection activeCell="M24" sqref="M24"/>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400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401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402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403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400</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401</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402</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D3"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0" t="s">
        <v>105</v>
      </c>
      <c r="D2" s="230"/>
      <c r="E2" s="230"/>
      <c r="F2" s="230"/>
      <c r="G2" s="242"/>
      <c r="H2" s="243" t="s">
        <v>106</v>
      </c>
      <c r="I2" s="230"/>
      <c r="J2" s="230"/>
      <c r="K2" s="230"/>
      <c r="L2" s="230"/>
      <c r="O2" s="5"/>
      <c r="S2" s="230" t="s">
        <v>105</v>
      </c>
      <c r="T2" s="230"/>
      <c r="U2" s="230"/>
      <c r="V2" s="230"/>
      <c r="W2" s="230"/>
      <c r="X2" s="230"/>
      <c r="Y2" s="230"/>
      <c r="Z2" s="230"/>
      <c r="AA2" s="230" t="s">
        <v>106</v>
      </c>
      <c r="AB2" s="230"/>
      <c r="AC2" s="230"/>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4" t="str">
        <f>Statement!B190</f>
        <v>Handset</v>
      </c>
      <c r="C6" s="88">
        <f>Statement!M190</f>
        <v>16830</v>
      </c>
      <c r="D6" s="88">
        <f>Statement!N190</f>
        <v>25027</v>
      </c>
      <c r="E6" s="88">
        <f>Statement!O190</f>
        <v>22570</v>
      </c>
      <c r="F6" s="88">
        <f>Statement!P190</f>
        <v>24863</v>
      </c>
      <c r="G6" s="89">
        <f>Statement!Q190</f>
        <v>27793</v>
      </c>
      <c r="H6" s="64">
        <f>G6+G6*H15</f>
        <v>24457.84</v>
      </c>
      <c r="I6" s="64">
        <f>H6+H6*I15</f>
        <v>23234.948</v>
      </c>
      <c r="J6" s="64">
        <f>I6+I6*J15</f>
        <v>25326.09332</v>
      </c>
      <c r="K6" s="64">
        <f>J6+J6*K15</f>
        <v>28365.224518399998</v>
      </c>
      <c r="L6" s="64">
        <f>K6+K6*L15</f>
        <v>32620.008196159997</v>
      </c>
      <c r="N6" s="90" t="s">
        <v>404</v>
      </c>
      <c r="O6" s="5"/>
      <c r="Q6" s="90" t="s">
        <v>404</v>
      </c>
      <c r="R6" s="224"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4" t="str">
        <f>Statement!B191</f>
        <v>Automotive</v>
      </c>
      <c r="C7" s="88">
        <f>Statement!M191</f>
        <v>975</v>
      </c>
      <c r="D7" s="88">
        <f>Statement!N191</f>
        <v>1372</v>
      </c>
      <c r="E7" s="88">
        <f>Statement!O191</f>
        <v>1872</v>
      </c>
      <c r="F7" s="88">
        <f>Statement!P191</f>
        <v>2910</v>
      </c>
      <c r="G7" s="89">
        <f>Statement!Q191</f>
        <v>3957</v>
      </c>
      <c r="H7" s="64">
        <f>G7+G7*H16</f>
        <v>4154.8500000000004</v>
      </c>
      <c r="I7" s="64">
        <f>H7+H7*I16</f>
        <v>4778.0775000000003</v>
      </c>
      <c r="J7" s="64">
        <f>I7+I7*J16</f>
        <v>5733.6930000000002</v>
      </c>
      <c r="K7" s="64">
        <f>J7+J7*K16</f>
        <v>7740.4855500000003</v>
      </c>
      <c r="L7" s="64">
        <f>K7+K7*L16</f>
        <v>10062.631215000001</v>
      </c>
      <c r="N7" s="90" t="s">
        <v>405</v>
      </c>
      <c r="O7" s="5"/>
      <c r="Q7" s="90" t="s">
        <v>405</v>
      </c>
      <c r="R7" s="224" t="str">
        <f t="shared" ref="R7:R10" si="1">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2">SUM(X7:AA7)</f>
        <v>5270.1</v>
      </c>
    </row>
    <row r="8" spans="1:31" x14ac:dyDescent="0.2">
      <c r="B8" s="224"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3">I8+I8*J17</f>
        <v>8030.351498</v>
      </c>
      <c r="K8" s="64">
        <f t="shared" si="3"/>
        <v>8592.4761028600005</v>
      </c>
      <c r="L8" s="64">
        <f t="shared" si="3"/>
        <v>9193.9494300602</v>
      </c>
      <c r="N8" s="90" t="s">
        <v>406</v>
      </c>
      <c r="O8" s="5"/>
      <c r="Q8" s="90" t="s">
        <v>406</v>
      </c>
      <c r="R8" s="1" t="str">
        <f t="shared" si="1"/>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2"/>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4">SUM(I6:I8)</f>
        <v>35518.026899999997</v>
      </c>
      <c r="J9" s="64">
        <f t="shared" si="4"/>
        <v>39090.137818000003</v>
      </c>
      <c r="K9" s="64">
        <f t="shared" si="4"/>
        <v>44698.186171259993</v>
      </c>
      <c r="L9" s="64">
        <f t="shared" si="4"/>
        <v>51876.588841220197</v>
      </c>
      <c r="N9" s="90"/>
      <c r="O9" s="5"/>
      <c r="Q9" s="90"/>
      <c r="R9" s="1" t="str">
        <f t="shared" si="1"/>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2"/>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5">H10+H10*I19</f>
        <v>5089.6675999999998</v>
      </c>
      <c r="J10" s="64">
        <f t="shared" si="5"/>
        <v>5191.4609519999995</v>
      </c>
      <c r="K10" s="64">
        <f t="shared" si="5"/>
        <v>5347.2047805599996</v>
      </c>
      <c r="L10" s="64">
        <f t="shared" si="5"/>
        <v>5507.6209239767995</v>
      </c>
      <c r="N10" s="90" t="s">
        <v>407</v>
      </c>
      <c r="O10" s="5"/>
      <c r="Q10" s="90" t="s">
        <v>407</v>
      </c>
      <c r="R10" s="1" t="str">
        <f t="shared" si="1"/>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2"/>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6">I9+I10</f>
        <v>40607.694499999998</v>
      </c>
      <c r="J11" s="94">
        <f t="shared" si="6"/>
        <v>44281.598770000004</v>
      </c>
      <c r="K11" s="94">
        <f t="shared" si="6"/>
        <v>50045.390951819994</v>
      </c>
      <c r="L11" s="94">
        <f t="shared" si="6"/>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7">C5</f>
        <v>2021</v>
      </c>
      <c r="D14" s="12">
        <f t="shared" si="7"/>
        <v>2022</v>
      </c>
      <c r="E14" s="12">
        <f t="shared" si="7"/>
        <v>2023</v>
      </c>
      <c r="F14" s="12">
        <f t="shared" si="7"/>
        <v>2024</v>
      </c>
      <c r="G14" s="12">
        <f t="shared" si="7"/>
        <v>2025</v>
      </c>
      <c r="H14" s="12">
        <f t="shared" si="7"/>
        <v>2026</v>
      </c>
      <c r="I14" s="12">
        <f t="shared" si="7"/>
        <v>2027</v>
      </c>
      <c r="J14" s="12">
        <f t="shared" si="7"/>
        <v>2028</v>
      </c>
      <c r="K14" s="12">
        <f t="shared" si="7"/>
        <v>2029</v>
      </c>
      <c r="L14" s="12">
        <f t="shared" si="7"/>
        <v>2030</v>
      </c>
      <c r="O14" s="5"/>
      <c r="Q14" s="91"/>
      <c r="R14" s="16" t="s">
        <v>115</v>
      </c>
      <c r="S14" s="12" t="str">
        <f t="shared" ref="S14:AC14" si="8">S5</f>
        <v>Q3 2024</v>
      </c>
      <c r="T14" s="12" t="str">
        <f t="shared" si="8"/>
        <v>Q4 2024</v>
      </c>
      <c r="U14" s="12" t="str">
        <f t="shared" si="8"/>
        <v>Q1 2025</v>
      </c>
      <c r="V14" s="12" t="str">
        <f t="shared" si="8"/>
        <v>Q2 2025</v>
      </c>
      <c r="W14" s="12" t="str">
        <f t="shared" si="8"/>
        <v>Q3 2025</v>
      </c>
      <c r="X14" s="12" t="str">
        <f t="shared" si="8"/>
        <v>Q4 2025</v>
      </c>
      <c r="Y14" s="12" t="str">
        <f t="shared" si="8"/>
        <v>Q1 2026</v>
      </c>
      <c r="Z14" s="12" t="str">
        <f t="shared" si="8"/>
        <v>Q2 2026</v>
      </c>
      <c r="AA14" s="12" t="str">
        <f t="shared" si="8"/>
        <v>FQ1</v>
      </c>
      <c r="AB14" s="12" t="str">
        <f t="shared" si="8"/>
        <v>FQ2</v>
      </c>
      <c r="AC14" s="12" t="str">
        <f t="shared" si="8"/>
        <v>FQ3</v>
      </c>
    </row>
    <row r="15" spans="1:31" x14ac:dyDescent="0.2">
      <c r="B15" s="224" t="str">
        <f>B6</f>
        <v>Handset</v>
      </c>
      <c r="C15" s="47"/>
      <c r="D15" s="95">
        <f t="shared" ref="D15:G15" si="9">D6/C6-1</f>
        <v>0.48704693998811655</v>
      </c>
      <c r="E15" s="95">
        <f t="shared" si="9"/>
        <v>-9.8173972110121022E-2</v>
      </c>
      <c r="F15" s="95">
        <f t="shared" si="9"/>
        <v>0.1015950376606114</v>
      </c>
      <c r="G15" s="96">
        <f t="shared" si="9"/>
        <v>0.11784579495636094</v>
      </c>
      <c r="H15" s="97">
        <v>-0.12</v>
      </c>
      <c r="I15" s="146">
        <v>-0.05</v>
      </c>
      <c r="J15" s="146">
        <v>0.09</v>
      </c>
      <c r="K15" s="146">
        <v>0.12</v>
      </c>
      <c r="L15" s="146">
        <v>0.15</v>
      </c>
      <c r="O15" s="5"/>
      <c r="Q15" s="91"/>
      <c r="R15" s="224" t="str">
        <f>R6</f>
        <v>Handset</v>
      </c>
      <c r="S15" s="47"/>
      <c r="T15" s="95">
        <f>T6/S6-1</f>
        <v>3.3395490761146007E-2</v>
      </c>
      <c r="U15" s="95">
        <f>U6/T6-1</f>
        <v>0.24245406824146976</v>
      </c>
      <c r="V15" s="95">
        <f>V6/U6-1</f>
        <v>-8.5159757063638764E-2</v>
      </c>
      <c r="W15" s="95">
        <f>W6/V6-1</f>
        <v>-8.673690287198732E-2</v>
      </c>
      <c r="X15" s="95">
        <f>X6/W6-1</f>
        <v>0.10003160556257895</v>
      </c>
      <c r="Y15" s="95">
        <f>Y6/X6-1</f>
        <v>0.12397644016664278</v>
      </c>
      <c r="Z15" s="96">
        <f>Z6/Y6-1</f>
        <v>-0.23006134969325154</v>
      </c>
      <c r="AA15" s="97">
        <v>-0.25</v>
      </c>
      <c r="AB15" s="95"/>
      <c r="AC15" s="95"/>
    </row>
    <row r="16" spans="1:31" x14ac:dyDescent="0.2">
      <c r="B16" s="224" t="str">
        <f>B7</f>
        <v>Automotive</v>
      </c>
      <c r="C16" s="47"/>
      <c r="D16" s="95">
        <f t="shared" ref="D16:G16" si="10">D7/C7-1</f>
        <v>0.40717948717948715</v>
      </c>
      <c r="E16" s="95">
        <f t="shared" si="10"/>
        <v>0.36443148688046656</v>
      </c>
      <c r="F16" s="95">
        <f t="shared" si="10"/>
        <v>0.55448717948717952</v>
      </c>
      <c r="G16" s="96">
        <f t="shared" si="10"/>
        <v>0.35979381443298974</v>
      </c>
      <c r="H16" s="97">
        <v>0.05</v>
      </c>
      <c r="I16" s="146">
        <v>0.15</v>
      </c>
      <c r="J16" s="146">
        <v>0.2</v>
      </c>
      <c r="K16" s="146">
        <v>0.35</v>
      </c>
      <c r="L16" s="146">
        <v>0.3</v>
      </c>
      <c r="O16" s="5"/>
      <c r="Q16" s="91"/>
      <c r="R16" s="224" t="str">
        <f>R7</f>
        <v>Automotive</v>
      </c>
      <c r="S16" s="47"/>
      <c r="T16" s="95">
        <f>T7/S7-1</f>
        <v>0.10850801479654737</v>
      </c>
      <c r="U16" s="95">
        <f>U7/T7-1</f>
        <v>6.8965517241379226E-2</v>
      </c>
      <c r="V16" s="95">
        <f>V7/U7-1</f>
        <v>-2.0811654526534662E-3</v>
      </c>
      <c r="W16" s="95">
        <f>W7/V7-1</f>
        <v>2.6068821689259725E-2</v>
      </c>
      <c r="X16" s="95">
        <f>X7/W7-1</f>
        <v>7.0121951219512146E-2</v>
      </c>
      <c r="Y16" s="95">
        <f>Y7/X7-1</f>
        <v>4.5584045584045496E-2</v>
      </c>
      <c r="Z16" s="96">
        <f>Z7/Y7-1</f>
        <v>0.20435967302452318</v>
      </c>
      <c r="AA16" s="97">
        <v>0.35</v>
      </c>
      <c r="AB16" s="95"/>
      <c r="AC16" s="95"/>
    </row>
    <row r="17" spans="2:29" x14ac:dyDescent="0.2">
      <c r="B17" s="224"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R8</f>
        <v>IoT</v>
      </c>
      <c r="S17" s="47"/>
      <c r="T17" s="95">
        <f>T8/S8-1</f>
        <v>0.23841059602649017</v>
      </c>
      <c r="U17" s="95">
        <f>U8/T8-1</f>
        <v>-7.9619726678550218E-2</v>
      </c>
      <c r="V17" s="95">
        <f>V8/U8-1</f>
        <v>2.0658489347966436E-2</v>
      </c>
      <c r="W17" s="95">
        <f>W8/V8-1</f>
        <v>6.3251106894370634E-2</v>
      </c>
      <c r="X17" s="95">
        <f>X8/W8-1</f>
        <v>7.4955383700178402E-2</v>
      </c>
      <c r="Y17" s="95">
        <f>Y8/X8-1</f>
        <v>-6.585500830105151E-2</v>
      </c>
      <c r="Z17" s="96">
        <f>Z8/Y8-1</f>
        <v>2.2511848341232321E-2</v>
      </c>
      <c r="AA17" s="97">
        <v>7.0000000000000007E-2</v>
      </c>
      <c r="AB17" s="95"/>
      <c r="AC17" s="95"/>
    </row>
    <row r="18" spans="2:29" x14ac:dyDescent="0.2">
      <c r="B18" s="1" t="str">
        <f>B9</f>
        <v>QCT</v>
      </c>
      <c r="C18" s="47"/>
      <c r="D18" s="95">
        <f>D9/C9-1</f>
        <v>0.39446315555720046</v>
      </c>
      <c r="E18" s="95">
        <f t="shared" ref="E18:E19" si="11">E9/D9-1</f>
        <v>-0.19361944953154442</v>
      </c>
      <c r="F18" s="95">
        <f t="shared" ref="F18:F19" si="12">F9/E9-1</f>
        <v>9.2620630636561119E-2</v>
      </c>
      <c r="G18" s="96">
        <f t="shared" ref="G18:G19" si="13">G9/F9-1</f>
        <v>0.15577177973249778</v>
      </c>
      <c r="H18" s="95">
        <f>H9/G9-1</f>
        <v>-7.1423097974821936E-2</v>
      </c>
      <c r="I18" s="95">
        <f t="shared" ref="I18:L18" si="14">I9/H9-1</f>
        <v>-3.0506072550625651E-3</v>
      </c>
      <c r="J18" s="95">
        <f t="shared" si="14"/>
        <v>0.10057177241453141</v>
      </c>
      <c r="K18" s="95">
        <f t="shared" si="14"/>
        <v>0.14346453264939951</v>
      </c>
      <c r="L18" s="95">
        <f t="shared" si="14"/>
        <v>0.16059718044164772</v>
      </c>
      <c r="O18" s="5"/>
      <c r="Q18" s="91"/>
      <c r="R18" s="1" t="str">
        <f>R9</f>
        <v>QCT</v>
      </c>
      <c r="S18" s="47"/>
      <c r="T18" s="95">
        <f>T9/S9-1</f>
        <v>7.5474036435741798E-2</v>
      </c>
      <c r="U18" s="95">
        <f t="shared" ref="U18:Y18" si="15">U9/T9-1</f>
        <v>0.16201889836367833</v>
      </c>
      <c r="V18" s="95">
        <f t="shared" si="15"/>
        <v>-6.0987703292344264E-2</v>
      </c>
      <c r="W18" s="95">
        <f t="shared" si="15"/>
        <v>-5.0269299820466795E-2</v>
      </c>
      <c r="X18" s="95">
        <f t="shared" si="15"/>
        <v>9.2071611253196961E-2</v>
      </c>
      <c r="Y18" s="95">
        <f t="shared" si="15"/>
        <v>8.0643518989919505E-2</v>
      </c>
      <c r="Z18" s="96">
        <f>Z9/Y9-1</f>
        <v>-0.14482238763780264</v>
      </c>
      <c r="AA18" s="95">
        <v>0.09</v>
      </c>
      <c r="AB18" s="95"/>
      <c r="AC18" s="95"/>
    </row>
    <row r="19" spans="2:29" x14ac:dyDescent="0.2">
      <c r="B19" s="1" t="s">
        <v>399</v>
      </c>
      <c r="C19" s="47"/>
      <c r="D19" s="95">
        <f>D10/C10-1</f>
        <v>6.0126582278481333E-3</v>
      </c>
      <c r="E19" s="95">
        <f t="shared" si="11"/>
        <v>-0.16546083674111356</v>
      </c>
      <c r="F19" s="95">
        <f t="shared" si="12"/>
        <v>5.0131926121371961E-2</v>
      </c>
      <c r="G19" s="96">
        <f t="shared" si="13"/>
        <v>1.7946877243359971E-3</v>
      </c>
      <c r="H19" s="97">
        <v>-0.06</v>
      </c>
      <c r="I19" s="146">
        <v>-0.03</v>
      </c>
      <c r="J19" s="146">
        <v>0.02</v>
      </c>
      <c r="K19" s="146">
        <v>0.03</v>
      </c>
      <c r="L19" s="146">
        <v>0.03</v>
      </c>
      <c r="O19" s="5"/>
      <c r="Q19" s="91"/>
      <c r="R19" s="1" t="str">
        <f>R10</f>
        <v>QTL</v>
      </c>
      <c r="S19" s="47"/>
      <c r="T19" s="95">
        <f>T10/S10-1</f>
        <v>-0.20267085624509029</v>
      </c>
      <c r="U19" s="95">
        <f t="shared" ref="U19:Z19" si="16">U10/T10-1</f>
        <v>0.51231527093596063</v>
      </c>
      <c r="V19" s="95">
        <f t="shared" si="16"/>
        <v>-0.14071661237785016</v>
      </c>
      <c r="W19" s="95">
        <f t="shared" si="16"/>
        <v>-7.5815011372248886E-4</v>
      </c>
      <c r="X19" s="95">
        <f t="shared" si="16"/>
        <v>6.9044006069802766E-2</v>
      </c>
      <c r="Y19" s="95">
        <f t="shared" si="16"/>
        <v>0.12987934705464865</v>
      </c>
      <c r="Z19" s="96">
        <f t="shared" si="16"/>
        <v>-0.13190954773869346</v>
      </c>
      <c r="AA19" s="97">
        <v>-0.1</v>
      </c>
      <c r="AB19" s="95"/>
      <c r="AC19" s="95"/>
    </row>
    <row r="20" spans="2:29" x14ac:dyDescent="0.2">
      <c r="B20" s="16" t="str">
        <f>B11</f>
        <v>Total</v>
      </c>
      <c r="C20" s="47"/>
      <c r="D20" s="103">
        <f t="shared" ref="D20:L20" si="17">D11/C11-1</f>
        <v>0.31680867544539115</v>
      </c>
      <c r="E20" s="103">
        <f t="shared" si="17"/>
        <v>-0.18959276018099547</v>
      </c>
      <c r="F20" s="103">
        <f t="shared" si="17"/>
        <v>8.7716359575656044E-2</v>
      </c>
      <c r="G20" s="104">
        <f t="shared" si="17"/>
        <v>0.13659463066577682</v>
      </c>
      <c r="H20" s="103">
        <f t="shared" si="17"/>
        <v>-7.700772287959512E-2</v>
      </c>
      <c r="I20" s="103">
        <f t="shared" si="17"/>
        <v>-6.5101743684646829E-3</v>
      </c>
      <c r="J20" s="103">
        <f t="shared" si="17"/>
        <v>9.047310651925855E-2</v>
      </c>
      <c r="K20" s="103">
        <f t="shared" si="17"/>
        <v>0.13016224214842165</v>
      </c>
      <c r="L20" s="103">
        <f t="shared" si="17"/>
        <v>0.14664325073296514</v>
      </c>
      <c r="O20" s="5"/>
      <c r="Q20" s="91"/>
      <c r="R20" s="16" t="str">
        <f>R11</f>
        <v>Total</v>
      </c>
      <c r="S20" s="47"/>
      <c r="T20" s="103">
        <f t="shared" ref="T20:AA20" si="18">T11/S11-1</f>
        <v>9.0599382518897098E-2</v>
      </c>
      <c r="U20" s="103">
        <f t="shared" si="18"/>
        <v>0.13910581803982813</v>
      </c>
      <c r="V20" s="103">
        <f t="shared" si="18"/>
        <v>-5.9131030936669826E-2</v>
      </c>
      <c r="W20" s="103">
        <f t="shared" si="18"/>
        <v>-4.681664996812096E-2</v>
      </c>
      <c r="X20" s="103">
        <f t="shared" si="18"/>
        <v>7.6923076923076872E-2</v>
      </c>
      <c r="Y20" s="103">
        <f t="shared" si="18"/>
        <v>8.7133984028394007E-2</v>
      </c>
      <c r="Z20" s="104">
        <f t="shared" si="18"/>
        <v>-0.13491674828599409</v>
      </c>
      <c r="AA20" s="103">
        <f t="shared" si="18"/>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S10"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0" t="s">
        <v>105</v>
      </c>
      <c r="D2" s="230"/>
      <c r="E2" s="230"/>
      <c r="F2" s="230"/>
      <c r="G2" s="242"/>
      <c r="H2" s="243" t="s">
        <v>106</v>
      </c>
      <c r="I2" s="230"/>
      <c r="J2" s="230"/>
      <c r="K2" s="230"/>
      <c r="L2" s="230"/>
      <c r="P2" s="230" t="s">
        <v>105</v>
      </c>
      <c r="Q2" s="230"/>
      <c r="R2" s="230"/>
      <c r="S2" s="230"/>
      <c r="T2" s="230"/>
      <c r="U2" s="230"/>
      <c r="V2" s="230"/>
      <c r="W2" s="230"/>
      <c r="X2" s="230" t="s">
        <v>106</v>
      </c>
      <c r="Y2" s="230"/>
      <c r="Z2" s="230"/>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6"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-Statement!M60</f>
        <v>1888</v>
      </c>
      <c r="D45" s="114">
        <f>-Statement!N60</f>
        <v>2262</v>
      </c>
      <c r="E45" s="114">
        <f>-Statement!O60</f>
        <v>1450</v>
      </c>
      <c r="F45" s="114">
        <f>-Statement!P60</f>
        <v>1041</v>
      </c>
      <c r="G45" s="115">
        <f>-Statement!Q60</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0" t="s">
        <v>105</v>
      </c>
      <c r="D2" s="230"/>
      <c r="E2" s="230"/>
      <c r="F2" s="230"/>
      <c r="G2" s="242"/>
      <c r="H2" s="243" t="s">
        <v>106</v>
      </c>
      <c r="I2" s="230"/>
      <c r="J2" s="230"/>
      <c r="K2" s="230"/>
      <c r="L2" s="230"/>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9" t="s">
        <v>75</v>
      </c>
      <c r="D31" s="239"/>
      <c r="E31" s="239"/>
      <c r="F31" s="239"/>
      <c r="G31" s="239"/>
      <c r="H31" s="239"/>
      <c r="I31" s="239"/>
      <c r="J31" s="239"/>
      <c r="K31" s="239"/>
      <c r="L31" s="239"/>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0" t="s">
        <v>158</v>
      </c>
      <c r="C4" s="230"/>
    </row>
    <row r="5" spans="1:3" ht="17" customHeight="1" x14ac:dyDescent="0.2">
      <c r="B5" s="1" t="s">
        <v>159</v>
      </c>
      <c r="C5" s="136">
        <f>Statement!AC78</f>
        <v>1060</v>
      </c>
    </row>
    <row r="6" spans="1:3" ht="17" customHeight="1" x14ac:dyDescent="0.2">
      <c r="B6" s="1" t="s">
        <v>1</v>
      </c>
      <c r="C6" s="133">
        <f ca="1">Overview!C5</f>
        <v>226.11</v>
      </c>
    </row>
    <row r="7" spans="1:3" ht="17" customHeight="1" x14ac:dyDescent="0.2">
      <c r="B7" s="1" t="s">
        <v>160</v>
      </c>
      <c r="C7" s="134">
        <f ca="1">C5*C6</f>
        <v>239676.6</v>
      </c>
    </row>
    <row r="8" spans="1:3" ht="17" customHeight="1" x14ac:dyDescent="0.2">
      <c r="B8" s="1" t="s">
        <v>161</v>
      </c>
      <c r="C8" s="112">
        <f>Statement!AC107</f>
        <v>15270</v>
      </c>
    </row>
    <row r="9" spans="1:3" ht="17" customHeight="1" x14ac:dyDescent="0.2">
      <c r="B9" s="1" t="s">
        <v>162</v>
      </c>
      <c r="C9" s="135">
        <f ca="1">Overview!F27</f>
        <v>4.4510000000000001E-2</v>
      </c>
    </row>
    <row r="10" spans="1:3" ht="17" customHeight="1" x14ac:dyDescent="0.2">
      <c r="B10" s="1" t="s">
        <v>9</v>
      </c>
      <c r="C10" s="133">
        <f ca="1">Overview!C13</f>
        <v>1.6096999999999999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0" t="s">
        <v>165</v>
      </c>
      <c r="C15" s="230"/>
    </row>
    <row r="16" spans="1:3" ht="17" customHeight="1" x14ac:dyDescent="0.2">
      <c r="B16" s="1" t="s">
        <v>166</v>
      </c>
      <c r="C16" s="46">
        <f ca="1">C8/(C8+C7)</f>
        <v>5.9894895636968683E-2</v>
      </c>
    </row>
    <row r="17" spans="2:3" ht="17" customHeight="1" x14ac:dyDescent="0.2">
      <c r="B17" s="1" t="s">
        <v>167</v>
      </c>
      <c r="C17" s="46">
        <f ca="1">C7/(C8+C7)</f>
        <v>0.9401051043630313</v>
      </c>
    </row>
    <row r="18" spans="2:3" ht="17" customHeight="1" x14ac:dyDescent="0.2">
      <c r="B18" s="1" t="s">
        <v>168</v>
      </c>
      <c r="C18" s="46">
        <f>C13*(1-C12)</f>
        <v>3.6735000000000004E-2</v>
      </c>
    </row>
    <row r="19" spans="2:3" ht="17" customHeight="1" x14ac:dyDescent="0.2">
      <c r="B19" s="1" t="s">
        <v>169</v>
      </c>
      <c r="C19" s="46">
        <f ca="1">C9+C10*C11</f>
        <v>0.11694649999999998</v>
      </c>
    </row>
    <row r="20" spans="2:3" ht="17" customHeight="1" x14ac:dyDescent="0.2">
      <c r="B20" s="1" t="s">
        <v>157</v>
      </c>
      <c r="C20" s="46">
        <f ca="1">(C17*C19)+(C16*C18)</f>
        <v>0.11214224057861526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151155.62428396993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8957.8878281537309</v>
      </c>
      <c r="I10" s="126">
        <f t="shared" ref="I10:L10" ca="1" si="0">I7/(1+$C$15)^I9</f>
        <v>7960.7270853195414</v>
      </c>
      <c r="J10" s="126">
        <f t="shared" ca="1" si="0"/>
        <v>7499.6831001759474</v>
      </c>
      <c r="K10" s="126">
        <f t="shared" ca="1" si="0"/>
        <v>7082.6670955794298</v>
      </c>
      <c r="L10" s="126">
        <f t="shared" ca="1" si="0"/>
        <v>7553.1391815602874</v>
      </c>
      <c r="N10" s="91"/>
    </row>
    <row r="11" spans="1:28" x14ac:dyDescent="0.2">
      <c r="B11" s="1" t="s">
        <v>175</v>
      </c>
      <c r="C11" s="137"/>
      <c r="D11" s="137"/>
      <c r="E11" s="137"/>
      <c r="F11" s="137"/>
      <c r="G11" s="138"/>
      <c r="H11" s="137"/>
      <c r="I11" s="137"/>
      <c r="J11" s="137"/>
      <c r="K11" s="137"/>
      <c r="L11" s="126">
        <f ca="1">L8/(1+C15)^L9</f>
        <v>88842.880441143687</v>
      </c>
    </row>
    <row r="13" spans="1:28" x14ac:dyDescent="0.2">
      <c r="B13" s="230" t="s">
        <v>176</v>
      </c>
      <c r="C13" s="230"/>
    </row>
    <row r="14" spans="1:28" x14ac:dyDescent="0.2">
      <c r="B14" s="1" t="s">
        <v>177</v>
      </c>
      <c r="C14" s="140">
        <v>2.5000000000000001E-2</v>
      </c>
    </row>
    <row r="15" spans="1:28" x14ac:dyDescent="0.2">
      <c r="B15" s="1" t="s">
        <v>157</v>
      </c>
      <c r="C15" s="135">
        <f ca="1">IF(Overview!C28&gt;0,Overview!C28,WACC!C20)</f>
        <v>0.11214224057861526</v>
      </c>
    </row>
    <row r="18" spans="2:3" x14ac:dyDescent="0.2">
      <c r="B18" s="230" t="s">
        <v>178</v>
      </c>
      <c r="C18" s="230"/>
    </row>
    <row r="19" spans="2:3" x14ac:dyDescent="0.2">
      <c r="B19" s="1" t="s">
        <v>179</v>
      </c>
      <c r="C19" s="64">
        <f ca="1">SUM(H10:L10)</f>
        <v>39054.104290788935</v>
      </c>
    </row>
    <row r="20" spans="2:3" x14ac:dyDescent="0.2">
      <c r="B20" s="1" t="s">
        <v>175</v>
      </c>
      <c r="C20" s="64">
        <f ca="1">L11</f>
        <v>88842.880441143687</v>
      </c>
    </row>
    <row r="21" spans="2:3" x14ac:dyDescent="0.2">
      <c r="B21" s="16" t="s">
        <v>180</v>
      </c>
      <c r="C21" s="94">
        <f ca="1">C19+C20</f>
        <v>127896.98473193262</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122425.98473193264</v>
      </c>
    </row>
    <row r="25" spans="2:3" x14ac:dyDescent="0.2">
      <c r="B25" s="1" t="s">
        <v>67</v>
      </c>
      <c r="C25" s="136">
        <f>Statement!AC78</f>
        <v>1060</v>
      </c>
    </row>
    <row r="26" spans="2:3" x14ac:dyDescent="0.2">
      <c r="B26" s="141" t="s">
        <v>184</v>
      </c>
      <c r="C26" s="142">
        <f ca="1">C24/C25</f>
        <v>115.4962120112572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57" sqref="C5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0" t="s">
        <v>105</v>
      </c>
      <c r="D2" s="230"/>
      <c r="E2" s="230"/>
      <c r="F2" s="230"/>
      <c r="G2" s="242"/>
      <c r="H2" s="243" t="s">
        <v>106</v>
      </c>
      <c r="I2" s="230"/>
      <c r="J2" s="230"/>
      <c r="K2" s="230"/>
      <c r="L2" s="230"/>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1088.425</v>
      </c>
      <c r="I18" s="143">
        <f t="shared" ref="I18:L18" si="5">H18*(1+I19)</f>
        <v>1077.5407499999999</v>
      </c>
      <c r="J18" s="143">
        <f t="shared" si="5"/>
        <v>1066.7653424999999</v>
      </c>
      <c r="K18" s="143">
        <f t="shared" si="5"/>
        <v>1061.4315157874998</v>
      </c>
      <c r="L18" s="143">
        <f t="shared" si="5"/>
        <v>1056.1243582085624</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-1.4999999999999999E-2</v>
      </c>
      <c r="I19" s="97">
        <v>-0.01</v>
      </c>
      <c r="J19" s="97">
        <v>-0.01</v>
      </c>
      <c r="K19" s="97">
        <v>-5.0000000000000001E-3</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0" t="s">
        <v>197</v>
      </c>
      <c r="C37" s="230"/>
      <c r="N37" s="91"/>
    </row>
    <row r="38" spans="2:14" x14ac:dyDescent="0.2">
      <c r="B38" s="1" t="s">
        <v>198</v>
      </c>
      <c r="C38" s="64">
        <f>L7</f>
        <v>16641.420831907126</v>
      </c>
    </row>
    <row r="39" spans="2:14" x14ac:dyDescent="0.2">
      <c r="B39" s="1" t="s">
        <v>157</v>
      </c>
      <c r="C39" s="135">
        <f ca="1">IF(Overview!C28&gt;0,Overview!C28,WACC!C20)</f>
        <v>0.11214224057861526</v>
      </c>
    </row>
    <row r="40" spans="2:14" x14ac:dyDescent="0.2">
      <c r="B40" s="39" t="s">
        <v>199</v>
      </c>
      <c r="C40" s="105">
        <v>20</v>
      </c>
    </row>
    <row r="41" spans="2:14" x14ac:dyDescent="0.2">
      <c r="B41" s="1" t="s">
        <v>195</v>
      </c>
      <c r="C41" s="24">
        <f>(C38*C40)</f>
        <v>332828.41663814255</v>
      </c>
    </row>
    <row r="42" spans="2:14" x14ac:dyDescent="0.2">
      <c r="B42" s="1" t="s">
        <v>361</v>
      </c>
      <c r="C42" s="24">
        <f ca="1">C41/(1+C39)^5-G30+G31</f>
        <v>190966.46106864512</v>
      </c>
    </row>
    <row r="43" spans="2:14" x14ac:dyDescent="0.2">
      <c r="B43" s="1" t="s">
        <v>67</v>
      </c>
      <c r="C43" s="88">
        <f>Statement!AC78</f>
        <v>1060</v>
      </c>
    </row>
    <row r="44" spans="2:14" x14ac:dyDescent="0.2">
      <c r="B44" s="141" t="s">
        <v>201</v>
      </c>
      <c r="C44" s="142">
        <f ca="1">C42/C43</f>
        <v>180.15703874400484</v>
      </c>
    </row>
    <row r="46" spans="2:14" x14ac:dyDescent="0.2">
      <c r="B46" s="230" t="s">
        <v>202</v>
      </c>
      <c r="C46" s="230"/>
    </row>
    <row r="47" spans="2:14" x14ac:dyDescent="0.2">
      <c r="B47" s="1" t="s">
        <v>203</v>
      </c>
      <c r="C47" s="64">
        <f>L6</f>
        <v>57384.209765196996</v>
      </c>
    </row>
    <row r="48" spans="2:14" x14ac:dyDescent="0.2">
      <c r="B48" s="1" t="s">
        <v>363</v>
      </c>
      <c r="C48" s="135">
        <f>Overview!C29</f>
        <v>0.12</v>
      </c>
    </row>
    <row r="49" spans="2:3" x14ac:dyDescent="0.2">
      <c r="B49" s="39" t="s">
        <v>204</v>
      </c>
      <c r="C49" s="105">
        <v>6</v>
      </c>
    </row>
    <row r="50" spans="2:3" x14ac:dyDescent="0.2">
      <c r="B50" s="1" t="s">
        <v>200</v>
      </c>
      <c r="C50" s="24">
        <f>L18</f>
        <v>1056.1243582085624</v>
      </c>
    </row>
    <row r="51" spans="2:3" x14ac:dyDescent="0.2">
      <c r="B51" s="1" t="s">
        <v>184</v>
      </c>
      <c r="C51" s="24">
        <f>(C47*C49)/C50</f>
        <v>326.00825453472675</v>
      </c>
    </row>
    <row r="52" spans="2:3" x14ac:dyDescent="0.2">
      <c r="B52" s="141" t="s">
        <v>201</v>
      </c>
      <c r="C52" s="142">
        <f>C51/(1+C48)^5</f>
        <v>184.98583880894876</v>
      </c>
    </row>
    <row r="54" spans="2:3" x14ac:dyDescent="0.2">
      <c r="B54" s="230" t="s">
        <v>319</v>
      </c>
      <c r="C54" s="230"/>
    </row>
    <row r="55" spans="2:3" x14ac:dyDescent="0.2">
      <c r="B55" s="1" t="s">
        <v>205</v>
      </c>
      <c r="C55" s="64">
        <f>L8</f>
        <v>12850.770513331205</v>
      </c>
    </row>
    <row r="56" spans="2:3" x14ac:dyDescent="0.2">
      <c r="B56" s="1" t="s">
        <v>157</v>
      </c>
      <c r="C56" s="135">
        <f ca="1">IF(Overview!C28&gt;0,Overview!C28,WACC!C20)</f>
        <v>0.11214224057861526</v>
      </c>
    </row>
    <row r="57" spans="2:3" x14ac:dyDescent="0.2">
      <c r="B57" s="39" t="s">
        <v>362</v>
      </c>
      <c r="C57" s="105">
        <v>25</v>
      </c>
    </row>
    <row r="58" spans="2:3" x14ac:dyDescent="0.2">
      <c r="B58" s="1" t="s">
        <v>195</v>
      </c>
      <c r="C58" s="24">
        <f>(C55*C57)</f>
        <v>321269.26283328014</v>
      </c>
    </row>
    <row r="59" spans="2:3" x14ac:dyDescent="0.2">
      <c r="B59" s="1" t="s">
        <v>361</v>
      </c>
      <c r="C59" s="24">
        <f ca="1">C58/(1+C56)^5-G30+G31</f>
        <v>184172.47953900718</v>
      </c>
    </row>
    <row r="60" spans="2:3" x14ac:dyDescent="0.2">
      <c r="B60" s="1" t="s">
        <v>67</v>
      </c>
      <c r="C60" s="88">
        <f>Statement!AC78</f>
        <v>1060</v>
      </c>
    </row>
    <row r="61" spans="2:3" x14ac:dyDescent="0.2">
      <c r="B61" s="141" t="s">
        <v>201</v>
      </c>
      <c r="C61" s="142">
        <f ca="1">C59/C60</f>
        <v>173.74762220661054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0" t="s">
        <v>207</v>
      </c>
      <c r="C4" s="230"/>
      <c r="N4" s="91"/>
    </row>
    <row r="5" spans="1:14" x14ac:dyDescent="0.2">
      <c r="B5" s="1" t="s">
        <v>208</v>
      </c>
      <c r="C5" s="133">
        <f ca="1">DCF!C26</f>
        <v>115.4962120112572</v>
      </c>
    </row>
    <row r="6" spans="1:14" x14ac:dyDescent="0.2">
      <c r="B6" s="1" t="s">
        <v>209</v>
      </c>
      <c r="C6" s="133">
        <f ca="1">Multiples!C44</f>
        <v>180.15703874400484</v>
      </c>
    </row>
    <row r="7" spans="1:14" x14ac:dyDescent="0.2">
      <c r="B7" s="1" t="s">
        <v>210</v>
      </c>
      <c r="C7" s="133">
        <f>Multiples!C52</f>
        <v>184.98583880894876</v>
      </c>
    </row>
    <row r="8" spans="1:14" x14ac:dyDescent="0.2">
      <c r="B8" s="1" t="s">
        <v>320</v>
      </c>
      <c r="C8" s="133">
        <f ca="1">Multiples!C61</f>
        <v>173.74762220661054</v>
      </c>
    </row>
    <row r="9" spans="1:14" x14ac:dyDescent="0.2">
      <c r="B9" s="141" t="s">
        <v>211</v>
      </c>
      <c r="C9" s="142">
        <f ca="1">AVERAGE(C5:C8)</f>
        <v>163.59667794270533</v>
      </c>
    </row>
    <row r="10" spans="1:14" x14ac:dyDescent="0.2">
      <c r="B10" s="1" t="s">
        <v>212</v>
      </c>
      <c r="C10" s="133">
        <f ca="1">Overview!C5</f>
        <v>226.11</v>
      </c>
    </row>
    <row r="11" spans="1:14" x14ac:dyDescent="0.2">
      <c r="B11" s="1" t="s">
        <v>213</v>
      </c>
      <c r="C11" s="154">
        <f ca="1">(C9-C10)/C10</f>
        <v>-0.27647305319222804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300207.601973582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12373.221340211194</v>
      </c>
      <c r="I10" s="126">
        <f t="shared" ref="I10:L10" ca="1" si="1">I7/(1+$C$21)^I9</f>
        <v>12983.545428967778</v>
      </c>
      <c r="J10" s="126">
        <f t="shared" ca="1" si="1"/>
        <v>13623.974490639219</v>
      </c>
      <c r="K10" s="126">
        <f t="shared" ca="1" si="1"/>
        <v>14295.99348937964</v>
      </c>
      <c r="L10" s="126">
        <f t="shared" ca="1" si="1"/>
        <v>15001.160636993825</v>
      </c>
      <c r="N10" s="91"/>
    </row>
    <row r="11" spans="1:28" x14ac:dyDescent="0.2">
      <c r="B11" s="1" t="s">
        <v>175</v>
      </c>
      <c r="C11" s="137"/>
      <c r="D11" s="137"/>
      <c r="E11" s="137"/>
      <c r="F11" s="137"/>
      <c r="G11" s="138"/>
      <c r="H11" s="137"/>
      <c r="I11" s="137"/>
      <c r="J11" s="137"/>
      <c r="K11" s="137"/>
      <c r="L11" s="126">
        <f ca="1">L8/(1+C21)^L9</f>
        <v>176449.32642106054</v>
      </c>
    </row>
    <row r="13" spans="1:28" ht="17" thickBot="1" x14ac:dyDescent="0.25"/>
    <row r="14" spans="1:28" x14ac:dyDescent="0.2">
      <c r="B14" s="245" t="s">
        <v>215</v>
      </c>
      <c r="C14" s="246"/>
    </row>
    <row r="15" spans="1:28" x14ac:dyDescent="0.2">
      <c r="B15" s="155" t="s">
        <v>216</v>
      </c>
      <c r="C15" s="156">
        <f ca="1">Overview!C5</f>
        <v>226.11</v>
      </c>
    </row>
    <row r="16" spans="1:28" x14ac:dyDescent="0.2">
      <c r="B16" s="155" t="s">
        <v>217</v>
      </c>
      <c r="C16" s="156">
        <f ca="1">C36</f>
        <v>226.99831291010645</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6">
        <f ca="1">IF(Overview!C28&gt;0,Overview!C28,WACC!C20)</f>
        <v>0.11214224057861526</v>
      </c>
    </row>
    <row r="22" spans="2:9" x14ac:dyDescent="0.2">
      <c r="B22" s="159" t="s">
        <v>67</v>
      </c>
      <c r="C22" s="227">
        <f>Statement!AC75</f>
        <v>1054</v>
      </c>
    </row>
    <row r="23" spans="2:9" x14ac:dyDescent="0.2">
      <c r="B23" s="159" t="s">
        <v>219</v>
      </c>
      <c r="C23" s="161">
        <f ca="1">C15*C22</f>
        <v>238319.94</v>
      </c>
    </row>
    <row r="24" spans="2:9" x14ac:dyDescent="0.2">
      <c r="B24" s="159" t="s">
        <v>170</v>
      </c>
      <c r="C24" s="227">
        <f>Statement!AC106</f>
        <v>9799</v>
      </c>
    </row>
    <row r="25" spans="2:9" x14ac:dyDescent="0.2">
      <c r="B25" s="159" t="s">
        <v>161</v>
      </c>
      <c r="C25" s="227">
        <f>Statement!AC107</f>
        <v>15270</v>
      </c>
    </row>
    <row r="26" spans="2:9" ht="17" thickBot="1" x14ac:dyDescent="0.25">
      <c r="B26" s="157" t="s">
        <v>220</v>
      </c>
      <c r="C26" s="162">
        <f ca="1">C23+C25-C24</f>
        <v>243790.94</v>
      </c>
    </row>
    <row r="27" spans="2:9" ht="17" thickBot="1" x14ac:dyDescent="0.25"/>
    <row r="28" spans="2:9" x14ac:dyDescent="0.2">
      <c r="B28" s="245" t="s">
        <v>178</v>
      </c>
      <c r="C28" s="246"/>
    </row>
    <row r="29" spans="2:9" x14ac:dyDescent="0.2">
      <c r="B29" s="159" t="s">
        <v>179</v>
      </c>
      <c r="C29" s="161">
        <f ca="1">SUM(H10:L10)</f>
        <v>68277.895386191653</v>
      </c>
    </row>
    <row r="30" spans="2:9" x14ac:dyDescent="0.2">
      <c r="B30" s="159" t="s">
        <v>175</v>
      </c>
      <c r="C30" s="161">
        <f ca="1">L11</f>
        <v>176449.32642106054</v>
      </c>
    </row>
    <row r="31" spans="2:9" x14ac:dyDescent="0.2">
      <c r="B31" s="163" t="s">
        <v>180</v>
      </c>
      <c r="C31" s="164">
        <f ca="1">C29+C30</f>
        <v>244727.22180725221</v>
      </c>
    </row>
    <row r="32" spans="2:9" x14ac:dyDescent="0.2">
      <c r="B32" s="159" t="s">
        <v>181</v>
      </c>
      <c r="C32" s="165">
        <f>C24</f>
        <v>9799</v>
      </c>
    </row>
    <row r="33" spans="2:12" x14ac:dyDescent="0.2">
      <c r="B33" s="159" t="s">
        <v>182</v>
      </c>
      <c r="C33" s="165">
        <f>C25</f>
        <v>15270</v>
      </c>
    </row>
    <row r="34" spans="2:12" x14ac:dyDescent="0.2">
      <c r="B34" s="163" t="s">
        <v>183</v>
      </c>
      <c r="C34" s="164">
        <f ca="1">C31+C32-C33</f>
        <v>239256.22180725221</v>
      </c>
    </row>
    <row r="35" spans="2:12" x14ac:dyDescent="0.2">
      <c r="B35" s="159" t="s">
        <v>67</v>
      </c>
      <c r="C35" s="161">
        <f>C22</f>
        <v>1054</v>
      </c>
    </row>
    <row r="36" spans="2:12" ht="17" thickBot="1" x14ac:dyDescent="0.25">
      <c r="B36" s="166" t="s">
        <v>184</v>
      </c>
      <c r="C36" s="167">
        <f ca="1">C34/C35</f>
        <v>226.99831291010645</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2026-06-19T17:51:54Z</dcterms:modified>
</cp:coreProperties>
</file>