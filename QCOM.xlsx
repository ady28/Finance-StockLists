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Volumes/KINGSTON/MyStockData/Finance-StockLists/"/>
    </mc:Choice>
  </mc:AlternateContent>
  <xr:revisionPtr revIDLastSave="0" documentId="13_ncr:1_{207FDF5F-5718-E44C-9596-228E06FA92C0}" xr6:coauthVersionLast="47" xr6:coauthVersionMax="47" xr10:uidLastSave="{00000000-0000-0000-0000-000000000000}"/>
  <bookViews>
    <workbookView xWindow="0" yWindow="0" windowWidth="25600" windowHeight="14400" xr2:uid="{AEC0C047-6E16-294C-82BD-58123BA913A1}"/>
  </bookViews>
  <sheets>
    <sheet name="Overview" sheetId="1" r:id="rId1"/>
    <sheet name="Financials -&gt;" sheetId="2" r:id="rId2"/>
    <sheet name="Statement" sheetId="3" r:id="rId3"/>
    <sheet name="Analysis -&gt;" sheetId="15" r:id="rId4"/>
    <sheet name="Basic" sheetId="16" r:id="rId5"/>
    <sheet name="Yearly Analysis" sheetId="17" r:id="rId6"/>
    <sheet name="Quarter analysis" sheetId="18" r:id="rId7"/>
    <sheet name="Graphs Year" sheetId="19" r:id="rId8"/>
    <sheet name="Graphs Quarter" sheetId="20" r:id="rId9"/>
    <sheet name="Forecast -&gt;" sheetId="4" r:id="rId10"/>
    <sheet name="Revenue" sheetId="5" r:id="rId11"/>
    <sheet name="COGS &amp; OpEx" sheetId="6" r:id="rId12"/>
    <sheet name="WC &amp; Investments" sheetId="7" r:id="rId13"/>
    <sheet name="FCF &amp; Other" sheetId="8" r:id="rId14"/>
    <sheet name="Valuation -&gt;" sheetId="9" r:id="rId15"/>
    <sheet name="WACC" sheetId="10" r:id="rId16"/>
    <sheet name="DCF" sheetId="11" r:id="rId17"/>
    <sheet name="Multiples" sheetId="12" r:id="rId18"/>
    <sheet name="AVG target price" sheetId="13" r:id="rId19"/>
    <sheet name="DDM" sheetId="21" r:id="rId20"/>
    <sheet name="Reverse DCF" sheetId="14" r:id="rId21"/>
  </sheets>
  <externalReferences>
    <externalReference r:id="rId22"/>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1" i="3" l="1"/>
  <c r="I13" i="1"/>
  <c r="H7" i="1"/>
  <c r="H6" i="1"/>
  <c r="C83" i="12"/>
  <c r="C81" i="12"/>
  <c r="C80" i="12"/>
  <c r="C74" i="12"/>
  <c r="C77" i="12"/>
  <c r="G36" i="12"/>
  <c r="F36" i="12"/>
  <c r="E36" i="12"/>
  <c r="D36" i="12"/>
  <c r="C36" i="12"/>
  <c r="AE9" i="5"/>
  <c r="AA10" i="5"/>
  <c r="AA9" i="5"/>
  <c r="H10" i="5"/>
  <c r="H9" i="5"/>
  <c r="AC64" i="3"/>
  <c r="AC62" i="3"/>
  <c r="AA109" i="3"/>
  <c r="AC59" i="3"/>
  <c r="AC56" i="3"/>
  <c r="AC53" i="3"/>
  <c r="AA29" i="3"/>
  <c r="Z202" i="3"/>
  <c r="Y202" i="3"/>
  <c r="X202" i="3"/>
  <c r="W202" i="3"/>
  <c r="V202" i="3"/>
  <c r="U202" i="3"/>
  <c r="T202" i="3"/>
  <c r="Z201" i="3"/>
  <c r="Y201" i="3"/>
  <c r="X201" i="3"/>
  <c r="W201" i="3"/>
  <c r="V201" i="3"/>
  <c r="U201" i="3"/>
  <c r="T201" i="3"/>
  <c r="Z200" i="3"/>
  <c r="Y200" i="3"/>
  <c r="X200" i="3"/>
  <c r="W200" i="3"/>
  <c r="V200" i="3"/>
  <c r="U200" i="3"/>
  <c r="T200" i="3"/>
  <c r="Z199" i="3"/>
  <c r="Y199" i="3"/>
  <c r="X199" i="3"/>
  <c r="W199" i="3"/>
  <c r="V199" i="3"/>
  <c r="U199" i="3"/>
  <c r="T199" i="3"/>
  <c r="Z198" i="3"/>
  <c r="Y198" i="3"/>
  <c r="X198" i="3"/>
  <c r="W198" i="3"/>
  <c r="V198" i="3"/>
  <c r="U198" i="3"/>
  <c r="T198" i="3"/>
  <c r="Z182" i="3"/>
  <c r="Y182" i="3"/>
  <c r="X182" i="3"/>
  <c r="W182" i="3"/>
  <c r="V182" i="3"/>
  <c r="U182" i="3"/>
  <c r="T182" i="3"/>
  <c r="Z181" i="3"/>
  <c r="Y181" i="3"/>
  <c r="X181" i="3"/>
  <c r="W181" i="3"/>
  <c r="V181" i="3"/>
  <c r="U181" i="3"/>
  <c r="T181" i="3"/>
  <c r="Z180" i="3"/>
  <c r="Y180" i="3"/>
  <c r="X180" i="3"/>
  <c r="W180" i="3"/>
  <c r="V180" i="3"/>
  <c r="U180" i="3"/>
  <c r="T180" i="3"/>
  <c r="Z177" i="3"/>
  <c r="Y177" i="3"/>
  <c r="X177" i="3"/>
  <c r="W177" i="3"/>
  <c r="V177" i="3"/>
  <c r="U177" i="3"/>
  <c r="T177" i="3"/>
  <c r="Z176" i="3"/>
  <c r="Y176" i="3"/>
  <c r="X176" i="3"/>
  <c r="W176" i="3"/>
  <c r="V176" i="3"/>
  <c r="U176" i="3"/>
  <c r="T176" i="3"/>
  <c r="Z160" i="3"/>
  <c r="Y160" i="3"/>
  <c r="X160" i="3"/>
  <c r="W160" i="3"/>
  <c r="V160" i="3"/>
  <c r="U160" i="3"/>
  <c r="T160" i="3"/>
  <c r="Z152" i="3"/>
  <c r="Y152" i="3"/>
  <c r="X152" i="3"/>
  <c r="W152" i="3"/>
  <c r="V152" i="3"/>
  <c r="U152" i="3"/>
  <c r="T152" i="3"/>
  <c r="Z151" i="3"/>
  <c r="Y151" i="3"/>
  <c r="X151" i="3"/>
  <c r="W151" i="3"/>
  <c r="V151" i="3"/>
  <c r="U151" i="3"/>
  <c r="T151" i="3"/>
  <c r="Z146" i="3"/>
  <c r="Y146" i="3"/>
  <c r="X146" i="3"/>
  <c r="W146" i="3"/>
  <c r="V146" i="3"/>
  <c r="U146" i="3"/>
  <c r="T146" i="3"/>
  <c r="Z145" i="3"/>
  <c r="Y145" i="3"/>
  <c r="X145" i="3"/>
  <c r="W145" i="3"/>
  <c r="V145" i="3"/>
  <c r="U145" i="3"/>
  <c r="T145" i="3"/>
  <c r="Z144" i="3"/>
  <c r="Z147" i="3" s="1"/>
  <c r="Y144" i="3"/>
  <c r="Y147" i="3" s="1"/>
  <c r="X144" i="3"/>
  <c r="X147" i="3" s="1"/>
  <c r="W144" i="3"/>
  <c r="W147" i="3" s="1"/>
  <c r="V144" i="3"/>
  <c r="V147" i="3" s="1"/>
  <c r="U144" i="3"/>
  <c r="U147" i="3" s="1"/>
  <c r="T144" i="3"/>
  <c r="T147" i="3" s="1"/>
  <c r="Z138" i="3"/>
  <c r="Z139" i="3" s="1"/>
  <c r="Y138" i="3"/>
  <c r="Y139" i="3" s="1"/>
  <c r="X138" i="3"/>
  <c r="X139" i="3" s="1"/>
  <c r="W138" i="3"/>
  <c r="W139" i="3" s="1"/>
  <c r="V138" i="3"/>
  <c r="V139" i="3" s="1"/>
  <c r="U138" i="3"/>
  <c r="U139" i="3" s="1"/>
  <c r="T138" i="3"/>
  <c r="T139" i="3" s="1"/>
  <c r="Z134" i="3"/>
  <c r="Z135" i="3" s="1"/>
  <c r="Y134" i="3"/>
  <c r="Y135" i="3" s="1"/>
  <c r="X134" i="3"/>
  <c r="X135" i="3" s="1"/>
  <c r="W134" i="3"/>
  <c r="W135" i="3" s="1"/>
  <c r="V134" i="3"/>
  <c r="V135" i="3" s="1"/>
  <c r="U134" i="3"/>
  <c r="U135" i="3" s="1"/>
  <c r="T134" i="3"/>
  <c r="T135" i="3" s="1"/>
  <c r="Z130" i="3"/>
  <c r="Z131" i="3" s="1"/>
  <c r="Y130" i="3"/>
  <c r="Y131" i="3" s="1"/>
  <c r="X130" i="3"/>
  <c r="X131" i="3" s="1"/>
  <c r="W130" i="3"/>
  <c r="W131" i="3" s="1"/>
  <c r="V130" i="3"/>
  <c r="V131" i="3" s="1"/>
  <c r="U130" i="3"/>
  <c r="U131" i="3" s="1"/>
  <c r="T130" i="3"/>
  <c r="T131" i="3" s="1"/>
  <c r="Z116" i="3"/>
  <c r="Y116" i="3"/>
  <c r="X116" i="3"/>
  <c r="W116" i="3"/>
  <c r="V116" i="3"/>
  <c r="U116" i="3"/>
  <c r="T116" i="3"/>
  <c r="Z111" i="3"/>
  <c r="Y111" i="3"/>
  <c r="X111" i="3"/>
  <c r="W111" i="3"/>
  <c r="V111" i="3"/>
  <c r="U111" i="3"/>
  <c r="T111" i="3"/>
  <c r="Z110" i="3"/>
  <c r="Y110" i="3"/>
  <c r="X110" i="3"/>
  <c r="W110" i="3"/>
  <c r="V110" i="3"/>
  <c r="U110" i="3"/>
  <c r="T110" i="3"/>
  <c r="Z109" i="3"/>
  <c r="Y109" i="3"/>
  <c r="X109" i="3"/>
  <c r="W109" i="3"/>
  <c r="V109" i="3"/>
  <c r="U109" i="3"/>
  <c r="T109" i="3"/>
  <c r="Z107" i="3"/>
  <c r="Z148" i="3" s="1"/>
  <c r="Y107" i="3"/>
  <c r="Y148" i="3" s="1"/>
  <c r="X107" i="3"/>
  <c r="X148" i="3" s="1"/>
  <c r="W107" i="3"/>
  <c r="W148" i="3" s="1"/>
  <c r="V107" i="3"/>
  <c r="V148" i="3" s="1"/>
  <c r="U107" i="3"/>
  <c r="U148" i="3" s="1"/>
  <c r="T107" i="3"/>
  <c r="T148" i="3" s="1"/>
  <c r="Z102" i="3"/>
  <c r="Y102" i="3"/>
  <c r="X102" i="3"/>
  <c r="W102" i="3"/>
  <c r="V102" i="3"/>
  <c r="U102" i="3"/>
  <c r="T102" i="3"/>
  <c r="Z101" i="3"/>
  <c r="Y101" i="3"/>
  <c r="X101" i="3"/>
  <c r="W101" i="3"/>
  <c r="V101" i="3"/>
  <c r="U101" i="3"/>
  <c r="T101" i="3"/>
  <c r="Z97" i="3"/>
  <c r="Y97" i="3"/>
  <c r="X97" i="3"/>
  <c r="W97" i="3"/>
  <c r="V97" i="3"/>
  <c r="U97" i="3"/>
  <c r="T97" i="3"/>
  <c r="Z96" i="3"/>
  <c r="Y96" i="3"/>
  <c r="X96" i="3"/>
  <c r="W96" i="3"/>
  <c r="V96" i="3"/>
  <c r="U96" i="3"/>
  <c r="T96" i="3"/>
  <c r="Z95" i="3"/>
  <c r="Y95" i="3"/>
  <c r="X95" i="3"/>
  <c r="W95" i="3"/>
  <c r="V95" i="3"/>
  <c r="U95" i="3"/>
  <c r="T95" i="3"/>
  <c r="Z94" i="3"/>
  <c r="Y94" i="3"/>
  <c r="X94" i="3"/>
  <c r="W94" i="3"/>
  <c r="V94" i="3"/>
  <c r="U94" i="3"/>
  <c r="T94" i="3"/>
  <c r="Z93" i="3"/>
  <c r="Y93" i="3"/>
  <c r="X93" i="3"/>
  <c r="W93" i="3"/>
  <c r="V93" i="3"/>
  <c r="U93" i="3"/>
  <c r="T93" i="3"/>
  <c r="Z92" i="3"/>
  <c r="Y92" i="3"/>
  <c r="X92" i="3"/>
  <c r="W92" i="3"/>
  <c r="V92" i="3"/>
  <c r="U92" i="3"/>
  <c r="T92" i="3"/>
  <c r="Z91" i="3"/>
  <c r="Y91" i="3"/>
  <c r="X91" i="3"/>
  <c r="W91" i="3"/>
  <c r="V91" i="3"/>
  <c r="U91" i="3"/>
  <c r="T91" i="3"/>
  <c r="Z90" i="3"/>
  <c r="Y90" i="3"/>
  <c r="X90" i="3"/>
  <c r="W90" i="3"/>
  <c r="V90" i="3"/>
  <c r="U90" i="3"/>
  <c r="T90" i="3"/>
  <c r="Z89" i="3"/>
  <c r="Y89" i="3"/>
  <c r="X89" i="3"/>
  <c r="W89" i="3"/>
  <c r="V89" i="3"/>
  <c r="U89" i="3"/>
  <c r="T89" i="3"/>
  <c r="Z83" i="3"/>
  <c r="Z105" i="3" s="1"/>
  <c r="Y83" i="3"/>
  <c r="Y105" i="3" s="1"/>
  <c r="X83" i="3"/>
  <c r="X105" i="3" s="1"/>
  <c r="W83" i="3"/>
  <c r="W105" i="3" s="1"/>
  <c r="V83" i="3"/>
  <c r="V105" i="3" s="1"/>
  <c r="U83" i="3"/>
  <c r="U105" i="3" s="1"/>
  <c r="T83" i="3"/>
  <c r="T105" i="3" s="1"/>
  <c r="Z82" i="3"/>
  <c r="Y82" i="3"/>
  <c r="X82" i="3"/>
  <c r="W82" i="3"/>
  <c r="V82" i="3"/>
  <c r="U82" i="3"/>
  <c r="T82" i="3"/>
  <c r="Z77" i="3"/>
  <c r="Y77" i="3"/>
  <c r="X77" i="3"/>
  <c r="W77" i="3"/>
  <c r="V77" i="3"/>
  <c r="U77" i="3"/>
  <c r="T77" i="3"/>
  <c r="Z75" i="3"/>
  <c r="Y75" i="3"/>
  <c r="X75" i="3"/>
  <c r="W75" i="3"/>
  <c r="V75" i="3"/>
  <c r="U75" i="3"/>
  <c r="T75" i="3"/>
  <c r="Z71" i="3"/>
  <c r="Y71" i="3"/>
  <c r="X71" i="3"/>
  <c r="W71" i="3"/>
  <c r="V71" i="3"/>
  <c r="U71" i="3"/>
  <c r="T71" i="3"/>
  <c r="Z69" i="3"/>
  <c r="Z70" i="3" s="1"/>
  <c r="Y69" i="3"/>
  <c r="Y70" i="3" s="1"/>
  <c r="X69" i="3"/>
  <c r="X70" i="3" s="1"/>
  <c r="W69" i="3"/>
  <c r="W70" i="3" s="1"/>
  <c r="V69" i="3"/>
  <c r="V70" i="3" s="1"/>
  <c r="U69" i="3"/>
  <c r="U70" i="3" s="1"/>
  <c r="T69" i="3"/>
  <c r="T70" i="3" s="1"/>
  <c r="Y58" i="3"/>
  <c r="U58" i="3"/>
  <c r="Z42" i="3"/>
  <c r="Y42" i="3"/>
  <c r="X42" i="3"/>
  <c r="W42" i="3"/>
  <c r="V42" i="3"/>
  <c r="U42" i="3"/>
  <c r="T42" i="3"/>
  <c r="Z36" i="3"/>
  <c r="Y36" i="3"/>
  <c r="X36" i="3"/>
  <c r="W36" i="3"/>
  <c r="V36" i="3"/>
  <c r="U36" i="3"/>
  <c r="T36" i="3"/>
  <c r="Z29" i="3"/>
  <c r="Z106" i="3" s="1"/>
  <c r="Y29" i="3"/>
  <c r="Y106" i="3" s="1"/>
  <c r="X29" i="3"/>
  <c r="X106" i="3" s="1"/>
  <c r="W29" i="3"/>
  <c r="W106" i="3" s="1"/>
  <c r="V29" i="3"/>
  <c r="V106" i="3" s="1"/>
  <c r="U29" i="3"/>
  <c r="U106" i="3" s="1"/>
  <c r="T29" i="3"/>
  <c r="T106" i="3" s="1"/>
  <c r="Z26" i="3"/>
  <c r="Y26" i="3"/>
  <c r="X26" i="3"/>
  <c r="W26" i="3"/>
  <c r="V26" i="3"/>
  <c r="U26" i="3"/>
  <c r="T26" i="3"/>
  <c r="Z24" i="3"/>
  <c r="Y24" i="3"/>
  <c r="X24" i="3"/>
  <c r="W24" i="3"/>
  <c r="V24" i="3"/>
  <c r="U24" i="3"/>
  <c r="T24" i="3"/>
  <c r="Z22" i="3"/>
  <c r="Y22" i="3"/>
  <c r="X22" i="3"/>
  <c r="W22" i="3"/>
  <c r="V22" i="3"/>
  <c r="U22" i="3"/>
  <c r="T22" i="3"/>
  <c r="Z20" i="3"/>
  <c r="Y20" i="3"/>
  <c r="X20" i="3"/>
  <c r="W20" i="3"/>
  <c r="V20" i="3"/>
  <c r="U20" i="3"/>
  <c r="T20" i="3"/>
  <c r="Z11" i="3"/>
  <c r="Y11" i="3"/>
  <c r="X11" i="3"/>
  <c r="W11" i="3"/>
  <c r="V11" i="3"/>
  <c r="U11" i="3"/>
  <c r="T11" i="3"/>
  <c r="Z7" i="3"/>
  <c r="Z100" i="3" s="1"/>
  <c r="Y7" i="3"/>
  <c r="Y100" i="3" s="1"/>
  <c r="X7" i="3"/>
  <c r="X100" i="3" s="1"/>
  <c r="W7" i="3"/>
  <c r="W100" i="3" s="1"/>
  <c r="V7" i="3"/>
  <c r="V100" i="3" s="1"/>
  <c r="U7" i="3"/>
  <c r="U100" i="3" s="1"/>
  <c r="T7" i="3"/>
  <c r="T100" i="3" s="1"/>
  <c r="AA116" i="3"/>
  <c r="G7" i="21"/>
  <c r="C21" i="21" s="1"/>
  <c r="C23" i="21" s="1"/>
  <c r="F7" i="21"/>
  <c r="E7" i="21"/>
  <c r="D7" i="21"/>
  <c r="C7" i="21"/>
  <c r="G6" i="21"/>
  <c r="F6" i="21"/>
  <c r="E6" i="21"/>
  <c r="D6" i="21"/>
  <c r="C6" i="21"/>
  <c r="G12" i="21"/>
  <c r="F12" i="21"/>
  <c r="E12" i="21"/>
  <c r="D12" i="21"/>
  <c r="F11" i="21"/>
  <c r="E11" i="21"/>
  <c r="G45" i="7"/>
  <c r="F45" i="7"/>
  <c r="E45" i="7"/>
  <c r="D45" i="7"/>
  <c r="C45" i="7"/>
  <c r="L74" i="19"/>
  <c r="K74" i="19"/>
  <c r="J74" i="19"/>
  <c r="I74" i="19"/>
  <c r="H74" i="19"/>
  <c r="G74" i="19"/>
  <c r="F74" i="19"/>
  <c r="E74" i="19"/>
  <c r="D74" i="19"/>
  <c r="L73" i="19"/>
  <c r="K73" i="19"/>
  <c r="J73" i="19"/>
  <c r="I73" i="19"/>
  <c r="H73" i="19"/>
  <c r="G73" i="19"/>
  <c r="F73" i="19"/>
  <c r="E73" i="19"/>
  <c r="D73" i="19"/>
  <c r="L72" i="19"/>
  <c r="K72" i="19"/>
  <c r="J72" i="19"/>
  <c r="I72" i="19"/>
  <c r="H72" i="19"/>
  <c r="G72" i="19"/>
  <c r="F72" i="19"/>
  <c r="E72" i="19"/>
  <c r="D72" i="19"/>
  <c r="C74" i="19"/>
  <c r="C73" i="19"/>
  <c r="C72" i="19"/>
  <c r="AA138" i="3"/>
  <c r="AA134" i="3"/>
  <c r="Z11" i="5"/>
  <c r="Y11" i="5"/>
  <c r="Y21" i="5" s="1"/>
  <c r="X11" i="5"/>
  <c r="W11" i="5"/>
  <c r="V11" i="5"/>
  <c r="U11" i="5"/>
  <c r="T11" i="5"/>
  <c r="T21" i="5" s="1"/>
  <c r="S11" i="5"/>
  <c r="G11" i="5"/>
  <c r="F11" i="5"/>
  <c r="E11" i="5"/>
  <c r="E21" i="5" s="1"/>
  <c r="D11" i="5"/>
  <c r="C11" i="5"/>
  <c r="B11" i="5"/>
  <c r="R11" i="5" s="1"/>
  <c r="R21" i="5" s="1"/>
  <c r="J65" i="20"/>
  <c r="I65" i="20"/>
  <c r="H65" i="20"/>
  <c r="G65" i="20"/>
  <c r="F65" i="20"/>
  <c r="E65" i="20"/>
  <c r="D65" i="20"/>
  <c r="C65" i="20"/>
  <c r="L68" i="19"/>
  <c r="K68" i="19"/>
  <c r="J68" i="19"/>
  <c r="I68" i="19"/>
  <c r="H68" i="19"/>
  <c r="G68" i="19"/>
  <c r="F68" i="19"/>
  <c r="E68" i="19"/>
  <c r="D68" i="19"/>
  <c r="L67" i="19"/>
  <c r="K67" i="19"/>
  <c r="J67" i="19"/>
  <c r="I67" i="19"/>
  <c r="H67" i="19"/>
  <c r="G67" i="19"/>
  <c r="F67" i="19"/>
  <c r="E67" i="19"/>
  <c r="D67" i="19"/>
  <c r="C67" i="19"/>
  <c r="C68" i="19"/>
  <c r="G93" i="17"/>
  <c r="F93" i="17"/>
  <c r="E93" i="17"/>
  <c r="D93" i="17"/>
  <c r="C93" i="17"/>
  <c r="G32" i="18"/>
  <c r="F32" i="18"/>
  <c r="F33" i="18" s="1"/>
  <c r="D32" i="18"/>
  <c r="C32" i="18"/>
  <c r="C33" i="18"/>
  <c r="AC194" i="3"/>
  <c r="AA202" i="3"/>
  <c r="Q202" i="3"/>
  <c r="P202" i="3"/>
  <c r="O202" i="3"/>
  <c r="N202" i="3"/>
  <c r="M202" i="3"/>
  <c r="AC65" i="3"/>
  <c r="AC61" i="3"/>
  <c r="M58" i="3"/>
  <c r="N58" i="3"/>
  <c r="O58" i="3"/>
  <c r="P58" i="3"/>
  <c r="Q58" i="3"/>
  <c r="M29" i="3"/>
  <c r="N29" i="3"/>
  <c r="O29" i="3"/>
  <c r="P29" i="3"/>
  <c r="Q29" i="3"/>
  <c r="H59" i="20"/>
  <c r="AA26" i="3"/>
  <c r="AC10" i="3"/>
  <c r="AA11" i="3"/>
  <c r="Q26" i="3"/>
  <c r="Q24" i="3"/>
  <c r="P11" i="3"/>
  <c r="O11" i="3"/>
  <c r="N11" i="3"/>
  <c r="M11" i="3"/>
  <c r="L11" i="3"/>
  <c r="K11" i="3"/>
  <c r="J11" i="3"/>
  <c r="I11" i="3"/>
  <c r="H11" i="3"/>
  <c r="G11" i="3"/>
  <c r="F11" i="3"/>
  <c r="E11" i="3"/>
  <c r="D11" i="3"/>
  <c r="C11" i="3"/>
  <c r="Q11" i="3"/>
  <c r="Q183" i="3"/>
  <c r="P183" i="3"/>
  <c r="O183" i="3"/>
  <c r="N183" i="3"/>
  <c r="M183" i="3"/>
  <c r="AC34" i="3"/>
  <c r="Q211" i="3"/>
  <c r="P211" i="3"/>
  <c r="O211" i="3"/>
  <c r="N211" i="3"/>
  <c r="Z10" i="5"/>
  <c r="Y10" i="5"/>
  <c r="X10" i="5"/>
  <c r="W10" i="5"/>
  <c r="V10" i="5"/>
  <c r="U10" i="5"/>
  <c r="T10" i="5"/>
  <c r="S10" i="5"/>
  <c r="G10" i="5"/>
  <c r="F10" i="5"/>
  <c r="E10" i="5"/>
  <c r="D10" i="5"/>
  <c r="C10" i="5"/>
  <c r="B10" i="5"/>
  <c r="G30" i="18"/>
  <c r="F30" i="18"/>
  <c r="D30" i="18"/>
  <c r="C30" i="18"/>
  <c r="C96" i="17"/>
  <c r="AA201" i="3"/>
  <c r="Q201" i="3"/>
  <c r="P201" i="3"/>
  <c r="O201" i="3"/>
  <c r="N201" i="3"/>
  <c r="M201" i="3"/>
  <c r="AC193" i="3"/>
  <c r="G10" i="16"/>
  <c r="Q116" i="3"/>
  <c r="P116" i="3"/>
  <c r="O116" i="3"/>
  <c r="N116" i="3"/>
  <c r="M116" i="3"/>
  <c r="F26" i="1" a="1"/>
  <c r="J64" i="20"/>
  <c r="I64" i="20"/>
  <c r="H64" i="20"/>
  <c r="G64" i="20"/>
  <c r="F64" i="20"/>
  <c r="E64" i="20"/>
  <c r="D64" i="20"/>
  <c r="J63" i="20"/>
  <c r="I63" i="20"/>
  <c r="H63" i="20"/>
  <c r="G63" i="20"/>
  <c r="F63" i="20"/>
  <c r="E63" i="20"/>
  <c r="D63" i="20"/>
  <c r="C64" i="20"/>
  <c r="C63" i="20"/>
  <c r="J59" i="20"/>
  <c r="I59" i="20"/>
  <c r="G59" i="20"/>
  <c r="F59" i="20"/>
  <c r="E59" i="20"/>
  <c r="D59" i="20"/>
  <c r="C59" i="20"/>
  <c r="J58" i="20"/>
  <c r="I58" i="20"/>
  <c r="H58" i="20"/>
  <c r="G58" i="20"/>
  <c r="F58" i="20"/>
  <c r="E58" i="20"/>
  <c r="D58" i="20"/>
  <c r="C58" i="20"/>
  <c r="J57" i="20"/>
  <c r="I57" i="20"/>
  <c r="H57" i="20"/>
  <c r="G57" i="20"/>
  <c r="F57" i="20"/>
  <c r="E57" i="20"/>
  <c r="D57" i="20"/>
  <c r="C57" i="20"/>
  <c r="J56" i="20"/>
  <c r="I56" i="20"/>
  <c r="H56" i="20"/>
  <c r="G56" i="20"/>
  <c r="F56" i="20"/>
  <c r="E56" i="20"/>
  <c r="D56" i="20"/>
  <c r="J55" i="20"/>
  <c r="I55" i="20"/>
  <c r="H55" i="20"/>
  <c r="G55" i="20"/>
  <c r="F55" i="20"/>
  <c r="E55" i="20"/>
  <c r="D55" i="20"/>
  <c r="C56" i="20"/>
  <c r="C55" i="20"/>
  <c r="G71" i="19"/>
  <c r="F71" i="19"/>
  <c r="E71" i="19"/>
  <c r="D71" i="19"/>
  <c r="C71" i="19"/>
  <c r="G70" i="19"/>
  <c r="F70" i="19"/>
  <c r="E70" i="19"/>
  <c r="D70" i="19"/>
  <c r="C70" i="19"/>
  <c r="G69" i="19"/>
  <c r="F69" i="19"/>
  <c r="E69" i="19"/>
  <c r="D69" i="19"/>
  <c r="C69" i="19"/>
  <c r="J66" i="19"/>
  <c r="I66" i="19"/>
  <c r="H66" i="19"/>
  <c r="G66" i="19"/>
  <c r="F66" i="19"/>
  <c r="E66" i="19"/>
  <c r="D66" i="19"/>
  <c r="C66" i="19"/>
  <c r="J65" i="19"/>
  <c r="I65" i="19"/>
  <c r="H65" i="19"/>
  <c r="G65" i="19"/>
  <c r="F65" i="19"/>
  <c r="E65" i="19"/>
  <c r="D65" i="19"/>
  <c r="C65" i="19"/>
  <c r="G64" i="19"/>
  <c r="F64" i="19"/>
  <c r="E64" i="19"/>
  <c r="D64" i="19"/>
  <c r="G63" i="19"/>
  <c r="F63" i="19"/>
  <c r="E63" i="19"/>
  <c r="D63" i="19"/>
  <c r="G62" i="19"/>
  <c r="F62" i="19"/>
  <c r="E62" i="19"/>
  <c r="D62" i="19"/>
  <c r="C64" i="19"/>
  <c r="C63" i="19"/>
  <c r="C62" i="19"/>
  <c r="G61" i="19"/>
  <c r="F61" i="19"/>
  <c r="E61" i="19"/>
  <c r="D61" i="19"/>
  <c r="G60" i="19"/>
  <c r="F60" i="19"/>
  <c r="E60" i="19"/>
  <c r="D60" i="19"/>
  <c r="C61" i="19"/>
  <c r="C60" i="19"/>
  <c r="L59" i="19"/>
  <c r="K59" i="19"/>
  <c r="J59" i="19"/>
  <c r="I59" i="19"/>
  <c r="H59" i="19"/>
  <c r="G59" i="19"/>
  <c r="F59" i="19"/>
  <c r="E59" i="19"/>
  <c r="D59" i="19"/>
  <c r="C59" i="19"/>
  <c r="L58" i="19"/>
  <c r="K58" i="19"/>
  <c r="J58" i="19"/>
  <c r="I58" i="19"/>
  <c r="H58" i="19"/>
  <c r="G58" i="19"/>
  <c r="F58" i="19"/>
  <c r="E58" i="19"/>
  <c r="D58" i="19"/>
  <c r="C58" i="19"/>
  <c r="L57" i="19"/>
  <c r="K57" i="19"/>
  <c r="J57" i="19"/>
  <c r="I57" i="19"/>
  <c r="H57" i="19"/>
  <c r="G57" i="19"/>
  <c r="F57" i="19"/>
  <c r="E57" i="19"/>
  <c r="D57" i="19"/>
  <c r="C57" i="19"/>
  <c r="L56" i="19"/>
  <c r="K56" i="19"/>
  <c r="J56" i="19"/>
  <c r="I56" i="19"/>
  <c r="H56" i="19"/>
  <c r="G56" i="19"/>
  <c r="F56" i="19"/>
  <c r="E56" i="19"/>
  <c r="D56" i="19"/>
  <c r="L55" i="19"/>
  <c r="K55" i="19"/>
  <c r="J55" i="19"/>
  <c r="I55" i="19"/>
  <c r="H55" i="19"/>
  <c r="G55" i="19"/>
  <c r="F55" i="19"/>
  <c r="E55" i="19"/>
  <c r="D55" i="19"/>
  <c r="C56" i="19"/>
  <c r="C55" i="19"/>
  <c r="G7" i="16"/>
  <c r="F7" i="16"/>
  <c r="L71" i="3"/>
  <c r="K71" i="3"/>
  <c r="J71" i="3"/>
  <c r="I71" i="3"/>
  <c r="H71" i="3"/>
  <c r="G71" i="3"/>
  <c r="F71" i="3"/>
  <c r="E71" i="3"/>
  <c r="D71" i="3"/>
  <c r="C71" i="3"/>
  <c r="Q206" i="3"/>
  <c r="P206" i="3"/>
  <c r="O206" i="3"/>
  <c r="N206" i="3"/>
  <c r="M206" i="3"/>
  <c r="AC84" i="3"/>
  <c r="AC45" i="3"/>
  <c r="AA111" i="3"/>
  <c r="Q111" i="3"/>
  <c r="P111" i="3"/>
  <c r="O111" i="3"/>
  <c r="N111" i="3"/>
  <c r="M111" i="3"/>
  <c r="AC48" i="3"/>
  <c r="AA110" i="3"/>
  <c r="Q110" i="3"/>
  <c r="P110" i="3"/>
  <c r="O110" i="3"/>
  <c r="N110" i="3"/>
  <c r="M110" i="3"/>
  <c r="AC17" i="3"/>
  <c r="C13" i="10"/>
  <c r="C12" i="10"/>
  <c r="C11" i="10"/>
  <c r="G29" i="7"/>
  <c r="F29" i="7"/>
  <c r="E29" i="7"/>
  <c r="D29" i="7"/>
  <c r="C29" i="7"/>
  <c r="G14" i="7"/>
  <c r="F14" i="7"/>
  <c r="E14" i="7"/>
  <c r="D14" i="7"/>
  <c r="C14" i="7"/>
  <c r="AA107" i="3"/>
  <c r="Q107" i="3"/>
  <c r="P107" i="3"/>
  <c r="O107" i="3"/>
  <c r="N107" i="3"/>
  <c r="M107" i="3"/>
  <c r="AC39" i="3"/>
  <c r="AA77" i="3"/>
  <c r="H9" i="1"/>
  <c r="H8" i="1"/>
  <c r="H5" i="1"/>
  <c r="H4" i="1"/>
  <c r="H3" i="1"/>
  <c r="G28" i="18"/>
  <c r="F28" i="18"/>
  <c r="D28" i="18"/>
  <c r="C28" i="18"/>
  <c r="G26" i="18"/>
  <c r="F26" i="18"/>
  <c r="D26" i="18"/>
  <c r="C26" i="18"/>
  <c r="G24" i="18"/>
  <c r="F24" i="18"/>
  <c r="D24" i="18"/>
  <c r="C24" i="18"/>
  <c r="AA200" i="3"/>
  <c r="AA199" i="3"/>
  <c r="AA198" i="3"/>
  <c r="G16" i="18"/>
  <c r="F16" i="18"/>
  <c r="D16" i="18"/>
  <c r="C16" i="18"/>
  <c r="G14" i="18"/>
  <c r="F14" i="18"/>
  <c r="D14" i="18"/>
  <c r="C14" i="18"/>
  <c r="G8" i="18"/>
  <c r="F8" i="18"/>
  <c r="D8" i="18"/>
  <c r="C8" i="18"/>
  <c r="G6" i="18"/>
  <c r="F6" i="18"/>
  <c r="D6" i="18"/>
  <c r="C6" i="18"/>
  <c r="G5" i="18"/>
  <c r="G4" i="18"/>
  <c r="F5" i="18"/>
  <c r="F4" i="18"/>
  <c r="D5" i="18"/>
  <c r="D4" i="18"/>
  <c r="C5" i="18"/>
  <c r="C4" i="18"/>
  <c r="O200" i="3"/>
  <c r="N200" i="3"/>
  <c r="M200" i="3"/>
  <c r="O199" i="3"/>
  <c r="N199" i="3"/>
  <c r="M199" i="3"/>
  <c r="O198" i="3"/>
  <c r="N198" i="3"/>
  <c r="M198" i="3"/>
  <c r="G22" i="17"/>
  <c r="F22" i="17"/>
  <c r="E22" i="17"/>
  <c r="D22" i="17"/>
  <c r="C22" i="17"/>
  <c r="G21" i="17"/>
  <c r="F21" i="17"/>
  <c r="E21" i="17"/>
  <c r="D21" i="17"/>
  <c r="C21" i="17"/>
  <c r="G6" i="17"/>
  <c r="F6" i="17"/>
  <c r="E6" i="17"/>
  <c r="D6" i="17"/>
  <c r="C6" i="17"/>
  <c r="I3" i="17"/>
  <c r="G3" i="17"/>
  <c r="F3" i="17"/>
  <c r="E3" i="17"/>
  <c r="D3" i="17"/>
  <c r="C3" i="17"/>
  <c r="G2" i="17"/>
  <c r="F2" i="17"/>
  <c r="E2" i="17"/>
  <c r="D2" i="17"/>
  <c r="C2" i="17"/>
  <c r="Q109" i="3"/>
  <c r="O109" i="3"/>
  <c r="N109" i="3"/>
  <c r="M109" i="3"/>
  <c r="AA145" i="3"/>
  <c r="Q145" i="3"/>
  <c r="P145" i="3"/>
  <c r="O145" i="3"/>
  <c r="N145" i="3"/>
  <c r="M145" i="3"/>
  <c r="AC31" i="3"/>
  <c r="Q177" i="3"/>
  <c r="P177" i="3"/>
  <c r="O177" i="3"/>
  <c r="N177" i="3"/>
  <c r="M177" i="3"/>
  <c r="Q176" i="3"/>
  <c r="P176" i="3"/>
  <c r="O176" i="3"/>
  <c r="N176" i="3"/>
  <c r="M176" i="3"/>
  <c r="N152" i="3"/>
  <c r="AA151" i="3"/>
  <c r="Q151" i="3"/>
  <c r="P151" i="3"/>
  <c r="O151" i="3"/>
  <c r="N151" i="3"/>
  <c r="M151" i="3"/>
  <c r="AA146" i="3"/>
  <c r="Q146" i="3"/>
  <c r="P146" i="3"/>
  <c r="O146" i="3"/>
  <c r="N146" i="3"/>
  <c r="M146" i="3"/>
  <c r="G9" i="16"/>
  <c r="F6" i="16"/>
  <c r="G6" i="16"/>
  <c r="AC76" i="3"/>
  <c r="P77" i="3"/>
  <c r="O77" i="3"/>
  <c r="N77" i="3"/>
  <c r="M77" i="3"/>
  <c r="Q77" i="3"/>
  <c r="AA130" i="3"/>
  <c r="G24" i="12"/>
  <c r="F24" i="12"/>
  <c r="E24" i="12"/>
  <c r="D24" i="12"/>
  <c r="C24" i="12"/>
  <c r="L15" i="8"/>
  <c r="K15" i="8"/>
  <c r="J15" i="8"/>
  <c r="I15" i="8"/>
  <c r="H15" i="8"/>
  <c r="G42" i="7"/>
  <c r="F42" i="7"/>
  <c r="E42" i="7"/>
  <c r="D42" i="7"/>
  <c r="C42" i="7"/>
  <c r="G30" i="7"/>
  <c r="F30" i="7"/>
  <c r="E30" i="7"/>
  <c r="D30" i="7"/>
  <c r="C30" i="7"/>
  <c r="G28" i="7"/>
  <c r="F28" i="7"/>
  <c r="E28" i="7"/>
  <c r="D28" i="7"/>
  <c r="C28" i="7"/>
  <c r="G15" i="7"/>
  <c r="F15" i="7"/>
  <c r="E15" i="7"/>
  <c r="D15" i="7"/>
  <c r="C15" i="7"/>
  <c r="L23" i="7"/>
  <c r="K23" i="7"/>
  <c r="J23" i="7"/>
  <c r="I23" i="7"/>
  <c r="H23" i="7"/>
  <c r="AB5" i="6"/>
  <c r="W13" i="6"/>
  <c r="V13" i="6"/>
  <c r="U13" i="6"/>
  <c r="T13" i="6"/>
  <c r="S13" i="6"/>
  <c r="R13" i="6"/>
  <c r="Q13" i="6"/>
  <c r="P13" i="6"/>
  <c r="W12" i="6"/>
  <c r="V12" i="6"/>
  <c r="U12" i="6"/>
  <c r="T12" i="6"/>
  <c r="S12" i="6"/>
  <c r="R12" i="6"/>
  <c r="Q12" i="6"/>
  <c r="P12" i="6"/>
  <c r="W11" i="6"/>
  <c r="V11" i="6"/>
  <c r="U11" i="6"/>
  <c r="T11" i="6"/>
  <c r="S11" i="6"/>
  <c r="R11" i="6"/>
  <c r="Q11" i="6"/>
  <c r="P11" i="6"/>
  <c r="O14" i="6"/>
  <c r="O11" i="6"/>
  <c r="B22" i="6"/>
  <c r="B19" i="6"/>
  <c r="G13" i="6"/>
  <c r="F13" i="6"/>
  <c r="E13" i="6"/>
  <c r="D13" i="6"/>
  <c r="C13" i="6"/>
  <c r="G12" i="6"/>
  <c r="F12" i="6"/>
  <c r="E12" i="6"/>
  <c r="D12" i="6"/>
  <c r="C12" i="6"/>
  <c r="B13" i="6"/>
  <c r="B12" i="6"/>
  <c r="G11" i="6"/>
  <c r="F11" i="6"/>
  <c r="E11" i="6"/>
  <c r="D11" i="6"/>
  <c r="C11" i="6"/>
  <c r="B5" i="6"/>
  <c r="Z18" i="6"/>
  <c r="Y18" i="6"/>
  <c r="X18" i="6"/>
  <c r="Z10" i="6"/>
  <c r="Y10" i="6"/>
  <c r="X10" i="6"/>
  <c r="Z8" i="5"/>
  <c r="Y8" i="5"/>
  <c r="X8" i="5"/>
  <c r="W8" i="5"/>
  <c r="V8" i="5"/>
  <c r="U8" i="5"/>
  <c r="T8" i="5"/>
  <c r="S8" i="5"/>
  <c r="Z7" i="5"/>
  <c r="Y7" i="5"/>
  <c r="X7" i="5"/>
  <c r="W7" i="5"/>
  <c r="V7" i="5"/>
  <c r="U7" i="5"/>
  <c r="T7" i="5"/>
  <c r="S7" i="5"/>
  <c r="Z6" i="5"/>
  <c r="Y6" i="5"/>
  <c r="X6" i="5"/>
  <c r="W6" i="5"/>
  <c r="V6" i="5"/>
  <c r="U6" i="5"/>
  <c r="T6" i="5"/>
  <c r="S6" i="5"/>
  <c r="Z12" i="5"/>
  <c r="Y12" i="5"/>
  <c r="X12" i="5"/>
  <c r="W12" i="5"/>
  <c r="V12" i="5"/>
  <c r="U12" i="5"/>
  <c r="T12" i="5"/>
  <c r="S12" i="5"/>
  <c r="Z5" i="5"/>
  <c r="Y5" i="5"/>
  <c r="X5" i="5"/>
  <c r="W5" i="5"/>
  <c r="V5" i="5"/>
  <c r="U5" i="5"/>
  <c r="T5" i="5"/>
  <c r="S5" i="5"/>
  <c r="R5" i="5"/>
  <c r="E8" i="5"/>
  <c r="D8" i="5"/>
  <c r="C8" i="5"/>
  <c r="E7" i="5"/>
  <c r="D7" i="5"/>
  <c r="C7" i="5"/>
  <c r="E6" i="5"/>
  <c r="D6" i="5"/>
  <c r="C6" i="5"/>
  <c r="B8" i="5"/>
  <c r="B7" i="5"/>
  <c r="B6" i="5"/>
  <c r="G12" i="5"/>
  <c r="F12" i="5"/>
  <c r="E12" i="5"/>
  <c r="D12" i="5"/>
  <c r="C12" i="5"/>
  <c r="G5" i="5"/>
  <c r="G5" i="21" s="1"/>
  <c r="G15" i="21" s="1"/>
  <c r="F5" i="5"/>
  <c r="F5" i="21" s="1"/>
  <c r="F15" i="21" s="1"/>
  <c r="E5" i="5"/>
  <c r="E5" i="21" s="1"/>
  <c r="E15" i="21" s="1"/>
  <c r="D5" i="5"/>
  <c r="D5" i="21" s="1"/>
  <c r="D15" i="21" s="1"/>
  <c r="C5" i="5"/>
  <c r="C5" i="21" s="1"/>
  <c r="C15" i="21" s="1"/>
  <c r="R22" i="5"/>
  <c r="B22" i="5"/>
  <c r="AC15" i="5"/>
  <c r="AB15" i="5"/>
  <c r="AA15" i="5"/>
  <c r="AA83" i="3"/>
  <c r="O83" i="3"/>
  <c r="N83" i="3"/>
  <c r="M83" i="3"/>
  <c r="L83" i="3"/>
  <c r="K83" i="3"/>
  <c r="J83" i="3"/>
  <c r="I83" i="3"/>
  <c r="H83" i="3"/>
  <c r="G83" i="3"/>
  <c r="F83" i="3"/>
  <c r="E83" i="3"/>
  <c r="D83" i="3"/>
  <c r="C83" i="3"/>
  <c r="P83" i="3"/>
  <c r="Q83" i="3"/>
  <c r="P123" i="3"/>
  <c r="O123" i="3"/>
  <c r="N123" i="3"/>
  <c r="M123" i="3"/>
  <c r="Q123" i="3"/>
  <c r="P121" i="3"/>
  <c r="O121" i="3"/>
  <c r="N121" i="3"/>
  <c r="M121" i="3"/>
  <c r="Q121" i="3"/>
  <c r="AC192" i="3"/>
  <c r="AC191" i="3"/>
  <c r="AC190" i="3"/>
  <c r="AA101" i="3"/>
  <c r="AC81" i="3"/>
  <c r="AA82" i="3"/>
  <c r="Q82" i="3"/>
  <c r="P82" i="3"/>
  <c r="O82" i="3"/>
  <c r="N82" i="3"/>
  <c r="M82" i="3"/>
  <c r="AC50" i="3"/>
  <c r="AC49" i="3"/>
  <c r="AC47" i="3"/>
  <c r="AC46" i="3"/>
  <c r="AC44" i="3"/>
  <c r="AC43" i="3"/>
  <c r="AC41" i="3"/>
  <c r="AC40" i="3"/>
  <c r="AC38" i="3"/>
  <c r="AC37" i="3"/>
  <c r="AC35" i="3"/>
  <c r="AC33" i="3"/>
  <c r="AC32" i="3"/>
  <c r="AC30" i="3"/>
  <c r="AA42" i="3"/>
  <c r="AA36" i="3"/>
  <c r="O42" i="3"/>
  <c r="N42" i="3"/>
  <c r="M42" i="3"/>
  <c r="M36" i="3"/>
  <c r="O36" i="3"/>
  <c r="N36" i="3"/>
  <c r="P42" i="3"/>
  <c r="Q42" i="3"/>
  <c r="P36" i="3"/>
  <c r="Q36" i="3"/>
  <c r="AA97" i="3"/>
  <c r="AA96" i="3"/>
  <c r="AA95" i="3"/>
  <c r="AA93" i="3"/>
  <c r="AA92" i="3"/>
  <c r="AA90" i="3"/>
  <c r="AA89" i="3"/>
  <c r="AC25" i="3"/>
  <c r="AC21" i="3"/>
  <c r="AC19" i="3"/>
  <c r="AC18" i="3"/>
  <c r="AC16" i="3"/>
  <c r="AC15" i="3"/>
  <c r="AC14" i="3"/>
  <c r="AC13" i="3"/>
  <c r="AC12" i="3"/>
  <c r="AC9" i="3"/>
  <c r="AC8" i="3"/>
  <c r="AC6" i="3"/>
  <c r="AC5" i="3"/>
  <c r="AA22" i="3"/>
  <c r="AA20" i="3"/>
  <c r="AA7" i="3"/>
  <c r="Q101" i="3"/>
  <c r="P101" i="3"/>
  <c r="O101" i="3"/>
  <c r="N101" i="3"/>
  <c r="M101" i="3"/>
  <c r="Q97" i="3"/>
  <c r="P97" i="3"/>
  <c r="O97" i="3"/>
  <c r="N97" i="3"/>
  <c r="M97" i="3"/>
  <c r="Q96" i="3"/>
  <c r="P96" i="3"/>
  <c r="O96" i="3"/>
  <c r="N96" i="3"/>
  <c r="M96" i="3"/>
  <c r="Q95" i="3"/>
  <c r="P95" i="3"/>
  <c r="O95" i="3"/>
  <c r="N95" i="3"/>
  <c r="M95" i="3"/>
  <c r="Q93" i="3"/>
  <c r="P93" i="3"/>
  <c r="O93" i="3"/>
  <c r="N93" i="3"/>
  <c r="M93" i="3"/>
  <c r="Q92" i="3"/>
  <c r="P92" i="3"/>
  <c r="O92" i="3"/>
  <c r="N92" i="3"/>
  <c r="M92" i="3"/>
  <c r="Q90" i="3"/>
  <c r="P90" i="3"/>
  <c r="O90" i="3"/>
  <c r="N90" i="3"/>
  <c r="M90" i="3"/>
  <c r="Q89" i="3"/>
  <c r="P89" i="3"/>
  <c r="O89" i="3"/>
  <c r="N89" i="3"/>
  <c r="M89" i="3"/>
  <c r="M26" i="3"/>
  <c r="N26" i="3"/>
  <c r="O26" i="3"/>
  <c r="P26" i="3"/>
  <c r="P24" i="3"/>
  <c r="O24" i="3"/>
  <c r="N24" i="3"/>
  <c r="M24" i="3"/>
  <c r="Q22" i="3"/>
  <c r="P22" i="3"/>
  <c r="O22" i="3"/>
  <c r="N22" i="3"/>
  <c r="M22" i="3"/>
  <c r="Q20" i="3"/>
  <c r="P20" i="3"/>
  <c r="O20" i="3"/>
  <c r="N20" i="3"/>
  <c r="M20" i="3"/>
  <c r="Q7" i="3"/>
  <c r="L22" i="3"/>
  <c r="K22" i="3"/>
  <c r="J22" i="3"/>
  <c r="I22" i="3"/>
  <c r="H22" i="3"/>
  <c r="G22" i="3"/>
  <c r="F22" i="3"/>
  <c r="E22" i="3"/>
  <c r="D22" i="3"/>
  <c r="C22" i="3"/>
  <c r="L20" i="3"/>
  <c r="K20" i="3"/>
  <c r="J20" i="3"/>
  <c r="I20" i="3"/>
  <c r="H20" i="3"/>
  <c r="G20" i="3"/>
  <c r="F20" i="3"/>
  <c r="E20" i="3"/>
  <c r="D20" i="3"/>
  <c r="C20" i="3"/>
  <c r="P7" i="3"/>
  <c r="O7" i="3"/>
  <c r="N7" i="3"/>
  <c r="M7" i="3"/>
  <c r="L7" i="3"/>
  <c r="K7" i="3"/>
  <c r="J7" i="3"/>
  <c r="I7" i="3"/>
  <c r="H7" i="3"/>
  <c r="G7" i="3"/>
  <c r="F7" i="3"/>
  <c r="E7" i="3"/>
  <c r="D7" i="3"/>
  <c r="C7" i="3"/>
  <c r="C8" i="1" a="1"/>
  <c r="C9" i="1" a="1"/>
  <c r="C10" i="1" a="1"/>
  <c r="C14" i="1" a="1"/>
  <c r="C13" i="1" a="1"/>
  <c r="C12" i="1" a="1"/>
  <c r="C11" i="1" a="1"/>
  <c r="C7" i="1" a="1"/>
  <c r="C6" i="1" a="1"/>
  <c r="C5" i="1" a="1"/>
  <c r="C4" i="1" a="1"/>
  <c r="J9" i="5" l="1"/>
  <c r="X21" i="5"/>
  <c r="V21" i="5"/>
  <c r="W21" i="5"/>
  <c r="U21" i="5"/>
  <c r="F21" i="5"/>
  <c r="D21" i="5"/>
  <c r="H11" i="5"/>
  <c r="I11" i="5" s="1"/>
  <c r="J11" i="5" s="1"/>
  <c r="K11" i="5" s="1"/>
  <c r="L11" i="5" s="1"/>
  <c r="G21" i="5"/>
  <c r="AA11" i="5"/>
  <c r="AE11" i="5" s="1"/>
  <c r="Z21" i="5"/>
  <c r="Z78" i="3"/>
  <c r="Z156" i="3" s="1"/>
  <c r="Z157" i="3" s="1"/>
  <c r="Z155" i="3"/>
  <c r="Y155" i="3"/>
  <c r="Y78" i="3"/>
  <c r="Y156" i="3" s="1"/>
  <c r="Y157" i="3" s="1"/>
  <c r="X155" i="3"/>
  <c r="X78" i="3"/>
  <c r="X156" i="3" s="1"/>
  <c r="X157" i="3" s="1"/>
  <c r="W155" i="3"/>
  <c r="W78" i="3"/>
  <c r="W156" i="3" s="1"/>
  <c r="W157" i="3" s="1"/>
  <c r="V155" i="3"/>
  <c r="V78" i="3"/>
  <c r="V156" i="3" s="1"/>
  <c r="V157" i="3" s="1"/>
  <c r="U78" i="3"/>
  <c r="U156" i="3" s="1"/>
  <c r="U157" i="3" s="1"/>
  <c r="U155" i="3"/>
  <c r="T155" i="3"/>
  <c r="T78" i="3"/>
  <c r="T156" i="3" s="1"/>
  <c r="T157" i="3" s="1"/>
  <c r="Z149" i="3"/>
  <c r="Z150" i="3"/>
  <c r="Z175" i="3"/>
  <c r="Z178" i="3"/>
  <c r="Y149" i="3"/>
  <c r="Y150" i="3"/>
  <c r="Y175" i="3"/>
  <c r="Y178" i="3"/>
  <c r="X149" i="3"/>
  <c r="X150" i="3"/>
  <c r="X175" i="3"/>
  <c r="X178" i="3"/>
  <c r="W149" i="3"/>
  <c r="W150" i="3"/>
  <c r="W175" i="3"/>
  <c r="W178" i="3"/>
  <c r="V149" i="3"/>
  <c r="V150" i="3"/>
  <c r="V175" i="3"/>
  <c r="V178" i="3"/>
  <c r="U149" i="3"/>
  <c r="U150" i="3"/>
  <c r="U175" i="3"/>
  <c r="U178" i="3"/>
  <c r="T149" i="3"/>
  <c r="T150" i="3"/>
  <c r="T175" i="3"/>
  <c r="T178" i="3"/>
  <c r="G16" i="21"/>
  <c r="C16" i="21"/>
  <c r="F16" i="21"/>
  <c r="E16" i="21"/>
  <c r="D16" i="21"/>
  <c r="G11" i="21"/>
  <c r="G10" i="21"/>
  <c r="F10" i="21"/>
  <c r="E10" i="21"/>
  <c r="D10" i="21"/>
  <c r="C10" i="21"/>
  <c r="D11" i="21"/>
  <c r="AC60" i="3"/>
  <c r="AC109" i="3" s="1"/>
  <c r="AC54" i="3"/>
  <c r="AA177" i="3"/>
  <c r="AA176" i="3"/>
  <c r="AC23" i="3"/>
  <c r="AC24" i="3" s="1"/>
  <c r="AA24" i="3"/>
  <c r="AC183" i="3"/>
  <c r="Q184" i="3"/>
  <c r="P184" i="3"/>
  <c r="O184" i="3"/>
  <c r="N184" i="3"/>
  <c r="M184" i="3"/>
  <c r="AA106" i="3"/>
  <c r="Q106" i="3"/>
  <c r="Q186" i="3" s="1"/>
  <c r="P106" i="3"/>
  <c r="P186" i="3" s="1"/>
  <c r="O106" i="3"/>
  <c r="O186" i="3" s="1"/>
  <c r="N106" i="3"/>
  <c r="N186" i="3" s="1"/>
  <c r="M106" i="3"/>
  <c r="M186" i="3" s="1"/>
  <c r="O152" i="3"/>
  <c r="D31" i="12"/>
  <c r="Q212" i="3"/>
  <c r="P212" i="3"/>
  <c r="O212" i="3"/>
  <c r="N212" i="3"/>
  <c r="Q210" i="3"/>
  <c r="P210" i="3"/>
  <c r="O210" i="3"/>
  <c r="N210" i="3"/>
  <c r="G5" i="12"/>
  <c r="F5" i="12"/>
  <c r="E5" i="12"/>
  <c r="D5" i="12"/>
  <c r="C5" i="12"/>
  <c r="G6" i="11"/>
  <c r="F6" i="11"/>
  <c r="E6" i="11"/>
  <c r="D6" i="11"/>
  <c r="C6" i="11"/>
  <c r="G15" i="8"/>
  <c r="F15" i="8"/>
  <c r="E15" i="8"/>
  <c r="D15" i="8"/>
  <c r="C15" i="8"/>
  <c r="AA7" i="5"/>
  <c r="AA6" i="5"/>
  <c r="G92" i="17"/>
  <c r="F92" i="17"/>
  <c r="E92" i="17"/>
  <c r="D92" i="17"/>
  <c r="C92" i="17"/>
  <c r="Z20" i="5"/>
  <c r="Y20" i="5"/>
  <c r="X20" i="5"/>
  <c r="W20" i="5"/>
  <c r="V20" i="5"/>
  <c r="U20" i="5"/>
  <c r="T20" i="5"/>
  <c r="R10" i="5"/>
  <c r="R20" i="5" s="1"/>
  <c r="G20" i="5"/>
  <c r="F20" i="5"/>
  <c r="E20" i="5"/>
  <c r="D20" i="5"/>
  <c r="B20" i="5"/>
  <c r="F31" i="18"/>
  <c r="C31" i="18"/>
  <c r="P200" i="3"/>
  <c r="F8" i="5"/>
  <c r="K66" i="19"/>
  <c r="P199" i="3"/>
  <c r="F7" i="5"/>
  <c r="K65" i="19"/>
  <c r="P198" i="3"/>
  <c r="F6" i="5"/>
  <c r="Q200" i="3"/>
  <c r="G8" i="5"/>
  <c r="H8" i="5" s="1"/>
  <c r="I8" i="5" s="1"/>
  <c r="J8" i="5" s="1"/>
  <c r="K8" i="5" s="1"/>
  <c r="L8" i="5" s="1"/>
  <c r="L66" i="19"/>
  <c r="Q199" i="3"/>
  <c r="G7" i="5"/>
  <c r="H7" i="5" s="1"/>
  <c r="I7" i="5" s="1"/>
  <c r="L65" i="19"/>
  <c r="Q198" i="3"/>
  <c r="G6" i="5"/>
  <c r="H6" i="5" s="1"/>
  <c r="AA139" i="3"/>
  <c r="AA135" i="3"/>
  <c r="AA131" i="3"/>
  <c r="F10" i="16"/>
  <c r="P109" i="3"/>
  <c r="AC107" i="3"/>
  <c r="E31" i="12"/>
  <c r="F31" i="12"/>
  <c r="AA152" i="3"/>
  <c r="M152" i="3"/>
  <c r="P152" i="3"/>
  <c r="Q152" i="3"/>
  <c r="Q166" i="3"/>
  <c r="P166" i="3"/>
  <c r="O166" i="3"/>
  <c r="N166" i="3"/>
  <c r="M166" i="3"/>
  <c r="P154" i="3"/>
  <c r="N154" i="3"/>
  <c r="M154" i="3"/>
  <c r="Q165" i="3"/>
  <c r="P165" i="3"/>
  <c r="O165" i="3"/>
  <c r="N165" i="3"/>
  <c r="M165" i="3"/>
  <c r="Q153" i="3"/>
  <c r="P153" i="3"/>
  <c r="O153" i="3"/>
  <c r="N153" i="3"/>
  <c r="M153" i="3"/>
  <c r="Q154" i="3"/>
  <c r="O154" i="3"/>
  <c r="AA160" i="3"/>
  <c r="J66" i="20" s="1"/>
  <c r="I66" i="20"/>
  <c r="H66" i="20"/>
  <c r="G66" i="20"/>
  <c r="F66" i="20"/>
  <c r="E66" i="20"/>
  <c r="D66" i="20"/>
  <c r="C66" i="20"/>
  <c r="J61" i="20"/>
  <c r="I61" i="20"/>
  <c r="H61" i="20"/>
  <c r="G61" i="20"/>
  <c r="F61" i="20"/>
  <c r="E61" i="20"/>
  <c r="D61" i="20"/>
  <c r="C61" i="20"/>
  <c r="F27" i="1" s="1"/>
  <c r="C9" i="10" s="1"/>
  <c r="L63" i="19"/>
  <c r="K63" i="19"/>
  <c r="J63" i="19"/>
  <c r="I63" i="19"/>
  <c r="H63" i="19"/>
  <c r="G34" i="8"/>
  <c r="F34" i="8"/>
  <c r="E34" i="8"/>
  <c r="D34" i="8"/>
  <c r="C34" i="8"/>
  <c r="G8" i="16"/>
  <c r="F8" i="16"/>
  <c r="AA71" i="3"/>
  <c r="O71" i="3"/>
  <c r="N71" i="3"/>
  <c r="M71" i="3"/>
  <c r="P71" i="3"/>
  <c r="Q71" i="3"/>
  <c r="Q69" i="3"/>
  <c r="P69" i="3"/>
  <c r="O69" i="3"/>
  <c r="N69" i="3"/>
  <c r="M69" i="3"/>
  <c r="L69" i="3"/>
  <c r="K69" i="3"/>
  <c r="J69" i="3"/>
  <c r="I69" i="3"/>
  <c r="H69" i="3"/>
  <c r="G69" i="3"/>
  <c r="F69" i="3"/>
  <c r="E69" i="3"/>
  <c r="D69" i="3"/>
  <c r="C69" i="3"/>
  <c r="AA69" i="3"/>
  <c r="Q160" i="3"/>
  <c r="Q170" i="3" s="1"/>
  <c r="O160" i="3"/>
  <c r="O170" i="3" s="1"/>
  <c r="N160" i="3"/>
  <c r="N170" i="3" s="1"/>
  <c r="M160" i="3"/>
  <c r="M170" i="3" s="1"/>
  <c r="AC111" i="3"/>
  <c r="Q120" i="3"/>
  <c r="P120" i="3"/>
  <c r="O120" i="3"/>
  <c r="N120" i="3"/>
  <c r="M120" i="3"/>
  <c r="AA102" i="3"/>
  <c r="J62" i="20" s="1"/>
  <c r="I62" i="20"/>
  <c r="H62" i="20"/>
  <c r="G62" i="20"/>
  <c r="F62" i="20"/>
  <c r="E62" i="20"/>
  <c r="D62" i="20"/>
  <c r="C62" i="20"/>
  <c r="Q102" i="3"/>
  <c r="L64" i="19" s="1"/>
  <c r="P102" i="3"/>
  <c r="K64" i="19" s="1"/>
  <c r="O102" i="3"/>
  <c r="J64" i="19" s="1"/>
  <c r="N102" i="3"/>
  <c r="I64" i="19" s="1"/>
  <c r="M102" i="3"/>
  <c r="H64" i="19" s="1"/>
  <c r="AC110" i="3"/>
  <c r="G35" i="7"/>
  <c r="AC63" i="3"/>
  <c r="G31" i="12"/>
  <c r="E35" i="7"/>
  <c r="F35" i="7"/>
  <c r="D35" i="7"/>
  <c r="C35" i="7"/>
  <c r="AC83" i="3"/>
  <c r="AC105" i="3" s="1"/>
  <c r="AA148" i="3"/>
  <c r="Q148" i="3"/>
  <c r="N148" i="3"/>
  <c r="P148" i="3"/>
  <c r="O148" i="3"/>
  <c r="M148" i="3"/>
  <c r="C31" i="12"/>
  <c r="D90" i="17"/>
  <c r="C90" i="17"/>
  <c r="F20" i="18"/>
  <c r="C20" i="18"/>
  <c r="F18" i="18"/>
  <c r="C18" i="18"/>
  <c r="F12" i="18"/>
  <c r="C12" i="18"/>
  <c r="F10" i="18"/>
  <c r="C10" i="18"/>
  <c r="G96" i="17"/>
  <c r="F96" i="17"/>
  <c r="E96" i="17"/>
  <c r="D96" i="17"/>
  <c r="E91" i="17"/>
  <c r="D91" i="17"/>
  <c r="C91" i="17"/>
  <c r="E90" i="17"/>
  <c r="E89" i="17"/>
  <c r="D89" i="17"/>
  <c r="C89" i="17"/>
  <c r="AC29" i="3"/>
  <c r="G20" i="18"/>
  <c r="D20" i="18"/>
  <c r="G18" i="18"/>
  <c r="D18" i="18"/>
  <c r="C17" i="18"/>
  <c r="AA105" i="3"/>
  <c r="C15" i="18"/>
  <c r="G12" i="18"/>
  <c r="D12" i="18"/>
  <c r="C9" i="18"/>
  <c r="G10" i="18"/>
  <c r="C7" i="18"/>
  <c r="D10" i="18"/>
  <c r="G23" i="18"/>
  <c r="C60" i="20"/>
  <c r="F23" i="18"/>
  <c r="C23" i="18"/>
  <c r="F27" i="18"/>
  <c r="C27" i="18"/>
  <c r="C25" i="18"/>
  <c r="F29" i="18"/>
  <c r="C29" i="18"/>
  <c r="F25" i="18"/>
  <c r="F17" i="18"/>
  <c r="F15" i="18"/>
  <c r="D23" i="18"/>
  <c r="F9" i="18"/>
  <c r="F7" i="18"/>
  <c r="G85" i="17"/>
  <c r="F85" i="17"/>
  <c r="E85" i="17"/>
  <c r="D85" i="17"/>
  <c r="C85" i="17"/>
  <c r="G84" i="17"/>
  <c r="F84" i="17"/>
  <c r="E84" i="17"/>
  <c r="D84" i="17"/>
  <c r="C84" i="17"/>
  <c r="G81" i="17"/>
  <c r="F81" i="17"/>
  <c r="E81" i="17"/>
  <c r="D81" i="17"/>
  <c r="C81" i="17"/>
  <c r="G80" i="17"/>
  <c r="F80" i="17"/>
  <c r="E80" i="17"/>
  <c r="D80" i="17"/>
  <c r="C80" i="17"/>
  <c r="G72" i="17"/>
  <c r="F72" i="17"/>
  <c r="E72" i="17"/>
  <c r="D72" i="17"/>
  <c r="G71" i="17"/>
  <c r="F71" i="17"/>
  <c r="E71" i="17"/>
  <c r="D71" i="17"/>
  <c r="C72" i="17"/>
  <c r="C71" i="17"/>
  <c r="D48" i="17"/>
  <c r="G47" i="17"/>
  <c r="F47" i="17"/>
  <c r="E47" i="17"/>
  <c r="D47" i="17"/>
  <c r="C47" i="17"/>
  <c r="G40" i="17"/>
  <c r="F40" i="17"/>
  <c r="E40" i="17"/>
  <c r="D40" i="17"/>
  <c r="G39" i="17"/>
  <c r="F39" i="17"/>
  <c r="E39" i="17"/>
  <c r="D39" i="17"/>
  <c r="C40" i="17"/>
  <c r="C39" i="17"/>
  <c r="G29" i="17"/>
  <c r="F29" i="17"/>
  <c r="E29" i="17"/>
  <c r="D29" i="17"/>
  <c r="G27" i="17"/>
  <c r="F27" i="17"/>
  <c r="E27" i="17"/>
  <c r="D27" i="17"/>
  <c r="C29" i="17"/>
  <c r="C27" i="17"/>
  <c r="I22" i="17"/>
  <c r="I21" i="17"/>
  <c r="G17" i="17"/>
  <c r="F17" i="17"/>
  <c r="E17" i="17"/>
  <c r="D17" i="17"/>
  <c r="C17" i="17"/>
  <c r="AA182" i="3"/>
  <c r="Q182" i="3"/>
  <c r="G77" i="17" s="1"/>
  <c r="O182" i="3"/>
  <c r="E77" i="17" s="1"/>
  <c r="N182" i="3"/>
  <c r="D77" i="17" s="1"/>
  <c r="M182" i="3"/>
  <c r="C77" i="17" s="1"/>
  <c r="AA181" i="3"/>
  <c r="Q181" i="3"/>
  <c r="G76" i="17" s="1"/>
  <c r="O181" i="3"/>
  <c r="E76" i="17" s="1"/>
  <c r="N181" i="3"/>
  <c r="D76" i="17" s="1"/>
  <c r="M181" i="3"/>
  <c r="C76" i="17" s="1"/>
  <c r="AA180" i="3"/>
  <c r="Q180" i="3"/>
  <c r="G75" i="17" s="1"/>
  <c r="O180" i="3"/>
  <c r="E75" i="17" s="1"/>
  <c r="N180" i="3"/>
  <c r="D75" i="17" s="1"/>
  <c r="M180" i="3"/>
  <c r="C75" i="17" s="1"/>
  <c r="D23" i="17"/>
  <c r="E23" i="17"/>
  <c r="F23" i="17"/>
  <c r="G23" i="17"/>
  <c r="C23" i="17"/>
  <c r="AC145" i="3"/>
  <c r="I39" i="17" s="1"/>
  <c r="AC79" i="3"/>
  <c r="Q80" i="3"/>
  <c r="P80" i="3"/>
  <c r="N80" i="3"/>
  <c r="M80" i="3"/>
  <c r="O80" i="3"/>
  <c r="AC152" i="3"/>
  <c r="AC151" i="3"/>
  <c r="AA144" i="3"/>
  <c r="AC146" i="3"/>
  <c r="AC144" i="3"/>
  <c r="Q144" i="3"/>
  <c r="P144" i="3"/>
  <c r="O144" i="3"/>
  <c r="N144" i="3"/>
  <c r="M144" i="3"/>
  <c r="F9" i="16"/>
  <c r="F17" i="16"/>
  <c r="AC58" i="3"/>
  <c r="F16" i="16"/>
  <c r="AC77" i="3"/>
  <c r="O22" i="6"/>
  <c r="O19" i="6"/>
  <c r="AC57" i="3"/>
  <c r="AC55" i="3"/>
  <c r="O105" i="3"/>
  <c r="O108" i="3" s="1"/>
  <c r="O161" i="3" s="1"/>
  <c r="N105" i="3"/>
  <c r="N108" i="3" s="1"/>
  <c r="N161" i="3" s="1"/>
  <c r="M105" i="3"/>
  <c r="M108" i="3" s="1"/>
  <c r="M161" i="3" s="1"/>
  <c r="L105" i="3"/>
  <c r="K105" i="3"/>
  <c r="J105" i="3"/>
  <c r="I105" i="3"/>
  <c r="H105" i="3"/>
  <c r="G105" i="3"/>
  <c r="F105" i="3"/>
  <c r="E105" i="3"/>
  <c r="D105" i="3"/>
  <c r="C105" i="3"/>
  <c r="G6" i="14"/>
  <c r="F6" i="14"/>
  <c r="E6" i="14"/>
  <c r="D6" i="14"/>
  <c r="C6" i="14"/>
  <c r="G19" i="12"/>
  <c r="F19" i="12"/>
  <c r="E19" i="12"/>
  <c r="D19" i="12"/>
  <c r="C19" i="12"/>
  <c r="G6" i="12"/>
  <c r="F6" i="12"/>
  <c r="E6" i="12"/>
  <c r="D6" i="12"/>
  <c r="C6" i="12"/>
  <c r="C18" i="10"/>
  <c r="E7" i="8"/>
  <c r="E6" i="8"/>
  <c r="F5" i="8"/>
  <c r="F32" i="8" s="1"/>
  <c r="E5" i="8"/>
  <c r="E32" i="8" s="1"/>
  <c r="C5" i="8"/>
  <c r="C32" i="8" s="1"/>
  <c r="E13" i="7"/>
  <c r="C13" i="7"/>
  <c r="D7" i="7"/>
  <c r="G6" i="7"/>
  <c r="H6" i="7" s="1"/>
  <c r="E6" i="7"/>
  <c r="U14" i="6"/>
  <c r="T14" i="6"/>
  <c r="P14" i="6"/>
  <c r="O13" i="6"/>
  <c r="O21" i="6" s="1"/>
  <c r="O12" i="6"/>
  <c r="O20" i="6" s="1"/>
  <c r="W6" i="6"/>
  <c r="T6" i="6"/>
  <c r="V5" i="6"/>
  <c r="S5" i="6"/>
  <c r="P5" i="6"/>
  <c r="B20" i="6"/>
  <c r="E14" i="6"/>
  <c r="D14" i="6"/>
  <c r="G6" i="6"/>
  <c r="E6" i="6"/>
  <c r="C6" i="6"/>
  <c r="F5" i="6"/>
  <c r="R6" i="5"/>
  <c r="G21" i="8"/>
  <c r="E21" i="8"/>
  <c r="G20" i="8"/>
  <c r="F20" i="8"/>
  <c r="C20" i="8"/>
  <c r="F7" i="8"/>
  <c r="C7" i="8"/>
  <c r="F6" i="8"/>
  <c r="G5" i="8"/>
  <c r="D5" i="8"/>
  <c r="D32" i="8" s="1"/>
  <c r="F13" i="7"/>
  <c r="D13" i="7"/>
  <c r="F7" i="7"/>
  <c r="C6" i="7"/>
  <c r="V14" i="6"/>
  <c r="R14" i="6"/>
  <c r="U6" i="6"/>
  <c r="R6" i="6"/>
  <c r="P6" i="6"/>
  <c r="Q5" i="6"/>
  <c r="G14" i="6"/>
  <c r="C14" i="6"/>
  <c r="E5" i="6"/>
  <c r="C5" i="6"/>
  <c r="R7" i="5"/>
  <c r="D21" i="8"/>
  <c r="C21" i="8"/>
  <c r="E20" i="8"/>
  <c r="D20" i="8"/>
  <c r="G7" i="8"/>
  <c r="D7" i="8"/>
  <c r="G6" i="8"/>
  <c r="D6" i="8"/>
  <c r="C6" i="8"/>
  <c r="G13" i="7"/>
  <c r="G7" i="7"/>
  <c r="E7" i="7"/>
  <c r="C7" i="7"/>
  <c r="F6" i="7"/>
  <c r="D6" i="7"/>
  <c r="W14" i="6"/>
  <c r="S14" i="6"/>
  <c r="Q14" i="6"/>
  <c r="V6" i="6"/>
  <c r="S6" i="6"/>
  <c r="Q6" i="6"/>
  <c r="W5" i="6"/>
  <c r="U5" i="6"/>
  <c r="T5" i="6"/>
  <c r="R5" i="6"/>
  <c r="B21" i="6"/>
  <c r="F14" i="6"/>
  <c r="F6" i="6"/>
  <c r="D6" i="6"/>
  <c r="D21" i="6" s="1"/>
  <c r="D5" i="6"/>
  <c r="R8" i="5"/>
  <c r="G5" i="6"/>
  <c r="G8" i="7"/>
  <c r="E8" i="7"/>
  <c r="F8" i="7"/>
  <c r="C8" i="7"/>
  <c r="D8" i="7"/>
  <c r="G44" i="7"/>
  <c r="E44" i="7"/>
  <c r="D44" i="7"/>
  <c r="C44" i="7"/>
  <c r="AB9" i="6"/>
  <c r="AB10" i="6"/>
  <c r="E15" i="5"/>
  <c r="D15" i="5"/>
  <c r="F15" i="5"/>
  <c r="G15" i="5"/>
  <c r="S15" i="5"/>
  <c r="C15" i="5"/>
  <c r="Z22" i="5"/>
  <c r="Y22" i="5"/>
  <c r="X22" i="5"/>
  <c r="W22" i="5"/>
  <c r="V22" i="5"/>
  <c r="U22" i="5"/>
  <c r="T22" i="5"/>
  <c r="G22" i="5"/>
  <c r="F22" i="5"/>
  <c r="E22" i="5"/>
  <c r="D22" i="5"/>
  <c r="Z18" i="5"/>
  <c r="Y18" i="5"/>
  <c r="X18" i="5"/>
  <c r="W18" i="5"/>
  <c r="V18" i="5"/>
  <c r="U18" i="5"/>
  <c r="T18" i="5"/>
  <c r="E18" i="5"/>
  <c r="D18" i="5"/>
  <c r="B18" i="5"/>
  <c r="Z17" i="5"/>
  <c r="Y17" i="5"/>
  <c r="X17" i="5"/>
  <c r="W17" i="5"/>
  <c r="V17" i="5"/>
  <c r="U17" i="5"/>
  <c r="T17" i="5"/>
  <c r="E17" i="5"/>
  <c r="D17" i="5"/>
  <c r="B17" i="5"/>
  <c r="Z16" i="5"/>
  <c r="Y16" i="5"/>
  <c r="X16" i="5"/>
  <c r="W16" i="5"/>
  <c r="V16" i="5"/>
  <c r="U16" i="5"/>
  <c r="T16" i="5"/>
  <c r="E16" i="5"/>
  <c r="D16" i="5"/>
  <c r="B16" i="5"/>
  <c r="Z15" i="5"/>
  <c r="Y15" i="5"/>
  <c r="X15" i="5"/>
  <c r="W15" i="5"/>
  <c r="V15" i="5"/>
  <c r="U15" i="5"/>
  <c r="T15" i="5"/>
  <c r="H5" i="5"/>
  <c r="H5" i="21" s="1"/>
  <c r="P105" i="3"/>
  <c r="P108" i="3" s="1"/>
  <c r="Q105" i="3"/>
  <c r="AC123" i="3"/>
  <c r="AC121" i="3"/>
  <c r="AC101" i="3"/>
  <c r="AA100" i="3"/>
  <c r="AC82" i="3"/>
  <c r="AC74" i="3"/>
  <c r="AA75" i="3"/>
  <c r="M75" i="3"/>
  <c r="N75" i="3"/>
  <c r="O75" i="3"/>
  <c r="P75" i="3"/>
  <c r="Q75" i="3"/>
  <c r="AC42" i="3"/>
  <c r="AC36" i="3"/>
  <c r="AA91" i="3"/>
  <c r="C11" i="18" s="1"/>
  <c r="AA94" i="3"/>
  <c r="C13" i="18" s="1"/>
  <c r="AC11" i="3"/>
  <c r="AC7" i="3"/>
  <c r="AC100" i="3" s="1"/>
  <c r="Q100" i="3"/>
  <c r="P100" i="3"/>
  <c r="O100" i="3"/>
  <c r="N100" i="3"/>
  <c r="M100" i="3"/>
  <c r="Q94" i="3"/>
  <c r="G83" i="17" s="1"/>
  <c r="P94" i="3"/>
  <c r="F83" i="17" s="1"/>
  <c r="O94" i="3"/>
  <c r="E83" i="17" s="1"/>
  <c r="N94" i="3"/>
  <c r="D83" i="17" s="1"/>
  <c r="M94" i="3"/>
  <c r="C83" i="17" s="1"/>
  <c r="AC26" i="3"/>
  <c r="F5" i="1" s="1"/>
  <c r="AC22" i="3"/>
  <c r="AC20" i="3"/>
  <c r="Q91" i="3"/>
  <c r="G82" i="17" s="1"/>
  <c r="O91" i="3"/>
  <c r="E82" i="17" s="1"/>
  <c r="M91" i="3"/>
  <c r="C82" i="17" s="1"/>
  <c r="P91" i="3"/>
  <c r="F82" i="17" s="1"/>
  <c r="N91" i="3"/>
  <c r="D82" i="17" s="1"/>
  <c r="C10" i="10" s="1"/>
  <c r="C11" i="13" s="1"/>
  <c r="J7" i="5" l="1"/>
  <c r="K7" i="5" s="1"/>
  <c r="L7" i="5" s="1"/>
  <c r="I10" i="5"/>
  <c r="J10" i="5"/>
  <c r="K9" i="5"/>
  <c r="H10" i="21"/>
  <c r="H15" i="21"/>
  <c r="H12" i="5"/>
  <c r="AC75" i="3"/>
  <c r="C22" i="14" s="1"/>
  <c r="C35" i="14" s="1"/>
  <c r="AA155" i="3"/>
  <c r="C68" i="12"/>
  <c r="C47" i="12"/>
  <c r="AC176" i="3"/>
  <c r="AC177" i="3"/>
  <c r="Q185" i="3"/>
  <c r="P185" i="3"/>
  <c r="O185" i="3"/>
  <c r="N185" i="3"/>
  <c r="M185" i="3"/>
  <c r="AC184" i="3"/>
  <c r="E48" i="17"/>
  <c r="C23" i="11"/>
  <c r="C25" i="14"/>
  <c r="I6" i="5"/>
  <c r="I12" i="5" s="1"/>
  <c r="H6" i="14"/>
  <c r="H5" i="12"/>
  <c r="H6" i="11"/>
  <c r="F91" i="17"/>
  <c r="F18" i="5"/>
  <c r="F90" i="17"/>
  <c r="F17" i="5"/>
  <c r="F89" i="17"/>
  <c r="F16" i="5"/>
  <c r="G91" i="17"/>
  <c r="G18" i="5"/>
  <c r="G90" i="17"/>
  <c r="G17" i="5"/>
  <c r="G89" i="17"/>
  <c r="G16" i="5"/>
  <c r="C8" i="10"/>
  <c r="P180" i="3"/>
  <c r="F75" i="17" s="1"/>
  <c r="F21" i="8"/>
  <c r="F44" i="7"/>
  <c r="P161" i="3"/>
  <c r="I60" i="20"/>
  <c r="H60" i="20"/>
  <c r="G60" i="20"/>
  <c r="F60" i="20"/>
  <c r="E60" i="20"/>
  <c r="D60" i="20"/>
  <c r="J60" i="20"/>
  <c r="G48" i="17"/>
  <c r="F18" i="16"/>
  <c r="P160" i="3"/>
  <c r="P170" i="3" s="1"/>
  <c r="P182" i="3"/>
  <c r="F77" i="17" s="1"/>
  <c r="P181" i="3"/>
  <c r="F76" i="17" s="1"/>
  <c r="AC148" i="3"/>
  <c r="C48" i="17"/>
  <c r="Q155" i="3"/>
  <c r="P155" i="3"/>
  <c r="N155" i="3"/>
  <c r="AC160" i="3"/>
  <c r="AC170" i="3" s="1"/>
  <c r="M155" i="3"/>
  <c r="O155" i="3"/>
  <c r="F48" i="17"/>
  <c r="G53" i="17"/>
  <c r="F53" i="17"/>
  <c r="E53" i="17"/>
  <c r="D53" i="17"/>
  <c r="C53" i="17"/>
  <c r="G51" i="17"/>
  <c r="F51" i="17"/>
  <c r="E51" i="17"/>
  <c r="D51" i="17"/>
  <c r="C51" i="17"/>
  <c r="AC69" i="3"/>
  <c r="M78" i="3"/>
  <c r="M156" i="3" s="1"/>
  <c r="N78" i="3"/>
  <c r="N156" i="3" s="1"/>
  <c r="O78" i="3"/>
  <c r="O156" i="3" s="1"/>
  <c r="P78" i="3"/>
  <c r="P156" i="3" s="1"/>
  <c r="Q78" i="3"/>
  <c r="Q156" i="3" s="1"/>
  <c r="F22" i="8"/>
  <c r="AC71" i="3"/>
  <c r="Q171" i="3"/>
  <c r="L60" i="19"/>
  <c r="Q173" i="3"/>
  <c r="O171" i="3"/>
  <c r="J60" i="19"/>
  <c r="O173" i="3"/>
  <c r="N171" i="3"/>
  <c r="I60" i="19"/>
  <c r="N173" i="3"/>
  <c r="M171" i="3"/>
  <c r="H60" i="19"/>
  <c r="M173" i="3"/>
  <c r="H5" i="8"/>
  <c r="H32" i="8" s="1"/>
  <c r="G32" i="8"/>
  <c r="G16" i="17"/>
  <c r="G33" i="8"/>
  <c r="L62" i="19"/>
  <c r="F16" i="17"/>
  <c r="F33" i="8"/>
  <c r="K62" i="19"/>
  <c r="E16" i="17"/>
  <c r="E33" i="8"/>
  <c r="J62" i="19"/>
  <c r="D16" i="17"/>
  <c r="D33" i="8"/>
  <c r="I62" i="19"/>
  <c r="C16" i="17"/>
  <c r="C33" i="8"/>
  <c r="H62" i="19"/>
  <c r="C19" i="10"/>
  <c r="E22" i="8"/>
  <c r="C22" i="8"/>
  <c r="G44" i="17"/>
  <c r="F44" i="17"/>
  <c r="E44" i="17"/>
  <c r="D44" i="17"/>
  <c r="C44" i="17"/>
  <c r="G26" i="17"/>
  <c r="F26" i="17"/>
  <c r="E26" i="17"/>
  <c r="D26" i="17"/>
  <c r="C26" i="17"/>
  <c r="G18" i="17"/>
  <c r="F18" i="17"/>
  <c r="E18" i="17"/>
  <c r="D18" i="17"/>
  <c r="C18" i="17"/>
  <c r="G22" i="8"/>
  <c r="D22" i="8"/>
  <c r="P122" i="3"/>
  <c r="K69" i="19" s="1"/>
  <c r="O122" i="3"/>
  <c r="J69" i="19" s="1"/>
  <c r="N122" i="3"/>
  <c r="I69" i="19" s="1"/>
  <c r="M122" i="3"/>
  <c r="H69" i="19" s="1"/>
  <c r="Q122" i="3"/>
  <c r="L69" i="19" s="1"/>
  <c r="Q70" i="3"/>
  <c r="O143" i="3"/>
  <c r="J71" i="19" s="1"/>
  <c r="N143" i="3"/>
  <c r="I71" i="19" s="1"/>
  <c r="M143" i="3"/>
  <c r="H71" i="19" s="1"/>
  <c r="P143" i="3"/>
  <c r="K71" i="19" s="1"/>
  <c r="AC80" i="3"/>
  <c r="AC102" i="3"/>
  <c r="AC120" i="3"/>
  <c r="I26" i="17" s="1"/>
  <c r="C31" i="16"/>
  <c r="F21" i="18"/>
  <c r="C19" i="18"/>
  <c r="C21" i="18"/>
  <c r="F19" i="18"/>
  <c r="F11" i="18"/>
  <c r="F13" i="18"/>
  <c r="Q172" i="3"/>
  <c r="G59" i="17" s="1"/>
  <c r="O172" i="3"/>
  <c r="E59" i="17" s="1"/>
  <c r="N172" i="3"/>
  <c r="D59" i="17" s="1"/>
  <c r="M172" i="3"/>
  <c r="C59" i="17" s="1"/>
  <c r="AC180" i="3"/>
  <c r="AC181" i="3"/>
  <c r="AC182" i="3"/>
  <c r="I23" i="17"/>
  <c r="G22" i="7"/>
  <c r="D22" i="7"/>
  <c r="E21" i="7"/>
  <c r="C21" i="7"/>
  <c r="F34" i="16"/>
  <c r="I48" i="17"/>
  <c r="F32" i="16"/>
  <c r="I47" i="17"/>
  <c r="C32" i="16"/>
  <c r="I40" i="17"/>
  <c r="C30" i="16"/>
  <c r="I38" i="17"/>
  <c r="Q147" i="3"/>
  <c r="G41" i="17" s="1"/>
  <c r="G38" i="17"/>
  <c r="P147" i="3"/>
  <c r="F41" i="17" s="1"/>
  <c r="F38" i="17"/>
  <c r="O147" i="3"/>
  <c r="E41" i="17" s="1"/>
  <c r="E38" i="17"/>
  <c r="N147" i="3"/>
  <c r="D41" i="17" s="1"/>
  <c r="D38" i="17"/>
  <c r="M147" i="3"/>
  <c r="C41" i="17" s="1"/>
  <c r="C38" i="17"/>
  <c r="C25" i="16"/>
  <c r="I29" i="17"/>
  <c r="C23" i="16"/>
  <c r="I27" i="17"/>
  <c r="C17" i="16"/>
  <c r="I17" i="17"/>
  <c r="C16" i="16"/>
  <c r="I16" i="17"/>
  <c r="AA178" i="3"/>
  <c r="Q178" i="3"/>
  <c r="G67" i="17" s="1"/>
  <c r="P178" i="3"/>
  <c r="F67" i="17" s="1"/>
  <c r="O178" i="3"/>
  <c r="E67" i="17" s="1"/>
  <c r="N178" i="3"/>
  <c r="D67" i="17" s="1"/>
  <c r="M178" i="3"/>
  <c r="C67" i="17" s="1"/>
  <c r="AA147" i="3"/>
  <c r="D30" i="12"/>
  <c r="F29" i="12"/>
  <c r="E20" i="12"/>
  <c r="H19" i="12"/>
  <c r="I19" i="12" s="1"/>
  <c r="J19" i="12" s="1"/>
  <c r="K19" i="12" s="1"/>
  <c r="L19" i="12" s="1"/>
  <c r="AA149" i="3"/>
  <c r="AA175" i="3"/>
  <c r="Q149" i="3"/>
  <c r="G45" i="17" s="1"/>
  <c r="Q175" i="3"/>
  <c r="G66" i="17" s="1"/>
  <c r="P149" i="3"/>
  <c r="F45" i="17" s="1"/>
  <c r="P175" i="3"/>
  <c r="F66" i="17" s="1"/>
  <c r="O149" i="3"/>
  <c r="E45" i="17" s="1"/>
  <c r="O175" i="3"/>
  <c r="E66" i="17" s="1"/>
  <c r="N149" i="3"/>
  <c r="D45" i="17" s="1"/>
  <c r="N175" i="3"/>
  <c r="D66" i="17" s="1"/>
  <c r="M149" i="3"/>
  <c r="C45" i="17" s="1"/>
  <c r="M175" i="3"/>
  <c r="C66" i="17" s="1"/>
  <c r="AC147" i="3"/>
  <c r="I41" i="17" s="1"/>
  <c r="C9" i="17"/>
  <c r="D9" i="17"/>
  <c r="E9" i="17"/>
  <c r="G10" i="17"/>
  <c r="F10" i="17"/>
  <c r="E10" i="17"/>
  <c r="D10" i="17"/>
  <c r="C10" i="17"/>
  <c r="G9" i="17"/>
  <c r="F9" i="17"/>
  <c r="C5" i="16"/>
  <c r="H5" i="6"/>
  <c r="G18" i="6"/>
  <c r="G10" i="6"/>
  <c r="T21" i="6"/>
  <c r="T20" i="6"/>
  <c r="G20" i="6"/>
  <c r="AC106" i="3"/>
  <c r="AA150" i="3"/>
  <c r="G32" i="12"/>
  <c r="Q150" i="3"/>
  <c r="G46" i="17" s="1"/>
  <c r="F32" i="12"/>
  <c r="P150" i="3"/>
  <c r="F46" i="17" s="1"/>
  <c r="E32" i="12"/>
  <c r="O150" i="3"/>
  <c r="E46" i="17" s="1"/>
  <c r="D32" i="12"/>
  <c r="N150" i="3"/>
  <c r="D46" i="17" s="1"/>
  <c r="C32" i="12"/>
  <c r="M150" i="3"/>
  <c r="C46" i="17" s="1"/>
  <c r="AC108" i="3"/>
  <c r="Q108" i="3"/>
  <c r="Q161" i="3" s="1"/>
  <c r="E46" i="7"/>
  <c r="D18" i="6"/>
  <c r="W10" i="6"/>
  <c r="U10" i="6"/>
  <c r="R10" i="6"/>
  <c r="AA78" i="3"/>
  <c r="F20" i="12"/>
  <c r="D20" i="12"/>
  <c r="G13" i="12"/>
  <c r="C30" i="12"/>
  <c r="E29" i="12"/>
  <c r="D29" i="12"/>
  <c r="G20" i="12"/>
  <c r="F13" i="12"/>
  <c r="E13" i="12"/>
  <c r="D13" i="12"/>
  <c r="G30" i="12"/>
  <c r="G8" i="8"/>
  <c r="D8" i="8"/>
  <c r="C46" i="7"/>
  <c r="G43" i="7"/>
  <c r="C43" i="7"/>
  <c r="F27" i="7"/>
  <c r="D12" i="7"/>
  <c r="D19" i="6"/>
  <c r="D36" i="7"/>
  <c r="D37" i="7" s="1"/>
  <c r="E27" i="7"/>
  <c r="V19" i="6"/>
  <c r="S19" i="6"/>
  <c r="Q19" i="6"/>
  <c r="R18" i="5"/>
  <c r="R16" i="5"/>
  <c r="Q20" i="6"/>
  <c r="F21" i="6"/>
  <c r="F30" i="12"/>
  <c r="E30" i="12"/>
  <c r="G29" i="12"/>
  <c r="C29" i="12"/>
  <c r="D20" i="6"/>
  <c r="I6" i="7"/>
  <c r="S21" i="6"/>
  <c r="Q21" i="6"/>
  <c r="V22" i="6"/>
  <c r="G46" i="7"/>
  <c r="C15" i="14"/>
  <c r="AC115" i="3"/>
  <c r="AC116" i="3" s="1"/>
  <c r="C6" i="10"/>
  <c r="E22" i="6"/>
  <c r="E9" i="8"/>
  <c r="D9" i="8"/>
  <c r="D22" i="6"/>
  <c r="G22" i="6"/>
  <c r="G9" i="8"/>
  <c r="C9" i="8"/>
  <c r="C22" i="6"/>
  <c r="F22" i="6"/>
  <c r="F9" i="8"/>
  <c r="U20" i="6"/>
  <c r="P20" i="6"/>
  <c r="U22" i="6"/>
  <c r="T22" i="6"/>
  <c r="P22" i="6"/>
  <c r="G21" i="6"/>
  <c r="E20" i="6"/>
  <c r="C20" i="6"/>
  <c r="U21" i="6"/>
  <c r="P21" i="6"/>
  <c r="W21" i="6"/>
  <c r="V21" i="6"/>
  <c r="W20" i="6"/>
  <c r="V20" i="6"/>
  <c r="S20" i="6"/>
  <c r="W22" i="6"/>
  <c r="S22" i="6"/>
  <c r="Q22" i="6"/>
  <c r="E21" i="6"/>
  <c r="C21" i="6"/>
  <c r="F20" i="6"/>
  <c r="H19" i="7"/>
  <c r="Q10" i="6"/>
  <c r="F18" i="6"/>
  <c r="G26" i="8"/>
  <c r="C19" i="8"/>
  <c r="F14" i="8"/>
  <c r="G14" i="8"/>
  <c r="C14" i="8"/>
  <c r="C8" i="8"/>
  <c r="F46" i="7"/>
  <c r="G41" i="7"/>
  <c r="H34" i="7"/>
  <c r="E34" i="7"/>
  <c r="S10" i="6"/>
  <c r="P10" i="6"/>
  <c r="F8" i="8"/>
  <c r="E26" i="8"/>
  <c r="D26" i="8"/>
  <c r="C26" i="8"/>
  <c r="G19" i="8"/>
  <c r="F19" i="8"/>
  <c r="E14" i="8"/>
  <c r="G36" i="7"/>
  <c r="G37" i="7" s="1"/>
  <c r="F20" i="7"/>
  <c r="H12" i="7"/>
  <c r="C12" i="7"/>
  <c r="R17" i="5"/>
  <c r="E19" i="8"/>
  <c r="D14" i="8"/>
  <c r="E8" i="8"/>
  <c r="F26" i="8"/>
  <c r="D19" i="8"/>
  <c r="F43" i="7"/>
  <c r="E41" i="7"/>
  <c r="D43" i="7"/>
  <c r="C41" i="7"/>
  <c r="C34" i="7"/>
  <c r="E19" i="6"/>
  <c r="C27" i="7"/>
  <c r="F22" i="7"/>
  <c r="F21" i="7"/>
  <c r="D21" i="7"/>
  <c r="G20" i="7"/>
  <c r="F12" i="7"/>
  <c r="E12" i="7"/>
  <c r="D46" i="7"/>
  <c r="E43" i="7"/>
  <c r="H41" i="7"/>
  <c r="F36" i="7"/>
  <c r="F37" i="7" s="1"/>
  <c r="G34" i="7"/>
  <c r="D34" i="7"/>
  <c r="G27" i="7"/>
  <c r="G21" i="7"/>
  <c r="C20" i="7"/>
  <c r="G19" i="7"/>
  <c r="F19" i="7"/>
  <c r="E19" i="7"/>
  <c r="D19" i="7"/>
  <c r="C19" i="7"/>
  <c r="F41" i="7"/>
  <c r="D41" i="7"/>
  <c r="E36" i="7"/>
  <c r="E37" i="7" s="1"/>
  <c r="C36" i="7"/>
  <c r="C37" i="7" s="1"/>
  <c r="F34" i="7"/>
  <c r="H27" i="7"/>
  <c r="D27" i="7"/>
  <c r="E22" i="7"/>
  <c r="C22" i="7"/>
  <c r="E20" i="7"/>
  <c r="D20" i="7"/>
  <c r="G12" i="7"/>
  <c r="W19" i="6"/>
  <c r="T19" i="6"/>
  <c r="F19" i="6"/>
  <c r="R19" i="6"/>
  <c r="P19" i="6"/>
  <c r="U19" i="6"/>
  <c r="G19" i="6"/>
  <c r="C19" i="6"/>
  <c r="E18" i="6"/>
  <c r="C18" i="6"/>
  <c r="F10" i="6"/>
  <c r="D10" i="6"/>
  <c r="C10" i="6"/>
  <c r="W18" i="6"/>
  <c r="V18" i="6"/>
  <c r="U18" i="6"/>
  <c r="T18" i="6"/>
  <c r="S18" i="6"/>
  <c r="R18" i="6"/>
  <c r="Q18" i="6"/>
  <c r="P18" i="6"/>
  <c r="V10" i="6"/>
  <c r="T10" i="6"/>
  <c r="E10" i="6"/>
  <c r="R21" i="6"/>
  <c r="R20" i="6"/>
  <c r="R22" i="6"/>
  <c r="I5" i="5"/>
  <c r="I5" i="21" s="1"/>
  <c r="H15" i="5"/>
  <c r="AA70" i="3"/>
  <c r="P70" i="3"/>
  <c r="M70" i="3"/>
  <c r="L70" i="3"/>
  <c r="O70" i="3"/>
  <c r="N70" i="3"/>
  <c r="K70" i="3"/>
  <c r="J70" i="3"/>
  <c r="I70" i="3"/>
  <c r="H70" i="3"/>
  <c r="G70" i="3"/>
  <c r="F70" i="3"/>
  <c r="E70" i="3"/>
  <c r="D70" i="3"/>
  <c r="C70" i="3"/>
  <c r="L9" i="5" l="1"/>
  <c r="I10" i="21"/>
  <c r="I15" i="21"/>
  <c r="AC78" i="3"/>
  <c r="AA156" i="3"/>
  <c r="AA157" i="3" s="1"/>
  <c r="AC186" i="3"/>
  <c r="C46" i="12"/>
  <c r="C67" i="12"/>
  <c r="C53" i="16"/>
  <c r="I72" i="17"/>
  <c r="C54" i="12"/>
  <c r="I18" i="1" s="1"/>
  <c r="C24" i="21"/>
  <c r="C26" i="21" s="1"/>
  <c r="I11" i="1" s="1"/>
  <c r="I71" i="17"/>
  <c r="C52" i="16"/>
  <c r="AC185" i="3"/>
  <c r="C22" i="11"/>
  <c r="C24" i="14"/>
  <c r="C25" i="11"/>
  <c r="C49" i="12"/>
  <c r="C70" i="12"/>
  <c r="J6" i="5"/>
  <c r="J12" i="5" s="1"/>
  <c r="I6" i="14"/>
  <c r="I5" i="12"/>
  <c r="I6" i="11"/>
  <c r="C33" i="14"/>
  <c r="K60" i="19"/>
  <c r="P173" i="3"/>
  <c r="K61" i="19"/>
  <c r="D11" i="17"/>
  <c r="E11" i="17"/>
  <c r="F11" i="17"/>
  <c r="C11" i="17"/>
  <c r="AC171" i="3"/>
  <c r="AC173" i="3"/>
  <c r="P171" i="3"/>
  <c r="P172" i="3"/>
  <c r="F59" i="17" s="1"/>
  <c r="F30" i="16"/>
  <c r="I44" i="17"/>
  <c r="G11" i="17"/>
  <c r="AC70" i="3"/>
  <c r="G58" i="17"/>
  <c r="E60" i="17"/>
  <c r="D58" i="17"/>
  <c r="D60" i="17"/>
  <c r="C58" i="17"/>
  <c r="C60" i="17"/>
  <c r="Q174" i="3"/>
  <c r="G63" i="17" s="1"/>
  <c r="P174" i="3"/>
  <c r="F63" i="17" s="1"/>
  <c r="N174" i="3"/>
  <c r="D63" i="17" s="1"/>
  <c r="M174" i="3"/>
  <c r="C63" i="17" s="1"/>
  <c r="O174" i="3"/>
  <c r="E63" i="17" s="1"/>
  <c r="H19" i="8"/>
  <c r="H26" i="8"/>
  <c r="I5" i="8"/>
  <c r="I32" i="8" s="1"/>
  <c r="H14" i="8"/>
  <c r="C7" i="17"/>
  <c r="M162" i="3"/>
  <c r="M164" i="3"/>
  <c r="C52" i="17" s="1"/>
  <c r="M179" i="3"/>
  <c r="C68" i="17" s="1"/>
  <c r="M168" i="3"/>
  <c r="C55" i="17" s="1"/>
  <c r="M167" i="3"/>
  <c r="C54" i="17" s="1"/>
  <c r="M157" i="3"/>
  <c r="D7" i="17"/>
  <c r="N162" i="3"/>
  <c r="N164" i="3"/>
  <c r="D52" i="17" s="1"/>
  <c r="N179" i="3"/>
  <c r="D68" i="17" s="1"/>
  <c r="N168" i="3"/>
  <c r="D55" i="17" s="1"/>
  <c r="N167" i="3"/>
  <c r="D54" i="17" s="1"/>
  <c r="N157" i="3"/>
  <c r="E7" i="17"/>
  <c r="O162" i="3"/>
  <c r="O164" i="3"/>
  <c r="E52" i="17" s="1"/>
  <c r="O179" i="3"/>
  <c r="E68" i="17" s="1"/>
  <c r="O168" i="3"/>
  <c r="E55" i="17" s="1"/>
  <c r="O167" i="3"/>
  <c r="E54" i="17" s="1"/>
  <c r="O157" i="3"/>
  <c r="P162" i="3"/>
  <c r="F7" i="17"/>
  <c r="P157" i="3"/>
  <c r="P164" i="3"/>
  <c r="F52" i="17" s="1"/>
  <c r="P179" i="3"/>
  <c r="F68" i="17" s="1"/>
  <c r="P168" i="3"/>
  <c r="F55" i="17" s="1"/>
  <c r="P167" i="3"/>
  <c r="F54" i="17" s="1"/>
  <c r="Q162" i="3"/>
  <c r="Q164" i="3"/>
  <c r="G52" i="17" s="1"/>
  <c r="G7" i="17"/>
  <c r="Q157" i="3"/>
  <c r="Q179" i="3"/>
  <c r="G68" i="17" s="1"/>
  <c r="Q168" i="3"/>
  <c r="G55" i="17" s="1"/>
  <c r="Q167" i="3"/>
  <c r="G54" i="17" s="1"/>
  <c r="AC166" i="3"/>
  <c r="AC165" i="3"/>
  <c r="AC156" i="3"/>
  <c r="AC155" i="3"/>
  <c r="AC154" i="3"/>
  <c r="AC153" i="3"/>
  <c r="G60" i="17"/>
  <c r="E58" i="17"/>
  <c r="P124" i="3"/>
  <c r="F28" i="17"/>
  <c r="F33" i="17" s="1"/>
  <c r="O124" i="3"/>
  <c r="E28" i="17"/>
  <c r="E33" i="17" s="1"/>
  <c r="N124" i="3"/>
  <c r="D28" i="17"/>
  <c r="D33" i="17" s="1"/>
  <c r="M124" i="3"/>
  <c r="C28" i="17"/>
  <c r="C33" i="17" s="1"/>
  <c r="Q124" i="3"/>
  <c r="O169" i="3"/>
  <c r="J61" i="19"/>
  <c r="N169" i="3"/>
  <c r="I61" i="19"/>
  <c r="M169" i="3"/>
  <c r="H61" i="19"/>
  <c r="G28" i="17"/>
  <c r="G33" i="17" s="1"/>
  <c r="E35" i="17"/>
  <c r="D35" i="17"/>
  <c r="C35" i="17"/>
  <c r="F35" i="17"/>
  <c r="P169" i="3"/>
  <c r="AC174" i="3"/>
  <c r="I63" i="17" s="1"/>
  <c r="AC122" i="3"/>
  <c r="I28" i="17" s="1"/>
  <c r="I33" i="17" s="1"/>
  <c r="C22" i="16"/>
  <c r="AC143" i="3"/>
  <c r="L61" i="19"/>
  <c r="Q143" i="3"/>
  <c r="L71" i="19" s="1"/>
  <c r="C18" i="16"/>
  <c r="I18" i="17"/>
  <c r="F52" i="16"/>
  <c r="I75" i="17"/>
  <c r="F53" i="16"/>
  <c r="I76" i="17"/>
  <c r="F54" i="16"/>
  <c r="I77" i="17"/>
  <c r="AC172" i="3"/>
  <c r="I6" i="17"/>
  <c r="C23" i="14"/>
  <c r="C56" i="12"/>
  <c r="C33" i="16"/>
  <c r="F18" i="1"/>
  <c r="AC175" i="3"/>
  <c r="AC178" i="3"/>
  <c r="I67" i="17" s="1"/>
  <c r="C33" i="12"/>
  <c r="D33" i="12"/>
  <c r="F33" i="12"/>
  <c r="E33" i="12"/>
  <c r="G33" i="12"/>
  <c r="I5" i="6"/>
  <c r="H10" i="6"/>
  <c r="H18" i="6"/>
  <c r="AC150" i="3"/>
  <c r="I46" i="17" s="1"/>
  <c r="AC149" i="3"/>
  <c r="I45" i="17" s="1"/>
  <c r="D10" i="8"/>
  <c r="G10" i="8"/>
  <c r="C5" i="10"/>
  <c r="C7" i="10" s="1"/>
  <c r="C17" i="10" s="1"/>
  <c r="J6" i="7"/>
  <c r="I27" i="7"/>
  <c r="I19" i="7"/>
  <c r="I41" i="7"/>
  <c r="I34" i="7"/>
  <c r="G18" i="12"/>
  <c r="G23" i="12"/>
  <c r="G12" i="12"/>
  <c r="G28" i="12"/>
  <c r="F18" i="12"/>
  <c r="F23" i="12"/>
  <c r="F28" i="12"/>
  <c r="F12" i="12"/>
  <c r="E28" i="12"/>
  <c r="E12" i="12"/>
  <c r="E18" i="12"/>
  <c r="E23" i="12"/>
  <c r="D28" i="12"/>
  <c r="D12" i="12"/>
  <c r="D18" i="12"/>
  <c r="D23" i="12"/>
  <c r="C12" i="12"/>
  <c r="C23" i="12"/>
  <c r="C18" i="12"/>
  <c r="C28" i="12"/>
  <c r="C10" i="8"/>
  <c r="F10" i="8"/>
  <c r="E10" i="8"/>
  <c r="I12" i="7"/>
  <c r="E23" i="7"/>
  <c r="D23" i="7"/>
  <c r="F23" i="7"/>
  <c r="G23" i="7"/>
  <c r="C23" i="7"/>
  <c r="J5" i="5"/>
  <c r="J5" i="21" s="1"/>
  <c r="I15" i="5"/>
  <c r="J10" i="21" l="1"/>
  <c r="J15" i="21"/>
  <c r="C32" i="14"/>
  <c r="K6" i="5"/>
  <c r="K10" i="5" s="1"/>
  <c r="K12" i="5" s="1"/>
  <c r="J6" i="14"/>
  <c r="J5" i="12"/>
  <c r="J6" i="11"/>
  <c r="F60" i="17"/>
  <c r="F58" i="17"/>
  <c r="F8" i="17"/>
  <c r="G8" i="17"/>
  <c r="I14" i="8"/>
  <c r="C8" i="17"/>
  <c r="D8" i="17"/>
  <c r="E8" i="17"/>
  <c r="C46" i="16"/>
  <c r="F17" i="1"/>
  <c r="C24" i="16"/>
  <c r="F22" i="16" s="1"/>
  <c r="F12" i="1"/>
  <c r="M158" i="3"/>
  <c r="C12" i="17" s="1"/>
  <c r="M159" i="3"/>
  <c r="C13" i="17" s="1"/>
  <c r="M163" i="3"/>
  <c r="N158" i="3"/>
  <c r="D12" i="17" s="1"/>
  <c r="N159" i="3"/>
  <c r="D13" i="17" s="1"/>
  <c r="N163" i="3"/>
  <c r="O158" i="3"/>
  <c r="E12" i="17" s="1"/>
  <c r="O159" i="3"/>
  <c r="E13" i="17" s="1"/>
  <c r="O163" i="3"/>
  <c r="P158" i="3"/>
  <c r="F12" i="17" s="1"/>
  <c r="P159" i="3"/>
  <c r="F13" i="17" s="1"/>
  <c r="P163" i="3"/>
  <c r="Q158" i="3"/>
  <c r="G12" i="17" s="1"/>
  <c r="Q159" i="3"/>
  <c r="G13" i="17" s="1"/>
  <c r="I19" i="8"/>
  <c r="I26" i="8"/>
  <c r="J5" i="8"/>
  <c r="J32" i="8" s="1"/>
  <c r="AC124" i="3"/>
  <c r="I30" i="17" s="1"/>
  <c r="I34" i="17" s="1"/>
  <c r="I51" i="17"/>
  <c r="I10" i="17"/>
  <c r="I9" i="17"/>
  <c r="AC157" i="3"/>
  <c r="I53" i="17"/>
  <c r="F30" i="17"/>
  <c r="F34" i="17" s="1"/>
  <c r="K70" i="19"/>
  <c r="E30" i="17"/>
  <c r="E34" i="17" s="1"/>
  <c r="J70" i="19"/>
  <c r="D30" i="17"/>
  <c r="D34" i="17" s="1"/>
  <c r="I70" i="19"/>
  <c r="C30" i="17"/>
  <c r="C34" i="17" s="1"/>
  <c r="H70" i="19"/>
  <c r="G30" i="17"/>
  <c r="G34" i="17" s="1"/>
  <c r="L70" i="19"/>
  <c r="I35" i="17"/>
  <c r="AC169" i="3"/>
  <c r="G35" i="17"/>
  <c r="Q169" i="3"/>
  <c r="I7" i="17"/>
  <c r="I11" i="17"/>
  <c r="C10" i="16"/>
  <c r="F38" i="16"/>
  <c r="I58" i="17"/>
  <c r="F39" i="16"/>
  <c r="I59" i="17"/>
  <c r="F40" i="16"/>
  <c r="I60" i="17"/>
  <c r="F46" i="16"/>
  <c r="I66" i="17"/>
  <c r="C8" i="16"/>
  <c r="F6" i="1"/>
  <c r="C9" i="16"/>
  <c r="F7" i="1"/>
  <c r="C40" i="16"/>
  <c r="F11" i="1"/>
  <c r="F47" i="16"/>
  <c r="F16" i="1"/>
  <c r="F33" i="16"/>
  <c r="F20" i="1"/>
  <c r="F31" i="16"/>
  <c r="F19" i="1"/>
  <c r="AC167" i="3"/>
  <c r="I54" i="17" s="1"/>
  <c r="AC168" i="3"/>
  <c r="F24" i="16"/>
  <c r="F14" i="1"/>
  <c r="AC179" i="3"/>
  <c r="I68" i="17" s="1"/>
  <c r="F3" i="1"/>
  <c r="C38" i="16"/>
  <c r="F9" i="1"/>
  <c r="C26" i="14"/>
  <c r="J5" i="6"/>
  <c r="I10" i="6"/>
  <c r="I18" i="6"/>
  <c r="Q163" i="3"/>
  <c r="C6" i="16"/>
  <c r="AC164" i="3"/>
  <c r="I52" i="17" s="1"/>
  <c r="AC162" i="3"/>
  <c r="D27" i="8"/>
  <c r="D28" i="8" s="1"/>
  <c r="G27" i="8"/>
  <c r="G28" i="8" s="1"/>
  <c r="G7" i="14" s="1"/>
  <c r="G7" i="12"/>
  <c r="D7" i="12"/>
  <c r="C16" i="10"/>
  <c r="C20" i="10" s="1"/>
  <c r="C75" i="12" s="1"/>
  <c r="C78" i="12" s="1"/>
  <c r="J34" i="7"/>
  <c r="J41" i="7"/>
  <c r="J12" i="7"/>
  <c r="J19" i="7"/>
  <c r="J27" i="7"/>
  <c r="K6" i="7"/>
  <c r="C7" i="12"/>
  <c r="C27" i="8"/>
  <c r="C28" i="8" s="1"/>
  <c r="F7" i="12"/>
  <c r="F27" i="8"/>
  <c r="F28" i="8" s="1"/>
  <c r="E7" i="12"/>
  <c r="E27" i="8"/>
  <c r="E28" i="8" s="1"/>
  <c r="H18" i="12"/>
  <c r="H12" i="12"/>
  <c r="H28" i="12"/>
  <c r="H23" i="12"/>
  <c r="K5" i="5"/>
  <c r="K5" i="21" s="1"/>
  <c r="J15" i="5"/>
  <c r="AE6" i="5"/>
  <c r="K10" i="21" l="1"/>
  <c r="K15" i="21"/>
  <c r="C21" i="14"/>
  <c r="C15" i="11"/>
  <c r="I17" i="1" s="1"/>
  <c r="C62" i="12"/>
  <c r="C41" i="12"/>
  <c r="L6" i="5"/>
  <c r="L10" i="5" s="1"/>
  <c r="L12" i="5" s="1"/>
  <c r="H7" i="14"/>
  <c r="K6" i="14"/>
  <c r="K5" i="12"/>
  <c r="K6" i="11"/>
  <c r="F14" i="12"/>
  <c r="J26" i="8"/>
  <c r="F13" i="1"/>
  <c r="C26" i="16"/>
  <c r="F23" i="16" s="1"/>
  <c r="J19" i="8"/>
  <c r="J14" i="8"/>
  <c r="K5" i="8"/>
  <c r="K32" i="8" s="1"/>
  <c r="G14" i="12"/>
  <c r="E14" i="12"/>
  <c r="C34" i="12"/>
  <c r="D14" i="12"/>
  <c r="C42" i="16"/>
  <c r="I55" i="17"/>
  <c r="F4" i="1"/>
  <c r="I8" i="17"/>
  <c r="F10" i="1"/>
  <c r="C41" i="16"/>
  <c r="F48" i="16"/>
  <c r="F15" i="1"/>
  <c r="C39" i="16"/>
  <c r="F8" i="1"/>
  <c r="D7" i="11"/>
  <c r="D8" i="12"/>
  <c r="G7" i="11"/>
  <c r="G8" i="12"/>
  <c r="K5" i="6"/>
  <c r="J18" i="6"/>
  <c r="J10" i="6"/>
  <c r="G34" i="12"/>
  <c r="AC158" i="3"/>
  <c r="C7" i="16"/>
  <c r="AC159" i="3"/>
  <c r="AC163" i="3"/>
  <c r="D7" i="14"/>
  <c r="D34" i="12"/>
  <c r="K12" i="7"/>
  <c r="K19" i="7"/>
  <c r="K27" i="7"/>
  <c r="K34" i="7"/>
  <c r="K41" i="7"/>
  <c r="L6" i="7"/>
  <c r="C7" i="11"/>
  <c r="C8" i="12"/>
  <c r="C7" i="14"/>
  <c r="F34" i="12"/>
  <c r="F7" i="11"/>
  <c r="F8" i="12"/>
  <c r="F7" i="14"/>
  <c r="E34" i="12"/>
  <c r="E7" i="11"/>
  <c r="E8" i="12"/>
  <c r="E7" i="14"/>
  <c r="I18" i="12"/>
  <c r="I12" i="12"/>
  <c r="I28" i="12"/>
  <c r="I23" i="12"/>
  <c r="L5" i="5"/>
  <c r="L5" i="21" s="1"/>
  <c r="K15" i="5"/>
  <c r="AE7" i="5"/>
  <c r="L10" i="21" l="1"/>
  <c r="L15" i="21"/>
  <c r="I7" i="14"/>
  <c r="L6" i="14"/>
  <c r="L5" i="12"/>
  <c r="L6" i="11"/>
  <c r="F15" i="12"/>
  <c r="K26" i="8"/>
  <c r="K19" i="8"/>
  <c r="K14" i="8"/>
  <c r="L5" i="8"/>
  <c r="L32" i="8" s="1"/>
  <c r="E15" i="12"/>
  <c r="G15" i="12"/>
  <c r="C35" i="12"/>
  <c r="D15" i="12"/>
  <c r="C11" i="16"/>
  <c r="I12" i="17"/>
  <c r="C12" i="16"/>
  <c r="I13" i="17"/>
  <c r="D35" i="12"/>
  <c r="G35" i="12"/>
  <c r="L5" i="6"/>
  <c r="K18" i="6"/>
  <c r="K10" i="6"/>
  <c r="L12" i="7"/>
  <c r="L27" i="7"/>
  <c r="L19" i="7"/>
  <c r="L41" i="7"/>
  <c r="L34" i="7"/>
  <c r="H10" i="14"/>
  <c r="F35" i="12"/>
  <c r="E35" i="12"/>
  <c r="J18" i="12"/>
  <c r="J23" i="12"/>
  <c r="J28" i="12"/>
  <c r="J12" i="12"/>
  <c r="L15" i="5"/>
  <c r="J7" i="14" l="1"/>
  <c r="I10" i="14"/>
  <c r="L14" i="8"/>
  <c r="L26" i="8"/>
  <c r="L19" i="8"/>
  <c r="L10" i="6"/>
  <c r="L18" i="6"/>
  <c r="K28" i="12"/>
  <c r="K12" i="12"/>
  <c r="K18" i="12"/>
  <c r="K23" i="12"/>
  <c r="J10" i="14" l="1"/>
  <c r="K7" i="14"/>
  <c r="L12" i="12"/>
  <c r="L18" i="12"/>
  <c r="L23" i="12"/>
  <c r="L28" i="12"/>
  <c r="K10" i="14" l="1"/>
  <c r="L7" i="14"/>
  <c r="L10" i="14" l="1"/>
  <c r="C29" i="14" s="1"/>
  <c r="L8" i="14"/>
  <c r="L11" i="14" s="1"/>
  <c r="C30" i="14" s="1"/>
  <c r="C31" i="14" l="1"/>
  <c r="C34" i="14" s="1"/>
  <c r="C36" i="14" s="1"/>
  <c r="C16" i="14" s="1"/>
  <c r="AC66" i="3"/>
  <c r="H20" i="5" l="1"/>
  <c r="H6" i="8" l="1"/>
  <c r="H6" i="12"/>
  <c r="H13" i="12" s="1"/>
  <c r="H22" i="5"/>
  <c r="H7" i="7"/>
  <c r="H6" i="6"/>
  <c r="H45" i="7" l="1"/>
  <c r="H21" i="8" s="1"/>
  <c r="H42" i="7"/>
  <c r="H36" i="7"/>
  <c r="H13" i="7"/>
  <c r="H28" i="7" s="1"/>
  <c r="H12" i="6"/>
  <c r="H11" i="6"/>
  <c r="H13" i="6"/>
  <c r="H14" i="6" l="1"/>
  <c r="H20" i="8"/>
  <c r="H44" i="7"/>
  <c r="H8" i="7"/>
  <c r="H7" i="8"/>
  <c r="H8" i="8" s="1"/>
  <c r="H9" i="8" l="1"/>
  <c r="H10" i="8" s="1"/>
  <c r="H22" i="6"/>
  <c r="H15" i="7"/>
  <c r="H30" i="7" s="1"/>
  <c r="H14" i="7"/>
  <c r="H29" i="7" s="1"/>
  <c r="H33" i="8"/>
  <c r="H35" i="7" l="1"/>
  <c r="H22" i="8" s="1"/>
  <c r="H7" i="12"/>
  <c r="H27" i="8"/>
  <c r="H34" i="8"/>
  <c r="H28" i="8" l="1"/>
  <c r="H14" i="12"/>
  <c r="H8" i="12" l="1"/>
  <c r="H15" i="12" s="1"/>
  <c r="H7" i="11"/>
  <c r="H10" i="11" s="1"/>
  <c r="H9" i="12" s="1"/>
  <c r="I20" i="5" l="1"/>
  <c r="J20" i="5"/>
  <c r="K20" i="5"/>
  <c r="L20" i="5"/>
  <c r="I6" i="6" l="1"/>
  <c r="I6" i="8"/>
  <c r="I6" i="12"/>
  <c r="I13" i="12" s="1"/>
  <c r="I22" i="5"/>
  <c r="I7" i="7"/>
  <c r="J6" i="6"/>
  <c r="J6" i="8"/>
  <c r="J22" i="5"/>
  <c r="J7" i="7"/>
  <c r="J6" i="12"/>
  <c r="K6" i="6"/>
  <c r="K6" i="12"/>
  <c r="K6" i="8"/>
  <c r="K22" i="5"/>
  <c r="K7" i="7"/>
  <c r="L6" i="6"/>
  <c r="L6" i="8"/>
  <c r="L6" i="12"/>
  <c r="L22" i="5"/>
  <c r="L7" i="7"/>
  <c r="J13" i="12" l="1"/>
  <c r="K13" i="12"/>
  <c r="I13" i="6"/>
  <c r="I12" i="6"/>
  <c r="I14" i="6" s="1"/>
  <c r="I11" i="6"/>
  <c r="I45" i="7"/>
  <c r="I21" i="8" s="1"/>
  <c r="I42" i="7"/>
  <c r="I36" i="7"/>
  <c r="I13" i="7"/>
  <c r="I28" i="7" s="1"/>
  <c r="J13" i="6"/>
  <c r="J12" i="6"/>
  <c r="J11" i="6"/>
  <c r="J45" i="7"/>
  <c r="J21" i="8" s="1"/>
  <c r="J42" i="7"/>
  <c r="J36" i="7"/>
  <c r="J13" i="7"/>
  <c r="K13" i="6"/>
  <c r="K12" i="6"/>
  <c r="K11" i="6"/>
  <c r="K45" i="7"/>
  <c r="K21" i="8" s="1"/>
  <c r="K42" i="7"/>
  <c r="K36" i="7"/>
  <c r="K13" i="7"/>
  <c r="L13" i="6"/>
  <c r="L12" i="6"/>
  <c r="L11" i="6"/>
  <c r="C53" i="12"/>
  <c r="C57" i="12" s="1"/>
  <c r="C58" i="12" s="1"/>
  <c r="C7" i="13" s="1"/>
  <c r="I5" i="1" s="1"/>
  <c r="L13" i="12"/>
  <c r="L45" i="7"/>
  <c r="L21" i="8" s="1"/>
  <c r="L42" i="7"/>
  <c r="L36" i="7"/>
  <c r="L13" i="7"/>
  <c r="K14" i="6" l="1"/>
  <c r="K28" i="7"/>
  <c r="L14" i="6"/>
  <c r="J14" i="6"/>
  <c r="J28" i="7"/>
  <c r="L28" i="7"/>
  <c r="I9" i="8"/>
  <c r="I22" i="6"/>
  <c r="I8" i="7"/>
  <c r="I7" i="8"/>
  <c r="I8" i="8" s="1"/>
  <c r="I20" i="8"/>
  <c r="I44" i="7"/>
  <c r="J8" i="7"/>
  <c r="J7" i="8"/>
  <c r="J8" i="8" s="1"/>
  <c r="J20" i="8"/>
  <c r="J44" i="7"/>
  <c r="K8" i="7"/>
  <c r="K7" i="8"/>
  <c r="K8" i="8" s="1"/>
  <c r="K20" i="8"/>
  <c r="K44" i="7"/>
  <c r="L8" i="7"/>
  <c r="L7" i="8"/>
  <c r="L8" i="8" s="1"/>
  <c r="L20" i="8"/>
  <c r="L44" i="7"/>
  <c r="K9" i="8" l="1"/>
  <c r="K10" i="8" s="1"/>
  <c r="K22" i="6"/>
  <c r="J9" i="8"/>
  <c r="J10" i="8" s="1"/>
  <c r="J22" i="6"/>
  <c r="L22" i="6"/>
  <c r="L9" i="8"/>
  <c r="L10" i="8" s="1"/>
  <c r="I15" i="7"/>
  <c r="I30" i="7" s="1"/>
  <c r="I14" i="7"/>
  <c r="I29" i="7" s="1"/>
  <c r="I10" i="8"/>
  <c r="I33" i="8"/>
  <c r="J15" i="7"/>
  <c r="J14" i="7"/>
  <c r="J33" i="8"/>
  <c r="K15" i="7"/>
  <c r="K14" i="7"/>
  <c r="K33" i="8"/>
  <c r="L15" i="7"/>
  <c r="L14" i="7"/>
  <c r="L33" i="8"/>
  <c r="I35" i="7" l="1"/>
  <c r="I22" i="8" s="1"/>
  <c r="J30" i="7"/>
  <c r="J29" i="7"/>
  <c r="K30" i="7"/>
  <c r="K29" i="7"/>
  <c r="I34" i="8"/>
  <c r="I27" i="8"/>
  <c r="I7" i="12"/>
  <c r="J34" i="8"/>
  <c r="J27" i="8"/>
  <c r="J7" i="12"/>
  <c r="K27" i="8"/>
  <c r="K7" i="12"/>
  <c r="K34" i="8"/>
  <c r="L34" i="8"/>
  <c r="L27" i="8"/>
  <c r="L7" i="12"/>
  <c r="C40" i="12" s="1"/>
  <c r="C43" i="12" s="1"/>
  <c r="C44" i="12" s="1"/>
  <c r="L30" i="7"/>
  <c r="L29" i="7"/>
  <c r="K35" i="7" l="1"/>
  <c r="K22" i="8" s="1"/>
  <c r="K28" i="8" s="1"/>
  <c r="L35" i="7"/>
  <c r="L22" i="8" s="1"/>
  <c r="L28" i="8" s="1"/>
  <c r="I28" i="8"/>
  <c r="J35" i="7"/>
  <c r="J22" i="8" s="1"/>
  <c r="J28" i="8" s="1"/>
  <c r="L14" i="12"/>
  <c r="I14" i="12"/>
  <c r="J14" i="12"/>
  <c r="K14" i="12"/>
  <c r="I7" i="11" l="1"/>
  <c r="I10" i="11" s="1"/>
  <c r="I9" i="12" s="1"/>
  <c r="I8" i="12"/>
  <c r="I15" i="12" s="1"/>
  <c r="J7" i="11"/>
  <c r="J10" i="11" s="1"/>
  <c r="J9" i="12" s="1"/>
  <c r="J8" i="12"/>
  <c r="K7" i="11"/>
  <c r="K10" i="11" s="1"/>
  <c r="K9" i="12" s="1"/>
  <c r="K8" i="12"/>
  <c r="L7" i="11"/>
  <c r="L8" i="12"/>
  <c r="C79" i="12" l="1"/>
  <c r="C82" i="12" s="1"/>
  <c r="C84" i="12" s="1"/>
  <c r="C9" i="13" s="1"/>
  <c r="I7" i="1" s="1"/>
  <c r="C45" i="12"/>
  <c r="C48" i="12" s="1"/>
  <c r="C50" i="12" s="1"/>
  <c r="C6" i="13" s="1"/>
  <c r="I4" i="1" s="1"/>
  <c r="K15" i="12"/>
  <c r="J15" i="12"/>
  <c r="L8" i="11"/>
  <c r="L11" i="11" s="1"/>
  <c r="C20" i="11" s="1"/>
  <c r="L10" i="11"/>
  <c r="C61" i="12"/>
  <c r="C64" i="12" s="1"/>
  <c r="C65" i="12" s="1"/>
  <c r="C66" i="12" s="1"/>
  <c r="C69" i="12" s="1"/>
  <c r="C71" i="12" s="1"/>
  <c r="C8" i="13" s="1"/>
  <c r="I6" i="1" s="1"/>
  <c r="L15" i="12"/>
  <c r="C19" i="11" l="1"/>
  <c r="C21" i="11" s="1"/>
  <c r="C24" i="11" s="1"/>
  <c r="C26" i="11" s="1"/>
  <c r="C5" i="13" s="1"/>
  <c r="C10" i="13" s="1"/>
  <c r="L9" i="12"/>
  <c r="I3" i="1" l="1"/>
  <c r="AA8" i="5"/>
  <c r="AE8" i="5" l="1"/>
  <c r="AA12" i="5"/>
  <c r="X6" i="6" s="1"/>
  <c r="AE10" i="5"/>
  <c r="I8" i="1"/>
  <c r="C12" i="13"/>
  <c r="I9" i="1" s="1"/>
  <c r="AA22" i="5" l="1"/>
  <c r="AE12" i="5"/>
  <c r="AB6" i="6" s="1"/>
  <c r="X13" i="6"/>
  <c r="AB13" i="6" s="1"/>
  <c r="X12" i="6"/>
  <c r="X11" i="6"/>
  <c r="AB11" i="6" s="1"/>
  <c r="AB12" i="6" l="1"/>
  <c r="X14" i="6"/>
  <c r="X22" i="6" l="1"/>
  <c r="AB1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tc={22B2B3EF-EBF6-0D4F-BF74-BA371A77FD6F}</author>
    <author>tc={8A10573A-B1E5-5443-A272-E27CCC9C056F}</author>
  </authors>
  <commentList>
    <comment ref="B84" authorId="0" shapeId="0" xr:uid="{22B2B3EF-EBF6-0D4F-BF74-BA371A77FD6F}">
      <text>
        <t>[Threaded comment]
Your version of Excel allows you to read this threaded comment; however, any edits to it will get removed if the file is opened in a newer version of Excel. Learn more: https://go.microsoft.com/fwlink/?linkid=870924
Comment:
    Actual number</t>
      </text>
    </comment>
    <comment ref="B115" authorId="1" shapeId="0" xr:uid="{8A10573A-B1E5-5443-A272-E27CCC9C056F}">
      <text>
        <t>[Threaded comment]
Your version of Excel allows you to read this threaded comment; however, any edits to it will get removed if the file is opened in a newer version of Excel. Learn more: https://go.microsoft.com/fwlink/?linkid=870924
Comment:
    Take the closing price of the last day of the period. In case the price has seen heavy fluctuations make an average of the last days. Info found at Yahoo Finance in the Historical Data section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tc={87FCD2F5-1815-1140-9144-DCAA38F9CA74}</author>
  </authors>
  <commentList>
    <comment ref="B35" authorId="0" shapeId="0" xr:uid="{87FCD2F5-1815-1140-9144-DCAA38F9CA74}">
      <text>
        <t>[Threaded comment]
Your version of Excel allows you to read this threaded comment; however, any edits to it will get removed if the file is opened in a newer version of Excel. Learn more: https://go.microsoft.com/fwlink/?linkid=870924
Comment:
    We use here the inverted signg as are used in the CashFlow statement which means we will Add the change in NWC to the NOPAT instead of subtracting it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6"/>
        </ext>
      </extLst>
    </bk>
    <bk>
      <extLst>
        <ext uri="{3e2802c4-a4d2-4d8b-9148-e3be6c30e623}">
          <xlrd:rvb i="9"/>
        </ext>
      </extLst>
    </bk>
  </futureMetadata>
  <cellMetadata count="1">
    <bk>
      <rc t="1" v="0"/>
    </bk>
  </cellMetadata>
  <valueMetadata count="2">
    <bk>
      <rc t="2" v="0"/>
    </bk>
    <bk>
      <rc t="2" v="1"/>
    </bk>
  </valueMetadata>
</metadata>
</file>

<file path=xl/sharedStrings.xml><?xml version="1.0" encoding="utf-8"?>
<sst xmlns="http://schemas.openxmlformats.org/spreadsheetml/2006/main" count="863" uniqueCount="437">
  <si>
    <t>Ticker</t>
  </si>
  <si>
    <t>Price</t>
  </si>
  <si>
    <t>Price Extended Hours</t>
  </si>
  <si>
    <t>Day change</t>
  </si>
  <si>
    <t>Day change extended</t>
  </si>
  <si>
    <t>Day change %</t>
  </si>
  <si>
    <t>Day change extended %</t>
  </si>
  <si>
    <t>52 week high</t>
  </si>
  <si>
    <t>52 week low</t>
  </si>
  <si>
    <t>Beta</t>
  </si>
  <si>
    <t>Avg volume</t>
  </si>
  <si>
    <t>Company</t>
  </si>
  <si>
    <t>Units</t>
  </si>
  <si>
    <t>Units conversion</t>
  </si>
  <si>
    <t>Financials -&gt;</t>
  </si>
  <si>
    <t>Date</t>
  </si>
  <si>
    <t>FY</t>
  </si>
  <si>
    <t>Automatic Data</t>
  </si>
  <si>
    <t>Income statement</t>
  </si>
  <si>
    <t>Revenue</t>
  </si>
  <si>
    <t>COGS</t>
  </si>
  <si>
    <t>Gross Profit</t>
  </si>
  <si>
    <t>R&amp;D</t>
  </si>
  <si>
    <t>OpEx</t>
  </si>
  <si>
    <t>Operating income</t>
  </si>
  <si>
    <t>Interest income/expense</t>
  </si>
  <si>
    <t>Other income/expense</t>
  </si>
  <si>
    <t>Income before taxes</t>
  </si>
  <si>
    <t>Income tax expense/benefit</t>
  </si>
  <si>
    <t>Net income</t>
  </si>
  <si>
    <t>Basic Shares outstanding avg</t>
  </si>
  <si>
    <t>Basic Shares outstanding avg adjusted</t>
  </si>
  <si>
    <t>Diluted Shares outstanding avg</t>
  </si>
  <si>
    <t>Diluted Shares outstanding avg adjusted</t>
  </si>
  <si>
    <t>Basic EPS</t>
  </si>
  <si>
    <t>Basic EPS adjusted</t>
  </si>
  <si>
    <t>Diluted EPS</t>
  </si>
  <si>
    <t>Diluted EPS adjusted</t>
  </si>
  <si>
    <t>Balance sheet</t>
  </si>
  <si>
    <t>Cash and cash equivalents</t>
  </si>
  <si>
    <t>Acc receivable</t>
  </si>
  <si>
    <t>Current assets</t>
  </si>
  <si>
    <t>PP&amp;E</t>
  </si>
  <si>
    <t>Goodwill</t>
  </si>
  <si>
    <t>Long term assets</t>
  </si>
  <si>
    <t>Total assets</t>
  </si>
  <si>
    <t>Acc payable</t>
  </si>
  <si>
    <t>Current liabilities</t>
  </si>
  <si>
    <t>Long term liabilities</t>
  </si>
  <si>
    <t>Total liabilities</t>
  </si>
  <si>
    <t>Paid in capital</t>
  </si>
  <si>
    <t>Treasury stock</t>
  </si>
  <si>
    <t>Stockholder equity</t>
  </si>
  <si>
    <t>Total liabilities and equity</t>
  </si>
  <si>
    <t>Cashflow statement</t>
  </si>
  <si>
    <t>D&amp;A</t>
  </si>
  <si>
    <t>Stock-based compensation</t>
  </si>
  <si>
    <t>Operating cashflow</t>
  </si>
  <si>
    <t>CapEx</t>
  </si>
  <si>
    <t>Investing cashflow</t>
  </si>
  <si>
    <t>Repurchase stock</t>
  </si>
  <si>
    <t>Financing cashflow</t>
  </si>
  <si>
    <t>Sanity checks</t>
  </si>
  <si>
    <t>Calculated Net Income</t>
  </si>
  <si>
    <t>Check Net Income</t>
  </si>
  <si>
    <t>Check balance</t>
  </si>
  <si>
    <t>Other data</t>
  </si>
  <si>
    <t>Shares outstanding</t>
  </si>
  <si>
    <t>Split adjusted shares outstanding</t>
  </si>
  <si>
    <t>Dividends per share</t>
  </si>
  <si>
    <t>Split adjusted dividends per share</t>
  </si>
  <si>
    <t>Tax rate</t>
  </si>
  <si>
    <t>Employees</t>
  </si>
  <si>
    <t>Stock split factor</t>
  </si>
  <si>
    <t>Growth rates Income Statement</t>
  </si>
  <si>
    <t>Margins</t>
  </si>
  <si>
    <t>Gross margin</t>
  </si>
  <si>
    <t>Operating margin</t>
  </si>
  <si>
    <t>Net margin</t>
  </si>
  <si>
    <t>Revenue and Costs breakdown</t>
  </si>
  <si>
    <t>Market data</t>
  </si>
  <si>
    <t>Last market price for period</t>
  </si>
  <si>
    <t>TTM/YTD</t>
  </si>
  <si>
    <t>Unit data and other info</t>
  </si>
  <si>
    <t>Has operating lease</t>
  </si>
  <si>
    <t>Has finance lease</t>
  </si>
  <si>
    <t>No</t>
  </si>
  <si>
    <t>Has debt</t>
  </si>
  <si>
    <t>Change in accounts receivable</t>
  </si>
  <si>
    <t>Change in accounts payable</t>
  </si>
  <si>
    <t>Change in other operating NWC</t>
  </si>
  <si>
    <t>Capitalized software</t>
  </si>
  <si>
    <t>Profit Margin (Earnings/Revenue)</t>
  </si>
  <si>
    <t>Asset Turnover (Revenue/Total assets)</t>
  </si>
  <si>
    <t>ROA</t>
  </si>
  <si>
    <t>Equity Multiplier (Total assets/Equity)</t>
  </si>
  <si>
    <t>ROE</t>
  </si>
  <si>
    <t>ROIC</t>
  </si>
  <si>
    <t>DuPont Identity and performance</t>
  </si>
  <si>
    <t>Constants</t>
  </si>
  <si>
    <t>Default tax rate</t>
  </si>
  <si>
    <t>Adjustments</t>
  </si>
  <si>
    <t>Company metrics</t>
  </si>
  <si>
    <t>Forecast -&gt;</t>
  </si>
  <si>
    <t>Revenue forecast</t>
  </si>
  <si>
    <t>History</t>
  </si>
  <si>
    <t>Forecast</t>
  </si>
  <si>
    <t>TTM</t>
  </si>
  <si>
    <t>Revenues</t>
  </si>
  <si>
    <t>Revenues (thousand)</t>
  </si>
  <si>
    <t>FQ1</t>
  </si>
  <si>
    <t>FQ2</t>
  </si>
  <si>
    <t>FQ3</t>
  </si>
  <si>
    <t>Total</t>
  </si>
  <si>
    <t>Growth rates</t>
  </si>
  <si>
    <t>Revenue growth %</t>
  </si>
  <si>
    <t>COGS &amp; OpEx forecast</t>
  </si>
  <si>
    <t>COGS and OpEx</t>
  </si>
  <si>
    <t>COGS &amp; OpEx</t>
  </si>
  <si>
    <t>Expenses (thousand)</t>
  </si>
  <si>
    <t>Expenses % of Revenue</t>
  </si>
  <si>
    <t>% of revenue</t>
  </si>
  <si>
    <t>Expenses (tnousand)</t>
  </si>
  <si>
    <t>Working Capital, Capex, D&amp;A</t>
  </si>
  <si>
    <t>Working Capital</t>
  </si>
  <si>
    <t>$ (thousand)</t>
  </si>
  <si>
    <t>Accounts receivable</t>
  </si>
  <si>
    <t>Inventory</t>
  </si>
  <si>
    <t>Accounts payable</t>
  </si>
  <si>
    <t>WC metrics and drivers</t>
  </si>
  <si>
    <t>Days</t>
  </si>
  <si>
    <t>DSO</t>
  </si>
  <si>
    <t>DIO</t>
  </si>
  <si>
    <t>DPO</t>
  </si>
  <si>
    <t>Net trade cycle</t>
  </si>
  <si>
    <t>Change in SIP NWC</t>
  </si>
  <si>
    <t>Change in acc receivable</t>
  </si>
  <si>
    <t>Change in inventory</t>
  </si>
  <si>
    <t>Change in acc payable</t>
  </si>
  <si>
    <t>Total change in NWC and less SIP</t>
  </si>
  <si>
    <t>Total change in NWC</t>
  </si>
  <si>
    <t>Change in NWC less SIP</t>
  </si>
  <si>
    <t>Investments</t>
  </si>
  <si>
    <t>% of Revenue</t>
  </si>
  <si>
    <t>% of CapEx</t>
  </si>
  <si>
    <t>Results</t>
  </si>
  <si>
    <t>From Revenue Sheet</t>
  </si>
  <si>
    <t>From COGS and OpEx Sheet</t>
  </si>
  <si>
    <t>Gross profit</t>
  </si>
  <si>
    <t>EBIT</t>
  </si>
  <si>
    <t>Drivers</t>
  </si>
  <si>
    <t>Cash Flow Statement</t>
  </si>
  <si>
    <t>From WC &amp; Investments Sheet</t>
  </si>
  <si>
    <t>Change in NWC</t>
  </si>
  <si>
    <t>NOPAT</t>
  </si>
  <si>
    <t>From Statements and Overview sheet</t>
  </si>
  <si>
    <t>Valuation -&gt;</t>
  </si>
  <si>
    <t>WACC</t>
  </si>
  <si>
    <t>Inputs</t>
  </si>
  <si>
    <t>Shares Outstanding</t>
  </si>
  <si>
    <t>Equity</t>
  </si>
  <si>
    <t>Debt</t>
  </si>
  <si>
    <t>Risk free rate</t>
  </si>
  <si>
    <t>Market risk premium</t>
  </si>
  <si>
    <t>Cost of debt</t>
  </si>
  <si>
    <t>Calculations</t>
  </si>
  <si>
    <t>Debt/(Debt+Equity)</t>
  </si>
  <si>
    <t>Equity/(Debt+Equity)</t>
  </si>
  <si>
    <t>Cost of debt with tax</t>
  </si>
  <si>
    <t>Cost of equity</t>
  </si>
  <si>
    <t>Cash</t>
  </si>
  <si>
    <t>DCF</t>
  </si>
  <si>
    <t>PV of FCF</t>
  </si>
  <si>
    <t>Perpetual cashflow</t>
  </si>
  <si>
    <t>Period</t>
  </si>
  <si>
    <t>PV of Perpetual cashflow</t>
  </si>
  <si>
    <t>Input parameters</t>
  </si>
  <si>
    <t>Perpetual growth</t>
  </si>
  <si>
    <t>Result</t>
  </si>
  <si>
    <t>Total PV of Unlevered FCF</t>
  </si>
  <si>
    <t>Enterprise value</t>
  </si>
  <si>
    <t>(+) Cash</t>
  </si>
  <si>
    <t>(-) Debt</t>
  </si>
  <si>
    <t>Equity value</t>
  </si>
  <si>
    <t>Price per share</t>
  </si>
  <si>
    <t>Multiples valuations</t>
  </si>
  <si>
    <t>Revenues, earnings cash</t>
  </si>
  <si>
    <t>% Growth</t>
  </si>
  <si>
    <t>Shares</t>
  </si>
  <si>
    <t>Avg diluted shares</t>
  </si>
  <si>
    <t>Dilution rate</t>
  </si>
  <si>
    <t>Historical price</t>
  </si>
  <si>
    <t>Historical ratios</t>
  </si>
  <si>
    <t>PS</t>
  </si>
  <si>
    <t>Market Cap</t>
  </si>
  <si>
    <t>EV</t>
  </si>
  <si>
    <t>EV/EBIT</t>
  </si>
  <si>
    <t>EV/EBIT valuation</t>
  </si>
  <si>
    <t>Year 5 EBIT</t>
  </si>
  <si>
    <t>Applied EV/EBIT ratio</t>
  </si>
  <si>
    <t>Shares outstanding diluted</t>
  </si>
  <si>
    <t>PV of price per share</t>
  </si>
  <si>
    <t>PS valuation</t>
  </si>
  <si>
    <t>Year 5 sales</t>
  </si>
  <si>
    <t>Applied PS ratio</t>
  </si>
  <si>
    <t>AVG target price</t>
  </si>
  <si>
    <t>AVG  target price</t>
  </si>
  <si>
    <t>DCF price</t>
  </si>
  <si>
    <t>EV/EBIT price</t>
  </si>
  <si>
    <t>PS price</t>
  </si>
  <si>
    <t>AVG price</t>
  </si>
  <si>
    <t>Current price</t>
  </si>
  <si>
    <t>Upside/Downside</t>
  </si>
  <si>
    <t>Reverse DCF</t>
  </si>
  <si>
    <t>Growth adjustment</t>
  </si>
  <si>
    <t>Current Price</t>
  </si>
  <si>
    <t>Calculated Price</t>
  </si>
  <si>
    <t>Modify until Calculated Price is very close to Current Price</t>
  </si>
  <si>
    <t>Market cap</t>
  </si>
  <si>
    <t>Enterprise Value</t>
  </si>
  <si>
    <t>Company guidance next Quarter</t>
  </si>
  <si>
    <t>Revenue Lower</t>
  </si>
  <si>
    <t>Revenue Upper</t>
  </si>
  <si>
    <t>Actual Revenue</t>
  </si>
  <si>
    <t>Analysis -&gt;</t>
  </si>
  <si>
    <t>Overview</t>
  </si>
  <si>
    <t>Dilutive shares</t>
  </si>
  <si>
    <t>Split adjusted dilutive shares</t>
  </si>
  <si>
    <t>Split adjusted diluted shares</t>
  </si>
  <si>
    <t>PE</t>
  </si>
  <si>
    <t>PB</t>
  </si>
  <si>
    <t>Market capitalization</t>
  </si>
  <si>
    <t>CAGR</t>
  </si>
  <si>
    <t>5Y</t>
  </si>
  <si>
    <t>10Y</t>
  </si>
  <si>
    <t>EPS</t>
  </si>
  <si>
    <t>Dividend</t>
  </si>
  <si>
    <t>DuPont Identity</t>
  </si>
  <si>
    <t>Earnings quality</t>
  </si>
  <si>
    <t>Operating cash</t>
  </si>
  <si>
    <t>Metrics and ratios</t>
  </si>
  <si>
    <t>Performance indicators</t>
  </si>
  <si>
    <t>Cash conversion cycle</t>
  </si>
  <si>
    <t>Debt to Equity</t>
  </si>
  <si>
    <t>Quick ratio</t>
  </si>
  <si>
    <t>Current ratio</t>
  </si>
  <si>
    <t>Cash accruals</t>
  </si>
  <si>
    <t>Net debt to equity</t>
  </si>
  <si>
    <t>Liquidity ratios</t>
  </si>
  <si>
    <t>Debt/Equity</t>
  </si>
  <si>
    <t>Net Debt/Equity</t>
  </si>
  <si>
    <t>Interest coverage</t>
  </si>
  <si>
    <t>EV/Revenue</t>
  </si>
  <si>
    <t>FCFE</t>
  </si>
  <si>
    <t>FCFF</t>
  </si>
  <si>
    <t>P/FCF</t>
  </si>
  <si>
    <t>EV/FCF</t>
  </si>
  <si>
    <t>FCF Yield</t>
  </si>
  <si>
    <t>Earnings yield</t>
  </si>
  <si>
    <t>Dividend yield</t>
  </si>
  <si>
    <t>Earnings yields</t>
  </si>
  <si>
    <t>FCF yield</t>
  </si>
  <si>
    <t>Dividend payout ratio</t>
  </si>
  <si>
    <t>Payout ratios</t>
  </si>
  <si>
    <t>Buyback payout ratio</t>
  </si>
  <si>
    <t>Full payout ratio</t>
  </si>
  <si>
    <t>TTM/YTD data</t>
  </si>
  <si>
    <t>Shares held by insiders</t>
  </si>
  <si>
    <t>Split adjusted shares held by insiders</t>
  </si>
  <si>
    <t>Insider ownership</t>
  </si>
  <si>
    <t>Cash per share</t>
  </si>
  <si>
    <t>Ownership</t>
  </si>
  <si>
    <t>Stock based compensation % OCF</t>
  </si>
  <si>
    <t>Stock based compensation % Revenue</t>
  </si>
  <si>
    <t>Stock based compensation</t>
  </si>
  <si>
    <t>Total payout ratio</t>
  </si>
  <si>
    <t>Dividends</t>
  </si>
  <si>
    <t>Cash holdings</t>
  </si>
  <si>
    <t>Net cash per share</t>
  </si>
  <si>
    <t>At a glance</t>
  </si>
  <si>
    <t>Earnings Yield</t>
  </si>
  <si>
    <t>Dividend Yield</t>
  </si>
  <si>
    <t>Net Cash/Market Cap</t>
  </si>
  <si>
    <t>Net cash to market cap</t>
  </si>
  <si>
    <t>Buyback yield</t>
  </si>
  <si>
    <t>Buyback Yield</t>
  </si>
  <si>
    <t>Total shareholder yield</t>
  </si>
  <si>
    <t>Net Cash/Share</t>
  </si>
  <si>
    <t>Insider Ownership</t>
  </si>
  <si>
    <t>Net Trade Cycle</t>
  </si>
  <si>
    <t>Quick Ratio</t>
  </si>
  <si>
    <t>Capex</t>
  </si>
  <si>
    <t>CapEx to Revenue</t>
  </si>
  <si>
    <t>CapEx to OCF</t>
  </si>
  <si>
    <t>CapEx to D&amp;A</t>
  </si>
  <si>
    <t>CapEx usage</t>
  </si>
  <si>
    <t>Capex to Revenue</t>
  </si>
  <si>
    <t>Performance Indicators</t>
  </si>
  <si>
    <t>Stock Based Compensation</t>
  </si>
  <si>
    <t>CapEx Usage</t>
  </si>
  <si>
    <t>Operating Income</t>
  </si>
  <si>
    <t>Net Income</t>
  </si>
  <si>
    <t>Growth rates breakdown</t>
  </si>
  <si>
    <t>Growth rate breakdown</t>
  </si>
  <si>
    <t>Other growth rates</t>
  </si>
  <si>
    <t>Latest 2 quarters</t>
  </si>
  <si>
    <t>YoY</t>
  </si>
  <si>
    <t>Growth</t>
  </si>
  <si>
    <t>Operating profit</t>
  </si>
  <si>
    <t>Diluted shares outstanding</t>
  </si>
  <si>
    <t>Revenue breakdown</t>
  </si>
  <si>
    <t>Income statement growth</t>
  </si>
  <si>
    <t>PV of FCFF</t>
  </si>
  <si>
    <t>EV/FCFF</t>
  </si>
  <si>
    <t>EV/FCFF valuation</t>
  </si>
  <si>
    <t>EV/FCFF price</t>
  </si>
  <si>
    <t>FCFF Growth</t>
  </si>
  <si>
    <t>Valuation</t>
  </si>
  <si>
    <t>Non-controlling interest</t>
  </si>
  <si>
    <t>Net income with non-controlling</t>
  </si>
  <si>
    <t>Equity with non-controlling</t>
  </si>
  <si>
    <t>Dividends to minority interest</t>
  </si>
  <si>
    <t>Preferred stock</t>
  </si>
  <si>
    <t>Accumulated income/loss</t>
  </si>
  <si>
    <t>%</t>
  </si>
  <si>
    <t>Info</t>
  </si>
  <si>
    <t>Mission:</t>
  </si>
  <si>
    <t>Auditor:</t>
  </si>
  <si>
    <t>Notes</t>
  </si>
  <si>
    <t>Date:</t>
  </si>
  <si>
    <t>10 Year Bond Yield</t>
  </si>
  <si>
    <t>Percentage</t>
  </si>
  <si>
    <t>Last market price for period adjusted</t>
  </si>
  <si>
    <t>M</t>
  </si>
  <si>
    <t>SG&amp;A</t>
  </si>
  <si>
    <t>Yes</t>
  </si>
  <si>
    <t>Q1 2026</t>
  </si>
  <si>
    <t>Q4 2025</t>
  </si>
  <si>
    <t>Q3 2025</t>
  </si>
  <si>
    <t>Q2 2026</t>
  </si>
  <si>
    <t>Q2 2025</t>
  </si>
  <si>
    <t>PwC</t>
  </si>
  <si>
    <t>Pioneered accelerated computing to help solve the most challanging computational problems</t>
  </si>
  <si>
    <t>FCFF/Sales (FCFF Margin)</t>
  </si>
  <si>
    <t>FCFE/Sales (FCFE Margin)</t>
  </si>
  <si>
    <t>Applied EV/FCFF ratio</t>
  </si>
  <si>
    <t>Discount rate</t>
  </si>
  <si>
    <t>Manual WACC</t>
  </si>
  <si>
    <t>Common size growth rates</t>
  </si>
  <si>
    <t>Price 5y</t>
  </si>
  <si>
    <t>Revenue 5y</t>
  </si>
  <si>
    <t>EPS 5y</t>
  </si>
  <si>
    <t>Marketable securities and investments</t>
  </si>
  <si>
    <t>Debt/EBIT</t>
  </si>
  <si>
    <t>Net Debt/EBIT</t>
  </si>
  <si>
    <t>Sales/Invested Capital</t>
  </si>
  <si>
    <t>Sales/Assets</t>
  </si>
  <si>
    <t>28.09.2025</t>
  </si>
  <si>
    <t>29.09.2024</t>
  </si>
  <si>
    <t>24.09.2023</t>
  </si>
  <si>
    <t>Other</t>
  </si>
  <si>
    <t>FY 2025</t>
  </si>
  <si>
    <t>-</t>
  </si>
  <si>
    <t>Subtracted 5.7B from taxes</t>
  </si>
  <si>
    <t>Adjusted for the new tax</t>
  </si>
  <si>
    <t>Basic/Diluted EPS</t>
  </si>
  <si>
    <t>25.09.2022</t>
  </si>
  <si>
    <t>26.09.2021</t>
  </si>
  <si>
    <t>29.03.2026</t>
  </si>
  <si>
    <t>30.03.2025</t>
  </si>
  <si>
    <t>Adjusted tax to an expense of 300M</t>
  </si>
  <si>
    <t>28.12.2025</t>
  </si>
  <si>
    <t>Q1 2025</t>
  </si>
  <si>
    <t>29.12.2024</t>
  </si>
  <si>
    <t>Q4 2024</t>
  </si>
  <si>
    <t>29.06.2025</t>
  </si>
  <si>
    <t>Handset</t>
  </si>
  <si>
    <t>Automotive</t>
  </si>
  <si>
    <t>IoT</t>
  </si>
  <si>
    <t>QCT</t>
  </si>
  <si>
    <t>QTL</t>
  </si>
  <si>
    <t>Revenue Handset</t>
  </si>
  <si>
    <t>Revenue Automotive</t>
  </si>
  <si>
    <t>Revenue IoT</t>
  </si>
  <si>
    <t>Revenue QTL</t>
  </si>
  <si>
    <t>Handset Growth Rate</t>
  </si>
  <si>
    <t>Automotive Growth Rate</t>
  </si>
  <si>
    <t>IoT Growth Rate</t>
  </si>
  <si>
    <t>QTL Growth Rate</t>
  </si>
  <si>
    <t>QCT Revenue Lower</t>
  </si>
  <si>
    <t>QCT Revenue Upper</t>
  </si>
  <si>
    <t>Actual QCT Revenue</t>
  </si>
  <si>
    <t>QTL Revenue Lower</t>
  </si>
  <si>
    <t>QTL Revenue Upper</t>
  </si>
  <si>
    <t>Actual QTL Revenue</t>
  </si>
  <si>
    <t>Dividend discount model</t>
  </si>
  <si>
    <t>Dividend per share</t>
  </si>
  <si>
    <t>Ratios</t>
  </si>
  <si>
    <t>Payout</t>
  </si>
  <si>
    <t>DDM valuation</t>
  </si>
  <si>
    <t>Latest dividend</t>
  </si>
  <si>
    <t>Year 1 growth rate</t>
  </si>
  <si>
    <t>Year 1 dividend</t>
  </si>
  <si>
    <t>Perpetual dividend growth</t>
  </si>
  <si>
    <t>DDM price</t>
  </si>
  <si>
    <t>Manual Cost of Equity</t>
  </si>
  <si>
    <t>Q3 2026</t>
  </si>
  <si>
    <t>28.06.2026</t>
  </si>
  <si>
    <t>Handset revenue from China should return to double digit growth in Q4</t>
  </si>
  <si>
    <t>Revenue from modems provided to Apple will be lower than expected</t>
  </si>
  <si>
    <t>Android handset revenue will be lower in FY2026 by 20% compared to FY2025 dues to the memory pricing and supply constraints</t>
  </si>
  <si>
    <t>Non-handset revenue to be 40B by FY2029 and growth to accelerate to +60% in FY2027 which will replace lost Apple revenue</t>
  </si>
  <si>
    <t>Automotive 10B, IoT 14B and Data Center 15B in FY2029</t>
  </si>
  <si>
    <t>Data Centers could have a TAM of +1T in 2029</t>
  </si>
  <si>
    <t>Data Center revenue for FY2027 should be 5B</t>
  </si>
  <si>
    <t>Apple revenue to be displaced is about 7.5B</t>
  </si>
  <si>
    <t>Gross margin could be at about 46% in the near term</t>
  </si>
  <si>
    <t>Data Center</t>
  </si>
  <si>
    <t>Data Center Growth Rate</t>
  </si>
  <si>
    <t>Terminal EV</t>
  </si>
  <si>
    <t>PV of Terminal EV</t>
  </si>
  <si>
    <t>Total EV</t>
  </si>
  <si>
    <t>Termianl EV</t>
  </si>
  <si>
    <t>Year 5 FCFF</t>
  </si>
  <si>
    <t>EV/Sales</t>
  </si>
  <si>
    <t>EV/Sales valuation</t>
  </si>
  <si>
    <t>Year 5 Sales</t>
  </si>
  <si>
    <t>Applied EV/Sales ratio</t>
  </si>
  <si>
    <t>Reverse DCF rate</t>
  </si>
  <si>
    <t>Discount rates used</t>
  </si>
  <si>
    <t>Cost of Equity</t>
  </si>
  <si>
    <t>Links</t>
  </si>
  <si>
    <t>Financials -&gt;'!B13</t>
  </si>
  <si>
    <t>Analysis -&gt;'!B13</t>
  </si>
  <si>
    <t>Forecast -&gt;'!B13</t>
  </si>
  <si>
    <t>Valuation -&gt;'!B13</t>
  </si>
  <si>
    <t>Overview'!B3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</si>
</sst>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164" formatCode="_([$$-409]* #,##0.00_);_([$$-409]* \(#,##0.00\);_([$$-409]* &quot;-&quot;??_);_(@_)"/>
    <numFmt numFmtId="165" formatCode="0.00_);[Red]\(0.00\)"/>
    <numFmt numFmtId="166" formatCode="#,##0.0_);[Red]\(#,##0.0\)"/>
    <numFmt numFmtId="167" formatCode="0.00_);\(0.00\)"/>
    <numFmt numFmtId="168" formatCode="0.0%"/>
    <numFmt numFmtId="169" formatCode="#,##0.0_);\(#,##0.0\)"/>
    <numFmt numFmtId="170" formatCode="0.0"/>
  </numFmts>
  <fonts count="25" x14ac:knownFonts="1">
    <font>
      <sz val="12"/>
      <color theme="1"/>
      <name val="Aptos Narrow"/>
      <family val="2"/>
      <scheme val="minor"/>
    </font>
    <font>
      <sz val="12"/>
      <color theme="1"/>
      <name val="Aptos Narrow"/>
      <family val="2"/>
      <scheme val="minor"/>
    </font>
    <font>
      <sz val="12"/>
      <color rgb="FF000000"/>
      <name val="Aptos Narrow"/>
      <family val="2"/>
      <scheme val="minor"/>
    </font>
    <font>
      <b/>
      <sz val="40"/>
      <color rgb="FF002060"/>
      <name val="Arial"/>
      <family val="2"/>
      <charset val="204"/>
    </font>
    <font>
      <b/>
      <sz val="12"/>
      <color theme="0"/>
      <name val="Aptos Narrow"/>
      <scheme val="minor"/>
    </font>
    <font>
      <b/>
      <sz val="12"/>
      <color theme="0" tint="-4.9989318521683403E-2"/>
      <name val="Aptos Narrow"/>
      <scheme val="minor"/>
    </font>
    <font>
      <b/>
      <sz val="12"/>
      <color rgb="FFF2F2F2"/>
      <name val="Aptos Narrow"/>
      <scheme val="minor"/>
    </font>
    <font>
      <b/>
      <sz val="12"/>
      <color theme="1"/>
      <name val="Aptos Narrow"/>
      <scheme val="minor"/>
    </font>
    <font>
      <b/>
      <sz val="12"/>
      <color rgb="FF0070C0"/>
      <name val="Aptos Narrow"/>
      <scheme val="minor"/>
    </font>
    <font>
      <sz val="12"/>
      <color rgb="FF0070C0"/>
      <name val="Aptos Narrow"/>
      <scheme val="minor"/>
    </font>
    <font>
      <sz val="12"/>
      <color theme="1"/>
      <name val="Aptos Narrow"/>
      <scheme val="minor"/>
    </font>
    <font>
      <sz val="12"/>
      <color rgb="FF0070C0"/>
      <name val="Aptos Narrow"/>
      <family val="2"/>
      <scheme val="minor"/>
    </font>
    <font>
      <sz val="12"/>
      <color theme="9"/>
      <name val="Aptos Narrow"/>
      <scheme val="minor"/>
    </font>
    <font>
      <b/>
      <sz val="12"/>
      <color rgb="FF002060"/>
      <name val="Arial"/>
      <family val="2"/>
      <charset val="204"/>
    </font>
    <font>
      <sz val="9"/>
      <name val="Arial"/>
      <family val="2"/>
      <charset val="204"/>
    </font>
    <font>
      <b/>
      <sz val="12"/>
      <color rgb="FFFFFFFF"/>
      <name val="Aptos Narrow"/>
      <scheme val="minor"/>
    </font>
    <font>
      <sz val="12"/>
      <color theme="9"/>
      <name val="Aptos Narrow"/>
      <family val="2"/>
      <scheme val="minor"/>
    </font>
    <font>
      <b/>
      <sz val="12"/>
      <color theme="9"/>
      <name val="Aptos Narrow"/>
      <scheme val="minor"/>
    </font>
    <font>
      <i/>
      <sz val="12"/>
      <color theme="1"/>
      <name val="Aptos Narrow"/>
      <scheme val="minor"/>
    </font>
    <font>
      <sz val="12"/>
      <color rgb="FF4EA72E"/>
      <name val="Aptos Narrow"/>
      <family val="2"/>
      <scheme val="minor"/>
    </font>
    <font>
      <b/>
      <i/>
      <sz val="12"/>
      <color theme="1"/>
      <name val="Aptos Narrow"/>
      <scheme val="minor"/>
    </font>
    <font>
      <b/>
      <sz val="12"/>
      <color rgb="FF4EA72E"/>
      <name val="Aptos Narrow"/>
      <scheme val="minor"/>
    </font>
    <font>
      <b/>
      <sz val="12"/>
      <color rgb="FF000000"/>
      <name val="Aptos Narrow"/>
      <scheme val="minor"/>
    </font>
    <font>
      <i/>
      <sz val="12"/>
      <color rgb="FF000000"/>
      <name val="Aptos Narrow"/>
      <scheme val="minor"/>
    </font>
    <font>
      <u/>
      <sz val="12"/>
      <color theme="10"/>
      <name val="Aptos Narrow"/>
      <family val="2"/>
      <scheme val="minor"/>
    </font>
  </fonts>
  <fills count="19">
    <fill>
      <patternFill patternType="none"/>
    </fill>
    <fill>
      <patternFill patternType="gray125"/>
    </fill>
    <fill>
      <patternFill patternType="solid">
        <fgColor theme="0"/>
        <bgColor indexed="64"/>
      </patternFill>
    </fill>
    <fill>
      <patternFill patternType="solid">
        <fgColor rgb="FFFFFAD5"/>
        <bgColor indexed="64"/>
      </patternFill>
    </fill>
    <fill>
      <patternFill patternType="solid">
        <fgColor rgb="FF002060"/>
        <bgColor indexed="64"/>
      </patternFill>
    </fill>
    <fill>
      <patternFill patternType="solid">
        <fgColor rgb="FF002060"/>
        <bgColor rgb="FF000000"/>
      </patternFill>
    </fill>
    <fill>
      <patternFill patternType="solid">
        <fgColor theme="3" tint="0.49998474074526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rgb="FFFFFFFF"/>
        <bgColor rgb="FF000000"/>
      </patternFill>
    </fill>
    <fill>
      <patternFill patternType="solid">
        <fgColor theme="0" tint="-0.249977111117893"/>
        <bgColor indexed="64"/>
      </patternFill>
    </fill>
    <fill>
      <patternFill patternType="solid">
        <fgColor theme="0"/>
        <bgColor rgb="FF000000"/>
      </patternFill>
    </fill>
    <fill>
      <patternFill patternType="solid">
        <fgColor rgb="FFADADAD"/>
        <bgColor rgb="FF000000"/>
      </patternFill>
    </fill>
    <fill>
      <patternFill patternType="solid">
        <fgColor rgb="FFFFFAD5"/>
        <bgColor rgb="FF000000"/>
      </patternFill>
    </fill>
    <fill>
      <patternFill patternType="solid">
        <fgColor theme="3" tint="0.89999084444715716"/>
        <bgColor indexed="64"/>
      </patternFill>
    </fill>
    <fill>
      <patternFill patternType="solid">
        <fgColor theme="3" tint="0.749992370372631"/>
        <bgColor indexed="64"/>
      </patternFill>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0"/>
      </bottom>
      <diagonal/>
    </border>
    <border>
      <left/>
      <right/>
      <top/>
      <bottom style="thin">
        <color theme="2"/>
      </bottom>
      <diagonal/>
    </border>
    <border>
      <left style="thin">
        <color theme="0"/>
      </left>
      <right/>
      <top/>
      <bottom style="thin">
        <color theme="0"/>
      </bottom>
      <diagonal/>
    </border>
    <border>
      <left/>
      <right style="thick">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0" fontId="24" fillId="0" borderId="0" applyNumberFormat="0" applyFill="0" applyBorder="0" applyAlignment="0" applyProtection="0"/>
  </cellStyleXfs>
  <cellXfs count="255">
    <xf numFmtId="0" fontId="0" fillId="0" borderId="0" xfId="0"/>
    <xf numFmtId="0" fontId="0" fillId="2" borderId="0" xfId="0" applyFill="1"/>
    <xf numFmtId="164" fontId="0" fillId="2" borderId="0" xfId="0" applyNumberFormat="1" applyFill="1"/>
    <xf numFmtId="0" fontId="3" fillId="2" borderId="0" xfId="0" applyFont="1" applyFill="1" applyAlignment="1">
      <alignment vertical="top"/>
    </xf>
    <xf numFmtId="0" fontId="0" fillId="2" borderId="0" xfId="0" applyFill="1" applyAlignment="1">
      <alignment vertical="top"/>
    </xf>
    <xf numFmtId="0" fontId="0" fillId="2" borderId="4" xfId="0" applyFill="1" applyBorder="1"/>
    <xf numFmtId="39" fontId="0" fillId="2" borderId="4" xfId="0" applyNumberFormat="1" applyFill="1" applyBorder="1" applyAlignment="1">
      <alignment horizontal="left"/>
    </xf>
    <xf numFmtId="0" fontId="5" fillId="2" borderId="0" xfId="0" applyFont="1" applyFill="1" applyAlignment="1">
      <alignment horizontal="right"/>
    </xf>
    <xf numFmtId="0" fontId="4" fillId="4" borderId="0" xfId="0" applyFont="1" applyFill="1" applyAlignment="1">
      <alignment horizontal="left"/>
    </xf>
    <xf numFmtId="0" fontId="6" fillId="5" borderId="0" xfId="0" applyFont="1" applyFill="1" applyAlignment="1">
      <alignment horizontal="right"/>
    </xf>
    <xf numFmtId="0" fontId="5" fillId="4" borderId="0" xfId="0" applyFont="1" applyFill="1" applyAlignment="1">
      <alignment horizontal="right"/>
    </xf>
    <xf numFmtId="0" fontId="5" fillId="2" borderId="0" xfId="0" applyFont="1" applyFill="1"/>
    <xf numFmtId="0" fontId="4" fillId="4" borderId="0" xfId="0" applyFont="1" applyFill="1"/>
    <xf numFmtId="0" fontId="5" fillId="4" borderId="0" xfId="0" applyFont="1" applyFill="1"/>
    <xf numFmtId="0" fontId="4" fillId="6" borderId="7" xfId="0" applyFont="1" applyFill="1" applyBorder="1"/>
    <xf numFmtId="0" fontId="5" fillId="6" borderId="7" xfId="0" applyFont="1" applyFill="1" applyBorder="1"/>
    <xf numFmtId="0" fontId="7" fillId="2" borderId="0" xfId="0" applyFont="1" applyFill="1"/>
    <xf numFmtId="0" fontId="7" fillId="7" borderId="8" xfId="0" applyFont="1" applyFill="1" applyBorder="1"/>
    <xf numFmtId="38" fontId="8" fillId="8" borderId="8" xfId="0" applyNumberFormat="1" applyFont="1" applyFill="1" applyBorder="1"/>
    <xf numFmtId="0" fontId="7" fillId="8" borderId="8" xfId="0" applyFont="1" applyFill="1" applyBorder="1"/>
    <xf numFmtId="0" fontId="0" fillId="7" borderId="0" xfId="0" applyFill="1"/>
    <xf numFmtId="38" fontId="9" fillId="2" borderId="0" xfId="0" applyNumberFormat="1" applyFont="1" applyFill="1"/>
    <xf numFmtId="38" fontId="7" fillId="8" borderId="8" xfId="0" applyNumberFormat="1" applyFont="1" applyFill="1" applyBorder="1"/>
    <xf numFmtId="0" fontId="10" fillId="7" borderId="0" xfId="0" applyFont="1" applyFill="1"/>
    <xf numFmtId="38" fontId="0" fillId="2" borderId="0" xfId="0" applyNumberFormat="1" applyFill="1"/>
    <xf numFmtId="38" fontId="10" fillId="2" borderId="0" xfId="0" applyNumberFormat="1" applyFont="1" applyFill="1"/>
    <xf numFmtId="165" fontId="9" fillId="2" borderId="0" xfId="0" applyNumberFormat="1" applyFont="1" applyFill="1"/>
    <xf numFmtId="165" fontId="10" fillId="2" borderId="0" xfId="0" applyNumberFormat="1" applyFont="1" applyFill="1"/>
    <xf numFmtId="0" fontId="10" fillId="7" borderId="7" xfId="0" applyFont="1" applyFill="1" applyBorder="1"/>
    <xf numFmtId="165" fontId="10" fillId="2" borderId="7" xfId="0" applyNumberFormat="1" applyFont="1" applyFill="1" applyBorder="1"/>
    <xf numFmtId="0" fontId="0" fillId="2" borderId="7" xfId="0" applyFill="1" applyBorder="1"/>
    <xf numFmtId="0" fontId="10" fillId="2" borderId="7" xfId="0" applyFont="1" applyFill="1" applyBorder="1"/>
    <xf numFmtId="0" fontId="7" fillId="7" borderId="0" xfId="0" applyFont="1" applyFill="1"/>
    <xf numFmtId="38" fontId="8" fillId="8" borderId="0" xfId="0" applyNumberFormat="1" applyFont="1" applyFill="1"/>
    <xf numFmtId="0" fontId="7" fillId="8" borderId="0" xfId="0" applyFont="1" applyFill="1"/>
    <xf numFmtId="38" fontId="7" fillId="8" borderId="0" xfId="0" applyNumberFormat="1" applyFont="1" applyFill="1"/>
    <xf numFmtId="0" fontId="7" fillId="7" borderId="7" xfId="0" applyFont="1" applyFill="1" applyBorder="1"/>
    <xf numFmtId="38" fontId="8" fillId="8" borderId="7" xfId="0" applyNumberFormat="1" applyFont="1" applyFill="1" applyBorder="1"/>
    <xf numFmtId="0" fontId="7" fillId="8" borderId="7" xfId="0" applyFont="1" applyFill="1" applyBorder="1"/>
    <xf numFmtId="0" fontId="10" fillId="2" borderId="0" xfId="0" applyFont="1" applyFill="1"/>
    <xf numFmtId="41" fontId="7" fillId="9" borderId="8" xfId="0" applyNumberFormat="1" applyFont="1" applyFill="1" applyBorder="1"/>
    <xf numFmtId="0" fontId="7" fillId="2" borderId="8" xfId="0" applyFont="1" applyFill="1" applyBorder="1"/>
    <xf numFmtId="41" fontId="7" fillId="10" borderId="8" xfId="0" applyNumberFormat="1" applyFont="1" applyFill="1" applyBorder="1"/>
    <xf numFmtId="38" fontId="11" fillId="2" borderId="0" xfId="0" applyNumberFormat="1" applyFont="1" applyFill="1"/>
    <xf numFmtId="2" fontId="11" fillId="2" borderId="0" xfId="0" applyNumberFormat="1" applyFont="1" applyFill="1"/>
    <xf numFmtId="2" fontId="10" fillId="2" borderId="0" xfId="0" applyNumberFormat="1" applyFont="1" applyFill="1"/>
    <xf numFmtId="10" fontId="10" fillId="2" borderId="0" xfId="0" applyNumberFormat="1" applyFont="1" applyFill="1"/>
    <xf numFmtId="0" fontId="7" fillId="11" borderId="0" xfId="0" applyFont="1" applyFill="1"/>
    <xf numFmtId="9" fontId="7" fillId="2" borderId="8" xfId="1" applyFont="1" applyFill="1" applyBorder="1"/>
    <xf numFmtId="0" fontId="0" fillId="11" borderId="0" xfId="0" applyFill="1"/>
    <xf numFmtId="9" fontId="0" fillId="2" borderId="0" xfId="1" applyFont="1" applyFill="1"/>
    <xf numFmtId="0" fontId="7" fillId="7" borderId="9" xfId="0" applyFont="1" applyFill="1" applyBorder="1"/>
    <xf numFmtId="9" fontId="7" fillId="2" borderId="9" xfId="1" applyFont="1" applyFill="1" applyBorder="1"/>
    <xf numFmtId="0" fontId="7" fillId="2" borderId="9" xfId="0" applyFont="1" applyFill="1" applyBorder="1"/>
    <xf numFmtId="0" fontId="0" fillId="7" borderId="8" xfId="0" applyFill="1" applyBorder="1"/>
    <xf numFmtId="9" fontId="0" fillId="2" borderId="8" xfId="1" applyFont="1" applyFill="1" applyBorder="1"/>
    <xf numFmtId="0" fontId="0" fillId="2" borderId="8" xfId="0" applyFill="1" applyBorder="1"/>
    <xf numFmtId="166" fontId="10" fillId="2" borderId="0" xfId="0" applyNumberFormat="1" applyFont="1" applyFill="1"/>
    <xf numFmtId="9" fontId="0" fillId="2" borderId="0" xfId="0" applyNumberFormat="1" applyFill="1"/>
    <xf numFmtId="0" fontId="5" fillId="4" borderId="0" xfId="0" applyFont="1" applyFill="1" applyAlignment="1">
      <alignment horizontal="center"/>
    </xf>
    <xf numFmtId="0" fontId="2" fillId="12" borderId="0" xfId="0" applyFont="1" applyFill="1"/>
    <xf numFmtId="37" fontId="8" fillId="8" borderId="8" xfId="0" applyNumberFormat="1" applyFont="1" applyFill="1" applyBorder="1"/>
    <xf numFmtId="37" fontId="9" fillId="2" borderId="0" xfId="0" applyNumberFormat="1" applyFont="1" applyFill="1"/>
    <xf numFmtId="167" fontId="9" fillId="2" borderId="0" xfId="0" applyNumberFormat="1" applyFont="1" applyFill="1"/>
    <xf numFmtId="37" fontId="0" fillId="2" borderId="0" xfId="0" applyNumberFormat="1" applyFill="1"/>
    <xf numFmtId="167" fontId="10" fillId="2" borderId="0" xfId="0" applyNumberFormat="1" applyFont="1" applyFill="1"/>
    <xf numFmtId="167" fontId="10" fillId="2" borderId="7" xfId="0" applyNumberFormat="1" applyFont="1" applyFill="1" applyBorder="1"/>
    <xf numFmtId="0" fontId="7" fillId="13" borderId="0" xfId="0" applyFont="1" applyFill="1"/>
    <xf numFmtId="0" fontId="0" fillId="13" borderId="0" xfId="0" applyFill="1"/>
    <xf numFmtId="0" fontId="0" fillId="3" borderId="10" xfId="0" applyFill="1" applyBorder="1"/>
    <xf numFmtId="3" fontId="0" fillId="3" borderId="10" xfId="0" applyNumberFormat="1" applyFill="1" applyBorder="1" applyAlignment="1">
      <alignment horizontal="left"/>
    </xf>
    <xf numFmtId="37" fontId="8" fillId="8" borderId="7" xfId="0" applyNumberFormat="1" applyFont="1" applyFill="1" applyBorder="1"/>
    <xf numFmtId="2" fontId="0" fillId="2" borderId="0" xfId="0" applyNumberFormat="1" applyFill="1"/>
    <xf numFmtId="168" fontId="0" fillId="2" borderId="4" xfId="1" applyNumberFormat="1" applyFont="1" applyFill="1" applyBorder="1" applyAlignment="1">
      <alignment horizontal="left"/>
    </xf>
    <xf numFmtId="168" fontId="10" fillId="2" borderId="0" xfId="1" applyNumberFormat="1" applyFont="1" applyFill="1"/>
    <xf numFmtId="2" fontId="10" fillId="2" borderId="0" xfId="1" applyNumberFormat="1" applyFont="1" applyFill="1"/>
    <xf numFmtId="168" fontId="7" fillId="2" borderId="0" xfId="1" applyNumberFormat="1" applyFont="1" applyFill="1"/>
    <xf numFmtId="168" fontId="0" fillId="13" borderId="0" xfId="1" applyNumberFormat="1" applyFont="1" applyFill="1"/>
    <xf numFmtId="2" fontId="0" fillId="13" borderId="0" xfId="1" applyNumberFormat="1" applyFont="1" applyFill="1"/>
    <xf numFmtId="168" fontId="7" fillId="13" borderId="0" xfId="1" applyNumberFormat="1" applyFont="1" applyFill="1"/>
    <xf numFmtId="2" fontId="10" fillId="13" borderId="0" xfId="1" applyNumberFormat="1" applyFont="1" applyFill="1"/>
    <xf numFmtId="10" fontId="10" fillId="2" borderId="0" xfId="1" applyNumberFormat="1" applyFont="1" applyFill="1"/>
    <xf numFmtId="0" fontId="13" fillId="2" borderId="0" xfId="0" applyFont="1" applyFill="1" applyAlignment="1">
      <alignment vertical="top"/>
    </xf>
    <xf numFmtId="0" fontId="14" fillId="2" borderId="0" xfId="0" applyFont="1" applyFill="1" applyAlignment="1">
      <alignment vertical="top"/>
    </xf>
    <xf numFmtId="0" fontId="14" fillId="2" borderId="4" xfId="0" applyFont="1" applyFill="1" applyBorder="1" applyAlignment="1">
      <alignment vertical="top"/>
    </xf>
    <xf numFmtId="0" fontId="4" fillId="4" borderId="11" xfId="0" applyFont="1" applyFill="1" applyBorder="1" applyAlignment="1">
      <alignment horizontal="center"/>
    </xf>
    <xf numFmtId="0" fontId="2" fillId="12" borderId="0" xfId="0" applyFont="1" applyFill="1" applyAlignment="1">
      <alignment vertical="top"/>
    </xf>
    <xf numFmtId="0" fontId="4" fillId="4" borderId="11" xfId="0" applyFont="1" applyFill="1" applyBorder="1" applyAlignment="1">
      <alignment horizontal="left"/>
    </xf>
    <xf numFmtId="37" fontId="16" fillId="2" borderId="0" xfId="0" applyNumberFormat="1" applyFont="1" applyFill="1"/>
    <xf numFmtId="37" fontId="16" fillId="2" borderId="14" xfId="0" applyNumberFormat="1" applyFont="1" applyFill="1" applyBorder="1"/>
    <xf numFmtId="0" fontId="0" fillId="2" borderId="0" xfId="0" applyFill="1" applyAlignment="1">
      <alignment horizontal="left"/>
    </xf>
    <xf numFmtId="0" fontId="0" fillId="2" borderId="0" xfId="0" applyFill="1" applyAlignment="1">
      <alignment horizontal="center"/>
    </xf>
    <xf numFmtId="37" fontId="17" fillId="2" borderId="0" xfId="0" applyNumberFormat="1" applyFont="1" applyFill="1"/>
    <xf numFmtId="37" fontId="17" fillId="2" borderId="14" xfId="0" applyNumberFormat="1" applyFont="1" applyFill="1" applyBorder="1"/>
    <xf numFmtId="37" fontId="7" fillId="2" borderId="0" xfId="0" applyNumberFormat="1" applyFont="1" applyFill="1"/>
    <xf numFmtId="168" fontId="18" fillId="2" borderId="0" xfId="1" applyNumberFormat="1" applyFont="1" applyFill="1"/>
    <xf numFmtId="168" fontId="18" fillId="2" borderId="14" xfId="1" applyNumberFormat="1" applyFont="1" applyFill="1" applyBorder="1"/>
    <xf numFmtId="168" fontId="18" fillId="3" borderId="0" xfId="1" applyNumberFormat="1" applyFont="1" applyFill="1"/>
    <xf numFmtId="38" fontId="19" fillId="12" borderId="0" xfId="0" applyNumberFormat="1" applyFont="1" applyFill="1"/>
    <xf numFmtId="38" fontId="19" fillId="12" borderId="14" xfId="0" applyNumberFormat="1" applyFont="1" applyFill="1" applyBorder="1"/>
    <xf numFmtId="38" fontId="16" fillId="2" borderId="0" xfId="0" applyNumberFormat="1" applyFont="1" applyFill="1"/>
    <xf numFmtId="38" fontId="16" fillId="2" borderId="14" xfId="0" applyNumberFormat="1" applyFont="1" applyFill="1" applyBorder="1"/>
    <xf numFmtId="170" fontId="0" fillId="3" borderId="0" xfId="0" applyNumberFormat="1" applyFill="1"/>
    <xf numFmtId="168" fontId="20" fillId="2" borderId="0" xfId="1" applyNumberFormat="1" applyFont="1" applyFill="1"/>
    <xf numFmtId="168" fontId="20" fillId="2" borderId="14" xfId="1" applyNumberFormat="1" applyFont="1" applyFill="1" applyBorder="1"/>
    <xf numFmtId="2" fontId="0" fillId="3" borderId="0" xfId="0" applyNumberFormat="1" applyFill="1"/>
    <xf numFmtId="38" fontId="21" fillId="12" borderId="0" xfId="0" applyNumberFormat="1" applyFont="1" applyFill="1"/>
    <xf numFmtId="38" fontId="21" fillId="12" borderId="14" xfId="0" applyNumberFormat="1" applyFont="1" applyFill="1" applyBorder="1"/>
    <xf numFmtId="38" fontId="7" fillId="2" borderId="0" xfId="0" applyNumberFormat="1" applyFont="1" applyFill="1"/>
    <xf numFmtId="0" fontId="4" fillId="2" borderId="0" xfId="0" applyFont="1" applyFill="1" applyAlignment="1">
      <alignment horizontal="center"/>
    </xf>
    <xf numFmtId="0" fontId="4" fillId="2" borderId="0" xfId="0" applyFont="1" applyFill="1" applyAlignment="1">
      <alignment horizontal="left"/>
    </xf>
    <xf numFmtId="0" fontId="4" fillId="2" borderId="0" xfId="0" applyFont="1" applyFill="1"/>
    <xf numFmtId="37" fontId="12" fillId="2" borderId="0" xfId="0" applyNumberFormat="1" applyFont="1" applyFill="1"/>
    <xf numFmtId="37" fontId="12" fillId="2" borderId="14" xfId="0" applyNumberFormat="1" applyFont="1" applyFill="1" applyBorder="1"/>
    <xf numFmtId="37" fontId="19" fillId="12" borderId="0" xfId="0" applyNumberFormat="1" applyFont="1" applyFill="1"/>
    <xf numFmtId="37" fontId="19" fillId="12" borderId="14" xfId="0" applyNumberFormat="1" applyFont="1" applyFill="1" applyBorder="1"/>
    <xf numFmtId="38" fontId="21" fillId="14" borderId="0" xfId="0" applyNumberFormat="1" applyFont="1" applyFill="1"/>
    <xf numFmtId="38" fontId="19" fillId="14" borderId="0" xfId="0" applyNumberFormat="1" applyFont="1" applyFill="1"/>
    <xf numFmtId="169" fontId="0" fillId="12" borderId="0" xfId="0" applyNumberFormat="1" applyFill="1"/>
    <xf numFmtId="169" fontId="0" fillId="12" borderId="14" xfId="0" applyNumberFormat="1" applyFill="1" applyBorder="1"/>
    <xf numFmtId="37" fontId="0" fillId="12" borderId="0" xfId="0" applyNumberFormat="1" applyFill="1"/>
    <xf numFmtId="37" fontId="0" fillId="12" borderId="14" xfId="0" applyNumberFormat="1" applyFill="1" applyBorder="1"/>
    <xf numFmtId="0" fontId="18" fillId="2" borderId="0" xfId="0" applyFont="1" applyFill="1"/>
    <xf numFmtId="168" fontId="18" fillId="12" borderId="0" xfId="1" applyNumberFormat="1" applyFont="1" applyFill="1"/>
    <xf numFmtId="168" fontId="18" fillId="12" borderId="14" xfId="1" applyNumberFormat="1" applyFont="1" applyFill="1" applyBorder="1"/>
    <xf numFmtId="169" fontId="0" fillId="14" borderId="0" xfId="0" applyNumberFormat="1" applyFill="1"/>
    <xf numFmtId="37" fontId="10" fillId="2" borderId="0" xfId="0" applyNumberFormat="1" applyFont="1" applyFill="1"/>
    <xf numFmtId="37" fontId="7" fillId="2" borderId="14" xfId="0" applyNumberFormat="1" applyFont="1" applyFill="1" applyBorder="1"/>
    <xf numFmtId="0" fontId="2" fillId="12" borderId="0" xfId="0" applyFont="1" applyFill="1" applyAlignment="1">
      <alignment horizontal="left"/>
    </xf>
    <xf numFmtId="10" fontId="16" fillId="2" borderId="0" xfId="0" applyNumberFormat="1" applyFont="1" applyFill="1"/>
    <xf numFmtId="10" fontId="16" fillId="2" borderId="14" xfId="0" applyNumberFormat="1" applyFont="1" applyFill="1" applyBorder="1"/>
    <xf numFmtId="37" fontId="10" fillId="2" borderId="14" xfId="0" applyNumberFormat="1" applyFont="1" applyFill="1" applyBorder="1"/>
    <xf numFmtId="0" fontId="4" fillId="4" borderId="0" xfId="0" applyFont="1" applyFill="1" applyAlignment="1">
      <alignment horizontal="center"/>
    </xf>
    <xf numFmtId="4" fontId="12" fillId="2" borderId="0" xfId="0" applyNumberFormat="1" applyFont="1" applyFill="1"/>
    <xf numFmtId="3" fontId="10" fillId="2" borderId="0" xfId="0" applyNumberFormat="1" applyFont="1" applyFill="1"/>
    <xf numFmtId="10" fontId="12" fillId="2" borderId="0" xfId="1" applyNumberFormat="1" applyFont="1" applyFill="1"/>
    <xf numFmtId="3" fontId="12" fillId="2" borderId="0" xfId="0" applyNumberFormat="1" applyFont="1" applyFill="1"/>
    <xf numFmtId="0" fontId="22" fillId="15" borderId="0" xfId="0" applyFont="1" applyFill="1"/>
    <xf numFmtId="37" fontId="10" fillId="11" borderId="14" xfId="0" applyNumberFormat="1" applyFont="1" applyFill="1" applyBorder="1"/>
    <xf numFmtId="0" fontId="0" fillId="3" borderId="0" xfId="0" applyFill="1"/>
    <xf numFmtId="10" fontId="10" fillId="3" borderId="0" xfId="1" applyNumberFormat="1" applyFont="1" applyFill="1"/>
    <xf numFmtId="3" fontId="0" fillId="2" borderId="0" xfId="0" applyNumberFormat="1" applyFill="1"/>
    <xf numFmtId="168" fontId="23" fillId="12" borderId="0" xfId="0" applyNumberFormat="1" applyFont="1" applyFill="1"/>
    <xf numFmtId="168" fontId="23" fillId="12" borderId="14" xfId="0" applyNumberFormat="1" applyFont="1" applyFill="1" applyBorder="1"/>
    <xf numFmtId="168" fontId="23" fillId="16" borderId="0" xfId="0" applyNumberFormat="1" applyFont="1" applyFill="1"/>
    <xf numFmtId="0" fontId="16" fillId="2" borderId="0" xfId="0" applyFont="1" applyFill="1"/>
    <xf numFmtId="0" fontId="16" fillId="2" borderId="14" xfId="0" applyFont="1" applyFill="1" applyBorder="1"/>
    <xf numFmtId="2" fontId="7" fillId="2" borderId="0" xfId="0" applyNumberFormat="1" applyFont="1" applyFill="1"/>
    <xf numFmtId="2" fontId="7" fillId="2" borderId="14" xfId="0" applyNumberFormat="1" applyFont="1" applyFill="1" applyBorder="1"/>
    <xf numFmtId="3" fontId="0" fillId="2" borderId="14" xfId="0" applyNumberFormat="1" applyFill="1" applyBorder="1"/>
    <xf numFmtId="3" fontId="16" fillId="2" borderId="0" xfId="0" applyNumberFormat="1" applyFont="1" applyFill="1"/>
    <xf numFmtId="3" fontId="16" fillId="2" borderId="14" xfId="0" applyNumberFormat="1" applyFont="1" applyFill="1" applyBorder="1"/>
    <xf numFmtId="168" fontId="0" fillId="2" borderId="0" xfId="1" applyNumberFormat="1" applyFont="1" applyFill="1"/>
    <xf numFmtId="0" fontId="0" fillId="9" borderId="19" xfId="0" applyFill="1" applyBorder="1"/>
    <xf numFmtId="167" fontId="0" fillId="9" borderId="20" xfId="0" applyNumberFormat="1" applyFill="1" applyBorder="1"/>
    <xf numFmtId="0" fontId="0" fillId="2" borderId="21" xfId="0" applyFill="1" applyBorder="1"/>
    <xf numFmtId="10" fontId="10" fillId="3" borderId="22" xfId="1" applyNumberFormat="1" applyFont="1" applyFill="1" applyBorder="1"/>
    <xf numFmtId="0" fontId="0" fillId="2" borderId="19" xfId="0" applyFill="1" applyBorder="1"/>
    <xf numFmtId="10" fontId="10" fillId="3" borderId="20" xfId="1" applyNumberFormat="1" applyFont="1" applyFill="1" applyBorder="1"/>
    <xf numFmtId="37" fontId="0" fillId="2" borderId="20" xfId="0" applyNumberFormat="1" applyFill="1" applyBorder="1"/>
    <xf numFmtId="37" fontId="10" fillId="2" borderId="22" xfId="0" applyNumberFormat="1" applyFont="1" applyFill="1" applyBorder="1"/>
    <xf numFmtId="0" fontId="7" fillId="2" borderId="19" xfId="0" applyFont="1" applyFill="1" applyBorder="1"/>
    <xf numFmtId="37" fontId="7" fillId="2" borderId="20" xfId="0" applyNumberFormat="1" applyFont="1" applyFill="1" applyBorder="1"/>
    <xf numFmtId="38" fontId="0" fillId="2" borderId="20" xfId="0" applyNumberFormat="1" applyFill="1" applyBorder="1"/>
    <xf numFmtId="0" fontId="0" fillId="9" borderId="23" xfId="0" applyFill="1" applyBorder="1"/>
    <xf numFmtId="167" fontId="0" fillId="9" borderId="24" xfId="0" applyNumberFormat="1" applyFill="1" applyBorder="1"/>
    <xf numFmtId="9" fontId="0" fillId="3" borderId="10" xfId="1" applyFont="1" applyFill="1" applyBorder="1" applyAlignment="1">
      <alignment horizontal="left"/>
    </xf>
    <xf numFmtId="0" fontId="0" fillId="6" borderId="7" xfId="0" applyFill="1" applyBorder="1"/>
    <xf numFmtId="2" fontId="10" fillId="17" borderId="0" xfId="0" applyNumberFormat="1" applyFont="1" applyFill="1"/>
    <xf numFmtId="3" fontId="0" fillId="17" borderId="0" xfId="0" applyNumberFormat="1" applyFill="1"/>
    <xf numFmtId="2" fontId="0" fillId="17" borderId="0" xfId="0" applyNumberFormat="1" applyFill="1"/>
    <xf numFmtId="168" fontId="10" fillId="17" borderId="0" xfId="1" applyNumberFormat="1" applyFont="1" applyFill="1"/>
    <xf numFmtId="168" fontId="7" fillId="17" borderId="0" xfId="1" applyNumberFormat="1" applyFont="1" applyFill="1"/>
    <xf numFmtId="37" fontId="0" fillId="17" borderId="0" xfId="0" applyNumberFormat="1" applyFill="1"/>
    <xf numFmtId="168" fontId="10" fillId="17" borderId="0" xfId="1" applyNumberFormat="1" applyFont="1" applyFill="1" applyAlignment="1">
      <alignment horizontal="right"/>
    </xf>
    <xf numFmtId="169" fontId="10" fillId="12" borderId="0" xfId="0" applyNumberFormat="1" applyFont="1" applyFill="1"/>
    <xf numFmtId="167" fontId="0" fillId="17" borderId="0" xfId="0" applyNumberFormat="1" applyFill="1"/>
    <xf numFmtId="2" fontId="0" fillId="2" borderId="0" xfId="0" applyNumberFormat="1" applyFill="1" applyAlignment="1">
      <alignment horizontal="right"/>
    </xf>
    <xf numFmtId="167" fontId="0" fillId="17" borderId="0" xfId="0" applyNumberFormat="1" applyFill="1" applyAlignment="1">
      <alignment horizontal="right"/>
    </xf>
    <xf numFmtId="170" fontId="0" fillId="2" borderId="0" xfId="0" applyNumberFormat="1" applyFill="1"/>
    <xf numFmtId="0" fontId="0" fillId="7" borderId="10" xfId="0" applyFill="1" applyBorder="1"/>
    <xf numFmtId="0" fontId="0" fillId="7" borderId="25" xfId="0" applyFill="1" applyBorder="1"/>
    <xf numFmtId="0" fontId="0" fillId="7" borderId="26" xfId="0" applyFill="1" applyBorder="1"/>
    <xf numFmtId="3" fontId="0" fillId="17" borderId="4" xfId="0" applyNumberFormat="1" applyFill="1" applyBorder="1"/>
    <xf numFmtId="3" fontId="0" fillId="17" borderId="6" xfId="0" applyNumberFormat="1" applyFill="1" applyBorder="1"/>
    <xf numFmtId="0" fontId="0" fillId="17" borderId="4" xfId="0" applyFill="1" applyBorder="1"/>
    <xf numFmtId="2" fontId="0" fillId="17" borderId="4" xfId="0" applyNumberFormat="1" applyFill="1" applyBorder="1"/>
    <xf numFmtId="2" fontId="0" fillId="17" borderId="6" xfId="0" applyNumberFormat="1" applyFill="1" applyBorder="1"/>
    <xf numFmtId="168" fontId="0" fillId="17" borderId="4" xfId="1" applyNumberFormat="1" applyFont="1" applyFill="1" applyBorder="1"/>
    <xf numFmtId="168" fontId="0" fillId="17" borderId="6" xfId="1" applyNumberFormat="1" applyFont="1" applyFill="1" applyBorder="1"/>
    <xf numFmtId="168" fontId="0" fillId="17" borderId="16" xfId="1" applyNumberFormat="1" applyFont="1" applyFill="1" applyBorder="1"/>
    <xf numFmtId="37" fontId="0" fillId="17" borderId="0" xfId="0" applyNumberFormat="1" applyFill="1" applyAlignment="1">
      <alignment horizontal="right"/>
    </xf>
    <xf numFmtId="168" fontId="0" fillId="17" borderId="0" xfId="1" applyNumberFormat="1" applyFont="1" applyFill="1"/>
    <xf numFmtId="0" fontId="2" fillId="15" borderId="0" xfId="0" applyFont="1" applyFill="1"/>
    <xf numFmtId="3" fontId="0" fillId="18" borderId="4" xfId="0" applyNumberFormat="1" applyFill="1" applyBorder="1"/>
    <xf numFmtId="3" fontId="0" fillId="18" borderId="25" xfId="0" applyNumberFormat="1" applyFill="1" applyBorder="1"/>
    <xf numFmtId="3" fontId="0" fillId="18" borderId="27" xfId="0" applyNumberFormat="1" applyFill="1" applyBorder="1"/>
    <xf numFmtId="2" fontId="0" fillId="18" borderId="27" xfId="0" applyNumberFormat="1" applyFill="1" applyBorder="1"/>
    <xf numFmtId="2" fontId="0" fillId="18" borderId="4" xfId="0" applyNumberFormat="1" applyFill="1" applyBorder="1"/>
    <xf numFmtId="0" fontId="5" fillId="4" borderId="4" xfId="0" applyFont="1" applyFill="1" applyBorder="1" applyAlignment="1">
      <alignment horizontal="right"/>
    </xf>
    <xf numFmtId="0" fontId="5" fillId="4" borderId="3" xfId="0" applyFont="1" applyFill="1" applyBorder="1" applyAlignment="1">
      <alignment horizontal="right"/>
    </xf>
    <xf numFmtId="0" fontId="0" fillId="7" borderId="6" xfId="0" applyFill="1" applyBorder="1"/>
    <xf numFmtId="0" fontId="18" fillId="7" borderId="16" xfId="0" applyFont="1" applyFill="1" applyBorder="1" applyAlignment="1">
      <alignment horizontal="left" indent="1"/>
    </xf>
    <xf numFmtId="0" fontId="0" fillId="7" borderId="16" xfId="0" applyFill="1" applyBorder="1"/>
    <xf numFmtId="39" fontId="0" fillId="17" borderId="4" xfId="0" applyNumberFormat="1" applyFill="1" applyBorder="1" applyAlignment="1">
      <alignment horizontal="left"/>
    </xf>
    <xf numFmtId="4" fontId="0" fillId="17" borderId="4" xfId="0" applyNumberFormat="1" applyFill="1" applyBorder="1" applyAlignment="1">
      <alignment horizontal="left"/>
    </xf>
    <xf numFmtId="3" fontId="0" fillId="17" borderId="6" xfId="0" applyNumberFormat="1" applyFill="1" applyBorder="1" applyAlignment="1">
      <alignment horizontal="left"/>
    </xf>
    <xf numFmtId="2" fontId="0" fillId="17" borderId="25" xfId="0" applyNumberFormat="1" applyFill="1" applyBorder="1"/>
    <xf numFmtId="2" fontId="0" fillId="17" borderId="10" xfId="0" applyNumberFormat="1" applyFill="1" applyBorder="1"/>
    <xf numFmtId="168" fontId="0" fillId="17" borderId="10" xfId="1" applyNumberFormat="1" applyFont="1" applyFill="1" applyBorder="1"/>
    <xf numFmtId="2" fontId="10" fillId="17" borderId="0" xfId="1" applyNumberFormat="1" applyFont="1" applyFill="1"/>
    <xf numFmtId="168" fontId="10" fillId="17" borderId="8" xfId="1" applyNumberFormat="1" applyFont="1" applyFill="1" applyBorder="1"/>
    <xf numFmtId="10" fontId="0" fillId="2" borderId="0" xfId="0" applyNumberFormat="1" applyFill="1"/>
    <xf numFmtId="0" fontId="0" fillId="17" borderId="4" xfId="0" applyFill="1" applyBorder="1" applyAlignment="1">
      <alignment shrinkToFit="1"/>
    </xf>
    <xf numFmtId="10" fontId="0" fillId="2" borderId="0" xfId="1" applyNumberFormat="1" applyFont="1" applyFill="1"/>
    <xf numFmtId="39" fontId="0" fillId="17" borderId="4" xfId="0" applyNumberFormat="1" applyFill="1" applyBorder="1" applyAlignment="1">
      <alignment horizontal="right"/>
    </xf>
    <xf numFmtId="10" fontId="0" fillId="17" borderId="6" xfId="1" applyNumberFormat="1" applyFont="1" applyFill="1" applyBorder="1"/>
    <xf numFmtId="10" fontId="0" fillId="3" borderId="10" xfId="1" applyNumberFormat="1" applyFont="1" applyFill="1" applyBorder="1" applyAlignment="1">
      <alignment horizontal="left"/>
    </xf>
    <xf numFmtId="0" fontId="0" fillId="7" borderId="0" xfId="0" applyFill="1" applyAlignment="1">
      <alignment horizontal="left" indent="1"/>
    </xf>
    <xf numFmtId="0" fontId="0" fillId="2" borderId="0" xfId="0" applyFill="1" applyAlignment="1">
      <alignment horizontal="left" indent="1"/>
    </xf>
    <xf numFmtId="168" fontId="0" fillId="2" borderId="0" xfId="0" applyNumberFormat="1" applyFill="1"/>
    <xf numFmtId="10" fontId="12" fillId="2" borderId="20" xfId="1" applyNumberFormat="1" applyFont="1" applyFill="1" applyBorder="1"/>
    <xf numFmtId="37" fontId="16" fillId="2" borderId="20" xfId="0" applyNumberFormat="1" applyFont="1" applyFill="1" applyBorder="1"/>
    <xf numFmtId="0" fontId="0" fillId="9" borderId="0" xfId="0" applyFill="1" applyAlignment="1">
      <alignment horizontal="right"/>
    </xf>
    <xf numFmtId="167" fontId="0" fillId="2" borderId="0" xfId="0" applyNumberFormat="1" applyFill="1"/>
    <xf numFmtId="1" fontId="0" fillId="2" borderId="0" xfId="0" applyNumberFormat="1" applyFill="1"/>
    <xf numFmtId="39" fontId="17" fillId="2" borderId="0" xfId="0" applyNumberFormat="1" applyFont="1" applyFill="1"/>
    <xf numFmtId="39" fontId="17" fillId="2" borderId="14" xfId="0" applyNumberFormat="1" applyFont="1" applyFill="1" applyBorder="1"/>
    <xf numFmtId="39" fontId="0" fillId="2" borderId="0" xfId="0" applyNumberFormat="1" applyFill="1"/>
    <xf numFmtId="39" fontId="10" fillId="2" borderId="0" xfId="0" applyNumberFormat="1" applyFont="1" applyFill="1"/>
    <xf numFmtId="10" fontId="0" fillId="3" borderId="0" xfId="1" applyNumberFormat="1" applyFont="1" applyFill="1"/>
    <xf numFmtId="0" fontId="7" fillId="9" borderId="15" xfId="0" applyFont="1" applyFill="1" applyBorder="1"/>
    <xf numFmtId="167" fontId="7" fillId="9" borderId="16" xfId="0" applyNumberFormat="1" applyFont="1" applyFill="1" applyBorder="1"/>
    <xf numFmtId="168" fontId="0" fillId="17" borderId="25" xfId="1" applyNumberFormat="1" applyFont="1" applyFill="1" applyBorder="1"/>
    <xf numFmtId="168" fontId="0" fillId="17" borderId="26" xfId="1" applyNumberFormat="1" applyFont="1" applyFill="1" applyBorder="1"/>
    <xf numFmtId="0" fontId="24" fillId="8" borderId="25" xfId="2" quotePrefix="1" applyFill="1" applyBorder="1" applyAlignment="1">
      <alignment horizontal="center"/>
    </xf>
    <xf numFmtId="0" fontId="24" fillId="8" borderId="26" xfId="2" quotePrefix="1" applyFill="1" applyBorder="1" applyAlignment="1">
      <alignment horizontal="center"/>
    </xf>
    <xf numFmtId="0" fontId="4" fillId="4" borderId="1" xfId="0" applyFont="1" applyFill="1" applyBorder="1" applyAlignment="1">
      <alignment horizontal="center"/>
    </xf>
    <xf numFmtId="0" fontId="4" fillId="4" borderId="2" xfId="0" applyFont="1" applyFill="1" applyBorder="1" applyAlignment="1">
      <alignment horizontal="center"/>
    </xf>
    <xf numFmtId="0" fontId="4" fillId="4" borderId="10" xfId="0" applyFont="1" applyFill="1" applyBorder="1" applyAlignment="1">
      <alignment horizontal="center"/>
    </xf>
    <xf numFmtId="0" fontId="4" fillId="4" borderId="0" xfId="0" applyFont="1" applyFill="1" applyAlignment="1">
      <alignment horizontal="center"/>
    </xf>
    <xf numFmtId="0" fontId="5" fillId="4" borderId="0" xfId="0" applyFont="1" applyFill="1" applyAlignment="1">
      <alignment horizontal="center"/>
    </xf>
    <xf numFmtId="0" fontId="5" fillId="4" borderId="4" xfId="0" applyFont="1" applyFill="1" applyBorder="1" applyAlignment="1">
      <alignment horizontal="center"/>
    </xf>
    <xf numFmtId="0" fontId="5" fillId="4" borderId="3" xfId="0" applyFont="1" applyFill="1" applyBorder="1" applyAlignment="1">
      <alignment horizontal="center"/>
    </xf>
    <xf numFmtId="168" fontId="18" fillId="17" borderId="5" xfId="1" applyNumberFormat="1" applyFont="1" applyFill="1" applyBorder="1" applyAlignment="1">
      <alignment horizontal="center"/>
    </xf>
    <xf numFmtId="168" fontId="18" fillId="17" borderId="6" xfId="1" applyNumberFormat="1" applyFont="1" applyFill="1" applyBorder="1" applyAlignment="1">
      <alignment horizontal="center"/>
    </xf>
    <xf numFmtId="0" fontId="15" fillId="5" borderId="12" xfId="0" applyFont="1" applyFill="1" applyBorder="1" applyAlignment="1">
      <alignment horizontal="center"/>
    </xf>
    <xf numFmtId="0" fontId="4" fillId="4" borderId="13" xfId="0" applyFont="1" applyFill="1" applyBorder="1" applyAlignment="1">
      <alignment horizontal="center"/>
    </xf>
    <xf numFmtId="0" fontId="4" fillId="4" borderId="11" xfId="0" applyFont="1" applyFill="1" applyBorder="1" applyAlignment="1">
      <alignment horizontal="center"/>
    </xf>
    <xf numFmtId="0" fontId="4" fillId="4" borderId="4" xfId="0" applyFont="1" applyFill="1" applyBorder="1" applyAlignment="1">
      <alignment horizontal="center"/>
    </xf>
    <xf numFmtId="0" fontId="4" fillId="4" borderId="3" xfId="0" applyFont="1" applyFill="1" applyBorder="1" applyAlignment="1">
      <alignment horizontal="center"/>
    </xf>
    <xf numFmtId="0" fontId="4" fillId="2" borderId="0" xfId="0" applyFont="1" applyFill="1" applyAlignment="1">
      <alignment horizontal="center"/>
    </xf>
    <xf numFmtId="0" fontId="4" fillId="4" borderId="17" xfId="0" applyFont="1" applyFill="1" applyBorder="1" applyAlignment="1">
      <alignment horizontal="center"/>
    </xf>
    <xf numFmtId="0" fontId="4" fillId="4" borderId="18" xfId="0" applyFont="1" applyFill="1" applyBorder="1" applyAlignment="1">
      <alignment horizontal="center"/>
    </xf>
    <xf numFmtId="0" fontId="0" fillId="2" borderId="0" xfId="0" applyFill="1" applyAlignment="1">
      <alignment horizontal="left"/>
    </xf>
  </cellXfs>
  <cellStyles count="3">
    <cellStyle name="Hyperlink" xfId="2" builtinId="8"/>
    <cellStyle name="Normal" xfId="0" builtinId="0"/>
    <cellStyle name="Percent" xfId="1" builtinId="5"/>
  </cellStyles>
  <dxfs count="3">
    <dxf>
      <fill>
        <patternFill>
          <bgColor theme="9" tint="0.59996337778862885"/>
        </patternFill>
      </fill>
    </dxf>
    <dxf>
      <fill>
        <patternFill>
          <bgColor theme="0"/>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06/relationships/rdRichValue" Target="richData/rdrichvalue.xml"/><Relationship Id="rId30" Type="http://schemas.microsoft.com/office/2017/06/relationships/rdSupportingPropertyBagStructure" Target="richData/rdsupportingpropertybagstructure.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26.09.2021</c:v>
                </c:pt>
                <c:pt idx="1">
                  <c:v>25.09.2022</c:v>
                </c:pt>
                <c:pt idx="2">
                  <c:v>24.09.2023</c:v>
                </c:pt>
                <c:pt idx="3">
                  <c:v>29.09.2024</c:v>
                </c:pt>
                <c:pt idx="4">
                  <c:v>28.09.2025</c:v>
                </c:pt>
              </c:strCache>
            </c:strRef>
          </c:cat>
          <c:val>
            <c:numRef>
              <c:f>'Graphs Year'!$H$57:$L$57</c:f>
              <c:numCache>
                <c:formatCode>#,##0_);[Red]\(#,##0\)</c:formatCode>
                <c:ptCount val="5"/>
                <c:pt idx="0">
                  <c:v>33566</c:v>
                </c:pt>
                <c:pt idx="1">
                  <c:v>44200</c:v>
                </c:pt>
                <c:pt idx="2">
                  <c:v>35820</c:v>
                </c:pt>
                <c:pt idx="3">
                  <c:v>38962</c:v>
                </c:pt>
                <c:pt idx="4">
                  <c:v>44284</c:v>
                </c:pt>
              </c:numCache>
            </c:numRef>
          </c:val>
          <c:extLst>
            <c:ext xmlns:c16="http://schemas.microsoft.com/office/drawing/2014/chart" uri="{C3380CC4-5D6E-409C-BE32-E72D297353CC}">
              <c16:uniqueId val="{00000000-FBD8-F544-8D7A-E766A179560A}"/>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26.09.2021</c:v>
                </c:pt>
                <c:pt idx="1">
                  <c:v>25.09.2022</c:v>
                </c:pt>
                <c:pt idx="2">
                  <c:v>24.09.2023</c:v>
                </c:pt>
                <c:pt idx="3">
                  <c:v>29.09.2024</c:v>
                </c:pt>
                <c:pt idx="4">
                  <c:v>28.09.2025</c:v>
                </c:pt>
              </c:strCache>
            </c:strRef>
          </c:cat>
          <c:val>
            <c:numRef>
              <c:f>'Graphs Year'!$H$58:$L$58</c:f>
              <c:numCache>
                <c:formatCode>#,##0_);\(#,##0\)</c:formatCode>
                <c:ptCount val="5"/>
                <c:pt idx="0">
                  <c:v>9789</c:v>
                </c:pt>
                <c:pt idx="1">
                  <c:v>15860</c:v>
                </c:pt>
                <c:pt idx="2">
                  <c:v>7788</c:v>
                </c:pt>
                <c:pt idx="3">
                  <c:v>10071</c:v>
                </c:pt>
                <c:pt idx="4">
                  <c:v>12355</c:v>
                </c:pt>
              </c:numCache>
            </c:numRef>
          </c:val>
          <c:extLst>
            <c:ext xmlns:c16="http://schemas.microsoft.com/office/drawing/2014/chart" uri="{C3380CC4-5D6E-409C-BE32-E72D297353CC}">
              <c16:uniqueId val="{00000001-FBD8-F544-8D7A-E766A179560A}"/>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26.09.2021</c:v>
                </c:pt>
                <c:pt idx="1">
                  <c:v>25.09.2022</c:v>
                </c:pt>
                <c:pt idx="2">
                  <c:v>24.09.2023</c:v>
                </c:pt>
                <c:pt idx="3">
                  <c:v>29.09.2024</c:v>
                </c:pt>
                <c:pt idx="4">
                  <c:v>28.09.2025</c:v>
                </c:pt>
              </c:strCache>
            </c:strRef>
          </c:cat>
          <c:val>
            <c:numRef>
              <c:f>'Graphs Year'!$H$59:$L$59</c:f>
              <c:numCache>
                <c:formatCode>#,##0_);\(#,##0\)</c:formatCode>
                <c:ptCount val="5"/>
                <c:pt idx="0">
                  <c:v>9043</c:v>
                </c:pt>
                <c:pt idx="1">
                  <c:v>12986</c:v>
                </c:pt>
                <c:pt idx="2">
                  <c:v>7339</c:v>
                </c:pt>
                <c:pt idx="3">
                  <c:v>10110</c:v>
                </c:pt>
                <c:pt idx="4">
                  <c:v>11241</c:v>
                </c:pt>
              </c:numCache>
            </c:numRef>
          </c:val>
          <c:extLst>
            <c:ext xmlns:c16="http://schemas.microsoft.com/office/drawing/2014/chart" uri="{C3380CC4-5D6E-409C-BE32-E72D297353CC}">
              <c16:uniqueId val="{00000002-FBD8-F544-8D7A-E766A179560A}"/>
            </c:ext>
          </c:extLst>
        </c:ser>
        <c:dLbls>
          <c:showLegendKey val="0"/>
          <c:showVal val="0"/>
          <c:showCatName val="0"/>
          <c:showSerName val="0"/>
          <c:showPercent val="0"/>
          <c:showBubbleSize val="0"/>
        </c:dLbls>
        <c:gapWidth val="75"/>
        <c:overlap val="-25"/>
        <c:axId val="53038591"/>
        <c:axId val="53037247"/>
      </c:barChart>
      <c:catAx>
        <c:axId val="53038591"/>
        <c:scaling>
          <c:orientation val="minMax"/>
        </c:scaling>
        <c:delete val="1"/>
        <c:axPos val="b"/>
        <c:numFmt formatCode="General" sourceLinked="1"/>
        <c:majorTickMark val="none"/>
        <c:minorTickMark val="none"/>
        <c:tickLblPos val="nextTo"/>
        <c:crossAx val="53037247"/>
        <c:crosses val="autoZero"/>
        <c:auto val="1"/>
        <c:lblAlgn val="ctr"/>
        <c:lblOffset val="100"/>
        <c:noMultiLvlLbl val="0"/>
      </c:catAx>
      <c:valAx>
        <c:axId val="53037247"/>
        <c:scaling>
          <c:orientation val="minMax"/>
        </c:scaling>
        <c:delete val="0"/>
        <c:axPos val="l"/>
        <c:majorGridlines>
          <c:spPr>
            <a:ln w="9525" cap="flat" cmpd="sng" algn="ctr">
              <a:solidFill>
                <a:schemeClr val="lt1">
                  <a:lumMod val="95000"/>
                  <a:alpha val="10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038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FCFE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Year'!$H$60:$L$60</c:f>
              <c:numCache>
                <c:formatCode>#,##0_);\(#,##0\)</c:formatCode>
                <c:ptCount val="5"/>
                <c:pt idx="0">
                  <c:v>6985</c:v>
                </c:pt>
                <c:pt idx="1">
                  <c:v>4803</c:v>
                </c:pt>
                <c:pt idx="2">
                  <c:v>7365</c:v>
                </c:pt>
                <c:pt idx="3">
                  <c:v>8513</c:v>
                </c:pt>
                <c:pt idx="4">
                  <c:v>10037</c:v>
                </c:pt>
              </c:numCache>
            </c:numRef>
          </c:val>
          <c:extLst>
            <c:ext xmlns:c16="http://schemas.microsoft.com/office/drawing/2014/chart" uri="{C3380CC4-5D6E-409C-BE32-E72D297353CC}">
              <c16:uniqueId val="{00000000-BB17-2F4C-8690-419106F20D70}"/>
            </c:ext>
          </c:extLst>
        </c:ser>
        <c:ser>
          <c:idx val="1"/>
          <c:order val="1"/>
          <c:tx>
            <c:v>FCFF</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Year'!$H$61:$L$61</c:f>
              <c:numCache>
                <c:formatCode>#,##0_);\(#,##0\)</c:formatCode>
                <c:ptCount val="5"/>
                <c:pt idx="0">
                  <c:v>7849.1112517033289</c:v>
                </c:pt>
                <c:pt idx="1">
                  <c:v>5262.3616482197631</c:v>
                </c:pt>
                <c:pt idx="2">
                  <c:v>11270.179363160016</c:v>
                </c:pt>
                <c:pt idx="3">
                  <c:v>11195.794311145512</c:v>
                </c:pt>
                <c:pt idx="4">
                  <c:v>11791.587064676618</c:v>
                </c:pt>
              </c:numCache>
            </c:numRef>
          </c:val>
          <c:extLst>
            <c:ext xmlns:c16="http://schemas.microsoft.com/office/drawing/2014/chart" uri="{C3380CC4-5D6E-409C-BE32-E72D297353CC}">
              <c16:uniqueId val="{00000001-BB17-2F4C-8690-419106F20D70}"/>
            </c:ext>
          </c:extLst>
        </c:ser>
        <c:dLbls>
          <c:showLegendKey val="0"/>
          <c:showVal val="0"/>
          <c:showCatName val="0"/>
          <c:showSerName val="0"/>
          <c:showPercent val="0"/>
          <c:showBubbleSize val="0"/>
        </c:dLbls>
        <c:gapWidth val="100"/>
        <c:overlap val="-24"/>
        <c:axId val="2187135"/>
        <c:axId val="58967807"/>
      </c:barChart>
      <c:catAx>
        <c:axId val="2187135"/>
        <c:scaling>
          <c:orientation val="minMax"/>
        </c:scaling>
        <c:delete val="1"/>
        <c:axPos val="b"/>
        <c:majorTickMark val="none"/>
        <c:minorTickMark val="none"/>
        <c:tickLblPos val="nextTo"/>
        <c:crossAx val="58967807"/>
        <c:crosses val="autoZero"/>
        <c:auto val="1"/>
        <c:lblAlgn val="ctr"/>
        <c:lblOffset val="100"/>
        <c:noMultiLvlLbl val="0"/>
      </c:catAx>
      <c:valAx>
        <c:axId val="58967807"/>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87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61592300962376E-2"/>
          <c:y val="2.5428331875182269E-2"/>
          <c:w val="0.87129396325459318"/>
          <c:h val="0.79224482356372117"/>
        </c:manualLayout>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Year'!$H$62:$L$62</c:f>
              <c:numCache>
                <c:formatCode>0%</c:formatCode>
                <c:ptCount val="5"/>
                <c:pt idx="0">
                  <c:v>0.57510576178275641</c:v>
                </c:pt>
                <c:pt idx="1">
                  <c:v>0.57798642533936651</c:v>
                </c:pt>
                <c:pt idx="2">
                  <c:v>0.55697934115019543</c:v>
                </c:pt>
                <c:pt idx="3">
                  <c:v>0.56213746727580716</c:v>
                </c:pt>
                <c:pt idx="4">
                  <c:v>0.55428597236022037</c:v>
                </c:pt>
              </c:numCache>
            </c:numRef>
          </c:val>
          <c:extLst>
            <c:ext xmlns:c16="http://schemas.microsoft.com/office/drawing/2014/chart" uri="{C3380CC4-5D6E-409C-BE32-E72D297353CC}">
              <c16:uniqueId val="{00000000-F190-BE4A-9FEF-2CC4F95DC82E}"/>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Year'!$H$63:$L$63</c:f>
              <c:numCache>
                <c:formatCode>0%</c:formatCode>
                <c:ptCount val="5"/>
                <c:pt idx="0">
                  <c:v>0.2916343919442293</c:v>
                </c:pt>
                <c:pt idx="1">
                  <c:v>0.35882352941176471</c:v>
                </c:pt>
                <c:pt idx="2">
                  <c:v>0.21742043551088777</c:v>
                </c:pt>
                <c:pt idx="3">
                  <c:v>0.25848262409527234</c:v>
                </c:pt>
                <c:pt idx="4">
                  <c:v>0.27899467076144885</c:v>
                </c:pt>
              </c:numCache>
            </c:numRef>
          </c:val>
          <c:extLst>
            <c:ext xmlns:c16="http://schemas.microsoft.com/office/drawing/2014/chart" uri="{C3380CC4-5D6E-409C-BE32-E72D297353CC}">
              <c16:uniqueId val="{00000001-F190-BE4A-9FEF-2CC4F95DC82E}"/>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Year'!$H$64:$L$64</c:f>
              <c:numCache>
                <c:formatCode>0%</c:formatCode>
                <c:ptCount val="5"/>
                <c:pt idx="0">
                  <c:v>0.2694095215396532</c:v>
                </c:pt>
                <c:pt idx="1">
                  <c:v>0.29380090497737554</c:v>
                </c:pt>
                <c:pt idx="2">
                  <c:v>0.2048855388051368</c:v>
                </c:pt>
                <c:pt idx="3">
                  <c:v>0.25948359940454802</c:v>
                </c:pt>
                <c:pt idx="4">
                  <c:v>0.25383885827838498</c:v>
                </c:pt>
              </c:numCache>
            </c:numRef>
          </c:val>
          <c:extLst>
            <c:ext xmlns:c16="http://schemas.microsoft.com/office/drawing/2014/chart" uri="{C3380CC4-5D6E-409C-BE32-E72D297353CC}">
              <c16:uniqueId val="{00000002-F190-BE4A-9FEF-2CC4F95DC82E}"/>
            </c:ext>
          </c:extLst>
        </c:ser>
        <c:dLbls>
          <c:showLegendKey val="0"/>
          <c:showVal val="0"/>
          <c:showCatName val="0"/>
          <c:showSerName val="0"/>
          <c:showPercent val="0"/>
          <c:showBubbleSize val="0"/>
        </c:dLbls>
        <c:gapWidth val="100"/>
        <c:overlap val="-24"/>
        <c:axId val="91790783"/>
        <c:axId val="91797055"/>
      </c:barChart>
      <c:catAx>
        <c:axId val="91790783"/>
        <c:scaling>
          <c:orientation val="minMax"/>
        </c:scaling>
        <c:delete val="1"/>
        <c:axPos val="b"/>
        <c:majorTickMark val="none"/>
        <c:minorTickMark val="none"/>
        <c:tickLblPos val="nextTo"/>
        <c:crossAx val="91797055"/>
        <c:crosses val="autoZero"/>
        <c:auto val="1"/>
        <c:lblAlgn val="ctr"/>
        <c:lblOffset val="100"/>
        <c:noMultiLvlLbl val="0"/>
      </c:catAx>
      <c:valAx>
        <c:axId val="9179705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790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Handset</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Year'!$H$65:$L$65</c:f>
              <c:numCache>
                <c:formatCode>#,##0_);\(#,##0\)</c:formatCode>
                <c:ptCount val="5"/>
                <c:pt idx="0">
                  <c:v>16830</c:v>
                </c:pt>
                <c:pt idx="1">
                  <c:v>25027</c:v>
                </c:pt>
                <c:pt idx="2">
                  <c:v>22570</c:v>
                </c:pt>
                <c:pt idx="3">
                  <c:v>24863</c:v>
                </c:pt>
                <c:pt idx="4">
                  <c:v>27793</c:v>
                </c:pt>
              </c:numCache>
            </c:numRef>
          </c:val>
          <c:extLst>
            <c:ext xmlns:c16="http://schemas.microsoft.com/office/drawing/2014/chart" uri="{C3380CC4-5D6E-409C-BE32-E72D297353CC}">
              <c16:uniqueId val="{00000000-CDE5-154C-8153-319428CD8714}"/>
            </c:ext>
          </c:extLst>
        </c:ser>
        <c:ser>
          <c:idx val="1"/>
          <c:order val="1"/>
          <c:tx>
            <c:v>Automotive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Year'!$H$66:$L$66</c:f>
              <c:numCache>
                <c:formatCode>#,##0_);\(#,##0\)</c:formatCode>
                <c:ptCount val="5"/>
                <c:pt idx="0">
                  <c:v>975</c:v>
                </c:pt>
                <c:pt idx="1">
                  <c:v>1372</c:v>
                </c:pt>
                <c:pt idx="2">
                  <c:v>1872</c:v>
                </c:pt>
                <c:pt idx="3">
                  <c:v>2910</c:v>
                </c:pt>
                <c:pt idx="4">
                  <c:v>3957</c:v>
                </c:pt>
              </c:numCache>
            </c:numRef>
          </c:val>
          <c:extLst>
            <c:ext xmlns:c16="http://schemas.microsoft.com/office/drawing/2014/chart" uri="{C3380CC4-5D6E-409C-BE32-E72D297353CC}">
              <c16:uniqueId val="{00000001-CDE5-154C-8153-319428CD8714}"/>
            </c:ext>
          </c:extLst>
        </c:ser>
        <c:ser>
          <c:idx val="2"/>
          <c:order val="2"/>
          <c:tx>
            <c:v>IoT</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Year'!$H$67:$L$67</c:f>
              <c:numCache>
                <c:formatCode>#,##0_);\(#,##0\)</c:formatCode>
                <c:ptCount val="5"/>
                <c:pt idx="0">
                  <c:v>5056</c:v>
                </c:pt>
                <c:pt idx="1">
                  <c:v>6948</c:v>
                </c:pt>
                <c:pt idx="2">
                  <c:v>5940</c:v>
                </c:pt>
                <c:pt idx="3">
                  <c:v>5423</c:v>
                </c:pt>
                <c:pt idx="4">
                  <c:v>6617</c:v>
                </c:pt>
              </c:numCache>
            </c:numRef>
          </c:val>
          <c:extLst>
            <c:ext xmlns:c16="http://schemas.microsoft.com/office/drawing/2014/chart" uri="{C3380CC4-5D6E-409C-BE32-E72D297353CC}">
              <c16:uniqueId val="{00000002-CDE5-154C-8153-319428CD8714}"/>
            </c:ext>
          </c:extLst>
        </c:ser>
        <c:ser>
          <c:idx val="3"/>
          <c:order val="3"/>
          <c:tx>
            <c:v>QTL</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Year'!$H$68:$L$68</c:f>
              <c:numCache>
                <c:formatCode>#,##0_);\(#,##0\)</c:formatCode>
                <c:ptCount val="5"/>
                <c:pt idx="0">
                  <c:v>6320</c:v>
                </c:pt>
                <c:pt idx="1">
                  <c:v>6358</c:v>
                </c:pt>
                <c:pt idx="2">
                  <c:v>5306</c:v>
                </c:pt>
                <c:pt idx="3">
                  <c:v>5572</c:v>
                </c:pt>
                <c:pt idx="4">
                  <c:v>5582</c:v>
                </c:pt>
              </c:numCache>
            </c:numRef>
          </c:val>
          <c:extLst>
            <c:ext xmlns:c16="http://schemas.microsoft.com/office/drawing/2014/chart" uri="{C3380CC4-5D6E-409C-BE32-E72D297353CC}">
              <c16:uniqueId val="{00000000-589D-4748-A4C3-664659A00992}"/>
            </c:ext>
          </c:extLst>
        </c:ser>
        <c:dLbls>
          <c:showLegendKey val="0"/>
          <c:showVal val="0"/>
          <c:showCatName val="0"/>
          <c:showSerName val="0"/>
          <c:showPercent val="0"/>
          <c:showBubbleSize val="0"/>
        </c:dLbls>
        <c:gapWidth val="150"/>
        <c:overlap val="100"/>
        <c:axId val="57928639"/>
        <c:axId val="57930431"/>
      </c:barChart>
      <c:catAx>
        <c:axId val="57928639"/>
        <c:scaling>
          <c:orientation val="minMax"/>
        </c:scaling>
        <c:delete val="1"/>
        <c:axPos val="b"/>
        <c:majorTickMark val="none"/>
        <c:minorTickMark val="none"/>
        <c:tickLblPos val="nextTo"/>
        <c:crossAx val="57930431"/>
        <c:crosses val="autoZero"/>
        <c:auto val="1"/>
        <c:lblAlgn val="ctr"/>
        <c:lblOffset val="100"/>
        <c:noMultiLvlLbl val="0"/>
      </c:catAx>
      <c:valAx>
        <c:axId val="5793043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2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ROA</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Year'!$H$69:$L$69</c:f>
              <c:numCache>
                <c:formatCode>0.00%</c:formatCode>
                <c:ptCount val="5"/>
                <c:pt idx="0">
                  <c:v>0.21927740058195924</c:v>
                </c:pt>
                <c:pt idx="1">
                  <c:v>0.26494470967478678</c:v>
                </c:pt>
                <c:pt idx="2">
                  <c:v>0.14378918495297807</c:v>
                </c:pt>
                <c:pt idx="3">
                  <c:v>0.18330492801972659</c:v>
                </c:pt>
                <c:pt idx="4">
                  <c:v>0.22417884849330916</c:v>
                </c:pt>
              </c:numCache>
            </c:numRef>
          </c:val>
          <c:extLst>
            <c:ext xmlns:c16="http://schemas.microsoft.com/office/drawing/2014/chart" uri="{C3380CC4-5D6E-409C-BE32-E72D297353CC}">
              <c16:uniqueId val="{00000000-5130-D94B-93C9-EC406C04EEFA}"/>
            </c:ext>
          </c:extLst>
        </c:ser>
        <c:ser>
          <c:idx val="1"/>
          <c:order val="1"/>
          <c:tx>
            <c:v>ROE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Year'!$H$70:$L$70</c:f>
              <c:numCache>
                <c:formatCode>0.00%</c:formatCode>
                <c:ptCount val="5"/>
                <c:pt idx="0">
                  <c:v>0.90884422110552765</c:v>
                </c:pt>
                <c:pt idx="1">
                  <c:v>0.7209237772719701</c:v>
                </c:pt>
                <c:pt idx="2">
                  <c:v>0.34006765210138556</c:v>
                </c:pt>
                <c:pt idx="3">
                  <c:v>0.38479104818451698</c:v>
                </c:pt>
                <c:pt idx="4">
                  <c:v>0.53008582476657551</c:v>
                </c:pt>
              </c:numCache>
            </c:numRef>
          </c:val>
          <c:extLst>
            <c:ext xmlns:c16="http://schemas.microsoft.com/office/drawing/2014/chart" uri="{C3380CC4-5D6E-409C-BE32-E72D297353CC}">
              <c16:uniqueId val="{00000001-5130-D94B-93C9-EC406C04EEFA}"/>
            </c:ext>
          </c:extLst>
        </c:ser>
        <c:ser>
          <c:idx val="2"/>
          <c:order val="2"/>
          <c:tx>
            <c:v>ROIC</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Year'!$H$71:$L$71</c:f>
              <c:numCache>
                <c:formatCode>0.00%</c:formatCode>
                <c:ptCount val="5"/>
                <c:pt idx="0">
                  <c:v>0.64875470609918895</c:v>
                </c:pt>
                <c:pt idx="1">
                  <c:v>0.50648624822851629</c:v>
                </c:pt>
                <c:pt idx="2">
                  <c:v>0.29932486311284412</c:v>
                </c:pt>
                <c:pt idx="3">
                  <c:v>0.35680941434169483</c:v>
                </c:pt>
                <c:pt idx="4">
                  <c:v>0.42408116405060003</c:v>
                </c:pt>
              </c:numCache>
            </c:numRef>
          </c:val>
          <c:extLst>
            <c:ext xmlns:c16="http://schemas.microsoft.com/office/drawing/2014/chart" uri="{C3380CC4-5D6E-409C-BE32-E72D297353CC}">
              <c16:uniqueId val="{00000002-5130-D94B-93C9-EC406C04EEFA}"/>
            </c:ext>
          </c:extLst>
        </c:ser>
        <c:dLbls>
          <c:showLegendKey val="0"/>
          <c:showVal val="0"/>
          <c:showCatName val="0"/>
          <c:showSerName val="0"/>
          <c:showPercent val="0"/>
          <c:showBubbleSize val="0"/>
        </c:dLbls>
        <c:gapWidth val="100"/>
        <c:overlap val="-24"/>
        <c:axId val="92276031"/>
        <c:axId val="92282303"/>
      </c:barChart>
      <c:catAx>
        <c:axId val="92276031"/>
        <c:scaling>
          <c:orientation val="minMax"/>
        </c:scaling>
        <c:delete val="1"/>
        <c:axPos val="b"/>
        <c:majorTickMark val="none"/>
        <c:minorTickMark val="none"/>
        <c:tickLblPos val="nextTo"/>
        <c:crossAx val="92282303"/>
        <c:crosses val="autoZero"/>
        <c:auto val="1"/>
        <c:lblAlgn val="ctr"/>
        <c:lblOffset val="100"/>
        <c:noMultiLvlLbl val="0"/>
      </c:catAx>
      <c:valAx>
        <c:axId val="922823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276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Price 5y</c:v>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Year'!$H$72:$L$72</c:f>
              <c:numCache>
                <c:formatCode>0</c:formatCode>
                <c:ptCount val="5"/>
                <c:pt idx="0">
                  <c:v>100</c:v>
                </c:pt>
                <c:pt idx="1">
                  <c:v>90.521362414102185</c:v>
                </c:pt>
                <c:pt idx="2">
                  <c:v>80.430236032267715</c:v>
                </c:pt>
                <c:pt idx="3">
                  <c:v>127.07648640573647</c:v>
                </c:pt>
                <c:pt idx="4">
                  <c:v>126.38183447863757</c:v>
                </c:pt>
              </c:numCache>
            </c:numRef>
          </c:val>
          <c:smooth val="0"/>
          <c:extLst>
            <c:ext xmlns:c16="http://schemas.microsoft.com/office/drawing/2014/chart" uri="{C3380CC4-5D6E-409C-BE32-E72D297353CC}">
              <c16:uniqueId val="{00000000-8918-6343-9993-B2D9E1A85BD9}"/>
            </c:ext>
          </c:extLst>
        </c:ser>
        <c:ser>
          <c:idx val="1"/>
          <c:order val="1"/>
          <c:tx>
            <c:v>Revenue 5y</c:v>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'Graphs Year'!$H$73:$L$73</c:f>
              <c:numCache>
                <c:formatCode>0</c:formatCode>
                <c:ptCount val="5"/>
                <c:pt idx="0">
                  <c:v>100</c:v>
                </c:pt>
                <c:pt idx="1">
                  <c:v>131.68086754453913</c:v>
                </c:pt>
                <c:pt idx="2">
                  <c:v>106.71512840374189</c:v>
                </c:pt>
                <c:pt idx="3">
                  <c:v>116.07579097896681</c:v>
                </c:pt>
                <c:pt idx="4">
                  <c:v>131.93112077697671</c:v>
                </c:pt>
              </c:numCache>
            </c:numRef>
          </c:val>
          <c:smooth val="0"/>
          <c:extLst>
            <c:ext xmlns:c16="http://schemas.microsoft.com/office/drawing/2014/chart" uri="{C3380CC4-5D6E-409C-BE32-E72D297353CC}">
              <c16:uniqueId val="{00000001-8918-6343-9993-B2D9E1A85BD9}"/>
            </c:ext>
          </c:extLst>
        </c:ser>
        <c:ser>
          <c:idx val="2"/>
          <c:order val="2"/>
          <c:tx>
            <c:v>EPS 5y</c:v>
          </c:tx>
          <c:spPr>
            <a:ln w="34925" cap="rnd">
              <a:solidFill>
                <a:schemeClr val="accent3"/>
              </a:solidFill>
              <a:round/>
            </a:ln>
            <a:effectLst>
              <a:outerShdw blurRad="57150" dist="19050" dir="5400000" algn="ctr" rotWithShape="0">
                <a:srgbClr val="000000">
                  <a:alpha val="63000"/>
                </a:srgbClr>
              </a:outerShdw>
            </a:effectLst>
          </c:spPr>
          <c:marker>
            <c:symbol val="none"/>
          </c:marker>
          <c:val>
            <c:numRef>
              <c:f>'Graphs Year'!$H$74:$L$74</c:f>
              <c:numCache>
                <c:formatCode>0</c:formatCode>
                <c:ptCount val="5"/>
                <c:pt idx="0">
                  <c:v>100</c:v>
                </c:pt>
                <c:pt idx="1">
                  <c:v>144.98094027954255</c:v>
                </c:pt>
                <c:pt idx="2">
                  <c:v>82.846251588310025</c:v>
                </c:pt>
                <c:pt idx="3">
                  <c:v>113.59593392630241</c:v>
                </c:pt>
                <c:pt idx="4">
                  <c:v>129.26112679457472</c:v>
                </c:pt>
              </c:numCache>
            </c:numRef>
          </c:val>
          <c:smooth val="0"/>
          <c:extLst>
            <c:ext xmlns:c16="http://schemas.microsoft.com/office/drawing/2014/chart" uri="{C3380CC4-5D6E-409C-BE32-E72D297353CC}">
              <c16:uniqueId val="{00000002-8918-6343-9993-B2D9E1A85BD9}"/>
            </c:ext>
          </c:extLst>
        </c:ser>
        <c:dLbls>
          <c:showLegendKey val="0"/>
          <c:showVal val="0"/>
          <c:showCatName val="0"/>
          <c:showSerName val="0"/>
          <c:showPercent val="0"/>
          <c:showBubbleSize val="0"/>
        </c:dLbls>
        <c:smooth val="0"/>
        <c:axId val="1761086079"/>
        <c:axId val="1761092351"/>
      </c:lineChart>
      <c:catAx>
        <c:axId val="1761086079"/>
        <c:scaling>
          <c:orientation val="minMax"/>
        </c:scaling>
        <c:delete val="1"/>
        <c:axPos val="b"/>
        <c:majorTickMark val="none"/>
        <c:minorTickMark val="none"/>
        <c:tickLblPos val="nextTo"/>
        <c:crossAx val="1761092351"/>
        <c:crosses val="autoZero"/>
        <c:auto val="1"/>
        <c:lblAlgn val="ctr"/>
        <c:lblOffset val="100"/>
        <c:noMultiLvlLbl val="0"/>
      </c:catAx>
      <c:valAx>
        <c:axId val="176109235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1086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Quarter'!$C$57:$J$57</c:f>
              <c:numCache>
                <c:formatCode>#,##0_);\(#,##0\)</c:formatCode>
                <c:ptCount val="8"/>
                <c:pt idx="0">
                  <c:v>10244</c:v>
                </c:pt>
                <c:pt idx="1">
                  <c:v>11669</c:v>
                </c:pt>
                <c:pt idx="2">
                  <c:v>10979</c:v>
                </c:pt>
                <c:pt idx="3">
                  <c:v>10465</c:v>
                </c:pt>
                <c:pt idx="4">
                  <c:v>11270</c:v>
                </c:pt>
                <c:pt idx="5">
                  <c:v>12252</c:v>
                </c:pt>
                <c:pt idx="6">
                  <c:v>10599</c:v>
                </c:pt>
                <c:pt idx="7">
                  <c:v>9947</c:v>
                </c:pt>
              </c:numCache>
            </c:numRef>
          </c:val>
          <c:extLst>
            <c:ext xmlns:c16="http://schemas.microsoft.com/office/drawing/2014/chart" uri="{C3380CC4-5D6E-409C-BE32-E72D297353CC}">
              <c16:uniqueId val="{00000000-A52F-B540-A9D4-A0F6D2821008}"/>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Quarter'!$C$58:$J$58</c:f>
              <c:numCache>
                <c:formatCode>#,##0_);\(#,##0\)</c:formatCode>
                <c:ptCount val="8"/>
                <c:pt idx="0">
                  <c:v>2581</c:v>
                </c:pt>
                <c:pt idx="1">
                  <c:v>3555</c:v>
                </c:pt>
                <c:pt idx="2">
                  <c:v>3120</c:v>
                </c:pt>
                <c:pt idx="3">
                  <c:v>2762</c:v>
                </c:pt>
                <c:pt idx="4">
                  <c:v>2918</c:v>
                </c:pt>
                <c:pt idx="5">
                  <c:v>3366</c:v>
                </c:pt>
                <c:pt idx="6">
                  <c:v>2309</c:v>
                </c:pt>
                <c:pt idx="7">
                  <c:v>1626</c:v>
                </c:pt>
              </c:numCache>
            </c:numRef>
          </c:val>
          <c:extLst>
            <c:ext xmlns:c16="http://schemas.microsoft.com/office/drawing/2014/chart" uri="{C3380CC4-5D6E-409C-BE32-E72D297353CC}">
              <c16:uniqueId val="{00000001-A52F-B540-A9D4-A0F6D2821008}"/>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Quarter'!$C$59:$J$59</c:f>
              <c:numCache>
                <c:formatCode>#,##0_);\(#,##0\)</c:formatCode>
                <c:ptCount val="8"/>
                <c:pt idx="0">
                  <c:v>2915</c:v>
                </c:pt>
                <c:pt idx="1">
                  <c:v>3180</c:v>
                </c:pt>
                <c:pt idx="2">
                  <c:v>2812</c:v>
                </c:pt>
                <c:pt idx="3">
                  <c:v>2666</c:v>
                </c:pt>
                <c:pt idx="4">
                  <c:v>2583</c:v>
                </c:pt>
                <c:pt idx="5">
                  <c:v>3004</c:v>
                </c:pt>
                <c:pt idx="6">
                  <c:v>1932</c:v>
                </c:pt>
                <c:pt idx="7">
                  <c:v>2002</c:v>
                </c:pt>
              </c:numCache>
            </c:numRef>
          </c:val>
          <c:extLst>
            <c:ext xmlns:c16="http://schemas.microsoft.com/office/drawing/2014/chart" uri="{C3380CC4-5D6E-409C-BE32-E72D297353CC}">
              <c16:uniqueId val="{00000002-A52F-B540-A9D4-A0F6D2821008}"/>
            </c:ext>
          </c:extLst>
        </c:ser>
        <c:dLbls>
          <c:showLegendKey val="0"/>
          <c:showVal val="0"/>
          <c:showCatName val="0"/>
          <c:showSerName val="0"/>
          <c:showPercent val="0"/>
          <c:showBubbleSize val="0"/>
        </c:dLbls>
        <c:gapWidth val="100"/>
        <c:overlap val="-24"/>
        <c:axId val="1076387263"/>
        <c:axId val="1076391295"/>
      </c:barChart>
      <c:catAx>
        <c:axId val="1076387263"/>
        <c:scaling>
          <c:orientation val="minMax"/>
        </c:scaling>
        <c:delete val="1"/>
        <c:axPos val="b"/>
        <c:majorTickMark val="none"/>
        <c:minorTickMark val="none"/>
        <c:tickLblPos val="nextTo"/>
        <c:crossAx val="1076391295"/>
        <c:crosses val="autoZero"/>
        <c:auto val="1"/>
        <c:lblAlgn val="ctr"/>
        <c:lblOffset val="100"/>
        <c:noMultiLvlLbl val="0"/>
      </c:catAx>
      <c:valAx>
        <c:axId val="107639129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638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Quarter'!$C$60:$J$60</c:f>
              <c:numCache>
                <c:formatCode>0%</c:formatCode>
                <c:ptCount val="8"/>
                <c:pt idx="0">
                  <c:v>0.56393986723935963</c:v>
                </c:pt>
                <c:pt idx="1">
                  <c:v>0.55771702802296685</c:v>
                </c:pt>
                <c:pt idx="2">
                  <c:v>0.55032334456690046</c:v>
                </c:pt>
                <c:pt idx="3">
                  <c:v>0.55986622073578596</c:v>
                </c:pt>
                <c:pt idx="4">
                  <c:v>0.55341614906832293</c:v>
                </c:pt>
                <c:pt idx="5">
                  <c:v>0.54554358472086195</c:v>
                </c:pt>
                <c:pt idx="6">
                  <c:v>0.53769223511652042</c:v>
                </c:pt>
                <c:pt idx="7">
                  <c:v>0.53051171207399217</c:v>
                </c:pt>
              </c:numCache>
            </c:numRef>
          </c:val>
          <c:extLst>
            <c:ext xmlns:c16="http://schemas.microsoft.com/office/drawing/2014/chart" uri="{C3380CC4-5D6E-409C-BE32-E72D297353CC}">
              <c16:uniqueId val="{00000000-A048-6D48-B3EA-D7065FE0E79C}"/>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Quarter'!$C$61:$J$61</c:f>
              <c:numCache>
                <c:formatCode>0%</c:formatCode>
                <c:ptCount val="8"/>
                <c:pt idx="0">
                  <c:v>0.25195236235845375</c:v>
                </c:pt>
                <c:pt idx="1">
                  <c:v>0.30465335504327706</c:v>
                </c:pt>
                <c:pt idx="2">
                  <c:v>0.28417888696602606</c:v>
                </c:pt>
                <c:pt idx="3">
                  <c:v>0.26392737697085522</c:v>
                </c:pt>
                <c:pt idx="4">
                  <c:v>0.25891748003549248</c:v>
                </c:pt>
                <c:pt idx="5">
                  <c:v>0.27473065621939274</c:v>
                </c:pt>
                <c:pt idx="6">
                  <c:v>0.21785074063590903</c:v>
                </c:pt>
                <c:pt idx="7">
                  <c:v>0.16346637177038303</c:v>
                </c:pt>
              </c:numCache>
            </c:numRef>
          </c:val>
          <c:extLst>
            <c:ext xmlns:c16="http://schemas.microsoft.com/office/drawing/2014/chart" uri="{C3380CC4-5D6E-409C-BE32-E72D297353CC}">
              <c16:uniqueId val="{00000001-A048-6D48-B3EA-D7065FE0E79C}"/>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Quarter'!$C$62:$J$62</c:f>
              <c:numCache>
                <c:formatCode>0%</c:formatCode>
                <c:ptCount val="8"/>
                <c:pt idx="0">
                  <c:v>0.28455681374463099</c:v>
                </c:pt>
                <c:pt idx="1">
                  <c:v>0.27251692518639131</c:v>
                </c:pt>
                <c:pt idx="2">
                  <c:v>0.25612533017579014</c:v>
                </c:pt>
                <c:pt idx="3">
                  <c:v>0.25475394171046345</c:v>
                </c:pt>
                <c:pt idx="4">
                  <c:v>0.22919254658385094</c:v>
                </c:pt>
                <c:pt idx="5">
                  <c:v>0.24518445968005223</c:v>
                </c:pt>
                <c:pt idx="6">
                  <c:v>0.18228134729691481</c:v>
                </c:pt>
                <c:pt idx="7">
                  <c:v>0.20126671358198453</c:v>
                </c:pt>
              </c:numCache>
            </c:numRef>
          </c:val>
          <c:extLst>
            <c:ext xmlns:c16="http://schemas.microsoft.com/office/drawing/2014/chart" uri="{C3380CC4-5D6E-409C-BE32-E72D297353CC}">
              <c16:uniqueId val="{00000002-A048-6D48-B3EA-D7065FE0E79C}"/>
            </c:ext>
          </c:extLst>
        </c:ser>
        <c:dLbls>
          <c:showLegendKey val="0"/>
          <c:showVal val="0"/>
          <c:showCatName val="0"/>
          <c:showSerName val="0"/>
          <c:showPercent val="0"/>
          <c:showBubbleSize val="0"/>
        </c:dLbls>
        <c:gapWidth val="100"/>
        <c:overlap val="-24"/>
        <c:axId val="1157457983"/>
        <c:axId val="1157451711"/>
      </c:barChart>
      <c:catAx>
        <c:axId val="1157457983"/>
        <c:scaling>
          <c:orientation val="minMax"/>
        </c:scaling>
        <c:delete val="1"/>
        <c:axPos val="b"/>
        <c:majorTickMark val="none"/>
        <c:minorTickMark val="none"/>
        <c:tickLblPos val="nextTo"/>
        <c:crossAx val="1157451711"/>
        <c:crosses val="autoZero"/>
        <c:auto val="1"/>
        <c:lblAlgn val="ctr"/>
        <c:lblOffset val="100"/>
        <c:noMultiLvlLbl val="0"/>
      </c:catAx>
      <c:valAx>
        <c:axId val="115745171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7457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Handset</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Quarter'!$C$63:$J$63</c:f>
              <c:numCache>
                <c:formatCode>#,##0_);\(#,##0\)</c:formatCode>
                <c:ptCount val="8"/>
                <c:pt idx="0">
                  <c:v>6096</c:v>
                </c:pt>
                <c:pt idx="1">
                  <c:v>7574</c:v>
                </c:pt>
                <c:pt idx="2">
                  <c:v>6929</c:v>
                </c:pt>
                <c:pt idx="3">
                  <c:v>6328</c:v>
                </c:pt>
                <c:pt idx="4">
                  <c:v>6961</c:v>
                </c:pt>
                <c:pt idx="5">
                  <c:v>7824</c:v>
                </c:pt>
                <c:pt idx="6">
                  <c:v>6024</c:v>
                </c:pt>
                <c:pt idx="7">
                  <c:v>5086</c:v>
                </c:pt>
              </c:numCache>
            </c:numRef>
          </c:val>
          <c:extLst>
            <c:ext xmlns:c16="http://schemas.microsoft.com/office/drawing/2014/chart" uri="{C3380CC4-5D6E-409C-BE32-E72D297353CC}">
              <c16:uniqueId val="{00000000-2E19-FD44-9C5E-C1716B02A7E3}"/>
            </c:ext>
          </c:extLst>
        </c:ser>
        <c:ser>
          <c:idx val="1"/>
          <c:order val="1"/>
          <c:tx>
            <c:v>Automotive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Quarter'!$C$64:$J$64</c:f>
              <c:numCache>
                <c:formatCode>#,##0_);\(#,##0\)</c:formatCode>
                <c:ptCount val="8"/>
                <c:pt idx="0">
                  <c:v>899</c:v>
                </c:pt>
                <c:pt idx="1">
                  <c:v>961</c:v>
                </c:pt>
                <c:pt idx="2">
                  <c:v>959</c:v>
                </c:pt>
                <c:pt idx="3">
                  <c:v>984</c:v>
                </c:pt>
                <c:pt idx="4">
                  <c:v>1053</c:v>
                </c:pt>
                <c:pt idx="5">
                  <c:v>1101</c:v>
                </c:pt>
                <c:pt idx="6">
                  <c:v>1326</c:v>
                </c:pt>
                <c:pt idx="7">
                  <c:v>1588</c:v>
                </c:pt>
              </c:numCache>
            </c:numRef>
          </c:val>
          <c:extLst>
            <c:ext xmlns:c16="http://schemas.microsoft.com/office/drawing/2014/chart" uri="{C3380CC4-5D6E-409C-BE32-E72D297353CC}">
              <c16:uniqueId val="{00000001-2E19-FD44-9C5E-C1716B02A7E3}"/>
            </c:ext>
          </c:extLst>
        </c:ser>
        <c:ser>
          <c:idx val="2"/>
          <c:order val="2"/>
          <c:tx>
            <c:v>IoT</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Quarter'!$C$65:$J$65</c:f>
              <c:numCache>
                <c:formatCode>#,##0_);\(#,##0\)</c:formatCode>
                <c:ptCount val="8"/>
                <c:pt idx="0">
                  <c:v>1015</c:v>
                </c:pt>
                <c:pt idx="1">
                  <c:v>1535</c:v>
                </c:pt>
                <c:pt idx="2">
                  <c:v>1319</c:v>
                </c:pt>
                <c:pt idx="3">
                  <c:v>1318</c:v>
                </c:pt>
                <c:pt idx="4">
                  <c:v>1409</c:v>
                </c:pt>
                <c:pt idx="5">
                  <c:v>1592</c:v>
                </c:pt>
                <c:pt idx="6">
                  <c:v>1382</c:v>
                </c:pt>
                <c:pt idx="7">
                  <c:v>1278</c:v>
                </c:pt>
              </c:numCache>
            </c:numRef>
          </c:val>
          <c:extLst>
            <c:ext xmlns:c16="http://schemas.microsoft.com/office/drawing/2014/chart" uri="{C3380CC4-5D6E-409C-BE32-E72D297353CC}">
              <c16:uniqueId val="{00000002-2E19-FD44-9C5E-C1716B02A7E3}"/>
            </c:ext>
          </c:extLst>
        </c:ser>
        <c:dLbls>
          <c:showLegendKey val="0"/>
          <c:showVal val="0"/>
          <c:showCatName val="0"/>
          <c:showSerName val="0"/>
          <c:showPercent val="0"/>
          <c:showBubbleSize val="0"/>
        </c:dLbls>
        <c:gapWidth val="100"/>
        <c:overlap val="100"/>
        <c:axId val="1156718463"/>
        <c:axId val="1156723391"/>
      </c:barChart>
      <c:catAx>
        <c:axId val="1156718463"/>
        <c:scaling>
          <c:orientation val="minMax"/>
        </c:scaling>
        <c:delete val="1"/>
        <c:axPos val="b"/>
        <c:majorTickMark val="none"/>
        <c:minorTickMark val="none"/>
        <c:tickLblPos val="nextTo"/>
        <c:crossAx val="1156723391"/>
        <c:crosses val="autoZero"/>
        <c:auto val="1"/>
        <c:lblAlgn val="ctr"/>
        <c:lblOffset val="100"/>
        <c:noMultiLvlLbl val="0"/>
      </c:catAx>
      <c:valAx>
        <c:axId val="115672339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1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FCFE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Quarter'!$C$66:$J$66</c:f>
              <c:numCache>
                <c:formatCode>#,##0_);\(#,##0\)</c:formatCode>
                <c:ptCount val="8"/>
                <c:pt idx="0">
                  <c:v>0</c:v>
                </c:pt>
                <c:pt idx="1">
                  <c:v>3551</c:v>
                </c:pt>
                <c:pt idx="2">
                  <c:v>1638</c:v>
                </c:pt>
                <c:pt idx="3">
                  <c:v>1922</c:v>
                </c:pt>
                <c:pt idx="4">
                  <c:v>2926</c:v>
                </c:pt>
                <c:pt idx="5">
                  <c:v>3528</c:v>
                </c:pt>
                <c:pt idx="6">
                  <c:v>1055</c:v>
                </c:pt>
                <c:pt idx="7">
                  <c:v>-335</c:v>
                </c:pt>
              </c:numCache>
            </c:numRef>
          </c:val>
          <c:smooth val="0"/>
          <c:extLst>
            <c:ext xmlns:c16="http://schemas.microsoft.com/office/drawing/2014/chart" uri="{C3380CC4-5D6E-409C-BE32-E72D297353CC}">
              <c16:uniqueId val="{00000000-2537-A641-96D5-AEFA40A2B2D6}"/>
            </c:ext>
          </c:extLst>
        </c:ser>
        <c:dLbls>
          <c:showLegendKey val="0"/>
          <c:showVal val="0"/>
          <c:showCatName val="0"/>
          <c:showSerName val="0"/>
          <c:showPercent val="0"/>
          <c:showBubbleSize val="0"/>
        </c:dLbls>
        <c:smooth val="0"/>
        <c:axId val="1163393471"/>
        <c:axId val="1163381375"/>
      </c:lineChart>
      <c:catAx>
        <c:axId val="1163393471"/>
        <c:scaling>
          <c:orientation val="minMax"/>
        </c:scaling>
        <c:delete val="1"/>
        <c:axPos val="b"/>
        <c:majorTickMark val="none"/>
        <c:minorTickMark val="none"/>
        <c:tickLblPos val="nextTo"/>
        <c:crossAx val="1163381375"/>
        <c:crosses val="autoZero"/>
        <c:auto val="1"/>
        <c:lblAlgn val="ctr"/>
        <c:lblOffset val="100"/>
        <c:noMultiLvlLbl val="0"/>
      </c:catAx>
      <c:valAx>
        <c:axId val="116338137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39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22364</xdr:colOff>
      <xdr:row>2</xdr:row>
      <xdr:rowOff>10227</xdr:rowOff>
    </xdr:from>
    <xdr:to>
      <xdr:col>5</xdr:col>
      <xdr:colOff>528767</xdr:colOff>
      <xdr:row>15</xdr:row>
      <xdr:rowOff>157515</xdr:rowOff>
    </xdr:to>
    <xdr:graphicFrame macro="">
      <xdr:nvGraphicFramePr>
        <xdr:cNvPr id="2" name="Chart 1">
          <a:extLst>
            <a:ext uri="{FF2B5EF4-FFF2-40B4-BE49-F238E27FC236}">
              <a16:creationId xmlns:a16="http://schemas.microsoft.com/office/drawing/2014/main" id="{9AAB82B6-E718-1553-9A8A-71AB1CB30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717270</xdr:colOff>
      <xdr:row>2</xdr:row>
      <xdr:rowOff>10221</xdr:rowOff>
    </xdr:from>
    <xdr:to>
      <xdr:col>11</xdr:col>
      <xdr:colOff>353043</xdr:colOff>
      <xdr:row>15</xdr:row>
      <xdr:rowOff>157509</xdr:rowOff>
    </xdr:to>
    <xdr:graphicFrame macro="">
      <xdr:nvGraphicFramePr>
        <xdr:cNvPr id="3" name="Chart 2">
          <a:extLst>
            <a:ext uri="{FF2B5EF4-FFF2-40B4-BE49-F238E27FC236}">
              <a16:creationId xmlns:a16="http://schemas.microsoft.com/office/drawing/2014/main" id="{C193E931-8DC7-D7CC-D47C-6903365BA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22365</xdr:colOff>
      <xdr:row>16</xdr:row>
      <xdr:rowOff>177959</xdr:rowOff>
    </xdr:from>
    <xdr:to>
      <xdr:col>5</xdr:col>
      <xdr:colOff>528768</xdr:colOff>
      <xdr:row>30</xdr:row>
      <xdr:rowOff>125562</xdr:rowOff>
    </xdr:to>
    <xdr:graphicFrame macro="">
      <xdr:nvGraphicFramePr>
        <xdr:cNvPr id="4" name="Chart 3">
          <a:extLst>
            <a:ext uri="{FF2B5EF4-FFF2-40B4-BE49-F238E27FC236}">
              <a16:creationId xmlns:a16="http://schemas.microsoft.com/office/drawing/2014/main" id="{7C1A4ED0-7A66-D55A-012D-14A8004B4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725258</xdr:colOff>
      <xdr:row>16</xdr:row>
      <xdr:rowOff>169971</xdr:rowOff>
    </xdr:from>
    <xdr:to>
      <xdr:col>11</xdr:col>
      <xdr:colOff>361031</xdr:colOff>
      <xdr:row>30</xdr:row>
      <xdr:rowOff>117574</xdr:rowOff>
    </xdr:to>
    <xdr:graphicFrame macro="">
      <xdr:nvGraphicFramePr>
        <xdr:cNvPr id="5" name="Chart 4">
          <a:extLst>
            <a:ext uri="{FF2B5EF4-FFF2-40B4-BE49-F238E27FC236}">
              <a16:creationId xmlns:a16="http://schemas.microsoft.com/office/drawing/2014/main" id="{BF106170-16E4-9CE8-051D-B7F6A8CA0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14378</xdr:colOff>
      <xdr:row>31</xdr:row>
      <xdr:rowOff>50160</xdr:rowOff>
    </xdr:from>
    <xdr:to>
      <xdr:col>5</xdr:col>
      <xdr:colOff>520781</xdr:colOff>
      <xdr:row>44</xdr:row>
      <xdr:rowOff>197448</xdr:rowOff>
    </xdr:to>
    <xdr:graphicFrame macro="">
      <xdr:nvGraphicFramePr>
        <xdr:cNvPr id="6" name="Chart 5">
          <a:extLst>
            <a:ext uri="{FF2B5EF4-FFF2-40B4-BE49-F238E27FC236}">
              <a16:creationId xmlns:a16="http://schemas.microsoft.com/office/drawing/2014/main" id="{1D0A5BEF-EF3A-9CEE-94C8-768A2579A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741234</xdr:colOff>
      <xdr:row>31</xdr:row>
      <xdr:rowOff>50162</xdr:rowOff>
    </xdr:from>
    <xdr:to>
      <xdr:col>11</xdr:col>
      <xdr:colOff>377008</xdr:colOff>
      <xdr:row>44</xdr:row>
      <xdr:rowOff>197450</xdr:rowOff>
    </xdr:to>
    <xdr:graphicFrame macro="">
      <xdr:nvGraphicFramePr>
        <xdr:cNvPr id="7" name="Chart 6">
          <a:extLst>
            <a:ext uri="{FF2B5EF4-FFF2-40B4-BE49-F238E27FC236}">
              <a16:creationId xmlns:a16="http://schemas.microsoft.com/office/drawing/2014/main" id="{8CFB7AC8-5677-A22B-6F2A-337F109435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1578</xdr:colOff>
      <xdr:row>1</xdr:row>
      <xdr:rowOff>174488</xdr:rowOff>
    </xdr:from>
    <xdr:to>
      <xdr:col>5</xdr:col>
      <xdr:colOff>629478</xdr:colOff>
      <xdr:row>15</xdr:row>
      <xdr:rowOff>46383</xdr:rowOff>
    </xdr:to>
    <xdr:graphicFrame macro="">
      <xdr:nvGraphicFramePr>
        <xdr:cNvPr id="2" name="Chart 1">
          <a:extLst>
            <a:ext uri="{FF2B5EF4-FFF2-40B4-BE49-F238E27FC236}">
              <a16:creationId xmlns:a16="http://schemas.microsoft.com/office/drawing/2014/main" id="{71232299-7FA9-0039-D056-D8E3B8535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814063</xdr:colOff>
      <xdr:row>1</xdr:row>
      <xdr:rowOff>174486</xdr:rowOff>
    </xdr:from>
    <xdr:to>
      <xdr:col>11</xdr:col>
      <xdr:colOff>416498</xdr:colOff>
      <xdr:row>15</xdr:row>
      <xdr:rowOff>46381</xdr:rowOff>
    </xdr:to>
    <xdr:graphicFrame macro="">
      <xdr:nvGraphicFramePr>
        <xdr:cNvPr id="3" name="Chart 2">
          <a:extLst>
            <a:ext uri="{FF2B5EF4-FFF2-40B4-BE49-F238E27FC236}">
              <a16:creationId xmlns:a16="http://schemas.microsoft.com/office/drawing/2014/main" id="{596D588C-4223-6A47-5C25-B5CE03A95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9465</xdr:colOff>
      <xdr:row>16</xdr:row>
      <xdr:rowOff>947</xdr:rowOff>
    </xdr:from>
    <xdr:to>
      <xdr:col>5</xdr:col>
      <xdr:colOff>646831</xdr:colOff>
      <xdr:row>29</xdr:row>
      <xdr:rowOff>77936</xdr:rowOff>
    </xdr:to>
    <xdr:graphicFrame macro="">
      <xdr:nvGraphicFramePr>
        <xdr:cNvPr id="4" name="Chart 3">
          <a:extLst>
            <a:ext uri="{FF2B5EF4-FFF2-40B4-BE49-F238E27FC236}">
              <a16:creationId xmlns:a16="http://schemas.microsoft.com/office/drawing/2014/main" id="{3C7CD02C-4465-C3A2-3510-E1D80F197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814063</xdr:colOff>
      <xdr:row>16</xdr:row>
      <xdr:rowOff>8838</xdr:rowOff>
    </xdr:from>
    <xdr:to>
      <xdr:col>11</xdr:col>
      <xdr:colOff>416498</xdr:colOff>
      <xdr:row>29</xdr:row>
      <xdr:rowOff>85827</xdr:rowOff>
    </xdr:to>
    <xdr:graphicFrame macro="">
      <xdr:nvGraphicFramePr>
        <xdr:cNvPr id="5" name="Chart 4">
          <a:extLst>
            <a:ext uri="{FF2B5EF4-FFF2-40B4-BE49-F238E27FC236}">
              <a16:creationId xmlns:a16="http://schemas.microsoft.com/office/drawing/2014/main" id="{7B2EB754-366B-7BD3-2DC6-930FE8A3D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128348</xdr:colOff>
      <xdr:row>16</xdr:row>
      <xdr:rowOff>20266</xdr:rowOff>
    </xdr:from>
    <xdr:to>
      <xdr:col>3</xdr:col>
      <xdr:colOff>716064</xdr:colOff>
      <xdr:row>16</xdr:row>
      <xdr:rowOff>216170</xdr:rowOff>
    </xdr:to>
    <xdr:sp macro="" textlink="">
      <xdr:nvSpPr>
        <xdr:cNvPr id="2" name="Right Arrow 1">
          <a:extLst>
            <a:ext uri="{FF2B5EF4-FFF2-40B4-BE49-F238E27FC236}">
              <a16:creationId xmlns:a16="http://schemas.microsoft.com/office/drawing/2014/main" id="{02CDC1E2-04C0-0B4F-AADE-DCF6B72A8310}"/>
            </a:ext>
          </a:extLst>
        </xdr:cNvPr>
        <xdr:cNvSpPr/>
      </xdr:nvSpPr>
      <xdr:spPr>
        <a:xfrm rot="10800000">
          <a:off x="3544648" y="3258766"/>
          <a:ext cx="587716" cy="19590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Volumes/KINGSTON/MyStockData/Finance-StockLists/1.%20List_ManualData.xlsx" TargetMode="External"/><Relationship Id="rId1" Type="http://schemas.openxmlformats.org/officeDocument/2006/relationships/externalLinkPath" Target="1.%20List_Manual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2">
          <cell r="C12">
            <v>4.4999999999999998E-2</v>
          </cell>
        </row>
      </sheetData>
    </sheetDataSet>
  </externalBook>
</externalLink>
</file>

<file path=xl/persons/person.xml><?xml version="1.0" encoding="utf-8"?>
<personList xmlns="http://schemas.microsoft.com/office/spreadsheetml/2018/threadedcomments" xmlns:x="http://schemas.openxmlformats.org/spreadsheetml/2006/main">
  <person displayName="adi dumitras" id="{A0F62302-F8D3-B346-B5DF-839B413AE710}" userId="b24535bb88af1c42"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0">
  <rv s="0">
    <v>http://en.wikipedia.org/wiki/Public_domain</v>
    <v>Public domain</v>
  </rv>
  <rv s="0">
    <v>http://en.wikipedia.org/wiki/Qualcomm</v>
    <v>Wikipedia</v>
  </rv>
  <rv s="1">
    <v>0</v>
    <v>1</v>
  </rv>
  <rv s="2">
    <v>6</v>
    <v>https://www.bing.com/th?id=AMMS_2b1c176dae370ecc0d55a1517537f595&amp;qlt=95</v>
    <v>2</v>
    <v>0</v>
    <v>https://www.bing.com/images/search?form=xlimg&amp;q=qualcomm</v>
    <v>Image of QUALCOMM INCORPORATED</v>
  </rv>
  <rv s="0">
    <v>https://www.bing.com/financeapi/forcetrigger?t=a21k2w&amp;q=XNAS%3aQCOM&amp;form=skydnc</v>
    <v>Learn more on Bing</v>
  </rv>
  <rv s="3">
    <v>0</v>
    <v>QUALCOMM INCORPORATED (XNAS:QCOM)</v>
    <v>3</v>
    <v>4</v>
    <v>Finance</v>
    <v>5</v>
    <v>en-US</v>
    <v>a21k2w</v>
    <v>268435456</v>
    <v>1</v>
    <v>Powered by Refinitiv</v>
    <v>259.92</v>
    <v>121.99</v>
    <v>1.6911</v>
    <v>5.78</v>
    <v>3.3484E-2</v>
    <v>-0.95</v>
    <v>-5.3249999999999999E-3</v>
    <v>USD</v>
    <v>Qualcomm Incorporated is engaged in the development and commercialization of foundational technologies for the wireless industry, including third generation (3G), fourth generation (4G) and fifth generation (5G) wireless connectivity, and high-performance and low-power computing, including on-device artificial intelligence. Its segments include Qualcomm CDMA Technologies (QCT), Qualcomm Technology Licensing (QTL) and Qualcomm Strategic Initiatives. QCT develops and supplies integrated circuits and system software based on 3G/4G/5G and other technologies, including radio frequency front-end, digital cockpit and advanced driver assistance and automated driving, Internet of things including consumer electronic devices, industrial devices and edge networking products. QTL grants licenses or otherwise provides rights to use portions of its intellectual property portfolio that includes certain patent rights essential to and/or useful in the manufacture and sale of certain wireless products.</v>
    <v>52000</v>
    <v>Nasdaq Stock Market</v>
    <v>XNAS</v>
    <v>XNAS</v>
    <v>5775 Morehouse Drive, SAN DIEGO, CA, 92121 US</v>
    <v>179.208</v>
    <v>3</v>
    <v>Semiconductors &amp; Semiconductor Equipment</v>
    <v>Stock</v>
    <v>46310.908339305468</v>
    <v>4</v>
    <v>168.84</v>
    <v>187320000000</v>
    <v>QUALCOMM INCORPORATED</v>
    <v>QUALCOMM INCORPORATED</v>
    <v>169.31</v>
    <v>20.647200000000002</v>
    <v>172.62</v>
    <v>178.4</v>
    <v>177.45</v>
    <v>1050000000</v>
    <v>QCOM</v>
    <v>QUALCOMM INCORPORATED (XNAS:QCOM)</v>
    <v>11778660</v>
    <v>13164456</v>
    <v>1991</v>
  </rv>
  <rv s="4">
    <v>5</v>
  </rv>
  <rv s="0">
    <v>https://www.bing.com/financeapi/forcetrigger?t=a33knm&amp;q=10+Y+TSY+YLD+NDX&amp;form=skydnc</v>
    <v>Learn more on Bing</v>
  </rv>
  <rv s="5">
    <v>7</v>
    <v>10 Y TSY YLD NDX</v>
    <v>8</v>
    <v>9</v>
    <v>Finance</v>
    <v>10</v>
    <v>en-US</v>
    <v>a33knm</v>
    <v>268435456</v>
    <v>1</v>
    <v>Powered by Refinitiv</v>
    <v>53.64</v>
    <v>39.47</v>
    <v>-0.27</v>
    <v>-5.1749999999999999E-3</v>
    <v>US</v>
    <v>53.29</v>
    <v>Index</v>
    <v>7</v>
    <v>51.77</v>
    <v>10 Y TSY YLD NDX</v>
    <v>51.96</v>
    <v>52.17</v>
    <v>51.9</v>
    <v>TNX</v>
    <v>10 Y TSY YLD NDX</v>
  </rv>
  <rv s="4">
    <v>8</v>
  </rv>
</rvData>
</file>

<file path=xl/richData/rdrichvaluestructure.xml><?xml version="1.0" encoding="utf-8"?>
<rvStructures xmlns="http://schemas.microsoft.com/office/spreadsheetml/2017/richdata" count="6">
  <s t="_hyperlink">
    <k n="Address" t="s"/>
    <k n="Text" t="s"/>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Change"/>
    <k n="Change (%)"/>
    <k n="Country/region" t="s"/>
    <k n="High"/>
    <k n="Instrument type" t="s"/>
    <k n="LearnMoreOnLink" t="r"/>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2">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spbArrays>
  <spbData count="11">
    <spb s="0">
      <v>0</v>
      <v>Name</v>
      <v>LearnMoreOnLink</v>
    </spb>
    <spb s="1">
      <v>0</v>
      <v>0</v>
    </spb>
    <spb s="2">
      <v>0</v>
      <v>0</v>
      <v>0</v>
    </spb>
    <spb s="3">
      <v>1</v>
      <v>2</v>
      <v>2</v>
      <v>2</v>
      <v>2</v>
    </spb>
    <spb s="4">
      <v>1</v>
      <v>2</v>
      <v>2</v>
      <v>1</v>
      <v>3</v>
      <v>1</v>
      <v>4</v>
      <v>1</v>
      <v>1</v>
      <v>5</v>
      <v>5</v>
      <v>6</v>
      <v>7</v>
      <v>1</v>
      <v>1</v>
      <v>1</v>
      <v>5</v>
      <v>8</v>
      <v>9</v>
      <v>10</v>
      <v>5</v>
      <v>1</v>
      <v>1</v>
      <v>6</v>
    </spb>
    <spb s="5">
      <v>at close</v>
      <v>from previous close</v>
      <v>from previous close</v>
      <v>Source: Nasdaq Last Sale</v>
      <v>GMT</v>
      <v>Real-Time Nasdaq Last Sale</v>
      <v>from close</v>
      <v>from close</v>
    </spb>
    <spb s="6">
      <v>Powered by Refinitiv</v>
    </spb>
    <spb s="0">
      <v>1</v>
      <v>Name</v>
      <v>LearnMoreOnLink</v>
    </spb>
    <spb s="7">
      <v>2</v>
      <v>2</v>
      <v>2</v>
    </spb>
    <spb s="8">
      <v>1</v>
      <v>1</v>
      <v>3</v>
      <v>1</v>
      <v>1</v>
      <v>1</v>
      <v>6</v>
      <v>1</v>
      <v>1</v>
      <v>1</v>
      <v>10</v>
    </spb>
    <spb s="9">
      <v>from previous close</v>
      <v>from previous close</v>
    </spb>
  </spbData>
</supportingPropertyBags>
</file>

<file path=xl/richData/rdsupportingpropertybagstructure.xml><?xml version="1.0" encoding="utf-8"?>
<spbStructures xmlns="http://schemas.microsoft.com/office/spreadsheetml/2017/richdata2" count="10">
  <s>
    <k n="^Order" t="spba"/>
    <k n="TitleProperty" t="s"/>
    <k n="SubTitleProperty" t="s"/>
  </s>
  <s>
    <k n="ShowInDotNotation" t="b"/>
    <k n="ShowInAutoComplete" t="b"/>
  </s>
  <s>
    <k n="ShowInCardView" t="b"/>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name" t="s"/>
  </s>
  <s>
    <k n="UniqueName" t="spb"/>
    <k n="`%ProviderInfo" t="spb"/>
    <k n="LearnMoreOnLink" t="spb"/>
  </s>
  <s>
    <k n="Low" t="i"/>
    <k n="High" t="i"/>
    <k n="Name" t="i"/>
    <k n="Open" t="i"/>
    <k n="Price" t="i"/>
    <k n="Change" t="i"/>
    <k n="Change (%)" t="i"/>
    <k n="52 week low" t="i"/>
    <k n="52 week high" t="i"/>
    <k n="Previous close" t="i"/>
    <k n="`%EntityServiceId" t="i"/>
  </s>
  <s>
    <k n="Change" t="s"/>
    <k n="Chang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rpv i="2">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84" dT="2026-02-17T21:45:28.65" personId="{A0F62302-F8D3-B346-B5DF-839B413AE710}" id="{22B2B3EF-EBF6-0D4F-BF74-BA371A77FD6F}">
    <text>Actual number</text>
  </threadedComment>
  <threadedComment ref="B115" dT="2026-04-25T21:52:20.00" personId="{A0F62302-F8D3-B346-B5DF-839B413AE710}" id="{8A10573A-B1E5-5443-A272-E27CCC9C056F}">
    <text>Take the closing price of the last day of the period. In case the price has seen heavy fluctuations make an average of the last days. Info found at Yahoo Finance in the Historical Data section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B35" dT="2026-04-25T20:40:52.15" personId="{A0F62302-F8D3-B346-B5DF-839B413AE710}" id="{87FCD2F5-1815-1140-9144-DCAA38F9CA74}">
    <text>We use here the inverted signg as are used in the CashFlow statement which means we will Add the change in NWC to the NOPAT instead of subtracting it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6044FD4-8F6D-C44C-A931-2F82C76276B7}">
  <we:reference id="wa200001365" version="2.5.0.0" store="en-US" storeType="OMEX"/>
  <we:alternateReferences>
    <we:reference id="wa200001365" version="2.5.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_xldudf_ALPHAVANTAGE_EQUITYQUOTE</we:customFunctionIds>
        <we:customFunctionIds>_xldudf_ALPHAVANTAGE_EQUITYTIMESERIES</we:customFunctionIds>
        <we:customFunctionIds>_xldudf_ALPHAVANTAGE_INTRADAYEQUITYSERIESUPDATING</we:customFunctionIds>
        <we:customFunctionIds>_xldudf_ALPHAVANTAGE_EXCHANGERATE</we:customFunctionIds>
        <we:customFunctionIds>_xldudf_ALPHAVANTAGE_EXCHANGERATEUPDATING</we:customFunctionIds>
        <we:customFunctionIds>_xldudf_ALPHAVANTAGE_EXCHANGERATESERIES</we:customFunctionIds>
        <we:customFunctionIds>_xldudf_ALPHAVANTAGE_EXCHANGERATESERIESUPDATING</we:customFunctionIds>
        <we:customFunctionIds>_xldudf_ALPHAVANTAGE_TECHNICALINDICATOR</we:customFunctionIds>
        <we:customFunctionIds>_xldudf_ALPHAVANTAGE_SYMBOLSEARCH</we:customFunctionIds>
        <we:customFunctionIds>_xldudf_ALPHAVANTAGE_COMMODITYTIMESERIES</we:customFunctionIds>
        <we:customFunctionIds>_xldudf_ALPHAVANTAGE_AVAILABLECRYPTOCURRENCIES</we:customFunctionIds>
        <we:customFunctionIds>_xldudf_ALPHAVANTAGE_AVAILABLEPHYSICALCURRENCIES</we:customFunctionIds>
        <we:customFunctionIds>_xldudf_ALPHAVANTAGE_COMPANYOVERVIEW</we:customFunctionIds>
        <we:customFunctionIds>_xldudf_ALPHAVANTAGE_COMPANYEARNINGS</we:customFunctionIds>
        <we:customFunctionIds>_xldudf_ALPHAVANTAGE_COMPANYFILINGS</we:customFunctionIds>
        <we:customFunctionIds>_xldudf_ALPHAVANTAGE_LISTINGSTATUS</we:customFunctionIds>
        <we:customFunctionIds>_xldudf_ALPHAVANTAGE_EARNINGSCALENDAR</we:customFunctionIds>
        <we:customFunctionIds>_xldudf_ALPHAVANTAGE_ECONOMICINDICATOR</we:customFunctionIds>
        <we:customFunctionIds>_xldudf_ALPHAVANTAGE_TREASURYYIELD</we:customFunctionIds>
      </we:customFunctionIdList>
    </a:ext>
  </we:extLst>
</we:webextension>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172E-7ADE-4B4A-B533-F037BCFCDCB0}">
  <dimension ref="B1:K75"/>
  <sheetViews>
    <sheetView tabSelected="1" zoomScale="160" zoomScaleNormal="160" workbookViewId="0">
      <selection activeCell="B3" sqref="B3"/>
    </sheetView>
  </sheetViews>
  <sheetFormatPr baseColWidth="10" defaultRowHeight="16" x14ac:dyDescent="0.2"/>
  <cols>
    <col min="1" max="1" width="2" style="1" customWidth="1"/>
    <col min="2" max="2" width="20.6640625" style="1" customWidth="1"/>
    <col min="3" max="3" width="25.83203125" style="1" customWidth="1"/>
    <col min="4" max="4" width="2" style="1" customWidth="1"/>
    <col min="5" max="5" width="19.1640625" style="1" customWidth="1"/>
    <col min="6" max="6" width="14.5" style="1" customWidth="1"/>
    <col min="7" max="7" width="1.6640625" style="1" customWidth="1"/>
    <col min="8" max="8" width="15.1640625" style="1" customWidth="1"/>
    <col min="9" max="9" width="8.6640625" style="1" customWidth="1"/>
    <col min="10" max="10" width="2" style="1" customWidth="1"/>
    <col min="11" max="11" width="16.5" style="1" customWidth="1"/>
    <col min="12" max="16384" width="10.83203125" style="1"/>
  </cols>
  <sheetData>
    <row r="1" spans="2:11" ht="11" customHeight="1" x14ac:dyDescent="0.2"/>
    <row r="2" spans="2:11" x14ac:dyDescent="0.2">
      <c r="B2" s="237" t="s">
        <v>17</v>
      </c>
      <c r="C2" s="238"/>
      <c r="E2" s="237" t="s">
        <v>279</v>
      </c>
      <c r="F2" s="238"/>
      <c r="H2" s="237" t="s">
        <v>317</v>
      </c>
      <c r="I2" s="238"/>
      <c r="K2" s="132" t="s">
        <v>431</v>
      </c>
    </row>
    <row r="3" spans="2:11" x14ac:dyDescent="0.2">
      <c r="B3" s="181" t="s">
        <v>11</v>
      </c>
      <c r="C3" s="213" t="e" vm="1">
        <v>#VALUE!</v>
      </c>
      <c r="D3" s="2"/>
      <c r="E3" s="181" t="s">
        <v>231</v>
      </c>
      <c r="F3" s="183">
        <f ca="1">Statement!AC156</f>
        <v>189460.80000000002</v>
      </c>
      <c r="H3" s="181" t="str">
        <f>'AVG target price'!B5</f>
        <v>DCF price</v>
      </c>
      <c r="I3" s="207">
        <f ca="1">'AVG target price'!C5</f>
        <v>111.09807910466851</v>
      </c>
      <c r="K3" s="235" t="s">
        <v>432</v>
      </c>
    </row>
    <row r="4" spans="2:11" x14ac:dyDescent="0.2">
      <c r="B4" s="181" t="s">
        <v>0</v>
      </c>
      <c r="C4" s="185" t="str" cm="1">
        <f t="array" aca="1" ref="C4" ca="1">_FV(C3,"Ticker symbol",TRUE)</f>
        <v>QCOM</v>
      </c>
      <c r="E4" s="182" t="s">
        <v>180</v>
      </c>
      <c r="F4" s="184">
        <f ca="1">Statement!AC157</f>
        <v>196426.80000000002</v>
      </c>
      <c r="H4" s="181" t="str">
        <f>'AVG target price'!B6</f>
        <v>EV/EBIT price</v>
      </c>
      <c r="I4" s="207">
        <f ca="1">'AVG target price'!C6</f>
        <v>213.12717145756969</v>
      </c>
      <c r="K4" s="235" t="s">
        <v>433</v>
      </c>
    </row>
    <row r="5" spans="2:11" x14ac:dyDescent="0.2">
      <c r="B5" s="181" t="s">
        <v>1</v>
      </c>
      <c r="C5" s="204" cm="1">
        <f t="array" aca="1" ref="C5" ca="1">_FV(C3,"Price",TRUE)</f>
        <v>178.4</v>
      </c>
      <c r="E5" s="181" t="s">
        <v>235</v>
      </c>
      <c r="F5" s="186">
        <f>Statement!AC26</f>
        <v>8.8483427020740457</v>
      </c>
      <c r="H5" s="181" t="str">
        <f>'AVG target price'!B7</f>
        <v>PS price</v>
      </c>
      <c r="I5" s="207">
        <f ca="1">'AVG target price'!C7</f>
        <v>192.42616377251687</v>
      </c>
      <c r="K5" s="235" t="s">
        <v>434</v>
      </c>
    </row>
    <row r="6" spans="2:11" x14ac:dyDescent="0.2">
      <c r="B6" s="181" t="s">
        <v>2</v>
      </c>
      <c r="C6" s="204" cm="1">
        <f t="array" aca="1" ref="C6" ca="1">_FV(C3,"Price (Extended hours)",TRUE)</f>
        <v>177.45</v>
      </c>
      <c r="E6" s="181" t="s">
        <v>229</v>
      </c>
      <c r="F6" s="186">
        <f ca="1">Statement!AC153</f>
        <v>20.161967727378276</v>
      </c>
      <c r="H6" s="181" t="str">
        <f>'AVG target price'!B8</f>
        <v>EV/FCFF price</v>
      </c>
      <c r="I6" s="207">
        <f ca="1">'AVG target price'!C8</f>
        <v>181.44275425076793</v>
      </c>
      <c r="K6" s="236" t="s">
        <v>435</v>
      </c>
    </row>
    <row r="7" spans="2:11" x14ac:dyDescent="0.2">
      <c r="B7" s="181" t="s">
        <v>3</v>
      </c>
      <c r="C7" s="6" cm="1">
        <f t="array" aca="1" ref="C7" ca="1">_FV(C3,"Change")</f>
        <v>5.78</v>
      </c>
      <c r="E7" s="182" t="s">
        <v>193</v>
      </c>
      <c r="F7" s="187">
        <f ca="1">Statement!AC154</f>
        <v>4.3498865389852046</v>
      </c>
      <c r="H7" s="181" t="str">
        <f>'AVG target price'!B9</f>
        <v>EV/Sales</v>
      </c>
      <c r="I7" s="207">
        <f ca="1">'AVG target price'!C9</f>
        <v>204.7243574969385</v>
      </c>
    </row>
    <row r="8" spans="2:11" x14ac:dyDescent="0.2">
      <c r="B8" s="181" t="s">
        <v>4</v>
      </c>
      <c r="C8" s="6" cm="1">
        <f t="array" aca="1" ref="C8" ca="1">_FV(C3,"Change (extended hours)",TRUE)</f>
        <v>-0.95</v>
      </c>
      <c r="E8" s="181" t="s">
        <v>257</v>
      </c>
      <c r="F8" s="188">
        <f ca="1">Statement!AC164</f>
        <v>3.7865352621756054E-2</v>
      </c>
      <c r="H8" s="180" t="str">
        <f>'AVG target price'!B10</f>
        <v>AVG price</v>
      </c>
      <c r="I8" s="208">
        <f ca="1">'AVG target price'!C10</f>
        <v>180.56370521649234</v>
      </c>
    </row>
    <row r="9" spans="2:11" x14ac:dyDescent="0.2">
      <c r="B9" s="181" t="s">
        <v>5</v>
      </c>
      <c r="C9" s="73" cm="1">
        <f t="array" aca="1" ref="C9" ca="1">_FV(C3,"Change (%)",TRUE)</f>
        <v>3.3484E-2</v>
      </c>
      <c r="E9" s="181" t="s">
        <v>280</v>
      </c>
      <c r="F9" s="188">
        <f ca="1">Statement!AC165</f>
        <v>4.9598333531805185E-2</v>
      </c>
      <c r="H9" s="180" t="str">
        <f>'AVG target price'!B12</f>
        <v>Upside/Downside</v>
      </c>
      <c r="I9" s="209">
        <f ca="1">'AVG target price'!C12</f>
        <v>1.2128392469127421E-2</v>
      </c>
    </row>
    <row r="10" spans="2:11" x14ac:dyDescent="0.2">
      <c r="B10" s="181" t="s">
        <v>6</v>
      </c>
      <c r="C10" s="73" cm="1">
        <f t="array" aca="1" ref="C10" ca="1">_FV(C3,"Change % (extended hours)",TRUE)</f>
        <v>-5.3249999999999999E-3</v>
      </c>
      <c r="E10" s="181" t="s">
        <v>285</v>
      </c>
      <c r="F10" s="188">
        <f ca="1">Statement!AC167</f>
        <v>4.8822764392423126E-2</v>
      </c>
    </row>
    <row r="11" spans="2:11" x14ac:dyDescent="0.2">
      <c r="B11" s="181" t="s">
        <v>7</v>
      </c>
      <c r="C11" s="205" cm="1">
        <f t="array" aca="1" ref="C11" ca="1">_FV(C3,"52 week high",TRUE)</f>
        <v>259.92</v>
      </c>
      <c r="E11" s="182" t="s">
        <v>281</v>
      </c>
      <c r="F11" s="189">
        <f ca="1">Statement!AC166</f>
        <v>2.0123318385650221E-2</v>
      </c>
      <c r="H11" s="180" t="s">
        <v>404</v>
      </c>
      <c r="I11" s="208">
        <f ca="1">DDM!C26</f>
        <v>34.155713683859652</v>
      </c>
    </row>
    <row r="12" spans="2:11" x14ac:dyDescent="0.2">
      <c r="B12" s="181" t="s">
        <v>8</v>
      </c>
      <c r="C12" s="205" cm="1">
        <f t="array" aca="1" ref="C12" ca="1">_FV(C3,"52 week low",TRUE)</f>
        <v>121.99</v>
      </c>
      <c r="E12" s="181" t="s">
        <v>94</v>
      </c>
      <c r="F12" s="188">
        <f>Statement!AC122</f>
        <v>0.16596649641780117</v>
      </c>
    </row>
    <row r="13" spans="2:11" x14ac:dyDescent="0.2">
      <c r="B13" s="181" t="s">
        <v>9</v>
      </c>
      <c r="C13" s="205" cm="1">
        <f t="array" aca="1" ref="C13" ca="1">_FV(C3,"Beta")</f>
        <v>1.6911</v>
      </c>
      <c r="E13" s="181" t="s">
        <v>96</v>
      </c>
      <c r="F13" s="188">
        <f>Statement!AC124</f>
        <v>0.3442403644515149</v>
      </c>
      <c r="H13" s="180" t="s">
        <v>428</v>
      </c>
      <c r="I13" s="209">
        <f>'Reverse DCF'!C17</f>
        <v>0.13</v>
      </c>
    </row>
    <row r="14" spans="2:11" x14ac:dyDescent="0.2">
      <c r="B14" s="182" t="s">
        <v>10</v>
      </c>
      <c r="C14" s="206" cm="1">
        <f t="array" aca="1" ref="C14" ca="1">_FV(C3,"Volume average",TRUE)</f>
        <v>13164456</v>
      </c>
      <c r="E14" s="182" t="s">
        <v>97</v>
      </c>
      <c r="F14" s="189">
        <f>Statement!AC143</f>
        <v>0.25062860459696928</v>
      </c>
    </row>
    <row r="15" spans="2:11" x14ac:dyDescent="0.2">
      <c r="E15" s="181" t="s">
        <v>282</v>
      </c>
      <c r="F15" s="188">
        <f ca="1">Statement!AC179</f>
        <v>-3.6767500190012917E-2</v>
      </c>
    </row>
    <row r="16" spans="2:11" x14ac:dyDescent="0.2">
      <c r="E16" s="182" t="s">
        <v>287</v>
      </c>
      <c r="F16" s="187">
        <f>Statement!AC178</f>
        <v>-6.6342857142857143</v>
      </c>
      <c r="H16" s="237" t="s">
        <v>429</v>
      </c>
      <c r="I16" s="238"/>
    </row>
    <row r="17" spans="2:9" x14ac:dyDescent="0.2">
      <c r="B17" s="239" t="s">
        <v>83</v>
      </c>
      <c r="C17" s="239"/>
      <c r="E17" s="180" t="s">
        <v>288</v>
      </c>
      <c r="F17" s="190">
        <f>Statement!AC174</f>
        <v>9.4161958568738226E-4</v>
      </c>
      <c r="H17" s="181" t="s">
        <v>157</v>
      </c>
      <c r="I17" s="233">
        <f ca="1">DCF!C15</f>
        <v>0.12160492812805888</v>
      </c>
    </row>
    <row r="18" spans="2:9" x14ac:dyDescent="0.2">
      <c r="B18" s="180" t="s">
        <v>12</v>
      </c>
      <c r="C18" s="69" t="s">
        <v>333</v>
      </c>
      <c r="E18" s="181" t="s">
        <v>289</v>
      </c>
      <c r="F18" s="186">
        <f>Statement!AC147</f>
        <v>137.86178331838977</v>
      </c>
      <c r="H18" s="182" t="s">
        <v>430</v>
      </c>
      <c r="I18" s="234">
        <f ca="1">Multiples!C54</f>
        <v>0.12799949999999999</v>
      </c>
    </row>
    <row r="19" spans="2:9" x14ac:dyDescent="0.2">
      <c r="B19" s="180" t="s">
        <v>13</v>
      </c>
      <c r="C19" s="70">
        <v>1000000</v>
      </c>
      <c r="E19" s="181" t="s">
        <v>250</v>
      </c>
      <c r="F19" s="186">
        <f>Statement!AC149</f>
        <v>0.25186202906934702</v>
      </c>
    </row>
    <row r="20" spans="2:9" x14ac:dyDescent="0.2">
      <c r="B20" s="180" t="s">
        <v>84</v>
      </c>
      <c r="C20" s="69" t="s">
        <v>86</v>
      </c>
      <c r="E20" s="182" t="s">
        <v>290</v>
      </c>
      <c r="F20" s="187">
        <f>Statement!AC150</f>
        <v>1.1365986156137737</v>
      </c>
    </row>
    <row r="21" spans="2:9" x14ac:dyDescent="0.2">
      <c r="B21" s="180" t="s">
        <v>85</v>
      </c>
      <c r="C21" s="69" t="s">
        <v>86</v>
      </c>
      <c r="I21" s="50"/>
    </row>
    <row r="22" spans="2:9" x14ac:dyDescent="0.2">
      <c r="B22" s="180" t="s">
        <v>87</v>
      </c>
      <c r="C22" s="69" t="s">
        <v>335</v>
      </c>
    </row>
    <row r="25" spans="2:9" x14ac:dyDescent="0.2">
      <c r="B25" s="239" t="s">
        <v>99</v>
      </c>
      <c r="C25" s="239"/>
      <c r="E25" s="237" t="s">
        <v>330</v>
      </c>
      <c r="F25" s="238"/>
    </row>
    <row r="26" spans="2:9" x14ac:dyDescent="0.2">
      <c r="B26" s="180" t="s">
        <v>100</v>
      </c>
      <c r="C26" s="166">
        <v>0.21</v>
      </c>
      <c r="E26" s="181" t="e" vm="2">
        <v>#VALUE!</v>
      </c>
      <c r="F26" s="215" cm="1">
        <f t="array" aca="1" ref="F26" ca="1">_FV(E26,"Price")</f>
        <v>51.9</v>
      </c>
    </row>
    <row r="27" spans="2:9" x14ac:dyDescent="0.2">
      <c r="B27" s="180" t="s">
        <v>164</v>
      </c>
      <c r="C27" s="217">
        <v>5.3499999999999999E-2</v>
      </c>
      <c r="E27" s="182" t="s">
        <v>331</v>
      </c>
      <c r="F27" s="216">
        <f ca="1">F26/1000</f>
        <v>5.1900000000000002E-2</v>
      </c>
    </row>
    <row r="28" spans="2:9" x14ac:dyDescent="0.2">
      <c r="B28" s="180" t="s">
        <v>347</v>
      </c>
      <c r="C28" s="217">
        <v>0</v>
      </c>
    </row>
    <row r="29" spans="2:9" x14ac:dyDescent="0.2">
      <c r="B29" s="180" t="s">
        <v>405</v>
      </c>
      <c r="C29" s="217">
        <v>0</v>
      </c>
    </row>
    <row r="33" spans="2:8" x14ac:dyDescent="0.2">
      <c r="B33" s="132" t="s">
        <v>325</v>
      </c>
      <c r="C33" s="132"/>
      <c r="D33" s="132"/>
      <c r="E33" s="132"/>
      <c r="F33" s="132"/>
      <c r="G33" s="132"/>
      <c r="H33" s="132"/>
    </row>
    <row r="35" spans="2:8" x14ac:dyDescent="0.2">
      <c r="B35" s="16" t="s">
        <v>326</v>
      </c>
      <c r="C35" s="1" t="s">
        <v>342</v>
      </c>
    </row>
    <row r="36" spans="2:8" x14ac:dyDescent="0.2">
      <c r="B36" s="16" t="s">
        <v>327</v>
      </c>
      <c r="C36" s="1" t="s">
        <v>341</v>
      </c>
    </row>
    <row r="39" spans="2:8" ht="6" customHeight="1" x14ac:dyDescent="0.2">
      <c r="B39" s="132"/>
      <c r="C39" s="132"/>
      <c r="D39" s="132"/>
      <c r="E39" s="132"/>
      <c r="F39" s="132"/>
      <c r="G39" s="132"/>
      <c r="H39" s="132"/>
    </row>
    <row r="42" spans="2:8" x14ac:dyDescent="0.2">
      <c r="B42" s="132" t="s">
        <v>328</v>
      </c>
      <c r="C42" s="132"/>
      <c r="D42" s="132"/>
      <c r="E42" s="132"/>
      <c r="F42" s="132"/>
      <c r="G42" s="132"/>
      <c r="H42" s="132"/>
    </row>
    <row r="44" spans="2:8" x14ac:dyDescent="0.2">
      <c r="B44" s="41" t="s">
        <v>329</v>
      </c>
      <c r="C44" s="41" t="s">
        <v>368</v>
      </c>
      <c r="D44" s="41"/>
      <c r="E44" s="41" t="s">
        <v>406</v>
      </c>
    </row>
    <row r="45" spans="2:8" x14ac:dyDescent="0.2">
      <c r="B45" s="1" t="s">
        <v>362</v>
      </c>
      <c r="C45" s="1" t="s">
        <v>411</v>
      </c>
    </row>
    <row r="46" spans="2:8" x14ac:dyDescent="0.2">
      <c r="C46" s="1" t="s">
        <v>412</v>
      </c>
    </row>
    <row r="47" spans="2:8" x14ac:dyDescent="0.2">
      <c r="B47" s="1" t="s">
        <v>362</v>
      </c>
      <c r="C47" s="1" t="s">
        <v>415</v>
      </c>
    </row>
    <row r="48" spans="2:8" x14ac:dyDescent="0.2">
      <c r="B48" s="1" t="s">
        <v>362</v>
      </c>
      <c r="C48" s="1" t="s">
        <v>408</v>
      </c>
    </row>
    <row r="49" spans="2:8" x14ac:dyDescent="0.2">
      <c r="B49" s="1" t="s">
        <v>362</v>
      </c>
      <c r="C49" s="1" t="s">
        <v>409</v>
      </c>
    </row>
    <row r="50" spans="2:8" x14ac:dyDescent="0.2">
      <c r="B50" s="1" t="s">
        <v>362</v>
      </c>
      <c r="C50" s="1" t="s">
        <v>410</v>
      </c>
    </row>
    <row r="51" spans="2:8" x14ac:dyDescent="0.2">
      <c r="B51" s="1" t="s">
        <v>362</v>
      </c>
      <c r="C51" s="1" t="s">
        <v>413</v>
      </c>
    </row>
    <row r="52" spans="2:8" x14ac:dyDescent="0.2">
      <c r="B52" s="1" t="s">
        <v>362</v>
      </c>
      <c r="C52" s="1" t="s">
        <v>414</v>
      </c>
    </row>
    <row r="53" spans="2:8" x14ac:dyDescent="0.2">
      <c r="B53" s="1" t="s">
        <v>362</v>
      </c>
      <c r="C53" s="1" t="s">
        <v>416</v>
      </c>
    </row>
    <row r="55" spans="2:8" ht="5" customHeight="1" x14ac:dyDescent="0.2">
      <c r="B55" s="132"/>
      <c r="C55" s="132"/>
      <c r="D55" s="132"/>
      <c r="E55" s="132"/>
      <c r="F55" s="132"/>
      <c r="G55" s="132"/>
      <c r="H55" s="132"/>
    </row>
    <row r="58" spans="2:8" x14ac:dyDescent="0.2">
      <c r="B58" s="132" t="s">
        <v>101</v>
      </c>
      <c r="C58" s="132"/>
      <c r="D58" s="132"/>
      <c r="E58" s="132"/>
      <c r="F58" s="132"/>
      <c r="G58" s="132"/>
      <c r="H58" s="132"/>
    </row>
    <row r="60" spans="2:8" x14ac:dyDescent="0.2">
      <c r="B60" s="41" t="s">
        <v>329</v>
      </c>
      <c r="C60" s="41" t="s">
        <v>368</v>
      </c>
      <c r="D60" s="41"/>
      <c r="E60" s="41" t="s">
        <v>339</v>
      </c>
    </row>
    <row r="61" spans="2:8" x14ac:dyDescent="0.2">
      <c r="B61" s="1" t="s">
        <v>362</v>
      </c>
      <c r="C61" s="1" t="s">
        <v>28</v>
      </c>
      <c r="E61" s="1" t="s">
        <v>370</v>
      </c>
    </row>
    <row r="62" spans="2:8" x14ac:dyDescent="0.2">
      <c r="B62" s="1" t="s">
        <v>362</v>
      </c>
      <c r="C62" s="1" t="s">
        <v>29</v>
      </c>
      <c r="E62" s="1" t="s">
        <v>364</v>
      </c>
    </row>
    <row r="63" spans="2:8" x14ac:dyDescent="0.2">
      <c r="B63" s="1" t="s">
        <v>362</v>
      </c>
      <c r="C63" s="1" t="s">
        <v>365</v>
      </c>
      <c r="E63" s="1" t="s">
        <v>364</v>
      </c>
    </row>
    <row r="65" spans="2:8" x14ac:dyDescent="0.2">
      <c r="B65" s="41" t="s">
        <v>329</v>
      </c>
      <c r="C65" s="41" t="s">
        <v>357</v>
      </c>
      <c r="D65" s="41"/>
      <c r="E65" s="41" t="s">
        <v>361</v>
      </c>
    </row>
    <row r="66" spans="2:8" x14ac:dyDescent="0.2">
      <c r="B66" s="1" t="s">
        <v>362</v>
      </c>
      <c r="C66" s="1" t="s">
        <v>28</v>
      </c>
      <c r="E66" s="1" t="s">
        <v>363</v>
      </c>
    </row>
    <row r="67" spans="2:8" x14ac:dyDescent="0.2">
      <c r="B67" s="1" t="s">
        <v>362</v>
      </c>
      <c r="C67" s="1" t="s">
        <v>29</v>
      </c>
      <c r="E67" s="1" t="s">
        <v>364</v>
      </c>
    </row>
    <row r="68" spans="2:8" x14ac:dyDescent="0.2">
      <c r="B68" s="1" t="s">
        <v>362</v>
      </c>
      <c r="C68" s="1" t="s">
        <v>365</v>
      </c>
      <c r="E68" s="1" t="s">
        <v>364</v>
      </c>
    </row>
    <row r="70" spans="2:8" x14ac:dyDescent="0.2">
      <c r="B70" s="41" t="s">
        <v>329</v>
      </c>
      <c r="C70" s="41" t="s">
        <v>357</v>
      </c>
      <c r="D70" s="41"/>
      <c r="E70" s="41" t="s">
        <v>337</v>
      </c>
    </row>
    <row r="71" spans="2:8" x14ac:dyDescent="0.2">
      <c r="B71" s="1" t="s">
        <v>362</v>
      </c>
      <c r="C71" s="1" t="s">
        <v>28</v>
      </c>
      <c r="E71" s="1" t="s">
        <v>363</v>
      </c>
    </row>
    <row r="72" spans="2:8" x14ac:dyDescent="0.2">
      <c r="B72" s="1" t="s">
        <v>362</v>
      </c>
      <c r="C72" s="1" t="s">
        <v>29</v>
      </c>
      <c r="E72" s="1" t="s">
        <v>364</v>
      </c>
    </row>
    <row r="73" spans="2:8" x14ac:dyDescent="0.2">
      <c r="B73" s="1" t="s">
        <v>362</v>
      </c>
      <c r="C73" s="1" t="s">
        <v>365</v>
      </c>
      <c r="E73" s="1" t="s">
        <v>364</v>
      </c>
    </row>
    <row r="75" spans="2:8" ht="5" customHeight="1" x14ac:dyDescent="0.2">
      <c r="B75" s="132"/>
      <c r="C75" s="132"/>
      <c r="D75" s="132"/>
      <c r="E75" s="132"/>
      <c r="F75" s="132"/>
      <c r="G75" s="132"/>
      <c r="H75" s="132"/>
    </row>
  </sheetData>
  <mergeCells count="7">
    <mergeCell ref="B2:C2"/>
    <mergeCell ref="B17:C17"/>
    <mergeCell ref="B25:C25"/>
    <mergeCell ref="E2:F2"/>
    <mergeCell ref="H2:I2"/>
    <mergeCell ref="E25:F25"/>
    <mergeCell ref="H16:I16"/>
  </mergeCells>
  <conditionalFormatting sqref="C7:C10">
    <cfRule type="cellIs" dxfId="2" priority="4" operator="lessThan">
      <formula>0</formula>
    </cfRule>
    <cfRule type="cellIs" dxfId="1" priority="5" operator="equal">
      <formula>0</formula>
    </cfRule>
    <cfRule type="cellIs" dxfId="0" priority="6" operator="greaterThan">
      <formula>0</formula>
    </cfRule>
  </conditionalFormatting>
  <hyperlinks>
    <hyperlink ref="K3" location="'Financials -&gt;'!B13" display="'Financials -&gt;'!B13" xr:uid="{A7615854-1D09-9746-95EB-1A6F003C80AE}"/>
    <hyperlink ref="K4" location="'Analysis -&gt;'!B13" display="'Analysis -&gt;'!B13" xr:uid="{8D98D1EA-37AF-5C42-B65C-FF9794D53AFE}"/>
    <hyperlink ref="K5" location="'Forecast -&gt;'!B13" display="'Forecast -&gt;'!B13" xr:uid="{A5CDB327-BC87-4C42-A4CC-9A375364E5F6}"/>
    <hyperlink ref="K6" location="'Valuation -&gt;'!B13" display="'Valuation -&gt;'!B13" xr:uid="{9B0968EA-64F8-0248-ADB4-8F839DC9F0E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35612-A5F6-ED42-8E7B-33A97D1D2D90}">
  <sheetPr>
    <tabColor theme="6" tint="0.59999389629810485"/>
  </sheetPr>
  <dimension ref="B5:H13"/>
  <sheetViews>
    <sheetView workbookViewId="0">
      <selection activeCell="H5" sqref="H5:H10"/>
    </sheetView>
  </sheetViews>
  <sheetFormatPr baseColWidth="10" defaultRowHeight="16" x14ac:dyDescent="0.2"/>
  <cols>
    <col min="1" max="7" width="10.83203125" style="1"/>
    <col min="8" max="8" width="16.6640625" style="1" customWidth="1"/>
    <col min="9" max="16384" width="10.83203125" style="1"/>
  </cols>
  <sheetData>
    <row r="5" spans="2:8" x14ac:dyDescent="0.2">
      <c r="H5" s="132" t="s">
        <v>431</v>
      </c>
    </row>
    <row r="6" spans="2:8" x14ac:dyDescent="0.2">
      <c r="H6" s="235" t="s">
        <v>436</v>
      </c>
    </row>
    <row r="7" spans="2:8" x14ac:dyDescent="0.2">
      <c r="H7" s="235" t="s">
        <v>432</v>
      </c>
    </row>
    <row r="8" spans="2:8" x14ac:dyDescent="0.2">
      <c r="H8" s="235" t="s">
        <v>433</v>
      </c>
    </row>
    <row r="9" spans="2:8" x14ac:dyDescent="0.2">
      <c r="H9" s="235" t="s">
        <v>434</v>
      </c>
    </row>
    <row r="10" spans="2:8" x14ac:dyDescent="0.2">
      <c r="H10" s="236" t="s">
        <v>435</v>
      </c>
    </row>
    <row r="13" spans="2:8" s="4" customFormat="1" ht="49" x14ac:dyDescent="0.2">
      <c r="B13" s="3" t="s">
        <v>14</v>
      </c>
    </row>
  </sheetData>
  <hyperlinks>
    <hyperlink ref="H6" location="Overview!B3" display="Overview'!B3" xr:uid="{D8C6F701-2E1A-E545-95D1-2AD7393C3264}"/>
    <hyperlink ref="H8" location="'Analysis -&gt;'!B13" display="'Analysis -&gt;'!B13" xr:uid="{9E9045D6-501F-384A-9D9E-7B74D79E2D96}"/>
    <hyperlink ref="H9" location="'Forecast -&gt;'!B13" display="'Forecast -&gt;'!B13" xr:uid="{B98D5F18-FFFD-C142-9086-9E9FF795C5A7}"/>
    <hyperlink ref="H10" location="'Valuation -&gt;'!B13" display="'Valuation -&gt;'!B13" xr:uid="{47B06DF5-A147-CF48-8595-54FD84B437EC}"/>
    <hyperlink ref="H7" location="'Financials -&gt;'!B13" display="'Financials -&gt;'!B13" xr:uid="{0A8298A1-B259-BA46-AF50-A415354B561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B83C-60BF-4548-84AB-1D4A73B251A4}">
  <dimension ref="A1:AE217"/>
  <sheetViews>
    <sheetView zoomScale="170" zoomScaleNormal="150" workbookViewId="0">
      <pane xSplit="2" ySplit="3" topLeftCell="Y153" activePane="bottomRight" state="frozen"/>
      <selection pane="topRight" activeCell="C1" sqref="C1"/>
      <selection pane="bottomLeft" activeCell="A4" sqref="A4"/>
      <selection pane="bottomRight" activeCell="AC161" sqref="AC161"/>
    </sheetView>
  </sheetViews>
  <sheetFormatPr baseColWidth="10" defaultRowHeight="16" x14ac:dyDescent="0.2"/>
  <cols>
    <col min="1" max="1" width="3.6640625" style="1" customWidth="1"/>
    <col min="2" max="2" width="33.83203125" style="20" customWidth="1"/>
    <col min="3" max="8" width="12" style="1" customWidth="1"/>
    <col min="9" max="9" width="10.83203125" style="1" customWidth="1"/>
    <col min="10" max="10" width="12" style="1" customWidth="1"/>
    <col min="11" max="12" width="10.83203125" style="1" customWidth="1"/>
    <col min="13" max="13" width="10.6640625" style="1" customWidth="1"/>
    <col min="14" max="14" width="10.83203125" style="1" customWidth="1"/>
    <col min="15" max="16" width="12" style="1" bestFit="1" customWidth="1"/>
    <col min="17" max="17" width="11.33203125" style="1" bestFit="1" customWidth="1"/>
    <col min="18" max="18" width="2.83203125" style="1" customWidth="1"/>
    <col min="19" max="19" width="3.5" style="1" customWidth="1"/>
    <col min="20" max="25" width="10.83203125" style="1"/>
    <col min="26" max="27" width="11" style="1" customWidth="1"/>
    <col min="28" max="28" width="9" style="1" customWidth="1"/>
    <col min="29" max="16384" width="10.83203125" style="1"/>
  </cols>
  <sheetData>
    <row r="1" spans="1:31" x14ac:dyDescent="0.2">
      <c r="B1" s="1"/>
    </row>
    <row r="2" spans="1:31" s="10" customFormat="1" x14ac:dyDescent="0.2">
      <c r="A2" s="7"/>
      <c r="B2" s="8" t="s">
        <v>15</v>
      </c>
      <c r="C2" s="9"/>
      <c r="D2" s="9"/>
      <c r="E2" s="9"/>
      <c r="F2" s="9"/>
      <c r="G2" s="9"/>
      <c r="H2" s="9"/>
      <c r="I2" s="9"/>
      <c r="M2" s="10" t="s">
        <v>367</v>
      </c>
      <c r="N2" s="10" t="s">
        <v>366</v>
      </c>
      <c r="O2" s="10" t="s">
        <v>359</v>
      </c>
      <c r="P2" s="10" t="s">
        <v>358</v>
      </c>
      <c r="Q2" s="10" t="s">
        <v>357</v>
      </c>
      <c r="R2" s="7"/>
      <c r="S2" s="7"/>
      <c r="T2" s="10" t="s">
        <v>358</v>
      </c>
      <c r="U2" s="10" t="s">
        <v>373</v>
      </c>
      <c r="V2" s="10" t="s">
        <v>369</v>
      </c>
      <c r="W2" s="10" t="s">
        <v>375</v>
      </c>
      <c r="X2" s="10" t="s">
        <v>357</v>
      </c>
      <c r="Y2" s="10" t="s">
        <v>371</v>
      </c>
      <c r="Z2" s="10" t="s">
        <v>368</v>
      </c>
      <c r="AA2" s="10" t="s">
        <v>407</v>
      </c>
      <c r="AB2" s="7"/>
      <c r="AD2" s="7"/>
      <c r="AE2" s="7"/>
    </row>
    <row r="3" spans="1:31" s="13" customFormat="1" x14ac:dyDescent="0.2">
      <c r="A3" s="11"/>
      <c r="B3" s="12" t="s">
        <v>16</v>
      </c>
      <c r="M3" s="13">
        <v>2021</v>
      </c>
      <c r="N3" s="13">
        <v>2022</v>
      </c>
      <c r="O3" s="13">
        <v>2023</v>
      </c>
      <c r="P3" s="13">
        <v>2024</v>
      </c>
      <c r="Q3" s="13">
        <v>2025</v>
      </c>
      <c r="R3" s="11"/>
      <c r="S3" s="11"/>
      <c r="T3" s="10" t="s">
        <v>374</v>
      </c>
      <c r="U3" s="10" t="s">
        <v>372</v>
      </c>
      <c r="V3" s="10" t="s">
        <v>340</v>
      </c>
      <c r="W3" s="10" t="s">
        <v>338</v>
      </c>
      <c r="X3" s="10" t="s">
        <v>337</v>
      </c>
      <c r="Y3" s="10" t="s">
        <v>336</v>
      </c>
      <c r="Z3" s="10" t="s">
        <v>339</v>
      </c>
      <c r="AA3" s="10" t="s">
        <v>406</v>
      </c>
      <c r="AB3" s="11"/>
      <c r="AC3" s="59" t="s">
        <v>82</v>
      </c>
      <c r="AD3" s="11"/>
      <c r="AE3" s="11"/>
    </row>
    <row r="4" spans="1:31" s="15" customFormat="1" ht="17" thickBot="1" x14ac:dyDescent="0.25">
      <c r="A4" s="11"/>
      <c r="B4" s="14" t="s">
        <v>18</v>
      </c>
      <c r="R4" s="11"/>
      <c r="S4" s="11"/>
      <c r="AB4" s="11"/>
      <c r="AD4" s="11"/>
      <c r="AE4" s="11"/>
    </row>
    <row r="5" spans="1:31" s="19" customFormat="1" x14ac:dyDescent="0.2">
      <c r="A5" s="16"/>
      <c r="B5" s="17" t="s">
        <v>19</v>
      </c>
      <c r="C5" s="18"/>
      <c r="D5" s="18"/>
      <c r="E5" s="18"/>
      <c r="F5" s="18"/>
      <c r="G5" s="18"/>
      <c r="H5" s="18"/>
      <c r="I5" s="18"/>
      <c r="J5" s="18"/>
      <c r="K5" s="18"/>
      <c r="L5" s="18"/>
      <c r="M5" s="18">
        <v>33566</v>
      </c>
      <c r="N5" s="18">
        <v>44200</v>
      </c>
      <c r="O5" s="18">
        <v>35820</v>
      </c>
      <c r="P5" s="18">
        <v>38962</v>
      </c>
      <c r="Q5" s="18">
        <v>44284</v>
      </c>
      <c r="R5" s="16"/>
      <c r="S5" s="16"/>
      <c r="T5" s="18">
        <v>10244</v>
      </c>
      <c r="U5" s="18">
        <v>11669</v>
      </c>
      <c r="V5" s="18">
        <v>10979</v>
      </c>
      <c r="W5" s="18">
        <v>10465</v>
      </c>
      <c r="X5" s="18">
        <v>11270</v>
      </c>
      <c r="Y5" s="18">
        <v>12252</v>
      </c>
      <c r="Z5" s="18">
        <v>10599</v>
      </c>
      <c r="AA5" s="18">
        <v>9947</v>
      </c>
      <c r="AB5" s="16"/>
      <c r="AC5" s="18">
        <f>SUM(X5:AA5)</f>
        <v>44068</v>
      </c>
      <c r="AD5" s="16"/>
      <c r="AE5" s="16"/>
    </row>
    <row r="6" spans="1:31" x14ac:dyDescent="0.2">
      <c r="B6" s="20" t="s">
        <v>20</v>
      </c>
      <c r="C6" s="21"/>
      <c r="D6" s="21"/>
      <c r="E6" s="21"/>
      <c r="F6" s="21"/>
      <c r="G6" s="21"/>
      <c r="H6" s="21"/>
      <c r="I6" s="21"/>
      <c r="J6" s="21"/>
      <c r="K6" s="21"/>
      <c r="L6" s="21"/>
      <c r="M6" s="21">
        <v>14262</v>
      </c>
      <c r="N6" s="21">
        <v>18653</v>
      </c>
      <c r="O6" s="21">
        <v>15869</v>
      </c>
      <c r="P6" s="21">
        <v>17060</v>
      </c>
      <c r="Q6" s="21">
        <v>19738</v>
      </c>
      <c r="T6" s="21">
        <v>4467</v>
      </c>
      <c r="U6" s="21">
        <v>5161</v>
      </c>
      <c r="V6" s="21">
        <v>4937</v>
      </c>
      <c r="W6" s="21">
        <v>4606</v>
      </c>
      <c r="X6" s="21">
        <v>5033</v>
      </c>
      <c r="Y6" s="21">
        <v>5568</v>
      </c>
      <c r="Z6" s="21">
        <v>4900</v>
      </c>
      <c r="AA6" s="21">
        <v>4670</v>
      </c>
      <c r="AC6" s="21">
        <f t="shared" ref="AC6:AC18" si="0">SUM(X6:AA6)</f>
        <v>20171</v>
      </c>
    </row>
    <row r="7" spans="1:31" s="19" customFormat="1" x14ac:dyDescent="0.2">
      <c r="A7" s="16"/>
      <c r="B7" s="17" t="s">
        <v>21</v>
      </c>
      <c r="C7" s="22">
        <f t="shared" ref="C7:Q7" si="1">C5-C6</f>
        <v>0</v>
      </c>
      <c r="D7" s="22">
        <f t="shared" si="1"/>
        <v>0</v>
      </c>
      <c r="E7" s="22">
        <f t="shared" si="1"/>
        <v>0</v>
      </c>
      <c r="F7" s="22">
        <f t="shared" si="1"/>
        <v>0</v>
      </c>
      <c r="G7" s="22">
        <f t="shared" si="1"/>
        <v>0</v>
      </c>
      <c r="H7" s="22">
        <f t="shared" si="1"/>
        <v>0</v>
      </c>
      <c r="I7" s="22">
        <f t="shared" si="1"/>
        <v>0</v>
      </c>
      <c r="J7" s="22">
        <f t="shared" si="1"/>
        <v>0</v>
      </c>
      <c r="K7" s="22">
        <f t="shared" si="1"/>
        <v>0</v>
      </c>
      <c r="L7" s="22">
        <f t="shared" si="1"/>
        <v>0</v>
      </c>
      <c r="M7" s="22">
        <f t="shared" si="1"/>
        <v>19304</v>
      </c>
      <c r="N7" s="22">
        <f t="shared" si="1"/>
        <v>25547</v>
      </c>
      <c r="O7" s="22">
        <f t="shared" si="1"/>
        <v>19951</v>
      </c>
      <c r="P7" s="22">
        <f t="shared" si="1"/>
        <v>21902</v>
      </c>
      <c r="Q7" s="22">
        <f t="shared" si="1"/>
        <v>24546</v>
      </c>
      <c r="R7" s="16"/>
      <c r="S7" s="16"/>
      <c r="T7" s="22">
        <f t="shared" ref="T7:Y7" si="2">T5-T6</f>
        <v>5777</v>
      </c>
      <c r="U7" s="22">
        <f t="shared" si="2"/>
        <v>6508</v>
      </c>
      <c r="V7" s="22">
        <f t="shared" si="2"/>
        <v>6042</v>
      </c>
      <c r="W7" s="22">
        <f t="shared" si="2"/>
        <v>5859</v>
      </c>
      <c r="X7" s="22">
        <f t="shared" si="2"/>
        <v>6237</v>
      </c>
      <c r="Y7" s="22">
        <f t="shared" si="2"/>
        <v>6684</v>
      </c>
      <c r="Z7" s="22">
        <f t="shared" ref="Z7:AA7" si="3">Z5-Z6</f>
        <v>5699</v>
      </c>
      <c r="AA7" s="22">
        <f t="shared" si="3"/>
        <v>5277</v>
      </c>
      <c r="AB7" s="16"/>
      <c r="AC7" s="22">
        <f t="shared" si="0"/>
        <v>23897</v>
      </c>
      <c r="AD7" s="16"/>
      <c r="AE7" s="16"/>
    </row>
    <row r="8" spans="1:31" x14ac:dyDescent="0.2">
      <c r="B8" s="20" t="s">
        <v>22</v>
      </c>
      <c r="C8" s="21"/>
      <c r="D8" s="21"/>
      <c r="E8" s="21"/>
      <c r="F8" s="21"/>
      <c r="G8" s="21"/>
      <c r="H8" s="21"/>
      <c r="I8" s="21"/>
      <c r="J8" s="21"/>
      <c r="K8" s="21"/>
      <c r="L8" s="21"/>
      <c r="M8" s="21">
        <v>7176</v>
      </c>
      <c r="N8" s="21">
        <v>8194</v>
      </c>
      <c r="O8" s="21">
        <v>8818</v>
      </c>
      <c r="P8" s="21">
        <v>8893</v>
      </c>
      <c r="Q8" s="21">
        <v>9042</v>
      </c>
      <c r="T8" s="21">
        <v>2302</v>
      </c>
      <c r="U8" s="21">
        <v>2230</v>
      </c>
      <c r="V8" s="21">
        <v>2216</v>
      </c>
      <c r="W8" s="21">
        <v>2226</v>
      </c>
      <c r="X8" s="21">
        <v>2370</v>
      </c>
      <c r="Y8" s="21">
        <v>2453</v>
      </c>
      <c r="Z8" s="21">
        <v>2463</v>
      </c>
      <c r="AA8" s="21">
        <v>2607</v>
      </c>
      <c r="AC8" s="21">
        <f t="shared" si="0"/>
        <v>9893</v>
      </c>
    </row>
    <row r="9" spans="1:31" x14ac:dyDescent="0.2">
      <c r="B9" s="20" t="s">
        <v>334</v>
      </c>
      <c r="C9" s="21"/>
      <c r="D9" s="21"/>
      <c r="E9" s="21"/>
      <c r="F9" s="21"/>
      <c r="G9" s="21"/>
      <c r="H9" s="21"/>
      <c r="I9" s="21"/>
      <c r="J9" s="21"/>
      <c r="K9" s="21"/>
      <c r="L9" s="21"/>
      <c r="M9" s="21">
        <v>2339</v>
      </c>
      <c r="N9" s="21">
        <v>2570</v>
      </c>
      <c r="O9" s="21">
        <v>2483</v>
      </c>
      <c r="P9" s="21">
        <v>2759</v>
      </c>
      <c r="Q9" s="21">
        <v>3110</v>
      </c>
      <c r="T9" s="21">
        <v>762</v>
      </c>
      <c r="U9" s="21">
        <v>723</v>
      </c>
      <c r="V9" s="21">
        <v>706</v>
      </c>
      <c r="W9" s="21">
        <v>771</v>
      </c>
      <c r="X9" s="21">
        <v>910</v>
      </c>
      <c r="Y9" s="21">
        <v>865</v>
      </c>
      <c r="Z9" s="21">
        <v>898</v>
      </c>
      <c r="AA9" s="21">
        <v>976</v>
      </c>
      <c r="AC9" s="21">
        <f t="shared" si="0"/>
        <v>3649</v>
      </c>
    </row>
    <row r="10" spans="1:31" x14ac:dyDescent="0.2">
      <c r="B10" s="20" t="s">
        <v>360</v>
      </c>
      <c r="C10" s="21"/>
      <c r="D10" s="21"/>
      <c r="E10" s="21"/>
      <c r="F10" s="21"/>
      <c r="G10" s="21"/>
      <c r="H10" s="21"/>
      <c r="I10" s="21"/>
      <c r="J10" s="21"/>
      <c r="K10" s="21"/>
      <c r="L10" s="21"/>
      <c r="M10" s="21">
        <v>0</v>
      </c>
      <c r="N10" s="62">
        <v>-1059</v>
      </c>
      <c r="O10" s="21">
        <v>862</v>
      </c>
      <c r="P10" s="21">
        <v>179</v>
      </c>
      <c r="Q10" s="21">
        <v>39</v>
      </c>
      <c r="T10" s="21">
        <v>132</v>
      </c>
      <c r="U10" s="21">
        <v>0</v>
      </c>
      <c r="V10" s="21">
        <v>0</v>
      </c>
      <c r="W10" s="21">
        <v>0</v>
      </c>
      <c r="X10" s="21">
        <v>39</v>
      </c>
      <c r="Y10" s="21">
        <v>0</v>
      </c>
      <c r="Z10" s="21">
        <v>29</v>
      </c>
      <c r="AA10" s="21">
        <v>68</v>
      </c>
      <c r="AC10" s="21">
        <f t="shared" si="0"/>
        <v>136</v>
      </c>
    </row>
    <row r="11" spans="1:31" x14ac:dyDescent="0.2">
      <c r="B11" s="23" t="s">
        <v>23</v>
      </c>
      <c r="C11" s="24">
        <f t="shared" ref="C11:P11" si="4">SUM(C8:C10)</f>
        <v>0</v>
      </c>
      <c r="D11" s="24">
        <f t="shared" si="4"/>
        <v>0</v>
      </c>
      <c r="E11" s="24">
        <f t="shared" si="4"/>
        <v>0</v>
      </c>
      <c r="F11" s="24">
        <f t="shared" si="4"/>
        <v>0</v>
      </c>
      <c r="G11" s="24">
        <f t="shared" si="4"/>
        <v>0</v>
      </c>
      <c r="H11" s="24">
        <f t="shared" si="4"/>
        <v>0</v>
      </c>
      <c r="I11" s="24">
        <f t="shared" si="4"/>
        <v>0</v>
      </c>
      <c r="J11" s="24">
        <f t="shared" si="4"/>
        <v>0</v>
      </c>
      <c r="K11" s="24">
        <f t="shared" si="4"/>
        <v>0</v>
      </c>
      <c r="L11" s="24">
        <f t="shared" si="4"/>
        <v>0</v>
      </c>
      <c r="M11" s="24">
        <f t="shared" si="4"/>
        <v>9515</v>
      </c>
      <c r="N11" s="24">
        <f t="shared" si="4"/>
        <v>9705</v>
      </c>
      <c r="O11" s="24">
        <f t="shared" si="4"/>
        <v>12163</v>
      </c>
      <c r="P11" s="24">
        <f t="shared" si="4"/>
        <v>11831</v>
      </c>
      <c r="Q11" s="24">
        <f>SUM(Q8:Q10)</f>
        <v>12191</v>
      </c>
      <c r="T11" s="24">
        <f t="shared" ref="T11:Z11" si="5">SUM(T8:T10)</f>
        <v>3196</v>
      </c>
      <c r="U11" s="24">
        <f t="shared" si="5"/>
        <v>2953</v>
      </c>
      <c r="V11" s="24">
        <f t="shared" si="5"/>
        <v>2922</v>
      </c>
      <c r="W11" s="24">
        <f t="shared" si="5"/>
        <v>2997</v>
      </c>
      <c r="X11" s="24">
        <f t="shared" si="5"/>
        <v>3319</v>
      </c>
      <c r="Y11" s="24">
        <f t="shared" si="5"/>
        <v>3318</v>
      </c>
      <c r="Z11" s="24">
        <f t="shared" si="5"/>
        <v>3390</v>
      </c>
      <c r="AA11" s="24">
        <f t="shared" ref="AA11" si="6">SUM(AA8:AA10)</f>
        <v>3651</v>
      </c>
      <c r="AC11" s="24">
        <f t="shared" si="0"/>
        <v>13678</v>
      </c>
    </row>
    <row r="12" spans="1:31" s="19" customFormat="1" x14ac:dyDescent="0.2">
      <c r="A12" s="16"/>
      <c r="B12" s="17" t="s">
        <v>24</v>
      </c>
      <c r="C12" s="18"/>
      <c r="D12" s="18"/>
      <c r="E12" s="18"/>
      <c r="F12" s="18"/>
      <c r="G12" s="18"/>
      <c r="H12" s="18"/>
      <c r="I12" s="18"/>
      <c r="J12" s="18"/>
      <c r="K12" s="18"/>
      <c r="L12" s="18"/>
      <c r="M12" s="61">
        <v>9789</v>
      </c>
      <c r="N12" s="61">
        <v>15860</v>
      </c>
      <c r="O12" s="61">
        <v>7788</v>
      </c>
      <c r="P12" s="61">
        <v>10071</v>
      </c>
      <c r="Q12" s="18">
        <v>12355</v>
      </c>
      <c r="R12" s="16"/>
      <c r="S12" s="16"/>
      <c r="T12" s="61">
        <v>2581</v>
      </c>
      <c r="U12" s="18">
        <v>3555</v>
      </c>
      <c r="V12" s="61">
        <v>3120</v>
      </c>
      <c r="W12" s="61">
        <v>2762</v>
      </c>
      <c r="X12" s="18">
        <v>2918</v>
      </c>
      <c r="Y12" s="18">
        <v>3366</v>
      </c>
      <c r="Z12" s="18">
        <v>2309</v>
      </c>
      <c r="AA12" s="18">
        <v>1626</v>
      </c>
      <c r="AB12" s="1"/>
      <c r="AC12" s="18">
        <f t="shared" si="0"/>
        <v>10219</v>
      </c>
      <c r="AD12" s="1"/>
      <c r="AE12" s="1"/>
    </row>
    <row r="13" spans="1:31" x14ac:dyDescent="0.2">
      <c r="B13" s="23" t="s">
        <v>25</v>
      </c>
      <c r="C13" s="21"/>
      <c r="D13" s="21"/>
      <c r="E13" s="21"/>
      <c r="F13" s="21"/>
      <c r="G13" s="21"/>
      <c r="H13" s="21"/>
      <c r="I13" s="21"/>
      <c r="J13" s="21"/>
      <c r="K13" s="21"/>
      <c r="L13" s="21"/>
      <c r="M13" s="62">
        <v>-559</v>
      </c>
      <c r="N13" s="62">
        <v>-490</v>
      </c>
      <c r="O13" s="62">
        <v>-694</v>
      </c>
      <c r="P13" s="62">
        <v>-697</v>
      </c>
      <c r="Q13" s="62">
        <v>-664</v>
      </c>
      <c r="T13" s="62">
        <v>-178</v>
      </c>
      <c r="U13" s="62">
        <v>-163</v>
      </c>
      <c r="V13" s="62">
        <v>-163</v>
      </c>
      <c r="W13" s="62">
        <v>-168</v>
      </c>
      <c r="X13" s="62">
        <v>-171</v>
      </c>
      <c r="Y13" s="62">
        <v>-169</v>
      </c>
      <c r="Z13" s="62">
        <v>-171</v>
      </c>
      <c r="AA13" s="62">
        <v>-178</v>
      </c>
      <c r="AC13" s="62">
        <f t="shared" si="0"/>
        <v>-689</v>
      </c>
    </row>
    <row r="14" spans="1:31" x14ac:dyDescent="0.2">
      <c r="B14" s="23" t="s">
        <v>26</v>
      </c>
      <c r="C14" s="21"/>
      <c r="D14" s="21"/>
      <c r="E14" s="21"/>
      <c r="F14" s="21"/>
      <c r="G14" s="21"/>
      <c r="H14" s="21"/>
      <c r="I14" s="21"/>
      <c r="J14" s="21"/>
      <c r="K14" s="21"/>
      <c r="L14" s="21"/>
      <c r="M14" s="62">
        <v>1044</v>
      </c>
      <c r="N14" s="62">
        <v>-372</v>
      </c>
      <c r="O14" s="62">
        <v>349</v>
      </c>
      <c r="P14" s="62">
        <v>962</v>
      </c>
      <c r="Q14" s="62">
        <v>972</v>
      </c>
      <c r="T14" s="62">
        <v>194</v>
      </c>
      <c r="U14" s="62">
        <v>243</v>
      </c>
      <c r="V14" s="62">
        <v>148</v>
      </c>
      <c r="W14" s="62">
        <v>358</v>
      </c>
      <c r="X14" s="62">
        <v>224</v>
      </c>
      <c r="Y14" s="62">
        <v>350</v>
      </c>
      <c r="Z14" s="62">
        <v>94</v>
      </c>
      <c r="AA14" s="62">
        <v>1014</v>
      </c>
      <c r="AC14" s="62">
        <f t="shared" si="0"/>
        <v>1682</v>
      </c>
    </row>
    <row r="15" spans="1:31" s="19" customFormat="1" x14ac:dyDescent="0.2">
      <c r="A15" s="16"/>
      <c r="B15" s="17" t="s">
        <v>27</v>
      </c>
      <c r="C15" s="18"/>
      <c r="D15" s="18"/>
      <c r="E15" s="18"/>
      <c r="F15" s="18"/>
      <c r="G15" s="18"/>
      <c r="H15" s="18"/>
      <c r="I15" s="18"/>
      <c r="J15" s="18"/>
      <c r="K15" s="18"/>
      <c r="L15" s="18"/>
      <c r="M15" s="61">
        <v>10274</v>
      </c>
      <c r="N15" s="61">
        <v>14998</v>
      </c>
      <c r="O15" s="61">
        <v>7443</v>
      </c>
      <c r="P15" s="61">
        <v>10336</v>
      </c>
      <c r="Q15" s="18">
        <v>12663</v>
      </c>
      <c r="R15" s="1"/>
      <c r="S15" s="1"/>
      <c r="T15" s="61">
        <v>2597</v>
      </c>
      <c r="U15" s="18">
        <v>3635</v>
      </c>
      <c r="V15" s="61">
        <v>3105</v>
      </c>
      <c r="W15" s="18">
        <v>2952</v>
      </c>
      <c r="X15" s="18">
        <v>2971</v>
      </c>
      <c r="Y15" s="18">
        <v>3547</v>
      </c>
      <c r="Z15" s="18">
        <v>2232</v>
      </c>
      <c r="AA15" s="18">
        <v>2462</v>
      </c>
      <c r="AB15" s="1"/>
      <c r="AC15" s="18">
        <f t="shared" si="0"/>
        <v>11212</v>
      </c>
      <c r="AD15" s="1"/>
      <c r="AE15" s="1"/>
    </row>
    <row r="16" spans="1:31" x14ac:dyDescent="0.2">
      <c r="B16" s="23" t="s">
        <v>28</v>
      </c>
      <c r="C16" s="21"/>
      <c r="D16" s="21"/>
      <c r="E16" s="21"/>
      <c r="F16" s="21"/>
      <c r="G16" s="21"/>
      <c r="H16" s="21"/>
      <c r="I16" s="21"/>
      <c r="J16" s="21"/>
      <c r="K16" s="21"/>
      <c r="L16" s="21"/>
      <c r="M16" s="62">
        <v>-1231</v>
      </c>
      <c r="N16" s="62">
        <v>-2012</v>
      </c>
      <c r="O16" s="62">
        <v>-104</v>
      </c>
      <c r="P16" s="62">
        <v>-226</v>
      </c>
      <c r="Q16" s="62">
        <v>-1422</v>
      </c>
      <c r="T16" s="62">
        <v>318</v>
      </c>
      <c r="U16" s="62">
        <v>-455</v>
      </c>
      <c r="V16" s="62">
        <v>-293</v>
      </c>
      <c r="W16" s="62">
        <v>-286</v>
      </c>
      <c r="X16" s="62">
        <v>-388</v>
      </c>
      <c r="Y16" s="62">
        <v>-543</v>
      </c>
      <c r="Z16" s="62">
        <v>-300</v>
      </c>
      <c r="AA16" s="62">
        <v>-460</v>
      </c>
      <c r="AC16" s="62">
        <f t="shared" si="0"/>
        <v>-1691</v>
      </c>
    </row>
    <row r="17" spans="1:31" x14ac:dyDescent="0.2">
      <c r="B17" s="23" t="s">
        <v>318</v>
      </c>
      <c r="C17" s="21"/>
      <c r="D17" s="21"/>
      <c r="E17" s="21"/>
      <c r="F17" s="21"/>
      <c r="G17" s="21"/>
      <c r="H17" s="21"/>
      <c r="I17" s="21"/>
      <c r="J17" s="21"/>
      <c r="K17" s="21"/>
      <c r="L17" s="21"/>
      <c r="M17" s="62">
        <v>0</v>
      </c>
      <c r="N17" s="62">
        <v>0</v>
      </c>
      <c r="O17" s="62">
        <v>0</v>
      </c>
      <c r="P17" s="62">
        <v>0</v>
      </c>
      <c r="Q17" s="62">
        <v>0</v>
      </c>
      <c r="T17" s="62">
        <v>0</v>
      </c>
      <c r="U17" s="62">
        <v>0</v>
      </c>
      <c r="V17" s="62">
        <v>0</v>
      </c>
      <c r="W17" s="62">
        <v>0</v>
      </c>
      <c r="X17" s="62">
        <v>0</v>
      </c>
      <c r="Y17" s="62">
        <v>0</v>
      </c>
      <c r="Z17" s="62">
        <v>0</v>
      </c>
      <c r="AA17" s="62">
        <v>0</v>
      </c>
      <c r="AC17" s="62">
        <f t="shared" si="0"/>
        <v>0</v>
      </c>
    </row>
    <row r="18" spans="1:31" s="19" customFormat="1" x14ac:dyDescent="0.2">
      <c r="A18" s="16"/>
      <c r="B18" s="17" t="s">
        <v>29</v>
      </c>
      <c r="C18" s="18"/>
      <c r="D18" s="18"/>
      <c r="E18" s="18"/>
      <c r="F18" s="18"/>
      <c r="G18" s="18"/>
      <c r="H18" s="18"/>
      <c r="I18" s="18"/>
      <c r="J18" s="18"/>
      <c r="K18" s="18"/>
      <c r="L18" s="18"/>
      <c r="M18" s="61">
        <v>9043</v>
      </c>
      <c r="N18" s="61">
        <v>12986</v>
      </c>
      <c r="O18" s="61">
        <v>7339</v>
      </c>
      <c r="P18" s="61">
        <v>10110</v>
      </c>
      <c r="Q18" s="61">
        <v>11241</v>
      </c>
      <c r="R18" s="60"/>
      <c r="S18" s="60"/>
      <c r="T18" s="61">
        <v>2915</v>
      </c>
      <c r="U18" s="61">
        <v>3180</v>
      </c>
      <c r="V18" s="61">
        <v>2812</v>
      </c>
      <c r="W18" s="61">
        <v>2666</v>
      </c>
      <c r="X18" s="61">
        <v>2583</v>
      </c>
      <c r="Y18" s="61">
        <v>3004</v>
      </c>
      <c r="Z18" s="61">
        <v>1932</v>
      </c>
      <c r="AA18" s="61">
        <v>2002</v>
      </c>
      <c r="AB18" s="1"/>
      <c r="AC18" s="61">
        <f t="shared" si="0"/>
        <v>9521</v>
      </c>
      <c r="AD18" s="1"/>
      <c r="AE18" s="1"/>
    </row>
    <row r="19" spans="1:31" x14ac:dyDescent="0.2">
      <c r="B19" s="23" t="s">
        <v>30</v>
      </c>
      <c r="C19" s="21"/>
      <c r="D19" s="21"/>
      <c r="E19" s="21"/>
      <c r="F19" s="21"/>
      <c r="G19" s="21"/>
      <c r="H19" s="21"/>
      <c r="I19" s="21"/>
      <c r="J19" s="21"/>
      <c r="K19" s="21"/>
      <c r="L19" s="21"/>
      <c r="M19" s="21">
        <v>1131</v>
      </c>
      <c r="N19" s="21">
        <v>1123</v>
      </c>
      <c r="O19" s="62">
        <v>1117</v>
      </c>
      <c r="P19" s="62">
        <v>1116</v>
      </c>
      <c r="Q19" s="62">
        <v>1096</v>
      </c>
      <c r="R19" s="60"/>
      <c r="S19" s="60"/>
      <c r="T19" s="62">
        <v>1115</v>
      </c>
      <c r="U19" s="62">
        <v>1110</v>
      </c>
      <c r="V19" s="62">
        <v>1104</v>
      </c>
      <c r="W19" s="62">
        <v>1092</v>
      </c>
      <c r="X19" s="62">
        <v>1078</v>
      </c>
      <c r="Y19" s="62">
        <v>1070</v>
      </c>
      <c r="Z19" s="62">
        <v>1066</v>
      </c>
      <c r="AA19" s="62">
        <v>1057</v>
      </c>
      <c r="AC19" s="62">
        <f>AVERAGE(X19:AA19)</f>
        <v>1067.75</v>
      </c>
    </row>
    <row r="20" spans="1:31" x14ac:dyDescent="0.2">
      <c r="B20" s="23" t="s">
        <v>31</v>
      </c>
      <c r="C20" s="25">
        <f t="shared" ref="C20:Q20" si="7">C19*C$85</f>
        <v>0</v>
      </c>
      <c r="D20" s="25">
        <f t="shared" si="7"/>
        <v>0</v>
      </c>
      <c r="E20" s="25">
        <f t="shared" si="7"/>
        <v>0</v>
      </c>
      <c r="F20" s="25">
        <f t="shared" si="7"/>
        <v>0</v>
      </c>
      <c r="G20" s="25">
        <f t="shared" si="7"/>
        <v>0</v>
      </c>
      <c r="H20" s="25">
        <f t="shared" si="7"/>
        <v>0</v>
      </c>
      <c r="I20" s="25">
        <f t="shared" si="7"/>
        <v>0</v>
      </c>
      <c r="J20" s="25">
        <f t="shared" si="7"/>
        <v>0</v>
      </c>
      <c r="K20" s="25">
        <f t="shared" si="7"/>
        <v>0</v>
      </c>
      <c r="L20" s="25">
        <f t="shared" si="7"/>
        <v>0</v>
      </c>
      <c r="M20" s="25">
        <f t="shared" si="7"/>
        <v>1131</v>
      </c>
      <c r="N20" s="25">
        <f t="shared" si="7"/>
        <v>1123</v>
      </c>
      <c r="O20" s="25">
        <f t="shared" si="7"/>
        <v>1117</v>
      </c>
      <c r="P20" s="25">
        <f t="shared" si="7"/>
        <v>1116</v>
      </c>
      <c r="Q20" s="25">
        <f t="shared" si="7"/>
        <v>1096</v>
      </c>
      <c r="T20" s="25">
        <f t="shared" ref="T20:Z20" si="8">T19*T$85</f>
        <v>1115</v>
      </c>
      <c r="U20" s="25">
        <f t="shared" si="8"/>
        <v>1110</v>
      </c>
      <c r="V20" s="25">
        <f t="shared" si="8"/>
        <v>1104</v>
      </c>
      <c r="W20" s="25">
        <f t="shared" si="8"/>
        <v>1092</v>
      </c>
      <c r="X20" s="25">
        <f t="shared" si="8"/>
        <v>1078</v>
      </c>
      <c r="Y20" s="25">
        <f t="shared" si="8"/>
        <v>1070</v>
      </c>
      <c r="Z20" s="25">
        <f t="shared" si="8"/>
        <v>1066</v>
      </c>
      <c r="AA20" s="25">
        <f t="shared" ref="AA20" si="9">AA19*AA$85</f>
        <v>1057</v>
      </c>
      <c r="AC20" s="25">
        <f>AC19*AC$85</f>
        <v>1067.75</v>
      </c>
    </row>
    <row r="21" spans="1:31" x14ac:dyDescent="0.2">
      <c r="B21" s="23" t="s">
        <v>32</v>
      </c>
      <c r="C21" s="21"/>
      <c r="D21" s="21"/>
      <c r="E21" s="21"/>
      <c r="F21" s="21"/>
      <c r="G21" s="21"/>
      <c r="H21" s="21"/>
      <c r="I21" s="21"/>
      <c r="J21" s="21"/>
      <c r="K21" s="21"/>
      <c r="L21" s="21"/>
      <c r="M21" s="21">
        <v>1149</v>
      </c>
      <c r="N21" s="21">
        <v>1137</v>
      </c>
      <c r="O21" s="62">
        <v>1126</v>
      </c>
      <c r="P21" s="62">
        <v>1130</v>
      </c>
      <c r="Q21" s="62">
        <v>1105</v>
      </c>
      <c r="T21" s="62">
        <v>1129</v>
      </c>
      <c r="U21" s="62">
        <v>1122</v>
      </c>
      <c r="V21" s="62">
        <v>1115</v>
      </c>
      <c r="W21" s="62">
        <v>1099</v>
      </c>
      <c r="X21" s="62">
        <v>1078</v>
      </c>
      <c r="Y21" s="62">
        <v>1079</v>
      </c>
      <c r="Z21" s="62">
        <v>1072</v>
      </c>
      <c r="AA21" s="62">
        <v>1069</v>
      </c>
      <c r="AC21" s="62">
        <f>AVERAGE(X21:AA21)</f>
        <v>1074.5</v>
      </c>
    </row>
    <row r="22" spans="1:31" x14ac:dyDescent="0.2">
      <c r="B22" s="23" t="s">
        <v>33</v>
      </c>
      <c r="C22" s="25">
        <f t="shared" ref="C22:Q22" si="10">C21*C$85</f>
        <v>0</v>
      </c>
      <c r="D22" s="25">
        <f t="shared" si="10"/>
        <v>0</v>
      </c>
      <c r="E22" s="25">
        <f t="shared" si="10"/>
        <v>0</v>
      </c>
      <c r="F22" s="25">
        <f t="shared" si="10"/>
        <v>0</v>
      </c>
      <c r="G22" s="25">
        <f t="shared" si="10"/>
        <v>0</v>
      </c>
      <c r="H22" s="25">
        <f t="shared" si="10"/>
        <v>0</v>
      </c>
      <c r="I22" s="25">
        <f t="shared" si="10"/>
        <v>0</v>
      </c>
      <c r="J22" s="25">
        <f t="shared" si="10"/>
        <v>0</v>
      </c>
      <c r="K22" s="25">
        <f t="shared" si="10"/>
        <v>0</v>
      </c>
      <c r="L22" s="25">
        <f t="shared" si="10"/>
        <v>0</v>
      </c>
      <c r="M22" s="25">
        <f t="shared" si="10"/>
        <v>1149</v>
      </c>
      <c r="N22" s="25">
        <f t="shared" si="10"/>
        <v>1137</v>
      </c>
      <c r="O22" s="25">
        <f t="shared" si="10"/>
        <v>1126</v>
      </c>
      <c r="P22" s="25">
        <f t="shared" si="10"/>
        <v>1130</v>
      </c>
      <c r="Q22" s="25">
        <f t="shared" si="10"/>
        <v>1105</v>
      </c>
      <c r="T22" s="25">
        <f t="shared" ref="T22:Z22" si="11">T21*T$85</f>
        <v>1129</v>
      </c>
      <c r="U22" s="25">
        <f t="shared" si="11"/>
        <v>1122</v>
      </c>
      <c r="V22" s="25">
        <f t="shared" si="11"/>
        <v>1115</v>
      </c>
      <c r="W22" s="25">
        <f t="shared" si="11"/>
        <v>1099</v>
      </c>
      <c r="X22" s="25">
        <f t="shared" si="11"/>
        <v>1078</v>
      </c>
      <c r="Y22" s="25">
        <f t="shared" si="11"/>
        <v>1079</v>
      </c>
      <c r="Z22" s="25">
        <f t="shared" si="11"/>
        <v>1072</v>
      </c>
      <c r="AA22" s="25">
        <f t="shared" ref="AA22" si="12">AA21*AA$85</f>
        <v>1069</v>
      </c>
      <c r="AC22" s="25">
        <f>AC21*AC$85</f>
        <v>1074.5</v>
      </c>
    </row>
    <row r="23" spans="1:31" x14ac:dyDescent="0.2">
      <c r="B23" s="23" t="s">
        <v>34</v>
      </c>
      <c r="C23" s="26"/>
      <c r="D23" s="26"/>
      <c r="E23" s="26"/>
      <c r="F23" s="26"/>
      <c r="G23" s="26"/>
      <c r="H23" s="26"/>
      <c r="I23" s="26"/>
      <c r="J23" s="26"/>
      <c r="K23" s="26"/>
      <c r="L23" s="26"/>
      <c r="M23" s="63">
        <v>7.99</v>
      </c>
      <c r="N23" s="63">
        <v>11.56</v>
      </c>
      <c r="O23" s="63">
        <v>6.57</v>
      </c>
      <c r="P23" s="63">
        <v>9.06</v>
      </c>
      <c r="Q23" s="26">
        <v>10.256386861313869</v>
      </c>
      <c r="T23" s="63">
        <v>2.62</v>
      </c>
      <c r="U23" s="26">
        <v>2.86</v>
      </c>
      <c r="V23" s="63">
        <v>2.5499999999999998</v>
      </c>
      <c r="W23" s="26">
        <v>2.44</v>
      </c>
      <c r="X23" s="26">
        <v>2.3961038961038961</v>
      </c>
      <c r="Y23" s="26">
        <v>2.81</v>
      </c>
      <c r="Z23" s="26">
        <v>1.8123827392120075</v>
      </c>
      <c r="AA23" s="26">
        <v>1.89</v>
      </c>
      <c r="AC23" s="26">
        <f>SUM(X23:AA23)</f>
        <v>8.9084866353159029</v>
      </c>
    </row>
    <row r="24" spans="1:31" x14ac:dyDescent="0.2">
      <c r="B24" s="23" t="s">
        <v>35</v>
      </c>
      <c r="C24" s="27"/>
      <c r="D24" s="27"/>
      <c r="E24" s="27"/>
      <c r="F24" s="27"/>
      <c r="G24" s="27"/>
      <c r="H24" s="27"/>
      <c r="I24" s="27"/>
      <c r="J24" s="27"/>
      <c r="K24" s="27"/>
      <c r="L24" s="27"/>
      <c r="M24" s="65">
        <f>M23/M$85</f>
        <v>7.99</v>
      </c>
      <c r="N24" s="65">
        <f>N23/N$85</f>
        <v>11.56</v>
      </c>
      <c r="O24" s="65">
        <f>O23/O$85</f>
        <v>6.57</v>
      </c>
      <c r="P24" s="65">
        <f>P23/P$85</f>
        <v>9.06</v>
      </c>
      <c r="Q24" s="65">
        <f>Q23/Q$85</f>
        <v>10.256386861313869</v>
      </c>
      <c r="T24" s="65">
        <f t="shared" ref="T24:Z24" si="13">T23/T$85</f>
        <v>2.62</v>
      </c>
      <c r="U24" s="65">
        <f t="shared" si="13"/>
        <v>2.86</v>
      </c>
      <c r="V24" s="65">
        <f t="shared" si="13"/>
        <v>2.5499999999999998</v>
      </c>
      <c r="W24" s="65">
        <f t="shared" si="13"/>
        <v>2.44</v>
      </c>
      <c r="X24" s="65">
        <f t="shared" si="13"/>
        <v>2.3961038961038961</v>
      </c>
      <c r="Y24" s="65">
        <f t="shared" si="13"/>
        <v>2.81</v>
      </c>
      <c r="Z24" s="65">
        <f t="shared" si="13"/>
        <v>1.8123827392120075</v>
      </c>
      <c r="AA24" s="65">
        <f t="shared" ref="AA24" si="14">AA23/AA$85</f>
        <v>1.89</v>
      </c>
      <c r="AC24" s="65">
        <f>AC23/AC$85</f>
        <v>8.9084866353159029</v>
      </c>
    </row>
    <row r="25" spans="1:31" x14ac:dyDescent="0.2">
      <c r="B25" s="23" t="s">
        <v>36</v>
      </c>
      <c r="C25" s="26"/>
      <c r="D25" s="26"/>
      <c r="E25" s="26"/>
      <c r="F25" s="26"/>
      <c r="G25" s="26"/>
      <c r="H25" s="26"/>
      <c r="I25" s="26"/>
      <c r="J25" s="26"/>
      <c r="K25" s="26"/>
      <c r="L25" s="26"/>
      <c r="M25" s="63">
        <v>7.87</v>
      </c>
      <c r="N25" s="63">
        <v>11.41</v>
      </c>
      <c r="O25" s="63">
        <v>6.52</v>
      </c>
      <c r="P25" s="63">
        <v>8.94</v>
      </c>
      <c r="Q25" s="26">
        <v>10.172850678733031</v>
      </c>
      <c r="T25" s="63">
        <v>2.59</v>
      </c>
      <c r="U25" s="26">
        <v>2.83</v>
      </c>
      <c r="V25" s="63">
        <v>2.52</v>
      </c>
      <c r="W25" s="26">
        <v>2.44</v>
      </c>
      <c r="X25" s="26">
        <v>2.3961038961038961</v>
      </c>
      <c r="Y25" s="26">
        <v>2.78</v>
      </c>
      <c r="Z25" s="26">
        <v>1.8022388059701493</v>
      </c>
      <c r="AA25" s="26">
        <v>1.87</v>
      </c>
      <c r="AC25" s="26">
        <f>SUM(X25:AA25)</f>
        <v>8.8483427020740457</v>
      </c>
    </row>
    <row r="26" spans="1:31" s="30" customFormat="1" ht="17" thickBot="1" x14ac:dyDescent="0.25">
      <c r="A26" s="1"/>
      <c r="B26" s="28" t="s">
        <v>37</v>
      </c>
      <c r="C26" s="29"/>
      <c r="D26" s="29"/>
      <c r="E26" s="29"/>
      <c r="F26" s="29"/>
      <c r="G26" s="29"/>
      <c r="H26" s="29"/>
      <c r="I26" s="29"/>
      <c r="J26" s="29"/>
      <c r="K26" s="29"/>
      <c r="L26" s="29"/>
      <c r="M26" s="66">
        <f>M25/M$85</f>
        <v>7.87</v>
      </c>
      <c r="N26" s="66">
        <f>N25/N$85</f>
        <v>11.41</v>
      </c>
      <c r="O26" s="66">
        <f>O25/O$85</f>
        <v>6.52</v>
      </c>
      <c r="P26" s="66">
        <f>P25/P$85</f>
        <v>8.94</v>
      </c>
      <c r="Q26" s="66">
        <f>Q25/Q$85</f>
        <v>10.172850678733031</v>
      </c>
      <c r="R26" s="1"/>
      <c r="S26" s="1"/>
      <c r="T26" s="66">
        <f t="shared" ref="T26:Z26" si="15">T25/T$85</f>
        <v>2.59</v>
      </c>
      <c r="U26" s="66">
        <f t="shared" si="15"/>
        <v>2.83</v>
      </c>
      <c r="V26" s="66">
        <f t="shared" si="15"/>
        <v>2.52</v>
      </c>
      <c r="W26" s="66">
        <f t="shared" si="15"/>
        <v>2.44</v>
      </c>
      <c r="X26" s="66">
        <f t="shared" si="15"/>
        <v>2.3961038961038961</v>
      </c>
      <c r="Y26" s="66">
        <f t="shared" si="15"/>
        <v>2.78</v>
      </c>
      <c r="Z26" s="66">
        <f t="shared" si="15"/>
        <v>1.8022388059701493</v>
      </c>
      <c r="AA26" s="66">
        <f t="shared" ref="AA26" si="16">AA25/AA$85</f>
        <v>1.87</v>
      </c>
      <c r="AB26" s="1"/>
      <c r="AC26" s="66">
        <f>AC25/AC$85</f>
        <v>8.8483427020740457</v>
      </c>
      <c r="AD26" s="1"/>
      <c r="AE26" s="1"/>
    </row>
    <row r="27" spans="1:31" s="30" customFormat="1" ht="17" thickBot="1" x14ac:dyDescent="0.25">
      <c r="A27" s="1"/>
      <c r="B27" s="31"/>
      <c r="J27" s="31"/>
      <c r="K27" s="31"/>
      <c r="L27" s="31"/>
      <c r="M27" s="31"/>
      <c r="N27" s="31"/>
      <c r="O27" s="31"/>
      <c r="P27" s="31"/>
      <c r="R27" s="1"/>
      <c r="S27" s="1"/>
      <c r="AB27" s="1"/>
      <c r="AD27" s="1"/>
      <c r="AE27" s="1"/>
    </row>
    <row r="28" spans="1:31" s="15" customFormat="1" ht="17" thickBot="1" x14ac:dyDescent="0.25">
      <c r="A28" s="11"/>
      <c r="B28" s="14" t="s">
        <v>38</v>
      </c>
      <c r="R28" s="1"/>
      <c r="S28" s="1"/>
      <c r="AB28" s="1"/>
      <c r="AD28" s="1"/>
      <c r="AE28" s="1"/>
    </row>
    <row r="29" spans="1:31" x14ac:dyDescent="0.2">
      <c r="B29" s="20" t="s">
        <v>39</v>
      </c>
      <c r="C29" s="21"/>
      <c r="D29" s="21"/>
      <c r="E29" s="21"/>
      <c r="F29" s="21"/>
      <c r="G29" s="21"/>
      <c r="H29" s="21"/>
      <c r="I29" s="21"/>
      <c r="J29" s="21"/>
      <c r="K29" s="21"/>
      <c r="L29" s="21"/>
      <c r="M29" s="21">
        <f>7116+5298</f>
        <v>12414</v>
      </c>
      <c r="N29" s="21">
        <f>2773+3609</f>
        <v>6382</v>
      </c>
      <c r="O29" s="21">
        <f>8450+2874</f>
        <v>11324</v>
      </c>
      <c r="P29" s="21">
        <f>7849+5451</f>
        <v>13300</v>
      </c>
      <c r="Q29" s="21">
        <f>5520+4635</f>
        <v>10155</v>
      </c>
      <c r="T29" s="21">
        <f>7849+5451</f>
        <v>13300</v>
      </c>
      <c r="U29" s="21">
        <f>8713+5592</f>
        <v>14305</v>
      </c>
      <c r="V29" s="21">
        <f>7203+6643</f>
        <v>13846</v>
      </c>
      <c r="W29" s="21">
        <f>5448+4563</f>
        <v>10011</v>
      </c>
      <c r="X29" s="21">
        <f>5520+4635</f>
        <v>10155</v>
      </c>
      <c r="Y29" s="21">
        <f>7205+4617</f>
        <v>11822</v>
      </c>
      <c r="Z29" s="21">
        <f>5435+4364</f>
        <v>9799</v>
      </c>
      <c r="AA29" s="21">
        <f>4533+3771</f>
        <v>8304</v>
      </c>
      <c r="AC29" s="21">
        <f>AA29</f>
        <v>8304</v>
      </c>
    </row>
    <row r="30" spans="1:31" x14ac:dyDescent="0.2">
      <c r="B30" s="20" t="s">
        <v>40</v>
      </c>
      <c r="C30" s="21"/>
      <c r="D30" s="21"/>
      <c r="E30" s="21"/>
      <c r="F30" s="21"/>
      <c r="G30" s="21"/>
      <c r="H30" s="21"/>
      <c r="I30" s="21"/>
      <c r="J30" s="21"/>
      <c r="K30" s="21"/>
      <c r="L30" s="21"/>
      <c r="M30" s="21">
        <v>3579</v>
      </c>
      <c r="N30" s="21">
        <v>5643</v>
      </c>
      <c r="O30" s="21">
        <v>3183</v>
      </c>
      <c r="P30" s="21">
        <v>3929</v>
      </c>
      <c r="Q30" s="21">
        <v>4315</v>
      </c>
      <c r="T30" s="21">
        <v>3929</v>
      </c>
      <c r="U30" s="21">
        <v>3550</v>
      </c>
      <c r="V30" s="21">
        <v>3699</v>
      </c>
      <c r="W30" s="21">
        <v>3410</v>
      </c>
      <c r="X30" s="21">
        <v>4315</v>
      </c>
      <c r="Y30" s="21">
        <v>4153</v>
      </c>
      <c r="Z30" s="21">
        <v>4347</v>
      </c>
      <c r="AA30" s="21">
        <v>4668</v>
      </c>
      <c r="AC30" s="21">
        <f t="shared" ref="AC30:AC50" si="17">AA30</f>
        <v>4668</v>
      </c>
    </row>
    <row r="31" spans="1:31" x14ac:dyDescent="0.2">
      <c r="B31" s="20" t="s">
        <v>127</v>
      </c>
      <c r="C31" s="21"/>
      <c r="D31" s="21"/>
      <c r="E31" s="21"/>
      <c r="F31" s="21"/>
      <c r="G31" s="21"/>
      <c r="H31" s="21"/>
      <c r="I31" s="21"/>
      <c r="J31" s="21"/>
      <c r="K31" s="21"/>
      <c r="L31" s="21"/>
      <c r="M31" s="21">
        <v>3228</v>
      </c>
      <c r="N31" s="21">
        <v>6341</v>
      </c>
      <c r="O31" s="21">
        <v>6422</v>
      </c>
      <c r="P31" s="21">
        <v>6423</v>
      </c>
      <c r="Q31" s="21">
        <v>6526</v>
      </c>
      <c r="T31" s="21">
        <v>6423</v>
      </c>
      <c r="U31" s="21">
        <v>6303</v>
      </c>
      <c r="V31" s="21">
        <v>6196</v>
      </c>
      <c r="W31" s="21">
        <v>6338</v>
      </c>
      <c r="X31" s="21">
        <v>6526</v>
      </c>
      <c r="Y31" s="21">
        <v>6665</v>
      </c>
      <c r="Z31" s="21">
        <v>7368</v>
      </c>
      <c r="AA31" s="21">
        <v>8379</v>
      </c>
      <c r="AC31" s="21">
        <f>AA31</f>
        <v>8379</v>
      </c>
    </row>
    <row r="32" spans="1:31" s="34" customFormat="1" x14ac:dyDescent="0.2">
      <c r="A32" s="16"/>
      <c r="B32" s="32" t="s">
        <v>41</v>
      </c>
      <c r="C32" s="33"/>
      <c r="D32" s="33"/>
      <c r="E32" s="33"/>
      <c r="F32" s="33"/>
      <c r="G32" s="33"/>
      <c r="H32" s="33"/>
      <c r="I32" s="33"/>
      <c r="J32" s="33"/>
      <c r="K32" s="33"/>
      <c r="L32" s="33"/>
      <c r="M32" s="33">
        <v>20075</v>
      </c>
      <c r="N32" s="33">
        <v>20724</v>
      </c>
      <c r="O32" s="33">
        <v>22464</v>
      </c>
      <c r="P32" s="33">
        <v>25231</v>
      </c>
      <c r="Q32" s="33">
        <v>25754</v>
      </c>
      <c r="R32" s="1"/>
      <c r="S32" s="1"/>
      <c r="T32" s="33">
        <v>25231</v>
      </c>
      <c r="U32" s="33">
        <v>26065</v>
      </c>
      <c r="V32" s="33">
        <v>26080</v>
      </c>
      <c r="W32" s="33">
        <v>24913</v>
      </c>
      <c r="X32" s="33">
        <v>25754</v>
      </c>
      <c r="Y32" s="33">
        <v>24608</v>
      </c>
      <c r="Z32" s="33">
        <v>23112</v>
      </c>
      <c r="AA32" s="33">
        <v>23004</v>
      </c>
      <c r="AB32" s="1"/>
      <c r="AC32" s="33">
        <f t="shared" si="17"/>
        <v>23004</v>
      </c>
      <c r="AD32" s="1"/>
      <c r="AE32" s="1"/>
    </row>
    <row r="33" spans="1:31" x14ac:dyDescent="0.2">
      <c r="B33" s="20" t="s">
        <v>42</v>
      </c>
      <c r="C33" s="21"/>
      <c r="D33" s="21"/>
      <c r="E33" s="21"/>
      <c r="F33" s="21"/>
      <c r="G33" s="21"/>
      <c r="H33" s="21"/>
      <c r="I33" s="21"/>
      <c r="J33" s="21"/>
      <c r="K33" s="21"/>
      <c r="L33" s="21"/>
      <c r="M33" s="21">
        <v>4559</v>
      </c>
      <c r="N33" s="21">
        <v>5168</v>
      </c>
      <c r="O33" s="21">
        <v>5042</v>
      </c>
      <c r="P33" s="21">
        <v>4665</v>
      </c>
      <c r="Q33" s="21">
        <v>4690</v>
      </c>
      <c r="T33" s="21">
        <v>4665</v>
      </c>
      <c r="U33" s="21">
        <v>4460</v>
      </c>
      <c r="V33" s="21">
        <v>4410</v>
      </c>
      <c r="W33" s="21">
        <v>4496</v>
      </c>
      <c r="X33" s="21">
        <v>4690</v>
      </c>
      <c r="Y33" s="21">
        <v>4893</v>
      </c>
      <c r="Z33" s="21">
        <v>5071</v>
      </c>
      <c r="AA33" s="21">
        <v>5217</v>
      </c>
      <c r="AC33" s="21">
        <f t="shared" si="17"/>
        <v>5217</v>
      </c>
    </row>
    <row r="34" spans="1:31" x14ac:dyDescent="0.2">
      <c r="B34" s="20" t="s">
        <v>352</v>
      </c>
      <c r="C34" s="21"/>
      <c r="D34" s="21"/>
      <c r="E34" s="21"/>
      <c r="F34" s="21"/>
      <c r="G34" s="21"/>
      <c r="H34" s="21"/>
      <c r="I34" s="21"/>
      <c r="J34" s="21"/>
      <c r="K34" s="21"/>
      <c r="L34" s="21"/>
      <c r="M34" s="21">
        <v>0</v>
      </c>
      <c r="N34" s="21">
        <v>0</v>
      </c>
      <c r="O34" s="21">
        <v>0</v>
      </c>
      <c r="P34" s="21">
        <v>0</v>
      </c>
      <c r="Q34" s="21">
        <v>0</v>
      </c>
      <c r="T34" s="21">
        <v>0</v>
      </c>
      <c r="U34" s="21">
        <v>0</v>
      </c>
      <c r="V34" s="21">
        <v>0</v>
      </c>
      <c r="W34" s="21">
        <v>0</v>
      </c>
      <c r="X34" s="21">
        <v>0</v>
      </c>
      <c r="Y34" s="21">
        <v>0</v>
      </c>
      <c r="Z34" s="21">
        <v>0</v>
      </c>
      <c r="AA34" s="21">
        <v>0</v>
      </c>
      <c r="AC34" s="21">
        <f t="shared" si="17"/>
        <v>0</v>
      </c>
    </row>
    <row r="35" spans="1:31" x14ac:dyDescent="0.2">
      <c r="B35" s="20" t="s">
        <v>43</v>
      </c>
      <c r="C35" s="21"/>
      <c r="D35" s="21"/>
      <c r="E35" s="21"/>
      <c r="F35" s="21"/>
      <c r="G35" s="21"/>
      <c r="H35" s="21"/>
      <c r="I35" s="21"/>
      <c r="J35" s="21"/>
      <c r="K35" s="21"/>
      <c r="L35" s="21"/>
      <c r="M35" s="21">
        <v>7246</v>
      </c>
      <c r="N35" s="21">
        <v>10508</v>
      </c>
      <c r="O35" s="21">
        <v>10642</v>
      </c>
      <c r="P35" s="21">
        <v>10799</v>
      </c>
      <c r="Q35" s="21">
        <v>11358</v>
      </c>
      <c r="T35" s="21">
        <v>10799</v>
      </c>
      <c r="U35" s="21">
        <v>10908</v>
      </c>
      <c r="V35" s="21">
        <v>10948</v>
      </c>
      <c r="W35" s="21">
        <v>11366</v>
      </c>
      <c r="X35" s="21">
        <v>11358</v>
      </c>
      <c r="Y35" s="21">
        <v>14183</v>
      </c>
      <c r="Z35" s="21">
        <v>14251</v>
      </c>
      <c r="AA35" s="21">
        <v>14274</v>
      </c>
      <c r="AC35" s="21">
        <f t="shared" si="17"/>
        <v>14274</v>
      </c>
    </row>
    <row r="36" spans="1:31" s="34" customFormat="1" x14ac:dyDescent="0.2">
      <c r="A36" s="16"/>
      <c r="B36" s="32" t="s">
        <v>44</v>
      </c>
      <c r="C36" s="35"/>
      <c r="D36" s="35"/>
      <c r="E36" s="35"/>
      <c r="F36" s="35"/>
      <c r="G36" s="35"/>
      <c r="H36" s="35"/>
      <c r="I36" s="35"/>
      <c r="J36" s="35"/>
      <c r="K36" s="35"/>
      <c r="L36" s="35"/>
      <c r="M36" s="35">
        <f t="shared" ref="M36:O36" si="18">M37-M32</f>
        <v>21165</v>
      </c>
      <c r="N36" s="35">
        <f t="shared" si="18"/>
        <v>28290</v>
      </c>
      <c r="O36" s="35">
        <f t="shared" si="18"/>
        <v>28576</v>
      </c>
      <c r="P36" s="35">
        <f>P37-P32</f>
        <v>29923</v>
      </c>
      <c r="Q36" s="35">
        <f>Q37-Q32</f>
        <v>24389</v>
      </c>
      <c r="R36" s="1"/>
      <c r="S36" s="1"/>
      <c r="T36" s="35">
        <f>T37-T32</f>
        <v>29923</v>
      </c>
      <c r="U36" s="35">
        <f t="shared" ref="U36:W36" si="19">U37-U32</f>
        <v>29510</v>
      </c>
      <c r="V36" s="35">
        <f t="shared" si="19"/>
        <v>29292</v>
      </c>
      <c r="W36" s="35">
        <f t="shared" si="19"/>
        <v>29949</v>
      </c>
      <c r="X36" s="35">
        <f>X37-X32</f>
        <v>24389</v>
      </c>
      <c r="Y36" s="35">
        <f t="shared" ref="Y36" si="20">Y37-Y32</f>
        <v>28426</v>
      </c>
      <c r="Z36" s="35">
        <f t="shared" ref="Z36:AA36" si="21">Z37-Z32</f>
        <v>34024</v>
      </c>
      <c r="AA36" s="35">
        <f t="shared" si="21"/>
        <v>34363</v>
      </c>
      <c r="AB36" s="1"/>
      <c r="AC36" s="35">
        <f t="shared" si="17"/>
        <v>34363</v>
      </c>
      <c r="AD36" s="1"/>
      <c r="AE36" s="1"/>
    </row>
    <row r="37" spans="1:31" s="19" customFormat="1" x14ac:dyDescent="0.2">
      <c r="A37" s="16"/>
      <c r="B37" s="17" t="s">
        <v>45</v>
      </c>
      <c r="C37" s="18"/>
      <c r="D37" s="18"/>
      <c r="E37" s="18"/>
      <c r="F37" s="18"/>
      <c r="G37" s="18"/>
      <c r="H37" s="18"/>
      <c r="I37" s="18"/>
      <c r="J37" s="18"/>
      <c r="K37" s="18"/>
      <c r="L37" s="18"/>
      <c r="M37" s="18">
        <v>41240</v>
      </c>
      <c r="N37" s="18">
        <v>49014</v>
      </c>
      <c r="O37" s="18">
        <v>51040</v>
      </c>
      <c r="P37" s="18">
        <v>55154</v>
      </c>
      <c r="Q37" s="18">
        <v>50143</v>
      </c>
      <c r="R37" s="1"/>
      <c r="S37" s="1"/>
      <c r="T37" s="18">
        <v>55154</v>
      </c>
      <c r="U37" s="18">
        <v>55575</v>
      </c>
      <c r="V37" s="18">
        <v>55372</v>
      </c>
      <c r="W37" s="18">
        <v>54862</v>
      </c>
      <c r="X37" s="18">
        <v>50143</v>
      </c>
      <c r="Y37" s="18">
        <v>53034</v>
      </c>
      <c r="Z37" s="18">
        <v>57136</v>
      </c>
      <c r="AA37" s="18">
        <v>57367</v>
      </c>
      <c r="AB37" s="1"/>
      <c r="AC37" s="18">
        <f t="shared" si="17"/>
        <v>57367</v>
      </c>
      <c r="AD37" s="1"/>
      <c r="AE37" s="1"/>
    </row>
    <row r="38" spans="1:31" x14ac:dyDescent="0.2">
      <c r="B38" s="20" t="s">
        <v>46</v>
      </c>
      <c r="C38" s="21"/>
      <c r="D38" s="21"/>
      <c r="E38" s="21"/>
      <c r="F38" s="21"/>
      <c r="G38" s="21"/>
      <c r="H38" s="21"/>
      <c r="I38" s="21"/>
      <c r="J38" s="21"/>
      <c r="K38" s="21"/>
      <c r="L38" s="21"/>
      <c r="M38" s="21">
        <v>2750</v>
      </c>
      <c r="N38" s="21">
        <v>3796</v>
      </c>
      <c r="O38" s="21">
        <v>1912</v>
      </c>
      <c r="P38" s="21">
        <v>2584</v>
      </c>
      <c r="Q38" s="21">
        <v>2791</v>
      </c>
      <c r="T38" s="21">
        <v>2584</v>
      </c>
      <c r="U38" s="21">
        <v>2581</v>
      </c>
      <c r="V38" s="21">
        <v>2479</v>
      </c>
      <c r="W38" s="21">
        <v>2337</v>
      </c>
      <c r="X38" s="21">
        <v>2791</v>
      </c>
      <c r="Y38" s="21">
        <v>2709</v>
      </c>
      <c r="Z38" s="21">
        <v>2973</v>
      </c>
      <c r="AA38" s="21">
        <v>2897</v>
      </c>
      <c r="AC38" s="21">
        <f t="shared" si="17"/>
        <v>2897</v>
      </c>
    </row>
    <row r="39" spans="1:31" x14ac:dyDescent="0.2">
      <c r="B39" s="20" t="s">
        <v>161</v>
      </c>
      <c r="C39" s="21"/>
      <c r="D39" s="21"/>
      <c r="E39" s="21"/>
      <c r="F39" s="21"/>
      <c r="G39" s="21"/>
      <c r="H39" s="21"/>
      <c r="I39" s="21"/>
      <c r="J39" s="21"/>
      <c r="K39" s="21"/>
      <c r="L39" s="21"/>
      <c r="M39" s="21">
        <v>2044</v>
      </c>
      <c r="N39" s="21">
        <v>1945</v>
      </c>
      <c r="O39" s="21">
        <v>914</v>
      </c>
      <c r="P39" s="21">
        <v>1364</v>
      </c>
      <c r="Q39" s="21">
        <v>0</v>
      </c>
      <c r="T39" s="21">
        <v>1364</v>
      </c>
      <c r="U39" s="21">
        <v>1365</v>
      </c>
      <c r="V39" s="21">
        <v>1365</v>
      </c>
      <c r="W39" s="21">
        <v>0</v>
      </c>
      <c r="X39" s="21">
        <v>0</v>
      </c>
      <c r="Y39" s="21">
        <v>0</v>
      </c>
      <c r="Z39" s="21">
        <v>498</v>
      </c>
      <c r="AA39" s="21">
        <v>2489</v>
      </c>
      <c r="AC39" s="21">
        <f t="shared" si="17"/>
        <v>2489</v>
      </c>
    </row>
    <row r="40" spans="1:31" s="34" customFormat="1" x14ac:dyDescent="0.2">
      <c r="A40" s="16"/>
      <c r="B40" s="32" t="s">
        <v>47</v>
      </c>
      <c r="C40" s="33"/>
      <c r="D40" s="33"/>
      <c r="E40" s="33"/>
      <c r="F40" s="33"/>
      <c r="G40" s="33"/>
      <c r="H40" s="33"/>
      <c r="I40" s="33"/>
      <c r="J40" s="33"/>
      <c r="K40" s="33"/>
      <c r="L40" s="33"/>
      <c r="M40" s="33">
        <v>11951</v>
      </c>
      <c r="N40" s="33">
        <v>11866</v>
      </c>
      <c r="O40" s="33">
        <v>9628</v>
      </c>
      <c r="P40" s="33">
        <v>10504</v>
      </c>
      <c r="Q40" s="33">
        <v>9144</v>
      </c>
      <c r="R40" s="60"/>
      <c r="S40" s="60"/>
      <c r="T40" s="33">
        <v>10504</v>
      </c>
      <c r="U40" s="33">
        <v>9954</v>
      </c>
      <c r="V40" s="33">
        <v>9544</v>
      </c>
      <c r="W40" s="33">
        <v>7800</v>
      </c>
      <c r="X40" s="33">
        <v>9144</v>
      </c>
      <c r="Y40" s="33">
        <v>9822</v>
      </c>
      <c r="Z40" s="33">
        <v>9767</v>
      </c>
      <c r="AA40" s="33">
        <v>11413</v>
      </c>
      <c r="AB40" s="1"/>
      <c r="AC40" s="33">
        <f t="shared" si="17"/>
        <v>11413</v>
      </c>
      <c r="AD40" s="1"/>
      <c r="AE40" s="1"/>
    </row>
    <row r="41" spans="1:31" x14ac:dyDescent="0.2">
      <c r="B41" s="20" t="s">
        <v>161</v>
      </c>
      <c r="C41" s="21"/>
      <c r="D41" s="21"/>
      <c r="E41" s="21"/>
      <c r="F41" s="21"/>
      <c r="G41" s="21"/>
      <c r="H41" s="21"/>
      <c r="I41" s="21"/>
      <c r="J41" s="21"/>
      <c r="K41" s="21"/>
      <c r="L41" s="21"/>
      <c r="M41" s="21">
        <v>13701</v>
      </c>
      <c r="N41" s="21">
        <v>13537</v>
      </c>
      <c r="O41" s="21">
        <v>14484</v>
      </c>
      <c r="P41" s="21">
        <v>13270</v>
      </c>
      <c r="Q41" s="21">
        <v>14811</v>
      </c>
      <c r="T41" s="21">
        <v>13270</v>
      </c>
      <c r="U41" s="21">
        <v>13212</v>
      </c>
      <c r="V41" s="21">
        <v>13258</v>
      </c>
      <c r="W41" s="21">
        <v>14788</v>
      </c>
      <c r="X41" s="21">
        <v>14811</v>
      </c>
      <c r="Y41" s="21">
        <v>14817</v>
      </c>
      <c r="Z41" s="21">
        <v>14772</v>
      </c>
      <c r="AA41" s="21">
        <v>12781</v>
      </c>
      <c r="AC41" s="21">
        <f t="shared" si="17"/>
        <v>12781</v>
      </c>
    </row>
    <row r="42" spans="1:31" s="34" customFormat="1" x14ac:dyDescent="0.2">
      <c r="A42" s="16"/>
      <c r="B42" s="32" t="s">
        <v>48</v>
      </c>
      <c r="C42" s="35"/>
      <c r="D42" s="35"/>
      <c r="E42" s="35"/>
      <c r="F42" s="35"/>
      <c r="G42" s="35"/>
      <c r="H42" s="35"/>
      <c r="I42" s="35"/>
      <c r="J42" s="35"/>
      <c r="K42" s="35"/>
      <c r="L42" s="35"/>
      <c r="M42" s="35">
        <f t="shared" ref="M42:O42" si="22">M43-M40</f>
        <v>19339</v>
      </c>
      <c r="N42" s="35">
        <f t="shared" si="22"/>
        <v>19135</v>
      </c>
      <c r="O42" s="35">
        <f t="shared" si="22"/>
        <v>19831</v>
      </c>
      <c r="P42" s="35">
        <f>P43-P40</f>
        <v>18376</v>
      </c>
      <c r="Q42" s="35">
        <f>Q43-Q40</f>
        <v>19793</v>
      </c>
      <c r="R42" s="1"/>
      <c r="S42" s="1"/>
      <c r="T42" s="35">
        <f>T43-T40</f>
        <v>18376</v>
      </c>
      <c r="U42" s="35">
        <f t="shared" ref="U42:W42" si="23">U43-U40</f>
        <v>18741</v>
      </c>
      <c r="V42" s="35">
        <f t="shared" si="23"/>
        <v>18100</v>
      </c>
      <c r="W42" s="35">
        <f t="shared" si="23"/>
        <v>19853</v>
      </c>
      <c r="X42" s="35">
        <f>X43-X40</f>
        <v>19793</v>
      </c>
      <c r="Y42" s="35">
        <f t="shared" ref="Y42" si="24">Y43-Y40</f>
        <v>20139</v>
      </c>
      <c r="Z42" s="35">
        <f t="shared" ref="Z42:AA42" si="25">Z43-Z40</f>
        <v>20091</v>
      </c>
      <c r="AA42" s="35">
        <f t="shared" si="25"/>
        <v>18296</v>
      </c>
      <c r="AB42" s="1"/>
      <c r="AC42" s="35">
        <f t="shared" si="17"/>
        <v>18296</v>
      </c>
      <c r="AD42" s="1"/>
      <c r="AE42" s="1"/>
    </row>
    <row r="43" spans="1:31" s="19" customFormat="1" x14ac:dyDescent="0.2">
      <c r="A43" s="16"/>
      <c r="B43" s="17" t="s">
        <v>49</v>
      </c>
      <c r="C43" s="18"/>
      <c r="D43" s="18"/>
      <c r="E43" s="18"/>
      <c r="F43" s="18"/>
      <c r="G43" s="18"/>
      <c r="H43" s="18"/>
      <c r="I43" s="18"/>
      <c r="J43" s="18"/>
      <c r="K43" s="18"/>
      <c r="L43" s="18"/>
      <c r="M43" s="18">
        <v>31290</v>
      </c>
      <c r="N43" s="18">
        <v>31001</v>
      </c>
      <c r="O43" s="18">
        <v>29459</v>
      </c>
      <c r="P43" s="18">
        <v>28880</v>
      </c>
      <c r="Q43" s="18">
        <v>28937</v>
      </c>
      <c r="R43" s="1"/>
      <c r="S43" s="1"/>
      <c r="T43" s="18">
        <v>28880</v>
      </c>
      <c r="U43" s="18">
        <v>28695</v>
      </c>
      <c r="V43" s="18">
        <v>27644</v>
      </c>
      <c r="W43" s="18">
        <v>27653</v>
      </c>
      <c r="X43" s="18">
        <v>28937</v>
      </c>
      <c r="Y43" s="18">
        <v>29961</v>
      </c>
      <c r="Z43" s="18">
        <v>29858</v>
      </c>
      <c r="AA43" s="18">
        <v>29709</v>
      </c>
      <c r="AB43" s="1"/>
      <c r="AC43" s="18">
        <f t="shared" si="17"/>
        <v>29709</v>
      </c>
      <c r="AD43" s="1"/>
      <c r="AE43" s="1"/>
    </row>
    <row r="44" spans="1:31" x14ac:dyDescent="0.2">
      <c r="B44" s="20" t="s">
        <v>51</v>
      </c>
      <c r="C44" s="21"/>
      <c r="D44" s="21"/>
      <c r="E44" s="21"/>
      <c r="F44" s="21"/>
      <c r="G44" s="21"/>
      <c r="H44" s="21"/>
      <c r="I44" s="21"/>
      <c r="J44" s="21"/>
      <c r="K44" s="21"/>
      <c r="L44" s="21"/>
      <c r="M44" s="62">
        <v>0</v>
      </c>
      <c r="N44" s="62">
        <v>0</v>
      </c>
      <c r="O44" s="62">
        <v>0</v>
      </c>
      <c r="P44" s="62">
        <v>0</v>
      </c>
      <c r="Q44" s="62">
        <v>0</v>
      </c>
      <c r="T44" s="62">
        <v>0</v>
      </c>
      <c r="U44" s="62">
        <v>0</v>
      </c>
      <c r="V44" s="62">
        <v>0</v>
      </c>
      <c r="W44" s="62">
        <v>0</v>
      </c>
      <c r="X44" s="62">
        <v>0</v>
      </c>
      <c r="Y44" s="62">
        <v>0</v>
      </c>
      <c r="Z44" s="62">
        <v>0</v>
      </c>
      <c r="AA44" s="62">
        <v>0</v>
      </c>
      <c r="AC44" s="62">
        <f t="shared" si="17"/>
        <v>0</v>
      </c>
    </row>
    <row r="45" spans="1:31" x14ac:dyDescent="0.2">
      <c r="B45" s="20" t="s">
        <v>322</v>
      </c>
      <c r="C45" s="21"/>
      <c r="D45" s="21"/>
      <c r="E45" s="21"/>
      <c r="F45" s="21"/>
      <c r="G45" s="21"/>
      <c r="H45" s="21"/>
      <c r="I45" s="21"/>
      <c r="J45" s="21"/>
      <c r="K45" s="21"/>
      <c r="L45" s="21"/>
      <c r="M45" s="62">
        <v>0</v>
      </c>
      <c r="N45" s="62">
        <v>0</v>
      </c>
      <c r="O45" s="62">
        <v>0</v>
      </c>
      <c r="P45" s="62">
        <v>0</v>
      </c>
      <c r="Q45" s="62">
        <v>0</v>
      </c>
      <c r="T45" s="62">
        <v>0</v>
      </c>
      <c r="U45" s="62">
        <v>0</v>
      </c>
      <c r="V45" s="62">
        <v>0</v>
      </c>
      <c r="W45" s="62">
        <v>0</v>
      </c>
      <c r="X45" s="62">
        <v>0</v>
      </c>
      <c r="Y45" s="62">
        <v>0</v>
      </c>
      <c r="Z45" s="62">
        <v>0</v>
      </c>
      <c r="AA45" s="62">
        <v>0</v>
      </c>
      <c r="AC45" s="62">
        <f t="shared" si="17"/>
        <v>0</v>
      </c>
    </row>
    <row r="46" spans="1:31" x14ac:dyDescent="0.2">
      <c r="B46" s="20" t="s">
        <v>50</v>
      </c>
      <c r="C46" s="21"/>
      <c r="D46" s="21"/>
      <c r="E46" s="21"/>
      <c r="F46" s="21"/>
      <c r="G46" s="21"/>
      <c r="H46" s="21"/>
      <c r="I46" s="21"/>
      <c r="J46" s="21"/>
      <c r="K46" s="21"/>
      <c r="L46" s="21"/>
      <c r="M46" s="21">
        <v>0</v>
      </c>
      <c r="N46" s="21">
        <v>195</v>
      </c>
      <c r="O46" s="21">
        <v>490</v>
      </c>
      <c r="P46" s="62">
        <v>0</v>
      </c>
      <c r="Q46" s="62">
        <v>0</v>
      </c>
      <c r="T46" s="62">
        <v>0</v>
      </c>
      <c r="U46" s="62">
        <v>0</v>
      </c>
      <c r="V46" s="62">
        <v>0</v>
      </c>
      <c r="W46" s="62">
        <v>0</v>
      </c>
      <c r="X46" s="62">
        <v>0</v>
      </c>
      <c r="Y46" s="62">
        <v>0</v>
      </c>
      <c r="Z46" s="62">
        <v>0</v>
      </c>
      <c r="AA46" s="62">
        <v>0</v>
      </c>
      <c r="AC46" s="62">
        <f t="shared" si="17"/>
        <v>0</v>
      </c>
    </row>
    <row r="47" spans="1:31" x14ac:dyDescent="0.2">
      <c r="B47" s="20" t="s">
        <v>323</v>
      </c>
      <c r="C47" s="21"/>
      <c r="D47" s="21"/>
      <c r="E47" s="21"/>
      <c r="F47" s="21"/>
      <c r="G47" s="21"/>
      <c r="H47" s="21"/>
      <c r="I47" s="21"/>
      <c r="J47" s="21"/>
      <c r="K47" s="21"/>
      <c r="L47" s="21"/>
      <c r="M47" s="62">
        <v>9822</v>
      </c>
      <c r="N47" s="62">
        <v>17840</v>
      </c>
      <c r="O47" s="62">
        <v>20733</v>
      </c>
      <c r="P47" s="62">
        <v>25687</v>
      </c>
      <c r="Q47" s="62">
        <v>20646</v>
      </c>
      <c r="T47" s="62">
        <v>25687</v>
      </c>
      <c r="U47" s="62">
        <v>26607</v>
      </c>
      <c r="V47" s="62">
        <v>27333</v>
      </c>
      <c r="W47" s="62">
        <v>26552</v>
      </c>
      <c r="X47" s="62">
        <v>20646</v>
      </c>
      <c r="Y47" s="62">
        <v>22498</v>
      </c>
      <c r="Z47" s="62">
        <v>26901</v>
      </c>
      <c r="AA47" s="62">
        <v>27263</v>
      </c>
      <c r="AC47" s="62">
        <f t="shared" si="17"/>
        <v>27263</v>
      </c>
    </row>
    <row r="48" spans="1:31" x14ac:dyDescent="0.2">
      <c r="B48" s="20" t="s">
        <v>318</v>
      </c>
      <c r="C48" s="21"/>
      <c r="D48" s="21"/>
      <c r="E48" s="21"/>
      <c r="F48" s="21"/>
      <c r="G48" s="21"/>
      <c r="H48" s="21"/>
      <c r="I48" s="21"/>
      <c r="J48" s="21"/>
      <c r="K48" s="21"/>
      <c r="L48" s="21"/>
      <c r="M48" s="62">
        <v>0</v>
      </c>
      <c r="N48" s="62">
        <v>0</v>
      </c>
      <c r="O48" s="62">
        <v>0</v>
      </c>
      <c r="P48" s="62">
        <v>0</v>
      </c>
      <c r="Q48" s="62">
        <v>0</v>
      </c>
      <c r="T48" s="62">
        <v>0</v>
      </c>
      <c r="U48" s="62">
        <v>0</v>
      </c>
      <c r="V48" s="62">
        <v>0</v>
      </c>
      <c r="W48" s="62">
        <v>0</v>
      </c>
      <c r="X48" s="62">
        <v>0</v>
      </c>
      <c r="Y48" s="62">
        <v>0</v>
      </c>
      <c r="Z48" s="62">
        <v>0</v>
      </c>
      <c r="AA48" s="62">
        <v>0</v>
      </c>
      <c r="AC48" s="62">
        <f t="shared" si="17"/>
        <v>0</v>
      </c>
    </row>
    <row r="49" spans="1:31" s="34" customFormat="1" x14ac:dyDescent="0.2">
      <c r="A49" s="16"/>
      <c r="B49" s="32" t="s">
        <v>52</v>
      </c>
      <c r="C49" s="33"/>
      <c r="D49" s="33"/>
      <c r="E49" s="33"/>
      <c r="F49" s="33"/>
      <c r="G49" s="33"/>
      <c r="H49" s="33"/>
      <c r="I49" s="33"/>
      <c r="J49" s="33"/>
      <c r="K49" s="33"/>
      <c r="L49" s="33"/>
      <c r="M49" s="33">
        <v>9950</v>
      </c>
      <c r="N49" s="33">
        <v>18013</v>
      </c>
      <c r="O49" s="33">
        <v>21581</v>
      </c>
      <c r="P49" s="33">
        <v>26274</v>
      </c>
      <c r="Q49" s="33">
        <v>21206</v>
      </c>
      <c r="R49" s="1"/>
      <c r="S49" s="1"/>
      <c r="T49" s="33">
        <v>26274</v>
      </c>
      <c r="U49" s="33">
        <v>26880</v>
      </c>
      <c r="V49" s="33">
        <v>27728</v>
      </c>
      <c r="W49" s="33">
        <v>27209</v>
      </c>
      <c r="X49" s="33">
        <v>21206</v>
      </c>
      <c r="Y49" s="33">
        <v>23073</v>
      </c>
      <c r="Z49" s="33">
        <v>27278</v>
      </c>
      <c r="AA49" s="33">
        <v>27658</v>
      </c>
      <c r="AB49" s="1"/>
      <c r="AC49" s="33">
        <f t="shared" si="17"/>
        <v>27658</v>
      </c>
      <c r="AD49" s="1"/>
      <c r="AE49" s="1"/>
    </row>
    <row r="50" spans="1:31" s="38" customFormat="1" ht="17" thickBot="1" x14ac:dyDescent="0.25">
      <c r="A50" s="16"/>
      <c r="B50" s="36" t="s">
        <v>53</v>
      </c>
      <c r="C50" s="37"/>
      <c r="D50" s="37"/>
      <c r="E50" s="37"/>
      <c r="F50" s="37"/>
      <c r="G50" s="37"/>
      <c r="H50" s="37"/>
      <c r="I50" s="37"/>
      <c r="J50" s="37"/>
      <c r="K50" s="37"/>
      <c r="L50" s="37"/>
      <c r="M50" s="37">
        <v>41240</v>
      </c>
      <c r="N50" s="37">
        <v>49014</v>
      </c>
      <c r="O50" s="37">
        <v>51040</v>
      </c>
      <c r="P50" s="37">
        <v>55154</v>
      </c>
      <c r="Q50" s="37">
        <v>50143</v>
      </c>
      <c r="R50" s="1"/>
      <c r="S50" s="1"/>
      <c r="T50" s="37">
        <v>55154</v>
      </c>
      <c r="U50" s="37">
        <v>55575</v>
      </c>
      <c r="V50" s="37">
        <v>55372</v>
      </c>
      <c r="W50" s="37">
        <v>54862</v>
      </c>
      <c r="X50" s="37">
        <v>50143</v>
      </c>
      <c r="Y50" s="37">
        <v>53034</v>
      </c>
      <c r="Z50" s="37">
        <v>57136</v>
      </c>
      <c r="AA50" s="37">
        <v>57367</v>
      </c>
      <c r="AB50" s="1"/>
      <c r="AC50" s="37">
        <f t="shared" si="17"/>
        <v>57367</v>
      </c>
      <c r="AD50" s="1"/>
      <c r="AE50" s="1"/>
    </row>
    <row r="51" spans="1:31" x14ac:dyDescent="0.2">
      <c r="B51" s="1"/>
    </row>
    <row r="52" spans="1:31" s="15" customFormat="1" ht="17" thickBot="1" x14ac:dyDescent="0.25">
      <c r="A52" s="11"/>
      <c r="B52" s="14" t="s">
        <v>54</v>
      </c>
      <c r="R52" s="1"/>
      <c r="S52" s="1"/>
      <c r="AB52" s="1"/>
      <c r="AD52" s="1"/>
      <c r="AE52" s="1"/>
    </row>
    <row r="53" spans="1:31" x14ac:dyDescent="0.2">
      <c r="B53" s="20" t="s">
        <v>55</v>
      </c>
      <c r="C53" s="62"/>
      <c r="D53" s="62"/>
      <c r="E53" s="62"/>
      <c r="F53" s="62"/>
      <c r="G53" s="62"/>
      <c r="H53" s="62"/>
      <c r="I53" s="62"/>
      <c r="J53" s="62"/>
      <c r="K53" s="62"/>
      <c r="L53" s="62"/>
      <c r="M53" s="62">
        <v>1582</v>
      </c>
      <c r="N53" s="62">
        <v>1762</v>
      </c>
      <c r="O53" s="62">
        <v>1809</v>
      </c>
      <c r="P53" s="62">
        <v>1706</v>
      </c>
      <c r="Q53" s="62">
        <v>1602</v>
      </c>
      <c r="T53" s="62"/>
      <c r="U53" s="62">
        <v>436</v>
      </c>
      <c r="V53" s="62">
        <v>397</v>
      </c>
      <c r="W53" s="62">
        <v>398</v>
      </c>
      <c r="X53" s="62">
        <v>371</v>
      </c>
      <c r="Y53" s="62">
        <v>393</v>
      </c>
      <c r="Z53" s="62">
        <v>413</v>
      </c>
      <c r="AA53" s="62">
        <v>396</v>
      </c>
      <c r="AC53" s="62">
        <f>SUM(X53:AA53)</f>
        <v>1573</v>
      </c>
    </row>
    <row r="54" spans="1:31" x14ac:dyDescent="0.2">
      <c r="B54" s="23" t="s">
        <v>56</v>
      </c>
      <c r="C54" s="62"/>
      <c r="D54" s="62"/>
      <c r="E54" s="62"/>
      <c r="F54" s="62"/>
      <c r="G54" s="62"/>
      <c r="H54" s="62"/>
      <c r="I54" s="62"/>
      <c r="J54" s="62"/>
      <c r="K54" s="62"/>
      <c r="L54" s="62"/>
      <c r="M54" s="62">
        <v>1663</v>
      </c>
      <c r="N54" s="62">
        <v>2031</v>
      </c>
      <c r="O54" s="62">
        <v>2484</v>
      </c>
      <c r="P54" s="62">
        <v>2648</v>
      </c>
      <c r="Q54" s="62">
        <v>2783</v>
      </c>
      <c r="T54" s="62"/>
      <c r="U54" s="62">
        <v>759</v>
      </c>
      <c r="V54" s="62">
        <v>702</v>
      </c>
      <c r="W54" s="62">
        <v>659</v>
      </c>
      <c r="X54" s="62">
        <v>663</v>
      </c>
      <c r="Y54" s="62">
        <v>888</v>
      </c>
      <c r="Z54" s="62">
        <v>861</v>
      </c>
      <c r="AA54" s="62">
        <v>830</v>
      </c>
      <c r="AC54" s="62">
        <f t="shared" ref="AC54:AC58" si="26">SUM(X54:AA54)</f>
        <v>3242</v>
      </c>
    </row>
    <row r="55" spans="1:31" x14ac:dyDescent="0.2">
      <c r="B55" s="23" t="s">
        <v>88</v>
      </c>
      <c r="C55" s="62"/>
      <c r="D55" s="62"/>
      <c r="E55" s="62"/>
      <c r="F55" s="62"/>
      <c r="G55" s="62"/>
      <c r="H55" s="62"/>
      <c r="I55" s="62"/>
      <c r="J55" s="62"/>
      <c r="K55" s="62"/>
      <c r="L55" s="62"/>
      <c r="M55" s="62">
        <v>426</v>
      </c>
      <c r="N55" s="62">
        <v>-2066</v>
      </c>
      <c r="O55" s="62">
        <v>2472</v>
      </c>
      <c r="P55" s="62">
        <v>-768</v>
      </c>
      <c r="Q55" s="62">
        <v>-365</v>
      </c>
      <c r="T55" s="62"/>
      <c r="U55" s="62">
        <v>392</v>
      </c>
      <c r="V55" s="62">
        <v>-165</v>
      </c>
      <c r="W55" s="62">
        <v>308</v>
      </c>
      <c r="X55" s="62">
        <v>-900</v>
      </c>
      <c r="Y55" s="62">
        <v>243</v>
      </c>
      <c r="Z55" s="62">
        <v>-185</v>
      </c>
      <c r="AA55" s="62">
        <v>-322</v>
      </c>
      <c r="AC55" s="62">
        <f t="shared" si="26"/>
        <v>-1164</v>
      </c>
    </row>
    <row r="56" spans="1:31" x14ac:dyDescent="0.2">
      <c r="B56" s="23" t="s">
        <v>137</v>
      </c>
      <c r="C56" s="62"/>
      <c r="D56" s="62"/>
      <c r="E56" s="62"/>
      <c r="F56" s="62"/>
      <c r="G56" s="62"/>
      <c r="H56" s="62"/>
      <c r="I56" s="62"/>
      <c r="J56" s="62"/>
      <c r="K56" s="62"/>
      <c r="L56" s="62"/>
      <c r="M56" s="62">
        <v>-622</v>
      </c>
      <c r="N56" s="62">
        <v>-3137</v>
      </c>
      <c r="O56" s="62">
        <v>8</v>
      </c>
      <c r="P56" s="62">
        <v>13</v>
      </c>
      <c r="Q56" s="62">
        <v>-138</v>
      </c>
      <c r="T56" s="62"/>
      <c r="U56" s="62">
        <v>111</v>
      </c>
      <c r="V56" s="62">
        <v>91</v>
      </c>
      <c r="W56" s="62">
        <v>-169</v>
      </c>
      <c r="X56" s="62">
        <v>-171</v>
      </c>
      <c r="Y56" s="62">
        <v>-99</v>
      </c>
      <c r="Z56" s="62">
        <v>-703</v>
      </c>
      <c r="AA56" s="62">
        <v>-996</v>
      </c>
      <c r="AC56" s="62">
        <f>SUM(X56:AA56)</f>
        <v>-1969</v>
      </c>
    </row>
    <row r="57" spans="1:31" x14ac:dyDescent="0.2">
      <c r="B57" s="23" t="s">
        <v>89</v>
      </c>
      <c r="C57" s="62"/>
      <c r="D57" s="62"/>
      <c r="E57" s="62"/>
      <c r="F57" s="62"/>
      <c r="G57" s="62"/>
      <c r="H57" s="62"/>
      <c r="I57" s="62"/>
      <c r="J57" s="62"/>
      <c r="K57" s="62"/>
      <c r="L57" s="62"/>
      <c r="M57" s="62">
        <v>495</v>
      </c>
      <c r="N57" s="62">
        <v>1036</v>
      </c>
      <c r="O57" s="62">
        <v>603</v>
      </c>
      <c r="P57" s="62">
        <v>230</v>
      </c>
      <c r="Q57" s="62">
        <v>119</v>
      </c>
      <c r="T57" s="62"/>
      <c r="U57" s="62">
        <v>11</v>
      </c>
      <c r="V57" s="62">
        <v>-108</v>
      </c>
      <c r="W57" s="62">
        <v>-123</v>
      </c>
      <c r="X57" s="62">
        <v>339</v>
      </c>
      <c r="Y57" s="62">
        <v>-73</v>
      </c>
      <c r="Z57" s="62">
        <v>302</v>
      </c>
      <c r="AA57" s="62">
        <v>-80</v>
      </c>
      <c r="AC57" s="62">
        <f t="shared" si="26"/>
        <v>488</v>
      </c>
    </row>
    <row r="58" spans="1:31" x14ac:dyDescent="0.2">
      <c r="B58" s="23" t="s">
        <v>90</v>
      </c>
      <c r="C58" s="62"/>
      <c r="D58" s="62"/>
      <c r="E58" s="62"/>
      <c r="F58" s="62"/>
      <c r="G58" s="62"/>
      <c r="H58" s="62"/>
      <c r="I58" s="62"/>
      <c r="J58" s="62"/>
      <c r="K58" s="62"/>
      <c r="L58" s="62"/>
      <c r="M58" s="62">
        <f>-1649+1091-202</f>
        <v>-760</v>
      </c>
      <c r="N58" s="62">
        <f>-2266-1043-324-170</f>
        <v>-3803</v>
      </c>
      <c r="O58" s="62">
        <f>603+1-56-399</f>
        <v>149</v>
      </c>
      <c r="P58" s="62">
        <f>230+1046+20-91</f>
        <v>1205</v>
      </c>
      <c r="Q58" s="62">
        <f>971-235+62</f>
        <v>798</v>
      </c>
      <c r="T58" s="62"/>
      <c r="U58" s="62">
        <f>148-541-88</f>
        <v>-481</v>
      </c>
      <c r="V58" s="62">
        <v>-60</v>
      </c>
      <c r="W58" s="62">
        <v>-38</v>
      </c>
      <c r="X58" s="62">
        <v>1377</v>
      </c>
      <c r="Y58" s="62">
        <f>553+100-130</f>
        <v>523</v>
      </c>
      <c r="Z58" s="62">
        <v>510</v>
      </c>
      <c r="AA58" s="62">
        <v>-250</v>
      </c>
      <c r="AC58" s="62">
        <f t="shared" si="26"/>
        <v>2160</v>
      </c>
    </row>
    <row r="59" spans="1:31" s="19" customFormat="1" x14ac:dyDescent="0.2">
      <c r="A59" s="16"/>
      <c r="B59" s="17" t="s">
        <v>57</v>
      </c>
      <c r="C59" s="61"/>
      <c r="D59" s="61"/>
      <c r="E59" s="61"/>
      <c r="F59" s="61"/>
      <c r="G59" s="61"/>
      <c r="H59" s="61"/>
      <c r="I59" s="61"/>
      <c r="J59" s="61"/>
      <c r="K59" s="61"/>
      <c r="L59" s="61"/>
      <c r="M59" s="61">
        <v>10536</v>
      </c>
      <c r="N59" s="61">
        <v>9096</v>
      </c>
      <c r="O59" s="61">
        <v>11299</v>
      </c>
      <c r="P59" s="61">
        <v>12202</v>
      </c>
      <c r="Q59" s="61">
        <v>14012</v>
      </c>
      <c r="R59" s="1"/>
      <c r="S59" s="1"/>
      <c r="T59" s="61"/>
      <c r="U59" s="61">
        <v>4587</v>
      </c>
      <c r="V59" s="61">
        <v>2554</v>
      </c>
      <c r="W59" s="61">
        <v>2875</v>
      </c>
      <c r="X59" s="61">
        <v>3996</v>
      </c>
      <c r="Y59" s="61">
        <v>4965</v>
      </c>
      <c r="Z59" s="61">
        <v>2449</v>
      </c>
      <c r="AA59" s="61">
        <v>991</v>
      </c>
      <c r="AB59" s="1"/>
      <c r="AC59" s="61">
        <f>SUM(X59:AA59)</f>
        <v>12401</v>
      </c>
      <c r="AD59" s="1"/>
      <c r="AE59" s="1"/>
    </row>
    <row r="60" spans="1:31" x14ac:dyDescent="0.2">
      <c r="B60" s="20" t="s">
        <v>58</v>
      </c>
      <c r="C60" s="62"/>
      <c r="D60" s="62"/>
      <c r="E60" s="62"/>
      <c r="F60" s="62"/>
      <c r="G60" s="62"/>
      <c r="H60" s="62"/>
      <c r="I60" s="62"/>
      <c r="J60" s="62"/>
      <c r="K60" s="62"/>
      <c r="L60" s="62"/>
      <c r="M60" s="62">
        <v>-1888</v>
      </c>
      <c r="N60" s="62">
        <v>-2262</v>
      </c>
      <c r="O60" s="62">
        <v>-1450</v>
      </c>
      <c r="P60" s="62">
        <v>-1041</v>
      </c>
      <c r="Q60" s="62">
        <v>-1192</v>
      </c>
      <c r="T60" s="62"/>
      <c r="U60" s="62">
        <v>-277</v>
      </c>
      <c r="V60" s="62">
        <v>-214</v>
      </c>
      <c r="W60" s="62">
        <v>-294</v>
      </c>
      <c r="X60" s="62">
        <v>-407</v>
      </c>
      <c r="Y60" s="62">
        <v>-549</v>
      </c>
      <c r="Z60" s="62">
        <v>-533</v>
      </c>
      <c r="AA60" s="62">
        <v>-496</v>
      </c>
      <c r="AC60" s="62">
        <f>SUM(X60:AA60)</f>
        <v>-1985</v>
      </c>
    </row>
    <row r="61" spans="1:31" x14ac:dyDescent="0.2">
      <c r="B61" s="20" t="s">
        <v>91</v>
      </c>
      <c r="C61" s="62"/>
      <c r="D61" s="62"/>
      <c r="E61" s="62"/>
      <c r="F61" s="62"/>
      <c r="G61" s="62"/>
      <c r="H61" s="62"/>
      <c r="I61" s="62"/>
      <c r="J61" s="62"/>
      <c r="K61" s="62"/>
      <c r="L61" s="62"/>
      <c r="M61" s="62">
        <v>0</v>
      </c>
      <c r="N61" s="62">
        <v>0</v>
      </c>
      <c r="O61" s="62">
        <v>0</v>
      </c>
      <c r="P61" s="62">
        <v>0</v>
      </c>
      <c r="Q61" s="62">
        <v>0</v>
      </c>
      <c r="T61" s="62"/>
      <c r="U61" s="62">
        <v>0</v>
      </c>
      <c r="V61" s="62">
        <v>0</v>
      </c>
      <c r="W61" s="62">
        <v>0</v>
      </c>
      <c r="X61" s="62">
        <v>0</v>
      </c>
      <c r="Y61" s="62">
        <v>0</v>
      </c>
      <c r="Z61" s="62">
        <v>0</v>
      </c>
      <c r="AA61" s="62">
        <v>0</v>
      </c>
      <c r="AC61" s="62">
        <f t="shared" ref="AC61:AC66" si="27">SUM(X61:AA61)</f>
        <v>0</v>
      </c>
    </row>
    <row r="62" spans="1:31" s="19" customFormat="1" x14ac:dyDescent="0.2">
      <c r="A62" s="16"/>
      <c r="B62" s="17" t="s">
        <v>59</v>
      </c>
      <c r="C62" s="61"/>
      <c r="D62" s="61"/>
      <c r="E62" s="61"/>
      <c r="F62" s="61"/>
      <c r="G62" s="61"/>
      <c r="H62" s="61"/>
      <c r="I62" s="61"/>
      <c r="J62" s="61"/>
      <c r="K62" s="61"/>
      <c r="L62" s="61"/>
      <c r="M62" s="61">
        <v>-3356</v>
      </c>
      <c r="N62" s="61">
        <v>-5804</v>
      </c>
      <c r="O62" s="61">
        <v>762</v>
      </c>
      <c r="P62" s="61">
        <v>-3623</v>
      </c>
      <c r="Q62" s="61">
        <v>-800</v>
      </c>
      <c r="R62" s="1"/>
      <c r="S62" s="1"/>
      <c r="T62" s="61"/>
      <c r="U62" s="61">
        <v>-671</v>
      </c>
      <c r="V62" s="61">
        <v>-1289</v>
      </c>
      <c r="W62" s="61">
        <v>1631</v>
      </c>
      <c r="X62" s="61">
        <v>-471</v>
      </c>
      <c r="Y62" s="61">
        <v>-1721</v>
      </c>
      <c r="Z62" s="61">
        <v>-501</v>
      </c>
      <c r="AA62" s="61">
        <v>574</v>
      </c>
      <c r="AB62" s="1"/>
      <c r="AC62" s="61">
        <f t="shared" si="27"/>
        <v>-2119</v>
      </c>
      <c r="AD62" s="1"/>
      <c r="AE62" s="1"/>
    </row>
    <row r="63" spans="1:31" x14ac:dyDescent="0.2">
      <c r="B63" s="20" t="s">
        <v>60</v>
      </c>
      <c r="C63" s="62"/>
      <c r="D63" s="62"/>
      <c r="E63" s="62"/>
      <c r="F63" s="62"/>
      <c r="G63" s="62"/>
      <c r="H63" s="62"/>
      <c r="I63" s="62"/>
      <c r="J63" s="62"/>
      <c r="K63" s="62"/>
      <c r="L63" s="62"/>
      <c r="M63" s="62">
        <v>-3366</v>
      </c>
      <c r="N63" s="62">
        <v>-3129</v>
      </c>
      <c r="O63" s="62">
        <v>-2973</v>
      </c>
      <c r="P63" s="62">
        <v>-4121</v>
      </c>
      <c r="Q63" s="62">
        <v>-8791</v>
      </c>
      <c r="T63" s="62"/>
      <c r="U63" s="62">
        <v>-1750</v>
      </c>
      <c r="V63" s="62">
        <v>-1748</v>
      </c>
      <c r="W63" s="62">
        <v>-2849</v>
      </c>
      <c r="X63" s="62">
        <v>-2444</v>
      </c>
      <c r="Y63" s="62">
        <v>-2650</v>
      </c>
      <c r="Z63" s="62">
        <v>-2792</v>
      </c>
      <c r="AA63" s="62">
        <v>-1364</v>
      </c>
      <c r="AC63" s="62">
        <f t="shared" si="27"/>
        <v>-9250</v>
      </c>
    </row>
    <row r="64" spans="1:31" x14ac:dyDescent="0.2">
      <c r="B64" s="20" t="s">
        <v>276</v>
      </c>
      <c r="C64" s="62"/>
      <c r="D64" s="62"/>
      <c r="E64" s="62"/>
      <c r="F64" s="62"/>
      <c r="G64" s="62"/>
      <c r="H64" s="62"/>
      <c r="I64" s="62"/>
      <c r="J64" s="62"/>
      <c r="K64" s="62"/>
      <c r="L64" s="62"/>
      <c r="M64" s="62">
        <v>-3008</v>
      </c>
      <c r="N64" s="62">
        <v>-3212</v>
      </c>
      <c r="O64" s="62">
        <v>-3462</v>
      </c>
      <c r="P64" s="62">
        <v>-3687</v>
      </c>
      <c r="Q64" s="62">
        <v>-3805</v>
      </c>
      <c r="T64" s="62"/>
      <c r="U64" s="62">
        <v>-942</v>
      </c>
      <c r="V64" s="62">
        <v>-938</v>
      </c>
      <c r="W64" s="62">
        <v>-968</v>
      </c>
      <c r="X64" s="62">
        <v>-957</v>
      </c>
      <c r="Y64" s="62">
        <v>-949</v>
      </c>
      <c r="Z64" s="62">
        <v>-946</v>
      </c>
      <c r="AA64" s="62">
        <v>-973</v>
      </c>
      <c r="AC64" s="62">
        <f>SUM(X64:AA64)</f>
        <v>-3825</v>
      </c>
    </row>
    <row r="65" spans="1:31" x14ac:dyDescent="0.2">
      <c r="B65" s="20" t="s">
        <v>321</v>
      </c>
      <c r="C65" s="62"/>
      <c r="D65" s="62"/>
      <c r="E65" s="62"/>
      <c r="F65" s="62"/>
      <c r="G65" s="62"/>
      <c r="H65" s="62"/>
      <c r="I65" s="62"/>
      <c r="J65" s="62"/>
      <c r="K65" s="62"/>
      <c r="L65" s="62"/>
      <c r="M65" s="62">
        <v>0</v>
      </c>
      <c r="N65" s="62">
        <v>0</v>
      </c>
      <c r="O65" s="62">
        <v>0</v>
      </c>
      <c r="P65" s="62">
        <v>0</v>
      </c>
      <c r="Q65" s="62">
        <v>0</v>
      </c>
      <c r="T65" s="62"/>
      <c r="U65" s="62">
        <v>0</v>
      </c>
      <c r="V65" s="62">
        <v>0</v>
      </c>
      <c r="W65" s="62">
        <v>0</v>
      </c>
      <c r="X65" s="62">
        <v>0</v>
      </c>
      <c r="Y65" s="62">
        <v>0</v>
      </c>
      <c r="Z65" s="62">
        <v>0</v>
      </c>
      <c r="AA65" s="62">
        <v>0</v>
      </c>
      <c r="AC65" s="62">
        <f>SUM(X65:AA65)</f>
        <v>0</v>
      </c>
    </row>
    <row r="66" spans="1:31" s="19" customFormat="1" ht="17" thickBot="1" x14ac:dyDescent="0.25">
      <c r="A66" s="16"/>
      <c r="B66" s="36" t="s">
        <v>61</v>
      </c>
      <c r="C66" s="71"/>
      <c r="D66" s="71"/>
      <c r="E66" s="71"/>
      <c r="F66" s="71"/>
      <c r="G66" s="71"/>
      <c r="H66" s="71"/>
      <c r="I66" s="71"/>
      <c r="J66" s="71"/>
      <c r="K66" s="71"/>
      <c r="L66" s="71"/>
      <c r="M66" s="71">
        <v>-6798</v>
      </c>
      <c r="N66" s="71">
        <v>-7196</v>
      </c>
      <c r="O66" s="71">
        <v>-6663</v>
      </c>
      <c r="P66" s="71">
        <v>-9269</v>
      </c>
      <c r="Q66" s="71">
        <v>-13196</v>
      </c>
      <c r="R66" s="1"/>
      <c r="S66" s="1"/>
      <c r="T66" s="71"/>
      <c r="U66" s="71">
        <v>-3008</v>
      </c>
      <c r="V66" s="71">
        <v>-2781</v>
      </c>
      <c r="W66" s="71">
        <v>-3971</v>
      </c>
      <c r="X66" s="71">
        <v>-3436</v>
      </c>
      <c r="Y66" s="71">
        <v>-3882</v>
      </c>
      <c r="Z66" s="71">
        <v>-3693</v>
      </c>
      <c r="AA66" s="71">
        <v>-2471</v>
      </c>
      <c r="AB66" s="1"/>
      <c r="AC66" s="71">
        <f t="shared" si="27"/>
        <v>-13482</v>
      </c>
      <c r="AD66" s="1"/>
      <c r="AE66" s="1"/>
    </row>
    <row r="67" spans="1:31" x14ac:dyDescent="0.2">
      <c r="B67" s="1"/>
    </row>
    <row r="68" spans="1:31" s="15" customFormat="1" ht="17" thickBot="1" x14ac:dyDescent="0.25">
      <c r="A68" s="11"/>
      <c r="B68" s="14" t="s">
        <v>62</v>
      </c>
      <c r="R68" s="1"/>
      <c r="S68" s="1"/>
      <c r="AB68" s="1"/>
      <c r="AD68" s="1"/>
      <c r="AE68" s="1"/>
    </row>
    <row r="69" spans="1:31" x14ac:dyDescent="0.2">
      <c r="B69" s="20" t="s">
        <v>63</v>
      </c>
      <c r="C69" s="64">
        <f t="shared" ref="C69:Q69" si="28">C5-C6-C11+C13+C14+C16-C17</f>
        <v>0</v>
      </c>
      <c r="D69" s="64">
        <f t="shared" si="28"/>
        <v>0</v>
      </c>
      <c r="E69" s="64">
        <f t="shared" si="28"/>
        <v>0</v>
      </c>
      <c r="F69" s="64">
        <f t="shared" si="28"/>
        <v>0</v>
      </c>
      <c r="G69" s="64">
        <f t="shared" si="28"/>
        <v>0</v>
      </c>
      <c r="H69" s="64">
        <f t="shared" si="28"/>
        <v>0</v>
      </c>
      <c r="I69" s="64">
        <f t="shared" si="28"/>
        <v>0</v>
      </c>
      <c r="J69" s="64">
        <f t="shared" si="28"/>
        <v>0</v>
      </c>
      <c r="K69" s="64">
        <f t="shared" si="28"/>
        <v>0</v>
      </c>
      <c r="L69" s="64">
        <f t="shared" si="28"/>
        <v>0</v>
      </c>
      <c r="M69" s="64">
        <f t="shared" si="28"/>
        <v>9043</v>
      </c>
      <c r="N69" s="64">
        <f t="shared" si="28"/>
        <v>12968</v>
      </c>
      <c r="O69" s="64">
        <f t="shared" si="28"/>
        <v>7339</v>
      </c>
      <c r="P69" s="64">
        <f t="shared" si="28"/>
        <v>10110</v>
      </c>
      <c r="Q69" s="64">
        <f t="shared" si="28"/>
        <v>11241</v>
      </c>
      <c r="T69" s="64">
        <f t="shared" ref="T69:Z69" si="29">T5-T6-T11+T13+T14+T16-T17</f>
        <v>2915</v>
      </c>
      <c r="U69" s="64">
        <f t="shared" si="29"/>
        <v>3180</v>
      </c>
      <c r="V69" s="64">
        <f t="shared" si="29"/>
        <v>2812</v>
      </c>
      <c r="W69" s="64">
        <f t="shared" si="29"/>
        <v>2766</v>
      </c>
      <c r="X69" s="64">
        <f t="shared" si="29"/>
        <v>2583</v>
      </c>
      <c r="Y69" s="64">
        <f t="shared" si="29"/>
        <v>3004</v>
      </c>
      <c r="Z69" s="64">
        <f t="shared" si="29"/>
        <v>1932</v>
      </c>
      <c r="AA69" s="64">
        <f t="shared" ref="AA69" si="30">AA5-AA6-AA11+AA13+AA14+AA16-AA17</f>
        <v>2002</v>
      </c>
      <c r="AC69" s="64">
        <f>AC5-AC6-AC11+AC13+AC14+AC16-AC17</f>
        <v>9521</v>
      </c>
    </row>
    <row r="70" spans="1:31" s="41" customFormat="1" x14ac:dyDescent="0.2">
      <c r="A70" s="16"/>
      <c r="B70" s="17" t="s">
        <v>64</v>
      </c>
      <c r="C70" s="40">
        <f t="shared" ref="C70:Q70" si="31">C18-C69</f>
        <v>0</v>
      </c>
      <c r="D70" s="40">
        <f t="shared" si="31"/>
        <v>0</v>
      </c>
      <c r="E70" s="40">
        <f t="shared" si="31"/>
        <v>0</v>
      </c>
      <c r="F70" s="40">
        <f t="shared" si="31"/>
        <v>0</v>
      </c>
      <c r="G70" s="40">
        <f t="shared" si="31"/>
        <v>0</v>
      </c>
      <c r="H70" s="40">
        <f t="shared" si="31"/>
        <v>0</v>
      </c>
      <c r="I70" s="40">
        <f t="shared" si="31"/>
        <v>0</v>
      </c>
      <c r="J70" s="40">
        <f t="shared" si="31"/>
        <v>0</v>
      </c>
      <c r="K70" s="40">
        <f t="shared" si="31"/>
        <v>0</v>
      </c>
      <c r="L70" s="40">
        <f t="shared" si="31"/>
        <v>0</v>
      </c>
      <c r="M70" s="40">
        <f t="shared" si="31"/>
        <v>0</v>
      </c>
      <c r="N70" s="40">
        <f t="shared" si="31"/>
        <v>18</v>
      </c>
      <c r="O70" s="40">
        <f t="shared" si="31"/>
        <v>0</v>
      </c>
      <c r="P70" s="40">
        <f t="shared" si="31"/>
        <v>0</v>
      </c>
      <c r="Q70" s="40">
        <f t="shared" si="31"/>
        <v>0</v>
      </c>
      <c r="R70" s="1"/>
      <c r="S70" s="1"/>
      <c r="T70" s="40">
        <f t="shared" ref="T70:Y70" si="32">T18-T69</f>
        <v>0</v>
      </c>
      <c r="U70" s="40">
        <f t="shared" si="32"/>
        <v>0</v>
      </c>
      <c r="V70" s="40">
        <f t="shared" si="32"/>
        <v>0</v>
      </c>
      <c r="W70" s="40">
        <f t="shared" si="32"/>
        <v>-100</v>
      </c>
      <c r="X70" s="40">
        <f t="shared" si="32"/>
        <v>0</v>
      </c>
      <c r="Y70" s="40">
        <f t="shared" si="32"/>
        <v>0</v>
      </c>
      <c r="Z70" s="40">
        <f t="shared" ref="Z70:AA70" si="33">Z18-Z69</f>
        <v>0</v>
      </c>
      <c r="AA70" s="40">
        <f t="shared" si="33"/>
        <v>0</v>
      </c>
      <c r="AB70" s="16"/>
      <c r="AC70" s="40">
        <f>AC18-AC69</f>
        <v>0</v>
      </c>
      <c r="AD70" s="1"/>
      <c r="AE70" s="1"/>
    </row>
    <row r="71" spans="1:31" s="41" customFormat="1" x14ac:dyDescent="0.2">
      <c r="A71" s="16"/>
      <c r="B71" s="17" t="s">
        <v>65</v>
      </c>
      <c r="C71" s="42">
        <f t="shared" ref="C71:Q71" si="34">C37-(C43+C111)</f>
        <v>0</v>
      </c>
      <c r="D71" s="42">
        <f t="shared" si="34"/>
        <v>0</v>
      </c>
      <c r="E71" s="42">
        <f t="shared" si="34"/>
        <v>0</v>
      </c>
      <c r="F71" s="42">
        <f t="shared" si="34"/>
        <v>0</v>
      </c>
      <c r="G71" s="42">
        <f t="shared" si="34"/>
        <v>0</v>
      </c>
      <c r="H71" s="42">
        <f t="shared" si="34"/>
        <v>0</v>
      </c>
      <c r="I71" s="42">
        <f t="shared" si="34"/>
        <v>0</v>
      </c>
      <c r="J71" s="42">
        <f t="shared" si="34"/>
        <v>0</v>
      </c>
      <c r="K71" s="42">
        <f t="shared" si="34"/>
        <v>0</v>
      </c>
      <c r="L71" s="42">
        <f t="shared" si="34"/>
        <v>0</v>
      </c>
      <c r="M71" s="42">
        <f t="shared" si="34"/>
        <v>0</v>
      </c>
      <c r="N71" s="42">
        <f t="shared" si="34"/>
        <v>0</v>
      </c>
      <c r="O71" s="42">
        <f t="shared" si="34"/>
        <v>0</v>
      </c>
      <c r="P71" s="42">
        <f t="shared" si="34"/>
        <v>0</v>
      </c>
      <c r="Q71" s="42">
        <f t="shared" si="34"/>
        <v>0</v>
      </c>
      <c r="R71" s="1"/>
      <c r="S71" s="1"/>
      <c r="T71" s="42">
        <f t="shared" ref="T71:Z71" si="35">T37-(T43+T111)</f>
        <v>0</v>
      </c>
      <c r="U71" s="42">
        <f t="shared" si="35"/>
        <v>0</v>
      </c>
      <c r="V71" s="42">
        <f t="shared" si="35"/>
        <v>0</v>
      </c>
      <c r="W71" s="42">
        <f t="shared" si="35"/>
        <v>0</v>
      </c>
      <c r="X71" s="42">
        <f t="shared" si="35"/>
        <v>0</v>
      </c>
      <c r="Y71" s="42">
        <f t="shared" si="35"/>
        <v>0</v>
      </c>
      <c r="Z71" s="42">
        <f t="shared" si="35"/>
        <v>0</v>
      </c>
      <c r="AA71" s="42">
        <f t="shared" ref="AA71" si="36">AA37-(AA43+AA111)</f>
        <v>0</v>
      </c>
      <c r="AB71" s="16"/>
      <c r="AC71" s="42">
        <f>AC37-(AC43+AC111)</f>
        <v>0</v>
      </c>
      <c r="AD71" s="1"/>
      <c r="AE71" s="1"/>
    </row>
    <row r="72" spans="1:31" x14ac:dyDescent="0.2">
      <c r="B72" s="39"/>
      <c r="J72" s="39"/>
      <c r="K72" s="39"/>
      <c r="L72" s="39"/>
      <c r="M72" s="39"/>
      <c r="N72" s="39"/>
      <c r="O72" s="39"/>
      <c r="P72" s="39"/>
    </row>
    <row r="73" spans="1:31" s="15" customFormat="1" ht="17" thickBot="1" x14ac:dyDescent="0.25">
      <c r="A73" s="11"/>
      <c r="B73" s="14" t="s">
        <v>66</v>
      </c>
      <c r="R73" s="1"/>
      <c r="S73" s="1"/>
      <c r="AB73" s="1"/>
      <c r="AD73" s="1"/>
      <c r="AE73" s="1"/>
    </row>
    <row r="74" spans="1:31" x14ac:dyDescent="0.2">
      <c r="B74" s="20" t="s">
        <v>67</v>
      </c>
      <c r="C74" s="43"/>
      <c r="D74" s="43"/>
      <c r="E74" s="43"/>
      <c r="F74" s="43"/>
      <c r="G74" s="43"/>
      <c r="H74" s="43"/>
      <c r="I74" s="43"/>
      <c r="J74" s="21"/>
      <c r="K74" s="21"/>
      <c r="L74" s="21"/>
      <c r="M74" s="21">
        <v>1120</v>
      </c>
      <c r="N74" s="21">
        <v>1121</v>
      </c>
      <c r="O74" s="21">
        <v>1113</v>
      </c>
      <c r="P74" s="21">
        <v>1111</v>
      </c>
      <c r="Q74" s="21">
        <v>1071</v>
      </c>
      <c r="T74" s="21">
        <v>1111</v>
      </c>
      <c r="U74" s="21">
        <v>1106</v>
      </c>
      <c r="V74" s="21">
        <v>1098</v>
      </c>
      <c r="W74" s="21">
        <v>1079</v>
      </c>
      <c r="X74" s="21">
        <v>1071</v>
      </c>
      <c r="Y74" s="21">
        <v>1067</v>
      </c>
      <c r="Z74" s="21">
        <v>1054</v>
      </c>
      <c r="AA74" s="21">
        <v>1050</v>
      </c>
      <c r="AC74" s="24">
        <f>AA74</f>
        <v>1050</v>
      </c>
    </row>
    <row r="75" spans="1:31" x14ac:dyDescent="0.2">
      <c r="B75" s="20" t="s">
        <v>68</v>
      </c>
      <c r="C75" s="25"/>
      <c r="D75" s="25"/>
      <c r="E75" s="25"/>
      <c r="F75" s="25"/>
      <c r="G75" s="25"/>
      <c r="H75" s="25"/>
      <c r="I75" s="25"/>
      <c r="J75" s="25"/>
      <c r="K75" s="25"/>
      <c r="L75" s="25"/>
      <c r="M75" s="25">
        <f t="shared" ref="M75:Q75" si="37">M74*M85</f>
        <v>1120</v>
      </c>
      <c r="N75" s="25">
        <f t="shared" si="37"/>
        <v>1121</v>
      </c>
      <c r="O75" s="25">
        <f t="shared" si="37"/>
        <v>1113</v>
      </c>
      <c r="P75" s="25">
        <f t="shared" si="37"/>
        <v>1111</v>
      </c>
      <c r="Q75" s="25">
        <f t="shared" si="37"/>
        <v>1071</v>
      </c>
      <c r="T75" s="25">
        <f t="shared" ref="T75" si="38">T74*T85</f>
        <v>1111</v>
      </c>
      <c r="U75" s="25">
        <f t="shared" ref="U75" si="39">U74*U85</f>
        <v>1106</v>
      </c>
      <c r="V75" s="25">
        <f t="shared" ref="V75" si="40">V74*V85</f>
        <v>1098</v>
      </c>
      <c r="W75" s="25">
        <f t="shared" ref="W75" si="41">W74*W85</f>
        <v>1079</v>
      </c>
      <c r="X75" s="25">
        <f t="shared" ref="X75:Z75" si="42">X74*X85</f>
        <v>1071</v>
      </c>
      <c r="Y75" s="25">
        <f t="shared" si="42"/>
        <v>1067</v>
      </c>
      <c r="Z75" s="25">
        <f t="shared" si="42"/>
        <v>1054</v>
      </c>
      <c r="AA75" s="25">
        <f t="shared" ref="AA75" si="43">AA74*AA85</f>
        <v>1050</v>
      </c>
      <c r="AC75" s="24">
        <f>AA75</f>
        <v>1050</v>
      </c>
    </row>
    <row r="76" spans="1:31" x14ac:dyDescent="0.2">
      <c r="B76" s="20" t="s">
        <v>226</v>
      </c>
      <c r="C76" s="25"/>
      <c r="D76" s="25"/>
      <c r="E76" s="25"/>
      <c r="F76" s="25"/>
      <c r="G76" s="25"/>
      <c r="H76" s="25"/>
      <c r="I76" s="25"/>
      <c r="J76" s="25"/>
      <c r="K76" s="25"/>
      <c r="L76" s="25"/>
      <c r="M76" s="21">
        <v>18</v>
      </c>
      <c r="N76" s="21">
        <v>14</v>
      </c>
      <c r="O76" s="21">
        <v>9</v>
      </c>
      <c r="P76" s="21">
        <v>14</v>
      </c>
      <c r="Q76" s="21">
        <v>9</v>
      </c>
      <c r="T76" s="21">
        <v>14</v>
      </c>
      <c r="U76" s="21">
        <v>12</v>
      </c>
      <c r="V76" s="21">
        <v>10</v>
      </c>
      <c r="W76" s="21">
        <v>7</v>
      </c>
      <c r="X76" s="21">
        <v>9</v>
      </c>
      <c r="Y76" s="21">
        <v>9</v>
      </c>
      <c r="Z76" s="21">
        <v>6</v>
      </c>
      <c r="AA76" s="21">
        <v>12</v>
      </c>
      <c r="AC76" s="21">
        <f>AA76</f>
        <v>12</v>
      </c>
    </row>
    <row r="77" spans="1:31" x14ac:dyDescent="0.2">
      <c r="B77" s="20" t="s">
        <v>227</v>
      </c>
      <c r="C77" s="25"/>
      <c r="D77" s="25"/>
      <c r="E77" s="25"/>
      <c r="F77" s="25"/>
      <c r="G77" s="25"/>
      <c r="H77" s="25"/>
      <c r="I77" s="25"/>
      <c r="J77" s="25"/>
      <c r="K77" s="25"/>
      <c r="L77" s="25"/>
      <c r="M77" s="25">
        <f t="shared" ref="M77:P77" si="44">M76*M85</f>
        <v>18</v>
      </c>
      <c r="N77" s="25">
        <f t="shared" si="44"/>
        <v>14</v>
      </c>
      <c r="O77" s="25">
        <f t="shared" si="44"/>
        <v>9</v>
      </c>
      <c r="P77" s="25">
        <f t="shared" si="44"/>
        <v>14</v>
      </c>
      <c r="Q77" s="25">
        <f>Q76*Q85</f>
        <v>9</v>
      </c>
      <c r="T77" s="25">
        <f t="shared" ref="T77:Y77" si="45">T76*T85</f>
        <v>14</v>
      </c>
      <c r="U77" s="25">
        <f t="shared" si="45"/>
        <v>12</v>
      </c>
      <c r="V77" s="25">
        <f t="shared" si="45"/>
        <v>10</v>
      </c>
      <c r="W77" s="25">
        <f t="shared" si="45"/>
        <v>7</v>
      </c>
      <c r="X77" s="25">
        <f t="shared" si="45"/>
        <v>9</v>
      </c>
      <c r="Y77" s="25">
        <f t="shared" si="45"/>
        <v>9</v>
      </c>
      <c r="Z77" s="25">
        <f t="shared" ref="Z77:AA77" si="46">Z76*Z85</f>
        <v>6</v>
      </c>
      <c r="AA77" s="25">
        <f t="shared" si="46"/>
        <v>12</v>
      </c>
      <c r="AC77" s="24">
        <f>AA77</f>
        <v>12</v>
      </c>
    </row>
    <row r="78" spans="1:31" x14ac:dyDescent="0.2">
      <c r="B78" s="20" t="s">
        <v>228</v>
      </c>
      <c r="C78" s="25"/>
      <c r="D78" s="25"/>
      <c r="E78" s="25"/>
      <c r="F78" s="25"/>
      <c r="G78" s="25"/>
      <c r="H78" s="25"/>
      <c r="I78" s="25"/>
      <c r="J78" s="25"/>
      <c r="K78" s="25"/>
      <c r="L78" s="25"/>
      <c r="M78" s="25">
        <f t="shared" ref="M78:P78" si="47">M75+M77</f>
        <v>1138</v>
      </c>
      <c r="N78" s="25">
        <f t="shared" si="47"/>
        <v>1135</v>
      </c>
      <c r="O78" s="25">
        <f t="shared" si="47"/>
        <v>1122</v>
      </c>
      <c r="P78" s="25">
        <f t="shared" si="47"/>
        <v>1125</v>
      </c>
      <c r="Q78" s="25">
        <f>Q75+Q77</f>
        <v>1080</v>
      </c>
      <c r="T78" s="25">
        <f t="shared" ref="T78:Y78" si="48">T75+T77</f>
        <v>1125</v>
      </c>
      <c r="U78" s="25">
        <f t="shared" si="48"/>
        <v>1118</v>
      </c>
      <c r="V78" s="25">
        <f t="shared" si="48"/>
        <v>1108</v>
      </c>
      <c r="W78" s="25">
        <f t="shared" si="48"/>
        <v>1086</v>
      </c>
      <c r="X78" s="25">
        <f t="shared" si="48"/>
        <v>1080</v>
      </c>
      <c r="Y78" s="25">
        <f t="shared" si="48"/>
        <v>1076</v>
      </c>
      <c r="Z78" s="25">
        <f t="shared" ref="Z78:AA78" si="49">Z75+Z77</f>
        <v>1060</v>
      </c>
      <c r="AA78" s="25">
        <f t="shared" si="49"/>
        <v>1062</v>
      </c>
      <c r="AC78" s="24">
        <f>AA78</f>
        <v>1062</v>
      </c>
    </row>
    <row r="79" spans="1:31" x14ac:dyDescent="0.2">
      <c r="B79" s="20" t="s">
        <v>267</v>
      </c>
      <c r="C79" s="25"/>
      <c r="D79" s="25"/>
      <c r="E79" s="25"/>
      <c r="F79" s="25"/>
      <c r="G79" s="25"/>
      <c r="H79" s="25"/>
      <c r="I79" s="25"/>
      <c r="J79" s="25"/>
      <c r="K79" s="25"/>
      <c r="L79" s="25"/>
      <c r="M79" s="21">
        <v>1</v>
      </c>
      <c r="N79" s="21">
        <v>1</v>
      </c>
      <c r="O79" s="21">
        <v>1</v>
      </c>
      <c r="P79" s="21">
        <v>1</v>
      </c>
      <c r="Q79" s="21">
        <v>1</v>
      </c>
      <c r="T79" s="68"/>
      <c r="U79" s="68"/>
      <c r="V79" s="68"/>
      <c r="W79" s="68"/>
      <c r="X79" s="68"/>
      <c r="Y79" s="68"/>
      <c r="Z79" s="68"/>
      <c r="AA79" s="68"/>
      <c r="AC79" s="24">
        <f>Q79</f>
        <v>1</v>
      </c>
    </row>
    <row r="80" spans="1:31" x14ac:dyDescent="0.2">
      <c r="B80" s="20" t="s">
        <v>268</v>
      </c>
      <c r="C80" s="25"/>
      <c r="D80" s="25"/>
      <c r="E80" s="25"/>
      <c r="F80" s="25"/>
      <c r="G80" s="25"/>
      <c r="H80" s="25"/>
      <c r="I80" s="25"/>
      <c r="J80" s="25"/>
      <c r="K80" s="25"/>
      <c r="L80" s="25"/>
      <c r="M80" s="25">
        <f t="shared" ref="M80:P80" si="50">M79*M85</f>
        <v>1</v>
      </c>
      <c r="N80" s="25">
        <f t="shared" si="50"/>
        <v>1</v>
      </c>
      <c r="O80" s="25">
        <f t="shared" si="50"/>
        <v>1</v>
      </c>
      <c r="P80" s="25">
        <f t="shared" si="50"/>
        <v>1</v>
      </c>
      <c r="Q80" s="25">
        <f>Q79*Q85</f>
        <v>1</v>
      </c>
      <c r="T80" s="68"/>
      <c r="U80" s="68"/>
      <c r="V80" s="68"/>
      <c r="W80" s="68"/>
      <c r="X80" s="68"/>
      <c r="Y80" s="68"/>
      <c r="Z80" s="68"/>
      <c r="AA80" s="68"/>
      <c r="AC80" s="24">
        <f>Q80</f>
        <v>1</v>
      </c>
    </row>
    <row r="81" spans="1:31" x14ac:dyDescent="0.2">
      <c r="B81" s="23" t="s">
        <v>69</v>
      </c>
      <c r="C81" s="44"/>
      <c r="D81" s="44"/>
      <c r="E81" s="44"/>
      <c r="F81" s="44"/>
      <c r="G81" s="44"/>
      <c r="H81" s="44"/>
      <c r="I81" s="44"/>
      <c r="J81" s="44"/>
      <c r="K81" s="44"/>
      <c r="L81" s="44"/>
      <c r="M81" s="44">
        <v>2.66</v>
      </c>
      <c r="N81" s="44">
        <v>2.86</v>
      </c>
      <c r="O81" s="44">
        <v>3.1</v>
      </c>
      <c r="P81" s="44">
        <v>3.3</v>
      </c>
      <c r="Q81" s="44">
        <v>3.48</v>
      </c>
      <c r="T81" s="44">
        <v>0.85</v>
      </c>
      <c r="U81" s="44">
        <v>0.85</v>
      </c>
      <c r="V81" s="44">
        <v>0.85</v>
      </c>
      <c r="W81" s="44">
        <v>0.89</v>
      </c>
      <c r="X81" s="44">
        <v>0.89</v>
      </c>
      <c r="Y81" s="44">
        <v>0.89</v>
      </c>
      <c r="Z81" s="44">
        <v>0.89</v>
      </c>
      <c r="AA81" s="44">
        <v>0.92</v>
      </c>
      <c r="AC81" s="72">
        <f>SUM(X81:AA81)</f>
        <v>3.59</v>
      </c>
    </row>
    <row r="82" spans="1:31" x14ac:dyDescent="0.2">
      <c r="B82" s="23" t="s">
        <v>70</v>
      </c>
      <c r="C82" s="39"/>
      <c r="D82" s="45"/>
      <c r="E82" s="45"/>
      <c r="F82" s="45"/>
      <c r="G82" s="45"/>
      <c r="H82" s="45"/>
      <c r="I82" s="45"/>
      <c r="J82" s="45"/>
      <c r="K82" s="45"/>
      <c r="L82" s="45"/>
      <c r="M82" s="45">
        <f t="shared" ref="M82:Q82" si="51">M81/M85</f>
        <v>2.66</v>
      </c>
      <c r="N82" s="45">
        <f t="shared" si="51"/>
        <v>2.86</v>
      </c>
      <c r="O82" s="45">
        <f t="shared" si="51"/>
        <v>3.1</v>
      </c>
      <c r="P82" s="45">
        <f t="shared" si="51"/>
        <v>3.3</v>
      </c>
      <c r="Q82" s="45">
        <f t="shared" si="51"/>
        <v>3.48</v>
      </c>
      <c r="T82" s="45">
        <f t="shared" ref="T82" si="52">T81/T85</f>
        <v>0.85</v>
      </c>
      <c r="U82" s="45">
        <f t="shared" ref="U82" si="53">U81/U85</f>
        <v>0.85</v>
      </c>
      <c r="V82" s="45">
        <f t="shared" ref="V82" si="54">V81/V85</f>
        <v>0.85</v>
      </c>
      <c r="W82" s="45">
        <f t="shared" ref="W82" si="55">W81/W85</f>
        <v>0.89</v>
      </c>
      <c r="X82" s="45">
        <f t="shared" ref="X82:Z82" si="56">X81/X85</f>
        <v>0.89</v>
      </c>
      <c r="Y82" s="45">
        <f t="shared" si="56"/>
        <v>0.89</v>
      </c>
      <c r="Z82" s="45">
        <f t="shared" si="56"/>
        <v>0.89</v>
      </c>
      <c r="AA82" s="45">
        <f t="shared" ref="AA82" si="57">AA81/AA85</f>
        <v>0.92</v>
      </c>
      <c r="AC82" s="72">
        <f>SUM(X82:AA82)</f>
        <v>3.59</v>
      </c>
    </row>
    <row r="83" spans="1:31" x14ac:dyDescent="0.2">
      <c r="B83" s="20" t="s">
        <v>71</v>
      </c>
      <c r="C83" s="46">
        <f t="shared" ref="C83:Q83" si="58">IF(AND(C15&gt;0,C16&lt;0),-(C16)/C15,0)</f>
        <v>0</v>
      </c>
      <c r="D83" s="46">
        <f t="shared" si="58"/>
        <v>0</v>
      </c>
      <c r="E83" s="46">
        <f t="shared" si="58"/>
        <v>0</v>
      </c>
      <c r="F83" s="46">
        <f t="shared" si="58"/>
        <v>0</v>
      </c>
      <c r="G83" s="46">
        <f t="shared" si="58"/>
        <v>0</v>
      </c>
      <c r="H83" s="46">
        <f t="shared" si="58"/>
        <v>0</v>
      </c>
      <c r="I83" s="46">
        <f t="shared" si="58"/>
        <v>0</v>
      </c>
      <c r="J83" s="46">
        <f t="shared" si="58"/>
        <v>0</v>
      </c>
      <c r="K83" s="46">
        <f t="shared" si="58"/>
        <v>0</v>
      </c>
      <c r="L83" s="46">
        <f t="shared" si="58"/>
        <v>0</v>
      </c>
      <c r="M83" s="46">
        <f t="shared" si="58"/>
        <v>0.11981701382129648</v>
      </c>
      <c r="N83" s="46">
        <f t="shared" si="58"/>
        <v>0.13415122016268835</v>
      </c>
      <c r="O83" s="46">
        <f t="shared" si="58"/>
        <v>1.3972860405750369E-2</v>
      </c>
      <c r="P83" s="46">
        <f t="shared" si="58"/>
        <v>2.186532507739938E-2</v>
      </c>
      <c r="Q83" s="46">
        <f t="shared" si="58"/>
        <v>0.1122956645344705</v>
      </c>
      <c r="T83" s="46">
        <f t="shared" ref="T83:Z83" si="59">IF(AND(T15&gt;0,T16&lt;0),-(T16)/T15,0)</f>
        <v>0</v>
      </c>
      <c r="U83" s="46">
        <f t="shared" si="59"/>
        <v>0.12517193947730398</v>
      </c>
      <c r="V83" s="46">
        <f t="shared" si="59"/>
        <v>9.4363929146537837E-2</v>
      </c>
      <c r="W83" s="46">
        <f t="shared" si="59"/>
        <v>9.6883468834688347E-2</v>
      </c>
      <c r="X83" s="46">
        <f t="shared" si="59"/>
        <v>0.13059575900370246</v>
      </c>
      <c r="Y83" s="46">
        <f t="shared" si="59"/>
        <v>0.15308711587256837</v>
      </c>
      <c r="Z83" s="46">
        <f t="shared" si="59"/>
        <v>0.13440860215053763</v>
      </c>
      <c r="AA83" s="46">
        <f t="shared" ref="AA83" si="60">IF(AND(AA15&gt;0,AA16&lt;0),-(AA16)/AA15,0)</f>
        <v>0.18683996750609261</v>
      </c>
      <c r="AC83" s="46">
        <f>IF(AND(AC15&gt;0,AC16&lt;0),-(AC16)/AC15,0)</f>
        <v>0.15082054941134498</v>
      </c>
    </row>
    <row r="84" spans="1:31" x14ac:dyDescent="0.2">
      <c r="B84" s="20" t="s">
        <v>72</v>
      </c>
      <c r="C84" s="21"/>
      <c r="D84" s="21"/>
      <c r="E84" s="21"/>
      <c r="F84" s="21"/>
      <c r="G84" s="21"/>
      <c r="H84" s="21"/>
      <c r="I84" s="21"/>
      <c r="J84" s="21"/>
      <c r="K84" s="21"/>
      <c r="L84" s="21"/>
      <c r="M84" s="21">
        <v>45000</v>
      </c>
      <c r="N84" s="21">
        <v>51000</v>
      </c>
      <c r="O84" s="21">
        <v>50000</v>
      </c>
      <c r="P84" s="21">
        <v>49000</v>
      </c>
      <c r="Q84" s="21">
        <v>52000</v>
      </c>
      <c r="T84" s="68"/>
      <c r="U84" s="68"/>
      <c r="V84" s="68"/>
      <c r="W84" s="68"/>
      <c r="X84" s="68"/>
      <c r="Y84" s="68"/>
      <c r="Z84" s="68"/>
      <c r="AA84" s="68"/>
      <c r="AC84" s="21">
        <f>Q84</f>
        <v>52000</v>
      </c>
    </row>
    <row r="85" spans="1:31" x14ac:dyDescent="0.2">
      <c r="B85" s="20" t="s">
        <v>73</v>
      </c>
      <c r="C85" s="21"/>
      <c r="D85" s="21"/>
      <c r="E85" s="21"/>
      <c r="F85" s="21"/>
      <c r="G85" s="21"/>
      <c r="H85" s="21"/>
      <c r="I85" s="21"/>
      <c r="J85" s="21"/>
      <c r="K85" s="21"/>
      <c r="L85" s="21"/>
      <c r="M85" s="21">
        <v>1</v>
      </c>
      <c r="N85" s="21">
        <v>1</v>
      </c>
      <c r="O85" s="21">
        <v>1</v>
      </c>
      <c r="P85" s="21">
        <v>1</v>
      </c>
      <c r="Q85" s="21">
        <v>1</v>
      </c>
      <c r="T85" s="21">
        <v>1</v>
      </c>
      <c r="U85" s="21">
        <v>1</v>
      </c>
      <c r="V85" s="21">
        <v>1</v>
      </c>
      <c r="W85" s="21">
        <v>1</v>
      </c>
      <c r="X85" s="21">
        <v>1</v>
      </c>
      <c r="Y85" s="21">
        <v>1</v>
      </c>
      <c r="Z85" s="21">
        <v>1</v>
      </c>
      <c r="AA85" s="21">
        <v>1</v>
      </c>
      <c r="AC85" s="21">
        <v>1</v>
      </c>
    </row>
    <row r="87" spans="1:31" x14ac:dyDescent="0.2">
      <c r="B87" s="1"/>
    </row>
    <row r="88" spans="1:31" s="15" customFormat="1" ht="17" thickBot="1" x14ac:dyDescent="0.25">
      <c r="A88" s="11"/>
      <c r="B88" s="14" t="s">
        <v>74</v>
      </c>
      <c r="R88" s="1"/>
      <c r="S88" s="1"/>
      <c r="AB88" s="1"/>
      <c r="AD88" s="1"/>
      <c r="AE88" s="1"/>
    </row>
    <row r="89" spans="1:31" s="41" customFormat="1" x14ac:dyDescent="0.2">
      <c r="A89" s="16"/>
      <c r="B89" s="17" t="s">
        <v>19</v>
      </c>
      <c r="C89" s="47"/>
      <c r="D89" s="48"/>
      <c r="E89" s="48"/>
      <c r="F89" s="48"/>
      <c r="G89" s="48"/>
      <c r="H89" s="48"/>
      <c r="I89" s="48"/>
      <c r="J89" s="48"/>
      <c r="K89" s="48"/>
      <c r="L89" s="48"/>
      <c r="M89" s="48">
        <f t="shared" ref="M89:Q93" si="61">IF(L5=0,
IF(M5=0,0,IF(M5&gt;0,1,-1)),
(M5-L5)/ABS(L5)
)</f>
        <v>1</v>
      </c>
      <c r="N89" s="48">
        <f t="shared" si="61"/>
        <v>0.31680867544539115</v>
      </c>
      <c r="O89" s="48">
        <f t="shared" si="61"/>
        <v>-0.18959276018099547</v>
      </c>
      <c r="P89" s="48">
        <f t="shared" si="61"/>
        <v>8.7716359575656058E-2</v>
      </c>
      <c r="Q89" s="48">
        <f t="shared" si="61"/>
        <v>0.1365946306657769</v>
      </c>
      <c r="R89" s="1"/>
      <c r="S89" s="1"/>
      <c r="T89" s="48">
        <f t="shared" ref="T89:T93" si="62">IF(S5=0,
IF(T5=0,0,IF(T5&gt;0,1,-1)),
(T5-S5)/ABS(S5)
)</f>
        <v>1</v>
      </c>
      <c r="U89" s="48">
        <f t="shared" ref="U89:U93" si="63">IF(T5=0,
IF(U5=0,0,IF(U5&gt;0,1,-1)),
(U5-T5)/ABS(T5)
)</f>
        <v>0.13910581803982819</v>
      </c>
      <c r="V89" s="48">
        <f t="shared" ref="V89:V93" si="64">IF(U5=0,
IF(V5=0,0,IF(V5&gt;0,1,-1)),
(V5-U5)/ABS(U5)
)</f>
        <v>-5.9131030936669812E-2</v>
      </c>
      <c r="W89" s="48">
        <f t="shared" ref="W89:W93" si="65">IF(V5=0,
IF(W5=0,0,IF(W5&gt;0,1,-1)),
(W5-V5)/ABS(V5)
)</f>
        <v>-4.681664996812096E-2</v>
      </c>
      <c r="X89" s="48">
        <f t="shared" ref="X89:X93" si="66">IF(W5=0,
IF(X5=0,0,IF(X5&gt;0,1,-1)),
(X5-W5)/ABS(W5)
)</f>
        <v>7.6923076923076927E-2</v>
      </c>
      <c r="Y89" s="48">
        <f t="shared" ref="Y89:Y93" si="67">IF(X5=0,
IF(Y5=0,0,IF(Y5&gt;0,1,-1)),
(Y5-X5)/ABS(X5)
)</f>
        <v>8.7133984028393965E-2</v>
      </c>
      <c r="Z89" s="48">
        <f t="shared" ref="Z89:Z93" si="68">IF(Y5=0,
IF(Z5=0,0,IF(Z5&gt;0,1,-1)),
(Z5-Y5)/ABS(Y5)
)</f>
        <v>-0.13491674828599412</v>
      </c>
      <c r="AA89" s="48">
        <f t="shared" ref="AA89:AA93" si="69">IF(Z5=0,
IF(AA5=0,0,IF(AA5&gt;0,1,-1)),
(AA5-Z5)/ABS(Z5)
)</f>
        <v>-6.1515237286536469E-2</v>
      </c>
      <c r="AB89" s="1"/>
      <c r="AC89" s="67"/>
      <c r="AD89" s="1"/>
      <c r="AE89" s="1"/>
    </row>
    <row r="90" spans="1:31" x14ac:dyDescent="0.2">
      <c r="B90" s="20" t="s">
        <v>20</v>
      </c>
      <c r="C90" s="49"/>
      <c r="D90" s="50"/>
      <c r="E90" s="50"/>
      <c r="F90" s="50"/>
      <c r="G90" s="50"/>
      <c r="H90" s="50"/>
      <c r="I90" s="50"/>
      <c r="J90" s="50"/>
      <c r="K90" s="50"/>
      <c r="L90" s="50"/>
      <c r="M90" s="50">
        <f t="shared" si="61"/>
        <v>1</v>
      </c>
      <c r="N90" s="50">
        <f t="shared" si="61"/>
        <v>0.30788108259711122</v>
      </c>
      <c r="O90" s="50">
        <f t="shared" si="61"/>
        <v>-0.14925213102450008</v>
      </c>
      <c r="P90" s="50">
        <f t="shared" si="61"/>
        <v>7.5051988153002708E-2</v>
      </c>
      <c r="Q90" s="50">
        <f t="shared" si="61"/>
        <v>0.15697538100820632</v>
      </c>
      <c r="T90" s="50">
        <f t="shared" si="62"/>
        <v>1</v>
      </c>
      <c r="U90" s="50">
        <f t="shared" si="63"/>
        <v>0.1553615401835684</v>
      </c>
      <c r="V90" s="50">
        <f t="shared" si="64"/>
        <v>-4.3402441387328038E-2</v>
      </c>
      <c r="W90" s="50">
        <f t="shared" si="65"/>
        <v>-6.7044764026736883E-2</v>
      </c>
      <c r="X90" s="50">
        <f t="shared" si="66"/>
        <v>9.2705167173252279E-2</v>
      </c>
      <c r="Y90" s="50">
        <f t="shared" si="67"/>
        <v>0.10629843035962647</v>
      </c>
      <c r="Z90" s="50">
        <f t="shared" si="68"/>
        <v>-0.11997126436781609</v>
      </c>
      <c r="AA90" s="50">
        <f t="shared" si="69"/>
        <v>-4.6938775510204082E-2</v>
      </c>
      <c r="AC90" s="68"/>
    </row>
    <row r="91" spans="1:31" s="41" customFormat="1" x14ac:dyDescent="0.2">
      <c r="A91" s="16"/>
      <c r="B91" s="17" t="s">
        <v>21</v>
      </c>
      <c r="C91" s="47"/>
      <c r="D91" s="48"/>
      <c r="E91" s="48"/>
      <c r="F91" s="48"/>
      <c r="G91" s="48"/>
      <c r="H91" s="48"/>
      <c r="I91" s="48"/>
      <c r="J91" s="48"/>
      <c r="K91" s="48"/>
      <c r="L91" s="48"/>
      <c r="M91" s="48">
        <f t="shared" si="61"/>
        <v>1</v>
      </c>
      <c r="N91" s="48">
        <f t="shared" si="61"/>
        <v>0.32340447575631992</v>
      </c>
      <c r="O91" s="48">
        <f t="shared" si="61"/>
        <v>-0.21904724625200611</v>
      </c>
      <c r="P91" s="48">
        <f t="shared" si="61"/>
        <v>9.7789584481980857E-2</v>
      </c>
      <c r="Q91" s="48">
        <f t="shared" si="61"/>
        <v>0.12071956898913341</v>
      </c>
      <c r="R91" s="1"/>
      <c r="S91" s="1"/>
      <c r="T91" s="48">
        <f t="shared" si="62"/>
        <v>1</v>
      </c>
      <c r="U91" s="48">
        <f t="shared" si="63"/>
        <v>0.12653626449714384</v>
      </c>
      <c r="V91" s="48">
        <f t="shared" si="64"/>
        <v>-7.1604179471419796E-2</v>
      </c>
      <c r="W91" s="48">
        <f t="shared" si="65"/>
        <v>-3.0287984111221449E-2</v>
      </c>
      <c r="X91" s="48">
        <f t="shared" si="66"/>
        <v>6.4516129032258063E-2</v>
      </c>
      <c r="Y91" s="48">
        <f t="shared" si="67"/>
        <v>7.1669071669071674E-2</v>
      </c>
      <c r="Z91" s="48">
        <f t="shared" si="68"/>
        <v>-0.1473668461998803</v>
      </c>
      <c r="AA91" s="48">
        <f t="shared" si="69"/>
        <v>-7.4048078610282508E-2</v>
      </c>
      <c r="AB91" s="1"/>
      <c r="AC91" s="67"/>
      <c r="AD91" s="1"/>
      <c r="AE91" s="1"/>
    </row>
    <row r="92" spans="1:31" x14ac:dyDescent="0.2">
      <c r="B92" s="20" t="s">
        <v>22</v>
      </c>
      <c r="C92" s="49"/>
      <c r="D92" s="50"/>
      <c r="E92" s="50"/>
      <c r="F92" s="50"/>
      <c r="G92" s="50"/>
      <c r="H92" s="50"/>
      <c r="I92" s="50"/>
      <c r="J92" s="50"/>
      <c r="K92" s="50"/>
      <c r="L92" s="50"/>
      <c r="M92" s="50">
        <f t="shared" si="61"/>
        <v>1</v>
      </c>
      <c r="N92" s="50">
        <f t="shared" si="61"/>
        <v>0.14186176142697882</v>
      </c>
      <c r="O92" s="50">
        <f t="shared" si="61"/>
        <v>7.6153282889919446E-2</v>
      </c>
      <c r="P92" s="50">
        <f t="shared" si="61"/>
        <v>8.5053300068042639E-3</v>
      </c>
      <c r="Q92" s="50">
        <f t="shared" si="61"/>
        <v>1.675475092769594E-2</v>
      </c>
      <c r="T92" s="50">
        <f t="shared" si="62"/>
        <v>1</v>
      </c>
      <c r="U92" s="50">
        <f t="shared" si="63"/>
        <v>-3.1277150304083408E-2</v>
      </c>
      <c r="V92" s="50">
        <f t="shared" si="64"/>
        <v>-6.2780269058295961E-3</v>
      </c>
      <c r="W92" s="50">
        <f t="shared" si="65"/>
        <v>4.5126353790613718E-3</v>
      </c>
      <c r="X92" s="50">
        <f t="shared" si="66"/>
        <v>6.4690026954177901E-2</v>
      </c>
      <c r="Y92" s="50">
        <f t="shared" si="67"/>
        <v>3.5021097046413499E-2</v>
      </c>
      <c r="Z92" s="50">
        <f t="shared" si="68"/>
        <v>4.0766408479412965E-3</v>
      </c>
      <c r="AA92" s="50">
        <f t="shared" si="69"/>
        <v>5.8465286236297195E-2</v>
      </c>
      <c r="AC92" s="68"/>
    </row>
    <row r="93" spans="1:31" x14ac:dyDescent="0.2">
      <c r="B93" s="20" t="s">
        <v>334</v>
      </c>
      <c r="C93" s="49"/>
      <c r="D93" s="50"/>
      <c r="E93" s="50"/>
      <c r="F93" s="50"/>
      <c r="G93" s="50"/>
      <c r="H93" s="50"/>
      <c r="I93" s="50"/>
      <c r="J93" s="50"/>
      <c r="K93" s="50"/>
      <c r="L93" s="50"/>
      <c r="M93" s="50">
        <f t="shared" si="61"/>
        <v>1</v>
      </c>
      <c r="N93" s="50">
        <f t="shared" si="61"/>
        <v>9.8760153911928175E-2</v>
      </c>
      <c r="O93" s="50">
        <f t="shared" si="61"/>
        <v>-3.3852140077821009E-2</v>
      </c>
      <c r="P93" s="50">
        <f t="shared" si="61"/>
        <v>0.11115585984695932</v>
      </c>
      <c r="Q93" s="50">
        <f t="shared" si="61"/>
        <v>0.12722000724900326</v>
      </c>
      <c r="T93" s="50">
        <f t="shared" si="62"/>
        <v>1</v>
      </c>
      <c r="U93" s="50">
        <f t="shared" si="63"/>
        <v>-5.1181102362204724E-2</v>
      </c>
      <c r="V93" s="50">
        <f t="shared" si="64"/>
        <v>-2.351313969571231E-2</v>
      </c>
      <c r="W93" s="50">
        <f t="shared" si="65"/>
        <v>9.2067988668555242E-2</v>
      </c>
      <c r="X93" s="50">
        <f t="shared" si="66"/>
        <v>0.18028534370946822</v>
      </c>
      <c r="Y93" s="50">
        <f t="shared" si="67"/>
        <v>-4.9450549450549448E-2</v>
      </c>
      <c r="Z93" s="50">
        <f t="shared" si="68"/>
        <v>3.8150289017341042E-2</v>
      </c>
      <c r="AA93" s="50">
        <f t="shared" si="69"/>
        <v>8.6859688195991089E-2</v>
      </c>
      <c r="AC93" s="68"/>
    </row>
    <row r="94" spans="1:31" x14ac:dyDescent="0.2">
      <c r="B94" s="23" t="s">
        <v>23</v>
      </c>
      <c r="C94" s="49"/>
      <c r="D94" s="50"/>
      <c r="E94" s="50"/>
      <c r="F94" s="50"/>
      <c r="G94" s="50"/>
      <c r="H94" s="50"/>
      <c r="I94" s="50"/>
      <c r="J94" s="50"/>
      <c r="K94" s="50"/>
      <c r="L94" s="50"/>
      <c r="M94" s="50">
        <f t="shared" ref="M94:Q95" si="70">IF(L11=0,
IF(M11=0,0,IF(M11&gt;0,1,-1)),
(M11-L11)/ABS(L11)
)</f>
        <v>1</v>
      </c>
      <c r="N94" s="50">
        <f t="shared" si="70"/>
        <v>1.9968470835522858E-2</v>
      </c>
      <c r="O94" s="50">
        <f t="shared" si="70"/>
        <v>0.2532715095311695</v>
      </c>
      <c r="P94" s="50">
        <f t="shared" si="70"/>
        <v>-2.72958973937351E-2</v>
      </c>
      <c r="Q94" s="50">
        <f t="shared" si="70"/>
        <v>3.0428535204124758E-2</v>
      </c>
      <c r="T94" s="50">
        <f t="shared" ref="T94:T95" si="71">IF(S11=0,
IF(T11=0,0,IF(T11&gt;0,1,-1)),
(T11-S11)/ABS(S11)
)</f>
        <v>1</v>
      </c>
      <c r="U94" s="50">
        <f t="shared" ref="U94:U95" si="72">IF(T11=0,
IF(U11=0,0,IF(U11&gt;0,1,-1)),
(U11-T11)/ABS(T11)
)</f>
        <v>-7.6032540675844806E-2</v>
      </c>
      <c r="V94" s="50">
        <f t="shared" ref="V94:V95" si="73">IF(U11=0,
IF(V11=0,0,IF(V11&gt;0,1,-1)),
(V11-U11)/ABS(U11)
)</f>
        <v>-1.0497798848628514E-2</v>
      </c>
      <c r="W94" s="50">
        <f t="shared" ref="W94:W95" si="74">IF(V11=0,
IF(W11=0,0,IF(W11&gt;0,1,-1)),
(W11-V11)/ABS(V11)
)</f>
        <v>2.5667351129363448E-2</v>
      </c>
      <c r="X94" s="50">
        <f t="shared" ref="X94:X95" si="75">IF(W11=0,
IF(X11=0,0,IF(X11&gt;0,1,-1)),
(X11-W11)/ABS(W11)
)</f>
        <v>0.10744077410744077</v>
      </c>
      <c r="Y94" s="50">
        <f t="shared" ref="Y94:Y95" si="76">IF(X11=0,
IF(Y11=0,0,IF(Y11&gt;0,1,-1)),
(Y11-X11)/ABS(X11)
)</f>
        <v>-3.0129557095510696E-4</v>
      </c>
      <c r="Z94" s="50">
        <f t="shared" ref="Z94:Z95" si="77">IF(Y11=0,
IF(Z11=0,0,IF(Z11&gt;0,1,-1)),
(Z11-Y11)/ABS(Y11)
)</f>
        <v>2.1699819168173599E-2</v>
      </c>
      <c r="AA94" s="50">
        <f t="shared" ref="AA94:AA95" si="78">IF(Z11=0,
IF(AA11=0,0,IF(AA11&gt;0,1,-1)),
(AA11-Z11)/ABS(Z11)
)</f>
        <v>7.6991150442477882E-2</v>
      </c>
      <c r="AC94" s="68"/>
    </row>
    <row r="95" spans="1:31" s="41" customFormat="1" x14ac:dyDescent="0.2">
      <c r="A95" s="16"/>
      <c r="B95" s="17" t="s">
        <v>24</v>
      </c>
      <c r="C95" s="47"/>
      <c r="D95" s="48"/>
      <c r="E95" s="48"/>
      <c r="F95" s="48"/>
      <c r="G95" s="48"/>
      <c r="H95" s="48"/>
      <c r="I95" s="48"/>
      <c r="J95" s="48"/>
      <c r="K95" s="48"/>
      <c r="L95" s="48"/>
      <c r="M95" s="48">
        <f t="shared" si="70"/>
        <v>1</v>
      </c>
      <c r="N95" s="48">
        <f t="shared" si="70"/>
        <v>0.6201859229747676</v>
      </c>
      <c r="O95" s="48">
        <f t="shared" si="70"/>
        <v>-0.50895334174022699</v>
      </c>
      <c r="P95" s="48">
        <f t="shared" si="70"/>
        <v>0.29314329738058553</v>
      </c>
      <c r="Q95" s="48">
        <f t="shared" si="70"/>
        <v>0.22678979247343858</v>
      </c>
      <c r="R95" s="1"/>
      <c r="S95" s="1"/>
      <c r="T95" s="48">
        <f t="shared" si="71"/>
        <v>1</v>
      </c>
      <c r="U95" s="48">
        <f t="shared" si="72"/>
        <v>0.3773731111972104</v>
      </c>
      <c r="V95" s="48">
        <f t="shared" si="73"/>
        <v>-0.12236286919831224</v>
      </c>
      <c r="W95" s="48">
        <f t="shared" si="74"/>
        <v>-0.11474358974358974</v>
      </c>
      <c r="X95" s="48">
        <f t="shared" si="75"/>
        <v>5.6480811006517015E-2</v>
      </c>
      <c r="Y95" s="48">
        <f t="shared" si="76"/>
        <v>0.15352981494174092</v>
      </c>
      <c r="Z95" s="48">
        <f t="shared" si="77"/>
        <v>-0.31402257872846107</v>
      </c>
      <c r="AA95" s="48">
        <f t="shared" si="78"/>
        <v>-0.29579904720658295</v>
      </c>
      <c r="AB95" s="1"/>
      <c r="AC95" s="67"/>
      <c r="AD95" s="1"/>
      <c r="AE95" s="1"/>
    </row>
    <row r="96" spans="1:31" s="53" customFormat="1" x14ac:dyDescent="0.2">
      <c r="A96" s="16"/>
      <c r="B96" s="51" t="s">
        <v>27</v>
      </c>
      <c r="C96" s="47"/>
      <c r="D96" s="52"/>
      <c r="E96" s="52"/>
      <c r="F96" s="52"/>
      <c r="G96" s="52"/>
      <c r="H96" s="52"/>
      <c r="I96" s="52"/>
      <c r="J96" s="52"/>
      <c r="K96" s="52"/>
      <c r="L96" s="52"/>
      <c r="M96" s="52">
        <f>IF(L15=0,
IF(M15=0,0,IF(M15&gt;0,1,-1)),
(M15-L15)/ABS(L15)
)</f>
        <v>1</v>
      </c>
      <c r="N96" s="52">
        <f>IF(M15=0,
IF(N15=0,0,IF(N15&gt;0,1,-1)),
(N15-M15)/ABS(M15)
)</f>
        <v>0.4598014405294919</v>
      </c>
      <c r="O96" s="52">
        <f>IF(N15=0,
IF(O15=0,0,IF(O15&gt;0,1,-1)),
(O15-N15)/ABS(N15)
)</f>
        <v>-0.50373383117749038</v>
      </c>
      <c r="P96" s="52">
        <f>IF(O15=0,
IF(P15=0,0,IF(P15&gt;0,1,-1)),
(P15-O15)/ABS(O15)
)</f>
        <v>0.38868735724842135</v>
      </c>
      <c r="Q96" s="52">
        <f>IF(P15=0,
IF(Q15=0,0,IF(Q15&gt;0,1,-1)),
(Q15-P15)/ABS(P15)
)</f>
        <v>0.22513544891640866</v>
      </c>
      <c r="R96" s="1"/>
      <c r="S96" s="1"/>
      <c r="T96" s="52">
        <f t="shared" ref="T96" si="79">IF(S15=0,
IF(T15=0,0,IF(T15&gt;0,1,-1)),
(T15-S15)/ABS(S15)
)</f>
        <v>1</v>
      </c>
      <c r="U96" s="52">
        <f t="shared" ref="U96" si="80">IF(T15=0,
IF(U15=0,0,IF(U15&gt;0,1,-1)),
(U15-T15)/ABS(T15)
)</f>
        <v>0.39969195225259913</v>
      </c>
      <c r="V96" s="52">
        <f t="shared" ref="V96" si="81">IF(U15=0,
IF(V15=0,0,IF(V15&gt;0,1,-1)),
(V15-U15)/ABS(U15)
)</f>
        <v>-0.14580467675378267</v>
      </c>
      <c r="W96" s="52">
        <f t="shared" ref="W96" si="82">IF(V15=0,
IF(W15=0,0,IF(W15&gt;0,1,-1)),
(W15-V15)/ABS(V15)
)</f>
        <v>-4.9275362318840582E-2</v>
      </c>
      <c r="X96" s="52">
        <f t="shared" ref="X96" si="83">IF(W15=0,
IF(X15=0,0,IF(X15&gt;0,1,-1)),
(X15-W15)/ABS(W15)
)</f>
        <v>6.4363143631436318E-3</v>
      </c>
      <c r="Y96" s="52">
        <f t="shared" ref="Y96" si="84">IF(X15=0,
IF(Y15=0,0,IF(Y15&gt;0,1,-1)),
(Y15-X15)/ABS(X15)
)</f>
        <v>0.19387411645910468</v>
      </c>
      <c r="Z96" s="52">
        <f t="shared" ref="Z96" si="85">IF(Y15=0,
IF(Z15=0,0,IF(Z15&gt;0,1,-1)),
(Z15-Y15)/ABS(Y15)
)</f>
        <v>-0.37073583309839303</v>
      </c>
      <c r="AA96" s="52">
        <f t="shared" ref="AA96" si="86">IF(Z15=0,
IF(AA15=0,0,IF(AA15&gt;0,1,-1)),
(AA15-Z15)/ABS(Z15)
)</f>
        <v>0.10304659498207885</v>
      </c>
      <c r="AB96" s="1"/>
      <c r="AC96" s="67"/>
      <c r="AD96" s="1"/>
      <c r="AE96" s="1"/>
    </row>
    <row r="97" spans="1:31" s="53" customFormat="1" x14ac:dyDescent="0.2">
      <c r="A97" s="16"/>
      <c r="B97" s="51" t="s">
        <v>29</v>
      </c>
      <c r="C97" s="47"/>
      <c r="D97" s="52"/>
      <c r="E97" s="52"/>
      <c r="F97" s="52"/>
      <c r="G97" s="52"/>
      <c r="H97" s="52"/>
      <c r="I97" s="52"/>
      <c r="J97" s="52"/>
      <c r="K97" s="52"/>
      <c r="L97" s="52"/>
      <c r="M97" s="52">
        <f>IF(L18=0,
IF(M18=0,0,IF(M18&gt;0,1,-1)),
(M18-L18)/ABS(L18)
)</f>
        <v>1</v>
      </c>
      <c r="N97" s="52">
        <f>IF(M18=0,
IF(N18=0,0,IF(N18&gt;0,1,-1)),
(N18-M18)/ABS(M18)
)</f>
        <v>0.43602786685834349</v>
      </c>
      <c r="O97" s="52">
        <f>IF(N18=0,
IF(O18=0,0,IF(O18&gt;0,1,-1)),
(O18-N18)/ABS(N18)
)</f>
        <v>-0.43485291852764518</v>
      </c>
      <c r="P97" s="52">
        <f>IF(O18=0,
IF(P18=0,0,IF(P18&gt;0,1,-1)),
(P18-O18)/ABS(O18)
)</f>
        <v>0.377571876277422</v>
      </c>
      <c r="Q97" s="52">
        <f>IF(P18=0,
IF(Q18=0,0,IF(Q18&gt;0,1,-1)),
(Q18-P18)/ABS(P18)
)</f>
        <v>0.11186943620178041</v>
      </c>
      <c r="R97" s="1"/>
      <c r="S97" s="1"/>
      <c r="T97" s="52">
        <f t="shared" ref="T97" si="87">IF(S18=0,
IF(T18=0,0,IF(T18&gt;0,1,-1)),
(T18-S18)/ABS(S18)
)</f>
        <v>1</v>
      </c>
      <c r="U97" s="52">
        <f t="shared" ref="U97" si="88">IF(T18=0,
IF(U18=0,0,IF(U18&gt;0,1,-1)),
(U18-T18)/ABS(T18)
)</f>
        <v>9.0909090909090912E-2</v>
      </c>
      <c r="V97" s="52">
        <f t="shared" ref="V97" si="89">IF(U18=0,
IF(V18=0,0,IF(V18&gt;0,1,-1)),
(V18-U18)/ABS(U18)
)</f>
        <v>-0.11572327044025157</v>
      </c>
      <c r="W97" s="52">
        <f t="shared" ref="W97" si="90">IF(V18=0,
IF(W18=0,0,IF(W18&gt;0,1,-1)),
(W18-V18)/ABS(V18)
)</f>
        <v>-5.1920341394025606E-2</v>
      </c>
      <c r="X97" s="52">
        <f t="shared" ref="X97" si="91">IF(W18=0,
IF(X18=0,0,IF(X18&gt;0,1,-1)),
(X18-W18)/ABS(W18)
)</f>
        <v>-3.1132783195798951E-2</v>
      </c>
      <c r="Y97" s="52">
        <f t="shared" ref="Y97" si="92">IF(X18=0,
IF(Y18=0,0,IF(Y18&gt;0,1,-1)),
(Y18-X18)/ABS(X18)
)</f>
        <v>0.16298877274487031</v>
      </c>
      <c r="Z97" s="52">
        <f t="shared" ref="Z97" si="93">IF(Y18=0,
IF(Z18=0,0,IF(Z18&gt;0,1,-1)),
(Z18-Y18)/ABS(Y18)
)</f>
        <v>-0.35685752330226367</v>
      </c>
      <c r="AA97" s="52">
        <f t="shared" ref="AA97" si="94">IF(Z18=0,
IF(AA18=0,0,IF(AA18&gt;0,1,-1)),
(AA18-Z18)/ABS(Z18)
)</f>
        <v>3.6231884057971016E-2</v>
      </c>
      <c r="AB97" s="1"/>
      <c r="AC97" s="67"/>
      <c r="AD97" s="1"/>
      <c r="AE97" s="1"/>
    </row>
    <row r="98" spans="1:31" x14ac:dyDescent="0.2">
      <c r="B98" s="1"/>
    </row>
    <row r="99" spans="1:31" s="15" customFormat="1" ht="17" thickBot="1" x14ac:dyDescent="0.25">
      <c r="A99" s="11"/>
      <c r="B99" s="14" t="s">
        <v>75</v>
      </c>
      <c r="R99" s="1"/>
      <c r="S99" s="1"/>
      <c r="AB99" s="1"/>
      <c r="AD99" s="1"/>
      <c r="AE99" s="1"/>
    </row>
    <row r="100" spans="1:31" x14ac:dyDescent="0.2">
      <c r="B100" s="20" t="s">
        <v>76</v>
      </c>
      <c r="C100" s="50"/>
      <c r="D100" s="50"/>
      <c r="E100" s="50"/>
      <c r="F100" s="50"/>
      <c r="G100" s="50"/>
      <c r="H100" s="50"/>
      <c r="I100" s="50"/>
      <c r="J100" s="50"/>
      <c r="K100" s="50"/>
      <c r="L100" s="50"/>
      <c r="M100" s="50">
        <f>M7/M5</f>
        <v>0.57510576178275641</v>
      </c>
      <c r="N100" s="50">
        <f>N7/N5</f>
        <v>0.57798642533936651</v>
      </c>
      <c r="O100" s="50">
        <f>O7/O5</f>
        <v>0.55697934115019543</v>
      </c>
      <c r="P100" s="50">
        <f>P7/P5</f>
        <v>0.56213746727580716</v>
      </c>
      <c r="Q100" s="50">
        <f>Q7/Q5</f>
        <v>0.55428597236022037</v>
      </c>
      <c r="T100" s="50">
        <f t="shared" ref="T100:Z100" si="95">T7/T5</f>
        <v>0.56393986723935963</v>
      </c>
      <c r="U100" s="50">
        <f t="shared" si="95"/>
        <v>0.55771702802296685</v>
      </c>
      <c r="V100" s="50">
        <f t="shared" si="95"/>
        <v>0.55032334456690046</v>
      </c>
      <c r="W100" s="50">
        <f t="shared" si="95"/>
        <v>0.55986622073578596</v>
      </c>
      <c r="X100" s="50">
        <f t="shared" si="95"/>
        <v>0.55341614906832293</v>
      </c>
      <c r="Y100" s="50">
        <f t="shared" si="95"/>
        <v>0.54554358472086195</v>
      </c>
      <c r="Z100" s="50">
        <f t="shared" si="95"/>
        <v>0.53769223511652042</v>
      </c>
      <c r="AA100" s="50">
        <f t="shared" ref="AA100" si="96">AA7/AA5</f>
        <v>0.53051171207399217</v>
      </c>
      <c r="AC100" s="50">
        <f>AC7/AC5</f>
        <v>0.54227557411273486</v>
      </c>
    </row>
    <row r="101" spans="1:31" x14ac:dyDescent="0.2">
      <c r="B101" s="20" t="s">
        <v>77</v>
      </c>
      <c r="C101" s="50"/>
      <c r="D101" s="50"/>
      <c r="E101" s="50"/>
      <c r="F101" s="50"/>
      <c r="G101" s="50"/>
      <c r="H101" s="50"/>
      <c r="I101" s="50"/>
      <c r="J101" s="50"/>
      <c r="K101" s="50"/>
      <c r="L101" s="50"/>
      <c r="M101" s="50">
        <f>M12/M5</f>
        <v>0.2916343919442293</v>
      </c>
      <c r="N101" s="50">
        <f>N12/N5</f>
        <v>0.35882352941176471</v>
      </c>
      <c r="O101" s="50">
        <f>O12/O5</f>
        <v>0.21742043551088777</v>
      </c>
      <c r="P101" s="50">
        <f>P12/P5</f>
        <v>0.25848262409527234</v>
      </c>
      <c r="Q101" s="50">
        <f>Q12/Q5</f>
        <v>0.27899467076144885</v>
      </c>
      <c r="T101" s="50">
        <f t="shared" ref="T101:Z101" si="97">T12/T5</f>
        <v>0.25195236235845375</v>
      </c>
      <c r="U101" s="50">
        <f t="shared" si="97"/>
        <v>0.30465335504327706</v>
      </c>
      <c r="V101" s="50">
        <f t="shared" si="97"/>
        <v>0.28417888696602606</v>
      </c>
      <c r="W101" s="50">
        <f t="shared" si="97"/>
        <v>0.26392737697085522</v>
      </c>
      <c r="X101" s="50">
        <f t="shared" si="97"/>
        <v>0.25891748003549248</v>
      </c>
      <c r="Y101" s="50">
        <f t="shared" si="97"/>
        <v>0.27473065621939274</v>
      </c>
      <c r="Z101" s="50">
        <f t="shared" si="97"/>
        <v>0.21785074063590903</v>
      </c>
      <c r="AA101" s="50">
        <f t="shared" ref="AA101" si="98">AA12/AA5</f>
        <v>0.16346637177038303</v>
      </c>
      <c r="AC101" s="50">
        <f>AC12/AC5</f>
        <v>0.23189162203866751</v>
      </c>
    </row>
    <row r="102" spans="1:31" s="56" customFormat="1" x14ac:dyDescent="0.2">
      <c r="A102" s="1"/>
      <c r="B102" s="54" t="s">
        <v>78</v>
      </c>
      <c r="C102" s="55"/>
      <c r="D102" s="55"/>
      <c r="E102" s="55"/>
      <c r="F102" s="55"/>
      <c r="G102" s="55"/>
      <c r="H102" s="55"/>
      <c r="I102" s="55"/>
      <c r="J102" s="55"/>
      <c r="K102" s="55"/>
      <c r="L102" s="55"/>
      <c r="M102" s="55">
        <f>M110/M5</f>
        <v>0.2694095215396532</v>
      </c>
      <c r="N102" s="55">
        <f>N110/N5</f>
        <v>0.29380090497737554</v>
      </c>
      <c r="O102" s="55">
        <f>O110/O5</f>
        <v>0.2048855388051368</v>
      </c>
      <c r="P102" s="55">
        <f>P110/P5</f>
        <v>0.25948359940454802</v>
      </c>
      <c r="Q102" s="55">
        <f>Q110/Q5</f>
        <v>0.25383885827838498</v>
      </c>
      <c r="R102" s="1"/>
      <c r="S102" s="1"/>
      <c r="T102" s="55">
        <f t="shared" ref="T102:Z102" si="99">T110/T5</f>
        <v>0.28455681374463099</v>
      </c>
      <c r="U102" s="55">
        <f t="shared" si="99"/>
        <v>0.27251692518639131</v>
      </c>
      <c r="V102" s="55">
        <f t="shared" si="99"/>
        <v>0.25612533017579014</v>
      </c>
      <c r="W102" s="55">
        <f t="shared" si="99"/>
        <v>0.25475394171046345</v>
      </c>
      <c r="X102" s="55">
        <f t="shared" si="99"/>
        <v>0.22919254658385094</v>
      </c>
      <c r="Y102" s="55">
        <f t="shared" si="99"/>
        <v>0.24518445968005223</v>
      </c>
      <c r="Z102" s="55">
        <f t="shared" si="99"/>
        <v>0.18228134729691481</v>
      </c>
      <c r="AA102" s="55">
        <f t="shared" ref="AA102" si="100">AA110/AA5</f>
        <v>0.20126671358198453</v>
      </c>
      <c r="AB102" s="1"/>
      <c r="AC102" s="55">
        <f>AC110/AC5</f>
        <v>0.21605246437324135</v>
      </c>
      <c r="AD102" s="1"/>
      <c r="AE102" s="1"/>
    </row>
    <row r="103" spans="1:31" x14ac:dyDescent="0.2">
      <c r="B103" s="1"/>
    </row>
    <row r="104" spans="1:31" s="15" customFormat="1" ht="17" thickBot="1" x14ac:dyDescent="0.25">
      <c r="A104" s="11"/>
      <c r="B104" s="14" t="s">
        <v>101</v>
      </c>
      <c r="R104" s="1"/>
      <c r="S104" s="1"/>
      <c r="AB104" s="1"/>
      <c r="AD104" s="1"/>
      <c r="AE104" s="1"/>
    </row>
    <row r="105" spans="1:31" x14ac:dyDescent="0.2">
      <c r="B105" s="20" t="s">
        <v>71</v>
      </c>
      <c r="C105" s="81">
        <f t="shared" ref="C105:Q105" si="101">IF(AND(C83&gt;=0,C12&gt;=0),C83,0)</f>
        <v>0</v>
      </c>
      <c r="D105" s="81">
        <f t="shared" si="101"/>
        <v>0</v>
      </c>
      <c r="E105" s="81">
        <f t="shared" si="101"/>
        <v>0</v>
      </c>
      <c r="F105" s="81">
        <f t="shared" si="101"/>
        <v>0</v>
      </c>
      <c r="G105" s="81">
        <f t="shared" si="101"/>
        <v>0</v>
      </c>
      <c r="H105" s="81">
        <f t="shared" si="101"/>
        <v>0</v>
      </c>
      <c r="I105" s="81">
        <f t="shared" si="101"/>
        <v>0</v>
      </c>
      <c r="J105" s="81">
        <f t="shared" si="101"/>
        <v>0</v>
      </c>
      <c r="K105" s="81">
        <f t="shared" si="101"/>
        <v>0</v>
      </c>
      <c r="L105" s="81">
        <f t="shared" si="101"/>
        <v>0</v>
      </c>
      <c r="M105" s="81">
        <f t="shared" si="101"/>
        <v>0.11981701382129648</v>
      </c>
      <c r="N105" s="81">
        <f t="shared" si="101"/>
        <v>0.13415122016268835</v>
      </c>
      <c r="O105" s="81">
        <f t="shared" si="101"/>
        <v>1.3972860405750369E-2</v>
      </c>
      <c r="P105" s="81">
        <f t="shared" si="101"/>
        <v>2.186532507739938E-2</v>
      </c>
      <c r="Q105" s="81">
        <f t="shared" si="101"/>
        <v>0.1122956645344705</v>
      </c>
      <c r="T105" s="81">
        <f t="shared" ref="T105:Z105" si="102">IF(AND(T83&gt;=0,T12&gt;=0),T83,0)</f>
        <v>0</v>
      </c>
      <c r="U105" s="81">
        <f t="shared" si="102"/>
        <v>0.12517193947730398</v>
      </c>
      <c r="V105" s="81">
        <f t="shared" si="102"/>
        <v>9.4363929146537837E-2</v>
      </c>
      <c r="W105" s="81">
        <f t="shared" si="102"/>
        <v>9.6883468834688347E-2</v>
      </c>
      <c r="X105" s="81">
        <f t="shared" si="102"/>
        <v>0.13059575900370246</v>
      </c>
      <c r="Y105" s="81">
        <f t="shared" si="102"/>
        <v>0.15308711587256837</v>
      </c>
      <c r="Z105" s="81">
        <f t="shared" si="102"/>
        <v>0.13440860215053763</v>
      </c>
      <c r="AA105" s="81">
        <f t="shared" ref="AA105" si="103">IF(AND(AA83&gt;=0,AA12&gt;=0),AA83,0)</f>
        <v>0.18683996750609261</v>
      </c>
      <c r="AC105" s="81">
        <f>IF(AND(AC83&gt;=0,AC12&gt;=0),AC83,0)</f>
        <v>0.15082054941134498</v>
      </c>
    </row>
    <row r="106" spans="1:31" x14ac:dyDescent="0.2">
      <c r="B106" s="20" t="s">
        <v>170</v>
      </c>
      <c r="C106" s="25"/>
      <c r="D106" s="25"/>
      <c r="E106" s="25"/>
      <c r="F106" s="25"/>
      <c r="G106" s="25"/>
      <c r="H106" s="25"/>
      <c r="I106" s="25"/>
      <c r="J106" s="25"/>
      <c r="K106" s="25"/>
      <c r="L106" s="25"/>
      <c r="M106" s="25">
        <f>M29+M34</f>
        <v>12414</v>
      </c>
      <c r="N106" s="25">
        <f t="shared" ref="N106:Q106" si="104">N29+N34</f>
        <v>6382</v>
      </c>
      <c r="O106" s="25">
        <f t="shared" si="104"/>
        <v>11324</v>
      </c>
      <c r="P106" s="25">
        <f t="shared" si="104"/>
        <v>13300</v>
      </c>
      <c r="Q106" s="25">
        <f t="shared" si="104"/>
        <v>10155</v>
      </c>
      <c r="T106" s="25">
        <f t="shared" ref="T106:Z106" si="105">T29+T34</f>
        <v>13300</v>
      </c>
      <c r="U106" s="25">
        <f t="shared" si="105"/>
        <v>14305</v>
      </c>
      <c r="V106" s="25">
        <f t="shared" si="105"/>
        <v>13846</v>
      </c>
      <c r="W106" s="25">
        <f t="shared" si="105"/>
        <v>10011</v>
      </c>
      <c r="X106" s="25">
        <f t="shared" si="105"/>
        <v>10155</v>
      </c>
      <c r="Y106" s="25">
        <f t="shared" si="105"/>
        <v>11822</v>
      </c>
      <c r="Z106" s="25">
        <f t="shared" si="105"/>
        <v>9799</v>
      </c>
      <c r="AA106" s="25">
        <f t="shared" ref="AA106" si="106">AA29+AA34</f>
        <v>8304</v>
      </c>
      <c r="AC106" s="25">
        <f>AA106</f>
        <v>8304</v>
      </c>
    </row>
    <row r="107" spans="1:31" x14ac:dyDescent="0.2">
      <c r="B107" s="20" t="s">
        <v>161</v>
      </c>
      <c r="C107" s="25">
        <v>0</v>
      </c>
      <c r="D107" s="25">
        <v>0</v>
      </c>
      <c r="E107" s="25">
        <v>0</v>
      </c>
      <c r="F107" s="25">
        <v>0</v>
      </c>
      <c r="G107" s="25">
        <v>0</v>
      </c>
      <c r="H107" s="25">
        <v>0</v>
      </c>
      <c r="I107" s="25">
        <v>0</v>
      </c>
      <c r="J107" s="25">
        <v>0</v>
      </c>
      <c r="K107" s="25">
        <v>0</v>
      </c>
      <c r="L107" s="25">
        <v>0</v>
      </c>
      <c r="M107" s="25">
        <f>M39+M41</f>
        <v>15745</v>
      </c>
      <c r="N107" s="25">
        <f>N39+N41</f>
        <v>15482</v>
      </c>
      <c r="O107" s="25">
        <f>O39+O41</f>
        <v>15398</v>
      </c>
      <c r="P107" s="25">
        <f>P39+P41</f>
        <v>14634</v>
      </c>
      <c r="Q107" s="25">
        <f>Q39+Q41</f>
        <v>14811</v>
      </c>
      <c r="T107" s="25">
        <f t="shared" ref="T107:Z107" si="107">T39+T41</f>
        <v>14634</v>
      </c>
      <c r="U107" s="25">
        <f t="shared" si="107"/>
        <v>14577</v>
      </c>
      <c r="V107" s="25">
        <f t="shared" si="107"/>
        <v>14623</v>
      </c>
      <c r="W107" s="25">
        <f t="shared" si="107"/>
        <v>14788</v>
      </c>
      <c r="X107" s="25">
        <f t="shared" si="107"/>
        <v>14811</v>
      </c>
      <c r="Y107" s="25">
        <f t="shared" si="107"/>
        <v>14817</v>
      </c>
      <c r="Z107" s="25">
        <f t="shared" si="107"/>
        <v>15270</v>
      </c>
      <c r="AA107" s="25">
        <f t="shared" ref="AA107" si="108">AA39+AA41</f>
        <v>15270</v>
      </c>
      <c r="AC107" s="25">
        <f>AA107</f>
        <v>15270</v>
      </c>
    </row>
    <row r="108" spans="1:31" x14ac:dyDescent="0.2">
      <c r="B108" s="20" t="s">
        <v>154</v>
      </c>
      <c r="C108" s="25"/>
      <c r="D108" s="25"/>
      <c r="E108" s="25"/>
      <c r="F108" s="25"/>
      <c r="G108" s="25"/>
      <c r="H108" s="25"/>
      <c r="I108" s="25"/>
      <c r="J108" s="25"/>
      <c r="K108" s="25"/>
      <c r="L108" s="25"/>
      <c r="M108" s="126">
        <f>M12*(1-M105)</f>
        <v>8616.1112517033289</v>
      </c>
      <c r="N108" s="126">
        <f>N12*(1-N105)</f>
        <v>13732.361648219763</v>
      </c>
      <c r="O108" s="126">
        <f>O12*(1-O105)</f>
        <v>7679.1793631600158</v>
      </c>
      <c r="P108" s="126">
        <f>P12*(1-P105)</f>
        <v>9850.7943111455115</v>
      </c>
      <c r="Q108" s="25">
        <f>Q12*(1-Q105)</f>
        <v>10967.587064676618</v>
      </c>
      <c r="T108" s="67"/>
      <c r="U108" s="67"/>
      <c r="V108" s="67"/>
      <c r="W108" s="67"/>
      <c r="X108" s="67"/>
      <c r="Y108" s="67"/>
      <c r="Z108" s="67"/>
      <c r="AA108" s="67"/>
      <c r="AC108" s="25">
        <f>AC12*(1-AC105)</f>
        <v>8677.7648055654645</v>
      </c>
    </row>
    <row r="109" spans="1:31" x14ac:dyDescent="0.2">
      <c r="B109" s="20" t="s">
        <v>291</v>
      </c>
      <c r="C109" s="25"/>
      <c r="D109" s="25"/>
      <c r="E109" s="25"/>
      <c r="F109" s="25"/>
      <c r="G109" s="25"/>
      <c r="H109" s="25"/>
      <c r="I109" s="25"/>
      <c r="J109" s="25"/>
      <c r="K109" s="25"/>
      <c r="L109" s="25"/>
      <c r="M109" s="126">
        <f>M60+M61</f>
        <v>-1888</v>
      </c>
      <c r="N109" s="126">
        <f>N60+N61</f>
        <v>-2262</v>
      </c>
      <c r="O109" s="126">
        <f>O60+O61</f>
        <v>-1450</v>
      </c>
      <c r="P109" s="126">
        <f>P60+P61</f>
        <v>-1041</v>
      </c>
      <c r="Q109" s="126">
        <f>Q60+Q61</f>
        <v>-1192</v>
      </c>
      <c r="T109" s="126">
        <f t="shared" ref="T109:Z109" si="109">T60+T61</f>
        <v>0</v>
      </c>
      <c r="U109" s="126">
        <f t="shared" si="109"/>
        <v>-277</v>
      </c>
      <c r="V109" s="126">
        <f t="shared" si="109"/>
        <v>-214</v>
      </c>
      <c r="W109" s="126">
        <f t="shared" si="109"/>
        <v>-294</v>
      </c>
      <c r="X109" s="126">
        <f t="shared" si="109"/>
        <v>-407</v>
      </c>
      <c r="Y109" s="126">
        <f t="shared" si="109"/>
        <v>-549</v>
      </c>
      <c r="Z109" s="126">
        <f t="shared" si="109"/>
        <v>-533</v>
      </c>
      <c r="AA109" s="126">
        <f t="shared" ref="AA109" si="110">AA60+AA61</f>
        <v>-496</v>
      </c>
      <c r="AC109" s="126">
        <f>AC60+AC61</f>
        <v>-1985</v>
      </c>
    </row>
    <row r="110" spans="1:31" x14ac:dyDescent="0.2">
      <c r="B110" s="20" t="s">
        <v>319</v>
      </c>
      <c r="C110" s="25"/>
      <c r="D110" s="25"/>
      <c r="E110" s="25"/>
      <c r="F110" s="25"/>
      <c r="G110" s="25"/>
      <c r="H110" s="25"/>
      <c r="I110" s="25"/>
      <c r="J110" s="25"/>
      <c r="K110" s="25"/>
      <c r="L110" s="25"/>
      <c r="M110" s="126">
        <f>M17+M18</f>
        <v>9043</v>
      </c>
      <c r="N110" s="126">
        <f>N17+N18</f>
        <v>12986</v>
      </c>
      <c r="O110" s="126">
        <f>O17+O18</f>
        <v>7339</v>
      </c>
      <c r="P110" s="126">
        <f>P17+P18</f>
        <v>10110</v>
      </c>
      <c r="Q110" s="126">
        <f>Q17+Q18</f>
        <v>11241</v>
      </c>
      <c r="T110" s="126">
        <f t="shared" ref="T110:Z110" si="111">T17+T18</f>
        <v>2915</v>
      </c>
      <c r="U110" s="126">
        <f t="shared" si="111"/>
        <v>3180</v>
      </c>
      <c r="V110" s="126">
        <f t="shared" si="111"/>
        <v>2812</v>
      </c>
      <c r="W110" s="126">
        <f t="shared" si="111"/>
        <v>2666</v>
      </c>
      <c r="X110" s="126">
        <f t="shared" si="111"/>
        <v>2583</v>
      </c>
      <c r="Y110" s="126">
        <f t="shared" si="111"/>
        <v>3004</v>
      </c>
      <c r="Z110" s="126">
        <f t="shared" si="111"/>
        <v>1932</v>
      </c>
      <c r="AA110" s="126">
        <f t="shared" ref="AA110" si="112">AA17+AA18</f>
        <v>2002</v>
      </c>
      <c r="AC110" s="126">
        <f>AC17+AC18</f>
        <v>9521</v>
      </c>
    </row>
    <row r="111" spans="1:31" x14ac:dyDescent="0.2">
      <c r="B111" s="20" t="s">
        <v>320</v>
      </c>
      <c r="C111" s="25"/>
      <c r="D111" s="25"/>
      <c r="E111" s="25"/>
      <c r="F111" s="25"/>
      <c r="G111" s="25"/>
      <c r="H111" s="25"/>
      <c r="I111" s="25"/>
      <c r="J111" s="25"/>
      <c r="K111" s="25"/>
      <c r="L111" s="25"/>
      <c r="M111" s="126">
        <f>M49+M48</f>
        <v>9950</v>
      </c>
      <c r="N111" s="126">
        <f>N49+N48</f>
        <v>18013</v>
      </c>
      <c r="O111" s="126">
        <f>O49+O48</f>
        <v>21581</v>
      </c>
      <c r="P111" s="126">
        <f>P49+P48</f>
        <v>26274</v>
      </c>
      <c r="Q111" s="126">
        <f>Q49+Q48</f>
        <v>21206</v>
      </c>
      <c r="T111" s="126">
        <f t="shared" ref="T111:Z111" si="113">T49+T48</f>
        <v>26274</v>
      </c>
      <c r="U111" s="126">
        <f t="shared" si="113"/>
        <v>26880</v>
      </c>
      <c r="V111" s="126">
        <f t="shared" si="113"/>
        <v>27728</v>
      </c>
      <c r="W111" s="126">
        <f t="shared" si="113"/>
        <v>27209</v>
      </c>
      <c r="X111" s="126">
        <f t="shared" si="113"/>
        <v>21206</v>
      </c>
      <c r="Y111" s="126">
        <f t="shared" si="113"/>
        <v>23073</v>
      </c>
      <c r="Z111" s="126">
        <f t="shared" si="113"/>
        <v>27278</v>
      </c>
      <c r="AA111" s="126">
        <f t="shared" ref="AA111" si="114">AA49+AA48</f>
        <v>27658</v>
      </c>
      <c r="AC111" s="126">
        <f>AC49+AC48</f>
        <v>27658</v>
      </c>
    </row>
    <row r="112" spans="1:31" x14ac:dyDescent="0.2">
      <c r="C112" s="57"/>
      <c r="D112" s="57"/>
      <c r="E112" s="57"/>
      <c r="F112" s="57"/>
      <c r="G112" s="57"/>
      <c r="H112" s="57"/>
      <c r="I112" s="57"/>
      <c r="J112" s="57"/>
      <c r="K112" s="57"/>
    </row>
    <row r="113" spans="1:31" x14ac:dyDescent="0.2">
      <c r="B113" s="1"/>
    </row>
    <row r="114" spans="1:31" s="15" customFormat="1" ht="17" thickBot="1" x14ac:dyDescent="0.25">
      <c r="A114" s="11"/>
      <c r="B114" s="14" t="s">
        <v>80</v>
      </c>
      <c r="R114" s="1"/>
      <c r="S114" s="1"/>
      <c r="AB114" s="1"/>
      <c r="AD114" s="1"/>
      <c r="AE114" s="1"/>
    </row>
    <row r="115" spans="1:31" x14ac:dyDescent="0.2">
      <c r="B115" s="20" t="s">
        <v>81</v>
      </c>
      <c r="C115" s="26"/>
      <c r="D115" s="26"/>
      <c r="E115" s="26"/>
      <c r="F115" s="26"/>
      <c r="G115" s="26"/>
      <c r="H115" s="26"/>
      <c r="I115" s="26"/>
      <c r="J115" s="26"/>
      <c r="K115" s="26"/>
      <c r="L115" s="26"/>
      <c r="M115" s="63">
        <v>133.88</v>
      </c>
      <c r="N115" s="63">
        <v>121.19</v>
      </c>
      <c r="O115" s="63">
        <v>107.68</v>
      </c>
      <c r="P115" s="63">
        <v>170.13</v>
      </c>
      <c r="Q115" s="63">
        <v>169.2</v>
      </c>
      <c r="T115" s="63">
        <v>170.13</v>
      </c>
      <c r="U115" s="63">
        <v>157.24</v>
      </c>
      <c r="V115" s="63">
        <v>152.72</v>
      </c>
      <c r="W115" s="63">
        <v>158.54</v>
      </c>
      <c r="X115" s="63">
        <v>169.2</v>
      </c>
      <c r="Y115" s="63">
        <v>174.81</v>
      </c>
      <c r="Z115" s="63">
        <v>127.11</v>
      </c>
      <c r="AA115" s="63">
        <v>189.39</v>
      </c>
      <c r="AC115" s="63">
        <f ca="1">Overview!C5</f>
        <v>178.4</v>
      </c>
    </row>
    <row r="116" spans="1:31" x14ac:dyDescent="0.2">
      <c r="B116" s="20" t="s">
        <v>332</v>
      </c>
      <c r="C116" s="26"/>
      <c r="D116" s="26"/>
      <c r="E116" s="26"/>
      <c r="F116" s="26"/>
      <c r="G116" s="26"/>
      <c r="H116" s="26"/>
      <c r="I116" s="26"/>
      <c r="J116" s="26"/>
      <c r="K116" s="26"/>
      <c r="L116" s="26"/>
      <c r="M116" s="65">
        <f>M115/M85</f>
        <v>133.88</v>
      </c>
      <c r="N116" s="65">
        <f>N115/N85</f>
        <v>121.19</v>
      </c>
      <c r="O116" s="65">
        <f>O115/O85</f>
        <v>107.68</v>
      </c>
      <c r="P116" s="65">
        <f>P115/P85</f>
        <v>170.13</v>
      </c>
      <c r="Q116" s="65">
        <f>Q115/Q85</f>
        <v>169.2</v>
      </c>
      <c r="T116" s="65">
        <f t="shared" ref="T116:Z116" si="115">T115/T85</f>
        <v>170.13</v>
      </c>
      <c r="U116" s="65">
        <f t="shared" si="115"/>
        <v>157.24</v>
      </c>
      <c r="V116" s="65">
        <f t="shared" si="115"/>
        <v>152.72</v>
      </c>
      <c r="W116" s="65">
        <f t="shared" si="115"/>
        <v>158.54</v>
      </c>
      <c r="X116" s="65">
        <f t="shared" si="115"/>
        <v>169.2</v>
      </c>
      <c r="Y116" s="65">
        <f t="shared" si="115"/>
        <v>174.81</v>
      </c>
      <c r="Z116" s="65">
        <f t="shared" si="115"/>
        <v>127.11</v>
      </c>
      <c r="AA116" s="65">
        <f t="shared" ref="AA116" si="116">AA115/AA85</f>
        <v>189.39</v>
      </c>
      <c r="AC116" s="65">
        <f ca="1">AC115/AC85</f>
        <v>178.4</v>
      </c>
    </row>
    <row r="118" spans="1:31" x14ac:dyDescent="0.2">
      <c r="B118" s="1"/>
    </row>
    <row r="119" spans="1:31" ht="17" thickBot="1" x14ac:dyDescent="0.25">
      <c r="B119" s="14" t="s">
        <v>98</v>
      </c>
      <c r="C119" s="15"/>
      <c r="D119" s="15"/>
      <c r="E119" s="15"/>
      <c r="F119" s="15"/>
      <c r="G119" s="15"/>
      <c r="H119" s="15"/>
      <c r="I119" s="15"/>
      <c r="J119" s="15"/>
      <c r="K119" s="15"/>
      <c r="L119" s="15"/>
      <c r="M119" s="15"/>
      <c r="N119" s="15"/>
      <c r="O119" s="15"/>
      <c r="P119" s="15"/>
      <c r="Q119" s="15"/>
      <c r="T119" s="15"/>
      <c r="U119" s="15"/>
      <c r="V119" s="15"/>
      <c r="W119" s="15"/>
      <c r="X119" s="15"/>
      <c r="Y119" s="15"/>
      <c r="Z119" s="15"/>
      <c r="AA119" s="15"/>
      <c r="AC119" s="15"/>
    </row>
    <row r="120" spans="1:31" x14ac:dyDescent="0.2">
      <c r="B120" s="20" t="s">
        <v>92</v>
      </c>
      <c r="M120" s="74">
        <f>M110/M5</f>
        <v>0.2694095215396532</v>
      </c>
      <c r="N120" s="74">
        <f>N110/N5</f>
        <v>0.29380090497737554</v>
      </c>
      <c r="O120" s="74">
        <f>O110/O5</f>
        <v>0.2048855388051368</v>
      </c>
      <c r="P120" s="74">
        <f>P110/P5</f>
        <v>0.25948359940454802</v>
      </c>
      <c r="Q120" s="74">
        <f>Q110/Q5</f>
        <v>0.25383885827838498</v>
      </c>
      <c r="T120" s="77"/>
      <c r="U120" s="77"/>
      <c r="V120" s="77"/>
      <c r="W120" s="77"/>
      <c r="X120" s="77"/>
      <c r="Y120" s="77"/>
      <c r="Z120" s="77"/>
      <c r="AA120" s="77"/>
      <c r="AC120" s="74">
        <f>AC110/AC5</f>
        <v>0.21605246437324135</v>
      </c>
    </row>
    <row r="121" spans="1:31" x14ac:dyDescent="0.2">
      <c r="B121" s="20" t="s">
        <v>93</v>
      </c>
      <c r="M121" s="75">
        <f>M5/M37</f>
        <v>0.81391852570320078</v>
      </c>
      <c r="N121" s="75">
        <f>N5/N37</f>
        <v>0.90178316399396086</v>
      </c>
      <c r="O121" s="75">
        <f>O5/O37</f>
        <v>0.70180250783699061</v>
      </c>
      <c r="P121" s="75">
        <f>P5/P37</f>
        <v>0.70642201834862384</v>
      </c>
      <c r="Q121" s="75">
        <f>Q5/Q37</f>
        <v>0.88315417904792293</v>
      </c>
      <c r="T121" s="78"/>
      <c r="U121" s="78"/>
      <c r="V121" s="78"/>
      <c r="W121" s="78"/>
      <c r="X121" s="78"/>
      <c r="Y121" s="78"/>
      <c r="Z121" s="78"/>
      <c r="AA121" s="78"/>
      <c r="AC121" s="75">
        <f>AC5/AC37</f>
        <v>0.76817682639845208</v>
      </c>
    </row>
    <row r="122" spans="1:31" x14ac:dyDescent="0.2">
      <c r="B122" s="32" t="s">
        <v>94</v>
      </c>
      <c r="M122" s="76">
        <f t="shared" ref="M122:P122" si="117">M120*M121</f>
        <v>0.21927740058195924</v>
      </c>
      <c r="N122" s="76">
        <f t="shared" si="117"/>
        <v>0.26494470967478678</v>
      </c>
      <c r="O122" s="76">
        <f t="shared" si="117"/>
        <v>0.14378918495297807</v>
      </c>
      <c r="P122" s="76">
        <f t="shared" si="117"/>
        <v>0.18330492801972659</v>
      </c>
      <c r="Q122" s="76">
        <f>Q120*Q121</f>
        <v>0.22417884849330916</v>
      </c>
      <c r="T122" s="79"/>
      <c r="U122" s="79"/>
      <c r="V122" s="79"/>
      <c r="W122" s="79"/>
      <c r="X122" s="79"/>
      <c r="Y122" s="79"/>
      <c r="Z122" s="79"/>
      <c r="AA122" s="79"/>
      <c r="AC122" s="76">
        <f>AC120*AC121</f>
        <v>0.16596649641780117</v>
      </c>
    </row>
    <row r="123" spans="1:31" x14ac:dyDescent="0.2">
      <c r="B123" s="20" t="s">
        <v>95</v>
      </c>
      <c r="M123" s="75">
        <f>M37/M49</f>
        <v>4.1447236180904525</v>
      </c>
      <c r="N123" s="75">
        <f>N37/N49</f>
        <v>2.7210348081940818</v>
      </c>
      <c r="O123" s="75">
        <f>O37/O49</f>
        <v>2.3650433251471203</v>
      </c>
      <c r="P123" s="75">
        <f>P37/P49</f>
        <v>2.099185506584456</v>
      </c>
      <c r="Q123" s="75">
        <f>Q37/Q49</f>
        <v>2.3645666320852587</v>
      </c>
      <c r="T123" s="80"/>
      <c r="U123" s="80"/>
      <c r="V123" s="80"/>
      <c r="W123" s="80"/>
      <c r="X123" s="80"/>
      <c r="Y123" s="80"/>
      <c r="Z123" s="80"/>
      <c r="AA123" s="80"/>
      <c r="AC123" s="75">
        <f>AC37/AC49</f>
        <v>2.0741557596355484</v>
      </c>
    </row>
    <row r="124" spans="1:31" x14ac:dyDescent="0.2">
      <c r="B124" s="32" t="s">
        <v>96</v>
      </c>
      <c r="M124" s="76">
        <f t="shared" ref="M124:P124" si="118">M122*M123</f>
        <v>0.90884422110552765</v>
      </c>
      <c r="N124" s="76">
        <f t="shared" si="118"/>
        <v>0.7209237772719701</v>
      </c>
      <c r="O124" s="76">
        <f t="shared" si="118"/>
        <v>0.34006765210138556</v>
      </c>
      <c r="P124" s="76">
        <f t="shared" si="118"/>
        <v>0.38479104818451698</v>
      </c>
      <c r="Q124" s="76">
        <f>Q122*Q123</f>
        <v>0.53008582476657551</v>
      </c>
      <c r="T124" s="79"/>
      <c r="U124" s="79"/>
      <c r="V124" s="79"/>
      <c r="W124" s="79"/>
      <c r="X124" s="79"/>
      <c r="Y124" s="79"/>
      <c r="Z124" s="79"/>
      <c r="AA124" s="79"/>
      <c r="AC124" s="76">
        <f>AC122*AC123</f>
        <v>0.3442403644515149</v>
      </c>
    </row>
    <row r="126" spans="1:31" x14ac:dyDescent="0.2">
      <c r="B126" s="1"/>
    </row>
    <row r="127" spans="1:31" ht="17" thickBot="1" x14ac:dyDescent="0.25">
      <c r="B127" s="14" t="s">
        <v>220</v>
      </c>
      <c r="C127" s="167"/>
      <c r="D127" s="167"/>
      <c r="E127" s="167"/>
      <c r="F127" s="167"/>
      <c r="G127" s="167"/>
      <c r="H127" s="167"/>
      <c r="I127" s="167"/>
      <c r="J127" s="167"/>
      <c r="K127" s="167"/>
      <c r="L127" s="167"/>
      <c r="M127" s="167"/>
      <c r="N127" s="167"/>
      <c r="O127" s="167"/>
      <c r="P127" s="167"/>
      <c r="Q127" s="167"/>
      <c r="T127" s="167"/>
      <c r="U127" s="167"/>
      <c r="V127" s="167"/>
      <c r="W127" s="167"/>
      <c r="X127" s="167"/>
      <c r="Y127" s="167"/>
      <c r="Z127" s="167"/>
      <c r="AA127" s="167"/>
      <c r="AC127" s="167"/>
    </row>
    <row r="128" spans="1:31" x14ac:dyDescent="0.2">
      <c r="B128" s="20" t="s">
        <v>221</v>
      </c>
      <c r="C128" s="49"/>
      <c r="D128" s="49"/>
      <c r="E128" s="49"/>
      <c r="F128" s="49"/>
      <c r="G128" s="49"/>
      <c r="H128" s="49"/>
      <c r="I128" s="49"/>
      <c r="J128" s="49"/>
      <c r="K128" s="49"/>
      <c r="L128" s="49"/>
      <c r="M128" s="49"/>
      <c r="N128" s="49"/>
      <c r="O128" s="49"/>
      <c r="P128" s="49"/>
      <c r="Q128" s="49"/>
      <c r="T128" s="21">
        <v>10500</v>
      </c>
      <c r="U128" s="21">
        <v>10300</v>
      </c>
      <c r="V128" s="21">
        <v>9900</v>
      </c>
      <c r="W128" s="21">
        <v>10300</v>
      </c>
      <c r="X128" s="21">
        <v>11800</v>
      </c>
      <c r="Y128" s="21">
        <v>10200</v>
      </c>
      <c r="Z128" s="21">
        <v>9200</v>
      </c>
      <c r="AA128" s="21">
        <v>9700</v>
      </c>
      <c r="AC128" s="49"/>
    </row>
    <row r="129" spans="2:29" x14ac:dyDescent="0.2">
      <c r="B129" s="20" t="s">
        <v>222</v>
      </c>
      <c r="C129" s="49"/>
      <c r="D129" s="49"/>
      <c r="E129" s="49"/>
      <c r="F129" s="49"/>
      <c r="G129" s="49"/>
      <c r="H129" s="49"/>
      <c r="I129" s="49"/>
      <c r="J129" s="49"/>
      <c r="K129" s="49"/>
      <c r="L129" s="49"/>
      <c r="M129" s="49"/>
      <c r="N129" s="49"/>
      <c r="O129" s="49"/>
      <c r="P129" s="49"/>
      <c r="Q129" s="49"/>
      <c r="T129" s="21">
        <v>11300</v>
      </c>
      <c r="U129" s="21">
        <v>11200</v>
      </c>
      <c r="V129" s="21">
        <v>10700</v>
      </c>
      <c r="W129" s="21">
        <v>11100</v>
      </c>
      <c r="X129" s="21">
        <v>12600</v>
      </c>
      <c r="Y129" s="21">
        <v>11000</v>
      </c>
      <c r="Z129" s="21">
        <v>10000</v>
      </c>
      <c r="AA129" s="21">
        <v>10500</v>
      </c>
      <c r="AC129" s="49"/>
    </row>
    <row r="130" spans="2:29" x14ac:dyDescent="0.2">
      <c r="B130" s="20" t="s">
        <v>223</v>
      </c>
      <c r="C130" s="49"/>
      <c r="D130" s="49"/>
      <c r="E130" s="49"/>
      <c r="F130" s="49"/>
      <c r="G130" s="49"/>
      <c r="H130" s="49"/>
      <c r="I130" s="49"/>
      <c r="J130" s="49"/>
      <c r="K130" s="49"/>
      <c r="L130" s="49"/>
      <c r="M130" s="49"/>
      <c r="N130" s="49"/>
      <c r="O130" s="49"/>
      <c r="P130" s="49"/>
      <c r="Q130" s="49"/>
      <c r="T130" s="25">
        <f t="shared" ref="T130" si="119">U5</f>
        <v>11669</v>
      </c>
      <c r="U130" s="25">
        <f t="shared" ref="U130" si="120">V5</f>
        <v>10979</v>
      </c>
      <c r="V130" s="25">
        <f t="shared" ref="V130" si="121">W5</f>
        <v>10465</v>
      </c>
      <c r="W130" s="25">
        <f t="shared" ref="W130" si="122">X5</f>
        <v>11270</v>
      </c>
      <c r="X130" s="25">
        <f t="shared" ref="X130" si="123">Y5</f>
        <v>12252</v>
      </c>
      <c r="Y130" s="25">
        <f t="shared" ref="Y130" si="124">Z5</f>
        <v>10599</v>
      </c>
      <c r="Z130" s="25">
        <f t="shared" ref="Z130" si="125">AA5</f>
        <v>9947</v>
      </c>
      <c r="AA130" s="25">
        <f t="shared" ref="AA130" si="126">AB5</f>
        <v>0</v>
      </c>
      <c r="AC130" s="49"/>
    </row>
    <row r="131" spans="2:29" x14ac:dyDescent="0.2">
      <c r="B131" s="20" t="s">
        <v>178</v>
      </c>
      <c r="C131" s="49"/>
      <c r="D131" s="49"/>
      <c r="E131" s="49"/>
      <c r="F131" s="49"/>
      <c r="G131" s="49"/>
      <c r="H131" s="49"/>
      <c r="I131" s="49"/>
      <c r="J131" s="49"/>
      <c r="K131" s="49"/>
      <c r="L131" s="49"/>
      <c r="M131" s="49"/>
      <c r="N131" s="49"/>
      <c r="O131" s="49"/>
      <c r="P131" s="49"/>
      <c r="Q131" s="49"/>
      <c r="T131" s="223" t="str">
        <f t="shared" ref="T131:Z131" si="127">IF(T130&gt;T129, "BEAT", IF(T130&lt;T128, "MISSED", "MET"))</f>
        <v>BEAT</v>
      </c>
      <c r="U131" s="223" t="str">
        <f t="shared" si="127"/>
        <v>MET</v>
      </c>
      <c r="V131" s="223" t="str">
        <f t="shared" si="127"/>
        <v>MET</v>
      </c>
      <c r="W131" s="223" t="str">
        <f t="shared" si="127"/>
        <v>BEAT</v>
      </c>
      <c r="X131" s="223" t="str">
        <f t="shared" si="127"/>
        <v>MET</v>
      </c>
      <c r="Y131" s="223" t="str">
        <f t="shared" si="127"/>
        <v>MET</v>
      </c>
      <c r="Z131" s="223" t="str">
        <f t="shared" si="127"/>
        <v>MET</v>
      </c>
      <c r="AA131" s="223" t="str">
        <f t="shared" ref="AA131" si="128">IF(AA130&gt;AA129, "BEAT", IF(AA130&lt;AA128, "MISSED", "MET"))</f>
        <v>MISSED</v>
      </c>
      <c r="AC131" s="49"/>
    </row>
    <row r="132" spans="2:29" x14ac:dyDescent="0.2">
      <c r="B132" s="20" t="s">
        <v>389</v>
      </c>
      <c r="C132" s="49"/>
      <c r="D132" s="49"/>
      <c r="E132" s="49"/>
      <c r="F132" s="49"/>
      <c r="G132" s="49"/>
      <c r="H132" s="49"/>
      <c r="I132" s="49"/>
      <c r="J132" s="49"/>
      <c r="K132" s="49"/>
      <c r="L132" s="49"/>
      <c r="M132" s="49"/>
      <c r="N132" s="49"/>
      <c r="O132" s="49"/>
      <c r="P132" s="49"/>
      <c r="Q132" s="49"/>
      <c r="T132" s="21">
        <v>9000</v>
      </c>
      <c r="U132" s="21">
        <v>8900</v>
      </c>
      <c r="V132" s="21">
        <v>8700</v>
      </c>
      <c r="W132" s="21">
        <v>9000</v>
      </c>
      <c r="X132" s="21">
        <v>10300</v>
      </c>
      <c r="Y132" s="21">
        <v>8800</v>
      </c>
      <c r="Z132" s="21">
        <v>7900</v>
      </c>
      <c r="AA132" s="21">
        <v>8400</v>
      </c>
      <c r="AC132" s="49"/>
    </row>
    <row r="133" spans="2:29" x14ac:dyDescent="0.2">
      <c r="B133" s="20" t="s">
        <v>390</v>
      </c>
      <c r="C133" s="49"/>
      <c r="D133" s="49"/>
      <c r="E133" s="49"/>
      <c r="F133" s="49"/>
      <c r="G133" s="49"/>
      <c r="H133" s="49"/>
      <c r="I133" s="49"/>
      <c r="J133" s="49"/>
      <c r="K133" s="49"/>
      <c r="L133" s="49"/>
      <c r="M133" s="49"/>
      <c r="N133" s="49"/>
      <c r="O133" s="49"/>
      <c r="P133" s="49"/>
      <c r="Q133" s="49"/>
      <c r="T133" s="21">
        <v>9600</v>
      </c>
      <c r="U133" s="21">
        <v>9500</v>
      </c>
      <c r="V133" s="21">
        <v>9300</v>
      </c>
      <c r="W133" s="21">
        <v>9600</v>
      </c>
      <c r="X133" s="21">
        <v>10900</v>
      </c>
      <c r="Y133" s="21">
        <v>9400</v>
      </c>
      <c r="Z133" s="21">
        <v>8500</v>
      </c>
      <c r="AA133" s="21">
        <v>9000</v>
      </c>
      <c r="AC133" s="49"/>
    </row>
    <row r="134" spans="2:29" x14ac:dyDescent="0.2">
      <c r="B134" s="20" t="s">
        <v>391</v>
      </c>
      <c r="C134" s="49"/>
      <c r="D134" s="49"/>
      <c r="E134" s="49"/>
      <c r="F134" s="49"/>
      <c r="G134" s="49"/>
      <c r="H134" s="49"/>
      <c r="I134" s="49"/>
      <c r="J134" s="49"/>
      <c r="K134" s="49"/>
      <c r="L134" s="49"/>
      <c r="M134" s="49"/>
      <c r="N134" s="49"/>
      <c r="O134" s="49"/>
      <c r="P134" s="49"/>
      <c r="Q134" s="49"/>
      <c r="T134" s="25">
        <f t="shared" ref="T134" si="129">U193</f>
        <v>10084</v>
      </c>
      <c r="U134" s="25">
        <f t="shared" ref="U134" si="130">V193</f>
        <v>9469</v>
      </c>
      <c r="V134" s="25">
        <f t="shared" ref="V134" si="131">W193</f>
        <v>8993</v>
      </c>
      <c r="W134" s="25">
        <f t="shared" ref="W134" si="132">X193</f>
        <v>9821</v>
      </c>
      <c r="X134" s="25">
        <f t="shared" ref="X134" si="133">Y193</f>
        <v>10613</v>
      </c>
      <c r="Y134" s="25">
        <f>Z193</f>
        <v>9076</v>
      </c>
      <c r="Z134" s="25">
        <f>AA193</f>
        <v>8504</v>
      </c>
      <c r="AA134" s="25">
        <f>AB193</f>
        <v>0</v>
      </c>
      <c r="AC134" s="49"/>
    </row>
    <row r="135" spans="2:29" x14ac:dyDescent="0.2">
      <c r="B135" s="20" t="s">
        <v>178</v>
      </c>
      <c r="C135" s="49"/>
      <c r="D135" s="49"/>
      <c r="E135" s="49"/>
      <c r="F135" s="49"/>
      <c r="G135" s="49"/>
      <c r="H135" s="49"/>
      <c r="I135" s="49"/>
      <c r="J135" s="49"/>
      <c r="K135" s="49"/>
      <c r="L135" s="49"/>
      <c r="M135" s="49"/>
      <c r="N135" s="49"/>
      <c r="O135" s="49"/>
      <c r="P135" s="49"/>
      <c r="Q135" s="49"/>
      <c r="T135" s="223" t="str">
        <f t="shared" ref="T135:Z135" si="134">IF(T134&gt;T133, "BEAT", IF(T134&lt;T132, "MISSED", "MET"))</f>
        <v>BEAT</v>
      </c>
      <c r="U135" s="223" t="str">
        <f t="shared" si="134"/>
        <v>MET</v>
      </c>
      <c r="V135" s="223" t="str">
        <f t="shared" si="134"/>
        <v>MET</v>
      </c>
      <c r="W135" s="223" t="str">
        <f t="shared" si="134"/>
        <v>BEAT</v>
      </c>
      <c r="X135" s="223" t="str">
        <f t="shared" si="134"/>
        <v>MET</v>
      </c>
      <c r="Y135" s="223" t="str">
        <f t="shared" si="134"/>
        <v>MET</v>
      </c>
      <c r="Z135" s="223" t="str">
        <f t="shared" si="134"/>
        <v>BEAT</v>
      </c>
      <c r="AA135" s="223" t="str">
        <f t="shared" ref="AA135" si="135">IF(AA134&gt;AA133, "BEAT", IF(AA134&lt;AA132, "MISSED", "MET"))</f>
        <v>MISSED</v>
      </c>
      <c r="AC135" s="49"/>
    </row>
    <row r="136" spans="2:29" x14ac:dyDescent="0.2">
      <c r="B136" s="20" t="s">
        <v>392</v>
      </c>
      <c r="C136" s="49"/>
      <c r="D136" s="49"/>
      <c r="E136" s="49"/>
      <c r="F136" s="49"/>
      <c r="G136" s="49"/>
      <c r="H136" s="49"/>
      <c r="I136" s="49"/>
      <c r="J136" s="49"/>
      <c r="K136" s="49"/>
      <c r="L136" s="49"/>
      <c r="M136" s="49"/>
      <c r="N136" s="49"/>
      <c r="O136" s="49"/>
      <c r="P136" s="49"/>
      <c r="Q136" s="49"/>
      <c r="T136" s="21">
        <v>1450</v>
      </c>
      <c r="U136" s="21">
        <v>1250</v>
      </c>
      <c r="V136" s="21">
        <v>1150</v>
      </c>
      <c r="W136" s="21">
        <v>1250</v>
      </c>
      <c r="X136" s="21">
        <v>1400</v>
      </c>
      <c r="Y136" s="21">
        <v>1200</v>
      </c>
      <c r="Z136" s="21">
        <v>1150</v>
      </c>
      <c r="AA136" s="21">
        <v>1200</v>
      </c>
      <c r="AC136" s="49"/>
    </row>
    <row r="137" spans="2:29" x14ac:dyDescent="0.2">
      <c r="B137" s="20" t="s">
        <v>393</v>
      </c>
      <c r="C137" s="49"/>
      <c r="D137" s="49"/>
      <c r="E137" s="49"/>
      <c r="F137" s="49"/>
      <c r="G137" s="49"/>
      <c r="H137" s="49"/>
      <c r="I137" s="49"/>
      <c r="J137" s="49"/>
      <c r="K137" s="49"/>
      <c r="L137" s="49"/>
      <c r="M137" s="49"/>
      <c r="N137" s="49"/>
      <c r="O137" s="49"/>
      <c r="P137" s="49"/>
      <c r="Q137" s="49"/>
      <c r="T137" s="21">
        <v>1650</v>
      </c>
      <c r="U137" s="21">
        <v>1450</v>
      </c>
      <c r="V137" s="21">
        <v>1350</v>
      </c>
      <c r="W137" s="21">
        <v>1450</v>
      </c>
      <c r="X137" s="21">
        <v>1600</v>
      </c>
      <c r="Y137" s="21">
        <v>1400</v>
      </c>
      <c r="Z137" s="21">
        <v>1350</v>
      </c>
      <c r="AA137" s="21">
        <v>1400</v>
      </c>
      <c r="AC137" s="49"/>
    </row>
    <row r="138" spans="2:29" x14ac:dyDescent="0.2">
      <c r="B138" s="20" t="s">
        <v>394</v>
      </c>
      <c r="C138" s="49"/>
      <c r="D138" s="49"/>
      <c r="E138" s="49"/>
      <c r="F138" s="49"/>
      <c r="G138" s="49"/>
      <c r="H138" s="49"/>
      <c r="I138" s="49"/>
      <c r="J138" s="49"/>
      <c r="K138" s="49"/>
      <c r="L138" s="49"/>
      <c r="M138" s="49"/>
      <c r="N138" s="49"/>
      <c r="O138" s="49"/>
      <c r="P138" s="49"/>
      <c r="Q138" s="49"/>
      <c r="T138" s="25">
        <f t="shared" ref="T138" si="136">U194</f>
        <v>1535</v>
      </c>
      <c r="U138" s="25">
        <f t="shared" ref="U138" si="137">V194</f>
        <v>1319</v>
      </c>
      <c r="V138" s="25">
        <f t="shared" ref="V138" si="138">W194</f>
        <v>1318</v>
      </c>
      <c r="W138" s="25">
        <f t="shared" ref="W138" si="139">X194</f>
        <v>1409</v>
      </c>
      <c r="X138" s="25">
        <f t="shared" ref="X138" si="140">Y194</f>
        <v>1592</v>
      </c>
      <c r="Y138" s="25">
        <f>Z194</f>
        <v>1382</v>
      </c>
      <c r="Z138" s="25">
        <f>AA194</f>
        <v>1278</v>
      </c>
      <c r="AA138" s="25">
        <f>AB194</f>
        <v>0</v>
      </c>
      <c r="AC138" s="49"/>
    </row>
    <row r="139" spans="2:29" x14ac:dyDescent="0.2">
      <c r="B139" s="20" t="s">
        <v>178</v>
      </c>
      <c r="C139" s="49"/>
      <c r="D139" s="49"/>
      <c r="E139" s="49"/>
      <c r="F139" s="49"/>
      <c r="G139" s="49"/>
      <c r="H139" s="49"/>
      <c r="I139" s="49"/>
      <c r="J139" s="49"/>
      <c r="K139" s="49"/>
      <c r="L139" s="49"/>
      <c r="M139" s="49"/>
      <c r="N139" s="49"/>
      <c r="O139" s="49"/>
      <c r="P139" s="49"/>
      <c r="Q139" s="49"/>
      <c r="T139" s="223" t="str">
        <f t="shared" ref="T139:Z139" si="141">IF(T138&gt;T137, "BEAT", IF(T138&lt;T136, "MISSED", "MET"))</f>
        <v>MET</v>
      </c>
      <c r="U139" s="223" t="str">
        <f t="shared" si="141"/>
        <v>MET</v>
      </c>
      <c r="V139" s="223" t="str">
        <f t="shared" si="141"/>
        <v>MET</v>
      </c>
      <c r="W139" s="223" t="str">
        <f t="shared" si="141"/>
        <v>MET</v>
      </c>
      <c r="X139" s="223" t="str">
        <f t="shared" si="141"/>
        <v>MET</v>
      </c>
      <c r="Y139" s="223" t="str">
        <f t="shared" si="141"/>
        <v>MET</v>
      </c>
      <c r="Z139" s="223" t="str">
        <f t="shared" si="141"/>
        <v>MET</v>
      </c>
      <c r="AA139" s="223" t="str">
        <f t="shared" ref="AA139" si="142">IF(AA138&gt;AA137, "BEAT", IF(AA138&lt;AA136, "MISSED", "MET"))</f>
        <v>MISSED</v>
      </c>
      <c r="AC139" s="49"/>
    </row>
    <row r="141" spans="2:29" x14ac:dyDescent="0.2">
      <c r="B141" s="1"/>
    </row>
    <row r="142" spans="2:29" ht="17" thickBot="1" x14ac:dyDescent="0.25">
      <c r="B142" s="14" t="s">
        <v>240</v>
      </c>
      <c r="C142" s="167"/>
      <c r="D142" s="167"/>
      <c r="E142" s="167"/>
      <c r="F142" s="167"/>
      <c r="G142" s="167"/>
      <c r="H142" s="167"/>
      <c r="I142" s="167"/>
      <c r="J142" s="167"/>
      <c r="K142" s="167"/>
      <c r="L142" s="167"/>
      <c r="M142" s="167"/>
      <c r="N142" s="167"/>
      <c r="O142" s="167"/>
      <c r="P142" s="167"/>
      <c r="Q142" s="167"/>
      <c r="T142" s="167"/>
      <c r="U142" s="167"/>
      <c r="V142" s="167"/>
      <c r="W142" s="167"/>
      <c r="X142" s="167"/>
      <c r="Y142" s="167"/>
      <c r="Z142" s="167"/>
      <c r="AA142" s="167"/>
      <c r="AC142" s="167"/>
    </row>
    <row r="143" spans="2:29" x14ac:dyDescent="0.2">
      <c r="B143" s="20" t="s">
        <v>97</v>
      </c>
      <c r="C143" s="81"/>
      <c r="D143" s="81"/>
      <c r="E143" s="81"/>
      <c r="F143" s="81"/>
      <c r="G143" s="81"/>
      <c r="H143" s="81"/>
      <c r="I143" s="81"/>
      <c r="J143" s="81"/>
      <c r="K143" s="81"/>
      <c r="L143" s="81"/>
      <c r="M143" s="81">
        <f>M108/(M107+M111-M106)</f>
        <v>0.64875470609918895</v>
      </c>
      <c r="N143" s="81">
        <f>N108/(N107+N111-N106)</f>
        <v>0.50648624822851629</v>
      </c>
      <c r="O143" s="81">
        <f>O108/(O107+O111-O106)</f>
        <v>0.29932486311284412</v>
      </c>
      <c r="P143" s="81">
        <f>P108/(P107+P111-P106)</f>
        <v>0.35680941434169483</v>
      </c>
      <c r="Q143" s="81">
        <f>Q108/(Q107+Q111-Q106)</f>
        <v>0.42408116405060003</v>
      </c>
      <c r="T143" s="49"/>
      <c r="U143" s="49"/>
      <c r="V143" s="49"/>
      <c r="W143" s="49"/>
      <c r="X143" s="49"/>
      <c r="Y143" s="49"/>
      <c r="Z143" s="49"/>
      <c r="AA143" s="49"/>
      <c r="AC143" s="81">
        <f>AC108/(AC107+AC111-AC106)</f>
        <v>0.25062860459696928</v>
      </c>
    </row>
    <row r="144" spans="2:29" x14ac:dyDescent="0.2">
      <c r="B144" s="20" t="s">
        <v>131</v>
      </c>
      <c r="M144" s="118">
        <f t="shared" ref="M144:Q145" si="143">M30/M5*365</f>
        <v>38.91839957099446</v>
      </c>
      <c r="N144" s="118">
        <f t="shared" si="143"/>
        <v>46.599434389140271</v>
      </c>
      <c r="O144" s="118">
        <f t="shared" si="143"/>
        <v>32.434254606365158</v>
      </c>
      <c r="P144" s="118">
        <f t="shared" si="143"/>
        <v>36.807273753914075</v>
      </c>
      <c r="Q144" s="118">
        <f t="shared" si="143"/>
        <v>35.565328335290403</v>
      </c>
      <c r="T144" s="118">
        <f t="shared" ref="T144:Z144" si="144">T30/T5*90</f>
        <v>34.518742678641154</v>
      </c>
      <c r="U144" s="118">
        <f t="shared" si="144"/>
        <v>27.380238238066674</v>
      </c>
      <c r="V144" s="118">
        <f t="shared" si="144"/>
        <v>30.322433737134528</v>
      </c>
      <c r="W144" s="118">
        <f t="shared" si="144"/>
        <v>29.326325848064979</v>
      </c>
      <c r="X144" s="118">
        <f t="shared" si="144"/>
        <v>34.45874001774623</v>
      </c>
      <c r="Y144" s="118">
        <f t="shared" si="144"/>
        <v>30.506856023506366</v>
      </c>
      <c r="Z144" s="118">
        <f t="shared" si="144"/>
        <v>36.911972827625249</v>
      </c>
      <c r="AA144" s="118">
        <f t="shared" ref="AA144" si="145">AA30/AA5*90</f>
        <v>42.235850005026641</v>
      </c>
      <c r="AC144" s="118">
        <f>AC30/AC5*365</f>
        <v>38.663429245711178</v>
      </c>
    </row>
    <row r="145" spans="2:29" x14ac:dyDescent="0.2">
      <c r="B145" s="20" t="s">
        <v>132</v>
      </c>
      <c r="M145" s="118">
        <f t="shared" si="143"/>
        <v>82.612536811106438</v>
      </c>
      <c r="N145" s="118">
        <f t="shared" si="143"/>
        <v>124.08004074411623</v>
      </c>
      <c r="O145" s="118">
        <f t="shared" si="143"/>
        <v>147.7112609490201</v>
      </c>
      <c r="P145" s="118">
        <f t="shared" si="143"/>
        <v>137.42057444314187</v>
      </c>
      <c r="Q145" s="118">
        <f t="shared" si="143"/>
        <v>120.68041341574629</v>
      </c>
      <c r="T145" s="118">
        <f t="shared" ref="T145:Z145" si="146">T31/T6*365</f>
        <v>524.82538616521151</v>
      </c>
      <c r="U145" s="118">
        <f t="shared" si="146"/>
        <v>445.76535555124974</v>
      </c>
      <c r="V145" s="118">
        <f t="shared" si="146"/>
        <v>458.07980554992912</v>
      </c>
      <c r="W145" s="118">
        <f t="shared" si="146"/>
        <v>502.25141120277902</v>
      </c>
      <c r="X145" s="118">
        <f t="shared" si="146"/>
        <v>473.27438903238624</v>
      </c>
      <c r="Y145" s="118">
        <f t="shared" si="146"/>
        <v>436.91181752873564</v>
      </c>
      <c r="Z145" s="118">
        <f t="shared" si="146"/>
        <v>548.84081632653067</v>
      </c>
      <c r="AA145" s="118">
        <f t="shared" ref="AA145" si="147">AA31/AA6*365</f>
        <v>654.88972162740902</v>
      </c>
      <c r="AC145" s="118">
        <f>AC31/AC6*365</f>
        <v>151.62039561747062</v>
      </c>
    </row>
    <row r="146" spans="2:29" x14ac:dyDescent="0.2">
      <c r="B146" s="20" t="s">
        <v>133</v>
      </c>
      <c r="M146" s="118">
        <f>M38/M6*365</f>
        <v>70.379329687280887</v>
      </c>
      <c r="N146" s="118">
        <f>N38/N6*365</f>
        <v>74.279740524312444</v>
      </c>
      <c r="O146" s="118">
        <f>O38/O6*365</f>
        <v>43.977566324280041</v>
      </c>
      <c r="P146" s="118">
        <f>P38/P6*365</f>
        <v>55.284876905041038</v>
      </c>
      <c r="Q146" s="118">
        <f>Q38/Q6*365</f>
        <v>51.611865437227685</v>
      </c>
      <c r="T146" s="118">
        <f t="shared" ref="T146:Z146" si="148">T38/T6*90</f>
        <v>52.061786433848219</v>
      </c>
      <c r="U146" s="118">
        <f t="shared" si="148"/>
        <v>45.008719240457275</v>
      </c>
      <c r="V146" s="118">
        <f t="shared" si="148"/>
        <v>45.191411788535554</v>
      </c>
      <c r="W146" s="118">
        <f t="shared" si="148"/>
        <v>45.664350846721668</v>
      </c>
      <c r="X146" s="118">
        <f t="shared" si="148"/>
        <v>49.908603218756205</v>
      </c>
      <c r="Y146" s="118">
        <f t="shared" si="148"/>
        <v>43.787715517241381</v>
      </c>
      <c r="Z146" s="118">
        <f t="shared" si="148"/>
        <v>54.60612244897959</v>
      </c>
      <c r="AA146" s="118">
        <f t="shared" ref="AA146" si="149">AA38/AA6*90</f>
        <v>55.83083511777302</v>
      </c>
      <c r="AC146" s="118">
        <f>AC38/AC6*365</f>
        <v>52.422041544792023</v>
      </c>
    </row>
    <row r="147" spans="2:29" x14ac:dyDescent="0.2">
      <c r="B147" s="20" t="s">
        <v>134</v>
      </c>
      <c r="M147" s="118">
        <f>M144+M145-M146</f>
        <v>51.151606694820003</v>
      </c>
      <c r="N147" s="118">
        <f t="shared" ref="N147:Q147" si="150">N144+N145-N146</f>
        <v>96.399734608944073</v>
      </c>
      <c r="O147" s="118">
        <f t="shared" si="150"/>
        <v>136.16794923110521</v>
      </c>
      <c r="P147" s="118">
        <f t="shared" si="150"/>
        <v>118.9429712920149</v>
      </c>
      <c r="Q147" s="118">
        <f t="shared" si="150"/>
        <v>104.633876313809</v>
      </c>
      <c r="T147" s="118">
        <f t="shared" ref="T147" si="151">T144+T145-T146</f>
        <v>507.28234241000445</v>
      </c>
      <c r="U147" s="118">
        <f t="shared" ref="U147" si="152">U144+U145-U146</f>
        <v>428.13687454885917</v>
      </c>
      <c r="V147" s="118">
        <f t="shared" ref="V147" si="153">V144+V145-V146</f>
        <v>443.21082749852809</v>
      </c>
      <c r="W147" s="118">
        <f t="shared" ref="W147" si="154">W144+W145-W146</f>
        <v>485.91338620412233</v>
      </c>
      <c r="X147" s="118">
        <f t="shared" ref="X147:Z147" si="155">X144+X145-X146</f>
        <v>457.82452583137626</v>
      </c>
      <c r="Y147" s="118">
        <f t="shared" si="155"/>
        <v>423.63095803500062</v>
      </c>
      <c r="Z147" s="118">
        <f t="shared" si="155"/>
        <v>531.14666670517636</v>
      </c>
      <c r="AA147" s="118">
        <f t="shared" ref="AA147" si="156">AA144+AA145-AA146</f>
        <v>641.29473651466265</v>
      </c>
      <c r="AC147" s="118">
        <f t="shared" ref="AC147" si="157">AC144+AC145-AC146</f>
        <v>137.86178331838977</v>
      </c>
    </row>
    <row r="148" spans="2:29" x14ac:dyDescent="0.2">
      <c r="B148" s="20" t="s">
        <v>243</v>
      </c>
      <c r="M148" s="118">
        <f>M107/M49</f>
        <v>1.5824120603015075</v>
      </c>
      <c r="N148" s="118">
        <f>N107/N49</f>
        <v>0.85949036806750678</v>
      </c>
      <c r="O148" s="118">
        <f>O107/O49</f>
        <v>0.71349798433807521</v>
      </c>
      <c r="P148" s="118">
        <f>P107/P49</f>
        <v>0.55697647864809319</v>
      </c>
      <c r="Q148" s="118">
        <f>Q107/Q49</f>
        <v>0.69843440535697443</v>
      </c>
      <c r="T148" s="118">
        <f t="shared" ref="T148:Z148" si="158">T107/T49</f>
        <v>0.55697647864809319</v>
      </c>
      <c r="U148" s="118">
        <f t="shared" si="158"/>
        <v>0.54229910714285712</v>
      </c>
      <c r="V148" s="118">
        <f t="shared" si="158"/>
        <v>0.52737305251009814</v>
      </c>
      <c r="W148" s="118">
        <f t="shared" si="158"/>
        <v>0.54349663714212204</v>
      </c>
      <c r="X148" s="118">
        <f t="shared" si="158"/>
        <v>0.69843440535697443</v>
      </c>
      <c r="Y148" s="118">
        <f t="shared" si="158"/>
        <v>0.64217917045897799</v>
      </c>
      <c r="Z148" s="118">
        <f t="shared" si="158"/>
        <v>0.55979177359043919</v>
      </c>
      <c r="AA148" s="118">
        <f t="shared" ref="AA148" si="159">AA107/AA49</f>
        <v>0.55210065803745756</v>
      </c>
      <c r="AC148" s="118">
        <f>AC107/AC49</f>
        <v>0.55210065803745756</v>
      </c>
    </row>
    <row r="149" spans="2:29" x14ac:dyDescent="0.2">
      <c r="B149" s="20" t="s">
        <v>247</v>
      </c>
      <c r="M149" s="175">
        <f>(M107-M106)/M49</f>
        <v>0.33477386934673364</v>
      </c>
      <c r="N149" s="175">
        <f>(N107-N106)/N49</f>
        <v>0.50519069560872698</v>
      </c>
      <c r="O149" s="175">
        <f>(O107-O106)/O49</f>
        <v>0.18877716509892961</v>
      </c>
      <c r="P149" s="175">
        <f>(P107-P106)/P49</f>
        <v>5.0772626931567331E-2</v>
      </c>
      <c r="Q149" s="175">
        <f>(Q107-Q106)/Q49</f>
        <v>0.21956050174478922</v>
      </c>
      <c r="T149" s="175">
        <f t="shared" ref="T149:Z149" si="160">(T107-T106)/T49</f>
        <v>5.0772626931567331E-2</v>
      </c>
      <c r="U149" s="175">
        <f t="shared" si="160"/>
        <v>1.011904761904762E-2</v>
      </c>
      <c r="V149" s="175">
        <f t="shared" si="160"/>
        <v>2.8022215810732835E-2</v>
      </c>
      <c r="W149" s="175">
        <f t="shared" si="160"/>
        <v>0.17556690800837957</v>
      </c>
      <c r="X149" s="175">
        <f t="shared" si="160"/>
        <v>0.21956050174478922</v>
      </c>
      <c r="Y149" s="175">
        <f t="shared" si="160"/>
        <v>0.12980540025137607</v>
      </c>
      <c r="Z149" s="175">
        <f t="shared" si="160"/>
        <v>0.20056455751887969</v>
      </c>
      <c r="AA149" s="175">
        <f t="shared" ref="AA149" si="161">(AA107-AA106)/AA49</f>
        <v>0.25186202906934702</v>
      </c>
      <c r="AC149" s="175">
        <f>(AC107-AC106)/AC49</f>
        <v>0.25186202906934702</v>
      </c>
    </row>
    <row r="150" spans="2:29" x14ac:dyDescent="0.2">
      <c r="B150" s="20" t="s">
        <v>244</v>
      </c>
      <c r="M150" s="118">
        <f>(M106+M30)/M40</f>
        <v>1.3382143753660782</v>
      </c>
      <c r="N150" s="118">
        <f>(N106+N30)/N40</f>
        <v>1.0133996291926513</v>
      </c>
      <c r="O150" s="118">
        <f>(O106+O30)/O40</f>
        <v>1.5067511425010387</v>
      </c>
      <c r="P150" s="118">
        <f>(P106+P30)/P40</f>
        <v>1.6402322924600152</v>
      </c>
      <c r="Q150" s="118">
        <f>(Q106+Q30)/Q40</f>
        <v>1.5824584426946631</v>
      </c>
      <c r="T150" s="118">
        <f t="shared" ref="T150:Z150" si="162">(T106+T30)/T40</f>
        <v>1.6402322924600152</v>
      </c>
      <c r="U150" s="118">
        <f t="shared" si="162"/>
        <v>1.7937512557765722</v>
      </c>
      <c r="V150" s="118">
        <f t="shared" si="162"/>
        <v>1.838327745180218</v>
      </c>
      <c r="W150" s="118">
        <f t="shared" si="162"/>
        <v>1.7206410256410256</v>
      </c>
      <c r="X150" s="118">
        <f t="shared" si="162"/>
        <v>1.5824584426946631</v>
      </c>
      <c r="Y150" s="118">
        <f t="shared" si="162"/>
        <v>1.6264508246792915</v>
      </c>
      <c r="Z150" s="118">
        <f t="shared" si="162"/>
        <v>1.4483464728166273</v>
      </c>
      <c r="AA150" s="118">
        <f t="shared" ref="AA150" si="163">(AA106+AA30)/AA40</f>
        <v>1.1365986156137737</v>
      </c>
      <c r="AC150" s="118">
        <f>(AC106+AC30)/AC40</f>
        <v>1.1365986156137737</v>
      </c>
    </row>
    <row r="151" spans="2:29" x14ac:dyDescent="0.2">
      <c r="B151" s="20" t="s">
        <v>245</v>
      </c>
      <c r="M151" s="118">
        <f>M32/M40</f>
        <v>1.6797757509831812</v>
      </c>
      <c r="N151" s="118">
        <f>N32/N40</f>
        <v>1.7465026125063206</v>
      </c>
      <c r="O151" s="118">
        <f>O32/O40</f>
        <v>2.3331948483589531</v>
      </c>
      <c r="P151" s="118">
        <f>P32/P40</f>
        <v>2.402037319116527</v>
      </c>
      <c r="Q151" s="118">
        <f>Q32/Q40</f>
        <v>2.8164916885389326</v>
      </c>
      <c r="T151" s="118">
        <f t="shared" ref="T151:Z151" si="164">T32/T40</f>
        <v>2.402037319116527</v>
      </c>
      <c r="U151" s="118">
        <f t="shared" si="164"/>
        <v>2.6185453084187262</v>
      </c>
      <c r="V151" s="118">
        <f t="shared" si="164"/>
        <v>2.732606873428332</v>
      </c>
      <c r="W151" s="118">
        <f t="shared" si="164"/>
        <v>3.193974358974359</v>
      </c>
      <c r="X151" s="118">
        <f t="shared" si="164"/>
        <v>2.8164916885389326</v>
      </c>
      <c r="Y151" s="118">
        <f t="shared" si="164"/>
        <v>2.5053960496843821</v>
      </c>
      <c r="Z151" s="118">
        <f t="shared" si="164"/>
        <v>2.3663356199447119</v>
      </c>
      <c r="AA151" s="118">
        <f t="shared" ref="AA151" si="165">AA32/AA40</f>
        <v>2.0155962498904758</v>
      </c>
      <c r="AC151" s="118">
        <f>AC32/AC40</f>
        <v>2.0155962498904758</v>
      </c>
    </row>
    <row r="152" spans="2:29" x14ac:dyDescent="0.2">
      <c r="B152" s="20" t="s">
        <v>251</v>
      </c>
      <c r="M152" s="177">
        <f>IF(M13&gt;=0,"N/A",IF(M12&lt;=0,"N/A",M12/-M13))</f>
        <v>17.511627906976745</v>
      </c>
      <c r="N152" s="177">
        <f>IF(N13&gt;=0,"N/A",IF(N12&lt;=0,"N/A",N12/-N13))</f>
        <v>32.367346938775512</v>
      </c>
      <c r="O152" s="177">
        <f>IF(O13&gt;=0,"N/A",IF(O12&lt;=0,"N/A",O12/-O13))</f>
        <v>11.221902017291066</v>
      </c>
      <c r="P152" s="177">
        <f>IF(P13&gt;=0,"N/A",IF(P12&lt;=0,"N/A",P12/-P13))</f>
        <v>14.449067431850789</v>
      </c>
      <c r="Q152" s="177">
        <f>IF(Q13&gt;=0,"N/A",IF(Q12&lt;=0,"N/A",Q12/-Q13))</f>
        <v>18.606927710843372</v>
      </c>
      <c r="T152" s="177">
        <f t="shared" ref="T152:Z152" si="166">IF(T13&gt;=0,"N/A",IF(T12&lt;=0,"N/A",T12/-T13))</f>
        <v>14.5</v>
      </c>
      <c r="U152" s="177">
        <f t="shared" si="166"/>
        <v>21.809815950920246</v>
      </c>
      <c r="V152" s="177">
        <f t="shared" si="166"/>
        <v>19.141104294478527</v>
      </c>
      <c r="W152" s="177">
        <f t="shared" si="166"/>
        <v>16.44047619047619</v>
      </c>
      <c r="X152" s="177">
        <f t="shared" si="166"/>
        <v>17.064327485380115</v>
      </c>
      <c r="Y152" s="177">
        <f t="shared" si="166"/>
        <v>19.917159763313609</v>
      </c>
      <c r="Z152" s="177">
        <f t="shared" si="166"/>
        <v>13.502923976608187</v>
      </c>
      <c r="AA152" s="177">
        <f t="shared" ref="AA152" si="167">IF(AA13&gt;=0,"N/A",IF(AA12&lt;=0,"N/A",AA12/-AA13))</f>
        <v>9.1348314606741567</v>
      </c>
      <c r="AC152" s="177">
        <f>IF(AC13&gt;=0,"N/A",IF(AC12&lt;=0,"N/A",AC12/-AC13))</f>
        <v>14.831640058055152</v>
      </c>
    </row>
    <row r="153" spans="2:29" x14ac:dyDescent="0.2">
      <c r="B153" s="20" t="s">
        <v>229</v>
      </c>
      <c r="M153" s="72">
        <f>M116/Statement!M26</f>
        <v>17.011435832274458</v>
      </c>
      <c r="N153" s="72">
        <f>N116/Statement!N26</f>
        <v>10.621384750219105</v>
      </c>
      <c r="O153" s="72">
        <f>O116/Statement!O26</f>
        <v>16.515337423312886</v>
      </c>
      <c r="P153" s="72">
        <f>P116/Statement!P26</f>
        <v>19.030201342281881</v>
      </c>
      <c r="Q153" s="72">
        <f>Q116/Statement!Q26</f>
        <v>16.632506004803844</v>
      </c>
      <c r="T153" s="49"/>
      <c r="U153" s="49"/>
      <c r="V153" s="49"/>
      <c r="W153" s="49"/>
      <c r="X153" s="49"/>
      <c r="Y153" s="49"/>
      <c r="Z153" s="49"/>
      <c r="AA153" s="49"/>
      <c r="AC153" s="72">
        <f ca="1">AC116/Statement!AC26</f>
        <v>20.161967727378276</v>
      </c>
    </row>
    <row r="154" spans="2:29" x14ac:dyDescent="0.2">
      <c r="B154" s="20" t="s">
        <v>193</v>
      </c>
      <c r="M154" s="72">
        <f>M116/(Statement!M5/Statement!M22)</f>
        <v>4.5828552702139067</v>
      </c>
      <c r="N154" s="72">
        <f>N116/(Statement!N5/Statement!N22)</f>
        <v>3.1174893665158372</v>
      </c>
      <c r="O154" s="72">
        <f>O116/(Statement!O5/Statement!O22)</f>
        <v>3.3849156895589059</v>
      </c>
      <c r="P154" s="72">
        <f>P116/(Statement!P5/Statement!P22)</f>
        <v>4.9342153893537288</v>
      </c>
      <c r="Q154" s="72">
        <f>Q116/(Statement!Q5/Statement!Q22)</f>
        <v>4.2219763345677892</v>
      </c>
      <c r="T154" s="49"/>
      <c r="U154" s="49"/>
      <c r="V154" s="49"/>
      <c r="W154" s="49"/>
      <c r="X154" s="49"/>
      <c r="Y154" s="49"/>
      <c r="Z154" s="49"/>
      <c r="AA154" s="49"/>
      <c r="AC154" s="72">
        <f ca="1">AC116/(Statement!AC5/Statement!AC22)</f>
        <v>4.3498865389852046</v>
      </c>
    </row>
    <row r="155" spans="2:29" x14ac:dyDescent="0.2">
      <c r="B155" s="20" t="s">
        <v>230</v>
      </c>
      <c r="M155" s="72">
        <f>M116/(Statement!M49/Statement!M75)</f>
        <v>15.069909547738693</v>
      </c>
      <c r="N155" s="72">
        <f>N116/(Statement!N49/Statement!N75)</f>
        <v>7.5419968911341808</v>
      </c>
      <c r="O155" s="72">
        <f>O116/(Statement!O49/Statement!O75)</f>
        <v>5.5533960428154394</v>
      </c>
      <c r="P155" s="72">
        <f>P116/(Statement!P49/Statement!P75)</f>
        <v>7.1939723681205754</v>
      </c>
      <c r="Q155" s="72">
        <f>Q116/(Statement!Q49/Statement!Q75)</f>
        <v>8.5453739507686493</v>
      </c>
      <c r="T155" s="72">
        <f>T116/(Statement!T49/Statement!T75)</f>
        <v>7.1939723681205754</v>
      </c>
      <c r="U155" s="72">
        <f>U116/(Statement!U49/Statement!U75)</f>
        <v>6.4697708333333335</v>
      </c>
      <c r="V155" s="72">
        <f>V116/(Statement!V49/Statement!V75)</f>
        <v>6.0475533756491631</v>
      </c>
      <c r="W155" s="72">
        <f>W116/(Statement!W49/Statement!W75)</f>
        <v>6.2870616340181558</v>
      </c>
      <c r="X155" s="72">
        <f>X116/(Statement!X49/Statement!X75)</f>
        <v>8.5453739507686493</v>
      </c>
      <c r="Y155" s="72">
        <f>Y116/(Statement!Y49/Statement!Y75)</f>
        <v>8.084005981016773</v>
      </c>
      <c r="Z155" s="72">
        <f>Z116/(Statement!Z49/Statement!Z75)</f>
        <v>4.9114282572036077</v>
      </c>
      <c r="AA155" s="72">
        <f>AA116/(Statement!AA49/Statement!AA75)</f>
        <v>7.1899450430255261</v>
      </c>
      <c r="AC155" s="72">
        <f ca="1">AC116/(Statement!AC49/Statement!AC75)</f>
        <v>6.772723985826886</v>
      </c>
    </row>
    <row r="156" spans="2:29" x14ac:dyDescent="0.2">
      <c r="B156" s="20" t="s">
        <v>231</v>
      </c>
      <c r="M156" s="141">
        <f>Statement!M116*Statement!M78</f>
        <v>152355.44</v>
      </c>
      <c r="N156" s="141">
        <f>Statement!N116*Statement!N78</f>
        <v>137550.65</v>
      </c>
      <c r="O156" s="141">
        <f>Statement!O116*Statement!O78</f>
        <v>120816.96000000001</v>
      </c>
      <c r="P156" s="141">
        <f>Statement!P116*Statement!P78</f>
        <v>191396.25</v>
      </c>
      <c r="Q156" s="141">
        <f>Statement!Q116*Statement!Q78</f>
        <v>182736</v>
      </c>
      <c r="T156" s="141">
        <f>Statement!T116*Statement!T78</f>
        <v>191396.25</v>
      </c>
      <c r="U156" s="141">
        <f>Statement!U116*Statement!U78</f>
        <v>175794.32</v>
      </c>
      <c r="V156" s="141">
        <f>Statement!V116*Statement!V78</f>
        <v>169213.76</v>
      </c>
      <c r="W156" s="141">
        <f>Statement!W116*Statement!W78</f>
        <v>172174.44</v>
      </c>
      <c r="X156" s="141">
        <f>Statement!X116*Statement!X78</f>
        <v>182736</v>
      </c>
      <c r="Y156" s="141">
        <f>Statement!Y116*Statement!Y78</f>
        <v>188095.56</v>
      </c>
      <c r="Z156" s="141">
        <f>Statement!Z116*Statement!Z78</f>
        <v>134736.6</v>
      </c>
      <c r="AA156" s="141">
        <f>Statement!AA116*Statement!AA78</f>
        <v>201132.18</v>
      </c>
      <c r="AC156" s="141">
        <f ca="1">Statement!AC116*Statement!AC78</f>
        <v>189460.80000000002</v>
      </c>
    </row>
    <row r="157" spans="2:29" x14ac:dyDescent="0.2">
      <c r="B157" s="20" t="s">
        <v>180</v>
      </c>
      <c r="M157" s="141">
        <f>M156+M107-M106+M48+M45</f>
        <v>155686.44</v>
      </c>
      <c r="N157" s="141">
        <f>N156+N107-N106+N48+N45</f>
        <v>146650.65</v>
      </c>
      <c r="O157" s="141">
        <f>O156+O107-O106+O48+O45</f>
        <v>124890.96000000002</v>
      </c>
      <c r="P157" s="141">
        <f>P156+P107-P106+P48+P45</f>
        <v>192730.25</v>
      </c>
      <c r="Q157" s="141">
        <f>Q156+Q107-Q106+Q48+Q45</f>
        <v>187392</v>
      </c>
      <c r="T157" s="141">
        <f t="shared" ref="T157:Z157" si="168">T156+T107-T106+T48+T45</f>
        <v>192730.25</v>
      </c>
      <c r="U157" s="141">
        <f t="shared" si="168"/>
        <v>176066.32</v>
      </c>
      <c r="V157" s="141">
        <f t="shared" si="168"/>
        <v>169990.76</v>
      </c>
      <c r="W157" s="141">
        <f t="shared" si="168"/>
        <v>176951.44</v>
      </c>
      <c r="X157" s="141">
        <f t="shared" si="168"/>
        <v>187392</v>
      </c>
      <c r="Y157" s="141">
        <f t="shared" si="168"/>
        <v>191090.56</v>
      </c>
      <c r="Z157" s="141">
        <f t="shared" si="168"/>
        <v>140207.6</v>
      </c>
      <c r="AA157" s="141">
        <f t="shared" ref="AA157" si="169">AA156+AA107-AA106+AA48+AA45</f>
        <v>208098.18</v>
      </c>
      <c r="AC157" s="141">
        <f ca="1">AC156+AC107-AC106+AC48+AC45</f>
        <v>196426.80000000002</v>
      </c>
    </row>
    <row r="158" spans="2:29" x14ac:dyDescent="0.2">
      <c r="B158" s="20" t="s">
        <v>252</v>
      </c>
      <c r="M158" s="179">
        <f>M157/M5</f>
        <v>4.6382184353214564</v>
      </c>
      <c r="N158" s="179">
        <f>N157/N5</f>
        <v>3.3178880090497738</v>
      </c>
      <c r="O158" s="179">
        <f>O157/O5</f>
        <v>3.4866264656616419</v>
      </c>
      <c r="P158" s="179">
        <f>P157/P5</f>
        <v>4.946621066680355</v>
      </c>
      <c r="Q158" s="179">
        <f>Q157/Q5</f>
        <v>4.231596061783037</v>
      </c>
      <c r="T158" s="49"/>
      <c r="U158" s="49"/>
      <c r="V158" s="49"/>
      <c r="W158" s="49"/>
      <c r="X158" s="49"/>
      <c r="Y158" s="49"/>
      <c r="Z158" s="49"/>
      <c r="AA158" s="49"/>
      <c r="AC158" s="179">
        <f ca="1">AC157/AC5</f>
        <v>4.457356812199329</v>
      </c>
    </row>
    <row r="159" spans="2:29" x14ac:dyDescent="0.2">
      <c r="B159" s="20" t="s">
        <v>196</v>
      </c>
      <c r="M159" s="179">
        <f>M157/M12</f>
        <v>15.904223107569722</v>
      </c>
      <c r="N159" s="179">
        <f>N157/N12</f>
        <v>9.2465731399747781</v>
      </c>
      <c r="O159" s="179">
        <f>O157/O12</f>
        <v>16.036332819722652</v>
      </c>
      <c r="P159" s="179">
        <f>P157/P12</f>
        <v>19.137151226293316</v>
      </c>
      <c r="Q159" s="179">
        <f>Q157/Q12</f>
        <v>15.167300687980575</v>
      </c>
      <c r="T159" s="49"/>
      <c r="U159" s="49"/>
      <c r="V159" s="49"/>
      <c r="W159" s="49"/>
      <c r="X159" s="49"/>
      <c r="Y159" s="49"/>
      <c r="Z159" s="49"/>
      <c r="AA159" s="49"/>
      <c r="AC159" s="179">
        <f ca="1">AC157/AC12</f>
        <v>19.221724239162345</v>
      </c>
    </row>
    <row r="160" spans="2:29" x14ac:dyDescent="0.2">
      <c r="B160" s="20" t="s">
        <v>253</v>
      </c>
      <c r="M160" s="64">
        <f>M59-M54+M109+M65</f>
        <v>6985</v>
      </c>
      <c r="N160" s="64">
        <f>N59-N54+N109+N65</f>
        <v>4803</v>
      </c>
      <c r="O160" s="64">
        <f>O59-O54+O109+O65</f>
        <v>7365</v>
      </c>
      <c r="P160" s="64">
        <f>P59-P54+P109+P65</f>
        <v>8513</v>
      </c>
      <c r="Q160" s="64">
        <f>Q59-Q54+Q109+Q65</f>
        <v>10037</v>
      </c>
      <c r="T160" s="64">
        <f t="shared" ref="T160:Z160" si="170">T59-T54+T109+T65</f>
        <v>0</v>
      </c>
      <c r="U160" s="64">
        <f t="shared" si="170"/>
        <v>3551</v>
      </c>
      <c r="V160" s="64">
        <f t="shared" si="170"/>
        <v>1638</v>
      </c>
      <c r="W160" s="64">
        <f t="shared" si="170"/>
        <v>1922</v>
      </c>
      <c r="X160" s="64">
        <f t="shared" si="170"/>
        <v>2926</v>
      </c>
      <c r="Y160" s="64">
        <f t="shared" si="170"/>
        <v>3528</v>
      </c>
      <c r="Z160" s="64">
        <f t="shared" si="170"/>
        <v>1055</v>
      </c>
      <c r="AA160" s="64">
        <f t="shared" ref="AA160" si="171">AA59-AA54+AA109+AA65</f>
        <v>-335</v>
      </c>
      <c r="AC160" s="64">
        <f>AC59-AC54+AC109+AC65</f>
        <v>7174</v>
      </c>
    </row>
    <row r="161" spans="2:29" x14ac:dyDescent="0.2">
      <c r="B161" s="20" t="s">
        <v>254</v>
      </c>
      <c r="M161" s="64">
        <f>M108+M53+M109+M55+M57+M58+M56</f>
        <v>7849.1112517033289</v>
      </c>
      <c r="N161" s="64">
        <f>N108+N53+N109+N55+N57+N58+N56</f>
        <v>5262.3616482197631</v>
      </c>
      <c r="O161" s="64">
        <f>O108+O53+O109+O55+O57+O58+O56</f>
        <v>11270.179363160016</v>
      </c>
      <c r="P161" s="64">
        <f>P108+P53+P109+P55+P57+P58+P56</f>
        <v>11195.794311145512</v>
      </c>
      <c r="Q161" s="64">
        <f>Q108+Q53+Q109+Q55+Q57+Q58+Q56</f>
        <v>11791.587064676618</v>
      </c>
      <c r="T161" s="49"/>
      <c r="U161" s="49"/>
      <c r="V161" s="49"/>
      <c r="W161" s="49"/>
      <c r="X161" s="49"/>
      <c r="Y161" s="49"/>
      <c r="Z161" s="49"/>
      <c r="AA161" s="49"/>
      <c r="AC161" s="64">
        <f>AC108+AC53+AC109+AC55+AC57+AC58+AC56</f>
        <v>7780.7648055654645</v>
      </c>
    </row>
    <row r="162" spans="2:29" x14ac:dyDescent="0.2">
      <c r="B162" s="20" t="s">
        <v>255</v>
      </c>
      <c r="M162" s="72">
        <f>M156/M160</f>
        <v>21.811802433786685</v>
      </c>
      <c r="N162" s="72">
        <f t="shared" ref="N162:Q162" si="172">N156/N160</f>
        <v>28.638486362689985</v>
      </c>
      <c r="O162" s="72">
        <f t="shared" si="172"/>
        <v>16.404203665987779</v>
      </c>
      <c r="P162" s="72">
        <f t="shared" si="172"/>
        <v>22.482820392341125</v>
      </c>
      <c r="Q162" s="72">
        <f t="shared" si="172"/>
        <v>18.206236923383482</v>
      </c>
      <c r="T162" s="49"/>
      <c r="U162" s="49"/>
      <c r="V162" s="49"/>
      <c r="W162" s="49"/>
      <c r="X162" s="49"/>
      <c r="Y162" s="49"/>
      <c r="Z162" s="49"/>
      <c r="AA162" s="49"/>
      <c r="AC162" s="72">
        <f t="shared" ref="AC162:AC163" ca="1" si="173">AC156/AC160</f>
        <v>26.409367159185951</v>
      </c>
    </row>
    <row r="163" spans="2:29" x14ac:dyDescent="0.2">
      <c r="B163" s="20" t="s">
        <v>256</v>
      </c>
      <c r="M163" s="72">
        <f>M157/M161</f>
        <v>19.834913152264804</v>
      </c>
      <c r="N163" s="72">
        <f t="shared" ref="N163:Q163" si="174">N157/N161</f>
        <v>27.867839537332323</v>
      </c>
      <c r="O163" s="72">
        <f t="shared" si="174"/>
        <v>11.081541471136106</v>
      </c>
      <c r="P163" s="72">
        <f t="shared" si="174"/>
        <v>17.214522225380236</v>
      </c>
      <c r="Q163" s="72">
        <f t="shared" si="174"/>
        <v>15.89200834223236</v>
      </c>
      <c r="T163" s="49"/>
      <c r="U163" s="49"/>
      <c r="V163" s="49"/>
      <c r="W163" s="49"/>
      <c r="X163" s="49"/>
      <c r="Y163" s="49"/>
      <c r="Z163" s="49"/>
      <c r="AA163" s="49"/>
      <c r="AC163" s="72">
        <f t="shared" ca="1" si="173"/>
        <v>25.245178964862024</v>
      </c>
    </row>
    <row r="164" spans="2:29" x14ac:dyDescent="0.2">
      <c r="B164" s="20" t="s">
        <v>257</v>
      </c>
      <c r="M164" s="74">
        <f>M160/M156</f>
        <v>4.5846738390174974E-2</v>
      </c>
      <c r="N164" s="74">
        <f t="shared" ref="N164:Q164" si="175">N160/N156</f>
        <v>3.4918046552306369E-2</v>
      </c>
      <c r="O164" s="74">
        <f t="shared" si="175"/>
        <v>6.0959984426027604E-2</v>
      </c>
      <c r="P164" s="74">
        <f t="shared" si="175"/>
        <v>4.4478405402404698E-2</v>
      </c>
      <c r="Q164" s="74">
        <f t="shared" si="175"/>
        <v>5.4926232378951056E-2</v>
      </c>
      <c r="T164" s="49"/>
      <c r="U164" s="49"/>
      <c r="V164" s="49"/>
      <c r="W164" s="49"/>
      <c r="X164" s="49"/>
      <c r="Y164" s="49"/>
      <c r="Z164" s="49"/>
      <c r="AA164" s="49"/>
      <c r="AC164" s="74">
        <f t="shared" ref="AC164" ca="1" si="176">AC160/AC156</f>
        <v>3.7865352621756054E-2</v>
      </c>
    </row>
    <row r="165" spans="2:29" x14ac:dyDescent="0.2">
      <c r="B165" s="20" t="s">
        <v>258</v>
      </c>
      <c r="M165" s="74">
        <f>M26/M116</f>
        <v>5.8783985658798929E-2</v>
      </c>
      <c r="N165" s="74">
        <f>N26/N116</f>
        <v>9.4149682317022865E-2</v>
      </c>
      <c r="O165" s="74">
        <f>O26/O116</f>
        <v>6.0549777117384837E-2</v>
      </c>
      <c r="P165" s="74">
        <f>P26/P116</f>
        <v>5.254805149003703E-2</v>
      </c>
      <c r="Q165" s="74">
        <f>Q26/Q116</f>
        <v>6.0123230961779149E-2</v>
      </c>
      <c r="T165" s="49"/>
      <c r="U165" s="49"/>
      <c r="V165" s="49"/>
      <c r="W165" s="49"/>
      <c r="X165" s="49"/>
      <c r="Y165" s="49"/>
      <c r="Z165" s="49"/>
      <c r="AA165" s="49"/>
      <c r="AC165" s="74">
        <f ca="1">AC26/AC116</f>
        <v>4.9598333531805185E-2</v>
      </c>
    </row>
    <row r="166" spans="2:29" x14ac:dyDescent="0.2">
      <c r="B166" s="20" t="s">
        <v>259</v>
      </c>
      <c r="M166" s="152">
        <f>M82/M116</f>
        <v>1.9868538990140426E-2</v>
      </c>
      <c r="N166" s="152">
        <f>N82/N116</f>
        <v>2.3599306873504415E-2</v>
      </c>
      <c r="O166" s="152">
        <f>O82/O116</f>
        <v>2.8789004457652301E-2</v>
      </c>
      <c r="P166" s="152">
        <f>P82/P116</f>
        <v>1.9396931758067358E-2</v>
      </c>
      <c r="Q166" s="152">
        <f>Q82/Q116</f>
        <v>2.0567375886524825E-2</v>
      </c>
      <c r="T166" s="49"/>
      <c r="U166" s="49"/>
      <c r="V166" s="49"/>
      <c r="W166" s="49"/>
      <c r="X166" s="49"/>
      <c r="Y166" s="49"/>
      <c r="Z166" s="49"/>
      <c r="AA166" s="49"/>
      <c r="AC166" s="152">
        <f ca="1">AC82/AC116</f>
        <v>2.0123318385650221E-2</v>
      </c>
    </row>
    <row r="167" spans="2:29" x14ac:dyDescent="0.2">
      <c r="B167" s="20" t="s">
        <v>284</v>
      </c>
      <c r="M167" s="152">
        <f>-M63/M156</f>
        <v>2.2093073932903214E-2</v>
      </c>
      <c r="N167" s="152">
        <f>-N63/N156</f>
        <v>2.2747984106218328E-2</v>
      </c>
      <c r="O167" s="152">
        <f>-O63/O156</f>
        <v>2.4607472328388332E-2</v>
      </c>
      <c r="P167" s="152">
        <f>-P63/P156</f>
        <v>2.1531247346800158E-2</v>
      </c>
      <c r="Q167" s="152">
        <f>-Q63/Q156</f>
        <v>4.8107652569827512E-2</v>
      </c>
      <c r="T167" s="49"/>
      <c r="U167" s="49"/>
      <c r="V167" s="49"/>
      <c r="W167" s="49"/>
      <c r="X167" s="49"/>
      <c r="Y167" s="49"/>
      <c r="Z167" s="49"/>
      <c r="AA167" s="49"/>
      <c r="AC167" s="152">
        <f ca="1">-AC63/AC156</f>
        <v>4.8822764392423126E-2</v>
      </c>
    </row>
    <row r="168" spans="2:29" x14ac:dyDescent="0.2">
      <c r="B168" s="20" t="s">
        <v>286</v>
      </c>
      <c r="M168" s="152">
        <f>-(M63+M64)/M156</f>
        <v>4.1836379455830394E-2</v>
      </c>
      <c r="N168" s="152">
        <f>-(N63+N64)/N156</f>
        <v>4.6099382300265397E-2</v>
      </c>
      <c r="O168" s="152">
        <f>-(O63+O64)/O156</f>
        <v>5.3262389651254259E-2</v>
      </c>
      <c r="P168" s="152">
        <f>-(P63+P64)/P156</f>
        <v>4.0794947654408067E-2</v>
      </c>
      <c r="Q168" s="152">
        <f>-(Q63+Q64)/Q156</f>
        <v>6.893004115226338E-2</v>
      </c>
      <c r="T168" s="49"/>
      <c r="U168" s="49"/>
      <c r="V168" s="49"/>
      <c r="W168" s="49"/>
      <c r="X168" s="49"/>
      <c r="Y168" s="49"/>
      <c r="Z168" s="49"/>
      <c r="AA168" s="49"/>
      <c r="AC168" s="152">
        <f ca="1">-(AC63+AC64)/AC156</f>
        <v>6.9011637235776468E-2</v>
      </c>
    </row>
    <row r="169" spans="2:29" x14ac:dyDescent="0.2">
      <c r="B169" s="20" t="s">
        <v>343</v>
      </c>
      <c r="M169" s="220">
        <f>M161/M5</f>
        <v>0.23384112648821215</v>
      </c>
      <c r="N169" s="220">
        <f>N161/N5</f>
        <v>0.11905795584207608</v>
      </c>
      <c r="O169" s="220">
        <f>O161/O5</f>
        <v>0.31463370639754373</v>
      </c>
      <c r="P169" s="220">
        <f>P161/P5</f>
        <v>0.28735163264579622</v>
      </c>
      <c r="Q169" s="220">
        <f>Q161/Q5</f>
        <v>0.26627195069724097</v>
      </c>
      <c r="T169" s="49"/>
      <c r="U169" s="49"/>
      <c r="V169" s="49"/>
      <c r="W169" s="49"/>
      <c r="X169" s="49"/>
      <c r="Y169" s="49"/>
      <c r="Z169" s="49"/>
      <c r="AA169" s="49"/>
      <c r="AC169" s="152">
        <f>AC161/AC5</f>
        <v>0.17656269414462794</v>
      </c>
    </row>
    <row r="170" spans="2:29" x14ac:dyDescent="0.2">
      <c r="B170" s="20" t="s">
        <v>344</v>
      </c>
      <c r="M170" s="220">
        <f>M160/M5</f>
        <v>0.20809747959244473</v>
      </c>
      <c r="N170" s="220">
        <f>N160/N5</f>
        <v>0.10866515837104072</v>
      </c>
      <c r="O170" s="220">
        <f>O160/O5</f>
        <v>0.20561139028475711</v>
      </c>
      <c r="P170" s="220">
        <f>P160/P5</f>
        <v>0.21849494379138648</v>
      </c>
      <c r="Q170" s="220">
        <f>Q160/Q5</f>
        <v>0.22665070905970552</v>
      </c>
      <c r="T170" s="49"/>
      <c r="U170" s="49"/>
      <c r="V170" s="49"/>
      <c r="W170" s="49"/>
      <c r="X170" s="49"/>
      <c r="Y170" s="49"/>
      <c r="Z170" s="49"/>
      <c r="AA170" s="49"/>
      <c r="AC170" s="152">
        <f>AC160/AC5</f>
        <v>0.16279386402831986</v>
      </c>
    </row>
    <row r="171" spans="2:29" x14ac:dyDescent="0.2">
      <c r="B171" s="20" t="s">
        <v>262</v>
      </c>
      <c r="M171" s="152">
        <f>-M64/M160</f>
        <v>0.43063707945597707</v>
      </c>
      <c r="N171" s="152">
        <f>-N64/N160</f>
        <v>0.66874869872996046</v>
      </c>
      <c r="O171" s="152">
        <f>-O64/O160</f>
        <v>0.47006109979633404</v>
      </c>
      <c r="P171" s="152">
        <f>-P64/P160</f>
        <v>0.43310231410783506</v>
      </c>
      <c r="Q171" s="152">
        <f>-Q64/Q160</f>
        <v>0.37909733984258243</v>
      </c>
      <c r="T171" s="49"/>
      <c r="U171" s="49"/>
      <c r="V171" s="49"/>
      <c r="W171" s="49"/>
      <c r="X171" s="49"/>
      <c r="Y171" s="49"/>
      <c r="Z171" s="49"/>
      <c r="AA171" s="49"/>
      <c r="AC171" s="152">
        <f>-AC64/AC160</f>
        <v>0.53317535545023698</v>
      </c>
    </row>
    <row r="172" spans="2:29" x14ac:dyDescent="0.2">
      <c r="B172" s="20" t="s">
        <v>264</v>
      </c>
      <c r="M172" s="152">
        <f>-M63/M160</f>
        <v>0.48188976377952758</v>
      </c>
      <c r="N172" s="152">
        <f>-N63/N160</f>
        <v>0.65146783260462215</v>
      </c>
      <c r="O172" s="152">
        <f>-O63/O160</f>
        <v>0.40366598778004076</v>
      </c>
      <c r="P172" s="152">
        <f>-P63/P160</f>
        <v>0.48408316692117936</v>
      </c>
      <c r="Q172" s="152">
        <f>-Q63/Q160</f>
        <v>0.87585932051409787</v>
      </c>
      <c r="T172" s="49"/>
      <c r="U172" s="49"/>
      <c r="V172" s="49"/>
      <c r="W172" s="49"/>
      <c r="X172" s="49"/>
      <c r="Y172" s="49"/>
      <c r="Z172" s="49"/>
      <c r="AA172" s="49"/>
      <c r="AC172" s="152">
        <f>-AC63/AC160</f>
        <v>1.2893783105659324</v>
      </c>
    </row>
    <row r="173" spans="2:29" x14ac:dyDescent="0.2">
      <c r="B173" s="20" t="s">
        <v>275</v>
      </c>
      <c r="M173" s="152">
        <f>(-M64-M63)/M160</f>
        <v>0.9125268432355047</v>
      </c>
      <c r="N173" s="152">
        <f>(-N64-N63)/N160</f>
        <v>1.3202165313345826</v>
      </c>
      <c r="O173" s="152">
        <f>(-O64-O63)/O160</f>
        <v>0.87372708757637474</v>
      </c>
      <c r="P173" s="152">
        <f>(-P64-P63)/P160</f>
        <v>0.91718548102901443</v>
      </c>
      <c r="Q173" s="152">
        <f>(-Q64-Q63)/Q160</f>
        <v>1.2549566603566802</v>
      </c>
      <c r="T173" s="49"/>
      <c r="U173" s="49"/>
      <c r="V173" s="49"/>
      <c r="W173" s="49"/>
      <c r="X173" s="49"/>
      <c r="Y173" s="49"/>
      <c r="Z173" s="49"/>
      <c r="AA173" s="49"/>
      <c r="AC173" s="152">
        <f>(-AC64-AC63)/AC160</f>
        <v>1.8225536660161694</v>
      </c>
    </row>
    <row r="174" spans="2:29" x14ac:dyDescent="0.2">
      <c r="B174" s="20" t="s">
        <v>269</v>
      </c>
      <c r="M174" s="152">
        <f>M80/M78</f>
        <v>8.7873462214411243E-4</v>
      </c>
      <c r="N174" s="152">
        <f>N80/N78</f>
        <v>8.81057268722467E-4</v>
      </c>
      <c r="O174" s="152">
        <f>O80/O78</f>
        <v>8.9126559714795004E-4</v>
      </c>
      <c r="P174" s="152">
        <f>P80/P78</f>
        <v>8.8888888888888893E-4</v>
      </c>
      <c r="Q174" s="152">
        <f>Q80/Q78</f>
        <v>9.2592592592592596E-4</v>
      </c>
      <c r="T174" s="49"/>
      <c r="U174" s="49"/>
      <c r="V174" s="49"/>
      <c r="W174" s="49"/>
      <c r="X174" s="49"/>
      <c r="Y174" s="49"/>
      <c r="Z174" s="49"/>
      <c r="AA174" s="49"/>
      <c r="AC174" s="152">
        <f>AC80/AC78</f>
        <v>9.4161958568738226E-4</v>
      </c>
    </row>
    <row r="175" spans="2:29" x14ac:dyDescent="0.2">
      <c r="B175" s="20" t="s">
        <v>270</v>
      </c>
      <c r="M175" s="72">
        <f>M106/M75</f>
        <v>11.083928571428572</v>
      </c>
      <c r="N175" s="72">
        <f>N106/N75</f>
        <v>5.6931311329170384</v>
      </c>
      <c r="O175" s="72">
        <f>O106/O75</f>
        <v>10.174303683737646</v>
      </c>
      <c r="P175" s="72">
        <f>P106/P75</f>
        <v>11.971197119711972</v>
      </c>
      <c r="Q175" s="72">
        <f>Q106/Q75</f>
        <v>9.4817927170868348</v>
      </c>
      <c r="T175" s="72">
        <f t="shared" ref="T175:Z175" si="177">T106/T75</f>
        <v>11.971197119711972</v>
      </c>
      <c r="U175" s="72">
        <f t="shared" si="177"/>
        <v>12.933996383363471</v>
      </c>
      <c r="V175" s="72">
        <f t="shared" si="177"/>
        <v>12.610200364298725</v>
      </c>
      <c r="W175" s="72">
        <f t="shared" si="177"/>
        <v>9.2780352177942547</v>
      </c>
      <c r="X175" s="72">
        <f t="shared" si="177"/>
        <v>9.4817927170868348</v>
      </c>
      <c r="Y175" s="72">
        <f t="shared" si="177"/>
        <v>11.079662605435802</v>
      </c>
      <c r="Z175" s="72">
        <f t="shared" si="177"/>
        <v>9.2969639468690701</v>
      </c>
      <c r="AA175" s="72">
        <f t="shared" ref="AA175" si="178">AA106/AA75</f>
        <v>7.9085714285714284</v>
      </c>
      <c r="AC175" s="72">
        <f>AC106/AC75</f>
        <v>7.9085714285714284</v>
      </c>
    </row>
    <row r="176" spans="2:29" x14ac:dyDescent="0.2">
      <c r="B176" s="20" t="s">
        <v>272</v>
      </c>
      <c r="M176" s="152">
        <f>M54/M59</f>
        <v>0.15783978739559607</v>
      </c>
      <c r="N176" s="152">
        <f>N54/N59</f>
        <v>0.22328496042216359</v>
      </c>
      <c r="O176" s="152">
        <f>O54/O59</f>
        <v>0.21984246393486148</v>
      </c>
      <c r="P176" s="152">
        <f>P54/P59</f>
        <v>0.21701360432715949</v>
      </c>
      <c r="Q176" s="152">
        <f>Q54/Q59</f>
        <v>0.19861547245218383</v>
      </c>
      <c r="T176" s="152" t="e">
        <f t="shared" ref="T176:Z176" si="179">T54/T59</f>
        <v>#DIV/0!</v>
      </c>
      <c r="U176" s="152">
        <f t="shared" si="179"/>
        <v>0.16546762589928057</v>
      </c>
      <c r="V176" s="152">
        <f t="shared" si="179"/>
        <v>0.27486296006264682</v>
      </c>
      <c r="W176" s="152">
        <f t="shared" si="179"/>
        <v>0.22921739130434782</v>
      </c>
      <c r="X176" s="152">
        <f t="shared" si="179"/>
        <v>0.16591591591591592</v>
      </c>
      <c r="Y176" s="152">
        <f t="shared" si="179"/>
        <v>0.17885196374622356</v>
      </c>
      <c r="Z176" s="152">
        <f t="shared" si="179"/>
        <v>0.35157207023274806</v>
      </c>
      <c r="AA176" s="152">
        <f t="shared" ref="AA176" si="180">AA54/AA59</f>
        <v>0.83753784056508573</v>
      </c>
      <c r="AC176" s="152">
        <f>AC54/AC59</f>
        <v>0.26143052979598419</v>
      </c>
    </row>
    <row r="177" spans="1:31" x14ac:dyDescent="0.2">
      <c r="B177" s="20" t="s">
        <v>273</v>
      </c>
      <c r="M177" s="152">
        <f>M54/M5</f>
        <v>4.9544181612345826E-2</v>
      </c>
      <c r="N177" s="152">
        <f>N54/N5</f>
        <v>4.5950226244343889E-2</v>
      </c>
      <c r="O177" s="152">
        <f>O54/O5</f>
        <v>6.9346733668341709E-2</v>
      </c>
      <c r="P177" s="152">
        <f>P54/P5</f>
        <v>6.796365689646322E-2</v>
      </c>
      <c r="Q177" s="152">
        <f>Q54/Q5</f>
        <v>6.284436816909042E-2</v>
      </c>
      <c r="T177" s="152">
        <f t="shared" ref="T177:Z177" si="181">T54/T5</f>
        <v>0</v>
      </c>
      <c r="U177" s="152">
        <f t="shared" si="181"/>
        <v>6.5044134030336792E-2</v>
      </c>
      <c r="V177" s="152">
        <f t="shared" si="181"/>
        <v>6.3940249567355861E-2</v>
      </c>
      <c r="W177" s="152">
        <f t="shared" si="181"/>
        <v>6.2971810797897751E-2</v>
      </c>
      <c r="X177" s="152">
        <f t="shared" si="181"/>
        <v>5.8828748890860691E-2</v>
      </c>
      <c r="Y177" s="152">
        <f t="shared" si="181"/>
        <v>7.2477962781586677E-2</v>
      </c>
      <c r="Z177" s="152">
        <f t="shared" si="181"/>
        <v>8.1234078686668557E-2</v>
      </c>
      <c r="AA177" s="152">
        <f t="shared" ref="AA177" si="182">AA54/AA5</f>
        <v>8.3442243892630941E-2</v>
      </c>
      <c r="AC177" s="152">
        <f>AC54/AC5</f>
        <v>7.3568121993283109E-2</v>
      </c>
    </row>
    <row r="178" spans="1:31" x14ac:dyDescent="0.2">
      <c r="B178" s="20" t="s">
        <v>278</v>
      </c>
      <c r="M178" s="72">
        <f>(M106-M107)/M75</f>
        <v>-2.9741071428571431</v>
      </c>
      <c r="N178" s="72">
        <f>(N106-N107)/N75</f>
        <v>-8.1177520071364846</v>
      </c>
      <c r="O178" s="72">
        <f>(O106-O107)/O75</f>
        <v>-3.6603773584905661</v>
      </c>
      <c r="P178" s="72">
        <f>(P106-P107)/P75</f>
        <v>-1.2007200720072007</v>
      </c>
      <c r="Q178" s="72">
        <f>(Q106-Q107)/Q75</f>
        <v>-4.3473389355742293</v>
      </c>
      <c r="T178" s="72">
        <f t="shared" ref="T178:Z178" si="183">(T106-T107)/T75</f>
        <v>-1.2007200720072007</v>
      </c>
      <c r="U178" s="72">
        <f t="shared" si="183"/>
        <v>-0.24593128390596744</v>
      </c>
      <c r="V178" s="72">
        <f t="shared" si="183"/>
        <v>-0.70765027322404372</v>
      </c>
      <c r="W178" s="72">
        <f t="shared" si="183"/>
        <v>-4.4272474513438365</v>
      </c>
      <c r="X178" s="72">
        <f t="shared" si="183"/>
        <v>-4.3473389355742293</v>
      </c>
      <c r="Y178" s="72">
        <f t="shared" si="183"/>
        <v>-2.8069353327085285</v>
      </c>
      <c r="Z178" s="72">
        <f t="shared" si="183"/>
        <v>-5.1907020872865273</v>
      </c>
      <c r="AA178" s="72">
        <f t="shared" ref="AA178" si="184">(AA106-AA107)/AA75</f>
        <v>-6.6342857142857143</v>
      </c>
      <c r="AC178" s="72">
        <f>(AC106-AC107)/AC75</f>
        <v>-6.6342857142857143</v>
      </c>
    </row>
    <row r="179" spans="1:31" x14ac:dyDescent="0.2">
      <c r="B179" s="20" t="s">
        <v>283</v>
      </c>
      <c r="M179" s="152">
        <f>(M106-M107)/M156</f>
        <v>-2.186334797103405E-2</v>
      </c>
      <c r="N179" s="152">
        <f>(N106-N107)/N156</f>
        <v>-6.6157448183632728E-2</v>
      </c>
      <c r="O179" s="152">
        <f>(O106-O107)/O156</f>
        <v>-3.3720431303684517E-2</v>
      </c>
      <c r="P179" s="152">
        <f>(P106-P107)/P156</f>
        <v>-6.9698335259964599E-3</v>
      </c>
      <c r="Q179" s="152">
        <f>(Q106-Q107)/Q156</f>
        <v>-2.5479380089309167E-2</v>
      </c>
      <c r="T179" s="49"/>
      <c r="U179" s="49"/>
      <c r="V179" s="49"/>
      <c r="W179" s="49"/>
      <c r="X179" s="49"/>
      <c r="Y179" s="49"/>
      <c r="Z179" s="49"/>
      <c r="AA179" s="49"/>
      <c r="AC179" s="152">
        <f ca="1">(AC106-AC107)/AC156</f>
        <v>-3.6767500190012917E-2</v>
      </c>
    </row>
    <row r="180" spans="1:31" x14ac:dyDescent="0.2">
      <c r="B180" s="20" t="s">
        <v>292</v>
      </c>
      <c r="M180" s="152">
        <f>-M109/M5</f>
        <v>5.6247393195495439E-2</v>
      </c>
      <c r="N180" s="152">
        <f>-N109/N5</f>
        <v>5.1176470588235295E-2</v>
      </c>
      <c r="O180" s="152">
        <f>-O109/O5</f>
        <v>4.0480178671133446E-2</v>
      </c>
      <c r="P180" s="152">
        <f>-P109/P5</f>
        <v>2.6718340947589958E-2</v>
      </c>
      <c r="Q180" s="152">
        <f>-Q109/Q5</f>
        <v>2.6917170987264025E-2</v>
      </c>
      <c r="T180" s="152">
        <f t="shared" ref="T180:Z180" si="185">-T109/T5</f>
        <v>0</v>
      </c>
      <c r="U180" s="152">
        <f t="shared" si="185"/>
        <v>2.3738109520952951E-2</v>
      </c>
      <c r="V180" s="152">
        <f t="shared" si="185"/>
        <v>1.9491756990618454E-2</v>
      </c>
      <c r="W180" s="152">
        <f t="shared" si="185"/>
        <v>2.8093645484949834E-2</v>
      </c>
      <c r="X180" s="152">
        <f t="shared" si="185"/>
        <v>3.6113575865128658E-2</v>
      </c>
      <c r="Y180" s="152">
        <f t="shared" si="185"/>
        <v>4.4809010773751226E-2</v>
      </c>
      <c r="Z180" s="152">
        <f t="shared" si="185"/>
        <v>5.0287762996509104E-2</v>
      </c>
      <c r="AA180" s="152">
        <f t="shared" ref="AA180" si="186">-AA109/AA5</f>
        <v>4.9864280687644515E-2</v>
      </c>
      <c r="AC180" s="152">
        <f>-AC109/AC5</f>
        <v>4.5044022873740583E-2</v>
      </c>
    </row>
    <row r="181" spans="1:31" x14ac:dyDescent="0.2">
      <c r="B181" s="20" t="s">
        <v>293</v>
      </c>
      <c r="M181" s="152">
        <f>-(M109/M59)</f>
        <v>0.1791951404707669</v>
      </c>
      <c r="N181" s="152">
        <f>-(N109/N59)</f>
        <v>0.24868073878627969</v>
      </c>
      <c r="O181" s="152">
        <f>-(O109/O59)</f>
        <v>0.12832994070271705</v>
      </c>
      <c r="P181" s="152">
        <f>-(P109/P59)</f>
        <v>8.5313882970004917E-2</v>
      </c>
      <c r="Q181" s="152">
        <f>-(Q109/Q59)</f>
        <v>8.5069940051384532E-2</v>
      </c>
      <c r="T181" s="152" t="e">
        <f t="shared" ref="T181:Z181" si="187">-(T109/T59)</f>
        <v>#DIV/0!</v>
      </c>
      <c r="U181" s="152">
        <f t="shared" si="187"/>
        <v>6.0388053193808591E-2</v>
      </c>
      <c r="V181" s="152">
        <f t="shared" si="187"/>
        <v>8.3790133124510571E-2</v>
      </c>
      <c r="W181" s="152">
        <f t="shared" si="187"/>
        <v>0.10226086956521739</v>
      </c>
      <c r="X181" s="152">
        <f t="shared" si="187"/>
        <v>0.10185185185185185</v>
      </c>
      <c r="Y181" s="152">
        <f t="shared" si="187"/>
        <v>0.11057401812688822</v>
      </c>
      <c r="Z181" s="152">
        <f t="shared" si="187"/>
        <v>0.21763985300122499</v>
      </c>
      <c r="AA181" s="152">
        <f t="shared" ref="AA181" si="188">-(AA109/AA59)</f>
        <v>0.50050454086781027</v>
      </c>
      <c r="AC181" s="152">
        <f>-(AC109/AC59)</f>
        <v>0.1600677364728651</v>
      </c>
    </row>
    <row r="182" spans="1:31" x14ac:dyDescent="0.2">
      <c r="B182" s="20" t="s">
        <v>294</v>
      </c>
      <c r="M182" s="152">
        <f>-M109/M53</f>
        <v>1.193426042983565</v>
      </c>
      <c r="N182" s="152">
        <f>-N109/N53</f>
        <v>1.2837684449489217</v>
      </c>
      <c r="O182" s="152">
        <f>-O109/O53</f>
        <v>0.80154781647318962</v>
      </c>
      <c r="P182" s="152">
        <f>-P109/P53</f>
        <v>0.61019929660023442</v>
      </c>
      <c r="Q182" s="152">
        <f>-Q109/Q53</f>
        <v>0.74406991260923849</v>
      </c>
      <c r="T182" s="152" t="e">
        <f t="shared" ref="T182:Z182" si="189">-T109/T53</f>
        <v>#DIV/0!</v>
      </c>
      <c r="U182" s="152">
        <f t="shared" si="189"/>
        <v>0.63532110091743121</v>
      </c>
      <c r="V182" s="152">
        <f t="shared" si="189"/>
        <v>0.53904282115869018</v>
      </c>
      <c r="W182" s="152">
        <f t="shared" si="189"/>
        <v>0.7386934673366834</v>
      </c>
      <c r="X182" s="152">
        <f t="shared" si="189"/>
        <v>1.0970350404312668</v>
      </c>
      <c r="Y182" s="152">
        <f t="shared" si="189"/>
        <v>1.3969465648854962</v>
      </c>
      <c r="Z182" s="152">
        <f t="shared" si="189"/>
        <v>1.2905569007263922</v>
      </c>
      <c r="AA182" s="152">
        <f t="shared" ref="AA182" si="190">-AA109/AA53</f>
        <v>1.2525252525252526</v>
      </c>
      <c r="AC182" s="152">
        <f>-AC109/AC53</f>
        <v>1.2619198982835347</v>
      </c>
    </row>
    <row r="183" spans="1:31" x14ac:dyDescent="0.2">
      <c r="B183" s="20" t="s">
        <v>356</v>
      </c>
      <c r="M183" s="72">
        <f>M5/M37</f>
        <v>0.81391852570320078</v>
      </c>
      <c r="N183" s="72">
        <f t="shared" ref="N183:Q183" si="191">N5/N37</f>
        <v>0.90178316399396086</v>
      </c>
      <c r="O183" s="72">
        <f t="shared" si="191"/>
        <v>0.70180250783699061</v>
      </c>
      <c r="P183" s="72">
        <f t="shared" si="191"/>
        <v>0.70642201834862384</v>
      </c>
      <c r="Q183" s="72">
        <f t="shared" si="191"/>
        <v>0.88315417904792293</v>
      </c>
      <c r="T183" s="49"/>
      <c r="U183" s="49"/>
      <c r="V183" s="49"/>
      <c r="W183" s="49"/>
      <c r="X183" s="49"/>
      <c r="Y183" s="49"/>
      <c r="Z183" s="49"/>
      <c r="AA183" s="49"/>
      <c r="AC183" s="72">
        <f t="shared" ref="AC183" si="192">AC5/AC37</f>
        <v>0.76817682639845208</v>
      </c>
    </row>
    <row r="184" spans="1:31" x14ac:dyDescent="0.2">
      <c r="B184" s="20" t="s">
        <v>353</v>
      </c>
      <c r="M184" s="72">
        <f>IF(AND(M12&gt;0,M107&gt;0),M107/M12,"N/A")</f>
        <v>1.608438042700991</v>
      </c>
      <c r="N184" s="72">
        <f t="shared" ref="N184:Q184" si="193">IF(AND(N12&gt;0,N107&gt;0),N107/N12,"N/A")</f>
        <v>0.97616645649432532</v>
      </c>
      <c r="O184" s="72">
        <f t="shared" si="193"/>
        <v>1.9771443246019518</v>
      </c>
      <c r="P184" s="72">
        <f t="shared" si="193"/>
        <v>1.4530831099195711</v>
      </c>
      <c r="Q184" s="72">
        <f t="shared" si="193"/>
        <v>1.1987859166329422</v>
      </c>
      <c r="T184" s="49"/>
      <c r="U184" s="49"/>
      <c r="V184" s="49"/>
      <c r="W184" s="49"/>
      <c r="X184" s="49"/>
      <c r="Y184" s="49"/>
      <c r="Z184" s="49"/>
      <c r="AA184" s="49"/>
      <c r="AC184" s="72">
        <f t="shared" ref="AC184" si="194">IF(AND(AC12&gt;0,AC107&gt;0),AC107/AC12,"N/A")</f>
        <v>1.4942753694099227</v>
      </c>
    </row>
    <row r="185" spans="1:31" x14ac:dyDescent="0.2">
      <c r="B185" s="20" t="s">
        <v>354</v>
      </c>
      <c r="M185" s="224">
        <f>IF(AND(M12&gt;0,M107&gt;0),(M107-M106)/M12,"N/A")</f>
        <v>0.34027990601695779</v>
      </c>
      <c r="N185" s="224">
        <f t="shared" ref="N185:Q185" si="195">IF(AND(N12&gt;0,N107&gt;0),(N107-N106)/N12,"N/A")</f>
        <v>0.57377049180327866</v>
      </c>
      <c r="O185" s="224">
        <f t="shared" si="195"/>
        <v>0.52311248073959937</v>
      </c>
      <c r="P185" s="224">
        <f t="shared" si="195"/>
        <v>0.13245953728527454</v>
      </c>
      <c r="Q185" s="224">
        <f t="shared" si="195"/>
        <v>0.37685147713476325</v>
      </c>
      <c r="T185" s="49"/>
      <c r="U185" s="49"/>
      <c r="V185" s="49"/>
      <c r="W185" s="49"/>
      <c r="X185" s="49"/>
      <c r="Y185" s="49"/>
      <c r="Z185" s="49"/>
      <c r="AA185" s="49"/>
      <c r="AC185" s="224">
        <f t="shared" ref="AC185" si="196">IF(AND(AC12&gt;0,AC107&gt;0),(AC107-AC106)/AC12,"N/A")</f>
        <v>0.68167139641843622</v>
      </c>
    </row>
    <row r="186" spans="1:31" x14ac:dyDescent="0.2">
      <c r="B186" s="20" t="s">
        <v>355</v>
      </c>
      <c r="M186" s="224">
        <f>M5/(M107+M111-M106)</f>
        <v>2.5273699269633312</v>
      </c>
      <c r="N186" s="224">
        <f t="shared" ref="N186:Q186" si="197">N5/(N107+N111-N106)</f>
        <v>1.6302142883487627</v>
      </c>
      <c r="O186" s="224">
        <f t="shared" si="197"/>
        <v>1.3962190606119664</v>
      </c>
      <c r="P186" s="224">
        <f t="shared" si="197"/>
        <v>1.4112576064908722</v>
      </c>
      <c r="Q186" s="224">
        <f t="shared" si="197"/>
        <v>1.7123192328512875</v>
      </c>
      <c r="T186" s="49"/>
      <c r="U186" s="49"/>
      <c r="V186" s="49"/>
      <c r="W186" s="49"/>
      <c r="X186" s="49"/>
      <c r="Y186" s="49"/>
      <c r="Z186" s="49"/>
      <c r="AA186" s="49"/>
      <c r="AC186" s="224">
        <f t="shared" ref="AC186" si="198">AC5/(AC107+AC111-AC106)</f>
        <v>1.2727587800369686</v>
      </c>
    </row>
    <row r="188" spans="1:31" x14ac:dyDescent="0.2">
      <c r="B188" s="1"/>
    </row>
    <row r="189" spans="1:31" s="15" customFormat="1" ht="17" thickBot="1" x14ac:dyDescent="0.25">
      <c r="A189" s="11"/>
      <c r="B189" s="14" t="s">
        <v>79</v>
      </c>
      <c r="R189" s="1"/>
      <c r="S189" s="1"/>
      <c r="AB189" s="1"/>
      <c r="AD189" s="1"/>
      <c r="AE189" s="1"/>
    </row>
    <row r="190" spans="1:31" x14ac:dyDescent="0.2">
      <c r="B190" s="218" t="s">
        <v>376</v>
      </c>
      <c r="C190" s="62"/>
      <c r="D190" s="62"/>
      <c r="E190" s="62"/>
      <c r="F190" s="62"/>
      <c r="G190" s="62"/>
      <c r="H190" s="62"/>
      <c r="I190" s="62"/>
      <c r="J190" s="62"/>
      <c r="K190" s="62"/>
      <c r="L190" s="62"/>
      <c r="M190" s="62">
        <v>16830</v>
      </c>
      <c r="N190" s="62">
        <v>25027</v>
      </c>
      <c r="O190" s="62">
        <v>22570</v>
      </c>
      <c r="P190" s="62">
        <v>24863</v>
      </c>
      <c r="Q190" s="62">
        <v>27793</v>
      </c>
      <c r="T190" s="62">
        <v>6096</v>
      </c>
      <c r="U190" s="62">
        <v>7574</v>
      </c>
      <c r="V190" s="62">
        <v>6929</v>
      </c>
      <c r="W190" s="62">
        <v>6328</v>
      </c>
      <c r="X190" s="62">
        <v>6961</v>
      </c>
      <c r="Y190" s="62">
        <v>7824</v>
      </c>
      <c r="Z190" s="62">
        <v>6024</v>
      </c>
      <c r="AA190" s="62">
        <v>5086</v>
      </c>
      <c r="AC190" s="62">
        <f>SUM(X190:AA190)</f>
        <v>25895</v>
      </c>
    </row>
    <row r="191" spans="1:31" x14ac:dyDescent="0.2">
      <c r="B191" s="218" t="s">
        <v>377</v>
      </c>
      <c r="C191" s="62"/>
      <c r="D191" s="62"/>
      <c r="E191" s="62"/>
      <c r="F191" s="62"/>
      <c r="G191" s="62"/>
      <c r="H191" s="62"/>
      <c r="I191" s="62"/>
      <c r="J191" s="62"/>
      <c r="K191" s="62"/>
      <c r="L191" s="62"/>
      <c r="M191" s="62">
        <v>975</v>
      </c>
      <c r="N191" s="62">
        <v>1372</v>
      </c>
      <c r="O191" s="62">
        <v>1872</v>
      </c>
      <c r="P191" s="62">
        <v>2910</v>
      </c>
      <c r="Q191" s="62">
        <v>3957</v>
      </c>
      <c r="T191" s="62">
        <v>899</v>
      </c>
      <c r="U191" s="62">
        <v>961</v>
      </c>
      <c r="V191" s="62">
        <v>959</v>
      </c>
      <c r="W191" s="62">
        <v>984</v>
      </c>
      <c r="X191" s="62">
        <v>1053</v>
      </c>
      <c r="Y191" s="62">
        <v>1101</v>
      </c>
      <c r="Z191" s="62">
        <v>1326</v>
      </c>
      <c r="AA191" s="62">
        <v>1588</v>
      </c>
      <c r="AC191" s="62">
        <f t="shared" ref="AC191:AC194" si="199">SUM(X191:AA191)</f>
        <v>5068</v>
      </c>
    </row>
    <row r="192" spans="1:31" x14ac:dyDescent="0.2">
      <c r="B192" s="218" t="s">
        <v>378</v>
      </c>
      <c r="C192" s="62"/>
      <c r="D192" s="62"/>
      <c r="E192" s="62"/>
      <c r="F192" s="62"/>
      <c r="G192" s="62"/>
      <c r="H192" s="62"/>
      <c r="I192" s="62"/>
      <c r="J192" s="62"/>
      <c r="K192" s="62"/>
      <c r="L192" s="62"/>
      <c r="M192" s="62">
        <v>5056</v>
      </c>
      <c r="N192" s="62">
        <v>6948</v>
      </c>
      <c r="O192" s="62">
        <v>5940</v>
      </c>
      <c r="P192" s="62">
        <v>5423</v>
      </c>
      <c r="Q192" s="62">
        <v>6617</v>
      </c>
      <c r="T192" s="62">
        <v>1683</v>
      </c>
      <c r="U192" s="62">
        <v>1549</v>
      </c>
      <c r="V192" s="62">
        <v>1581</v>
      </c>
      <c r="W192" s="62">
        <v>1681</v>
      </c>
      <c r="X192" s="62">
        <v>1807</v>
      </c>
      <c r="Y192" s="62">
        <v>1688</v>
      </c>
      <c r="Z192" s="62">
        <v>1726</v>
      </c>
      <c r="AA192" s="62">
        <v>1830</v>
      </c>
      <c r="AC192" s="62">
        <f t="shared" si="199"/>
        <v>7051</v>
      </c>
    </row>
    <row r="193" spans="2:29" x14ac:dyDescent="0.2">
      <c r="B193" s="20" t="s">
        <v>379</v>
      </c>
      <c r="C193" s="21"/>
      <c r="D193" s="21"/>
      <c r="E193" s="21"/>
      <c r="F193" s="21"/>
      <c r="G193" s="21"/>
      <c r="H193" s="21"/>
      <c r="I193" s="62"/>
      <c r="J193" s="62"/>
      <c r="K193" s="62"/>
      <c r="L193" s="62"/>
      <c r="M193" s="62">
        <v>27019</v>
      </c>
      <c r="N193" s="62">
        <v>37677</v>
      </c>
      <c r="O193" s="62">
        <v>30382</v>
      </c>
      <c r="P193" s="62">
        <v>33196</v>
      </c>
      <c r="Q193" s="62">
        <v>38367</v>
      </c>
      <c r="R193" s="62"/>
      <c r="S193" s="62"/>
      <c r="T193" s="62">
        <v>8678</v>
      </c>
      <c r="U193" s="62">
        <v>10084</v>
      </c>
      <c r="V193" s="62">
        <v>9469</v>
      </c>
      <c r="W193" s="62">
        <v>8993</v>
      </c>
      <c r="X193" s="62">
        <v>9821</v>
      </c>
      <c r="Y193" s="62">
        <v>10613</v>
      </c>
      <c r="Z193" s="62">
        <v>9076</v>
      </c>
      <c r="AA193" s="62">
        <v>8504</v>
      </c>
      <c r="AC193" s="62">
        <f t="shared" si="199"/>
        <v>38014</v>
      </c>
    </row>
    <row r="194" spans="2:29" x14ac:dyDescent="0.2">
      <c r="B194" s="20" t="s">
        <v>380</v>
      </c>
      <c r="C194" s="21"/>
      <c r="D194" s="21"/>
      <c r="E194" s="21"/>
      <c r="F194" s="21"/>
      <c r="G194" s="21"/>
      <c r="H194" s="21"/>
      <c r="I194" s="62"/>
      <c r="J194" s="62"/>
      <c r="K194" s="62"/>
      <c r="L194" s="62"/>
      <c r="M194" s="62">
        <v>6320</v>
      </c>
      <c r="N194" s="62">
        <v>6358</v>
      </c>
      <c r="O194" s="62">
        <v>5306</v>
      </c>
      <c r="P194" s="62">
        <v>5572</v>
      </c>
      <c r="Q194" s="62">
        <v>5582</v>
      </c>
      <c r="R194" s="62"/>
      <c r="S194" s="62"/>
      <c r="T194" s="62">
        <v>1015</v>
      </c>
      <c r="U194" s="62">
        <v>1535</v>
      </c>
      <c r="V194" s="62">
        <v>1319</v>
      </c>
      <c r="W194" s="62">
        <v>1318</v>
      </c>
      <c r="X194" s="62">
        <v>1409</v>
      </c>
      <c r="Y194" s="62">
        <v>1592</v>
      </c>
      <c r="Z194" s="62">
        <v>1382</v>
      </c>
      <c r="AA194" s="62">
        <v>1278</v>
      </c>
      <c r="AC194" s="62">
        <f t="shared" si="199"/>
        <v>5661</v>
      </c>
    </row>
    <row r="195" spans="2:29" x14ac:dyDescent="0.2">
      <c r="C195" s="21"/>
      <c r="D195" s="21"/>
      <c r="E195" s="21"/>
      <c r="F195" s="21"/>
      <c r="G195" s="21"/>
      <c r="H195" s="21"/>
      <c r="I195" s="21"/>
      <c r="J195" s="21"/>
      <c r="K195" s="21"/>
      <c r="L195" s="21"/>
      <c r="M195" s="21"/>
    </row>
    <row r="196" spans="2:29" x14ac:dyDescent="0.2">
      <c r="B196" s="1"/>
    </row>
    <row r="197" spans="2:29" ht="17" thickBot="1" x14ac:dyDescent="0.25">
      <c r="B197" s="14" t="s">
        <v>303</v>
      </c>
      <c r="C197" s="167"/>
      <c r="D197" s="167"/>
      <c r="E197" s="167"/>
      <c r="F197" s="167"/>
      <c r="G197" s="167"/>
      <c r="H197" s="167"/>
      <c r="I197" s="167"/>
      <c r="J197" s="167"/>
      <c r="K197" s="167"/>
      <c r="L197" s="167"/>
      <c r="M197" s="167"/>
      <c r="N197" s="167"/>
      <c r="O197" s="167"/>
      <c r="P197" s="167"/>
      <c r="Q197" s="167"/>
      <c r="T197" s="167"/>
      <c r="U197" s="167"/>
      <c r="V197" s="167"/>
      <c r="W197" s="167"/>
      <c r="X197" s="167"/>
      <c r="Y197" s="167"/>
      <c r="Z197" s="167"/>
      <c r="AA197" s="167"/>
      <c r="AC197" s="167"/>
    </row>
    <row r="198" spans="2:29" x14ac:dyDescent="0.2">
      <c r="B198" s="218" t="s">
        <v>376</v>
      </c>
      <c r="C198" s="81"/>
      <c r="D198" s="81"/>
      <c r="E198" s="81"/>
      <c r="F198" s="81"/>
      <c r="G198" s="81"/>
      <c r="H198" s="81"/>
      <c r="I198" s="81"/>
      <c r="J198" s="81"/>
      <c r="K198" s="81"/>
      <c r="L198" s="81"/>
      <c r="M198" s="81">
        <f t="shared" ref="M198:Q201" si="200">IF(L190=0,
IF(M190=0,0,IF(M190&gt;0,1,-1)),
(M190-L190)/ABS(L190)
)</f>
        <v>1</v>
      </c>
      <c r="N198" s="81">
        <f t="shared" si="200"/>
        <v>0.48704693998811643</v>
      </c>
      <c r="O198" s="81">
        <f t="shared" si="200"/>
        <v>-9.8173972110121063E-2</v>
      </c>
      <c r="P198" s="81">
        <f t="shared" si="200"/>
        <v>0.10159503766061143</v>
      </c>
      <c r="Q198" s="81">
        <f t="shared" si="200"/>
        <v>0.11784579495636086</v>
      </c>
      <c r="T198" s="81">
        <f t="shared" ref="T198:T202" si="201">IF(S190=0,
IF(T190=0,0,IF(T190&gt;0,1,-1)),
(T190-S190)/ABS(S190)
)</f>
        <v>1</v>
      </c>
      <c r="U198" s="81">
        <f t="shared" ref="U198:U202" si="202">IF(T190=0,
IF(U190=0,0,IF(U190&gt;0,1,-1)),
(U190-T190)/ABS(T190)
)</f>
        <v>0.24245406824146981</v>
      </c>
      <c r="V198" s="81">
        <f t="shared" ref="V198:V202" si="203">IF(U190=0,
IF(V190=0,0,IF(V190&gt;0,1,-1)),
(V190-U190)/ABS(U190)
)</f>
        <v>-8.5159757063638764E-2</v>
      </c>
      <c r="W198" s="81">
        <f t="shared" ref="W198:W202" si="204">IF(V190=0,
IF(W190=0,0,IF(W190&gt;0,1,-1)),
(W190-V190)/ABS(V190)
)</f>
        <v>-8.6736902871987306E-2</v>
      </c>
      <c r="X198" s="81">
        <f t="shared" ref="X198:X202" si="205">IF(W190=0,
IF(X190=0,0,IF(X190&gt;0,1,-1)),
(X190-W190)/ABS(W190)
)</f>
        <v>0.10003160556257902</v>
      </c>
      <c r="Y198" s="81">
        <f t="shared" ref="Y198:Y202" si="206">IF(X190=0,
IF(Y190=0,0,IF(Y190&gt;0,1,-1)),
(Y190-X190)/ABS(X190)
)</f>
        <v>0.12397644016664272</v>
      </c>
      <c r="Z198" s="81">
        <f t="shared" ref="Z198:Z202" si="207">IF(Y190=0,
IF(Z190=0,0,IF(Z190&gt;0,1,-1)),
(Z190-Y190)/ABS(Y190)
)</f>
        <v>-0.23006134969325154</v>
      </c>
      <c r="AA198" s="81">
        <f t="shared" ref="AA198:AA201" si="208">IF(Z190=0,
IF(AA190=0,0,IF(AA190&gt;0,1,-1)),
(AA190-Z190)/ABS(Z190)
)</f>
        <v>-0.15571049136786189</v>
      </c>
      <c r="AC198" s="49"/>
    </row>
    <row r="199" spans="2:29" x14ac:dyDescent="0.2">
      <c r="B199" s="218" t="s">
        <v>377</v>
      </c>
      <c r="M199" s="81">
        <f t="shared" si="200"/>
        <v>1</v>
      </c>
      <c r="N199" s="81">
        <f t="shared" si="200"/>
        <v>0.40717948717948715</v>
      </c>
      <c r="O199" s="81">
        <f t="shared" si="200"/>
        <v>0.36443148688046645</v>
      </c>
      <c r="P199" s="81">
        <f t="shared" si="200"/>
        <v>0.55448717948717952</v>
      </c>
      <c r="Q199" s="81">
        <f t="shared" si="200"/>
        <v>0.35979381443298969</v>
      </c>
      <c r="T199" s="81">
        <f t="shared" si="201"/>
        <v>1</v>
      </c>
      <c r="U199" s="81">
        <f t="shared" si="202"/>
        <v>6.8965517241379309E-2</v>
      </c>
      <c r="V199" s="81">
        <f t="shared" si="203"/>
        <v>-2.0811654526534861E-3</v>
      </c>
      <c r="W199" s="81">
        <f t="shared" si="204"/>
        <v>2.6068821689259645E-2</v>
      </c>
      <c r="X199" s="81">
        <f t="shared" si="205"/>
        <v>7.0121951219512202E-2</v>
      </c>
      <c r="Y199" s="81">
        <f t="shared" si="206"/>
        <v>4.5584045584045586E-2</v>
      </c>
      <c r="Z199" s="81">
        <f t="shared" si="207"/>
        <v>0.20435967302452315</v>
      </c>
      <c r="AA199" s="81">
        <f t="shared" si="208"/>
        <v>0.1975867269984917</v>
      </c>
      <c r="AC199" s="49"/>
    </row>
    <row r="200" spans="2:29" x14ac:dyDescent="0.2">
      <c r="B200" s="218" t="s">
        <v>378</v>
      </c>
      <c r="M200" s="81">
        <f t="shared" si="200"/>
        <v>1</v>
      </c>
      <c r="N200" s="81">
        <f t="shared" si="200"/>
        <v>0.37420886075949367</v>
      </c>
      <c r="O200" s="81">
        <f t="shared" si="200"/>
        <v>-0.14507772020725387</v>
      </c>
      <c r="P200" s="81">
        <f t="shared" si="200"/>
        <v>-8.7037037037037038E-2</v>
      </c>
      <c r="Q200" s="81">
        <f t="shared" si="200"/>
        <v>0.22017333579199705</v>
      </c>
      <c r="T200" s="81">
        <f t="shared" si="201"/>
        <v>1</v>
      </c>
      <c r="U200" s="81">
        <f t="shared" si="202"/>
        <v>-7.9619726678550204E-2</v>
      </c>
      <c r="V200" s="81">
        <f t="shared" si="203"/>
        <v>2.0658489347966429E-2</v>
      </c>
      <c r="W200" s="81">
        <f t="shared" si="204"/>
        <v>6.3251106894370648E-2</v>
      </c>
      <c r="X200" s="81">
        <f t="shared" si="205"/>
        <v>7.4955383700178471E-2</v>
      </c>
      <c r="Y200" s="81">
        <f t="shared" si="206"/>
        <v>-6.5855008301051468E-2</v>
      </c>
      <c r="Z200" s="81">
        <f t="shared" si="207"/>
        <v>2.2511848341232227E-2</v>
      </c>
      <c r="AA200" s="81">
        <f t="shared" si="208"/>
        <v>6.0254924681344149E-2</v>
      </c>
      <c r="AC200" s="49"/>
    </row>
    <row r="201" spans="2:29" x14ac:dyDescent="0.2">
      <c r="B201" s="20" t="s">
        <v>379</v>
      </c>
      <c r="M201" s="81">
        <f t="shared" si="200"/>
        <v>1</v>
      </c>
      <c r="N201" s="81">
        <f t="shared" si="200"/>
        <v>0.39446315555720046</v>
      </c>
      <c r="O201" s="81">
        <f t="shared" si="200"/>
        <v>-0.19361944953154445</v>
      </c>
      <c r="P201" s="81">
        <f t="shared" si="200"/>
        <v>9.2620630636561119E-2</v>
      </c>
      <c r="Q201" s="81">
        <f t="shared" si="200"/>
        <v>0.15577177973249789</v>
      </c>
      <c r="T201" s="81">
        <f t="shared" si="201"/>
        <v>1</v>
      </c>
      <c r="U201" s="81">
        <f t="shared" si="202"/>
        <v>0.16201889836367828</v>
      </c>
      <c r="V201" s="81">
        <f t="shared" si="203"/>
        <v>-6.0987703292344306E-2</v>
      </c>
      <c r="W201" s="81">
        <f t="shared" si="204"/>
        <v>-5.0269299820466788E-2</v>
      </c>
      <c r="X201" s="81">
        <f t="shared" si="205"/>
        <v>9.2071611253196933E-2</v>
      </c>
      <c r="Y201" s="81">
        <f t="shared" si="206"/>
        <v>8.064351898991956E-2</v>
      </c>
      <c r="Z201" s="81">
        <f t="shared" si="207"/>
        <v>-0.1448223876378027</v>
      </c>
      <c r="AA201" s="81">
        <f t="shared" si="208"/>
        <v>-6.3023358307624511E-2</v>
      </c>
      <c r="AC201" s="49"/>
    </row>
    <row r="202" spans="2:29" x14ac:dyDescent="0.2">
      <c r="B202" s="20" t="s">
        <v>380</v>
      </c>
      <c r="M202" s="81">
        <f t="shared" ref="M202" si="209">IF(L194=0,
IF(M194=0,0,IF(M194&gt;0,1,-1)),
(M194-L194)/ABS(L194)
)</f>
        <v>1</v>
      </c>
      <c r="N202" s="81">
        <f t="shared" ref="N202" si="210">IF(M194=0,
IF(N194=0,0,IF(N194&gt;0,1,-1)),
(N194-M194)/ABS(M194)
)</f>
        <v>6.0126582278481012E-3</v>
      </c>
      <c r="O202" s="81">
        <f t="shared" ref="O202" si="211">IF(N194=0,
IF(O194=0,0,IF(O194&gt;0,1,-1)),
(O194-N194)/ABS(N194)
)</f>
        <v>-0.16546083674111356</v>
      </c>
      <c r="P202" s="81">
        <f t="shared" ref="P202" si="212">IF(O194=0,
IF(P194=0,0,IF(P194&gt;0,1,-1)),
(P194-O194)/ABS(O194)
)</f>
        <v>5.0131926121372031E-2</v>
      </c>
      <c r="Q202" s="81">
        <f t="shared" ref="Q202" si="213">IF(P194=0,
IF(Q194=0,0,IF(Q194&gt;0,1,-1)),
(Q194-P194)/ABS(P194)
)</f>
        <v>1.7946877243359654E-3</v>
      </c>
      <c r="T202" s="81">
        <f t="shared" si="201"/>
        <v>1</v>
      </c>
      <c r="U202" s="81">
        <f t="shared" si="202"/>
        <v>0.51231527093596063</v>
      </c>
      <c r="V202" s="81">
        <f t="shared" si="203"/>
        <v>-0.14071661237785016</v>
      </c>
      <c r="W202" s="81">
        <f t="shared" si="204"/>
        <v>-7.5815011372251705E-4</v>
      </c>
      <c r="X202" s="81">
        <f t="shared" si="205"/>
        <v>6.9044006069802738E-2</v>
      </c>
      <c r="Y202" s="81">
        <f t="shared" si="206"/>
        <v>0.12987934705464868</v>
      </c>
      <c r="Z202" s="81">
        <f t="shared" si="207"/>
        <v>-0.13190954773869346</v>
      </c>
      <c r="AA202" s="81">
        <f t="shared" ref="AA202" si="214">IF(Z194=0,
IF(AA194=0,0,IF(AA194&gt;0,1,-1)),
(AA194-Z194)/ABS(Z194)
)</f>
        <v>-7.5253256150506515E-2</v>
      </c>
      <c r="AC202" s="49"/>
    </row>
    <row r="204" spans="2:29" x14ac:dyDescent="0.2">
      <c r="B204" s="1"/>
    </row>
    <row r="205" spans="2:29" ht="17" thickBot="1" x14ac:dyDescent="0.25">
      <c r="B205" s="14" t="s">
        <v>304</v>
      </c>
      <c r="C205" s="167"/>
      <c r="D205" s="167"/>
      <c r="E205" s="167"/>
      <c r="F205" s="167"/>
      <c r="G205" s="167"/>
      <c r="H205" s="167"/>
      <c r="I205" s="167"/>
      <c r="J205" s="167"/>
      <c r="K205" s="167"/>
      <c r="L205" s="167"/>
      <c r="M205" s="167"/>
      <c r="N205" s="167"/>
      <c r="O205" s="167"/>
      <c r="P205" s="167"/>
      <c r="Q205" s="167"/>
      <c r="T205" s="167"/>
      <c r="U205" s="167"/>
      <c r="V205" s="167"/>
      <c r="W205" s="167"/>
      <c r="X205" s="167"/>
      <c r="Y205" s="167"/>
      <c r="Z205" s="167"/>
      <c r="AA205" s="167"/>
      <c r="AC205" s="167"/>
    </row>
    <row r="206" spans="2:29" x14ac:dyDescent="0.2">
      <c r="B206" s="20" t="s">
        <v>276</v>
      </c>
      <c r="C206" s="81"/>
      <c r="D206" s="81"/>
      <c r="E206" s="81"/>
      <c r="F206" s="81"/>
      <c r="G206" s="81"/>
      <c r="H206" s="81"/>
      <c r="I206" s="81"/>
      <c r="J206" s="81"/>
      <c r="K206" s="81"/>
      <c r="L206" s="81"/>
      <c r="M206" s="81">
        <f>IF(L64=0,
IF(M64=0,0,IF(M64&gt;0,1,-1)),
(M64-L64)/L64
)</f>
        <v>-1</v>
      </c>
      <c r="N206" s="81">
        <f>IF(M64=0,
IF(N64=0,0,IF(N64&gt;0,1,-1)),
(N64-M64)/M64
)</f>
        <v>6.7819148936170207E-2</v>
      </c>
      <c r="O206" s="81">
        <f>IF(N64=0,
IF(O64=0,0,IF(O64&gt;0,1,-1)),
(O64-N64)/N64
)</f>
        <v>7.7833125778331264E-2</v>
      </c>
      <c r="P206" s="81">
        <f>IF(O64=0,
IF(P64=0,0,IF(P64&gt;0,1,-1)),
(P64-O64)/O64
)</f>
        <v>6.4991334488734842E-2</v>
      </c>
      <c r="Q206" s="81">
        <f>IF(P64=0,
IF(Q64=0,0,IF(Q64&gt;0,1,-1)),
(Q64-P64)/P64
)</f>
        <v>3.2004339571467318E-2</v>
      </c>
      <c r="T206" s="49"/>
      <c r="U206" s="49"/>
      <c r="V206" s="49"/>
      <c r="W206" s="49"/>
      <c r="X206" s="49"/>
      <c r="Y206" s="49"/>
      <c r="Z206" s="49"/>
      <c r="AA206" s="49"/>
      <c r="AC206" s="49"/>
    </row>
    <row r="208" spans="2:29" x14ac:dyDescent="0.2">
      <c r="B208" s="1"/>
    </row>
    <row r="209" spans="1:31" ht="17" thickBot="1" x14ac:dyDescent="0.25">
      <c r="B209" s="14" t="s">
        <v>348</v>
      </c>
      <c r="C209" s="167"/>
      <c r="D209" s="167"/>
      <c r="E209" s="167"/>
      <c r="F209" s="167"/>
      <c r="G209" s="167"/>
      <c r="H209" s="167"/>
      <c r="I209" s="167"/>
      <c r="J209" s="167"/>
      <c r="K209" s="167"/>
      <c r="L209" s="167"/>
      <c r="M209" s="167"/>
      <c r="N209" s="167"/>
      <c r="O209" s="167"/>
      <c r="P209" s="167"/>
      <c r="Q209" s="167"/>
      <c r="T209" s="167"/>
      <c r="U209" s="167"/>
      <c r="V209" s="167"/>
      <c r="W209" s="167"/>
      <c r="X209" s="167"/>
      <c r="Y209" s="167"/>
      <c r="Z209" s="167"/>
      <c r="AA209" s="167"/>
      <c r="AC209" s="167"/>
    </row>
    <row r="210" spans="1:31" x14ac:dyDescent="0.2">
      <c r="B210" s="20" t="s">
        <v>349</v>
      </c>
      <c r="M210" s="141">
        <v>100</v>
      </c>
      <c r="N210" s="141">
        <f>100*(1+((N116-$M116)/ABS($M116)))</f>
        <v>90.521362414102185</v>
      </c>
      <c r="O210" s="141">
        <f t="shared" ref="O210:Q210" si="215">100*(1+((O116-$M116)/ABS($M116)))</f>
        <v>80.430236032267715</v>
      </c>
      <c r="P210" s="141">
        <f t="shared" si="215"/>
        <v>127.07648640573647</v>
      </c>
      <c r="Q210" s="141">
        <f t="shared" si="215"/>
        <v>126.38183447863757</v>
      </c>
      <c r="T210" s="49"/>
      <c r="U210" s="49"/>
      <c r="V210" s="49"/>
      <c r="W210" s="49"/>
      <c r="X210" s="49"/>
      <c r="Y210" s="49"/>
      <c r="Z210" s="49"/>
      <c r="AA210" s="49"/>
      <c r="AC210" s="49"/>
    </row>
    <row r="211" spans="1:31" x14ac:dyDescent="0.2">
      <c r="B211" s="20" t="s">
        <v>350</v>
      </c>
      <c r="M211" s="141">
        <v>100</v>
      </c>
      <c r="N211" s="141">
        <f>100*(1+((N5-$M5)/ABS($M5)))</f>
        <v>131.68086754453913</v>
      </c>
      <c r="O211" s="141">
        <f t="shared" ref="O211:Q211" si="216">100*(1+((O5-$M5)/ABS($M5)))</f>
        <v>106.71512840374189</v>
      </c>
      <c r="P211" s="141">
        <f t="shared" si="216"/>
        <v>116.07579097896681</v>
      </c>
      <c r="Q211" s="141">
        <f t="shared" si="216"/>
        <v>131.93112077697671</v>
      </c>
      <c r="T211" s="49"/>
      <c r="U211" s="49"/>
      <c r="V211" s="49"/>
      <c r="W211" s="49"/>
      <c r="X211" s="49"/>
      <c r="Y211" s="49"/>
      <c r="Z211" s="49"/>
      <c r="AA211" s="49"/>
      <c r="AC211" s="49"/>
    </row>
    <row r="212" spans="1:31" x14ac:dyDescent="0.2">
      <c r="B212" s="20" t="s">
        <v>351</v>
      </c>
      <c r="M212" s="141">
        <v>100</v>
      </c>
      <c r="N212" s="141">
        <f>100*(1+((N26-$M26)/ABS($M26)))</f>
        <v>144.98094027954255</v>
      </c>
      <c r="O212" s="141">
        <f t="shared" ref="O212:Q212" si="217">100*(1+((O26-$M26)/ABS($M26)))</f>
        <v>82.846251588310025</v>
      </c>
      <c r="P212" s="141">
        <f t="shared" si="217"/>
        <v>113.59593392630241</v>
      </c>
      <c r="Q212" s="141">
        <f t="shared" si="217"/>
        <v>129.26112679457472</v>
      </c>
      <c r="T212" s="49"/>
      <c r="U212" s="49"/>
      <c r="V212" s="49"/>
      <c r="W212" s="49"/>
      <c r="X212" s="49"/>
      <c r="Y212" s="49"/>
      <c r="Z212" s="49"/>
      <c r="AA212" s="49"/>
      <c r="AC212" s="49"/>
    </row>
    <row r="214" spans="1:31" x14ac:dyDescent="0.2">
      <c r="B214" s="1"/>
    </row>
    <row r="215" spans="1:31" s="15" customFormat="1" ht="17" thickBot="1" x14ac:dyDescent="0.25">
      <c r="A215" s="11"/>
      <c r="B215" s="14" t="s">
        <v>102</v>
      </c>
      <c r="R215" s="1"/>
      <c r="S215" s="1"/>
      <c r="AB215" s="1"/>
      <c r="AD215" s="1"/>
      <c r="AE215" s="1"/>
    </row>
    <row r="217" spans="1:31" x14ac:dyDescent="0.2">
      <c r="B217" s="1"/>
    </row>
  </sheetData>
  <pageMargins left="0.7" right="0.7" top="0.75" bottom="0.75" header="0.3" footer="0.3"/>
  <ignoredErrors>
    <ignoredError sqref="AC23 AC81 AC66 AC53:AC57 AC59:AC62 AC5:AC9 AC64:AC65 AC11:AC19" formulaRange="1"/>
    <ignoredError sqref="AC20:AC21 AC24:AC25" formula="1" formulaRange="1"/>
    <ignoredError sqref="M123:Q123" formula="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210FB-34E3-D04A-8896-321D81878D88}">
  <sheetPr>
    <tabColor theme="6" tint="0.59999389629810485"/>
  </sheetPr>
  <dimension ref="B5:H13"/>
  <sheetViews>
    <sheetView workbookViewId="0">
      <selection activeCell="H5" sqref="H5:H10"/>
    </sheetView>
  </sheetViews>
  <sheetFormatPr baseColWidth="10" defaultRowHeight="16" x14ac:dyDescent="0.2"/>
  <cols>
    <col min="1" max="7" width="10.83203125" style="1"/>
    <col min="8" max="8" width="16.6640625" style="1" customWidth="1"/>
    <col min="9" max="16384" width="10.83203125" style="1"/>
  </cols>
  <sheetData>
    <row r="5" spans="2:8" x14ac:dyDescent="0.2">
      <c r="H5" s="132" t="s">
        <v>431</v>
      </c>
    </row>
    <row r="6" spans="2:8" x14ac:dyDescent="0.2">
      <c r="H6" s="235" t="s">
        <v>436</v>
      </c>
    </row>
    <row r="7" spans="2:8" x14ac:dyDescent="0.2">
      <c r="H7" s="235" t="s">
        <v>432</v>
      </c>
    </row>
    <row r="8" spans="2:8" x14ac:dyDescent="0.2">
      <c r="H8" s="235" t="s">
        <v>433</v>
      </c>
    </row>
    <row r="9" spans="2:8" x14ac:dyDescent="0.2">
      <c r="H9" s="235" t="s">
        <v>434</v>
      </c>
    </row>
    <row r="10" spans="2:8" x14ac:dyDescent="0.2">
      <c r="H10" s="236" t="s">
        <v>435</v>
      </c>
    </row>
    <row r="13" spans="2:8" s="4" customFormat="1" ht="49" x14ac:dyDescent="0.2">
      <c r="B13" s="3" t="s">
        <v>224</v>
      </c>
    </row>
  </sheetData>
  <hyperlinks>
    <hyperlink ref="H6" location="Overview!B3" display="Overview'!B3" xr:uid="{E411EA5B-4A5D-2140-BD20-77381ABB5A05}"/>
    <hyperlink ref="H8" location="'Analysis -&gt;'!B13" display="'Analysis -&gt;'!B13" xr:uid="{AAC82E31-33A4-924A-A4E3-C89D89A459B8}"/>
    <hyperlink ref="H9" location="'Forecast -&gt;'!B13" display="'Forecast -&gt;'!B13" xr:uid="{14C87523-0D9F-614F-B4ED-B1D1A71B3419}"/>
    <hyperlink ref="H10" location="'Valuation -&gt;'!B13" display="'Valuation -&gt;'!B13" xr:uid="{B0BCF9F6-882B-E44A-BD88-3E4DCC55A596}"/>
    <hyperlink ref="H7" location="'Financials -&gt;'!B13" display="'Financials -&gt;'!B13" xr:uid="{3873FC78-7731-A447-9EFD-0C47FAD2FC5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0C07F-23F5-F443-9A67-3073516055F8}">
  <dimension ref="B1:G54"/>
  <sheetViews>
    <sheetView zoomScale="173" workbookViewId="0">
      <selection activeCell="F54" sqref="F54"/>
    </sheetView>
  </sheetViews>
  <sheetFormatPr baseColWidth="10" defaultRowHeight="16" x14ac:dyDescent="0.2"/>
  <cols>
    <col min="1" max="1" width="3.1640625" style="1" customWidth="1"/>
    <col min="2" max="2" width="32.5" style="1" customWidth="1"/>
    <col min="3" max="3" width="12.83203125" style="1" customWidth="1"/>
    <col min="4" max="4" width="5" style="1" customWidth="1"/>
    <col min="5" max="5" width="22.83203125" style="1" customWidth="1"/>
    <col min="6" max="16384" width="10.83203125" style="1"/>
  </cols>
  <sheetData>
    <row r="1" spans="2:7" x14ac:dyDescent="0.2">
      <c r="B1" s="82" t="s">
        <v>266</v>
      </c>
    </row>
    <row r="4" spans="2:7" x14ac:dyDescent="0.2">
      <c r="B4" s="240" t="s">
        <v>225</v>
      </c>
      <c r="C4" s="240"/>
      <c r="E4" s="240" t="s">
        <v>232</v>
      </c>
      <c r="F4" s="240"/>
      <c r="G4" s="240"/>
    </row>
    <row r="5" spans="2:7" x14ac:dyDescent="0.2">
      <c r="B5" s="20" t="s">
        <v>1</v>
      </c>
      <c r="C5" s="168">
        <f ca="1">Overview!C5</f>
        <v>178.4</v>
      </c>
      <c r="E5" s="12"/>
      <c r="F5" s="132" t="s">
        <v>233</v>
      </c>
      <c r="G5" s="132" t="s">
        <v>234</v>
      </c>
    </row>
    <row r="6" spans="2:7" x14ac:dyDescent="0.2">
      <c r="B6" s="20" t="s">
        <v>231</v>
      </c>
      <c r="C6" s="169">
        <f ca="1">Statement!AC156</f>
        <v>189460.80000000002</v>
      </c>
      <c r="E6" s="20" t="s">
        <v>19</v>
      </c>
      <c r="F6" s="174">
        <f>IF(Statement!M5&lt;=0,"N/A",_xlfn.RRI(4,Statement!M5,Statement!Q5))</f>
        <v>7.1733517181768569E-2</v>
      </c>
      <c r="G6" s="174" t="str">
        <f>IF(Statement!H5&lt;=0,"N/A",_xlfn.RRI(9,Statement!H5,Statement!Q5))</f>
        <v>N/A</v>
      </c>
    </row>
    <row r="7" spans="2:7" x14ac:dyDescent="0.2">
      <c r="B7" s="20" t="s">
        <v>180</v>
      </c>
      <c r="C7" s="169">
        <f ca="1">Statement!AC157</f>
        <v>196426.80000000002</v>
      </c>
      <c r="E7" s="20" t="s">
        <v>29</v>
      </c>
      <c r="F7" s="174">
        <f>IF(OR(Statement!M18&lt;=0, Statement!Q18&lt;=0), "N/A", _xlfn.RRI(4, Statement!M18, Statement!Q18))</f>
        <v>5.5900764313489004E-2</v>
      </c>
      <c r="G7" s="174" t="str">
        <f>IF(OR(Statement!H18&lt;=0, Statement!Q18&lt;=0), "N/A", _xlfn.RRI(9, Statement!H18, Statement!Q18))</f>
        <v>N/A</v>
      </c>
    </row>
    <row r="8" spans="2:7" x14ac:dyDescent="0.2">
      <c r="B8" s="20" t="s">
        <v>229</v>
      </c>
      <c r="C8" s="170">
        <f ca="1">Statement!AC153</f>
        <v>20.161967727378276</v>
      </c>
      <c r="E8" s="20" t="s">
        <v>235</v>
      </c>
      <c r="F8" s="174">
        <f>IF(OR(Statement!M26&lt;=0, Statement!Q26&lt;=0), "N/A", _xlfn.RRI(4, Statement!M26, Statement!Q26))</f>
        <v>6.6269494369812332E-2</v>
      </c>
      <c r="G8" s="174" t="str">
        <f>IF(OR(Statement!H26&lt;=0, Statement!Q26&lt;=0), "N/A", _xlfn.RRI(9, Statement!H26, Statement!Q26))</f>
        <v>N/A</v>
      </c>
    </row>
    <row r="9" spans="2:7" x14ac:dyDescent="0.2">
      <c r="B9" s="20" t="s">
        <v>193</v>
      </c>
      <c r="C9" s="170">
        <f ca="1">Statement!AC154</f>
        <v>4.3498865389852046</v>
      </c>
      <c r="E9" s="20" t="s">
        <v>236</v>
      </c>
      <c r="F9" s="174">
        <f>IF(Statement!M82&lt;=0,"N/A",_xlfn.RRI(4,Statement!M82,Statement!Q82))</f>
        <v>6.9484271201477821E-2</v>
      </c>
      <c r="G9" s="174" t="str">
        <f>IF(Statement!H82&lt;=0,"N/A",_xlfn.RRI(9,Statement!H82,Statement!Q82))</f>
        <v>N/A</v>
      </c>
    </row>
    <row r="10" spans="2:7" x14ac:dyDescent="0.2">
      <c r="B10" s="20" t="s">
        <v>230</v>
      </c>
      <c r="C10" s="170">
        <f ca="1">Statement!AC155</f>
        <v>6.772723985826886</v>
      </c>
      <c r="E10" s="20" t="s">
        <v>1</v>
      </c>
      <c r="F10" s="174">
        <f>IF(Statement!M116&lt;=0,"N/A",_xlfn.RRI(4,Statement!M116,Statement!Q116))</f>
        <v>6.028145101706972E-2</v>
      </c>
      <c r="G10" s="174" t="str">
        <f>IF(Statement!H116&lt;=0,"N/A",_xlfn.RRI(9,Statement!H116,Statement!Q116))</f>
        <v>N/A</v>
      </c>
    </row>
    <row r="11" spans="2:7" x14ac:dyDescent="0.2">
      <c r="B11" s="20" t="s">
        <v>252</v>
      </c>
      <c r="C11" s="170">
        <f ca="1">Statement!AC158</f>
        <v>4.457356812199329</v>
      </c>
    </row>
    <row r="12" spans="2:7" x14ac:dyDescent="0.2">
      <c r="B12" s="20" t="s">
        <v>196</v>
      </c>
      <c r="C12" s="170">
        <f ca="1">Statement!AC159</f>
        <v>19.221724239162345</v>
      </c>
    </row>
    <row r="15" spans="2:7" x14ac:dyDescent="0.2">
      <c r="B15" s="240" t="s">
        <v>75</v>
      </c>
      <c r="C15" s="240"/>
      <c r="E15" s="240" t="s">
        <v>238</v>
      </c>
      <c r="F15" s="240"/>
    </row>
    <row r="16" spans="2:7" x14ac:dyDescent="0.2">
      <c r="B16" s="20" t="s">
        <v>76</v>
      </c>
      <c r="C16" s="171">
        <f>Statement!AC100</f>
        <v>0.54227557411273486</v>
      </c>
      <c r="E16" s="20" t="s">
        <v>29</v>
      </c>
      <c r="F16" s="169">
        <f>Statement!AC18</f>
        <v>9521</v>
      </c>
    </row>
    <row r="17" spans="2:6" x14ac:dyDescent="0.2">
      <c r="B17" s="20" t="s">
        <v>77</v>
      </c>
      <c r="C17" s="171">
        <f>Statement!AC101</f>
        <v>0.23189162203866751</v>
      </c>
      <c r="E17" s="20" t="s">
        <v>239</v>
      </c>
      <c r="F17" s="169">
        <f>Statement!AC59</f>
        <v>12401</v>
      </c>
    </row>
    <row r="18" spans="2:6" x14ac:dyDescent="0.2">
      <c r="B18" s="20" t="s">
        <v>78</v>
      </c>
      <c r="C18" s="171">
        <f>Statement!AC102</f>
        <v>0.21605246437324135</v>
      </c>
      <c r="E18" s="20" t="s">
        <v>246</v>
      </c>
      <c r="F18" s="173">
        <f>IF(OR(F16&lt;=0, F17&lt;=0),"N/A",F16-F17)</f>
        <v>-2880</v>
      </c>
    </row>
    <row r="21" spans="2:6" x14ac:dyDescent="0.2">
      <c r="B21" s="240" t="s">
        <v>237</v>
      </c>
      <c r="C21" s="240"/>
      <c r="E21" s="240" t="s">
        <v>241</v>
      </c>
      <c r="F21" s="240"/>
    </row>
    <row r="22" spans="2:6" x14ac:dyDescent="0.2">
      <c r="B22" s="20" t="s">
        <v>92</v>
      </c>
      <c r="C22" s="171">
        <f>Statement!AC120</f>
        <v>0.21605246437324135</v>
      </c>
      <c r="E22" s="20" t="s">
        <v>94</v>
      </c>
      <c r="F22" s="171">
        <f>C24</f>
        <v>0.16596649641780117</v>
      </c>
    </row>
    <row r="23" spans="2:6" x14ac:dyDescent="0.2">
      <c r="B23" s="20" t="s">
        <v>93</v>
      </c>
      <c r="C23" s="170">
        <f>Statement!AC121</f>
        <v>0.76817682639845208</v>
      </c>
      <c r="E23" s="20" t="s">
        <v>96</v>
      </c>
      <c r="F23" s="171">
        <f>C26</f>
        <v>0.3442403644515149</v>
      </c>
    </row>
    <row r="24" spans="2:6" x14ac:dyDescent="0.2">
      <c r="B24" s="32" t="s">
        <v>94</v>
      </c>
      <c r="C24" s="172">
        <f>Statement!AC122</f>
        <v>0.16596649641780117</v>
      </c>
      <c r="E24" s="20" t="s">
        <v>97</v>
      </c>
      <c r="F24" s="171">
        <f>Statement!AC143</f>
        <v>0.25062860459696928</v>
      </c>
    </row>
    <row r="25" spans="2:6" x14ac:dyDescent="0.2">
      <c r="B25" s="20" t="s">
        <v>95</v>
      </c>
      <c r="C25" s="170">
        <f>Statement!AC123</f>
        <v>2.0741557596355484</v>
      </c>
    </row>
    <row r="26" spans="2:6" x14ac:dyDescent="0.2">
      <c r="B26" s="32" t="s">
        <v>96</v>
      </c>
      <c r="C26" s="172">
        <f>Statement!AC124</f>
        <v>0.3442403644515149</v>
      </c>
    </row>
    <row r="29" spans="2:6" x14ac:dyDescent="0.2">
      <c r="B29" s="240" t="s">
        <v>242</v>
      </c>
      <c r="C29" s="240"/>
      <c r="E29" s="240" t="s">
        <v>248</v>
      </c>
      <c r="F29" s="240"/>
    </row>
    <row r="30" spans="2:6" x14ac:dyDescent="0.2">
      <c r="B30" s="20" t="s">
        <v>131</v>
      </c>
      <c r="C30" s="170">
        <f>Statement!AC144</f>
        <v>38.663429245711178</v>
      </c>
      <c r="E30" s="20" t="s">
        <v>249</v>
      </c>
      <c r="F30" s="176">
        <f>Statement!AC148</f>
        <v>0.55210065803745756</v>
      </c>
    </row>
    <row r="31" spans="2:6" x14ac:dyDescent="0.2">
      <c r="B31" s="20" t="s">
        <v>132</v>
      </c>
      <c r="C31" s="170">
        <f>Statement!AC145</f>
        <v>151.62039561747062</v>
      </c>
      <c r="E31" s="20" t="s">
        <v>250</v>
      </c>
      <c r="F31" s="176">
        <f>Statement!AC149</f>
        <v>0.25186202906934702</v>
      </c>
    </row>
    <row r="32" spans="2:6" x14ac:dyDescent="0.2">
      <c r="B32" s="20" t="s">
        <v>133</v>
      </c>
      <c r="C32" s="170">
        <f>Statement!AC146</f>
        <v>52.422041544792023</v>
      </c>
      <c r="E32" s="20" t="s">
        <v>245</v>
      </c>
      <c r="F32" s="176">
        <f>Statement!AC151</f>
        <v>2.0155962498904758</v>
      </c>
    </row>
    <row r="33" spans="2:6" x14ac:dyDescent="0.2">
      <c r="B33" s="20" t="s">
        <v>134</v>
      </c>
      <c r="C33" s="170">
        <f>Statement!AC147</f>
        <v>137.86178331838977</v>
      </c>
      <c r="E33" s="20" t="s">
        <v>244</v>
      </c>
      <c r="F33" s="176">
        <f>Statement!AC150</f>
        <v>1.1365986156137737</v>
      </c>
    </row>
    <row r="34" spans="2:6" x14ac:dyDescent="0.2">
      <c r="E34" s="20" t="s">
        <v>251</v>
      </c>
      <c r="F34" s="178">
        <f>Statement!AC152</f>
        <v>14.831640058055152</v>
      </c>
    </row>
    <row r="37" spans="2:6" x14ac:dyDescent="0.2">
      <c r="B37" s="240" t="s">
        <v>260</v>
      </c>
      <c r="C37" s="240"/>
      <c r="E37" s="240" t="s">
        <v>263</v>
      </c>
      <c r="F37" s="240"/>
    </row>
    <row r="38" spans="2:6" x14ac:dyDescent="0.2">
      <c r="B38" s="20" t="s">
        <v>258</v>
      </c>
      <c r="C38" s="171">
        <f ca="1">Statement!AC165</f>
        <v>4.9598333531805185E-2</v>
      </c>
      <c r="E38" s="20" t="s">
        <v>262</v>
      </c>
      <c r="F38" s="171">
        <f>Statement!AC171</f>
        <v>0.53317535545023698</v>
      </c>
    </row>
    <row r="39" spans="2:6" x14ac:dyDescent="0.2">
      <c r="B39" s="54" t="s">
        <v>261</v>
      </c>
      <c r="C39" s="211">
        <f ca="1">Statement!AC164</f>
        <v>3.7865352621756054E-2</v>
      </c>
      <c r="E39" s="20" t="s">
        <v>264</v>
      </c>
      <c r="F39" s="171">
        <f>Statement!AC172</f>
        <v>1.2893783105659324</v>
      </c>
    </row>
    <row r="40" spans="2:6" x14ac:dyDescent="0.2">
      <c r="B40" s="20" t="s">
        <v>259</v>
      </c>
      <c r="C40" s="171">
        <f ca="1">Statement!AC166</f>
        <v>2.0123318385650221E-2</v>
      </c>
      <c r="E40" s="20" t="s">
        <v>265</v>
      </c>
      <c r="F40" s="171">
        <f>Statement!AC173</f>
        <v>1.8225536660161694</v>
      </c>
    </row>
    <row r="41" spans="2:6" x14ac:dyDescent="0.2">
      <c r="B41" s="20" t="s">
        <v>284</v>
      </c>
      <c r="C41" s="171">
        <f ca="1">Statement!AC167</f>
        <v>4.8822764392423126E-2</v>
      </c>
    </row>
    <row r="42" spans="2:6" x14ac:dyDescent="0.2">
      <c r="B42" s="20" t="s">
        <v>286</v>
      </c>
      <c r="C42" s="171">
        <f ca="1">Statement!AC168</f>
        <v>6.9011637235776468E-2</v>
      </c>
    </row>
    <row r="45" spans="2:6" x14ac:dyDescent="0.2">
      <c r="B45" s="240" t="s">
        <v>271</v>
      </c>
      <c r="C45" s="240"/>
      <c r="E45" s="240" t="s">
        <v>277</v>
      </c>
      <c r="F45" s="240"/>
    </row>
    <row r="46" spans="2:6" x14ac:dyDescent="0.2">
      <c r="B46" s="20" t="s">
        <v>269</v>
      </c>
      <c r="C46" s="171">
        <f>Statement!AC174</f>
        <v>9.4161958568738226E-4</v>
      </c>
      <c r="E46" s="20" t="s">
        <v>270</v>
      </c>
      <c r="F46" s="170">
        <f>Statement!AC175</f>
        <v>7.9085714285714284</v>
      </c>
    </row>
    <row r="47" spans="2:6" x14ac:dyDescent="0.2">
      <c r="E47" s="20" t="s">
        <v>278</v>
      </c>
      <c r="F47" s="170">
        <f>Statement!AC178</f>
        <v>-6.6342857142857143</v>
      </c>
    </row>
    <row r="48" spans="2:6" x14ac:dyDescent="0.2">
      <c r="E48" s="20" t="s">
        <v>283</v>
      </c>
      <c r="F48" s="171">
        <f ca="1">Statement!AC179</f>
        <v>-3.6767500190012917E-2</v>
      </c>
    </row>
    <row r="51" spans="2:6" x14ac:dyDescent="0.2">
      <c r="B51" s="240" t="s">
        <v>274</v>
      </c>
      <c r="C51" s="240"/>
      <c r="E51" s="240" t="s">
        <v>295</v>
      </c>
      <c r="F51" s="240"/>
    </row>
    <row r="52" spans="2:6" x14ac:dyDescent="0.2">
      <c r="B52" s="20" t="s">
        <v>272</v>
      </c>
      <c r="C52" s="171">
        <f>Statement!AC176</f>
        <v>0.26143052979598419</v>
      </c>
      <c r="E52" s="20" t="s">
        <v>296</v>
      </c>
      <c r="F52" s="171">
        <f>Statement!AC180</f>
        <v>4.5044022873740583E-2</v>
      </c>
    </row>
    <row r="53" spans="2:6" x14ac:dyDescent="0.2">
      <c r="B53" s="20" t="s">
        <v>273</v>
      </c>
      <c r="C53" s="171">
        <f>Statement!AC177</f>
        <v>7.3568121993283109E-2</v>
      </c>
      <c r="E53" s="20" t="s">
        <v>293</v>
      </c>
      <c r="F53" s="171">
        <f>Statement!AC181</f>
        <v>0.1600677364728651</v>
      </c>
    </row>
    <row r="54" spans="2:6" x14ac:dyDescent="0.2">
      <c r="E54" s="20" t="s">
        <v>294</v>
      </c>
      <c r="F54" s="171">
        <f>Statement!AC182</f>
        <v>1.2619198982835347</v>
      </c>
    </row>
  </sheetData>
  <mergeCells count="14">
    <mergeCell ref="B51:C51"/>
    <mergeCell ref="B4:C4"/>
    <mergeCell ref="E4:G4"/>
    <mergeCell ref="B15:C15"/>
    <mergeCell ref="B21:C21"/>
    <mergeCell ref="E15:F15"/>
    <mergeCell ref="E21:F21"/>
    <mergeCell ref="B37:C37"/>
    <mergeCell ref="E37:F37"/>
    <mergeCell ref="B45:C45"/>
    <mergeCell ref="E45:F45"/>
    <mergeCell ref="B29:C29"/>
    <mergeCell ref="E29:F29"/>
    <mergeCell ref="E51:F51"/>
  </mergeCells>
  <pageMargins left="0.7" right="0.7" top="0.75" bottom="0.75" header="0.3" footer="0.3"/>
  <ignoredErrors>
    <ignoredError sqref="F3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EC990-97E1-EA42-B427-9F214546EBED}">
  <dimension ref="B1:I96"/>
  <sheetViews>
    <sheetView zoomScale="159" zoomScaleNormal="230" workbookViewId="0">
      <pane xSplit="2" ySplit="3" topLeftCell="C4" activePane="bottomRight" state="frozen"/>
      <selection pane="topRight" activeCell="C1" sqref="C1"/>
      <selection pane="bottomLeft" activeCell="A4" sqref="A4"/>
      <selection pane="bottomRight" activeCell="G93" sqref="G93"/>
    </sheetView>
  </sheetViews>
  <sheetFormatPr baseColWidth="10" defaultRowHeight="16" x14ac:dyDescent="0.2"/>
  <cols>
    <col min="1" max="1" width="3.33203125" style="1" customWidth="1"/>
    <col min="2" max="2" width="31.1640625" style="1" customWidth="1"/>
    <col min="3" max="7" width="10.83203125" style="1"/>
    <col min="8" max="8" width="2.5" style="1" customWidth="1"/>
    <col min="9" max="9" width="12.1640625" style="1" customWidth="1"/>
    <col min="10" max="16384" width="10.83203125" style="1"/>
  </cols>
  <sheetData>
    <row r="1" spans="2:9" ht="11" customHeight="1" x14ac:dyDescent="0.2"/>
    <row r="2" spans="2:9" x14ac:dyDescent="0.2">
      <c r="B2" s="10"/>
      <c r="C2" s="10" t="str">
        <f>Statement!M2</f>
        <v>26.09.2021</v>
      </c>
      <c r="D2" s="10" t="str">
        <f>Statement!N2</f>
        <v>25.09.2022</v>
      </c>
      <c r="E2" s="10" t="str">
        <f>Statement!O2</f>
        <v>24.09.2023</v>
      </c>
      <c r="F2" s="10" t="str">
        <f>Statement!P2</f>
        <v>29.09.2024</v>
      </c>
      <c r="G2" s="10" t="str">
        <f>Statement!Q2</f>
        <v>28.09.2025</v>
      </c>
      <c r="I2" s="10"/>
    </row>
    <row r="3" spans="2:9" x14ac:dyDescent="0.2">
      <c r="B3" s="10"/>
      <c r="C3" s="10">
        <f>Statement!M3</f>
        <v>2021</v>
      </c>
      <c r="D3" s="10">
        <f>Statement!N3</f>
        <v>2022</v>
      </c>
      <c r="E3" s="10">
        <f>Statement!O3</f>
        <v>2023</v>
      </c>
      <c r="F3" s="10">
        <f>Statement!P3</f>
        <v>2024</v>
      </c>
      <c r="G3" s="10">
        <f>Statement!Q3</f>
        <v>2025</v>
      </c>
      <c r="I3" s="10" t="str">
        <f>Statement!AC3</f>
        <v>TTM/YTD</v>
      </c>
    </row>
    <row r="5" spans="2:9" ht="17" thickBot="1" x14ac:dyDescent="0.25">
      <c r="B5" s="14" t="s">
        <v>225</v>
      </c>
      <c r="C5" s="14"/>
      <c r="D5" s="14"/>
      <c r="E5" s="14"/>
      <c r="F5" s="14"/>
      <c r="G5" s="14"/>
      <c r="I5" s="14"/>
    </row>
    <row r="6" spans="2:9" x14ac:dyDescent="0.2">
      <c r="B6" s="20" t="s">
        <v>1</v>
      </c>
      <c r="C6" s="168">
        <f>Statement!M115</f>
        <v>133.88</v>
      </c>
      <c r="D6" s="168">
        <f>Statement!N115</f>
        <v>121.19</v>
      </c>
      <c r="E6" s="168">
        <f>Statement!O115</f>
        <v>107.68</v>
      </c>
      <c r="F6" s="168">
        <f>Statement!P115</f>
        <v>170.13</v>
      </c>
      <c r="G6" s="168">
        <f>Statement!Q115</f>
        <v>169.2</v>
      </c>
      <c r="I6" s="168">
        <f ca="1">Statement!AC115</f>
        <v>178.4</v>
      </c>
    </row>
    <row r="7" spans="2:9" x14ac:dyDescent="0.2">
      <c r="B7" s="20" t="s">
        <v>231</v>
      </c>
      <c r="C7" s="169">
        <f>Statement!M156</f>
        <v>152355.44</v>
      </c>
      <c r="D7" s="169">
        <f>Statement!N156</f>
        <v>137550.65</v>
      </c>
      <c r="E7" s="169">
        <f>Statement!O156</f>
        <v>120816.96000000001</v>
      </c>
      <c r="F7" s="169">
        <f>Statement!P156</f>
        <v>191396.25</v>
      </c>
      <c r="G7" s="169">
        <f>Statement!Q156</f>
        <v>182736</v>
      </c>
      <c r="I7" s="169">
        <f ca="1">Statement!AC156</f>
        <v>189460.80000000002</v>
      </c>
    </row>
    <row r="8" spans="2:9" x14ac:dyDescent="0.2">
      <c r="B8" s="20" t="s">
        <v>180</v>
      </c>
      <c r="C8" s="169">
        <f>Statement!M157</f>
        <v>155686.44</v>
      </c>
      <c r="D8" s="169">
        <f>Statement!N157</f>
        <v>146650.65</v>
      </c>
      <c r="E8" s="169">
        <f>Statement!O157</f>
        <v>124890.96000000002</v>
      </c>
      <c r="F8" s="169">
        <f>Statement!P157</f>
        <v>192730.25</v>
      </c>
      <c r="G8" s="169">
        <f>Statement!Q157</f>
        <v>187392</v>
      </c>
      <c r="I8" s="169">
        <f ca="1">Statement!AC157</f>
        <v>196426.80000000002</v>
      </c>
    </row>
    <row r="9" spans="2:9" x14ac:dyDescent="0.2">
      <c r="B9" s="20" t="s">
        <v>229</v>
      </c>
      <c r="C9" s="170">
        <f>Statement!M153</f>
        <v>17.011435832274458</v>
      </c>
      <c r="D9" s="170">
        <f>Statement!N153</f>
        <v>10.621384750219105</v>
      </c>
      <c r="E9" s="170">
        <f>Statement!O153</f>
        <v>16.515337423312886</v>
      </c>
      <c r="F9" s="170">
        <f>Statement!P153</f>
        <v>19.030201342281881</v>
      </c>
      <c r="G9" s="170">
        <f>Statement!Q153</f>
        <v>16.632506004803844</v>
      </c>
      <c r="I9" s="170">
        <f ca="1">Statement!AC153</f>
        <v>20.161967727378276</v>
      </c>
    </row>
    <row r="10" spans="2:9" x14ac:dyDescent="0.2">
      <c r="B10" s="20" t="s">
        <v>193</v>
      </c>
      <c r="C10" s="170">
        <f>Statement!M154</f>
        <v>4.5828552702139067</v>
      </c>
      <c r="D10" s="170">
        <f>Statement!N154</f>
        <v>3.1174893665158372</v>
      </c>
      <c r="E10" s="170">
        <f>Statement!O154</f>
        <v>3.3849156895589059</v>
      </c>
      <c r="F10" s="170">
        <f>Statement!P154</f>
        <v>4.9342153893537288</v>
      </c>
      <c r="G10" s="170">
        <f>Statement!Q154</f>
        <v>4.2219763345677892</v>
      </c>
      <c r="I10" s="170">
        <f ca="1">Statement!AC154</f>
        <v>4.3498865389852046</v>
      </c>
    </row>
    <row r="11" spans="2:9" x14ac:dyDescent="0.2">
      <c r="B11" s="20" t="s">
        <v>230</v>
      </c>
      <c r="C11" s="170">
        <f>Statement!M155</f>
        <v>15.069909547738693</v>
      </c>
      <c r="D11" s="170">
        <f>Statement!N155</f>
        <v>7.5419968911341808</v>
      </c>
      <c r="E11" s="170">
        <f>Statement!O155</f>
        <v>5.5533960428154394</v>
      </c>
      <c r="F11" s="170">
        <f>Statement!P155</f>
        <v>7.1939723681205754</v>
      </c>
      <c r="G11" s="170">
        <f>Statement!Q155</f>
        <v>8.5453739507686493</v>
      </c>
      <c r="I11" s="170">
        <f ca="1">Statement!AC155</f>
        <v>6.772723985826886</v>
      </c>
    </row>
    <row r="12" spans="2:9" x14ac:dyDescent="0.2">
      <c r="B12" s="20" t="s">
        <v>252</v>
      </c>
      <c r="C12" s="170">
        <f>Statement!M158</f>
        <v>4.6382184353214564</v>
      </c>
      <c r="D12" s="170">
        <f>Statement!N158</f>
        <v>3.3178880090497738</v>
      </c>
      <c r="E12" s="170">
        <f>Statement!O158</f>
        <v>3.4866264656616419</v>
      </c>
      <c r="F12" s="170">
        <f>Statement!P158</f>
        <v>4.946621066680355</v>
      </c>
      <c r="G12" s="170">
        <f>Statement!Q158</f>
        <v>4.231596061783037</v>
      </c>
      <c r="I12" s="170">
        <f ca="1">Statement!AC158</f>
        <v>4.457356812199329</v>
      </c>
    </row>
    <row r="13" spans="2:9" x14ac:dyDescent="0.2">
      <c r="B13" s="20" t="s">
        <v>196</v>
      </c>
      <c r="C13" s="170">
        <f>Statement!M159</f>
        <v>15.904223107569722</v>
      </c>
      <c r="D13" s="170">
        <f>Statement!N159</f>
        <v>9.2465731399747781</v>
      </c>
      <c r="E13" s="170">
        <f>Statement!O159</f>
        <v>16.036332819722652</v>
      </c>
      <c r="F13" s="170">
        <f>Statement!P159</f>
        <v>19.137151226293316</v>
      </c>
      <c r="G13" s="170">
        <f>Statement!Q159</f>
        <v>15.167300687980575</v>
      </c>
      <c r="I13" s="170">
        <f ca="1">Statement!AC159</f>
        <v>19.221724239162345</v>
      </c>
    </row>
    <row r="15" spans="2:9" ht="17" thickBot="1" x14ac:dyDescent="0.25">
      <c r="B15" s="14" t="s">
        <v>75</v>
      </c>
      <c r="C15" s="14"/>
      <c r="D15" s="14"/>
      <c r="E15" s="14"/>
      <c r="F15" s="14"/>
      <c r="G15" s="14"/>
      <c r="I15" s="14"/>
    </row>
    <row r="16" spans="2:9" x14ac:dyDescent="0.2">
      <c r="B16" s="20" t="s">
        <v>76</v>
      </c>
      <c r="C16" s="171">
        <f>Statement!M100</f>
        <v>0.57510576178275641</v>
      </c>
      <c r="D16" s="171">
        <f>Statement!N100</f>
        <v>0.57798642533936651</v>
      </c>
      <c r="E16" s="171">
        <f>Statement!O100</f>
        <v>0.55697934115019543</v>
      </c>
      <c r="F16" s="171">
        <f>Statement!P100</f>
        <v>0.56213746727580716</v>
      </c>
      <c r="G16" s="171">
        <f>Statement!Q100</f>
        <v>0.55428597236022037</v>
      </c>
      <c r="I16" s="171">
        <f>Statement!AC100</f>
        <v>0.54227557411273486</v>
      </c>
    </row>
    <row r="17" spans="2:9" x14ac:dyDescent="0.2">
      <c r="B17" s="20" t="s">
        <v>77</v>
      </c>
      <c r="C17" s="171">
        <f>Statement!M101</f>
        <v>0.2916343919442293</v>
      </c>
      <c r="D17" s="171">
        <f>Statement!N101</f>
        <v>0.35882352941176471</v>
      </c>
      <c r="E17" s="171">
        <f>Statement!O101</f>
        <v>0.21742043551088777</v>
      </c>
      <c r="F17" s="171">
        <f>Statement!P101</f>
        <v>0.25848262409527234</v>
      </c>
      <c r="G17" s="171">
        <f>Statement!Q101</f>
        <v>0.27899467076144885</v>
      </c>
      <c r="I17" s="171">
        <f>Statement!AC101</f>
        <v>0.23189162203866751</v>
      </c>
    </row>
    <row r="18" spans="2:9" x14ac:dyDescent="0.2">
      <c r="B18" s="20" t="s">
        <v>78</v>
      </c>
      <c r="C18" s="171">
        <f>Statement!M102</f>
        <v>0.2694095215396532</v>
      </c>
      <c r="D18" s="171">
        <f>Statement!N102</f>
        <v>0.29380090497737554</v>
      </c>
      <c r="E18" s="171">
        <f>Statement!O102</f>
        <v>0.2048855388051368</v>
      </c>
      <c r="F18" s="171">
        <f>Statement!P102</f>
        <v>0.25948359940454802</v>
      </c>
      <c r="G18" s="171">
        <f>Statement!Q102</f>
        <v>0.25383885827838498</v>
      </c>
      <c r="I18" s="171">
        <f>Statement!AC102</f>
        <v>0.21605246437324135</v>
      </c>
    </row>
    <row r="20" spans="2:9" ht="17" thickBot="1" x14ac:dyDescent="0.25">
      <c r="B20" s="14" t="s">
        <v>238</v>
      </c>
      <c r="C20" s="14"/>
      <c r="D20" s="14"/>
      <c r="E20" s="14"/>
      <c r="F20" s="14"/>
      <c r="G20" s="14"/>
      <c r="I20" s="14"/>
    </row>
    <row r="21" spans="2:9" x14ac:dyDescent="0.2">
      <c r="B21" s="20" t="s">
        <v>29</v>
      </c>
      <c r="C21" s="173">
        <f>Statement!M18</f>
        <v>9043</v>
      </c>
      <c r="D21" s="173">
        <f>Statement!N18</f>
        <v>12986</v>
      </c>
      <c r="E21" s="173">
        <f>Statement!O18</f>
        <v>7339</v>
      </c>
      <c r="F21" s="173">
        <f>Statement!P18</f>
        <v>10110</v>
      </c>
      <c r="G21" s="173">
        <f>Statement!Q18</f>
        <v>11241</v>
      </c>
      <c r="I21" s="173">
        <f>Statement!AC18</f>
        <v>9521</v>
      </c>
    </row>
    <row r="22" spans="2:9" x14ac:dyDescent="0.2">
      <c r="B22" s="20" t="s">
        <v>239</v>
      </c>
      <c r="C22" s="173">
        <f>Statement!M59</f>
        <v>10536</v>
      </c>
      <c r="D22" s="173">
        <f>Statement!N59</f>
        <v>9096</v>
      </c>
      <c r="E22" s="173">
        <f>Statement!O59</f>
        <v>11299</v>
      </c>
      <c r="F22" s="173">
        <f>Statement!P59</f>
        <v>12202</v>
      </c>
      <c r="G22" s="173">
        <f>Statement!Q59</f>
        <v>14012</v>
      </c>
      <c r="I22" s="173">
        <f>Statement!AC59</f>
        <v>12401</v>
      </c>
    </row>
    <row r="23" spans="2:9" x14ac:dyDescent="0.2">
      <c r="B23" s="20" t="s">
        <v>246</v>
      </c>
      <c r="C23" s="191">
        <f>IF(OR(C21&lt;=0, C22&lt;=0),"N/A",C21-C22)</f>
        <v>-1493</v>
      </c>
      <c r="D23" s="191">
        <f t="shared" ref="D23:I23" si="0">IF(OR(D21&lt;=0, D22&lt;=0),"N/A",D21-D22)</f>
        <v>3890</v>
      </c>
      <c r="E23" s="191">
        <f t="shared" si="0"/>
        <v>-3960</v>
      </c>
      <c r="F23" s="191">
        <f t="shared" si="0"/>
        <v>-2092</v>
      </c>
      <c r="G23" s="191">
        <f t="shared" si="0"/>
        <v>-2771</v>
      </c>
      <c r="I23" s="191">
        <f t="shared" si="0"/>
        <v>-2880</v>
      </c>
    </row>
    <row r="25" spans="2:9" ht="17" thickBot="1" x14ac:dyDescent="0.25">
      <c r="B25" s="14" t="s">
        <v>237</v>
      </c>
      <c r="C25" s="14"/>
      <c r="D25" s="14"/>
      <c r="E25" s="14"/>
      <c r="F25" s="14"/>
      <c r="G25" s="14"/>
      <c r="I25" s="14"/>
    </row>
    <row r="26" spans="2:9" x14ac:dyDescent="0.2">
      <c r="B26" s="20" t="s">
        <v>92</v>
      </c>
      <c r="C26" s="171">
        <f>Statement!M120</f>
        <v>0.2694095215396532</v>
      </c>
      <c r="D26" s="171">
        <f>Statement!N120</f>
        <v>0.29380090497737554</v>
      </c>
      <c r="E26" s="171">
        <f>Statement!O120</f>
        <v>0.2048855388051368</v>
      </c>
      <c r="F26" s="171">
        <f>Statement!P120</f>
        <v>0.25948359940454802</v>
      </c>
      <c r="G26" s="171">
        <f>Statement!Q120</f>
        <v>0.25383885827838498</v>
      </c>
      <c r="I26" s="171">
        <f>Statement!AC120</f>
        <v>0.21605246437324135</v>
      </c>
    </row>
    <row r="27" spans="2:9" x14ac:dyDescent="0.2">
      <c r="B27" s="20" t="s">
        <v>93</v>
      </c>
      <c r="C27" s="210">
        <f>Statement!M121</f>
        <v>0.81391852570320078</v>
      </c>
      <c r="D27" s="210">
        <f>Statement!N121</f>
        <v>0.90178316399396086</v>
      </c>
      <c r="E27" s="210">
        <f>Statement!O121</f>
        <v>0.70180250783699061</v>
      </c>
      <c r="F27" s="210">
        <f>Statement!P121</f>
        <v>0.70642201834862384</v>
      </c>
      <c r="G27" s="210">
        <f>Statement!Q121</f>
        <v>0.88315417904792293</v>
      </c>
      <c r="I27" s="210">
        <f>Statement!AC121</f>
        <v>0.76817682639845208</v>
      </c>
    </row>
    <row r="28" spans="2:9" x14ac:dyDescent="0.2">
      <c r="B28" s="32" t="s">
        <v>94</v>
      </c>
      <c r="C28" s="172">
        <f>Statement!M122</f>
        <v>0.21927740058195924</v>
      </c>
      <c r="D28" s="172">
        <f>Statement!N122</f>
        <v>0.26494470967478678</v>
      </c>
      <c r="E28" s="172">
        <f>Statement!O122</f>
        <v>0.14378918495297807</v>
      </c>
      <c r="F28" s="172">
        <f>Statement!P122</f>
        <v>0.18330492801972659</v>
      </c>
      <c r="G28" s="172">
        <f>Statement!Q122</f>
        <v>0.22417884849330916</v>
      </c>
      <c r="I28" s="172">
        <f>Statement!AC122</f>
        <v>0.16596649641780117</v>
      </c>
    </row>
    <row r="29" spans="2:9" x14ac:dyDescent="0.2">
      <c r="B29" s="20" t="s">
        <v>95</v>
      </c>
      <c r="C29" s="210">
        <f>Statement!M123</f>
        <v>4.1447236180904525</v>
      </c>
      <c r="D29" s="210">
        <f>Statement!N123</f>
        <v>2.7210348081940818</v>
      </c>
      <c r="E29" s="210">
        <f>Statement!O123</f>
        <v>2.3650433251471203</v>
      </c>
      <c r="F29" s="210">
        <f>Statement!P123</f>
        <v>2.099185506584456</v>
      </c>
      <c r="G29" s="210">
        <f>Statement!Q123</f>
        <v>2.3645666320852587</v>
      </c>
      <c r="I29" s="210">
        <f>Statement!AC123</f>
        <v>2.0741557596355484</v>
      </c>
    </row>
    <row r="30" spans="2:9" x14ac:dyDescent="0.2">
      <c r="B30" s="32" t="s">
        <v>96</v>
      </c>
      <c r="C30" s="172">
        <f>Statement!M124</f>
        <v>0.90884422110552765</v>
      </c>
      <c r="D30" s="172">
        <f>Statement!N124</f>
        <v>0.7209237772719701</v>
      </c>
      <c r="E30" s="172">
        <f>Statement!O124</f>
        <v>0.34006765210138556</v>
      </c>
      <c r="F30" s="172">
        <f>Statement!P124</f>
        <v>0.38479104818451698</v>
      </c>
      <c r="G30" s="172">
        <f>Statement!Q124</f>
        <v>0.53008582476657551</v>
      </c>
      <c r="I30" s="172">
        <f>Statement!AC124</f>
        <v>0.3442403644515149</v>
      </c>
    </row>
    <row r="32" spans="2:9" ht="17" thickBot="1" x14ac:dyDescent="0.25">
      <c r="B32" s="14" t="s">
        <v>297</v>
      </c>
      <c r="C32" s="14"/>
      <c r="D32" s="14"/>
      <c r="E32" s="14"/>
      <c r="F32" s="14"/>
      <c r="G32" s="14"/>
      <c r="I32" s="14"/>
    </row>
    <row r="33" spans="2:9" x14ac:dyDescent="0.2">
      <c r="B33" s="20" t="s">
        <v>94</v>
      </c>
      <c r="C33" s="171">
        <f>C28</f>
        <v>0.21927740058195924</v>
      </c>
      <c r="D33" s="171">
        <f t="shared" ref="D33:G33" si="1">D28</f>
        <v>0.26494470967478678</v>
      </c>
      <c r="E33" s="171">
        <f t="shared" si="1"/>
        <v>0.14378918495297807</v>
      </c>
      <c r="F33" s="171">
        <f t="shared" si="1"/>
        <v>0.18330492801972659</v>
      </c>
      <c r="G33" s="171">
        <f t="shared" si="1"/>
        <v>0.22417884849330916</v>
      </c>
      <c r="I33" s="171">
        <f>I28</f>
        <v>0.16596649641780117</v>
      </c>
    </row>
    <row r="34" spans="2:9" x14ac:dyDescent="0.2">
      <c r="B34" s="20" t="s">
        <v>96</v>
      </c>
      <c r="C34" s="171">
        <f>C30</f>
        <v>0.90884422110552765</v>
      </c>
      <c r="D34" s="171">
        <f t="shared" ref="D34:G34" si="2">D30</f>
        <v>0.7209237772719701</v>
      </c>
      <c r="E34" s="171">
        <f t="shared" si="2"/>
        <v>0.34006765210138556</v>
      </c>
      <c r="F34" s="171">
        <f t="shared" si="2"/>
        <v>0.38479104818451698</v>
      </c>
      <c r="G34" s="171">
        <f t="shared" si="2"/>
        <v>0.53008582476657551</v>
      </c>
      <c r="I34" s="171">
        <f>I30</f>
        <v>0.3442403644515149</v>
      </c>
    </row>
    <row r="35" spans="2:9" x14ac:dyDescent="0.2">
      <c r="B35" s="20" t="s">
        <v>97</v>
      </c>
      <c r="C35" s="171">
        <f>Statement!M143</f>
        <v>0.64875470609918895</v>
      </c>
      <c r="D35" s="171">
        <f>Statement!N143</f>
        <v>0.50648624822851629</v>
      </c>
      <c r="E35" s="171">
        <f>Statement!O143</f>
        <v>0.29932486311284412</v>
      </c>
      <c r="F35" s="171">
        <f>Statement!P143</f>
        <v>0.35680941434169483</v>
      </c>
      <c r="G35" s="171">
        <f>Statement!Q143</f>
        <v>0.42408116405060003</v>
      </c>
      <c r="I35" s="171">
        <f>Statement!AC143</f>
        <v>0.25062860459696928</v>
      </c>
    </row>
    <row r="37" spans="2:9" ht="17" thickBot="1" x14ac:dyDescent="0.25">
      <c r="B37" s="14" t="s">
        <v>242</v>
      </c>
      <c r="C37" s="14"/>
      <c r="D37" s="14"/>
      <c r="E37" s="14"/>
      <c r="F37" s="14"/>
      <c r="G37" s="14"/>
      <c r="I37" s="14"/>
    </row>
    <row r="38" spans="2:9" x14ac:dyDescent="0.2">
      <c r="B38" s="20" t="s">
        <v>131</v>
      </c>
      <c r="C38" s="170">
        <f>Statement!M144</f>
        <v>38.91839957099446</v>
      </c>
      <c r="D38" s="170">
        <f>Statement!N144</f>
        <v>46.599434389140271</v>
      </c>
      <c r="E38" s="170">
        <f>Statement!O144</f>
        <v>32.434254606365158</v>
      </c>
      <c r="F38" s="170">
        <f>Statement!P144</f>
        <v>36.807273753914075</v>
      </c>
      <c r="G38" s="170">
        <f>Statement!Q144</f>
        <v>35.565328335290403</v>
      </c>
      <c r="I38" s="170">
        <f>Statement!AC144</f>
        <v>38.663429245711178</v>
      </c>
    </row>
    <row r="39" spans="2:9" x14ac:dyDescent="0.2">
      <c r="B39" s="20" t="s">
        <v>132</v>
      </c>
      <c r="C39" s="170">
        <f>Statement!M145</f>
        <v>82.612536811106438</v>
      </c>
      <c r="D39" s="170">
        <f>Statement!N145</f>
        <v>124.08004074411623</v>
      </c>
      <c r="E39" s="170">
        <f>Statement!O145</f>
        <v>147.7112609490201</v>
      </c>
      <c r="F39" s="170">
        <f>Statement!P145</f>
        <v>137.42057444314187</v>
      </c>
      <c r="G39" s="170">
        <f>Statement!Q145</f>
        <v>120.68041341574629</v>
      </c>
      <c r="I39" s="170">
        <f>Statement!AC145</f>
        <v>151.62039561747062</v>
      </c>
    </row>
    <row r="40" spans="2:9" x14ac:dyDescent="0.2">
      <c r="B40" s="20" t="s">
        <v>133</v>
      </c>
      <c r="C40" s="170">
        <f>Statement!M146</f>
        <v>70.379329687280887</v>
      </c>
      <c r="D40" s="170">
        <f>Statement!N146</f>
        <v>74.279740524312444</v>
      </c>
      <c r="E40" s="170">
        <f>Statement!O146</f>
        <v>43.977566324280041</v>
      </c>
      <c r="F40" s="170">
        <f>Statement!P146</f>
        <v>55.284876905041038</v>
      </c>
      <c r="G40" s="170">
        <f>Statement!Q146</f>
        <v>51.611865437227685</v>
      </c>
      <c r="I40" s="170">
        <f>Statement!AC146</f>
        <v>52.422041544792023</v>
      </c>
    </row>
    <row r="41" spans="2:9" x14ac:dyDescent="0.2">
      <c r="B41" s="20" t="s">
        <v>134</v>
      </c>
      <c r="C41" s="170">
        <f>Statement!M147</f>
        <v>51.151606694820003</v>
      </c>
      <c r="D41" s="170">
        <f>Statement!N147</f>
        <v>96.399734608944073</v>
      </c>
      <c r="E41" s="170">
        <f>Statement!O147</f>
        <v>136.16794923110521</v>
      </c>
      <c r="F41" s="170">
        <f>Statement!P147</f>
        <v>118.9429712920149</v>
      </c>
      <c r="G41" s="170">
        <f>Statement!Q147</f>
        <v>104.633876313809</v>
      </c>
      <c r="I41" s="170">
        <f>Statement!AC147</f>
        <v>137.86178331838977</v>
      </c>
    </row>
    <row r="43" spans="2:9" ht="17" thickBot="1" x14ac:dyDescent="0.25">
      <c r="B43" s="14" t="s">
        <v>248</v>
      </c>
      <c r="C43" s="14"/>
      <c r="D43" s="14"/>
      <c r="E43" s="14"/>
      <c r="F43" s="14"/>
      <c r="G43" s="14"/>
      <c r="I43" s="14"/>
    </row>
    <row r="44" spans="2:9" x14ac:dyDescent="0.2">
      <c r="B44" s="20" t="s">
        <v>249</v>
      </c>
      <c r="C44" s="176">
        <f>Statement!M148</f>
        <v>1.5824120603015075</v>
      </c>
      <c r="D44" s="176">
        <f>Statement!N148</f>
        <v>0.85949036806750678</v>
      </c>
      <c r="E44" s="176">
        <f>Statement!O148</f>
        <v>0.71349798433807521</v>
      </c>
      <c r="F44" s="176">
        <f>Statement!P148</f>
        <v>0.55697647864809319</v>
      </c>
      <c r="G44" s="176">
        <f>Statement!Q148</f>
        <v>0.69843440535697443</v>
      </c>
      <c r="I44" s="176">
        <f>Statement!AC148</f>
        <v>0.55210065803745756</v>
      </c>
    </row>
    <row r="45" spans="2:9" x14ac:dyDescent="0.2">
      <c r="B45" s="20" t="s">
        <v>250</v>
      </c>
      <c r="C45" s="176">
        <f>Statement!M149</f>
        <v>0.33477386934673364</v>
      </c>
      <c r="D45" s="176">
        <f>Statement!N149</f>
        <v>0.50519069560872698</v>
      </c>
      <c r="E45" s="176">
        <f>Statement!O149</f>
        <v>0.18877716509892961</v>
      </c>
      <c r="F45" s="176">
        <f>Statement!P149</f>
        <v>5.0772626931567331E-2</v>
      </c>
      <c r="G45" s="176">
        <f>Statement!Q149</f>
        <v>0.21956050174478922</v>
      </c>
      <c r="I45" s="176">
        <f>Statement!AC149</f>
        <v>0.25186202906934702</v>
      </c>
    </row>
    <row r="46" spans="2:9" x14ac:dyDescent="0.2">
      <c r="B46" s="20" t="s">
        <v>244</v>
      </c>
      <c r="C46" s="176">
        <f>Statement!M150</f>
        <v>1.3382143753660782</v>
      </c>
      <c r="D46" s="176">
        <f>Statement!N150</f>
        <v>1.0133996291926513</v>
      </c>
      <c r="E46" s="176">
        <f>Statement!O150</f>
        <v>1.5067511425010387</v>
      </c>
      <c r="F46" s="176">
        <f>Statement!P150</f>
        <v>1.6402322924600152</v>
      </c>
      <c r="G46" s="176">
        <f>Statement!Q150</f>
        <v>1.5824584426946631</v>
      </c>
      <c r="I46" s="176">
        <f>Statement!AC150</f>
        <v>1.1365986156137737</v>
      </c>
    </row>
    <row r="47" spans="2:9" x14ac:dyDescent="0.2">
      <c r="B47" s="20" t="s">
        <v>245</v>
      </c>
      <c r="C47" s="176">
        <f>Statement!M151</f>
        <v>1.6797757509831812</v>
      </c>
      <c r="D47" s="176">
        <f>Statement!N151</f>
        <v>1.7465026125063206</v>
      </c>
      <c r="E47" s="176">
        <f>Statement!O151</f>
        <v>2.3331948483589531</v>
      </c>
      <c r="F47" s="176">
        <f>Statement!P151</f>
        <v>2.402037319116527</v>
      </c>
      <c r="G47" s="176">
        <f>Statement!Q151</f>
        <v>2.8164916885389326</v>
      </c>
      <c r="I47" s="176">
        <f>Statement!AC151</f>
        <v>2.0155962498904758</v>
      </c>
    </row>
    <row r="48" spans="2:9" x14ac:dyDescent="0.2">
      <c r="B48" s="20" t="s">
        <v>251</v>
      </c>
      <c r="C48" s="178">
        <f>Statement!M152</f>
        <v>17.511627906976745</v>
      </c>
      <c r="D48" s="178">
        <f>Statement!N152</f>
        <v>32.367346938775512</v>
      </c>
      <c r="E48" s="178">
        <f>Statement!O152</f>
        <v>11.221902017291066</v>
      </c>
      <c r="F48" s="178">
        <f>Statement!P152</f>
        <v>14.449067431850789</v>
      </c>
      <c r="G48" s="178">
        <f>Statement!Q152</f>
        <v>18.606927710843372</v>
      </c>
      <c r="I48" s="178">
        <f>Statement!AC152</f>
        <v>14.831640058055152</v>
      </c>
    </row>
    <row r="50" spans="2:9" ht="17" thickBot="1" x14ac:dyDescent="0.25">
      <c r="B50" s="14" t="s">
        <v>260</v>
      </c>
      <c r="C50" s="14"/>
      <c r="D50" s="14"/>
      <c r="E50" s="14"/>
      <c r="F50" s="14"/>
      <c r="G50" s="14"/>
      <c r="I50" s="14"/>
    </row>
    <row r="51" spans="2:9" x14ac:dyDescent="0.2">
      <c r="B51" s="20" t="s">
        <v>258</v>
      </c>
      <c r="C51" s="171">
        <f>Statement!M165</f>
        <v>5.8783985658798929E-2</v>
      </c>
      <c r="D51" s="171">
        <f>Statement!N165</f>
        <v>9.4149682317022865E-2</v>
      </c>
      <c r="E51" s="171">
        <f>Statement!O165</f>
        <v>6.0549777117384837E-2</v>
      </c>
      <c r="F51" s="171">
        <f>Statement!P165</f>
        <v>5.254805149003703E-2</v>
      </c>
      <c r="G51" s="171">
        <f>Statement!Q165</f>
        <v>6.0123230961779149E-2</v>
      </c>
      <c r="I51" s="171">
        <f ca="1">Statement!AC165</f>
        <v>4.9598333531805185E-2</v>
      </c>
    </row>
    <row r="52" spans="2:9" x14ac:dyDescent="0.2">
      <c r="B52" s="20" t="s">
        <v>261</v>
      </c>
      <c r="C52" s="171">
        <f>Statement!M164</f>
        <v>4.5846738390174974E-2</v>
      </c>
      <c r="D52" s="171">
        <f>Statement!N164</f>
        <v>3.4918046552306369E-2</v>
      </c>
      <c r="E52" s="171">
        <f>Statement!O164</f>
        <v>6.0959984426027604E-2</v>
      </c>
      <c r="F52" s="171">
        <f>Statement!P164</f>
        <v>4.4478405402404698E-2</v>
      </c>
      <c r="G52" s="171">
        <f>Statement!Q164</f>
        <v>5.4926232378951056E-2</v>
      </c>
      <c r="I52" s="171">
        <f ca="1">Statement!AC164</f>
        <v>3.7865352621756054E-2</v>
      </c>
    </row>
    <row r="53" spans="2:9" x14ac:dyDescent="0.2">
      <c r="B53" s="20" t="s">
        <v>259</v>
      </c>
      <c r="C53" s="171">
        <f>Statement!M166</f>
        <v>1.9868538990140426E-2</v>
      </c>
      <c r="D53" s="171">
        <f>Statement!N166</f>
        <v>2.3599306873504415E-2</v>
      </c>
      <c r="E53" s="171">
        <f>Statement!O166</f>
        <v>2.8789004457652301E-2</v>
      </c>
      <c r="F53" s="171">
        <f>Statement!P166</f>
        <v>1.9396931758067358E-2</v>
      </c>
      <c r="G53" s="171">
        <f>Statement!Q166</f>
        <v>2.0567375886524825E-2</v>
      </c>
      <c r="I53" s="171">
        <f ca="1">Statement!AC166</f>
        <v>2.0123318385650221E-2</v>
      </c>
    </row>
    <row r="54" spans="2:9" x14ac:dyDescent="0.2">
      <c r="B54" s="20" t="s">
        <v>284</v>
      </c>
      <c r="C54" s="171">
        <f>Statement!M167</f>
        <v>2.2093073932903214E-2</v>
      </c>
      <c r="D54" s="171">
        <f>Statement!N167</f>
        <v>2.2747984106218328E-2</v>
      </c>
      <c r="E54" s="171">
        <f>Statement!O167</f>
        <v>2.4607472328388332E-2</v>
      </c>
      <c r="F54" s="171">
        <f>Statement!P167</f>
        <v>2.1531247346800158E-2</v>
      </c>
      <c r="G54" s="171">
        <f>Statement!Q167</f>
        <v>4.8107652569827512E-2</v>
      </c>
      <c r="I54" s="171">
        <f ca="1">Statement!AC167</f>
        <v>4.8822764392423126E-2</v>
      </c>
    </row>
    <row r="55" spans="2:9" x14ac:dyDescent="0.2">
      <c r="B55" s="20" t="s">
        <v>286</v>
      </c>
      <c r="C55" s="171">
        <f>Statement!M168</f>
        <v>4.1836379455830394E-2</v>
      </c>
      <c r="D55" s="171">
        <f>Statement!N168</f>
        <v>4.6099382300265397E-2</v>
      </c>
      <c r="E55" s="171">
        <f>Statement!O168</f>
        <v>5.3262389651254259E-2</v>
      </c>
      <c r="F55" s="171">
        <f>Statement!P168</f>
        <v>4.0794947654408067E-2</v>
      </c>
      <c r="G55" s="171">
        <f>Statement!Q168</f>
        <v>6.893004115226338E-2</v>
      </c>
      <c r="I55" s="171">
        <f ca="1">Statement!AC168</f>
        <v>6.9011637235776468E-2</v>
      </c>
    </row>
    <row r="57" spans="2:9" ht="17" thickBot="1" x14ac:dyDescent="0.25">
      <c r="B57" s="14" t="s">
        <v>263</v>
      </c>
      <c r="C57" s="14"/>
      <c r="D57" s="14"/>
      <c r="E57" s="14"/>
      <c r="F57" s="14"/>
      <c r="G57" s="14"/>
      <c r="I57" s="14"/>
    </row>
    <row r="58" spans="2:9" x14ac:dyDescent="0.2">
      <c r="B58" s="20" t="s">
        <v>262</v>
      </c>
      <c r="C58" s="171">
        <f>Statement!M171</f>
        <v>0.43063707945597707</v>
      </c>
      <c r="D58" s="171">
        <f>Statement!N171</f>
        <v>0.66874869872996046</v>
      </c>
      <c r="E58" s="171">
        <f>Statement!O171</f>
        <v>0.47006109979633404</v>
      </c>
      <c r="F58" s="171">
        <f>Statement!P171</f>
        <v>0.43310231410783506</v>
      </c>
      <c r="G58" s="171">
        <f>Statement!Q171</f>
        <v>0.37909733984258243</v>
      </c>
      <c r="I58" s="171">
        <f>Statement!AC171</f>
        <v>0.53317535545023698</v>
      </c>
    </row>
    <row r="59" spans="2:9" x14ac:dyDescent="0.2">
      <c r="B59" s="20" t="s">
        <v>264</v>
      </c>
      <c r="C59" s="171">
        <f>Statement!M172</f>
        <v>0.48188976377952758</v>
      </c>
      <c r="D59" s="171">
        <f>Statement!N172</f>
        <v>0.65146783260462215</v>
      </c>
      <c r="E59" s="171">
        <f>Statement!O172</f>
        <v>0.40366598778004076</v>
      </c>
      <c r="F59" s="171">
        <f>Statement!P172</f>
        <v>0.48408316692117936</v>
      </c>
      <c r="G59" s="171">
        <f>Statement!Q172</f>
        <v>0.87585932051409787</v>
      </c>
      <c r="I59" s="171">
        <f>Statement!AC172</f>
        <v>1.2893783105659324</v>
      </c>
    </row>
    <row r="60" spans="2:9" x14ac:dyDescent="0.2">
      <c r="B60" s="20" t="s">
        <v>265</v>
      </c>
      <c r="C60" s="171">
        <f>Statement!M173</f>
        <v>0.9125268432355047</v>
      </c>
      <c r="D60" s="171">
        <f>Statement!N173</f>
        <v>1.3202165313345826</v>
      </c>
      <c r="E60" s="171">
        <f>Statement!O173</f>
        <v>0.87372708757637474</v>
      </c>
      <c r="F60" s="171">
        <f>Statement!P173</f>
        <v>0.91718548102901443</v>
      </c>
      <c r="G60" s="171">
        <f>Statement!Q173</f>
        <v>1.2549566603566802</v>
      </c>
      <c r="I60" s="171">
        <f>Statement!AC173</f>
        <v>1.8225536660161694</v>
      </c>
    </row>
    <row r="62" spans="2:9" ht="17" thickBot="1" x14ac:dyDescent="0.25">
      <c r="B62" s="14" t="s">
        <v>271</v>
      </c>
      <c r="C62" s="14"/>
      <c r="D62" s="14"/>
      <c r="E62" s="14"/>
      <c r="F62" s="14"/>
      <c r="G62" s="14"/>
      <c r="I62" s="14"/>
    </row>
    <row r="63" spans="2:9" x14ac:dyDescent="0.2">
      <c r="B63" s="20" t="s">
        <v>269</v>
      </c>
      <c r="C63" s="171">
        <f>Statement!M174</f>
        <v>8.7873462214411243E-4</v>
      </c>
      <c r="D63" s="171">
        <f>Statement!N174</f>
        <v>8.81057268722467E-4</v>
      </c>
      <c r="E63" s="171">
        <f>Statement!O174</f>
        <v>8.9126559714795004E-4</v>
      </c>
      <c r="F63" s="171">
        <f>Statement!P174</f>
        <v>8.8888888888888893E-4</v>
      </c>
      <c r="G63" s="171">
        <f>Statement!Q174</f>
        <v>9.2592592592592596E-4</v>
      </c>
      <c r="I63" s="171">
        <f>Statement!AC174</f>
        <v>9.4161958568738226E-4</v>
      </c>
    </row>
    <row r="65" spans="2:9" ht="17" thickBot="1" x14ac:dyDescent="0.25">
      <c r="B65" s="14" t="s">
        <v>277</v>
      </c>
      <c r="C65" s="14"/>
      <c r="D65" s="14"/>
      <c r="E65" s="14"/>
      <c r="F65" s="14"/>
      <c r="G65" s="14"/>
      <c r="I65" s="14"/>
    </row>
    <row r="66" spans="2:9" x14ac:dyDescent="0.2">
      <c r="B66" s="20" t="s">
        <v>270</v>
      </c>
      <c r="C66" s="170">
        <f>Statement!M175</f>
        <v>11.083928571428572</v>
      </c>
      <c r="D66" s="170">
        <f>Statement!N175</f>
        <v>5.6931311329170384</v>
      </c>
      <c r="E66" s="170">
        <f>Statement!O175</f>
        <v>10.174303683737646</v>
      </c>
      <c r="F66" s="170">
        <f>Statement!P175</f>
        <v>11.971197119711972</v>
      </c>
      <c r="G66" s="170">
        <f>Statement!Q175</f>
        <v>9.4817927170868348</v>
      </c>
      <c r="I66" s="170">
        <f>Statement!AC175</f>
        <v>7.9085714285714284</v>
      </c>
    </row>
    <row r="67" spans="2:9" x14ac:dyDescent="0.2">
      <c r="B67" s="20" t="s">
        <v>278</v>
      </c>
      <c r="C67" s="170">
        <f>Statement!M178</f>
        <v>-2.9741071428571431</v>
      </c>
      <c r="D67" s="170">
        <f>Statement!N178</f>
        <v>-8.1177520071364846</v>
      </c>
      <c r="E67" s="170">
        <f>Statement!O178</f>
        <v>-3.6603773584905661</v>
      </c>
      <c r="F67" s="170">
        <f>Statement!P178</f>
        <v>-1.2007200720072007</v>
      </c>
      <c r="G67" s="170">
        <f>Statement!Q178</f>
        <v>-4.3473389355742293</v>
      </c>
      <c r="I67" s="170">
        <f>Statement!AC178</f>
        <v>-6.6342857142857143</v>
      </c>
    </row>
    <row r="68" spans="2:9" x14ac:dyDescent="0.2">
      <c r="B68" s="20" t="s">
        <v>283</v>
      </c>
      <c r="C68" s="192">
        <f>Statement!M179</f>
        <v>-2.186334797103405E-2</v>
      </c>
      <c r="D68" s="192">
        <f>Statement!N179</f>
        <v>-6.6157448183632728E-2</v>
      </c>
      <c r="E68" s="192">
        <f>Statement!O179</f>
        <v>-3.3720431303684517E-2</v>
      </c>
      <c r="F68" s="192">
        <f>Statement!P179</f>
        <v>-6.9698335259964599E-3</v>
      </c>
      <c r="G68" s="192">
        <f>Statement!Q179</f>
        <v>-2.5479380089309167E-2</v>
      </c>
      <c r="I68" s="192">
        <f ca="1">Statement!AC179</f>
        <v>-3.6767500190012917E-2</v>
      </c>
    </row>
    <row r="70" spans="2:9" ht="17" thickBot="1" x14ac:dyDescent="0.25">
      <c r="B70" s="14" t="s">
        <v>298</v>
      </c>
      <c r="C70" s="14"/>
      <c r="D70" s="14"/>
      <c r="E70" s="14"/>
      <c r="F70" s="14"/>
      <c r="G70" s="14"/>
      <c r="I70" s="14"/>
    </row>
    <row r="71" spans="2:9" x14ac:dyDescent="0.2">
      <c r="B71" s="20" t="s">
        <v>272</v>
      </c>
      <c r="C71" s="171">
        <f>Statement!M176</f>
        <v>0.15783978739559607</v>
      </c>
      <c r="D71" s="171">
        <f>Statement!N176</f>
        <v>0.22328496042216359</v>
      </c>
      <c r="E71" s="171">
        <f>Statement!O176</f>
        <v>0.21984246393486148</v>
      </c>
      <c r="F71" s="171">
        <f>Statement!P176</f>
        <v>0.21701360432715949</v>
      </c>
      <c r="G71" s="171">
        <f>Statement!Q176</f>
        <v>0.19861547245218383</v>
      </c>
      <c r="I71" s="171">
        <f>Statement!AC176</f>
        <v>0.26143052979598419</v>
      </c>
    </row>
    <row r="72" spans="2:9" x14ac:dyDescent="0.2">
      <c r="B72" s="20" t="s">
        <v>273</v>
      </c>
      <c r="C72" s="171">
        <f>Statement!M177</f>
        <v>4.9544181612345826E-2</v>
      </c>
      <c r="D72" s="171">
        <f>Statement!N177</f>
        <v>4.5950226244343889E-2</v>
      </c>
      <c r="E72" s="171">
        <f>Statement!O177</f>
        <v>6.9346733668341709E-2</v>
      </c>
      <c r="F72" s="171">
        <f>Statement!P177</f>
        <v>6.796365689646322E-2</v>
      </c>
      <c r="G72" s="171">
        <f>Statement!Q177</f>
        <v>6.284436816909042E-2</v>
      </c>
      <c r="I72" s="171">
        <f>Statement!AC177</f>
        <v>7.3568121993283109E-2</v>
      </c>
    </row>
    <row r="74" spans="2:9" ht="17" thickBot="1" x14ac:dyDescent="0.25">
      <c r="B74" s="14" t="s">
        <v>299</v>
      </c>
      <c r="C74" s="14"/>
      <c r="D74" s="14"/>
      <c r="E74" s="14"/>
      <c r="F74" s="14"/>
      <c r="G74" s="14"/>
      <c r="I74" s="14"/>
    </row>
    <row r="75" spans="2:9" x14ac:dyDescent="0.2">
      <c r="B75" s="20" t="s">
        <v>296</v>
      </c>
      <c r="C75" s="171">
        <f>Statement!M180</f>
        <v>5.6247393195495439E-2</v>
      </c>
      <c r="D75" s="171">
        <f>Statement!N180</f>
        <v>5.1176470588235295E-2</v>
      </c>
      <c r="E75" s="171">
        <f>Statement!O180</f>
        <v>4.0480178671133446E-2</v>
      </c>
      <c r="F75" s="171">
        <f>Statement!P180</f>
        <v>2.6718340947589958E-2</v>
      </c>
      <c r="G75" s="171">
        <f>Statement!Q180</f>
        <v>2.6917170987264025E-2</v>
      </c>
      <c r="I75" s="171">
        <f>Statement!AC180</f>
        <v>4.5044022873740583E-2</v>
      </c>
    </row>
    <row r="76" spans="2:9" x14ac:dyDescent="0.2">
      <c r="B76" s="20" t="s">
        <v>293</v>
      </c>
      <c r="C76" s="171">
        <f>Statement!M181</f>
        <v>0.1791951404707669</v>
      </c>
      <c r="D76" s="171">
        <f>Statement!N181</f>
        <v>0.24868073878627969</v>
      </c>
      <c r="E76" s="171">
        <f>Statement!O181</f>
        <v>0.12832994070271705</v>
      </c>
      <c r="F76" s="171">
        <f>Statement!P181</f>
        <v>8.5313882970004917E-2</v>
      </c>
      <c r="G76" s="171">
        <f>Statement!Q181</f>
        <v>8.5069940051384532E-2</v>
      </c>
      <c r="I76" s="171">
        <f>Statement!AC181</f>
        <v>0.1600677364728651</v>
      </c>
    </row>
    <row r="77" spans="2:9" x14ac:dyDescent="0.2">
      <c r="B77" s="20" t="s">
        <v>294</v>
      </c>
      <c r="C77" s="171">
        <f>Statement!M182</f>
        <v>1.193426042983565</v>
      </c>
      <c r="D77" s="171">
        <f>Statement!N182</f>
        <v>1.2837684449489217</v>
      </c>
      <c r="E77" s="171">
        <f>Statement!O182</f>
        <v>0.80154781647318962</v>
      </c>
      <c r="F77" s="171">
        <f>Statement!P182</f>
        <v>0.61019929660023442</v>
      </c>
      <c r="G77" s="171">
        <f>Statement!Q182</f>
        <v>0.74406991260923849</v>
      </c>
      <c r="I77" s="171">
        <f>Statement!AC182</f>
        <v>1.2619198982835347</v>
      </c>
    </row>
    <row r="79" spans="2:9" ht="17" thickBot="1" x14ac:dyDescent="0.25">
      <c r="B79" s="14" t="s">
        <v>114</v>
      </c>
      <c r="C79" s="14"/>
      <c r="D79" s="14"/>
      <c r="E79" s="14"/>
      <c r="F79" s="14"/>
      <c r="G79" s="14"/>
      <c r="I79" s="14"/>
    </row>
    <row r="80" spans="2:9" x14ac:dyDescent="0.2">
      <c r="B80" s="20" t="s">
        <v>19</v>
      </c>
      <c r="C80" s="171">
        <f>Statement!M89</f>
        <v>1</v>
      </c>
      <c r="D80" s="171">
        <f>Statement!N89</f>
        <v>0.31680867544539115</v>
      </c>
      <c r="E80" s="171">
        <f>Statement!O89</f>
        <v>-0.18959276018099547</v>
      </c>
      <c r="F80" s="171">
        <f>Statement!P89</f>
        <v>8.7716359575656058E-2</v>
      </c>
      <c r="G80" s="171">
        <f>Statement!Q89</f>
        <v>0.1365946306657769</v>
      </c>
      <c r="I80" s="193"/>
    </row>
    <row r="81" spans="2:9" x14ac:dyDescent="0.2">
      <c r="B81" s="20" t="s">
        <v>20</v>
      </c>
      <c r="C81" s="171">
        <f>Statement!M90</f>
        <v>1</v>
      </c>
      <c r="D81" s="171">
        <f>Statement!N90</f>
        <v>0.30788108259711122</v>
      </c>
      <c r="E81" s="171">
        <f>Statement!O90</f>
        <v>-0.14925213102450008</v>
      </c>
      <c r="F81" s="171">
        <f>Statement!P90</f>
        <v>7.5051988153002708E-2</v>
      </c>
      <c r="G81" s="171">
        <f>Statement!Q90</f>
        <v>0.15697538100820632</v>
      </c>
      <c r="I81" s="193"/>
    </row>
    <row r="82" spans="2:9" x14ac:dyDescent="0.2">
      <c r="B82" s="20" t="s">
        <v>21</v>
      </c>
      <c r="C82" s="171">
        <f>Statement!M91</f>
        <v>1</v>
      </c>
      <c r="D82" s="171">
        <f>Statement!N91</f>
        <v>0.32340447575631992</v>
      </c>
      <c r="E82" s="171">
        <f>Statement!O91</f>
        <v>-0.21904724625200611</v>
      </c>
      <c r="F82" s="171">
        <f>Statement!P91</f>
        <v>9.7789584481980857E-2</v>
      </c>
      <c r="G82" s="171">
        <f>Statement!Q91</f>
        <v>0.12071956898913341</v>
      </c>
      <c r="I82" s="193"/>
    </row>
    <row r="83" spans="2:9" x14ac:dyDescent="0.2">
      <c r="B83" s="20" t="s">
        <v>23</v>
      </c>
      <c r="C83" s="171">
        <f>Statement!M94</f>
        <v>1</v>
      </c>
      <c r="D83" s="171">
        <f>Statement!N94</f>
        <v>1.9968470835522858E-2</v>
      </c>
      <c r="E83" s="171">
        <f>Statement!O94</f>
        <v>0.2532715095311695</v>
      </c>
      <c r="F83" s="171">
        <f>Statement!P94</f>
        <v>-2.72958973937351E-2</v>
      </c>
      <c r="G83" s="171">
        <f>Statement!Q94</f>
        <v>3.0428535204124758E-2</v>
      </c>
      <c r="I83" s="193"/>
    </row>
    <row r="84" spans="2:9" x14ac:dyDescent="0.2">
      <c r="B84" s="20" t="s">
        <v>300</v>
      </c>
      <c r="C84" s="171">
        <f>Statement!M95</f>
        <v>1</v>
      </c>
      <c r="D84" s="171">
        <f>Statement!N95</f>
        <v>0.6201859229747676</v>
      </c>
      <c r="E84" s="171">
        <f>Statement!O95</f>
        <v>-0.50895334174022699</v>
      </c>
      <c r="F84" s="171">
        <f>Statement!P95</f>
        <v>0.29314329738058553</v>
      </c>
      <c r="G84" s="171">
        <f>Statement!Q95</f>
        <v>0.22678979247343858</v>
      </c>
      <c r="I84" s="193"/>
    </row>
    <row r="85" spans="2:9" x14ac:dyDescent="0.2">
      <c r="B85" s="20" t="s">
        <v>301</v>
      </c>
      <c r="C85" s="171">
        <f>Statement!M97</f>
        <v>1</v>
      </c>
      <c r="D85" s="171">
        <f>Statement!N97</f>
        <v>0.43602786685834349</v>
      </c>
      <c r="E85" s="171">
        <f>Statement!O97</f>
        <v>-0.43485291852764518</v>
      </c>
      <c r="F85" s="171">
        <f>Statement!P97</f>
        <v>0.377571876277422</v>
      </c>
      <c r="G85" s="171">
        <f>Statement!Q97</f>
        <v>0.11186943620178041</v>
      </c>
      <c r="I85" s="193"/>
    </row>
    <row r="88" spans="2:9" ht="17" thickBot="1" x14ac:dyDescent="0.25">
      <c r="B88" s="14" t="s">
        <v>302</v>
      </c>
      <c r="C88" s="14"/>
      <c r="D88" s="14"/>
      <c r="E88" s="14"/>
      <c r="F88" s="14"/>
      <c r="G88" s="14"/>
      <c r="I88" s="14"/>
    </row>
    <row r="89" spans="2:9" x14ac:dyDescent="0.2">
      <c r="B89" s="218" t="s">
        <v>376</v>
      </c>
      <c r="C89" s="171">
        <f>Statement!M198</f>
        <v>1</v>
      </c>
      <c r="D89" s="171">
        <f>Statement!N198</f>
        <v>0.48704693998811643</v>
      </c>
      <c r="E89" s="171">
        <f>Statement!O198</f>
        <v>-9.8173972110121063E-2</v>
      </c>
      <c r="F89" s="171">
        <f>Statement!P198</f>
        <v>0.10159503766061143</v>
      </c>
      <c r="G89" s="171">
        <f>Statement!Q198</f>
        <v>0.11784579495636086</v>
      </c>
      <c r="I89" s="193"/>
    </row>
    <row r="90" spans="2:9" x14ac:dyDescent="0.2">
      <c r="B90" s="218" t="s">
        <v>377</v>
      </c>
      <c r="C90" s="171">
        <f>Statement!M199</f>
        <v>1</v>
      </c>
      <c r="D90" s="171">
        <f>Statement!N199</f>
        <v>0.40717948717948715</v>
      </c>
      <c r="E90" s="171">
        <f>Statement!O199</f>
        <v>0.36443148688046645</v>
      </c>
      <c r="F90" s="171">
        <f>Statement!P199</f>
        <v>0.55448717948717952</v>
      </c>
      <c r="G90" s="171">
        <f>Statement!Q199</f>
        <v>0.35979381443298969</v>
      </c>
      <c r="I90" s="193"/>
    </row>
    <row r="91" spans="2:9" x14ac:dyDescent="0.2">
      <c r="B91" s="218" t="s">
        <v>378</v>
      </c>
      <c r="C91" s="171">
        <f>Statement!M200</f>
        <v>1</v>
      </c>
      <c r="D91" s="171">
        <f>Statement!N200</f>
        <v>0.37420886075949367</v>
      </c>
      <c r="E91" s="171">
        <f>Statement!O200</f>
        <v>-0.14507772020725387</v>
      </c>
      <c r="F91" s="171">
        <f>Statement!P200</f>
        <v>-8.7037037037037038E-2</v>
      </c>
      <c r="G91" s="171">
        <f>Statement!Q200</f>
        <v>0.22017333579199705</v>
      </c>
      <c r="I91" s="193"/>
    </row>
    <row r="92" spans="2:9" x14ac:dyDescent="0.2">
      <c r="B92" s="20" t="s">
        <v>379</v>
      </c>
      <c r="C92" s="171">
        <f>Statement!M201</f>
        <v>1</v>
      </c>
      <c r="D92" s="171">
        <f>Statement!N201</f>
        <v>0.39446315555720046</v>
      </c>
      <c r="E92" s="171">
        <f>Statement!O201</f>
        <v>-0.19361944953154445</v>
      </c>
      <c r="F92" s="171">
        <f>Statement!P201</f>
        <v>9.2620630636561119E-2</v>
      </c>
      <c r="G92" s="171">
        <f>Statement!Q201</f>
        <v>0.15577177973249789</v>
      </c>
      <c r="I92" s="193"/>
    </row>
    <row r="93" spans="2:9" x14ac:dyDescent="0.2">
      <c r="B93" s="20" t="s">
        <v>380</v>
      </c>
      <c r="C93" s="171">
        <f>Statement!M202</f>
        <v>1</v>
      </c>
      <c r="D93" s="171">
        <f>Statement!N202</f>
        <v>6.0126582278481012E-3</v>
      </c>
      <c r="E93" s="171">
        <f>Statement!O202</f>
        <v>-0.16546083674111356</v>
      </c>
      <c r="F93" s="171">
        <f>Statement!P202</f>
        <v>5.0131926121372031E-2</v>
      </c>
      <c r="G93" s="171">
        <f>Statement!Q202</f>
        <v>1.7946877243359654E-3</v>
      </c>
      <c r="I93" s="193"/>
    </row>
    <row r="95" spans="2:9" ht="17" thickBot="1" x14ac:dyDescent="0.25">
      <c r="B95" s="14" t="s">
        <v>304</v>
      </c>
      <c r="C95" s="14"/>
      <c r="D95" s="14"/>
      <c r="E95" s="14"/>
      <c r="F95" s="14"/>
      <c r="G95" s="14"/>
      <c r="I95" s="14"/>
    </row>
    <row r="96" spans="2:9" x14ac:dyDescent="0.2">
      <c r="B96" s="20" t="s">
        <v>276</v>
      </c>
      <c r="C96" s="171">
        <f>Statement!M205</f>
        <v>0</v>
      </c>
      <c r="D96" s="171">
        <f>Statement!N206</f>
        <v>6.7819148936170207E-2</v>
      </c>
      <c r="E96" s="171">
        <f>Statement!O206</f>
        <v>7.7833125778331264E-2</v>
      </c>
      <c r="F96" s="171">
        <f>Statement!P206</f>
        <v>6.4991334488734842E-2</v>
      </c>
      <c r="G96" s="171">
        <f>Statement!Q206</f>
        <v>3.2004339571467318E-2</v>
      </c>
      <c r="I96" s="19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3F86-70CC-F54A-91FC-45975067BFCE}">
  <dimension ref="B1:G33"/>
  <sheetViews>
    <sheetView topLeftCell="A22" zoomScale="180" workbookViewId="0">
      <selection activeCell="F33" sqref="F33:G33"/>
    </sheetView>
  </sheetViews>
  <sheetFormatPr baseColWidth="10" defaultRowHeight="16" x14ac:dyDescent="0.2"/>
  <cols>
    <col min="1" max="1" width="3.6640625" style="1" customWidth="1"/>
    <col min="2" max="2" width="25.83203125" style="1" customWidth="1"/>
    <col min="3" max="3" width="11.33203125" style="1" customWidth="1"/>
    <col min="4" max="4" width="11.83203125" style="1" customWidth="1"/>
    <col min="5" max="5" width="2.83203125" style="1" customWidth="1"/>
    <col min="6" max="6" width="11.6640625" style="1" customWidth="1"/>
    <col min="7" max="7" width="11.83203125" style="1" customWidth="1"/>
    <col min="8" max="16384" width="10.83203125" style="1"/>
  </cols>
  <sheetData>
    <row r="1" spans="2:7" ht="12" customHeight="1" x14ac:dyDescent="0.2"/>
    <row r="3" spans="2:7" x14ac:dyDescent="0.2">
      <c r="B3" s="8"/>
      <c r="C3" s="241" t="s">
        <v>305</v>
      </c>
      <c r="D3" s="242"/>
      <c r="F3" s="243" t="s">
        <v>306</v>
      </c>
      <c r="G3" s="242"/>
    </row>
    <row r="4" spans="2:7" x14ac:dyDescent="0.2">
      <c r="B4" s="8"/>
      <c r="C4" s="10" t="str">
        <f>Statement!Z2</f>
        <v>29.03.2026</v>
      </c>
      <c r="D4" s="199" t="str">
        <f>Statement!AA2</f>
        <v>28.06.2026</v>
      </c>
      <c r="F4" s="200" t="str">
        <f>Statement!W2</f>
        <v>29.06.2025</v>
      </c>
      <c r="G4" s="199" t="str">
        <f>Statement!AA2</f>
        <v>28.06.2026</v>
      </c>
    </row>
    <row r="5" spans="2:7" x14ac:dyDescent="0.2">
      <c r="B5" s="8" t="s">
        <v>311</v>
      </c>
      <c r="C5" s="10" t="str">
        <f>Statement!Z3</f>
        <v>Q2 2026</v>
      </c>
      <c r="D5" s="199" t="str">
        <f>Statement!AA3</f>
        <v>Q3 2026</v>
      </c>
      <c r="F5" s="200" t="str">
        <f>Statement!W3</f>
        <v>Q3 2025</v>
      </c>
      <c r="G5" s="199" t="str">
        <f>Statement!AA3</f>
        <v>Q3 2026</v>
      </c>
    </row>
    <row r="6" spans="2:7" x14ac:dyDescent="0.2">
      <c r="B6" s="201" t="s">
        <v>19</v>
      </c>
      <c r="C6" s="195">
        <f>Statement!Z5</f>
        <v>10599</v>
      </c>
      <c r="D6" s="194">
        <f>Statement!AA5</f>
        <v>9947</v>
      </c>
      <c r="F6" s="195">
        <f>Statement!W5</f>
        <v>10465</v>
      </c>
      <c r="G6" s="194">
        <f>Statement!AA5</f>
        <v>9947</v>
      </c>
    </row>
    <row r="7" spans="2:7" x14ac:dyDescent="0.2">
      <c r="B7" s="202" t="s">
        <v>307</v>
      </c>
      <c r="C7" s="244">
        <f>Statement!AA89</f>
        <v>-6.1515237286536469E-2</v>
      </c>
      <c r="D7" s="245"/>
      <c r="F7" s="244">
        <f>IF(F6=0,
IF(G6=0,0,IF(G6&gt;0,1,-1)),
(G6-F6)/ABS(F6)
)</f>
        <v>-4.9498327759197325E-2</v>
      </c>
      <c r="G7" s="245"/>
    </row>
    <row r="8" spans="2:7" x14ac:dyDescent="0.2">
      <c r="B8" s="203" t="s">
        <v>20</v>
      </c>
      <c r="C8" s="196">
        <f>Statement!Z6</f>
        <v>4900</v>
      </c>
      <c r="D8" s="194">
        <f>Statement!AA6</f>
        <v>4670</v>
      </c>
      <c r="F8" s="196">
        <f>Statement!W6</f>
        <v>4606</v>
      </c>
      <c r="G8" s="194">
        <f>Statement!AA6</f>
        <v>4670</v>
      </c>
    </row>
    <row r="9" spans="2:7" x14ac:dyDescent="0.2">
      <c r="B9" s="202" t="s">
        <v>307</v>
      </c>
      <c r="C9" s="244">
        <f>Statement!AA90</f>
        <v>-4.6938775510204082E-2</v>
      </c>
      <c r="D9" s="245"/>
      <c r="F9" s="244">
        <f>IF(F8=0,
IF(G8=0,0,IF(G8&gt;0,1,-1)),
(G8-F8)/ABS(F8)
)</f>
        <v>1.3894919669995658E-2</v>
      </c>
      <c r="G9" s="245"/>
    </row>
    <row r="10" spans="2:7" x14ac:dyDescent="0.2">
      <c r="B10" s="203" t="s">
        <v>21</v>
      </c>
      <c r="C10" s="196">
        <f>Statement!Z7</f>
        <v>5699</v>
      </c>
      <c r="D10" s="194">
        <f>Statement!AA7</f>
        <v>5277</v>
      </c>
      <c r="F10" s="196">
        <f>Statement!W7</f>
        <v>5859</v>
      </c>
      <c r="G10" s="194">
        <f>Statement!AA7</f>
        <v>5277</v>
      </c>
    </row>
    <row r="11" spans="2:7" x14ac:dyDescent="0.2">
      <c r="B11" s="202" t="s">
        <v>307</v>
      </c>
      <c r="C11" s="244">
        <f>Statement!AA91</f>
        <v>-7.4048078610282508E-2</v>
      </c>
      <c r="D11" s="245"/>
      <c r="F11" s="244">
        <f>IF(F10=0,
IF(G10=0,0,IF(G10&gt;0,1,-1)),
(G10-F10)/ABS(F10)
)</f>
        <v>-9.933435739887353E-2</v>
      </c>
      <c r="G11" s="245"/>
    </row>
    <row r="12" spans="2:7" x14ac:dyDescent="0.2">
      <c r="B12" s="203" t="s">
        <v>23</v>
      </c>
      <c r="C12" s="196">
        <f>Statement!Z11</f>
        <v>3390</v>
      </c>
      <c r="D12" s="194">
        <f>Statement!AA11</f>
        <v>3651</v>
      </c>
      <c r="F12" s="196">
        <f>Statement!W11</f>
        <v>2997</v>
      </c>
      <c r="G12" s="194">
        <f>Statement!AA11</f>
        <v>3651</v>
      </c>
    </row>
    <row r="13" spans="2:7" x14ac:dyDescent="0.2">
      <c r="B13" s="202" t="s">
        <v>307</v>
      </c>
      <c r="C13" s="244">
        <f>Statement!AA94</f>
        <v>7.6991150442477882E-2</v>
      </c>
      <c r="D13" s="245"/>
      <c r="F13" s="244">
        <f>IF(F12=0,
IF(G12=0,0,IF(G12&gt;0,1,-1)),
(G12-F12)/ABS(F12)
)</f>
        <v>0.21821821821821821</v>
      </c>
      <c r="G13" s="245"/>
    </row>
    <row r="14" spans="2:7" x14ac:dyDescent="0.2">
      <c r="B14" s="203" t="s">
        <v>308</v>
      </c>
      <c r="C14" s="196">
        <f>Statement!Z12</f>
        <v>2309</v>
      </c>
      <c r="D14" s="194">
        <f>Statement!AA12</f>
        <v>1626</v>
      </c>
      <c r="F14" s="196">
        <f>Statement!W12</f>
        <v>2762</v>
      </c>
      <c r="G14" s="194">
        <f>Statement!AA12</f>
        <v>1626</v>
      </c>
    </row>
    <row r="15" spans="2:7" x14ac:dyDescent="0.2">
      <c r="B15" s="202" t="s">
        <v>307</v>
      </c>
      <c r="C15" s="244">
        <f>Statement!AA95</f>
        <v>-0.29579904720658295</v>
      </c>
      <c r="D15" s="245"/>
      <c r="F15" s="244">
        <f>IF(F14=0,
IF(G14=0,0,IF(G14&gt;0,1,-1)),
(G14-F14)/ABS(F14)
)</f>
        <v>-0.41129616220130338</v>
      </c>
      <c r="G15" s="245"/>
    </row>
    <row r="16" spans="2:7" x14ac:dyDescent="0.2">
      <c r="B16" s="203" t="s">
        <v>29</v>
      </c>
      <c r="C16" s="196">
        <f>Statement!Z18</f>
        <v>1932</v>
      </c>
      <c r="D16" s="194">
        <f>Statement!AA18</f>
        <v>2002</v>
      </c>
      <c r="F16" s="196">
        <f>Statement!W18</f>
        <v>2666</v>
      </c>
      <c r="G16" s="194">
        <f>Statement!AA18</f>
        <v>2002</v>
      </c>
    </row>
    <row r="17" spans="2:7" x14ac:dyDescent="0.2">
      <c r="B17" s="202" t="s">
        <v>307</v>
      </c>
      <c r="C17" s="244">
        <f>Statement!AA97</f>
        <v>3.6231884057971016E-2</v>
      </c>
      <c r="D17" s="245"/>
      <c r="F17" s="244">
        <f>IF(F16=0,
IF(G16=0,0,IF(G16&gt;0,1,-1)),
(G16-F16)/ABS(F16)
)</f>
        <v>-0.24906226556639161</v>
      </c>
      <c r="G17" s="245"/>
    </row>
    <row r="18" spans="2:7" x14ac:dyDescent="0.2">
      <c r="B18" s="203" t="s">
        <v>309</v>
      </c>
      <c r="C18" s="196">
        <f>Statement!Z22</f>
        <v>1072</v>
      </c>
      <c r="D18" s="194">
        <f>Statement!AA22</f>
        <v>1069</v>
      </c>
      <c r="F18" s="196">
        <f>Statement!W22</f>
        <v>1099</v>
      </c>
      <c r="G18" s="194">
        <f>Statement!AA22</f>
        <v>1069</v>
      </c>
    </row>
    <row r="19" spans="2:7" x14ac:dyDescent="0.2">
      <c r="B19" s="202" t="s">
        <v>307</v>
      </c>
      <c r="C19" s="244">
        <f>IF(C18=0,
IF(D18=0,0,IF(D18&gt;0,1,-1)),
(D18-C18)/ABS(C18)
)</f>
        <v>-2.798507462686567E-3</v>
      </c>
      <c r="D19" s="245"/>
      <c r="F19" s="244">
        <f>IF(F18=0,
IF(G18=0,0,IF(G18&gt;0,1,-1)),
(G18-F18)/ABS(F18)
)</f>
        <v>-2.7297543221110099E-2</v>
      </c>
      <c r="G19" s="245"/>
    </row>
    <row r="20" spans="2:7" x14ac:dyDescent="0.2">
      <c r="B20" s="203" t="s">
        <v>36</v>
      </c>
      <c r="C20" s="197">
        <f>Statement!Z26</f>
        <v>1.8022388059701493</v>
      </c>
      <c r="D20" s="198">
        <f>Statement!AA26</f>
        <v>1.87</v>
      </c>
      <c r="F20" s="197">
        <f>Statement!W26</f>
        <v>2.44</v>
      </c>
      <c r="G20" s="198">
        <f>Statement!AA26</f>
        <v>1.87</v>
      </c>
    </row>
    <row r="21" spans="2:7" x14ac:dyDescent="0.2">
      <c r="B21" s="202" t="s">
        <v>307</v>
      </c>
      <c r="C21" s="244">
        <f>IF(C20=0,
IF(D20=0,0,IF(D20&gt;0,1,-1)),
(D20-C20)/ABS(C20)
)</f>
        <v>3.7598343685300246E-2</v>
      </c>
      <c r="D21" s="245"/>
      <c r="F21" s="244">
        <f>IF(F20=0,
IF(G20=0,0,IF(G20&gt;0,1,-1)),
(G20-F20)/ABS(F20)
)</f>
        <v>-0.23360655737704911</v>
      </c>
      <c r="G21" s="245"/>
    </row>
    <row r="23" spans="2:7" x14ac:dyDescent="0.2">
      <c r="B23" s="8" t="s">
        <v>310</v>
      </c>
      <c r="C23" s="10" t="str">
        <f>C5</f>
        <v>Q2 2026</v>
      </c>
      <c r="D23" s="199" t="str">
        <f>D5</f>
        <v>Q3 2026</v>
      </c>
      <c r="F23" s="200" t="str">
        <f>F5</f>
        <v>Q3 2025</v>
      </c>
      <c r="G23" s="199" t="str">
        <f>G5</f>
        <v>Q3 2026</v>
      </c>
    </row>
    <row r="24" spans="2:7" x14ac:dyDescent="0.2">
      <c r="B24" s="218" t="s">
        <v>376</v>
      </c>
      <c r="C24" s="196">
        <f>Statement!Z190</f>
        <v>6024</v>
      </c>
      <c r="D24" s="194">
        <f>Statement!AA190</f>
        <v>5086</v>
      </c>
      <c r="F24" s="196">
        <f>Statement!W190</f>
        <v>6328</v>
      </c>
      <c r="G24" s="194">
        <f>Statement!AA190</f>
        <v>5086</v>
      </c>
    </row>
    <row r="25" spans="2:7" x14ac:dyDescent="0.2">
      <c r="B25" s="202" t="s">
        <v>307</v>
      </c>
      <c r="C25" s="244">
        <f>IF(C24=0,
IF(D24=0,0,IF(D24&gt;0,1,-1)),
(D24-C24)/ABS(C24)
)</f>
        <v>-0.15571049136786189</v>
      </c>
      <c r="D25" s="245"/>
      <c r="F25" s="244">
        <f>IF(F24=0,
IF(G24=0,0,IF(G24&gt;0,1,-1)),
(G24-F24)/ABS(F24)
)</f>
        <v>-0.19627054361567636</v>
      </c>
      <c r="G25" s="245"/>
    </row>
    <row r="26" spans="2:7" x14ac:dyDescent="0.2">
      <c r="B26" s="218" t="s">
        <v>377</v>
      </c>
      <c r="C26" s="196">
        <f>Statement!Z191</f>
        <v>1326</v>
      </c>
      <c r="D26" s="194">
        <f>Statement!AA191</f>
        <v>1588</v>
      </c>
      <c r="F26" s="196">
        <f>Statement!W191</f>
        <v>984</v>
      </c>
      <c r="G26" s="194">
        <f>Statement!AA191</f>
        <v>1588</v>
      </c>
    </row>
    <row r="27" spans="2:7" x14ac:dyDescent="0.2">
      <c r="B27" s="202" t="s">
        <v>307</v>
      </c>
      <c r="C27" s="244">
        <f>IF(C26=0,
IF(D26=0,0,IF(D26&gt;0,1,-1)),
(D26-C26)/ABS(C26)
)</f>
        <v>0.1975867269984917</v>
      </c>
      <c r="D27" s="245"/>
      <c r="F27" s="244">
        <f>IF(F26=0,
IF(G26=0,0,IF(G26&gt;0,1,-1)),
(G26-F26)/ABS(F26)
)</f>
        <v>0.61382113821138207</v>
      </c>
      <c r="G27" s="245"/>
    </row>
    <row r="28" spans="2:7" x14ac:dyDescent="0.2">
      <c r="B28" s="218" t="s">
        <v>378</v>
      </c>
      <c r="C28" s="196">
        <f>Statement!Z192</f>
        <v>1726</v>
      </c>
      <c r="D28" s="194">
        <f>Statement!AA192</f>
        <v>1830</v>
      </c>
      <c r="F28" s="196">
        <f>Statement!W192</f>
        <v>1681</v>
      </c>
      <c r="G28" s="194">
        <f>Statement!AA192</f>
        <v>1830</v>
      </c>
    </row>
    <row r="29" spans="2:7" x14ac:dyDescent="0.2">
      <c r="B29" s="202" t="s">
        <v>307</v>
      </c>
      <c r="C29" s="244">
        <f>IF(C28=0,
IF(D28=0,0,IF(D28&gt;0,1,-1)),
(D28-C28)/ABS(C28)
)</f>
        <v>6.0254924681344149E-2</v>
      </c>
      <c r="D29" s="245"/>
      <c r="F29" s="244">
        <f>IF(F28=0,
IF(G28=0,0,IF(G28&gt;0,1,-1)),
(G28-F28)/ABS(F28)
)</f>
        <v>8.8637715645449131E-2</v>
      </c>
      <c r="G29" s="245"/>
    </row>
    <row r="30" spans="2:7" x14ac:dyDescent="0.2">
      <c r="B30" s="20" t="s">
        <v>379</v>
      </c>
      <c r="C30" s="196">
        <f>Statement!Z193</f>
        <v>9076</v>
      </c>
      <c r="D30" s="196">
        <f>Statement!AA193</f>
        <v>8504</v>
      </c>
      <c r="F30" s="196">
        <f>Statement!W193</f>
        <v>8993</v>
      </c>
      <c r="G30" s="196">
        <f>Statement!AA193</f>
        <v>8504</v>
      </c>
    </row>
    <row r="31" spans="2:7" x14ac:dyDescent="0.2">
      <c r="B31" s="202" t="s">
        <v>307</v>
      </c>
      <c r="C31" s="244">
        <f>IF(C30=0,
IF(D30=0,0,IF(D30&gt;0,1,-1)),
(D30-C30)/ABS(C30)
)</f>
        <v>-6.3023358307624511E-2</v>
      </c>
      <c r="D31" s="245"/>
      <c r="F31" s="244">
        <f>IF(F30=0,
IF(G30=0,0,IF(G30&gt;0,1,-1)),
(G30-F30)/ABS(F30)
)</f>
        <v>-5.4375625486489491E-2</v>
      </c>
      <c r="G31" s="245"/>
    </row>
    <row r="32" spans="2:7" x14ac:dyDescent="0.2">
      <c r="B32" s="20" t="s">
        <v>380</v>
      </c>
      <c r="C32" s="196">
        <f>Statement!Z194</f>
        <v>1382</v>
      </c>
      <c r="D32" s="196">
        <f>Statement!AA194</f>
        <v>1278</v>
      </c>
      <c r="F32" s="196">
        <f>Statement!W194</f>
        <v>1318</v>
      </c>
      <c r="G32" s="196">
        <f>Statement!AA194</f>
        <v>1278</v>
      </c>
    </row>
    <row r="33" spans="2:7" x14ac:dyDescent="0.2">
      <c r="B33" s="202" t="s">
        <v>307</v>
      </c>
      <c r="C33" s="244">
        <f>IF(C32=0,
IF(D32=0,0,IF(D32&gt;0,1,-1)),
(D32-C32)/ABS(C32)
)</f>
        <v>-7.5253256150506515E-2</v>
      </c>
      <c r="D33" s="245"/>
      <c r="F33" s="244">
        <f>IF(F32=0,
IF(G32=0,0,IF(G32&gt;0,1,-1)),
(G32-F32)/ABS(F32)
)</f>
        <v>-3.0349013657056147E-2</v>
      </c>
      <c r="G33" s="245"/>
    </row>
  </sheetData>
  <mergeCells count="28">
    <mergeCell ref="C33:D33"/>
    <mergeCell ref="F33:G33"/>
    <mergeCell ref="C31:D31"/>
    <mergeCell ref="F31:G31"/>
    <mergeCell ref="C25:D25"/>
    <mergeCell ref="F25:G25"/>
    <mergeCell ref="C27:D27"/>
    <mergeCell ref="F27:G27"/>
    <mergeCell ref="C29:D29"/>
    <mergeCell ref="F29:G29"/>
    <mergeCell ref="C17:D17"/>
    <mergeCell ref="F17:G17"/>
    <mergeCell ref="F19:G19"/>
    <mergeCell ref="C19:D19"/>
    <mergeCell ref="C21:D21"/>
    <mergeCell ref="F21:G21"/>
    <mergeCell ref="C11:D11"/>
    <mergeCell ref="F11:G11"/>
    <mergeCell ref="C13:D13"/>
    <mergeCell ref="F13:G13"/>
    <mergeCell ref="C15:D15"/>
    <mergeCell ref="F15:G15"/>
    <mergeCell ref="C3:D3"/>
    <mergeCell ref="F3:G3"/>
    <mergeCell ref="C7:D7"/>
    <mergeCell ref="F7:G7"/>
    <mergeCell ref="C9:D9"/>
    <mergeCell ref="F9:G9"/>
  </mergeCells>
  <pageMargins left="0.7" right="0.7" top="0.75" bottom="0.75" header="0.3" footer="0.3"/>
  <ignoredErrors>
    <ignoredError sqref="F8 F10 F12 F14 F16 F18 C20 F20 C26 F26 C28 F28 C30 F30"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D4CD5-3D15-DF4B-A135-ED758F2E1A8D}">
  <dimension ref="B55:L74"/>
  <sheetViews>
    <sheetView topLeftCell="A68" zoomScale="159" workbookViewId="0">
      <selection activeCell="I48" sqref="I48"/>
    </sheetView>
  </sheetViews>
  <sheetFormatPr baseColWidth="10" defaultRowHeight="16" x14ac:dyDescent="0.2"/>
  <cols>
    <col min="1" max="1" width="2.6640625" style="1" customWidth="1"/>
    <col min="2" max="2" width="21" style="1" customWidth="1"/>
    <col min="3" max="16384" width="10.83203125" style="1"/>
  </cols>
  <sheetData>
    <row r="55" spans="2:12" x14ac:dyDescent="0.2">
      <c r="B55" s="10"/>
      <c r="C55" s="10">
        <f>Statement!H2</f>
        <v>0</v>
      </c>
      <c r="D55" s="10">
        <f>Statement!I2</f>
        <v>0</v>
      </c>
      <c r="E55" s="10">
        <f>Statement!J2</f>
        <v>0</v>
      </c>
      <c r="F55" s="10">
        <f>Statement!K2</f>
        <v>0</v>
      </c>
      <c r="G55" s="10">
        <f>Statement!L2</f>
        <v>0</v>
      </c>
      <c r="H55" s="10" t="str">
        <f>Statement!M2</f>
        <v>26.09.2021</v>
      </c>
      <c r="I55" s="10" t="str">
        <f>Statement!N2</f>
        <v>25.09.2022</v>
      </c>
      <c r="J55" s="10" t="str">
        <f>Statement!O2</f>
        <v>24.09.2023</v>
      </c>
      <c r="K55" s="10" t="str">
        <f>Statement!P2</f>
        <v>29.09.2024</v>
      </c>
      <c r="L55" s="10" t="str">
        <f>Statement!Q2</f>
        <v>28.09.2025</v>
      </c>
    </row>
    <row r="56" spans="2:12" x14ac:dyDescent="0.2">
      <c r="B56" s="10"/>
      <c r="C56" s="10">
        <f>Statement!H3</f>
        <v>0</v>
      </c>
      <c r="D56" s="10">
        <f>Statement!I3</f>
        <v>0</v>
      </c>
      <c r="E56" s="10">
        <f>Statement!J3</f>
        <v>0</v>
      </c>
      <c r="F56" s="10">
        <f>Statement!K3</f>
        <v>0</v>
      </c>
      <c r="G56" s="10">
        <f>Statement!L3</f>
        <v>0</v>
      </c>
      <c r="H56" s="10">
        <f>Statement!M3</f>
        <v>2021</v>
      </c>
      <c r="I56" s="10">
        <f>Statement!N3</f>
        <v>2022</v>
      </c>
      <c r="J56" s="10">
        <f>Statement!O3</f>
        <v>2023</v>
      </c>
      <c r="K56" s="10">
        <f>Statement!P3</f>
        <v>2024</v>
      </c>
      <c r="L56" s="10">
        <f>Statement!Q3</f>
        <v>2025</v>
      </c>
    </row>
    <row r="57" spans="2:12" x14ac:dyDescent="0.2">
      <c r="B57" s="20" t="s">
        <v>19</v>
      </c>
      <c r="C57" s="64">
        <f>Statement!H5</f>
        <v>0</v>
      </c>
      <c r="D57" s="64">
        <f>Statement!I5</f>
        <v>0</v>
      </c>
      <c r="E57" s="64">
        <f>Statement!J5</f>
        <v>0</v>
      </c>
      <c r="F57" s="64">
        <f>Statement!K5</f>
        <v>0</v>
      </c>
      <c r="G57" s="64">
        <f>Statement!L5</f>
        <v>0</v>
      </c>
      <c r="H57" s="24">
        <f>Statement!M5</f>
        <v>33566</v>
      </c>
      <c r="I57" s="24">
        <f>Statement!N5</f>
        <v>44200</v>
      </c>
      <c r="J57" s="24">
        <f>Statement!O5</f>
        <v>35820</v>
      </c>
      <c r="K57" s="24">
        <f>Statement!P5</f>
        <v>38962</v>
      </c>
      <c r="L57" s="24">
        <f>Statement!Q5</f>
        <v>44284</v>
      </c>
    </row>
    <row r="58" spans="2:12" x14ac:dyDescent="0.2">
      <c r="B58" s="20" t="s">
        <v>24</v>
      </c>
      <c r="C58" s="64">
        <f>Statement!H12</f>
        <v>0</v>
      </c>
      <c r="D58" s="64">
        <f>Statement!I12</f>
        <v>0</v>
      </c>
      <c r="E58" s="64">
        <f>Statement!J12</f>
        <v>0</v>
      </c>
      <c r="F58" s="64">
        <f>Statement!K12</f>
        <v>0</v>
      </c>
      <c r="G58" s="64">
        <f>Statement!L12</f>
        <v>0</v>
      </c>
      <c r="H58" s="64">
        <f>Statement!M12</f>
        <v>9789</v>
      </c>
      <c r="I58" s="64">
        <f>Statement!N12</f>
        <v>15860</v>
      </c>
      <c r="J58" s="64">
        <f>Statement!O12</f>
        <v>7788</v>
      </c>
      <c r="K58" s="64">
        <f>Statement!P12</f>
        <v>10071</v>
      </c>
      <c r="L58" s="64">
        <f>Statement!Q12</f>
        <v>12355</v>
      </c>
    </row>
    <row r="59" spans="2:12" x14ac:dyDescent="0.2">
      <c r="B59" s="20" t="s">
        <v>29</v>
      </c>
      <c r="C59" s="64">
        <f>Statement!H18</f>
        <v>0</v>
      </c>
      <c r="D59" s="64">
        <f>Statement!I18</f>
        <v>0</v>
      </c>
      <c r="E59" s="64">
        <f>Statement!J18</f>
        <v>0</v>
      </c>
      <c r="F59" s="64">
        <f>Statement!K18</f>
        <v>0</v>
      </c>
      <c r="G59" s="64">
        <f>Statement!L18</f>
        <v>0</v>
      </c>
      <c r="H59" s="64">
        <f>Statement!M18</f>
        <v>9043</v>
      </c>
      <c r="I59" s="64">
        <f>Statement!N18</f>
        <v>12986</v>
      </c>
      <c r="J59" s="64">
        <f>Statement!O18</f>
        <v>7339</v>
      </c>
      <c r="K59" s="64">
        <f>Statement!P18</f>
        <v>10110</v>
      </c>
      <c r="L59" s="64">
        <f>Statement!Q18</f>
        <v>11241</v>
      </c>
    </row>
    <row r="60" spans="2:12" x14ac:dyDescent="0.2">
      <c r="B60" s="20" t="s">
        <v>253</v>
      </c>
      <c r="C60" s="64">
        <f>Statement!H160</f>
        <v>0</v>
      </c>
      <c r="D60" s="64">
        <f>Statement!I160</f>
        <v>0</v>
      </c>
      <c r="E60" s="64">
        <f>Statement!J160</f>
        <v>0</v>
      </c>
      <c r="F60" s="64">
        <f>Statement!K160</f>
        <v>0</v>
      </c>
      <c r="G60" s="64">
        <f>Statement!L160</f>
        <v>0</v>
      </c>
      <c r="H60" s="64">
        <f>Statement!M160</f>
        <v>6985</v>
      </c>
      <c r="I60" s="64">
        <f>Statement!N160</f>
        <v>4803</v>
      </c>
      <c r="J60" s="64">
        <f>Statement!O160</f>
        <v>7365</v>
      </c>
      <c r="K60" s="64">
        <f>Statement!P160</f>
        <v>8513</v>
      </c>
      <c r="L60" s="64">
        <f>Statement!Q160</f>
        <v>10037</v>
      </c>
    </row>
    <row r="61" spans="2:12" x14ac:dyDescent="0.2">
      <c r="B61" s="20" t="s">
        <v>254</v>
      </c>
      <c r="C61" s="64">
        <f>Statement!H161</f>
        <v>0</v>
      </c>
      <c r="D61" s="64">
        <f>Statement!I161</f>
        <v>0</v>
      </c>
      <c r="E61" s="64">
        <f>Statement!J161</f>
        <v>0</v>
      </c>
      <c r="F61" s="64">
        <f>Statement!K161</f>
        <v>0</v>
      </c>
      <c r="G61" s="64">
        <f>Statement!L161</f>
        <v>0</v>
      </c>
      <c r="H61" s="64">
        <f>Statement!M161</f>
        <v>7849.1112517033289</v>
      </c>
      <c r="I61" s="64">
        <f>Statement!N161</f>
        <v>5262.3616482197631</v>
      </c>
      <c r="J61" s="64">
        <f>Statement!O161</f>
        <v>11270.179363160016</v>
      </c>
      <c r="K61" s="64">
        <f>Statement!P161</f>
        <v>11195.794311145512</v>
      </c>
      <c r="L61" s="64">
        <f>Statement!Q161</f>
        <v>11791.587064676618</v>
      </c>
    </row>
    <row r="62" spans="2:12" x14ac:dyDescent="0.2">
      <c r="B62" s="20" t="s">
        <v>76</v>
      </c>
      <c r="C62" s="58">
        <f>Statement!H100</f>
        <v>0</v>
      </c>
      <c r="D62" s="58">
        <f>Statement!I100</f>
        <v>0</v>
      </c>
      <c r="E62" s="58">
        <f>Statement!J100</f>
        <v>0</v>
      </c>
      <c r="F62" s="58">
        <f>Statement!K100</f>
        <v>0</v>
      </c>
      <c r="G62" s="58">
        <f>Statement!L100</f>
        <v>0</v>
      </c>
      <c r="H62" s="58">
        <f>Statement!M100</f>
        <v>0.57510576178275641</v>
      </c>
      <c r="I62" s="58">
        <f>Statement!N100</f>
        <v>0.57798642533936651</v>
      </c>
      <c r="J62" s="58">
        <f>Statement!O100</f>
        <v>0.55697934115019543</v>
      </c>
      <c r="K62" s="58">
        <f>Statement!P100</f>
        <v>0.56213746727580716</v>
      </c>
      <c r="L62" s="58">
        <f>Statement!Q100</f>
        <v>0.55428597236022037</v>
      </c>
    </row>
    <row r="63" spans="2:12" x14ac:dyDescent="0.2">
      <c r="B63" s="20" t="s">
        <v>77</v>
      </c>
      <c r="C63" s="58">
        <f>Statement!H101</f>
        <v>0</v>
      </c>
      <c r="D63" s="58">
        <f>Statement!I101</f>
        <v>0</v>
      </c>
      <c r="E63" s="58">
        <f>Statement!J101</f>
        <v>0</v>
      </c>
      <c r="F63" s="58">
        <f>Statement!K101</f>
        <v>0</v>
      </c>
      <c r="G63" s="58">
        <f>Statement!L101</f>
        <v>0</v>
      </c>
      <c r="H63" s="58">
        <f>Statement!M101</f>
        <v>0.2916343919442293</v>
      </c>
      <c r="I63" s="58">
        <f>Statement!N101</f>
        <v>0.35882352941176471</v>
      </c>
      <c r="J63" s="58">
        <f>Statement!O101</f>
        <v>0.21742043551088777</v>
      </c>
      <c r="K63" s="58">
        <f>Statement!P101</f>
        <v>0.25848262409527234</v>
      </c>
      <c r="L63" s="58">
        <f>Statement!Q101</f>
        <v>0.27899467076144885</v>
      </c>
    </row>
    <row r="64" spans="2:12" x14ac:dyDescent="0.2">
      <c r="B64" s="20" t="s">
        <v>78</v>
      </c>
      <c r="C64" s="58">
        <f>Statement!H102</f>
        <v>0</v>
      </c>
      <c r="D64" s="58">
        <f>Statement!I102</f>
        <v>0</v>
      </c>
      <c r="E64" s="58">
        <f>Statement!J102</f>
        <v>0</v>
      </c>
      <c r="F64" s="58">
        <f>Statement!K102</f>
        <v>0</v>
      </c>
      <c r="G64" s="58">
        <f>Statement!L102</f>
        <v>0</v>
      </c>
      <c r="H64" s="58">
        <f>Statement!M102</f>
        <v>0.2694095215396532</v>
      </c>
      <c r="I64" s="58">
        <f>Statement!N102</f>
        <v>0.29380090497737554</v>
      </c>
      <c r="J64" s="58">
        <f>Statement!O102</f>
        <v>0.2048855388051368</v>
      </c>
      <c r="K64" s="58">
        <f>Statement!P102</f>
        <v>0.25948359940454802</v>
      </c>
      <c r="L64" s="58">
        <f>Statement!Q102</f>
        <v>0.25383885827838498</v>
      </c>
    </row>
    <row r="65" spans="2:12" x14ac:dyDescent="0.2">
      <c r="B65" s="20" t="s">
        <v>381</v>
      </c>
      <c r="C65" s="64">
        <f>Statement!H190</f>
        <v>0</v>
      </c>
      <c r="D65" s="64">
        <f>Statement!I190</f>
        <v>0</v>
      </c>
      <c r="E65" s="64">
        <f>Statement!J190</f>
        <v>0</v>
      </c>
      <c r="F65" s="64">
        <f>Statement!K190</f>
        <v>0</v>
      </c>
      <c r="G65" s="64">
        <f>Statement!L190</f>
        <v>0</v>
      </c>
      <c r="H65" s="64">
        <f>Statement!M190</f>
        <v>16830</v>
      </c>
      <c r="I65" s="64">
        <f>Statement!N190</f>
        <v>25027</v>
      </c>
      <c r="J65" s="64">
        <f>Statement!O190</f>
        <v>22570</v>
      </c>
      <c r="K65" s="64">
        <f>Statement!P190</f>
        <v>24863</v>
      </c>
      <c r="L65" s="64">
        <f>Statement!Q190</f>
        <v>27793</v>
      </c>
    </row>
    <row r="66" spans="2:12" x14ac:dyDescent="0.2">
      <c r="B66" s="20" t="s">
        <v>382</v>
      </c>
      <c r="C66" s="64">
        <f>Statement!H191</f>
        <v>0</v>
      </c>
      <c r="D66" s="64">
        <f>Statement!I191</f>
        <v>0</v>
      </c>
      <c r="E66" s="64">
        <f>Statement!J191</f>
        <v>0</v>
      </c>
      <c r="F66" s="64">
        <f>Statement!K191</f>
        <v>0</v>
      </c>
      <c r="G66" s="64">
        <f>Statement!L191</f>
        <v>0</v>
      </c>
      <c r="H66" s="64">
        <f>Statement!M191</f>
        <v>975</v>
      </c>
      <c r="I66" s="64">
        <f>Statement!N191</f>
        <v>1372</v>
      </c>
      <c r="J66" s="64">
        <f>Statement!O191</f>
        <v>1872</v>
      </c>
      <c r="K66" s="64">
        <f>Statement!P191</f>
        <v>2910</v>
      </c>
      <c r="L66" s="64">
        <f>Statement!Q191</f>
        <v>3957</v>
      </c>
    </row>
    <row r="67" spans="2:12" x14ac:dyDescent="0.2">
      <c r="B67" s="20" t="s">
        <v>383</v>
      </c>
      <c r="C67" s="64">
        <f>Statement!H192</f>
        <v>0</v>
      </c>
      <c r="D67" s="64">
        <f>Statement!I192</f>
        <v>0</v>
      </c>
      <c r="E67" s="64">
        <f>Statement!J192</f>
        <v>0</v>
      </c>
      <c r="F67" s="64">
        <f>Statement!K192</f>
        <v>0</v>
      </c>
      <c r="G67" s="64">
        <f>Statement!L192</f>
        <v>0</v>
      </c>
      <c r="H67" s="64">
        <f>Statement!M192</f>
        <v>5056</v>
      </c>
      <c r="I67" s="64">
        <f>Statement!N192</f>
        <v>6948</v>
      </c>
      <c r="J67" s="64">
        <f>Statement!O192</f>
        <v>5940</v>
      </c>
      <c r="K67" s="64">
        <f>Statement!P192</f>
        <v>5423</v>
      </c>
      <c r="L67" s="64">
        <f>Statement!Q192</f>
        <v>6617</v>
      </c>
    </row>
    <row r="68" spans="2:12" x14ac:dyDescent="0.2">
      <c r="B68" s="20" t="s">
        <v>384</v>
      </c>
      <c r="C68" s="64">
        <f>Statement!H194</f>
        <v>0</v>
      </c>
      <c r="D68" s="64">
        <f>Statement!I194</f>
        <v>0</v>
      </c>
      <c r="E68" s="64">
        <f>Statement!J194</f>
        <v>0</v>
      </c>
      <c r="F68" s="64">
        <f>Statement!K194</f>
        <v>0</v>
      </c>
      <c r="G68" s="64">
        <f>Statement!L194</f>
        <v>0</v>
      </c>
      <c r="H68" s="64">
        <f>Statement!M194</f>
        <v>6320</v>
      </c>
      <c r="I68" s="64">
        <f>Statement!N194</f>
        <v>6358</v>
      </c>
      <c r="J68" s="64">
        <f>Statement!O194</f>
        <v>5306</v>
      </c>
      <c r="K68" s="64">
        <f>Statement!P194</f>
        <v>5572</v>
      </c>
      <c r="L68" s="64">
        <f>Statement!Q194</f>
        <v>5582</v>
      </c>
    </row>
    <row r="69" spans="2:12" x14ac:dyDescent="0.2">
      <c r="B69" s="20" t="s">
        <v>94</v>
      </c>
      <c r="C69" s="214">
        <f>Statement!H122</f>
        <v>0</v>
      </c>
      <c r="D69" s="214">
        <f>Statement!I122</f>
        <v>0</v>
      </c>
      <c r="E69" s="214">
        <f>Statement!J122</f>
        <v>0</v>
      </c>
      <c r="F69" s="214">
        <f>Statement!K122</f>
        <v>0</v>
      </c>
      <c r="G69" s="214">
        <f>Statement!L122</f>
        <v>0</v>
      </c>
      <c r="H69" s="214">
        <f>Statement!M122</f>
        <v>0.21927740058195924</v>
      </c>
      <c r="I69" s="214">
        <f>Statement!N122</f>
        <v>0.26494470967478678</v>
      </c>
      <c r="J69" s="214">
        <f>Statement!O122</f>
        <v>0.14378918495297807</v>
      </c>
      <c r="K69" s="214">
        <f>Statement!P122</f>
        <v>0.18330492801972659</v>
      </c>
      <c r="L69" s="214">
        <f>Statement!Q122</f>
        <v>0.22417884849330916</v>
      </c>
    </row>
    <row r="70" spans="2:12" x14ac:dyDescent="0.2">
      <c r="B70" s="20" t="s">
        <v>96</v>
      </c>
      <c r="C70" s="214">
        <f>Statement!H124</f>
        <v>0</v>
      </c>
      <c r="D70" s="214">
        <f>Statement!I124</f>
        <v>0</v>
      </c>
      <c r="E70" s="214">
        <f>Statement!J124</f>
        <v>0</v>
      </c>
      <c r="F70" s="214">
        <f>Statement!K124</f>
        <v>0</v>
      </c>
      <c r="G70" s="214">
        <f>Statement!L124</f>
        <v>0</v>
      </c>
      <c r="H70" s="214">
        <f>Statement!M124</f>
        <v>0.90884422110552765</v>
      </c>
      <c r="I70" s="214">
        <f>Statement!N124</f>
        <v>0.7209237772719701</v>
      </c>
      <c r="J70" s="214">
        <f>Statement!O124</f>
        <v>0.34006765210138556</v>
      </c>
      <c r="K70" s="214">
        <f>Statement!P124</f>
        <v>0.38479104818451698</v>
      </c>
      <c r="L70" s="214">
        <f>Statement!Q124</f>
        <v>0.53008582476657551</v>
      </c>
    </row>
    <row r="71" spans="2:12" x14ac:dyDescent="0.2">
      <c r="B71" s="20" t="s">
        <v>97</v>
      </c>
      <c r="C71" s="214">
        <f>Statement!H143</f>
        <v>0</v>
      </c>
      <c r="D71" s="214">
        <f>Statement!I143</f>
        <v>0</v>
      </c>
      <c r="E71" s="214">
        <f>Statement!J143</f>
        <v>0</v>
      </c>
      <c r="F71" s="214">
        <f>Statement!K143</f>
        <v>0</v>
      </c>
      <c r="G71" s="214">
        <f>Statement!L143</f>
        <v>0</v>
      </c>
      <c r="H71" s="214">
        <f>Statement!M143</f>
        <v>0.64875470609918895</v>
      </c>
      <c r="I71" s="214">
        <f>Statement!N143</f>
        <v>0.50648624822851629</v>
      </c>
      <c r="J71" s="214">
        <f>Statement!O143</f>
        <v>0.29932486311284412</v>
      </c>
      <c r="K71" s="214">
        <f>Statement!P143</f>
        <v>0.35680941434169483</v>
      </c>
      <c r="L71" s="214">
        <f>Statement!Q143</f>
        <v>0.42408116405060003</v>
      </c>
    </row>
    <row r="72" spans="2:12" x14ac:dyDescent="0.2">
      <c r="B72" s="20" t="s">
        <v>349</v>
      </c>
      <c r="C72" s="225">
        <f>Statement!H210</f>
        <v>0</v>
      </c>
      <c r="D72" s="225">
        <f>Statement!I210</f>
        <v>0</v>
      </c>
      <c r="E72" s="225">
        <f>Statement!J210</f>
        <v>0</v>
      </c>
      <c r="F72" s="225">
        <f>Statement!K210</f>
        <v>0</v>
      </c>
      <c r="G72" s="225">
        <f>Statement!L210</f>
        <v>0</v>
      </c>
      <c r="H72" s="225">
        <f>Statement!M210</f>
        <v>100</v>
      </c>
      <c r="I72" s="225">
        <f>Statement!N210</f>
        <v>90.521362414102185</v>
      </c>
      <c r="J72" s="225">
        <f>Statement!O210</f>
        <v>80.430236032267715</v>
      </c>
      <c r="K72" s="225">
        <f>Statement!P210</f>
        <v>127.07648640573647</v>
      </c>
      <c r="L72" s="225">
        <f>Statement!Q210</f>
        <v>126.38183447863757</v>
      </c>
    </row>
    <row r="73" spans="2:12" x14ac:dyDescent="0.2">
      <c r="B73" s="20" t="s">
        <v>350</v>
      </c>
      <c r="C73" s="225">
        <f>Statement!H211</f>
        <v>0</v>
      </c>
      <c r="D73" s="225">
        <f>Statement!I211</f>
        <v>0</v>
      </c>
      <c r="E73" s="225">
        <f>Statement!J211</f>
        <v>0</v>
      </c>
      <c r="F73" s="225">
        <f>Statement!K211</f>
        <v>0</v>
      </c>
      <c r="G73" s="225">
        <f>Statement!L211</f>
        <v>0</v>
      </c>
      <c r="H73" s="225">
        <f>Statement!M211</f>
        <v>100</v>
      </c>
      <c r="I73" s="225">
        <f>Statement!N211</f>
        <v>131.68086754453913</v>
      </c>
      <c r="J73" s="225">
        <f>Statement!O211</f>
        <v>106.71512840374189</v>
      </c>
      <c r="K73" s="225">
        <f>Statement!P211</f>
        <v>116.07579097896681</v>
      </c>
      <c r="L73" s="225">
        <f>Statement!Q211</f>
        <v>131.93112077697671</v>
      </c>
    </row>
    <row r="74" spans="2:12" x14ac:dyDescent="0.2">
      <c r="B74" s="20" t="s">
        <v>351</v>
      </c>
      <c r="C74" s="225">
        <f>Statement!H212</f>
        <v>0</v>
      </c>
      <c r="D74" s="225">
        <f>Statement!I212</f>
        <v>0</v>
      </c>
      <c r="E74" s="225">
        <f>Statement!J212</f>
        <v>0</v>
      </c>
      <c r="F74" s="225">
        <f>Statement!K212</f>
        <v>0</v>
      </c>
      <c r="G74" s="225">
        <f>Statement!L212</f>
        <v>0</v>
      </c>
      <c r="H74" s="225">
        <f>Statement!M212</f>
        <v>100</v>
      </c>
      <c r="I74" s="225">
        <f>Statement!N212</f>
        <v>144.98094027954255</v>
      </c>
      <c r="J74" s="225">
        <f>Statement!O212</f>
        <v>82.846251588310025</v>
      </c>
      <c r="K74" s="225">
        <f>Statement!P212</f>
        <v>113.59593392630241</v>
      </c>
      <c r="L74" s="225">
        <f>Statement!Q212</f>
        <v>129.26112679457472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9119-3B3B-094C-BA34-9489CF595CBC}">
  <dimension ref="B55:J66"/>
  <sheetViews>
    <sheetView topLeftCell="A54" zoomScale="161" workbookViewId="0">
      <selection activeCell="C65" sqref="C65:J65"/>
    </sheetView>
  </sheetViews>
  <sheetFormatPr baseColWidth="10" defaultRowHeight="16" x14ac:dyDescent="0.2"/>
  <cols>
    <col min="1" max="1" width="2.6640625" style="1" customWidth="1"/>
    <col min="2" max="2" width="20" style="1" customWidth="1"/>
    <col min="3" max="16384" width="10.83203125" style="1"/>
  </cols>
  <sheetData>
    <row r="55" spans="2:10" x14ac:dyDescent="0.2">
      <c r="B55" s="10"/>
      <c r="C55" s="10" t="str">
        <f>Statement!T2</f>
        <v>29.09.2024</v>
      </c>
      <c r="D55" s="10" t="str">
        <f>Statement!U2</f>
        <v>29.12.2024</v>
      </c>
      <c r="E55" s="10" t="str">
        <f>Statement!V2</f>
        <v>30.03.2025</v>
      </c>
      <c r="F55" s="10" t="str">
        <f>Statement!W2</f>
        <v>29.06.2025</v>
      </c>
      <c r="G55" s="10" t="str">
        <f>Statement!X2</f>
        <v>28.09.2025</v>
      </c>
      <c r="H55" s="10" t="str">
        <f>Statement!Y2</f>
        <v>28.12.2025</v>
      </c>
      <c r="I55" s="10" t="str">
        <f>Statement!Z2</f>
        <v>29.03.2026</v>
      </c>
      <c r="J55" s="10" t="str">
        <f>Statement!AA2</f>
        <v>28.06.2026</v>
      </c>
    </row>
    <row r="56" spans="2:10" x14ac:dyDescent="0.2">
      <c r="B56" s="10"/>
      <c r="C56" s="10" t="str">
        <f>Statement!T3</f>
        <v>Q4 2024</v>
      </c>
      <c r="D56" s="10" t="str">
        <f>Statement!U3</f>
        <v>Q1 2025</v>
      </c>
      <c r="E56" s="10" t="str">
        <f>Statement!V3</f>
        <v>Q2 2025</v>
      </c>
      <c r="F56" s="10" t="str">
        <f>Statement!W3</f>
        <v>Q3 2025</v>
      </c>
      <c r="G56" s="10" t="str">
        <f>Statement!X3</f>
        <v>Q4 2025</v>
      </c>
      <c r="H56" s="10" t="str">
        <f>Statement!Y3</f>
        <v>Q1 2026</v>
      </c>
      <c r="I56" s="10" t="str">
        <f>Statement!Z3</f>
        <v>Q2 2026</v>
      </c>
      <c r="J56" s="10" t="str">
        <f>Statement!AA3</f>
        <v>Q3 2026</v>
      </c>
    </row>
    <row r="57" spans="2:10" x14ac:dyDescent="0.2">
      <c r="B57" s="20" t="s">
        <v>19</v>
      </c>
      <c r="C57" s="64">
        <f>Statement!T5</f>
        <v>10244</v>
      </c>
      <c r="D57" s="64">
        <f>Statement!U5</f>
        <v>11669</v>
      </c>
      <c r="E57" s="64">
        <f>Statement!V5</f>
        <v>10979</v>
      </c>
      <c r="F57" s="64">
        <f>Statement!W5</f>
        <v>10465</v>
      </c>
      <c r="G57" s="64">
        <f>Statement!X5</f>
        <v>11270</v>
      </c>
      <c r="H57" s="64">
        <f>Statement!Y5</f>
        <v>12252</v>
      </c>
      <c r="I57" s="64">
        <f>Statement!Z5</f>
        <v>10599</v>
      </c>
      <c r="J57" s="64">
        <f>Statement!AA5</f>
        <v>9947</v>
      </c>
    </row>
    <row r="58" spans="2:10" x14ac:dyDescent="0.2">
      <c r="B58" s="20" t="s">
        <v>24</v>
      </c>
      <c r="C58" s="64">
        <f>Statement!T12</f>
        <v>2581</v>
      </c>
      <c r="D58" s="64">
        <f>Statement!U12</f>
        <v>3555</v>
      </c>
      <c r="E58" s="64">
        <f>Statement!V12</f>
        <v>3120</v>
      </c>
      <c r="F58" s="64">
        <f>Statement!W12</f>
        <v>2762</v>
      </c>
      <c r="G58" s="64">
        <f>Statement!X12</f>
        <v>2918</v>
      </c>
      <c r="H58" s="64">
        <f>Statement!Y12</f>
        <v>3366</v>
      </c>
      <c r="I58" s="64">
        <f>Statement!Z12</f>
        <v>2309</v>
      </c>
      <c r="J58" s="64">
        <f>Statement!AA12</f>
        <v>1626</v>
      </c>
    </row>
    <row r="59" spans="2:10" x14ac:dyDescent="0.2">
      <c r="B59" s="20" t="s">
        <v>29</v>
      </c>
      <c r="C59" s="64">
        <f>Statement!T18</f>
        <v>2915</v>
      </c>
      <c r="D59" s="64">
        <f>Statement!U18</f>
        <v>3180</v>
      </c>
      <c r="E59" s="64">
        <f>Statement!V18</f>
        <v>2812</v>
      </c>
      <c r="F59" s="64">
        <f>Statement!W18</f>
        <v>2666</v>
      </c>
      <c r="G59" s="64">
        <f>Statement!X18</f>
        <v>2583</v>
      </c>
      <c r="H59" s="64">
        <f>Statement!Y18</f>
        <v>3004</v>
      </c>
      <c r="I59" s="64">
        <f>Statement!Z18</f>
        <v>1932</v>
      </c>
      <c r="J59" s="64">
        <f>Statement!AA18</f>
        <v>2002</v>
      </c>
    </row>
    <row r="60" spans="2:10" x14ac:dyDescent="0.2">
      <c r="B60" s="20" t="s">
        <v>76</v>
      </c>
      <c r="C60" s="58">
        <f>Statement!T100</f>
        <v>0.56393986723935963</v>
      </c>
      <c r="D60" s="58">
        <f>Statement!U100</f>
        <v>0.55771702802296685</v>
      </c>
      <c r="E60" s="58">
        <f>Statement!V100</f>
        <v>0.55032334456690046</v>
      </c>
      <c r="F60" s="58">
        <f>Statement!W100</f>
        <v>0.55986622073578596</v>
      </c>
      <c r="G60" s="58">
        <f>Statement!X100</f>
        <v>0.55341614906832293</v>
      </c>
      <c r="H60" s="58">
        <f>Statement!Y100</f>
        <v>0.54554358472086195</v>
      </c>
      <c r="I60" s="58">
        <f>Statement!Z100</f>
        <v>0.53769223511652042</v>
      </c>
      <c r="J60" s="58">
        <f>Statement!AA100</f>
        <v>0.53051171207399217</v>
      </c>
    </row>
    <row r="61" spans="2:10" x14ac:dyDescent="0.2">
      <c r="B61" s="20" t="s">
        <v>77</v>
      </c>
      <c r="C61" s="58">
        <f>Statement!T101</f>
        <v>0.25195236235845375</v>
      </c>
      <c r="D61" s="58">
        <f>Statement!U101</f>
        <v>0.30465335504327706</v>
      </c>
      <c r="E61" s="58">
        <f>Statement!V101</f>
        <v>0.28417888696602606</v>
      </c>
      <c r="F61" s="58">
        <f>Statement!W101</f>
        <v>0.26392737697085522</v>
      </c>
      <c r="G61" s="58">
        <f>Statement!X101</f>
        <v>0.25891748003549248</v>
      </c>
      <c r="H61" s="58">
        <f>Statement!Y101</f>
        <v>0.27473065621939274</v>
      </c>
      <c r="I61" s="58">
        <f>Statement!Z101</f>
        <v>0.21785074063590903</v>
      </c>
      <c r="J61" s="58">
        <f>Statement!AA101</f>
        <v>0.16346637177038303</v>
      </c>
    </row>
    <row r="62" spans="2:10" x14ac:dyDescent="0.2">
      <c r="B62" s="20" t="s">
        <v>78</v>
      </c>
      <c r="C62" s="58">
        <f>Statement!T102</f>
        <v>0.28455681374463099</v>
      </c>
      <c r="D62" s="58">
        <f>Statement!U102</f>
        <v>0.27251692518639131</v>
      </c>
      <c r="E62" s="58">
        <f>Statement!V102</f>
        <v>0.25612533017579014</v>
      </c>
      <c r="F62" s="58">
        <f>Statement!W102</f>
        <v>0.25475394171046345</v>
      </c>
      <c r="G62" s="58">
        <f>Statement!X102</f>
        <v>0.22919254658385094</v>
      </c>
      <c r="H62" s="58">
        <f>Statement!Y102</f>
        <v>0.24518445968005223</v>
      </c>
      <c r="I62" s="58">
        <f>Statement!Z102</f>
        <v>0.18228134729691481</v>
      </c>
      <c r="J62" s="58">
        <f>Statement!AA102</f>
        <v>0.20126671358198453</v>
      </c>
    </row>
    <row r="63" spans="2:10" x14ac:dyDescent="0.2">
      <c r="B63" s="20" t="s">
        <v>381</v>
      </c>
      <c r="C63" s="64">
        <f>Statement!T190</f>
        <v>6096</v>
      </c>
      <c r="D63" s="64">
        <f>Statement!U190</f>
        <v>7574</v>
      </c>
      <c r="E63" s="64">
        <f>Statement!V190</f>
        <v>6929</v>
      </c>
      <c r="F63" s="64">
        <f>Statement!W190</f>
        <v>6328</v>
      </c>
      <c r="G63" s="64">
        <f>Statement!X190</f>
        <v>6961</v>
      </c>
      <c r="H63" s="64">
        <f>Statement!Y190</f>
        <v>7824</v>
      </c>
      <c r="I63" s="64">
        <f>Statement!Z190</f>
        <v>6024</v>
      </c>
      <c r="J63" s="64">
        <f>Statement!AA190</f>
        <v>5086</v>
      </c>
    </row>
    <row r="64" spans="2:10" x14ac:dyDescent="0.2">
      <c r="B64" s="20" t="s">
        <v>382</v>
      </c>
      <c r="C64" s="64">
        <f>Statement!T191</f>
        <v>899</v>
      </c>
      <c r="D64" s="64">
        <f>Statement!U191</f>
        <v>961</v>
      </c>
      <c r="E64" s="64">
        <f>Statement!V191</f>
        <v>959</v>
      </c>
      <c r="F64" s="64">
        <f>Statement!W191</f>
        <v>984</v>
      </c>
      <c r="G64" s="64">
        <f>Statement!X191</f>
        <v>1053</v>
      </c>
      <c r="H64" s="64">
        <f>Statement!Y191</f>
        <v>1101</v>
      </c>
      <c r="I64" s="64">
        <f>Statement!Z191</f>
        <v>1326</v>
      </c>
      <c r="J64" s="64">
        <f>Statement!AA191</f>
        <v>1588</v>
      </c>
    </row>
    <row r="65" spans="2:10" x14ac:dyDescent="0.2">
      <c r="B65" s="20" t="s">
        <v>383</v>
      </c>
      <c r="C65" s="64">
        <f>Statement!T194</f>
        <v>1015</v>
      </c>
      <c r="D65" s="64">
        <f>Statement!U194</f>
        <v>1535</v>
      </c>
      <c r="E65" s="64">
        <f>Statement!V194</f>
        <v>1319</v>
      </c>
      <c r="F65" s="64">
        <f>Statement!W194</f>
        <v>1318</v>
      </c>
      <c r="G65" s="64">
        <f>Statement!X194</f>
        <v>1409</v>
      </c>
      <c r="H65" s="64">
        <f>Statement!Y194</f>
        <v>1592</v>
      </c>
      <c r="I65" s="64">
        <f>Statement!Z194</f>
        <v>1382</v>
      </c>
      <c r="J65" s="64">
        <f>Statement!AA194</f>
        <v>1278</v>
      </c>
    </row>
    <row r="66" spans="2:10" x14ac:dyDescent="0.2">
      <c r="B66" s="20" t="s">
        <v>253</v>
      </c>
      <c r="C66" s="64">
        <f>Statement!T160</f>
        <v>0</v>
      </c>
      <c r="D66" s="64">
        <f>Statement!U160</f>
        <v>3551</v>
      </c>
      <c r="E66" s="64">
        <f>Statement!V160</f>
        <v>1638</v>
      </c>
      <c r="F66" s="64">
        <f>Statement!W160</f>
        <v>1922</v>
      </c>
      <c r="G66" s="64">
        <f>Statement!X160</f>
        <v>2926</v>
      </c>
      <c r="H66" s="64">
        <f>Statement!Y160</f>
        <v>3528</v>
      </c>
      <c r="I66" s="64">
        <f>Statement!Z160</f>
        <v>1055</v>
      </c>
      <c r="J66" s="64">
        <f>Statement!AA160</f>
        <v>-335</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4B610-4F16-C34E-B8D9-992F7812B5AD}">
  <sheetPr>
    <tabColor theme="6" tint="0.59999389629810485"/>
  </sheetPr>
  <dimension ref="B5:H13"/>
  <sheetViews>
    <sheetView workbookViewId="0">
      <selection activeCell="H10" sqref="H10"/>
    </sheetView>
  </sheetViews>
  <sheetFormatPr baseColWidth="10" defaultRowHeight="16" x14ac:dyDescent="0.2"/>
  <cols>
    <col min="1" max="7" width="10.83203125" style="1"/>
    <col min="8" max="8" width="17.5" style="1" customWidth="1"/>
    <col min="9" max="16384" width="10.83203125" style="1"/>
  </cols>
  <sheetData>
    <row r="5" spans="2:8" x14ac:dyDescent="0.2">
      <c r="H5" s="132" t="s">
        <v>431</v>
      </c>
    </row>
    <row r="6" spans="2:8" x14ac:dyDescent="0.2">
      <c r="H6" s="235" t="s">
        <v>436</v>
      </c>
    </row>
    <row r="7" spans="2:8" x14ac:dyDescent="0.2">
      <c r="H7" s="235" t="s">
        <v>432</v>
      </c>
    </row>
    <row r="8" spans="2:8" x14ac:dyDescent="0.2">
      <c r="H8" s="235" t="s">
        <v>433</v>
      </c>
    </row>
    <row r="9" spans="2:8" x14ac:dyDescent="0.2">
      <c r="H9" s="235" t="s">
        <v>434</v>
      </c>
    </row>
    <row r="10" spans="2:8" x14ac:dyDescent="0.2">
      <c r="H10" s="236" t="s">
        <v>435</v>
      </c>
    </row>
    <row r="13" spans="2:8" s="4" customFormat="1" ht="49" x14ac:dyDescent="0.2">
      <c r="B13" s="3" t="s">
        <v>103</v>
      </c>
    </row>
  </sheetData>
  <hyperlinks>
    <hyperlink ref="H6" location="Overview!B3" display="Overview'!B3" xr:uid="{0B60C889-5E71-4040-9711-1E56BC33FBCA}"/>
    <hyperlink ref="H8" location="'Analysis -&gt;'!B13" display="'Analysis -&gt;'!B13" xr:uid="{A2661D6C-7355-7A4B-98B0-4B65804BC79C}"/>
    <hyperlink ref="H9" location="'Forecast -&gt;'!B13" display="'Forecast -&gt;'!B13" xr:uid="{CD1F50EC-B7ED-1E40-BD28-988C3B78B7D7}"/>
    <hyperlink ref="H10" location="'Valuation -&gt;'!B13" display="'Valuation -&gt;'!B13" xr:uid="{6EA355A0-DB8D-4246-B6DF-6448434F8A47}"/>
    <hyperlink ref="H7" location="'Financials -&gt;'!B13" display="'Financials -&gt;'!B13" xr:uid="{5650C899-7EB6-384E-82AF-650BFD0960D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282D1-ADA2-D843-8696-3FC058E17FA6}">
  <dimension ref="A1:AE23"/>
  <sheetViews>
    <sheetView topLeftCell="C5" zoomScale="200" zoomScaleNormal="75" workbookViewId="0">
      <selection activeCell="I9" sqref="I9"/>
    </sheetView>
  </sheetViews>
  <sheetFormatPr baseColWidth="10" defaultRowHeight="16" x14ac:dyDescent="0.2"/>
  <cols>
    <col min="1" max="1" width="2" style="83" customWidth="1"/>
    <col min="2" max="2" width="29"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7.6640625" style="1" customWidth="1"/>
    <col min="19" max="29" width="10.83203125" style="1"/>
    <col min="30" max="30" width="2" style="1" customWidth="1"/>
    <col min="31" max="31" width="12.33203125" style="1" customWidth="1"/>
    <col min="32" max="16384" width="10.83203125" style="1"/>
  </cols>
  <sheetData>
    <row r="1" spans="1:31" s="83" customFormat="1" ht="18" customHeight="1" x14ac:dyDescent="0.2">
      <c r="A1" s="4"/>
      <c r="B1" s="82" t="s">
        <v>104</v>
      </c>
      <c r="O1" s="84"/>
    </row>
    <row r="2" spans="1:31" x14ac:dyDescent="0.2">
      <c r="A2" s="4"/>
      <c r="C2" s="240" t="s">
        <v>105</v>
      </c>
      <c r="D2" s="240"/>
      <c r="E2" s="240"/>
      <c r="F2" s="240"/>
      <c r="G2" s="249"/>
      <c r="H2" s="250" t="s">
        <v>106</v>
      </c>
      <c r="I2" s="240"/>
      <c r="J2" s="240"/>
      <c r="K2" s="240"/>
      <c r="L2" s="240"/>
      <c r="O2" s="5"/>
      <c r="S2" s="240" t="s">
        <v>105</v>
      </c>
      <c r="T2" s="240"/>
      <c r="U2" s="240"/>
      <c r="V2" s="240"/>
      <c r="W2" s="240"/>
      <c r="X2" s="240"/>
      <c r="Y2" s="240"/>
      <c r="Z2" s="240"/>
      <c r="AA2" s="240" t="s">
        <v>106</v>
      </c>
      <c r="AB2" s="240"/>
      <c r="AC2" s="240"/>
      <c r="AE2" s="85" t="s">
        <v>107</v>
      </c>
    </row>
    <row r="3" spans="1:31" ht="10" customHeight="1" x14ac:dyDescent="0.2">
      <c r="O3" s="5"/>
    </row>
    <row r="4" spans="1:31" ht="16" customHeight="1" x14ac:dyDescent="0.2">
      <c r="A4" s="86"/>
      <c r="B4" s="60"/>
      <c r="C4" s="246" t="s">
        <v>108</v>
      </c>
      <c r="D4" s="246"/>
      <c r="E4" s="246"/>
      <c r="F4" s="246"/>
      <c r="G4" s="246"/>
      <c r="H4" s="246"/>
      <c r="I4" s="246"/>
      <c r="J4" s="246"/>
      <c r="K4" s="246"/>
      <c r="L4" s="246"/>
      <c r="O4" s="5"/>
      <c r="S4" s="247" t="s">
        <v>108</v>
      </c>
      <c r="T4" s="248"/>
      <c r="U4" s="248"/>
      <c r="V4" s="248"/>
      <c r="W4" s="248"/>
      <c r="X4" s="248"/>
      <c r="Y4" s="248"/>
      <c r="Z4" s="248"/>
      <c r="AA4" s="248"/>
      <c r="AB4" s="248"/>
      <c r="AC4" s="248"/>
      <c r="AE4" s="87"/>
    </row>
    <row r="5" spans="1:31" x14ac:dyDescent="0.2">
      <c r="B5" s="16" t="s">
        <v>109</v>
      </c>
      <c r="C5" s="12">
        <f>Statement!M3</f>
        <v>2021</v>
      </c>
      <c r="D5" s="12">
        <f>Statement!N3</f>
        <v>2022</v>
      </c>
      <c r="E5" s="12">
        <f>Statement!O3</f>
        <v>2023</v>
      </c>
      <c r="F5" s="12">
        <f>Statement!P3</f>
        <v>2024</v>
      </c>
      <c r="G5" s="12">
        <f>Statement!Q3</f>
        <v>2025</v>
      </c>
      <c r="H5" s="12">
        <f>G5+1</f>
        <v>2026</v>
      </c>
      <c r="I5" s="12">
        <f t="shared" ref="I5:L5" si="0">H5+1</f>
        <v>2027</v>
      </c>
      <c r="J5" s="12">
        <f t="shared" si="0"/>
        <v>2028</v>
      </c>
      <c r="K5" s="12">
        <f t="shared" si="0"/>
        <v>2029</v>
      </c>
      <c r="L5" s="12">
        <f t="shared" si="0"/>
        <v>2030</v>
      </c>
      <c r="O5" s="5"/>
      <c r="R5" s="16" t="str">
        <f>B5</f>
        <v>Revenues (thousand)</v>
      </c>
      <c r="S5" s="12" t="str">
        <f>Statement!T3</f>
        <v>Q4 2024</v>
      </c>
      <c r="T5" s="12" t="str">
        <f>Statement!U3</f>
        <v>Q1 2025</v>
      </c>
      <c r="U5" s="12" t="str">
        <f>Statement!V3</f>
        <v>Q2 2025</v>
      </c>
      <c r="V5" s="12" t="str">
        <f>Statement!W3</f>
        <v>Q3 2025</v>
      </c>
      <c r="W5" s="12" t="str">
        <f>Statement!X3</f>
        <v>Q4 2025</v>
      </c>
      <c r="X5" s="12" t="str">
        <f>Statement!Y3</f>
        <v>Q1 2026</v>
      </c>
      <c r="Y5" s="12" t="str">
        <f>Statement!Z3</f>
        <v>Q2 2026</v>
      </c>
      <c r="Z5" s="12" t="str">
        <f>Statement!AA3</f>
        <v>Q3 2026</v>
      </c>
      <c r="AA5" s="12" t="s">
        <v>110</v>
      </c>
      <c r="AB5" s="12" t="s">
        <v>111</v>
      </c>
      <c r="AC5" s="12" t="s">
        <v>112</v>
      </c>
      <c r="AE5" s="8" t="s">
        <v>110</v>
      </c>
    </row>
    <row r="6" spans="1:31" x14ac:dyDescent="0.2">
      <c r="B6" s="219" t="str">
        <f>Statement!B190</f>
        <v>Handset</v>
      </c>
      <c r="C6" s="88">
        <f>Statement!M190</f>
        <v>16830</v>
      </c>
      <c r="D6" s="88">
        <f>Statement!N190</f>
        <v>25027</v>
      </c>
      <c r="E6" s="88">
        <f>Statement!O190</f>
        <v>22570</v>
      </c>
      <c r="F6" s="88">
        <f>Statement!P190</f>
        <v>24863</v>
      </c>
      <c r="G6" s="89">
        <f>Statement!Q190</f>
        <v>27793</v>
      </c>
      <c r="H6" s="64">
        <f t="shared" ref="H6:L7" si="1">G6+G6*H16</f>
        <v>23624.05</v>
      </c>
      <c r="I6" s="64">
        <f t="shared" si="1"/>
        <v>17718.037499999999</v>
      </c>
      <c r="J6" s="64">
        <f t="shared" si="1"/>
        <v>19312.660874999998</v>
      </c>
      <c r="K6" s="64">
        <f t="shared" si="1"/>
        <v>21243.926962499998</v>
      </c>
      <c r="L6" s="64">
        <f t="shared" si="1"/>
        <v>24430.516006874997</v>
      </c>
      <c r="N6" s="90" t="s">
        <v>385</v>
      </c>
      <c r="O6" s="5"/>
      <c r="Q6" s="90" t="s">
        <v>385</v>
      </c>
      <c r="R6" s="219" t="str">
        <f>B6</f>
        <v>Handset</v>
      </c>
      <c r="S6" s="88">
        <f>Statement!T190</f>
        <v>6096</v>
      </c>
      <c r="T6" s="88">
        <f>Statement!U190</f>
        <v>7574</v>
      </c>
      <c r="U6" s="88">
        <f>Statement!V190</f>
        <v>6929</v>
      </c>
      <c r="V6" s="88">
        <f>Statement!W190</f>
        <v>6328</v>
      </c>
      <c r="W6" s="88">
        <f>Statement!X190</f>
        <v>6961</v>
      </c>
      <c r="X6" s="88">
        <f>Statement!Y190</f>
        <v>7824</v>
      </c>
      <c r="Y6" s="88">
        <f>Statement!Z190</f>
        <v>6024</v>
      </c>
      <c r="Z6" s="89">
        <f>Statement!AA190</f>
        <v>5086</v>
      </c>
      <c r="AA6" s="64">
        <f>Z6+Z6*AA16</f>
        <v>4068.8</v>
      </c>
      <c r="AB6" s="64"/>
      <c r="AC6" s="64"/>
      <c r="AE6" s="64">
        <f>SUM(X6:AA6)</f>
        <v>23002.799999999999</v>
      </c>
    </row>
    <row r="7" spans="1:31" x14ac:dyDescent="0.2">
      <c r="B7" s="219" t="str">
        <f>Statement!B191</f>
        <v>Automotive</v>
      </c>
      <c r="C7" s="88">
        <f>Statement!M191</f>
        <v>975</v>
      </c>
      <c r="D7" s="88">
        <f>Statement!N191</f>
        <v>1372</v>
      </c>
      <c r="E7" s="88">
        <f>Statement!O191</f>
        <v>1872</v>
      </c>
      <c r="F7" s="88">
        <f>Statement!P191</f>
        <v>2910</v>
      </c>
      <c r="G7" s="89">
        <f>Statement!Q191</f>
        <v>3957</v>
      </c>
      <c r="H7" s="64">
        <f t="shared" si="1"/>
        <v>6331.2</v>
      </c>
      <c r="I7" s="64">
        <f t="shared" si="1"/>
        <v>6964.32</v>
      </c>
      <c r="J7" s="64">
        <f t="shared" si="1"/>
        <v>8357.1839999999993</v>
      </c>
      <c r="K7" s="64">
        <f t="shared" si="1"/>
        <v>11282.198399999999</v>
      </c>
      <c r="L7" s="64">
        <f t="shared" si="1"/>
        <v>14666.857919999999</v>
      </c>
      <c r="N7" s="90" t="s">
        <v>386</v>
      </c>
      <c r="O7" s="5"/>
      <c r="Q7" s="90" t="s">
        <v>386</v>
      </c>
      <c r="R7" s="219" t="str">
        <f t="shared" ref="R7:R11" si="2">B7</f>
        <v>Automotive</v>
      </c>
      <c r="S7" s="88">
        <f>Statement!T191</f>
        <v>899</v>
      </c>
      <c r="T7" s="88">
        <f>Statement!U191</f>
        <v>961</v>
      </c>
      <c r="U7" s="88">
        <f>Statement!V191</f>
        <v>959</v>
      </c>
      <c r="V7" s="88">
        <f>Statement!W191</f>
        <v>984</v>
      </c>
      <c r="W7" s="88">
        <f>Statement!X191</f>
        <v>1053</v>
      </c>
      <c r="X7" s="88">
        <f>Statement!Y191</f>
        <v>1101</v>
      </c>
      <c r="Y7" s="88">
        <f>Statement!Z191</f>
        <v>1326</v>
      </c>
      <c r="Z7" s="89">
        <f>Statement!AA191</f>
        <v>1588</v>
      </c>
      <c r="AA7" s="64">
        <f>Z7+Z7*AA17</f>
        <v>2223.1999999999998</v>
      </c>
      <c r="AB7" s="64"/>
      <c r="AC7" s="64"/>
      <c r="AE7" s="64">
        <f t="shared" ref="AE7:AE11" si="3">SUM(X7:AA7)</f>
        <v>6238.2</v>
      </c>
    </row>
    <row r="8" spans="1:31" x14ac:dyDescent="0.2">
      <c r="B8" s="219" t="str">
        <f>Statement!B192</f>
        <v>IoT</v>
      </c>
      <c r="C8" s="88">
        <f>Statement!M192</f>
        <v>5056</v>
      </c>
      <c r="D8" s="88">
        <f>Statement!N192</f>
        <v>6948</v>
      </c>
      <c r="E8" s="88">
        <f>Statement!O192</f>
        <v>5940</v>
      </c>
      <c r="F8" s="88">
        <f>Statement!P192</f>
        <v>5423</v>
      </c>
      <c r="G8" s="89">
        <f>Statement!Q192</f>
        <v>6617</v>
      </c>
      <c r="H8" s="64">
        <f>G8+G8*H18</f>
        <v>7014.02</v>
      </c>
      <c r="I8" s="64">
        <f>H8+H8*I18</f>
        <v>7505.0014000000001</v>
      </c>
      <c r="J8" s="64">
        <f t="shared" ref="J8:L8" si="4">I8+I8*J18</f>
        <v>8030.351498</v>
      </c>
      <c r="K8" s="64">
        <f t="shared" si="4"/>
        <v>8592.4761028600005</v>
      </c>
      <c r="L8" s="64">
        <f t="shared" si="4"/>
        <v>9193.9494300602</v>
      </c>
      <c r="N8" s="90" t="s">
        <v>387</v>
      </c>
      <c r="O8" s="5"/>
      <c r="Q8" s="90" t="s">
        <v>387</v>
      </c>
      <c r="R8" s="219" t="str">
        <f t="shared" si="2"/>
        <v>IoT</v>
      </c>
      <c r="S8" s="88">
        <f>Statement!T192</f>
        <v>1683</v>
      </c>
      <c r="T8" s="88">
        <f>Statement!U192</f>
        <v>1549</v>
      </c>
      <c r="U8" s="88">
        <f>Statement!V192</f>
        <v>1581</v>
      </c>
      <c r="V8" s="88">
        <f>Statement!W192</f>
        <v>1681</v>
      </c>
      <c r="W8" s="88">
        <f>Statement!X192</f>
        <v>1807</v>
      </c>
      <c r="X8" s="88">
        <f>Statement!Y192</f>
        <v>1688</v>
      </c>
      <c r="Y8" s="88">
        <f>Statement!Z192</f>
        <v>1726</v>
      </c>
      <c r="Z8" s="89">
        <f>Statement!AA192</f>
        <v>1830</v>
      </c>
      <c r="AA8" s="64">
        <f>Z8+Z8*AA18</f>
        <v>2104.5</v>
      </c>
      <c r="AB8" s="64"/>
      <c r="AC8" s="64"/>
      <c r="AE8" s="64">
        <f t="shared" si="3"/>
        <v>7348.5</v>
      </c>
    </row>
    <row r="9" spans="1:31" x14ac:dyDescent="0.2">
      <c r="B9" s="219" t="s">
        <v>417</v>
      </c>
      <c r="C9" s="88"/>
      <c r="D9" s="88"/>
      <c r="E9" s="88"/>
      <c r="F9" s="88"/>
      <c r="G9" s="89"/>
      <c r="H9" s="64">
        <f>G9+G9*H19</f>
        <v>0</v>
      </c>
      <c r="I9" s="64">
        <v>5000</v>
      </c>
      <c r="J9" s="64">
        <f t="shared" ref="J9:L9" si="5">I9+I9*J19</f>
        <v>7000</v>
      </c>
      <c r="K9" s="64">
        <f t="shared" si="5"/>
        <v>14000</v>
      </c>
      <c r="L9" s="64">
        <f t="shared" si="5"/>
        <v>18200</v>
      </c>
      <c r="N9" s="90" t="s">
        <v>418</v>
      </c>
      <c r="O9" s="5"/>
      <c r="Q9" s="90" t="s">
        <v>418</v>
      </c>
      <c r="R9" s="219" t="s">
        <v>417</v>
      </c>
      <c r="S9" s="88"/>
      <c r="T9" s="88"/>
      <c r="U9" s="88"/>
      <c r="V9" s="88"/>
      <c r="W9" s="88"/>
      <c r="X9" s="88"/>
      <c r="Y9" s="88"/>
      <c r="Z9" s="89"/>
      <c r="AA9" s="64">
        <f>Z9+Z9*AA19</f>
        <v>0</v>
      </c>
      <c r="AB9" s="64"/>
      <c r="AC9" s="64"/>
      <c r="AE9" s="64">
        <f t="shared" si="3"/>
        <v>0</v>
      </c>
    </row>
    <row r="10" spans="1:31" x14ac:dyDescent="0.2">
      <c r="B10" s="1" t="str">
        <f>Statement!B193</f>
        <v>QCT</v>
      </c>
      <c r="C10" s="88">
        <f>Statement!M193</f>
        <v>27019</v>
      </c>
      <c r="D10" s="88">
        <f>Statement!N193</f>
        <v>37677</v>
      </c>
      <c r="E10" s="88">
        <f>Statement!O193</f>
        <v>30382</v>
      </c>
      <c r="F10" s="88">
        <f>Statement!P193</f>
        <v>33196</v>
      </c>
      <c r="G10" s="89">
        <f>Statement!Q193</f>
        <v>38367</v>
      </c>
      <c r="H10" s="64">
        <f>SUM(H6:H9)</f>
        <v>36969.270000000004</v>
      </c>
      <c r="I10" s="64">
        <f t="shared" ref="I10:L10" si="6">SUM(I6:I9)</f>
        <v>37187.358899999999</v>
      </c>
      <c r="J10" s="64">
        <f t="shared" si="6"/>
        <v>42700.196372999999</v>
      </c>
      <c r="K10" s="64">
        <f t="shared" si="6"/>
        <v>55118.60146536</v>
      </c>
      <c r="L10" s="64">
        <f t="shared" si="6"/>
        <v>66491.323356935201</v>
      </c>
      <c r="N10" s="90"/>
      <c r="O10" s="5"/>
      <c r="Q10" s="90"/>
      <c r="R10" s="1" t="str">
        <f t="shared" si="2"/>
        <v>QCT</v>
      </c>
      <c r="S10" s="88">
        <f>Statement!T193</f>
        <v>8678</v>
      </c>
      <c r="T10" s="88">
        <f>Statement!U193</f>
        <v>10084</v>
      </c>
      <c r="U10" s="88">
        <f>Statement!V193</f>
        <v>9469</v>
      </c>
      <c r="V10" s="88">
        <f>Statement!W193</f>
        <v>8993</v>
      </c>
      <c r="W10" s="88">
        <f>Statement!X193</f>
        <v>9821</v>
      </c>
      <c r="X10" s="88">
        <f>Statement!Y193</f>
        <v>10613</v>
      </c>
      <c r="Y10" s="88">
        <f>Statement!Z193</f>
        <v>9076</v>
      </c>
      <c r="Z10" s="89">
        <f>Statement!AA193</f>
        <v>8504</v>
      </c>
      <c r="AA10" s="64">
        <f>SUM(AA6:AA9)</f>
        <v>8396.5</v>
      </c>
      <c r="AB10" s="64"/>
      <c r="AC10" s="64"/>
      <c r="AE10" s="64">
        <f t="shared" si="3"/>
        <v>36589.5</v>
      </c>
    </row>
    <row r="11" spans="1:31" x14ac:dyDescent="0.2">
      <c r="B11" s="1" t="str">
        <f>Statement!B194</f>
        <v>QTL</v>
      </c>
      <c r="C11" s="88">
        <f>Statement!M194</f>
        <v>6320</v>
      </c>
      <c r="D11" s="88">
        <f>Statement!N194</f>
        <v>6358</v>
      </c>
      <c r="E11" s="88">
        <f>Statement!O194</f>
        <v>5306</v>
      </c>
      <c r="F11" s="88">
        <f>Statement!P194</f>
        <v>5572</v>
      </c>
      <c r="G11" s="89">
        <f>Statement!Q194</f>
        <v>5582</v>
      </c>
      <c r="H11" s="64">
        <f>G11+G11*H21</f>
        <v>5247.08</v>
      </c>
      <c r="I11" s="64">
        <f t="shared" ref="I11:L11" si="7">H11+H11*I21</f>
        <v>5089.6675999999998</v>
      </c>
      <c r="J11" s="64">
        <f t="shared" si="7"/>
        <v>5191.4609519999995</v>
      </c>
      <c r="K11" s="64">
        <f t="shared" si="7"/>
        <v>5347.2047805599996</v>
      </c>
      <c r="L11" s="64">
        <f t="shared" si="7"/>
        <v>5507.6209239767995</v>
      </c>
      <c r="N11" s="90" t="s">
        <v>388</v>
      </c>
      <c r="O11" s="5"/>
      <c r="Q11" s="90" t="s">
        <v>388</v>
      </c>
      <c r="R11" s="1" t="str">
        <f t="shared" si="2"/>
        <v>QTL</v>
      </c>
      <c r="S11" s="88">
        <f>Statement!T194</f>
        <v>1015</v>
      </c>
      <c r="T11" s="88">
        <f>Statement!U194</f>
        <v>1535</v>
      </c>
      <c r="U11" s="88">
        <f>Statement!V194</f>
        <v>1319</v>
      </c>
      <c r="V11" s="88">
        <f>Statement!W194</f>
        <v>1318</v>
      </c>
      <c r="W11" s="88">
        <f>Statement!X194</f>
        <v>1409</v>
      </c>
      <c r="X11" s="88">
        <f>Statement!Y194</f>
        <v>1592</v>
      </c>
      <c r="Y11" s="88">
        <f>Statement!Z194</f>
        <v>1382</v>
      </c>
      <c r="Z11" s="89">
        <f>Statement!AA194</f>
        <v>1278</v>
      </c>
      <c r="AA11" s="64">
        <f>Z11+Z11*AA21</f>
        <v>1303.56</v>
      </c>
      <c r="AB11" s="64"/>
      <c r="AC11" s="64"/>
      <c r="AE11" s="64">
        <f t="shared" si="3"/>
        <v>5555.5599999999995</v>
      </c>
    </row>
    <row r="12" spans="1:31" x14ac:dyDescent="0.2">
      <c r="B12" s="16" t="s">
        <v>113</v>
      </c>
      <c r="C12" s="92">
        <f>Statement!M5</f>
        <v>33566</v>
      </c>
      <c r="D12" s="92">
        <f>Statement!N5</f>
        <v>44200</v>
      </c>
      <c r="E12" s="92">
        <f>Statement!O5</f>
        <v>35820</v>
      </c>
      <c r="F12" s="92">
        <f>Statement!P5</f>
        <v>38962</v>
      </c>
      <c r="G12" s="93">
        <f>Statement!Q5</f>
        <v>44284</v>
      </c>
      <c r="H12" s="94">
        <f>H10+H11</f>
        <v>42216.350000000006</v>
      </c>
      <c r="I12" s="94">
        <f t="shared" ref="I12:L12" si="8">I10+I11</f>
        <v>42277.0265</v>
      </c>
      <c r="J12" s="94">
        <f t="shared" si="8"/>
        <v>47891.657325</v>
      </c>
      <c r="K12" s="94">
        <f t="shared" si="8"/>
        <v>60465.806245920001</v>
      </c>
      <c r="L12" s="94">
        <f t="shared" si="8"/>
        <v>71998.944280911994</v>
      </c>
      <c r="O12" s="5"/>
      <c r="R12" s="16" t="s">
        <v>113</v>
      </c>
      <c r="S12" s="92">
        <f>Statement!T5</f>
        <v>10244</v>
      </c>
      <c r="T12" s="92">
        <f>Statement!U5</f>
        <v>11669</v>
      </c>
      <c r="U12" s="92">
        <f>Statement!V5</f>
        <v>10979</v>
      </c>
      <c r="V12" s="92">
        <f>Statement!W5</f>
        <v>10465</v>
      </c>
      <c r="W12" s="92">
        <f>Statement!X5</f>
        <v>11270</v>
      </c>
      <c r="X12" s="92">
        <f>Statement!Y5</f>
        <v>12252</v>
      </c>
      <c r="Y12" s="92">
        <f>Statement!Z5</f>
        <v>10599</v>
      </c>
      <c r="Z12" s="93">
        <f>Statement!AA5</f>
        <v>9947</v>
      </c>
      <c r="AA12" s="94">
        <f>AA10+AA11</f>
        <v>9700.06</v>
      </c>
      <c r="AB12" s="94"/>
      <c r="AC12" s="94"/>
      <c r="AE12" s="94">
        <f>SUM(X12:AA12)</f>
        <v>42498.06</v>
      </c>
    </row>
    <row r="13" spans="1:31" x14ac:dyDescent="0.2">
      <c r="O13" s="5"/>
      <c r="Q13" s="91"/>
    </row>
    <row r="14" spans="1:31" x14ac:dyDescent="0.2">
      <c r="C14" s="246" t="s">
        <v>114</v>
      </c>
      <c r="D14" s="246"/>
      <c r="E14" s="246"/>
      <c r="F14" s="246"/>
      <c r="G14" s="246"/>
      <c r="H14" s="246"/>
      <c r="I14" s="246"/>
      <c r="J14" s="246"/>
      <c r="K14" s="246"/>
      <c r="L14" s="246"/>
      <c r="O14" s="5"/>
      <c r="Q14" s="91"/>
      <c r="S14" s="247" t="s">
        <v>114</v>
      </c>
      <c r="T14" s="248"/>
      <c r="U14" s="248"/>
      <c r="V14" s="248"/>
      <c r="W14" s="248"/>
      <c r="X14" s="248"/>
      <c r="Y14" s="248"/>
      <c r="Z14" s="248"/>
      <c r="AA14" s="248"/>
      <c r="AB14" s="248"/>
      <c r="AC14" s="248"/>
    </row>
    <row r="15" spans="1:31" x14ac:dyDescent="0.2">
      <c r="B15" s="16" t="s">
        <v>115</v>
      </c>
      <c r="C15" s="12">
        <f t="shared" ref="C15:L15" si="9">C5</f>
        <v>2021</v>
      </c>
      <c r="D15" s="12">
        <f t="shared" si="9"/>
        <v>2022</v>
      </c>
      <c r="E15" s="12">
        <f t="shared" si="9"/>
        <v>2023</v>
      </c>
      <c r="F15" s="12">
        <f t="shared" si="9"/>
        <v>2024</v>
      </c>
      <c r="G15" s="12">
        <f t="shared" si="9"/>
        <v>2025</v>
      </c>
      <c r="H15" s="12">
        <f t="shared" si="9"/>
        <v>2026</v>
      </c>
      <c r="I15" s="12">
        <f t="shared" si="9"/>
        <v>2027</v>
      </c>
      <c r="J15" s="12">
        <f t="shared" si="9"/>
        <v>2028</v>
      </c>
      <c r="K15" s="12">
        <f t="shared" si="9"/>
        <v>2029</v>
      </c>
      <c r="L15" s="12">
        <f t="shared" si="9"/>
        <v>2030</v>
      </c>
      <c r="O15" s="5"/>
      <c r="Q15" s="91"/>
      <c r="R15" s="16" t="s">
        <v>115</v>
      </c>
      <c r="S15" s="12" t="str">
        <f t="shared" ref="S15:AC15" si="10">S5</f>
        <v>Q4 2024</v>
      </c>
      <c r="T15" s="12" t="str">
        <f t="shared" si="10"/>
        <v>Q1 2025</v>
      </c>
      <c r="U15" s="12" t="str">
        <f t="shared" si="10"/>
        <v>Q2 2025</v>
      </c>
      <c r="V15" s="12" t="str">
        <f t="shared" si="10"/>
        <v>Q3 2025</v>
      </c>
      <c r="W15" s="12" t="str">
        <f t="shared" si="10"/>
        <v>Q4 2025</v>
      </c>
      <c r="X15" s="12" t="str">
        <f t="shared" si="10"/>
        <v>Q1 2026</v>
      </c>
      <c r="Y15" s="12" t="str">
        <f t="shared" si="10"/>
        <v>Q2 2026</v>
      </c>
      <c r="Z15" s="12" t="str">
        <f t="shared" si="10"/>
        <v>Q3 2026</v>
      </c>
      <c r="AA15" s="12" t="str">
        <f t="shared" si="10"/>
        <v>FQ1</v>
      </c>
      <c r="AB15" s="12" t="str">
        <f t="shared" si="10"/>
        <v>FQ2</v>
      </c>
      <c r="AC15" s="12" t="str">
        <f t="shared" si="10"/>
        <v>FQ3</v>
      </c>
    </row>
    <row r="16" spans="1:31" x14ac:dyDescent="0.2">
      <c r="B16" s="219" t="str">
        <f>B6</f>
        <v>Handset</v>
      </c>
      <c r="C16" s="47"/>
      <c r="D16" s="95">
        <f t="shared" ref="D16:G16" si="11">D6/C6-1</f>
        <v>0.48704693998811655</v>
      </c>
      <c r="E16" s="95">
        <f t="shared" si="11"/>
        <v>-9.8173972110121022E-2</v>
      </c>
      <c r="F16" s="95">
        <f t="shared" si="11"/>
        <v>0.1015950376606114</v>
      </c>
      <c r="G16" s="96">
        <f t="shared" si="11"/>
        <v>0.11784579495636094</v>
      </c>
      <c r="H16" s="97">
        <v>-0.15</v>
      </c>
      <c r="I16" s="144">
        <v>-0.25</v>
      </c>
      <c r="J16" s="144">
        <v>0.09</v>
      </c>
      <c r="K16" s="144">
        <v>0.1</v>
      </c>
      <c r="L16" s="144">
        <v>0.15</v>
      </c>
      <c r="O16" s="5"/>
      <c r="Q16" s="91"/>
      <c r="R16" s="219" t="str">
        <f>R6</f>
        <v>Handset</v>
      </c>
      <c r="S16" s="47"/>
      <c r="T16" s="95">
        <f t="shared" ref="T16:Z18" si="12">T6/S6-1</f>
        <v>0.24245406824146976</v>
      </c>
      <c r="U16" s="95">
        <f t="shared" si="12"/>
        <v>-8.5159757063638764E-2</v>
      </c>
      <c r="V16" s="95">
        <f t="shared" si="12"/>
        <v>-8.673690287198732E-2</v>
      </c>
      <c r="W16" s="95">
        <f t="shared" si="12"/>
        <v>0.10003160556257895</v>
      </c>
      <c r="X16" s="95">
        <f t="shared" si="12"/>
        <v>0.12397644016664278</v>
      </c>
      <c r="Y16" s="95">
        <f t="shared" si="12"/>
        <v>-0.23006134969325154</v>
      </c>
      <c r="Z16" s="96">
        <f t="shared" si="12"/>
        <v>-0.15571049136786186</v>
      </c>
      <c r="AA16" s="97">
        <v>-0.2</v>
      </c>
      <c r="AB16" s="95"/>
      <c r="AC16" s="95"/>
    </row>
    <row r="17" spans="2:29" x14ac:dyDescent="0.2">
      <c r="B17" s="219" t="str">
        <f>B7</f>
        <v>Automotive</v>
      </c>
      <c r="C17" s="47"/>
      <c r="D17" s="95">
        <f t="shared" ref="D17:G17" si="13">D7/C7-1</f>
        <v>0.40717948717948715</v>
      </c>
      <c r="E17" s="95">
        <f t="shared" si="13"/>
        <v>0.36443148688046656</v>
      </c>
      <c r="F17" s="95">
        <f t="shared" si="13"/>
        <v>0.55448717948717952</v>
      </c>
      <c r="G17" s="96">
        <f t="shared" si="13"/>
        <v>0.35979381443298974</v>
      </c>
      <c r="H17" s="97">
        <v>0.6</v>
      </c>
      <c r="I17" s="144">
        <v>0.1</v>
      </c>
      <c r="J17" s="144">
        <v>0.2</v>
      </c>
      <c r="K17" s="144">
        <v>0.35</v>
      </c>
      <c r="L17" s="144">
        <v>0.3</v>
      </c>
      <c r="O17" s="5"/>
      <c r="Q17" s="91"/>
      <c r="R17" s="219" t="str">
        <f>R7</f>
        <v>Automotive</v>
      </c>
      <c r="S17" s="47"/>
      <c r="T17" s="95">
        <f t="shared" si="12"/>
        <v>6.8965517241379226E-2</v>
      </c>
      <c r="U17" s="95">
        <f t="shared" si="12"/>
        <v>-2.0811654526534662E-3</v>
      </c>
      <c r="V17" s="95">
        <f t="shared" si="12"/>
        <v>2.6068821689259725E-2</v>
      </c>
      <c r="W17" s="95">
        <f t="shared" si="12"/>
        <v>7.0121951219512146E-2</v>
      </c>
      <c r="X17" s="95">
        <f t="shared" si="12"/>
        <v>4.5584045584045496E-2</v>
      </c>
      <c r="Y17" s="95">
        <f t="shared" si="12"/>
        <v>0.20435967302452318</v>
      </c>
      <c r="Z17" s="96">
        <f t="shared" si="12"/>
        <v>0.19758672699849167</v>
      </c>
      <c r="AA17" s="97">
        <v>0.4</v>
      </c>
      <c r="AB17" s="95"/>
      <c r="AC17" s="95"/>
    </row>
    <row r="18" spans="2:29" x14ac:dyDescent="0.2">
      <c r="B18" s="219" t="str">
        <f>B8</f>
        <v>IoT</v>
      </c>
      <c r="C18" s="47"/>
      <c r="D18" s="95">
        <f>D8/C8-1</f>
        <v>0.37420886075949378</v>
      </c>
      <c r="E18" s="95">
        <f>E8/D8-1</f>
        <v>-0.14507772020725385</v>
      </c>
      <c r="F18" s="95">
        <f>F8/E8-1</f>
        <v>-8.7037037037037024E-2</v>
      </c>
      <c r="G18" s="96">
        <f>G8/F8-1</f>
        <v>0.22017333579199705</v>
      </c>
      <c r="H18" s="97">
        <v>0.06</v>
      </c>
      <c r="I18" s="144">
        <v>7.0000000000000007E-2</v>
      </c>
      <c r="J18" s="144">
        <v>7.0000000000000007E-2</v>
      </c>
      <c r="K18" s="144">
        <v>7.0000000000000007E-2</v>
      </c>
      <c r="L18" s="144">
        <v>7.0000000000000007E-2</v>
      </c>
      <c r="O18" s="5"/>
      <c r="Q18" s="91"/>
      <c r="R18" s="219" t="str">
        <f>R8</f>
        <v>IoT</v>
      </c>
      <c r="S18" s="47"/>
      <c r="T18" s="95">
        <f t="shared" si="12"/>
        <v>-7.9619726678550218E-2</v>
      </c>
      <c r="U18" s="95">
        <f t="shared" si="12"/>
        <v>2.0658489347966436E-2</v>
      </c>
      <c r="V18" s="95">
        <f t="shared" si="12"/>
        <v>6.3251106894370634E-2</v>
      </c>
      <c r="W18" s="95">
        <f t="shared" si="12"/>
        <v>7.4955383700178402E-2</v>
      </c>
      <c r="X18" s="95">
        <f t="shared" si="12"/>
        <v>-6.585500830105151E-2</v>
      </c>
      <c r="Y18" s="95">
        <f t="shared" si="12"/>
        <v>2.2511848341232321E-2</v>
      </c>
      <c r="Z18" s="96">
        <f t="shared" si="12"/>
        <v>6.0254924681344191E-2</v>
      </c>
      <c r="AA18" s="97">
        <v>0.15</v>
      </c>
      <c r="AB18" s="95"/>
      <c r="AC18" s="95"/>
    </row>
    <row r="19" spans="2:29" x14ac:dyDescent="0.2">
      <c r="B19" s="219" t="s">
        <v>417</v>
      </c>
      <c r="C19" s="47"/>
      <c r="D19" s="95"/>
      <c r="E19" s="95"/>
      <c r="F19" s="95"/>
      <c r="G19" s="96"/>
      <c r="H19" s="97">
        <v>0</v>
      </c>
      <c r="I19" s="144">
        <v>0</v>
      </c>
      <c r="J19" s="144">
        <v>0.4</v>
      </c>
      <c r="K19" s="144">
        <v>1</v>
      </c>
      <c r="L19" s="144">
        <v>0.3</v>
      </c>
      <c r="O19" s="5"/>
      <c r="Q19" s="91"/>
      <c r="R19" s="219" t="s">
        <v>417</v>
      </c>
      <c r="S19" s="47"/>
      <c r="T19" s="95"/>
      <c r="U19" s="95"/>
      <c r="V19" s="95"/>
      <c r="W19" s="95"/>
      <c r="X19" s="95"/>
      <c r="Y19" s="95"/>
      <c r="Z19" s="96"/>
      <c r="AA19" s="97">
        <v>0</v>
      </c>
      <c r="AB19" s="95"/>
      <c r="AC19" s="95"/>
    </row>
    <row r="20" spans="2:29" x14ac:dyDescent="0.2">
      <c r="B20" s="1" t="str">
        <f>B10</f>
        <v>QCT</v>
      </c>
      <c r="C20" s="47"/>
      <c r="D20" s="95">
        <f>D10/C10-1</f>
        <v>0.39446315555720046</v>
      </c>
      <c r="E20" s="95">
        <f t="shared" ref="E20:E21" si="14">E10/D10-1</f>
        <v>-0.19361944953154442</v>
      </c>
      <c r="F20" s="95">
        <f t="shared" ref="F20:F21" si="15">F10/E10-1</f>
        <v>9.2620630636561119E-2</v>
      </c>
      <c r="G20" s="96">
        <f t="shared" ref="G20:G21" si="16">G10/F10-1</f>
        <v>0.15577177973249778</v>
      </c>
      <c r="H20" s="95">
        <f>H10/G10-1</f>
        <v>-3.6430526233481753E-2</v>
      </c>
      <c r="I20" s="95">
        <f t="shared" ref="I20:L20" si="17">I10/H10-1</f>
        <v>5.8991941144630466E-3</v>
      </c>
      <c r="J20" s="95">
        <f t="shared" si="17"/>
        <v>0.14824493150547458</v>
      </c>
      <c r="K20" s="95">
        <f t="shared" si="17"/>
        <v>0.2908278215837985</v>
      </c>
      <c r="L20" s="95">
        <f t="shared" si="17"/>
        <v>0.20633182971310582</v>
      </c>
      <c r="O20" s="5"/>
      <c r="Q20" s="91"/>
      <c r="R20" s="1" t="str">
        <f t="shared" ref="R20:R22" si="18">R10</f>
        <v>QCT</v>
      </c>
      <c r="S20" s="47"/>
      <c r="T20" s="95">
        <f>T10/S10-1</f>
        <v>0.16201889836367833</v>
      </c>
      <c r="U20" s="95">
        <f t="shared" ref="U20:Y20" si="19">U10/T10-1</f>
        <v>-6.0987703292344264E-2</v>
      </c>
      <c r="V20" s="95">
        <f t="shared" si="19"/>
        <v>-5.0269299820466795E-2</v>
      </c>
      <c r="W20" s="95">
        <f t="shared" si="19"/>
        <v>9.2071611253196961E-2</v>
      </c>
      <c r="X20" s="95">
        <f t="shared" si="19"/>
        <v>8.0643518989919505E-2</v>
      </c>
      <c r="Y20" s="95">
        <f t="shared" si="19"/>
        <v>-0.14482238763780264</v>
      </c>
      <c r="Z20" s="96">
        <f>Z10/Y10-1</f>
        <v>-6.3023358307624511E-2</v>
      </c>
      <c r="AA20" s="95">
        <v>0.09</v>
      </c>
      <c r="AB20" s="95"/>
      <c r="AC20" s="95"/>
    </row>
    <row r="21" spans="2:29" x14ac:dyDescent="0.2">
      <c r="B21" s="1" t="s">
        <v>380</v>
      </c>
      <c r="C21" s="47"/>
      <c r="D21" s="95">
        <f>D11/C11-1</f>
        <v>6.0126582278481333E-3</v>
      </c>
      <c r="E21" s="95">
        <f t="shared" si="14"/>
        <v>-0.16546083674111356</v>
      </c>
      <c r="F21" s="95">
        <f t="shared" si="15"/>
        <v>5.0131926121371961E-2</v>
      </c>
      <c r="G21" s="96">
        <f t="shared" si="16"/>
        <v>1.7946877243359971E-3</v>
      </c>
      <c r="H21" s="97">
        <v>-0.06</v>
      </c>
      <c r="I21" s="144">
        <v>-0.03</v>
      </c>
      <c r="J21" s="144">
        <v>0.02</v>
      </c>
      <c r="K21" s="144">
        <v>0.03</v>
      </c>
      <c r="L21" s="144">
        <v>0.03</v>
      </c>
      <c r="O21" s="5"/>
      <c r="Q21" s="91"/>
      <c r="R21" s="1" t="str">
        <f t="shared" si="18"/>
        <v>QTL</v>
      </c>
      <c r="S21" s="47"/>
      <c r="T21" s="95">
        <f>T11/S11-1</f>
        <v>0.51231527093596063</v>
      </c>
      <c r="U21" s="95">
        <f t="shared" ref="U21:Z21" si="20">U11/T11-1</f>
        <v>-0.14071661237785016</v>
      </c>
      <c r="V21" s="95">
        <f t="shared" si="20"/>
        <v>-7.5815011372248886E-4</v>
      </c>
      <c r="W21" s="95">
        <f t="shared" si="20"/>
        <v>6.9044006069802766E-2</v>
      </c>
      <c r="X21" s="95">
        <f t="shared" si="20"/>
        <v>0.12987934705464865</v>
      </c>
      <c r="Y21" s="95">
        <f t="shared" si="20"/>
        <v>-0.13190954773869346</v>
      </c>
      <c r="Z21" s="96">
        <f t="shared" si="20"/>
        <v>-7.5253256150506487E-2</v>
      </c>
      <c r="AA21" s="97">
        <v>0.02</v>
      </c>
      <c r="AB21" s="95"/>
      <c r="AC21" s="95"/>
    </row>
    <row r="22" spans="2:29" x14ac:dyDescent="0.2">
      <c r="B22" s="16" t="str">
        <f>B12</f>
        <v>Total</v>
      </c>
      <c r="C22" s="47"/>
      <c r="D22" s="103">
        <f t="shared" ref="D22:L22" si="21">D12/C12-1</f>
        <v>0.31680867544539115</v>
      </c>
      <c r="E22" s="103">
        <f t="shared" si="21"/>
        <v>-0.18959276018099547</v>
      </c>
      <c r="F22" s="103">
        <f t="shared" si="21"/>
        <v>8.7716359575656044E-2</v>
      </c>
      <c r="G22" s="104">
        <f t="shared" si="21"/>
        <v>0.13659463066577682</v>
      </c>
      <c r="H22" s="103">
        <f t="shared" si="21"/>
        <v>-4.6690678348839221E-2</v>
      </c>
      <c r="I22" s="103">
        <f t="shared" si="21"/>
        <v>1.4372748946793745E-3</v>
      </c>
      <c r="J22" s="103">
        <f t="shared" si="21"/>
        <v>0.13280571719016243</v>
      </c>
      <c r="K22" s="103">
        <f t="shared" si="21"/>
        <v>0.26255405687027977</v>
      </c>
      <c r="L22" s="103">
        <f t="shared" si="21"/>
        <v>0.19073818329793957</v>
      </c>
      <c r="O22" s="5"/>
      <c r="Q22" s="91"/>
      <c r="R22" s="16" t="str">
        <f t="shared" si="18"/>
        <v>Total</v>
      </c>
      <c r="S22" s="47"/>
      <c r="T22" s="103">
        <f t="shared" ref="T22:AA22" si="22">T12/S12-1</f>
        <v>0.13910581803982813</v>
      </c>
      <c r="U22" s="103">
        <f t="shared" si="22"/>
        <v>-5.9131030936669826E-2</v>
      </c>
      <c r="V22" s="103">
        <f t="shared" si="22"/>
        <v>-4.681664996812096E-2</v>
      </c>
      <c r="W22" s="103">
        <f t="shared" si="22"/>
        <v>7.6923076923076872E-2</v>
      </c>
      <c r="X22" s="103">
        <f t="shared" si="22"/>
        <v>8.7133984028394007E-2</v>
      </c>
      <c r="Y22" s="103">
        <f t="shared" si="22"/>
        <v>-0.13491674828599409</v>
      </c>
      <c r="Z22" s="104">
        <f t="shared" si="22"/>
        <v>-6.1515237286536517E-2</v>
      </c>
      <c r="AA22" s="103">
        <f t="shared" si="22"/>
        <v>-2.4825575550417311E-2</v>
      </c>
      <c r="AB22" s="103"/>
      <c r="AC22" s="103"/>
    </row>
    <row r="23" spans="2:29" x14ac:dyDescent="0.2">
      <c r="O23" s="5"/>
      <c r="Q23" s="91"/>
    </row>
  </sheetData>
  <mergeCells count="8">
    <mergeCell ref="C14:L14"/>
    <mergeCell ref="S14:AC14"/>
    <mergeCell ref="C2:G2"/>
    <mergeCell ref="H2:L2"/>
    <mergeCell ref="S2:Z2"/>
    <mergeCell ref="AA2:AC2"/>
    <mergeCell ref="C4:L4"/>
    <mergeCell ref="S4:AC4"/>
  </mergeCells>
  <pageMargins left="0.7" right="0.7" top="0.75" bottom="0.75" header="0.3" footer="0.3"/>
  <ignoredErrors>
    <ignoredError sqref="AE8" evalError="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DC400-6556-6848-BEEB-E2541EF30223}">
  <dimension ref="A1:AB22"/>
  <sheetViews>
    <sheetView topLeftCell="D9" zoomScale="178" zoomScaleNormal="100" workbookViewId="0">
      <selection activeCell="L19" sqref="L19"/>
    </sheetView>
  </sheetViews>
  <sheetFormatPr baseColWidth="10" defaultRowHeight="16" x14ac:dyDescent="0.2"/>
  <cols>
    <col min="1" max="1" width="2" style="83"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116</v>
      </c>
    </row>
    <row r="2" spans="1:28" x14ac:dyDescent="0.2">
      <c r="A2" s="4"/>
      <c r="C2" s="240" t="s">
        <v>105</v>
      </c>
      <c r="D2" s="240"/>
      <c r="E2" s="240"/>
      <c r="F2" s="240"/>
      <c r="G2" s="249"/>
      <c r="H2" s="250" t="s">
        <v>106</v>
      </c>
      <c r="I2" s="240"/>
      <c r="J2" s="240"/>
      <c r="K2" s="240"/>
      <c r="L2" s="240"/>
      <c r="P2" s="240" t="s">
        <v>105</v>
      </c>
      <c r="Q2" s="240"/>
      <c r="R2" s="240"/>
      <c r="S2" s="240"/>
      <c r="T2" s="240"/>
      <c r="U2" s="240"/>
      <c r="V2" s="240"/>
      <c r="W2" s="240"/>
      <c r="X2" s="240" t="s">
        <v>106</v>
      </c>
      <c r="Y2" s="240"/>
      <c r="Z2" s="240"/>
      <c r="AB2" s="85" t="s">
        <v>107</v>
      </c>
    </row>
    <row r="3" spans="1:28" ht="10" customHeight="1" x14ac:dyDescent="0.2"/>
    <row r="4" spans="1:28" ht="16" customHeight="1" x14ac:dyDescent="0.2">
      <c r="A4" s="86"/>
      <c r="B4" s="60"/>
      <c r="C4" s="246" t="s">
        <v>108</v>
      </c>
      <c r="D4" s="246"/>
      <c r="E4" s="246"/>
      <c r="F4" s="246"/>
      <c r="G4" s="246"/>
      <c r="H4" s="246"/>
      <c r="I4" s="246"/>
      <c r="J4" s="246"/>
      <c r="K4" s="246"/>
      <c r="L4" s="246"/>
      <c r="P4" s="248" t="s">
        <v>108</v>
      </c>
      <c r="Q4" s="248"/>
      <c r="R4" s="248"/>
      <c r="S4" s="248"/>
      <c r="T4" s="248"/>
      <c r="U4" s="248"/>
      <c r="V4" s="248"/>
      <c r="W4" s="248"/>
      <c r="X4" s="248"/>
      <c r="Y4" s="248"/>
      <c r="Z4" s="248"/>
      <c r="AB4" s="87"/>
    </row>
    <row r="5" spans="1:28" x14ac:dyDescent="0.2">
      <c r="B5" s="16" t="str">
        <f>Revenue!B5</f>
        <v>Revenues (thousand)</v>
      </c>
      <c r="C5" s="12">
        <f>Revenue!C5</f>
        <v>2021</v>
      </c>
      <c r="D5" s="12">
        <f>Revenue!D5</f>
        <v>2022</v>
      </c>
      <c r="E5" s="12">
        <f>Revenue!E5</f>
        <v>2023</v>
      </c>
      <c r="F5" s="12">
        <f>Revenue!F5</f>
        <v>2024</v>
      </c>
      <c r="G5" s="12">
        <f>Revenue!G5</f>
        <v>2025</v>
      </c>
      <c r="H5" s="12">
        <f>G5+1</f>
        <v>2026</v>
      </c>
      <c r="I5" s="12">
        <f t="shared" ref="I5:L5" si="0">H5+1</f>
        <v>2027</v>
      </c>
      <c r="J5" s="12">
        <f t="shared" si="0"/>
        <v>2028</v>
      </c>
      <c r="K5" s="12">
        <f t="shared" si="0"/>
        <v>2029</v>
      </c>
      <c r="L5" s="12">
        <f t="shared" si="0"/>
        <v>2030</v>
      </c>
      <c r="O5" s="16" t="s">
        <v>109</v>
      </c>
      <c r="P5" s="12" t="str">
        <f>Revenue!S5</f>
        <v>Q4 2024</v>
      </c>
      <c r="Q5" s="12" t="str">
        <f>Revenue!T5</f>
        <v>Q1 2025</v>
      </c>
      <c r="R5" s="12" t="str">
        <f>Revenue!U5</f>
        <v>Q2 2025</v>
      </c>
      <c r="S5" s="12" t="str">
        <f>Revenue!V5</f>
        <v>Q3 2025</v>
      </c>
      <c r="T5" s="12" t="str">
        <f>Revenue!W5</f>
        <v>Q4 2025</v>
      </c>
      <c r="U5" s="12" t="str">
        <f>Revenue!X5</f>
        <v>Q1 2026</v>
      </c>
      <c r="V5" s="12" t="str">
        <f>Revenue!Y5</f>
        <v>Q2 2026</v>
      </c>
      <c r="W5" s="12" t="str">
        <f>Revenue!Z5</f>
        <v>Q3 2026</v>
      </c>
      <c r="X5" s="12" t="s">
        <v>110</v>
      </c>
      <c r="Y5" s="12" t="s">
        <v>111</v>
      </c>
      <c r="Z5" s="12" t="s">
        <v>112</v>
      </c>
      <c r="AB5" s="87" t="str">
        <f>Revenue!AE5</f>
        <v>FQ1</v>
      </c>
    </row>
    <row r="6" spans="1:28" x14ac:dyDescent="0.2">
      <c r="B6" s="16" t="s">
        <v>19</v>
      </c>
      <c r="C6" s="92">
        <f>Revenue!C12</f>
        <v>33566</v>
      </c>
      <c r="D6" s="92">
        <f>Revenue!D12</f>
        <v>44200</v>
      </c>
      <c r="E6" s="92">
        <f>Revenue!E12</f>
        <v>35820</v>
      </c>
      <c r="F6" s="92">
        <f>Revenue!F12</f>
        <v>38962</v>
      </c>
      <c r="G6" s="93">
        <f>Revenue!G12</f>
        <v>44284</v>
      </c>
      <c r="H6" s="92">
        <f>Revenue!H12</f>
        <v>42216.350000000006</v>
      </c>
      <c r="I6" s="92">
        <f>Revenue!I12</f>
        <v>42277.0265</v>
      </c>
      <c r="J6" s="92">
        <f>Revenue!J12</f>
        <v>47891.657325</v>
      </c>
      <c r="K6" s="92">
        <f>Revenue!K12</f>
        <v>60465.806245920001</v>
      </c>
      <c r="L6" s="92">
        <f>Revenue!L12</f>
        <v>71998.944280911994</v>
      </c>
      <c r="N6" s="91"/>
      <c r="O6" s="16" t="s">
        <v>19</v>
      </c>
      <c r="P6" s="92">
        <f>Revenue!S12</f>
        <v>10244</v>
      </c>
      <c r="Q6" s="92">
        <f>Revenue!T12</f>
        <v>11669</v>
      </c>
      <c r="R6" s="92">
        <f>Revenue!U12</f>
        <v>10979</v>
      </c>
      <c r="S6" s="92">
        <f>Revenue!V12</f>
        <v>10465</v>
      </c>
      <c r="T6" s="92">
        <f>Revenue!W12</f>
        <v>11270</v>
      </c>
      <c r="U6" s="92">
        <f>Revenue!X12</f>
        <v>12252</v>
      </c>
      <c r="V6" s="92">
        <f>Revenue!Y12</f>
        <v>10599</v>
      </c>
      <c r="W6" s="93">
        <f>Revenue!Z12</f>
        <v>9947</v>
      </c>
      <c r="X6" s="92">
        <f>Revenue!AA12</f>
        <v>9700.06</v>
      </c>
      <c r="Y6" s="94"/>
      <c r="Z6" s="94"/>
      <c r="AB6" s="92">
        <f>Revenue!AE12</f>
        <v>42498.06</v>
      </c>
    </row>
    <row r="7" spans="1:28" x14ac:dyDescent="0.2">
      <c r="N7" s="91"/>
    </row>
    <row r="8" spans="1:28" x14ac:dyDescent="0.2">
      <c r="N8" s="91"/>
    </row>
    <row r="9" spans="1:28" x14ac:dyDescent="0.2">
      <c r="C9" s="246" t="s">
        <v>117</v>
      </c>
      <c r="D9" s="246"/>
      <c r="E9" s="246"/>
      <c r="F9" s="246"/>
      <c r="G9" s="246"/>
      <c r="H9" s="246"/>
      <c r="I9" s="246"/>
      <c r="J9" s="246"/>
      <c r="K9" s="246"/>
      <c r="L9" s="246"/>
      <c r="N9" s="91"/>
      <c r="P9" s="248" t="s">
        <v>118</v>
      </c>
      <c r="Q9" s="248"/>
      <c r="R9" s="248"/>
      <c r="S9" s="248"/>
      <c r="T9" s="248"/>
      <c r="U9" s="248"/>
      <c r="V9" s="248"/>
      <c r="W9" s="248"/>
      <c r="X9" s="248"/>
      <c r="Y9" s="248"/>
      <c r="Z9" s="248"/>
      <c r="AB9" s="87">
        <f>AB4</f>
        <v>0</v>
      </c>
    </row>
    <row r="10" spans="1:28" x14ac:dyDescent="0.2">
      <c r="B10" s="16" t="s">
        <v>122</v>
      </c>
      <c r="C10" s="12">
        <f t="shared" ref="C10:L10" si="1">C5</f>
        <v>2021</v>
      </c>
      <c r="D10" s="12">
        <f t="shared" si="1"/>
        <v>2022</v>
      </c>
      <c r="E10" s="12">
        <f t="shared" si="1"/>
        <v>2023</v>
      </c>
      <c r="F10" s="12">
        <f t="shared" si="1"/>
        <v>2024</v>
      </c>
      <c r="G10" s="12">
        <f t="shared" si="1"/>
        <v>2025</v>
      </c>
      <c r="H10" s="12">
        <f t="shared" si="1"/>
        <v>2026</v>
      </c>
      <c r="I10" s="12">
        <f t="shared" si="1"/>
        <v>2027</v>
      </c>
      <c r="J10" s="12">
        <f t="shared" si="1"/>
        <v>2028</v>
      </c>
      <c r="K10" s="12">
        <f t="shared" si="1"/>
        <v>2029</v>
      </c>
      <c r="L10" s="12">
        <f t="shared" si="1"/>
        <v>2030</v>
      </c>
      <c r="N10" s="91"/>
      <c r="O10" s="16" t="s">
        <v>119</v>
      </c>
      <c r="P10" s="12" t="str">
        <f t="shared" ref="P10:Z10" si="2">P5</f>
        <v>Q4 2024</v>
      </c>
      <c r="Q10" s="12" t="str">
        <f t="shared" si="2"/>
        <v>Q1 2025</v>
      </c>
      <c r="R10" s="12" t="str">
        <f t="shared" si="2"/>
        <v>Q2 2025</v>
      </c>
      <c r="S10" s="12" t="str">
        <f t="shared" si="2"/>
        <v>Q3 2025</v>
      </c>
      <c r="T10" s="12" t="str">
        <f t="shared" si="2"/>
        <v>Q4 2025</v>
      </c>
      <c r="U10" s="12" t="str">
        <f t="shared" si="2"/>
        <v>Q1 2026</v>
      </c>
      <c r="V10" s="12" t="str">
        <f t="shared" si="2"/>
        <v>Q2 2026</v>
      </c>
      <c r="W10" s="12" t="str">
        <f t="shared" si="2"/>
        <v>Q3 2026</v>
      </c>
      <c r="X10" s="12" t="str">
        <f t="shared" si="2"/>
        <v>FQ1</v>
      </c>
      <c r="Y10" s="12" t="str">
        <f t="shared" si="2"/>
        <v>FQ2</v>
      </c>
      <c r="Z10" s="12" t="str">
        <f t="shared" si="2"/>
        <v>FQ3</v>
      </c>
      <c r="AB10" s="8" t="str">
        <f>AB5</f>
        <v>FQ1</v>
      </c>
    </row>
    <row r="11" spans="1:28" x14ac:dyDescent="0.2">
      <c r="B11" s="16" t="s">
        <v>20</v>
      </c>
      <c r="C11" s="106">
        <f>Statement!M6</f>
        <v>14262</v>
      </c>
      <c r="D11" s="106">
        <f>Statement!N6</f>
        <v>18653</v>
      </c>
      <c r="E11" s="106">
        <f>Statement!O6</f>
        <v>15869</v>
      </c>
      <c r="F11" s="106">
        <f>Statement!P6</f>
        <v>17060</v>
      </c>
      <c r="G11" s="107">
        <f>Statement!Q6</f>
        <v>19738</v>
      </c>
      <c r="H11" s="108">
        <f>H6*H19</f>
        <v>19841.684500000003</v>
      </c>
      <c r="I11" s="108">
        <f t="shared" ref="I11:L11" si="3">I6*I19</f>
        <v>20715.742985000001</v>
      </c>
      <c r="J11" s="108">
        <f t="shared" si="3"/>
        <v>22987.995515999999</v>
      </c>
      <c r="K11" s="108">
        <f t="shared" si="3"/>
        <v>27814.270873123201</v>
      </c>
      <c r="L11" s="108">
        <f t="shared" si="3"/>
        <v>32399.524926410399</v>
      </c>
      <c r="N11" s="91"/>
      <c r="O11" s="16" t="str">
        <f t="shared" ref="O11:O14" si="4">B11</f>
        <v>COGS</v>
      </c>
      <c r="P11" s="106">
        <f>Statement!T6</f>
        <v>4467</v>
      </c>
      <c r="Q11" s="106">
        <f>Statement!U6</f>
        <v>5161</v>
      </c>
      <c r="R11" s="106">
        <f>Statement!V6</f>
        <v>4937</v>
      </c>
      <c r="S11" s="106">
        <f>Statement!W6</f>
        <v>4606</v>
      </c>
      <c r="T11" s="106">
        <f>Statement!X6</f>
        <v>5033</v>
      </c>
      <c r="U11" s="106">
        <f>Statement!Y6</f>
        <v>5568</v>
      </c>
      <c r="V11" s="106">
        <f>Statement!Z6</f>
        <v>4900</v>
      </c>
      <c r="W11" s="107">
        <f>Statement!AA6</f>
        <v>4670</v>
      </c>
      <c r="X11" s="108">
        <f>X6*X19</f>
        <v>4656.0287999999991</v>
      </c>
      <c r="Y11" s="108"/>
      <c r="Z11" s="108"/>
      <c r="AB11" s="108">
        <f t="shared" ref="AB11:AB14" si="5">SUM(U11:X11)</f>
        <v>19794.0288</v>
      </c>
    </row>
    <row r="12" spans="1:28" x14ac:dyDescent="0.2">
      <c r="B12" s="1" t="str">
        <f>Statement!B8</f>
        <v>R&amp;D</v>
      </c>
      <c r="C12" s="98">
        <f>Statement!M8</f>
        <v>7176</v>
      </c>
      <c r="D12" s="98">
        <f>Statement!N8</f>
        <v>8194</v>
      </c>
      <c r="E12" s="98">
        <f>Statement!O8</f>
        <v>8818</v>
      </c>
      <c r="F12" s="98">
        <f>Statement!P8</f>
        <v>8893</v>
      </c>
      <c r="G12" s="99">
        <f>Statement!Q8</f>
        <v>9042</v>
      </c>
      <c r="H12" s="24">
        <f>H6*H20</f>
        <v>10554.087500000001</v>
      </c>
      <c r="I12" s="24">
        <f>I6*I20</f>
        <v>11837.567420000001</v>
      </c>
      <c r="J12" s="24">
        <f>J6*J20</f>
        <v>11493.997758</v>
      </c>
      <c r="K12" s="24">
        <f>K6*K20</f>
        <v>12093.161249184001</v>
      </c>
      <c r="L12" s="24">
        <f>L6*L20</f>
        <v>13679.799413373279</v>
      </c>
      <c r="N12" s="91"/>
      <c r="O12" s="39" t="str">
        <f t="shared" si="4"/>
        <v>R&amp;D</v>
      </c>
      <c r="P12" s="98">
        <f>Statement!T8</f>
        <v>2302</v>
      </c>
      <c r="Q12" s="98">
        <f>Statement!U8</f>
        <v>2230</v>
      </c>
      <c r="R12" s="98">
        <f>Statement!V8</f>
        <v>2216</v>
      </c>
      <c r="S12" s="98">
        <f>Statement!W8</f>
        <v>2226</v>
      </c>
      <c r="T12" s="98">
        <f>Statement!X8</f>
        <v>2370</v>
      </c>
      <c r="U12" s="98">
        <f>Statement!Y8</f>
        <v>2453</v>
      </c>
      <c r="V12" s="98">
        <f>Statement!Z8</f>
        <v>2463</v>
      </c>
      <c r="W12" s="99">
        <f>Statement!AA8</f>
        <v>2607</v>
      </c>
      <c r="X12" s="25">
        <f>X20*X$6</f>
        <v>2619.0162</v>
      </c>
      <c r="Y12" s="24"/>
      <c r="Z12" s="24"/>
      <c r="AB12" s="24">
        <f t="shared" si="5"/>
        <v>10142.0162</v>
      </c>
    </row>
    <row r="13" spans="1:28" x14ac:dyDescent="0.2">
      <c r="B13" s="1" t="str">
        <f>Statement!B9</f>
        <v>SG&amp;A</v>
      </c>
      <c r="C13" s="98">
        <f>Statement!M9</f>
        <v>2339</v>
      </c>
      <c r="D13" s="98">
        <f>Statement!N9</f>
        <v>2570</v>
      </c>
      <c r="E13" s="98">
        <f>Statement!O9</f>
        <v>2483</v>
      </c>
      <c r="F13" s="98">
        <f>Statement!P9</f>
        <v>2759</v>
      </c>
      <c r="G13" s="99">
        <f>Statement!Q9</f>
        <v>3110</v>
      </c>
      <c r="H13" s="24">
        <f>H6*H21</f>
        <v>3799.4715000000006</v>
      </c>
      <c r="I13" s="24">
        <f>I6*I21</f>
        <v>4650.4729150000003</v>
      </c>
      <c r="J13" s="24">
        <f>J6*J21</f>
        <v>3352.4160127500004</v>
      </c>
      <c r="K13" s="24">
        <f>K6*K21</f>
        <v>4232.6064372144001</v>
      </c>
      <c r="L13" s="24">
        <f>L6*L21</f>
        <v>5039.9260996638404</v>
      </c>
      <c r="M13" s="90"/>
      <c r="N13" s="90"/>
      <c r="O13" s="39" t="str">
        <f t="shared" si="4"/>
        <v>SG&amp;A</v>
      </c>
      <c r="P13" s="98">
        <f>Statement!T9</f>
        <v>762</v>
      </c>
      <c r="Q13" s="98">
        <f>Statement!U9</f>
        <v>723</v>
      </c>
      <c r="R13" s="98">
        <f>Statement!V9</f>
        <v>706</v>
      </c>
      <c r="S13" s="98">
        <f>Statement!W9</f>
        <v>771</v>
      </c>
      <c r="T13" s="98">
        <f>Statement!X9</f>
        <v>910</v>
      </c>
      <c r="U13" s="98">
        <f>Statement!Y9</f>
        <v>865</v>
      </c>
      <c r="V13" s="98">
        <f>Statement!Z9</f>
        <v>898</v>
      </c>
      <c r="W13" s="99">
        <f>Statement!AA9</f>
        <v>976</v>
      </c>
      <c r="X13" s="25">
        <f>X21*X$6</f>
        <v>970.00599999999997</v>
      </c>
      <c r="Y13" s="24"/>
      <c r="Z13" s="24"/>
      <c r="AB13" s="24">
        <f t="shared" si="5"/>
        <v>3709.0059999999999</v>
      </c>
    </row>
    <row r="14" spans="1:28" x14ac:dyDescent="0.2">
      <c r="B14" s="16" t="s">
        <v>23</v>
      </c>
      <c r="C14" s="106">
        <f>Statement!M11</f>
        <v>9515</v>
      </c>
      <c r="D14" s="106">
        <f>Statement!N11</f>
        <v>9705</v>
      </c>
      <c r="E14" s="106">
        <f>Statement!O11</f>
        <v>12163</v>
      </c>
      <c r="F14" s="106">
        <f>Statement!P11</f>
        <v>11831</v>
      </c>
      <c r="G14" s="107">
        <f>Statement!Q11</f>
        <v>12191</v>
      </c>
      <c r="H14" s="108">
        <f>SUM(H12:H13)</f>
        <v>14353.559000000001</v>
      </c>
      <c r="I14" s="108">
        <f>SUM(I12:I13)</f>
        <v>16488.040335000002</v>
      </c>
      <c r="J14" s="108">
        <f>SUM(J12:J13)</f>
        <v>14846.413770749999</v>
      </c>
      <c r="K14" s="108">
        <f>SUM(K12:K13)</f>
        <v>16325.767686398402</v>
      </c>
      <c r="L14" s="108">
        <f>SUM(L12:L13)</f>
        <v>18719.72551303712</v>
      </c>
      <c r="M14" s="90"/>
      <c r="N14" s="90"/>
      <c r="O14" s="16" t="str">
        <f t="shared" si="4"/>
        <v>OpEx</v>
      </c>
      <c r="P14" s="106">
        <f>Statement!T11</f>
        <v>3196</v>
      </c>
      <c r="Q14" s="106">
        <f>Statement!U11</f>
        <v>2953</v>
      </c>
      <c r="R14" s="106">
        <f>Statement!V11</f>
        <v>2922</v>
      </c>
      <c r="S14" s="106">
        <f>Statement!W11</f>
        <v>2997</v>
      </c>
      <c r="T14" s="106">
        <f>Statement!X11</f>
        <v>3319</v>
      </c>
      <c r="U14" s="106">
        <f>Statement!Y11</f>
        <v>3318</v>
      </c>
      <c r="V14" s="106">
        <f>Statement!Z11</f>
        <v>3390</v>
      </c>
      <c r="W14" s="107">
        <f>Statement!AA11</f>
        <v>3651</v>
      </c>
      <c r="X14" s="108">
        <f>SUM(X12:X13)</f>
        <v>3589.0221999999999</v>
      </c>
      <c r="Y14" s="108"/>
      <c r="Z14" s="108"/>
      <c r="AB14" s="108">
        <f t="shared" si="5"/>
        <v>13948.022199999999</v>
      </c>
    </row>
    <row r="17" spans="2:26" x14ac:dyDescent="0.2">
      <c r="C17" s="246" t="s">
        <v>120</v>
      </c>
      <c r="D17" s="246"/>
      <c r="E17" s="246"/>
      <c r="F17" s="246"/>
      <c r="G17" s="246"/>
      <c r="H17" s="246"/>
      <c r="I17" s="246"/>
      <c r="J17" s="246"/>
      <c r="K17" s="246"/>
      <c r="L17" s="246"/>
      <c r="P17" s="248" t="s">
        <v>120</v>
      </c>
      <c r="Q17" s="248"/>
      <c r="R17" s="248"/>
      <c r="S17" s="248"/>
      <c r="T17" s="248"/>
      <c r="U17" s="248"/>
      <c r="V17" s="248"/>
      <c r="W17" s="248"/>
      <c r="X17" s="248"/>
      <c r="Y17" s="248"/>
      <c r="Z17" s="248"/>
    </row>
    <row r="18" spans="2:26" x14ac:dyDescent="0.2">
      <c r="B18" s="16" t="s">
        <v>121</v>
      </c>
      <c r="C18" s="12">
        <f t="shared" ref="C18:L18" si="6">C5</f>
        <v>2021</v>
      </c>
      <c r="D18" s="12">
        <f t="shared" si="6"/>
        <v>2022</v>
      </c>
      <c r="E18" s="12">
        <f t="shared" si="6"/>
        <v>2023</v>
      </c>
      <c r="F18" s="12">
        <f t="shared" si="6"/>
        <v>2024</v>
      </c>
      <c r="G18" s="12">
        <f t="shared" si="6"/>
        <v>2025</v>
      </c>
      <c r="H18" s="12">
        <f t="shared" si="6"/>
        <v>2026</v>
      </c>
      <c r="I18" s="12">
        <f t="shared" si="6"/>
        <v>2027</v>
      </c>
      <c r="J18" s="12">
        <f t="shared" si="6"/>
        <v>2028</v>
      </c>
      <c r="K18" s="12">
        <f t="shared" si="6"/>
        <v>2029</v>
      </c>
      <c r="L18" s="12">
        <f t="shared" si="6"/>
        <v>2030</v>
      </c>
      <c r="O18" s="16" t="s">
        <v>121</v>
      </c>
      <c r="P18" s="12" t="str">
        <f t="shared" ref="P18:Z18" si="7">P5</f>
        <v>Q4 2024</v>
      </c>
      <c r="Q18" s="12" t="str">
        <f t="shared" si="7"/>
        <v>Q1 2025</v>
      </c>
      <c r="R18" s="12" t="str">
        <f t="shared" si="7"/>
        <v>Q2 2025</v>
      </c>
      <c r="S18" s="12" t="str">
        <f t="shared" si="7"/>
        <v>Q3 2025</v>
      </c>
      <c r="T18" s="12" t="str">
        <f t="shared" si="7"/>
        <v>Q4 2025</v>
      </c>
      <c r="U18" s="12" t="str">
        <f t="shared" si="7"/>
        <v>Q1 2026</v>
      </c>
      <c r="V18" s="12" t="str">
        <f t="shared" si="7"/>
        <v>Q2 2026</v>
      </c>
      <c r="W18" s="12" t="str">
        <f t="shared" si="7"/>
        <v>Q3 2026</v>
      </c>
      <c r="X18" s="12" t="str">
        <f t="shared" si="7"/>
        <v>FQ1</v>
      </c>
      <c r="Y18" s="12" t="str">
        <f t="shared" si="7"/>
        <v>FQ2</v>
      </c>
      <c r="Z18" s="12" t="str">
        <f t="shared" si="7"/>
        <v>FQ3</v>
      </c>
    </row>
    <row r="19" spans="2:26" x14ac:dyDescent="0.2">
      <c r="B19" s="16" t="str">
        <f>B11</f>
        <v>COGS</v>
      </c>
      <c r="C19" s="103">
        <f t="shared" ref="C19:G21" si="8">C11/C$6</f>
        <v>0.42489423821724365</v>
      </c>
      <c r="D19" s="103">
        <f t="shared" si="8"/>
        <v>0.42201357466063349</v>
      </c>
      <c r="E19" s="103">
        <f t="shared" si="8"/>
        <v>0.44302065884980457</v>
      </c>
      <c r="F19" s="103">
        <f t="shared" si="8"/>
        <v>0.43786253272419279</v>
      </c>
      <c r="G19" s="104">
        <f t="shared" si="8"/>
        <v>0.44571402763977963</v>
      </c>
      <c r="H19" s="97">
        <v>0.47</v>
      </c>
      <c r="I19" s="97">
        <v>0.49</v>
      </c>
      <c r="J19" s="97">
        <v>0.48</v>
      </c>
      <c r="K19" s="97">
        <v>0.46</v>
      </c>
      <c r="L19" s="97">
        <v>0.45</v>
      </c>
      <c r="O19" s="16" t="str">
        <f>O11</f>
        <v>COGS</v>
      </c>
      <c r="P19" s="103">
        <f t="shared" ref="P19:W21" si="9">P11/P$6</f>
        <v>0.43606013276064037</v>
      </c>
      <c r="Q19" s="103">
        <f t="shared" si="9"/>
        <v>0.44228297197703315</v>
      </c>
      <c r="R19" s="103">
        <f t="shared" si="9"/>
        <v>0.44967665543309954</v>
      </c>
      <c r="S19" s="103">
        <f t="shared" si="9"/>
        <v>0.44013377926421404</v>
      </c>
      <c r="T19" s="103">
        <f t="shared" si="9"/>
        <v>0.44658385093167702</v>
      </c>
      <c r="U19" s="103">
        <f t="shared" si="9"/>
        <v>0.4544564152791381</v>
      </c>
      <c r="V19" s="103">
        <f t="shared" si="9"/>
        <v>0.46230776488347958</v>
      </c>
      <c r="W19" s="104">
        <f t="shared" si="9"/>
        <v>0.46948828792600783</v>
      </c>
      <c r="X19" s="97">
        <v>0.48</v>
      </c>
      <c r="Y19" s="97"/>
      <c r="Z19" s="97"/>
    </row>
    <row r="20" spans="2:26" x14ac:dyDescent="0.2">
      <c r="B20" s="1" t="str">
        <f>B12</f>
        <v>R&amp;D</v>
      </c>
      <c r="C20" s="95">
        <f t="shared" si="8"/>
        <v>0.21378776142525174</v>
      </c>
      <c r="D20" s="95">
        <f t="shared" si="8"/>
        <v>0.1853846153846154</v>
      </c>
      <c r="E20" s="95">
        <f t="shared" si="8"/>
        <v>0.24617532104969292</v>
      </c>
      <c r="F20" s="95">
        <f t="shared" si="8"/>
        <v>0.22824803654843182</v>
      </c>
      <c r="G20" s="96">
        <f t="shared" si="8"/>
        <v>0.20418209737151116</v>
      </c>
      <c r="H20" s="97">
        <v>0.25</v>
      </c>
      <c r="I20" s="97">
        <v>0.28000000000000003</v>
      </c>
      <c r="J20" s="97">
        <v>0.24</v>
      </c>
      <c r="K20" s="97">
        <v>0.2</v>
      </c>
      <c r="L20" s="97">
        <v>0.19</v>
      </c>
      <c r="O20" s="1" t="str">
        <f>O12</f>
        <v>R&amp;D</v>
      </c>
      <c r="P20" s="95">
        <f t="shared" si="9"/>
        <v>0.2247169074580242</v>
      </c>
      <c r="Q20" s="95">
        <f t="shared" si="9"/>
        <v>0.19110463621561402</v>
      </c>
      <c r="R20" s="95">
        <f t="shared" si="9"/>
        <v>0.20183987612715185</v>
      </c>
      <c r="S20" s="95">
        <f t="shared" si="9"/>
        <v>0.21270903010033446</v>
      </c>
      <c r="T20" s="95">
        <f t="shared" si="9"/>
        <v>0.21029281277728482</v>
      </c>
      <c r="U20" s="95">
        <f t="shared" si="9"/>
        <v>0.20021221025138752</v>
      </c>
      <c r="V20" s="95">
        <f t="shared" si="9"/>
        <v>0.23238041324653269</v>
      </c>
      <c r="W20" s="96">
        <f t="shared" si="9"/>
        <v>0.2620890720820348</v>
      </c>
      <c r="X20" s="97">
        <v>0.27</v>
      </c>
      <c r="Y20" s="97"/>
      <c r="Z20" s="97"/>
    </row>
    <row r="21" spans="2:26" x14ac:dyDescent="0.2">
      <c r="B21" s="1" t="str">
        <f>B13</f>
        <v>SG&amp;A</v>
      </c>
      <c r="C21" s="95">
        <f t="shared" si="8"/>
        <v>6.9683608413275339E-2</v>
      </c>
      <c r="D21" s="95">
        <f t="shared" si="8"/>
        <v>5.8144796380090499E-2</v>
      </c>
      <c r="E21" s="95">
        <f t="shared" si="8"/>
        <v>6.9318816303740927E-2</v>
      </c>
      <c r="F21" s="95">
        <f t="shared" si="8"/>
        <v>7.0812586622863299E-2</v>
      </c>
      <c r="G21" s="96">
        <f t="shared" si="8"/>
        <v>7.0228524975160328E-2</v>
      </c>
      <c r="H21" s="97">
        <v>0.09</v>
      </c>
      <c r="I21" s="97">
        <v>0.11</v>
      </c>
      <c r="J21" s="97">
        <v>7.0000000000000007E-2</v>
      </c>
      <c r="K21" s="97">
        <v>7.0000000000000007E-2</v>
      </c>
      <c r="L21" s="97">
        <v>7.0000000000000007E-2</v>
      </c>
      <c r="O21" s="1" t="str">
        <f>O13</f>
        <v>SG&amp;A</v>
      </c>
      <c r="P21" s="95">
        <f t="shared" si="9"/>
        <v>7.4385005857087072E-2</v>
      </c>
      <c r="Q21" s="95">
        <f t="shared" si="9"/>
        <v>6.1959036764075756E-2</v>
      </c>
      <c r="R21" s="95">
        <f t="shared" si="9"/>
        <v>6.4304581473722561E-2</v>
      </c>
      <c r="S21" s="95">
        <f t="shared" si="9"/>
        <v>7.3674151935021498E-2</v>
      </c>
      <c r="T21" s="95">
        <f t="shared" si="9"/>
        <v>8.0745341614906832E-2</v>
      </c>
      <c r="U21" s="95">
        <f t="shared" si="9"/>
        <v>7.0600718250081615E-2</v>
      </c>
      <c r="V21" s="95">
        <f t="shared" si="9"/>
        <v>8.4724974054156049E-2</v>
      </c>
      <c r="W21" s="96">
        <f t="shared" si="9"/>
        <v>9.8120036191816626E-2</v>
      </c>
      <c r="X21" s="97">
        <v>0.1</v>
      </c>
      <c r="Y21" s="97"/>
      <c r="Z21" s="97"/>
    </row>
    <row r="22" spans="2:26" x14ac:dyDescent="0.2">
      <c r="B22" s="16" t="str">
        <f t="shared" ref="B22" si="10">B14</f>
        <v>OpEx</v>
      </c>
      <c r="C22" s="103">
        <f>C14/C$6</f>
        <v>0.28347136983852705</v>
      </c>
      <c r="D22" s="103">
        <f t="shared" ref="D22:L22" si="11">D14/D$6</f>
        <v>0.21957013574660633</v>
      </c>
      <c r="E22" s="103">
        <f t="shared" si="11"/>
        <v>0.33955890563930763</v>
      </c>
      <c r="F22" s="103">
        <f t="shared" si="11"/>
        <v>0.30365484318053487</v>
      </c>
      <c r="G22" s="104">
        <f t="shared" si="11"/>
        <v>0.27529130159877158</v>
      </c>
      <c r="H22" s="103">
        <f t="shared" si="11"/>
        <v>0.33999999999999997</v>
      </c>
      <c r="I22" s="103">
        <f t="shared" si="11"/>
        <v>0.39</v>
      </c>
      <c r="J22" s="103">
        <f t="shared" si="11"/>
        <v>0.31</v>
      </c>
      <c r="K22" s="103">
        <f t="shared" si="11"/>
        <v>0.27</v>
      </c>
      <c r="L22" s="103">
        <f t="shared" si="11"/>
        <v>0.26</v>
      </c>
      <c r="O22" s="16" t="str">
        <f t="shared" ref="O22" si="12">O14</f>
        <v>OpEx</v>
      </c>
      <c r="P22" s="103">
        <f t="shared" ref="P22:V22" si="13">P14/P$6</f>
        <v>0.31198750488090587</v>
      </c>
      <c r="Q22" s="103">
        <f t="shared" si="13"/>
        <v>0.25306367297968979</v>
      </c>
      <c r="R22" s="103">
        <f t="shared" si="13"/>
        <v>0.26614445760087441</v>
      </c>
      <c r="S22" s="103">
        <f t="shared" si="13"/>
        <v>0.28638318203535595</v>
      </c>
      <c r="T22" s="103">
        <f t="shared" si="13"/>
        <v>0.29449866903283051</v>
      </c>
      <c r="U22" s="103">
        <f t="shared" si="13"/>
        <v>0.27081292850146915</v>
      </c>
      <c r="V22" s="103">
        <f t="shared" si="13"/>
        <v>0.31984149448061139</v>
      </c>
      <c r="W22" s="104">
        <f t="shared" ref="W22:X22" si="14">W14/W$6</f>
        <v>0.36704534030360914</v>
      </c>
      <c r="X22" s="103">
        <f t="shared" si="14"/>
        <v>0.37</v>
      </c>
      <c r="Y22" s="16"/>
      <c r="Z22" s="16"/>
    </row>
  </sheetData>
  <mergeCells count="10">
    <mergeCell ref="C9:L9"/>
    <mergeCell ref="P9:Z9"/>
    <mergeCell ref="C17:L17"/>
    <mergeCell ref="P17:Z17"/>
    <mergeCell ref="C2:G2"/>
    <mergeCell ref="H2:L2"/>
    <mergeCell ref="P2:W2"/>
    <mergeCell ref="X2:Z2"/>
    <mergeCell ref="C4:L4"/>
    <mergeCell ref="P4:Z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A4AF9-34CA-DC41-86C9-B346AEC194A1}">
  <dimension ref="A1:AB46"/>
  <sheetViews>
    <sheetView topLeftCell="C36" zoomScale="189" zoomScaleNormal="100" workbookViewId="0">
      <selection activeCell="K46" sqref="K46"/>
    </sheetView>
  </sheetViews>
  <sheetFormatPr baseColWidth="10" defaultRowHeight="16" x14ac:dyDescent="0.2"/>
  <cols>
    <col min="1" max="1" width="2" style="83"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123</v>
      </c>
    </row>
    <row r="2" spans="1:28" s="83" customFormat="1" ht="18" customHeight="1" x14ac:dyDescent="0.2">
      <c r="A2" s="4"/>
      <c r="B2" s="82"/>
    </row>
    <row r="3" spans="1:28" x14ac:dyDescent="0.2">
      <c r="A3" s="4"/>
      <c r="C3" s="240" t="s">
        <v>105</v>
      </c>
      <c r="D3" s="240"/>
      <c r="E3" s="240"/>
      <c r="F3" s="240"/>
      <c r="G3" s="249"/>
      <c r="H3" s="250" t="s">
        <v>106</v>
      </c>
      <c r="I3" s="240"/>
      <c r="J3" s="240"/>
      <c r="K3" s="240"/>
      <c r="L3" s="240"/>
      <c r="P3" s="251"/>
      <c r="Q3" s="251"/>
      <c r="R3" s="251"/>
      <c r="S3" s="251"/>
      <c r="T3" s="251"/>
      <c r="U3" s="251"/>
      <c r="V3" s="251"/>
      <c r="W3" s="251"/>
      <c r="X3" s="251"/>
      <c r="Y3" s="251"/>
      <c r="Z3" s="251"/>
      <c r="AB3" s="109"/>
    </row>
    <row r="4" spans="1:28" ht="10" customHeight="1" x14ac:dyDescent="0.2"/>
    <row r="5" spans="1:28" ht="16" customHeight="1" x14ac:dyDescent="0.2">
      <c r="A5" s="86"/>
      <c r="B5" s="60"/>
      <c r="C5" s="246" t="s">
        <v>108</v>
      </c>
      <c r="D5" s="246"/>
      <c r="E5" s="246"/>
      <c r="F5" s="246"/>
      <c r="G5" s="246"/>
      <c r="H5" s="246"/>
      <c r="I5" s="246"/>
      <c r="J5" s="246"/>
      <c r="K5" s="246"/>
      <c r="L5" s="246"/>
      <c r="P5" s="251"/>
      <c r="Q5" s="251"/>
      <c r="R5" s="251"/>
      <c r="S5" s="251"/>
      <c r="T5" s="251"/>
      <c r="U5" s="251"/>
      <c r="V5" s="251"/>
      <c r="W5" s="251"/>
      <c r="X5" s="251"/>
      <c r="Y5" s="251"/>
      <c r="Z5" s="251"/>
      <c r="AB5" s="110"/>
    </row>
    <row r="6" spans="1:28" x14ac:dyDescent="0.2">
      <c r="B6" s="16" t="s">
        <v>109</v>
      </c>
      <c r="C6" s="12">
        <f>Revenue!C5</f>
        <v>2021</v>
      </c>
      <c r="D6" s="12">
        <f>Revenue!D5</f>
        <v>2022</v>
      </c>
      <c r="E6" s="12">
        <f>Revenue!E5</f>
        <v>2023</v>
      </c>
      <c r="F6" s="12">
        <f>Revenue!F5</f>
        <v>2024</v>
      </c>
      <c r="G6" s="12">
        <f>Revenue!G5</f>
        <v>2025</v>
      </c>
      <c r="H6" s="12">
        <f>G6+1</f>
        <v>2026</v>
      </c>
      <c r="I6" s="12">
        <f t="shared" ref="I6:L6" si="0">H6+1</f>
        <v>2027</v>
      </c>
      <c r="J6" s="12">
        <f t="shared" si="0"/>
        <v>2028</v>
      </c>
      <c r="K6" s="12">
        <f t="shared" si="0"/>
        <v>2029</v>
      </c>
      <c r="L6" s="12">
        <f t="shared" si="0"/>
        <v>2030</v>
      </c>
      <c r="O6" s="16"/>
      <c r="P6" s="111"/>
      <c r="Q6" s="111"/>
      <c r="R6" s="111"/>
      <c r="S6" s="111"/>
      <c r="T6" s="111"/>
      <c r="U6" s="111"/>
      <c r="V6" s="111"/>
      <c r="W6" s="111"/>
      <c r="X6" s="111"/>
      <c r="Y6" s="111"/>
      <c r="Z6" s="111"/>
      <c r="AB6" s="110"/>
    </row>
    <row r="7" spans="1:28" x14ac:dyDescent="0.2">
      <c r="B7" s="16" t="s">
        <v>19</v>
      </c>
      <c r="C7" s="92">
        <f>Revenue!C12</f>
        <v>33566</v>
      </c>
      <c r="D7" s="92">
        <f>Revenue!D12</f>
        <v>44200</v>
      </c>
      <c r="E7" s="92">
        <f>Revenue!E12</f>
        <v>35820</v>
      </c>
      <c r="F7" s="92">
        <f>Revenue!F12</f>
        <v>38962</v>
      </c>
      <c r="G7" s="93">
        <f>Revenue!G12</f>
        <v>44284</v>
      </c>
      <c r="H7" s="92">
        <f>Revenue!H12</f>
        <v>42216.350000000006</v>
      </c>
      <c r="I7" s="92">
        <f>Revenue!I12</f>
        <v>42277.0265</v>
      </c>
      <c r="J7" s="92">
        <f>Revenue!J12</f>
        <v>47891.657325</v>
      </c>
      <c r="K7" s="92">
        <f>Revenue!K12</f>
        <v>60465.806245920001</v>
      </c>
      <c r="L7" s="92">
        <f>Revenue!L12</f>
        <v>71998.944280911994</v>
      </c>
      <c r="N7" s="91"/>
      <c r="O7" s="16"/>
      <c r="P7" s="92"/>
      <c r="Q7" s="92"/>
      <c r="R7" s="92"/>
      <c r="S7" s="92"/>
      <c r="T7" s="92"/>
      <c r="U7" s="92"/>
      <c r="V7" s="92"/>
      <c r="W7" s="92"/>
      <c r="X7" s="94"/>
      <c r="Y7" s="94"/>
      <c r="Z7" s="94"/>
      <c r="AB7" s="94"/>
    </row>
    <row r="8" spans="1:28" x14ac:dyDescent="0.2">
      <c r="B8" s="39" t="s">
        <v>20</v>
      </c>
      <c r="C8" s="112">
        <f>'COGS &amp; OpEx'!C11</f>
        <v>14262</v>
      </c>
      <c r="D8" s="112">
        <f>'COGS &amp; OpEx'!D11</f>
        <v>18653</v>
      </c>
      <c r="E8" s="112">
        <f>'COGS &amp; OpEx'!E11</f>
        <v>15869</v>
      </c>
      <c r="F8" s="112">
        <f>'COGS &amp; OpEx'!F11</f>
        <v>17060</v>
      </c>
      <c r="G8" s="113">
        <f>'COGS &amp; OpEx'!G11</f>
        <v>19738</v>
      </c>
      <c r="H8" s="112">
        <f>'COGS &amp; OpEx'!H11</f>
        <v>19841.684500000003</v>
      </c>
      <c r="I8" s="112">
        <f>'COGS &amp; OpEx'!I11</f>
        <v>20715.742985000001</v>
      </c>
      <c r="J8" s="112">
        <f>'COGS &amp; OpEx'!J11</f>
        <v>22987.995515999999</v>
      </c>
      <c r="K8" s="112">
        <f>'COGS &amp; OpEx'!K11</f>
        <v>27814.270873123201</v>
      </c>
      <c r="L8" s="112">
        <f>'COGS &amp; OpEx'!L11</f>
        <v>32399.524926410399</v>
      </c>
      <c r="N8" s="91"/>
      <c r="O8" s="16"/>
      <c r="P8" s="92"/>
      <c r="Q8" s="92"/>
      <c r="R8" s="92"/>
      <c r="S8" s="92"/>
      <c r="T8" s="92"/>
      <c r="U8" s="92"/>
      <c r="V8" s="92"/>
      <c r="W8" s="92"/>
      <c r="X8" s="94"/>
      <c r="Y8" s="94"/>
      <c r="Z8" s="94"/>
      <c r="AB8" s="94"/>
    </row>
    <row r="9" spans="1:28" x14ac:dyDescent="0.2">
      <c r="N9" s="91"/>
    </row>
    <row r="10" spans="1:28" x14ac:dyDescent="0.2">
      <c r="N10" s="91"/>
    </row>
    <row r="11" spans="1:28" x14ac:dyDescent="0.2">
      <c r="C11" s="246" t="s">
        <v>124</v>
      </c>
      <c r="D11" s="246"/>
      <c r="E11" s="246"/>
      <c r="F11" s="246"/>
      <c r="G11" s="246"/>
      <c r="H11" s="246"/>
      <c r="I11" s="246"/>
      <c r="J11" s="246"/>
      <c r="K11" s="246"/>
      <c r="L11" s="246"/>
      <c r="N11" s="91"/>
      <c r="P11" s="251"/>
      <c r="Q11" s="251"/>
      <c r="R11" s="251"/>
      <c r="S11" s="251"/>
      <c r="T11" s="251"/>
      <c r="U11" s="251"/>
      <c r="V11" s="251"/>
      <c r="W11" s="251"/>
      <c r="X11" s="251"/>
      <c r="Y11" s="251"/>
      <c r="Z11" s="251"/>
      <c r="AB11" s="110"/>
    </row>
    <row r="12" spans="1:28" x14ac:dyDescent="0.2">
      <c r="B12" s="16" t="s">
        <v>125</v>
      </c>
      <c r="C12" s="12">
        <f t="shared" ref="C12:L12" si="1">C6</f>
        <v>2021</v>
      </c>
      <c r="D12" s="12">
        <f t="shared" si="1"/>
        <v>2022</v>
      </c>
      <c r="E12" s="12">
        <f t="shared" si="1"/>
        <v>2023</v>
      </c>
      <c r="F12" s="12">
        <f t="shared" si="1"/>
        <v>2024</v>
      </c>
      <c r="G12" s="12">
        <f t="shared" si="1"/>
        <v>2025</v>
      </c>
      <c r="H12" s="12">
        <f t="shared" si="1"/>
        <v>2026</v>
      </c>
      <c r="I12" s="12">
        <f t="shared" si="1"/>
        <v>2027</v>
      </c>
      <c r="J12" s="12">
        <f t="shared" si="1"/>
        <v>2028</v>
      </c>
      <c r="K12" s="12">
        <f t="shared" si="1"/>
        <v>2029</v>
      </c>
      <c r="L12" s="12">
        <f t="shared" si="1"/>
        <v>2030</v>
      </c>
      <c r="N12" s="91"/>
      <c r="O12" s="16"/>
      <c r="P12" s="111"/>
      <c r="Q12" s="111"/>
      <c r="R12" s="111"/>
      <c r="S12" s="111"/>
      <c r="T12" s="111"/>
      <c r="U12" s="111"/>
      <c r="V12" s="111"/>
      <c r="W12" s="111"/>
      <c r="X12" s="111"/>
      <c r="Y12" s="111"/>
      <c r="Z12" s="111"/>
      <c r="AB12" s="110"/>
    </row>
    <row r="13" spans="1:28" x14ac:dyDescent="0.2">
      <c r="B13" s="39" t="s">
        <v>126</v>
      </c>
      <c r="C13" s="114">
        <f>Statement!M30</f>
        <v>3579</v>
      </c>
      <c r="D13" s="114">
        <f>Statement!N30</f>
        <v>5643</v>
      </c>
      <c r="E13" s="114">
        <f>Statement!O30</f>
        <v>3183</v>
      </c>
      <c r="F13" s="114">
        <f>Statement!P30</f>
        <v>3929</v>
      </c>
      <c r="G13" s="115">
        <f>Statement!Q30</f>
        <v>4315</v>
      </c>
      <c r="H13" s="25">
        <f>H20*H7/365</f>
        <v>3932.4819178082194</v>
      </c>
      <c r="I13" s="25">
        <f>I20*I7/365</f>
        <v>3938.1339753424659</v>
      </c>
      <c r="J13" s="25">
        <f>J20*J7/365</f>
        <v>4461.1406823287671</v>
      </c>
      <c r="K13" s="25">
        <f>K20*K7/365</f>
        <v>5632.4312667432332</v>
      </c>
      <c r="L13" s="25">
        <f>L20*L7/365</f>
        <v>6706.7509741123495</v>
      </c>
      <c r="N13" s="91"/>
      <c r="O13" s="16"/>
      <c r="P13" s="116"/>
      <c r="Q13" s="116"/>
      <c r="R13" s="116"/>
      <c r="S13" s="116"/>
      <c r="T13" s="116"/>
      <c r="U13" s="116"/>
      <c r="V13" s="116"/>
      <c r="W13" s="116"/>
      <c r="X13" s="108"/>
      <c r="Y13" s="108"/>
      <c r="Z13" s="108"/>
      <c r="AB13" s="24"/>
    </row>
    <row r="14" spans="1:28" x14ac:dyDescent="0.2">
      <c r="B14" s="39" t="s">
        <v>127</v>
      </c>
      <c r="C14" s="114">
        <f>Statement!M31</f>
        <v>3228</v>
      </c>
      <c r="D14" s="114">
        <f>Statement!N31</f>
        <v>6341</v>
      </c>
      <c r="E14" s="114">
        <f>Statement!O31</f>
        <v>6422</v>
      </c>
      <c r="F14" s="114">
        <f>Statement!P31</f>
        <v>6423</v>
      </c>
      <c r="G14" s="115">
        <f>Statement!Q31</f>
        <v>6526</v>
      </c>
      <c r="H14" s="126">
        <f>H21*H8/365</f>
        <v>7284.3444465753428</v>
      </c>
      <c r="I14" s="126">
        <f t="shared" ref="I14:L14" si="2">I21*I8/365</f>
        <v>7605.231671205479</v>
      </c>
      <c r="J14" s="126">
        <f t="shared" si="2"/>
        <v>8439.4284908054797</v>
      </c>
      <c r="K14" s="126">
        <f t="shared" si="2"/>
        <v>10211.266567119203</v>
      </c>
      <c r="L14" s="126">
        <f t="shared" si="2"/>
        <v>11894.620109969845</v>
      </c>
      <c r="N14" s="91"/>
      <c r="O14" s="16"/>
      <c r="P14" s="116"/>
      <c r="Q14" s="116"/>
      <c r="R14" s="116"/>
      <c r="S14" s="116"/>
      <c r="T14" s="116"/>
      <c r="U14" s="116"/>
      <c r="V14" s="116"/>
      <c r="W14" s="116"/>
      <c r="X14" s="108"/>
      <c r="Y14" s="108"/>
      <c r="Z14" s="108"/>
      <c r="AB14" s="24"/>
    </row>
    <row r="15" spans="1:28" x14ac:dyDescent="0.2">
      <c r="B15" s="1" t="s">
        <v>128</v>
      </c>
      <c r="C15" s="114">
        <f>Statement!M38</f>
        <v>2750</v>
      </c>
      <c r="D15" s="114">
        <f>Statement!N38</f>
        <v>3796</v>
      </c>
      <c r="E15" s="114">
        <f>Statement!O38</f>
        <v>1912</v>
      </c>
      <c r="F15" s="114">
        <f>Statement!P38</f>
        <v>2584</v>
      </c>
      <c r="G15" s="115">
        <f>Statement!Q38</f>
        <v>2791</v>
      </c>
      <c r="H15" s="24">
        <f>H22*H8/365</f>
        <v>2718.0389726027402</v>
      </c>
      <c r="I15" s="24">
        <f>I22*I8/365</f>
        <v>2837.7730116438356</v>
      </c>
      <c r="J15" s="24">
        <f>J22*J8/365</f>
        <v>3149.0404816438354</v>
      </c>
      <c r="K15" s="24">
        <f>K22*K8/365</f>
        <v>3810.1740922086578</v>
      </c>
      <c r="L15" s="24">
        <f>L22*L8/365</f>
        <v>4438.2910858096429</v>
      </c>
      <c r="N15" s="91"/>
      <c r="P15" s="117"/>
      <c r="Q15" s="117"/>
      <c r="R15" s="117"/>
      <c r="S15" s="117"/>
      <c r="T15" s="117"/>
      <c r="U15" s="117"/>
      <c r="V15" s="117"/>
      <c r="W15" s="117"/>
      <c r="X15" s="25"/>
      <c r="Y15" s="24"/>
      <c r="Z15" s="24"/>
      <c r="AB15" s="24"/>
    </row>
    <row r="16" spans="1:28" x14ac:dyDescent="0.2">
      <c r="D16" s="24"/>
    </row>
    <row r="18" spans="2:12" x14ac:dyDescent="0.2">
      <c r="C18" s="246" t="s">
        <v>129</v>
      </c>
      <c r="D18" s="246"/>
      <c r="E18" s="246"/>
      <c r="F18" s="246"/>
      <c r="G18" s="246"/>
      <c r="H18" s="246"/>
      <c r="I18" s="246"/>
      <c r="J18" s="246"/>
      <c r="K18" s="246"/>
      <c r="L18" s="246"/>
    </row>
    <row r="19" spans="2:12" x14ac:dyDescent="0.2">
      <c r="B19" s="16" t="s">
        <v>130</v>
      </c>
      <c r="C19" s="12">
        <f t="shared" ref="C19:L19" si="3">C6</f>
        <v>2021</v>
      </c>
      <c r="D19" s="12">
        <f t="shared" si="3"/>
        <v>2022</v>
      </c>
      <c r="E19" s="12">
        <f t="shared" si="3"/>
        <v>2023</v>
      </c>
      <c r="F19" s="12">
        <f t="shared" si="3"/>
        <v>2024</v>
      </c>
      <c r="G19" s="12">
        <f t="shared" si="3"/>
        <v>2025</v>
      </c>
      <c r="H19" s="12">
        <f t="shared" si="3"/>
        <v>2026</v>
      </c>
      <c r="I19" s="12">
        <f t="shared" si="3"/>
        <v>2027</v>
      </c>
      <c r="J19" s="12">
        <f t="shared" si="3"/>
        <v>2028</v>
      </c>
      <c r="K19" s="12">
        <f t="shared" si="3"/>
        <v>2029</v>
      </c>
      <c r="L19" s="12">
        <f t="shared" si="3"/>
        <v>2030</v>
      </c>
    </row>
    <row r="20" spans="2:12" x14ac:dyDescent="0.2">
      <c r="B20" s="1" t="s">
        <v>131</v>
      </c>
      <c r="C20" s="118">
        <f>C13/C7*365</f>
        <v>38.91839957099446</v>
      </c>
      <c r="D20" s="118">
        <f>D13/D7*365</f>
        <v>46.599434389140271</v>
      </c>
      <c r="E20" s="118">
        <f>E13/E7*365</f>
        <v>32.434254606365158</v>
      </c>
      <c r="F20" s="118">
        <f>F13/F7*365</f>
        <v>36.807273753914075</v>
      </c>
      <c r="G20" s="119">
        <f>G13/G7*365</f>
        <v>35.565328335290403</v>
      </c>
      <c r="H20" s="102">
        <v>34</v>
      </c>
      <c r="I20" s="102">
        <v>34</v>
      </c>
      <c r="J20" s="102">
        <v>34</v>
      </c>
      <c r="K20" s="102">
        <v>34</v>
      </c>
      <c r="L20" s="102">
        <v>34</v>
      </c>
    </row>
    <row r="21" spans="2:12" x14ac:dyDescent="0.2">
      <c r="B21" s="1" t="s">
        <v>132</v>
      </c>
      <c r="C21" s="118">
        <f>C14/C8*365</f>
        <v>82.612536811106438</v>
      </c>
      <c r="D21" s="118">
        <f t="shared" ref="D21:G21" si="4">D14/D8*365</f>
        <v>124.08004074411623</v>
      </c>
      <c r="E21" s="118">
        <f t="shared" si="4"/>
        <v>147.7112609490201</v>
      </c>
      <c r="F21" s="118">
        <f t="shared" si="4"/>
        <v>137.42057444314187</v>
      </c>
      <c r="G21" s="119">
        <f t="shared" si="4"/>
        <v>120.68041341574629</v>
      </c>
      <c r="H21" s="102">
        <v>134</v>
      </c>
      <c r="I21" s="102">
        <v>134</v>
      </c>
      <c r="J21" s="102">
        <v>134</v>
      </c>
      <c r="K21" s="102">
        <v>134</v>
      </c>
      <c r="L21" s="102">
        <v>134</v>
      </c>
    </row>
    <row r="22" spans="2:12" x14ac:dyDescent="0.2">
      <c r="B22" s="1" t="s">
        <v>133</v>
      </c>
      <c r="C22" s="118">
        <f>C15/C8*365</f>
        <v>70.379329687280887</v>
      </c>
      <c r="D22" s="118">
        <f>D15/D8*365</f>
        <v>74.279740524312444</v>
      </c>
      <c r="E22" s="118">
        <f>E15/E8*365</f>
        <v>43.977566324280041</v>
      </c>
      <c r="F22" s="118">
        <f>F15/F8*365</f>
        <v>55.284876905041038</v>
      </c>
      <c r="G22" s="119">
        <f>G15/G8*365</f>
        <v>51.611865437227685</v>
      </c>
      <c r="H22" s="102">
        <v>50</v>
      </c>
      <c r="I22" s="102">
        <v>50</v>
      </c>
      <c r="J22" s="102">
        <v>50</v>
      </c>
      <c r="K22" s="102">
        <v>50</v>
      </c>
      <c r="L22" s="102">
        <v>50</v>
      </c>
    </row>
    <row r="23" spans="2:12" x14ac:dyDescent="0.2">
      <c r="B23" s="1" t="s">
        <v>134</v>
      </c>
      <c r="C23" s="118">
        <f>C20+C21-C22</f>
        <v>51.151606694820003</v>
      </c>
      <c r="D23" s="118">
        <f t="shared" ref="D23:L23" si="5">D20+D21-D22</f>
        <v>96.399734608944073</v>
      </c>
      <c r="E23" s="118">
        <f t="shared" si="5"/>
        <v>136.16794923110521</v>
      </c>
      <c r="F23" s="118">
        <f t="shared" si="5"/>
        <v>118.9429712920149</v>
      </c>
      <c r="G23" s="119">
        <f t="shared" si="5"/>
        <v>104.633876313809</v>
      </c>
      <c r="H23" s="118">
        <f t="shared" si="5"/>
        <v>118</v>
      </c>
      <c r="I23" s="118">
        <f t="shared" si="5"/>
        <v>118</v>
      </c>
      <c r="J23" s="118">
        <f t="shared" si="5"/>
        <v>118</v>
      </c>
      <c r="K23" s="118">
        <f t="shared" si="5"/>
        <v>118</v>
      </c>
      <c r="L23" s="118">
        <f t="shared" si="5"/>
        <v>118</v>
      </c>
    </row>
    <row r="25" spans="2:12" x14ac:dyDescent="0.2">
      <c r="B25" s="251"/>
      <c r="C25" s="251"/>
    </row>
    <row r="26" spans="2:12" x14ac:dyDescent="0.2">
      <c r="B26" s="109"/>
      <c r="C26" s="246" t="s">
        <v>135</v>
      </c>
      <c r="D26" s="246"/>
      <c r="E26" s="246"/>
      <c r="F26" s="246"/>
      <c r="G26" s="246"/>
      <c r="H26" s="246"/>
      <c r="I26" s="246"/>
      <c r="J26" s="246"/>
      <c r="K26" s="246"/>
      <c r="L26" s="246"/>
    </row>
    <row r="27" spans="2:12" x14ac:dyDescent="0.2">
      <c r="B27" s="16" t="s">
        <v>125</v>
      </c>
      <c r="C27" s="12">
        <f t="shared" ref="C27:L27" si="6">C6</f>
        <v>2021</v>
      </c>
      <c r="D27" s="12">
        <f t="shared" si="6"/>
        <v>2022</v>
      </c>
      <c r="E27" s="12">
        <f t="shared" si="6"/>
        <v>2023</v>
      </c>
      <c r="F27" s="12">
        <f t="shared" si="6"/>
        <v>2024</v>
      </c>
      <c r="G27" s="12">
        <f t="shared" si="6"/>
        <v>2025</v>
      </c>
      <c r="H27" s="12">
        <f t="shared" si="6"/>
        <v>2026</v>
      </c>
      <c r="I27" s="12">
        <f t="shared" si="6"/>
        <v>2027</v>
      </c>
      <c r="J27" s="12">
        <f t="shared" si="6"/>
        <v>2028</v>
      </c>
      <c r="K27" s="12">
        <f t="shared" si="6"/>
        <v>2029</v>
      </c>
      <c r="L27" s="12">
        <f t="shared" si="6"/>
        <v>2030</v>
      </c>
    </row>
    <row r="28" spans="2:12" x14ac:dyDescent="0.2">
      <c r="B28" s="1" t="s">
        <v>136</v>
      </c>
      <c r="C28" s="114">
        <f>Statement!M55</f>
        <v>426</v>
      </c>
      <c r="D28" s="114">
        <f>Statement!N55</f>
        <v>-2066</v>
      </c>
      <c r="E28" s="114">
        <f>Statement!O55</f>
        <v>2472</v>
      </c>
      <c r="F28" s="114">
        <f>Statement!P55</f>
        <v>-768</v>
      </c>
      <c r="G28" s="115">
        <f>Statement!Q55</f>
        <v>-365</v>
      </c>
      <c r="H28" s="126">
        <f>-(H13-G13)</f>
        <v>382.51808219178065</v>
      </c>
      <c r="I28" s="126">
        <f t="shared" ref="I28:L29" si="7">-(I13-H13)</f>
        <v>-5.6520575342465236</v>
      </c>
      <c r="J28" s="126">
        <f t="shared" si="7"/>
        <v>-523.0067069863012</v>
      </c>
      <c r="K28" s="126">
        <f t="shared" si="7"/>
        <v>-1171.2905844144661</v>
      </c>
      <c r="L28" s="126">
        <f t="shared" si="7"/>
        <v>-1074.3197073691163</v>
      </c>
    </row>
    <row r="29" spans="2:12" x14ac:dyDescent="0.2">
      <c r="B29" s="1" t="s">
        <v>137</v>
      </c>
      <c r="C29" s="114">
        <f>Statement!M56</f>
        <v>-622</v>
      </c>
      <c r="D29" s="114">
        <f>Statement!N56</f>
        <v>-3137</v>
      </c>
      <c r="E29" s="114">
        <f>Statement!O56</f>
        <v>8</v>
      </c>
      <c r="F29" s="114">
        <f>Statement!P56</f>
        <v>13</v>
      </c>
      <c r="G29" s="115">
        <f>Statement!Q56</f>
        <v>-138</v>
      </c>
      <c r="H29" s="126">
        <f>-(H14-G14)</f>
        <v>-758.34444657534277</v>
      </c>
      <c r="I29" s="126">
        <f t="shared" si="7"/>
        <v>-320.88722463013619</v>
      </c>
      <c r="J29" s="126">
        <f t="shared" si="7"/>
        <v>-834.19681960000071</v>
      </c>
      <c r="K29" s="126">
        <f t="shared" si="7"/>
        <v>-1771.8380763137229</v>
      </c>
      <c r="L29" s="126">
        <f t="shared" si="7"/>
        <v>-1683.353542850642</v>
      </c>
    </row>
    <row r="30" spans="2:12" x14ac:dyDescent="0.2">
      <c r="B30" s="1" t="s">
        <v>138</v>
      </c>
      <c r="C30" s="114">
        <f>Statement!M57</f>
        <v>495</v>
      </c>
      <c r="D30" s="114">
        <f>Statement!N57</f>
        <v>1036</v>
      </c>
      <c r="E30" s="114">
        <f>Statement!O57</f>
        <v>603</v>
      </c>
      <c r="F30" s="114">
        <f>Statement!P57</f>
        <v>230</v>
      </c>
      <c r="G30" s="115">
        <f>Statement!Q57</f>
        <v>119</v>
      </c>
      <c r="H30" s="64">
        <f>H15-G15</f>
        <v>-72.961027397259841</v>
      </c>
      <c r="I30" s="64">
        <f t="shared" ref="I30:L30" si="8">I15-H15</f>
        <v>119.73403904109546</v>
      </c>
      <c r="J30" s="64">
        <f t="shared" si="8"/>
        <v>311.26746999999978</v>
      </c>
      <c r="K30" s="64">
        <f t="shared" si="8"/>
        <v>661.13361056482245</v>
      </c>
      <c r="L30" s="64">
        <f t="shared" si="8"/>
        <v>628.1169936009851</v>
      </c>
    </row>
    <row r="31" spans="2:12" x14ac:dyDescent="0.2">
      <c r="B31" s="109"/>
      <c r="C31" s="109"/>
    </row>
    <row r="32" spans="2:12" x14ac:dyDescent="0.2">
      <c r="B32" s="109"/>
      <c r="C32" s="109"/>
    </row>
    <row r="33" spans="2:12" x14ac:dyDescent="0.2">
      <c r="B33" s="109"/>
      <c r="C33" s="246" t="s">
        <v>139</v>
      </c>
      <c r="D33" s="246"/>
      <c r="E33" s="246"/>
      <c r="F33" s="246"/>
      <c r="G33" s="246"/>
      <c r="H33" s="246"/>
      <c r="I33" s="246"/>
      <c r="J33" s="246"/>
      <c r="K33" s="246"/>
      <c r="L33" s="246"/>
    </row>
    <row r="34" spans="2:12" x14ac:dyDescent="0.2">
      <c r="B34" s="16" t="s">
        <v>125</v>
      </c>
      <c r="C34" s="12">
        <f t="shared" ref="C34:L34" si="9">C6</f>
        <v>2021</v>
      </c>
      <c r="D34" s="12">
        <f t="shared" si="9"/>
        <v>2022</v>
      </c>
      <c r="E34" s="12">
        <f t="shared" si="9"/>
        <v>2023</v>
      </c>
      <c r="F34" s="12">
        <f t="shared" si="9"/>
        <v>2024</v>
      </c>
      <c r="G34" s="12">
        <f t="shared" si="9"/>
        <v>2025</v>
      </c>
      <c r="H34" s="12">
        <f t="shared" si="9"/>
        <v>2026</v>
      </c>
      <c r="I34" s="12">
        <f t="shared" si="9"/>
        <v>2027</v>
      </c>
      <c r="J34" s="12">
        <f t="shared" si="9"/>
        <v>2028</v>
      </c>
      <c r="K34" s="12">
        <f t="shared" si="9"/>
        <v>2029</v>
      </c>
      <c r="L34" s="12">
        <f t="shared" si="9"/>
        <v>2030</v>
      </c>
    </row>
    <row r="35" spans="2:12" x14ac:dyDescent="0.2">
      <c r="B35" s="1" t="s">
        <v>140</v>
      </c>
      <c r="C35" s="114">
        <f>Statement!M55+Statement!M56+Statement!M57+Statement!M58</f>
        <v>-461</v>
      </c>
      <c r="D35" s="114">
        <f>Statement!N55+Statement!N56+Statement!N57+Statement!N58</f>
        <v>-7970</v>
      </c>
      <c r="E35" s="114">
        <f>Statement!O55+Statement!O56+Statement!O57+Statement!O58</f>
        <v>3232</v>
      </c>
      <c r="F35" s="114">
        <f>Statement!P55+Statement!P56+Statement!P57+Statement!P58</f>
        <v>680</v>
      </c>
      <c r="G35" s="115">
        <f>Statement!Q55+Statement!Q56+Statement!Q57+Statement!Q58</f>
        <v>414</v>
      </c>
      <c r="H35" s="126">
        <f>H36+H28+H29+H30</f>
        <v>184.45785821917809</v>
      </c>
      <c r="I35" s="126">
        <f t="shared" ref="I35:L35" si="10">I36+I28+I29+I30</f>
        <v>427.35015437671268</v>
      </c>
      <c r="J35" s="126">
        <f t="shared" si="10"/>
        <v>-327.56119671130216</v>
      </c>
      <c r="K35" s="126">
        <f t="shared" si="10"/>
        <v>-1375.0079564745665</v>
      </c>
      <c r="L35" s="126">
        <f t="shared" si="10"/>
        <v>-1049.5720924050934</v>
      </c>
    </row>
    <row r="36" spans="2:12" x14ac:dyDescent="0.2">
      <c r="B36" s="1" t="s">
        <v>141</v>
      </c>
      <c r="C36" s="120">
        <f>C35-C28-C29-C30</f>
        <v>-760</v>
      </c>
      <c r="D36" s="120">
        <f t="shared" ref="D36:G36" si="11">D35-D28-D29-D30</f>
        <v>-3803</v>
      </c>
      <c r="E36" s="120">
        <f t="shared" si="11"/>
        <v>149</v>
      </c>
      <c r="F36" s="120">
        <f t="shared" si="11"/>
        <v>1205</v>
      </c>
      <c r="G36" s="121">
        <f t="shared" si="11"/>
        <v>798</v>
      </c>
      <c r="H36" s="64">
        <f>H7*H37</f>
        <v>633.24525000000006</v>
      </c>
      <c r="I36" s="64">
        <f>I7*I37</f>
        <v>634.15539749999994</v>
      </c>
      <c r="J36" s="64">
        <f>J7*J37</f>
        <v>718.37485987499997</v>
      </c>
      <c r="K36" s="64">
        <f>K7*K37</f>
        <v>906.98709368879997</v>
      </c>
      <c r="L36" s="64">
        <f>L7*L37</f>
        <v>1079.9841642136798</v>
      </c>
    </row>
    <row r="37" spans="2:12" x14ac:dyDescent="0.2">
      <c r="B37" s="122" t="s">
        <v>121</v>
      </c>
      <c r="C37" s="123">
        <f>C36/C7</f>
        <v>-2.264195912530537E-2</v>
      </c>
      <c r="D37" s="123">
        <f>D36/D7</f>
        <v>-8.6040723981900449E-2</v>
      </c>
      <c r="E37" s="123">
        <f>E36/E7</f>
        <v>4.159687325516471E-3</v>
      </c>
      <c r="F37" s="123">
        <f>F36/F7</f>
        <v>3.0927570453262151E-2</v>
      </c>
      <c r="G37" s="124">
        <f>G36/G7</f>
        <v>1.8020052389124741E-2</v>
      </c>
      <c r="H37" s="97">
        <v>1.4999999999999999E-2</v>
      </c>
      <c r="I37" s="97">
        <v>1.4999999999999999E-2</v>
      </c>
      <c r="J37" s="97">
        <v>1.4999999999999999E-2</v>
      </c>
      <c r="K37" s="97">
        <v>1.4999999999999999E-2</v>
      </c>
      <c r="L37" s="97">
        <v>1.4999999999999999E-2</v>
      </c>
    </row>
    <row r="38" spans="2:12" x14ac:dyDescent="0.2">
      <c r="C38" s="64"/>
    </row>
    <row r="39" spans="2:12" x14ac:dyDescent="0.2">
      <c r="C39" s="125"/>
    </row>
    <row r="40" spans="2:12" x14ac:dyDescent="0.2">
      <c r="C40" s="246" t="s">
        <v>142</v>
      </c>
      <c r="D40" s="246"/>
      <c r="E40" s="246"/>
      <c r="F40" s="246"/>
      <c r="G40" s="246"/>
      <c r="H40" s="246"/>
      <c r="I40" s="246"/>
      <c r="J40" s="246"/>
      <c r="K40" s="246"/>
      <c r="L40" s="246"/>
    </row>
    <row r="41" spans="2:12" x14ac:dyDescent="0.2">
      <c r="B41" s="16" t="s">
        <v>125</v>
      </c>
      <c r="C41" s="12">
        <f t="shared" ref="C41:L41" si="12">C6</f>
        <v>2021</v>
      </c>
      <c r="D41" s="12">
        <f t="shared" si="12"/>
        <v>2022</v>
      </c>
      <c r="E41" s="12">
        <f t="shared" si="12"/>
        <v>2023</v>
      </c>
      <c r="F41" s="12">
        <f t="shared" si="12"/>
        <v>2024</v>
      </c>
      <c r="G41" s="12">
        <f t="shared" si="12"/>
        <v>2025</v>
      </c>
      <c r="H41" s="12">
        <f t="shared" si="12"/>
        <v>2026</v>
      </c>
      <c r="I41" s="12">
        <f t="shared" si="12"/>
        <v>2027</v>
      </c>
      <c r="J41" s="12">
        <f t="shared" si="12"/>
        <v>2028</v>
      </c>
      <c r="K41" s="12">
        <f t="shared" si="12"/>
        <v>2029</v>
      </c>
      <c r="L41" s="12">
        <f t="shared" si="12"/>
        <v>2030</v>
      </c>
    </row>
    <row r="42" spans="2:12" x14ac:dyDescent="0.2">
      <c r="B42" s="1" t="s">
        <v>55</v>
      </c>
      <c r="C42" s="114">
        <f>Statement!M53</f>
        <v>1582</v>
      </c>
      <c r="D42" s="114">
        <f>Statement!N53</f>
        <v>1762</v>
      </c>
      <c r="E42" s="114">
        <f>Statement!O53</f>
        <v>1809</v>
      </c>
      <c r="F42" s="114">
        <f>Statement!P53</f>
        <v>1706</v>
      </c>
      <c r="G42" s="115">
        <f>Statement!Q53</f>
        <v>1602</v>
      </c>
      <c r="H42" s="25">
        <f>H7*H43</f>
        <v>1266.4905000000001</v>
      </c>
      <c r="I42" s="25">
        <f>I7*I43</f>
        <v>1268.3107949999999</v>
      </c>
      <c r="J42" s="25">
        <f>J7*J43</f>
        <v>1436.7497197499999</v>
      </c>
      <c r="K42" s="25">
        <f>K7*K43</f>
        <v>1813.9741873775999</v>
      </c>
      <c r="L42" s="25">
        <f>L7*L43</f>
        <v>2159.9683284273597</v>
      </c>
    </row>
    <row r="43" spans="2:12" x14ac:dyDescent="0.2">
      <c r="B43" s="122" t="s">
        <v>143</v>
      </c>
      <c r="C43" s="123">
        <f>C42/C7</f>
        <v>4.7131025442411961E-2</v>
      </c>
      <c r="D43" s="123">
        <f>D42/D7</f>
        <v>3.9864253393665158E-2</v>
      </c>
      <c r="E43" s="123">
        <f>E42/E7</f>
        <v>5.0502512562814073E-2</v>
      </c>
      <c r="F43" s="123">
        <f>F42/F7</f>
        <v>4.3786253272419279E-2</v>
      </c>
      <c r="G43" s="124">
        <f>G42/G7</f>
        <v>3.6175593893957185E-2</v>
      </c>
      <c r="H43" s="97">
        <v>0.03</v>
      </c>
      <c r="I43" s="97">
        <v>0.03</v>
      </c>
      <c r="J43" s="97">
        <v>0.03</v>
      </c>
      <c r="K43" s="97">
        <v>0.03</v>
      </c>
      <c r="L43" s="97">
        <v>0.03</v>
      </c>
    </row>
    <row r="44" spans="2:12" x14ac:dyDescent="0.2">
      <c r="B44" s="122" t="s">
        <v>144</v>
      </c>
      <c r="C44" s="123">
        <f>C42/C45</f>
        <v>0.83792372881355937</v>
      </c>
      <c r="D44" s="123">
        <f t="shared" ref="D44:L44" si="13">D42/D45</f>
        <v>0.77895667550839964</v>
      </c>
      <c r="E44" s="123">
        <f t="shared" si="13"/>
        <v>1.2475862068965518</v>
      </c>
      <c r="F44" s="123">
        <f t="shared" si="13"/>
        <v>1.6388088376560999</v>
      </c>
      <c r="G44" s="124">
        <f t="shared" si="13"/>
        <v>1.3439597315436242</v>
      </c>
      <c r="H44" s="123">
        <f t="shared" si="13"/>
        <v>0.85714285714285698</v>
      </c>
      <c r="I44" s="123">
        <f t="shared" si="13"/>
        <v>0.85714285714285698</v>
      </c>
      <c r="J44" s="123">
        <f t="shared" si="13"/>
        <v>0.85714285714285698</v>
      </c>
      <c r="K44" s="123">
        <f t="shared" si="13"/>
        <v>1.0714285714285714</v>
      </c>
      <c r="L44" s="123">
        <f t="shared" si="13"/>
        <v>1.1999999999999997</v>
      </c>
    </row>
    <row r="45" spans="2:12" x14ac:dyDescent="0.2">
      <c r="B45" s="1" t="s">
        <v>58</v>
      </c>
      <c r="C45" s="114">
        <f>-Statement!M109</f>
        <v>1888</v>
      </c>
      <c r="D45" s="114">
        <f>-Statement!N109</f>
        <v>2262</v>
      </c>
      <c r="E45" s="114">
        <f>-Statement!O109</f>
        <v>1450</v>
      </c>
      <c r="F45" s="114">
        <f>-Statement!P109</f>
        <v>1041</v>
      </c>
      <c r="G45" s="115">
        <f>-Statement!Q109</f>
        <v>1192</v>
      </c>
      <c r="H45" s="25">
        <f>H7*H46</f>
        <v>1477.5722500000004</v>
      </c>
      <c r="I45" s="25">
        <f>I7*I46</f>
        <v>1479.6959275000002</v>
      </c>
      <c r="J45" s="25">
        <f>J7*J46</f>
        <v>1676.2080063750002</v>
      </c>
      <c r="K45" s="25">
        <f>K7*K46</f>
        <v>1693.0425748857601</v>
      </c>
      <c r="L45" s="25">
        <f>L7*L46</f>
        <v>1799.9736070228</v>
      </c>
    </row>
    <row r="46" spans="2:12" x14ac:dyDescent="0.2">
      <c r="B46" s="122" t="s">
        <v>143</v>
      </c>
      <c r="C46" s="123">
        <f>C45/C7</f>
        <v>5.6247393195495439E-2</v>
      </c>
      <c r="D46" s="123">
        <f>D45/D7</f>
        <v>5.1176470588235295E-2</v>
      </c>
      <c r="E46" s="123">
        <f>E45/E7</f>
        <v>4.0480178671133446E-2</v>
      </c>
      <c r="F46" s="123">
        <f>F45/F7</f>
        <v>2.6718340947589958E-2</v>
      </c>
      <c r="G46" s="124">
        <f>G45/G7</f>
        <v>2.6917170987264025E-2</v>
      </c>
      <c r="H46" s="97">
        <v>3.5000000000000003E-2</v>
      </c>
      <c r="I46" s="97">
        <v>3.5000000000000003E-2</v>
      </c>
      <c r="J46" s="97">
        <v>3.5000000000000003E-2</v>
      </c>
      <c r="K46" s="97">
        <v>2.8000000000000001E-2</v>
      </c>
      <c r="L46" s="97">
        <v>2.5000000000000001E-2</v>
      </c>
    </row>
  </sheetData>
  <mergeCells count="13">
    <mergeCell ref="C40:L40"/>
    <mergeCell ref="C11:L11"/>
    <mergeCell ref="P11:Z11"/>
    <mergeCell ref="C18:L18"/>
    <mergeCell ref="B25:C25"/>
    <mergeCell ref="C26:L26"/>
    <mergeCell ref="C33:L33"/>
    <mergeCell ref="C3:G3"/>
    <mergeCell ref="H3:L3"/>
    <mergeCell ref="P3:W3"/>
    <mergeCell ref="X3:Z3"/>
    <mergeCell ref="C5:L5"/>
    <mergeCell ref="P5:Z5"/>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D0CC1-03C8-8940-8079-159588699646}">
  <dimension ref="A1:AE34"/>
  <sheetViews>
    <sheetView topLeftCell="A8" zoomScale="183" workbookViewId="0">
      <selection activeCell="C15" sqref="C15"/>
    </sheetView>
  </sheetViews>
  <sheetFormatPr baseColWidth="10" defaultRowHeight="16" x14ac:dyDescent="0.2"/>
  <cols>
    <col min="1" max="1" width="2" style="83"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4.6640625" style="1" customWidth="1"/>
    <col min="19" max="29" width="10.83203125" style="1"/>
    <col min="30" max="30" width="2" style="1" customWidth="1"/>
    <col min="31" max="31" width="12.33203125" style="1" customWidth="1"/>
    <col min="32" max="16384" width="10.83203125" style="1"/>
  </cols>
  <sheetData>
    <row r="1" spans="1:31" s="83" customFormat="1" ht="18" customHeight="1" x14ac:dyDescent="0.2">
      <c r="A1" s="4"/>
      <c r="B1" s="82" t="s">
        <v>145</v>
      </c>
    </row>
    <row r="2" spans="1:31" x14ac:dyDescent="0.2">
      <c r="A2" s="4"/>
      <c r="C2" s="240" t="s">
        <v>105</v>
      </c>
      <c r="D2" s="240"/>
      <c r="E2" s="240"/>
      <c r="F2" s="240"/>
      <c r="G2" s="249"/>
      <c r="H2" s="250" t="s">
        <v>106</v>
      </c>
      <c r="I2" s="240"/>
      <c r="J2" s="240"/>
      <c r="K2" s="240"/>
      <c r="L2" s="240"/>
      <c r="S2" s="251"/>
      <c r="T2" s="251"/>
      <c r="U2" s="251"/>
      <c r="V2" s="251"/>
      <c r="W2" s="251"/>
      <c r="X2" s="251"/>
      <c r="Y2" s="251"/>
      <c r="Z2" s="251"/>
      <c r="AA2" s="251"/>
      <c r="AB2" s="251"/>
      <c r="AC2" s="251"/>
      <c r="AE2" s="109"/>
    </row>
    <row r="3" spans="1:31" ht="10" customHeight="1" x14ac:dyDescent="0.2"/>
    <row r="4" spans="1:31" ht="16" customHeight="1" x14ac:dyDescent="0.2">
      <c r="A4" s="86"/>
      <c r="B4" s="60"/>
      <c r="C4" s="246" t="s">
        <v>18</v>
      </c>
      <c r="D4" s="246"/>
      <c r="E4" s="246"/>
      <c r="F4" s="246"/>
      <c r="G4" s="246"/>
      <c r="H4" s="246"/>
      <c r="I4" s="246"/>
      <c r="J4" s="246"/>
      <c r="K4" s="246"/>
      <c r="L4" s="246"/>
      <c r="S4" s="251"/>
      <c r="T4" s="251"/>
      <c r="U4" s="251"/>
      <c r="V4" s="251"/>
      <c r="W4" s="251"/>
      <c r="X4" s="251"/>
      <c r="Y4" s="251"/>
      <c r="Z4" s="251"/>
      <c r="AA4" s="251"/>
      <c r="AB4" s="251"/>
      <c r="AC4" s="251"/>
      <c r="AE4" s="110"/>
    </row>
    <row r="5" spans="1:31" x14ac:dyDescent="0.2">
      <c r="B5" s="16" t="s">
        <v>125</v>
      </c>
      <c r="C5" s="12">
        <f>Revenue!C5</f>
        <v>2021</v>
      </c>
      <c r="D5" s="12">
        <f>Revenue!D5</f>
        <v>2022</v>
      </c>
      <c r="E5" s="12">
        <f>Revenue!E5</f>
        <v>2023</v>
      </c>
      <c r="F5" s="12">
        <f>Revenue!F5</f>
        <v>2024</v>
      </c>
      <c r="G5" s="12">
        <f>Revenue!G5</f>
        <v>2025</v>
      </c>
      <c r="H5" s="12">
        <f>G5+1</f>
        <v>2026</v>
      </c>
      <c r="I5" s="12">
        <f t="shared" ref="I5:L5" si="0">H5+1</f>
        <v>2027</v>
      </c>
      <c r="J5" s="12">
        <f t="shared" si="0"/>
        <v>2028</v>
      </c>
      <c r="K5" s="12">
        <f t="shared" si="0"/>
        <v>2029</v>
      </c>
      <c r="L5" s="12">
        <f t="shared" si="0"/>
        <v>2030</v>
      </c>
      <c r="R5" s="16"/>
      <c r="S5" s="111"/>
      <c r="T5" s="111"/>
      <c r="U5" s="111"/>
      <c r="V5" s="111"/>
      <c r="W5" s="111"/>
      <c r="X5" s="111"/>
      <c r="Y5" s="111"/>
      <c r="Z5" s="111"/>
      <c r="AA5" s="111"/>
      <c r="AB5" s="111"/>
      <c r="AC5" s="111"/>
      <c r="AE5" s="110"/>
    </row>
    <row r="6" spans="1:31" x14ac:dyDescent="0.2">
      <c r="B6" s="16" t="s">
        <v>19</v>
      </c>
      <c r="C6" s="92">
        <f>Revenue!C12</f>
        <v>33566</v>
      </c>
      <c r="D6" s="92">
        <f>Revenue!D12</f>
        <v>44200</v>
      </c>
      <c r="E6" s="92">
        <f>Revenue!E12</f>
        <v>35820</v>
      </c>
      <c r="F6" s="92">
        <f>Revenue!F12</f>
        <v>38962</v>
      </c>
      <c r="G6" s="93">
        <f>Revenue!G12</f>
        <v>44284</v>
      </c>
      <c r="H6" s="92">
        <f>Revenue!H12</f>
        <v>42216.350000000006</v>
      </c>
      <c r="I6" s="92">
        <f>Revenue!I12</f>
        <v>42277.0265</v>
      </c>
      <c r="J6" s="92">
        <f>Revenue!J12</f>
        <v>47891.657325</v>
      </c>
      <c r="K6" s="92">
        <f>Revenue!K12</f>
        <v>60465.806245920001</v>
      </c>
      <c r="L6" s="92">
        <f>Revenue!L12</f>
        <v>71998.944280911994</v>
      </c>
      <c r="N6" s="90" t="s">
        <v>146</v>
      </c>
      <c r="Q6" s="90"/>
      <c r="S6" s="88"/>
      <c r="T6" s="88"/>
      <c r="U6" s="88"/>
      <c r="V6" s="88"/>
      <c r="W6" s="88"/>
      <c r="X6" s="88"/>
      <c r="Y6" s="88"/>
      <c r="Z6" s="88"/>
      <c r="AA6" s="64"/>
      <c r="AB6" s="64"/>
      <c r="AC6" s="64"/>
      <c r="AE6" s="64"/>
    </row>
    <row r="7" spans="1:31" x14ac:dyDescent="0.2">
      <c r="B7" s="1" t="s">
        <v>20</v>
      </c>
      <c r="C7" s="88">
        <f>'COGS &amp; OpEx'!C11</f>
        <v>14262</v>
      </c>
      <c r="D7" s="88">
        <f>'COGS &amp; OpEx'!D11</f>
        <v>18653</v>
      </c>
      <c r="E7" s="88">
        <f>'COGS &amp; OpEx'!E11</f>
        <v>15869</v>
      </c>
      <c r="F7" s="88">
        <f>'COGS &amp; OpEx'!F11</f>
        <v>17060</v>
      </c>
      <c r="G7" s="89">
        <f>'COGS &amp; OpEx'!G11</f>
        <v>19738</v>
      </c>
      <c r="H7" s="112">
        <f>'COGS &amp; OpEx'!H11</f>
        <v>19841.684500000003</v>
      </c>
      <c r="I7" s="112">
        <f>'COGS &amp; OpEx'!I11</f>
        <v>20715.742985000001</v>
      </c>
      <c r="J7" s="112">
        <f>'COGS &amp; OpEx'!J11</f>
        <v>22987.995515999999</v>
      </c>
      <c r="K7" s="112">
        <f>'COGS &amp; OpEx'!K11</f>
        <v>27814.270873123201</v>
      </c>
      <c r="L7" s="112">
        <f>'COGS &amp; OpEx'!L11</f>
        <v>32399.524926410399</v>
      </c>
      <c r="N7" s="90" t="s">
        <v>147</v>
      </c>
      <c r="Q7" s="90"/>
      <c r="S7" s="88"/>
      <c r="T7" s="88"/>
      <c r="U7" s="88"/>
      <c r="V7" s="88"/>
      <c r="W7" s="88"/>
      <c r="X7" s="88"/>
      <c r="Y7" s="88"/>
      <c r="Z7" s="88"/>
      <c r="AA7" s="64"/>
      <c r="AB7" s="64"/>
      <c r="AC7" s="64"/>
      <c r="AE7" s="64"/>
    </row>
    <row r="8" spans="1:31" x14ac:dyDescent="0.2">
      <c r="B8" s="16" t="s">
        <v>148</v>
      </c>
      <c r="C8" s="94">
        <f>C6-C7</f>
        <v>19304</v>
      </c>
      <c r="D8" s="94">
        <f t="shared" ref="D8:L8" si="1">D6-D7</f>
        <v>25547</v>
      </c>
      <c r="E8" s="94">
        <f t="shared" si="1"/>
        <v>19951</v>
      </c>
      <c r="F8" s="94">
        <f t="shared" si="1"/>
        <v>21902</v>
      </c>
      <c r="G8" s="127">
        <f t="shared" si="1"/>
        <v>24546</v>
      </c>
      <c r="H8" s="94">
        <f t="shared" si="1"/>
        <v>22374.665500000003</v>
      </c>
      <c r="I8" s="94">
        <f t="shared" si="1"/>
        <v>21561.283514999999</v>
      </c>
      <c r="J8" s="94">
        <f t="shared" si="1"/>
        <v>24903.661809000001</v>
      </c>
      <c r="K8" s="94">
        <f t="shared" si="1"/>
        <v>32651.535372796799</v>
      </c>
      <c r="L8" s="94">
        <f t="shared" si="1"/>
        <v>39599.419354501595</v>
      </c>
      <c r="N8" s="90"/>
      <c r="Q8" s="90"/>
      <c r="S8" s="88"/>
      <c r="T8" s="88"/>
      <c r="U8" s="88"/>
      <c r="V8" s="88"/>
      <c r="W8" s="88"/>
      <c r="X8" s="88"/>
      <c r="Y8" s="88"/>
      <c r="Z8" s="88"/>
      <c r="AA8" s="64"/>
      <c r="AB8" s="64"/>
      <c r="AC8" s="64"/>
      <c r="AE8" s="64"/>
    </row>
    <row r="9" spans="1:31" x14ac:dyDescent="0.2">
      <c r="B9" s="1" t="s">
        <v>23</v>
      </c>
      <c r="C9" s="88">
        <f>'COGS &amp; OpEx'!C14</f>
        <v>9515</v>
      </c>
      <c r="D9" s="88">
        <f>'COGS &amp; OpEx'!D14</f>
        <v>9705</v>
      </c>
      <c r="E9" s="88">
        <f>'COGS &amp; OpEx'!E14</f>
        <v>12163</v>
      </c>
      <c r="F9" s="88">
        <f>'COGS &amp; OpEx'!F14</f>
        <v>11831</v>
      </c>
      <c r="G9" s="89">
        <f>'COGS &amp; OpEx'!G14</f>
        <v>12191</v>
      </c>
      <c r="H9" s="112">
        <f>'COGS &amp; OpEx'!H14</f>
        <v>14353.559000000001</v>
      </c>
      <c r="I9" s="112">
        <f>'COGS &amp; OpEx'!I14</f>
        <v>16488.040335000002</v>
      </c>
      <c r="J9" s="112">
        <f>'COGS &amp; OpEx'!J14</f>
        <v>14846.413770749999</v>
      </c>
      <c r="K9" s="112">
        <f>'COGS &amp; OpEx'!K14</f>
        <v>16325.767686398402</v>
      </c>
      <c r="L9" s="112">
        <f>'COGS &amp; OpEx'!L14</f>
        <v>18719.72551303712</v>
      </c>
      <c r="N9" s="128" t="s">
        <v>147</v>
      </c>
      <c r="Q9" s="90"/>
      <c r="S9" s="88"/>
      <c r="T9" s="88"/>
      <c r="U9" s="88"/>
      <c r="V9" s="88"/>
      <c r="W9" s="88"/>
      <c r="X9" s="88"/>
      <c r="Y9" s="88"/>
      <c r="Z9" s="88"/>
      <c r="AA9" s="64"/>
      <c r="AB9" s="64"/>
      <c r="AC9" s="64"/>
      <c r="AE9" s="64"/>
    </row>
    <row r="10" spans="1:31" x14ac:dyDescent="0.2">
      <c r="B10" s="16" t="s">
        <v>149</v>
      </c>
      <c r="C10" s="94">
        <f t="shared" ref="C10:L10" si="2">C8-C9</f>
        <v>9789</v>
      </c>
      <c r="D10" s="94">
        <f t="shared" si="2"/>
        <v>15842</v>
      </c>
      <c r="E10" s="94">
        <f t="shared" si="2"/>
        <v>7788</v>
      </c>
      <c r="F10" s="94">
        <f t="shared" si="2"/>
        <v>10071</v>
      </c>
      <c r="G10" s="127">
        <f t="shared" si="2"/>
        <v>12355</v>
      </c>
      <c r="H10" s="94">
        <f t="shared" si="2"/>
        <v>8021.1065000000017</v>
      </c>
      <c r="I10" s="94">
        <f t="shared" si="2"/>
        <v>5073.2431799999977</v>
      </c>
      <c r="J10" s="94">
        <f t="shared" si="2"/>
        <v>10057.248038250002</v>
      </c>
      <c r="K10" s="94">
        <f t="shared" si="2"/>
        <v>16325.767686398398</v>
      </c>
      <c r="L10" s="94">
        <f t="shared" si="2"/>
        <v>20879.693841464476</v>
      </c>
      <c r="N10" s="90"/>
      <c r="Q10" s="90"/>
      <c r="S10" s="88"/>
      <c r="T10" s="88"/>
      <c r="U10" s="88"/>
      <c r="V10" s="88"/>
      <c r="W10" s="88"/>
      <c r="X10" s="88"/>
      <c r="Y10" s="88"/>
      <c r="Z10" s="88"/>
      <c r="AA10" s="64"/>
      <c r="AB10" s="64"/>
      <c r="AC10" s="64"/>
      <c r="AE10" s="64"/>
    </row>
    <row r="13" spans="1:31" x14ac:dyDescent="0.2">
      <c r="C13" s="246" t="s">
        <v>150</v>
      </c>
      <c r="D13" s="246"/>
      <c r="E13" s="246"/>
      <c r="F13" s="246"/>
      <c r="G13" s="246"/>
      <c r="H13" s="246"/>
      <c r="I13" s="246"/>
      <c r="J13" s="246"/>
      <c r="K13" s="246"/>
      <c r="L13" s="246"/>
    </row>
    <row r="14" spans="1:31" x14ac:dyDescent="0.2">
      <c r="C14" s="12">
        <f t="shared" ref="C14:L14" si="3">C5</f>
        <v>2021</v>
      </c>
      <c r="D14" s="12">
        <f t="shared" si="3"/>
        <v>2022</v>
      </c>
      <c r="E14" s="12">
        <f t="shared" si="3"/>
        <v>2023</v>
      </c>
      <c r="F14" s="12">
        <f t="shared" si="3"/>
        <v>2024</v>
      </c>
      <c r="G14" s="12">
        <f t="shared" si="3"/>
        <v>2025</v>
      </c>
      <c r="H14" s="12">
        <f t="shared" si="3"/>
        <v>2026</v>
      </c>
      <c r="I14" s="12">
        <f t="shared" si="3"/>
        <v>2027</v>
      </c>
      <c r="J14" s="12">
        <f t="shared" si="3"/>
        <v>2028</v>
      </c>
      <c r="K14" s="12">
        <f t="shared" si="3"/>
        <v>2029</v>
      </c>
      <c r="L14" s="12">
        <f t="shared" si="3"/>
        <v>2030</v>
      </c>
    </row>
    <row r="15" spans="1:31" x14ac:dyDescent="0.2">
      <c r="B15" s="1" t="s">
        <v>71</v>
      </c>
      <c r="C15" s="129">
        <f>Statement!M83</f>
        <v>0.11981701382129648</v>
      </c>
      <c r="D15" s="129">
        <f>Statement!N83</f>
        <v>0.13415122016268835</v>
      </c>
      <c r="E15" s="129">
        <f>Statement!O83</f>
        <v>1.3972860405750369E-2</v>
      </c>
      <c r="F15" s="129">
        <f>Statement!P83</f>
        <v>2.186532507739938E-2</v>
      </c>
      <c r="G15" s="130">
        <f>Statement!Q83</f>
        <v>0.1122956645344705</v>
      </c>
      <c r="H15" s="129">
        <f>Overview!$C$26</f>
        <v>0.21</v>
      </c>
      <c r="I15" s="129">
        <f>Overview!$C$26</f>
        <v>0.21</v>
      </c>
      <c r="J15" s="129">
        <f>Overview!$C$26</f>
        <v>0.21</v>
      </c>
      <c r="K15" s="129">
        <f>Overview!$C$26</f>
        <v>0.21</v>
      </c>
      <c r="L15" s="129">
        <f>Overview!$C$26</f>
        <v>0.21</v>
      </c>
      <c r="N15" s="1" t="s">
        <v>155</v>
      </c>
    </row>
    <row r="18" spans="2:14" x14ac:dyDescent="0.2">
      <c r="C18" s="246" t="s">
        <v>151</v>
      </c>
      <c r="D18" s="246"/>
      <c r="E18" s="246"/>
      <c r="F18" s="246"/>
      <c r="G18" s="246"/>
      <c r="H18" s="246"/>
      <c r="I18" s="246"/>
      <c r="J18" s="246"/>
      <c r="K18" s="246"/>
      <c r="L18" s="246"/>
    </row>
    <row r="19" spans="2:14" x14ac:dyDescent="0.2">
      <c r="B19" s="16" t="s">
        <v>125</v>
      </c>
      <c r="C19" s="12">
        <f t="shared" ref="C19:L19" si="4">C5</f>
        <v>2021</v>
      </c>
      <c r="D19" s="12">
        <f t="shared" si="4"/>
        <v>2022</v>
      </c>
      <c r="E19" s="12">
        <f t="shared" si="4"/>
        <v>2023</v>
      </c>
      <c r="F19" s="12">
        <f t="shared" si="4"/>
        <v>2024</v>
      </c>
      <c r="G19" s="12">
        <f t="shared" si="4"/>
        <v>2025</v>
      </c>
      <c r="H19" s="12">
        <f t="shared" si="4"/>
        <v>2026</v>
      </c>
      <c r="I19" s="12">
        <f t="shared" si="4"/>
        <v>2027</v>
      </c>
      <c r="J19" s="12">
        <f t="shared" si="4"/>
        <v>2028</v>
      </c>
      <c r="K19" s="12">
        <f t="shared" si="4"/>
        <v>2029</v>
      </c>
      <c r="L19" s="12">
        <f t="shared" si="4"/>
        <v>2030</v>
      </c>
    </row>
    <row r="20" spans="2:14" x14ac:dyDescent="0.2">
      <c r="B20" s="1" t="s">
        <v>55</v>
      </c>
      <c r="C20" s="88">
        <f>'WC &amp; Investments'!C42</f>
        <v>1582</v>
      </c>
      <c r="D20" s="88">
        <f>'WC &amp; Investments'!D42</f>
        <v>1762</v>
      </c>
      <c r="E20" s="88">
        <f>'WC &amp; Investments'!E42</f>
        <v>1809</v>
      </c>
      <c r="F20" s="88">
        <f>'WC &amp; Investments'!F42</f>
        <v>1706</v>
      </c>
      <c r="G20" s="89">
        <f>'WC &amp; Investments'!G42</f>
        <v>1602</v>
      </c>
      <c r="H20" s="88">
        <f>'WC &amp; Investments'!H42</f>
        <v>1266.4905000000001</v>
      </c>
      <c r="I20" s="88">
        <f>'WC &amp; Investments'!I42</f>
        <v>1268.3107949999999</v>
      </c>
      <c r="J20" s="88">
        <f>'WC &amp; Investments'!J42</f>
        <v>1436.7497197499999</v>
      </c>
      <c r="K20" s="88">
        <f>'WC &amp; Investments'!K42</f>
        <v>1813.9741873775999</v>
      </c>
      <c r="L20" s="88">
        <f>'WC &amp; Investments'!L42</f>
        <v>2159.9683284273597</v>
      </c>
      <c r="N20" s="1" t="s">
        <v>152</v>
      </c>
    </row>
    <row r="21" spans="2:14" x14ac:dyDescent="0.2">
      <c r="B21" s="1" t="s">
        <v>58</v>
      </c>
      <c r="C21" s="88">
        <f>'WC &amp; Investments'!C45</f>
        <v>1888</v>
      </c>
      <c r="D21" s="88">
        <f>'WC &amp; Investments'!D45</f>
        <v>2262</v>
      </c>
      <c r="E21" s="88">
        <f>'WC &amp; Investments'!E45</f>
        <v>1450</v>
      </c>
      <c r="F21" s="88">
        <f>'WC &amp; Investments'!F45</f>
        <v>1041</v>
      </c>
      <c r="G21" s="89">
        <f>'WC &amp; Investments'!G45</f>
        <v>1192</v>
      </c>
      <c r="H21" s="88">
        <f>'WC &amp; Investments'!H45</f>
        <v>1477.5722500000004</v>
      </c>
      <c r="I21" s="88">
        <f>'WC &amp; Investments'!I45</f>
        <v>1479.6959275000002</v>
      </c>
      <c r="J21" s="88">
        <f>'WC &amp; Investments'!J45</f>
        <v>1676.2080063750002</v>
      </c>
      <c r="K21" s="88">
        <f>'WC &amp; Investments'!K45</f>
        <v>1693.0425748857601</v>
      </c>
      <c r="L21" s="88">
        <f>'WC &amp; Investments'!L45</f>
        <v>1799.9736070228</v>
      </c>
      <c r="N21" s="1" t="s">
        <v>152</v>
      </c>
    </row>
    <row r="22" spans="2:14" x14ac:dyDescent="0.2">
      <c r="B22" s="1" t="s">
        <v>153</v>
      </c>
      <c r="C22" s="88">
        <f>'WC &amp; Investments'!C35</f>
        <v>-461</v>
      </c>
      <c r="D22" s="88">
        <f>'WC &amp; Investments'!D35</f>
        <v>-7970</v>
      </c>
      <c r="E22" s="88">
        <f>'WC &amp; Investments'!E35</f>
        <v>3232</v>
      </c>
      <c r="F22" s="88">
        <f>'WC &amp; Investments'!F35</f>
        <v>680</v>
      </c>
      <c r="G22" s="89">
        <f>'WC &amp; Investments'!G35</f>
        <v>414</v>
      </c>
      <c r="H22" s="88">
        <f>'WC &amp; Investments'!H35</f>
        <v>184.45785821917809</v>
      </c>
      <c r="I22" s="88">
        <f>'WC &amp; Investments'!I35</f>
        <v>427.35015437671268</v>
      </c>
      <c r="J22" s="88">
        <f>'WC &amp; Investments'!J35</f>
        <v>-327.56119671130216</v>
      </c>
      <c r="K22" s="88">
        <f>'WC &amp; Investments'!K35</f>
        <v>-1375.0079564745665</v>
      </c>
      <c r="L22" s="88">
        <f>'WC &amp; Investments'!L35</f>
        <v>-1049.5720924050934</v>
      </c>
      <c r="N22" s="1" t="s">
        <v>152</v>
      </c>
    </row>
    <row r="25" spans="2:14" x14ac:dyDescent="0.2">
      <c r="C25" s="246" t="s">
        <v>254</v>
      </c>
      <c r="D25" s="246"/>
      <c r="E25" s="246"/>
      <c r="F25" s="246"/>
      <c r="G25" s="246"/>
      <c r="H25" s="246"/>
      <c r="I25" s="246"/>
      <c r="J25" s="246"/>
      <c r="K25" s="246"/>
      <c r="L25" s="246"/>
    </row>
    <row r="26" spans="2:14" x14ac:dyDescent="0.2">
      <c r="B26" s="16" t="s">
        <v>125</v>
      </c>
      <c r="C26" s="12">
        <f t="shared" ref="C26:L26" si="5">C5</f>
        <v>2021</v>
      </c>
      <c r="D26" s="12">
        <f t="shared" si="5"/>
        <v>2022</v>
      </c>
      <c r="E26" s="12">
        <f t="shared" si="5"/>
        <v>2023</v>
      </c>
      <c r="F26" s="12">
        <f t="shared" si="5"/>
        <v>2024</v>
      </c>
      <c r="G26" s="12">
        <f t="shared" si="5"/>
        <v>2025</v>
      </c>
      <c r="H26" s="12">
        <f t="shared" si="5"/>
        <v>2026</v>
      </c>
      <c r="I26" s="12">
        <f t="shared" si="5"/>
        <v>2027</v>
      </c>
      <c r="J26" s="12">
        <f t="shared" si="5"/>
        <v>2028</v>
      </c>
      <c r="K26" s="12">
        <f t="shared" si="5"/>
        <v>2029</v>
      </c>
      <c r="L26" s="12">
        <f t="shared" si="5"/>
        <v>2030</v>
      </c>
    </row>
    <row r="27" spans="2:14" x14ac:dyDescent="0.2">
      <c r="B27" s="1" t="s">
        <v>154</v>
      </c>
      <c r="C27" s="126">
        <f>C10*(1-C15)</f>
        <v>8616.1112517033289</v>
      </c>
      <c r="D27" s="126">
        <f t="shared" ref="D27:L27" si="6">D10*(1-D15)</f>
        <v>13716.776370182692</v>
      </c>
      <c r="E27" s="126">
        <f t="shared" si="6"/>
        <v>7679.1793631600158</v>
      </c>
      <c r="F27" s="126">
        <f t="shared" si="6"/>
        <v>9850.7943111455115</v>
      </c>
      <c r="G27" s="131">
        <f t="shared" si="6"/>
        <v>10967.587064676618</v>
      </c>
      <c r="H27" s="126">
        <f t="shared" si="6"/>
        <v>6336.674135000002</v>
      </c>
      <c r="I27" s="126">
        <f t="shared" si="6"/>
        <v>4007.8621121999981</v>
      </c>
      <c r="J27" s="126">
        <f t="shared" si="6"/>
        <v>7945.225950217502</v>
      </c>
      <c r="K27" s="126">
        <f t="shared" si="6"/>
        <v>12897.356472254734</v>
      </c>
      <c r="L27" s="126">
        <f t="shared" si="6"/>
        <v>16494.958134756936</v>
      </c>
    </row>
    <row r="28" spans="2:14" x14ac:dyDescent="0.2">
      <c r="B28" s="16" t="s">
        <v>254</v>
      </c>
      <c r="C28" s="94">
        <f>C27+C20-C21+C22</f>
        <v>7849.1112517033289</v>
      </c>
      <c r="D28" s="94">
        <f t="shared" ref="D28:L28" si="7">D27+D20-D21+D22</f>
        <v>5246.7763701826916</v>
      </c>
      <c r="E28" s="94">
        <f t="shared" si="7"/>
        <v>11270.179363160016</v>
      </c>
      <c r="F28" s="94">
        <f t="shared" si="7"/>
        <v>11195.794311145512</v>
      </c>
      <c r="G28" s="127">
        <f t="shared" si="7"/>
        <v>11791.587064676618</v>
      </c>
      <c r="H28" s="94">
        <f t="shared" si="7"/>
        <v>6310.0502432191797</v>
      </c>
      <c r="I28" s="94">
        <f t="shared" si="7"/>
        <v>4223.8271340767105</v>
      </c>
      <c r="J28" s="94">
        <f t="shared" si="7"/>
        <v>7378.2064668812</v>
      </c>
      <c r="K28" s="94">
        <f t="shared" si="7"/>
        <v>11643.280128272008</v>
      </c>
      <c r="L28" s="94">
        <f t="shared" si="7"/>
        <v>15805.380763756404</v>
      </c>
    </row>
    <row r="31" spans="2:14" x14ac:dyDescent="0.2">
      <c r="C31" s="246" t="s">
        <v>75</v>
      </c>
      <c r="D31" s="246"/>
      <c r="E31" s="246"/>
      <c r="F31" s="246"/>
      <c r="G31" s="246"/>
      <c r="H31" s="246"/>
      <c r="I31" s="246"/>
      <c r="J31" s="246"/>
      <c r="K31" s="246"/>
      <c r="L31" s="246"/>
    </row>
    <row r="32" spans="2:14" x14ac:dyDescent="0.2">
      <c r="B32" s="16" t="s">
        <v>324</v>
      </c>
      <c r="C32" s="12">
        <f>C5</f>
        <v>2021</v>
      </c>
      <c r="D32" s="12">
        <f t="shared" ref="D32:L32" si="8">D5</f>
        <v>2022</v>
      </c>
      <c r="E32" s="12">
        <f t="shared" si="8"/>
        <v>2023</v>
      </c>
      <c r="F32" s="12">
        <f t="shared" si="8"/>
        <v>2024</v>
      </c>
      <c r="G32" s="12">
        <f t="shared" si="8"/>
        <v>2025</v>
      </c>
      <c r="H32" s="12">
        <f t="shared" si="8"/>
        <v>2026</v>
      </c>
      <c r="I32" s="12">
        <f t="shared" si="8"/>
        <v>2027</v>
      </c>
      <c r="J32" s="12">
        <f t="shared" si="8"/>
        <v>2028</v>
      </c>
      <c r="K32" s="12">
        <f t="shared" si="8"/>
        <v>2029</v>
      </c>
      <c r="L32" s="12">
        <f t="shared" si="8"/>
        <v>2030</v>
      </c>
    </row>
    <row r="33" spans="2:12" x14ac:dyDescent="0.2">
      <c r="B33" s="1" t="s">
        <v>76</v>
      </c>
      <c r="C33" s="129">
        <f>Statement!M100</f>
        <v>0.57510576178275641</v>
      </c>
      <c r="D33" s="129">
        <f>Statement!N100</f>
        <v>0.57798642533936651</v>
      </c>
      <c r="E33" s="129">
        <f>Statement!O100</f>
        <v>0.55697934115019543</v>
      </c>
      <c r="F33" s="129">
        <f>Statement!P100</f>
        <v>0.56213746727580716</v>
      </c>
      <c r="G33" s="130">
        <f>Statement!Q100</f>
        <v>0.55428597236022037</v>
      </c>
      <c r="H33" s="212">
        <f>H8/H6</f>
        <v>0.53</v>
      </c>
      <c r="I33" s="212">
        <f t="shared" ref="I33:L33" si="9">I8/I6</f>
        <v>0.51</v>
      </c>
      <c r="J33" s="212">
        <f t="shared" si="9"/>
        <v>0.52</v>
      </c>
      <c r="K33" s="212">
        <f t="shared" si="9"/>
        <v>0.54</v>
      </c>
      <c r="L33" s="212">
        <f t="shared" si="9"/>
        <v>0.54999999999999993</v>
      </c>
    </row>
    <row r="34" spans="2:12" x14ac:dyDescent="0.2">
      <c r="B34" s="1" t="s">
        <v>77</v>
      </c>
      <c r="C34" s="129">
        <f>Statement!M101</f>
        <v>0.2916343919442293</v>
      </c>
      <c r="D34" s="129">
        <f>Statement!N101</f>
        <v>0.35882352941176471</v>
      </c>
      <c r="E34" s="129">
        <f>Statement!O101</f>
        <v>0.21742043551088777</v>
      </c>
      <c r="F34" s="129">
        <f>Statement!P101</f>
        <v>0.25848262409527234</v>
      </c>
      <c r="G34" s="130">
        <f>Statement!Q101</f>
        <v>0.27899467076144885</v>
      </c>
      <c r="H34" s="212">
        <f>H10/H6</f>
        <v>0.19</v>
      </c>
      <c r="I34" s="212">
        <f t="shared" ref="I34:L34" si="10">I10/I6</f>
        <v>0.11999999999999994</v>
      </c>
      <c r="J34" s="212">
        <f t="shared" si="10"/>
        <v>0.21000000000000002</v>
      </c>
      <c r="K34" s="212">
        <f t="shared" si="10"/>
        <v>0.26999999999999996</v>
      </c>
      <c r="L34" s="212">
        <f t="shared" si="10"/>
        <v>0.28999999999999998</v>
      </c>
    </row>
  </sheetData>
  <mergeCells count="10">
    <mergeCell ref="C31:L31"/>
    <mergeCell ref="C25:L25"/>
    <mergeCell ref="C2:G2"/>
    <mergeCell ref="H2:L2"/>
    <mergeCell ref="S2:Z2"/>
    <mergeCell ref="AA2:AC2"/>
    <mergeCell ref="C4:L4"/>
    <mergeCell ref="S4:AC4"/>
    <mergeCell ref="C13:L13"/>
    <mergeCell ref="C18:L18"/>
  </mergeCells>
  <pageMargins left="0.7" right="0.7" top="0.75" bottom="0.75" header="0.3" footer="0.3"/>
  <ignoredErrors>
    <ignoredError sqref="C9:L9"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B80D-D3C0-DD46-8304-4441946EF9E3}">
  <sheetPr>
    <tabColor theme="6" tint="0.59999389629810485"/>
  </sheetPr>
  <dimension ref="B5:H13"/>
  <sheetViews>
    <sheetView workbookViewId="0">
      <selection activeCell="H6" sqref="H6"/>
    </sheetView>
  </sheetViews>
  <sheetFormatPr baseColWidth="10" defaultRowHeight="16" x14ac:dyDescent="0.2"/>
  <cols>
    <col min="1" max="7" width="10.83203125" style="1"/>
    <col min="8" max="8" width="17" style="1" customWidth="1"/>
    <col min="9" max="16384" width="10.83203125" style="1"/>
  </cols>
  <sheetData>
    <row r="5" spans="2:8" x14ac:dyDescent="0.2">
      <c r="H5" s="132" t="s">
        <v>431</v>
      </c>
    </row>
    <row r="6" spans="2:8" x14ac:dyDescent="0.2">
      <c r="H6" s="235" t="s">
        <v>436</v>
      </c>
    </row>
    <row r="7" spans="2:8" x14ac:dyDescent="0.2">
      <c r="H7" s="235" t="s">
        <v>432</v>
      </c>
    </row>
    <row r="8" spans="2:8" x14ac:dyDescent="0.2">
      <c r="H8" s="235" t="s">
        <v>433</v>
      </c>
    </row>
    <row r="9" spans="2:8" x14ac:dyDescent="0.2">
      <c r="H9" s="235" t="s">
        <v>434</v>
      </c>
    </row>
    <row r="10" spans="2:8" x14ac:dyDescent="0.2">
      <c r="H10" s="236" t="s">
        <v>435</v>
      </c>
    </row>
    <row r="13" spans="2:8" s="4" customFormat="1" ht="49" x14ac:dyDescent="0.2">
      <c r="B13" s="3" t="s">
        <v>156</v>
      </c>
    </row>
  </sheetData>
  <hyperlinks>
    <hyperlink ref="H6" location="Overview!B3" display="Overview'!B3" xr:uid="{6013F207-540F-1649-B587-D0A267965739}"/>
    <hyperlink ref="H8" location="'Analysis -&gt;'!B13" display="'Analysis -&gt;'!B13" xr:uid="{F21FBB04-AC52-A647-B388-217F84150366}"/>
    <hyperlink ref="H9" location="'Forecast -&gt;'!B13" display="'Forecast -&gt;'!B13" xr:uid="{58F574B5-5D83-0C4F-A190-CB17B6F437F0}"/>
    <hyperlink ref="H10" location="'Valuation -&gt;'!B13" display="'Valuation -&gt;'!B13" xr:uid="{23847DEB-9734-4F49-8199-B43CE4351C5D}"/>
    <hyperlink ref="H7" location="'Financials -&gt;'!B13" display="'Financials -&gt;'!B13" xr:uid="{475EE0E0-0A10-2346-A106-16E3CD67971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FE7C-2B1B-7C49-B055-001352253955}">
  <dimension ref="A1:C20"/>
  <sheetViews>
    <sheetView topLeftCell="A12" zoomScale="187" zoomScaleNormal="100" workbookViewId="0">
      <selection activeCell="C10" sqref="C10"/>
    </sheetView>
  </sheetViews>
  <sheetFormatPr baseColWidth="10" defaultRowHeight="16" x14ac:dyDescent="0.2"/>
  <cols>
    <col min="1" max="1" width="2" style="83" customWidth="1"/>
    <col min="2" max="2" width="34.6640625" style="1" customWidth="1"/>
    <col min="3" max="3" width="11.6640625" style="1" bestFit="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3" s="83" customFormat="1" ht="18" customHeight="1" x14ac:dyDescent="0.2">
      <c r="A1" s="4"/>
      <c r="B1" s="82" t="s">
        <v>157</v>
      </c>
    </row>
    <row r="2" spans="1:3" s="83" customFormat="1" ht="18" customHeight="1" x14ac:dyDescent="0.2">
      <c r="A2" s="4"/>
      <c r="B2" s="82"/>
    </row>
    <row r="3" spans="1:3" ht="17" customHeight="1" x14ac:dyDescent="0.2"/>
    <row r="4" spans="1:3" ht="17" customHeight="1" x14ac:dyDescent="0.2">
      <c r="B4" s="240" t="s">
        <v>158</v>
      </c>
      <c r="C4" s="240"/>
    </row>
    <row r="5" spans="1:3" ht="17" customHeight="1" x14ac:dyDescent="0.2">
      <c r="B5" s="1" t="s">
        <v>159</v>
      </c>
      <c r="C5" s="136">
        <f>Statement!AC78</f>
        <v>1062</v>
      </c>
    </row>
    <row r="6" spans="1:3" ht="17" customHeight="1" x14ac:dyDescent="0.2">
      <c r="B6" s="1" t="s">
        <v>1</v>
      </c>
      <c r="C6" s="133">
        <f ca="1">Overview!C5</f>
        <v>178.4</v>
      </c>
    </row>
    <row r="7" spans="1:3" ht="17" customHeight="1" x14ac:dyDescent="0.2">
      <c r="B7" s="1" t="s">
        <v>160</v>
      </c>
      <c r="C7" s="134">
        <f ca="1">C5*C6</f>
        <v>189460.80000000002</v>
      </c>
    </row>
    <row r="8" spans="1:3" ht="17" customHeight="1" x14ac:dyDescent="0.2">
      <c r="B8" s="1" t="s">
        <v>161</v>
      </c>
      <c r="C8" s="112">
        <f>Statement!AC107</f>
        <v>15270</v>
      </c>
    </row>
    <row r="9" spans="1:3" ht="17" customHeight="1" x14ac:dyDescent="0.2">
      <c r="B9" s="1" t="s">
        <v>162</v>
      </c>
      <c r="C9" s="135">
        <f ca="1">Overview!F27</f>
        <v>5.1900000000000002E-2</v>
      </c>
    </row>
    <row r="10" spans="1:3" ht="17" customHeight="1" x14ac:dyDescent="0.2">
      <c r="B10" s="1" t="s">
        <v>9</v>
      </c>
      <c r="C10" s="133">
        <f ca="1">Overview!C13</f>
        <v>1.6911</v>
      </c>
    </row>
    <row r="11" spans="1:3" ht="17" customHeight="1" x14ac:dyDescent="0.2">
      <c r="B11" s="1" t="s">
        <v>163</v>
      </c>
      <c r="C11" s="135">
        <f>[1]Sheet1!$C$12</f>
        <v>4.4999999999999998E-2</v>
      </c>
    </row>
    <row r="12" spans="1:3" ht="17" customHeight="1" x14ac:dyDescent="0.2">
      <c r="B12" s="1" t="s">
        <v>71</v>
      </c>
      <c r="C12" s="135">
        <f>Overview!C26</f>
        <v>0.21</v>
      </c>
    </row>
    <row r="13" spans="1:3" ht="17" customHeight="1" x14ac:dyDescent="0.2">
      <c r="B13" s="1" t="s">
        <v>164</v>
      </c>
      <c r="C13" s="135">
        <f>Overview!C27</f>
        <v>5.3499999999999999E-2</v>
      </c>
    </row>
    <row r="14" spans="1:3" ht="17" customHeight="1" x14ac:dyDescent="0.2"/>
    <row r="15" spans="1:3" ht="17" customHeight="1" x14ac:dyDescent="0.2">
      <c r="B15" s="240" t="s">
        <v>165</v>
      </c>
      <c r="C15" s="240"/>
    </row>
    <row r="16" spans="1:3" ht="17" customHeight="1" x14ac:dyDescent="0.2">
      <c r="B16" s="1" t="s">
        <v>166</v>
      </c>
      <c r="C16" s="46">
        <f ca="1">C8/(C8+C7)</f>
        <v>7.4585748700244411E-2</v>
      </c>
    </row>
    <row r="17" spans="2:3" ht="17" customHeight="1" x14ac:dyDescent="0.2">
      <c r="B17" s="1" t="s">
        <v>167</v>
      </c>
      <c r="C17" s="46">
        <f ca="1">C7/(C8+C7)</f>
        <v>0.92541425129975563</v>
      </c>
    </row>
    <row r="18" spans="2:3" ht="17" customHeight="1" x14ac:dyDescent="0.2">
      <c r="B18" s="1" t="s">
        <v>168</v>
      </c>
      <c r="C18" s="46">
        <f>C13*(1-C12)</f>
        <v>4.2265000000000004E-2</v>
      </c>
    </row>
    <row r="19" spans="2:3" ht="17" customHeight="1" x14ac:dyDescent="0.2">
      <c r="B19" s="1" t="s">
        <v>169</v>
      </c>
      <c r="C19" s="46">
        <f ca="1">C9+C10*C11</f>
        <v>0.12799949999999999</v>
      </c>
    </row>
    <row r="20" spans="2:3" ht="17" customHeight="1" x14ac:dyDescent="0.2">
      <c r="B20" s="1" t="s">
        <v>157</v>
      </c>
      <c r="C20" s="46">
        <f ca="1">(C17*C19)+(C16*C18)</f>
        <v>0.12160492812805888</v>
      </c>
    </row>
  </sheetData>
  <mergeCells count="2">
    <mergeCell ref="B4:C4"/>
    <mergeCell ref="B15:C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76C87-6799-634E-8DEB-EF0E693AF74F}">
  <dimension ref="A1:AB26"/>
  <sheetViews>
    <sheetView topLeftCell="C1" zoomScale="188" zoomScaleNormal="100" workbookViewId="0">
      <selection activeCell="B27" sqref="B27"/>
    </sheetView>
  </sheetViews>
  <sheetFormatPr baseColWidth="10" defaultRowHeight="16" x14ac:dyDescent="0.2"/>
  <cols>
    <col min="1" max="1" width="2" style="83"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171</v>
      </c>
    </row>
    <row r="2" spans="1:28" s="83" customFormat="1" ht="18" customHeight="1" x14ac:dyDescent="0.2">
      <c r="A2" s="4"/>
      <c r="B2" s="82"/>
    </row>
    <row r="3" spans="1:28" x14ac:dyDescent="0.2">
      <c r="A3" s="4"/>
      <c r="C3" s="240" t="s">
        <v>105</v>
      </c>
      <c r="D3" s="240"/>
      <c r="E3" s="240"/>
      <c r="F3" s="240"/>
      <c r="G3" s="249"/>
      <c r="H3" s="250" t="s">
        <v>106</v>
      </c>
      <c r="I3" s="240"/>
      <c r="J3" s="240"/>
      <c r="K3" s="240"/>
      <c r="L3" s="240"/>
      <c r="P3" s="251"/>
      <c r="Q3" s="251"/>
      <c r="R3" s="251"/>
      <c r="S3" s="251"/>
      <c r="T3" s="251"/>
      <c r="U3" s="251"/>
      <c r="V3" s="251"/>
      <c r="W3" s="251"/>
      <c r="X3" s="251"/>
      <c r="Y3" s="251"/>
      <c r="Z3" s="251"/>
      <c r="AB3" s="109"/>
    </row>
    <row r="4" spans="1:28" ht="10" customHeight="1" x14ac:dyDescent="0.2"/>
    <row r="5" spans="1:28" ht="16" customHeight="1" x14ac:dyDescent="0.2">
      <c r="A5" s="86"/>
      <c r="B5" s="60"/>
      <c r="C5" s="246" t="s">
        <v>172</v>
      </c>
      <c r="D5" s="246"/>
      <c r="E5" s="246"/>
      <c r="F5" s="246"/>
      <c r="G5" s="246"/>
      <c r="H5" s="246"/>
      <c r="I5" s="246"/>
      <c r="J5" s="246"/>
      <c r="K5" s="246"/>
      <c r="L5" s="246"/>
      <c r="P5" s="251"/>
      <c r="Q5" s="251"/>
      <c r="R5" s="251"/>
      <c r="S5" s="251"/>
      <c r="T5" s="251"/>
      <c r="U5" s="251"/>
      <c r="V5" s="251"/>
      <c r="W5" s="251"/>
      <c r="X5" s="251"/>
      <c r="Y5" s="251"/>
      <c r="Z5" s="251"/>
      <c r="AB5" s="110"/>
    </row>
    <row r="6" spans="1:28" x14ac:dyDescent="0.2">
      <c r="B6" s="16" t="s">
        <v>125</v>
      </c>
      <c r="C6" s="12">
        <f>Revenue!C5</f>
        <v>2021</v>
      </c>
      <c r="D6" s="12">
        <f>Revenue!D5</f>
        <v>2022</v>
      </c>
      <c r="E6" s="12">
        <f>Revenue!E5</f>
        <v>2023</v>
      </c>
      <c r="F6" s="12">
        <f>Revenue!F5</f>
        <v>2024</v>
      </c>
      <c r="G6" s="12">
        <f>Revenue!G5</f>
        <v>2025</v>
      </c>
      <c r="H6" s="12">
        <f>Revenue!H5</f>
        <v>2026</v>
      </c>
      <c r="I6" s="12">
        <f>Revenue!I5</f>
        <v>2027</v>
      </c>
      <c r="J6" s="12">
        <f>Revenue!J5</f>
        <v>2028</v>
      </c>
      <c r="K6" s="12">
        <f>Revenue!K5</f>
        <v>2029</v>
      </c>
      <c r="L6" s="12">
        <f>Revenue!L5</f>
        <v>2030</v>
      </c>
      <c r="O6" s="16"/>
      <c r="P6" s="111"/>
      <c r="Q6" s="111"/>
      <c r="R6" s="111"/>
      <c r="S6" s="111"/>
      <c r="T6" s="111"/>
      <c r="U6" s="111"/>
      <c r="V6" s="111"/>
      <c r="W6" s="111"/>
      <c r="X6" s="111"/>
      <c r="Y6" s="111"/>
      <c r="Z6" s="111"/>
      <c r="AB6" s="110"/>
    </row>
    <row r="7" spans="1:28" x14ac:dyDescent="0.2">
      <c r="B7" s="39" t="s">
        <v>254</v>
      </c>
      <c r="C7" s="112">
        <f>'FCF &amp; Other'!C28</f>
        <v>7849.1112517033289</v>
      </c>
      <c r="D7" s="112">
        <f>'FCF &amp; Other'!D28</f>
        <v>5246.7763701826916</v>
      </c>
      <c r="E7" s="112">
        <f>'FCF &amp; Other'!E28</f>
        <v>11270.179363160016</v>
      </c>
      <c r="F7" s="112">
        <f>'FCF &amp; Other'!F28</f>
        <v>11195.794311145512</v>
      </c>
      <c r="G7" s="113">
        <f>'FCF &amp; Other'!G28</f>
        <v>11791.587064676618</v>
      </c>
      <c r="H7" s="112">
        <f>'FCF &amp; Other'!H28</f>
        <v>6310.0502432191797</v>
      </c>
      <c r="I7" s="112">
        <f>'FCF &amp; Other'!I28</f>
        <v>4223.8271340767105</v>
      </c>
      <c r="J7" s="112">
        <f>'FCF &amp; Other'!J28</f>
        <v>7378.2064668812</v>
      </c>
      <c r="K7" s="112">
        <f>'FCF &amp; Other'!K28</f>
        <v>11643.280128272008</v>
      </c>
      <c r="L7" s="112">
        <f>'FCF &amp; Other'!L28</f>
        <v>15805.380763756404</v>
      </c>
      <c r="N7" s="91"/>
      <c r="O7" s="16"/>
      <c r="P7" s="92"/>
      <c r="Q7" s="92"/>
      <c r="R7" s="92"/>
      <c r="S7" s="92"/>
      <c r="T7" s="92"/>
      <c r="U7" s="92"/>
      <c r="V7" s="92"/>
      <c r="W7" s="92"/>
      <c r="X7" s="94"/>
      <c r="Y7" s="94"/>
      <c r="Z7" s="94"/>
      <c r="AB7" s="94"/>
    </row>
    <row r="8" spans="1:28" x14ac:dyDescent="0.2">
      <c r="B8" s="39" t="s">
        <v>173</v>
      </c>
      <c r="C8" s="126">
        <v>0</v>
      </c>
      <c r="D8" s="126">
        <v>0</v>
      </c>
      <c r="E8" s="126">
        <v>0</v>
      </c>
      <c r="F8" s="126">
        <v>0</v>
      </c>
      <c r="G8" s="131">
        <v>0</v>
      </c>
      <c r="H8" s="126">
        <v>0</v>
      </c>
      <c r="I8" s="126">
        <v>0</v>
      </c>
      <c r="J8" s="126">
        <v>0</v>
      </c>
      <c r="K8" s="126">
        <v>0</v>
      </c>
      <c r="L8" s="126">
        <f ca="1">L7*(1+C14)/(C15-C14)</f>
        <v>167698.64226155225</v>
      </c>
      <c r="N8" s="91"/>
      <c r="O8" s="16"/>
      <c r="P8" s="92"/>
      <c r="Q8" s="92"/>
      <c r="R8" s="92"/>
      <c r="S8" s="92"/>
      <c r="T8" s="92"/>
      <c r="U8" s="92"/>
      <c r="V8" s="92"/>
      <c r="W8" s="92"/>
      <c r="X8" s="94"/>
      <c r="Y8" s="94"/>
      <c r="Z8" s="94"/>
      <c r="AB8" s="94"/>
    </row>
    <row r="9" spans="1:28" x14ac:dyDescent="0.2">
      <c r="B9" s="1" t="s">
        <v>174</v>
      </c>
      <c r="C9" s="137"/>
      <c r="D9" s="137"/>
      <c r="E9" s="137"/>
      <c r="F9" s="137"/>
      <c r="G9" s="138"/>
      <c r="H9" s="139">
        <v>1</v>
      </c>
      <c r="I9" s="139">
        <v>2</v>
      </c>
      <c r="J9" s="139">
        <v>3</v>
      </c>
      <c r="K9" s="139">
        <v>4</v>
      </c>
      <c r="L9" s="139">
        <v>5</v>
      </c>
      <c r="N9" s="91"/>
    </row>
    <row r="10" spans="1:28" x14ac:dyDescent="0.2">
      <c r="B10" s="1" t="s">
        <v>312</v>
      </c>
      <c r="C10" s="137"/>
      <c r="D10" s="137"/>
      <c r="E10" s="137"/>
      <c r="F10" s="137"/>
      <c r="G10" s="138"/>
      <c r="H10" s="126">
        <f ca="1">H7/(1+$C$15)^H9</f>
        <v>5625.9116601338001</v>
      </c>
      <c r="I10" s="126">
        <f t="shared" ref="I10:L10" ca="1" si="0">I7/(1+$C$15)^I9</f>
        <v>3357.5796045880193</v>
      </c>
      <c r="J10" s="126">
        <f t="shared" ca="1" si="0"/>
        <v>5229.1497310291052</v>
      </c>
      <c r="K10" s="126">
        <f t="shared" ca="1" si="0"/>
        <v>7357.2533434900042</v>
      </c>
      <c r="L10" s="126">
        <f t="shared" ca="1" si="0"/>
        <v>8904.4155337537304</v>
      </c>
      <c r="N10" s="91"/>
    </row>
    <row r="11" spans="1:28" x14ac:dyDescent="0.2">
      <c r="B11" s="1" t="s">
        <v>175</v>
      </c>
      <c r="C11" s="137"/>
      <c r="D11" s="137"/>
      <c r="E11" s="137"/>
      <c r="F11" s="137"/>
      <c r="G11" s="138"/>
      <c r="H11" s="137"/>
      <c r="I11" s="137"/>
      <c r="J11" s="137"/>
      <c r="K11" s="137"/>
      <c r="L11" s="126">
        <f ca="1">L8/(1+C15)^L9</f>
        <v>94477.850136163295</v>
      </c>
    </row>
    <row r="13" spans="1:28" x14ac:dyDescent="0.2">
      <c r="B13" s="240" t="s">
        <v>176</v>
      </c>
      <c r="C13" s="240"/>
    </row>
    <row r="14" spans="1:28" x14ac:dyDescent="0.2">
      <c r="B14" s="1" t="s">
        <v>177</v>
      </c>
      <c r="C14" s="140">
        <v>2.5000000000000001E-2</v>
      </c>
    </row>
    <row r="15" spans="1:28" x14ac:dyDescent="0.2">
      <c r="B15" s="1" t="s">
        <v>157</v>
      </c>
      <c r="C15" s="135">
        <f ca="1">IF(Overview!C28&gt;0,Overview!C28,WACC!C20)</f>
        <v>0.12160492812805888</v>
      </c>
    </row>
    <row r="18" spans="2:3" x14ac:dyDescent="0.2">
      <c r="B18" s="240" t="s">
        <v>178</v>
      </c>
      <c r="C18" s="240"/>
    </row>
    <row r="19" spans="2:3" x14ac:dyDescent="0.2">
      <c r="B19" s="1" t="s">
        <v>179</v>
      </c>
      <c r="C19" s="64">
        <f ca="1">SUM(H10:L10)</f>
        <v>30474.309872994658</v>
      </c>
    </row>
    <row r="20" spans="2:3" x14ac:dyDescent="0.2">
      <c r="B20" s="1" t="s">
        <v>175</v>
      </c>
      <c r="C20" s="64">
        <f ca="1">L11</f>
        <v>94477.850136163295</v>
      </c>
    </row>
    <row r="21" spans="2:3" x14ac:dyDescent="0.2">
      <c r="B21" s="16" t="s">
        <v>180</v>
      </c>
      <c r="C21" s="94">
        <f ca="1">C19+C20</f>
        <v>124952.16000915796</v>
      </c>
    </row>
    <row r="22" spans="2:3" x14ac:dyDescent="0.2">
      <c r="B22" s="1" t="s">
        <v>181</v>
      </c>
      <c r="C22" s="136">
        <f>Statement!AC106</f>
        <v>8304</v>
      </c>
    </row>
    <row r="23" spans="2:3" x14ac:dyDescent="0.2">
      <c r="B23" s="1" t="s">
        <v>182</v>
      </c>
      <c r="C23" s="136">
        <f>Statement!AC107</f>
        <v>15270</v>
      </c>
    </row>
    <row r="24" spans="2:3" x14ac:dyDescent="0.2">
      <c r="B24" s="16" t="s">
        <v>183</v>
      </c>
      <c r="C24" s="94">
        <f ca="1">C21+C22-C23</f>
        <v>117986.16000915796</v>
      </c>
    </row>
    <row r="25" spans="2:3" x14ac:dyDescent="0.2">
      <c r="B25" s="1" t="s">
        <v>67</v>
      </c>
      <c r="C25" s="136">
        <f>Statement!AC78</f>
        <v>1062</v>
      </c>
    </row>
    <row r="26" spans="2:3" x14ac:dyDescent="0.2">
      <c r="B26" s="231" t="s">
        <v>184</v>
      </c>
      <c r="C26" s="232">
        <f ca="1">C24/C25</f>
        <v>111.09807910466851</v>
      </c>
    </row>
  </sheetData>
  <mergeCells count="8">
    <mergeCell ref="X3:Z3"/>
    <mergeCell ref="C5:L5"/>
    <mergeCell ref="P5:Z5"/>
    <mergeCell ref="B13:C13"/>
    <mergeCell ref="B18:C18"/>
    <mergeCell ref="C3:G3"/>
    <mergeCell ref="H3:L3"/>
    <mergeCell ref="P3:W3"/>
  </mergeCells>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33819-10E3-B843-9B8A-30FFCAB234A7}">
  <dimension ref="A1:N84"/>
  <sheetViews>
    <sheetView topLeftCell="A74" zoomScale="192" zoomScaleNormal="100" workbookViewId="0">
      <selection activeCell="B77" sqref="B77"/>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185</v>
      </c>
    </row>
    <row r="2" spans="1:14" x14ac:dyDescent="0.2">
      <c r="A2" s="4"/>
      <c r="C2" s="240" t="s">
        <v>105</v>
      </c>
      <c r="D2" s="240"/>
      <c r="E2" s="240"/>
      <c r="F2" s="240"/>
      <c r="G2" s="249"/>
      <c r="H2" s="250" t="s">
        <v>106</v>
      </c>
      <c r="I2" s="240"/>
      <c r="J2" s="240"/>
      <c r="K2" s="240"/>
      <c r="L2" s="240"/>
    </row>
    <row r="3" spans="1:14" ht="10" customHeight="1" x14ac:dyDescent="0.2"/>
    <row r="4" spans="1:14" ht="16" customHeight="1" x14ac:dyDescent="0.2">
      <c r="A4" s="86"/>
      <c r="B4" s="60"/>
      <c r="C4" s="246" t="s">
        <v>186</v>
      </c>
      <c r="D4" s="246"/>
      <c r="E4" s="246"/>
      <c r="F4" s="246"/>
      <c r="G4" s="246"/>
      <c r="H4" s="246"/>
      <c r="I4" s="246"/>
      <c r="J4" s="246"/>
      <c r="K4" s="246"/>
      <c r="L4" s="246"/>
    </row>
    <row r="5" spans="1:14" x14ac:dyDescent="0.2">
      <c r="B5" s="16" t="s">
        <v>109</v>
      </c>
      <c r="C5" s="12">
        <f>Revenue!C5</f>
        <v>2021</v>
      </c>
      <c r="D5" s="12">
        <f>Revenue!D5</f>
        <v>2022</v>
      </c>
      <c r="E5" s="12">
        <f>Revenue!E5</f>
        <v>2023</v>
      </c>
      <c r="F5" s="12">
        <f>Revenue!F5</f>
        <v>2024</v>
      </c>
      <c r="G5" s="12">
        <f>Revenue!G5</f>
        <v>2025</v>
      </c>
      <c r="H5" s="12">
        <f>Revenue!H5</f>
        <v>2026</v>
      </c>
      <c r="I5" s="12">
        <f>Revenue!I5</f>
        <v>2027</v>
      </c>
      <c r="J5" s="12">
        <f>Revenue!J5</f>
        <v>2028</v>
      </c>
      <c r="K5" s="12">
        <f>Revenue!K5</f>
        <v>2029</v>
      </c>
      <c r="L5" s="12">
        <f>Revenue!L5</f>
        <v>2030</v>
      </c>
    </row>
    <row r="6" spans="1:14" x14ac:dyDescent="0.2">
      <c r="B6" s="16" t="s">
        <v>19</v>
      </c>
      <c r="C6" s="92">
        <f>Revenue!C12</f>
        <v>33566</v>
      </c>
      <c r="D6" s="92">
        <f>Revenue!D12</f>
        <v>44200</v>
      </c>
      <c r="E6" s="92">
        <f>Revenue!E12</f>
        <v>35820</v>
      </c>
      <c r="F6" s="92">
        <f>Revenue!F12</f>
        <v>38962</v>
      </c>
      <c r="G6" s="93">
        <f>Revenue!G12</f>
        <v>44284</v>
      </c>
      <c r="H6" s="92">
        <f>Revenue!H12</f>
        <v>42216.350000000006</v>
      </c>
      <c r="I6" s="92">
        <f>Revenue!I12</f>
        <v>42277.0265</v>
      </c>
      <c r="J6" s="92">
        <f>Revenue!J12</f>
        <v>47891.657325</v>
      </c>
      <c r="K6" s="92">
        <f>Revenue!K12</f>
        <v>60465.806245920001</v>
      </c>
      <c r="L6" s="92">
        <f>Revenue!L12</f>
        <v>71998.944280911994</v>
      </c>
      <c r="N6" s="91"/>
    </row>
    <row r="7" spans="1:14" x14ac:dyDescent="0.2">
      <c r="B7" s="16" t="s">
        <v>149</v>
      </c>
      <c r="C7" s="92">
        <f>'FCF &amp; Other'!C10</f>
        <v>9789</v>
      </c>
      <c r="D7" s="92">
        <f>'FCF &amp; Other'!D10</f>
        <v>15842</v>
      </c>
      <c r="E7" s="92">
        <f>'FCF &amp; Other'!E10</f>
        <v>7788</v>
      </c>
      <c r="F7" s="92">
        <f>'FCF &amp; Other'!F10</f>
        <v>10071</v>
      </c>
      <c r="G7" s="93">
        <f>'FCF &amp; Other'!G10</f>
        <v>12355</v>
      </c>
      <c r="H7" s="92">
        <f>'FCF &amp; Other'!H10</f>
        <v>8021.1065000000017</v>
      </c>
      <c r="I7" s="92">
        <f>'FCF &amp; Other'!I10</f>
        <v>5073.2431799999977</v>
      </c>
      <c r="J7" s="92">
        <f>'FCF &amp; Other'!J10</f>
        <v>10057.248038250002</v>
      </c>
      <c r="K7" s="92">
        <f>'FCF &amp; Other'!K10</f>
        <v>16325.767686398398</v>
      </c>
      <c r="L7" s="92">
        <f>'FCF &amp; Other'!L10</f>
        <v>20879.693841464476</v>
      </c>
      <c r="N7" s="91"/>
    </row>
    <row r="8" spans="1:14" x14ac:dyDescent="0.2">
      <c r="B8" s="16" t="s">
        <v>254</v>
      </c>
      <c r="C8" s="92">
        <f>'FCF &amp; Other'!C28</f>
        <v>7849.1112517033289</v>
      </c>
      <c r="D8" s="92">
        <f>'FCF &amp; Other'!D28</f>
        <v>5246.7763701826916</v>
      </c>
      <c r="E8" s="92">
        <f>'FCF &amp; Other'!E28</f>
        <v>11270.179363160016</v>
      </c>
      <c r="F8" s="92">
        <f>'FCF &amp; Other'!F28</f>
        <v>11195.794311145512</v>
      </c>
      <c r="G8" s="93">
        <f>'FCF &amp; Other'!G28</f>
        <v>11791.587064676618</v>
      </c>
      <c r="H8" s="92">
        <f>'FCF &amp; Other'!H28</f>
        <v>6310.0502432191797</v>
      </c>
      <c r="I8" s="92">
        <f>'FCF &amp; Other'!I28</f>
        <v>4223.8271340767105</v>
      </c>
      <c r="J8" s="92">
        <f>'FCF &amp; Other'!J28</f>
        <v>7378.2064668812</v>
      </c>
      <c r="K8" s="92">
        <f>'FCF &amp; Other'!K28</f>
        <v>11643.280128272008</v>
      </c>
      <c r="L8" s="92">
        <f>'FCF &amp; Other'!L28</f>
        <v>15805.380763756404</v>
      </c>
      <c r="N8" s="91"/>
    </row>
    <row r="9" spans="1:14" x14ac:dyDescent="0.2">
      <c r="B9" s="16" t="s">
        <v>312</v>
      </c>
      <c r="C9" s="137"/>
      <c r="D9" s="137"/>
      <c r="E9" s="137"/>
      <c r="F9" s="137"/>
      <c r="G9" s="138"/>
      <c r="H9" s="92">
        <f ca="1">DCF!H10</f>
        <v>5625.9116601338001</v>
      </c>
      <c r="I9" s="92">
        <f ca="1">DCF!I10</f>
        <v>3357.5796045880193</v>
      </c>
      <c r="J9" s="92">
        <f ca="1">DCF!J10</f>
        <v>5229.1497310291052</v>
      </c>
      <c r="K9" s="92">
        <f ca="1">DCF!K10</f>
        <v>7357.2533434900042</v>
      </c>
      <c r="L9" s="92">
        <f ca="1">DCF!L10</f>
        <v>8904.4155337537304</v>
      </c>
      <c r="N9" s="91"/>
    </row>
    <row r="10" spans="1:14" x14ac:dyDescent="0.2">
      <c r="N10" s="91"/>
    </row>
    <row r="11" spans="1:14" x14ac:dyDescent="0.2">
      <c r="C11" s="246" t="s">
        <v>114</v>
      </c>
      <c r="D11" s="246"/>
      <c r="E11" s="246"/>
      <c r="F11" s="246"/>
      <c r="G11" s="246"/>
      <c r="H11" s="246"/>
      <c r="I11" s="246"/>
      <c r="J11" s="246"/>
      <c r="K11" s="246"/>
      <c r="L11" s="246"/>
      <c r="N11" s="91"/>
    </row>
    <row r="12" spans="1:14" x14ac:dyDescent="0.2">
      <c r="B12" s="16" t="s">
        <v>187</v>
      </c>
      <c r="C12" s="12">
        <f>C5</f>
        <v>2021</v>
      </c>
      <c r="D12" s="12">
        <f t="shared" ref="D12:L12" si="0">D5</f>
        <v>2022</v>
      </c>
      <c r="E12" s="12">
        <f t="shared" si="0"/>
        <v>2023</v>
      </c>
      <c r="F12" s="12">
        <f t="shared" si="0"/>
        <v>2024</v>
      </c>
      <c r="G12" s="12">
        <f t="shared" si="0"/>
        <v>2025</v>
      </c>
      <c r="H12" s="12">
        <f t="shared" si="0"/>
        <v>2026</v>
      </c>
      <c r="I12" s="12">
        <f t="shared" si="0"/>
        <v>2027</v>
      </c>
      <c r="J12" s="12">
        <f t="shared" si="0"/>
        <v>2028</v>
      </c>
      <c r="K12" s="12">
        <f t="shared" si="0"/>
        <v>2029</v>
      </c>
      <c r="L12" s="12">
        <f t="shared" si="0"/>
        <v>2030</v>
      </c>
      <c r="N12" s="91"/>
    </row>
    <row r="13" spans="1:14" x14ac:dyDescent="0.2">
      <c r="B13" s="1" t="s">
        <v>19</v>
      </c>
      <c r="C13" s="137"/>
      <c r="D13" s="95">
        <f>(D6-C6)/C6</f>
        <v>0.31680867544539115</v>
      </c>
      <c r="E13" s="95">
        <f t="shared" ref="E13:L13" si="1">(E6-D6)/D6</f>
        <v>-0.18959276018099547</v>
      </c>
      <c r="F13" s="95">
        <f t="shared" si="1"/>
        <v>8.7716359575656058E-2</v>
      </c>
      <c r="G13" s="96">
        <f t="shared" si="1"/>
        <v>0.1365946306657769</v>
      </c>
      <c r="H13" s="95">
        <f t="shared" si="1"/>
        <v>-4.6690678348839179E-2</v>
      </c>
      <c r="I13" s="95">
        <f t="shared" si="1"/>
        <v>1.4372748946792917E-3</v>
      </c>
      <c r="J13" s="95">
        <f t="shared" si="1"/>
        <v>0.13280571719016238</v>
      </c>
      <c r="K13" s="95">
        <f t="shared" si="1"/>
        <v>0.26255405687027977</v>
      </c>
      <c r="L13" s="95">
        <f t="shared" si="1"/>
        <v>0.19073818329793965</v>
      </c>
      <c r="N13" s="91"/>
    </row>
    <row r="14" spans="1:14" x14ac:dyDescent="0.2">
      <c r="B14" s="1" t="s">
        <v>149</v>
      </c>
      <c r="C14" s="137"/>
      <c r="D14" s="95">
        <f>IF(C7=0,
IF(D7=0,0,IF(D7&gt;0,1,-1)),
(D7-C7)/ABS(C7)
)</f>
        <v>0.61834712432321992</v>
      </c>
      <c r="E14" s="95">
        <f t="shared" ref="E14:L14" si="2">IF(D7=0,
IF(E7=0,0,IF(E7&gt;0,1,-1)),
(E7-D7)/ABS(D7)
)</f>
        <v>-0.50839540462062871</v>
      </c>
      <c r="F14" s="95">
        <f t="shared" si="2"/>
        <v>0.29314329738058553</v>
      </c>
      <c r="G14" s="96">
        <f t="shared" si="2"/>
        <v>0.22678979247343858</v>
      </c>
      <c r="H14" s="95">
        <f t="shared" si="2"/>
        <v>-0.35078053419668137</v>
      </c>
      <c r="I14" s="95">
        <f t="shared" si="2"/>
        <v>-0.36751330006651867</v>
      </c>
      <c r="J14" s="95">
        <f t="shared" si="2"/>
        <v>0.98241000508278542</v>
      </c>
      <c r="K14" s="95">
        <f t="shared" si="2"/>
        <v>0.62328378740464496</v>
      </c>
      <c r="L14" s="95">
        <f t="shared" si="2"/>
        <v>0.27894101169037966</v>
      </c>
      <c r="N14" s="91"/>
    </row>
    <row r="15" spans="1:14" x14ac:dyDescent="0.2">
      <c r="B15" s="1" t="s">
        <v>254</v>
      </c>
      <c r="C15" s="137"/>
      <c r="D15" s="95">
        <f>IF(C8=0,
IF(D8=0,0,IF(D8&gt;0,1,-1)),
(D8-C8)/ABS(C8)
)</f>
        <v>-0.33154516455043326</v>
      </c>
      <c r="E15" s="95">
        <f t="shared" ref="E15:L15" si="3">IF(D8=0,
IF(E8=0,0,IF(E8&gt;0,1,-1)),
(E8-D8)/ABS(D8)
)</f>
        <v>1.1480197683301663</v>
      </c>
      <c r="F15" s="95">
        <f t="shared" si="3"/>
        <v>-6.6001657664521525E-3</v>
      </c>
      <c r="G15" s="96">
        <f t="shared" si="3"/>
        <v>5.3215764507033636E-2</v>
      </c>
      <c r="H15" s="95">
        <f t="shared" si="3"/>
        <v>-0.46486845166738955</v>
      </c>
      <c r="I15" s="95">
        <f t="shared" si="3"/>
        <v>-0.33061909631929443</v>
      </c>
      <c r="J15" s="95">
        <f t="shared" si="3"/>
        <v>0.74680597303705887</v>
      </c>
      <c r="K15" s="95">
        <f t="shared" si="3"/>
        <v>0.57806374496777579</v>
      </c>
      <c r="L15" s="95">
        <f t="shared" si="3"/>
        <v>0.35746804934960347</v>
      </c>
      <c r="N15" s="91"/>
    </row>
    <row r="16" spans="1:14" x14ac:dyDescent="0.2">
      <c r="N16" s="91"/>
    </row>
    <row r="17" spans="2:14" x14ac:dyDescent="0.2">
      <c r="C17" s="246" t="s">
        <v>188</v>
      </c>
      <c r="D17" s="246"/>
      <c r="E17" s="246"/>
      <c r="F17" s="246"/>
      <c r="G17" s="246"/>
      <c r="H17" s="246"/>
      <c r="I17" s="246"/>
      <c r="J17" s="246"/>
      <c r="K17" s="246"/>
      <c r="L17" s="246"/>
      <c r="N17" s="91"/>
    </row>
    <row r="18" spans="2:14" x14ac:dyDescent="0.2">
      <c r="C18" s="12">
        <f t="shared" ref="C18:L18" si="4">C5</f>
        <v>2021</v>
      </c>
      <c r="D18" s="12">
        <f t="shared" si="4"/>
        <v>2022</v>
      </c>
      <c r="E18" s="12">
        <f t="shared" si="4"/>
        <v>2023</v>
      </c>
      <c r="F18" s="12">
        <f t="shared" si="4"/>
        <v>2024</v>
      </c>
      <c r="G18" s="12">
        <f t="shared" si="4"/>
        <v>2025</v>
      </c>
      <c r="H18" s="12">
        <f t="shared" si="4"/>
        <v>2026</v>
      </c>
      <c r="I18" s="12">
        <f t="shared" si="4"/>
        <v>2027</v>
      </c>
      <c r="J18" s="12">
        <f t="shared" si="4"/>
        <v>2028</v>
      </c>
      <c r="K18" s="12">
        <f t="shared" si="4"/>
        <v>2029</v>
      </c>
      <c r="L18" s="12">
        <f t="shared" si="4"/>
        <v>2030</v>
      </c>
      <c r="N18" s="91"/>
    </row>
    <row r="19" spans="2:14" x14ac:dyDescent="0.2">
      <c r="B19" s="1" t="s">
        <v>189</v>
      </c>
      <c r="C19" s="100">
        <f>Statement!M22</f>
        <v>1149</v>
      </c>
      <c r="D19" s="100">
        <f>Statement!N22</f>
        <v>1137</v>
      </c>
      <c r="E19" s="100">
        <f>Statement!O22</f>
        <v>1126</v>
      </c>
      <c r="F19" s="100">
        <f>Statement!P22</f>
        <v>1130</v>
      </c>
      <c r="G19" s="101">
        <f>Statement!Q22</f>
        <v>1105</v>
      </c>
      <c r="H19" s="141">
        <f>G19*(1+H20)</f>
        <v>1077.375</v>
      </c>
      <c r="I19" s="141">
        <f t="shared" ref="I19:L19" si="5">H19*(1+I20)</f>
        <v>1055.8274999999999</v>
      </c>
      <c r="J19" s="141">
        <f t="shared" si="5"/>
        <v>1039.9900874999998</v>
      </c>
      <c r="K19" s="141">
        <f t="shared" si="5"/>
        <v>1029.5901866249999</v>
      </c>
      <c r="L19" s="141">
        <f t="shared" si="5"/>
        <v>1024.4422356918749</v>
      </c>
      <c r="N19" s="91"/>
    </row>
    <row r="20" spans="2:14" x14ac:dyDescent="0.2">
      <c r="B20" s="1" t="s">
        <v>190</v>
      </c>
      <c r="C20" s="137"/>
      <c r="D20" s="142">
        <f>D19/C19-1</f>
        <v>-1.0443864229765065E-2</v>
      </c>
      <c r="E20" s="142">
        <f t="shared" ref="E20:G20" si="6">E19/D19-1</f>
        <v>-9.674582233949014E-3</v>
      </c>
      <c r="F20" s="142">
        <f t="shared" si="6"/>
        <v>3.5523978685612079E-3</v>
      </c>
      <c r="G20" s="143">
        <f t="shared" si="6"/>
        <v>-2.2123893805309769E-2</v>
      </c>
      <c r="H20" s="144">
        <v>-2.5000000000000001E-2</v>
      </c>
      <c r="I20" s="97">
        <v>-0.02</v>
      </c>
      <c r="J20" s="97">
        <v>-1.4999999999999999E-2</v>
      </c>
      <c r="K20" s="97">
        <v>-0.01</v>
      </c>
      <c r="L20" s="97">
        <v>-5.0000000000000001E-3</v>
      </c>
      <c r="N20" s="91"/>
    </row>
    <row r="21" spans="2:14" x14ac:dyDescent="0.2">
      <c r="N21" s="91"/>
    </row>
    <row r="22" spans="2:14" x14ac:dyDescent="0.2">
      <c r="C22" s="246" t="s">
        <v>191</v>
      </c>
      <c r="D22" s="246"/>
      <c r="E22" s="246"/>
      <c r="F22" s="246"/>
      <c r="G22" s="246"/>
      <c r="H22" s="246"/>
      <c r="I22" s="246"/>
      <c r="J22" s="246"/>
      <c r="K22" s="246"/>
      <c r="L22" s="246"/>
      <c r="N22" s="91"/>
    </row>
    <row r="23" spans="2:14" x14ac:dyDescent="0.2">
      <c r="C23" s="12">
        <f>C5</f>
        <v>2021</v>
      </c>
      <c r="D23" s="12">
        <f t="shared" ref="D23:L23" si="7">D5</f>
        <v>2022</v>
      </c>
      <c r="E23" s="12">
        <f t="shared" si="7"/>
        <v>2023</v>
      </c>
      <c r="F23" s="12">
        <f t="shared" si="7"/>
        <v>2024</v>
      </c>
      <c r="G23" s="12">
        <f t="shared" si="7"/>
        <v>2025</v>
      </c>
      <c r="H23" s="12">
        <f t="shared" si="7"/>
        <v>2026</v>
      </c>
      <c r="I23" s="12">
        <f t="shared" si="7"/>
        <v>2027</v>
      </c>
      <c r="J23" s="12">
        <f t="shared" si="7"/>
        <v>2028</v>
      </c>
      <c r="K23" s="12">
        <f t="shared" si="7"/>
        <v>2029</v>
      </c>
      <c r="L23" s="12">
        <f t="shared" si="7"/>
        <v>2030</v>
      </c>
      <c r="N23" s="91"/>
    </row>
    <row r="24" spans="2:14" x14ac:dyDescent="0.2">
      <c r="B24" s="1" t="s">
        <v>1</v>
      </c>
      <c r="C24" s="145">
        <f>Statement!M115</f>
        <v>133.88</v>
      </c>
      <c r="D24" s="145">
        <f>Statement!N115</f>
        <v>121.19</v>
      </c>
      <c r="E24" s="145">
        <f>Statement!O115</f>
        <v>107.68</v>
      </c>
      <c r="F24" s="145">
        <f>Statement!P115</f>
        <v>170.13</v>
      </c>
      <c r="G24" s="146">
        <f>Statement!Q115</f>
        <v>169.2</v>
      </c>
      <c r="H24" s="137"/>
      <c r="I24" s="137"/>
      <c r="J24" s="137"/>
      <c r="K24" s="137"/>
      <c r="L24" s="137"/>
      <c r="N24" s="91"/>
    </row>
    <row r="25" spans="2:14" x14ac:dyDescent="0.2">
      <c r="N25" s="91"/>
    </row>
    <row r="26" spans="2:14" x14ac:dyDescent="0.2">
      <c r="N26" s="91"/>
    </row>
    <row r="27" spans="2:14" x14ac:dyDescent="0.2">
      <c r="C27" s="246" t="s">
        <v>192</v>
      </c>
      <c r="D27" s="246"/>
      <c r="E27" s="246"/>
      <c r="F27" s="246"/>
      <c r="G27" s="246"/>
      <c r="H27" s="246"/>
      <c r="I27" s="246"/>
      <c r="J27" s="246"/>
      <c r="K27" s="246"/>
      <c r="L27" s="246"/>
      <c r="N27" s="91"/>
    </row>
    <row r="28" spans="2:14" x14ac:dyDescent="0.2">
      <c r="C28" s="12">
        <f>C5</f>
        <v>2021</v>
      </c>
      <c r="D28" s="12">
        <f t="shared" ref="D28:L28" si="8">D5</f>
        <v>2022</v>
      </c>
      <c r="E28" s="12">
        <f t="shared" si="8"/>
        <v>2023</v>
      </c>
      <c r="F28" s="12">
        <f t="shared" si="8"/>
        <v>2024</v>
      </c>
      <c r="G28" s="12">
        <f t="shared" si="8"/>
        <v>2025</v>
      </c>
      <c r="H28" s="12">
        <f t="shared" si="8"/>
        <v>2026</v>
      </c>
      <c r="I28" s="12">
        <f t="shared" si="8"/>
        <v>2027</v>
      </c>
      <c r="J28" s="12">
        <f t="shared" si="8"/>
        <v>2028</v>
      </c>
      <c r="K28" s="12">
        <f t="shared" si="8"/>
        <v>2029</v>
      </c>
      <c r="L28" s="12">
        <f t="shared" si="8"/>
        <v>2030</v>
      </c>
      <c r="N28" s="91"/>
    </row>
    <row r="29" spans="2:14" x14ac:dyDescent="0.2">
      <c r="B29" s="16" t="s">
        <v>193</v>
      </c>
      <c r="C29" s="147">
        <f>C24/(C6/C19)</f>
        <v>4.5828552702139067</v>
      </c>
      <c r="D29" s="147">
        <f t="shared" ref="D29:G29" si="9">D24/(D6/D19)</f>
        <v>3.1174893665158372</v>
      </c>
      <c r="E29" s="147">
        <f t="shared" si="9"/>
        <v>3.3849156895589059</v>
      </c>
      <c r="F29" s="147">
        <f t="shared" si="9"/>
        <v>4.9342153893537288</v>
      </c>
      <c r="G29" s="148">
        <f t="shared" si="9"/>
        <v>4.2219763345677892</v>
      </c>
      <c r="H29" s="137"/>
      <c r="I29" s="137"/>
      <c r="J29" s="137"/>
      <c r="K29" s="137"/>
      <c r="L29" s="137"/>
      <c r="N29" s="91"/>
    </row>
    <row r="30" spans="2:14" x14ac:dyDescent="0.2">
      <c r="B30" s="1" t="s">
        <v>194</v>
      </c>
      <c r="C30" s="141">
        <f>C24*C19</f>
        <v>153828.12</v>
      </c>
      <c r="D30" s="141">
        <f t="shared" ref="D30:G30" si="10">D24*D19</f>
        <v>137793.03</v>
      </c>
      <c r="E30" s="141">
        <f t="shared" si="10"/>
        <v>121247.68000000001</v>
      </c>
      <c r="F30" s="141">
        <f t="shared" si="10"/>
        <v>192246.9</v>
      </c>
      <c r="G30" s="149">
        <f t="shared" si="10"/>
        <v>186966</v>
      </c>
      <c r="H30" s="137"/>
      <c r="I30" s="137"/>
      <c r="J30" s="137"/>
      <c r="K30" s="137"/>
      <c r="L30" s="137"/>
      <c r="N30" s="91"/>
    </row>
    <row r="31" spans="2:14" x14ac:dyDescent="0.2">
      <c r="B31" s="1" t="s">
        <v>161</v>
      </c>
      <c r="C31" s="88">
        <f>Statement!M107</f>
        <v>15745</v>
      </c>
      <c r="D31" s="150">
        <f>Statement!N107</f>
        <v>15482</v>
      </c>
      <c r="E31" s="150">
        <f>Statement!O107</f>
        <v>15398</v>
      </c>
      <c r="F31" s="150">
        <f>Statement!P107</f>
        <v>14634</v>
      </c>
      <c r="G31" s="151">
        <f>Statement!Q107</f>
        <v>14811</v>
      </c>
      <c r="H31" s="137"/>
      <c r="I31" s="137"/>
      <c r="J31" s="137"/>
      <c r="K31" s="137"/>
      <c r="L31" s="137"/>
      <c r="N31" s="91"/>
    </row>
    <row r="32" spans="2:14" x14ac:dyDescent="0.2">
      <c r="B32" s="1" t="s">
        <v>170</v>
      </c>
      <c r="C32" s="150">
        <f>Statement!M106</f>
        <v>12414</v>
      </c>
      <c r="D32" s="150">
        <f>Statement!N106</f>
        <v>6382</v>
      </c>
      <c r="E32" s="150">
        <f>Statement!O106</f>
        <v>11324</v>
      </c>
      <c r="F32" s="150">
        <f>Statement!P106</f>
        <v>13300</v>
      </c>
      <c r="G32" s="151">
        <f>Statement!Q106</f>
        <v>10155</v>
      </c>
      <c r="H32" s="137"/>
      <c r="I32" s="137"/>
      <c r="J32" s="137"/>
      <c r="K32" s="137"/>
      <c r="L32" s="137"/>
      <c r="N32" s="91"/>
    </row>
    <row r="33" spans="2:14" x14ac:dyDescent="0.2">
      <c r="B33" s="1" t="s">
        <v>195</v>
      </c>
      <c r="C33" s="141">
        <f>C30+C31-C32</f>
        <v>157159.12</v>
      </c>
      <c r="D33" s="141">
        <f t="shared" ref="D33:G33" si="11">D30+D31-D32</f>
        <v>146893.03</v>
      </c>
      <c r="E33" s="141">
        <f t="shared" si="11"/>
        <v>125321.68</v>
      </c>
      <c r="F33" s="141">
        <f t="shared" si="11"/>
        <v>193580.9</v>
      </c>
      <c r="G33" s="149">
        <f t="shared" si="11"/>
        <v>191622</v>
      </c>
      <c r="H33" s="137"/>
      <c r="I33" s="137"/>
      <c r="J33" s="137"/>
      <c r="K33" s="137"/>
      <c r="L33" s="137"/>
      <c r="N33" s="91"/>
    </row>
    <row r="34" spans="2:14" x14ac:dyDescent="0.2">
      <c r="B34" s="16" t="s">
        <v>196</v>
      </c>
      <c r="C34" s="147">
        <f>C33/C7</f>
        <v>16.0546654408009</v>
      </c>
      <c r="D34" s="147">
        <f t="shared" ref="D34:G34" si="12">D33/D7</f>
        <v>9.2723791187981313</v>
      </c>
      <c r="E34" s="147">
        <f t="shared" si="12"/>
        <v>16.091638418079096</v>
      </c>
      <c r="F34" s="147">
        <f t="shared" si="12"/>
        <v>19.221616522688908</v>
      </c>
      <c r="G34" s="148">
        <f t="shared" si="12"/>
        <v>15.509672197490895</v>
      </c>
      <c r="H34" s="137"/>
      <c r="I34" s="137"/>
      <c r="J34" s="137"/>
      <c r="K34" s="137"/>
      <c r="L34" s="137"/>
      <c r="N34" s="91"/>
    </row>
    <row r="35" spans="2:14" x14ac:dyDescent="0.2">
      <c r="B35" s="16" t="s">
        <v>313</v>
      </c>
      <c r="C35" s="147">
        <f>C33/C8</f>
        <v>20.022536942114947</v>
      </c>
      <c r="D35" s="147">
        <f t="shared" ref="D35:G35" si="13">D33/D8</f>
        <v>27.99681549890132</v>
      </c>
      <c r="E35" s="147">
        <f t="shared" si="13"/>
        <v>11.119759141513908</v>
      </c>
      <c r="F35" s="147">
        <f t="shared" si="13"/>
        <v>17.290501649113768</v>
      </c>
      <c r="G35" s="148">
        <f t="shared" si="13"/>
        <v>16.250738679107162</v>
      </c>
      <c r="H35" s="137"/>
      <c r="I35" s="137"/>
      <c r="J35" s="137"/>
      <c r="K35" s="137"/>
      <c r="L35" s="137"/>
      <c r="N35" s="91"/>
    </row>
    <row r="36" spans="2:14" x14ac:dyDescent="0.2">
      <c r="B36" s="16" t="s">
        <v>424</v>
      </c>
      <c r="C36" s="147">
        <f>C33/C6</f>
        <v>4.6820925936960016</v>
      </c>
      <c r="D36" s="147">
        <f t="shared" ref="D36:G36" si="14">D33/D6</f>
        <v>3.3233717194570134</v>
      </c>
      <c r="E36" s="147">
        <f t="shared" si="14"/>
        <v>3.4986510329424902</v>
      </c>
      <c r="F36" s="147">
        <f t="shared" si="14"/>
        <v>4.9684538781376721</v>
      </c>
      <c r="G36" s="148">
        <f t="shared" si="14"/>
        <v>4.3271158883569685</v>
      </c>
      <c r="H36" s="137"/>
      <c r="I36" s="137"/>
      <c r="J36" s="137"/>
      <c r="K36" s="137"/>
      <c r="L36" s="137"/>
      <c r="N36" s="91"/>
    </row>
    <row r="37" spans="2:14" x14ac:dyDescent="0.2">
      <c r="N37" s="91"/>
    </row>
    <row r="38" spans="2:14" x14ac:dyDescent="0.2">
      <c r="N38" s="91"/>
    </row>
    <row r="39" spans="2:14" x14ac:dyDescent="0.2">
      <c r="B39" s="240" t="s">
        <v>197</v>
      </c>
      <c r="C39" s="240"/>
      <c r="N39" s="91"/>
    </row>
    <row r="40" spans="2:14" x14ac:dyDescent="0.2">
      <c r="B40" s="1" t="s">
        <v>198</v>
      </c>
      <c r="C40" s="64">
        <f>L7</f>
        <v>20879.693841464476</v>
      </c>
    </row>
    <row r="41" spans="2:14" x14ac:dyDescent="0.2">
      <c r="B41" s="1" t="s">
        <v>157</v>
      </c>
      <c r="C41" s="135">
        <f ca="1">IF(Overview!C28&gt;0,Overview!C28,WACC!C20)</f>
        <v>0.12160492812805888</v>
      </c>
    </row>
    <row r="42" spans="2:14" x14ac:dyDescent="0.2">
      <c r="B42" s="39" t="s">
        <v>199</v>
      </c>
      <c r="C42" s="105">
        <v>18</v>
      </c>
    </row>
    <row r="43" spans="2:14" x14ac:dyDescent="0.2">
      <c r="B43" s="1" t="s">
        <v>419</v>
      </c>
      <c r="C43" s="24">
        <f>(C40*C42)</f>
        <v>375834.48914636055</v>
      </c>
    </row>
    <row r="44" spans="2:14" x14ac:dyDescent="0.2">
      <c r="B44" s="1" t="s">
        <v>420</v>
      </c>
      <c r="C44" s="24">
        <f ca="1">C43/(1+C41)^5</f>
        <v>211737.16174869807</v>
      </c>
    </row>
    <row r="45" spans="2:14" x14ac:dyDescent="0.2">
      <c r="B45" s="16" t="s">
        <v>421</v>
      </c>
      <c r="C45" s="108">
        <f ca="1">SUM(H9:K9)+C44</f>
        <v>233307.05608793901</v>
      </c>
    </row>
    <row r="46" spans="2:14" x14ac:dyDescent="0.2">
      <c r="B46" s="1" t="s">
        <v>181</v>
      </c>
      <c r="C46" s="136">
        <f>Statement!AC106</f>
        <v>8304</v>
      </c>
    </row>
    <row r="47" spans="2:14" x14ac:dyDescent="0.2">
      <c r="B47" s="1" t="s">
        <v>182</v>
      </c>
      <c r="C47" s="136">
        <f>Statement!AC107</f>
        <v>15270</v>
      </c>
    </row>
    <row r="48" spans="2:14" x14ac:dyDescent="0.2">
      <c r="B48" s="16" t="s">
        <v>183</v>
      </c>
      <c r="C48" s="108">
        <f ca="1">C45+C46-C47</f>
        <v>226341.05608793901</v>
      </c>
    </row>
    <row r="49" spans="2:3" x14ac:dyDescent="0.2">
      <c r="B49" s="1" t="s">
        <v>67</v>
      </c>
      <c r="C49" s="88">
        <f>Statement!AC78</f>
        <v>1062</v>
      </c>
    </row>
    <row r="50" spans="2:3" x14ac:dyDescent="0.2">
      <c r="B50" s="231" t="s">
        <v>201</v>
      </c>
      <c r="C50" s="232">
        <f ca="1">C48/C49</f>
        <v>213.12717145756969</v>
      </c>
    </row>
    <row r="52" spans="2:3" x14ac:dyDescent="0.2">
      <c r="B52" s="240" t="s">
        <v>202</v>
      </c>
      <c r="C52" s="240"/>
    </row>
    <row r="53" spans="2:3" x14ac:dyDescent="0.2">
      <c r="B53" s="1" t="s">
        <v>203</v>
      </c>
      <c r="C53" s="64">
        <f>L6</f>
        <v>71998.944280911994</v>
      </c>
    </row>
    <row r="54" spans="2:3" x14ac:dyDescent="0.2">
      <c r="B54" s="1" t="s">
        <v>346</v>
      </c>
      <c r="C54" s="135">
        <f ca="1">IF(Overview!C29&gt;0,Overview!C29,WACC!C19)</f>
        <v>0.12799949999999999</v>
      </c>
    </row>
    <row r="55" spans="2:3" x14ac:dyDescent="0.2">
      <c r="B55" s="39" t="s">
        <v>204</v>
      </c>
      <c r="C55" s="105">
        <v>5</v>
      </c>
    </row>
    <row r="56" spans="2:3" x14ac:dyDescent="0.2">
      <c r="B56" s="1" t="s">
        <v>200</v>
      </c>
      <c r="C56" s="24">
        <f>L19</f>
        <v>1024.4422356918749</v>
      </c>
    </row>
    <row r="57" spans="2:3" x14ac:dyDescent="0.2">
      <c r="B57" s="1" t="s">
        <v>184</v>
      </c>
      <c r="C57" s="24">
        <f>(C53*C55)/C56</f>
        <v>351.40558331376417</v>
      </c>
    </row>
    <row r="58" spans="2:3" x14ac:dyDescent="0.2">
      <c r="B58" s="231" t="s">
        <v>201</v>
      </c>
      <c r="C58" s="232">
        <f ca="1">C57/(1+C54)^5</f>
        <v>192.42616377251687</v>
      </c>
    </row>
    <row r="60" spans="2:3" x14ac:dyDescent="0.2">
      <c r="B60" s="240" t="s">
        <v>314</v>
      </c>
      <c r="C60" s="240"/>
    </row>
    <row r="61" spans="2:3" x14ac:dyDescent="0.2">
      <c r="B61" s="1" t="s">
        <v>423</v>
      </c>
      <c r="C61" s="64">
        <f>L8</f>
        <v>15805.380763756404</v>
      </c>
    </row>
    <row r="62" spans="2:3" x14ac:dyDescent="0.2">
      <c r="B62" s="1" t="s">
        <v>157</v>
      </c>
      <c r="C62" s="135">
        <f ca="1">IF(Overview!C28&gt;0,Overview!C28,WACC!C20)</f>
        <v>0.12160492812805888</v>
      </c>
    </row>
    <row r="63" spans="2:3" x14ac:dyDescent="0.2">
      <c r="B63" s="39" t="s">
        <v>345</v>
      </c>
      <c r="C63" s="105">
        <v>20</v>
      </c>
    </row>
    <row r="64" spans="2:3" x14ac:dyDescent="0.2">
      <c r="B64" s="1" t="s">
        <v>422</v>
      </c>
      <c r="C64" s="24">
        <f>(C61*C63)</f>
        <v>316107.6152751281</v>
      </c>
    </row>
    <row r="65" spans="2:3" x14ac:dyDescent="0.2">
      <c r="B65" s="1" t="s">
        <v>420</v>
      </c>
      <c r="C65" s="24">
        <f ca="1">C64/(1+C62)^5</f>
        <v>178088.31067507464</v>
      </c>
    </row>
    <row r="66" spans="2:3" x14ac:dyDescent="0.2">
      <c r="B66" s="16" t="s">
        <v>421</v>
      </c>
      <c r="C66" s="108">
        <f ca="1">SUM(H9:K9)+C65</f>
        <v>199658.20501431555</v>
      </c>
    </row>
    <row r="67" spans="2:3" x14ac:dyDescent="0.2">
      <c r="B67" s="1" t="s">
        <v>181</v>
      </c>
      <c r="C67" s="136">
        <f>Statement!AC106</f>
        <v>8304</v>
      </c>
    </row>
    <row r="68" spans="2:3" x14ac:dyDescent="0.2">
      <c r="B68" s="1" t="s">
        <v>182</v>
      </c>
      <c r="C68" s="136">
        <f>Statement!AC107</f>
        <v>15270</v>
      </c>
    </row>
    <row r="69" spans="2:3" x14ac:dyDescent="0.2">
      <c r="B69" s="16" t="s">
        <v>183</v>
      </c>
      <c r="C69" s="108">
        <f ca="1">C66+C67-C68</f>
        <v>192692.20501431555</v>
      </c>
    </row>
    <row r="70" spans="2:3" x14ac:dyDescent="0.2">
      <c r="B70" s="1" t="s">
        <v>67</v>
      </c>
      <c r="C70" s="88">
        <f>Statement!AC78</f>
        <v>1062</v>
      </c>
    </row>
    <row r="71" spans="2:3" x14ac:dyDescent="0.2">
      <c r="B71" s="231" t="s">
        <v>201</v>
      </c>
      <c r="C71" s="232">
        <f ca="1">C69/C70</f>
        <v>181.44275425076793</v>
      </c>
    </row>
    <row r="73" spans="2:3" x14ac:dyDescent="0.2">
      <c r="B73" s="240" t="s">
        <v>425</v>
      </c>
      <c r="C73" s="240"/>
    </row>
    <row r="74" spans="2:3" x14ac:dyDescent="0.2">
      <c r="B74" s="1" t="s">
        <v>426</v>
      </c>
      <c r="C74" s="64">
        <f>L6</f>
        <v>71998.944280911994</v>
      </c>
    </row>
    <row r="75" spans="2:3" x14ac:dyDescent="0.2">
      <c r="B75" s="1" t="s">
        <v>157</v>
      </c>
      <c r="C75" s="135">
        <f ca="1">IF(Overview!C28&gt;0,Overview!C28,WACC!C20)</f>
        <v>0.12160492812805888</v>
      </c>
    </row>
    <row r="76" spans="2:3" x14ac:dyDescent="0.2">
      <c r="B76" s="39" t="s">
        <v>427</v>
      </c>
      <c r="C76" s="105">
        <v>5</v>
      </c>
    </row>
    <row r="77" spans="2:3" x14ac:dyDescent="0.2">
      <c r="B77" s="1" t="s">
        <v>422</v>
      </c>
      <c r="C77" s="24">
        <f>(C74*C76)</f>
        <v>359994.72140455997</v>
      </c>
    </row>
    <row r="78" spans="2:3" x14ac:dyDescent="0.2">
      <c r="B78" s="1" t="s">
        <v>420</v>
      </c>
      <c r="C78" s="24">
        <f ca="1">C77/(1+C75)^5</f>
        <v>202813.37332250777</v>
      </c>
    </row>
    <row r="79" spans="2:3" x14ac:dyDescent="0.2">
      <c r="B79" s="16" t="s">
        <v>421</v>
      </c>
      <c r="C79" s="108">
        <f ca="1">SUM(H9:K9)+C78</f>
        <v>224383.26766174869</v>
      </c>
    </row>
    <row r="80" spans="2:3" x14ac:dyDescent="0.2">
      <c r="B80" s="1" t="s">
        <v>181</v>
      </c>
      <c r="C80" s="136">
        <f>Statement!AC106</f>
        <v>8304</v>
      </c>
    </row>
    <row r="81" spans="2:3" x14ac:dyDescent="0.2">
      <c r="B81" s="1" t="s">
        <v>182</v>
      </c>
      <c r="C81" s="136">
        <f>Statement!AC107</f>
        <v>15270</v>
      </c>
    </row>
    <row r="82" spans="2:3" x14ac:dyDescent="0.2">
      <c r="B82" s="16" t="s">
        <v>183</v>
      </c>
      <c r="C82" s="108">
        <f ca="1">C79+C80-C81</f>
        <v>217417.26766174869</v>
      </c>
    </row>
    <row r="83" spans="2:3" x14ac:dyDescent="0.2">
      <c r="B83" s="1" t="s">
        <v>67</v>
      </c>
      <c r="C83" s="88">
        <f>Statement!AC78</f>
        <v>1062</v>
      </c>
    </row>
    <row r="84" spans="2:3" x14ac:dyDescent="0.2">
      <c r="B84" s="231" t="s">
        <v>201</v>
      </c>
      <c r="C84" s="232">
        <f ca="1">C82/C83</f>
        <v>204.7243574969385</v>
      </c>
    </row>
  </sheetData>
  <mergeCells count="11">
    <mergeCell ref="C22:L22"/>
    <mergeCell ref="C2:G2"/>
    <mergeCell ref="H2:L2"/>
    <mergeCell ref="C4:L4"/>
    <mergeCell ref="C11:L11"/>
    <mergeCell ref="C17:L17"/>
    <mergeCell ref="B73:C73"/>
    <mergeCell ref="C27:L27"/>
    <mergeCell ref="B39:C39"/>
    <mergeCell ref="B52:C52"/>
    <mergeCell ref="B60:C60"/>
  </mergeCells>
  <pageMargins left="0.7" right="0.7" top="0.75" bottom="0.75" header="0.3" footer="0.3"/>
  <ignoredErrors>
    <ignoredError sqref="D14:L14"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06138-34BE-DB43-85EE-BFBB58F201B2}">
  <dimension ref="A1:N12"/>
  <sheetViews>
    <sheetView zoomScale="168" zoomScaleNormal="100" workbookViewId="0">
      <selection activeCell="C10" sqref="C10"/>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205</v>
      </c>
    </row>
    <row r="2" spans="1:14" x14ac:dyDescent="0.2">
      <c r="N2" s="91"/>
    </row>
    <row r="3" spans="1:14" x14ac:dyDescent="0.2">
      <c r="N3" s="91"/>
    </row>
    <row r="4" spans="1:14" x14ac:dyDescent="0.2">
      <c r="B4" s="240" t="s">
        <v>206</v>
      </c>
      <c r="C4" s="240"/>
      <c r="N4" s="91"/>
    </row>
    <row r="5" spans="1:14" x14ac:dyDescent="0.2">
      <c r="B5" s="1" t="s">
        <v>207</v>
      </c>
      <c r="C5" s="133">
        <f ca="1">DCF!C26</f>
        <v>111.09807910466851</v>
      </c>
    </row>
    <row r="6" spans="1:14" x14ac:dyDescent="0.2">
      <c r="B6" s="1" t="s">
        <v>208</v>
      </c>
      <c r="C6" s="133">
        <f ca="1">Multiples!C50</f>
        <v>213.12717145756969</v>
      </c>
    </row>
    <row r="7" spans="1:14" x14ac:dyDescent="0.2">
      <c r="B7" s="1" t="s">
        <v>209</v>
      </c>
      <c r="C7" s="133">
        <f ca="1">Multiples!C58</f>
        <v>192.42616377251687</v>
      </c>
    </row>
    <row r="8" spans="1:14" x14ac:dyDescent="0.2">
      <c r="B8" s="1" t="s">
        <v>315</v>
      </c>
      <c r="C8" s="133">
        <f ca="1">Multiples!C71</f>
        <v>181.44275425076793</v>
      </c>
    </row>
    <row r="9" spans="1:14" x14ac:dyDescent="0.2">
      <c r="B9" s="1" t="s">
        <v>424</v>
      </c>
      <c r="C9" s="133">
        <f ca="1">Multiples!C84</f>
        <v>204.7243574969385</v>
      </c>
    </row>
    <row r="10" spans="1:14" x14ac:dyDescent="0.2">
      <c r="B10" s="231" t="s">
        <v>210</v>
      </c>
      <c r="C10" s="232">
        <f ca="1">AVERAGE(C5:C9)</f>
        <v>180.56370521649234</v>
      </c>
    </row>
    <row r="11" spans="1:14" x14ac:dyDescent="0.2">
      <c r="B11" s="1" t="s">
        <v>211</v>
      </c>
      <c r="C11" s="133">
        <f ca="1">Overview!C5</f>
        <v>178.4</v>
      </c>
    </row>
    <row r="12" spans="1:14" x14ac:dyDescent="0.2">
      <c r="B12" s="1" t="s">
        <v>212</v>
      </c>
      <c r="C12" s="152">
        <f ca="1">(C10-C11)/C11</f>
        <v>1.2128392469127421E-2</v>
      </c>
    </row>
  </sheetData>
  <mergeCells count="1">
    <mergeCell ref="B4:C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14150-DB89-F74E-BBB8-9E97A5FA5872}">
  <dimension ref="A1:N26"/>
  <sheetViews>
    <sheetView topLeftCell="A16" zoomScale="192" zoomScaleNormal="100" workbookViewId="0">
      <selection activeCell="C26" sqref="C26"/>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395</v>
      </c>
    </row>
    <row r="2" spans="1:14" x14ac:dyDescent="0.2">
      <c r="A2" s="4"/>
      <c r="C2" s="240" t="s">
        <v>105</v>
      </c>
      <c r="D2" s="240"/>
      <c r="E2" s="240"/>
      <c r="F2" s="240"/>
      <c r="G2" s="249"/>
      <c r="H2" s="250" t="s">
        <v>106</v>
      </c>
      <c r="I2" s="240"/>
      <c r="J2" s="240"/>
      <c r="K2" s="240"/>
      <c r="L2" s="240"/>
    </row>
    <row r="3" spans="1:14" ht="10" customHeight="1" x14ac:dyDescent="0.2"/>
    <row r="4" spans="1:14" ht="16" customHeight="1" x14ac:dyDescent="0.2">
      <c r="A4" s="86"/>
      <c r="B4" s="60"/>
      <c r="C4" s="246" t="s">
        <v>186</v>
      </c>
      <c r="D4" s="246"/>
      <c r="E4" s="246"/>
      <c r="F4" s="246"/>
      <c r="G4" s="246"/>
      <c r="H4" s="246"/>
      <c r="I4" s="246"/>
      <c r="J4" s="246"/>
      <c r="K4" s="246"/>
      <c r="L4" s="246"/>
    </row>
    <row r="5" spans="1:14" x14ac:dyDescent="0.2">
      <c r="B5" s="16" t="s">
        <v>109</v>
      </c>
      <c r="C5" s="12">
        <f>Revenue!C5</f>
        <v>2021</v>
      </c>
      <c r="D5" s="12">
        <f>Revenue!D5</f>
        <v>2022</v>
      </c>
      <c r="E5" s="12">
        <f>Revenue!E5</f>
        <v>2023</v>
      </c>
      <c r="F5" s="12">
        <f>Revenue!F5</f>
        <v>2024</v>
      </c>
      <c r="G5" s="12">
        <f>Revenue!G5</f>
        <v>2025</v>
      </c>
      <c r="H5" s="12">
        <f>Revenue!H5</f>
        <v>2026</v>
      </c>
      <c r="I5" s="12">
        <f>Revenue!I5</f>
        <v>2027</v>
      </c>
      <c r="J5" s="12">
        <f>Revenue!J5</f>
        <v>2028</v>
      </c>
      <c r="K5" s="12">
        <f>Revenue!K5</f>
        <v>2029</v>
      </c>
      <c r="L5" s="12">
        <f>Revenue!L5</f>
        <v>2030</v>
      </c>
    </row>
    <row r="6" spans="1:14" x14ac:dyDescent="0.2">
      <c r="B6" s="16" t="s">
        <v>235</v>
      </c>
      <c r="C6" s="226">
        <f>Statement!M26</f>
        <v>7.87</v>
      </c>
      <c r="D6" s="226">
        <f>Statement!N26</f>
        <v>11.41</v>
      </c>
      <c r="E6" s="226">
        <f>Statement!O26</f>
        <v>6.52</v>
      </c>
      <c r="F6" s="226">
        <f>Statement!P26</f>
        <v>8.94</v>
      </c>
      <c r="G6" s="227">
        <f>Statement!Q26</f>
        <v>10.172850678733031</v>
      </c>
      <c r="H6" s="137"/>
      <c r="I6" s="137"/>
      <c r="J6" s="137"/>
      <c r="K6" s="137"/>
      <c r="L6" s="137"/>
      <c r="N6" s="91"/>
    </row>
    <row r="7" spans="1:14" x14ac:dyDescent="0.2">
      <c r="B7" s="16" t="s">
        <v>396</v>
      </c>
      <c r="C7" s="226">
        <f>Statement!M82</f>
        <v>2.66</v>
      </c>
      <c r="D7" s="226">
        <f>Statement!N82</f>
        <v>2.86</v>
      </c>
      <c r="E7" s="226">
        <f>Statement!O82</f>
        <v>3.1</v>
      </c>
      <c r="F7" s="226">
        <f>Statement!P82</f>
        <v>3.3</v>
      </c>
      <c r="G7" s="227">
        <f>Statement!Q82</f>
        <v>3.48</v>
      </c>
      <c r="H7" s="137"/>
      <c r="I7" s="137"/>
      <c r="J7" s="137"/>
      <c r="K7" s="137"/>
      <c r="L7" s="137"/>
      <c r="N7" s="91"/>
    </row>
    <row r="8" spans="1:14" x14ac:dyDescent="0.2">
      <c r="N8" s="91"/>
    </row>
    <row r="9" spans="1:14" x14ac:dyDescent="0.2">
      <c r="C9" s="246" t="s">
        <v>114</v>
      </c>
      <c r="D9" s="246"/>
      <c r="E9" s="246"/>
      <c r="F9" s="246"/>
      <c r="G9" s="246"/>
      <c r="H9" s="246"/>
      <c r="I9" s="246"/>
      <c r="J9" s="246"/>
      <c r="K9" s="246"/>
      <c r="L9" s="246"/>
      <c r="N9" s="91"/>
    </row>
    <row r="10" spans="1:14" x14ac:dyDescent="0.2">
      <c r="B10" s="16" t="s">
        <v>187</v>
      </c>
      <c r="C10" s="12">
        <f t="shared" ref="C10:L10" si="0">C5</f>
        <v>2021</v>
      </c>
      <c r="D10" s="12">
        <f t="shared" si="0"/>
        <v>2022</v>
      </c>
      <c r="E10" s="12">
        <f t="shared" si="0"/>
        <v>2023</v>
      </c>
      <c r="F10" s="12">
        <f t="shared" si="0"/>
        <v>2024</v>
      </c>
      <c r="G10" s="12">
        <f t="shared" si="0"/>
        <v>2025</v>
      </c>
      <c r="H10" s="12">
        <f t="shared" si="0"/>
        <v>2026</v>
      </c>
      <c r="I10" s="12">
        <f t="shared" si="0"/>
        <v>2027</v>
      </c>
      <c r="J10" s="12">
        <f t="shared" si="0"/>
        <v>2028</v>
      </c>
      <c r="K10" s="12">
        <f t="shared" si="0"/>
        <v>2029</v>
      </c>
      <c r="L10" s="12">
        <f t="shared" si="0"/>
        <v>2030</v>
      </c>
      <c r="N10" s="91"/>
    </row>
    <row r="11" spans="1:14" x14ac:dyDescent="0.2">
      <c r="B11" s="1" t="s">
        <v>235</v>
      </c>
      <c r="C11" s="137"/>
      <c r="D11" s="95">
        <f>(D6-C6)/C6</f>
        <v>0.44980940279542564</v>
      </c>
      <c r="E11" s="95">
        <f>(E6-D6)/D6</f>
        <v>-0.4285714285714286</v>
      </c>
      <c r="F11" s="95">
        <f>(F6-E6)/E6</f>
        <v>0.37116564417177916</v>
      </c>
      <c r="G11" s="96">
        <f>(G6-F6)/F6</f>
        <v>0.13790276048467914</v>
      </c>
      <c r="H11" s="137"/>
      <c r="I11" s="137"/>
      <c r="J11" s="137"/>
      <c r="K11" s="137"/>
      <c r="L11" s="137"/>
      <c r="N11" s="91"/>
    </row>
    <row r="12" spans="1:14" x14ac:dyDescent="0.2">
      <c r="B12" s="1" t="s">
        <v>236</v>
      </c>
      <c r="C12" s="137"/>
      <c r="D12" s="95">
        <f>IF(C7=0,
IF(D7=0,0,IF(D7&gt;0,1,-1)),
(D7-C7)/ABS(C7)
)</f>
        <v>7.5187969924811929E-2</v>
      </c>
      <c r="E12" s="95">
        <f>IF(D7=0,
IF(E7=0,0,IF(E7&gt;0,1,-1)),
(E7-D7)/ABS(D7)
)</f>
        <v>8.3916083916083989E-2</v>
      </c>
      <c r="F12" s="95">
        <f>IF(E7=0,
IF(F7=0,0,IF(F7&gt;0,1,-1)),
(F7-E7)/ABS(E7)
)</f>
        <v>6.4516129032257979E-2</v>
      </c>
      <c r="G12" s="96">
        <f>IF(F7=0,
IF(G7=0,0,IF(G7&gt;0,1,-1)),
(G7-F7)/ABS(F7)
)</f>
        <v>5.4545454545454598E-2</v>
      </c>
      <c r="H12" s="137"/>
      <c r="I12" s="137"/>
      <c r="J12" s="137"/>
      <c r="K12" s="137"/>
      <c r="L12" s="137"/>
      <c r="N12" s="91"/>
    </row>
    <row r="13" spans="1:14" x14ac:dyDescent="0.2">
      <c r="N13" s="91"/>
    </row>
    <row r="14" spans="1:14" x14ac:dyDescent="0.2">
      <c r="C14" s="246" t="s">
        <v>397</v>
      </c>
      <c r="D14" s="246"/>
      <c r="E14" s="246"/>
      <c r="F14" s="246"/>
      <c r="G14" s="246"/>
      <c r="H14" s="246"/>
      <c r="I14" s="246"/>
      <c r="J14" s="246"/>
      <c r="K14" s="246"/>
      <c r="L14" s="246"/>
      <c r="N14" s="91"/>
    </row>
    <row r="15" spans="1:14" x14ac:dyDescent="0.2">
      <c r="B15" s="16" t="s">
        <v>324</v>
      </c>
      <c r="C15" s="12">
        <f>C5</f>
        <v>2021</v>
      </c>
      <c r="D15" s="12">
        <f t="shared" ref="D15:L15" si="1">D5</f>
        <v>2022</v>
      </c>
      <c r="E15" s="12">
        <f t="shared" si="1"/>
        <v>2023</v>
      </c>
      <c r="F15" s="12">
        <f t="shared" si="1"/>
        <v>2024</v>
      </c>
      <c r="G15" s="12">
        <f t="shared" si="1"/>
        <v>2025</v>
      </c>
      <c r="H15" s="12">
        <f t="shared" si="1"/>
        <v>2026</v>
      </c>
      <c r="I15" s="12">
        <f t="shared" si="1"/>
        <v>2027</v>
      </c>
      <c r="J15" s="12">
        <f t="shared" si="1"/>
        <v>2028</v>
      </c>
      <c r="K15" s="12">
        <f t="shared" si="1"/>
        <v>2029</v>
      </c>
      <c r="L15" s="12">
        <f t="shared" si="1"/>
        <v>2030</v>
      </c>
      <c r="N15" s="91"/>
    </row>
    <row r="16" spans="1:14" x14ac:dyDescent="0.2">
      <c r="B16" s="1" t="s">
        <v>398</v>
      </c>
      <c r="C16" s="95">
        <f>C7/C6</f>
        <v>0.33799237611181704</v>
      </c>
      <c r="D16" s="95">
        <f t="shared" ref="D16:G16" si="2">D7/D6</f>
        <v>0.25065731814198072</v>
      </c>
      <c r="E16" s="95">
        <f t="shared" si="2"/>
        <v>0.47546012269938653</v>
      </c>
      <c r="F16" s="95">
        <f t="shared" si="2"/>
        <v>0.36912751677852351</v>
      </c>
      <c r="G16" s="96">
        <f t="shared" si="2"/>
        <v>0.34208700293568189</v>
      </c>
      <c r="H16" s="137"/>
      <c r="I16" s="137"/>
      <c r="J16" s="137"/>
      <c r="K16" s="137"/>
      <c r="L16" s="137"/>
      <c r="N16" s="91"/>
    </row>
    <row r="17" spans="2:14" x14ac:dyDescent="0.2">
      <c r="N17" s="91"/>
    </row>
    <row r="18" spans="2:14" x14ac:dyDescent="0.2">
      <c r="N18" s="91"/>
    </row>
    <row r="19" spans="2:14" x14ac:dyDescent="0.2">
      <c r="N19" s="91"/>
    </row>
    <row r="20" spans="2:14" x14ac:dyDescent="0.2">
      <c r="B20" s="240" t="s">
        <v>399</v>
      </c>
      <c r="C20" s="240"/>
      <c r="N20" s="91"/>
    </row>
    <row r="21" spans="2:14" x14ac:dyDescent="0.2">
      <c r="B21" s="1" t="s">
        <v>400</v>
      </c>
      <c r="C21" s="228">
        <f>G7</f>
        <v>3.48</v>
      </c>
    </row>
    <row r="22" spans="2:14" x14ac:dyDescent="0.2">
      <c r="B22" s="1" t="s">
        <v>401</v>
      </c>
      <c r="C22" s="230">
        <v>0.06</v>
      </c>
    </row>
    <row r="23" spans="2:14" x14ac:dyDescent="0.2">
      <c r="B23" s="39" t="s">
        <v>402</v>
      </c>
      <c r="C23" s="229">
        <f>C21*(1+C22)</f>
        <v>3.6888000000000001</v>
      </c>
    </row>
    <row r="24" spans="2:14" x14ac:dyDescent="0.2">
      <c r="B24" s="1" t="s">
        <v>346</v>
      </c>
      <c r="C24" s="135">
        <f ca="1">IF(Overview!C29&gt;0,Overview!C29,WACC!C19)</f>
        <v>0.12799949999999999</v>
      </c>
    </row>
    <row r="25" spans="2:14" x14ac:dyDescent="0.2">
      <c r="B25" s="39" t="s">
        <v>403</v>
      </c>
      <c r="C25" s="230">
        <v>0.02</v>
      </c>
    </row>
    <row r="26" spans="2:14" x14ac:dyDescent="0.2">
      <c r="B26" s="231" t="s">
        <v>201</v>
      </c>
      <c r="C26" s="232">
        <f ca="1">C23/(C24-C25)</f>
        <v>34.155713683859652</v>
      </c>
    </row>
  </sheetData>
  <mergeCells count="6">
    <mergeCell ref="B20:C20"/>
    <mergeCell ref="C14:L14"/>
    <mergeCell ref="C2:G2"/>
    <mergeCell ref="H2:L2"/>
    <mergeCell ref="C4:L4"/>
    <mergeCell ref="C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CE1A-CCEC-514B-9208-A0DCC7740441}">
  <dimension ref="A1:AB36"/>
  <sheetViews>
    <sheetView topLeftCell="A13" zoomScale="209" zoomScaleNormal="100" workbookViewId="0">
      <selection activeCell="C17" sqref="C17"/>
    </sheetView>
  </sheetViews>
  <sheetFormatPr baseColWidth="10" defaultRowHeight="16" x14ac:dyDescent="0.2"/>
  <cols>
    <col min="1" max="1" width="2" style="83" customWidth="1"/>
    <col min="2" max="2" width="32" style="1" customWidth="1"/>
    <col min="3" max="3" width="12.6640625" style="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213</v>
      </c>
    </row>
    <row r="2" spans="1:28" s="83" customFormat="1" ht="18" customHeight="1" x14ac:dyDescent="0.2">
      <c r="A2" s="4"/>
      <c r="B2" s="82"/>
    </row>
    <row r="3" spans="1:28" x14ac:dyDescent="0.2">
      <c r="A3" s="4"/>
      <c r="C3" s="240" t="s">
        <v>105</v>
      </c>
      <c r="D3" s="240"/>
      <c r="E3" s="240"/>
      <c r="F3" s="240"/>
      <c r="G3" s="249"/>
      <c r="H3" s="250" t="s">
        <v>106</v>
      </c>
      <c r="I3" s="240"/>
      <c r="J3" s="240"/>
      <c r="K3" s="240"/>
      <c r="L3" s="240"/>
      <c r="P3" s="251"/>
      <c r="Q3" s="251"/>
      <c r="R3" s="251"/>
      <c r="S3" s="251"/>
      <c r="T3" s="251"/>
      <c r="U3" s="251"/>
      <c r="V3" s="251"/>
      <c r="W3" s="251"/>
      <c r="X3" s="251"/>
      <c r="Y3" s="251"/>
      <c r="Z3" s="251"/>
      <c r="AB3" s="109"/>
    </row>
    <row r="4" spans="1:28" ht="10" customHeight="1" x14ac:dyDescent="0.2"/>
    <row r="5" spans="1:28" ht="16" customHeight="1" x14ac:dyDescent="0.2">
      <c r="A5" s="86"/>
      <c r="B5" s="60"/>
      <c r="C5" s="246" t="s">
        <v>172</v>
      </c>
      <c r="D5" s="246"/>
      <c r="E5" s="246"/>
      <c r="F5" s="246"/>
      <c r="G5" s="246"/>
      <c r="H5" s="246"/>
      <c r="I5" s="246"/>
      <c r="J5" s="246"/>
      <c r="K5" s="246"/>
      <c r="L5" s="246"/>
      <c r="P5" s="251"/>
      <c r="Q5" s="251"/>
      <c r="R5" s="251"/>
      <c r="S5" s="251"/>
      <c r="T5" s="251"/>
      <c r="U5" s="251"/>
      <c r="V5" s="251"/>
      <c r="W5" s="251"/>
      <c r="X5" s="251"/>
      <c r="Y5" s="251"/>
      <c r="Z5" s="251"/>
      <c r="AB5" s="110"/>
    </row>
    <row r="6" spans="1:28" x14ac:dyDescent="0.2">
      <c r="B6" s="16" t="s">
        <v>125</v>
      </c>
      <c r="C6" s="12">
        <f>Revenue!C5</f>
        <v>2021</v>
      </c>
      <c r="D6" s="12">
        <f>Revenue!D5</f>
        <v>2022</v>
      </c>
      <c r="E6" s="12">
        <f>Revenue!E5</f>
        <v>2023</v>
      </c>
      <c r="F6" s="12">
        <f>Revenue!F5</f>
        <v>2024</v>
      </c>
      <c r="G6" s="12">
        <f>Revenue!G5</f>
        <v>2025</v>
      </c>
      <c r="H6" s="12">
        <f>Revenue!H5</f>
        <v>2026</v>
      </c>
      <c r="I6" s="12">
        <f>Revenue!I5</f>
        <v>2027</v>
      </c>
      <c r="J6" s="12">
        <f>Revenue!J5</f>
        <v>2028</v>
      </c>
      <c r="K6" s="12">
        <f>Revenue!K5</f>
        <v>2029</v>
      </c>
      <c r="L6" s="12">
        <f>Revenue!L5</f>
        <v>2030</v>
      </c>
      <c r="O6" s="16"/>
      <c r="P6" s="111"/>
      <c r="Q6" s="111"/>
      <c r="R6" s="111"/>
      <c r="S6" s="111"/>
      <c r="T6" s="111"/>
      <c r="U6" s="111"/>
      <c r="V6" s="111"/>
      <c r="W6" s="111"/>
      <c r="X6" s="111"/>
      <c r="Y6" s="111"/>
      <c r="Z6" s="111"/>
      <c r="AB6" s="110"/>
    </row>
    <row r="7" spans="1:28" x14ac:dyDescent="0.2">
      <c r="B7" s="39" t="s">
        <v>254</v>
      </c>
      <c r="C7" s="112">
        <f>'FCF &amp; Other'!C28</f>
        <v>7849.1112517033289</v>
      </c>
      <c r="D7" s="112">
        <f>'FCF &amp; Other'!D28</f>
        <v>5246.7763701826916</v>
      </c>
      <c r="E7" s="112">
        <f>'FCF &amp; Other'!E28</f>
        <v>11270.179363160016</v>
      </c>
      <c r="F7" s="112">
        <f>'FCF &amp; Other'!F28</f>
        <v>11195.794311145512</v>
      </c>
      <c r="G7" s="113">
        <f>'FCF &amp; Other'!G28</f>
        <v>11791.587064676618</v>
      </c>
      <c r="H7" s="126">
        <f>G7*(1+$C$17)</f>
        <v>13324.493383084577</v>
      </c>
      <c r="I7" s="126">
        <f t="shared" ref="I7:L7" si="0">H7*(1+$C$17)</f>
        <v>15056.677522885569</v>
      </c>
      <c r="J7" s="126">
        <f t="shared" si="0"/>
        <v>17014.045600860693</v>
      </c>
      <c r="K7" s="126">
        <f t="shared" si="0"/>
        <v>19225.871528972581</v>
      </c>
      <c r="L7" s="126">
        <f t="shared" si="0"/>
        <v>21725.234827739016</v>
      </c>
      <c r="N7" s="91"/>
      <c r="O7" s="16"/>
      <c r="P7" s="92"/>
      <c r="Q7" s="92"/>
      <c r="R7" s="92"/>
      <c r="S7" s="92"/>
      <c r="T7" s="92"/>
      <c r="U7" s="92"/>
      <c r="V7" s="92"/>
      <c r="W7" s="92"/>
      <c r="X7" s="94"/>
      <c r="Y7" s="94"/>
      <c r="Z7" s="94"/>
      <c r="AB7" s="94"/>
    </row>
    <row r="8" spans="1:28" x14ac:dyDescent="0.2">
      <c r="B8" s="39" t="s">
        <v>173</v>
      </c>
      <c r="C8" s="137"/>
      <c r="D8" s="137"/>
      <c r="E8" s="137"/>
      <c r="F8" s="137"/>
      <c r="G8" s="138"/>
      <c r="H8" s="137"/>
      <c r="I8" s="137"/>
      <c r="J8" s="137"/>
      <c r="K8" s="137"/>
      <c r="L8" s="126">
        <f ca="1">L7*(1+C20)/(C21-C20)</f>
        <v>230509.62440460268</v>
      </c>
      <c r="N8" s="91"/>
      <c r="O8" s="16"/>
      <c r="P8" s="92"/>
      <c r="Q8" s="92"/>
      <c r="R8" s="92"/>
      <c r="S8" s="92"/>
      <c r="T8" s="92"/>
      <c r="U8" s="92"/>
      <c r="V8" s="92"/>
      <c r="W8" s="92"/>
      <c r="X8" s="94"/>
      <c r="Y8" s="94"/>
      <c r="Z8" s="94"/>
      <c r="AB8" s="94"/>
    </row>
    <row r="9" spans="1:28" x14ac:dyDescent="0.2">
      <c r="B9" s="1" t="s">
        <v>174</v>
      </c>
      <c r="C9" s="137"/>
      <c r="D9" s="137"/>
      <c r="E9" s="137"/>
      <c r="F9" s="137"/>
      <c r="G9" s="138"/>
      <c r="H9" s="139">
        <v>1</v>
      </c>
      <c r="I9" s="139">
        <v>2</v>
      </c>
      <c r="J9" s="139">
        <v>3</v>
      </c>
      <c r="K9" s="139">
        <v>4</v>
      </c>
      <c r="L9" s="139">
        <v>5</v>
      </c>
      <c r="N9" s="91"/>
    </row>
    <row r="10" spans="1:28" x14ac:dyDescent="0.2">
      <c r="B10" s="1" t="s">
        <v>312</v>
      </c>
      <c r="C10" s="137"/>
      <c r="D10" s="137"/>
      <c r="E10" s="137"/>
      <c r="F10" s="137"/>
      <c r="G10" s="138"/>
      <c r="H10" s="126">
        <f ca="1">H7/(1+$C$21)^H9</f>
        <v>11879.845611344583</v>
      </c>
      <c r="I10" s="126">
        <f t="shared" ref="I10:L10" ca="1" si="1">I7/(1+$C$21)^I9</f>
        <v>11968.764762137947</v>
      </c>
      <c r="J10" s="126">
        <f t="shared" ca="1" si="1"/>
        <v>12058.349461595537</v>
      </c>
      <c r="K10" s="126">
        <f t="shared" ca="1" si="1"/>
        <v>12148.604691265422</v>
      </c>
      <c r="L10" s="126">
        <f t="shared" ca="1" si="1"/>
        <v>12239.535469981945</v>
      </c>
      <c r="N10" s="91"/>
    </row>
    <row r="11" spans="1:28" x14ac:dyDescent="0.2">
      <c r="B11" s="1" t="s">
        <v>175</v>
      </c>
      <c r="C11" s="137"/>
      <c r="D11" s="137"/>
      <c r="E11" s="137"/>
      <c r="F11" s="137"/>
      <c r="G11" s="138"/>
      <c r="H11" s="137"/>
      <c r="I11" s="137"/>
      <c r="J11" s="137"/>
      <c r="K11" s="137"/>
      <c r="L11" s="126">
        <f ca="1">L8/(1+C21)^L9</f>
        <v>129864.22224859198</v>
      </c>
    </row>
    <row r="13" spans="1:28" ht="17" thickBot="1" x14ac:dyDescent="0.25"/>
    <row r="14" spans="1:28" x14ac:dyDescent="0.2">
      <c r="B14" s="252" t="s">
        <v>214</v>
      </c>
      <c r="C14" s="253"/>
    </row>
    <row r="15" spans="1:28" x14ac:dyDescent="0.2">
      <c r="B15" s="153" t="s">
        <v>215</v>
      </c>
      <c r="C15" s="154">
        <f ca="1">Overview!C5</f>
        <v>178.4</v>
      </c>
    </row>
    <row r="16" spans="1:28" x14ac:dyDescent="0.2">
      <c r="B16" s="153" t="s">
        <v>216</v>
      </c>
      <c r="C16" s="154">
        <f ca="1">C36</f>
        <v>174.46983070944515</v>
      </c>
    </row>
    <row r="17" spans="2:9" ht="17" thickBot="1" x14ac:dyDescent="0.25">
      <c r="B17" s="155" t="s">
        <v>316</v>
      </c>
      <c r="C17" s="156">
        <v>0.13</v>
      </c>
      <c r="E17" s="254" t="s">
        <v>217</v>
      </c>
      <c r="F17" s="254"/>
      <c r="G17" s="254"/>
      <c r="H17" s="254"/>
      <c r="I17" s="254"/>
    </row>
    <row r="18" spans="2:9" ht="17" thickBot="1" x14ac:dyDescent="0.25"/>
    <row r="19" spans="2:9" x14ac:dyDescent="0.2">
      <c r="B19" s="252" t="s">
        <v>176</v>
      </c>
      <c r="C19" s="253"/>
    </row>
    <row r="20" spans="2:9" x14ac:dyDescent="0.2">
      <c r="B20" s="157" t="s">
        <v>177</v>
      </c>
      <c r="C20" s="158">
        <v>2.5000000000000001E-2</v>
      </c>
    </row>
    <row r="21" spans="2:9" x14ac:dyDescent="0.2">
      <c r="B21" s="157" t="s">
        <v>157</v>
      </c>
      <c r="C21" s="221">
        <f ca="1">IF(Overview!C28&gt;0,Overview!C28,WACC!C20)</f>
        <v>0.12160492812805888</v>
      </c>
    </row>
    <row r="22" spans="2:9" x14ac:dyDescent="0.2">
      <c r="B22" s="157" t="s">
        <v>67</v>
      </c>
      <c r="C22" s="222">
        <f>Statement!AC75</f>
        <v>1050</v>
      </c>
    </row>
    <row r="23" spans="2:9" x14ac:dyDescent="0.2">
      <c r="B23" s="157" t="s">
        <v>218</v>
      </c>
      <c r="C23" s="159">
        <f ca="1">C15*C22</f>
        <v>187320</v>
      </c>
    </row>
    <row r="24" spans="2:9" x14ac:dyDescent="0.2">
      <c r="B24" s="157" t="s">
        <v>170</v>
      </c>
      <c r="C24" s="222">
        <f>Statement!AC106</f>
        <v>8304</v>
      </c>
    </row>
    <row r="25" spans="2:9" x14ac:dyDescent="0.2">
      <c r="B25" s="157" t="s">
        <v>161</v>
      </c>
      <c r="C25" s="222">
        <f>Statement!AC107</f>
        <v>15270</v>
      </c>
    </row>
    <row r="26" spans="2:9" ht="17" thickBot="1" x14ac:dyDescent="0.25">
      <c r="B26" s="155" t="s">
        <v>219</v>
      </c>
      <c r="C26" s="160">
        <f ca="1">C23+C25-C24</f>
        <v>194286</v>
      </c>
    </row>
    <row r="27" spans="2:9" ht="17" thickBot="1" x14ac:dyDescent="0.25"/>
    <row r="28" spans="2:9" x14ac:dyDescent="0.2">
      <c r="B28" s="252" t="s">
        <v>178</v>
      </c>
      <c r="C28" s="253"/>
    </row>
    <row r="29" spans="2:9" x14ac:dyDescent="0.2">
      <c r="B29" s="157" t="s">
        <v>179</v>
      </c>
      <c r="C29" s="159">
        <f ca="1">SUM(H10:L10)</f>
        <v>60295.099996325429</v>
      </c>
    </row>
    <row r="30" spans="2:9" x14ac:dyDescent="0.2">
      <c r="B30" s="157" t="s">
        <v>175</v>
      </c>
      <c r="C30" s="159">
        <f ca="1">L11</f>
        <v>129864.22224859198</v>
      </c>
    </row>
    <row r="31" spans="2:9" x14ac:dyDescent="0.2">
      <c r="B31" s="161" t="s">
        <v>180</v>
      </c>
      <c r="C31" s="162">
        <f ca="1">C29+C30</f>
        <v>190159.32224491739</v>
      </c>
    </row>
    <row r="32" spans="2:9" x14ac:dyDescent="0.2">
      <c r="B32" s="157" t="s">
        <v>181</v>
      </c>
      <c r="C32" s="163">
        <f>C24</f>
        <v>8304</v>
      </c>
    </row>
    <row r="33" spans="2:3" x14ac:dyDescent="0.2">
      <c r="B33" s="157" t="s">
        <v>182</v>
      </c>
      <c r="C33" s="163">
        <f>C25</f>
        <v>15270</v>
      </c>
    </row>
    <row r="34" spans="2:3" x14ac:dyDescent="0.2">
      <c r="B34" s="161" t="s">
        <v>183</v>
      </c>
      <c r="C34" s="162">
        <f ca="1">C31+C32-C33</f>
        <v>183193.32224491739</v>
      </c>
    </row>
    <row r="35" spans="2:3" x14ac:dyDescent="0.2">
      <c r="B35" s="157" t="s">
        <v>67</v>
      </c>
      <c r="C35" s="159">
        <f>C22</f>
        <v>1050</v>
      </c>
    </row>
    <row r="36" spans="2:3" ht="17" thickBot="1" x14ac:dyDescent="0.25">
      <c r="B36" s="164" t="s">
        <v>184</v>
      </c>
      <c r="C36" s="165">
        <f ca="1">C34/C35</f>
        <v>174.46983070944515</v>
      </c>
    </row>
  </sheetData>
  <mergeCells count="10">
    <mergeCell ref="E17:I17"/>
    <mergeCell ref="B19:C19"/>
    <mergeCell ref="B28:C28"/>
    <mergeCell ref="C3:G3"/>
    <mergeCell ref="H3:L3"/>
    <mergeCell ref="P3:W3"/>
    <mergeCell ref="X3:Z3"/>
    <mergeCell ref="C5:L5"/>
    <mergeCell ref="P5:Z5"/>
    <mergeCell ref="B14:C14"/>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Overview</vt:lpstr>
      <vt:lpstr>Financials -&gt;</vt:lpstr>
      <vt:lpstr>Statement</vt:lpstr>
      <vt:lpstr>Analysis -&gt;</vt:lpstr>
      <vt:lpstr>Basic</vt:lpstr>
      <vt:lpstr>Yearly Analysis</vt:lpstr>
      <vt:lpstr>Quarter analysis</vt:lpstr>
      <vt:lpstr>Graphs Year</vt:lpstr>
      <vt:lpstr>Graphs Quarter</vt:lpstr>
      <vt:lpstr>Forecast -&gt;</vt:lpstr>
      <vt:lpstr>Revenue</vt:lpstr>
      <vt:lpstr>COGS &amp; OpEx</vt:lpstr>
      <vt:lpstr>WC &amp; Investments</vt:lpstr>
      <vt:lpstr>FCF &amp; Other</vt:lpstr>
      <vt:lpstr>Valuation -&gt;</vt:lpstr>
      <vt:lpstr>WACC</vt:lpstr>
      <vt:lpstr>DCF</vt:lpstr>
      <vt:lpstr>Multiples</vt:lpstr>
      <vt:lpstr>AVG target price</vt:lpstr>
      <vt:lpstr>DDM</vt:lpstr>
      <vt:lpstr>Reverse 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 dumitras</dc:creator>
  <cp:lastModifiedBy>adi dumitras</cp:lastModifiedBy>
  <dcterms:created xsi:type="dcterms:W3CDTF">2025-11-16T22:36:04Z</dcterms:created>
  <dcterms:modified xsi:type="dcterms:W3CDTF">2026-10-15T21:49:28Z</dcterms:modified>
</cp:coreProperties>
</file>