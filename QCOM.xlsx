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EA1C443-7810-1B42-A5E4-C9490AECE6D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1" l="1"/>
  <c r="C21" i="21" s="1"/>
  <c r="C23" i="21" s="1"/>
  <c r="F7" i="21"/>
  <c r="E7" i="21"/>
  <c r="D7" i="21"/>
  <c r="C7" i="21"/>
  <c r="G6" i="21"/>
  <c r="F6" i="21"/>
  <c r="E6" i="21"/>
  <c r="D6" i="21"/>
  <c r="C6" i="21"/>
  <c r="G12" i="21"/>
  <c r="F12" i="21"/>
  <c r="E12" i="21"/>
  <c r="D12" i="21"/>
  <c r="F11" i="21"/>
  <c r="E11" i="21"/>
  <c r="L5" i="21"/>
  <c r="L15" i="21" s="1"/>
  <c r="K5" i="21"/>
  <c r="K15" i="21" s="1"/>
  <c r="J5" i="21"/>
  <c r="J15" i="21" s="1"/>
  <c r="I5" i="21"/>
  <c r="I15" i="21" s="1"/>
  <c r="H5" i="21"/>
  <c r="H15" i="21" s="1"/>
  <c r="G5" i="21"/>
  <c r="G15" i="21" s="1"/>
  <c r="F5" i="21"/>
  <c r="F15" i="21" s="1"/>
  <c r="E5" i="21"/>
  <c r="E15" i="21" s="1"/>
  <c r="D5" i="21"/>
  <c r="D15" i="21" s="1"/>
  <c r="C5" i="21"/>
  <c r="C15" i="21" s="1"/>
  <c r="C64" i="12"/>
  <c r="C63" i="12"/>
  <c r="C44" i="12"/>
  <c r="C43" i="12"/>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G16" i="21" l="1"/>
  <c r="C16" i="21"/>
  <c r="F16" i="21"/>
  <c r="E16" i="21"/>
  <c r="D16" i="21"/>
  <c r="G11" i="21"/>
  <c r="L10" i="21"/>
  <c r="K10" i="21"/>
  <c r="J10" i="21"/>
  <c r="I10" i="21"/>
  <c r="H10" i="21"/>
  <c r="G10" i="21"/>
  <c r="F10" i="21"/>
  <c r="E10" i="21"/>
  <c r="D10" i="21"/>
  <c r="C10" i="21"/>
  <c r="D11" i="21"/>
  <c r="AC60" i="3"/>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C51" i="12" l="1"/>
  <c r="C24" i="21"/>
  <c r="C26" i="21" s="1"/>
  <c r="I10" i="1" s="1"/>
  <c r="I71" i="17"/>
  <c r="C52" i="16"/>
  <c r="AC185" i="3"/>
  <c r="C22" i="11"/>
  <c r="C24" i="14"/>
  <c r="C25" i="11"/>
  <c r="C46" i="12"/>
  <c r="C66"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21" i="14" l="1"/>
  <c r="C15" i="11"/>
  <c r="C59"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50" i="12"/>
  <c r="C54" i="12" s="1"/>
  <c r="C55"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L30" i="7"/>
  <c r="L29" i="7"/>
  <c r="L35" i="7" s="1"/>
  <c r="L22" i="8" s="1"/>
  <c r="C45" i="12" l="1"/>
  <c r="C47" i="12" s="1"/>
  <c r="C6" i="13" s="1"/>
  <c r="I4" i="1" s="1"/>
  <c r="I28" i="8"/>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<sst xmlns="http://schemas.openxmlformats.org/spreadsheetml/2006/main" count="800" uniqueCount="417">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</sst>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1.6363000000000001</v>
    <v>-7.37</v>
    <v>-4.1409000000000001E-2</v>
    <v>-0.89280000000000004</v>
    <v>-5.2329999999999998E-3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173.96</v>
    <v>3</v>
    <v>Semiconductors &amp; Semiconductor Equipment</v>
    <v>Stock</v>
    <v>46219.999902441406</v>
    <v>4</v>
    <v>168.99</v>
    <v>179822940000</v>
    <v>QUALCOMM INCORPORATED</v>
    <v>QUALCOMM INCORPORATED</v>
    <v>173.08</v>
    <v>18.5579</v>
    <v>177.98</v>
    <v>170.61</v>
    <v>169.71719999999999</v>
    <v>1054000000</v>
    <v>QCOM</v>
    <v>QUALCOMM INCORPORATED (XNAS:QCOM)</v>
    <v>15951600</v>
    <v>19871783</v>
    <v>1991</v>
  </rv>
  <rv s="4">
    <v>5</v>
  </rv>
  <rv s="0">
    <v>https://www.bing.com/financeapi/forcetrigger?t=a33knm&amp;q=10+Y+TSY+YLD+NDX&amp;form=skydnc</v>
    <v>Learn more on Bing</v>
  </rv>
  <rv s="5">
    <v>7</v>
    <v>10 Y TSY YLD NDX</v>
    <v>8</v>
    <v>9</v>
    <v>Finance</v>
    <v>10</v>
    <v>en-US</v>
    <v>a33knm</v>
    <v>268435456</v>
    <v>1</v>
    <v>Powered by Refinitiv</v>
    <v>46.87</v>
    <v>39.47</v>
    <v>0.24</v>
    <v>5.2810000000000001E-3</v>
    <v>US</v>
    <v>45.96</v>
    <v>Index</v>
    <v>7</v>
    <v>45.61</v>
    <v>10 Y TSY YLD NDX</v>
    <v>45.82</v>
    <v>45.45</v>
    <v>45.69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284</v>
      </c>
      <c r="F2" s="237"/>
      <c r="H2" s="236" t="s">
        <v>325</v>
      </c>
      <c r="I2" s="237"/>
    </row>
    <row r="3" spans="2:9" x14ac:dyDescent="0.2">
      <c r="B3" s="185" t="s">
        <v>11</v>
      </c>
      <c r="C3" s="217" t="e" vm="1">
        <v>#VALUE!</v>
      </c>
      <c r="D3" s="2"/>
      <c r="E3" s="185" t="s">
        <v>236</v>
      </c>
      <c r="F3" s="187">
        <f ca="1">Statement!AC156</f>
        <v>180846.6</v>
      </c>
      <c r="H3" s="185" t="str">
        <f>'AVG target price'!B5</f>
        <v>DCF price</v>
      </c>
      <c r="I3" s="211">
        <f ca="1">'AVG target price'!C5</f>
        <v>113.37700576422391</v>
      </c>
    </row>
    <row r="4" spans="2:9" x14ac:dyDescent="0.2">
      <c r="B4" s="185" t="s">
        <v>0</v>
      </c>
      <c r="C4" s="189" t="str" cm="1">
        <f t="array" aca="1" ref="C4" ca="1">_FV(C3,"Ticker symbol",TRUE)</f>
        <v>QCOM</v>
      </c>
      <c r="E4" s="186" t="s">
        <v>180</v>
      </c>
      <c r="F4" s="188">
        <f ca="1">Statement!AC157</f>
        <v>186317.6</v>
      </c>
      <c r="H4" s="185" t="str">
        <f>'AVG target price'!B6</f>
        <v>EV/EBIT price</v>
      </c>
      <c r="I4" s="211">
        <f ca="1">'AVG target price'!C6</f>
        <v>174.37406444931298</v>
      </c>
    </row>
    <row r="5" spans="2:9" x14ac:dyDescent="0.2">
      <c r="B5" s="185" t="s">
        <v>1</v>
      </c>
      <c r="C5" s="208" cm="1">
        <f t="array" aca="1" ref="C5" ca="1">_FV(C3,"Price",TRUE)</f>
        <v>170.61</v>
      </c>
      <c r="E5" s="185" t="s">
        <v>240</v>
      </c>
      <c r="F5" s="190">
        <f>Statement!AC26</f>
        <v>9.418342702074046</v>
      </c>
      <c r="H5" s="185" t="str">
        <f>'AVG target price'!B7</f>
        <v>PS price</v>
      </c>
      <c r="I5" s="211">
        <f ca="1">'AVG target price'!C7</f>
        <v>191.28374747809156</v>
      </c>
    </row>
    <row r="6" spans="2:9" x14ac:dyDescent="0.2">
      <c r="B6" s="185" t="s">
        <v>2</v>
      </c>
      <c r="C6" s="208" cm="1">
        <f t="array" aca="1" ref="C6" ca="1">_FV(C3,"Price (Extended hours)",TRUE)</f>
        <v>169.71719999999999</v>
      </c>
      <c r="E6" s="185" t="s">
        <v>234</v>
      </c>
      <c r="F6" s="190">
        <f ca="1">Statement!AC153</f>
        <v>18.114651950648323</v>
      </c>
      <c r="H6" s="185" t="str">
        <f>'AVG target price'!B8</f>
        <v>EV/FCFF price</v>
      </c>
      <c r="I6" s="211">
        <f ca="1">'AVG target price'!C8</f>
        <v>167.98623798212512</v>
      </c>
    </row>
    <row r="7" spans="2:9" x14ac:dyDescent="0.2">
      <c r="B7" s="185" t="s">
        <v>3</v>
      </c>
      <c r="C7" s="6" cm="1">
        <f t="array" aca="1" ref="C7" ca="1">_FV(C3,"Change")</f>
        <v>-7.37</v>
      </c>
      <c r="E7" s="186" t="s">
        <v>193</v>
      </c>
      <c r="F7" s="191">
        <f ca="1">Statement!AC154</f>
        <v>4.1403135513389859</v>
      </c>
      <c r="H7" s="184" t="str">
        <f>'AVG target price'!B9</f>
        <v>AVG price</v>
      </c>
      <c r="I7" s="212">
        <f ca="1">'AVG target price'!C9</f>
        <v>161.75526391843837</v>
      </c>
    </row>
    <row r="8" spans="2:9" x14ac:dyDescent="0.2">
      <c r="B8" s="185" t="s">
        <v>4</v>
      </c>
      <c r="C8" s="6" cm="1">
        <f t="array" aca="1" ref="C8" ca="1">_FV(C3,"Change (extended hours)",TRUE)</f>
        <v>-0.89280000000000004</v>
      </c>
      <c r="E8" s="185" t="s">
        <v>262</v>
      </c>
      <c r="F8" s="192">
        <f ca="1">Statement!AC164</f>
        <v>5.2149169517148784E-2</v>
      </c>
      <c r="H8" s="184" t="str">
        <f>'AVG target price'!B11</f>
        <v>Upside/Downside</v>
      </c>
      <c r="I8" s="213">
        <f ca="1">'AVG target price'!C11</f>
        <v>-5.1900451799786876E-2</v>
      </c>
    </row>
    <row r="9" spans="2:9" x14ac:dyDescent="0.2">
      <c r="B9" s="185" t="s">
        <v>5</v>
      </c>
      <c r="C9" s="73" cm="1">
        <f t="array" aca="1" ref="C9" ca="1">_FV(C3,"Change (%)",TRUE)</f>
        <v>-4.1409000000000001E-2</v>
      </c>
      <c r="E9" s="185" t="s">
        <v>285</v>
      </c>
      <c r="F9" s="192">
        <f ca="1">Statement!AC165</f>
        <v>5.5203931200246442E-2</v>
      </c>
    </row>
    <row r="10" spans="2:9" x14ac:dyDescent="0.2">
      <c r="B10" s="185" t="s">
        <v>6</v>
      </c>
      <c r="C10" s="73" cm="1">
        <f t="array" aca="1" ref="C10" ca="1">_FV(C3,"Change % (extended hours)",TRUE)</f>
        <v>-5.2329999999999998E-3</v>
      </c>
      <c r="E10" s="185" t="s">
        <v>290</v>
      </c>
      <c r="F10" s="192">
        <f ca="1">Statement!AC167</f>
        <v>5.9359700431194172E-2</v>
      </c>
      <c r="H10" s="184" t="s">
        <v>415</v>
      </c>
      <c r="I10" s="212">
        <f ca="1">DDM!C26</f>
        <v>37.139247005995564</v>
      </c>
    </row>
    <row r="11" spans="2:9" x14ac:dyDescent="0.2">
      <c r="B11" s="185" t="s">
        <v>7</v>
      </c>
      <c r="C11" s="209" cm="1">
        <f t="array" aca="1" ref="C11" ca="1">_FV(C3,"52 week high",TRUE)</f>
        <v>259.92</v>
      </c>
      <c r="E11" s="186" t="s">
        <v>286</v>
      </c>
      <c r="F11" s="193">
        <f ca="1">Statement!AC166</f>
        <v>2.0866303264755876E-2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1.6363000000000001</v>
      </c>
      <c r="E13" s="185" t="s">
        <v>96</v>
      </c>
      <c r="F13" s="192">
        <f>Statement!AC124</f>
        <v>0.37337781362269967</v>
      </c>
    </row>
    <row r="14" spans="2:9" x14ac:dyDescent="0.2">
      <c r="B14" s="186" t="s">
        <v>10</v>
      </c>
      <c r="C14" s="210" cm="1">
        <f t="array" aca="1" ref="C14" ca="1">_FV(C3,"Volume average",TRUE)</f>
        <v>19871783</v>
      </c>
      <c r="E14" s="186" t="s">
        <v>97</v>
      </c>
      <c r="F14" s="193">
        <f>Statement!AC143</f>
        <v>0.30177970863243947</v>
      </c>
    </row>
    <row r="15" spans="2:9" x14ac:dyDescent="0.2">
      <c r="E15" s="185" t="s">
        <v>287</v>
      </c>
      <c r="F15" s="192">
        <f ca="1">Statement!AC179</f>
        <v>-3.0252158459158202E-2</v>
      </c>
    </row>
    <row r="16" spans="2:9" x14ac:dyDescent="0.2">
      <c r="E16" s="186" t="s">
        <v>292</v>
      </c>
      <c r="F16" s="191">
        <f>Statement!AC178</f>
        <v>-5.1907020872865273</v>
      </c>
    </row>
    <row r="17" spans="2:9" x14ac:dyDescent="0.2">
      <c r="B17" s="238" t="s">
        <v>83</v>
      </c>
      <c r="C17" s="238"/>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8" t="s">
        <v>99</v>
      </c>
      <c r="C25" s="238"/>
      <c r="E25" s="236" t="s">
        <v>338</v>
      </c>
      <c r="F25" s="237"/>
    </row>
    <row r="26" spans="2:9" x14ac:dyDescent="0.2">
      <c r="B26" s="184" t="s">
        <v>100</v>
      </c>
      <c r="C26" s="170">
        <v>0.21</v>
      </c>
      <c r="E26" s="185" t="e" vm="2">
        <v>#VALUE!</v>
      </c>
      <c r="F26" s="219" cm="1">
        <f t="array" aca="1" ref="F26" ca="1">_FV(E26,"Price")</f>
        <v>45.69</v>
      </c>
    </row>
    <row r="27" spans="2:9" x14ac:dyDescent="0.2">
      <c r="B27" s="184" t="s">
        <v>164</v>
      </c>
      <c r="C27" s="221">
        <v>4.65E-2</v>
      </c>
      <c r="E27" s="186" t="s">
        <v>339</v>
      </c>
      <c r="F27" s="220">
        <f ca="1">F26/1000</f>
        <v>4.5689999999999995E-2</v>
      </c>
    </row>
    <row r="28" spans="2:9" x14ac:dyDescent="0.2">
      <c r="B28" s="184" t="s">
        <v>356</v>
      </c>
      <c r="C28" s="221">
        <v>0</v>
      </c>
    </row>
    <row r="29" spans="2:9" x14ac:dyDescent="0.2">
      <c r="B29" s="184" t="s">
        <v>416</v>
      </c>
      <c r="C29" s="221">
        <v>0</v>
      </c>
    </row>
    <row r="33" spans="2:8" x14ac:dyDescent="0.2">
      <c r="B33" s="235" t="s">
        <v>333</v>
      </c>
      <c r="C33" s="235"/>
      <c r="D33" s="235"/>
      <c r="E33" s="235"/>
      <c r="F33" s="235"/>
      <c r="G33" s="235"/>
      <c r="H33" s="235"/>
    </row>
    <row r="35" spans="2:8" x14ac:dyDescent="0.2">
      <c r="B35" s="16" t="s">
        <v>334</v>
      </c>
      <c r="C35" s="1" t="s">
        <v>350</v>
      </c>
    </row>
    <row r="36" spans="2:8" x14ac:dyDescent="0.2">
      <c r="B36" s="16" t="s">
        <v>335</v>
      </c>
      <c r="C36" s="1" t="s">
        <v>349</v>
      </c>
    </row>
    <row r="39" spans="2:8" ht="6" customHeight="1" x14ac:dyDescent="0.2">
      <c r="B39" s="235"/>
      <c r="C39" s="235"/>
      <c r="D39" s="235"/>
      <c r="E39" s="235"/>
      <c r="F39" s="235"/>
      <c r="G39" s="235"/>
      <c r="H39" s="235"/>
    </row>
    <row r="42" spans="2:8" x14ac:dyDescent="0.2">
      <c r="B42" s="235" t="s">
        <v>336</v>
      </c>
      <c r="C42" s="235"/>
      <c r="D42" s="235"/>
      <c r="E42" s="235"/>
      <c r="F42" s="235"/>
      <c r="G42" s="235"/>
      <c r="H42" s="235"/>
    </row>
    <row r="44" spans="2:8" x14ac:dyDescent="0.2">
      <c r="B44" s="41" t="s">
        <v>337</v>
      </c>
      <c r="C44" s="41" t="s">
        <v>377</v>
      </c>
      <c r="D44" s="41"/>
      <c r="E44" s="41" t="s">
        <v>347</v>
      </c>
    </row>
    <row r="49" spans="2:8" ht="5" customHeight="1" x14ac:dyDescent="0.2">
      <c r="B49" s="235"/>
      <c r="C49" s="235"/>
      <c r="D49" s="235"/>
      <c r="E49" s="235"/>
      <c r="F49" s="235"/>
      <c r="G49" s="235"/>
      <c r="H49" s="235"/>
    </row>
    <row r="52" spans="2:8" x14ac:dyDescent="0.2">
      <c r="B52" s="235" t="s">
        <v>101</v>
      </c>
      <c r="C52" s="235"/>
      <c r="D52" s="235"/>
      <c r="E52" s="235"/>
      <c r="F52" s="235"/>
      <c r="G52" s="235"/>
      <c r="H52" s="235"/>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5"/>
      <c r="C69" s="235"/>
      <c r="D69" s="235"/>
      <c r="E69" s="235"/>
      <c r="F69" s="235"/>
      <c r="G69" s="235"/>
      <c r="H69" s="235"/>
    </row>
  </sheetData>
  <mergeCells count="12">
    <mergeCell ref="B2:C2"/>
    <mergeCell ref="B17:C17"/>
    <mergeCell ref="B25:C25"/>
    <mergeCell ref="E2:F2"/>
    <mergeCell ref="H2:I2"/>
    <mergeCell ref="E25:F25"/>
    <mergeCell ref="B52:H52"/>
    <mergeCell ref="B69:H6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J167" activePane="bottomRight" state="frozen"/>
      <selection pane="topRight" activeCell="C1" sqref="C1"/>
      <selection pane="bottomLeft" activeCell="A4" sqref="A4"/>
      <selection pane="bottomRight" activeCell="M171" sqref="M17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170.61</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170.61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18.114651950648323</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4.1403135513389859</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6.5922333015616994</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180846.6</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186317.6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4.1788364060467416</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16.408419198590931</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19.175760788887711</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15.581021434468411</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5.2149169517148784E-2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5.5203931200246442E-2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2.0866303264755876E-2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5.9359700431194172E-2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8.0482574734609333E-2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-3.0252158459158202E-2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2">
        <f ca="1">Overview!C5</f>
        <v>170.61</v>
      </c>
      <c r="E5" s="12"/>
      <c r="F5" s="132" t="s">
        <v>238</v>
      </c>
      <c r="G5" s="132" t="s">
        <v>239</v>
      </c>
    </row>
    <row r="6" spans="2:7" x14ac:dyDescent="0.2">
      <c r="B6" s="20" t="s">
        <v>236</v>
      </c>
      <c r="C6" s="173">
        <f ca="1">Statement!AC156</f>
        <v>180846.6</v>
      </c>
      <c r="E6" s="20" t="s">
        <v>19</v>
      </c>
      <c r="F6" s="178">
        <f>IF(Statement!M5&lt;=0,"N/A",_xlfn.RRI(4,Statement!M5,Statement!Q5))</f>
        <v>7.1733517181768569E-2</v>
      </c>
      <c r="G6" s="178" t="str">
        <f>IF(Statement!H5&lt;=0,"N/A",_xlfn.RRI(9,Statement!H5,Statement!Q5))</f>
        <v>N/A</v>
      </c>
    </row>
    <row r="7" spans="2:7" x14ac:dyDescent="0.2">
      <c r="B7" s="20" t="s">
        <v>180</v>
      </c>
      <c r="C7" s="173">
        <f ca="1">Statement!AC157</f>
        <v>186317.6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18.114651950648323</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4.1403135513389859</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6.5922333015616994</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4.1788364060467416</v>
      </c>
    </row>
    <row r="12" spans="2:7" x14ac:dyDescent="0.2">
      <c r="B12" s="20" t="s">
        <v>196</v>
      </c>
      <c r="C12" s="174">
        <f ca="1">Statement!AC159</f>
        <v>16.408419198590931</v>
      </c>
    </row>
    <row r="15" spans="2:7" x14ac:dyDescent="0.2">
      <c r="B15" s="235" t="s">
        <v>75</v>
      </c>
      <c r="C15" s="235"/>
      <c r="E15" s="235" t="s">
        <v>243</v>
      </c>
      <c r="F15" s="235"/>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5" t="s">
        <v>242</v>
      </c>
      <c r="C21" s="235"/>
      <c r="E21" s="235" t="s">
        <v>246</v>
      </c>
      <c r="F21" s="235"/>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5" t="s">
        <v>247</v>
      </c>
      <c r="C29" s="235"/>
      <c r="E29" s="235" t="s">
        <v>253</v>
      </c>
      <c r="F29" s="235"/>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5" t="s">
        <v>265</v>
      </c>
      <c r="C37" s="235"/>
      <c r="E37" s="235" t="s">
        <v>268</v>
      </c>
      <c r="F37" s="235"/>
    </row>
    <row r="38" spans="2:6" x14ac:dyDescent="0.2">
      <c r="B38" s="20" t="s">
        <v>263</v>
      </c>
      <c r="C38" s="175">
        <f ca="1">Statement!AC165</f>
        <v>5.5203931200246442E-2</v>
      </c>
      <c r="E38" s="20" t="s">
        <v>267</v>
      </c>
      <c r="F38" s="175">
        <f>Statement!AC171</f>
        <v>0.40504718481603225</v>
      </c>
    </row>
    <row r="39" spans="2:6" x14ac:dyDescent="0.2">
      <c r="B39" s="54" t="s">
        <v>266</v>
      </c>
      <c r="C39" s="215">
        <f ca="1">Statement!AC164</f>
        <v>5.2149169517148784E-2</v>
      </c>
      <c r="E39" s="20" t="s">
        <v>269</v>
      </c>
      <c r="F39" s="175">
        <f>Statement!AC172</f>
        <v>1.1382674159686141</v>
      </c>
    </row>
    <row r="40" spans="2:6" x14ac:dyDescent="0.2">
      <c r="B40" s="20" t="s">
        <v>264</v>
      </c>
      <c r="C40" s="175">
        <f ca="1">Statement!AC166</f>
        <v>2.0866303264755876E-2</v>
      </c>
      <c r="E40" s="20" t="s">
        <v>270</v>
      </c>
      <c r="F40" s="175">
        <f>Statement!AC173</f>
        <v>1.5433146007846463</v>
      </c>
    </row>
    <row r="41" spans="2:6" x14ac:dyDescent="0.2">
      <c r="B41" s="20" t="s">
        <v>289</v>
      </c>
      <c r="C41" s="175">
        <f ca="1">Statement!AC167</f>
        <v>5.9359700431194172E-2</v>
      </c>
    </row>
    <row r="42" spans="2:6" x14ac:dyDescent="0.2">
      <c r="B42" s="20" t="s">
        <v>291</v>
      </c>
      <c r="C42" s="175">
        <f ca="1">Statement!AC168</f>
        <v>8.0482574734609333E-2</v>
      </c>
    </row>
    <row r="45" spans="2:6" x14ac:dyDescent="0.2">
      <c r="B45" s="235" t="s">
        <v>276</v>
      </c>
      <c r="C45" s="235"/>
      <c r="E45" s="235" t="s">
        <v>282</v>
      </c>
      <c r="F45" s="235"/>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-3.0252158459158202E-2</v>
      </c>
    </row>
    <row r="51" spans="2:6" x14ac:dyDescent="0.2">
      <c r="B51" s="235" t="s">
        <v>279</v>
      </c>
      <c r="C51" s="235"/>
      <c r="E51" s="235" t="s">
        <v>300</v>
      </c>
      <c r="F51" s="235"/>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170.61</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180846.6</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186317.6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18.114651950648323</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4.1403135513389859</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6.5922333015616994</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4.1788364060467416</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16.408419198590931</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5.5203931200246442E-2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5.2149169517148784E-2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2.0866303264755876E-2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5.9359700431194172E-2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8.0482574734609333E-2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-3.0252158459158202E-2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310</v>
      </c>
      <c r="D3" s="240"/>
      <c r="F3" s="241" t="s">
        <v>311</v>
      </c>
      <c r="G3" s="240"/>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42">
        <f>Statement!AA89</f>
        <v>-0.13491674828599412</v>
      </c>
      <c r="D7" s="243"/>
      <c r="F7" s="242">
        <f>IF(F6=0,
IF(G6=0,0,IF(G6&gt;0,1,-1)),
(G6-F6)/ABS(F6)
)</f>
        <v>-3.4611531104836508E-2</v>
      </c>
      <c r="G7" s="243"/>
    </row>
    <row r="8" spans="2:7" x14ac:dyDescent="0.2">
      <c r="B8" s="207" t="s">
        <v>20</v>
      </c>
      <c r="C8" s="200">
        <f>Statement!Z6</f>
        <v>5568</v>
      </c>
      <c r="D8" s="198">
        <f>Statement!AA6</f>
        <v>4900</v>
      </c>
      <c r="F8" s="200">
        <f>Statement!W6</f>
        <v>4937</v>
      </c>
      <c r="G8" s="198">
        <f>Statement!AA6</f>
        <v>4900</v>
      </c>
    </row>
    <row r="9" spans="2:7" x14ac:dyDescent="0.2">
      <c r="B9" s="206" t="s">
        <v>312</v>
      </c>
      <c r="C9" s="242">
        <f>Statement!AA90</f>
        <v>-0.11997126436781609</v>
      </c>
      <c r="D9" s="243"/>
      <c r="F9" s="242">
        <f>IF(F8=0,
IF(G8=0,0,IF(G8&gt;0,1,-1)),
(G8-F8)/ABS(F8)
)</f>
        <v>-7.4944298156775372E-3</v>
      </c>
      <c r="G9" s="243"/>
    </row>
    <row r="10" spans="2:7" x14ac:dyDescent="0.2">
      <c r="B10" s="207" t="s">
        <v>21</v>
      </c>
      <c r="C10" s="200">
        <f>Statement!Z7</f>
        <v>6684</v>
      </c>
      <c r="D10" s="198">
        <f>Statement!AA7</f>
        <v>5699</v>
      </c>
      <c r="F10" s="200">
        <f>Statement!W7</f>
        <v>6042</v>
      </c>
      <c r="G10" s="198">
        <f>Statement!AA7</f>
        <v>5699</v>
      </c>
    </row>
    <row r="11" spans="2:7" x14ac:dyDescent="0.2">
      <c r="B11" s="206" t="s">
        <v>312</v>
      </c>
      <c r="C11" s="242">
        <f>Statement!AA91</f>
        <v>-0.1473668461998803</v>
      </c>
      <c r="D11" s="243"/>
      <c r="F11" s="242">
        <f>IF(F10=0,
IF(G10=0,0,IF(G10&gt;0,1,-1)),
(G10-F10)/ABS(F10)
)</f>
        <v>-5.6769281694803046E-2</v>
      </c>
      <c r="G11" s="243"/>
    </row>
    <row r="12" spans="2:7" x14ac:dyDescent="0.2">
      <c r="B12" s="207" t="s">
        <v>23</v>
      </c>
      <c r="C12" s="200">
        <f>Statement!Z11</f>
        <v>3318</v>
      </c>
      <c r="D12" s="198">
        <f>Statement!AA11</f>
        <v>3390</v>
      </c>
      <c r="F12" s="200">
        <f>Statement!W11</f>
        <v>2922</v>
      </c>
      <c r="G12" s="198">
        <f>Statement!AA11</f>
        <v>3390</v>
      </c>
    </row>
    <row r="13" spans="2:7" x14ac:dyDescent="0.2">
      <c r="B13" s="206" t="s">
        <v>312</v>
      </c>
      <c r="C13" s="242">
        <f>Statement!AA94</f>
        <v>2.1699819168173599E-2</v>
      </c>
      <c r="D13" s="243"/>
      <c r="F13" s="242">
        <f>IF(F12=0,
IF(G12=0,0,IF(G12&gt;0,1,-1)),
(G12-F12)/ABS(F12)
)</f>
        <v>0.16016427104722791</v>
      </c>
      <c r="G13" s="243"/>
    </row>
    <row r="14" spans="2:7" x14ac:dyDescent="0.2">
      <c r="B14" s="207" t="s">
        <v>313</v>
      </c>
      <c r="C14" s="200">
        <f>Statement!Z12</f>
        <v>3366</v>
      </c>
      <c r="D14" s="198">
        <f>Statement!AA12</f>
        <v>2309</v>
      </c>
      <c r="F14" s="200">
        <f>Statement!W12</f>
        <v>3120</v>
      </c>
      <c r="G14" s="198">
        <f>Statement!AA12</f>
        <v>2309</v>
      </c>
    </row>
    <row r="15" spans="2:7" x14ac:dyDescent="0.2">
      <c r="B15" s="206" t="s">
        <v>312</v>
      </c>
      <c r="C15" s="242">
        <f>Statement!AA95</f>
        <v>-0.31402257872846107</v>
      </c>
      <c r="D15" s="243"/>
      <c r="F15" s="242">
        <f>IF(F14=0,
IF(G14=0,0,IF(G14&gt;0,1,-1)),
(G14-F14)/ABS(F14)
)</f>
        <v>-0.25993589743589746</v>
      </c>
      <c r="G15" s="243"/>
    </row>
    <row r="16" spans="2:7" x14ac:dyDescent="0.2">
      <c r="B16" s="207" t="s">
        <v>29</v>
      </c>
      <c r="C16" s="200">
        <f>Statement!Z18</f>
        <v>3004</v>
      </c>
      <c r="D16" s="198">
        <f>Statement!AA18</f>
        <v>1932</v>
      </c>
      <c r="F16" s="200">
        <f>Statement!W18</f>
        <v>2812</v>
      </c>
      <c r="G16" s="198">
        <f>Statement!AA18</f>
        <v>1932</v>
      </c>
    </row>
    <row r="17" spans="2:7" x14ac:dyDescent="0.2">
      <c r="B17" s="206" t="s">
        <v>312</v>
      </c>
      <c r="C17" s="242">
        <f>Statement!AA97</f>
        <v>-0.35685752330226367</v>
      </c>
      <c r="D17" s="243"/>
      <c r="F17" s="242">
        <f>IF(F16=0,
IF(G16=0,0,IF(G16&gt;0,1,-1)),
(G16-F16)/ABS(F16)
)</f>
        <v>-0.31294452347083929</v>
      </c>
      <c r="G17" s="243"/>
    </row>
    <row r="18" spans="2:7" x14ac:dyDescent="0.2">
      <c r="B18" s="207" t="s">
        <v>314</v>
      </c>
      <c r="C18" s="200">
        <f>Statement!Z22</f>
        <v>1079</v>
      </c>
      <c r="D18" s="198">
        <f>Statement!AA22</f>
        <v>1072</v>
      </c>
      <c r="F18" s="200">
        <f>Statement!W22</f>
        <v>1115</v>
      </c>
      <c r="G18" s="198">
        <f>Statement!AA22</f>
        <v>1072</v>
      </c>
    </row>
    <row r="19" spans="2:7" x14ac:dyDescent="0.2">
      <c r="B19" s="206" t="s">
        <v>312</v>
      </c>
      <c r="C19" s="242">
        <f>IF(C18=0,
IF(D18=0,0,IF(D18&gt;0,1,-1)),
(D18-C18)/ABS(C18)
)</f>
        <v>-6.4874884151992582E-3</v>
      </c>
      <c r="D19" s="243"/>
      <c r="F19" s="242">
        <f>IF(F18=0,
IF(G18=0,0,IF(G18&gt;0,1,-1)),
(G18-F18)/ABS(F18)
)</f>
        <v>-3.8565022421524667E-2</v>
      </c>
      <c r="G19" s="243"/>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42">
        <f>IF(C20=0,
IF(D20=0,0,IF(D20&gt;0,1,-1)),
(D20-C20)/ABS(C20)
)</f>
        <v>-0.35171265972296784</v>
      </c>
      <c r="D21" s="243"/>
      <c r="F21" s="242">
        <f>IF(F20=0,
IF(G20=0,0,IF(G20&gt;0,1,-1)),
(G20-F20)/ABS(F20)
)</f>
        <v>-0.28482587064676618</v>
      </c>
      <c r="G21" s="243"/>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42">
        <f>IF(C24=0,
IF(D24=0,0,IF(D24&gt;0,1,-1)),
(D24-C24)/ABS(C24)
)</f>
        <v>-0.23006134969325154</v>
      </c>
      <c r="D25" s="243"/>
      <c r="F25" s="242">
        <f>IF(F24=0,
IF(G24=0,0,IF(G24&gt;0,1,-1)),
(G24-F24)/ABS(F24)
)</f>
        <v>-0.13061047770241016</v>
      </c>
      <c r="G25" s="243"/>
    </row>
    <row r="26" spans="2:7" x14ac:dyDescent="0.2">
      <c r="B26" s="222" t="s">
        <v>388</v>
      </c>
      <c r="C26" s="200">
        <f>Statement!Z191</f>
        <v>1101</v>
      </c>
      <c r="D26" s="198">
        <f>Statement!AA191</f>
        <v>1326</v>
      </c>
      <c r="F26" s="200">
        <f>Statement!W191</f>
        <v>959</v>
      </c>
      <c r="G26" s="198">
        <f>Statement!AA191</f>
        <v>1326</v>
      </c>
    </row>
    <row r="27" spans="2:7" x14ac:dyDescent="0.2">
      <c r="B27" s="206" t="s">
        <v>312</v>
      </c>
      <c r="C27" s="242">
        <f>IF(C26=0,
IF(D26=0,0,IF(D26&gt;0,1,-1)),
(D26-C26)/ABS(C26)
)</f>
        <v>0.20435967302452315</v>
      </c>
      <c r="D27" s="243"/>
      <c r="F27" s="242">
        <f>IF(F26=0,
IF(G26=0,0,IF(G26&gt;0,1,-1)),
(G26-F26)/ABS(F26)
)</f>
        <v>0.38269030239833157</v>
      </c>
      <c r="G27" s="243"/>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42">
        <f>IF(C28=0,
IF(D28=0,0,IF(D28&gt;0,1,-1)),
(D28-C28)/ABS(C28)
)</f>
        <v>2.2511848341232227E-2</v>
      </c>
      <c r="D29" s="243"/>
      <c r="F29" s="242">
        <f>IF(F28=0,
IF(G28=0,0,IF(G28&gt;0,1,-1)),
(G28-F28)/ABS(F28)
)</f>
        <v>9.1714104996837451E-2</v>
      </c>
      <c r="G29" s="243"/>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42">
        <f>IF(C30=0,
IF(D30=0,0,IF(D30&gt;0,1,-1)),
(D30-C30)/ABS(C30)
)</f>
        <v>-0.1448223876378027</v>
      </c>
      <c r="D31" s="243"/>
      <c r="F31" s="242">
        <f>IF(F30=0,
IF(G30=0,0,IF(G30&gt;0,1,-1)),
(G30-F30)/ABS(F30)
)</f>
        <v>-4.1503854683704718E-2</v>
      </c>
      <c r="G31" s="243"/>
    </row>
    <row r="32" spans="2:7" x14ac:dyDescent="0.2">
      <c r="B32" s="20" t="s">
        <v>391</v>
      </c>
      <c r="C32" s="200">
        <f>Statement!Z194</f>
        <v>1592</v>
      </c>
      <c r="D32" s="200">
        <f>Statement!AA194</f>
        <v>1382</v>
      </c>
      <c r="F32" s="200">
        <f>Statement!W194</f>
        <v>1319</v>
      </c>
      <c r="G32" s="200">
        <f>Statement!AA194</f>
        <v>1382</v>
      </c>
    </row>
    <row r="33" spans="2:7" x14ac:dyDescent="0.2">
      <c r="B33" s="206" t="s">
        <v>312</v>
      </c>
      <c r="C33" s="242">
        <f>IF(C32=0,
IF(D32=0,0,IF(D32&gt;0,1,-1)),
(D32-C32)/ABS(C32)
)</f>
        <v>-0.13190954773869346</v>
      </c>
      <c r="D33" s="243"/>
      <c r="F33" s="242">
        <f>IF(F32=0,
IF(G32=0,0,IF(G32&gt;0,1,-1)),
(G32-F32)/ABS(F32)
)</f>
        <v>4.7763457164518575E-2</v>
      </c>
      <c r="G33" s="243"/>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A11" zoomScale="184" zoomScaleNormal="75" workbookViewId="0">
      <selection activeCell="H9" sqref="H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7"/>
      <c r="H2" s="248"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44" t="s">
        <v>114</v>
      </c>
      <c r="D13" s="244"/>
      <c r="E13" s="244"/>
      <c r="F13" s="244"/>
      <c r="G13" s="244"/>
      <c r="H13" s="244"/>
      <c r="I13" s="244"/>
      <c r="J13" s="244"/>
      <c r="K13" s="244"/>
      <c r="L13" s="244"/>
      <c r="O13" s="5"/>
      <c r="Q13" s="91"/>
      <c r="S13" s="245" t="s">
        <v>114</v>
      </c>
      <c r="T13" s="246"/>
      <c r="U13" s="246"/>
      <c r="V13" s="246"/>
      <c r="W13" s="246"/>
      <c r="X13" s="246"/>
      <c r="Y13" s="246"/>
      <c r="Z13" s="246"/>
      <c r="AA13" s="246"/>
      <c r="AB13" s="246"/>
      <c r="AC13" s="246"/>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7"/>
      <c r="H2" s="248"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0.8571428571428571</v>
      </c>
      <c r="J44" s="123">
        <f t="shared" si="13"/>
        <v>0.8571428571428571</v>
      </c>
      <c r="K44" s="123">
        <f t="shared" si="13"/>
        <v>1.0714285714285714</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1430.5826500000005</v>
      </c>
      <c r="I45" s="25">
        <f>I7*I46</f>
        <v>1421.2693075</v>
      </c>
      <c r="J45" s="25">
        <f>J7*J46</f>
        <v>1549.8559569500003</v>
      </c>
      <c r="K45" s="25">
        <f>K7*K46</f>
        <v>1401.2709466509598</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7"/>
      <c r="H2" s="248" t="s">
        <v>106</v>
      </c>
      <c r="I2" s="235"/>
      <c r="J2" s="235"/>
      <c r="K2" s="235"/>
      <c r="L2" s="235"/>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1430.5826500000005</v>
      </c>
      <c r="I21" s="88">
        <f>'WC &amp; Investments'!I45</f>
        <v>1421.2693075</v>
      </c>
      <c r="J21" s="88">
        <f>'WC &amp; Investments'!J45</f>
        <v>1549.8559569500003</v>
      </c>
      <c r="K21" s="88">
        <f>'WC &amp; Investments'!K45</f>
        <v>1401.2709466509598</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9553.7075400547947</v>
      </c>
      <c r="I28" s="94">
        <f t="shared" si="7"/>
        <v>9440.2308497150734</v>
      </c>
      <c r="J28" s="94">
        <f t="shared" si="7"/>
        <v>9873.483013854393</v>
      </c>
      <c r="K28" s="94">
        <f t="shared" si="7"/>
        <v>10685.09480521263</v>
      </c>
      <c r="L28" s="94">
        <f t="shared" si="7"/>
        <v>12850.770513331205</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6">
        <f>Statement!AC78</f>
        <v>1060</v>
      </c>
    </row>
    <row r="6" spans="1:3" ht="17" customHeight="1" x14ac:dyDescent="0.2">
      <c r="B6" s="1" t="s">
        <v>1</v>
      </c>
      <c r="C6" s="133">
        <f ca="1">Overview!C5</f>
        <v>170.61</v>
      </c>
    </row>
    <row r="7" spans="1:3" ht="17" customHeight="1" x14ac:dyDescent="0.2">
      <c r="B7" s="1" t="s">
        <v>160</v>
      </c>
      <c r="C7" s="134">
        <f ca="1">C5*C6</f>
        <v>180846.6</v>
      </c>
    </row>
    <row r="8" spans="1:3" ht="17" customHeight="1" x14ac:dyDescent="0.2">
      <c r="B8" s="1" t="s">
        <v>161</v>
      </c>
      <c r="C8" s="112">
        <f>Statement!AC107</f>
        <v>15270</v>
      </c>
    </row>
    <row r="9" spans="1:3" ht="17" customHeight="1" x14ac:dyDescent="0.2">
      <c r="B9" s="1" t="s">
        <v>162</v>
      </c>
      <c r="C9" s="135">
        <f ca="1">Overview!F27</f>
        <v>4.5689999999999995E-2</v>
      </c>
    </row>
    <row r="10" spans="1:3" ht="17" customHeight="1" x14ac:dyDescent="0.2">
      <c r="B10" s="1" t="s">
        <v>9</v>
      </c>
      <c r="C10" s="133">
        <f ca="1">Overview!C13</f>
        <v>1.6363000000000001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5" t="s">
        <v>165</v>
      </c>
      <c r="C15" s="235"/>
    </row>
    <row r="16" spans="1:3" ht="17" customHeight="1" x14ac:dyDescent="0.2">
      <c r="B16" s="1" t="s">
        <v>166</v>
      </c>
      <c r="C16" s="46">
        <f ca="1">C8/(C8+C7)</f>
        <v>7.7861843413561116E-2</v>
      </c>
    </row>
    <row r="17" spans="2:3" ht="17" customHeight="1" x14ac:dyDescent="0.2">
      <c r="B17" s="1" t="s">
        <v>167</v>
      </c>
      <c r="C17" s="46">
        <f ca="1">C7/(C8+C7)</f>
        <v>0.92213815658643894</v>
      </c>
    </row>
    <row r="18" spans="2:3" ht="17" customHeight="1" x14ac:dyDescent="0.2">
      <c r="B18" s="1" t="s">
        <v>168</v>
      </c>
      <c r="C18" s="46">
        <f>C13*(1-C12)</f>
        <v>3.6735000000000004E-2</v>
      </c>
    </row>
    <row r="19" spans="2:3" ht="17" customHeight="1" x14ac:dyDescent="0.2">
      <c r="B19" s="1" t="s">
        <v>169</v>
      </c>
      <c r="C19" s="46">
        <f ca="1">C9+C10*C11</f>
        <v>0.1193235</v>
      </c>
    </row>
    <row r="20" spans="2:3" ht="17" customHeight="1" x14ac:dyDescent="0.2">
      <c r="B20" s="1" t="s">
        <v>157</v>
      </c>
      <c r="C20" s="46">
        <f ca="1">(C17*C19)+(C16*C18)</f>
        <v>0.11289300714523912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9553.7075400547947</v>
      </c>
      <c r="I7" s="112">
        <f>'FCF &amp; Other'!I28</f>
        <v>9440.2308497150734</v>
      </c>
      <c r="J7" s="112">
        <f>'FCF &amp; Other'!J28</f>
        <v>9873.483013854393</v>
      </c>
      <c r="K7" s="112">
        <f>'FCF &amp; Other'!K28</f>
        <v>10685.09480521263</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149864.47959845426</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8584.5696564862847</v>
      </c>
      <c r="I10" s="126">
        <f t="shared" ref="I10:L10" ca="1" si="0">I7/(1+$C$15)^I9</f>
        <v>7622.120099097081</v>
      </c>
      <c r="J10" s="126">
        <f t="shared" ca="1" si="0"/>
        <v>7163.2505656236099</v>
      </c>
      <c r="K10" s="126">
        <f t="shared" ca="1" si="0"/>
        <v>6965.6993499456967</v>
      </c>
      <c r="L10" s="126">
        <f t="shared" ca="1" si="0"/>
        <v>7527.6964904421047</v>
      </c>
      <c r="N10" s="91"/>
    </row>
    <row r="11" spans="1:28" x14ac:dyDescent="0.2">
      <c r="B11" s="1" t="s">
        <v>175</v>
      </c>
      <c r="C11" s="137"/>
      <c r="D11" s="137"/>
      <c r="E11" s="137"/>
      <c r="F11" s="137"/>
      <c r="G11" s="138"/>
      <c r="H11" s="137"/>
      <c r="I11" s="137"/>
      <c r="J11" s="137"/>
      <c r="K11" s="137"/>
      <c r="L11" s="126">
        <f ca="1">L8/(1+C15)^L9</f>
        <v>87787.289948482561</v>
      </c>
    </row>
    <row r="13" spans="1:28" x14ac:dyDescent="0.2">
      <c r="B13" s="235" t="s">
        <v>176</v>
      </c>
      <c r="C13" s="235"/>
    </row>
    <row r="14" spans="1:28" x14ac:dyDescent="0.2">
      <c r="B14" s="1" t="s">
        <v>177</v>
      </c>
      <c r="C14" s="140">
        <v>2.5000000000000001E-2</v>
      </c>
    </row>
    <row r="15" spans="1:28" x14ac:dyDescent="0.2">
      <c r="B15" s="1" t="s">
        <v>157</v>
      </c>
      <c r="C15" s="135">
        <f ca="1">IF(Overview!C28&gt;0,Overview!C28,WACC!C20)</f>
        <v>0.11289300714523912</v>
      </c>
    </row>
    <row r="18" spans="2:3" x14ac:dyDescent="0.2">
      <c r="B18" s="235" t="s">
        <v>178</v>
      </c>
      <c r="C18" s="235"/>
    </row>
    <row r="19" spans="2:3" x14ac:dyDescent="0.2">
      <c r="B19" s="1" t="s">
        <v>179</v>
      </c>
      <c r="C19" s="64">
        <f ca="1">SUM(H10:L10)</f>
        <v>37863.336161594772</v>
      </c>
    </row>
    <row r="20" spans="2:3" x14ac:dyDescent="0.2">
      <c r="B20" s="1" t="s">
        <v>175</v>
      </c>
      <c r="C20" s="64">
        <f ca="1">L11</f>
        <v>87787.289948482561</v>
      </c>
    </row>
    <row r="21" spans="2:3" x14ac:dyDescent="0.2">
      <c r="B21" s="16" t="s">
        <v>180</v>
      </c>
      <c r="C21" s="94">
        <f ca="1">C19+C20</f>
        <v>125650.62611007734</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120179.62611007734</v>
      </c>
    </row>
    <row r="25" spans="2:3" x14ac:dyDescent="0.2">
      <c r="B25" s="1" t="s">
        <v>67</v>
      </c>
      <c r="C25" s="136">
        <f>Statement!AC78</f>
        <v>1060</v>
      </c>
    </row>
    <row r="26" spans="2:3" x14ac:dyDescent="0.2">
      <c r="B26" s="141" t="s">
        <v>184</v>
      </c>
      <c r="C26" s="142">
        <f ca="1">C24/C25</f>
        <v>113.37700576422391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9553.7075400547947</v>
      </c>
      <c r="I8" s="92">
        <f>'FCF &amp; Other'!I28</f>
        <v>9440.2308497150734</v>
      </c>
      <c r="J8" s="92">
        <f>'FCF &amp; Other'!J28</f>
        <v>9873.483013854393</v>
      </c>
      <c r="K8" s="92">
        <f>'FCF &amp; Other'!K28</f>
        <v>10685.09480521263</v>
      </c>
      <c r="L8" s="92">
        <f>'FCF &amp; Other'!L28</f>
        <v>12850.770513331205</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-0.18978611719924546</v>
      </c>
      <c r="I14" s="95">
        <f t="shared" si="3"/>
        <v>-1.1877764717410474E-2</v>
      </c>
      <c r="J14" s="95">
        <f t="shared" si="3"/>
        <v>4.5894234053862788E-2</v>
      </c>
      <c r="K14" s="95">
        <f t="shared" si="3"/>
        <v>8.2201163481963699E-2</v>
      </c>
      <c r="L14" s="95">
        <f t="shared" si="3"/>
        <v>0.20268193662278686</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5" t="s">
        <v>197</v>
      </c>
      <c r="C37" s="235"/>
      <c r="N37" s="91"/>
    </row>
    <row r="38" spans="2:14" x14ac:dyDescent="0.2">
      <c r="B38" s="1" t="s">
        <v>198</v>
      </c>
      <c r="C38" s="64">
        <f>L7</f>
        <v>16641.420831907126</v>
      </c>
    </row>
    <row r="39" spans="2:14" x14ac:dyDescent="0.2">
      <c r="B39" s="1" t="s">
        <v>157</v>
      </c>
      <c r="C39" s="135">
        <f ca="1">IF(Overview!C28&gt;0,Overview!C28,WACC!C20)</f>
        <v>0.11289300714523912</v>
      </c>
    </row>
    <row r="40" spans="2:14" x14ac:dyDescent="0.2">
      <c r="B40" s="39" t="s">
        <v>199</v>
      </c>
      <c r="C40" s="105">
        <v>20</v>
      </c>
    </row>
    <row r="41" spans="2:14" x14ac:dyDescent="0.2">
      <c r="B41" s="1" t="s">
        <v>195</v>
      </c>
      <c r="C41" s="24">
        <f>(C38*C40)</f>
        <v>332828.41663814255</v>
      </c>
    </row>
    <row r="42" spans="2:14" x14ac:dyDescent="0.2">
      <c r="B42" s="1" t="s">
        <v>353</v>
      </c>
      <c r="C42" s="24">
        <f ca="1">C41/(1+C39)^5-G30+G31</f>
        <v>190307.50831627176</v>
      </c>
    </row>
    <row r="43" spans="2:14" x14ac:dyDescent="0.2">
      <c r="B43" s="1" t="s">
        <v>181</v>
      </c>
      <c r="C43" s="136">
        <f>Statement!AC106</f>
        <v>9799</v>
      </c>
    </row>
    <row r="44" spans="2:14" x14ac:dyDescent="0.2">
      <c r="B44" s="1" t="s">
        <v>182</v>
      </c>
      <c r="C44" s="136">
        <f>Statement!AC107</f>
        <v>15270</v>
      </c>
    </row>
    <row r="45" spans="2:14" x14ac:dyDescent="0.2">
      <c r="B45" s="1" t="s">
        <v>183</v>
      </c>
      <c r="C45" s="24">
        <f ca="1">C42+C43-C44</f>
        <v>184836.50831627176</v>
      </c>
    </row>
    <row r="46" spans="2:14" x14ac:dyDescent="0.2">
      <c r="B46" s="1" t="s">
        <v>67</v>
      </c>
      <c r="C46" s="88">
        <f>Statement!AC78</f>
        <v>1060</v>
      </c>
    </row>
    <row r="47" spans="2:14" x14ac:dyDescent="0.2">
      <c r="B47" s="141" t="s">
        <v>201</v>
      </c>
      <c r="C47" s="142">
        <f ca="1">C45/C46</f>
        <v>174.37406444931298</v>
      </c>
    </row>
    <row r="49" spans="2:3" x14ac:dyDescent="0.2">
      <c r="B49" s="235" t="s">
        <v>202</v>
      </c>
      <c r="C49" s="235"/>
    </row>
    <row r="50" spans="2:3" x14ac:dyDescent="0.2">
      <c r="B50" s="1" t="s">
        <v>203</v>
      </c>
      <c r="C50" s="64">
        <f>L6</f>
        <v>57384.209765196996</v>
      </c>
    </row>
    <row r="51" spans="2:3" x14ac:dyDescent="0.2">
      <c r="B51" s="1" t="s">
        <v>355</v>
      </c>
      <c r="C51" s="135">
        <f ca="1">IF(Overview!C29&gt;0,Overview!C29,WACC!C19)</f>
        <v>0.1193235</v>
      </c>
    </row>
    <row r="52" spans="2:3" x14ac:dyDescent="0.2">
      <c r="B52" s="39" t="s">
        <v>204</v>
      </c>
      <c r="C52" s="105">
        <v>6</v>
      </c>
    </row>
    <row r="53" spans="2:3" x14ac:dyDescent="0.2">
      <c r="B53" s="1" t="s">
        <v>200</v>
      </c>
      <c r="C53" s="24">
        <f>L18</f>
        <v>1024.4422356918749</v>
      </c>
    </row>
    <row r="54" spans="2:3" x14ac:dyDescent="0.2">
      <c r="B54" s="1" t="s">
        <v>184</v>
      </c>
      <c r="C54" s="24">
        <f>(C50*C52)/C53</f>
        <v>336.09045644105976</v>
      </c>
    </row>
    <row r="55" spans="2:3" x14ac:dyDescent="0.2">
      <c r="B55" s="141" t="s">
        <v>201</v>
      </c>
      <c r="C55" s="142">
        <f ca="1">C54/(1+C51)^5</f>
        <v>191.28374747809156</v>
      </c>
    </row>
    <row r="57" spans="2:3" x14ac:dyDescent="0.2">
      <c r="B57" s="235" t="s">
        <v>319</v>
      </c>
      <c r="C57" s="235"/>
    </row>
    <row r="58" spans="2:3" x14ac:dyDescent="0.2">
      <c r="B58" s="1" t="s">
        <v>205</v>
      </c>
      <c r="C58" s="64">
        <f>L8</f>
        <v>12850.770513331205</v>
      </c>
    </row>
    <row r="59" spans="2:3" x14ac:dyDescent="0.2">
      <c r="B59" s="1" t="s">
        <v>157</v>
      </c>
      <c r="C59" s="135">
        <f ca="1">IF(Overview!C28&gt;0,Overview!C28,WACC!C20)</f>
        <v>0.11289300714523912</v>
      </c>
    </row>
    <row r="60" spans="2:3" x14ac:dyDescent="0.2">
      <c r="B60" s="39" t="s">
        <v>354</v>
      </c>
      <c r="C60" s="105">
        <v>25</v>
      </c>
    </row>
    <row r="61" spans="2:3" x14ac:dyDescent="0.2">
      <c r="B61" s="1" t="s">
        <v>195</v>
      </c>
      <c r="C61" s="24">
        <f>(C58*C60)</f>
        <v>321269.26283328014</v>
      </c>
    </row>
    <row r="62" spans="2:3" x14ac:dyDescent="0.2">
      <c r="B62" s="1" t="s">
        <v>353</v>
      </c>
      <c r="C62" s="24">
        <f ca="1">C61/(1+C59)^5-G30+G31</f>
        <v>183536.41226105264</v>
      </c>
    </row>
    <row r="63" spans="2:3" x14ac:dyDescent="0.2">
      <c r="B63" s="1" t="s">
        <v>181</v>
      </c>
      <c r="C63" s="136">
        <f>Statement!AC106</f>
        <v>9799</v>
      </c>
    </row>
    <row r="64" spans="2:3" x14ac:dyDescent="0.2">
      <c r="B64" s="1" t="s">
        <v>182</v>
      </c>
      <c r="C64" s="136">
        <f>Statement!AC107</f>
        <v>15270</v>
      </c>
    </row>
    <row r="65" spans="2:3" x14ac:dyDescent="0.2">
      <c r="B65" s="1" t="s">
        <v>183</v>
      </c>
      <c r="C65" s="24">
        <f ca="1">C62+C63-C64</f>
        <v>178065.41226105264</v>
      </c>
    </row>
    <row r="66" spans="2:3" x14ac:dyDescent="0.2">
      <c r="B66" s="1" t="s">
        <v>67</v>
      </c>
      <c r="C66" s="88">
        <f>Statement!AC78</f>
        <v>1060</v>
      </c>
    </row>
    <row r="67" spans="2:3" x14ac:dyDescent="0.2">
      <c r="B67" s="141" t="s">
        <v>201</v>
      </c>
      <c r="C67" s="142">
        <f ca="1">C65/C66</f>
        <v>167.98623798212512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3">
        <f ca="1">DCF!C26</f>
        <v>113.37700576422391</v>
      </c>
    </row>
    <row r="6" spans="1:14" x14ac:dyDescent="0.2">
      <c r="B6" s="1" t="s">
        <v>209</v>
      </c>
      <c r="C6" s="133">
        <f ca="1">Multiples!C47</f>
        <v>174.37406444931298</v>
      </c>
    </row>
    <row r="7" spans="1:14" x14ac:dyDescent="0.2">
      <c r="B7" s="1" t="s">
        <v>210</v>
      </c>
      <c r="C7" s="133">
        <f ca="1">Multiples!C55</f>
        <v>191.28374747809156</v>
      </c>
    </row>
    <row r="8" spans="1:14" x14ac:dyDescent="0.2">
      <c r="B8" s="1" t="s">
        <v>320</v>
      </c>
      <c r="C8" s="133">
        <f ca="1">Multiples!C67</f>
        <v>167.98623798212512</v>
      </c>
    </row>
    <row r="9" spans="1:14" x14ac:dyDescent="0.2">
      <c r="B9" s="141" t="s">
        <v>211</v>
      </c>
      <c r="C9" s="142">
        <f ca="1">AVERAGE(C5:C8)</f>
        <v>161.75526391843837</v>
      </c>
    </row>
    <row r="10" spans="1:14" x14ac:dyDescent="0.2">
      <c r="B10" s="1" t="s">
        <v>212</v>
      </c>
      <c r="C10" s="133">
        <f ca="1">Overview!C5</f>
        <v>170.61</v>
      </c>
    </row>
    <row r="11" spans="1:14" x14ac:dyDescent="0.2">
      <c r="B11" s="1" t="s">
        <v>213</v>
      </c>
      <c r="C11" s="154">
        <f ca="1">(C9-C10)/C10</f>
        <v>-5.1900451799786876E-2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7"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406</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407</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408</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409</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5" t="s">
        <v>410</v>
      </c>
      <c r="C20" s="235"/>
      <c r="N20" s="91"/>
    </row>
    <row r="21" spans="2:14" x14ac:dyDescent="0.2">
      <c r="B21" s="1" t="s">
        <v>411</v>
      </c>
      <c r="C21" s="232">
        <f>G7</f>
        <v>3.48</v>
      </c>
    </row>
    <row r="22" spans="2:14" x14ac:dyDescent="0.2">
      <c r="B22" s="1" t="s">
        <v>412</v>
      </c>
      <c r="C22" s="234">
        <v>0.06</v>
      </c>
    </row>
    <row r="23" spans="2:14" x14ac:dyDescent="0.2">
      <c r="B23" s="39" t="s">
        <v>413</v>
      </c>
      <c r="C23" s="233">
        <f>C21*(1+C22)</f>
        <v>3.6888000000000001</v>
      </c>
    </row>
    <row r="24" spans="2:14" x14ac:dyDescent="0.2">
      <c r="B24" s="1" t="s">
        <v>355</v>
      </c>
      <c r="C24" s="135">
        <f ca="1">IF(Overview!C29&gt;0,Overview!C29,WACC!C19)</f>
        <v>0.1193235</v>
      </c>
    </row>
    <row r="25" spans="2:14" x14ac:dyDescent="0.2">
      <c r="B25" s="39" t="s">
        <v>414</v>
      </c>
      <c r="C25" s="234">
        <v>0.02</v>
      </c>
    </row>
    <row r="26" spans="2:14" x14ac:dyDescent="0.2">
      <c r="B26" s="141" t="s">
        <v>201</v>
      </c>
      <c r="C26" s="142">
        <f ca="1">C23/(C24-C25)</f>
        <v>37.139247005995564</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297643.28158077016</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12364.874265655035</v>
      </c>
      <c r="I10" s="126">
        <f t="shared" ref="I10:L10" ca="1" si="1">I7/(1+$C$21)^I9</f>
        <v>12966.033729544541</v>
      </c>
      <c r="J10" s="126">
        <f t="shared" ca="1" si="1"/>
        <v>13596.420559055367</v>
      </c>
      <c r="K10" s="126">
        <f t="shared" ca="1" si="1"/>
        <v>14257.455739720423</v>
      </c>
      <c r="L10" s="126">
        <f t="shared" ca="1" si="1"/>
        <v>14950.629343007738</v>
      </c>
      <c r="N10" s="91"/>
    </row>
    <row r="11" spans="1:28" x14ac:dyDescent="0.2">
      <c r="B11" s="1" t="s">
        <v>175</v>
      </c>
      <c r="C11" s="137"/>
      <c r="D11" s="137"/>
      <c r="E11" s="137"/>
      <c r="F11" s="137"/>
      <c r="G11" s="138"/>
      <c r="H11" s="137"/>
      <c r="I11" s="137"/>
      <c r="J11" s="137"/>
      <c r="K11" s="137"/>
      <c r="L11" s="126">
        <f ca="1">L8/(1+C21)^L9</f>
        <v>174352.83618479542</v>
      </c>
    </row>
    <row r="13" spans="1:28" ht="17" thickBot="1" x14ac:dyDescent="0.25"/>
    <row r="14" spans="1:28" x14ac:dyDescent="0.2">
      <c r="B14" s="250" t="s">
        <v>215</v>
      </c>
      <c r="C14" s="251"/>
    </row>
    <row r="15" spans="1:28" x14ac:dyDescent="0.2">
      <c r="B15" s="155" t="s">
        <v>216</v>
      </c>
      <c r="C15" s="156">
        <f ca="1">Overview!C5</f>
        <v>170.61</v>
      </c>
    </row>
    <row r="16" spans="1:28" x14ac:dyDescent="0.2">
      <c r="B16" s="155" t="s">
        <v>217</v>
      </c>
      <c r="C16" s="156">
        <f ca="1">C36</f>
        <v>224.87405106430597</v>
      </c>
    </row>
    <row r="17" spans="2:9" ht="17" thickBot="1" x14ac:dyDescent="0.25">
      <c r="B17" s="157" t="s">
        <v>321</v>
      </c>
      <c r="C17" s="158">
        <v>0.16700000000000001</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0.11289300714523912</v>
      </c>
    </row>
    <row r="22" spans="2:9" x14ac:dyDescent="0.2">
      <c r="B22" s="159" t="s">
        <v>67</v>
      </c>
      <c r="C22" s="226">
        <f>Statement!AC75</f>
        <v>1054</v>
      </c>
    </row>
    <row r="23" spans="2:9" x14ac:dyDescent="0.2">
      <c r="B23" s="159" t="s">
        <v>219</v>
      </c>
      <c r="C23" s="161">
        <f ca="1">C15*C22</f>
        <v>179822.94</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185293.94</v>
      </c>
    </row>
    <row r="27" spans="2:9" ht="17" thickBot="1" x14ac:dyDescent="0.25"/>
    <row r="28" spans="2:9" x14ac:dyDescent="0.2">
      <c r="B28" s="250" t="s">
        <v>178</v>
      </c>
      <c r="C28" s="251"/>
    </row>
    <row r="29" spans="2:9" x14ac:dyDescent="0.2">
      <c r="B29" s="159" t="s">
        <v>179</v>
      </c>
      <c r="C29" s="161">
        <f ca="1">SUM(H10:L10)</f>
        <v>68135.413636983096</v>
      </c>
    </row>
    <row r="30" spans="2:9" x14ac:dyDescent="0.2">
      <c r="B30" s="159" t="s">
        <v>175</v>
      </c>
      <c r="C30" s="161">
        <f ca="1">L11</f>
        <v>174352.83618479542</v>
      </c>
    </row>
    <row r="31" spans="2:9" x14ac:dyDescent="0.2">
      <c r="B31" s="163" t="s">
        <v>180</v>
      </c>
      <c r="C31" s="164">
        <f ca="1">C29+C30</f>
        <v>242488.2498217785</v>
      </c>
    </row>
    <row r="32" spans="2:9" x14ac:dyDescent="0.2">
      <c r="B32" s="159" t="s">
        <v>181</v>
      </c>
      <c r="C32" s="165">
        <f>C24</f>
        <v>9799</v>
      </c>
    </row>
    <row r="33" spans="2:12" x14ac:dyDescent="0.2">
      <c r="B33" s="159" t="s">
        <v>182</v>
      </c>
      <c r="C33" s="165">
        <f>C25</f>
        <v>15270</v>
      </c>
    </row>
    <row r="34" spans="2:12" x14ac:dyDescent="0.2">
      <c r="B34" s="163" t="s">
        <v>183</v>
      </c>
      <c r="C34" s="164">
        <f ca="1">C31+C32-C33</f>
        <v>237017.2498217785</v>
      </c>
    </row>
    <row r="35" spans="2:12" x14ac:dyDescent="0.2">
      <c r="B35" s="159" t="s">
        <v>67</v>
      </c>
      <c r="C35" s="161">
        <f>C22</f>
        <v>1054</v>
      </c>
    </row>
    <row r="36" spans="2:12" ht="17" thickBot="1" x14ac:dyDescent="0.25">
      <c r="B36" s="166" t="s">
        <v>184</v>
      </c>
      <c r="C36" s="167">
        <f ca="1">C34/C35</f>
        <v>224.87405106430597</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2026-07-17T00:39:16Z</dcterms:modified>
</cp:coreProperties>
</file>