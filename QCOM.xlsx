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E13B623-AB9F-0449-8BCE-8D6DEFE5261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<sst xmlns="http://schemas.openxmlformats.org/spreadsheetml/2006/main" count="831" uniqueCount="429">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</sst>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1.6524000000000001</v>
    <v>-3.38</v>
    <v>-1.8029E-2</v>
    <v>0.66379999999999995</v>
    <v>3.6059999999999998E-3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190.03</v>
    <v>3</v>
    <v>Semiconductors &amp; Semiconductor Equipment</v>
    <v>Stock</v>
    <v>46294.964478113281</v>
    <v>4</v>
    <v>182.23</v>
    <v>193305000000</v>
    <v>QUALCOMM INCORPORATED</v>
    <v>QUALCOMM INCORPORATED</v>
    <v>189.48</v>
    <v>21.306899999999999</v>
    <v>187.48</v>
    <v>184.1</v>
    <v>184.7638</v>
    <v>1050000000</v>
    <v>QCOM</v>
    <v>QUALCOMM INCORPORATED (XNAS:QCOM)</v>
    <v>10015338</v>
    <v>14221047</v>
    <v>1991</v>
  </rv>
  <rv s="4">
    <v>5</v>
  </rv>
  <rv s="0">
    <v>https://www.bing.com/financeapi/forcetrigger?t=a33knm&amp;q=10+Y+TSY+YLD+NDX&amp;form=skydnc</v>
    <v>Learn more on Bing</v>
  </rv>
  <rv s="5">
    <v>7</v>
    <v>10 Y TSY YLD NDX</v>
    <v>8</v>
    <v>9</v>
    <v>Finance</v>
    <v>10</v>
    <v>en-US</v>
    <v>a33knm</v>
    <v>268435456</v>
    <v>1</v>
    <v>Powered by Refinitiv</v>
    <v>52.93</v>
    <v>39.47</v>
    <v>0.15</v>
    <v>2.8630000000000001E-3</v>
    <v>US</v>
    <v>52.93</v>
    <v>Index</v>
    <v>7</v>
    <v>52.13</v>
    <v>10 Y TSY YLD NDX</v>
    <v>52.13</v>
    <v>52.4</v>
    <v>52.55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F11" sqref="F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279</v>
      </c>
      <c r="F2" s="234"/>
      <c r="H2" s="233" t="s">
        <v>317</v>
      </c>
      <c r="I2" s="234"/>
    </row>
    <row r="3" spans="2:9" x14ac:dyDescent="0.2">
      <c r="B3" s="181" t="s">
        <v>11</v>
      </c>
      <c r="C3" s="213" t="e" vm="1">
        <v>#VALUE!</v>
      </c>
      <c r="D3" s="2"/>
      <c r="E3" s="181" t="s">
        <v>231</v>
      </c>
      <c r="F3" s="183">
        <f ca="1">Statement!AC156</f>
        <v>195514.19999999998</v>
      </c>
      <c r="H3" s="181" t="str">
        <f>'AVG target price'!B5</f>
        <v>DCF price</v>
      </c>
      <c r="I3" s="207">
        <f ca="1">'AVG target price'!C5</f>
        <v>112.27125177067325</v>
      </c>
    </row>
    <row r="4" spans="2:9" x14ac:dyDescent="0.2">
      <c r="B4" s="181" t="s">
        <v>0</v>
      </c>
      <c r="C4" s="185" t="str" cm="1">
        <f t="array" aca="1" ref="C4" ca="1">_FV(C3,"Ticker symbol",TRUE)</f>
        <v>QCOM</v>
      </c>
      <c r="E4" s="182" t="s">
        <v>180</v>
      </c>
      <c r="F4" s="184">
        <f ca="1">Statement!AC157</f>
        <v>202480.19999999998</v>
      </c>
      <c r="H4" s="181" t="str">
        <f>'AVG target price'!B6</f>
        <v>EV/EBIT price</v>
      </c>
      <c r="I4" s="207">
        <f ca="1">'AVG target price'!C6</f>
        <v>213.90546968658586</v>
      </c>
    </row>
    <row r="5" spans="2:9" x14ac:dyDescent="0.2">
      <c r="B5" s="181" t="s">
        <v>1</v>
      </c>
      <c r="C5" s="204" cm="1">
        <f t="array" aca="1" ref="C5" ca="1">_FV(C3,"Price",TRUE)</f>
        <v>184.1</v>
      </c>
      <c r="E5" s="181" t="s">
        <v>235</v>
      </c>
      <c r="F5" s="186">
        <f>Statement!AC26</f>
        <v>8.8483427020740457</v>
      </c>
      <c r="H5" s="181" t="str">
        <f>'AVG target price'!B7</f>
        <v>PS price</v>
      </c>
      <c r="I5" s="207">
        <f ca="1">'AVG target price'!C7</f>
        <v>193.35987095916772</v>
      </c>
    </row>
    <row r="6" spans="2:9" x14ac:dyDescent="0.2">
      <c r="B6" s="181" t="s">
        <v>2</v>
      </c>
      <c r="C6" s="204" cm="1">
        <f t="array" aca="1" ref="C6" ca="1">_FV(C3,"Price (Extended hours)",TRUE)</f>
        <v>184.7638</v>
      </c>
      <c r="E6" s="181" t="s">
        <v>229</v>
      </c>
      <c r="F6" s="186">
        <f ca="1">Statement!AC153</f>
        <v>20.80615615812971</v>
      </c>
      <c r="H6" s="181" t="str">
        <f>'AVG target price'!B8</f>
        <v>EV/FCFF price</v>
      </c>
      <c r="I6" s="207">
        <f ca="1">'AVG target price'!C8</f>
        <v>182.10373001125001</v>
      </c>
    </row>
    <row r="7" spans="2:9" x14ac:dyDescent="0.2">
      <c r="B7" s="181" t="s">
        <v>3</v>
      </c>
      <c r="C7" s="6" cm="1">
        <f t="array" aca="1" ref="C7" ca="1">_FV(C3,"Change")</f>
        <v>-3.38</v>
      </c>
      <c r="E7" s="182" t="s">
        <v>193</v>
      </c>
      <c r="F7" s="187">
        <f ca="1">Statement!AC154</f>
        <v>4.4888683398384313</v>
      </c>
      <c r="H7" s="181" t="str">
        <f>'AVG target price'!B9</f>
        <v>EV/Sales</v>
      </c>
      <c r="I7" s="207">
        <f ca="1">'AVG target price'!C9</f>
        <v>205.47154141288209</v>
      </c>
    </row>
    <row r="8" spans="2:9" x14ac:dyDescent="0.2">
      <c r="B8" s="181" t="s">
        <v>4</v>
      </c>
      <c r="C8" s="6" cm="1">
        <f t="array" aca="1" ref="C8" ca="1">_FV(C3,"Change (extended hours)",TRUE)</f>
        <v>0.66379999999999995</v>
      </c>
      <c r="E8" s="181" t="s">
        <v>257</v>
      </c>
      <c r="F8" s="188">
        <f ca="1">Statement!AC164</f>
        <v>3.6692987005547427E-2</v>
      </c>
      <c r="H8" s="180" t="str">
        <f>'AVG target price'!B10</f>
        <v>AVG price</v>
      </c>
      <c r="I8" s="208">
        <f ca="1">'AVG target price'!C10</f>
        <v>181.42237276811179</v>
      </c>
    </row>
    <row r="9" spans="2:9" x14ac:dyDescent="0.2">
      <c r="B9" s="181" t="s">
        <v>5</v>
      </c>
      <c r="C9" s="73" cm="1">
        <f t="array" aca="1" ref="C9" ca="1">_FV(C3,"Change (%)",TRUE)</f>
        <v>-1.8029E-2</v>
      </c>
      <c r="E9" s="181" t="s">
        <v>280</v>
      </c>
      <c r="F9" s="188">
        <f ca="1">Statement!AC165</f>
        <v>4.8062698001488574E-2</v>
      </c>
      <c r="H9" s="180" t="str">
        <f>'AVG target price'!B12</f>
        <v>Upside/Downside</v>
      </c>
      <c r="I9" s="209">
        <f ca="1">'AVG target price'!C12</f>
        <v>-1.4544417337795814E-2</v>
      </c>
    </row>
    <row r="10" spans="2:9" x14ac:dyDescent="0.2">
      <c r="B10" s="181" t="s">
        <v>6</v>
      </c>
      <c r="C10" s="73" cm="1">
        <f t="array" aca="1" ref="C10" ca="1">_FV(C3,"Change % (extended hours)",TRUE)</f>
        <v>3.6059999999999998E-3</v>
      </c>
      <c r="E10" s="181" t="s">
        <v>285</v>
      </c>
      <c r="F10" s="188">
        <f ca="1">Statement!AC167</f>
        <v>4.7311141594830457E-2</v>
      </c>
    </row>
    <row r="11" spans="2:9" x14ac:dyDescent="0.2">
      <c r="B11" s="181" t="s">
        <v>7</v>
      </c>
      <c r="C11" s="205" cm="1">
        <f t="array" aca="1" ref="C11" ca="1">_FV(C3,"52 week high",TRUE)</f>
        <v>259.92</v>
      </c>
      <c r="E11" s="182" t="s">
        <v>281</v>
      </c>
      <c r="F11" s="189">
        <f ca="1">Statement!AC166</f>
        <v>1.9500271591526345E-2</v>
      </c>
      <c r="H11" s="180" t="s">
        <v>404</v>
      </c>
      <c r="I11" s="208">
        <f ca="1">DDM!C26</f>
        <v>34.504433718711411</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1.6524000000000001</v>
      </c>
      <c r="E13" s="181" t="s">
        <v>96</v>
      </c>
      <c r="F13" s="188">
        <f>Statement!AC124</f>
        <v>0.3442403644515149</v>
      </c>
      <c r="H13" s="180" t="s">
        <v>428</v>
      </c>
      <c r="I13" s="209">
        <f>'Reverse DCF'!C17</f>
        <v>0.14000000000000001</v>
      </c>
    </row>
    <row r="14" spans="2:9" x14ac:dyDescent="0.2">
      <c r="B14" s="182" t="s">
        <v>10</v>
      </c>
      <c r="C14" s="206" cm="1">
        <f t="array" aca="1" ref="C14" ca="1">_FV(C3,"Volume average",TRUE)</f>
        <v>14221047</v>
      </c>
      <c r="E14" s="182" t="s">
        <v>97</v>
      </c>
      <c r="F14" s="189">
        <f>Statement!AC143</f>
        <v>0.25062860459696928</v>
      </c>
    </row>
    <row r="15" spans="2:9" x14ac:dyDescent="0.2">
      <c r="E15" s="181" t="s">
        <v>282</v>
      </c>
      <c r="F15" s="188">
        <f ca="1">Statement!AC179</f>
        <v>-3.562912565941502E-2</v>
      </c>
    </row>
    <row r="16" spans="2:9" x14ac:dyDescent="0.2">
      <c r="E16" s="182" t="s">
        <v>287</v>
      </c>
      <c r="F16" s="187">
        <f>Statement!AC178</f>
        <v>-6.6342857142857143</v>
      </c>
    </row>
    <row r="17" spans="2:9" x14ac:dyDescent="0.2">
      <c r="B17" s="235" t="s">
        <v>83</v>
      </c>
      <c r="C17" s="235"/>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5" t="s">
        <v>99</v>
      </c>
      <c r="C25" s="235"/>
      <c r="E25" s="233" t="s">
        <v>330</v>
      </c>
      <c r="F25" s="234"/>
    </row>
    <row r="26" spans="2:9" x14ac:dyDescent="0.2">
      <c r="B26" s="180" t="s">
        <v>100</v>
      </c>
      <c r="C26" s="166">
        <v>0.21</v>
      </c>
      <c r="E26" s="181" t="e" vm="2">
        <v>#VALUE!</v>
      </c>
      <c r="F26" s="215" cm="1">
        <f t="array" aca="1" ref="F26" ca="1">_FV(E26,"Price")</f>
        <v>52.55</v>
      </c>
    </row>
    <row r="27" spans="2:9" x14ac:dyDescent="0.2">
      <c r="B27" s="180" t="s">
        <v>164</v>
      </c>
      <c r="C27" s="217">
        <v>5.3499999999999999E-2</v>
      </c>
      <c r="E27" s="182" t="s">
        <v>331</v>
      </c>
      <c r="F27" s="216">
        <f ca="1">F26/1000</f>
        <v>5.2549999999999999E-2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184.1</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184.1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20.80615615812971</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4.4888683398384313</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6.989117072817991</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195514.19999999998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202480.19999999998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4.5947217935917211</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19.814091398375574</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27.253164204070252</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20.767700968993434</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3.6692987005547427E-2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4.8062698001488574E-2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1.9500271591526345E-2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4.7311141594830457E-2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6.6874937984044133E-2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0.22124364177102351</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-3.562912565941502E-2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6" t="s">
        <v>225</v>
      </c>
      <c r="C4" s="236"/>
      <c r="E4" s="236" t="s">
        <v>232</v>
      </c>
      <c r="F4" s="236"/>
      <c r="G4" s="236"/>
    </row>
    <row r="5" spans="2:7" x14ac:dyDescent="0.2">
      <c r="B5" s="20" t="s">
        <v>1</v>
      </c>
      <c r="C5" s="168">
        <f ca="1">Overview!C5</f>
        <v>184.1</v>
      </c>
      <c r="E5" s="12"/>
      <c r="F5" s="132" t="s">
        <v>233</v>
      </c>
      <c r="G5" s="132" t="s">
        <v>234</v>
      </c>
    </row>
    <row r="6" spans="2:7" x14ac:dyDescent="0.2">
      <c r="B6" s="20" t="s">
        <v>231</v>
      </c>
      <c r="C6" s="169">
        <f ca="1">Statement!AC156</f>
        <v>195514.19999999998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202480.19999999998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20.80615615812971</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4.4888683398384313</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6.989117072817991</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4.5947217935917211</v>
      </c>
    </row>
    <row r="12" spans="2:7" x14ac:dyDescent="0.2">
      <c r="B12" s="20" t="s">
        <v>196</v>
      </c>
      <c r="C12" s="170">
        <f ca="1">Statement!AC159</f>
        <v>19.814091398375574</v>
      </c>
    </row>
    <row r="15" spans="2:7" x14ac:dyDescent="0.2">
      <c r="B15" s="236" t="s">
        <v>75</v>
      </c>
      <c r="C15" s="236"/>
      <c r="E15" s="236" t="s">
        <v>238</v>
      </c>
      <c r="F15" s="236"/>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6" t="s">
        <v>237</v>
      </c>
      <c r="C21" s="236"/>
      <c r="E21" s="236" t="s">
        <v>241</v>
      </c>
      <c r="F21" s="236"/>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6" t="s">
        <v>242</v>
      </c>
      <c r="C29" s="236"/>
      <c r="E29" s="236" t="s">
        <v>248</v>
      </c>
      <c r="F29" s="236"/>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6" t="s">
        <v>260</v>
      </c>
      <c r="C37" s="236"/>
      <c r="E37" s="236" t="s">
        <v>263</v>
      </c>
      <c r="F37" s="236"/>
    </row>
    <row r="38" spans="2:6" x14ac:dyDescent="0.2">
      <c r="B38" s="20" t="s">
        <v>258</v>
      </c>
      <c r="C38" s="171">
        <f ca="1">Statement!AC165</f>
        <v>4.8062698001488574E-2</v>
      </c>
      <c r="E38" s="20" t="s">
        <v>262</v>
      </c>
      <c r="F38" s="171">
        <f>Statement!AC171</f>
        <v>0.53317535545023698</v>
      </c>
    </row>
    <row r="39" spans="2:6" x14ac:dyDescent="0.2">
      <c r="B39" s="54" t="s">
        <v>261</v>
      </c>
      <c r="C39" s="211">
        <f ca="1">Statement!AC164</f>
        <v>3.6692987005547427E-2</v>
      </c>
      <c r="E39" s="20" t="s">
        <v>264</v>
      </c>
      <c r="F39" s="171">
        <f>Statement!AC172</f>
        <v>1.2893783105659324</v>
      </c>
    </row>
    <row r="40" spans="2:6" x14ac:dyDescent="0.2">
      <c r="B40" s="20" t="s">
        <v>259</v>
      </c>
      <c r="C40" s="171">
        <f ca="1">Statement!AC166</f>
        <v>1.9500271591526345E-2</v>
      </c>
      <c r="E40" s="20" t="s">
        <v>265</v>
      </c>
      <c r="F40" s="171">
        <f>Statement!AC173</f>
        <v>1.8225536660161694</v>
      </c>
    </row>
    <row r="41" spans="2:6" x14ac:dyDescent="0.2">
      <c r="B41" s="20" t="s">
        <v>284</v>
      </c>
      <c r="C41" s="171">
        <f ca="1">Statement!AC167</f>
        <v>4.7311141594830457E-2</v>
      </c>
    </row>
    <row r="42" spans="2:6" x14ac:dyDescent="0.2">
      <c r="B42" s="20" t="s">
        <v>286</v>
      </c>
      <c r="C42" s="171">
        <f ca="1">Statement!AC168</f>
        <v>6.6874937984044133E-2</v>
      </c>
    </row>
    <row r="45" spans="2:6" x14ac:dyDescent="0.2">
      <c r="B45" s="236" t="s">
        <v>271</v>
      </c>
      <c r="C45" s="236"/>
      <c r="E45" s="236" t="s">
        <v>277</v>
      </c>
      <c r="F45" s="236"/>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-3.562912565941502E-2</v>
      </c>
    </row>
    <row r="51" spans="2:6" x14ac:dyDescent="0.2">
      <c r="B51" s="236" t="s">
        <v>274</v>
      </c>
      <c r="C51" s="236"/>
      <c r="E51" s="236" t="s">
        <v>295</v>
      </c>
      <c r="F51" s="236"/>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184.1</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195514.19999999998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202480.19999999998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20.80615615812971</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4.4888683398384313</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6.989117072817991</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4.5947217935917211</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19.814091398375574</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4.8062698001488574E-2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3.6692987005547427E-2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1.9500271591526345E-2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4.7311141594830457E-2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6.6874937984044133E-2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-3.562912565941502E-2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37">
        <f>Statement!AA89</f>
        <v>-6.1515237286536469E-2</v>
      </c>
      <c r="D7" s="238"/>
      <c r="F7" s="237">
        <f>IF(F6=0,
IF(G6=0,0,IF(G6&gt;0,1,-1)),
(G6-F6)/ABS(F6)
)</f>
        <v>-4.9498327759197325E-2</v>
      </c>
      <c r="G7" s="238"/>
    </row>
    <row r="8" spans="2:7" x14ac:dyDescent="0.2">
      <c r="B8" s="203" t="s">
        <v>20</v>
      </c>
      <c r="C8" s="196">
        <f>Statement!Z6</f>
        <v>4900</v>
      </c>
      <c r="D8" s="194">
        <f>Statement!AA6</f>
        <v>4670</v>
      </c>
      <c r="F8" s="196">
        <f>Statement!W6</f>
        <v>4606</v>
      </c>
      <c r="G8" s="194">
        <f>Statement!AA6</f>
        <v>4670</v>
      </c>
    </row>
    <row r="9" spans="2:7" x14ac:dyDescent="0.2">
      <c r="B9" s="202" t="s">
        <v>307</v>
      </c>
      <c r="C9" s="237">
        <f>Statement!AA90</f>
        <v>-4.6938775510204082E-2</v>
      </c>
      <c r="D9" s="238"/>
      <c r="F9" s="237">
        <f>IF(F8=0,
IF(G8=0,0,IF(G8&gt;0,1,-1)),
(G8-F8)/ABS(F8)
)</f>
        <v>1.3894919669995658E-2</v>
      </c>
      <c r="G9" s="238"/>
    </row>
    <row r="10" spans="2:7" x14ac:dyDescent="0.2">
      <c r="B10" s="203" t="s">
        <v>21</v>
      </c>
      <c r="C10" s="196">
        <f>Statement!Z7</f>
        <v>5699</v>
      </c>
      <c r="D10" s="194">
        <f>Statement!AA7</f>
        <v>5277</v>
      </c>
      <c r="F10" s="196">
        <f>Statement!W7</f>
        <v>5859</v>
      </c>
      <c r="G10" s="194">
        <f>Statement!AA7</f>
        <v>5277</v>
      </c>
    </row>
    <row r="11" spans="2:7" x14ac:dyDescent="0.2">
      <c r="B11" s="202" t="s">
        <v>307</v>
      </c>
      <c r="C11" s="237">
        <f>Statement!AA91</f>
        <v>-7.4048078610282508E-2</v>
      </c>
      <c r="D11" s="238"/>
      <c r="F11" s="237">
        <f>IF(F10=0,
IF(G10=0,0,IF(G10&gt;0,1,-1)),
(G10-F10)/ABS(F10)
)</f>
        <v>-9.933435739887353E-2</v>
      </c>
      <c r="G11" s="238"/>
    </row>
    <row r="12" spans="2:7" x14ac:dyDescent="0.2">
      <c r="B12" s="203" t="s">
        <v>23</v>
      </c>
      <c r="C12" s="196">
        <f>Statement!Z11</f>
        <v>3390</v>
      </c>
      <c r="D12" s="194">
        <f>Statement!AA11</f>
        <v>3651</v>
      </c>
      <c r="F12" s="196">
        <f>Statement!W11</f>
        <v>2997</v>
      </c>
      <c r="G12" s="194">
        <f>Statement!AA11</f>
        <v>3651</v>
      </c>
    </row>
    <row r="13" spans="2:7" x14ac:dyDescent="0.2">
      <c r="B13" s="202" t="s">
        <v>307</v>
      </c>
      <c r="C13" s="237">
        <f>Statement!AA94</f>
        <v>7.6991150442477882E-2</v>
      </c>
      <c r="D13" s="238"/>
      <c r="F13" s="237">
        <f>IF(F12=0,
IF(G12=0,0,IF(G12&gt;0,1,-1)),
(G12-F12)/ABS(F12)
)</f>
        <v>0.21821821821821821</v>
      </c>
      <c r="G13" s="238"/>
    </row>
    <row r="14" spans="2:7" x14ac:dyDescent="0.2">
      <c r="B14" s="203" t="s">
        <v>308</v>
      </c>
      <c r="C14" s="196">
        <f>Statement!Z12</f>
        <v>2309</v>
      </c>
      <c r="D14" s="194">
        <f>Statement!AA12</f>
        <v>1626</v>
      </c>
      <c r="F14" s="196">
        <f>Statement!W12</f>
        <v>2762</v>
      </c>
      <c r="G14" s="194">
        <f>Statement!AA12</f>
        <v>1626</v>
      </c>
    </row>
    <row r="15" spans="2:7" x14ac:dyDescent="0.2">
      <c r="B15" s="202" t="s">
        <v>307</v>
      </c>
      <c r="C15" s="237">
        <f>Statement!AA95</f>
        <v>-0.29579904720658295</v>
      </c>
      <c r="D15" s="238"/>
      <c r="F15" s="237">
        <f>IF(F14=0,
IF(G14=0,0,IF(G14&gt;0,1,-1)),
(G14-F14)/ABS(F14)
)</f>
        <v>-0.41129616220130338</v>
      </c>
      <c r="G15" s="238"/>
    </row>
    <row r="16" spans="2:7" x14ac:dyDescent="0.2">
      <c r="B16" s="203" t="s">
        <v>29</v>
      </c>
      <c r="C16" s="196">
        <f>Statement!Z18</f>
        <v>1932</v>
      </c>
      <c r="D16" s="194">
        <f>Statement!AA18</f>
        <v>2002</v>
      </c>
      <c r="F16" s="196">
        <f>Statement!W18</f>
        <v>2666</v>
      </c>
      <c r="G16" s="194">
        <f>Statement!AA18</f>
        <v>2002</v>
      </c>
    </row>
    <row r="17" spans="2:7" x14ac:dyDescent="0.2">
      <c r="B17" s="202" t="s">
        <v>307</v>
      </c>
      <c r="C17" s="237">
        <f>Statement!AA97</f>
        <v>3.6231884057971016E-2</v>
      </c>
      <c r="D17" s="238"/>
      <c r="F17" s="237">
        <f>IF(F16=0,
IF(G16=0,0,IF(G16&gt;0,1,-1)),
(G16-F16)/ABS(F16)
)</f>
        <v>-0.24906226556639161</v>
      </c>
      <c r="G17" s="238"/>
    </row>
    <row r="18" spans="2:7" x14ac:dyDescent="0.2">
      <c r="B18" s="203" t="s">
        <v>309</v>
      </c>
      <c r="C18" s="196">
        <f>Statement!Z22</f>
        <v>1072</v>
      </c>
      <c r="D18" s="194">
        <f>Statement!AA22</f>
        <v>1069</v>
      </c>
      <c r="F18" s="196">
        <f>Statement!W22</f>
        <v>1099</v>
      </c>
      <c r="G18" s="194">
        <f>Statement!AA22</f>
        <v>1069</v>
      </c>
    </row>
    <row r="19" spans="2:7" x14ac:dyDescent="0.2">
      <c r="B19" s="202" t="s">
        <v>307</v>
      </c>
      <c r="C19" s="237">
        <f>IF(C18=0,
IF(D18=0,0,IF(D18&gt;0,1,-1)),
(D18-C18)/ABS(C18)
)</f>
        <v>-2.798507462686567E-3</v>
      </c>
      <c r="D19" s="238"/>
      <c r="F19" s="237">
        <f>IF(F18=0,
IF(G18=0,0,IF(G18&gt;0,1,-1)),
(G18-F18)/ABS(F18)
)</f>
        <v>-2.7297543221110099E-2</v>
      </c>
      <c r="G19" s="238"/>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37">
        <f>IF(C20=0,
IF(D20=0,0,IF(D20&gt;0,1,-1)),
(D20-C20)/ABS(C20)
)</f>
        <v>3.7598343685300246E-2</v>
      </c>
      <c r="D21" s="238"/>
      <c r="F21" s="237">
        <f>IF(F20=0,
IF(G20=0,0,IF(G20&gt;0,1,-1)),
(G20-F20)/ABS(F20)
)</f>
        <v>-0.23360655737704911</v>
      </c>
      <c r="G21" s="238"/>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37">
        <f>IF(C24=0,
IF(D24=0,0,IF(D24&gt;0,1,-1)),
(D24-C24)/ABS(C24)
)</f>
        <v>-0.15571049136786189</v>
      </c>
      <c r="D25" s="238"/>
      <c r="F25" s="237">
        <f>IF(F24=0,
IF(G24=0,0,IF(G24&gt;0,1,-1)),
(G24-F24)/ABS(F24)
)</f>
        <v>-0.19627054361567636</v>
      </c>
      <c r="G25" s="238"/>
    </row>
    <row r="26" spans="2:7" x14ac:dyDescent="0.2">
      <c r="B26" s="218" t="s">
        <v>377</v>
      </c>
      <c r="C26" s="196">
        <f>Statement!Z191</f>
        <v>1326</v>
      </c>
      <c r="D26" s="194">
        <f>Statement!AA191</f>
        <v>1588</v>
      </c>
      <c r="F26" s="196">
        <f>Statement!W191</f>
        <v>984</v>
      </c>
      <c r="G26" s="194">
        <f>Statement!AA191</f>
        <v>1588</v>
      </c>
    </row>
    <row r="27" spans="2:7" x14ac:dyDescent="0.2">
      <c r="B27" s="202" t="s">
        <v>307</v>
      </c>
      <c r="C27" s="237">
        <f>IF(C26=0,
IF(D26=0,0,IF(D26&gt;0,1,-1)),
(D26-C26)/ABS(C26)
)</f>
        <v>0.1975867269984917</v>
      </c>
      <c r="D27" s="238"/>
      <c r="F27" s="237">
        <f>IF(F26=0,
IF(G26=0,0,IF(G26&gt;0,1,-1)),
(G26-F26)/ABS(F26)
)</f>
        <v>0.61382113821138207</v>
      </c>
      <c r="G27" s="238"/>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37">
        <f>IF(C28=0,
IF(D28=0,0,IF(D28&gt;0,1,-1)),
(D28-C28)/ABS(C28)
)</f>
        <v>6.0254924681344149E-2</v>
      </c>
      <c r="D29" s="238"/>
      <c r="F29" s="237">
        <f>IF(F28=0,
IF(G28=0,0,IF(G28&gt;0,1,-1)),
(G28-F28)/ABS(F28)
)</f>
        <v>8.8637715645449131E-2</v>
      </c>
      <c r="G29" s="238"/>
    </row>
    <row r="30" spans="2:7" x14ac:dyDescent="0.2">
      <c r="B30" s="20" t="s">
        <v>379</v>
      </c>
      <c r="C30" s="196">
        <f>Statement!Z193</f>
        <v>9076</v>
      </c>
      <c r="D30" s="196">
        <f>Statement!AA193</f>
        <v>8504</v>
      </c>
      <c r="F30" s="196">
        <f>Statement!W193</f>
        <v>8993</v>
      </c>
      <c r="G30" s="196">
        <f>Statement!AA193</f>
        <v>8504</v>
      </c>
    </row>
    <row r="31" spans="2:7" x14ac:dyDescent="0.2">
      <c r="B31" s="202" t="s">
        <v>307</v>
      </c>
      <c r="C31" s="237">
        <f>IF(C30=0,
IF(D30=0,0,IF(D30&gt;0,1,-1)),
(D30-C30)/ABS(C30)
)</f>
        <v>-6.3023358307624511E-2</v>
      </c>
      <c r="D31" s="238"/>
      <c r="F31" s="237">
        <f>IF(F30=0,
IF(G30=0,0,IF(G30&gt;0,1,-1)),
(G30-F30)/ABS(F30)
)</f>
        <v>-5.4375625486489491E-2</v>
      </c>
      <c r="G31" s="238"/>
    </row>
    <row r="32" spans="2:7" x14ac:dyDescent="0.2">
      <c r="B32" s="20" t="s">
        <v>380</v>
      </c>
      <c r="C32" s="196">
        <f>Statement!Z194</f>
        <v>1382</v>
      </c>
      <c r="D32" s="196">
        <f>Statement!AA194</f>
        <v>1278</v>
      </c>
      <c r="F32" s="196">
        <f>Statement!W194</f>
        <v>1318</v>
      </c>
      <c r="G32" s="196">
        <f>Statement!AA194</f>
        <v>1278</v>
      </c>
    </row>
    <row r="33" spans="2:7" x14ac:dyDescent="0.2">
      <c r="B33" s="202" t="s">
        <v>307</v>
      </c>
      <c r="C33" s="237">
        <f>IF(C32=0,
IF(D32=0,0,IF(D32&gt;0,1,-1)),
(D32-C32)/ABS(C32)
)</f>
        <v>-7.5253256150506515E-2</v>
      </c>
      <c r="D33" s="238"/>
      <c r="F33" s="237">
        <f>IF(F32=0,
IF(G32=0,0,IF(G32&gt;0,1,-1)),
(G32-F32)/ABS(F32)
)</f>
        <v>-3.0349013657056147E-2</v>
      </c>
      <c r="G33" s="23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6" t="s">
        <v>105</v>
      </c>
      <c r="D2" s="236"/>
      <c r="E2" s="236"/>
      <c r="F2" s="236"/>
      <c r="G2" s="245"/>
      <c r="H2" s="246" t="s">
        <v>106</v>
      </c>
      <c r="I2" s="236"/>
      <c r="J2" s="236"/>
      <c r="K2" s="236"/>
      <c r="L2" s="236"/>
      <c r="O2" s="5"/>
      <c r="S2" s="236" t="s">
        <v>105</v>
      </c>
      <c r="T2" s="236"/>
      <c r="U2" s="236"/>
      <c r="V2" s="236"/>
      <c r="W2" s="236"/>
      <c r="X2" s="236"/>
      <c r="Y2" s="236"/>
      <c r="Z2" s="236"/>
      <c r="AA2" s="236" t="s">
        <v>106</v>
      </c>
      <c r="AB2" s="236"/>
      <c r="AC2" s="236"/>
      <c r="AE2" s="85" t="s">
        <v>107</v>
      </c>
    </row>
    <row r="3" spans="1:31" ht="10" customHeight="1" x14ac:dyDescent="0.2">
      <c r="O3" s="5"/>
    </row>
    <row r="4" spans="1:31" ht="16" customHeight="1" x14ac:dyDescent="0.2">
      <c r="A4" s="86"/>
      <c r="B4" s="60"/>
      <c r="C4" s="242" t="s">
        <v>108</v>
      </c>
      <c r="D4" s="242"/>
      <c r="E4" s="242"/>
      <c r="F4" s="242"/>
      <c r="G4" s="242"/>
      <c r="H4" s="242"/>
      <c r="I4" s="242"/>
      <c r="J4" s="242"/>
      <c r="K4" s="242"/>
      <c r="L4" s="242"/>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2" t="s">
        <v>114</v>
      </c>
      <c r="D14" s="242"/>
      <c r="E14" s="242"/>
      <c r="F14" s="242"/>
      <c r="G14" s="242"/>
      <c r="H14" s="242"/>
      <c r="I14" s="242"/>
      <c r="J14" s="242"/>
      <c r="K14" s="242"/>
      <c r="L14" s="242"/>
      <c r="O14" s="5"/>
      <c r="Q14" s="91"/>
      <c r="S14" s="243" t="s">
        <v>114</v>
      </c>
      <c r="T14" s="244"/>
      <c r="U14" s="244"/>
      <c r="V14" s="244"/>
      <c r="W14" s="244"/>
      <c r="X14" s="244"/>
      <c r="Y14" s="244"/>
      <c r="Z14" s="244"/>
      <c r="AA14" s="244"/>
      <c r="AB14" s="244"/>
      <c r="AC14" s="244"/>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6" t="s">
        <v>105</v>
      </c>
      <c r="D2" s="236"/>
      <c r="E2" s="236"/>
      <c r="F2" s="236"/>
      <c r="G2" s="245"/>
      <c r="H2" s="246" t="s">
        <v>106</v>
      </c>
      <c r="I2" s="236"/>
      <c r="J2" s="236"/>
      <c r="K2" s="236"/>
      <c r="L2" s="236"/>
      <c r="P2" s="236" t="s">
        <v>105</v>
      </c>
      <c r="Q2" s="236"/>
      <c r="R2" s="236"/>
      <c r="S2" s="236"/>
      <c r="T2" s="236"/>
      <c r="U2" s="236"/>
      <c r="V2" s="236"/>
      <c r="W2" s="236"/>
      <c r="X2" s="236" t="s">
        <v>106</v>
      </c>
      <c r="Y2" s="236"/>
      <c r="Z2" s="236"/>
      <c r="AB2" s="85" t="s">
        <v>107</v>
      </c>
    </row>
    <row r="3" spans="1:28" ht="10" customHeight="1" x14ac:dyDescent="0.2"/>
    <row r="4" spans="1:28" ht="16" customHeight="1" x14ac:dyDescent="0.2">
      <c r="A4" s="86"/>
      <c r="B4" s="60"/>
      <c r="C4" s="242" t="s">
        <v>108</v>
      </c>
      <c r="D4" s="242"/>
      <c r="E4" s="242"/>
      <c r="F4" s="242"/>
      <c r="G4" s="242"/>
      <c r="H4" s="242"/>
      <c r="I4" s="242"/>
      <c r="J4" s="242"/>
      <c r="K4" s="242"/>
      <c r="L4" s="242"/>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2" t="s">
        <v>117</v>
      </c>
      <c r="D9" s="242"/>
      <c r="E9" s="242"/>
      <c r="F9" s="242"/>
      <c r="G9" s="242"/>
      <c r="H9" s="242"/>
      <c r="I9" s="242"/>
      <c r="J9" s="242"/>
      <c r="K9" s="242"/>
      <c r="L9" s="242"/>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2" t="s">
        <v>120</v>
      </c>
      <c r="D17" s="242"/>
      <c r="E17" s="242"/>
      <c r="F17" s="242"/>
      <c r="G17" s="242"/>
      <c r="H17" s="242"/>
      <c r="I17" s="242"/>
      <c r="J17" s="242"/>
      <c r="K17" s="242"/>
      <c r="L17" s="242"/>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108</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124</v>
      </c>
      <c r="D11" s="242"/>
      <c r="E11" s="242"/>
      <c r="F11" s="242"/>
      <c r="G11" s="242"/>
      <c r="H11" s="242"/>
      <c r="I11" s="242"/>
      <c r="J11" s="242"/>
      <c r="K11" s="242"/>
      <c r="L11" s="242"/>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2" t="s">
        <v>129</v>
      </c>
      <c r="D18" s="242"/>
      <c r="E18" s="242"/>
      <c r="F18" s="242"/>
      <c r="G18" s="242"/>
      <c r="H18" s="242"/>
      <c r="I18" s="242"/>
      <c r="J18" s="242"/>
      <c r="K18" s="242"/>
      <c r="L18" s="242"/>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42" t="s">
        <v>135</v>
      </c>
      <c r="D26" s="242"/>
      <c r="E26" s="242"/>
      <c r="F26" s="242"/>
      <c r="G26" s="242"/>
      <c r="H26" s="242"/>
      <c r="I26" s="242"/>
      <c r="J26" s="242"/>
      <c r="K26" s="242"/>
      <c r="L26" s="242"/>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2" t="s">
        <v>139</v>
      </c>
      <c r="D33" s="242"/>
      <c r="E33" s="242"/>
      <c r="F33" s="242"/>
      <c r="G33" s="242"/>
      <c r="H33" s="242"/>
      <c r="I33" s="242"/>
      <c r="J33" s="242"/>
      <c r="K33" s="242"/>
      <c r="L33" s="242"/>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2" t="s">
        <v>142</v>
      </c>
      <c r="D40" s="242"/>
      <c r="E40" s="242"/>
      <c r="F40" s="242"/>
      <c r="G40" s="242"/>
      <c r="H40" s="242"/>
      <c r="I40" s="242"/>
      <c r="J40" s="242"/>
      <c r="K40" s="242"/>
      <c r="L40" s="242"/>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6" t="s">
        <v>105</v>
      </c>
      <c r="D2" s="236"/>
      <c r="E2" s="236"/>
      <c r="F2" s="236"/>
      <c r="G2" s="245"/>
      <c r="H2" s="246" t="s">
        <v>106</v>
      </c>
      <c r="I2" s="236"/>
      <c r="J2" s="236"/>
      <c r="K2" s="236"/>
      <c r="L2" s="236"/>
      <c r="S2" s="247"/>
      <c r="T2" s="247"/>
      <c r="U2" s="247"/>
      <c r="V2" s="247"/>
      <c r="W2" s="247"/>
      <c r="X2" s="247"/>
      <c r="Y2" s="247"/>
      <c r="Z2" s="247"/>
      <c r="AA2" s="247"/>
      <c r="AB2" s="247"/>
      <c r="AC2" s="247"/>
      <c r="AE2" s="109"/>
    </row>
    <row r="3" spans="1:31" ht="10" customHeight="1" x14ac:dyDescent="0.2"/>
    <row r="4" spans="1:31" ht="16" customHeight="1" x14ac:dyDescent="0.2">
      <c r="A4" s="86"/>
      <c r="B4" s="60"/>
      <c r="C4" s="242" t="s">
        <v>18</v>
      </c>
      <c r="D4" s="242"/>
      <c r="E4" s="242"/>
      <c r="F4" s="242"/>
      <c r="G4" s="242"/>
      <c r="H4" s="242"/>
      <c r="I4" s="242"/>
      <c r="J4" s="242"/>
      <c r="K4" s="242"/>
      <c r="L4" s="242"/>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2" t="s">
        <v>150</v>
      </c>
      <c r="D13" s="242"/>
      <c r="E13" s="242"/>
      <c r="F13" s="242"/>
      <c r="G13" s="242"/>
      <c r="H13" s="242"/>
      <c r="I13" s="242"/>
      <c r="J13" s="242"/>
      <c r="K13" s="242"/>
      <c r="L13" s="24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2" t="s">
        <v>151</v>
      </c>
      <c r="D18" s="242"/>
      <c r="E18" s="242"/>
      <c r="F18" s="242"/>
      <c r="G18" s="242"/>
      <c r="H18" s="242"/>
      <c r="I18" s="242"/>
      <c r="J18" s="242"/>
      <c r="K18" s="242"/>
      <c r="L18" s="242"/>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2" t="s">
        <v>254</v>
      </c>
      <c r="D25" s="242"/>
      <c r="E25" s="242"/>
      <c r="F25" s="242"/>
      <c r="G25" s="242"/>
      <c r="H25" s="242"/>
      <c r="I25" s="242"/>
      <c r="J25" s="242"/>
      <c r="K25" s="242"/>
      <c r="L25" s="242"/>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2" t="s">
        <v>75</v>
      </c>
      <c r="D31" s="242"/>
      <c r="E31" s="242"/>
      <c r="F31" s="242"/>
      <c r="G31" s="242"/>
      <c r="H31" s="242"/>
      <c r="I31" s="242"/>
      <c r="J31" s="242"/>
      <c r="K31" s="242"/>
      <c r="L31" s="242"/>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6" t="s">
        <v>158</v>
      </c>
      <c r="C4" s="236"/>
    </row>
    <row r="5" spans="1:3" ht="17" customHeight="1" x14ac:dyDescent="0.2">
      <c r="B5" s="1" t="s">
        <v>159</v>
      </c>
      <c r="C5" s="136">
        <f>Statement!AC78</f>
        <v>1062</v>
      </c>
    </row>
    <row r="6" spans="1:3" ht="17" customHeight="1" x14ac:dyDescent="0.2">
      <c r="B6" s="1" t="s">
        <v>1</v>
      </c>
      <c r="C6" s="133">
        <f ca="1">Overview!C5</f>
        <v>184.1</v>
      </c>
    </row>
    <row r="7" spans="1:3" ht="17" customHeight="1" x14ac:dyDescent="0.2">
      <c r="B7" s="1" t="s">
        <v>160</v>
      </c>
      <c r="C7" s="134">
        <f ca="1">C5*C6</f>
        <v>195514.19999999998</v>
      </c>
    </row>
    <row r="8" spans="1:3" ht="17" customHeight="1" x14ac:dyDescent="0.2">
      <c r="B8" s="1" t="s">
        <v>161</v>
      </c>
      <c r="C8" s="112">
        <f>Statement!AC107</f>
        <v>15270</v>
      </c>
    </row>
    <row r="9" spans="1:3" ht="17" customHeight="1" x14ac:dyDescent="0.2">
      <c r="B9" s="1" t="s">
        <v>162</v>
      </c>
      <c r="C9" s="135">
        <f ca="1">Overview!F27</f>
        <v>5.2549999999999999E-2</v>
      </c>
    </row>
    <row r="10" spans="1:3" ht="17" customHeight="1" x14ac:dyDescent="0.2">
      <c r="B10" s="1" t="s">
        <v>9</v>
      </c>
      <c r="C10" s="133">
        <f ca="1">Overview!C13</f>
        <v>1.6524000000000001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6" t="s">
        <v>165</v>
      </c>
      <c r="C15" s="236"/>
    </row>
    <row r="16" spans="1:3" ht="17" customHeight="1" x14ac:dyDescent="0.2">
      <c r="B16" s="1" t="s">
        <v>166</v>
      </c>
      <c r="C16" s="46">
        <f ca="1">C8/(C8+C7)</f>
        <v>7.2443760016168202E-2</v>
      </c>
    </row>
    <row r="17" spans="2:3" ht="17" customHeight="1" x14ac:dyDescent="0.2">
      <c r="B17" s="1" t="s">
        <v>167</v>
      </c>
      <c r="C17" s="46">
        <f ca="1">C7/(C8+C7)</f>
        <v>0.92755623998383185</v>
      </c>
    </row>
    <row r="18" spans="2:3" ht="17" customHeight="1" x14ac:dyDescent="0.2">
      <c r="B18" s="1" t="s">
        <v>168</v>
      </c>
      <c r="C18" s="46">
        <f>C13*(1-C12)</f>
        <v>4.2265000000000004E-2</v>
      </c>
    </row>
    <row r="19" spans="2:3" ht="17" customHeight="1" x14ac:dyDescent="0.2">
      <c r="B19" s="1" t="s">
        <v>169</v>
      </c>
      <c r="C19" s="46">
        <f ca="1">C9+C10*C11</f>
        <v>0.12690800000000002</v>
      </c>
    </row>
    <row r="20" spans="2:3" ht="17" customHeight="1" x14ac:dyDescent="0.2">
      <c r="B20" s="1" t="s">
        <v>157</v>
      </c>
      <c r="C20" s="46">
        <f ca="1">(C17*C19)+(C16*C18)</f>
        <v>0.1207761428209515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169149.79874619015</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5630.0718779907465</v>
      </c>
      <c r="I10" s="126">
        <f t="shared" ref="I10:L10" ca="1" si="0">I7/(1+$C$15)^I9</f>
        <v>3362.5471291628237</v>
      </c>
      <c r="J10" s="126">
        <f t="shared" ca="1" si="0"/>
        <v>5240.7587790513708</v>
      </c>
      <c r="K10" s="126">
        <f t="shared" ca="1" si="0"/>
        <v>7379.0394971529668</v>
      </c>
      <c r="L10" s="126">
        <f t="shared" ca="1" si="0"/>
        <v>8937.3871994294786</v>
      </c>
      <c r="N10" s="91"/>
    </row>
    <row r="11" spans="1:28" x14ac:dyDescent="0.2">
      <c r="B11" s="1" t="s">
        <v>175</v>
      </c>
      <c r="C11" s="137"/>
      <c r="D11" s="137"/>
      <c r="E11" s="137"/>
      <c r="F11" s="137"/>
      <c r="G11" s="138"/>
      <c r="H11" s="137"/>
      <c r="I11" s="137"/>
      <c r="J11" s="137"/>
      <c r="K11" s="137"/>
      <c r="L11" s="126">
        <f ca="1">L8/(1+C15)^L9</f>
        <v>95648.264897667585</v>
      </c>
    </row>
    <row r="13" spans="1:28" x14ac:dyDescent="0.2">
      <c r="B13" s="236" t="s">
        <v>176</v>
      </c>
      <c r="C13" s="236"/>
    </row>
    <row r="14" spans="1:28" x14ac:dyDescent="0.2">
      <c r="B14" s="1" t="s">
        <v>177</v>
      </c>
      <c r="C14" s="140">
        <v>2.5000000000000001E-2</v>
      </c>
    </row>
    <row r="15" spans="1:28" x14ac:dyDescent="0.2">
      <c r="B15" s="1" t="s">
        <v>157</v>
      </c>
      <c r="C15" s="135">
        <f ca="1">IF(Overview!C28&gt;0,Overview!C28,WACC!C20)</f>
        <v>0.1207761428209515</v>
      </c>
    </row>
    <row r="18" spans="2:3" x14ac:dyDescent="0.2">
      <c r="B18" s="236" t="s">
        <v>178</v>
      </c>
      <c r="C18" s="236"/>
    </row>
    <row r="19" spans="2:3" x14ac:dyDescent="0.2">
      <c r="B19" s="1" t="s">
        <v>179</v>
      </c>
      <c r="C19" s="64">
        <f ca="1">SUM(H10:L10)</f>
        <v>30549.804482787389</v>
      </c>
    </row>
    <row r="20" spans="2:3" x14ac:dyDescent="0.2">
      <c r="B20" s="1" t="s">
        <v>175</v>
      </c>
      <c r="C20" s="64">
        <f ca="1">L11</f>
        <v>95648.264897667585</v>
      </c>
    </row>
    <row r="21" spans="2:3" x14ac:dyDescent="0.2">
      <c r="B21" s="16" t="s">
        <v>180</v>
      </c>
      <c r="C21" s="94">
        <f ca="1">C19+C20</f>
        <v>126198.06938045498</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119232.06938045498</v>
      </c>
    </row>
    <row r="25" spans="2:3" x14ac:dyDescent="0.2">
      <c r="B25" s="1" t="s">
        <v>67</v>
      </c>
      <c r="C25" s="136">
        <f>Statement!AC78</f>
        <v>1062</v>
      </c>
    </row>
    <row r="26" spans="2:3" x14ac:dyDescent="0.2">
      <c r="B26" s="231" t="s">
        <v>184</v>
      </c>
      <c r="C26" s="232">
        <f ca="1">C24/C25</f>
        <v>112.27125177067325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5630.0718779907465</v>
      </c>
      <c r="I9" s="92">
        <f ca="1">DCF!I10</f>
        <v>3362.5471291628237</v>
      </c>
      <c r="J9" s="92">
        <f ca="1">DCF!J10</f>
        <v>5240.7587790513708</v>
      </c>
      <c r="K9" s="92">
        <f ca="1">DCF!K10</f>
        <v>7379.0394971529668</v>
      </c>
      <c r="L9" s="92">
        <f ca="1">DCF!L10</f>
        <v>8937.3871994294786</v>
      </c>
      <c r="N9" s="91"/>
    </row>
    <row r="10" spans="1:14" x14ac:dyDescent="0.2">
      <c r="N10" s="91"/>
    </row>
    <row r="11" spans="1:14" x14ac:dyDescent="0.2">
      <c r="C11" s="242" t="s">
        <v>114</v>
      </c>
      <c r="D11" s="242"/>
      <c r="E11" s="242"/>
      <c r="F11" s="242"/>
      <c r="G11" s="242"/>
      <c r="H11" s="242"/>
      <c r="I11" s="242"/>
      <c r="J11" s="242"/>
      <c r="K11" s="242"/>
      <c r="L11" s="242"/>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2" t="s">
        <v>188</v>
      </c>
      <c r="D17" s="242"/>
      <c r="E17" s="242"/>
      <c r="F17" s="242"/>
      <c r="G17" s="242"/>
      <c r="H17" s="242"/>
      <c r="I17" s="242"/>
      <c r="J17" s="242"/>
      <c r="K17" s="242"/>
      <c r="L17" s="24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2" t="s">
        <v>191</v>
      </c>
      <c r="D22" s="242"/>
      <c r="E22" s="242"/>
      <c r="F22" s="242"/>
      <c r="G22" s="242"/>
      <c r="H22" s="242"/>
      <c r="I22" s="242"/>
      <c r="J22" s="242"/>
      <c r="K22" s="242"/>
      <c r="L22" s="24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2" t="s">
        <v>192</v>
      </c>
      <c r="D27" s="242"/>
      <c r="E27" s="242"/>
      <c r="F27" s="242"/>
      <c r="G27" s="242"/>
      <c r="H27" s="242"/>
      <c r="I27" s="242"/>
      <c r="J27" s="242"/>
      <c r="K27" s="242"/>
      <c r="L27" s="24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36" t="s">
        <v>197</v>
      </c>
      <c r="C39" s="236"/>
      <c r="N39" s="91"/>
    </row>
    <row r="40" spans="2:14" x14ac:dyDescent="0.2">
      <c r="B40" s="1" t="s">
        <v>198</v>
      </c>
      <c r="C40" s="64">
        <f>L7</f>
        <v>20879.693841464476</v>
      </c>
    </row>
    <row r="41" spans="2:14" x14ac:dyDescent="0.2">
      <c r="B41" s="1" t="s">
        <v>157</v>
      </c>
      <c r="C41" s="135">
        <f ca="1">IF(Overview!C28&gt;0,Overview!C28,WACC!C20)</f>
        <v>0.1207761428209515</v>
      </c>
    </row>
    <row r="42" spans="2:14" x14ac:dyDescent="0.2">
      <c r="B42" s="39" t="s">
        <v>199</v>
      </c>
      <c r="C42" s="105">
        <v>18</v>
      </c>
    </row>
    <row r="43" spans="2:14" x14ac:dyDescent="0.2">
      <c r="B43" s="1" t="s">
        <v>419</v>
      </c>
      <c r="C43" s="24">
        <f>(C40*C42)</f>
        <v>375834.48914636055</v>
      </c>
    </row>
    <row r="44" spans="2:14" x14ac:dyDescent="0.2">
      <c r="B44" s="1" t="s">
        <v>420</v>
      </c>
      <c r="C44" s="24">
        <f ca="1">C43/(1+C41)^5</f>
        <v>212521.19152379627</v>
      </c>
    </row>
    <row r="45" spans="2:14" x14ac:dyDescent="0.2">
      <c r="B45" s="16" t="s">
        <v>421</v>
      </c>
      <c r="C45" s="108">
        <f ca="1">SUM(H9:K9)+C44</f>
        <v>234133.60880715417</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227167.60880715417</v>
      </c>
    </row>
    <row r="49" spans="2:3" x14ac:dyDescent="0.2">
      <c r="B49" s="1" t="s">
        <v>67</v>
      </c>
      <c r="C49" s="88">
        <f>Statement!AC78</f>
        <v>1062</v>
      </c>
    </row>
    <row r="50" spans="2:3" x14ac:dyDescent="0.2">
      <c r="B50" s="231" t="s">
        <v>201</v>
      </c>
      <c r="C50" s="232">
        <f ca="1">C48/C49</f>
        <v>213.90546968658586</v>
      </c>
    </row>
    <row r="52" spans="2:3" x14ac:dyDescent="0.2">
      <c r="B52" s="236" t="s">
        <v>202</v>
      </c>
      <c r="C52" s="236"/>
    </row>
    <row r="53" spans="2:3" x14ac:dyDescent="0.2">
      <c r="B53" s="1" t="s">
        <v>203</v>
      </c>
      <c r="C53" s="64">
        <f>L6</f>
        <v>71998.944280911994</v>
      </c>
    </row>
    <row r="54" spans="2:3" x14ac:dyDescent="0.2">
      <c r="B54" s="1" t="s">
        <v>346</v>
      </c>
      <c r="C54" s="135">
        <f ca="1">IF(Overview!C29&gt;0,Overview!C29,WACC!C19)</f>
        <v>0.12690800000000002</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193.35987095916772</v>
      </c>
    </row>
    <row r="60" spans="2:3" x14ac:dyDescent="0.2">
      <c r="B60" s="236" t="s">
        <v>314</v>
      </c>
      <c r="C60" s="236"/>
    </row>
    <row r="61" spans="2:3" x14ac:dyDescent="0.2">
      <c r="B61" s="1" t="s">
        <v>423</v>
      </c>
      <c r="C61" s="64">
        <f>L8</f>
        <v>15805.380763756404</v>
      </c>
    </row>
    <row r="62" spans="2:3" x14ac:dyDescent="0.2">
      <c r="B62" s="1" t="s">
        <v>157</v>
      </c>
      <c r="C62" s="135">
        <f ca="1">IF(Overview!C28&gt;0,Overview!C28,WACC!C20)</f>
        <v>0.1207761428209515</v>
      </c>
    </row>
    <row r="63" spans="2:3" x14ac:dyDescent="0.2">
      <c r="B63" s="39" t="s">
        <v>345</v>
      </c>
      <c r="C63" s="105">
        <v>20</v>
      </c>
    </row>
    <row r="64" spans="2:3" x14ac:dyDescent="0.2">
      <c r="B64" s="1" t="s">
        <v>422</v>
      </c>
      <c r="C64" s="24">
        <f>(C61*C63)</f>
        <v>316107.6152751281</v>
      </c>
    </row>
    <row r="65" spans="2:3" x14ac:dyDescent="0.2">
      <c r="B65" s="1" t="s">
        <v>420</v>
      </c>
      <c r="C65" s="24">
        <f ca="1">C64/(1+C62)^5</f>
        <v>178747.74398858959</v>
      </c>
    </row>
    <row r="66" spans="2:3" x14ac:dyDescent="0.2">
      <c r="B66" s="16" t="s">
        <v>421</v>
      </c>
      <c r="C66" s="108">
        <f ca="1">SUM(H9:K9)+C65</f>
        <v>200360.16127194749</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193394.16127194749</v>
      </c>
    </row>
    <row r="70" spans="2:3" x14ac:dyDescent="0.2">
      <c r="B70" s="1" t="s">
        <v>67</v>
      </c>
      <c r="C70" s="88">
        <f>Statement!AC78</f>
        <v>1062</v>
      </c>
    </row>
    <row r="71" spans="2:3" x14ac:dyDescent="0.2">
      <c r="B71" s="231" t="s">
        <v>201</v>
      </c>
      <c r="C71" s="232">
        <f ca="1">C69/C70</f>
        <v>182.10373001125001</v>
      </c>
    </row>
    <row r="73" spans="2:3" x14ac:dyDescent="0.2">
      <c r="B73" s="236" t="s">
        <v>425</v>
      </c>
      <c r="C73" s="236"/>
    </row>
    <row r="74" spans="2:3" x14ac:dyDescent="0.2">
      <c r="B74" s="1" t="s">
        <v>426</v>
      </c>
      <c r="C74" s="64">
        <f>L6</f>
        <v>71998.944280911994</v>
      </c>
    </row>
    <row r="75" spans="2:3" x14ac:dyDescent="0.2">
      <c r="B75" s="1" t="s">
        <v>157</v>
      </c>
      <c r="C75" s="135">
        <f ca="1">IF(Overview!C28&gt;0,Overview!C28,WACC!C20)</f>
        <v>0.1207761428209515</v>
      </c>
    </row>
    <row r="76" spans="2:3" x14ac:dyDescent="0.2">
      <c r="B76" s="39" t="s">
        <v>427</v>
      </c>
      <c r="C76" s="105">
        <v>5</v>
      </c>
    </row>
    <row r="77" spans="2:3" x14ac:dyDescent="0.2">
      <c r="B77" s="1" t="s">
        <v>422</v>
      </c>
      <c r="C77" s="24">
        <f>(C74*C76)</f>
        <v>359994.72140455997</v>
      </c>
    </row>
    <row r="78" spans="2:3" x14ac:dyDescent="0.2">
      <c r="B78" s="1" t="s">
        <v>420</v>
      </c>
      <c r="C78" s="24">
        <f ca="1">C77/(1+C75)^5</f>
        <v>203564.35969712288</v>
      </c>
    </row>
    <row r="79" spans="2:3" x14ac:dyDescent="0.2">
      <c r="B79" s="16" t="s">
        <v>421</v>
      </c>
      <c r="C79" s="108">
        <f ca="1">SUM(H9:K9)+C78</f>
        <v>225176.77698048079</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218210.77698048079</v>
      </c>
    </row>
    <row r="83" spans="2:3" x14ac:dyDescent="0.2">
      <c r="B83" s="1" t="s">
        <v>67</v>
      </c>
      <c r="C83" s="88">
        <f>Statement!AC78</f>
        <v>1062</v>
      </c>
    </row>
    <row r="84" spans="2:3" x14ac:dyDescent="0.2">
      <c r="B84" s="231" t="s">
        <v>201</v>
      </c>
      <c r="C84" s="232">
        <f ca="1">C82/C83</f>
        <v>205.47154141288209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6" t="s">
        <v>206</v>
      </c>
      <c r="C4" s="236"/>
      <c r="N4" s="91"/>
    </row>
    <row r="5" spans="1:14" x14ac:dyDescent="0.2">
      <c r="B5" s="1" t="s">
        <v>207</v>
      </c>
      <c r="C5" s="133">
        <f ca="1">DCF!C26</f>
        <v>112.27125177067325</v>
      </c>
    </row>
    <row r="6" spans="1:14" x14ac:dyDescent="0.2">
      <c r="B6" s="1" t="s">
        <v>208</v>
      </c>
      <c r="C6" s="133">
        <f ca="1">Multiples!C50</f>
        <v>213.90546968658586</v>
      </c>
    </row>
    <row r="7" spans="1:14" x14ac:dyDescent="0.2">
      <c r="B7" s="1" t="s">
        <v>209</v>
      </c>
      <c r="C7" s="133">
        <f ca="1">Multiples!C58</f>
        <v>193.35987095916772</v>
      </c>
    </row>
    <row r="8" spans="1:14" x14ac:dyDescent="0.2">
      <c r="B8" s="1" t="s">
        <v>315</v>
      </c>
      <c r="C8" s="133">
        <f ca="1">Multiples!C71</f>
        <v>182.10373001125001</v>
      </c>
    </row>
    <row r="9" spans="1:14" x14ac:dyDescent="0.2">
      <c r="B9" s="1" t="s">
        <v>424</v>
      </c>
      <c r="C9" s="133">
        <f ca="1">Multiples!C84</f>
        <v>205.47154141288209</v>
      </c>
    </row>
    <row r="10" spans="1:14" x14ac:dyDescent="0.2">
      <c r="B10" s="231" t="s">
        <v>210</v>
      </c>
      <c r="C10" s="232">
        <f ca="1">AVERAGE(C5:C9)</f>
        <v>181.42237276811179</v>
      </c>
    </row>
    <row r="11" spans="1:14" x14ac:dyDescent="0.2">
      <c r="B11" s="1" t="s">
        <v>211</v>
      </c>
      <c r="C11" s="133">
        <f ca="1">Overview!C5</f>
        <v>184.1</v>
      </c>
    </row>
    <row r="12" spans="1:14" x14ac:dyDescent="0.2">
      <c r="B12" s="1" t="s">
        <v>212</v>
      </c>
      <c r="C12" s="152">
        <f ca="1">(C10-C11)/C11</f>
        <v>-1.4544417337795814E-2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2" t="s">
        <v>114</v>
      </c>
      <c r="D9" s="242"/>
      <c r="E9" s="242"/>
      <c r="F9" s="242"/>
      <c r="G9" s="242"/>
      <c r="H9" s="242"/>
      <c r="I9" s="242"/>
      <c r="J9" s="242"/>
      <c r="K9" s="242"/>
      <c r="L9" s="242"/>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2" t="s">
        <v>397</v>
      </c>
      <c r="D14" s="242"/>
      <c r="E14" s="242"/>
      <c r="F14" s="242"/>
      <c r="G14" s="242"/>
      <c r="H14" s="242"/>
      <c r="I14" s="242"/>
      <c r="J14" s="242"/>
      <c r="K14" s="242"/>
      <c r="L14" s="242"/>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6" t="s">
        <v>399</v>
      </c>
      <c r="C20" s="236"/>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0.12690800000000002</v>
      </c>
    </row>
    <row r="25" spans="2:14" x14ac:dyDescent="0.2">
      <c r="B25" s="39" t="s">
        <v>403</v>
      </c>
      <c r="C25" s="230">
        <v>0.02</v>
      </c>
    </row>
    <row r="26" spans="2:14" x14ac:dyDescent="0.2">
      <c r="B26" s="231" t="s">
        <v>201</v>
      </c>
      <c r="C26" s="232">
        <f ca="1">C23/(C24-C25)</f>
        <v>34.504433718711411</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13442.409253731346</v>
      </c>
      <c r="I7" s="126">
        <f t="shared" ref="I7:L7" si="0">H7*(1+$C$17)</f>
        <v>15324.346549253736</v>
      </c>
      <c r="J7" s="126">
        <f t="shared" si="0"/>
        <v>17469.755066149261</v>
      </c>
      <c r="K7" s="126">
        <f t="shared" si="0"/>
        <v>19915.520775410158</v>
      </c>
      <c r="L7" s="126">
        <f t="shared" si="0"/>
        <v>22703.693683967584</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242975.81151885833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11993.839572545956</v>
      </c>
      <c r="I10" s="126">
        <f t="shared" ref="I10:L10" ca="1" si="1">I7/(1+$C$21)^I9</f>
        <v>12199.561170429646</v>
      </c>
      <c r="J10" s="126">
        <f t="shared" ca="1" si="1"/>
        <v>12408.811361102978</v>
      </c>
      <c r="K10" s="126">
        <f t="shared" ca="1" si="1"/>
        <v>12621.650667949027</v>
      </c>
      <c r="L10" s="126">
        <f t="shared" ca="1" si="1"/>
        <v>12838.140652464392</v>
      </c>
      <c r="N10" s="91"/>
    </row>
    <row r="11" spans="1:28" x14ac:dyDescent="0.2">
      <c r="B11" s="1" t="s">
        <v>175</v>
      </c>
      <c r="C11" s="137"/>
      <c r="D11" s="137"/>
      <c r="E11" s="137"/>
      <c r="F11" s="137"/>
      <c r="G11" s="138"/>
      <c r="H11" s="137"/>
      <c r="I11" s="137"/>
      <c r="J11" s="137"/>
      <c r="K11" s="137"/>
      <c r="L11" s="126">
        <f ca="1">L8/(1+C21)^L9</f>
        <v>137394.27984040073</v>
      </c>
    </row>
    <row r="13" spans="1:28" ht="17" thickBot="1" x14ac:dyDescent="0.25"/>
    <row r="14" spans="1:28" x14ac:dyDescent="0.2">
      <c r="B14" s="249" t="s">
        <v>214</v>
      </c>
      <c r="C14" s="250"/>
    </row>
    <row r="15" spans="1:28" x14ac:dyDescent="0.2">
      <c r="B15" s="153" t="s">
        <v>215</v>
      </c>
      <c r="C15" s="154">
        <f ca="1">Overview!C5</f>
        <v>184.1</v>
      </c>
    </row>
    <row r="16" spans="1:28" x14ac:dyDescent="0.2">
      <c r="B16" s="153" t="s">
        <v>216</v>
      </c>
      <c r="C16" s="154">
        <f ca="1">C36</f>
        <v>183.32407929989785</v>
      </c>
    </row>
    <row r="17" spans="2:9" ht="17" thickBot="1" x14ac:dyDescent="0.25">
      <c r="B17" s="155" t="s">
        <v>316</v>
      </c>
      <c r="C17" s="156">
        <v>0.14000000000000001</v>
      </c>
      <c r="E17" s="248" t="s">
        <v>217</v>
      </c>
      <c r="F17" s="248"/>
      <c r="G17" s="248"/>
      <c r="H17" s="248"/>
      <c r="I17" s="248"/>
    </row>
    <row r="18" spans="2:9" ht="17" thickBot="1" x14ac:dyDescent="0.25"/>
    <row r="19" spans="2:9" x14ac:dyDescent="0.2">
      <c r="B19" s="249" t="s">
        <v>176</v>
      </c>
      <c r="C19" s="250"/>
    </row>
    <row r="20" spans="2:9" x14ac:dyDescent="0.2">
      <c r="B20" s="157" t="s">
        <v>177</v>
      </c>
      <c r="C20" s="158">
        <v>2.5000000000000001E-2</v>
      </c>
    </row>
    <row r="21" spans="2:9" x14ac:dyDescent="0.2">
      <c r="B21" s="157" t="s">
        <v>157</v>
      </c>
      <c r="C21" s="221">
        <f ca="1">IF(Overview!C28&gt;0,Overview!C28,WACC!C20)</f>
        <v>0.1207761428209515</v>
      </c>
    </row>
    <row r="22" spans="2:9" x14ac:dyDescent="0.2">
      <c r="B22" s="157" t="s">
        <v>67</v>
      </c>
      <c r="C22" s="222">
        <f>Statement!AC75</f>
        <v>1050</v>
      </c>
    </row>
    <row r="23" spans="2:9" x14ac:dyDescent="0.2">
      <c r="B23" s="157" t="s">
        <v>218</v>
      </c>
      <c r="C23" s="159">
        <f ca="1">C15*C22</f>
        <v>193305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200271</v>
      </c>
    </row>
    <row r="27" spans="2:9" ht="17" thickBot="1" x14ac:dyDescent="0.25"/>
    <row r="28" spans="2:9" x14ac:dyDescent="0.2">
      <c r="B28" s="249" t="s">
        <v>178</v>
      </c>
      <c r="C28" s="250"/>
    </row>
    <row r="29" spans="2:9" x14ac:dyDescent="0.2">
      <c r="B29" s="157" t="s">
        <v>179</v>
      </c>
      <c r="C29" s="159">
        <f ca="1">SUM(H10:L10)</f>
        <v>62062.003424491995</v>
      </c>
    </row>
    <row r="30" spans="2:9" x14ac:dyDescent="0.2">
      <c r="B30" s="157" t="s">
        <v>175</v>
      </c>
      <c r="C30" s="159">
        <f ca="1">L11</f>
        <v>137394.27984040073</v>
      </c>
    </row>
    <row r="31" spans="2:9" x14ac:dyDescent="0.2">
      <c r="B31" s="161" t="s">
        <v>180</v>
      </c>
      <c r="C31" s="162">
        <f ca="1">C29+C30</f>
        <v>199456.28326489273</v>
      </c>
    </row>
    <row r="32" spans="2:9" x14ac:dyDescent="0.2">
      <c r="B32" s="157" t="s">
        <v>181</v>
      </c>
      <c r="C32" s="163">
        <f>C24</f>
        <v>8304</v>
      </c>
    </row>
    <row r="33" spans="2:3" x14ac:dyDescent="0.2">
      <c r="B33" s="157" t="s">
        <v>182</v>
      </c>
      <c r="C33" s="163">
        <f>C25</f>
        <v>15270</v>
      </c>
    </row>
    <row r="34" spans="2:3" x14ac:dyDescent="0.2">
      <c r="B34" s="161" t="s">
        <v>183</v>
      </c>
      <c r="C34" s="162">
        <f ca="1">C31+C32-C33</f>
        <v>192490.28326489273</v>
      </c>
    </row>
    <row r="35" spans="2:3" x14ac:dyDescent="0.2">
      <c r="B35" s="157" t="s">
        <v>67</v>
      </c>
      <c r="C35" s="159">
        <f>C22</f>
        <v>1050</v>
      </c>
    </row>
    <row r="36" spans="2:3" ht="17" thickBot="1" x14ac:dyDescent="0.25">
      <c r="B36" s="164" t="s">
        <v>184</v>
      </c>
      <c r="C36" s="165">
        <f ca="1">C34/C35</f>
        <v>183.32407929989785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2026-09-29T23:11:35Z</dcterms:modified>
</cp:coreProperties>
</file>