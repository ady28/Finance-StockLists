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6E93F3C-87CB-894D-9E92-247AD277398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 l="1"/>
  <c r="AC161" i="3"/>
  <c r="I13" i="1"/>
  <c r="H7" i="1"/>
  <c r="H6" i="1"/>
  <c r="C83" i="12"/>
  <c r="C81" i="12"/>
  <c r="C80" i="12"/>
  <c r="C74" i="12"/>
  <c r="C77" i="12"/>
  <c r="G36" i="12"/>
  <c r="F36" i="12"/>
  <c r="E36" i="12"/>
  <c r="D36" i="12"/>
  <c r="C36" i="12"/>
  <c r="AE9" i="5"/>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9" i="1"/>
  <c r="H8"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1"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1" i="12"/>
  <c r="F31"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1" i="12"/>
  <c r="E35" i="7"/>
  <c r="F35" i="7"/>
  <c r="D35" i="7"/>
  <c r="C35" i="7"/>
  <c r="AC83" i="3"/>
  <c r="AC105" i="3" s="1"/>
  <c r="AA148" i="3"/>
  <c r="Q148" i="3"/>
  <c r="N148" i="3"/>
  <c r="P148" i="3"/>
  <c r="O148" i="3"/>
  <c r="M148" i="3"/>
  <c r="C31"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1" i="13" s="1"/>
  <c r="J7" i="5" l="1"/>
  <c r="K7" i="5" s="1"/>
  <c r="L7" i="5" s="1"/>
  <c r="I10" i="5"/>
  <c r="J10" i="5"/>
  <c r="K9" i="5"/>
  <c r="H10" i="21"/>
  <c r="H15" i="21"/>
  <c r="H12" i="5"/>
  <c r="AC75" i="3"/>
  <c r="C22" i="14" s="1"/>
  <c r="C35" i="14" s="1"/>
  <c r="AA155" i="3"/>
  <c r="C68" i="12"/>
  <c r="C47" i="12"/>
  <c r="AC176" i="3"/>
  <c r="AC177" i="3"/>
  <c r="Q185" i="3"/>
  <c r="P185" i="3"/>
  <c r="O185" i="3"/>
  <c r="N185" i="3"/>
  <c r="M185" i="3"/>
  <c r="AC184" i="3"/>
  <c r="E48" i="17"/>
  <c r="C23" i="11"/>
  <c r="C25" i="14"/>
  <c r="I6" i="5"/>
  <c r="I12" i="5" s="1"/>
  <c r="H6" i="14"/>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D30" i="12"/>
  <c r="F29" i="12"/>
  <c r="E20" i="12"/>
  <c r="H19" i="12"/>
  <c r="I19" i="12" s="1"/>
  <c r="J19" i="12" s="1"/>
  <c r="K19" i="12" s="1"/>
  <c r="L19"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2" i="12"/>
  <c r="Q150" i="3"/>
  <c r="G46" i="17" s="1"/>
  <c r="F32" i="12"/>
  <c r="P150" i="3"/>
  <c r="F46" i="17" s="1"/>
  <c r="E32" i="12"/>
  <c r="O150" i="3"/>
  <c r="E46" i="17" s="1"/>
  <c r="D32" i="12"/>
  <c r="N150" i="3"/>
  <c r="D46" i="17" s="1"/>
  <c r="C32" i="12"/>
  <c r="M150" i="3"/>
  <c r="C46" i="17" s="1"/>
  <c r="AC108" i="3"/>
  <c r="Q108" i="3"/>
  <c r="Q161" i="3" s="1"/>
  <c r="E46" i="7"/>
  <c r="D18" i="6"/>
  <c r="W10" i="6"/>
  <c r="U10" i="6"/>
  <c r="R10" i="6"/>
  <c r="AA78" i="3"/>
  <c r="F20" i="12"/>
  <c r="D20" i="12"/>
  <c r="G13" i="12"/>
  <c r="C30" i="12"/>
  <c r="E29" i="12"/>
  <c r="D29" i="12"/>
  <c r="G20" i="12"/>
  <c r="F13" i="12"/>
  <c r="E13" i="12"/>
  <c r="D13" i="12"/>
  <c r="G30" i="12"/>
  <c r="G8" i="8"/>
  <c r="D8" i="8"/>
  <c r="C46" i="7"/>
  <c r="G43" i="7"/>
  <c r="C43" i="7"/>
  <c r="F27" i="7"/>
  <c r="D12" i="7"/>
  <c r="D19" i="6"/>
  <c r="D36" i="7"/>
  <c r="D37" i="7" s="1"/>
  <c r="E27" i="7"/>
  <c r="V19" i="6"/>
  <c r="S19" i="6"/>
  <c r="Q19" i="6"/>
  <c r="R18" i="5"/>
  <c r="R16" i="5"/>
  <c r="Q20" i="6"/>
  <c r="F21" i="6"/>
  <c r="F30" i="12"/>
  <c r="E30" i="12"/>
  <c r="G29" i="12"/>
  <c r="C29" i="12"/>
  <c r="D20" i="6"/>
  <c r="I6" i="7"/>
  <c r="S21" i="6"/>
  <c r="Q21" i="6"/>
  <c r="V22" i="6"/>
  <c r="G46" i="7"/>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6" i="12"/>
  <c r="C67" i="12"/>
  <c r="C53" i="16"/>
  <c r="I72" i="17"/>
  <c r="C54" i="12"/>
  <c r="I18" i="1" s="1"/>
  <c r="C24" i="21"/>
  <c r="C26" i="21" s="1"/>
  <c r="I11" i="1" s="1"/>
  <c r="I71" i="17"/>
  <c r="C52" i="16"/>
  <c r="AC185" i="3"/>
  <c r="C22" i="11"/>
  <c r="C24" i="14"/>
  <c r="C25" i="11"/>
  <c r="C49" i="12"/>
  <c r="C70" i="12"/>
  <c r="J6" i="5"/>
  <c r="J12" i="5" s="1"/>
  <c r="I6" i="14"/>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43" i="3"/>
  <c r="L61" i="19"/>
  <c r="Q143" i="3"/>
  <c r="L71" i="19" s="1"/>
  <c r="C18" i="16"/>
  <c r="I18" i="17"/>
  <c r="F52" i="16"/>
  <c r="I75" i="17"/>
  <c r="F53" i="16"/>
  <c r="I76" i="17"/>
  <c r="F54" i="16"/>
  <c r="I77" i="17"/>
  <c r="AC172" i="3"/>
  <c r="I6" i="17"/>
  <c r="C23" i="14"/>
  <c r="C56" i="12"/>
  <c r="C33" i="16"/>
  <c r="F18" i="1"/>
  <c r="AC175" i="3"/>
  <c r="AC178" i="3"/>
  <c r="I67" i="17" s="1"/>
  <c r="C33" i="12"/>
  <c r="D33" i="12"/>
  <c r="F33" i="12"/>
  <c r="E33" i="12"/>
  <c r="G33" i="12"/>
  <c r="I5" i="6"/>
  <c r="H10" i="6"/>
  <c r="H18" i="6"/>
  <c r="AC150" i="3"/>
  <c r="I46" i="17" s="1"/>
  <c r="AC149"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J5" i="21" s="1"/>
  <c r="I15" i="5"/>
  <c r="J10" i="21" l="1"/>
  <c r="J15" i="21"/>
  <c r="C32" i="14"/>
  <c r="K6" i="5"/>
  <c r="K10" i="5" s="1"/>
  <c r="K12" i="5" s="1"/>
  <c r="J6" i="14"/>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7" i="12"/>
  <c r="D7" i="12"/>
  <c r="C16" i="10"/>
  <c r="C20" i="10" s="1"/>
  <c r="C75" i="12" s="1"/>
  <c r="C78" i="12" s="1"/>
  <c r="J34" i="7"/>
  <c r="J41" i="7"/>
  <c r="J12" i="7"/>
  <c r="J19" i="7"/>
  <c r="J27" i="7"/>
  <c r="K6" i="7"/>
  <c r="C7" i="12"/>
  <c r="C27" i="8"/>
  <c r="C28" i="8" s="1"/>
  <c r="F7" i="12"/>
  <c r="F27" i="8"/>
  <c r="F28" i="8" s="1"/>
  <c r="E7" i="12"/>
  <c r="E27" i="8"/>
  <c r="E28" i="8" s="1"/>
  <c r="H18" i="12"/>
  <c r="H12" i="12"/>
  <c r="H28" i="12"/>
  <c r="H23" i="12"/>
  <c r="K5" i="5"/>
  <c r="K5" i="21" s="1"/>
  <c r="J15" i="5"/>
  <c r="AE6" i="5"/>
  <c r="K10" i="21" l="1"/>
  <c r="K15" i="21"/>
  <c r="C21" i="14"/>
  <c r="C15" i="11"/>
  <c r="I17" i="1" s="1"/>
  <c r="C62" i="12"/>
  <c r="C41" i="12"/>
  <c r="L6" i="5"/>
  <c r="L10" i="5" s="1"/>
  <c r="L12" i="5" s="1"/>
  <c r="H7" i="14"/>
  <c r="K6" i="14"/>
  <c r="K5" i="12"/>
  <c r="K6" i="11"/>
  <c r="F14" i="12"/>
  <c r="J26" i="8"/>
  <c r="F13" i="1"/>
  <c r="C26" i="16"/>
  <c r="F23" i="16" s="1"/>
  <c r="J19" i="8"/>
  <c r="J14" i="8"/>
  <c r="K5" i="8"/>
  <c r="K32" i="8" s="1"/>
  <c r="G14" i="12"/>
  <c r="E14" i="12"/>
  <c r="C34" i="12"/>
  <c r="D14" i="12"/>
  <c r="C42" i="16"/>
  <c r="I55" i="17"/>
  <c r="F4" i="1"/>
  <c r="I8" i="17"/>
  <c r="F10" i="1"/>
  <c r="C41" i="16"/>
  <c r="F48" i="16"/>
  <c r="F15" i="1"/>
  <c r="C39" i="16"/>
  <c r="F8" i="1"/>
  <c r="D7" i="11"/>
  <c r="D8" i="12"/>
  <c r="G7" i="11"/>
  <c r="G8" i="12"/>
  <c r="K5" i="6"/>
  <c r="J18" i="6"/>
  <c r="J10" i="6"/>
  <c r="G34" i="12"/>
  <c r="AC158" i="3"/>
  <c r="C7" i="16"/>
  <c r="AC159" i="3"/>
  <c r="AC163" i="3"/>
  <c r="D7" i="14"/>
  <c r="D34" i="12"/>
  <c r="K12" i="7"/>
  <c r="K19" i="7"/>
  <c r="K27" i="7"/>
  <c r="K34" i="7"/>
  <c r="K41" i="7"/>
  <c r="L6" i="7"/>
  <c r="C7" i="11"/>
  <c r="C8" i="12"/>
  <c r="C7" i="14"/>
  <c r="F34" i="12"/>
  <c r="F7" i="11"/>
  <c r="F8" i="12"/>
  <c r="F7" i="14"/>
  <c r="E34" i="12"/>
  <c r="E7" i="11"/>
  <c r="E8" i="12"/>
  <c r="E7" i="14"/>
  <c r="I18" i="12"/>
  <c r="I12" i="12"/>
  <c r="I28" i="12"/>
  <c r="I23" i="12"/>
  <c r="L5" i="5"/>
  <c r="L5" i="21" s="1"/>
  <c r="K15" i="5"/>
  <c r="AE7" i="5"/>
  <c r="L10" i="21" l="1"/>
  <c r="L15" i="21"/>
  <c r="I7" i="14"/>
  <c r="L6" i="14"/>
  <c r="L5" i="12"/>
  <c r="L6" i="11"/>
  <c r="F15" i="12"/>
  <c r="K26" i="8"/>
  <c r="K19" i="8"/>
  <c r="K14" i="8"/>
  <c r="L5" i="8"/>
  <c r="L32" i="8" s="1"/>
  <c r="E15" i="12"/>
  <c r="G15" i="12"/>
  <c r="C35" i="12"/>
  <c r="D15" i="12"/>
  <c r="C11" i="16"/>
  <c r="I12" i="17"/>
  <c r="C12" i="16"/>
  <c r="I13" i="17"/>
  <c r="D35" i="12"/>
  <c r="G35" i="12"/>
  <c r="L5" i="6"/>
  <c r="K18" i="6"/>
  <c r="K10" i="6"/>
  <c r="L12" i="7"/>
  <c r="L27" i="7"/>
  <c r="L19" i="7"/>
  <c r="L41" i="7"/>
  <c r="L34" i="7"/>
  <c r="H10" i="14"/>
  <c r="F35" i="12"/>
  <c r="E35" i="12"/>
  <c r="J18" i="12"/>
  <c r="J23" i="12"/>
  <c r="J28" i="12"/>
  <c r="J12" i="12"/>
  <c r="L15" i="5"/>
  <c r="J7" i="14" l="1"/>
  <c r="I10" i="14"/>
  <c r="L14" i="8"/>
  <c r="L26" i="8"/>
  <c r="L19" i="8"/>
  <c r="L10" i="6"/>
  <c r="L18" i="6"/>
  <c r="K28" i="12"/>
  <c r="K12" i="12"/>
  <c r="K18" i="12"/>
  <c r="K23" i="12"/>
  <c r="J10" i="14" l="1"/>
  <c r="K7" i="14"/>
  <c r="L12" i="12"/>
  <c r="L18" i="12"/>
  <c r="L23" i="12"/>
  <c r="L28" i="12"/>
  <c r="K10" i="14" l="1"/>
  <c r="L7" i="14"/>
  <c r="L10" i="14" l="1"/>
  <c r="C29" i="14" s="1"/>
  <c r="L8" i="14"/>
  <c r="L11" i="14" s="1"/>
  <c r="C30" i="14" s="1"/>
  <c r="C31" i="14" l="1"/>
  <c r="C34" i="14" s="1"/>
  <c r="C36" i="14" s="1"/>
  <c r="C16" i="14" s="1"/>
  <c r="AC66" i="3"/>
  <c r="H20" i="5" l="1"/>
  <c r="H6" i="8" l="1"/>
  <c r="H6" i="12"/>
  <c r="H13"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4" i="12"/>
  <c r="H8" i="12" l="1"/>
  <c r="H15" i="12" s="1"/>
  <c r="H7" i="11"/>
  <c r="H10" i="11" s="1"/>
  <c r="H9" i="12" s="1"/>
  <c r="I20" i="5" l="1"/>
  <c r="J20" i="5"/>
  <c r="K20" i="5"/>
  <c r="L20" i="5"/>
  <c r="I6" i="6" l="1"/>
  <c r="I6" i="8"/>
  <c r="I6" i="12"/>
  <c r="I13" i="12" s="1"/>
  <c r="I22" i="5"/>
  <c r="I7" i="7"/>
  <c r="J6" i="6"/>
  <c r="J6" i="8"/>
  <c r="J22" i="5"/>
  <c r="J7" i="7"/>
  <c r="J6" i="12"/>
  <c r="K6" i="6"/>
  <c r="K6" i="12"/>
  <c r="K6" i="8"/>
  <c r="K22" i="5"/>
  <c r="K7" i="7"/>
  <c r="L6" i="6"/>
  <c r="L6" i="8"/>
  <c r="L6" i="12"/>
  <c r="L22" i="5"/>
  <c r="L7" i="7"/>
  <c r="J13" i="12" l="1"/>
  <c r="K13"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3" i="12"/>
  <c r="C57" i="12" s="1"/>
  <c r="C58" i="12" s="1"/>
  <c r="C7" i="13" s="1"/>
  <c r="I5" i="1" s="1"/>
  <c r="L13"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40" i="12" s="1"/>
  <c r="C43" i="12" s="1"/>
  <c r="C44" i="12" s="1"/>
  <c r="L30" i="7"/>
  <c r="L29" i="7"/>
  <c r="K35" i="7" l="1"/>
  <c r="K22" i="8" s="1"/>
  <c r="K28" i="8" s="1"/>
  <c r="L35" i="7"/>
  <c r="L22" i="8" s="1"/>
  <c r="L28" i="8" s="1"/>
  <c r="I28" i="8"/>
  <c r="J35" i="7"/>
  <c r="J22" i="8" s="1"/>
  <c r="J28" i="8" s="1"/>
  <c r="L14" i="12"/>
  <c r="I14" i="12"/>
  <c r="J14" i="12"/>
  <c r="K14" i="12"/>
  <c r="I7" i="11" l="1"/>
  <c r="I10" i="11" s="1"/>
  <c r="I9" i="12" s="1"/>
  <c r="I8" i="12"/>
  <c r="I15" i="12" s="1"/>
  <c r="J7" i="11"/>
  <c r="J10" i="11" s="1"/>
  <c r="J9" i="12" s="1"/>
  <c r="J8" i="12"/>
  <c r="K7" i="11"/>
  <c r="K10" i="11" s="1"/>
  <c r="K9" i="12" s="1"/>
  <c r="K8" i="12"/>
  <c r="L7" i="11"/>
  <c r="L8" i="12"/>
  <c r="C79" i="12" l="1"/>
  <c r="C82" i="12" s="1"/>
  <c r="C84" i="12" s="1"/>
  <c r="C9" i="13" s="1"/>
  <c r="I7" i="1" s="1"/>
  <c r="C45" i="12"/>
  <c r="C48" i="12" s="1"/>
  <c r="C50" i="12" s="1"/>
  <c r="C6" i="13" s="1"/>
  <c r="I4" i="1" s="1"/>
  <c r="K15" i="12"/>
  <c r="J15" i="12"/>
  <c r="L8" i="11"/>
  <c r="L11" i="11" s="1"/>
  <c r="C20" i="11" s="1"/>
  <c r="L10" i="11"/>
  <c r="C61" i="12"/>
  <c r="C64" i="12" s="1"/>
  <c r="C65" i="12" s="1"/>
  <c r="C66" i="12" s="1"/>
  <c r="C69" i="12" s="1"/>
  <c r="C71" i="12" s="1"/>
  <c r="C8" i="13" s="1"/>
  <c r="I6" i="1" s="1"/>
  <c r="L15" i="12"/>
  <c r="C19" i="11" l="1"/>
  <c r="C21" i="11" s="1"/>
  <c r="C24" i="11" s="1"/>
  <c r="C26" i="11" s="1"/>
  <c r="C5" i="13" s="1"/>
  <c r="C10" i="13" s="1"/>
  <c r="L9" i="12"/>
  <c r="I3" i="1" l="1"/>
  <c r="AA8" i="5"/>
  <c r="AE8" i="5" l="1"/>
  <c r="AA12" i="5"/>
  <c r="X6" i="6" s="1"/>
  <c r="AE10" i="5"/>
  <c r="I8" i="1"/>
  <c r="C12" i="13"/>
  <c r="I9"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<sst xmlns="http://schemas.openxmlformats.org/spreadsheetml/2006/main" count="864" uniqueCount="438">
  <si>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</si>
  <si>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</si>
  <si>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</si>
  <si>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</si>
  <si>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</si>
  <si>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</si>
  <si>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</si>
  <si>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</si>
  <si>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</si>
  <si>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</si>
  <si>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</si>
  <si>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</si>
  <si>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</si>
  <si>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</si>
  <si>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</si>
  <si>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</si>
  <si>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</si>
  <si>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</si>
  <si>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</si>
  <si>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</si>
  <si>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</si>
  <si>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</si>
  <si>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</si>
  <si>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</si>
  <si>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</si>
  <si>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</si>
  <si>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</si>
  <si>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</si>
  <si>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</si>
  <si>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</si>
  <si>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</si>
  <si>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</si>
  <si>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</si>
  <si>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</si>
  <si>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</si>
  <si>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</si>
  <si>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</si>
  <si>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</si>
  <si>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</si>
  <si>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</si>
  <si>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</si>
  <si>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</si>
  <si>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</si>
  <si>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</si>
  <si>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</si>
  <si>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</si>
  <si>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</si>
  <si>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</si>
  <si>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</si>
  <si>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</si>
  <si>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</si>
  <si>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</si>
  <si>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</si>
  <si>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</si>
  <si>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</si>
  <si>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</si>
  <si>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</si>
  <si>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</si>
  <si>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</si>
  <si>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</si>
  <si>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</si>
  <si>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</si>
  <si>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</si>
  <si>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</si>
  <si>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</si>
  <si>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</si>
  <si>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</si>
  <si>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</si>
  <si>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</si>
  <si>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</si>
  <si>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</si>
  <si>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</si>
  <si>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</si>
  <si>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</si>
  <si>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</si>
  <si>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</si>
  <si>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</si>
  <si>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</si>
  <si>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</si>
  <si>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</si>
  <si>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</si>
  <si>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</si>
  <si>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</si>
  <si>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</si>
  <si>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</si>
  <si>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</si>
  <si>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</si>
  <si>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</si>
  <si>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</si>
  <si>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</si>
  <si>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</si>
  <si>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</si>
  <si>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</si>
  <si>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</si>
  <si>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</si>
  <si>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</si>
  <si>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</si>
  <si>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</si>
  <si>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</si>
  <si>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</si>
  <si>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</si>
  <si>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</si>
  <si>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</si>
  <si>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</si>
  <si>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</si>
  <si>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</si>
  <si>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</si>
  <si>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</si>
  <si>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</si>
  <si>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</si>
  <si>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</si>
  <si>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</si>
  <si>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</si>
  <si>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</si>
  <si>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</si>
  <si>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</si>
  <si>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</si>
  <si>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</si>
  <si>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</si>
  <si>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</si>
  <si>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</si>
  <si>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</si>
  <si>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</si>
  <si>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</si>
  <si>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</si>
  <si>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</si>
  <si>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</si>
  <si>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</si>
  <si>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</si>
  <si>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</si>
  <si>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</si>
  <si>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</si>
  <si>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</si>
  <si>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</si>
  <si>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</si>
  <si>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</si>
  <si>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</si>
  <si>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</si>
  <si>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</si>
  <si>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</si>
  <si>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</si>
  <si>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</si>
  <si>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</si>
  <si>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</si>
  <si>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</si>
  <si>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</si>
  <si>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</si>
  <si>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</si>
  <si>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</si>
  <si>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</si>
  <si>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</si>
  <si>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</si>
  <si>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</si>
  <si>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</si>
  <si>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</si>
  <si>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</si>
  <si>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</si>
  <si>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</si>
  <si>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</si>
  <si>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</si>
  <si>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</si>
  <si>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</si>
  <si>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</si>
  <si>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</si>
  <si>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</si>
  <si>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</si>
  <si>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</si>
  <si>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</si>
  <si>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</si>
  <si>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</si>
  <si>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</si>
  <si>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</si>
  <si>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</si>
  <si>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</si>
  <si>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</si>
  <si>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</si>
  <si>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</si>
  <si>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</si>
  <si>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</si>
  <si>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</si>
  <si>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</si>
  <si>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</si>
  <si>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</si>
  <si>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</si>
  <si>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</si>
  <si>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</si>
  <si>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</si>
  <si>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</si>
  <si>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</si>
  <si>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</si>
  <si>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</si>
  <si>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</si>
  <si>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</si>
  <si>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</si>
  <si>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</si>
  <si>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</si>
  <si>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</si>
  <si>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</si>
  <si>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</si>
  <si>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</si>
  <si>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</si>
  <si>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</si>
  <si>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</si>
  <si>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</si>
  <si>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</si>
  <si>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</si>
  <si>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</si>
  <si>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</si>
  <si>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</si>
  <si>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</si>
  <si>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</si>
  <si>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</si>
  <si>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</si>
  <si>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</si>
  <si>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</si>
  <si>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</si>
  <si>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</si>
  <si>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</si>
  <si>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</si>
  <si>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</si>
  <si>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</si>
  <si>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</si>
  <si>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</si>
  <si>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</si>
  <si>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</si>
  <si>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</si>
  <si>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</si>
  <si>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</si>
  <si>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</si>
  <si>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</si>
  <si>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</si>
  <si>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</si>
  <si>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</si>
  <si>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</si>
  <si>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</si>
  <si>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</si>
  <si>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</si>
  <si>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</si>
  <si>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</si>
  <si>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</si>
  <si>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</si>
  <si>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</si>
  <si>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</si>
  <si>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</si>
  <si>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</si>
  <si>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</si>
  <si>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</si>
  <si>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</si>
  <si>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</si>
  <si>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</si>
  <si>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</si>
  <si>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</si>
  <si>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</si>
  <si>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</si>
  <si>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</si>
  <si>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</si>
  <si>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</si>
  <si>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</si>
  <si>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</si>
  <si>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</si>
  <si>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</si>
  <si>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</si>
  <si>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</si>
  <si>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</si>
  <si>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</si>
  <si>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</si>
  <si>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</si>
  <si>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</si>
  <si>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</si>
  <si>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</si>
  <si>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</si>
  <si>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</si>
  <si>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</si>
  <si>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</si>
  <si>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</si>
  <si>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</si>
  <si>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</si>
  <si>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</si>
  <si>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</si>
  <si>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</si>
  <si>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</si>
  <si>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</si>
  <si>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</si>
  <si>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</si>
  <si>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</si>
  <si>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</si>
  <si>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</si>
  <si>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</si>
  <si>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</si>
  <si>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</si>
  <si>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</si>
  <si>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</si>
  <si>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</si>
  <si>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</si>
  <si>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</si>
  <si>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</si>
  <si>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</si>
  <si>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</si>
  <si>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</si>
  <si>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</si>
  <si>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</si>
  <si>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</si>
  <si>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</si>
  <si>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</si>
  <si>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</si>
  <si>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</si>
  <si>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</si>
  <si>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</si>
  <si>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</si>
  <si>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</si>
  <si>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</si>
  <si>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</si>
  <si>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</si>
  <si>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</si>
  <si>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</si>
  <si>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</si>
  <si>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</si>
  <si>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</si>
  <si>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</si>
  <si>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</si>
  <si>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</si>
  <si>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</si>
  <si>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</si>
  <si>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</si>
  <si>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</si>
  <si>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</si>
  <si>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</si>
  <si>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</si>
  <si>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</si>
  <si>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</si>
  <si>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</si>
  <si>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</si>
  <si>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</si>
  <si>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</si>
  <si>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</si>
  <si>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</si>
  <si>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</si>
  <si>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</si>
  <si>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</si>
  <si>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</si>
  <si>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</si>
  <si>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</si>
  <si>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</si>
  <si>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</si>
  <si>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</si>
  <si>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</si>
  <si>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</si>
  <si>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</si>
  <si>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</si>
  <si>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</si>
  <si>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</si>
  <si>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</si>
  <si>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</si>
  <si>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</si>
  <si>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</si>
  <si>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</si>
  <si>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</si>
  <si>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</si>
  <si>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</si>
  <si>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</si>
  <si>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</si>
  <si>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</si>
  <si>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</si>
  <si>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</si>
  <si>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</si>
  <si>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</si>
  <si>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</si>
  <si>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</si>
  <si>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</si>
  <si>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</si>
  <si>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</si>
  <si>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</si>
  <si>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</si>
  <si>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</si>
  <si>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</si>
  <si>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</si>
  <si>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</si>
  <si>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</si>
  <si>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</si>
  <si>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</si>
  <si>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</si>
  <si>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</si>
  <si>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</si>
  <si>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</si>
  <si>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</si>
  <si>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</si>
  <si>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</si>
  <si>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</si>
  <si>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</si>
  <si>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</si>
  <si>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</si>
  <si>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</si>
  <si>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</si>
  <si>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</si>
  <si>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</si>
  <si>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</si>
  <si>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</si>
  <si>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</si>
  <si>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</si>
  <si>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</si>
  <si>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</si>
  <si>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</si>
  <si>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</si>
  <si>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</si>
  <si>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</si>
  <si>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</si>
  <si>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</si>
  <si>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</si>
  <si>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</si>
  <si>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</si>
  <si>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</si>
  <si>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</si>
  <si>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</si>
  <si>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</si>
  <si>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</si>
  <si>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</si>
  <si>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</si>
  <si>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</si>
  <si>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</si>
  <si>
    <t>Terminal EV</t>
  </si>
  <si>
    <t>PV of Terminal EV</t>
  </si>
  <si>
    <t>Total EV</t>
  </si>
  <si>
    <t>Termianl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</si>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</sst>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1.6930000000000001</v>
    <v>1.87</v>
    <v>1.0775999999999999E-2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176.41</v>
    <v>3</v>
    <v>Semiconductors &amp; Semiconductor Equipment</v>
    <v>Stock</v>
    <v>46315.727168217185</v>
    <v>4</v>
    <v>171.13</v>
    <v>184170000000</v>
    <v>QUALCOMM INCORPORATED</v>
    <v>QUALCOMM INCORPORATED</v>
    <v>171.54</v>
    <v>20.3</v>
    <v>173.53</v>
    <v>175.4</v>
    <v>1050000000</v>
    <v>QCOM</v>
    <v>QUALCOMM INCORPORATED (XNAS:QCOM)</v>
    <v>3141977</v>
    <v>12922531</v>
    <v>1991</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53.64</v>
    <v>39.47</v>
    <v>0.38</v>
    <v>7.4539999999999997E-3</v>
    <v>US</v>
    <v>51.5</v>
    <v>Index</v>
    <v>10</v>
    <v>50.9</v>
    <v>10 Y TSY YLD NDX</v>
    <v>50.9</v>
    <v>50.98</v>
    <v>51.36</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5"/>
  <sheetViews>
    <sheetView tabSelected="1" zoomScale="160" zoomScaleNormal="160" workbookViewId="0">
      <selection activeCell="H13" sqref="H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7" t="s">
        <v>17</v>
      </c>
      <c r="C2" s="238"/>
      <c r="E2" s="237" t="s">
        <v>279</v>
      </c>
      <c r="F2" s="238"/>
      <c r="H2" s="237" t="s">
        <v>317</v>
      </c>
      <c r="I2" s="238"/>
      <c r="K2" s="132" t="s">
        <v>431</v>
      </c>
    </row>
    <row r="3" spans="2:11" x14ac:dyDescent="0.2">
      <c r="B3" s="181" t="s">
        <v>11</v>
      </c>
      <c r="C3" s="213" t="e" vm="1">
        <v>#VALUE!</v>
      </c>
      <c r="D3" s="2"/>
      <c r="E3" s="181" t="s">
        <v>231</v>
      </c>
      <c r="F3" s="183">
        <f ca="1">Statement!AC156</f>
        <v>186274.80000000002</v>
      </c>
      <c r="H3" s="181" t="str">
        <f>'AVG target price'!B5</f>
        <v>DCF price</v>
      </c>
      <c r="I3" s="207">
        <f ca="1">'AVG target price'!C5</f>
        <v>111.8333625834032</v>
      </c>
      <c r="K3" s="235" t="s">
        <v>432</v>
      </c>
    </row>
    <row r="4" spans="2:11" x14ac:dyDescent="0.2">
      <c r="B4" s="181" t="s">
        <v>0</v>
      </c>
      <c r="C4" s="185" t="str" cm="1">
        <f t="array" aca="1" ref="C4" ca="1">_FV(C3,"Ticker symbol",TRUE)</f>
        <v>QCOM</v>
      </c>
      <c r="E4" s="182" t="s">
        <v>180</v>
      </c>
      <c r="F4" s="184">
        <f ca="1">Statement!AC157</f>
        <v>193240.80000000002</v>
      </c>
      <c r="H4" s="181" t="str">
        <f>'AVG target price'!B6</f>
        <v>EV/EBIT price</v>
      </c>
      <c r="I4" s="207">
        <f ca="1">'AVG target price'!C6</f>
        <v>213.61617753938933</v>
      </c>
      <c r="K4" s="235" t="s">
        <v>433</v>
      </c>
    </row>
    <row r="5" spans="2:11" x14ac:dyDescent="0.2">
      <c r="B5" s="181" t="s">
        <v>1</v>
      </c>
      <c r="C5" s="204" cm="1">
        <f t="array" aca="1" ref="C5" ca="1">_FV(C3,"Price",TRUE)</f>
        <v>175.4</v>
      </c>
      <c r="E5" s="181" t="s">
        <v>235</v>
      </c>
      <c r="F5" s="186">
        <f>Statement!AC26</f>
        <v>8.8483427020740457</v>
      </c>
      <c r="H5" s="181" t="str">
        <f>'AVG target price'!B7</f>
        <v>PS price</v>
      </c>
      <c r="I5" s="207">
        <f ca="1">'AVG target price'!C7</f>
        <v>192.81430006053344</v>
      </c>
      <c r="K5" s="235" t="s">
        <v>434</v>
      </c>
    </row>
    <row r="6" spans="2:11" x14ac:dyDescent="0.2">
      <c r="B6" s="181" t="s">
        <v>2</v>
      </c>
      <c r="C6" s="204" t="e" cm="1" vm="2">
        <f t="array" ref="C6">_FV(C3,"Price (Extended hours)",TRUE)</f>
        <v>#VALUE!</v>
      </c>
      <c r="E6" s="181" t="s">
        <v>229</v>
      </c>
      <c r="F6" s="186">
        <f ca="1">Statement!AC153</f>
        <v>19.822921184877522</v>
      </c>
      <c r="H6" s="181" t="str">
        <f>'AVG target price'!B8</f>
        <v>EV/FCFF price</v>
      </c>
      <c r="I6" s="207">
        <f ca="1">'AVG target price'!C8</f>
        <v>181.85804736660177</v>
      </c>
      <c r="K6" s="236" t="s">
        <v>435</v>
      </c>
    </row>
    <row r="7" spans="2:11" x14ac:dyDescent="0.2">
      <c r="B7" s="181" t="s">
        <v>3</v>
      </c>
      <c r="C7" s="6" cm="1">
        <f t="array" aca="1" ref="C7" ca="1">_FV(C3,"Change")</f>
        <v>1.87</v>
      </c>
      <c r="E7" s="182" t="s">
        <v>193</v>
      </c>
      <c r="F7" s="187">
        <f ca="1">Statement!AC154</f>
        <v>4.2767382227466646</v>
      </c>
      <c r="H7" s="181" t="str">
        <f>'AVG target price'!B9</f>
        <v>EV/Sales</v>
      </c>
      <c r="I7" s="207">
        <f ca="1">'AVG target price'!C9</f>
        <v>205.19381465236879</v>
      </c>
    </row>
    <row r="8" spans="2:11" x14ac:dyDescent="0.2">
      <c r="B8" s="181" t="s">
        <v>4</v>
      </c>
      <c r="C8" s="6" t="e" cm="1" vm="3">
        <f t="array" ref="C8">_FV(C3,"Change (extended hours)",TRUE)</f>
        <v>#VALUE!</v>
      </c>
      <c r="E8" s="181" t="s">
        <v>257</v>
      </c>
      <c r="F8" s="188">
        <f ca="1">Statement!AC164</f>
        <v>3.8512992632390421E-2</v>
      </c>
      <c r="H8" s="180" t="str">
        <f>'AVG target price'!B10</f>
        <v>AVG price</v>
      </c>
      <c r="I8" s="208">
        <f ca="1">'AVG target price'!C10</f>
        <v>181.06314044045934</v>
      </c>
    </row>
    <row r="9" spans="2:11" x14ac:dyDescent="0.2">
      <c r="B9" s="181" t="s">
        <v>5</v>
      </c>
      <c r="C9" s="73" cm="1">
        <f t="array" aca="1" ref="C9" ca="1">_FV(C3,"Change (%)",TRUE)</f>
        <v>1.0775999999999999E-2</v>
      </c>
      <c r="E9" s="181" t="s">
        <v>280</v>
      </c>
      <c r="F9" s="188">
        <f ca="1">Statement!AC165</f>
        <v>5.0446651665188399E-2</v>
      </c>
      <c r="H9" s="180" t="str">
        <f>'AVG target price'!B12</f>
        <v>Upside/Downside</v>
      </c>
      <c r="I9" s="209">
        <f ca="1">'AVG target price'!C12</f>
        <v>3.2287003651421488E-2</v>
      </c>
    </row>
    <row r="10" spans="2:11" x14ac:dyDescent="0.2">
      <c r="B10" s="181" t="s">
        <v>6</v>
      </c>
      <c r="C10" s="73" t="e" cm="1" vm="4">
        <f t="array" ref="C10">_FV(C3,"Change % (extended hours)",TRUE)</f>
        <v>#VALUE!</v>
      </c>
      <c r="E10" s="181" t="s">
        <v>285</v>
      </c>
      <c r="F10" s="188">
        <f ca="1">Statement!AC167</f>
        <v>4.9657817375189768E-2</v>
      </c>
    </row>
    <row r="11" spans="2:11" x14ac:dyDescent="0.2">
      <c r="B11" s="181" t="s">
        <v>7</v>
      </c>
      <c r="C11" s="205" cm="1">
        <f t="array" aca="1" ref="C11" ca="1">_FV(C3,"52 week high",TRUE)</f>
        <v>259.92</v>
      </c>
      <c r="E11" s="182" t="s">
        <v>281</v>
      </c>
      <c r="F11" s="189">
        <f ca="1">Statement!AC166</f>
        <v>2.0467502850627137E-2</v>
      </c>
      <c r="H11" s="180" t="s">
        <v>404</v>
      </c>
      <c r="I11" s="208">
        <f ca="1">DDM!C26</f>
        <v>34.300060439815887</v>
      </c>
    </row>
    <row r="12" spans="2:11" x14ac:dyDescent="0.2">
      <c r="B12" s="181" t="s">
        <v>8</v>
      </c>
      <c r="C12" s="205" cm="1">
        <f t="array" aca="1" ref="C12" ca="1">_FV(C3,"52 week low",TRUE)</f>
        <v>121.99</v>
      </c>
      <c r="E12" s="181" t="s">
        <v>94</v>
      </c>
      <c r="F12" s="188">
        <f>Statement!AC122</f>
        <v>0.16596649641780117</v>
      </c>
    </row>
    <row r="13" spans="2:11" x14ac:dyDescent="0.2">
      <c r="B13" s="181" t="s">
        <v>9</v>
      </c>
      <c r="C13" s="205" cm="1">
        <f t="array" aca="1" ref="C13" ca="1">_FV(C3,"Beta")</f>
        <v>1.6930000000000001</v>
      </c>
      <c r="E13" s="181" t="s">
        <v>96</v>
      </c>
      <c r="F13" s="188">
        <f>Statement!AC124</f>
        <v>0.3442403644515149</v>
      </c>
      <c r="H13" s="257" t="s">
        <v>428</v>
      </c>
      <c r="I13" s="255">
        <f>'Reverse DCF'!C17</f>
        <v>0.13</v>
      </c>
    </row>
    <row r="14" spans="2:11" x14ac:dyDescent="0.2">
      <c r="B14" s="182" t="s">
        <v>10</v>
      </c>
      <c r="C14" s="206" cm="1">
        <f t="array" aca="1" ref="C14" ca="1">_FV(C3,"Volume average",TRUE)</f>
        <v>12922531</v>
      </c>
      <c r="E14" s="182" t="s">
        <v>97</v>
      </c>
      <c r="F14" s="189">
        <f>Statement!AC143</f>
        <v>0.25062860459696928</v>
      </c>
      <c r="H14" s="182" t="s">
        <v>437</v>
      </c>
      <c r="I14" s="256">
        <f ca="1">'Reverse DCF'!C16</f>
        <v>175.51049119967018</v>
      </c>
    </row>
    <row r="15" spans="2:11" x14ac:dyDescent="0.2">
      <c r="E15" s="181" t="s">
        <v>282</v>
      </c>
      <c r="F15" s="188">
        <f ca="1">Statement!AC179</f>
        <v>-3.73963627930348E-2</v>
      </c>
    </row>
    <row r="16" spans="2:11" x14ac:dyDescent="0.2">
      <c r="E16" s="182" t="s">
        <v>287</v>
      </c>
      <c r="F16" s="187">
        <f>Statement!AC178</f>
        <v>-6.6342857142857143</v>
      </c>
      <c r="H16" s="237" t="s">
        <v>429</v>
      </c>
      <c r="I16" s="238"/>
    </row>
    <row r="17" spans="2:9" x14ac:dyDescent="0.2">
      <c r="B17" s="239" t="s">
        <v>83</v>
      </c>
      <c r="C17" s="239"/>
      <c r="E17" s="180" t="s">
        <v>288</v>
      </c>
      <c r="F17" s="190">
        <f>Statement!AC174</f>
        <v>9.4161958568738226E-4</v>
      </c>
      <c r="H17" s="181" t="s">
        <v>157</v>
      </c>
      <c r="I17" s="233">
        <f ca="1">DCF!C15</f>
        <v>0.12108377847505866</v>
      </c>
    </row>
    <row r="18" spans="2:9" x14ac:dyDescent="0.2">
      <c r="B18" s="180" t="s">
        <v>12</v>
      </c>
      <c r="C18" s="69" t="s">
        <v>333</v>
      </c>
      <c r="E18" s="181" t="s">
        <v>289</v>
      </c>
      <c r="F18" s="186">
        <f>Statement!AC147</f>
        <v>137.86178331838977</v>
      </c>
      <c r="H18" s="182" t="s">
        <v>430</v>
      </c>
      <c r="I18" s="234">
        <f ca="1">Multiples!C54</f>
        <v>0.12754500000000002</v>
      </c>
    </row>
    <row r="19" spans="2:9" x14ac:dyDescent="0.2">
      <c r="B19" s="180" t="s">
        <v>13</v>
      </c>
      <c r="C19" s="70">
        <v>1000000</v>
      </c>
      <c r="E19" s="181" t="s">
        <v>250</v>
      </c>
      <c r="F19" s="186">
        <f>Statement!AC149</f>
        <v>0.25186202906934702</v>
      </c>
    </row>
    <row r="20" spans="2:9" x14ac:dyDescent="0.2">
      <c r="B20" s="180" t="s">
        <v>84</v>
      </c>
      <c r="C20" s="69" t="s">
        <v>86</v>
      </c>
      <c r="E20" s="182" t="s">
        <v>290</v>
      </c>
      <c r="F20" s="187">
        <f>Statement!AC150</f>
        <v>1.1365986156137737</v>
      </c>
    </row>
    <row r="21" spans="2:9" x14ac:dyDescent="0.2">
      <c r="B21" s="180" t="s">
        <v>85</v>
      </c>
      <c r="C21" s="69" t="s">
        <v>86</v>
      </c>
      <c r="I21" s="50"/>
    </row>
    <row r="22" spans="2:9" x14ac:dyDescent="0.2">
      <c r="B22" s="180" t="s">
        <v>87</v>
      </c>
      <c r="C22" s="69" t="s">
        <v>335</v>
      </c>
    </row>
    <row r="25" spans="2:9" x14ac:dyDescent="0.2">
      <c r="B25" s="239" t="s">
        <v>99</v>
      </c>
      <c r="C25" s="239"/>
      <c r="E25" s="237" t="s">
        <v>330</v>
      </c>
      <c r="F25" s="238"/>
    </row>
    <row r="26" spans="2:9" x14ac:dyDescent="0.2">
      <c r="B26" s="180" t="s">
        <v>100</v>
      </c>
      <c r="C26" s="166">
        <v>0.21</v>
      </c>
      <c r="E26" s="181" t="e" vm="5">
        <v>#VALUE!</v>
      </c>
      <c r="F26" s="215" cm="1">
        <f t="array" aca="1" ref="F26" ca="1">_FV(E26,"Price")</f>
        <v>51.36</v>
      </c>
    </row>
    <row r="27" spans="2:9" x14ac:dyDescent="0.2">
      <c r="B27" s="180" t="s">
        <v>164</v>
      </c>
      <c r="C27" s="217">
        <v>5.3499999999999999E-2</v>
      </c>
      <c r="E27" s="182" t="s">
        <v>331</v>
      </c>
      <c r="F27" s="216">
        <f ca="1">F26/1000</f>
        <v>5.1360000000000003E-2</v>
      </c>
    </row>
    <row r="28" spans="2:9" x14ac:dyDescent="0.2">
      <c r="B28" s="180" t="s">
        <v>347</v>
      </c>
      <c r="C28" s="217">
        <v>0</v>
      </c>
    </row>
    <row r="29" spans="2:9" x14ac:dyDescent="0.2">
      <c r="B29" s="180" t="s">
        <v>405</v>
      </c>
      <c r="C29" s="217">
        <v>0</v>
      </c>
    </row>
    <row r="33" spans="2:8" x14ac:dyDescent="0.2">
      <c r="B33" s="132" t="s">
        <v>325</v>
      </c>
      <c r="C33" s="132"/>
      <c r="D33" s="132"/>
      <c r="E33" s="132"/>
      <c r="F33" s="132"/>
      <c r="G33" s="132"/>
      <c r="H33" s="132"/>
    </row>
    <row r="35" spans="2:8" x14ac:dyDescent="0.2">
      <c r="B35" s="16" t="s">
        <v>326</v>
      </c>
      <c r="C35" s="1" t="s">
        <v>342</v>
      </c>
    </row>
    <row r="36" spans="2:8" x14ac:dyDescent="0.2">
      <c r="B36" s="16" t="s">
        <v>327</v>
      </c>
      <c r="C36" s="1" t="s">
        <v>341</v>
      </c>
    </row>
    <row r="39" spans="2:8" ht="6" customHeight="1" x14ac:dyDescent="0.2">
      <c r="B39" s="132"/>
      <c r="C39" s="132"/>
      <c r="D39" s="132"/>
      <c r="E39" s="132"/>
      <c r="F39" s="132"/>
      <c r="G39" s="132"/>
      <c r="H39" s="132"/>
    </row>
    <row r="42" spans="2:8" x14ac:dyDescent="0.2">
      <c r="B42" s="132" t="s">
        <v>328</v>
      </c>
      <c r="C42" s="132"/>
      <c r="D42" s="132"/>
      <c r="E42" s="132"/>
      <c r="F42" s="132"/>
      <c r="G42" s="132"/>
      <c r="H42" s="132"/>
    </row>
    <row r="44" spans="2:8" x14ac:dyDescent="0.2">
      <c r="B44" s="41" t="s">
        <v>329</v>
      </c>
      <c r="C44" s="41" t="s">
        <v>368</v>
      </c>
      <c r="D44" s="41"/>
      <c r="E44" s="41" t="s">
        <v>406</v>
      </c>
    </row>
    <row r="45" spans="2:8" x14ac:dyDescent="0.2">
      <c r="B45" s="1" t="s">
        <v>362</v>
      </c>
      <c r="C45" s="1" t="s">
        <v>411</v>
      </c>
    </row>
    <row r="46" spans="2:8" x14ac:dyDescent="0.2">
      <c r="C46" s="1" t="s">
        <v>412</v>
      </c>
    </row>
    <row r="47" spans="2:8" x14ac:dyDescent="0.2">
      <c r="B47" s="1" t="s">
        <v>362</v>
      </c>
      <c r="C47" s="1" t="s">
        <v>415</v>
      </c>
    </row>
    <row r="48" spans="2:8" x14ac:dyDescent="0.2">
      <c r="B48" s="1" t="s">
        <v>362</v>
      </c>
      <c r="C48" s="1" t="s">
        <v>408</v>
      </c>
    </row>
    <row r="49" spans="2:8" x14ac:dyDescent="0.2">
      <c r="B49" s="1" t="s">
        <v>362</v>
      </c>
      <c r="C49" s="1" t="s">
        <v>409</v>
      </c>
    </row>
    <row r="50" spans="2:8" x14ac:dyDescent="0.2">
      <c r="B50" s="1" t="s">
        <v>362</v>
      </c>
      <c r="C50" s="1" t="s">
        <v>410</v>
      </c>
    </row>
    <row r="51" spans="2:8" x14ac:dyDescent="0.2">
      <c r="B51" s="1" t="s">
        <v>362</v>
      </c>
      <c r="C51" s="1" t="s">
        <v>413</v>
      </c>
    </row>
    <row r="52" spans="2:8" x14ac:dyDescent="0.2">
      <c r="B52" s="1" t="s">
        <v>362</v>
      </c>
      <c r="C52" s="1" t="s">
        <v>414</v>
      </c>
    </row>
    <row r="53" spans="2:8" x14ac:dyDescent="0.2">
      <c r="B53" s="1" t="s">
        <v>362</v>
      </c>
      <c r="C53" s="1" t="s">
        <v>416</v>
      </c>
    </row>
    <row r="55" spans="2:8" ht="5" customHeight="1" x14ac:dyDescent="0.2">
      <c r="B55" s="132"/>
      <c r="C55" s="132"/>
      <c r="D55" s="132"/>
      <c r="E55" s="132"/>
      <c r="F55" s="132"/>
      <c r="G55" s="132"/>
      <c r="H55" s="132"/>
    </row>
    <row r="58" spans="2:8" x14ac:dyDescent="0.2">
      <c r="B58" s="132" t="s">
        <v>101</v>
      </c>
      <c r="C58" s="132"/>
      <c r="D58" s="132"/>
      <c r="E58" s="132"/>
      <c r="F58" s="132"/>
      <c r="G58" s="132"/>
      <c r="H58" s="132"/>
    </row>
    <row r="60" spans="2:8" x14ac:dyDescent="0.2">
      <c r="B60" s="41" t="s">
        <v>329</v>
      </c>
      <c r="C60" s="41" t="s">
        <v>368</v>
      </c>
      <c r="D60" s="41"/>
      <c r="E60" s="41" t="s">
        <v>339</v>
      </c>
    </row>
    <row r="61" spans="2:8" x14ac:dyDescent="0.2">
      <c r="B61" s="1" t="s">
        <v>362</v>
      </c>
      <c r="C61" s="1" t="s">
        <v>28</v>
      </c>
      <c r="E61" s="1" t="s">
        <v>370</v>
      </c>
    </row>
    <row r="62" spans="2:8" x14ac:dyDescent="0.2">
      <c r="B62" s="1" t="s">
        <v>362</v>
      </c>
      <c r="C62" s="1" t="s">
        <v>29</v>
      </c>
      <c r="E62" s="1" t="s">
        <v>364</v>
      </c>
    </row>
    <row r="63" spans="2:8" x14ac:dyDescent="0.2">
      <c r="B63" s="1" t="s">
        <v>362</v>
      </c>
      <c r="C63" s="1" t="s">
        <v>365</v>
      </c>
      <c r="E63" s="1" t="s">
        <v>364</v>
      </c>
    </row>
    <row r="65" spans="2:8" x14ac:dyDescent="0.2">
      <c r="B65" s="41" t="s">
        <v>329</v>
      </c>
      <c r="C65" s="41" t="s">
        <v>357</v>
      </c>
      <c r="D65" s="41"/>
      <c r="E65" s="41" t="s">
        <v>361</v>
      </c>
    </row>
    <row r="66" spans="2:8" x14ac:dyDescent="0.2">
      <c r="B66" s="1" t="s">
        <v>362</v>
      </c>
      <c r="C66" s="1" t="s">
        <v>28</v>
      </c>
      <c r="E66" s="1" t="s">
        <v>363</v>
      </c>
    </row>
    <row r="67" spans="2:8" x14ac:dyDescent="0.2">
      <c r="B67" s="1" t="s">
        <v>362</v>
      </c>
      <c r="C67" s="1" t="s">
        <v>29</v>
      </c>
      <c r="E67" s="1" t="s">
        <v>364</v>
      </c>
    </row>
    <row r="68" spans="2:8" x14ac:dyDescent="0.2">
      <c r="B68" s="1" t="s">
        <v>362</v>
      </c>
      <c r="C68" s="1" t="s">
        <v>365</v>
      </c>
      <c r="E68" s="1" t="s">
        <v>364</v>
      </c>
    </row>
    <row r="70" spans="2:8" x14ac:dyDescent="0.2">
      <c r="B70" s="41" t="s">
        <v>329</v>
      </c>
      <c r="C70" s="41" t="s">
        <v>357</v>
      </c>
      <c r="D70" s="41"/>
      <c r="E70" s="41" t="s">
        <v>337</v>
      </c>
    </row>
    <row r="71" spans="2:8" x14ac:dyDescent="0.2">
      <c r="B71" s="1" t="s">
        <v>362</v>
      </c>
      <c r="C71" s="1" t="s">
        <v>28</v>
      </c>
      <c r="E71" s="1" t="s">
        <v>363</v>
      </c>
    </row>
    <row r="72" spans="2:8" x14ac:dyDescent="0.2">
      <c r="B72" s="1" t="s">
        <v>362</v>
      </c>
      <c r="C72" s="1" t="s">
        <v>29</v>
      </c>
      <c r="E72" s="1" t="s">
        <v>364</v>
      </c>
    </row>
    <row r="73" spans="2:8" x14ac:dyDescent="0.2">
      <c r="B73" s="1" t="s">
        <v>362</v>
      </c>
      <c r="C73" s="1" t="s">
        <v>365</v>
      </c>
      <c r="E73" s="1" t="s">
        <v>364</v>
      </c>
    </row>
    <row r="75" spans="2:8" ht="5" customHeight="1" x14ac:dyDescent="0.2">
      <c r="B75" s="132"/>
      <c r="C75" s="132"/>
      <c r="D75" s="132"/>
      <c r="E75" s="132"/>
      <c r="F75" s="132"/>
      <c r="G75" s="132"/>
      <c r="H75"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A7615854-1D09-9746-95EB-1A6F003C80AE}"/>
    <hyperlink ref="K4" location="'Analysis -&gt;'!B13" display="'Analysis -&gt;'!B13" xr:uid="{8D98D1EA-37AF-5C42-B65C-FF9794D53AFE}"/>
    <hyperlink ref="K5" location="'Forecast -&gt;'!B13" display="'Forecast -&gt;'!B13" xr:uid="{A5CDB327-BC87-4C42-A4CC-9A375364E5F6}"/>
    <hyperlink ref="K6" location="'Valuation -&gt;'!B13" display="'Valuation -&gt;'!B13" xr:uid="{9B0968EA-64F8-0248-ADB4-8F839DC9F0E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14</v>
      </c>
    </row>
  </sheetData>
  <hyperlinks>
    <hyperlink ref="H6" location="Overview!B3" display="Overview'!B3" xr:uid="{D8C6F701-2E1A-E545-95D1-2AD7393C3264}"/>
    <hyperlink ref="H8" location="'Analysis -&gt;'!B13" display="'Analysis -&gt;'!B13" xr:uid="{9E9045D6-501F-384A-9D9E-7B74D79E2D96}"/>
    <hyperlink ref="H9" location="'Forecast -&gt;'!B13" display="'Forecast -&gt;'!B13" xr:uid="{B98D5F18-FFFD-C142-9086-9E9FF795C5A7}"/>
    <hyperlink ref="H10" location="'Valuation -&gt;'!B13" display="'Valuation -&gt;'!B13" xr:uid="{47B06DF5-A147-CF48-8595-54FD84B437EC}"/>
    <hyperlink ref="H7" location="'Financials -&gt;'!B13" display="'Financials -&gt;'!B13" xr:uid="{0A8298A1-B259-BA46-AF50-A415354B561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Y153" activePane="bottomRight" state="frozen"/>
      <selection pane="topRight" activeCell="C1" sqref="C1"/>
      <selection pane="bottomLeft" activeCell="A4" sqref="A4"/>
      <selection pane="bottomRight" activeCell="AC161" sqref="AC16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367</v>
      </c>
      <c r="N2" s="10" t="s">
        <v>366</v>
      </c>
      <c r="O2" s="10" t="s">
        <v>359</v>
      </c>
      <c r="P2" s="10" t="s">
        <v>358</v>
      </c>
      <c r="Q2" s="10" t="s">
        <v>357</v>
      </c>
      <c r="R2" s="7"/>
      <c r="S2" s="7"/>
      <c r="T2" s="10" t="s">
        <v>358</v>
      </c>
      <c r="U2" s="10" t="s">
        <v>373</v>
      </c>
      <c r="V2" s="10" t="s">
        <v>369</v>
      </c>
      <c r="W2" s="10" t="s">
        <v>375</v>
      </c>
      <c r="X2" s="10" t="s">
        <v>357</v>
      </c>
      <c r="Y2" s="10" t="s">
        <v>371</v>
      </c>
      <c r="Z2" s="10" t="s">
        <v>368</v>
      </c>
      <c r="AA2" s="10" t="s">
        <v>407</v>
      </c>
      <c r="AB2" s="7"/>
      <c r="AD2" s="7"/>
      <c r="AE2" s="7"/>
    </row>
    <row r="3" spans="1:31" s="13" customFormat="1" x14ac:dyDescent="0.2">
      <c r="A3" s="11"/>
      <c r="B3" s="12" t="s">
        <v>16</v>
      </c>
      <c r="M3" s="13">
        <v>2021</v>
      </c>
      <c r="N3" s="13">
        <v>2022</v>
      </c>
      <c r="O3" s="13">
        <v>2023</v>
      </c>
      <c r="P3" s="13">
        <v>2024</v>
      </c>
      <c r="Q3" s="13">
        <v>2025</v>
      </c>
      <c r="R3" s="11"/>
      <c r="S3" s="11"/>
      <c r="T3" s="10" t="s">
        <v>374</v>
      </c>
      <c r="U3" s="10" t="s">
        <v>372</v>
      </c>
      <c r="V3" s="10" t="s">
        <v>340</v>
      </c>
      <c r="W3" s="10" t="s">
        <v>338</v>
      </c>
      <c r="X3" s="10" t="s">
        <v>337</v>
      </c>
      <c r="Y3" s="10" t="s">
        <v>336</v>
      </c>
      <c r="Z3" s="10" t="s">
        <v>339</v>
      </c>
      <c r="AA3" s="10" t="s">
        <v>406</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334</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360</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318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352</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322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323</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318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276</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226</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227</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228</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267</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268</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334</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291</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319</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320</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175.4</v>
      </c>
    </row>
    <row r="116" spans="1:31" x14ac:dyDescent="0.2">
      <c r="B116" s="20" t="s">
        <v>332</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175.4</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220</v>
      </c>
      <c r="C127" s="167"/>
      <c r="D127" s="167"/>
      <c r="E127" s="167"/>
      <c r="F127" s="167"/>
      <c r="G127" s="167"/>
      <c r="H127" s="167"/>
      <c r="I127" s="167"/>
      <c r="J127" s="167"/>
      <c r="K127" s="167"/>
      <c r="L127" s="167"/>
      <c r="M127" s="167"/>
      <c r="N127" s="167"/>
      <c r="O127" s="167"/>
      <c r="P127" s="167"/>
      <c r="Q127" s="167"/>
      <c r="T127" s="167"/>
      <c r="U127" s="167"/>
      <c r="V127" s="167"/>
      <c r="W127" s="167"/>
      <c r="X127" s="167"/>
      <c r="Y127" s="167"/>
      <c r="Z127" s="167"/>
      <c r="AA127" s="167"/>
      <c r="AC127" s="167"/>
    </row>
    <row r="128" spans="1:31" x14ac:dyDescent="0.2">
      <c r="B128" s="20" t="s">
        <v>221</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222</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223</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3" t="str">
        <f t="shared" ref="T131:Z131" si="127">IF(T130&gt;T129, "BEAT", IF(T130&lt;T128, "MISSED", "MET"))</f>
        <v>BEAT</v>
      </c>
      <c r="U131" s="223" t="str">
        <f t="shared" si="127"/>
        <v>MET</v>
      </c>
      <c r="V131" s="223" t="str">
        <f t="shared" si="127"/>
        <v>MET</v>
      </c>
      <c r="W131" s="223" t="str">
        <f t="shared" si="127"/>
        <v>BEAT</v>
      </c>
      <c r="X131" s="223" t="str">
        <f t="shared" si="127"/>
        <v>MET</v>
      </c>
      <c r="Y131" s="223" t="str">
        <f t="shared" si="127"/>
        <v>MET</v>
      </c>
      <c r="Z131" s="223" t="str">
        <f t="shared" si="127"/>
        <v>MET</v>
      </c>
      <c r="AA131" s="223" t="str">
        <f t="shared" ref="AA131" si="128">IF(AA130&gt;AA129, "BEAT", IF(AA130&lt;AA128, "MISSED", "MET"))</f>
        <v>MISSED</v>
      </c>
      <c r="AC131" s="49"/>
    </row>
    <row r="132" spans="2:29" x14ac:dyDescent="0.2">
      <c r="B132" s="20" t="s">
        <v>389</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390</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391</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3" t="str">
        <f t="shared" ref="T135:Z135" si="134">IF(T134&gt;T133, "BEAT", IF(T134&lt;T132, "MISSED", "MET"))</f>
        <v>BEAT</v>
      </c>
      <c r="U135" s="223" t="str">
        <f t="shared" si="134"/>
        <v>MET</v>
      </c>
      <c r="V135" s="223" t="str">
        <f t="shared" si="134"/>
        <v>MET</v>
      </c>
      <c r="W135" s="223" t="str">
        <f t="shared" si="134"/>
        <v>BEAT</v>
      </c>
      <c r="X135" s="223" t="str">
        <f t="shared" si="134"/>
        <v>MET</v>
      </c>
      <c r="Y135" s="223" t="str">
        <f t="shared" si="134"/>
        <v>MET</v>
      </c>
      <c r="Z135" s="223" t="str">
        <f t="shared" si="134"/>
        <v>BEAT</v>
      </c>
      <c r="AA135" s="223" t="str">
        <f t="shared" ref="AA135" si="135">IF(AA134&gt;AA133, "BEAT", IF(AA134&lt;AA132, "MISSED", "MET"))</f>
        <v>MISSED</v>
      </c>
      <c r="AC135" s="49"/>
    </row>
    <row r="136" spans="2:29" x14ac:dyDescent="0.2">
      <c r="B136" s="20" t="s">
        <v>392</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393</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394</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3" t="str">
        <f t="shared" ref="T139:Z139" si="141">IF(T138&gt;T137, "BEAT", IF(T138&lt;T136, "MISSED", "MET"))</f>
        <v>MET</v>
      </c>
      <c r="U139" s="223" t="str">
        <f t="shared" si="141"/>
        <v>MET</v>
      </c>
      <c r="V139" s="223" t="str">
        <f t="shared" si="141"/>
        <v>MET</v>
      </c>
      <c r="W139" s="223" t="str">
        <f t="shared" si="141"/>
        <v>MET</v>
      </c>
      <c r="X139" s="223" t="str">
        <f t="shared" si="141"/>
        <v>MET</v>
      </c>
      <c r="Y139" s="223" t="str">
        <f t="shared" si="141"/>
        <v>MET</v>
      </c>
      <c r="Z139" s="223" t="str">
        <f t="shared" si="141"/>
        <v>MET</v>
      </c>
      <c r="AA139" s="223" t="str">
        <f t="shared" ref="AA139" si="142">IF(AA138&gt;AA137, "BEAT", IF(AA138&lt;AA136, "MISSED", "MET"))</f>
        <v>MISSED</v>
      </c>
      <c r="AC139" s="49"/>
    </row>
    <row r="141" spans="2:29" x14ac:dyDescent="0.2">
      <c r="B141" s="1"/>
    </row>
    <row r="142" spans="2:29" ht="17" thickBot="1" x14ac:dyDescent="0.25">
      <c r="B142" s="14" t="s">
        <v>240</v>
      </c>
      <c r="C142" s="167"/>
      <c r="D142" s="167"/>
      <c r="E142" s="167"/>
      <c r="F142" s="167"/>
      <c r="G142" s="167"/>
      <c r="H142" s="167"/>
      <c r="I142" s="167"/>
      <c r="J142" s="167"/>
      <c r="K142" s="167"/>
      <c r="L142" s="167"/>
      <c r="M142" s="167"/>
      <c r="N142" s="167"/>
      <c r="O142" s="167"/>
      <c r="P142" s="167"/>
      <c r="Q142" s="167"/>
      <c r="T142" s="167"/>
      <c r="U142" s="167"/>
      <c r="V142" s="167"/>
      <c r="W142" s="167"/>
      <c r="X142" s="167"/>
      <c r="Y142" s="167"/>
      <c r="Z142" s="167"/>
      <c r="AA142" s="167"/>
      <c r="AC142" s="167"/>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243</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247</v>
      </c>
      <c r="M149" s="175">
        <f>(M107-M106)/M49</f>
        <v>0.33477386934673364</v>
      </c>
      <c r="N149" s="175">
        <f>(N107-N106)/N49</f>
        <v>0.50519069560872698</v>
      </c>
      <c r="O149" s="175">
        <f>(O107-O106)/O49</f>
        <v>0.18877716509892961</v>
      </c>
      <c r="P149" s="175">
        <f>(P107-P106)/P49</f>
        <v>5.0772626931567331E-2</v>
      </c>
      <c r="Q149" s="175">
        <f>(Q107-Q106)/Q49</f>
        <v>0.21956050174478922</v>
      </c>
      <c r="T149" s="175">
        <f t="shared" ref="T149:Z149" si="160">(T107-T106)/T49</f>
        <v>5.0772626931567331E-2</v>
      </c>
      <c r="U149" s="175">
        <f t="shared" si="160"/>
        <v>1.011904761904762E-2</v>
      </c>
      <c r="V149" s="175">
        <f t="shared" si="160"/>
        <v>2.8022215810732835E-2</v>
      </c>
      <c r="W149" s="175">
        <f t="shared" si="160"/>
        <v>0.17556690800837957</v>
      </c>
      <c r="X149" s="175">
        <f t="shared" si="160"/>
        <v>0.21956050174478922</v>
      </c>
      <c r="Y149" s="175">
        <f t="shared" si="160"/>
        <v>0.12980540025137607</v>
      </c>
      <c r="Z149" s="175">
        <f t="shared" si="160"/>
        <v>0.20056455751887969</v>
      </c>
      <c r="AA149" s="175">
        <f t="shared" ref="AA149" si="161">(AA107-AA106)/AA49</f>
        <v>0.25186202906934702</v>
      </c>
      <c r="AC149" s="175">
        <f>(AC107-AC106)/AC49</f>
        <v>0.25186202906934702</v>
      </c>
    </row>
    <row r="150" spans="2:29" x14ac:dyDescent="0.2">
      <c r="B150" s="20" t="s">
        <v>244</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245</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251</v>
      </c>
      <c r="M152" s="177">
        <f>IF(M13&gt;=0,"N/A",IF(M12&lt;=0,"N/A",M12/-M13))</f>
        <v>17.511627906976745</v>
      </c>
      <c r="N152" s="177">
        <f>IF(N13&gt;=0,"N/A",IF(N12&lt;=0,"N/A",N12/-N13))</f>
        <v>32.367346938775512</v>
      </c>
      <c r="O152" s="177">
        <f>IF(O13&gt;=0,"N/A",IF(O12&lt;=0,"N/A",O12/-O13))</f>
        <v>11.221902017291066</v>
      </c>
      <c r="P152" s="177">
        <f>IF(P13&gt;=0,"N/A",IF(P12&lt;=0,"N/A",P12/-P13))</f>
        <v>14.449067431850789</v>
      </c>
      <c r="Q152" s="177">
        <f>IF(Q13&gt;=0,"N/A",IF(Q12&lt;=0,"N/A",Q12/-Q13))</f>
        <v>18.606927710843372</v>
      </c>
      <c r="T152" s="177">
        <f t="shared" ref="T152:Z152" si="166">IF(T13&gt;=0,"N/A",IF(T12&lt;=0,"N/A",T12/-T13))</f>
        <v>14.5</v>
      </c>
      <c r="U152" s="177">
        <f t="shared" si="166"/>
        <v>21.809815950920246</v>
      </c>
      <c r="V152" s="177">
        <f t="shared" si="166"/>
        <v>19.141104294478527</v>
      </c>
      <c r="W152" s="177">
        <f t="shared" si="166"/>
        <v>16.44047619047619</v>
      </c>
      <c r="X152" s="177">
        <f t="shared" si="166"/>
        <v>17.064327485380115</v>
      </c>
      <c r="Y152" s="177">
        <f t="shared" si="166"/>
        <v>19.917159763313609</v>
      </c>
      <c r="Z152" s="177">
        <f t="shared" si="166"/>
        <v>13.502923976608187</v>
      </c>
      <c r="AA152" s="177">
        <f t="shared" ref="AA152" si="167">IF(AA13&gt;=0,"N/A",IF(AA12&lt;=0,"N/A",AA12/-AA13))</f>
        <v>9.1348314606741567</v>
      </c>
      <c r="AC152" s="177">
        <f>IF(AC13&gt;=0,"N/A",IF(AC12&lt;=0,"N/A",AC12/-AC13))</f>
        <v>14.831640058055152</v>
      </c>
    </row>
    <row r="153" spans="2:29" x14ac:dyDescent="0.2">
      <c r="B153" s="20" t="s">
        <v>229</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19.822921184877522</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4.2767382227466646</v>
      </c>
    </row>
    <row r="155" spans="2:29" x14ac:dyDescent="0.2">
      <c r="B155" s="20" t="s">
        <v>230</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6.6588328874105143</v>
      </c>
    </row>
    <row r="156" spans="2:29" x14ac:dyDescent="0.2">
      <c r="B156" s="20" t="s">
        <v>231</v>
      </c>
      <c r="M156" s="141">
        <f>Statement!M116*Statement!M78</f>
        <v>152355.44</v>
      </c>
      <c r="N156" s="141">
        <f>Statement!N116*Statement!N78</f>
        <v>137550.65</v>
      </c>
      <c r="O156" s="141">
        <f>Statement!O116*Statement!O78</f>
        <v>120816.96000000001</v>
      </c>
      <c r="P156" s="141">
        <f>Statement!P116*Statement!P78</f>
        <v>191396.25</v>
      </c>
      <c r="Q156" s="141">
        <f>Statement!Q116*Statement!Q78</f>
        <v>182736</v>
      </c>
      <c r="T156" s="141">
        <f>Statement!T116*Statement!T78</f>
        <v>191396.25</v>
      </c>
      <c r="U156" s="141">
        <f>Statement!U116*Statement!U78</f>
        <v>175794.32</v>
      </c>
      <c r="V156" s="141">
        <f>Statement!V116*Statement!V78</f>
        <v>169213.76</v>
      </c>
      <c r="W156" s="141">
        <f>Statement!W116*Statement!W78</f>
        <v>172174.44</v>
      </c>
      <c r="X156" s="141">
        <f>Statement!X116*Statement!X78</f>
        <v>182736</v>
      </c>
      <c r="Y156" s="141">
        <f>Statement!Y116*Statement!Y78</f>
        <v>188095.56</v>
      </c>
      <c r="Z156" s="141">
        <f>Statement!Z116*Statement!Z78</f>
        <v>134736.6</v>
      </c>
      <c r="AA156" s="141">
        <f>Statement!AA116*Statement!AA78</f>
        <v>201132.18</v>
      </c>
      <c r="AC156" s="141">
        <f ca="1">Statement!AC116*Statement!AC78</f>
        <v>186274.80000000002</v>
      </c>
    </row>
    <row r="157" spans="2:29" x14ac:dyDescent="0.2">
      <c r="B157" s="20" t="s">
        <v>180</v>
      </c>
      <c r="M157" s="141">
        <f>M156+M107-M106+M48+M45</f>
        <v>155686.44</v>
      </c>
      <c r="N157" s="141">
        <f>N156+N107-N106+N48+N45</f>
        <v>146650.65</v>
      </c>
      <c r="O157" s="141">
        <f>O156+O107-O106+O48+O45</f>
        <v>124890.96000000002</v>
      </c>
      <c r="P157" s="141">
        <f>P156+P107-P106+P48+P45</f>
        <v>192730.25</v>
      </c>
      <c r="Q157" s="141">
        <f>Q156+Q107-Q106+Q48+Q45</f>
        <v>187392</v>
      </c>
      <c r="T157" s="141">
        <f t="shared" ref="T157:Z157" si="168">T156+T107-T106+T48+T45</f>
        <v>192730.25</v>
      </c>
      <c r="U157" s="141">
        <f t="shared" si="168"/>
        <v>176066.32</v>
      </c>
      <c r="V157" s="141">
        <f t="shared" si="168"/>
        <v>169990.76</v>
      </c>
      <c r="W157" s="141">
        <f t="shared" si="168"/>
        <v>176951.44</v>
      </c>
      <c r="X157" s="141">
        <f t="shared" si="168"/>
        <v>187392</v>
      </c>
      <c r="Y157" s="141">
        <f t="shared" si="168"/>
        <v>191090.56</v>
      </c>
      <c r="Z157" s="141">
        <f t="shared" si="168"/>
        <v>140207.6</v>
      </c>
      <c r="AA157" s="141">
        <f t="shared" ref="AA157" si="169">AA156+AA107-AA106+AA48+AA45</f>
        <v>208098.18</v>
      </c>
      <c r="AC157" s="141">
        <f ca="1">AC156+AC107-AC106+AC48+AC45</f>
        <v>193240.80000000002</v>
      </c>
    </row>
    <row r="158" spans="2:29" x14ac:dyDescent="0.2">
      <c r="B158" s="20" t="s">
        <v>252</v>
      </c>
      <c r="M158" s="179">
        <f>M157/M5</f>
        <v>4.6382184353214564</v>
      </c>
      <c r="N158" s="179">
        <f>N157/N5</f>
        <v>3.3178880090497738</v>
      </c>
      <c r="O158" s="179">
        <f>O157/O5</f>
        <v>3.4866264656616419</v>
      </c>
      <c r="P158" s="179">
        <f>P157/P5</f>
        <v>4.946621066680355</v>
      </c>
      <c r="Q158" s="179">
        <f>Q157/Q5</f>
        <v>4.231596061783037</v>
      </c>
      <c r="T158" s="49"/>
      <c r="U158" s="49"/>
      <c r="V158" s="49"/>
      <c r="W158" s="49"/>
      <c r="X158" s="49"/>
      <c r="Y158" s="49"/>
      <c r="Z158" s="49"/>
      <c r="AA158" s="49"/>
      <c r="AC158" s="179">
        <f ca="1">AC157/AC5</f>
        <v>4.3850594535717535</v>
      </c>
    </row>
    <row r="159" spans="2:29" x14ac:dyDescent="0.2">
      <c r="B159" s="20" t="s">
        <v>196</v>
      </c>
      <c r="M159" s="179">
        <f>M157/M12</f>
        <v>15.904223107569722</v>
      </c>
      <c r="N159" s="179">
        <f>N157/N12</f>
        <v>9.2465731399747781</v>
      </c>
      <c r="O159" s="179">
        <f>O157/O12</f>
        <v>16.036332819722652</v>
      </c>
      <c r="P159" s="179">
        <f>P157/P12</f>
        <v>19.137151226293316</v>
      </c>
      <c r="Q159" s="179">
        <f>Q157/Q12</f>
        <v>15.167300687980575</v>
      </c>
      <c r="T159" s="49"/>
      <c r="U159" s="49"/>
      <c r="V159" s="49"/>
      <c r="W159" s="49"/>
      <c r="X159" s="49"/>
      <c r="Y159" s="49"/>
      <c r="Z159" s="49"/>
      <c r="AA159" s="49"/>
      <c r="AC159" s="179">
        <f ca="1">AC157/AC12</f>
        <v>18.909952050102753</v>
      </c>
    </row>
    <row r="160" spans="2:29" x14ac:dyDescent="0.2">
      <c r="B160" s="20" t="s">
        <v>253</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254</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AC108+AC53+AC109+AC55+AC57+AC58+AC56</f>
        <v>7780.7648055654645</v>
      </c>
    </row>
    <row r="162" spans="2:29" x14ac:dyDescent="0.2">
      <c r="B162" s="20" t="s">
        <v>255</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25.965263451352108</v>
      </c>
    </row>
    <row r="163" spans="2:29" x14ac:dyDescent="0.2">
      <c r="B163" s="20" t="s">
        <v>256</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24.835707649430269</v>
      </c>
    </row>
    <row r="164" spans="2:29" x14ac:dyDescent="0.2">
      <c r="B164" s="20" t="s">
        <v>257</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3.8512992632390421E-2</v>
      </c>
    </row>
    <row r="165" spans="2:29" x14ac:dyDescent="0.2">
      <c r="B165" s="20" t="s">
        <v>258</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5.0446651665188399E-2</v>
      </c>
    </row>
    <row r="166" spans="2:29" x14ac:dyDescent="0.2">
      <c r="B166" s="20" t="s">
        <v>259</v>
      </c>
      <c r="M166" s="152">
        <f>M82/M116</f>
        <v>1.9868538990140426E-2</v>
      </c>
      <c r="N166" s="152">
        <f>N82/N116</f>
        <v>2.3599306873504415E-2</v>
      </c>
      <c r="O166" s="152">
        <f>O82/O116</f>
        <v>2.8789004457652301E-2</v>
      </c>
      <c r="P166" s="152">
        <f>P82/P116</f>
        <v>1.9396931758067358E-2</v>
      </c>
      <c r="Q166" s="152">
        <f>Q82/Q116</f>
        <v>2.0567375886524825E-2</v>
      </c>
      <c r="T166" s="49"/>
      <c r="U166" s="49"/>
      <c r="V166" s="49"/>
      <c r="W166" s="49"/>
      <c r="X166" s="49"/>
      <c r="Y166" s="49"/>
      <c r="Z166" s="49"/>
      <c r="AA166" s="49"/>
      <c r="AC166" s="152">
        <f ca="1">AC82/AC116</f>
        <v>2.0467502850627137E-2</v>
      </c>
    </row>
    <row r="167" spans="2:29" x14ac:dyDescent="0.2">
      <c r="B167" s="20" t="s">
        <v>284</v>
      </c>
      <c r="M167" s="152">
        <f>-M63/M156</f>
        <v>2.2093073932903214E-2</v>
      </c>
      <c r="N167" s="152">
        <f>-N63/N156</f>
        <v>2.2747984106218328E-2</v>
      </c>
      <c r="O167" s="152">
        <f>-O63/O156</f>
        <v>2.4607472328388332E-2</v>
      </c>
      <c r="P167" s="152">
        <f>-P63/P156</f>
        <v>2.1531247346800158E-2</v>
      </c>
      <c r="Q167" s="152">
        <f>-Q63/Q156</f>
        <v>4.8107652569827512E-2</v>
      </c>
      <c r="T167" s="49"/>
      <c r="U167" s="49"/>
      <c r="V167" s="49"/>
      <c r="W167" s="49"/>
      <c r="X167" s="49"/>
      <c r="Y167" s="49"/>
      <c r="Z167" s="49"/>
      <c r="AA167" s="49"/>
      <c r="AC167" s="152">
        <f ca="1">-AC63/AC156</f>
        <v>4.9657817375189768E-2</v>
      </c>
    </row>
    <row r="168" spans="2:29" x14ac:dyDescent="0.2">
      <c r="B168" s="20" t="s">
        <v>286</v>
      </c>
      <c r="M168" s="152">
        <f>-(M63+M64)/M156</f>
        <v>4.1836379455830394E-2</v>
      </c>
      <c r="N168" s="152">
        <f>-(N63+N64)/N156</f>
        <v>4.6099382300265397E-2</v>
      </c>
      <c r="O168" s="152">
        <f>-(O63+O64)/O156</f>
        <v>5.3262389651254259E-2</v>
      </c>
      <c r="P168" s="152">
        <f>-(P63+P64)/P156</f>
        <v>4.0794947654408067E-2</v>
      </c>
      <c r="Q168" s="152">
        <f>-(Q63+Q64)/Q156</f>
        <v>6.893004115226338E-2</v>
      </c>
      <c r="T168" s="49"/>
      <c r="U168" s="49"/>
      <c r="V168" s="49"/>
      <c r="W168" s="49"/>
      <c r="X168" s="49"/>
      <c r="Y168" s="49"/>
      <c r="Z168" s="49"/>
      <c r="AA168" s="49"/>
      <c r="AC168" s="152">
        <f ca="1">-(AC63+AC64)/AC156</f>
        <v>7.0191995911416893E-2</v>
      </c>
    </row>
    <row r="169" spans="2:29" x14ac:dyDescent="0.2">
      <c r="B169" s="20" t="s">
        <v>343</v>
      </c>
      <c r="M169" s="220">
        <f>M161/M5</f>
        <v>0.23384112648821215</v>
      </c>
      <c r="N169" s="220">
        <f>N161/N5</f>
        <v>0.11905795584207608</v>
      </c>
      <c r="O169" s="220">
        <f>O161/O5</f>
        <v>0.31463370639754373</v>
      </c>
      <c r="P169" s="220">
        <f>P161/P5</f>
        <v>0.28735163264579622</v>
      </c>
      <c r="Q169" s="220">
        <f>Q161/Q5</f>
        <v>0.26627195069724097</v>
      </c>
      <c r="T169" s="49"/>
      <c r="U169" s="49"/>
      <c r="V169" s="49"/>
      <c r="W169" s="49"/>
      <c r="X169" s="49"/>
      <c r="Y169" s="49"/>
      <c r="Z169" s="49"/>
      <c r="AA169" s="49"/>
      <c r="AC169" s="152">
        <f>AC161/AC5</f>
        <v>0.17656269414462794</v>
      </c>
    </row>
    <row r="170" spans="2:29" x14ac:dyDescent="0.2">
      <c r="B170" s="20" t="s">
        <v>344</v>
      </c>
      <c r="M170" s="220">
        <f>M160/M5</f>
        <v>0.20809747959244473</v>
      </c>
      <c r="N170" s="220">
        <f>N160/N5</f>
        <v>0.10866515837104072</v>
      </c>
      <c r="O170" s="220">
        <f>O160/O5</f>
        <v>0.20561139028475711</v>
      </c>
      <c r="P170" s="220">
        <f>P160/P5</f>
        <v>0.21849494379138648</v>
      </c>
      <c r="Q170" s="220">
        <f>Q160/Q5</f>
        <v>0.22665070905970552</v>
      </c>
      <c r="T170" s="49"/>
      <c r="U170" s="49"/>
      <c r="V170" s="49"/>
      <c r="W170" s="49"/>
      <c r="X170" s="49"/>
      <c r="Y170" s="49"/>
      <c r="Z170" s="49"/>
      <c r="AA170" s="49"/>
      <c r="AC170" s="152">
        <f>AC160/AC5</f>
        <v>0.16279386402831986</v>
      </c>
    </row>
    <row r="171" spans="2:29" x14ac:dyDescent="0.2">
      <c r="B171" s="20" t="s">
        <v>262</v>
      </c>
      <c r="M171" s="152">
        <f>-M64/M160</f>
        <v>0.43063707945597707</v>
      </c>
      <c r="N171" s="152">
        <f>-N64/N160</f>
        <v>0.66874869872996046</v>
      </c>
      <c r="O171" s="152">
        <f>-O64/O160</f>
        <v>0.47006109979633404</v>
      </c>
      <c r="P171" s="152">
        <f>-P64/P160</f>
        <v>0.43310231410783506</v>
      </c>
      <c r="Q171" s="152">
        <f>-Q64/Q160</f>
        <v>0.37909733984258243</v>
      </c>
      <c r="T171" s="49"/>
      <c r="U171" s="49"/>
      <c r="V171" s="49"/>
      <c r="W171" s="49"/>
      <c r="X171" s="49"/>
      <c r="Y171" s="49"/>
      <c r="Z171" s="49"/>
      <c r="AA171" s="49"/>
      <c r="AC171" s="152">
        <f>-AC64/AC160</f>
        <v>0.53317535545023698</v>
      </c>
    </row>
    <row r="172" spans="2:29" x14ac:dyDescent="0.2">
      <c r="B172" s="20" t="s">
        <v>264</v>
      </c>
      <c r="M172" s="152">
        <f>-M63/M160</f>
        <v>0.48188976377952758</v>
      </c>
      <c r="N172" s="152">
        <f>-N63/N160</f>
        <v>0.65146783260462215</v>
      </c>
      <c r="O172" s="152">
        <f>-O63/O160</f>
        <v>0.40366598778004076</v>
      </c>
      <c r="P172" s="152">
        <f>-P63/P160</f>
        <v>0.48408316692117936</v>
      </c>
      <c r="Q172" s="152">
        <f>-Q63/Q160</f>
        <v>0.87585932051409787</v>
      </c>
      <c r="T172" s="49"/>
      <c r="U172" s="49"/>
      <c r="V172" s="49"/>
      <c r="W172" s="49"/>
      <c r="X172" s="49"/>
      <c r="Y172" s="49"/>
      <c r="Z172" s="49"/>
      <c r="AA172" s="49"/>
      <c r="AC172" s="152">
        <f>-AC63/AC160</f>
        <v>1.2893783105659324</v>
      </c>
    </row>
    <row r="173" spans="2:29" x14ac:dyDescent="0.2">
      <c r="B173" s="20" t="s">
        <v>275</v>
      </c>
      <c r="M173" s="152">
        <f>(-M64-M63)/M160</f>
        <v>0.9125268432355047</v>
      </c>
      <c r="N173" s="152">
        <f>(-N64-N63)/N160</f>
        <v>1.3202165313345826</v>
      </c>
      <c r="O173" s="152">
        <f>(-O64-O63)/O160</f>
        <v>0.87372708757637474</v>
      </c>
      <c r="P173" s="152">
        <f>(-P64-P63)/P160</f>
        <v>0.91718548102901443</v>
      </c>
      <c r="Q173" s="152">
        <f>(-Q64-Q63)/Q160</f>
        <v>1.2549566603566802</v>
      </c>
      <c r="T173" s="49"/>
      <c r="U173" s="49"/>
      <c r="V173" s="49"/>
      <c r="W173" s="49"/>
      <c r="X173" s="49"/>
      <c r="Y173" s="49"/>
      <c r="Z173" s="49"/>
      <c r="AA173" s="49"/>
      <c r="AC173" s="152">
        <f>(-AC64-AC63)/AC160</f>
        <v>1.8225536660161694</v>
      </c>
    </row>
    <row r="174" spans="2:29" x14ac:dyDescent="0.2">
      <c r="B174" s="20" t="s">
        <v>269</v>
      </c>
      <c r="M174" s="152">
        <f>M80/M78</f>
        <v>8.7873462214411243E-4</v>
      </c>
      <c r="N174" s="152">
        <f>N80/N78</f>
        <v>8.81057268722467E-4</v>
      </c>
      <c r="O174" s="152">
        <f>O80/O78</f>
        <v>8.9126559714795004E-4</v>
      </c>
      <c r="P174" s="152">
        <f>P80/P78</f>
        <v>8.8888888888888893E-4</v>
      </c>
      <c r="Q174" s="152">
        <f>Q80/Q78</f>
        <v>9.2592592592592596E-4</v>
      </c>
      <c r="T174" s="49"/>
      <c r="U174" s="49"/>
      <c r="V174" s="49"/>
      <c r="W174" s="49"/>
      <c r="X174" s="49"/>
      <c r="Y174" s="49"/>
      <c r="Z174" s="49"/>
      <c r="AA174" s="49"/>
      <c r="AC174" s="152">
        <f>AC80/AC78</f>
        <v>9.4161958568738226E-4</v>
      </c>
    </row>
    <row r="175" spans="2:29" x14ac:dyDescent="0.2">
      <c r="B175" s="20" t="s">
        <v>270</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272</v>
      </c>
      <c r="M176" s="152">
        <f>M54/M59</f>
        <v>0.15783978739559607</v>
      </c>
      <c r="N176" s="152">
        <f>N54/N59</f>
        <v>0.22328496042216359</v>
      </c>
      <c r="O176" s="152">
        <f>O54/O59</f>
        <v>0.21984246393486148</v>
      </c>
      <c r="P176" s="152">
        <f>P54/P59</f>
        <v>0.21701360432715949</v>
      </c>
      <c r="Q176" s="152">
        <f>Q54/Q59</f>
        <v>0.19861547245218383</v>
      </c>
      <c r="T176" s="152" t="e">
        <f t="shared" ref="T176:Z176" si="179">T54/T59</f>
        <v>#DIV/0!</v>
      </c>
      <c r="U176" s="152">
        <f t="shared" si="179"/>
        <v>0.16546762589928057</v>
      </c>
      <c r="V176" s="152">
        <f t="shared" si="179"/>
        <v>0.27486296006264682</v>
      </c>
      <c r="W176" s="152">
        <f t="shared" si="179"/>
        <v>0.22921739130434782</v>
      </c>
      <c r="X176" s="152">
        <f t="shared" si="179"/>
        <v>0.16591591591591592</v>
      </c>
      <c r="Y176" s="152">
        <f t="shared" si="179"/>
        <v>0.17885196374622356</v>
      </c>
      <c r="Z176" s="152">
        <f t="shared" si="179"/>
        <v>0.35157207023274806</v>
      </c>
      <c r="AA176" s="152">
        <f t="shared" ref="AA176" si="180">AA54/AA59</f>
        <v>0.83753784056508573</v>
      </c>
      <c r="AC176" s="152">
        <f>AC54/AC59</f>
        <v>0.26143052979598419</v>
      </c>
    </row>
    <row r="177" spans="1:31" x14ac:dyDescent="0.2">
      <c r="B177" s="20" t="s">
        <v>273</v>
      </c>
      <c r="M177" s="152">
        <f>M54/M5</f>
        <v>4.9544181612345826E-2</v>
      </c>
      <c r="N177" s="152">
        <f>N54/N5</f>
        <v>4.5950226244343889E-2</v>
      </c>
      <c r="O177" s="152">
        <f>O54/O5</f>
        <v>6.9346733668341709E-2</v>
      </c>
      <c r="P177" s="152">
        <f>P54/P5</f>
        <v>6.796365689646322E-2</v>
      </c>
      <c r="Q177" s="152">
        <f>Q54/Q5</f>
        <v>6.284436816909042E-2</v>
      </c>
      <c r="T177" s="152">
        <f t="shared" ref="T177:Z177" si="181">T54/T5</f>
        <v>0</v>
      </c>
      <c r="U177" s="152">
        <f t="shared" si="181"/>
        <v>6.5044134030336792E-2</v>
      </c>
      <c r="V177" s="152">
        <f t="shared" si="181"/>
        <v>6.3940249567355861E-2</v>
      </c>
      <c r="W177" s="152">
        <f t="shared" si="181"/>
        <v>6.2971810797897751E-2</v>
      </c>
      <c r="X177" s="152">
        <f t="shared" si="181"/>
        <v>5.8828748890860691E-2</v>
      </c>
      <c r="Y177" s="152">
        <f t="shared" si="181"/>
        <v>7.2477962781586677E-2</v>
      </c>
      <c r="Z177" s="152">
        <f t="shared" si="181"/>
        <v>8.1234078686668557E-2</v>
      </c>
      <c r="AA177" s="152">
        <f t="shared" ref="AA177" si="182">AA54/AA5</f>
        <v>8.3442243892630941E-2</v>
      </c>
      <c r="AC177" s="152">
        <f>AC54/AC5</f>
        <v>7.3568121993283109E-2</v>
      </c>
    </row>
    <row r="178" spans="1:31" x14ac:dyDescent="0.2">
      <c r="B178" s="20" t="s">
        <v>278</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283</v>
      </c>
      <c r="M179" s="152">
        <f>(M106-M107)/M156</f>
        <v>-2.186334797103405E-2</v>
      </c>
      <c r="N179" s="152">
        <f>(N106-N107)/N156</f>
        <v>-6.6157448183632728E-2</v>
      </c>
      <c r="O179" s="152">
        <f>(O106-O107)/O156</f>
        <v>-3.3720431303684517E-2</v>
      </c>
      <c r="P179" s="152">
        <f>(P106-P107)/P156</f>
        <v>-6.9698335259964599E-3</v>
      </c>
      <c r="Q179" s="152">
        <f>(Q106-Q107)/Q156</f>
        <v>-2.5479380089309167E-2</v>
      </c>
      <c r="T179" s="49"/>
      <c r="U179" s="49"/>
      <c r="V179" s="49"/>
      <c r="W179" s="49"/>
      <c r="X179" s="49"/>
      <c r="Y179" s="49"/>
      <c r="Z179" s="49"/>
      <c r="AA179" s="49"/>
      <c r="AC179" s="152">
        <f ca="1">(AC106-AC107)/AC156</f>
        <v>-3.73963627930348E-2</v>
      </c>
    </row>
    <row r="180" spans="1:31" x14ac:dyDescent="0.2">
      <c r="B180" s="20" t="s">
        <v>292</v>
      </c>
      <c r="M180" s="152">
        <f>-M109/M5</f>
        <v>5.6247393195495439E-2</v>
      </c>
      <c r="N180" s="152">
        <f>-N109/N5</f>
        <v>5.1176470588235295E-2</v>
      </c>
      <c r="O180" s="152">
        <f>-O109/O5</f>
        <v>4.0480178671133446E-2</v>
      </c>
      <c r="P180" s="152">
        <f>-P109/P5</f>
        <v>2.6718340947589958E-2</v>
      </c>
      <c r="Q180" s="152">
        <f>-Q109/Q5</f>
        <v>2.6917170987264025E-2</v>
      </c>
      <c r="T180" s="152">
        <f t="shared" ref="T180:Z180" si="185">-T109/T5</f>
        <v>0</v>
      </c>
      <c r="U180" s="152">
        <f t="shared" si="185"/>
        <v>2.3738109520952951E-2</v>
      </c>
      <c r="V180" s="152">
        <f t="shared" si="185"/>
        <v>1.9491756990618454E-2</v>
      </c>
      <c r="W180" s="152">
        <f t="shared" si="185"/>
        <v>2.8093645484949834E-2</v>
      </c>
      <c r="X180" s="152">
        <f t="shared" si="185"/>
        <v>3.6113575865128658E-2</v>
      </c>
      <c r="Y180" s="152">
        <f t="shared" si="185"/>
        <v>4.4809010773751226E-2</v>
      </c>
      <c r="Z180" s="152">
        <f t="shared" si="185"/>
        <v>5.0287762996509104E-2</v>
      </c>
      <c r="AA180" s="152">
        <f t="shared" ref="AA180" si="186">-AA109/AA5</f>
        <v>4.9864280687644515E-2</v>
      </c>
      <c r="AC180" s="152">
        <f>-AC109/AC5</f>
        <v>4.5044022873740583E-2</v>
      </c>
    </row>
    <row r="181" spans="1:31" x14ac:dyDescent="0.2">
      <c r="B181" s="20" t="s">
        <v>293</v>
      </c>
      <c r="M181" s="152">
        <f>-(M109/M59)</f>
        <v>0.1791951404707669</v>
      </c>
      <c r="N181" s="152">
        <f>-(N109/N59)</f>
        <v>0.24868073878627969</v>
      </c>
      <c r="O181" s="152">
        <f>-(O109/O59)</f>
        <v>0.12832994070271705</v>
      </c>
      <c r="P181" s="152">
        <f>-(P109/P59)</f>
        <v>8.5313882970004917E-2</v>
      </c>
      <c r="Q181" s="152">
        <f>-(Q109/Q59)</f>
        <v>8.5069940051384532E-2</v>
      </c>
      <c r="T181" s="152" t="e">
        <f t="shared" ref="T181:Z181" si="187">-(T109/T59)</f>
        <v>#DIV/0!</v>
      </c>
      <c r="U181" s="152">
        <f t="shared" si="187"/>
        <v>6.0388053193808591E-2</v>
      </c>
      <c r="V181" s="152">
        <f t="shared" si="187"/>
        <v>8.3790133124510571E-2</v>
      </c>
      <c r="W181" s="152">
        <f t="shared" si="187"/>
        <v>0.10226086956521739</v>
      </c>
      <c r="X181" s="152">
        <f t="shared" si="187"/>
        <v>0.10185185185185185</v>
      </c>
      <c r="Y181" s="152">
        <f t="shared" si="187"/>
        <v>0.11057401812688822</v>
      </c>
      <c r="Z181" s="152">
        <f t="shared" si="187"/>
        <v>0.21763985300122499</v>
      </c>
      <c r="AA181" s="152">
        <f t="shared" ref="AA181" si="188">-(AA109/AA59)</f>
        <v>0.50050454086781027</v>
      </c>
      <c r="AC181" s="152">
        <f>-(AC109/AC59)</f>
        <v>0.1600677364728651</v>
      </c>
    </row>
    <row r="182" spans="1:31" x14ac:dyDescent="0.2">
      <c r="B182" s="20" t="s">
        <v>294</v>
      </c>
      <c r="M182" s="152">
        <f>-M109/M53</f>
        <v>1.193426042983565</v>
      </c>
      <c r="N182" s="152">
        <f>-N109/N53</f>
        <v>1.2837684449489217</v>
      </c>
      <c r="O182" s="152">
        <f>-O109/O53</f>
        <v>0.80154781647318962</v>
      </c>
      <c r="P182" s="152">
        <f>-P109/P53</f>
        <v>0.61019929660023442</v>
      </c>
      <c r="Q182" s="152">
        <f>-Q109/Q53</f>
        <v>0.74406991260923849</v>
      </c>
      <c r="T182" s="152" t="e">
        <f t="shared" ref="T182:Z182" si="189">-T109/T53</f>
        <v>#DIV/0!</v>
      </c>
      <c r="U182" s="152">
        <f t="shared" si="189"/>
        <v>0.63532110091743121</v>
      </c>
      <c r="V182" s="152">
        <f t="shared" si="189"/>
        <v>0.53904282115869018</v>
      </c>
      <c r="W182" s="152">
        <f t="shared" si="189"/>
        <v>0.7386934673366834</v>
      </c>
      <c r="X182" s="152">
        <f t="shared" si="189"/>
        <v>1.0970350404312668</v>
      </c>
      <c r="Y182" s="152">
        <f t="shared" si="189"/>
        <v>1.3969465648854962</v>
      </c>
      <c r="Z182" s="152">
        <f t="shared" si="189"/>
        <v>1.2905569007263922</v>
      </c>
      <c r="AA182" s="152">
        <f t="shared" ref="AA182" si="190">-AA109/AA53</f>
        <v>1.2525252525252526</v>
      </c>
      <c r="AC182" s="152">
        <f>-AC109/AC53</f>
        <v>1.2619198982835347</v>
      </c>
    </row>
    <row r="183" spans="1:31" x14ac:dyDescent="0.2">
      <c r="B183" s="20" t="s">
        <v>356</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353</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354</v>
      </c>
      <c r="M185" s="224">
        <f>IF(AND(M12&gt;0,M107&gt;0),(M107-M106)/M12,"N/A")</f>
        <v>0.34027990601695779</v>
      </c>
      <c r="N185" s="224">
        <f t="shared" ref="N185:Q185" si="195">IF(AND(N12&gt;0,N107&gt;0),(N107-N106)/N12,"N/A")</f>
        <v>0.57377049180327866</v>
      </c>
      <c r="O185" s="224">
        <f t="shared" si="195"/>
        <v>0.52311248073959937</v>
      </c>
      <c r="P185" s="224">
        <f t="shared" si="195"/>
        <v>0.13245953728527454</v>
      </c>
      <c r="Q185" s="224">
        <f t="shared" si="195"/>
        <v>0.37685147713476325</v>
      </c>
      <c r="T185" s="49"/>
      <c r="U185" s="49"/>
      <c r="V185" s="49"/>
      <c r="W185" s="49"/>
      <c r="X185" s="49"/>
      <c r="Y185" s="49"/>
      <c r="Z185" s="49"/>
      <c r="AA185" s="49"/>
      <c r="AC185" s="224">
        <f t="shared" ref="AC185" si="196">IF(AND(AC12&gt;0,AC107&gt;0),(AC107-AC106)/AC12,"N/A")</f>
        <v>0.68167139641843622</v>
      </c>
    </row>
    <row r="186" spans="1:31" x14ac:dyDescent="0.2">
      <c r="B186" s="20" t="s">
        <v>355</v>
      </c>
      <c r="M186" s="224">
        <f>M5/(M107+M111-M106)</f>
        <v>2.5273699269633312</v>
      </c>
      <c r="N186" s="224">
        <f t="shared" ref="N186:Q186" si="197">N5/(N107+N111-N106)</f>
        <v>1.6302142883487627</v>
      </c>
      <c r="O186" s="224">
        <f t="shared" si="197"/>
        <v>1.3962190606119664</v>
      </c>
      <c r="P186" s="224">
        <f t="shared" si="197"/>
        <v>1.4112576064908722</v>
      </c>
      <c r="Q186" s="224">
        <f t="shared" si="197"/>
        <v>1.7123192328512875</v>
      </c>
      <c r="T186" s="49"/>
      <c r="U186" s="49"/>
      <c r="V186" s="49"/>
      <c r="W186" s="49"/>
      <c r="X186" s="49"/>
      <c r="Y186" s="49"/>
      <c r="Z186" s="49"/>
      <c r="AA186" s="49"/>
      <c r="AC186" s="224">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18" t="s">
        <v>376</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18" t="s">
        <v>377</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18" t="s">
        <v>378</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379</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380</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303</v>
      </c>
      <c r="C197" s="167"/>
      <c r="D197" s="167"/>
      <c r="E197" s="167"/>
      <c r="F197" s="167"/>
      <c r="G197" s="167"/>
      <c r="H197" s="167"/>
      <c r="I197" s="167"/>
      <c r="J197" s="167"/>
      <c r="K197" s="167"/>
      <c r="L197" s="167"/>
      <c r="M197" s="167"/>
      <c r="N197" s="167"/>
      <c r="O197" s="167"/>
      <c r="P197" s="167"/>
      <c r="Q197" s="167"/>
      <c r="T197" s="167"/>
      <c r="U197" s="167"/>
      <c r="V197" s="167"/>
      <c r="W197" s="167"/>
      <c r="X197" s="167"/>
      <c r="Y197" s="167"/>
      <c r="Z197" s="167"/>
      <c r="AA197" s="167"/>
      <c r="AC197" s="167"/>
    </row>
    <row r="198" spans="2:29" x14ac:dyDescent="0.2">
      <c r="B198" s="218" t="s">
        <v>376</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18" t="s">
        <v>377</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18" t="s">
        <v>378</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379</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380</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304</v>
      </c>
      <c r="C205" s="167"/>
      <c r="D205" s="167"/>
      <c r="E205" s="167"/>
      <c r="F205" s="167"/>
      <c r="G205" s="167"/>
      <c r="H205" s="167"/>
      <c r="I205" s="167"/>
      <c r="J205" s="167"/>
      <c r="K205" s="167"/>
      <c r="L205" s="167"/>
      <c r="M205" s="167"/>
      <c r="N205" s="167"/>
      <c r="O205" s="167"/>
      <c r="P205" s="167"/>
      <c r="Q205" s="167"/>
      <c r="T205" s="167"/>
      <c r="U205" s="167"/>
      <c r="V205" s="167"/>
      <c r="W205" s="167"/>
      <c r="X205" s="167"/>
      <c r="Y205" s="167"/>
      <c r="Z205" s="167"/>
      <c r="AA205" s="167"/>
      <c r="AC205" s="167"/>
    </row>
    <row r="206" spans="2:29" x14ac:dyDescent="0.2">
      <c r="B206" s="20" t="s">
        <v>276</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348</v>
      </c>
      <c r="C209" s="167"/>
      <c r="D209" s="167"/>
      <c r="E209" s="167"/>
      <c r="F209" s="167"/>
      <c r="G209" s="167"/>
      <c r="H209" s="167"/>
      <c r="I209" s="167"/>
      <c r="J209" s="167"/>
      <c r="K209" s="167"/>
      <c r="L209" s="167"/>
      <c r="M209" s="167"/>
      <c r="N209" s="167"/>
      <c r="O209" s="167"/>
      <c r="P209" s="167"/>
      <c r="Q209" s="167"/>
      <c r="T209" s="167"/>
      <c r="U209" s="167"/>
      <c r="V209" s="167"/>
      <c r="W209" s="167"/>
      <c r="X209" s="167"/>
      <c r="Y209" s="167"/>
      <c r="Z209" s="167"/>
      <c r="AA209" s="167"/>
      <c r="AC209" s="167"/>
    </row>
    <row r="210" spans="1:31" x14ac:dyDescent="0.2">
      <c r="B210" s="20" t="s">
        <v>349</v>
      </c>
      <c r="M210" s="141">
        <v>100</v>
      </c>
      <c r="N210" s="141">
        <f>100*(1+((N116-$M116)/ABS($M116)))</f>
        <v>90.521362414102185</v>
      </c>
      <c r="O210" s="141">
        <f t="shared" ref="O210:Q210" si="215">100*(1+((O116-$M116)/ABS($M116)))</f>
        <v>80.430236032267715</v>
      </c>
      <c r="P210" s="141">
        <f t="shared" si="215"/>
        <v>127.07648640573647</v>
      </c>
      <c r="Q210" s="141">
        <f t="shared" si="215"/>
        <v>126.38183447863757</v>
      </c>
      <c r="T210" s="49"/>
      <c r="U210" s="49"/>
      <c r="V210" s="49"/>
      <c r="W210" s="49"/>
      <c r="X210" s="49"/>
      <c r="Y210" s="49"/>
      <c r="Z210" s="49"/>
      <c r="AA210" s="49"/>
      <c r="AC210" s="49"/>
    </row>
    <row r="211" spans="1:31" x14ac:dyDescent="0.2">
      <c r="B211" s="20" t="s">
        <v>350</v>
      </c>
      <c r="M211" s="141">
        <v>100</v>
      </c>
      <c r="N211" s="141">
        <f>100*(1+((N5-$M5)/ABS($M5)))</f>
        <v>131.68086754453913</v>
      </c>
      <c r="O211" s="141">
        <f t="shared" ref="O211:Q211" si="216">100*(1+((O5-$M5)/ABS($M5)))</f>
        <v>106.71512840374189</v>
      </c>
      <c r="P211" s="141">
        <f t="shared" si="216"/>
        <v>116.07579097896681</v>
      </c>
      <c r="Q211" s="141">
        <f t="shared" si="216"/>
        <v>131.93112077697671</v>
      </c>
      <c r="T211" s="49"/>
      <c r="U211" s="49"/>
      <c r="V211" s="49"/>
      <c r="W211" s="49"/>
      <c r="X211" s="49"/>
      <c r="Y211" s="49"/>
      <c r="Z211" s="49"/>
      <c r="AA211" s="49"/>
      <c r="AC211" s="49"/>
    </row>
    <row r="212" spans="1:31" x14ac:dyDescent="0.2">
      <c r="B212" s="20" t="s">
        <v>351</v>
      </c>
      <c r="M212" s="141">
        <v>100</v>
      </c>
      <c r="N212" s="141">
        <f>100*(1+((N26-$M26)/ABS($M26)))</f>
        <v>144.98094027954255</v>
      </c>
      <c r="O212" s="141">
        <f t="shared" ref="O212:Q212" si="217">100*(1+((O26-$M26)/ABS($M26)))</f>
        <v>82.846251588310025</v>
      </c>
      <c r="P212" s="141">
        <f t="shared" si="217"/>
        <v>113.59593392630241</v>
      </c>
      <c r="Q212" s="141">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224</v>
      </c>
    </row>
  </sheetData>
  <hyperlinks>
    <hyperlink ref="H6" location="Overview!B3" display="Overview'!B3" xr:uid="{E411EA5B-4A5D-2140-BD20-77381ABB5A05}"/>
    <hyperlink ref="H8" location="'Analysis -&gt;'!B13" display="'Analysis -&gt;'!B13" xr:uid="{AAC82E31-33A4-924A-A4E3-C89D89A459B8}"/>
    <hyperlink ref="H9" location="'Forecast -&gt;'!B13" display="'Forecast -&gt;'!B13" xr:uid="{14C87523-0D9F-614F-B4ED-B1D1A71B3419}"/>
    <hyperlink ref="H10" location="'Valuation -&gt;'!B13" display="'Valuation -&gt;'!B13" xr:uid="{B0BCF9F6-882B-E44A-BD88-3E4DCC55A596}"/>
    <hyperlink ref="H7" location="'Financials -&gt;'!B13" display="'Financials -&gt;'!B13" xr:uid="{3873FC78-7731-A447-9EFD-0C47FAD2FC5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40" t="s">
        <v>225</v>
      </c>
      <c r="C4" s="240"/>
      <c r="E4" s="240" t="s">
        <v>232</v>
      </c>
      <c r="F4" s="240"/>
      <c r="G4" s="240"/>
    </row>
    <row r="5" spans="2:7" x14ac:dyDescent="0.2">
      <c r="B5" s="20" t="s">
        <v>1</v>
      </c>
      <c r="C5" s="168">
        <f ca="1">Overview!C5</f>
        <v>175.4</v>
      </c>
      <c r="E5" s="12"/>
      <c r="F5" s="132" t="s">
        <v>233</v>
      </c>
      <c r="G5" s="132" t="s">
        <v>234</v>
      </c>
    </row>
    <row r="6" spans="2:7" x14ac:dyDescent="0.2">
      <c r="B6" s="20" t="s">
        <v>231</v>
      </c>
      <c r="C6" s="169">
        <f ca="1">Statement!AC156</f>
        <v>186274.80000000002</v>
      </c>
      <c r="E6" s="20" t="s">
        <v>19</v>
      </c>
      <c r="F6" s="174">
        <f>IF(Statement!M5&lt;=0,"N/A",_xlfn.RRI(4,Statement!M5,Statement!Q5))</f>
        <v>7.1733517181768569E-2</v>
      </c>
      <c r="G6" s="174" t="str">
        <f>IF(Statement!H5&lt;=0,"N/A",_xlfn.RRI(9,Statement!H5,Statement!Q5))</f>
        <v>N/A</v>
      </c>
    </row>
    <row r="7" spans="2:7" x14ac:dyDescent="0.2">
      <c r="B7" s="20" t="s">
        <v>180</v>
      </c>
      <c r="C7" s="169">
        <f ca="1">Statement!AC157</f>
        <v>193240.80000000002</v>
      </c>
      <c r="E7" s="20" t="s">
        <v>29</v>
      </c>
      <c r="F7" s="174">
        <f>IF(OR(Statement!M18&lt;=0, Statement!Q18&lt;=0), "N/A", _xlfn.RRI(4, Statement!M18, Statement!Q18))</f>
        <v>5.5900764313489004E-2</v>
      </c>
      <c r="G7" s="174" t="str">
        <f>IF(OR(Statement!H18&lt;=0, Statement!Q18&lt;=0), "N/A", _xlfn.RRI(9, Statement!H18, Statement!Q18))</f>
        <v>N/A</v>
      </c>
    </row>
    <row r="8" spans="2:7" x14ac:dyDescent="0.2">
      <c r="B8" s="20" t="s">
        <v>229</v>
      </c>
      <c r="C8" s="170">
        <f ca="1">Statement!AC153</f>
        <v>19.822921184877522</v>
      </c>
      <c r="E8" s="20" t="s">
        <v>235</v>
      </c>
      <c r="F8" s="174">
        <f>IF(OR(Statement!M26&lt;=0, Statement!Q26&lt;=0), "N/A", _xlfn.RRI(4, Statement!M26, Statement!Q26))</f>
        <v>6.6269494369812332E-2</v>
      </c>
      <c r="G8" s="174" t="str">
        <f>IF(OR(Statement!H26&lt;=0, Statement!Q26&lt;=0), "N/A", _xlfn.RRI(9, Statement!H26, Statement!Q26))</f>
        <v>N/A</v>
      </c>
    </row>
    <row r="9" spans="2:7" x14ac:dyDescent="0.2">
      <c r="B9" s="20" t="s">
        <v>193</v>
      </c>
      <c r="C9" s="170">
        <f ca="1">Statement!AC154</f>
        <v>4.2767382227466646</v>
      </c>
      <c r="E9" s="20" t="s">
        <v>236</v>
      </c>
      <c r="F9" s="174">
        <f>IF(Statement!M82&lt;=0,"N/A",_xlfn.RRI(4,Statement!M82,Statement!Q82))</f>
        <v>6.9484271201477821E-2</v>
      </c>
      <c r="G9" s="174" t="str">
        <f>IF(Statement!H82&lt;=0,"N/A",_xlfn.RRI(9,Statement!H82,Statement!Q82))</f>
        <v>N/A</v>
      </c>
    </row>
    <row r="10" spans="2:7" x14ac:dyDescent="0.2">
      <c r="B10" s="20" t="s">
        <v>230</v>
      </c>
      <c r="C10" s="170">
        <f ca="1">Statement!AC155</f>
        <v>6.6588328874105143</v>
      </c>
      <c r="E10" s="20" t="s">
        <v>1</v>
      </c>
      <c r="F10" s="174">
        <f>IF(Statement!M116&lt;=0,"N/A",_xlfn.RRI(4,Statement!M116,Statement!Q116))</f>
        <v>6.028145101706972E-2</v>
      </c>
      <c r="G10" s="174" t="str">
        <f>IF(Statement!H116&lt;=0,"N/A",_xlfn.RRI(9,Statement!H116,Statement!Q116))</f>
        <v>N/A</v>
      </c>
    </row>
    <row r="11" spans="2:7" x14ac:dyDescent="0.2">
      <c r="B11" s="20" t="s">
        <v>252</v>
      </c>
      <c r="C11" s="170">
        <f ca="1">Statement!AC158</f>
        <v>4.3850594535717535</v>
      </c>
    </row>
    <row r="12" spans="2:7" x14ac:dyDescent="0.2">
      <c r="B12" s="20" t="s">
        <v>196</v>
      </c>
      <c r="C12" s="170">
        <f ca="1">Statement!AC159</f>
        <v>18.909952050102753</v>
      </c>
    </row>
    <row r="15" spans="2:7" x14ac:dyDescent="0.2">
      <c r="B15" s="240" t="s">
        <v>75</v>
      </c>
      <c r="C15" s="240"/>
      <c r="E15" s="240" t="s">
        <v>238</v>
      </c>
      <c r="F15" s="240"/>
    </row>
    <row r="16" spans="2:7" x14ac:dyDescent="0.2">
      <c r="B16" s="20" t="s">
        <v>76</v>
      </c>
      <c r="C16" s="171">
        <f>Statement!AC100</f>
        <v>0.54227557411273486</v>
      </c>
      <c r="E16" s="20" t="s">
        <v>29</v>
      </c>
      <c r="F16" s="169">
        <f>Statement!AC18</f>
        <v>9521</v>
      </c>
    </row>
    <row r="17" spans="2:6" x14ac:dyDescent="0.2">
      <c r="B17" s="20" t="s">
        <v>77</v>
      </c>
      <c r="C17" s="171">
        <f>Statement!AC101</f>
        <v>0.23189162203866751</v>
      </c>
      <c r="E17" s="20" t="s">
        <v>239</v>
      </c>
      <c r="F17" s="169">
        <f>Statement!AC59</f>
        <v>12401</v>
      </c>
    </row>
    <row r="18" spans="2:6" x14ac:dyDescent="0.2">
      <c r="B18" s="20" t="s">
        <v>78</v>
      </c>
      <c r="C18" s="171">
        <f>Statement!AC102</f>
        <v>0.21605246437324135</v>
      </c>
      <c r="E18" s="20" t="s">
        <v>246</v>
      </c>
      <c r="F18" s="173">
        <f>IF(OR(F16&lt;=0, F17&lt;=0),"N/A",F16-F17)</f>
        <v>-2880</v>
      </c>
    </row>
    <row r="21" spans="2:6" x14ac:dyDescent="0.2">
      <c r="B21" s="240" t="s">
        <v>237</v>
      </c>
      <c r="C21" s="240"/>
      <c r="E21" s="240" t="s">
        <v>241</v>
      </c>
      <c r="F21" s="240"/>
    </row>
    <row r="22" spans="2:6" x14ac:dyDescent="0.2">
      <c r="B22" s="20" t="s">
        <v>92</v>
      </c>
      <c r="C22" s="171">
        <f>Statement!AC120</f>
        <v>0.21605246437324135</v>
      </c>
      <c r="E22" s="20" t="s">
        <v>94</v>
      </c>
      <c r="F22" s="171">
        <f>C24</f>
        <v>0.16596649641780117</v>
      </c>
    </row>
    <row r="23" spans="2:6" x14ac:dyDescent="0.2">
      <c r="B23" s="20" t="s">
        <v>93</v>
      </c>
      <c r="C23" s="170">
        <f>Statement!AC121</f>
        <v>0.76817682639845208</v>
      </c>
      <c r="E23" s="20" t="s">
        <v>96</v>
      </c>
      <c r="F23" s="171">
        <f>C26</f>
        <v>0.3442403644515149</v>
      </c>
    </row>
    <row r="24" spans="2:6" x14ac:dyDescent="0.2">
      <c r="B24" s="32" t="s">
        <v>94</v>
      </c>
      <c r="C24" s="172">
        <f>Statement!AC122</f>
        <v>0.16596649641780117</v>
      </c>
      <c r="E24" s="20" t="s">
        <v>97</v>
      </c>
      <c r="F24" s="171">
        <f>Statement!AC143</f>
        <v>0.25062860459696928</v>
      </c>
    </row>
    <row r="25" spans="2:6" x14ac:dyDescent="0.2">
      <c r="B25" s="20" t="s">
        <v>95</v>
      </c>
      <c r="C25" s="170">
        <f>Statement!AC123</f>
        <v>2.0741557596355484</v>
      </c>
    </row>
    <row r="26" spans="2:6" x14ac:dyDescent="0.2">
      <c r="B26" s="32" t="s">
        <v>96</v>
      </c>
      <c r="C26" s="172">
        <f>Statement!AC124</f>
        <v>0.3442403644515149</v>
      </c>
    </row>
    <row r="29" spans="2:6" x14ac:dyDescent="0.2">
      <c r="B29" s="240" t="s">
        <v>242</v>
      </c>
      <c r="C29" s="240"/>
      <c r="E29" s="240" t="s">
        <v>248</v>
      </c>
      <c r="F29" s="240"/>
    </row>
    <row r="30" spans="2:6" x14ac:dyDescent="0.2">
      <c r="B30" s="20" t="s">
        <v>131</v>
      </c>
      <c r="C30" s="170">
        <f>Statement!AC144</f>
        <v>38.663429245711178</v>
      </c>
      <c r="E30" s="20" t="s">
        <v>249</v>
      </c>
      <c r="F30" s="176">
        <f>Statement!AC148</f>
        <v>0.55210065803745756</v>
      </c>
    </row>
    <row r="31" spans="2:6" x14ac:dyDescent="0.2">
      <c r="B31" s="20" t="s">
        <v>132</v>
      </c>
      <c r="C31" s="170">
        <f>Statement!AC145</f>
        <v>151.62039561747062</v>
      </c>
      <c r="E31" s="20" t="s">
        <v>250</v>
      </c>
      <c r="F31" s="176">
        <f>Statement!AC149</f>
        <v>0.25186202906934702</v>
      </c>
    </row>
    <row r="32" spans="2:6" x14ac:dyDescent="0.2">
      <c r="B32" s="20" t="s">
        <v>133</v>
      </c>
      <c r="C32" s="170">
        <f>Statement!AC146</f>
        <v>52.422041544792023</v>
      </c>
      <c r="E32" s="20" t="s">
        <v>245</v>
      </c>
      <c r="F32" s="176">
        <f>Statement!AC151</f>
        <v>2.0155962498904758</v>
      </c>
    </row>
    <row r="33" spans="2:6" x14ac:dyDescent="0.2">
      <c r="B33" s="20" t="s">
        <v>134</v>
      </c>
      <c r="C33" s="170">
        <f>Statement!AC147</f>
        <v>137.86178331838977</v>
      </c>
      <c r="E33" s="20" t="s">
        <v>244</v>
      </c>
      <c r="F33" s="176">
        <f>Statement!AC150</f>
        <v>1.1365986156137737</v>
      </c>
    </row>
    <row r="34" spans="2:6" x14ac:dyDescent="0.2">
      <c r="E34" s="20" t="s">
        <v>251</v>
      </c>
      <c r="F34" s="178">
        <f>Statement!AC152</f>
        <v>14.831640058055152</v>
      </c>
    </row>
    <row r="37" spans="2:6" x14ac:dyDescent="0.2">
      <c r="B37" s="240" t="s">
        <v>260</v>
      </c>
      <c r="C37" s="240"/>
      <c r="E37" s="240" t="s">
        <v>263</v>
      </c>
      <c r="F37" s="240"/>
    </row>
    <row r="38" spans="2:6" x14ac:dyDescent="0.2">
      <c r="B38" s="20" t="s">
        <v>258</v>
      </c>
      <c r="C38" s="171">
        <f ca="1">Statement!AC165</f>
        <v>5.0446651665188399E-2</v>
      </c>
      <c r="E38" s="20" t="s">
        <v>262</v>
      </c>
      <c r="F38" s="171">
        <f>Statement!AC171</f>
        <v>0.53317535545023698</v>
      </c>
    </row>
    <row r="39" spans="2:6" x14ac:dyDescent="0.2">
      <c r="B39" s="54" t="s">
        <v>261</v>
      </c>
      <c r="C39" s="211">
        <f ca="1">Statement!AC164</f>
        <v>3.8512992632390421E-2</v>
      </c>
      <c r="E39" s="20" t="s">
        <v>264</v>
      </c>
      <c r="F39" s="171">
        <f>Statement!AC172</f>
        <v>1.2893783105659324</v>
      </c>
    </row>
    <row r="40" spans="2:6" x14ac:dyDescent="0.2">
      <c r="B40" s="20" t="s">
        <v>259</v>
      </c>
      <c r="C40" s="171">
        <f ca="1">Statement!AC166</f>
        <v>2.0467502850627137E-2</v>
      </c>
      <c r="E40" s="20" t="s">
        <v>265</v>
      </c>
      <c r="F40" s="171">
        <f>Statement!AC173</f>
        <v>1.8225536660161694</v>
      </c>
    </row>
    <row r="41" spans="2:6" x14ac:dyDescent="0.2">
      <c r="B41" s="20" t="s">
        <v>284</v>
      </c>
      <c r="C41" s="171">
        <f ca="1">Statement!AC167</f>
        <v>4.9657817375189768E-2</v>
      </c>
    </row>
    <row r="42" spans="2:6" x14ac:dyDescent="0.2">
      <c r="B42" s="20" t="s">
        <v>286</v>
      </c>
      <c r="C42" s="171">
        <f ca="1">Statement!AC168</f>
        <v>7.0191995911416893E-2</v>
      </c>
    </row>
    <row r="45" spans="2:6" x14ac:dyDescent="0.2">
      <c r="B45" s="240" t="s">
        <v>271</v>
      </c>
      <c r="C45" s="240"/>
      <c r="E45" s="240" t="s">
        <v>277</v>
      </c>
      <c r="F45" s="240"/>
    </row>
    <row r="46" spans="2:6" x14ac:dyDescent="0.2">
      <c r="B46" s="20" t="s">
        <v>269</v>
      </c>
      <c r="C46" s="171">
        <f>Statement!AC174</f>
        <v>9.4161958568738226E-4</v>
      </c>
      <c r="E46" s="20" t="s">
        <v>270</v>
      </c>
      <c r="F46" s="170">
        <f>Statement!AC175</f>
        <v>7.9085714285714284</v>
      </c>
    </row>
    <row r="47" spans="2:6" x14ac:dyDescent="0.2">
      <c r="E47" s="20" t="s">
        <v>278</v>
      </c>
      <c r="F47" s="170">
        <f>Statement!AC178</f>
        <v>-6.6342857142857143</v>
      </c>
    </row>
    <row r="48" spans="2:6" x14ac:dyDescent="0.2">
      <c r="E48" s="20" t="s">
        <v>283</v>
      </c>
      <c r="F48" s="171">
        <f ca="1">Statement!AC179</f>
        <v>-3.73963627930348E-2</v>
      </c>
    </row>
    <row r="51" spans="2:6" x14ac:dyDescent="0.2">
      <c r="B51" s="240" t="s">
        <v>274</v>
      </c>
      <c r="C51" s="240"/>
      <c r="E51" s="240" t="s">
        <v>295</v>
      </c>
      <c r="F51" s="240"/>
    </row>
    <row r="52" spans="2:6" x14ac:dyDescent="0.2">
      <c r="B52" s="20" t="s">
        <v>272</v>
      </c>
      <c r="C52" s="171">
        <f>Statement!AC176</f>
        <v>0.26143052979598419</v>
      </c>
      <c r="E52" s="20" t="s">
        <v>296</v>
      </c>
      <c r="F52" s="171">
        <f>Statement!AC180</f>
        <v>4.5044022873740583E-2</v>
      </c>
    </row>
    <row r="53" spans="2:6" x14ac:dyDescent="0.2">
      <c r="B53" s="20" t="s">
        <v>273</v>
      </c>
      <c r="C53" s="171">
        <f>Statement!AC177</f>
        <v>7.3568121993283109E-2</v>
      </c>
      <c r="E53" s="20" t="s">
        <v>293</v>
      </c>
      <c r="F53" s="171">
        <f>Statement!AC181</f>
        <v>0.1600677364728651</v>
      </c>
    </row>
    <row r="54" spans="2:6" x14ac:dyDescent="0.2">
      <c r="E54" s="20" t="s">
        <v>294</v>
      </c>
      <c r="F54" s="171">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225</v>
      </c>
      <c r="C5" s="14"/>
      <c r="D5" s="14"/>
      <c r="E5" s="14"/>
      <c r="F5" s="14"/>
      <c r="G5" s="14"/>
      <c r="I5" s="14"/>
    </row>
    <row r="6" spans="2:9" x14ac:dyDescent="0.2">
      <c r="B6" s="20" t="s">
        <v>1</v>
      </c>
      <c r="C6" s="168">
        <f>Statement!M115</f>
        <v>133.88</v>
      </c>
      <c r="D6" s="168">
        <f>Statement!N115</f>
        <v>121.19</v>
      </c>
      <c r="E6" s="168">
        <f>Statement!O115</f>
        <v>107.68</v>
      </c>
      <c r="F6" s="168">
        <f>Statement!P115</f>
        <v>170.13</v>
      </c>
      <c r="G6" s="168">
        <f>Statement!Q115</f>
        <v>169.2</v>
      </c>
      <c r="I6" s="168">
        <f ca="1">Statement!AC115</f>
        <v>175.4</v>
      </c>
    </row>
    <row r="7" spans="2:9" x14ac:dyDescent="0.2">
      <c r="B7" s="20" t="s">
        <v>231</v>
      </c>
      <c r="C7" s="169">
        <f>Statement!M156</f>
        <v>152355.44</v>
      </c>
      <c r="D7" s="169">
        <f>Statement!N156</f>
        <v>137550.65</v>
      </c>
      <c r="E7" s="169">
        <f>Statement!O156</f>
        <v>120816.96000000001</v>
      </c>
      <c r="F7" s="169">
        <f>Statement!P156</f>
        <v>191396.25</v>
      </c>
      <c r="G7" s="169">
        <f>Statement!Q156</f>
        <v>182736</v>
      </c>
      <c r="I7" s="169">
        <f ca="1">Statement!AC156</f>
        <v>186274.80000000002</v>
      </c>
    </row>
    <row r="8" spans="2:9" x14ac:dyDescent="0.2">
      <c r="B8" s="20" t="s">
        <v>180</v>
      </c>
      <c r="C8" s="169">
        <f>Statement!M157</f>
        <v>155686.44</v>
      </c>
      <c r="D8" s="169">
        <f>Statement!N157</f>
        <v>146650.65</v>
      </c>
      <c r="E8" s="169">
        <f>Statement!O157</f>
        <v>124890.96000000002</v>
      </c>
      <c r="F8" s="169">
        <f>Statement!P157</f>
        <v>192730.25</v>
      </c>
      <c r="G8" s="169">
        <f>Statement!Q157</f>
        <v>187392</v>
      </c>
      <c r="I8" s="169">
        <f ca="1">Statement!AC157</f>
        <v>193240.80000000002</v>
      </c>
    </row>
    <row r="9" spans="2:9" x14ac:dyDescent="0.2">
      <c r="B9" s="20" t="s">
        <v>229</v>
      </c>
      <c r="C9" s="170">
        <f>Statement!M153</f>
        <v>17.011435832274458</v>
      </c>
      <c r="D9" s="170">
        <f>Statement!N153</f>
        <v>10.621384750219105</v>
      </c>
      <c r="E9" s="170">
        <f>Statement!O153</f>
        <v>16.515337423312886</v>
      </c>
      <c r="F9" s="170">
        <f>Statement!P153</f>
        <v>19.030201342281881</v>
      </c>
      <c r="G9" s="170">
        <f>Statement!Q153</f>
        <v>16.632506004803844</v>
      </c>
      <c r="I9" s="170">
        <f ca="1">Statement!AC153</f>
        <v>19.822921184877522</v>
      </c>
    </row>
    <row r="10" spans="2:9" x14ac:dyDescent="0.2">
      <c r="B10" s="20" t="s">
        <v>193</v>
      </c>
      <c r="C10" s="170">
        <f>Statement!M154</f>
        <v>4.5828552702139067</v>
      </c>
      <c r="D10" s="170">
        <f>Statement!N154</f>
        <v>3.1174893665158372</v>
      </c>
      <c r="E10" s="170">
        <f>Statement!O154</f>
        <v>3.3849156895589059</v>
      </c>
      <c r="F10" s="170">
        <f>Statement!P154</f>
        <v>4.9342153893537288</v>
      </c>
      <c r="G10" s="170">
        <f>Statement!Q154</f>
        <v>4.2219763345677892</v>
      </c>
      <c r="I10" s="170">
        <f ca="1">Statement!AC154</f>
        <v>4.2767382227466646</v>
      </c>
    </row>
    <row r="11" spans="2:9" x14ac:dyDescent="0.2">
      <c r="B11" s="20" t="s">
        <v>230</v>
      </c>
      <c r="C11" s="170">
        <f>Statement!M155</f>
        <v>15.069909547738693</v>
      </c>
      <c r="D11" s="170">
        <f>Statement!N155</f>
        <v>7.5419968911341808</v>
      </c>
      <c r="E11" s="170">
        <f>Statement!O155</f>
        <v>5.5533960428154394</v>
      </c>
      <c r="F11" s="170">
        <f>Statement!P155</f>
        <v>7.1939723681205754</v>
      </c>
      <c r="G11" s="170">
        <f>Statement!Q155</f>
        <v>8.5453739507686493</v>
      </c>
      <c r="I11" s="170">
        <f ca="1">Statement!AC155</f>
        <v>6.6588328874105143</v>
      </c>
    </row>
    <row r="12" spans="2:9" x14ac:dyDescent="0.2">
      <c r="B12" s="20" t="s">
        <v>252</v>
      </c>
      <c r="C12" s="170">
        <f>Statement!M158</f>
        <v>4.6382184353214564</v>
      </c>
      <c r="D12" s="170">
        <f>Statement!N158</f>
        <v>3.3178880090497738</v>
      </c>
      <c r="E12" s="170">
        <f>Statement!O158</f>
        <v>3.4866264656616419</v>
      </c>
      <c r="F12" s="170">
        <f>Statement!P158</f>
        <v>4.946621066680355</v>
      </c>
      <c r="G12" s="170">
        <f>Statement!Q158</f>
        <v>4.231596061783037</v>
      </c>
      <c r="I12" s="170">
        <f ca="1">Statement!AC158</f>
        <v>4.3850594535717535</v>
      </c>
    </row>
    <row r="13" spans="2:9" x14ac:dyDescent="0.2">
      <c r="B13" s="20" t="s">
        <v>196</v>
      </c>
      <c r="C13" s="170">
        <f>Statement!M159</f>
        <v>15.904223107569722</v>
      </c>
      <c r="D13" s="170">
        <f>Statement!N159</f>
        <v>9.2465731399747781</v>
      </c>
      <c r="E13" s="170">
        <f>Statement!O159</f>
        <v>16.036332819722652</v>
      </c>
      <c r="F13" s="170">
        <f>Statement!P159</f>
        <v>19.137151226293316</v>
      </c>
      <c r="G13" s="170">
        <f>Statement!Q159</f>
        <v>15.167300687980575</v>
      </c>
      <c r="I13" s="170">
        <f ca="1">Statement!AC159</f>
        <v>18.909952050102753</v>
      </c>
    </row>
    <row r="15" spans="2:9" ht="17" thickBot="1" x14ac:dyDescent="0.25">
      <c r="B15" s="14" t="s">
        <v>75</v>
      </c>
      <c r="C15" s="14"/>
      <c r="D15" s="14"/>
      <c r="E15" s="14"/>
      <c r="F15" s="14"/>
      <c r="G15" s="14"/>
      <c r="I15" s="14"/>
    </row>
    <row r="16" spans="2:9" x14ac:dyDescent="0.2">
      <c r="B16" s="20" t="s">
        <v>76</v>
      </c>
      <c r="C16" s="171">
        <f>Statement!M100</f>
        <v>0.57510576178275641</v>
      </c>
      <c r="D16" s="171">
        <f>Statement!N100</f>
        <v>0.57798642533936651</v>
      </c>
      <c r="E16" s="171">
        <f>Statement!O100</f>
        <v>0.55697934115019543</v>
      </c>
      <c r="F16" s="171">
        <f>Statement!P100</f>
        <v>0.56213746727580716</v>
      </c>
      <c r="G16" s="171">
        <f>Statement!Q100</f>
        <v>0.55428597236022037</v>
      </c>
      <c r="I16" s="171">
        <f>Statement!AC100</f>
        <v>0.54227557411273486</v>
      </c>
    </row>
    <row r="17" spans="2:9" x14ac:dyDescent="0.2">
      <c r="B17" s="20" t="s">
        <v>77</v>
      </c>
      <c r="C17" s="171">
        <f>Statement!M101</f>
        <v>0.2916343919442293</v>
      </c>
      <c r="D17" s="171">
        <f>Statement!N101</f>
        <v>0.35882352941176471</v>
      </c>
      <c r="E17" s="171">
        <f>Statement!O101</f>
        <v>0.21742043551088777</v>
      </c>
      <c r="F17" s="171">
        <f>Statement!P101</f>
        <v>0.25848262409527234</v>
      </c>
      <c r="G17" s="171">
        <f>Statement!Q101</f>
        <v>0.27899467076144885</v>
      </c>
      <c r="I17" s="171">
        <f>Statement!AC101</f>
        <v>0.23189162203866751</v>
      </c>
    </row>
    <row r="18" spans="2:9" x14ac:dyDescent="0.2">
      <c r="B18" s="20" t="s">
        <v>78</v>
      </c>
      <c r="C18" s="171">
        <f>Statement!M102</f>
        <v>0.2694095215396532</v>
      </c>
      <c r="D18" s="171">
        <f>Statement!N102</f>
        <v>0.29380090497737554</v>
      </c>
      <c r="E18" s="171">
        <f>Statement!O102</f>
        <v>0.2048855388051368</v>
      </c>
      <c r="F18" s="171">
        <f>Statement!P102</f>
        <v>0.25948359940454802</v>
      </c>
      <c r="G18" s="171">
        <f>Statement!Q102</f>
        <v>0.25383885827838498</v>
      </c>
      <c r="I18" s="171">
        <f>Statement!AC102</f>
        <v>0.21605246437324135</v>
      </c>
    </row>
    <row r="20" spans="2:9" ht="17" thickBot="1" x14ac:dyDescent="0.25">
      <c r="B20" s="14" t="s">
        <v>238</v>
      </c>
      <c r="C20" s="14"/>
      <c r="D20" s="14"/>
      <c r="E20" s="14"/>
      <c r="F20" s="14"/>
      <c r="G20" s="14"/>
      <c r="I20" s="14"/>
    </row>
    <row r="21" spans="2:9" x14ac:dyDescent="0.2">
      <c r="B21" s="20" t="s">
        <v>29</v>
      </c>
      <c r="C21" s="173">
        <f>Statement!M18</f>
        <v>9043</v>
      </c>
      <c r="D21" s="173">
        <f>Statement!N18</f>
        <v>12986</v>
      </c>
      <c r="E21" s="173">
        <f>Statement!O18</f>
        <v>7339</v>
      </c>
      <c r="F21" s="173">
        <f>Statement!P18</f>
        <v>10110</v>
      </c>
      <c r="G21" s="173">
        <f>Statement!Q18</f>
        <v>11241</v>
      </c>
      <c r="I21" s="173">
        <f>Statement!AC18</f>
        <v>9521</v>
      </c>
    </row>
    <row r="22" spans="2:9" x14ac:dyDescent="0.2">
      <c r="B22" s="20" t="s">
        <v>239</v>
      </c>
      <c r="C22" s="173">
        <f>Statement!M59</f>
        <v>10536</v>
      </c>
      <c r="D22" s="173">
        <f>Statement!N59</f>
        <v>9096</v>
      </c>
      <c r="E22" s="173">
        <f>Statement!O59</f>
        <v>11299</v>
      </c>
      <c r="F22" s="173">
        <f>Statement!P59</f>
        <v>12202</v>
      </c>
      <c r="G22" s="173">
        <f>Statement!Q59</f>
        <v>14012</v>
      </c>
      <c r="I22" s="173">
        <f>Statement!AC59</f>
        <v>12401</v>
      </c>
    </row>
    <row r="23" spans="2:9" x14ac:dyDescent="0.2">
      <c r="B23" s="20" t="s">
        <v>246</v>
      </c>
      <c r="C23" s="191">
        <f>IF(OR(C21&lt;=0, C22&lt;=0),"N/A",C21-C22)</f>
        <v>-1493</v>
      </c>
      <c r="D23" s="191">
        <f t="shared" ref="D23:I23" si="0">IF(OR(D21&lt;=0, D22&lt;=0),"N/A",D21-D22)</f>
        <v>3890</v>
      </c>
      <c r="E23" s="191">
        <f t="shared" si="0"/>
        <v>-3960</v>
      </c>
      <c r="F23" s="191">
        <f t="shared" si="0"/>
        <v>-2092</v>
      </c>
      <c r="G23" s="191">
        <f t="shared" si="0"/>
        <v>-2771</v>
      </c>
      <c r="I23" s="191">
        <f t="shared" si="0"/>
        <v>-2880</v>
      </c>
    </row>
    <row r="25" spans="2:9" ht="17" thickBot="1" x14ac:dyDescent="0.25">
      <c r="B25" s="14" t="s">
        <v>237</v>
      </c>
      <c r="C25" s="14"/>
      <c r="D25" s="14"/>
      <c r="E25" s="14"/>
      <c r="F25" s="14"/>
      <c r="G25" s="14"/>
      <c r="I25" s="14"/>
    </row>
    <row r="26" spans="2:9" x14ac:dyDescent="0.2">
      <c r="B26" s="20" t="s">
        <v>92</v>
      </c>
      <c r="C26" s="171">
        <f>Statement!M120</f>
        <v>0.2694095215396532</v>
      </c>
      <c r="D26" s="171">
        <f>Statement!N120</f>
        <v>0.29380090497737554</v>
      </c>
      <c r="E26" s="171">
        <f>Statement!O120</f>
        <v>0.2048855388051368</v>
      </c>
      <c r="F26" s="171">
        <f>Statement!P120</f>
        <v>0.25948359940454802</v>
      </c>
      <c r="G26" s="171">
        <f>Statement!Q120</f>
        <v>0.25383885827838498</v>
      </c>
      <c r="I26" s="171">
        <f>Statement!AC120</f>
        <v>0.21605246437324135</v>
      </c>
    </row>
    <row r="27" spans="2:9" x14ac:dyDescent="0.2">
      <c r="B27" s="20" t="s">
        <v>93</v>
      </c>
      <c r="C27" s="210">
        <f>Statement!M121</f>
        <v>0.81391852570320078</v>
      </c>
      <c r="D27" s="210">
        <f>Statement!N121</f>
        <v>0.90178316399396086</v>
      </c>
      <c r="E27" s="210">
        <f>Statement!O121</f>
        <v>0.70180250783699061</v>
      </c>
      <c r="F27" s="210">
        <f>Statement!P121</f>
        <v>0.70642201834862384</v>
      </c>
      <c r="G27" s="210">
        <f>Statement!Q121</f>
        <v>0.88315417904792293</v>
      </c>
      <c r="I27" s="210">
        <f>Statement!AC121</f>
        <v>0.76817682639845208</v>
      </c>
    </row>
    <row r="28" spans="2:9" x14ac:dyDescent="0.2">
      <c r="B28" s="32" t="s">
        <v>94</v>
      </c>
      <c r="C28" s="172">
        <f>Statement!M122</f>
        <v>0.21927740058195924</v>
      </c>
      <c r="D28" s="172">
        <f>Statement!N122</f>
        <v>0.26494470967478678</v>
      </c>
      <c r="E28" s="172">
        <f>Statement!O122</f>
        <v>0.14378918495297807</v>
      </c>
      <c r="F28" s="172">
        <f>Statement!P122</f>
        <v>0.18330492801972659</v>
      </c>
      <c r="G28" s="172">
        <f>Statement!Q122</f>
        <v>0.22417884849330916</v>
      </c>
      <c r="I28" s="172">
        <f>Statement!AC122</f>
        <v>0.16596649641780117</v>
      </c>
    </row>
    <row r="29" spans="2:9" x14ac:dyDescent="0.2">
      <c r="B29" s="20" t="s">
        <v>95</v>
      </c>
      <c r="C29" s="210">
        <f>Statement!M123</f>
        <v>4.1447236180904525</v>
      </c>
      <c r="D29" s="210">
        <f>Statement!N123</f>
        <v>2.7210348081940818</v>
      </c>
      <c r="E29" s="210">
        <f>Statement!O123</f>
        <v>2.3650433251471203</v>
      </c>
      <c r="F29" s="210">
        <f>Statement!P123</f>
        <v>2.099185506584456</v>
      </c>
      <c r="G29" s="210">
        <f>Statement!Q123</f>
        <v>2.3645666320852587</v>
      </c>
      <c r="I29" s="210">
        <f>Statement!AC123</f>
        <v>2.0741557596355484</v>
      </c>
    </row>
    <row r="30" spans="2:9" x14ac:dyDescent="0.2">
      <c r="B30" s="32" t="s">
        <v>96</v>
      </c>
      <c r="C30" s="172">
        <f>Statement!M124</f>
        <v>0.90884422110552765</v>
      </c>
      <c r="D30" s="172">
        <f>Statement!N124</f>
        <v>0.7209237772719701</v>
      </c>
      <c r="E30" s="172">
        <f>Statement!O124</f>
        <v>0.34006765210138556</v>
      </c>
      <c r="F30" s="172">
        <f>Statement!P124</f>
        <v>0.38479104818451698</v>
      </c>
      <c r="G30" s="172">
        <f>Statement!Q124</f>
        <v>0.53008582476657551</v>
      </c>
      <c r="I30" s="172">
        <f>Statement!AC124</f>
        <v>0.3442403644515149</v>
      </c>
    </row>
    <row r="32" spans="2:9" ht="17" thickBot="1" x14ac:dyDescent="0.25">
      <c r="B32" s="14" t="s">
        <v>297</v>
      </c>
      <c r="C32" s="14"/>
      <c r="D32" s="14"/>
      <c r="E32" s="14"/>
      <c r="F32" s="14"/>
      <c r="G32" s="14"/>
      <c r="I32" s="14"/>
    </row>
    <row r="33" spans="2:9" x14ac:dyDescent="0.2">
      <c r="B33" s="20" t="s">
        <v>94</v>
      </c>
      <c r="C33" s="171">
        <f>C28</f>
        <v>0.21927740058195924</v>
      </c>
      <c r="D33" s="171">
        <f t="shared" ref="D33:G33" si="1">D28</f>
        <v>0.26494470967478678</v>
      </c>
      <c r="E33" s="171">
        <f t="shared" si="1"/>
        <v>0.14378918495297807</v>
      </c>
      <c r="F33" s="171">
        <f t="shared" si="1"/>
        <v>0.18330492801972659</v>
      </c>
      <c r="G33" s="171">
        <f t="shared" si="1"/>
        <v>0.22417884849330916</v>
      </c>
      <c r="I33" s="171">
        <f>I28</f>
        <v>0.16596649641780117</v>
      </c>
    </row>
    <row r="34" spans="2:9" x14ac:dyDescent="0.2">
      <c r="B34" s="20" t="s">
        <v>96</v>
      </c>
      <c r="C34" s="171">
        <f>C30</f>
        <v>0.90884422110552765</v>
      </c>
      <c r="D34" s="171">
        <f t="shared" ref="D34:G34" si="2">D30</f>
        <v>0.7209237772719701</v>
      </c>
      <c r="E34" s="171">
        <f t="shared" si="2"/>
        <v>0.34006765210138556</v>
      </c>
      <c r="F34" s="171">
        <f t="shared" si="2"/>
        <v>0.38479104818451698</v>
      </c>
      <c r="G34" s="171">
        <f t="shared" si="2"/>
        <v>0.53008582476657551</v>
      </c>
      <c r="I34" s="171">
        <f>I30</f>
        <v>0.3442403644515149</v>
      </c>
    </row>
    <row r="35" spans="2:9" x14ac:dyDescent="0.2">
      <c r="B35" s="20" t="s">
        <v>97</v>
      </c>
      <c r="C35" s="171">
        <f>Statement!M143</f>
        <v>0.64875470609918895</v>
      </c>
      <c r="D35" s="171">
        <f>Statement!N143</f>
        <v>0.50648624822851629</v>
      </c>
      <c r="E35" s="171">
        <f>Statement!O143</f>
        <v>0.29932486311284412</v>
      </c>
      <c r="F35" s="171">
        <f>Statement!P143</f>
        <v>0.35680941434169483</v>
      </c>
      <c r="G35" s="171">
        <f>Statement!Q143</f>
        <v>0.42408116405060003</v>
      </c>
      <c r="I35" s="171">
        <f>Statement!AC143</f>
        <v>0.25062860459696928</v>
      </c>
    </row>
    <row r="37" spans="2:9" ht="17" thickBot="1" x14ac:dyDescent="0.25">
      <c r="B37" s="14" t="s">
        <v>242</v>
      </c>
      <c r="C37" s="14"/>
      <c r="D37" s="14"/>
      <c r="E37" s="14"/>
      <c r="F37" s="14"/>
      <c r="G37" s="14"/>
      <c r="I37" s="14"/>
    </row>
    <row r="38" spans="2:9" x14ac:dyDescent="0.2">
      <c r="B38" s="20" t="s">
        <v>131</v>
      </c>
      <c r="C38" s="170">
        <f>Statement!M144</f>
        <v>38.91839957099446</v>
      </c>
      <c r="D38" s="170">
        <f>Statement!N144</f>
        <v>46.599434389140271</v>
      </c>
      <c r="E38" s="170">
        <f>Statement!O144</f>
        <v>32.434254606365158</v>
      </c>
      <c r="F38" s="170">
        <f>Statement!P144</f>
        <v>36.807273753914075</v>
      </c>
      <c r="G38" s="170">
        <f>Statement!Q144</f>
        <v>35.565328335290403</v>
      </c>
      <c r="I38" s="170">
        <f>Statement!AC144</f>
        <v>38.663429245711178</v>
      </c>
    </row>
    <row r="39" spans="2:9" x14ac:dyDescent="0.2">
      <c r="B39" s="20" t="s">
        <v>132</v>
      </c>
      <c r="C39" s="170">
        <f>Statement!M145</f>
        <v>82.612536811106438</v>
      </c>
      <c r="D39" s="170">
        <f>Statement!N145</f>
        <v>124.08004074411623</v>
      </c>
      <c r="E39" s="170">
        <f>Statement!O145</f>
        <v>147.7112609490201</v>
      </c>
      <c r="F39" s="170">
        <f>Statement!P145</f>
        <v>137.42057444314187</v>
      </c>
      <c r="G39" s="170">
        <f>Statement!Q145</f>
        <v>120.68041341574629</v>
      </c>
      <c r="I39" s="170">
        <f>Statement!AC145</f>
        <v>151.62039561747062</v>
      </c>
    </row>
    <row r="40" spans="2:9" x14ac:dyDescent="0.2">
      <c r="B40" s="20" t="s">
        <v>133</v>
      </c>
      <c r="C40" s="170">
        <f>Statement!M146</f>
        <v>70.379329687280887</v>
      </c>
      <c r="D40" s="170">
        <f>Statement!N146</f>
        <v>74.279740524312444</v>
      </c>
      <c r="E40" s="170">
        <f>Statement!O146</f>
        <v>43.977566324280041</v>
      </c>
      <c r="F40" s="170">
        <f>Statement!P146</f>
        <v>55.284876905041038</v>
      </c>
      <c r="G40" s="170">
        <f>Statement!Q146</f>
        <v>51.611865437227685</v>
      </c>
      <c r="I40" s="170">
        <f>Statement!AC146</f>
        <v>52.422041544792023</v>
      </c>
    </row>
    <row r="41" spans="2:9" x14ac:dyDescent="0.2">
      <c r="B41" s="20" t="s">
        <v>134</v>
      </c>
      <c r="C41" s="170">
        <f>Statement!M147</f>
        <v>51.151606694820003</v>
      </c>
      <c r="D41" s="170">
        <f>Statement!N147</f>
        <v>96.399734608944073</v>
      </c>
      <c r="E41" s="170">
        <f>Statement!O147</f>
        <v>136.16794923110521</v>
      </c>
      <c r="F41" s="170">
        <f>Statement!P147</f>
        <v>118.9429712920149</v>
      </c>
      <c r="G41" s="170">
        <f>Statement!Q147</f>
        <v>104.633876313809</v>
      </c>
      <c r="I41" s="170">
        <f>Statement!AC147</f>
        <v>137.86178331838977</v>
      </c>
    </row>
    <row r="43" spans="2:9" ht="17" thickBot="1" x14ac:dyDescent="0.25">
      <c r="B43" s="14" t="s">
        <v>248</v>
      </c>
      <c r="C43" s="14"/>
      <c r="D43" s="14"/>
      <c r="E43" s="14"/>
      <c r="F43" s="14"/>
      <c r="G43" s="14"/>
      <c r="I43" s="14"/>
    </row>
    <row r="44" spans="2:9" x14ac:dyDescent="0.2">
      <c r="B44" s="20" t="s">
        <v>249</v>
      </c>
      <c r="C44" s="176">
        <f>Statement!M148</f>
        <v>1.5824120603015075</v>
      </c>
      <c r="D44" s="176">
        <f>Statement!N148</f>
        <v>0.85949036806750678</v>
      </c>
      <c r="E44" s="176">
        <f>Statement!O148</f>
        <v>0.71349798433807521</v>
      </c>
      <c r="F44" s="176">
        <f>Statement!P148</f>
        <v>0.55697647864809319</v>
      </c>
      <c r="G44" s="176">
        <f>Statement!Q148</f>
        <v>0.69843440535697443</v>
      </c>
      <c r="I44" s="176">
        <f>Statement!AC148</f>
        <v>0.55210065803745756</v>
      </c>
    </row>
    <row r="45" spans="2:9" x14ac:dyDescent="0.2">
      <c r="B45" s="20" t="s">
        <v>250</v>
      </c>
      <c r="C45" s="176">
        <f>Statement!M149</f>
        <v>0.33477386934673364</v>
      </c>
      <c r="D45" s="176">
        <f>Statement!N149</f>
        <v>0.50519069560872698</v>
      </c>
      <c r="E45" s="176">
        <f>Statement!O149</f>
        <v>0.18877716509892961</v>
      </c>
      <c r="F45" s="176">
        <f>Statement!P149</f>
        <v>5.0772626931567331E-2</v>
      </c>
      <c r="G45" s="176">
        <f>Statement!Q149</f>
        <v>0.21956050174478922</v>
      </c>
      <c r="I45" s="176">
        <f>Statement!AC149</f>
        <v>0.25186202906934702</v>
      </c>
    </row>
    <row r="46" spans="2:9" x14ac:dyDescent="0.2">
      <c r="B46" s="20" t="s">
        <v>244</v>
      </c>
      <c r="C46" s="176">
        <f>Statement!M150</f>
        <v>1.3382143753660782</v>
      </c>
      <c r="D46" s="176">
        <f>Statement!N150</f>
        <v>1.0133996291926513</v>
      </c>
      <c r="E46" s="176">
        <f>Statement!O150</f>
        <v>1.5067511425010387</v>
      </c>
      <c r="F46" s="176">
        <f>Statement!P150</f>
        <v>1.6402322924600152</v>
      </c>
      <c r="G46" s="176">
        <f>Statement!Q150</f>
        <v>1.5824584426946631</v>
      </c>
      <c r="I46" s="176">
        <f>Statement!AC150</f>
        <v>1.1365986156137737</v>
      </c>
    </row>
    <row r="47" spans="2:9" x14ac:dyDescent="0.2">
      <c r="B47" s="20" t="s">
        <v>245</v>
      </c>
      <c r="C47" s="176">
        <f>Statement!M151</f>
        <v>1.6797757509831812</v>
      </c>
      <c r="D47" s="176">
        <f>Statement!N151</f>
        <v>1.7465026125063206</v>
      </c>
      <c r="E47" s="176">
        <f>Statement!O151</f>
        <v>2.3331948483589531</v>
      </c>
      <c r="F47" s="176">
        <f>Statement!P151</f>
        <v>2.402037319116527</v>
      </c>
      <c r="G47" s="176">
        <f>Statement!Q151</f>
        <v>2.8164916885389326</v>
      </c>
      <c r="I47" s="176">
        <f>Statement!AC151</f>
        <v>2.0155962498904758</v>
      </c>
    </row>
    <row r="48" spans="2:9" x14ac:dyDescent="0.2">
      <c r="B48" s="20" t="s">
        <v>251</v>
      </c>
      <c r="C48" s="178">
        <f>Statement!M152</f>
        <v>17.511627906976745</v>
      </c>
      <c r="D48" s="178">
        <f>Statement!N152</f>
        <v>32.367346938775512</v>
      </c>
      <c r="E48" s="178">
        <f>Statement!O152</f>
        <v>11.221902017291066</v>
      </c>
      <c r="F48" s="178">
        <f>Statement!P152</f>
        <v>14.449067431850789</v>
      </c>
      <c r="G48" s="178">
        <f>Statement!Q152</f>
        <v>18.606927710843372</v>
      </c>
      <c r="I48" s="178">
        <f>Statement!AC152</f>
        <v>14.831640058055152</v>
      </c>
    </row>
    <row r="50" spans="2:9" ht="17" thickBot="1" x14ac:dyDescent="0.25">
      <c r="B50" s="14" t="s">
        <v>260</v>
      </c>
      <c r="C50" s="14"/>
      <c r="D50" s="14"/>
      <c r="E50" s="14"/>
      <c r="F50" s="14"/>
      <c r="G50" s="14"/>
      <c r="I50" s="14"/>
    </row>
    <row r="51" spans="2:9" x14ac:dyDescent="0.2">
      <c r="B51" s="20" t="s">
        <v>258</v>
      </c>
      <c r="C51" s="171">
        <f>Statement!M165</f>
        <v>5.8783985658798929E-2</v>
      </c>
      <c r="D51" s="171">
        <f>Statement!N165</f>
        <v>9.4149682317022865E-2</v>
      </c>
      <c r="E51" s="171">
        <f>Statement!O165</f>
        <v>6.0549777117384837E-2</v>
      </c>
      <c r="F51" s="171">
        <f>Statement!P165</f>
        <v>5.254805149003703E-2</v>
      </c>
      <c r="G51" s="171">
        <f>Statement!Q165</f>
        <v>6.0123230961779149E-2</v>
      </c>
      <c r="I51" s="171">
        <f ca="1">Statement!AC165</f>
        <v>5.0446651665188399E-2</v>
      </c>
    </row>
    <row r="52" spans="2:9" x14ac:dyDescent="0.2">
      <c r="B52" s="20" t="s">
        <v>261</v>
      </c>
      <c r="C52" s="171">
        <f>Statement!M164</f>
        <v>4.5846738390174974E-2</v>
      </c>
      <c r="D52" s="171">
        <f>Statement!N164</f>
        <v>3.4918046552306369E-2</v>
      </c>
      <c r="E52" s="171">
        <f>Statement!O164</f>
        <v>6.0959984426027604E-2</v>
      </c>
      <c r="F52" s="171">
        <f>Statement!P164</f>
        <v>4.4478405402404698E-2</v>
      </c>
      <c r="G52" s="171">
        <f>Statement!Q164</f>
        <v>5.4926232378951056E-2</v>
      </c>
      <c r="I52" s="171">
        <f ca="1">Statement!AC164</f>
        <v>3.8512992632390421E-2</v>
      </c>
    </row>
    <row r="53" spans="2:9" x14ac:dyDescent="0.2">
      <c r="B53" s="20" t="s">
        <v>259</v>
      </c>
      <c r="C53" s="171">
        <f>Statement!M166</f>
        <v>1.9868538990140426E-2</v>
      </c>
      <c r="D53" s="171">
        <f>Statement!N166</f>
        <v>2.3599306873504415E-2</v>
      </c>
      <c r="E53" s="171">
        <f>Statement!O166</f>
        <v>2.8789004457652301E-2</v>
      </c>
      <c r="F53" s="171">
        <f>Statement!P166</f>
        <v>1.9396931758067358E-2</v>
      </c>
      <c r="G53" s="171">
        <f>Statement!Q166</f>
        <v>2.0567375886524825E-2</v>
      </c>
      <c r="I53" s="171">
        <f ca="1">Statement!AC166</f>
        <v>2.0467502850627137E-2</v>
      </c>
    </row>
    <row r="54" spans="2:9" x14ac:dyDescent="0.2">
      <c r="B54" s="20" t="s">
        <v>284</v>
      </c>
      <c r="C54" s="171">
        <f>Statement!M167</f>
        <v>2.2093073932903214E-2</v>
      </c>
      <c r="D54" s="171">
        <f>Statement!N167</f>
        <v>2.2747984106218328E-2</v>
      </c>
      <c r="E54" s="171">
        <f>Statement!O167</f>
        <v>2.4607472328388332E-2</v>
      </c>
      <c r="F54" s="171">
        <f>Statement!P167</f>
        <v>2.1531247346800158E-2</v>
      </c>
      <c r="G54" s="171">
        <f>Statement!Q167</f>
        <v>4.8107652569827512E-2</v>
      </c>
      <c r="I54" s="171">
        <f ca="1">Statement!AC167</f>
        <v>4.9657817375189768E-2</v>
      </c>
    </row>
    <row r="55" spans="2:9" x14ac:dyDescent="0.2">
      <c r="B55" s="20" t="s">
        <v>286</v>
      </c>
      <c r="C55" s="171">
        <f>Statement!M168</f>
        <v>4.1836379455830394E-2</v>
      </c>
      <c r="D55" s="171">
        <f>Statement!N168</f>
        <v>4.6099382300265397E-2</v>
      </c>
      <c r="E55" s="171">
        <f>Statement!O168</f>
        <v>5.3262389651254259E-2</v>
      </c>
      <c r="F55" s="171">
        <f>Statement!P168</f>
        <v>4.0794947654408067E-2</v>
      </c>
      <c r="G55" s="171">
        <f>Statement!Q168</f>
        <v>6.893004115226338E-2</v>
      </c>
      <c r="I55" s="171">
        <f ca="1">Statement!AC168</f>
        <v>7.0191995911416893E-2</v>
      </c>
    </row>
    <row r="57" spans="2:9" ht="17" thickBot="1" x14ac:dyDescent="0.25">
      <c r="B57" s="14" t="s">
        <v>263</v>
      </c>
      <c r="C57" s="14"/>
      <c r="D57" s="14"/>
      <c r="E57" s="14"/>
      <c r="F57" s="14"/>
      <c r="G57" s="14"/>
      <c r="I57" s="14"/>
    </row>
    <row r="58" spans="2:9" x14ac:dyDescent="0.2">
      <c r="B58" s="20" t="s">
        <v>262</v>
      </c>
      <c r="C58" s="171">
        <f>Statement!M171</f>
        <v>0.43063707945597707</v>
      </c>
      <c r="D58" s="171">
        <f>Statement!N171</f>
        <v>0.66874869872996046</v>
      </c>
      <c r="E58" s="171">
        <f>Statement!O171</f>
        <v>0.47006109979633404</v>
      </c>
      <c r="F58" s="171">
        <f>Statement!P171</f>
        <v>0.43310231410783506</v>
      </c>
      <c r="G58" s="171">
        <f>Statement!Q171</f>
        <v>0.37909733984258243</v>
      </c>
      <c r="I58" s="171">
        <f>Statement!AC171</f>
        <v>0.53317535545023698</v>
      </c>
    </row>
    <row r="59" spans="2:9" x14ac:dyDescent="0.2">
      <c r="B59" s="20" t="s">
        <v>264</v>
      </c>
      <c r="C59" s="171">
        <f>Statement!M172</f>
        <v>0.48188976377952758</v>
      </c>
      <c r="D59" s="171">
        <f>Statement!N172</f>
        <v>0.65146783260462215</v>
      </c>
      <c r="E59" s="171">
        <f>Statement!O172</f>
        <v>0.40366598778004076</v>
      </c>
      <c r="F59" s="171">
        <f>Statement!P172</f>
        <v>0.48408316692117936</v>
      </c>
      <c r="G59" s="171">
        <f>Statement!Q172</f>
        <v>0.87585932051409787</v>
      </c>
      <c r="I59" s="171">
        <f>Statement!AC172</f>
        <v>1.2893783105659324</v>
      </c>
    </row>
    <row r="60" spans="2:9" x14ac:dyDescent="0.2">
      <c r="B60" s="20" t="s">
        <v>265</v>
      </c>
      <c r="C60" s="171">
        <f>Statement!M173</f>
        <v>0.9125268432355047</v>
      </c>
      <c r="D60" s="171">
        <f>Statement!N173</f>
        <v>1.3202165313345826</v>
      </c>
      <c r="E60" s="171">
        <f>Statement!O173</f>
        <v>0.87372708757637474</v>
      </c>
      <c r="F60" s="171">
        <f>Statement!P173</f>
        <v>0.91718548102901443</v>
      </c>
      <c r="G60" s="171">
        <f>Statement!Q173</f>
        <v>1.2549566603566802</v>
      </c>
      <c r="I60" s="171">
        <f>Statement!AC173</f>
        <v>1.8225536660161694</v>
      </c>
    </row>
    <row r="62" spans="2:9" ht="17" thickBot="1" x14ac:dyDescent="0.25">
      <c r="B62" s="14" t="s">
        <v>271</v>
      </c>
      <c r="C62" s="14"/>
      <c r="D62" s="14"/>
      <c r="E62" s="14"/>
      <c r="F62" s="14"/>
      <c r="G62" s="14"/>
      <c r="I62" s="14"/>
    </row>
    <row r="63" spans="2:9" x14ac:dyDescent="0.2">
      <c r="B63" s="20" t="s">
        <v>269</v>
      </c>
      <c r="C63" s="171">
        <f>Statement!M174</f>
        <v>8.7873462214411243E-4</v>
      </c>
      <c r="D63" s="171">
        <f>Statement!N174</f>
        <v>8.81057268722467E-4</v>
      </c>
      <c r="E63" s="171">
        <f>Statement!O174</f>
        <v>8.9126559714795004E-4</v>
      </c>
      <c r="F63" s="171">
        <f>Statement!P174</f>
        <v>8.8888888888888893E-4</v>
      </c>
      <c r="G63" s="171">
        <f>Statement!Q174</f>
        <v>9.2592592592592596E-4</v>
      </c>
      <c r="I63" s="171">
        <f>Statement!AC174</f>
        <v>9.4161958568738226E-4</v>
      </c>
    </row>
    <row r="65" spans="2:9" ht="17" thickBot="1" x14ac:dyDescent="0.25">
      <c r="B65" s="14" t="s">
        <v>277</v>
      </c>
      <c r="C65" s="14"/>
      <c r="D65" s="14"/>
      <c r="E65" s="14"/>
      <c r="F65" s="14"/>
      <c r="G65" s="14"/>
      <c r="I65" s="14"/>
    </row>
    <row r="66" spans="2:9" x14ac:dyDescent="0.2">
      <c r="B66" s="20" t="s">
        <v>270</v>
      </c>
      <c r="C66" s="170">
        <f>Statement!M175</f>
        <v>11.083928571428572</v>
      </c>
      <c r="D66" s="170">
        <f>Statement!N175</f>
        <v>5.6931311329170384</v>
      </c>
      <c r="E66" s="170">
        <f>Statement!O175</f>
        <v>10.174303683737646</v>
      </c>
      <c r="F66" s="170">
        <f>Statement!P175</f>
        <v>11.971197119711972</v>
      </c>
      <c r="G66" s="170">
        <f>Statement!Q175</f>
        <v>9.4817927170868348</v>
      </c>
      <c r="I66" s="170">
        <f>Statement!AC175</f>
        <v>7.9085714285714284</v>
      </c>
    </row>
    <row r="67" spans="2:9" x14ac:dyDescent="0.2">
      <c r="B67" s="20" t="s">
        <v>278</v>
      </c>
      <c r="C67" s="170">
        <f>Statement!M178</f>
        <v>-2.9741071428571431</v>
      </c>
      <c r="D67" s="170">
        <f>Statement!N178</f>
        <v>-8.1177520071364846</v>
      </c>
      <c r="E67" s="170">
        <f>Statement!O178</f>
        <v>-3.6603773584905661</v>
      </c>
      <c r="F67" s="170">
        <f>Statement!P178</f>
        <v>-1.2007200720072007</v>
      </c>
      <c r="G67" s="170">
        <f>Statement!Q178</f>
        <v>-4.3473389355742293</v>
      </c>
      <c r="I67" s="170">
        <f>Statement!AC178</f>
        <v>-6.6342857142857143</v>
      </c>
    </row>
    <row r="68" spans="2:9" x14ac:dyDescent="0.2">
      <c r="B68" s="20" t="s">
        <v>283</v>
      </c>
      <c r="C68" s="192">
        <f>Statement!M179</f>
        <v>-2.186334797103405E-2</v>
      </c>
      <c r="D68" s="192">
        <f>Statement!N179</f>
        <v>-6.6157448183632728E-2</v>
      </c>
      <c r="E68" s="192">
        <f>Statement!O179</f>
        <v>-3.3720431303684517E-2</v>
      </c>
      <c r="F68" s="192">
        <f>Statement!P179</f>
        <v>-6.9698335259964599E-3</v>
      </c>
      <c r="G68" s="192">
        <f>Statement!Q179</f>
        <v>-2.5479380089309167E-2</v>
      </c>
      <c r="I68" s="192">
        <f ca="1">Statement!AC179</f>
        <v>-3.73963627930348E-2</v>
      </c>
    </row>
    <row r="70" spans="2:9" ht="17" thickBot="1" x14ac:dyDescent="0.25">
      <c r="B70" s="14" t="s">
        <v>298</v>
      </c>
      <c r="C70" s="14"/>
      <c r="D70" s="14"/>
      <c r="E70" s="14"/>
      <c r="F70" s="14"/>
      <c r="G70" s="14"/>
      <c r="I70" s="14"/>
    </row>
    <row r="71" spans="2:9" x14ac:dyDescent="0.2">
      <c r="B71" s="20" t="s">
        <v>272</v>
      </c>
      <c r="C71" s="171">
        <f>Statement!M176</f>
        <v>0.15783978739559607</v>
      </c>
      <c r="D71" s="171">
        <f>Statement!N176</f>
        <v>0.22328496042216359</v>
      </c>
      <c r="E71" s="171">
        <f>Statement!O176</f>
        <v>0.21984246393486148</v>
      </c>
      <c r="F71" s="171">
        <f>Statement!P176</f>
        <v>0.21701360432715949</v>
      </c>
      <c r="G71" s="171">
        <f>Statement!Q176</f>
        <v>0.19861547245218383</v>
      </c>
      <c r="I71" s="171">
        <f>Statement!AC176</f>
        <v>0.26143052979598419</v>
      </c>
    </row>
    <row r="72" spans="2:9" x14ac:dyDescent="0.2">
      <c r="B72" s="20" t="s">
        <v>273</v>
      </c>
      <c r="C72" s="171">
        <f>Statement!M177</f>
        <v>4.9544181612345826E-2</v>
      </c>
      <c r="D72" s="171">
        <f>Statement!N177</f>
        <v>4.5950226244343889E-2</v>
      </c>
      <c r="E72" s="171">
        <f>Statement!O177</f>
        <v>6.9346733668341709E-2</v>
      </c>
      <c r="F72" s="171">
        <f>Statement!P177</f>
        <v>6.796365689646322E-2</v>
      </c>
      <c r="G72" s="171">
        <f>Statement!Q177</f>
        <v>6.284436816909042E-2</v>
      </c>
      <c r="I72" s="171">
        <f>Statement!AC177</f>
        <v>7.3568121993283109E-2</v>
      </c>
    </row>
    <row r="74" spans="2:9" ht="17" thickBot="1" x14ac:dyDescent="0.25">
      <c r="B74" s="14" t="s">
        <v>299</v>
      </c>
      <c r="C74" s="14"/>
      <c r="D74" s="14"/>
      <c r="E74" s="14"/>
      <c r="F74" s="14"/>
      <c r="G74" s="14"/>
      <c r="I74" s="14"/>
    </row>
    <row r="75" spans="2:9" x14ac:dyDescent="0.2">
      <c r="B75" s="20" t="s">
        <v>296</v>
      </c>
      <c r="C75" s="171">
        <f>Statement!M180</f>
        <v>5.6247393195495439E-2</v>
      </c>
      <c r="D75" s="171">
        <f>Statement!N180</f>
        <v>5.1176470588235295E-2</v>
      </c>
      <c r="E75" s="171">
        <f>Statement!O180</f>
        <v>4.0480178671133446E-2</v>
      </c>
      <c r="F75" s="171">
        <f>Statement!P180</f>
        <v>2.6718340947589958E-2</v>
      </c>
      <c r="G75" s="171">
        <f>Statement!Q180</f>
        <v>2.6917170987264025E-2</v>
      </c>
      <c r="I75" s="171">
        <f>Statement!AC180</f>
        <v>4.5044022873740583E-2</v>
      </c>
    </row>
    <row r="76" spans="2:9" x14ac:dyDescent="0.2">
      <c r="B76" s="20" t="s">
        <v>293</v>
      </c>
      <c r="C76" s="171">
        <f>Statement!M181</f>
        <v>0.1791951404707669</v>
      </c>
      <c r="D76" s="171">
        <f>Statement!N181</f>
        <v>0.24868073878627969</v>
      </c>
      <c r="E76" s="171">
        <f>Statement!O181</f>
        <v>0.12832994070271705</v>
      </c>
      <c r="F76" s="171">
        <f>Statement!P181</f>
        <v>8.5313882970004917E-2</v>
      </c>
      <c r="G76" s="171">
        <f>Statement!Q181</f>
        <v>8.5069940051384532E-2</v>
      </c>
      <c r="I76" s="171">
        <f>Statement!AC181</f>
        <v>0.1600677364728651</v>
      </c>
    </row>
    <row r="77" spans="2:9" x14ac:dyDescent="0.2">
      <c r="B77" s="20" t="s">
        <v>294</v>
      </c>
      <c r="C77" s="171">
        <f>Statement!M182</f>
        <v>1.193426042983565</v>
      </c>
      <c r="D77" s="171">
        <f>Statement!N182</f>
        <v>1.2837684449489217</v>
      </c>
      <c r="E77" s="171">
        <f>Statement!O182</f>
        <v>0.80154781647318962</v>
      </c>
      <c r="F77" s="171">
        <f>Statement!P182</f>
        <v>0.61019929660023442</v>
      </c>
      <c r="G77" s="171">
        <f>Statement!Q182</f>
        <v>0.74406991260923849</v>
      </c>
      <c r="I77" s="171">
        <f>Statement!AC182</f>
        <v>1.2619198982835347</v>
      </c>
    </row>
    <row r="79" spans="2:9" ht="17" thickBot="1" x14ac:dyDescent="0.25">
      <c r="B79" s="14" t="s">
        <v>114</v>
      </c>
      <c r="C79" s="14"/>
      <c r="D79" s="14"/>
      <c r="E79" s="14"/>
      <c r="F79" s="14"/>
      <c r="G79" s="14"/>
      <c r="I79" s="14"/>
    </row>
    <row r="80" spans="2:9" x14ac:dyDescent="0.2">
      <c r="B80" s="20" t="s">
        <v>19</v>
      </c>
      <c r="C80" s="171">
        <f>Statement!M89</f>
        <v>1</v>
      </c>
      <c r="D80" s="171">
        <f>Statement!N89</f>
        <v>0.31680867544539115</v>
      </c>
      <c r="E80" s="171">
        <f>Statement!O89</f>
        <v>-0.18959276018099547</v>
      </c>
      <c r="F80" s="171">
        <f>Statement!P89</f>
        <v>8.7716359575656058E-2</v>
      </c>
      <c r="G80" s="171">
        <f>Statement!Q89</f>
        <v>0.1365946306657769</v>
      </c>
      <c r="I80" s="193"/>
    </row>
    <row r="81" spans="2:9" x14ac:dyDescent="0.2">
      <c r="B81" s="20" t="s">
        <v>20</v>
      </c>
      <c r="C81" s="171">
        <f>Statement!M90</f>
        <v>1</v>
      </c>
      <c r="D81" s="171">
        <f>Statement!N90</f>
        <v>0.30788108259711122</v>
      </c>
      <c r="E81" s="171">
        <f>Statement!O90</f>
        <v>-0.14925213102450008</v>
      </c>
      <c r="F81" s="171">
        <f>Statement!P90</f>
        <v>7.5051988153002708E-2</v>
      </c>
      <c r="G81" s="171">
        <f>Statement!Q90</f>
        <v>0.15697538100820632</v>
      </c>
      <c r="I81" s="193"/>
    </row>
    <row r="82" spans="2:9" x14ac:dyDescent="0.2">
      <c r="B82" s="20" t="s">
        <v>21</v>
      </c>
      <c r="C82" s="171">
        <f>Statement!M91</f>
        <v>1</v>
      </c>
      <c r="D82" s="171">
        <f>Statement!N91</f>
        <v>0.32340447575631992</v>
      </c>
      <c r="E82" s="171">
        <f>Statement!O91</f>
        <v>-0.21904724625200611</v>
      </c>
      <c r="F82" s="171">
        <f>Statement!P91</f>
        <v>9.7789584481980857E-2</v>
      </c>
      <c r="G82" s="171">
        <f>Statement!Q91</f>
        <v>0.12071956898913341</v>
      </c>
      <c r="I82" s="193"/>
    </row>
    <row r="83" spans="2:9" x14ac:dyDescent="0.2">
      <c r="B83" s="20" t="s">
        <v>23</v>
      </c>
      <c r="C83" s="171">
        <f>Statement!M94</f>
        <v>1</v>
      </c>
      <c r="D83" s="171">
        <f>Statement!N94</f>
        <v>1.9968470835522858E-2</v>
      </c>
      <c r="E83" s="171">
        <f>Statement!O94</f>
        <v>0.2532715095311695</v>
      </c>
      <c r="F83" s="171">
        <f>Statement!P94</f>
        <v>-2.72958973937351E-2</v>
      </c>
      <c r="G83" s="171">
        <f>Statement!Q94</f>
        <v>3.0428535204124758E-2</v>
      </c>
      <c r="I83" s="193"/>
    </row>
    <row r="84" spans="2:9" x14ac:dyDescent="0.2">
      <c r="B84" s="20" t="s">
        <v>300</v>
      </c>
      <c r="C84" s="171">
        <f>Statement!M95</f>
        <v>1</v>
      </c>
      <c r="D84" s="171">
        <f>Statement!N95</f>
        <v>0.6201859229747676</v>
      </c>
      <c r="E84" s="171">
        <f>Statement!O95</f>
        <v>-0.50895334174022699</v>
      </c>
      <c r="F84" s="171">
        <f>Statement!P95</f>
        <v>0.29314329738058553</v>
      </c>
      <c r="G84" s="171">
        <f>Statement!Q95</f>
        <v>0.22678979247343858</v>
      </c>
      <c r="I84" s="193"/>
    </row>
    <row r="85" spans="2:9" x14ac:dyDescent="0.2">
      <c r="B85" s="20" t="s">
        <v>301</v>
      </c>
      <c r="C85" s="171">
        <f>Statement!M97</f>
        <v>1</v>
      </c>
      <c r="D85" s="171">
        <f>Statement!N97</f>
        <v>0.43602786685834349</v>
      </c>
      <c r="E85" s="171">
        <f>Statement!O97</f>
        <v>-0.43485291852764518</v>
      </c>
      <c r="F85" s="171">
        <f>Statement!P97</f>
        <v>0.377571876277422</v>
      </c>
      <c r="G85" s="171">
        <f>Statement!Q97</f>
        <v>0.11186943620178041</v>
      </c>
      <c r="I85" s="193"/>
    </row>
    <row r="88" spans="2:9" ht="17" thickBot="1" x14ac:dyDescent="0.25">
      <c r="B88" s="14" t="s">
        <v>302</v>
      </c>
      <c r="C88" s="14"/>
      <c r="D88" s="14"/>
      <c r="E88" s="14"/>
      <c r="F88" s="14"/>
      <c r="G88" s="14"/>
      <c r="I88" s="14"/>
    </row>
    <row r="89" spans="2:9" x14ac:dyDescent="0.2">
      <c r="B89" s="218" t="s">
        <v>376</v>
      </c>
      <c r="C89" s="171">
        <f>Statement!M198</f>
        <v>1</v>
      </c>
      <c r="D89" s="171">
        <f>Statement!N198</f>
        <v>0.48704693998811643</v>
      </c>
      <c r="E89" s="171">
        <f>Statement!O198</f>
        <v>-9.8173972110121063E-2</v>
      </c>
      <c r="F89" s="171">
        <f>Statement!P198</f>
        <v>0.10159503766061143</v>
      </c>
      <c r="G89" s="171">
        <f>Statement!Q198</f>
        <v>0.11784579495636086</v>
      </c>
      <c r="I89" s="193"/>
    </row>
    <row r="90" spans="2:9" x14ac:dyDescent="0.2">
      <c r="B90" s="218" t="s">
        <v>377</v>
      </c>
      <c r="C90" s="171">
        <f>Statement!M199</f>
        <v>1</v>
      </c>
      <c r="D90" s="171">
        <f>Statement!N199</f>
        <v>0.40717948717948715</v>
      </c>
      <c r="E90" s="171">
        <f>Statement!O199</f>
        <v>0.36443148688046645</v>
      </c>
      <c r="F90" s="171">
        <f>Statement!P199</f>
        <v>0.55448717948717952</v>
      </c>
      <c r="G90" s="171">
        <f>Statement!Q199</f>
        <v>0.35979381443298969</v>
      </c>
      <c r="I90" s="193"/>
    </row>
    <row r="91" spans="2:9" x14ac:dyDescent="0.2">
      <c r="B91" s="218" t="s">
        <v>378</v>
      </c>
      <c r="C91" s="171">
        <f>Statement!M200</f>
        <v>1</v>
      </c>
      <c r="D91" s="171">
        <f>Statement!N200</f>
        <v>0.37420886075949367</v>
      </c>
      <c r="E91" s="171">
        <f>Statement!O200</f>
        <v>-0.14507772020725387</v>
      </c>
      <c r="F91" s="171">
        <f>Statement!P200</f>
        <v>-8.7037037037037038E-2</v>
      </c>
      <c r="G91" s="171">
        <f>Statement!Q200</f>
        <v>0.22017333579199705</v>
      </c>
      <c r="I91" s="193"/>
    </row>
    <row r="92" spans="2:9" x14ac:dyDescent="0.2">
      <c r="B92" s="20" t="s">
        <v>379</v>
      </c>
      <c r="C92" s="171">
        <f>Statement!M201</f>
        <v>1</v>
      </c>
      <c r="D92" s="171">
        <f>Statement!N201</f>
        <v>0.39446315555720046</v>
      </c>
      <c r="E92" s="171">
        <f>Statement!O201</f>
        <v>-0.19361944953154445</v>
      </c>
      <c r="F92" s="171">
        <f>Statement!P201</f>
        <v>9.2620630636561119E-2</v>
      </c>
      <c r="G92" s="171">
        <f>Statement!Q201</f>
        <v>0.15577177973249789</v>
      </c>
      <c r="I92" s="193"/>
    </row>
    <row r="93" spans="2:9" x14ac:dyDescent="0.2">
      <c r="B93" s="20" t="s">
        <v>380</v>
      </c>
      <c r="C93" s="171">
        <f>Statement!M202</f>
        <v>1</v>
      </c>
      <c r="D93" s="171">
        <f>Statement!N202</f>
        <v>6.0126582278481012E-3</v>
      </c>
      <c r="E93" s="171">
        <f>Statement!O202</f>
        <v>-0.16546083674111356</v>
      </c>
      <c r="F93" s="171">
        <f>Statement!P202</f>
        <v>5.0131926121372031E-2</v>
      </c>
      <c r="G93" s="171">
        <f>Statement!Q202</f>
        <v>1.7946877243359654E-3</v>
      </c>
      <c r="I93" s="193"/>
    </row>
    <row r="95" spans="2:9" ht="17" thickBot="1" x14ac:dyDescent="0.25">
      <c r="B95" s="14" t="s">
        <v>304</v>
      </c>
      <c r="C95" s="14"/>
      <c r="D95" s="14"/>
      <c r="E95" s="14"/>
      <c r="F95" s="14"/>
      <c r="G95" s="14"/>
      <c r="I95" s="14"/>
    </row>
    <row r="96" spans="2:9" x14ac:dyDescent="0.2">
      <c r="B96" s="20" t="s">
        <v>276</v>
      </c>
      <c r="C96" s="171">
        <f>Statement!M205</f>
        <v>0</v>
      </c>
      <c r="D96" s="171">
        <f>Statement!N206</f>
        <v>6.7819148936170207E-2</v>
      </c>
      <c r="E96" s="171">
        <f>Statement!O206</f>
        <v>7.7833125778331264E-2</v>
      </c>
      <c r="F96" s="171">
        <f>Statement!P206</f>
        <v>6.4991334488734842E-2</v>
      </c>
      <c r="G96" s="171">
        <f>Statement!Q206</f>
        <v>3.2004339571467318E-2</v>
      </c>
      <c r="I96"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305</v>
      </c>
      <c r="D3" s="244"/>
      <c r="F3" s="245" t="s">
        <v>306</v>
      </c>
      <c r="G3" s="244"/>
    </row>
    <row r="4" spans="2:7" x14ac:dyDescent="0.2">
      <c r="B4" s="8"/>
      <c r="C4" s="10" t="str">
        <f>Statement!Z2</f>
        <v>29.03.2026</v>
      </c>
      <c r="D4" s="199" t="str">
        <f>Statement!AA2</f>
        <v>28.06.2026</v>
      </c>
      <c r="F4" s="200" t="str">
        <f>Statement!W2</f>
        <v>29.06.2025</v>
      </c>
      <c r="G4" s="199" t="str">
        <f>Statement!AA2</f>
        <v>28.06.2026</v>
      </c>
    </row>
    <row r="5" spans="2:7" x14ac:dyDescent="0.2">
      <c r="B5" s="8" t="s">
        <v>311</v>
      </c>
      <c r="C5" s="10" t="str">
        <f>Statement!Z3</f>
        <v>Q2 2026</v>
      </c>
      <c r="D5" s="199" t="str">
        <f>Statement!AA3</f>
        <v>Q3 2026</v>
      </c>
      <c r="F5" s="200" t="str">
        <f>Statement!W3</f>
        <v>Q3 2025</v>
      </c>
      <c r="G5" s="199" t="str">
        <f>Statement!AA3</f>
        <v>Q3 2026</v>
      </c>
    </row>
    <row r="6" spans="2:7" x14ac:dyDescent="0.2">
      <c r="B6" s="201" t="s">
        <v>19</v>
      </c>
      <c r="C6" s="195">
        <f>Statement!Z5</f>
        <v>10599</v>
      </c>
      <c r="D6" s="194">
        <f>Statement!AA5</f>
        <v>9947</v>
      </c>
      <c r="F6" s="195">
        <f>Statement!W5</f>
        <v>10465</v>
      </c>
      <c r="G6" s="194">
        <f>Statement!AA5</f>
        <v>9947</v>
      </c>
    </row>
    <row r="7" spans="2:7" x14ac:dyDescent="0.2">
      <c r="B7" s="202" t="s">
        <v>307</v>
      </c>
      <c r="C7" s="241">
        <f>Statement!AA89</f>
        <v>-6.1515237286536469E-2</v>
      </c>
      <c r="D7" s="242"/>
      <c r="F7" s="241">
        <f>IF(F6=0,
IF(G6=0,0,IF(G6&gt;0,1,-1)),
(G6-F6)/ABS(F6)
)</f>
        <v>-4.9498327759197325E-2</v>
      </c>
      <c r="G7" s="242"/>
    </row>
    <row r="8" spans="2:7" x14ac:dyDescent="0.2">
      <c r="B8" s="203" t="s">
        <v>20</v>
      </c>
      <c r="C8" s="196">
        <f>Statement!Z6</f>
        <v>4900</v>
      </c>
      <c r="D8" s="194">
        <f>Statement!AA6</f>
        <v>4670</v>
      </c>
      <c r="F8" s="196">
        <f>Statement!W6</f>
        <v>4606</v>
      </c>
      <c r="G8" s="194">
        <f>Statement!AA6</f>
        <v>4670</v>
      </c>
    </row>
    <row r="9" spans="2:7" x14ac:dyDescent="0.2">
      <c r="B9" s="202" t="s">
        <v>307</v>
      </c>
      <c r="C9" s="241">
        <f>Statement!AA90</f>
        <v>-4.6938775510204082E-2</v>
      </c>
      <c r="D9" s="242"/>
      <c r="F9" s="241">
        <f>IF(F8=0,
IF(G8=0,0,IF(G8&gt;0,1,-1)),
(G8-F8)/ABS(F8)
)</f>
        <v>1.3894919669995658E-2</v>
      </c>
      <c r="G9" s="242"/>
    </row>
    <row r="10" spans="2:7" x14ac:dyDescent="0.2">
      <c r="B10" s="203" t="s">
        <v>21</v>
      </c>
      <c r="C10" s="196">
        <f>Statement!Z7</f>
        <v>5699</v>
      </c>
      <c r="D10" s="194">
        <f>Statement!AA7</f>
        <v>5277</v>
      </c>
      <c r="F10" s="196">
        <f>Statement!W7</f>
        <v>5859</v>
      </c>
      <c r="G10" s="194">
        <f>Statement!AA7</f>
        <v>5277</v>
      </c>
    </row>
    <row r="11" spans="2:7" x14ac:dyDescent="0.2">
      <c r="B11" s="202" t="s">
        <v>307</v>
      </c>
      <c r="C11" s="241">
        <f>Statement!AA91</f>
        <v>-7.4048078610282508E-2</v>
      </c>
      <c r="D11" s="242"/>
      <c r="F11" s="241">
        <f>IF(F10=0,
IF(G10=0,0,IF(G10&gt;0,1,-1)),
(G10-F10)/ABS(F10)
)</f>
        <v>-9.933435739887353E-2</v>
      </c>
      <c r="G11" s="242"/>
    </row>
    <row r="12" spans="2:7" x14ac:dyDescent="0.2">
      <c r="B12" s="203" t="s">
        <v>23</v>
      </c>
      <c r="C12" s="196">
        <f>Statement!Z11</f>
        <v>3390</v>
      </c>
      <c r="D12" s="194">
        <f>Statement!AA11</f>
        <v>3651</v>
      </c>
      <c r="F12" s="196">
        <f>Statement!W11</f>
        <v>2997</v>
      </c>
      <c r="G12" s="194">
        <f>Statement!AA11</f>
        <v>3651</v>
      </c>
    </row>
    <row r="13" spans="2:7" x14ac:dyDescent="0.2">
      <c r="B13" s="202" t="s">
        <v>307</v>
      </c>
      <c r="C13" s="241">
        <f>Statement!AA94</f>
        <v>7.6991150442477882E-2</v>
      </c>
      <c r="D13" s="242"/>
      <c r="F13" s="241">
        <f>IF(F12=0,
IF(G12=0,0,IF(G12&gt;0,1,-1)),
(G12-F12)/ABS(F12)
)</f>
        <v>0.21821821821821821</v>
      </c>
      <c r="G13" s="242"/>
    </row>
    <row r="14" spans="2:7" x14ac:dyDescent="0.2">
      <c r="B14" s="203" t="s">
        <v>308</v>
      </c>
      <c r="C14" s="196">
        <f>Statement!Z12</f>
        <v>2309</v>
      </c>
      <c r="D14" s="194">
        <f>Statement!AA12</f>
        <v>1626</v>
      </c>
      <c r="F14" s="196">
        <f>Statement!W12</f>
        <v>2762</v>
      </c>
      <c r="G14" s="194">
        <f>Statement!AA12</f>
        <v>1626</v>
      </c>
    </row>
    <row r="15" spans="2:7" x14ac:dyDescent="0.2">
      <c r="B15" s="202" t="s">
        <v>307</v>
      </c>
      <c r="C15" s="241">
        <f>Statement!AA95</f>
        <v>-0.29579904720658295</v>
      </c>
      <c r="D15" s="242"/>
      <c r="F15" s="241">
        <f>IF(F14=0,
IF(G14=0,0,IF(G14&gt;0,1,-1)),
(G14-F14)/ABS(F14)
)</f>
        <v>-0.41129616220130338</v>
      </c>
      <c r="G15" s="242"/>
    </row>
    <row r="16" spans="2:7" x14ac:dyDescent="0.2">
      <c r="B16" s="203" t="s">
        <v>29</v>
      </c>
      <c r="C16" s="196">
        <f>Statement!Z18</f>
        <v>1932</v>
      </c>
      <c r="D16" s="194">
        <f>Statement!AA18</f>
        <v>2002</v>
      </c>
      <c r="F16" s="196">
        <f>Statement!W18</f>
        <v>2666</v>
      </c>
      <c r="G16" s="194">
        <f>Statement!AA18</f>
        <v>2002</v>
      </c>
    </row>
    <row r="17" spans="2:7" x14ac:dyDescent="0.2">
      <c r="B17" s="202" t="s">
        <v>307</v>
      </c>
      <c r="C17" s="241">
        <f>Statement!AA97</f>
        <v>3.6231884057971016E-2</v>
      </c>
      <c r="D17" s="242"/>
      <c r="F17" s="241">
        <f>IF(F16=0,
IF(G16=0,0,IF(G16&gt;0,1,-1)),
(G16-F16)/ABS(F16)
)</f>
        <v>-0.24906226556639161</v>
      </c>
      <c r="G17" s="242"/>
    </row>
    <row r="18" spans="2:7" x14ac:dyDescent="0.2">
      <c r="B18" s="203" t="s">
        <v>309</v>
      </c>
      <c r="C18" s="196">
        <f>Statement!Z22</f>
        <v>1072</v>
      </c>
      <c r="D18" s="194">
        <f>Statement!AA22</f>
        <v>1069</v>
      </c>
      <c r="F18" s="196">
        <f>Statement!W22</f>
        <v>1099</v>
      </c>
      <c r="G18" s="194">
        <f>Statement!AA22</f>
        <v>1069</v>
      </c>
    </row>
    <row r="19" spans="2:7" x14ac:dyDescent="0.2">
      <c r="B19" s="202" t="s">
        <v>307</v>
      </c>
      <c r="C19" s="241">
        <f>IF(C18=0,
IF(D18=0,0,IF(D18&gt;0,1,-1)),
(D18-C18)/ABS(C18)
)</f>
        <v>-2.798507462686567E-3</v>
      </c>
      <c r="D19" s="242"/>
      <c r="F19" s="241">
        <f>IF(F18=0,
IF(G18=0,0,IF(G18&gt;0,1,-1)),
(G18-F18)/ABS(F18)
)</f>
        <v>-2.7297543221110099E-2</v>
      </c>
      <c r="G19" s="242"/>
    </row>
    <row r="20" spans="2:7" x14ac:dyDescent="0.2">
      <c r="B20" s="203" t="s">
        <v>36</v>
      </c>
      <c r="C20" s="197">
        <f>Statement!Z26</f>
        <v>1.8022388059701493</v>
      </c>
      <c r="D20" s="198">
        <f>Statement!AA26</f>
        <v>1.87</v>
      </c>
      <c r="F20" s="197">
        <f>Statement!W26</f>
        <v>2.44</v>
      </c>
      <c r="G20" s="198">
        <f>Statement!AA26</f>
        <v>1.87</v>
      </c>
    </row>
    <row r="21" spans="2:7" x14ac:dyDescent="0.2">
      <c r="B21" s="202" t="s">
        <v>307</v>
      </c>
      <c r="C21" s="241">
        <f>IF(C20=0,
IF(D20=0,0,IF(D20&gt;0,1,-1)),
(D20-C20)/ABS(C20)
)</f>
        <v>3.7598343685300246E-2</v>
      </c>
      <c r="D21" s="242"/>
      <c r="F21" s="241">
        <f>IF(F20=0,
IF(G20=0,0,IF(G20&gt;0,1,-1)),
(G20-F20)/ABS(F20)
)</f>
        <v>-0.23360655737704911</v>
      </c>
      <c r="G21" s="242"/>
    </row>
    <row r="23" spans="2:7" x14ac:dyDescent="0.2">
      <c r="B23" s="8" t="s">
        <v>310</v>
      </c>
      <c r="C23" s="10" t="str">
        <f>C5</f>
        <v>Q2 2026</v>
      </c>
      <c r="D23" s="199" t="str">
        <f>D5</f>
        <v>Q3 2026</v>
      </c>
      <c r="F23" s="200" t="str">
        <f>F5</f>
        <v>Q3 2025</v>
      </c>
      <c r="G23" s="199" t="str">
        <f>G5</f>
        <v>Q3 2026</v>
      </c>
    </row>
    <row r="24" spans="2:7" x14ac:dyDescent="0.2">
      <c r="B24" s="218" t="s">
        <v>376</v>
      </c>
      <c r="C24" s="196">
        <f>Statement!Z190</f>
        <v>6024</v>
      </c>
      <c r="D24" s="194">
        <f>Statement!AA190</f>
        <v>5086</v>
      </c>
      <c r="F24" s="196">
        <f>Statement!W190</f>
        <v>6328</v>
      </c>
      <c r="G24" s="194">
        <f>Statement!AA190</f>
        <v>5086</v>
      </c>
    </row>
    <row r="25" spans="2:7" x14ac:dyDescent="0.2">
      <c r="B25" s="202" t="s">
        <v>307</v>
      </c>
      <c r="C25" s="241">
        <f>IF(C24=0,
IF(D24=0,0,IF(D24&gt;0,1,-1)),
(D24-C24)/ABS(C24)
)</f>
        <v>-0.15571049136786189</v>
      </c>
      <c r="D25" s="242"/>
      <c r="F25" s="241">
        <f>IF(F24=0,
IF(G24=0,0,IF(G24&gt;0,1,-1)),
(G24-F24)/ABS(F24)
)</f>
        <v>-0.19627054361567636</v>
      </c>
      <c r="G25" s="242"/>
    </row>
    <row r="26" spans="2:7" x14ac:dyDescent="0.2">
      <c r="B26" s="218" t="s">
        <v>377</v>
      </c>
      <c r="C26" s="196">
        <f>Statement!Z191</f>
        <v>1326</v>
      </c>
      <c r="D26" s="194">
        <f>Statement!AA191</f>
        <v>1588</v>
      </c>
      <c r="F26" s="196">
        <f>Statement!W191</f>
        <v>984</v>
      </c>
      <c r="G26" s="194">
        <f>Statement!AA191</f>
        <v>1588</v>
      </c>
    </row>
    <row r="27" spans="2:7" x14ac:dyDescent="0.2">
      <c r="B27" s="202" t="s">
        <v>307</v>
      </c>
      <c r="C27" s="241">
        <f>IF(C26=0,
IF(D26=0,0,IF(D26&gt;0,1,-1)),
(D26-C26)/ABS(C26)
)</f>
        <v>0.1975867269984917</v>
      </c>
      <c r="D27" s="242"/>
      <c r="F27" s="241">
        <f>IF(F26=0,
IF(G26=0,0,IF(G26&gt;0,1,-1)),
(G26-F26)/ABS(F26)
)</f>
        <v>0.61382113821138207</v>
      </c>
      <c r="G27" s="242"/>
    </row>
    <row r="28" spans="2:7" x14ac:dyDescent="0.2">
      <c r="B28" s="218" t="s">
        <v>378</v>
      </c>
      <c r="C28" s="196">
        <f>Statement!Z192</f>
        <v>1726</v>
      </c>
      <c r="D28" s="194">
        <f>Statement!AA192</f>
        <v>1830</v>
      </c>
      <c r="F28" s="196">
        <f>Statement!W192</f>
        <v>1681</v>
      </c>
      <c r="G28" s="194">
        <f>Statement!AA192</f>
        <v>1830</v>
      </c>
    </row>
    <row r="29" spans="2:7" x14ac:dyDescent="0.2">
      <c r="B29" s="202" t="s">
        <v>307</v>
      </c>
      <c r="C29" s="241">
        <f>IF(C28=0,
IF(D28=0,0,IF(D28&gt;0,1,-1)),
(D28-C28)/ABS(C28)
)</f>
        <v>6.0254924681344149E-2</v>
      </c>
      <c r="D29" s="242"/>
      <c r="F29" s="241">
        <f>IF(F28=0,
IF(G28=0,0,IF(G28&gt;0,1,-1)),
(G28-F28)/ABS(F28)
)</f>
        <v>8.8637715645449131E-2</v>
      </c>
      <c r="G29" s="242"/>
    </row>
    <row r="30" spans="2:7" x14ac:dyDescent="0.2">
      <c r="B30" s="20" t="s">
        <v>379</v>
      </c>
      <c r="C30" s="196">
        <f>Statement!Z193</f>
        <v>9076</v>
      </c>
      <c r="D30" s="196">
        <f>Statement!AA193</f>
        <v>8504</v>
      </c>
      <c r="F30" s="196">
        <f>Statement!W193</f>
        <v>8993</v>
      </c>
      <c r="G30" s="196">
        <f>Statement!AA193</f>
        <v>8504</v>
      </c>
    </row>
    <row r="31" spans="2:7" x14ac:dyDescent="0.2">
      <c r="B31" s="202" t="s">
        <v>307</v>
      </c>
      <c r="C31" s="241">
        <f>IF(C30=0,
IF(D30=0,0,IF(D30&gt;0,1,-1)),
(D30-C30)/ABS(C30)
)</f>
        <v>-6.3023358307624511E-2</v>
      </c>
      <c r="D31" s="242"/>
      <c r="F31" s="241">
        <f>IF(F30=0,
IF(G30=0,0,IF(G30&gt;0,1,-1)),
(G30-F30)/ABS(F30)
)</f>
        <v>-5.4375625486489491E-2</v>
      </c>
      <c r="G31" s="242"/>
    </row>
    <row r="32" spans="2:7" x14ac:dyDescent="0.2">
      <c r="B32" s="20" t="s">
        <v>380</v>
      </c>
      <c r="C32" s="196">
        <f>Statement!Z194</f>
        <v>1382</v>
      </c>
      <c r="D32" s="196">
        <f>Statement!AA194</f>
        <v>1278</v>
      </c>
      <c r="F32" s="196">
        <f>Statement!W194</f>
        <v>1318</v>
      </c>
      <c r="G32" s="196">
        <f>Statement!AA194</f>
        <v>1278</v>
      </c>
    </row>
    <row r="33" spans="2:7" x14ac:dyDescent="0.2">
      <c r="B33" s="202" t="s">
        <v>307</v>
      </c>
      <c r="C33" s="241">
        <f>IF(C32=0,
IF(D32=0,0,IF(D32&gt;0,1,-1)),
(D32-C32)/ABS(C32)
)</f>
        <v>-7.5253256150506515E-2</v>
      </c>
      <c r="D33" s="242"/>
      <c r="F33" s="241">
        <f>IF(F32=0,
IF(G32=0,0,IF(G32&gt;0,1,-1)),
(G32-F32)/ABS(F32)
)</f>
        <v>-3.0349013657056147E-2</v>
      </c>
      <c r="G33" s="242"/>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253</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254</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381</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382</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383</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384</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4">
        <f>Statement!H122</f>
        <v>0</v>
      </c>
      <c r="D69" s="214">
        <f>Statement!I122</f>
        <v>0</v>
      </c>
      <c r="E69" s="214">
        <f>Statement!J122</f>
        <v>0</v>
      </c>
      <c r="F69" s="214">
        <f>Statement!K122</f>
        <v>0</v>
      </c>
      <c r="G69" s="214">
        <f>Statement!L122</f>
        <v>0</v>
      </c>
      <c r="H69" s="214">
        <f>Statement!M122</f>
        <v>0.21927740058195924</v>
      </c>
      <c r="I69" s="214">
        <f>Statement!N122</f>
        <v>0.26494470967478678</v>
      </c>
      <c r="J69" s="214">
        <f>Statement!O122</f>
        <v>0.14378918495297807</v>
      </c>
      <c r="K69" s="214">
        <f>Statement!P122</f>
        <v>0.18330492801972659</v>
      </c>
      <c r="L69" s="214">
        <f>Statement!Q122</f>
        <v>0.22417884849330916</v>
      </c>
    </row>
    <row r="70" spans="2:12" x14ac:dyDescent="0.2">
      <c r="B70" s="20" t="s">
        <v>96</v>
      </c>
      <c r="C70" s="214">
        <f>Statement!H124</f>
        <v>0</v>
      </c>
      <c r="D70" s="214">
        <f>Statement!I124</f>
        <v>0</v>
      </c>
      <c r="E70" s="214">
        <f>Statement!J124</f>
        <v>0</v>
      </c>
      <c r="F70" s="214">
        <f>Statement!K124</f>
        <v>0</v>
      </c>
      <c r="G70" s="214">
        <f>Statement!L124</f>
        <v>0</v>
      </c>
      <c r="H70" s="214">
        <f>Statement!M124</f>
        <v>0.90884422110552765</v>
      </c>
      <c r="I70" s="214">
        <f>Statement!N124</f>
        <v>0.7209237772719701</v>
      </c>
      <c r="J70" s="214">
        <f>Statement!O124</f>
        <v>0.34006765210138556</v>
      </c>
      <c r="K70" s="214">
        <f>Statement!P124</f>
        <v>0.38479104818451698</v>
      </c>
      <c r="L70" s="214">
        <f>Statement!Q124</f>
        <v>0.53008582476657551</v>
      </c>
    </row>
    <row r="71" spans="2:12" x14ac:dyDescent="0.2">
      <c r="B71" s="20" t="s">
        <v>97</v>
      </c>
      <c r="C71" s="214">
        <f>Statement!H143</f>
        <v>0</v>
      </c>
      <c r="D71" s="214">
        <f>Statement!I143</f>
        <v>0</v>
      </c>
      <c r="E71" s="214">
        <f>Statement!J143</f>
        <v>0</v>
      </c>
      <c r="F71" s="214">
        <f>Statement!K143</f>
        <v>0</v>
      </c>
      <c r="G71" s="214">
        <f>Statement!L143</f>
        <v>0</v>
      </c>
      <c r="H71" s="214">
        <f>Statement!M143</f>
        <v>0.64875470609918895</v>
      </c>
      <c r="I71" s="214">
        <f>Statement!N143</f>
        <v>0.50648624822851629</v>
      </c>
      <c r="J71" s="214">
        <f>Statement!O143</f>
        <v>0.29932486311284412</v>
      </c>
      <c r="K71" s="214">
        <f>Statement!P143</f>
        <v>0.35680941434169483</v>
      </c>
      <c r="L71" s="214">
        <f>Statement!Q143</f>
        <v>0.42408116405060003</v>
      </c>
    </row>
    <row r="72" spans="2:12" x14ac:dyDescent="0.2">
      <c r="B72" s="20" t="s">
        <v>349</v>
      </c>
      <c r="C72" s="225">
        <f>Statement!H210</f>
        <v>0</v>
      </c>
      <c r="D72" s="225">
        <f>Statement!I210</f>
        <v>0</v>
      </c>
      <c r="E72" s="225">
        <f>Statement!J210</f>
        <v>0</v>
      </c>
      <c r="F72" s="225">
        <f>Statement!K210</f>
        <v>0</v>
      </c>
      <c r="G72" s="225">
        <f>Statement!L210</f>
        <v>0</v>
      </c>
      <c r="H72" s="225">
        <f>Statement!M210</f>
        <v>100</v>
      </c>
      <c r="I72" s="225">
        <f>Statement!N210</f>
        <v>90.521362414102185</v>
      </c>
      <c r="J72" s="225">
        <f>Statement!O210</f>
        <v>80.430236032267715</v>
      </c>
      <c r="K72" s="225">
        <f>Statement!P210</f>
        <v>127.07648640573647</v>
      </c>
      <c r="L72" s="225">
        <f>Statement!Q210</f>
        <v>126.38183447863757</v>
      </c>
    </row>
    <row r="73" spans="2:12" x14ac:dyDescent="0.2">
      <c r="B73" s="20" t="s">
        <v>350</v>
      </c>
      <c r="C73" s="225">
        <f>Statement!H211</f>
        <v>0</v>
      </c>
      <c r="D73" s="225">
        <f>Statement!I211</f>
        <v>0</v>
      </c>
      <c r="E73" s="225">
        <f>Statement!J211</f>
        <v>0</v>
      </c>
      <c r="F73" s="225">
        <f>Statement!K211</f>
        <v>0</v>
      </c>
      <c r="G73" s="225">
        <f>Statement!L211</f>
        <v>0</v>
      </c>
      <c r="H73" s="225">
        <f>Statement!M211</f>
        <v>100</v>
      </c>
      <c r="I73" s="225">
        <f>Statement!N211</f>
        <v>131.68086754453913</v>
      </c>
      <c r="J73" s="225">
        <f>Statement!O211</f>
        <v>106.71512840374189</v>
      </c>
      <c r="K73" s="225">
        <f>Statement!P211</f>
        <v>116.07579097896681</v>
      </c>
      <c r="L73" s="225">
        <f>Statement!Q211</f>
        <v>131.93112077697671</v>
      </c>
    </row>
    <row r="74" spans="2:12" x14ac:dyDescent="0.2">
      <c r="B74" s="20" t="s">
        <v>351</v>
      </c>
      <c r="C74" s="225">
        <f>Statement!H212</f>
        <v>0</v>
      </c>
      <c r="D74" s="225">
        <f>Statement!I212</f>
        <v>0</v>
      </c>
      <c r="E74" s="225">
        <f>Statement!J212</f>
        <v>0</v>
      </c>
      <c r="F74" s="225">
        <f>Statement!K212</f>
        <v>0</v>
      </c>
      <c r="G74" s="225">
        <f>Statement!L212</f>
        <v>0</v>
      </c>
      <c r="H74" s="225">
        <f>Statement!M212</f>
        <v>100</v>
      </c>
      <c r="I74" s="225">
        <f>Statement!N212</f>
        <v>144.98094027954255</v>
      </c>
      <c r="J74" s="225">
        <f>Statement!O212</f>
        <v>82.846251588310025</v>
      </c>
      <c r="K74" s="225">
        <f>Statement!P212</f>
        <v>113.59593392630241</v>
      </c>
      <c r="L74" s="225">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381</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382</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383</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253</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103</v>
      </c>
    </row>
  </sheetData>
  <hyperlinks>
    <hyperlink ref="H6" location="Overview!B3" display="Overview'!B3" xr:uid="{0B60C889-5E71-4040-9711-1E56BC33FBCA}"/>
    <hyperlink ref="H8" location="'Analysis -&gt;'!B13" display="'Analysis -&gt;'!B13" xr:uid="{A2661D6C-7355-7A4B-98B0-4B65804BC79C}"/>
    <hyperlink ref="H9" location="'Forecast -&gt;'!B13" display="'Forecast -&gt;'!B13" xr:uid="{CD1F50EC-B7ED-1E40-BD28-988C3B78B7D7}"/>
    <hyperlink ref="H10" location="'Valuation -&gt;'!B13" display="'Valuation -&gt;'!B13" xr:uid="{6EA355A0-DB8D-4246-B6DF-6448434F8A47}"/>
    <hyperlink ref="H7" location="'Financials -&gt;'!B13" display="'Financials -&gt;'!B13" xr:uid="{5650C899-7EB6-384E-82AF-650BFD0960D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0" t="s">
        <v>105</v>
      </c>
      <c r="D2" s="240"/>
      <c r="E2" s="240"/>
      <c r="F2" s="240"/>
      <c r="G2" s="249"/>
      <c r="H2" s="250" t="s">
        <v>106</v>
      </c>
      <c r="I2" s="240"/>
      <c r="J2" s="240"/>
      <c r="K2" s="240"/>
      <c r="L2" s="240"/>
      <c r="O2" s="5"/>
      <c r="S2" s="240" t="s">
        <v>105</v>
      </c>
      <c r="T2" s="240"/>
      <c r="U2" s="240"/>
      <c r="V2" s="240"/>
      <c r="W2" s="240"/>
      <c r="X2" s="240"/>
      <c r="Y2" s="240"/>
      <c r="Z2" s="240"/>
      <c r="AA2" s="240" t="s">
        <v>106</v>
      </c>
      <c r="AB2" s="240"/>
      <c r="AC2" s="240"/>
      <c r="AE2" s="85" t="s">
        <v>107</v>
      </c>
    </row>
    <row r="3" spans="1:31" ht="10" customHeight="1" x14ac:dyDescent="0.2">
      <c r="O3" s="5"/>
    </row>
    <row r="4" spans="1:31" ht="16" customHeight="1" x14ac:dyDescent="0.2">
      <c r="A4" s="86"/>
      <c r="B4" s="60"/>
      <c r="C4" s="246" t="s">
        <v>108</v>
      </c>
      <c r="D4" s="246"/>
      <c r="E4" s="246"/>
      <c r="F4" s="246"/>
      <c r="G4" s="246"/>
      <c r="H4" s="246"/>
      <c r="I4" s="246"/>
      <c r="J4" s="246"/>
      <c r="K4" s="246"/>
      <c r="L4" s="246"/>
      <c r="O4" s="5"/>
      <c r="S4" s="247" t="s">
        <v>108</v>
      </c>
      <c r="T4" s="248"/>
      <c r="U4" s="248"/>
      <c r="V4" s="248"/>
      <c r="W4" s="248"/>
      <c r="X4" s="248"/>
      <c r="Y4" s="248"/>
      <c r="Z4" s="248"/>
      <c r="AA4" s="248"/>
      <c r="AB4" s="248"/>
      <c r="AC4" s="248"/>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19"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385</v>
      </c>
      <c r="O6" s="5"/>
      <c r="Q6" s="90" t="s">
        <v>385</v>
      </c>
      <c r="R6" s="219"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19"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386</v>
      </c>
      <c r="O7" s="5"/>
      <c r="Q7" s="90" t="s">
        <v>386</v>
      </c>
      <c r="R7" s="219"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19"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387</v>
      </c>
      <c r="O8" s="5"/>
      <c r="Q8" s="90" t="s">
        <v>387</v>
      </c>
      <c r="R8" s="219"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19" t="s">
        <v>417</v>
      </c>
      <c r="C9" s="88"/>
      <c r="D9" s="88"/>
      <c r="E9" s="88"/>
      <c r="F9" s="88"/>
      <c r="G9" s="89"/>
      <c r="H9" s="64">
        <f>G9+G9*H19</f>
        <v>0</v>
      </c>
      <c r="I9" s="64">
        <v>5000</v>
      </c>
      <c r="J9" s="64">
        <f t="shared" ref="J9:L9" si="5">I9+I9*J19</f>
        <v>7000</v>
      </c>
      <c r="K9" s="64">
        <f t="shared" si="5"/>
        <v>14000</v>
      </c>
      <c r="L9" s="64">
        <f t="shared" si="5"/>
        <v>18200</v>
      </c>
      <c r="N9" s="90" t="s">
        <v>418</v>
      </c>
      <c r="O9" s="5"/>
      <c r="Q9" s="90" t="s">
        <v>418</v>
      </c>
      <c r="R9" s="219" t="s">
        <v>417</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388</v>
      </c>
      <c r="O11" s="5"/>
      <c r="Q11" s="90" t="s">
        <v>388</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6" t="s">
        <v>114</v>
      </c>
      <c r="D14" s="246"/>
      <c r="E14" s="246"/>
      <c r="F14" s="246"/>
      <c r="G14" s="246"/>
      <c r="H14" s="246"/>
      <c r="I14" s="246"/>
      <c r="J14" s="246"/>
      <c r="K14" s="246"/>
      <c r="L14" s="246"/>
      <c r="O14" s="5"/>
      <c r="Q14" s="91"/>
      <c r="S14" s="247" t="s">
        <v>114</v>
      </c>
      <c r="T14" s="248"/>
      <c r="U14" s="248"/>
      <c r="V14" s="248"/>
      <c r="W14" s="248"/>
      <c r="X14" s="248"/>
      <c r="Y14" s="248"/>
      <c r="Z14" s="248"/>
      <c r="AA14" s="248"/>
      <c r="AB14" s="248"/>
      <c r="AC14" s="248"/>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19" t="str">
        <f>B6</f>
        <v>Handset</v>
      </c>
      <c r="C16" s="47"/>
      <c r="D16" s="95">
        <f t="shared" ref="D16:G16" si="11">D6/C6-1</f>
        <v>0.48704693998811655</v>
      </c>
      <c r="E16" s="95">
        <f t="shared" si="11"/>
        <v>-9.8173972110121022E-2</v>
      </c>
      <c r="F16" s="95">
        <f t="shared" si="11"/>
        <v>0.1015950376606114</v>
      </c>
      <c r="G16" s="96">
        <f t="shared" si="11"/>
        <v>0.11784579495636094</v>
      </c>
      <c r="H16" s="97">
        <v>-0.15</v>
      </c>
      <c r="I16" s="144">
        <v>-0.25</v>
      </c>
      <c r="J16" s="144">
        <v>0.09</v>
      </c>
      <c r="K16" s="144">
        <v>0.1</v>
      </c>
      <c r="L16" s="144">
        <v>0.15</v>
      </c>
      <c r="O16" s="5"/>
      <c r="Q16" s="91"/>
      <c r="R16" s="219"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19" t="str">
        <f>B7</f>
        <v>Automotive</v>
      </c>
      <c r="C17" s="47"/>
      <c r="D17" s="95">
        <f t="shared" ref="D17:G17" si="13">D7/C7-1</f>
        <v>0.40717948717948715</v>
      </c>
      <c r="E17" s="95">
        <f t="shared" si="13"/>
        <v>0.36443148688046656</v>
      </c>
      <c r="F17" s="95">
        <f t="shared" si="13"/>
        <v>0.55448717948717952</v>
      </c>
      <c r="G17" s="96">
        <f t="shared" si="13"/>
        <v>0.35979381443298974</v>
      </c>
      <c r="H17" s="97">
        <v>0.6</v>
      </c>
      <c r="I17" s="144">
        <v>0.1</v>
      </c>
      <c r="J17" s="144">
        <v>0.2</v>
      </c>
      <c r="K17" s="144">
        <v>0.35</v>
      </c>
      <c r="L17" s="144">
        <v>0.3</v>
      </c>
      <c r="O17" s="5"/>
      <c r="Q17" s="91"/>
      <c r="R17" s="219"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19" t="str">
        <f>B8</f>
        <v>IoT</v>
      </c>
      <c r="C18" s="47"/>
      <c r="D18" s="95">
        <f>D8/C8-1</f>
        <v>0.37420886075949378</v>
      </c>
      <c r="E18" s="95">
        <f>E8/D8-1</f>
        <v>-0.14507772020725385</v>
      </c>
      <c r="F18" s="95">
        <f>F8/E8-1</f>
        <v>-8.7037037037037024E-2</v>
      </c>
      <c r="G18" s="96">
        <f>G8/F8-1</f>
        <v>0.22017333579199705</v>
      </c>
      <c r="H18" s="97">
        <v>0.06</v>
      </c>
      <c r="I18" s="144">
        <v>7.0000000000000007E-2</v>
      </c>
      <c r="J18" s="144">
        <v>7.0000000000000007E-2</v>
      </c>
      <c r="K18" s="144">
        <v>7.0000000000000007E-2</v>
      </c>
      <c r="L18" s="144">
        <v>7.0000000000000007E-2</v>
      </c>
      <c r="O18" s="5"/>
      <c r="Q18" s="91"/>
      <c r="R18" s="219"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19" t="s">
        <v>417</v>
      </c>
      <c r="C19" s="47"/>
      <c r="D19" s="95"/>
      <c r="E19" s="95"/>
      <c r="F19" s="95"/>
      <c r="G19" s="96"/>
      <c r="H19" s="97">
        <v>0</v>
      </c>
      <c r="I19" s="144">
        <v>0</v>
      </c>
      <c r="J19" s="144">
        <v>0.4</v>
      </c>
      <c r="K19" s="144">
        <v>1</v>
      </c>
      <c r="L19" s="144">
        <v>0.3</v>
      </c>
      <c r="O19" s="5"/>
      <c r="Q19" s="91"/>
      <c r="R19" s="219" t="s">
        <v>417</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380</v>
      </c>
      <c r="C21" s="47"/>
      <c r="D21" s="95">
        <f>D11/C11-1</f>
        <v>6.0126582278481333E-3</v>
      </c>
      <c r="E21" s="95">
        <f t="shared" si="14"/>
        <v>-0.16546083674111356</v>
      </c>
      <c r="F21" s="95">
        <f t="shared" si="15"/>
        <v>5.0131926121371961E-2</v>
      </c>
      <c r="G21" s="96">
        <f t="shared" si="16"/>
        <v>1.7946877243359971E-3</v>
      </c>
      <c r="H21" s="97">
        <v>-0.06</v>
      </c>
      <c r="I21" s="144">
        <v>-0.03</v>
      </c>
      <c r="J21" s="144">
        <v>0.02</v>
      </c>
      <c r="K21" s="144">
        <v>0.03</v>
      </c>
      <c r="L21" s="144">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0" t="s">
        <v>105</v>
      </c>
      <c r="D2" s="240"/>
      <c r="E2" s="240"/>
      <c r="F2" s="240"/>
      <c r="G2" s="249"/>
      <c r="H2" s="250" t="s">
        <v>106</v>
      </c>
      <c r="I2" s="240"/>
      <c r="J2" s="240"/>
      <c r="K2" s="240"/>
      <c r="L2" s="240"/>
      <c r="P2" s="240" t="s">
        <v>105</v>
      </c>
      <c r="Q2" s="240"/>
      <c r="R2" s="240"/>
      <c r="S2" s="240"/>
      <c r="T2" s="240"/>
      <c r="U2" s="240"/>
      <c r="V2" s="240"/>
      <c r="W2" s="240"/>
      <c r="X2" s="240" t="s">
        <v>106</v>
      </c>
      <c r="Y2" s="240"/>
      <c r="Z2" s="240"/>
      <c r="AB2" s="85" t="s">
        <v>107</v>
      </c>
    </row>
    <row r="3" spans="1:28" ht="10" customHeight="1" x14ac:dyDescent="0.2"/>
    <row r="4" spans="1:28" ht="16" customHeight="1" x14ac:dyDescent="0.2">
      <c r="A4" s="86"/>
      <c r="B4" s="60"/>
      <c r="C4" s="246" t="s">
        <v>108</v>
      </c>
      <c r="D4" s="246"/>
      <c r="E4" s="246"/>
      <c r="F4" s="246"/>
      <c r="G4" s="246"/>
      <c r="H4" s="246"/>
      <c r="I4" s="246"/>
      <c r="J4" s="246"/>
      <c r="K4" s="246"/>
      <c r="L4" s="246"/>
      <c r="P4" s="248" t="s">
        <v>108</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6" t="s">
        <v>117</v>
      </c>
      <c r="D9" s="246"/>
      <c r="E9" s="246"/>
      <c r="F9" s="246"/>
      <c r="G9" s="246"/>
      <c r="H9" s="246"/>
      <c r="I9" s="246"/>
      <c r="J9" s="246"/>
      <c r="K9" s="246"/>
      <c r="L9" s="246"/>
      <c r="N9" s="91"/>
      <c r="P9" s="248" t="s">
        <v>118</v>
      </c>
      <c r="Q9" s="248"/>
      <c r="R9" s="248"/>
      <c r="S9" s="248"/>
      <c r="T9" s="248"/>
      <c r="U9" s="248"/>
      <c r="V9" s="248"/>
      <c r="W9" s="248"/>
      <c r="X9" s="248"/>
      <c r="Y9" s="248"/>
      <c r="Z9" s="248"/>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6" t="s">
        <v>120</v>
      </c>
      <c r="D17" s="246"/>
      <c r="E17" s="246"/>
      <c r="F17" s="246"/>
      <c r="G17" s="246"/>
      <c r="H17" s="246"/>
      <c r="I17" s="246"/>
      <c r="J17" s="246"/>
      <c r="K17" s="246"/>
      <c r="L17" s="246"/>
      <c r="P17" s="248" t="s">
        <v>120</v>
      </c>
      <c r="Q17" s="248"/>
      <c r="R17" s="248"/>
      <c r="S17" s="248"/>
      <c r="T17" s="248"/>
      <c r="U17" s="248"/>
      <c r="V17" s="248"/>
      <c r="W17" s="248"/>
      <c r="X17" s="248"/>
      <c r="Y17" s="248"/>
      <c r="Z17" s="248"/>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108</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124</v>
      </c>
      <c r="D11" s="246"/>
      <c r="E11" s="246"/>
      <c r="F11" s="246"/>
      <c r="G11" s="246"/>
      <c r="H11" s="246"/>
      <c r="I11" s="246"/>
      <c r="J11" s="246"/>
      <c r="K11" s="246"/>
      <c r="L11" s="246"/>
      <c r="N11" s="91"/>
      <c r="P11" s="251"/>
      <c r="Q11" s="251"/>
      <c r="R11" s="251"/>
      <c r="S11" s="251"/>
      <c r="T11" s="251"/>
      <c r="U11" s="251"/>
      <c r="V11" s="251"/>
      <c r="W11" s="251"/>
      <c r="X11" s="251"/>
      <c r="Y11" s="251"/>
      <c r="Z11" s="251"/>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6" t="s">
        <v>129</v>
      </c>
      <c r="D18" s="246"/>
      <c r="E18" s="246"/>
      <c r="F18" s="246"/>
      <c r="G18" s="246"/>
      <c r="H18" s="246"/>
      <c r="I18" s="246"/>
      <c r="J18" s="246"/>
      <c r="K18" s="246"/>
      <c r="L18" s="246"/>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51"/>
      <c r="C25" s="251"/>
    </row>
    <row r="26" spans="2:12" x14ac:dyDescent="0.2">
      <c r="B26" s="109"/>
      <c r="C26" s="246" t="s">
        <v>135</v>
      </c>
      <c r="D26" s="246"/>
      <c r="E26" s="246"/>
      <c r="F26" s="246"/>
      <c r="G26" s="246"/>
      <c r="H26" s="246"/>
      <c r="I26" s="246"/>
      <c r="J26" s="246"/>
      <c r="K26" s="246"/>
      <c r="L26" s="246"/>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6" t="s">
        <v>139</v>
      </c>
      <c r="D33" s="246"/>
      <c r="E33" s="246"/>
      <c r="F33" s="246"/>
      <c r="G33" s="246"/>
      <c r="H33" s="246"/>
      <c r="I33" s="246"/>
      <c r="J33" s="246"/>
      <c r="K33" s="246"/>
      <c r="L33" s="246"/>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6" t="s">
        <v>142</v>
      </c>
      <c r="D40" s="246"/>
      <c r="E40" s="246"/>
      <c r="F40" s="246"/>
      <c r="G40" s="246"/>
      <c r="H40" s="246"/>
      <c r="I40" s="246"/>
      <c r="J40" s="246"/>
      <c r="K40" s="246"/>
      <c r="L40" s="246"/>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8" zoomScale="183" workbookViewId="0">
      <selection activeCell="C15" sqref="C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0" t="s">
        <v>105</v>
      </c>
      <c r="D2" s="240"/>
      <c r="E2" s="240"/>
      <c r="F2" s="240"/>
      <c r="G2" s="249"/>
      <c r="H2" s="250" t="s">
        <v>106</v>
      </c>
      <c r="I2" s="240"/>
      <c r="J2" s="240"/>
      <c r="K2" s="240"/>
      <c r="L2" s="240"/>
      <c r="S2" s="251"/>
      <c r="T2" s="251"/>
      <c r="U2" s="251"/>
      <c r="V2" s="251"/>
      <c r="W2" s="251"/>
      <c r="X2" s="251"/>
      <c r="Y2" s="251"/>
      <c r="Z2" s="251"/>
      <c r="AA2" s="251"/>
      <c r="AB2" s="251"/>
      <c r="AC2" s="251"/>
      <c r="AE2" s="109"/>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6" t="s">
        <v>150</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6" t="s">
        <v>151</v>
      </c>
      <c r="D18" s="246"/>
      <c r="E18" s="246"/>
      <c r="F18" s="246"/>
      <c r="G18" s="246"/>
      <c r="H18" s="246"/>
      <c r="I18" s="246"/>
      <c r="J18" s="246"/>
      <c r="K18" s="246"/>
      <c r="L18" s="246"/>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6" t="s">
        <v>254</v>
      </c>
      <c r="D25" s="246"/>
      <c r="E25" s="246"/>
      <c r="F25" s="246"/>
      <c r="G25" s="246"/>
      <c r="H25" s="246"/>
      <c r="I25" s="246"/>
      <c r="J25" s="246"/>
      <c r="K25" s="246"/>
      <c r="L25" s="246"/>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254</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6" t="s">
        <v>75</v>
      </c>
      <c r="D31" s="246"/>
      <c r="E31" s="246"/>
      <c r="F31" s="246"/>
      <c r="G31" s="246"/>
      <c r="H31" s="246"/>
      <c r="I31" s="246"/>
      <c r="J31" s="246"/>
      <c r="K31" s="246"/>
      <c r="L31" s="246"/>
    </row>
    <row r="32" spans="2:14" x14ac:dyDescent="0.2">
      <c r="B32" s="16" t="s">
        <v>324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2">
        <f>H8/H6</f>
        <v>0.53</v>
      </c>
      <c r="I33" s="212">
        <f t="shared" ref="I33:L33" si="9">I8/I6</f>
        <v>0.51</v>
      </c>
      <c r="J33" s="212">
        <f t="shared" si="9"/>
        <v>0.52</v>
      </c>
      <c r="K33" s="212">
        <f t="shared" si="9"/>
        <v>0.54</v>
      </c>
      <c r="L33" s="212">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2">
        <f>H10/H6</f>
        <v>0.19</v>
      </c>
      <c r="I34" s="212">
        <f t="shared" ref="I34:L34" si="10">I10/I6</f>
        <v>0.11999999999999994</v>
      </c>
      <c r="J34" s="212">
        <f t="shared" si="10"/>
        <v>0.21000000000000002</v>
      </c>
      <c r="K34" s="212">
        <f t="shared" si="10"/>
        <v>0.26999999999999996</v>
      </c>
      <c r="L34" s="212">
        <f t="shared" si="10"/>
        <v>0.28999999999999998</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156</v>
      </c>
    </row>
  </sheetData>
  <hyperlinks>
    <hyperlink ref="H6" location="Overview!B3" display="Overview'!B3" xr:uid="{6013F207-540F-1649-B587-D0A267965739}"/>
    <hyperlink ref="H8" location="'Analysis -&gt;'!B13" display="'Analysis -&gt;'!B13" xr:uid="{F21FBB04-AC52-A647-B388-217F84150366}"/>
    <hyperlink ref="H9" location="'Forecast -&gt;'!B13" display="'Forecast -&gt;'!B13" xr:uid="{58F574B5-5D83-0C4F-A190-CB17B6F437F0}"/>
    <hyperlink ref="H10" location="'Valuation -&gt;'!B13" display="'Valuation -&gt;'!B13" xr:uid="{23847DEB-9734-4F49-8199-B43CE4351C5D}"/>
    <hyperlink ref="H7" location="'Financials -&gt;'!B13" display="'Financials -&gt;'!B13" xr:uid="{475EE0E0-0A10-2346-A106-16E3CD679719}"/>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0" t="s">
        <v>158</v>
      </c>
      <c r="C4" s="240"/>
    </row>
    <row r="5" spans="1:3" ht="17" customHeight="1" x14ac:dyDescent="0.2">
      <c r="B5" s="1" t="s">
        <v>159</v>
      </c>
      <c r="C5" s="136">
        <f>Statement!AC78</f>
        <v>1062</v>
      </c>
    </row>
    <row r="6" spans="1:3" ht="17" customHeight="1" x14ac:dyDescent="0.2">
      <c r="B6" s="1" t="s">
        <v>1</v>
      </c>
      <c r="C6" s="133">
        <f ca="1">Overview!C5</f>
        <v>175.4</v>
      </c>
    </row>
    <row r="7" spans="1:3" ht="17" customHeight="1" x14ac:dyDescent="0.2">
      <c r="B7" s="1" t="s">
        <v>160</v>
      </c>
      <c r="C7" s="134">
        <f ca="1">C5*C6</f>
        <v>186274.80000000002</v>
      </c>
    </row>
    <row r="8" spans="1:3" ht="17" customHeight="1" x14ac:dyDescent="0.2">
      <c r="B8" s="1" t="s">
        <v>161</v>
      </c>
      <c r="C8" s="112">
        <f>Statement!AC107</f>
        <v>15270</v>
      </c>
    </row>
    <row r="9" spans="1:3" ht="17" customHeight="1" x14ac:dyDescent="0.2">
      <c r="B9" s="1" t="s">
        <v>162</v>
      </c>
      <c r="C9" s="135">
        <f ca="1">Overview!F27</f>
        <v>5.1360000000000003E-2</v>
      </c>
    </row>
    <row r="10" spans="1:3" ht="17" customHeight="1" x14ac:dyDescent="0.2">
      <c r="B10" s="1" t="s">
        <v>9</v>
      </c>
      <c r="C10" s="133">
        <f ca="1">Overview!C13</f>
        <v>1.6930000000000001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40" t="s">
        <v>165</v>
      </c>
      <c r="C15" s="240"/>
    </row>
    <row r="16" spans="1:3" ht="17" customHeight="1" x14ac:dyDescent="0.2">
      <c r="B16" s="1" t="s">
        <v>166</v>
      </c>
      <c r="C16" s="46">
        <f ca="1">C8/(C8+C7)</f>
        <v>7.5764792740869516E-2</v>
      </c>
    </row>
    <row r="17" spans="2:3" ht="17" customHeight="1" x14ac:dyDescent="0.2">
      <c r="B17" s="1" t="s">
        <v>167</v>
      </c>
      <c r="C17" s="46">
        <f ca="1">C7/(C8+C7)</f>
        <v>0.92423520725913044</v>
      </c>
    </row>
    <row r="18" spans="2:3" ht="17" customHeight="1" x14ac:dyDescent="0.2">
      <c r="B18" s="1" t="s">
        <v>168</v>
      </c>
      <c r="C18" s="46">
        <f>C13*(1-C12)</f>
        <v>4.2265000000000004E-2</v>
      </c>
    </row>
    <row r="19" spans="2:3" ht="17" customHeight="1" x14ac:dyDescent="0.2">
      <c r="B19" s="1" t="s">
        <v>169</v>
      </c>
      <c r="C19" s="46">
        <f ca="1">C9+C10*C11</f>
        <v>0.12754500000000002</v>
      </c>
    </row>
    <row r="20" spans="2:3" ht="17" customHeight="1" x14ac:dyDescent="0.2">
      <c r="B20" s="1" t="s">
        <v>157</v>
      </c>
      <c r="C20" s="46">
        <f ca="1">(C17*C19)+(C16*C18)</f>
        <v>0.12108377847505866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168608.22440549239</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H7/(1+$C$15)^H9</f>
        <v>5628.5269347152207</v>
      </c>
      <c r="I10" s="126">
        <f t="shared" ref="I10:L10" ca="1" si="0">I7/(1+$C$15)^I9</f>
        <v>3360.7019549205675</v>
      </c>
      <c r="J10" s="126">
        <f t="shared" ca="1" si="0"/>
        <v>5236.445626247345</v>
      </c>
      <c r="K10" s="126">
        <f t="shared" ca="1" si="0"/>
        <v>7370.9433263910669</v>
      </c>
      <c r="L10" s="126">
        <f t="shared" ca="1" si="0"/>
        <v>8925.1314230528442</v>
      </c>
      <c r="N10" s="91"/>
    </row>
    <row r="11" spans="1:28" x14ac:dyDescent="0.2">
      <c r="B11" s="1" t="s">
        <v>175</v>
      </c>
      <c r="C11" s="137"/>
      <c r="D11" s="137"/>
      <c r="E11" s="137"/>
      <c r="F11" s="137"/>
      <c r="G11" s="138"/>
      <c r="H11" s="137"/>
      <c r="I11" s="137"/>
      <c r="J11" s="137"/>
      <c r="K11" s="137"/>
      <c r="L11" s="126">
        <f ca="1">L8/(1+C15)^L9</f>
        <v>95211.281798247146</v>
      </c>
    </row>
    <row r="13" spans="1:28" x14ac:dyDescent="0.2">
      <c r="B13" s="240" t="s">
        <v>176</v>
      </c>
      <c r="C13" s="240"/>
    </row>
    <row r="14" spans="1:28" x14ac:dyDescent="0.2">
      <c r="B14" s="1" t="s">
        <v>177</v>
      </c>
      <c r="C14" s="140">
        <v>2.5000000000000001E-2</v>
      </c>
    </row>
    <row r="15" spans="1:28" x14ac:dyDescent="0.2">
      <c r="B15" s="1" t="s">
        <v>157</v>
      </c>
      <c r="C15" s="135">
        <f ca="1">IF(Overview!C28&gt;0,Overview!C28,WACC!C20)</f>
        <v>0.12108377847505866</v>
      </c>
    </row>
    <row r="18" spans="2:3" x14ac:dyDescent="0.2">
      <c r="B18" s="240" t="s">
        <v>178</v>
      </c>
      <c r="C18" s="240"/>
    </row>
    <row r="19" spans="2:3" x14ac:dyDescent="0.2">
      <c r="B19" s="1" t="s">
        <v>179</v>
      </c>
      <c r="C19" s="64">
        <f ca="1">SUM(H10:L10)</f>
        <v>30521.749265327046</v>
      </c>
    </row>
    <row r="20" spans="2:3" x14ac:dyDescent="0.2">
      <c r="B20" s="1" t="s">
        <v>175</v>
      </c>
      <c r="C20" s="64">
        <f ca="1">L11</f>
        <v>95211.281798247146</v>
      </c>
    </row>
    <row r="21" spans="2:3" x14ac:dyDescent="0.2">
      <c r="B21" s="16" t="s">
        <v>180</v>
      </c>
      <c r="C21" s="94">
        <f ca="1">C19+C20</f>
        <v>125733.03106357419</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118767.03106357419</v>
      </c>
    </row>
    <row r="25" spans="2:3" x14ac:dyDescent="0.2">
      <c r="B25" s="1" t="s">
        <v>67</v>
      </c>
      <c r="C25" s="136">
        <f>Statement!AC78</f>
        <v>1062</v>
      </c>
    </row>
    <row r="26" spans="2:3" x14ac:dyDescent="0.2">
      <c r="B26" s="231" t="s">
        <v>184</v>
      </c>
      <c r="C26" s="232">
        <f ca="1">C24/C25</f>
        <v>111.8333625834032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0" t="s">
        <v>105</v>
      </c>
      <c r="D2" s="240"/>
      <c r="E2" s="240"/>
      <c r="F2" s="240"/>
      <c r="G2" s="249"/>
      <c r="H2" s="250" t="s">
        <v>106</v>
      </c>
      <c r="I2" s="240"/>
      <c r="J2" s="240"/>
      <c r="K2" s="240"/>
      <c r="L2" s="240"/>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254</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B9" s="16" t="s">
        <v>312</v>
      </c>
      <c r="C9" s="137"/>
      <c r="D9" s="137"/>
      <c r="E9" s="137"/>
      <c r="F9" s="137"/>
      <c r="G9" s="138"/>
      <c r="H9" s="92">
        <f ca="1">DCF!H10</f>
        <v>5628.5269347152207</v>
      </c>
      <c r="I9" s="92">
        <f ca="1">DCF!I10</f>
        <v>3360.7019549205675</v>
      </c>
      <c r="J9" s="92">
        <f ca="1">DCF!J10</f>
        <v>5236.445626247345</v>
      </c>
      <c r="K9" s="92">
        <f ca="1">DCF!K10</f>
        <v>7370.9433263910669</v>
      </c>
      <c r="L9" s="92">
        <f ca="1">DCF!L10</f>
        <v>8925.1314230528442</v>
      </c>
      <c r="N9" s="91"/>
    </row>
    <row r="10" spans="1:14" x14ac:dyDescent="0.2">
      <c r="N10" s="91"/>
    </row>
    <row r="11" spans="1:14" x14ac:dyDescent="0.2">
      <c r="C11" s="246" t="s">
        <v>114</v>
      </c>
      <c r="D11" s="246"/>
      <c r="E11" s="246"/>
      <c r="F11" s="246"/>
      <c r="G11" s="246"/>
      <c r="H11" s="246"/>
      <c r="I11" s="246"/>
      <c r="J11" s="246"/>
      <c r="K11" s="246"/>
      <c r="L11" s="246"/>
      <c r="N11" s="91"/>
    </row>
    <row r="12" spans="1:14" x14ac:dyDescent="0.2">
      <c r="B12" s="16" t="s">
        <v>187</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0.31680867544539115</v>
      </c>
      <c r="E13" s="95">
        <f t="shared" ref="E13:L13" si="1">(E6-D6)/D6</f>
        <v>-0.18959276018099547</v>
      </c>
      <c r="F13" s="95">
        <f t="shared" si="1"/>
        <v>8.7716359575656058E-2</v>
      </c>
      <c r="G13" s="96">
        <f t="shared" si="1"/>
        <v>0.1365946306657769</v>
      </c>
      <c r="H13" s="95">
        <f t="shared" si="1"/>
        <v>-4.6690678348839179E-2</v>
      </c>
      <c r="I13" s="95">
        <f t="shared" si="1"/>
        <v>1.4372748946792917E-3</v>
      </c>
      <c r="J13" s="95">
        <f t="shared" si="1"/>
        <v>0.13280571719016238</v>
      </c>
      <c r="K13" s="95">
        <f t="shared" si="1"/>
        <v>0.26255405687027977</v>
      </c>
      <c r="L13" s="95">
        <f t="shared" si="1"/>
        <v>0.19073818329793965</v>
      </c>
      <c r="N13" s="91"/>
    </row>
    <row r="14" spans="1:14" x14ac:dyDescent="0.2">
      <c r="B14" s="1" t="s">
        <v>149</v>
      </c>
      <c r="C14" s="137"/>
      <c r="D14" s="95">
        <f>IF(C7=0,
IF(D7=0,0,IF(D7&gt;0,1,-1)),
(D7-C7)/ABS(C7)
)</f>
        <v>0.61834712432321992</v>
      </c>
      <c r="E14" s="95">
        <f t="shared" ref="E14:L14" si="2">IF(D7=0,
IF(E7=0,0,IF(E7&gt;0,1,-1)),
(E7-D7)/ABS(D7)
)</f>
        <v>-0.50839540462062871</v>
      </c>
      <c r="F14" s="95">
        <f t="shared" si="2"/>
        <v>0.29314329738058553</v>
      </c>
      <c r="G14" s="96">
        <f t="shared" si="2"/>
        <v>0.22678979247343858</v>
      </c>
      <c r="H14" s="95">
        <f t="shared" si="2"/>
        <v>-0.35078053419668137</v>
      </c>
      <c r="I14" s="95">
        <f t="shared" si="2"/>
        <v>-0.36751330006651867</v>
      </c>
      <c r="J14" s="95">
        <f t="shared" si="2"/>
        <v>0.98241000508278542</v>
      </c>
      <c r="K14" s="95">
        <f t="shared" si="2"/>
        <v>0.62328378740464496</v>
      </c>
      <c r="L14" s="95">
        <f t="shared" si="2"/>
        <v>0.27894101169037966</v>
      </c>
      <c r="N14" s="91"/>
    </row>
    <row r="15" spans="1:14" x14ac:dyDescent="0.2">
      <c r="B15" s="1" t="s">
        <v>254</v>
      </c>
      <c r="C15" s="137"/>
      <c r="D15" s="95">
        <f>IF(C8=0,
IF(D8=0,0,IF(D8&gt;0,1,-1)),
(D8-C8)/ABS(C8)
)</f>
        <v>-0.33154516455043326</v>
      </c>
      <c r="E15" s="95">
        <f t="shared" ref="E15:L15" si="3">IF(D8=0,
IF(E8=0,0,IF(E8&gt;0,1,-1)),
(E8-D8)/ABS(D8)
)</f>
        <v>1.1480197683301663</v>
      </c>
      <c r="F15" s="95">
        <f t="shared" si="3"/>
        <v>-6.6001657664521525E-3</v>
      </c>
      <c r="G15" s="96">
        <f t="shared" si="3"/>
        <v>5.3215764507033636E-2</v>
      </c>
      <c r="H15" s="95">
        <f t="shared" si="3"/>
        <v>-0.46486845166738955</v>
      </c>
      <c r="I15" s="95">
        <f t="shared" si="3"/>
        <v>-0.33061909631929443</v>
      </c>
      <c r="J15" s="95">
        <f t="shared" si="3"/>
        <v>0.74680597303705887</v>
      </c>
      <c r="K15" s="95">
        <f t="shared" si="3"/>
        <v>0.57806374496777579</v>
      </c>
      <c r="L15" s="95">
        <f t="shared" si="3"/>
        <v>0.35746804934960347</v>
      </c>
      <c r="N15" s="91"/>
    </row>
    <row r="16" spans="1:14" x14ac:dyDescent="0.2">
      <c r="N16" s="91"/>
    </row>
    <row r="17" spans="2:14" x14ac:dyDescent="0.2">
      <c r="C17" s="246" t="s">
        <v>188</v>
      </c>
      <c r="D17" s="246"/>
      <c r="E17" s="246"/>
      <c r="F17" s="246"/>
      <c r="G17" s="246"/>
      <c r="H17" s="246"/>
      <c r="I17" s="246"/>
      <c r="J17" s="246"/>
      <c r="K17" s="246"/>
      <c r="L17" s="246"/>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189</v>
      </c>
      <c r="C19" s="100">
        <f>Statement!M22</f>
        <v>1149</v>
      </c>
      <c r="D19" s="100">
        <f>Statement!N22</f>
        <v>1137</v>
      </c>
      <c r="E19" s="100">
        <f>Statement!O22</f>
        <v>1126</v>
      </c>
      <c r="F19" s="100">
        <f>Statement!P22</f>
        <v>1130</v>
      </c>
      <c r="G19" s="101">
        <f>Statement!Q22</f>
        <v>1105</v>
      </c>
      <c r="H19" s="141">
        <f>G19*(1+H20)</f>
        <v>1077.375</v>
      </c>
      <c r="I19" s="141">
        <f t="shared" ref="I19:L19" si="5">H19*(1+I20)</f>
        <v>1055.8274999999999</v>
      </c>
      <c r="J19" s="141">
        <f t="shared" si="5"/>
        <v>1039.9900874999998</v>
      </c>
      <c r="K19" s="141">
        <f t="shared" si="5"/>
        <v>1029.5901866249999</v>
      </c>
      <c r="L19" s="141">
        <f t="shared" si="5"/>
        <v>1024.4422356918749</v>
      </c>
      <c r="N19" s="91"/>
    </row>
    <row r="20" spans="2:14" x14ac:dyDescent="0.2">
      <c r="B20" s="1" t="s">
        <v>190</v>
      </c>
      <c r="C20" s="137"/>
      <c r="D20" s="142">
        <f>D19/C19-1</f>
        <v>-1.0443864229765065E-2</v>
      </c>
      <c r="E20" s="142">
        <f t="shared" ref="E20:G20" si="6">E19/D19-1</f>
        <v>-9.674582233949014E-3</v>
      </c>
      <c r="F20" s="142">
        <f t="shared" si="6"/>
        <v>3.5523978685612079E-3</v>
      </c>
      <c r="G20" s="143">
        <f t="shared" si="6"/>
        <v>-2.2123893805309769E-2</v>
      </c>
      <c r="H20" s="144">
        <v>-2.5000000000000001E-2</v>
      </c>
      <c r="I20" s="97">
        <v>-0.02</v>
      </c>
      <c r="J20" s="97">
        <v>-1.4999999999999999E-2</v>
      </c>
      <c r="K20" s="97">
        <v>-0.01</v>
      </c>
      <c r="L20" s="97">
        <v>-5.0000000000000001E-3</v>
      </c>
      <c r="N20" s="91"/>
    </row>
    <row r="21" spans="2:14" x14ac:dyDescent="0.2">
      <c r="N21" s="91"/>
    </row>
    <row r="22" spans="2:14" x14ac:dyDescent="0.2">
      <c r="C22" s="246" t="s">
        <v>191</v>
      </c>
      <c r="D22" s="246"/>
      <c r="E22" s="246"/>
      <c r="F22" s="246"/>
      <c r="G22" s="246"/>
      <c r="H22" s="246"/>
      <c r="I22" s="246"/>
      <c r="J22" s="246"/>
      <c r="K22" s="246"/>
      <c r="L22" s="246"/>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5">
        <f>Statement!M115</f>
        <v>133.88</v>
      </c>
      <c r="D24" s="145">
        <f>Statement!N115</f>
        <v>121.19</v>
      </c>
      <c r="E24" s="145">
        <f>Statement!O115</f>
        <v>107.68</v>
      </c>
      <c r="F24" s="145">
        <f>Statement!P115</f>
        <v>170.13</v>
      </c>
      <c r="G24" s="146">
        <f>Statement!Q115</f>
        <v>169.2</v>
      </c>
      <c r="H24" s="137"/>
      <c r="I24" s="137"/>
      <c r="J24" s="137"/>
      <c r="K24" s="137"/>
      <c r="L24" s="137"/>
      <c r="N24" s="91"/>
    </row>
    <row r="25" spans="2:14" x14ac:dyDescent="0.2">
      <c r="N25" s="91"/>
    </row>
    <row r="26" spans="2:14" x14ac:dyDescent="0.2">
      <c r="N26" s="91"/>
    </row>
    <row r="27" spans="2:14" x14ac:dyDescent="0.2">
      <c r="C27" s="246" t="s">
        <v>192</v>
      </c>
      <c r="D27" s="246"/>
      <c r="E27" s="246"/>
      <c r="F27" s="246"/>
      <c r="G27" s="246"/>
      <c r="H27" s="246"/>
      <c r="I27" s="246"/>
      <c r="J27" s="246"/>
      <c r="K27" s="246"/>
      <c r="L27" s="246"/>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193</v>
      </c>
      <c r="C29" s="147">
        <f>C24/(C6/C19)</f>
        <v>4.5828552702139067</v>
      </c>
      <c r="D29" s="147">
        <f t="shared" ref="D29:G29" si="9">D24/(D6/D19)</f>
        <v>3.1174893665158372</v>
      </c>
      <c r="E29" s="147">
        <f t="shared" si="9"/>
        <v>3.3849156895589059</v>
      </c>
      <c r="F29" s="147">
        <f t="shared" si="9"/>
        <v>4.9342153893537288</v>
      </c>
      <c r="G29" s="148">
        <f t="shared" si="9"/>
        <v>4.2219763345677892</v>
      </c>
      <c r="H29" s="137"/>
      <c r="I29" s="137"/>
      <c r="J29" s="137"/>
      <c r="K29" s="137"/>
      <c r="L29" s="137"/>
      <c r="N29" s="91"/>
    </row>
    <row r="30" spans="2:14" x14ac:dyDescent="0.2">
      <c r="B30" s="1" t="s">
        <v>194</v>
      </c>
      <c r="C30" s="141">
        <f>C24*C19</f>
        <v>153828.12</v>
      </c>
      <c r="D30" s="141">
        <f t="shared" ref="D30:G30" si="10">D24*D19</f>
        <v>137793.03</v>
      </c>
      <c r="E30" s="141">
        <f t="shared" si="10"/>
        <v>121247.68000000001</v>
      </c>
      <c r="F30" s="141">
        <f t="shared" si="10"/>
        <v>192246.9</v>
      </c>
      <c r="G30" s="149">
        <f t="shared" si="10"/>
        <v>186966</v>
      </c>
      <c r="H30" s="137"/>
      <c r="I30" s="137"/>
      <c r="J30" s="137"/>
      <c r="K30" s="137"/>
      <c r="L30" s="137"/>
      <c r="N30" s="91"/>
    </row>
    <row r="31" spans="2:14" x14ac:dyDescent="0.2">
      <c r="B31" s="1" t="s">
        <v>161</v>
      </c>
      <c r="C31" s="88">
        <f>Statement!M107</f>
        <v>15745</v>
      </c>
      <c r="D31" s="150">
        <f>Statement!N107</f>
        <v>15482</v>
      </c>
      <c r="E31" s="150">
        <f>Statement!O107</f>
        <v>15398</v>
      </c>
      <c r="F31" s="150">
        <f>Statement!P107</f>
        <v>14634</v>
      </c>
      <c r="G31" s="151">
        <f>Statement!Q107</f>
        <v>14811</v>
      </c>
      <c r="H31" s="137"/>
      <c r="I31" s="137"/>
      <c r="J31" s="137"/>
      <c r="K31" s="137"/>
      <c r="L31" s="137"/>
      <c r="N31" s="91"/>
    </row>
    <row r="32" spans="2:14" x14ac:dyDescent="0.2">
      <c r="B32" s="1" t="s">
        <v>170</v>
      </c>
      <c r="C32" s="150">
        <f>Statement!M106</f>
        <v>12414</v>
      </c>
      <c r="D32" s="150">
        <f>Statement!N106</f>
        <v>6382</v>
      </c>
      <c r="E32" s="150">
        <f>Statement!O106</f>
        <v>11324</v>
      </c>
      <c r="F32" s="150">
        <f>Statement!P106</f>
        <v>13300</v>
      </c>
      <c r="G32" s="151">
        <f>Statement!Q106</f>
        <v>10155</v>
      </c>
      <c r="H32" s="137"/>
      <c r="I32" s="137"/>
      <c r="J32" s="137"/>
      <c r="K32" s="137"/>
      <c r="L32" s="137"/>
      <c r="N32" s="91"/>
    </row>
    <row r="33" spans="2:14" x14ac:dyDescent="0.2">
      <c r="B33" s="1" t="s">
        <v>195</v>
      </c>
      <c r="C33" s="141">
        <f>C30+C31-C32</f>
        <v>157159.12</v>
      </c>
      <c r="D33" s="141">
        <f t="shared" ref="D33:G33" si="11">D30+D31-D32</f>
        <v>146893.03</v>
      </c>
      <c r="E33" s="141">
        <f t="shared" si="11"/>
        <v>125321.68</v>
      </c>
      <c r="F33" s="141">
        <f t="shared" si="11"/>
        <v>193580.9</v>
      </c>
      <c r="G33" s="149">
        <f t="shared" si="11"/>
        <v>191622</v>
      </c>
      <c r="H33" s="137"/>
      <c r="I33" s="137"/>
      <c r="J33" s="137"/>
      <c r="K33" s="137"/>
      <c r="L33" s="137"/>
      <c r="N33" s="91"/>
    </row>
    <row r="34" spans="2:14" x14ac:dyDescent="0.2">
      <c r="B34" s="16" t="s">
        <v>196</v>
      </c>
      <c r="C34" s="147">
        <f>C33/C7</f>
        <v>16.0546654408009</v>
      </c>
      <c r="D34" s="147">
        <f t="shared" ref="D34:G34" si="12">D33/D7</f>
        <v>9.2723791187981313</v>
      </c>
      <c r="E34" s="147">
        <f t="shared" si="12"/>
        <v>16.091638418079096</v>
      </c>
      <c r="F34" s="147">
        <f t="shared" si="12"/>
        <v>19.221616522688908</v>
      </c>
      <c r="G34" s="148">
        <f t="shared" si="12"/>
        <v>15.509672197490895</v>
      </c>
      <c r="H34" s="137"/>
      <c r="I34" s="137"/>
      <c r="J34" s="137"/>
      <c r="K34" s="137"/>
      <c r="L34" s="137"/>
      <c r="N34" s="91"/>
    </row>
    <row r="35" spans="2:14" x14ac:dyDescent="0.2">
      <c r="B35" s="16" t="s">
        <v>313</v>
      </c>
      <c r="C35" s="147">
        <f>C33/C8</f>
        <v>20.022536942114947</v>
      </c>
      <c r="D35" s="147">
        <f t="shared" ref="D35:G35" si="13">D33/D8</f>
        <v>27.99681549890132</v>
      </c>
      <c r="E35" s="147">
        <f t="shared" si="13"/>
        <v>11.119759141513908</v>
      </c>
      <c r="F35" s="147">
        <f t="shared" si="13"/>
        <v>17.290501649113768</v>
      </c>
      <c r="G35" s="148">
        <f t="shared" si="13"/>
        <v>16.250738679107162</v>
      </c>
      <c r="H35" s="137"/>
      <c r="I35" s="137"/>
      <c r="J35" s="137"/>
      <c r="K35" s="137"/>
      <c r="L35" s="137"/>
      <c r="N35" s="91"/>
    </row>
    <row r="36" spans="2:14" x14ac:dyDescent="0.2">
      <c r="B36" s="16" t="s">
        <v>424</v>
      </c>
      <c r="C36" s="147">
        <f>C33/C6</f>
        <v>4.6820925936960016</v>
      </c>
      <c r="D36" s="147">
        <f t="shared" ref="D36:G36" si="14">D33/D6</f>
        <v>3.3233717194570134</v>
      </c>
      <c r="E36" s="147">
        <f t="shared" si="14"/>
        <v>3.4986510329424902</v>
      </c>
      <c r="F36" s="147">
        <f t="shared" si="14"/>
        <v>4.9684538781376721</v>
      </c>
      <c r="G36" s="148">
        <f t="shared" si="14"/>
        <v>4.3271158883569685</v>
      </c>
      <c r="H36" s="137"/>
      <c r="I36" s="137"/>
      <c r="J36" s="137"/>
      <c r="K36" s="137"/>
      <c r="L36" s="137"/>
      <c r="N36" s="91"/>
    </row>
    <row r="37" spans="2:14" x14ac:dyDescent="0.2">
      <c r="N37" s="91"/>
    </row>
    <row r="38" spans="2:14" x14ac:dyDescent="0.2">
      <c r="N38" s="91"/>
    </row>
    <row r="39" spans="2:14" x14ac:dyDescent="0.2">
      <c r="B39" s="240" t="s">
        <v>197</v>
      </c>
      <c r="C39" s="240"/>
      <c r="N39" s="91"/>
    </row>
    <row r="40" spans="2:14" x14ac:dyDescent="0.2">
      <c r="B40" s="1" t="s">
        <v>198</v>
      </c>
      <c r="C40" s="64">
        <f>L7</f>
        <v>20879.693841464476</v>
      </c>
    </row>
    <row r="41" spans="2:14" x14ac:dyDescent="0.2">
      <c r="B41" s="1" t="s">
        <v>157</v>
      </c>
      <c r="C41" s="135">
        <f ca="1">IF(Overview!C28&gt;0,Overview!C28,WACC!C20)</f>
        <v>0.12108377847505866</v>
      </c>
    </row>
    <row r="42" spans="2:14" x14ac:dyDescent="0.2">
      <c r="B42" s="39" t="s">
        <v>199</v>
      </c>
      <c r="C42" s="105">
        <v>18</v>
      </c>
    </row>
    <row r="43" spans="2:14" x14ac:dyDescent="0.2">
      <c r="B43" s="1" t="s">
        <v>419</v>
      </c>
      <c r="C43" s="24">
        <f>(C40*C42)</f>
        <v>375834.48914636055</v>
      </c>
    </row>
    <row r="44" spans="2:14" x14ac:dyDescent="0.2">
      <c r="B44" s="1" t="s">
        <v>420</v>
      </c>
      <c r="C44" s="24">
        <f ca="1">C43/(1+C41)^5</f>
        <v>212229.76270455727</v>
      </c>
    </row>
    <row r="45" spans="2:14" x14ac:dyDescent="0.2">
      <c r="B45" s="16" t="s">
        <v>421</v>
      </c>
      <c r="C45" s="108">
        <f ca="1">SUM(H9:K9)+C44</f>
        <v>233826.38054683147</v>
      </c>
    </row>
    <row r="46" spans="2:14" x14ac:dyDescent="0.2">
      <c r="B46" s="1" t="s">
        <v>181</v>
      </c>
      <c r="C46" s="136">
        <f>Statement!AC106</f>
        <v>8304</v>
      </c>
    </row>
    <row r="47" spans="2:14" x14ac:dyDescent="0.2">
      <c r="B47" s="1" t="s">
        <v>182</v>
      </c>
      <c r="C47" s="136">
        <f>Statement!AC107</f>
        <v>15270</v>
      </c>
    </row>
    <row r="48" spans="2:14" x14ac:dyDescent="0.2">
      <c r="B48" s="16" t="s">
        <v>183</v>
      </c>
      <c r="C48" s="108">
        <f ca="1">C45+C46-C47</f>
        <v>226860.38054683147</v>
      </c>
    </row>
    <row r="49" spans="2:3" x14ac:dyDescent="0.2">
      <c r="B49" s="1" t="s">
        <v>67</v>
      </c>
      <c r="C49" s="88">
        <f>Statement!AC78</f>
        <v>1062</v>
      </c>
    </row>
    <row r="50" spans="2:3" x14ac:dyDescent="0.2">
      <c r="B50" s="231" t="s">
        <v>201</v>
      </c>
      <c r="C50" s="232">
        <f ca="1">C48/C49</f>
        <v>213.61617753938933</v>
      </c>
    </row>
    <row r="52" spans="2:3" x14ac:dyDescent="0.2">
      <c r="B52" s="240" t="s">
        <v>202</v>
      </c>
      <c r="C52" s="240"/>
    </row>
    <row r="53" spans="2:3" x14ac:dyDescent="0.2">
      <c r="B53" s="1" t="s">
        <v>203</v>
      </c>
      <c r="C53" s="64">
        <f>L6</f>
        <v>71998.944280911994</v>
      </c>
    </row>
    <row r="54" spans="2:3" x14ac:dyDescent="0.2">
      <c r="B54" s="1" t="s">
        <v>346</v>
      </c>
      <c r="C54" s="135">
        <f ca="1">IF(Overview!C29&gt;0,Overview!C29,WACC!C19)</f>
        <v>0.12754500000000002</v>
      </c>
    </row>
    <row r="55" spans="2:3" x14ac:dyDescent="0.2">
      <c r="B55" s="39" t="s">
        <v>204</v>
      </c>
      <c r="C55" s="105">
        <v>5</v>
      </c>
    </row>
    <row r="56" spans="2:3" x14ac:dyDescent="0.2">
      <c r="B56" s="1" t="s">
        <v>200</v>
      </c>
      <c r="C56" s="24">
        <f>L19</f>
        <v>1024.4422356918749</v>
      </c>
    </row>
    <row r="57" spans="2:3" x14ac:dyDescent="0.2">
      <c r="B57" s="1" t="s">
        <v>184</v>
      </c>
      <c r="C57" s="24">
        <f>(C53*C55)/C56</f>
        <v>351.40558331376417</v>
      </c>
    </row>
    <row r="58" spans="2:3" x14ac:dyDescent="0.2">
      <c r="B58" s="231" t="s">
        <v>201</v>
      </c>
      <c r="C58" s="232">
        <f ca="1">C57/(1+C54)^5</f>
        <v>192.81430006053344</v>
      </c>
    </row>
    <row r="60" spans="2:3" x14ac:dyDescent="0.2">
      <c r="B60" s="240" t="s">
        <v>314</v>
      </c>
      <c r="C60" s="240"/>
    </row>
    <row r="61" spans="2:3" x14ac:dyDescent="0.2">
      <c r="B61" s="1" t="s">
        <v>423</v>
      </c>
      <c r="C61" s="64">
        <f>L8</f>
        <v>15805.380763756404</v>
      </c>
    </row>
    <row r="62" spans="2:3" x14ac:dyDescent="0.2">
      <c r="B62" s="1" t="s">
        <v>157</v>
      </c>
      <c r="C62" s="135">
        <f ca="1">IF(Overview!C28&gt;0,Overview!C28,WACC!C20)</f>
        <v>0.12108377847505866</v>
      </c>
    </row>
    <row r="63" spans="2:3" x14ac:dyDescent="0.2">
      <c r="B63" s="39" t="s">
        <v>345</v>
      </c>
      <c r="C63" s="105">
        <v>20</v>
      </c>
    </row>
    <row r="64" spans="2:3" x14ac:dyDescent="0.2">
      <c r="B64" s="1" t="s">
        <v>422</v>
      </c>
      <c r="C64" s="24">
        <f>(C61*C63)</f>
        <v>316107.6152751281</v>
      </c>
    </row>
    <row r="65" spans="2:3" x14ac:dyDescent="0.2">
      <c r="B65" s="1" t="s">
        <v>420</v>
      </c>
      <c r="C65" s="24">
        <f ca="1">C64/(1+C62)^5</f>
        <v>178502.62846105688</v>
      </c>
    </row>
    <row r="66" spans="2:3" x14ac:dyDescent="0.2">
      <c r="B66" s="16" t="s">
        <v>421</v>
      </c>
      <c r="C66" s="108">
        <f ca="1">SUM(H9:K9)+C65</f>
        <v>200099.24630333108</v>
      </c>
    </row>
    <row r="67" spans="2:3" x14ac:dyDescent="0.2">
      <c r="B67" s="1" t="s">
        <v>181</v>
      </c>
      <c r="C67" s="136">
        <f>Statement!AC106</f>
        <v>8304</v>
      </c>
    </row>
    <row r="68" spans="2:3" x14ac:dyDescent="0.2">
      <c r="B68" s="1" t="s">
        <v>182</v>
      </c>
      <c r="C68" s="136">
        <f>Statement!AC107</f>
        <v>15270</v>
      </c>
    </row>
    <row r="69" spans="2:3" x14ac:dyDescent="0.2">
      <c r="B69" s="16" t="s">
        <v>183</v>
      </c>
      <c r="C69" s="108">
        <f ca="1">C66+C67-C68</f>
        <v>193133.24630333108</v>
      </c>
    </row>
    <row r="70" spans="2:3" x14ac:dyDescent="0.2">
      <c r="B70" s="1" t="s">
        <v>67</v>
      </c>
      <c r="C70" s="88">
        <f>Statement!AC78</f>
        <v>1062</v>
      </c>
    </row>
    <row r="71" spans="2:3" x14ac:dyDescent="0.2">
      <c r="B71" s="231" t="s">
        <v>201</v>
      </c>
      <c r="C71" s="232">
        <f ca="1">C69/C70</f>
        <v>181.85804736660177</v>
      </c>
    </row>
    <row r="73" spans="2:3" x14ac:dyDescent="0.2">
      <c r="B73" s="240" t="s">
        <v>425</v>
      </c>
      <c r="C73" s="240"/>
    </row>
    <row r="74" spans="2:3" x14ac:dyDescent="0.2">
      <c r="B74" s="1" t="s">
        <v>426</v>
      </c>
      <c r="C74" s="64">
        <f>L6</f>
        <v>71998.944280911994</v>
      </c>
    </row>
    <row r="75" spans="2:3" x14ac:dyDescent="0.2">
      <c r="B75" s="1" t="s">
        <v>157</v>
      </c>
      <c r="C75" s="135">
        <f ca="1">IF(Overview!C28&gt;0,Overview!C28,WACC!C20)</f>
        <v>0.12108377847505866</v>
      </c>
    </row>
    <row r="76" spans="2:3" x14ac:dyDescent="0.2">
      <c r="B76" s="39" t="s">
        <v>427</v>
      </c>
      <c r="C76" s="105">
        <v>5</v>
      </c>
    </row>
    <row r="77" spans="2:3" x14ac:dyDescent="0.2">
      <c r="B77" s="1" t="s">
        <v>422</v>
      </c>
      <c r="C77" s="24">
        <f>(C74*C76)</f>
        <v>359994.72140455997</v>
      </c>
    </row>
    <row r="78" spans="2:3" x14ac:dyDescent="0.2">
      <c r="B78" s="1" t="s">
        <v>420</v>
      </c>
      <c r="C78" s="24">
        <f ca="1">C77/(1+C75)^5</f>
        <v>203285.21331854147</v>
      </c>
    </row>
    <row r="79" spans="2:3" x14ac:dyDescent="0.2">
      <c r="B79" s="16" t="s">
        <v>421</v>
      </c>
      <c r="C79" s="108">
        <f ca="1">SUM(H9:K9)+C78</f>
        <v>224881.83116081567</v>
      </c>
    </row>
    <row r="80" spans="2:3" x14ac:dyDescent="0.2">
      <c r="B80" s="1" t="s">
        <v>181</v>
      </c>
      <c r="C80" s="136">
        <f>Statement!AC106</f>
        <v>8304</v>
      </c>
    </row>
    <row r="81" spans="2:3" x14ac:dyDescent="0.2">
      <c r="B81" s="1" t="s">
        <v>182</v>
      </c>
      <c r="C81" s="136">
        <f>Statement!AC107</f>
        <v>15270</v>
      </c>
    </row>
    <row r="82" spans="2:3" x14ac:dyDescent="0.2">
      <c r="B82" s="16" t="s">
        <v>183</v>
      </c>
      <c r="C82" s="108">
        <f ca="1">C79+C80-C81</f>
        <v>217915.83116081567</v>
      </c>
    </row>
    <row r="83" spans="2:3" x14ac:dyDescent="0.2">
      <c r="B83" s="1" t="s">
        <v>67</v>
      </c>
      <c r="C83" s="88">
        <f>Statement!AC78</f>
        <v>1062</v>
      </c>
    </row>
    <row r="84" spans="2:3" x14ac:dyDescent="0.2">
      <c r="B84" s="231" t="s">
        <v>201</v>
      </c>
      <c r="C84" s="232">
        <f ca="1">C82/C83</f>
        <v>205.19381465236879</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40" t="s">
        <v>206</v>
      </c>
      <c r="C4" s="240"/>
      <c r="N4" s="91"/>
    </row>
    <row r="5" spans="1:14" x14ac:dyDescent="0.2">
      <c r="B5" s="1" t="s">
        <v>207</v>
      </c>
      <c r="C5" s="133">
        <f ca="1">DCF!C26</f>
        <v>111.8333625834032</v>
      </c>
    </row>
    <row r="6" spans="1:14" x14ac:dyDescent="0.2">
      <c r="B6" s="1" t="s">
        <v>208</v>
      </c>
      <c r="C6" s="133">
        <f ca="1">Multiples!C50</f>
        <v>213.61617753938933</v>
      </c>
    </row>
    <row r="7" spans="1:14" x14ac:dyDescent="0.2">
      <c r="B7" s="1" t="s">
        <v>209</v>
      </c>
      <c r="C7" s="133">
        <f ca="1">Multiples!C58</f>
        <v>192.81430006053344</v>
      </c>
    </row>
    <row r="8" spans="1:14" x14ac:dyDescent="0.2">
      <c r="B8" s="1" t="s">
        <v>315</v>
      </c>
      <c r="C8" s="133">
        <f ca="1">Multiples!C71</f>
        <v>181.85804736660177</v>
      </c>
    </row>
    <row r="9" spans="1:14" x14ac:dyDescent="0.2">
      <c r="B9" s="1" t="s">
        <v>424</v>
      </c>
      <c r="C9" s="133">
        <f ca="1">Multiples!C84</f>
        <v>205.19381465236879</v>
      </c>
    </row>
    <row r="10" spans="1:14" x14ac:dyDescent="0.2">
      <c r="B10" s="231" t="s">
        <v>210</v>
      </c>
      <c r="C10" s="232">
        <f ca="1">AVERAGE(C5:C9)</f>
        <v>181.06314044045934</v>
      </c>
    </row>
    <row r="11" spans="1:14" x14ac:dyDescent="0.2">
      <c r="B11" s="1" t="s">
        <v>211</v>
      </c>
      <c r="C11" s="133">
        <f ca="1">Overview!C5</f>
        <v>175.4</v>
      </c>
    </row>
    <row r="12" spans="1:14" x14ac:dyDescent="0.2">
      <c r="B12" s="1" t="s">
        <v>212</v>
      </c>
      <c r="C12" s="152">
        <f ca="1">(C10-C11)/C11</f>
        <v>3.2287003651421488E-2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40" t="s">
        <v>105</v>
      </c>
      <c r="D2" s="240"/>
      <c r="E2" s="240"/>
      <c r="F2" s="240"/>
      <c r="G2" s="249"/>
      <c r="H2" s="250" t="s">
        <v>106</v>
      </c>
      <c r="I2" s="240"/>
      <c r="J2" s="240"/>
      <c r="K2" s="240"/>
      <c r="L2" s="240"/>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235</v>
      </c>
      <c r="C6" s="226">
        <f>Statement!M26</f>
        <v>7.87</v>
      </c>
      <c r="D6" s="226">
        <f>Statement!N26</f>
        <v>11.41</v>
      </c>
      <c r="E6" s="226">
        <f>Statement!O26</f>
        <v>6.52</v>
      </c>
      <c r="F6" s="226">
        <f>Statement!P26</f>
        <v>8.94</v>
      </c>
      <c r="G6" s="227">
        <f>Statement!Q26</f>
        <v>10.172850678733031</v>
      </c>
      <c r="H6" s="137"/>
      <c r="I6" s="137"/>
      <c r="J6" s="137"/>
      <c r="K6" s="137"/>
      <c r="L6" s="137"/>
      <c r="N6" s="91"/>
    </row>
    <row r="7" spans="1:14" x14ac:dyDescent="0.2">
      <c r="B7" s="16" t="s">
        <v>396</v>
      </c>
      <c r="C7" s="226">
        <f>Statement!M82</f>
        <v>2.66</v>
      </c>
      <c r="D7" s="226">
        <f>Statement!N82</f>
        <v>2.86</v>
      </c>
      <c r="E7" s="226">
        <f>Statement!O82</f>
        <v>3.1</v>
      </c>
      <c r="F7" s="226">
        <f>Statement!P82</f>
        <v>3.3</v>
      </c>
      <c r="G7" s="227">
        <f>Statement!Q82</f>
        <v>3.48</v>
      </c>
      <c r="H7" s="137"/>
      <c r="I7" s="137"/>
      <c r="J7" s="137"/>
      <c r="K7" s="137"/>
      <c r="L7" s="137"/>
      <c r="N7" s="91"/>
    </row>
    <row r="8" spans="1:14" x14ac:dyDescent="0.2">
      <c r="N8" s="91"/>
    </row>
    <row r="9" spans="1:14" x14ac:dyDescent="0.2">
      <c r="C9" s="246" t="s">
        <v>114</v>
      </c>
      <c r="D9" s="246"/>
      <c r="E9" s="246"/>
      <c r="F9" s="246"/>
      <c r="G9" s="246"/>
      <c r="H9" s="246"/>
      <c r="I9" s="246"/>
      <c r="J9" s="246"/>
      <c r="K9" s="246"/>
      <c r="L9" s="246"/>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236</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6" t="s">
        <v>397</v>
      </c>
      <c r="D14" s="246"/>
      <c r="E14" s="246"/>
      <c r="F14" s="246"/>
      <c r="G14" s="246"/>
      <c r="H14" s="246"/>
      <c r="I14" s="246"/>
      <c r="J14" s="246"/>
      <c r="K14" s="246"/>
      <c r="L14" s="246"/>
      <c r="N14" s="91"/>
    </row>
    <row r="15" spans="1:14" x14ac:dyDescent="0.2">
      <c r="B15" s="16" t="s">
        <v>324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40" t="s">
        <v>399</v>
      </c>
      <c r="C20" s="240"/>
      <c r="N20" s="91"/>
    </row>
    <row r="21" spans="2:14" x14ac:dyDescent="0.2">
      <c r="B21" s="1" t="s">
        <v>400</v>
      </c>
      <c r="C21" s="228">
        <f>G7</f>
        <v>3.48</v>
      </c>
    </row>
    <row r="22" spans="2:14" x14ac:dyDescent="0.2">
      <c r="B22" s="1" t="s">
        <v>401</v>
      </c>
      <c r="C22" s="230">
        <v>0.06</v>
      </c>
    </row>
    <row r="23" spans="2:14" x14ac:dyDescent="0.2">
      <c r="B23" s="39" t="s">
        <v>402</v>
      </c>
      <c r="C23" s="229">
        <f>C21*(1+C22)</f>
        <v>3.6888000000000001</v>
      </c>
    </row>
    <row r="24" spans="2:14" x14ac:dyDescent="0.2">
      <c r="B24" s="1" t="s">
        <v>346</v>
      </c>
      <c r="C24" s="135">
        <f ca="1">IF(Overview!C29&gt;0,Overview!C29,WACC!C19)</f>
        <v>0.12754500000000002</v>
      </c>
    </row>
    <row r="25" spans="2:14" x14ac:dyDescent="0.2">
      <c r="B25" s="39" t="s">
        <v>403</v>
      </c>
      <c r="C25" s="230">
        <v>0.02</v>
      </c>
    </row>
    <row r="26" spans="2:14" x14ac:dyDescent="0.2">
      <c r="B26" s="231" t="s">
        <v>201</v>
      </c>
      <c r="C26" s="232">
        <f ca="1">C23/(C24-C25)</f>
        <v>34.300060439815887</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13324.493383084577</v>
      </c>
      <c r="I7" s="126">
        <f t="shared" ref="I7:L7" si="0">H7*(1+$C$17)</f>
        <v>15056.677522885569</v>
      </c>
      <c r="J7" s="126">
        <f t="shared" si="0"/>
        <v>17014.045600860693</v>
      </c>
      <c r="K7" s="126">
        <f t="shared" si="0"/>
        <v>19225.871528972581</v>
      </c>
      <c r="L7" s="126">
        <f t="shared" si="0"/>
        <v>21725.234827739016</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231759.88758823517</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H7/(1+$C$21)^H9</f>
        <v>11885.368104432895</v>
      </c>
      <c r="I10" s="126">
        <f t="shared" ref="I10:L10" ca="1" si="1">I7/(1+$C$21)^I9</f>
        <v>11979.895005061804</v>
      </c>
      <c r="J10" s="126">
        <f t="shared" ca="1" si="1"/>
        <v>12075.173698556026</v>
      </c>
      <c r="K10" s="126">
        <f t="shared" ca="1" si="1"/>
        <v>12171.210164086657</v>
      </c>
      <c r="L10" s="126">
        <f t="shared" ca="1" si="1"/>
        <v>12268.010428378439</v>
      </c>
      <c r="N10" s="91"/>
    </row>
    <row r="11" spans="1:28" x14ac:dyDescent="0.2">
      <c r="B11" s="1" t="s">
        <v>175</v>
      </c>
      <c r="C11" s="137"/>
      <c r="D11" s="137"/>
      <c r="E11" s="137"/>
      <c r="F11" s="137"/>
      <c r="G11" s="138"/>
      <c r="H11" s="137"/>
      <c r="I11" s="137"/>
      <c r="J11" s="137"/>
      <c r="K11" s="137"/>
      <c r="L11" s="126">
        <f ca="1">L8/(1+C21)^L9</f>
        <v>130872.35835913788</v>
      </c>
    </row>
    <row r="13" spans="1:28" ht="17" thickBot="1" x14ac:dyDescent="0.25"/>
    <row r="14" spans="1:28" x14ac:dyDescent="0.2">
      <c r="B14" s="253" t="s">
        <v>214</v>
      </c>
      <c r="C14" s="254"/>
    </row>
    <row r="15" spans="1:28" x14ac:dyDescent="0.2">
      <c r="B15" s="153" t="s">
        <v>215</v>
      </c>
      <c r="C15" s="154">
        <f ca="1">Overview!C5</f>
        <v>175.4</v>
      </c>
    </row>
    <row r="16" spans="1:28" x14ac:dyDescent="0.2">
      <c r="B16" s="153" t="s">
        <v>216</v>
      </c>
      <c r="C16" s="154">
        <f ca="1">C36</f>
        <v>175.51049119967018</v>
      </c>
    </row>
    <row r="17" spans="2:9" ht="17" thickBot="1" x14ac:dyDescent="0.25">
      <c r="B17" s="155" t="s">
        <v>316</v>
      </c>
      <c r="C17" s="156">
        <v>0.13</v>
      </c>
      <c r="E17" s="252" t="s">
        <v>217</v>
      </c>
      <c r="F17" s="252"/>
      <c r="G17" s="252"/>
      <c r="H17" s="252"/>
      <c r="I17" s="252"/>
    </row>
    <row r="18" spans="2:9" ht="17" thickBot="1" x14ac:dyDescent="0.25"/>
    <row r="19" spans="2:9" x14ac:dyDescent="0.2">
      <c r="B19" s="253" t="s">
        <v>176</v>
      </c>
      <c r="C19" s="254"/>
    </row>
    <row r="20" spans="2:9" x14ac:dyDescent="0.2">
      <c r="B20" s="157" t="s">
        <v>177</v>
      </c>
      <c r="C20" s="158">
        <v>2.5000000000000001E-2</v>
      </c>
    </row>
    <row r="21" spans="2:9" x14ac:dyDescent="0.2">
      <c r="B21" s="157" t="s">
        <v>157</v>
      </c>
      <c r="C21" s="221">
        <f ca="1">IF(Overview!C28&gt;0,Overview!C28,WACC!C20)</f>
        <v>0.12108377847505866</v>
      </c>
    </row>
    <row r="22" spans="2:9" x14ac:dyDescent="0.2">
      <c r="B22" s="157" t="s">
        <v>67</v>
      </c>
      <c r="C22" s="222">
        <f>Statement!AC75</f>
        <v>1050</v>
      </c>
    </row>
    <row r="23" spans="2:9" x14ac:dyDescent="0.2">
      <c r="B23" s="157" t="s">
        <v>218</v>
      </c>
      <c r="C23" s="159">
        <f ca="1">C15*C22</f>
        <v>184170</v>
      </c>
    </row>
    <row r="24" spans="2:9" x14ac:dyDescent="0.2">
      <c r="B24" s="157" t="s">
        <v>170</v>
      </c>
      <c r="C24" s="222">
        <f>Statement!AC106</f>
        <v>8304</v>
      </c>
    </row>
    <row r="25" spans="2:9" x14ac:dyDescent="0.2">
      <c r="B25" s="157" t="s">
        <v>161</v>
      </c>
      <c r="C25" s="222">
        <f>Statement!AC107</f>
        <v>15270</v>
      </c>
    </row>
    <row r="26" spans="2:9" ht="17" thickBot="1" x14ac:dyDescent="0.25">
      <c r="B26" s="155" t="s">
        <v>219</v>
      </c>
      <c r="C26" s="160">
        <f ca="1">C23+C25-C24</f>
        <v>191136</v>
      </c>
    </row>
    <row r="27" spans="2:9" ht="17" thickBot="1" x14ac:dyDescent="0.25"/>
    <row r="28" spans="2:9" x14ac:dyDescent="0.2">
      <c r="B28" s="253" t="s">
        <v>178</v>
      </c>
      <c r="C28" s="254"/>
    </row>
    <row r="29" spans="2:9" x14ac:dyDescent="0.2">
      <c r="B29" s="157" t="s">
        <v>179</v>
      </c>
      <c r="C29" s="159">
        <f ca="1">SUM(H10:L10)</f>
        <v>60379.657400515825</v>
      </c>
    </row>
    <row r="30" spans="2:9" x14ac:dyDescent="0.2">
      <c r="B30" s="157" t="s">
        <v>175</v>
      </c>
      <c r="C30" s="159">
        <f ca="1">L11</f>
        <v>130872.35835913788</v>
      </c>
    </row>
    <row r="31" spans="2:9" x14ac:dyDescent="0.2">
      <c r="B31" s="161" t="s">
        <v>180</v>
      </c>
      <c r="C31" s="162">
        <f ca="1">C29+C30</f>
        <v>191252.0157596537</v>
      </c>
    </row>
    <row r="32" spans="2:9" x14ac:dyDescent="0.2">
      <c r="B32" s="157" t="s">
        <v>181</v>
      </c>
      <c r="C32" s="163">
        <f>C24</f>
        <v>8304</v>
      </c>
    </row>
    <row r="33" spans="2:3" x14ac:dyDescent="0.2">
      <c r="B33" s="157" t="s">
        <v>182</v>
      </c>
      <c r="C33" s="163">
        <f>C25</f>
        <v>15270</v>
      </c>
    </row>
    <row r="34" spans="2:3" x14ac:dyDescent="0.2">
      <c r="B34" s="161" t="s">
        <v>183</v>
      </c>
      <c r="C34" s="162">
        <f ca="1">C31+C32-C33</f>
        <v>184286.0157596537</v>
      </c>
    </row>
    <row r="35" spans="2:3" x14ac:dyDescent="0.2">
      <c r="B35" s="157" t="s">
        <v>67</v>
      </c>
      <c r="C35" s="159">
        <f>C22</f>
        <v>1050</v>
      </c>
    </row>
    <row r="36" spans="2:3" ht="17" thickBot="1" x14ac:dyDescent="0.25">
      <c r="B36" s="164" t="s">
        <v>184</v>
      </c>
      <c r="C36" s="165">
        <f ca="1">C34/C35</f>
        <v>175.51049119967018</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2026-10-20T17:29:29Z</dcterms:modified>
</cp:coreProperties>
</file>