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C805D51-EB34-BC49-AF3E-530ED7511110}"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6" i="3" l="1"/>
  <c r="AA157" i="3" s="1"/>
  <c r="Z156" i="3"/>
  <c r="Z157" i="3" s="1"/>
  <c r="Y156" i="3"/>
  <c r="Y157" i="3" s="1"/>
  <c r="X156" i="3"/>
  <c r="X157" i="3" s="1"/>
  <c r="W156" i="3"/>
  <c r="W157" i="3" s="1"/>
  <c r="V156" i="3"/>
  <c r="V157" i="3" s="1"/>
  <c r="U156" i="3"/>
  <c r="U157" i="3" s="1"/>
  <c r="T156" i="3"/>
  <c r="T157" i="3" s="1"/>
  <c r="AA155" i="3"/>
  <c r="Z155" i="3"/>
  <c r="Y155" i="3"/>
  <c r="X155" i="3"/>
  <c r="W155" i="3"/>
  <c r="V155" i="3"/>
  <c r="T155" i="3"/>
  <c r="AA116" i="3"/>
  <c r="Z116" i="3"/>
  <c r="Y116" i="3"/>
  <c r="X116" i="3"/>
  <c r="W116" i="3"/>
  <c r="V116" i="3"/>
  <c r="U116" i="3"/>
  <c r="T116" i="3"/>
  <c r="G7" i="21"/>
  <c r="C21" i="21" s="1"/>
  <c r="C23" i="21" s="1"/>
  <c r="F7" i="21"/>
  <c r="E7" i="21"/>
  <c r="D7" i="21"/>
  <c r="C7" i="21"/>
  <c r="G6" i="21"/>
  <c r="F6" i="21"/>
  <c r="E6" i="21"/>
  <c r="D6" i="21"/>
  <c r="C6" i="21"/>
  <c r="G12" i="21"/>
  <c r="F12" i="21"/>
  <c r="E12" i="21"/>
  <c r="D12" i="21"/>
  <c r="F11" i="21"/>
  <c r="E11" i="21"/>
  <c r="L5" i="21"/>
  <c r="L15" i="21" s="1"/>
  <c r="K5" i="21"/>
  <c r="K15" i="21" s="1"/>
  <c r="J5" i="21"/>
  <c r="J15" i="21" s="1"/>
  <c r="I5" i="21"/>
  <c r="I15" i="21" s="1"/>
  <c r="H5" i="21"/>
  <c r="H15" i="21" s="1"/>
  <c r="G5" i="21"/>
  <c r="G15" i="21" s="1"/>
  <c r="F5" i="21"/>
  <c r="F15" i="21" s="1"/>
  <c r="E5" i="21"/>
  <c r="E15" i="21" s="1"/>
  <c r="D5" i="21"/>
  <c r="D15" i="21" s="1"/>
  <c r="C5" i="21"/>
  <c r="C15" i="21" s="1"/>
  <c r="C64" i="12"/>
  <c r="C63" i="12"/>
  <c r="C44" i="12"/>
  <c r="C43" i="12"/>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G16" i="21" l="1"/>
  <c r="C16" i="21"/>
  <c r="F16" i="21"/>
  <c r="E16" i="21"/>
  <c r="D16" i="21"/>
  <c r="G11" i="21"/>
  <c r="L10" i="21"/>
  <c r="K10" i="21"/>
  <c r="J10" i="21"/>
  <c r="I10" i="21"/>
  <c r="H10" i="21"/>
  <c r="G10" i="21"/>
  <c r="F10" i="21"/>
  <c r="E10" i="21"/>
  <c r="D10" i="21"/>
  <c r="C10" i="21"/>
  <c r="D11" i="21"/>
  <c r="AC60" i="3"/>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U78" i="3" l="1"/>
  <c r="U155" i="3"/>
  <c r="AC176" i="3"/>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C51" i="12" l="1"/>
  <c r="C24" i="21"/>
  <c r="C26" i="21" s="1"/>
  <c r="I10" i="1" s="1"/>
  <c r="I71" i="17"/>
  <c r="C52" i="16"/>
  <c r="AC185" i="3"/>
  <c r="C22" i="11"/>
  <c r="C24" i="14"/>
  <c r="C25" i="11"/>
  <c r="C46" i="12"/>
  <c r="C66"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21" i="14" l="1"/>
  <c r="C15" i="11"/>
  <c r="C59"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50" i="12"/>
  <c r="C54" i="12" s="1"/>
  <c r="C55"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L30" i="7"/>
  <c r="L29" i="7"/>
  <c r="L35" i="7" s="1"/>
  <c r="L22" i="8" s="1"/>
  <c r="C45" i="12" l="1"/>
  <c r="C47" i="12" s="1"/>
  <c r="C6" i="13" s="1"/>
  <c r="I4" i="1" s="1"/>
  <c r="I28" i="8"/>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<sst xmlns="http://schemas.openxmlformats.org/spreadsheetml/2006/main" count="800" uniqueCount="417">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</sst>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1.6667000000000001</v>
    <v>-3.1549999999999998</v>
    <v>-2.0811000000000003E-2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153.72999999999999</v>
    <v>3</v>
    <v>Semiconductors &amp; Semiconductor Equipment</v>
    <v>Stock</v>
    <v>46234.712151758591</v>
    <v>4</v>
    <v>146.15</v>
    <v>156461030000</v>
    <v>QUALCOMM INCORPORATED</v>
    <v>QUALCOMM INCORPORATED</v>
    <v>153.22999999999999</v>
    <v>17.180299999999999</v>
    <v>151.6</v>
    <v>148.44499999999999</v>
    <v>1054000000</v>
    <v>QCOM</v>
    <v>QUALCOMM INCORPORATED (XNAS:QCOM)</v>
    <v>6421645</v>
    <v>16447152</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47.14</v>
    <v>39.47</v>
    <v>0.41</v>
    <v>8.8710000000000004E-3</v>
    <v>US</v>
    <v>46.86</v>
    <v>Index</v>
    <v>10</v>
    <v>46.51</v>
    <v>10 Y TSY YLD NDX</v>
    <v>46.69</v>
    <v>46.22</v>
    <v>46.63</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284</v>
      </c>
      <c r="F2" s="242"/>
      <c r="H2" s="241" t="s">
        <v>325</v>
      </c>
      <c r="I2" s="242"/>
    </row>
    <row r="3" spans="2:9" x14ac:dyDescent="0.2">
      <c r="B3" s="185" t="s">
        <v>11</v>
      </c>
      <c r="C3" s="217" t="e" vm="1">
        <v>#VALUE!</v>
      </c>
      <c r="D3" s="2"/>
      <c r="E3" s="185" t="s">
        <v>236</v>
      </c>
      <c r="F3" s="187">
        <f ca="1">Statement!AC156</f>
        <v>157351.69999999998</v>
      </c>
      <c r="H3" s="185" t="str">
        <f>'AVG target price'!B5</f>
        <v>DCF price</v>
      </c>
      <c r="I3" s="211">
        <f ca="1">'AVG target price'!C5</f>
        <v>111.67082074155307</v>
      </c>
    </row>
    <row r="4" spans="2:9" x14ac:dyDescent="0.2">
      <c r="B4" s="185" t="s">
        <v>0</v>
      </c>
      <c r="C4" s="189" t="str" cm="1">
        <f t="array" aca="1" ref="C4" ca="1">_FV(C3,"Ticker symbol",TRUE)</f>
        <v>QCOM</v>
      </c>
      <c r="E4" s="186" t="s">
        <v>180</v>
      </c>
      <c r="F4" s="188">
        <f ca="1">Statement!AC157</f>
        <v>162822.69999999998</v>
      </c>
      <c r="H4" s="185" t="str">
        <f>'AVG target price'!B6</f>
        <v>EV/EBIT price</v>
      </c>
      <c r="I4" s="211">
        <f ca="1">'AVG target price'!C6</f>
        <v>173.36216020720786</v>
      </c>
    </row>
    <row r="5" spans="2:9" x14ac:dyDescent="0.2">
      <c r="B5" s="185" t="s">
        <v>1</v>
      </c>
      <c r="C5" s="208" cm="1">
        <f t="array" aca="1" ref="C5" ca="1">_FV(C3,"Price",TRUE)</f>
        <v>148.44499999999999</v>
      </c>
      <c r="E5" s="185" t="s">
        <v>240</v>
      </c>
      <c r="F5" s="190">
        <f>Statement!AC26</f>
        <v>9.418342702074046</v>
      </c>
      <c r="H5" s="185" t="str">
        <f>'AVG target price'!B7</f>
        <v>PS price</v>
      </c>
      <c r="I5" s="211">
        <f ca="1">'AVG target price'!C7</f>
        <v>189.3237912426618</v>
      </c>
    </row>
    <row r="6" spans="2:9" x14ac:dyDescent="0.2">
      <c r="B6" s="185" t="s">
        <v>2</v>
      </c>
      <c r="C6" s="208" t="e" cm="1" vm="2">
        <f t="array" ref="C6">_FV(C3,"Price (Extended hours)",TRUE)</f>
        <v>#VALUE!</v>
      </c>
      <c r="E6" s="185" t="s">
        <v>234</v>
      </c>
      <c r="F6" s="190">
        <f ca="1">Statement!AC153</f>
        <v>15.761265510896138</v>
      </c>
      <c r="H6" s="185" t="str">
        <f>'AVG target price'!B8</f>
        <v>EV/FCFF price</v>
      </c>
      <c r="I6" s="211">
        <f ca="1">'AVG target price'!C8</f>
        <v>167.00947724395647</v>
      </c>
    </row>
    <row r="7" spans="2:9" x14ac:dyDescent="0.2">
      <c r="B7" s="185" t="s">
        <v>3</v>
      </c>
      <c r="C7" s="6" cm="1">
        <f t="array" aca="1" ref="C7" ca="1">_FV(C3,"Change")</f>
        <v>-3.1549999999999998</v>
      </c>
      <c r="E7" s="186" t="s">
        <v>193</v>
      </c>
      <c r="F7" s="191">
        <f ca="1">Statement!AC154</f>
        <v>3.6024198178800519</v>
      </c>
      <c r="H7" s="184" t="str">
        <f>'AVG target price'!B9</f>
        <v>AVG price</v>
      </c>
      <c r="I7" s="212">
        <f ca="1">'AVG target price'!C9</f>
        <v>160.34156235884481</v>
      </c>
    </row>
    <row r="8" spans="2:9" x14ac:dyDescent="0.2">
      <c r="B8" s="185" t="s">
        <v>4</v>
      </c>
      <c r="C8" s="6" t="e" cm="1" vm="3">
        <f t="array" ref="C8">_FV(C3,"Change (extended hours)",TRUE)</f>
        <v>#VALUE!</v>
      </c>
      <c r="E8" s="185" t="s">
        <v>262</v>
      </c>
      <c r="F8" s="192">
        <f ca="1">Statement!AC164</f>
        <v>5.9935799867430736E-2</v>
      </c>
      <c r="H8" s="184" t="str">
        <f>'AVG target price'!B11</f>
        <v>Upside/Downside</v>
      </c>
      <c r="I8" s="213">
        <f ca="1">'AVG target price'!C11</f>
        <v>8.0141212966720457E-2</v>
      </c>
    </row>
    <row r="9" spans="2:9" x14ac:dyDescent="0.2">
      <c r="B9" s="185" t="s">
        <v>5</v>
      </c>
      <c r="C9" s="73" cm="1">
        <f t="array" aca="1" ref="C9" ca="1">_FV(C3,"Change (%)",TRUE)</f>
        <v>-2.0811000000000003E-2</v>
      </c>
      <c r="E9" s="185" t="s">
        <v>285</v>
      </c>
      <c r="F9" s="192">
        <f ca="1">Statement!AC165</f>
        <v>6.3446681950042411E-2</v>
      </c>
    </row>
    <row r="10" spans="2:9" x14ac:dyDescent="0.2">
      <c r="B10" s="185" t="s">
        <v>6</v>
      </c>
      <c r="C10" s="73" t="e" cm="1" vm="4">
        <f t="array" ref="C10">_FV(C3,"Change % (extended hours)",TRUE)</f>
        <v>#VALUE!</v>
      </c>
      <c r="E10" s="185" t="s">
        <v>290</v>
      </c>
      <c r="F10" s="192">
        <f ca="1">Statement!AC167</f>
        <v>6.8222968039112389E-2</v>
      </c>
      <c r="H10" s="184" t="s">
        <v>415</v>
      </c>
      <c r="I10" s="212">
        <f ca="1">DDM!C26</f>
        <v>36.295833476825592</v>
      </c>
    </row>
    <row r="11" spans="2:9" x14ac:dyDescent="0.2">
      <c r="B11" s="185" t="s">
        <v>7</v>
      </c>
      <c r="C11" s="209" cm="1">
        <f t="array" aca="1" ref="C11" ca="1">_FV(C3,"52 week high",TRUE)</f>
        <v>259.92</v>
      </c>
      <c r="E11" s="186" t="s">
        <v>286</v>
      </c>
      <c r="F11" s="193">
        <f ca="1">Statement!AC166</f>
        <v>2.398194617535114E-2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1.6667000000000001</v>
      </c>
      <c r="E13" s="185" t="s">
        <v>96</v>
      </c>
      <c r="F13" s="192">
        <f>Statement!AC124</f>
        <v>0.37337781362269967</v>
      </c>
    </row>
    <row r="14" spans="2:9" x14ac:dyDescent="0.2">
      <c r="B14" s="186" t="s">
        <v>10</v>
      </c>
      <c r="C14" s="210" cm="1">
        <f t="array" aca="1" ref="C14" ca="1">_FV(C3,"Volume average",TRUE)</f>
        <v>16447152</v>
      </c>
      <c r="E14" s="186" t="s">
        <v>97</v>
      </c>
      <c r="F14" s="193">
        <f>Statement!AC143</f>
        <v>0.30177970863243947</v>
      </c>
    </row>
    <row r="15" spans="2:9" x14ac:dyDescent="0.2">
      <c r="E15" s="185" t="s">
        <v>287</v>
      </c>
      <c r="F15" s="192">
        <f ca="1">Statement!AC179</f>
        <v>-3.4769246217231847E-2</v>
      </c>
    </row>
    <row r="16" spans="2:9" x14ac:dyDescent="0.2">
      <c r="E16" s="186" t="s">
        <v>292</v>
      </c>
      <c r="F16" s="191">
        <f>Statement!AC178</f>
        <v>-5.1907020872865273</v>
      </c>
    </row>
    <row r="17" spans="2:9" x14ac:dyDescent="0.2">
      <c r="B17" s="243" t="s">
        <v>83</v>
      </c>
      <c r="C17" s="243"/>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43" t="s">
        <v>99</v>
      </c>
      <c r="C25" s="243"/>
      <c r="E25" s="241" t="s">
        <v>338</v>
      </c>
      <c r="F25" s="242"/>
    </row>
    <row r="26" spans="2:9" x14ac:dyDescent="0.2">
      <c r="B26" s="184" t="s">
        <v>100</v>
      </c>
      <c r="C26" s="170">
        <v>0.21</v>
      </c>
      <c r="E26" s="185" t="e" vm="5">
        <v>#VALUE!</v>
      </c>
      <c r="F26" s="219" cm="1">
        <f t="array" aca="1" ref="F26" ca="1">_FV(E26,"Price")</f>
        <v>46.63</v>
      </c>
    </row>
    <row r="27" spans="2:9" x14ac:dyDescent="0.2">
      <c r="B27" s="184" t="s">
        <v>164</v>
      </c>
      <c r="C27" s="221">
        <v>4.65E-2</v>
      </c>
      <c r="E27" s="186" t="s">
        <v>339</v>
      </c>
      <c r="F27" s="220">
        <f ca="1">F26/1000</f>
        <v>4.6630000000000005E-2</v>
      </c>
    </row>
    <row r="28" spans="2:9" x14ac:dyDescent="0.2">
      <c r="B28" s="184" t="s">
        <v>356</v>
      </c>
      <c r="C28" s="221">
        <v>0</v>
      </c>
    </row>
    <row r="29" spans="2:9" x14ac:dyDescent="0.2">
      <c r="B29" s="184" t="s">
        <v>416</v>
      </c>
      <c r="C29" s="221">
        <v>0</v>
      </c>
    </row>
    <row r="33" spans="2:8" x14ac:dyDescent="0.2">
      <c r="B33" s="238" t="s">
        <v>333</v>
      </c>
      <c r="C33" s="238"/>
      <c r="D33" s="238"/>
      <c r="E33" s="238"/>
      <c r="F33" s="238"/>
      <c r="G33" s="238"/>
      <c r="H33" s="238"/>
    </row>
    <row r="35" spans="2:8" x14ac:dyDescent="0.2">
      <c r="B35" s="16" t="s">
        <v>334</v>
      </c>
      <c r="C35" s="1" t="s">
        <v>350</v>
      </c>
    </row>
    <row r="36" spans="2:8" x14ac:dyDescent="0.2">
      <c r="B36" s="16" t="s">
        <v>335</v>
      </c>
      <c r="C36" s="1" t="s">
        <v>349</v>
      </c>
    </row>
    <row r="39" spans="2:8" ht="6" customHeight="1" x14ac:dyDescent="0.2">
      <c r="B39" s="238"/>
      <c r="C39" s="238"/>
      <c r="D39" s="238"/>
      <c r="E39" s="238"/>
      <c r="F39" s="238"/>
      <c r="G39" s="238"/>
      <c r="H39" s="238"/>
    </row>
    <row r="42" spans="2:8" x14ac:dyDescent="0.2">
      <c r="B42" s="238" t="s">
        <v>336</v>
      </c>
      <c r="C42" s="238"/>
      <c r="D42" s="238"/>
      <c r="E42" s="238"/>
      <c r="F42" s="238"/>
      <c r="G42" s="238"/>
      <c r="H42" s="238"/>
    </row>
    <row r="44" spans="2:8" x14ac:dyDescent="0.2">
      <c r="B44" s="41" t="s">
        <v>337</v>
      </c>
      <c r="C44" s="41" t="s">
        <v>377</v>
      </c>
      <c r="D44" s="41"/>
      <c r="E44" s="41" t="s">
        <v>347</v>
      </c>
    </row>
    <row r="49" spans="2:8" ht="5" customHeight="1" x14ac:dyDescent="0.2">
      <c r="B49" s="238"/>
      <c r="C49" s="238"/>
      <c r="D49" s="238"/>
      <c r="E49" s="238"/>
      <c r="F49" s="238"/>
      <c r="G49" s="238"/>
      <c r="H49" s="238"/>
    </row>
    <row r="52" spans="2:8" x14ac:dyDescent="0.2">
      <c r="B52" s="238" t="s">
        <v>101</v>
      </c>
      <c r="C52" s="238"/>
      <c r="D52" s="238"/>
      <c r="E52" s="238"/>
      <c r="F52" s="238"/>
      <c r="G52" s="238"/>
      <c r="H52" s="238"/>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8"/>
      <c r="C69" s="238"/>
      <c r="D69" s="238"/>
      <c r="E69" s="238"/>
      <c r="F69" s="238"/>
      <c r="G69" s="238"/>
      <c r="H69" s="238"/>
    </row>
  </sheetData>
  <mergeCells count="12">
    <mergeCell ref="B2:C2"/>
    <mergeCell ref="B17:C17"/>
    <mergeCell ref="B25:C25"/>
    <mergeCell ref="E2:F2"/>
    <mergeCell ref="H2:I2"/>
    <mergeCell ref="E25:F25"/>
    <mergeCell ref="B52:H52"/>
    <mergeCell ref="B69:H6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tabSelected="1" zoomScale="170" zoomScaleNormal="150" workbookViewId="0">
      <pane xSplit="2" ySplit="3" topLeftCell="S156" activePane="bottomRight" state="frozen"/>
      <selection pane="topRight" activeCell="C1" sqref="C1"/>
      <selection pane="bottomLeft" activeCell="A4" sqref="A4"/>
      <selection pane="bottomRight" activeCell="S162" sqref="S16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v>1111</v>
      </c>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1111</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1125</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215.47</v>
      </c>
      <c r="U115" s="63">
        <v>170.13</v>
      </c>
      <c r="V115" s="63">
        <v>157.24</v>
      </c>
      <c r="W115" s="63">
        <v>152.72</v>
      </c>
      <c r="X115" s="63">
        <v>158.54</v>
      </c>
      <c r="Y115" s="63">
        <v>169.2</v>
      </c>
      <c r="Z115" s="63">
        <v>174.81</v>
      </c>
      <c r="AA115" s="63">
        <v>127.11</v>
      </c>
      <c r="AC115" s="63">
        <f ca="1">Overview!C5</f>
        <v>148.44499999999999</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AA116" si="70">T115/T85</f>
        <v>215.47</v>
      </c>
      <c r="U116" s="65">
        <f t="shared" si="70"/>
        <v>170.13</v>
      </c>
      <c r="V116" s="65">
        <f t="shared" si="70"/>
        <v>157.24</v>
      </c>
      <c r="W116" s="65">
        <f t="shared" si="70"/>
        <v>152.72</v>
      </c>
      <c r="X116" s="65">
        <f t="shared" si="70"/>
        <v>158.54</v>
      </c>
      <c r="Y116" s="65">
        <f t="shared" si="70"/>
        <v>169.2</v>
      </c>
      <c r="Z116" s="65">
        <f t="shared" si="70"/>
        <v>174.81</v>
      </c>
      <c r="AA116" s="65">
        <f t="shared" si="70"/>
        <v>127.11</v>
      </c>
      <c r="AC116" s="65">
        <f ca="1">AC115/AC85</f>
        <v>148.44499999999999</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1">M120*M121</f>
        <v>0.21927740058195924</v>
      </c>
      <c r="N122" s="76">
        <f t="shared" si="71"/>
        <v>0.26494470967478678</v>
      </c>
      <c r="O122" s="76">
        <f t="shared" si="71"/>
        <v>0.14378918495297807</v>
      </c>
      <c r="P122" s="76">
        <f t="shared" si="71"/>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2">M122*M123</f>
        <v>0.90884422110552765</v>
      </c>
      <c r="N124" s="76">
        <f t="shared" si="72"/>
        <v>0.7209237772719701</v>
      </c>
      <c r="O124" s="76">
        <f t="shared" si="72"/>
        <v>0.34006765210138556</v>
      </c>
      <c r="P124" s="76">
        <f t="shared" si="72"/>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3">U5</f>
        <v>10244</v>
      </c>
      <c r="U130" s="25">
        <f t="shared" si="73"/>
        <v>11669</v>
      </c>
      <c r="V130" s="25">
        <f t="shared" si="73"/>
        <v>10979</v>
      </c>
      <c r="W130" s="25">
        <f t="shared" si="73"/>
        <v>10465</v>
      </c>
      <c r="X130" s="25">
        <f t="shared" si="73"/>
        <v>11270</v>
      </c>
      <c r="Y130" s="25">
        <f t="shared" si="73"/>
        <v>12252</v>
      </c>
      <c r="Z130" s="25">
        <f t="shared" si="73"/>
        <v>10599</v>
      </c>
      <c r="AA130" s="25">
        <f t="shared" si="73"/>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4">IF(T130&gt;T129, "BEAT", IF(T130&lt;T128, "MISSED", "MET"))</f>
        <v>MET</v>
      </c>
      <c r="U131" s="227" t="str">
        <f t="shared" si="74"/>
        <v>BEAT</v>
      </c>
      <c r="V131" s="227" t="str">
        <f t="shared" si="74"/>
        <v>MET</v>
      </c>
      <c r="W131" s="227" t="str">
        <f t="shared" si="74"/>
        <v>MET</v>
      </c>
      <c r="X131" s="227" t="str">
        <f t="shared" si="74"/>
        <v>BEAT</v>
      </c>
      <c r="Y131" s="227" t="str">
        <f t="shared" si="74"/>
        <v>MET</v>
      </c>
      <c r="Z131" s="227" t="str">
        <f t="shared" si="74"/>
        <v>MET</v>
      </c>
      <c r="AA131" s="227" t="str">
        <f t="shared" si="74"/>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5">U193</f>
        <v>8678</v>
      </c>
      <c r="U134" s="25">
        <f t="shared" si="75"/>
        <v>10084</v>
      </c>
      <c r="V134" s="25">
        <f t="shared" si="75"/>
        <v>9469</v>
      </c>
      <c r="W134" s="25">
        <f t="shared" si="75"/>
        <v>8993</v>
      </c>
      <c r="X134" s="25">
        <f t="shared" si="75"/>
        <v>9821</v>
      </c>
      <c r="Y134" s="25">
        <f t="shared" si="75"/>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6">IF(T134&gt;T133, "BEAT", IF(T134&lt;T132, "MISSED", "MET"))</f>
        <v>MET</v>
      </c>
      <c r="U135" s="227" t="str">
        <f t="shared" si="76"/>
        <v>BEAT</v>
      </c>
      <c r="V135" s="227" t="str">
        <f t="shared" si="76"/>
        <v>MET</v>
      </c>
      <c r="W135" s="227" t="str">
        <f t="shared" si="76"/>
        <v>MET</v>
      </c>
      <c r="X135" s="227" t="str">
        <f t="shared" si="76"/>
        <v>BEAT</v>
      </c>
      <c r="Y135" s="227" t="str">
        <f t="shared" si="76"/>
        <v>MET</v>
      </c>
      <c r="Z135" s="227" t="str">
        <f t="shared" si="76"/>
        <v>MET</v>
      </c>
      <c r="AA135" s="227" t="str">
        <f t="shared" si="76"/>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7">U194</f>
        <v>1015</v>
      </c>
      <c r="U138" s="25">
        <f t="shared" si="77"/>
        <v>1535</v>
      </c>
      <c r="V138" s="25">
        <f t="shared" si="77"/>
        <v>1319</v>
      </c>
      <c r="W138" s="25">
        <f t="shared" si="77"/>
        <v>1318</v>
      </c>
      <c r="X138" s="25">
        <f t="shared" si="77"/>
        <v>1409</v>
      </c>
      <c r="Y138" s="25">
        <f t="shared" si="77"/>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8">IF(T138&gt;T137, "BEAT", IF(T138&lt;T136, "MISSED", "MET"))</f>
        <v>MISSED</v>
      </c>
      <c r="U139" s="227" t="str">
        <f t="shared" si="78"/>
        <v>MET</v>
      </c>
      <c r="V139" s="227" t="str">
        <f t="shared" si="78"/>
        <v>MET</v>
      </c>
      <c r="W139" s="227" t="str">
        <f t="shared" si="78"/>
        <v>MET</v>
      </c>
      <c r="X139" s="227" t="str">
        <f t="shared" si="78"/>
        <v>MET</v>
      </c>
      <c r="Y139" s="227" t="str">
        <f t="shared" si="78"/>
        <v>MET</v>
      </c>
      <c r="Z139" s="227" t="str">
        <f t="shared" si="78"/>
        <v>MET</v>
      </c>
      <c r="AA139" s="227" t="str">
        <f t="shared" si="78"/>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9">M30/M5*365</f>
        <v>38.91839957099446</v>
      </c>
      <c r="N144" s="118">
        <f t="shared" si="79"/>
        <v>46.599434389140271</v>
      </c>
      <c r="O144" s="118">
        <f t="shared" si="79"/>
        <v>32.434254606365158</v>
      </c>
      <c r="P144" s="118">
        <f t="shared" si="79"/>
        <v>36.807273753914075</v>
      </c>
      <c r="Q144" s="118">
        <f t="shared" si="79"/>
        <v>35.565328335290403</v>
      </c>
      <c r="T144" s="118">
        <f t="shared" ref="T144:AA144" si="80">T30/T5*90</f>
        <v>28.246566592143086</v>
      </c>
      <c r="U144" s="118">
        <f t="shared" si="80"/>
        <v>34.518742678641154</v>
      </c>
      <c r="V144" s="118">
        <f t="shared" si="80"/>
        <v>27.380238238066674</v>
      </c>
      <c r="W144" s="118">
        <f t="shared" si="80"/>
        <v>30.322433737134528</v>
      </c>
      <c r="X144" s="118">
        <f t="shared" si="80"/>
        <v>29.326325848064979</v>
      </c>
      <c r="Y144" s="118">
        <f t="shared" si="80"/>
        <v>34.45874001774623</v>
      </c>
      <c r="Z144" s="118">
        <f t="shared" si="80"/>
        <v>30.506856023506366</v>
      </c>
      <c r="AA144" s="118">
        <f t="shared" si="80"/>
        <v>36.911972827625249</v>
      </c>
      <c r="AC144" s="118">
        <f>AC30/AC5*365</f>
        <v>35.586394832458616</v>
      </c>
    </row>
    <row r="145" spans="2:29" x14ac:dyDescent="0.2">
      <c r="B145" s="20" t="s">
        <v>132</v>
      </c>
      <c r="M145" s="118">
        <f t="shared" si="79"/>
        <v>82.612536811106438</v>
      </c>
      <c r="N145" s="118">
        <f t="shared" si="79"/>
        <v>124.08004074411623</v>
      </c>
      <c r="O145" s="118">
        <f t="shared" si="79"/>
        <v>147.7112609490201</v>
      </c>
      <c r="P145" s="118">
        <f t="shared" si="79"/>
        <v>137.42057444314187</v>
      </c>
      <c r="Q145" s="118">
        <f t="shared" si="79"/>
        <v>120.68041341574629</v>
      </c>
      <c r="T145" s="118">
        <f t="shared" ref="T145:AA145" si="81">T31/T6*365</f>
        <v>526.42549113560131</v>
      </c>
      <c r="U145" s="118">
        <f t="shared" si="81"/>
        <v>524.82538616521151</v>
      </c>
      <c r="V145" s="118">
        <f t="shared" si="81"/>
        <v>445.76535555124974</v>
      </c>
      <c r="W145" s="118">
        <f t="shared" si="81"/>
        <v>458.07980554992912</v>
      </c>
      <c r="X145" s="118">
        <f t="shared" si="81"/>
        <v>502.25141120277902</v>
      </c>
      <c r="Y145" s="118">
        <f t="shared" si="81"/>
        <v>473.27438903238624</v>
      </c>
      <c r="Z145" s="118">
        <f t="shared" si="81"/>
        <v>436.91181752873564</v>
      </c>
      <c r="AA145" s="118">
        <f t="shared" si="81"/>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2">T38/T6*90</f>
        <v>55.759463344513655</v>
      </c>
      <c r="U146" s="118">
        <f t="shared" si="82"/>
        <v>52.061786433848219</v>
      </c>
      <c r="V146" s="118">
        <f t="shared" si="82"/>
        <v>45.008719240457275</v>
      </c>
      <c r="W146" s="118">
        <f t="shared" si="82"/>
        <v>45.191411788535554</v>
      </c>
      <c r="X146" s="118">
        <f t="shared" si="82"/>
        <v>45.664350846721668</v>
      </c>
      <c r="Y146" s="118">
        <f t="shared" si="82"/>
        <v>49.908603218756205</v>
      </c>
      <c r="Z146" s="118">
        <f t="shared" si="82"/>
        <v>43.787715517241381</v>
      </c>
      <c r="AA146" s="118">
        <f t="shared" si="82"/>
        <v>54.60612244897959</v>
      </c>
      <c r="AC146" s="118">
        <f>AC38/AC6*365</f>
        <v>53.968518426418662</v>
      </c>
    </row>
    <row r="147" spans="2:29" x14ac:dyDescent="0.2">
      <c r="B147" s="20" t="s">
        <v>134</v>
      </c>
      <c r="M147" s="118">
        <f>M144+M145-M146</f>
        <v>51.151606694820003</v>
      </c>
      <c r="N147" s="118">
        <f t="shared" ref="N147:Q147" si="83">N144+N145-N146</f>
        <v>96.399734608944073</v>
      </c>
      <c r="O147" s="118">
        <f t="shared" si="83"/>
        <v>136.16794923110521</v>
      </c>
      <c r="P147" s="118">
        <f t="shared" si="83"/>
        <v>118.9429712920149</v>
      </c>
      <c r="Q147" s="118">
        <f t="shared" si="83"/>
        <v>104.633876313809</v>
      </c>
      <c r="T147" s="118">
        <f t="shared" ref="T147" si="84">T144+T145-T146</f>
        <v>498.91259438323067</v>
      </c>
      <c r="U147" s="118">
        <f t="shared" ref="U147" si="85">U144+U145-U146</f>
        <v>507.28234241000445</v>
      </c>
      <c r="V147" s="118">
        <f t="shared" ref="V147" si="86">V144+V145-V146</f>
        <v>428.13687454885917</v>
      </c>
      <c r="W147" s="118">
        <f t="shared" ref="W147" si="87">W144+W145-W146</f>
        <v>443.21082749852809</v>
      </c>
      <c r="X147" s="118">
        <f t="shared" ref="X147" si="88">X144+X145-X146</f>
        <v>485.91338620412233</v>
      </c>
      <c r="Y147" s="118">
        <f t="shared" ref="Y147" si="89">Y144+Y145-Y146</f>
        <v>457.82452583137626</v>
      </c>
      <c r="Z147" s="118">
        <f t="shared" ref="Z147:AA147" si="90">Z144+Z145-Z146</f>
        <v>423.63095803500062</v>
      </c>
      <c r="AA147" s="118">
        <f t="shared" si="90"/>
        <v>531.14666670517636</v>
      </c>
      <c r="AC147" s="118">
        <f t="shared" ref="AC147" si="91">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2">T107/T49</f>
        <v>0.58994730441832188</v>
      </c>
      <c r="U148" s="118">
        <f t="shared" si="92"/>
        <v>0.55697647864809319</v>
      </c>
      <c r="V148" s="118">
        <f t="shared" si="92"/>
        <v>0.54229910714285712</v>
      </c>
      <c r="W148" s="118">
        <f t="shared" si="92"/>
        <v>0.52737305251009814</v>
      </c>
      <c r="X148" s="118">
        <f t="shared" si="92"/>
        <v>0.54349663714212204</v>
      </c>
      <c r="Y148" s="118">
        <f t="shared" si="92"/>
        <v>0.69843440535697443</v>
      </c>
      <c r="Z148" s="118">
        <f t="shared" si="92"/>
        <v>0.64217917045897799</v>
      </c>
      <c r="AA148" s="118">
        <f t="shared" si="92"/>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3">(T107-T106)/T49</f>
        <v>6.169436562626672E-2</v>
      </c>
      <c r="U149" s="179">
        <f t="shared" si="93"/>
        <v>5.0772626931567331E-2</v>
      </c>
      <c r="V149" s="179">
        <f t="shared" si="93"/>
        <v>1.011904761904762E-2</v>
      </c>
      <c r="W149" s="179">
        <f t="shared" si="93"/>
        <v>2.8022215810732835E-2</v>
      </c>
      <c r="X149" s="179">
        <f t="shared" si="93"/>
        <v>0.17556690800837957</v>
      </c>
      <c r="Y149" s="179">
        <f t="shared" si="93"/>
        <v>0.21956050174478922</v>
      </c>
      <c r="Z149" s="179">
        <f t="shared" si="93"/>
        <v>0.12980540025137607</v>
      </c>
      <c r="AA149" s="179">
        <f t="shared" si="93"/>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4">(T106+T30)/T40</f>
        <v>1.6394788139940495</v>
      </c>
      <c r="U150" s="118">
        <f t="shared" si="94"/>
        <v>1.6402322924600152</v>
      </c>
      <c r="V150" s="118">
        <f t="shared" si="94"/>
        <v>1.7937512557765722</v>
      </c>
      <c r="W150" s="118">
        <f t="shared" si="94"/>
        <v>1.838327745180218</v>
      </c>
      <c r="X150" s="118">
        <f t="shared" si="94"/>
        <v>1.7206410256410256</v>
      </c>
      <c r="Y150" s="118">
        <f t="shared" si="94"/>
        <v>1.5824584426946631</v>
      </c>
      <c r="Z150" s="118">
        <f t="shared" si="94"/>
        <v>1.6264508246792915</v>
      </c>
      <c r="AA150" s="118">
        <f t="shared" si="94"/>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5">T32/T40</f>
        <v>2.3937621832358675</v>
      </c>
      <c r="U151" s="118">
        <f t="shared" si="95"/>
        <v>2.402037319116527</v>
      </c>
      <c r="V151" s="118">
        <f t="shared" si="95"/>
        <v>2.6185453084187262</v>
      </c>
      <c r="W151" s="118">
        <f t="shared" si="95"/>
        <v>2.732606873428332</v>
      </c>
      <c r="X151" s="118">
        <f t="shared" si="95"/>
        <v>3.193974358974359</v>
      </c>
      <c r="Y151" s="118">
        <f t="shared" si="95"/>
        <v>2.8164916885389326</v>
      </c>
      <c r="Z151" s="118">
        <f t="shared" si="95"/>
        <v>2.5053960496843821</v>
      </c>
      <c r="AA151" s="118">
        <f t="shared" si="95"/>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6">IF(T13&gt;=0,"N/A",IF(T12&lt;=0,"N/A",T12/-T13))</f>
        <v>13.220238095238095</v>
      </c>
      <c r="U152" s="181">
        <f t="shared" si="96"/>
        <v>14.5</v>
      </c>
      <c r="V152" s="181">
        <f t="shared" si="96"/>
        <v>21.809815950920246</v>
      </c>
      <c r="W152" s="181">
        <f t="shared" si="96"/>
        <v>19.141104294478527</v>
      </c>
      <c r="X152" s="181">
        <f t="shared" si="96"/>
        <v>16.44047619047619</v>
      </c>
      <c r="Y152" s="181">
        <f t="shared" si="96"/>
        <v>17.064327485380115</v>
      </c>
      <c r="Z152" s="181">
        <f t="shared" si="96"/>
        <v>19.917159763313609</v>
      </c>
      <c r="AA152" s="181">
        <f t="shared" si="96"/>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15.761265510896138</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3.6024198178800519</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9.7297762464531825</v>
      </c>
      <c r="U155" s="72">
        <f>U116/(Statement!U49/Statement!U75)</f>
        <v>7.1939723681205754</v>
      </c>
      <c r="V155" s="72">
        <f>V116/(Statement!V49/Statement!V75)</f>
        <v>6.4697708333333335</v>
      </c>
      <c r="W155" s="72">
        <f>W116/(Statement!W49/Statement!W75)</f>
        <v>6.0475533756491631</v>
      </c>
      <c r="X155" s="72">
        <f>X116/(Statement!X49/Statement!X75)</f>
        <v>6.2870616340181558</v>
      </c>
      <c r="Y155" s="72">
        <f>Y116/(Statement!Y49/Statement!Y75)</f>
        <v>8.5453739507686493</v>
      </c>
      <c r="Z155" s="72">
        <f>Z116/(Statement!Z49/Statement!Z75)</f>
        <v>8.084005981016773</v>
      </c>
      <c r="AA155" s="72">
        <f>AA116/(Statement!AA49/Statement!AA75)</f>
        <v>4.9114282572036077</v>
      </c>
      <c r="AC155" s="72">
        <f ca="1">AC116/(Statement!AC49/Statement!AC75)</f>
        <v>5.7357955128675124</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243912.04</v>
      </c>
      <c r="U156" s="143">
        <f>Statement!U116*Statement!U78</f>
        <v>191396.25</v>
      </c>
      <c r="V156" s="143">
        <f>Statement!V116*Statement!V78</f>
        <v>175794.32</v>
      </c>
      <c r="W156" s="143">
        <f>Statement!W116*Statement!W78</f>
        <v>169213.76</v>
      </c>
      <c r="X156" s="143">
        <f>Statement!X116*Statement!X78</f>
        <v>172174.44</v>
      </c>
      <c r="Y156" s="143">
        <f>Statement!Y116*Statement!Y78</f>
        <v>182736</v>
      </c>
      <c r="Z156" s="143">
        <f>Statement!Z116*Statement!Z78</f>
        <v>188095.56</v>
      </c>
      <c r="AA156" s="143">
        <f>Statement!AA116*Statement!AA78</f>
        <v>134736.6</v>
      </c>
      <c r="AC156" s="143">
        <f ca="1">Statement!AC116*Statement!AC78</f>
        <v>157351.69999999998</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AA157" si="97">T156+T107-T106+T48+T45</f>
        <v>245434.04</v>
      </c>
      <c r="U157" s="143">
        <f t="shared" si="97"/>
        <v>192730.25</v>
      </c>
      <c r="V157" s="143">
        <f t="shared" si="97"/>
        <v>176066.32</v>
      </c>
      <c r="W157" s="143">
        <f t="shared" si="97"/>
        <v>169990.76</v>
      </c>
      <c r="X157" s="143">
        <f t="shared" si="97"/>
        <v>176951.44</v>
      </c>
      <c r="Y157" s="143">
        <f t="shared" si="97"/>
        <v>187392</v>
      </c>
      <c r="Z157" s="143">
        <f t="shared" si="97"/>
        <v>191090.56</v>
      </c>
      <c r="AA157" s="143">
        <f t="shared" si="97"/>
        <v>140207.6</v>
      </c>
      <c r="AC157" s="143">
        <f ca="1">AC156+AC107-AC106+AC48+AC45</f>
        <v>162822.69999999998</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3.6518795137487099</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14.339295464553059</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8">T59-T54+T109+T65</f>
        <v>0</v>
      </c>
      <c r="U160" s="64">
        <f t="shared" si="98"/>
        <v>0</v>
      </c>
      <c r="V160" s="64">
        <f t="shared" si="98"/>
        <v>3551</v>
      </c>
      <c r="W160" s="64">
        <f t="shared" si="98"/>
        <v>1638</v>
      </c>
      <c r="X160" s="64">
        <f t="shared" si="98"/>
        <v>1922</v>
      </c>
      <c r="Y160" s="64">
        <f t="shared" si="98"/>
        <v>2926</v>
      </c>
      <c r="Z160" s="64">
        <f t="shared" si="98"/>
        <v>3528</v>
      </c>
      <c r="AA160" s="64">
        <f t="shared" si="98"/>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9">N156/N160</f>
        <v>28.638486362689985</v>
      </c>
      <c r="O162" s="72">
        <f t="shared" si="99"/>
        <v>16.404203665987779</v>
      </c>
      <c r="P162" s="72">
        <f t="shared" si="99"/>
        <v>22.482820392341125</v>
      </c>
      <c r="Q162" s="72">
        <f t="shared" si="99"/>
        <v>18.206236923383482</v>
      </c>
      <c r="T162" s="49"/>
      <c r="U162" s="49"/>
      <c r="V162" s="49"/>
      <c r="W162" s="49"/>
      <c r="X162" s="49"/>
      <c r="Y162" s="49"/>
      <c r="Z162" s="49"/>
      <c r="AA162" s="49"/>
      <c r="AC162" s="72">
        <f t="shared" ref="AC162:AC163" ca="1" si="100">AC156/AC160</f>
        <v>16.684519139009648</v>
      </c>
    </row>
    <row r="163" spans="2:29" x14ac:dyDescent="0.2">
      <c r="B163" s="20" t="s">
        <v>261</v>
      </c>
      <c r="M163" s="72">
        <f>M157/M161</f>
        <v>19.834913152264804</v>
      </c>
      <c r="N163" s="72">
        <f t="shared" ref="N163:Q163" si="101">N157/N161</f>
        <v>27.867839537332323</v>
      </c>
      <c r="O163" s="72">
        <f t="shared" si="101"/>
        <v>11.081541471136106</v>
      </c>
      <c r="P163" s="72">
        <f t="shared" si="101"/>
        <v>17.214522225380236</v>
      </c>
      <c r="Q163" s="72">
        <f t="shared" si="101"/>
        <v>15.89200834223236</v>
      </c>
      <c r="T163" s="49"/>
      <c r="U163" s="49"/>
      <c r="V163" s="49"/>
      <c r="W163" s="49"/>
      <c r="X163" s="49"/>
      <c r="Y163" s="49"/>
      <c r="Z163" s="49"/>
      <c r="AA163" s="49"/>
      <c r="AC163" s="72">
        <f t="shared" ca="1" si="100"/>
        <v>13.616233671526574</v>
      </c>
    </row>
    <row r="164" spans="2:29" x14ac:dyDescent="0.2">
      <c r="B164" s="20" t="s">
        <v>262</v>
      </c>
      <c r="M164" s="74">
        <f>M160/M156</f>
        <v>4.5846738390174974E-2</v>
      </c>
      <c r="N164" s="74">
        <f t="shared" ref="N164:Q164" si="102">N160/N156</f>
        <v>3.4918046552306369E-2</v>
      </c>
      <c r="O164" s="74">
        <f t="shared" si="102"/>
        <v>6.0959984426027604E-2</v>
      </c>
      <c r="P164" s="74">
        <f t="shared" si="102"/>
        <v>4.4478405402404698E-2</v>
      </c>
      <c r="Q164" s="74">
        <f t="shared" si="102"/>
        <v>5.4926232378951056E-2</v>
      </c>
      <c r="T164" s="49"/>
      <c r="U164" s="49"/>
      <c r="V164" s="49"/>
      <c r="W164" s="49"/>
      <c r="X164" s="49"/>
      <c r="Y164" s="49"/>
      <c r="Z164" s="49"/>
      <c r="AA164" s="49"/>
      <c r="AC164" s="74">
        <f t="shared" ref="AC164" ca="1" si="103">AC160/AC156</f>
        <v>5.9935799867430736E-2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6.3446681950042411E-2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2.398194617535114E-2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6.8222968039112389E-2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9.2499795045112326E-2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4">T106/T75</f>
        <v>11.6983842010772</v>
      </c>
      <c r="U175" s="72">
        <f t="shared" si="104"/>
        <v>11.971197119711972</v>
      </c>
      <c r="V175" s="72">
        <f t="shared" si="104"/>
        <v>12.933996383363471</v>
      </c>
      <c r="W175" s="72">
        <f t="shared" si="104"/>
        <v>12.610200364298725</v>
      </c>
      <c r="X175" s="72">
        <f t="shared" si="104"/>
        <v>9.2780352177942547</v>
      </c>
      <c r="Y175" s="72">
        <f t="shared" si="104"/>
        <v>9.4817927170868348</v>
      </c>
      <c r="Z175" s="72">
        <f t="shared" si="104"/>
        <v>11.079662605435802</v>
      </c>
      <c r="AA175" s="72">
        <f t="shared" si="104"/>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5">T54/T59</f>
        <v>#DIV/0!</v>
      </c>
      <c r="U176" s="154" t="e">
        <f t="shared" si="105"/>
        <v>#DIV/0!</v>
      </c>
      <c r="V176" s="154">
        <f t="shared" si="105"/>
        <v>0.16546762589928057</v>
      </c>
      <c r="W176" s="154">
        <f t="shared" si="105"/>
        <v>0.27486296006264682</v>
      </c>
      <c r="X176" s="154">
        <f t="shared" si="105"/>
        <v>0.22921739130434782</v>
      </c>
      <c r="Y176" s="154">
        <f t="shared" si="105"/>
        <v>0.16591591591591592</v>
      </c>
      <c r="Z176" s="154">
        <f t="shared" si="105"/>
        <v>0.17885196374622356</v>
      </c>
      <c r="AA176" s="154">
        <f t="shared" si="105"/>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6">T54/T5</f>
        <v>0</v>
      </c>
      <c r="U177" s="154">
        <f t="shared" si="106"/>
        <v>0</v>
      </c>
      <c r="V177" s="154">
        <f t="shared" si="106"/>
        <v>6.5044134030336792E-2</v>
      </c>
      <c r="W177" s="154">
        <f t="shared" si="106"/>
        <v>6.3940249567355861E-2</v>
      </c>
      <c r="X177" s="154">
        <f t="shared" si="106"/>
        <v>6.2971810797897751E-2</v>
      </c>
      <c r="Y177" s="154">
        <f t="shared" si="106"/>
        <v>5.8828748890860691E-2</v>
      </c>
      <c r="Z177" s="154">
        <f t="shared" si="106"/>
        <v>7.2477962781586677E-2</v>
      </c>
      <c r="AA177" s="154">
        <f t="shared" si="106"/>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7">(T106-T107)/T75</f>
        <v>-1.3662477558348294</v>
      </c>
      <c r="U178" s="72">
        <f t="shared" si="107"/>
        <v>-1.2007200720072007</v>
      </c>
      <c r="V178" s="72">
        <f t="shared" si="107"/>
        <v>-0.24593128390596744</v>
      </c>
      <c r="W178" s="72">
        <f t="shared" si="107"/>
        <v>-0.70765027322404372</v>
      </c>
      <c r="X178" s="72">
        <f t="shared" si="107"/>
        <v>-4.4272474513438365</v>
      </c>
      <c r="Y178" s="72">
        <f t="shared" si="107"/>
        <v>-4.3473389355742293</v>
      </c>
      <c r="Z178" s="72">
        <f t="shared" si="107"/>
        <v>-2.8069353327085285</v>
      </c>
      <c r="AA178" s="72">
        <f t="shared" si="107"/>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-3.4769246217231847E-2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8">-T109/T5</f>
        <v>0</v>
      </c>
      <c r="U180" s="154">
        <f t="shared" si="108"/>
        <v>0</v>
      </c>
      <c r="V180" s="154">
        <f t="shared" si="108"/>
        <v>2.3738109520952951E-2</v>
      </c>
      <c r="W180" s="154">
        <f t="shared" si="108"/>
        <v>1.9491756990618454E-2</v>
      </c>
      <c r="X180" s="154">
        <f t="shared" si="108"/>
        <v>2.8093645484949834E-2</v>
      </c>
      <c r="Y180" s="154">
        <f t="shared" si="108"/>
        <v>3.6113575865128658E-2</v>
      </c>
      <c r="Z180" s="154">
        <f t="shared" si="108"/>
        <v>4.4809010773751226E-2</v>
      </c>
      <c r="AA180" s="154">
        <f t="shared" si="108"/>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9">-(T109/T59)</f>
        <v>#DIV/0!</v>
      </c>
      <c r="U181" s="154" t="e">
        <f t="shared" si="109"/>
        <v>#DIV/0!</v>
      </c>
      <c r="V181" s="154">
        <f t="shared" si="109"/>
        <v>6.0388053193808591E-2</v>
      </c>
      <c r="W181" s="154">
        <f t="shared" si="109"/>
        <v>8.3790133124510571E-2</v>
      </c>
      <c r="X181" s="154">
        <f t="shared" si="109"/>
        <v>0.10226086956521739</v>
      </c>
      <c r="Y181" s="154">
        <f t="shared" si="109"/>
        <v>0.10185185185185185</v>
      </c>
      <c r="Z181" s="154">
        <f t="shared" si="109"/>
        <v>0.11057401812688822</v>
      </c>
      <c r="AA181" s="154">
        <f t="shared" si="109"/>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10">-T109/T53</f>
        <v>#DIV/0!</v>
      </c>
      <c r="U182" s="154" t="e">
        <f t="shared" si="110"/>
        <v>#DIV/0!</v>
      </c>
      <c r="V182" s="154">
        <f t="shared" si="110"/>
        <v>0.63532110091743121</v>
      </c>
      <c r="W182" s="154">
        <f t="shared" si="110"/>
        <v>0.53904282115869018</v>
      </c>
      <c r="X182" s="154">
        <f t="shared" si="110"/>
        <v>0.7386934673366834</v>
      </c>
      <c r="Y182" s="154">
        <f t="shared" si="110"/>
        <v>1.0970350404312668</v>
      </c>
      <c r="Z182" s="154">
        <f t="shared" si="110"/>
        <v>1.3969465648854962</v>
      </c>
      <c r="AA182" s="154">
        <f t="shared" si="110"/>
        <v>1.2905569007263922</v>
      </c>
      <c r="AC182" s="154">
        <f>-AC109/AC53</f>
        <v>1.132063492063492</v>
      </c>
    </row>
    <row r="183" spans="1:31" x14ac:dyDescent="0.2">
      <c r="B183" s="20" t="s">
        <v>365</v>
      </c>
      <c r="M183" s="72">
        <f>M5/M37</f>
        <v>0.81391852570320078</v>
      </c>
      <c r="N183" s="72">
        <f t="shared" ref="N183:Q183" si="111">N5/N37</f>
        <v>0.90178316399396086</v>
      </c>
      <c r="O183" s="72">
        <f t="shared" si="111"/>
        <v>0.70180250783699061</v>
      </c>
      <c r="P183" s="72">
        <f t="shared" si="111"/>
        <v>0.70642201834862384</v>
      </c>
      <c r="Q183" s="72">
        <f t="shared" si="111"/>
        <v>0.88315417904792293</v>
      </c>
      <c r="T183" s="49"/>
      <c r="U183" s="49"/>
      <c r="V183" s="49"/>
      <c r="W183" s="49"/>
      <c r="X183" s="49"/>
      <c r="Y183" s="49"/>
      <c r="Z183" s="49"/>
      <c r="AA183" s="49"/>
      <c r="AC183" s="72">
        <f t="shared" ref="AC183" si="112">AC5/AC37</f>
        <v>0.78034864183702046</v>
      </c>
    </row>
    <row r="184" spans="1:31" x14ac:dyDescent="0.2">
      <c r="B184" s="20" t="s">
        <v>362</v>
      </c>
      <c r="M184" s="72">
        <f>IF(AND(M12&gt;0,M107&gt;0),M107/M12,"N/A")</f>
        <v>1.608438042700991</v>
      </c>
      <c r="N184" s="72">
        <f t="shared" ref="N184:Q184" si="113">IF(AND(N12&gt;0,N107&gt;0),N107/N12,"N/A")</f>
        <v>0.97616645649432532</v>
      </c>
      <c r="O184" s="72">
        <f t="shared" si="113"/>
        <v>1.9771443246019518</v>
      </c>
      <c r="P184" s="72">
        <f t="shared" si="113"/>
        <v>1.4530831099195711</v>
      </c>
      <c r="Q184" s="72">
        <f t="shared" si="113"/>
        <v>1.1987859166329422</v>
      </c>
      <c r="T184" s="49"/>
      <c r="U184" s="49"/>
      <c r="V184" s="49"/>
      <c r="W184" s="49"/>
      <c r="X184" s="49"/>
      <c r="Y184" s="49"/>
      <c r="Z184" s="49"/>
      <c r="AA184" s="49"/>
      <c r="AC184" s="72">
        <f t="shared" ref="AC184" si="114">IF(AND(AC12&gt;0,AC107&gt;0),AC107/AC12,"N/A")</f>
        <v>1.344782034346103</v>
      </c>
    </row>
    <row r="185" spans="1:31" x14ac:dyDescent="0.2">
      <c r="B185" s="20" t="s">
        <v>363</v>
      </c>
      <c r="M185" s="228">
        <f>IF(AND(M12&gt;0,M107&gt;0),(M107-M106)/M12,"N/A")</f>
        <v>0.34027990601695779</v>
      </c>
      <c r="N185" s="228">
        <f t="shared" ref="N185:Q185" si="115">IF(AND(N12&gt;0,N107&gt;0),(N107-N106)/N12,"N/A")</f>
        <v>0.57377049180327866</v>
      </c>
      <c r="O185" s="228">
        <f t="shared" si="115"/>
        <v>0.52311248073959937</v>
      </c>
      <c r="P185" s="228">
        <f t="shared" si="115"/>
        <v>0.13245953728527454</v>
      </c>
      <c r="Q185" s="228">
        <f t="shared" si="115"/>
        <v>0.37685147713476325</v>
      </c>
      <c r="T185" s="49"/>
      <c r="U185" s="49"/>
      <c r="V185" s="49"/>
      <c r="W185" s="49"/>
      <c r="X185" s="49"/>
      <c r="Y185" s="49"/>
      <c r="Z185" s="49"/>
      <c r="AA185" s="49"/>
      <c r="AC185" s="228">
        <f t="shared" ref="AC185" si="116">IF(AND(AC12&gt;0,AC107&gt;0),(AC107-AC106)/AC12,"N/A")</f>
        <v>0.48181417877586968</v>
      </c>
    </row>
    <row r="186" spans="1:31" x14ac:dyDescent="0.2">
      <c r="B186" s="20" t="s">
        <v>364</v>
      </c>
      <c r="M186" s="228">
        <f>M5/(M107+M111-M106)</f>
        <v>2.5273699269633312</v>
      </c>
      <c r="N186" s="228">
        <f t="shared" ref="N186:Q186" si="117">N5/(N107+N111-N106)</f>
        <v>1.6302142883487627</v>
      </c>
      <c r="O186" s="228">
        <f t="shared" si="117"/>
        <v>1.3962190606119664</v>
      </c>
      <c r="P186" s="228">
        <f t="shared" si="117"/>
        <v>1.4112576064908722</v>
      </c>
      <c r="Q186" s="228">
        <f t="shared" si="117"/>
        <v>1.7123192328512875</v>
      </c>
      <c r="T186" s="49"/>
      <c r="U186" s="49"/>
      <c r="V186" s="49"/>
      <c r="W186" s="49"/>
      <c r="X186" s="49"/>
      <c r="Y186" s="49"/>
      <c r="Z186" s="49"/>
      <c r="AA186" s="49"/>
      <c r="AC186" s="228">
        <f t="shared" ref="AC186" si="118">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9">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9"/>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9"/>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9"/>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20">IF(L190=0,
IF(M190=0,0,IF(M190&gt;0,1,-1)),
(M190-L190)/ABS(L190)
)</f>
        <v>1</v>
      </c>
      <c r="N198" s="81">
        <f t="shared" si="120"/>
        <v>0.48704693998811643</v>
      </c>
      <c r="O198" s="81">
        <f t="shared" si="120"/>
        <v>-9.8173972110121063E-2</v>
      </c>
      <c r="P198" s="81">
        <f t="shared" si="120"/>
        <v>0.10159503766061143</v>
      </c>
      <c r="Q198" s="81">
        <f t="shared" si="120"/>
        <v>0.11784579495636086</v>
      </c>
      <c r="T198" s="81">
        <f t="shared" ref="T198:AA201" si="121">IF(S190=0,
IF(T190=0,0,IF(T190&gt;0,1,-1)),
(T190-S190)/ABS(S190)
)</f>
        <v>1</v>
      </c>
      <c r="U198" s="81">
        <f t="shared" si="121"/>
        <v>3.3395490761145959E-2</v>
      </c>
      <c r="V198" s="81">
        <f t="shared" si="121"/>
        <v>0.24245406824146981</v>
      </c>
      <c r="W198" s="81">
        <f t="shared" si="121"/>
        <v>-8.5159757063638764E-2</v>
      </c>
      <c r="X198" s="81">
        <f t="shared" si="121"/>
        <v>-8.6736902871987306E-2</v>
      </c>
      <c r="Y198" s="81">
        <f t="shared" si="121"/>
        <v>0.10003160556257902</v>
      </c>
      <c r="Z198" s="81">
        <f t="shared" si="121"/>
        <v>0.12397644016664272</v>
      </c>
      <c r="AA198" s="81">
        <f t="shared" si="121"/>
        <v>-0.23006134969325154</v>
      </c>
      <c r="AC198" s="49"/>
    </row>
    <row r="199" spans="2:29" x14ac:dyDescent="0.2">
      <c r="B199" s="222" t="s">
        <v>388</v>
      </c>
      <c r="M199" s="81">
        <f t="shared" si="120"/>
        <v>1</v>
      </c>
      <c r="N199" s="81">
        <f t="shared" si="120"/>
        <v>0.40717948717948715</v>
      </c>
      <c r="O199" s="81">
        <f t="shared" si="120"/>
        <v>0.36443148688046645</v>
      </c>
      <c r="P199" s="81">
        <f t="shared" si="120"/>
        <v>0.55448717948717952</v>
      </c>
      <c r="Q199" s="81">
        <f t="shared" si="120"/>
        <v>0.35979381443298969</v>
      </c>
      <c r="T199" s="81">
        <f t="shared" si="121"/>
        <v>1</v>
      </c>
      <c r="U199" s="81">
        <f t="shared" si="121"/>
        <v>0.10850801479654747</v>
      </c>
      <c r="V199" s="81">
        <f t="shared" si="121"/>
        <v>6.8965517241379309E-2</v>
      </c>
      <c r="W199" s="81">
        <f t="shared" si="121"/>
        <v>-2.0811654526534861E-3</v>
      </c>
      <c r="X199" s="81">
        <f t="shared" si="121"/>
        <v>2.6068821689259645E-2</v>
      </c>
      <c r="Y199" s="81">
        <f t="shared" si="121"/>
        <v>7.0121951219512202E-2</v>
      </c>
      <c r="Z199" s="81">
        <f t="shared" si="121"/>
        <v>4.5584045584045586E-2</v>
      </c>
      <c r="AA199" s="81">
        <f t="shared" si="121"/>
        <v>0.20435967302452315</v>
      </c>
      <c r="AC199" s="49"/>
    </row>
    <row r="200" spans="2:29" x14ac:dyDescent="0.2">
      <c r="B200" s="222" t="s">
        <v>389</v>
      </c>
      <c r="M200" s="81">
        <f t="shared" si="120"/>
        <v>1</v>
      </c>
      <c r="N200" s="81">
        <f t="shared" si="120"/>
        <v>0.37420886075949367</v>
      </c>
      <c r="O200" s="81">
        <f t="shared" si="120"/>
        <v>-0.14507772020725387</v>
      </c>
      <c r="P200" s="81">
        <f t="shared" si="120"/>
        <v>-8.7037037037037038E-2</v>
      </c>
      <c r="Q200" s="81">
        <f t="shared" si="120"/>
        <v>0.22017333579199705</v>
      </c>
      <c r="T200" s="81">
        <f t="shared" si="121"/>
        <v>1</v>
      </c>
      <c r="U200" s="81">
        <f t="shared" si="121"/>
        <v>0.23841059602649006</v>
      </c>
      <c r="V200" s="81">
        <f t="shared" si="121"/>
        <v>-7.9619726678550204E-2</v>
      </c>
      <c r="W200" s="81">
        <f t="shared" si="121"/>
        <v>2.0658489347966429E-2</v>
      </c>
      <c r="X200" s="81">
        <f t="shared" si="121"/>
        <v>6.3251106894370648E-2</v>
      </c>
      <c r="Y200" s="81">
        <f t="shared" si="121"/>
        <v>7.4955383700178471E-2</v>
      </c>
      <c r="Z200" s="81">
        <f t="shared" si="121"/>
        <v>-6.5855008301051468E-2</v>
      </c>
      <c r="AA200" s="81">
        <f t="shared" si="121"/>
        <v>2.2511848341232227E-2</v>
      </c>
      <c r="AC200" s="49"/>
    </row>
    <row r="201" spans="2:29" x14ac:dyDescent="0.2">
      <c r="B201" s="20" t="s">
        <v>390</v>
      </c>
      <c r="M201" s="81">
        <f t="shared" si="120"/>
        <v>1</v>
      </c>
      <c r="N201" s="81">
        <f t="shared" si="120"/>
        <v>0.39446315555720046</v>
      </c>
      <c r="O201" s="81">
        <f t="shared" si="120"/>
        <v>-0.19361944953154445</v>
      </c>
      <c r="P201" s="81">
        <f t="shared" si="120"/>
        <v>9.2620630636561119E-2</v>
      </c>
      <c r="Q201" s="81">
        <f t="shared" si="120"/>
        <v>0.15577177973249789</v>
      </c>
      <c r="T201" s="81">
        <f t="shared" si="121"/>
        <v>1</v>
      </c>
      <c r="U201" s="81">
        <f t="shared" si="121"/>
        <v>7.5474036435741729E-2</v>
      </c>
      <c r="V201" s="81">
        <f t="shared" si="121"/>
        <v>0.16201889836367828</v>
      </c>
      <c r="W201" s="81">
        <f t="shared" si="121"/>
        <v>-6.0987703292344306E-2</v>
      </c>
      <c r="X201" s="81">
        <f t="shared" si="121"/>
        <v>-5.0269299820466788E-2</v>
      </c>
      <c r="Y201" s="81">
        <f t="shared" si="121"/>
        <v>9.2071611253196933E-2</v>
      </c>
      <c r="Z201" s="81">
        <f t="shared" si="121"/>
        <v>8.064351898991956E-2</v>
      </c>
      <c r="AA201" s="81">
        <f t="shared" si="121"/>
        <v>-0.1448223876378027</v>
      </c>
      <c r="AC201" s="49"/>
    </row>
    <row r="202" spans="2:29" x14ac:dyDescent="0.2">
      <c r="B202" s="20" t="s">
        <v>391</v>
      </c>
      <c r="M202" s="81">
        <f t="shared" ref="M202" si="122">IF(L194=0,
IF(M194=0,0,IF(M194&gt;0,1,-1)),
(M194-L194)/ABS(L194)
)</f>
        <v>1</v>
      </c>
      <c r="N202" s="81">
        <f t="shared" ref="N202" si="123">IF(M194=0,
IF(N194=0,0,IF(N194&gt;0,1,-1)),
(N194-M194)/ABS(M194)
)</f>
        <v>6.0126582278481012E-3</v>
      </c>
      <c r="O202" s="81">
        <f t="shared" ref="O202" si="124">IF(N194=0,
IF(O194=0,0,IF(O194&gt;0,1,-1)),
(O194-N194)/ABS(N194)
)</f>
        <v>-0.16546083674111356</v>
      </c>
      <c r="P202" s="81">
        <f t="shared" ref="P202" si="125">IF(O194=0,
IF(P194=0,0,IF(P194&gt;0,1,-1)),
(P194-O194)/ABS(O194)
)</f>
        <v>5.0131926121372031E-2</v>
      </c>
      <c r="Q202" s="81">
        <f t="shared" ref="Q202" si="126">IF(P194=0,
IF(Q194=0,0,IF(Q194&gt;0,1,-1)),
(Q194-P194)/ABS(P194)
)</f>
        <v>1.7946877243359654E-3</v>
      </c>
      <c r="T202" s="81">
        <f t="shared" ref="T202" si="127">IF(S194=0,
IF(T194=0,0,IF(T194&gt;0,1,-1)),
(T194-S194)/ABS(S194)
)</f>
        <v>1</v>
      </c>
      <c r="U202" s="81">
        <f t="shared" ref="U202" si="128">IF(T194=0,
IF(U194=0,0,IF(U194&gt;0,1,-1)),
(U194-T194)/ABS(T194)
)</f>
        <v>-0.20267085624509035</v>
      </c>
      <c r="V202" s="81">
        <f t="shared" ref="V202" si="129">IF(U194=0,
IF(V194=0,0,IF(V194&gt;0,1,-1)),
(V194-U194)/ABS(U194)
)</f>
        <v>0.51231527093596063</v>
      </c>
      <c r="W202" s="81">
        <f t="shared" ref="W202" si="130">IF(V194=0,
IF(W194=0,0,IF(W194&gt;0,1,-1)),
(W194-V194)/ABS(V194)
)</f>
        <v>-0.14071661237785016</v>
      </c>
      <c r="X202" s="81">
        <f t="shared" ref="X202" si="131">IF(W194=0,
IF(X194=0,0,IF(X194&gt;0,1,-1)),
(X194-W194)/ABS(W194)
)</f>
        <v>-7.5815011372251705E-4</v>
      </c>
      <c r="Y202" s="81">
        <f t="shared" ref="Y202" si="132">IF(X194=0,
IF(Y194=0,0,IF(Y194&gt;0,1,-1)),
(Y194-X194)/ABS(X194)
)</f>
        <v>6.9044006069802738E-2</v>
      </c>
      <c r="Z202" s="81">
        <f t="shared" ref="Z202" si="133">IF(Y194=0,
IF(Z194=0,0,IF(Z194&gt;0,1,-1)),
(Z194-Y194)/ABS(Y194)
)</f>
        <v>0.12987934705464868</v>
      </c>
      <c r="AA202" s="81">
        <f t="shared" ref="AA202" si="134">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5">100*(1+((O116-$M116)/ABS($M116)))</f>
        <v>80.430236032267715</v>
      </c>
      <c r="P210" s="143">
        <f t="shared" si="135"/>
        <v>127.07648640573647</v>
      </c>
      <c r="Q210" s="143">
        <f t="shared" si="13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6">100*(1+((O5-$M5)/ABS($M5)))</f>
        <v>106.71512840374189</v>
      </c>
      <c r="P211" s="143">
        <f t="shared" si="136"/>
        <v>116.07579097896681</v>
      </c>
      <c r="Q211" s="143">
        <f t="shared" si="13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7">100*(1+((O26-$M26)/ABS($M26)))</f>
        <v>82.846251588310025</v>
      </c>
      <c r="P212" s="143">
        <f t="shared" si="137"/>
        <v>113.59593392630241</v>
      </c>
      <c r="Q212" s="143">
        <f t="shared" si="13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8" t="s">
        <v>230</v>
      </c>
      <c r="C4" s="238"/>
      <c r="E4" s="238" t="s">
        <v>237</v>
      </c>
      <c r="F4" s="238"/>
      <c r="G4" s="238"/>
    </row>
    <row r="5" spans="2:7" x14ac:dyDescent="0.2">
      <c r="B5" s="20" t="s">
        <v>1</v>
      </c>
      <c r="C5" s="172">
        <f ca="1">Overview!C5</f>
        <v>148.44499999999999</v>
      </c>
      <c r="E5" s="12"/>
      <c r="F5" s="132" t="s">
        <v>238</v>
      </c>
      <c r="G5" s="132" t="s">
        <v>239</v>
      </c>
    </row>
    <row r="6" spans="2:7" x14ac:dyDescent="0.2">
      <c r="B6" s="20" t="s">
        <v>236</v>
      </c>
      <c r="C6" s="173">
        <f ca="1">Statement!AC156</f>
        <v>157351.69999999998</v>
      </c>
      <c r="E6" s="20" t="s">
        <v>19</v>
      </c>
      <c r="F6" s="178">
        <f>IF(Statement!M5&lt;=0,"N/A",_xlfn.RRI(4,Statement!M5,Statement!Q5))</f>
        <v>7.1733517181768569E-2</v>
      </c>
      <c r="G6" s="178" t="str">
        <f>IF(Statement!H5&lt;=0,"N/A",_xlfn.RRI(9,Statement!H5,Statement!Q5))</f>
        <v>N/A</v>
      </c>
    </row>
    <row r="7" spans="2:7" x14ac:dyDescent="0.2">
      <c r="B7" s="20" t="s">
        <v>180</v>
      </c>
      <c r="C7" s="173">
        <f ca="1">Statement!AC157</f>
        <v>162822.69999999998</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15.761265510896138</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3.6024198178800519</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5.7357955128675124</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3.6518795137487099</v>
      </c>
    </row>
    <row r="12" spans="2:7" x14ac:dyDescent="0.2">
      <c r="B12" s="20" t="s">
        <v>196</v>
      </c>
      <c r="C12" s="174">
        <f ca="1">Statement!AC159</f>
        <v>14.339295464553059</v>
      </c>
    </row>
    <row r="15" spans="2:7" x14ac:dyDescent="0.2">
      <c r="B15" s="238" t="s">
        <v>75</v>
      </c>
      <c r="C15" s="238"/>
      <c r="E15" s="238" t="s">
        <v>243</v>
      </c>
      <c r="F15" s="238"/>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8" t="s">
        <v>242</v>
      </c>
      <c r="C21" s="238"/>
      <c r="E21" s="238" t="s">
        <v>246</v>
      </c>
      <c r="F21" s="238"/>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8" t="s">
        <v>247</v>
      </c>
      <c r="C29" s="238"/>
      <c r="E29" s="238" t="s">
        <v>253</v>
      </c>
      <c r="F29" s="238"/>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8" t="s">
        <v>265</v>
      </c>
      <c r="C37" s="238"/>
      <c r="E37" s="238" t="s">
        <v>268</v>
      </c>
      <c r="F37" s="238"/>
    </row>
    <row r="38" spans="2:6" x14ac:dyDescent="0.2">
      <c r="B38" s="20" t="s">
        <v>263</v>
      </c>
      <c r="C38" s="175">
        <f ca="1">Statement!AC165</f>
        <v>6.3446681950042411E-2</v>
      </c>
      <c r="E38" s="20" t="s">
        <v>267</v>
      </c>
      <c r="F38" s="175">
        <f>Statement!AC171</f>
        <v>0.40504718481603225</v>
      </c>
    </row>
    <row r="39" spans="2:6" x14ac:dyDescent="0.2">
      <c r="B39" s="54" t="s">
        <v>266</v>
      </c>
      <c r="C39" s="215">
        <f ca="1">Statement!AC164</f>
        <v>5.9935799867430736E-2</v>
      </c>
      <c r="E39" s="20" t="s">
        <v>269</v>
      </c>
      <c r="F39" s="175">
        <f>Statement!AC172</f>
        <v>1.1382674159686141</v>
      </c>
    </row>
    <row r="40" spans="2:6" x14ac:dyDescent="0.2">
      <c r="B40" s="20" t="s">
        <v>264</v>
      </c>
      <c r="C40" s="175">
        <f ca="1">Statement!AC166</f>
        <v>2.398194617535114E-2</v>
      </c>
      <c r="E40" s="20" t="s">
        <v>270</v>
      </c>
      <c r="F40" s="175">
        <f>Statement!AC173</f>
        <v>1.5433146007846463</v>
      </c>
    </row>
    <row r="41" spans="2:6" x14ac:dyDescent="0.2">
      <c r="B41" s="20" t="s">
        <v>289</v>
      </c>
      <c r="C41" s="175">
        <f ca="1">Statement!AC167</f>
        <v>6.8222968039112389E-2</v>
      </c>
    </row>
    <row r="42" spans="2:6" x14ac:dyDescent="0.2">
      <c r="B42" s="20" t="s">
        <v>291</v>
      </c>
      <c r="C42" s="175">
        <f ca="1">Statement!AC168</f>
        <v>9.2499795045112326E-2</v>
      </c>
    </row>
    <row r="45" spans="2:6" x14ac:dyDescent="0.2">
      <c r="B45" s="238" t="s">
        <v>276</v>
      </c>
      <c r="C45" s="238"/>
      <c r="E45" s="238" t="s">
        <v>282</v>
      </c>
      <c r="F45" s="238"/>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-3.4769246217231847E-2</v>
      </c>
    </row>
    <row r="51" spans="2:6" x14ac:dyDescent="0.2">
      <c r="B51" s="238" t="s">
        <v>279</v>
      </c>
      <c r="C51" s="238"/>
      <c r="E51" s="238" t="s">
        <v>300</v>
      </c>
      <c r="F51" s="238"/>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148.44499999999999</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157351.69999999998</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162822.69999999998</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15.761265510896138</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3.6024198178800519</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5.7357955128675124</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3.6518795137487099</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14.339295464553059</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6.3446681950042411E-2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5.9935799867430736E-2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2.398194617535114E-2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6.8222968039112389E-2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9.2499795045112326E-2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-3.4769246217231847E-2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310</v>
      </c>
      <c r="D3" s="245"/>
      <c r="F3" s="246" t="s">
        <v>311</v>
      </c>
      <c r="G3" s="245"/>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47">
        <f>Statement!AA89</f>
        <v>-0.13491674828599412</v>
      </c>
      <c r="D7" s="248"/>
      <c r="F7" s="247">
        <f>IF(F6=0,
IF(G6=0,0,IF(G6&gt;0,1,-1)),
(G6-F6)/ABS(F6)
)</f>
        <v>-3.4611531104836508E-2</v>
      </c>
      <c r="G7" s="248"/>
    </row>
    <row r="8" spans="2:7" x14ac:dyDescent="0.2">
      <c r="B8" s="207" t="s">
        <v>20</v>
      </c>
      <c r="C8" s="200">
        <f>Statement!Z6</f>
        <v>5568</v>
      </c>
      <c r="D8" s="198">
        <f>Statement!AA6</f>
        <v>4900</v>
      </c>
      <c r="F8" s="200">
        <f>Statement!W6</f>
        <v>4937</v>
      </c>
      <c r="G8" s="198">
        <f>Statement!AA6</f>
        <v>4900</v>
      </c>
    </row>
    <row r="9" spans="2:7" x14ac:dyDescent="0.2">
      <c r="B9" s="206" t="s">
        <v>312</v>
      </c>
      <c r="C9" s="247">
        <f>Statement!AA90</f>
        <v>-0.11997126436781609</v>
      </c>
      <c r="D9" s="248"/>
      <c r="F9" s="247">
        <f>IF(F8=0,
IF(G8=0,0,IF(G8&gt;0,1,-1)),
(G8-F8)/ABS(F8)
)</f>
        <v>-7.4944298156775372E-3</v>
      </c>
      <c r="G9" s="248"/>
    </row>
    <row r="10" spans="2:7" x14ac:dyDescent="0.2">
      <c r="B10" s="207" t="s">
        <v>21</v>
      </c>
      <c r="C10" s="200">
        <f>Statement!Z7</f>
        <v>6684</v>
      </c>
      <c r="D10" s="198">
        <f>Statement!AA7</f>
        <v>5699</v>
      </c>
      <c r="F10" s="200">
        <f>Statement!W7</f>
        <v>6042</v>
      </c>
      <c r="G10" s="198">
        <f>Statement!AA7</f>
        <v>5699</v>
      </c>
    </row>
    <row r="11" spans="2:7" x14ac:dyDescent="0.2">
      <c r="B11" s="206" t="s">
        <v>312</v>
      </c>
      <c r="C11" s="247">
        <f>Statement!AA91</f>
        <v>-0.1473668461998803</v>
      </c>
      <c r="D11" s="248"/>
      <c r="F11" s="247">
        <f>IF(F10=0,
IF(G10=0,0,IF(G10&gt;0,1,-1)),
(G10-F10)/ABS(F10)
)</f>
        <v>-5.6769281694803046E-2</v>
      </c>
      <c r="G11" s="248"/>
    </row>
    <row r="12" spans="2:7" x14ac:dyDescent="0.2">
      <c r="B12" s="207" t="s">
        <v>23</v>
      </c>
      <c r="C12" s="200">
        <f>Statement!Z11</f>
        <v>3318</v>
      </c>
      <c r="D12" s="198">
        <f>Statement!AA11</f>
        <v>3390</v>
      </c>
      <c r="F12" s="200">
        <f>Statement!W11</f>
        <v>2922</v>
      </c>
      <c r="G12" s="198">
        <f>Statement!AA11</f>
        <v>3390</v>
      </c>
    </row>
    <row r="13" spans="2:7" x14ac:dyDescent="0.2">
      <c r="B13" s="206" t="s">
        <v>312</v>
      </c>
      <c r="C13" s="247">
        <f>Statement!AA94</f>
        <v>2.1699819168173599E-2</v>
      </c>
      <c r="D13" s="248"/>
      <c r="F13" s="247">
        <f>IF(F12=0,
IF(G12=0,0,IF(G12&gt;0,1,-1)),
(G12-F12)/ABS(F12)
)</f>
        <v>0.16016427104722791</v>
      </c>
      <c r="G13" s="248"/>
    </row>
    <row r="14" spans="2:7" x14ac:dyDescent="0.2">
      <c r="B14" s="207" t="s">
        <v>313</v>
      </c>
      <c r="C14" s="200">
        <f>Statement!Z12</f>
        <v>3366</v>
      </c>
      <c r="D14" s="198">
        <f>Statement!AA12</f>
        <v>2309</v>
      </c>
      <c r="F14" s="200">
        <f>Statement!W12</f>
        <v>3120</v>
      </c>
      <c r="G14" s="198">
        <f>Statement!AA12</f>
        <v>2309</v>
      </c>
    </row>
    <row r="15" spans="2:7" x14ac:dyDescent="0.2">
      <c r="B15" s="206" t="s">
        <v>312</v>
      </c>
      <c r="C15" s="247">
        <f>Statement!AA95</f>
        <v>-0.31402257872846107</v>
      </c>
      <c r="D15" s="248"/>
      <c r="F15" s="247">
        <f>IF(F14=0,
IF(G14=0,0,IF(G14&gt;0,1,-1)),
(G14-F14)/ABS(F14)
)</f>
        <v>-0.25993589743589746</v>
      </c>
      <c r="G15" s="248"/>
    </row>
    <row r="16" spans="2:7" x14ac:dyDescent="0.2">
      <c r="B16" s="207" t="s">
        <v>29</v>
      </c>
      <c r="C16" s="200">
        <f>Statement!Z18</f>
        <v>3004</v>
      </c>
      <c r="D16" s="198">
        <f>Statement!AA18</f>
        <v>1932</v>
      </c>
      <c r="F16" s="200">
        <f>Statement!W18</f>
        <v>2812</v>
      </c>
      <c r="G16" s="198">
        <f>Statement!AA18</f>
        <v>1932</v>
      </c>
    </row>
    <row r="17" spans="2:7" x14ac:dyDescent="0.2">
      <c r="B17" s="206" t="s">
        <v>312</v>
      </c>
      <c r="C17" s="247">
        <f>Statement!AA97</f>
        <v>-0.35685752330226367</v>
      </c>
      <c r="D17" s="248"/>
      <c r="F17" s="247">
        <f>IF(F16=0,
IF(G16=0,0,IF(G16&gt;0,1,-1)),
(G16-F16)/ABS(F16)
)</f>
        <v>-0.31294452347083929</v>
      </c>
      <c r="G17" s="248"/>
    </row>
    <row r="18" spans="2:7" x14ac:dyDescent="0.2">
      <c r="B18" s="207" t="s">
        <v>314</v>
      </c>
      <c r="C18" s="200">
        <f>Statement!Z22</f>
        <v>1079</v>
      </c>
      <c r="D18" s="198">
        <f>Statement!AA22</f>
        <v>1072</v>
      </c>
      <c r="F18" s="200">
        <f>Statement!W22</f>
        <v>1115</v>
      </c>
      <c r="G18" s="198">
        <f>Statement!AA22</f>
        <v>1072</v>
      </c>
    </row>
    <row r="19" spans="2:7" x14ac:dyDescent="0.2">
      <c r="B19" s="206" t="s">
        <v>312</v>
      </c>
      <c r="C19" s="247">
        <f>IF(C18=0,
IF(D18=0,0,IF(D18&gt;0,1,-1)),
(D18-C18)/ABS(C18)
)</f>
        <v>-6.4874884151992582E-3</v>
      </c>
      <c r="D19" s="248"/>
      <c r="F19" s="247">
        <f>IF(F18=0,
IF(G18=0,0,IF(G18&gt;0,1,-1)),
(G18-F18)/ABS(F18)
)</f>
        <v>-3.8565022421524667E-2</v>
      </c>
      <c r="G19" s="248"/>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47">
        <f>IF(C20=0,
IF(D20=0,0,IF(D20&gt;0,1,-1)),
(D20-C20)/ABS(C20)
)</f>
        <v>-0.35171265972296784</v>
      </c>
      <c r="D21" s="248"/>
      <c r="F21" s="247">
        <f>IF(F20=0,
IF(G20=0,0,IF(G20&gt;0,1,-1)),
(G20-F20)/ABS(F20)
)</f>
        <v>-0.28482587064676618</v>
      </c>
      <c r="G21" s="248"/>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47">
        <f>IF(C24=0,
IF(D24=0,0,IF(D24&gt;0,1,-1)),
(D24-C24)/ABS(C24)
)</f>
        <v>-0.23006134969325154</v>
      </c>
      <c r="D25" s="248"/>
      <c r="F25" s="247">
        <f>IF(F24=0,
IF(G24=0,0,IF(G24&gt;0,1,-1)),
(G24-F24)/ABS(F24)
)</f>
        <v>-0.13061047770241016</v>
      </c>
      <c r="G25" s="248"/>
    </row>
    <row r="26" spans="2:7" x14ac:dyDescent="0.2">
      <c r="B26" s="222" t="s">
        <v>388</v>
      </c>
      <c r="C26" s="200">
        <f>Statement!Z191</f>
        <v>1101</v>
      </c>
      <c r="D26" s="198">
        <f>Statement!AA191</f>
        <v>1326</v>
      </c>
      <c r="F26" s="200">
        <f>Statement!W191</f>
        <v>959</v>
      </c>
      <c r="G26" s="198">
        <f>Statement!AA191</f>
        <v>1326</v>
      </c>
    </row>
    <row r="27" spans="2:7" x14ac:dyDescent="0.2">
      <c r="B27" s="206" t="s">
        <v>312</v>
      </c>
      <c r="C27" s="247">
        <f>IF(C26=0,
IF(D26=0,0,IF(D26&gt;0,1,-1)),
(D26-C26)/ABS(C26)
)</f>
        <v>0.20435967302452315</v>
      </c>
      <c r="D27" s="248"/>
      <c r="F27" s="247">
        <f>IF(F26=0,
IF(G26=0,0,IF(G26&gt;0,1,-1)),
(G26-F26)/ABS(F26)
)</f>
        <v>0.38269030239833157</v>
      </c>
      <c r="G27" s="248"/>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47">
        <f>IF(C28=0,
IF(D28=0,0,IF(D28&gt;0,1,-1)),
(D28-C28)/ABS(C28)
)</f>
        <v>2.2511848341232227E-2</v>
      </c>
      <c r="D29" s="248"/>
      <c r="F29" s="247">
        <f>IF(F28=0,
IF(G28=0,0,IF(G28&gt;0,1,-1)),
(G28-F28)/ABS(F28)
)</f>
        <v>9.1714104996837451E-2</v>
      </c>
      <c r="G29" s="248"/>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47">
        <f>IF(C30=0,
IF(D30=0,0,IF(D30&gt;0,1,-1)),
(D30-C30)/ABS(C30)
)</f>
        <v>-0.1448223876378027</v>
      </c>
      <c r="D31" s="248"/>
      <c r="F31" s="247">
        <f>IF(F30=0,
IF(G30=0,0,IF(G30&gt;0,1,-1)),
(G30-F30)/ABS(F30)
)</f>
        <v>-4.1503854683704718E-2</v>
      </c>
      <c r="G31" s="248"/>
    </row>
    <row r="32" spans="2:7" x14ac:dyDescent="0.2">
      <c r="B32" s="20" t="s">
        <v>391</v>
      </c>
      <c r="C32" s="200">
        <f>Statement!Z194</f>
        <v>1592</v>
      </c>
      <c r="D32" s="200">
        <f>Statement!AA194</f>
        <v>1382</v>
      </c>
      <c r="F32" s="200">
        <f>Statement!W194</f>
        <v>1319</v>
      </c>
      <c r="G32" s="200">
        <f>Statement!AA194</f>
        <v>1382</v>
      </c>
    </row>
    <row r="33" spans="2:7" x14ac:dyDescent="0.2">
      <c r="B33" s="206" t="s">
        <v>312</v>
      </c>
      <c r="C33" s="247">
        <f>IF(C32=0,
IF(D32=0,0,IF(D32&gt;0,1,-1)),
(D32-C32)/ABS(C32)
)</f>
        <v>-0.13190954773869346</v>
      </c>
      <c r="D33" s="248"/>
      <c r="F33" s="247">
        <f>IF(F32=0,
IF(G32=0,0,IF(G32&gt;0,1,-1)),
(G32-F32)/ABS(F32)
)</f>
        <v>4.7763457164518575E-2</v>
      </c>
      <c r="G33" s="248"/>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A9" zoomScale="184" zoomScaleNormal="75" workbookViewId="0">
      <selection activeCell="H9" sqref="H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39"/>
      <c r="H2" s="240"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35" t="s">
        <v>108</v>
      </c>
      <c r="D4" s="235"/>
      <c r="E4" s="235"/>
      <c r="F4" s="235"/>
      <c r="G4" s="235"/>
      <c r="H4" s="235"/>
      <c r="I4" s="235"/>
      <c r="J4" s="235"/>
      <c r="K4" s="235"/>
      <c r="L4" s="235"/>
      <c r="O4" s="5"/>
      <c r="S4" s="236" t="s">
        <v>108</v>
      </c>
      <c r="T4" s="237"/>
      <c r="U4" s="237"/>
      <c r="V4" s="237"/>
      <c r="W4" s="237"/>
      <c r="X4" s="237"/>
      <c r="Y4" s="237"/>
      <c r="Z4" s="237"/>
      <c r="AA4" s="237"/>
      <c r="AB4" s="237"/>
      <c r="AC4" s="237"/>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5" t="s">
        <v>114</v>
      </c>
      <c r="D13" s="235"/>
      <c r="E13" s="235"/>
      <c r="F13" s="235"/>
      <c r="G13" s="235"/>
      <c r="H13" s="235"/>
      <c r="I13" s="235"/>
      <c r="J13" s="235"/>
      <c r="K13" s="235"/>
      <c r="L13" s="235"/>
      <c r="O13" s="5"/>
      <c r="Q13" s="91"/>
      <c r="S13" s="236" t="s">
        <v>114</v>
      </c>
      <c r="T13" s="237"/>
      <c r="U13" s="237"/>
      <c r="V13" s="237"/>
      <c r="W13" s="237"/>
      <c r="X13" s="237"/>
      <c r="Y13" s="237"/>
      <c r="Z13" s="237"/>
      <c r="AA13" s="237"/>
      <c r="AB13" s="237"/>
      <c r="AC13" s="237"/>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T7"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39"/>
      <c r="H2" s="240"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35" t="s">
        <v>108</v>
      </c>
      <c r="D4" s="235"/>
      <c r="E4" s="235"/>
      <c r="F4" s="235"/>
      <c r="G4" s="235"/>
      <c r="H4" s="235"/>
      <c r="I4" s="235"/>
      <c r="J4" s="235"/>
      <c r="K4" s="235"/>
      <c r="L4" s="235"/>
      <c r="P4" s="237" t="s">
        <v>108</v>
      </c>
      <c r="Q4" s="237"/>
      <c r="R4" s="237"/>
      <c r="S4" s="237"/>
      <c r="T4" s="237"/>
      <c r="U4" s="237"/>
      <c r="V4" s="237"/>
      <c r="W4" s="237"/>
      <c r="X4" s="237"/>
      <c r="Y4" s="237"/>
      <c r="Z4" s="23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5" t="s">
        <v>117</v>
      </c>
      <c r="D9" s="235"/>
      <c r="E9" s="235"/>
      <c r="F9" s="235"/>
      <c r="G9" s="235"/>
      <c r="H9" s="235"/>
      <c r="I9" s="235"/>
      <c r="J9" s="235"/>
      <c r="K9" s="235"/>
      <c r="L9" s="235"/>
      <c r="N9" s="91"/>
      <c r="P9" s="237" t="s">
        <v>118</v>
      </c>
      <c r="Q9" s="237"/>
      <c r="R9" s="237"/>
      <c r="S9" s="237"/>
      <c r="T9" s="237"/>
      <c r="U9" s="237"/>
      <c r="V9" s="237"/>
      <c r="W9" s="237"/>
      <c r="X9" s="237"/>
      <c r="Y9" s="237"/>
      <c r="Z9" s="237"/>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5" t="s">
        <v>120</v>
      </c>
      <c r="D17" s="235"/>
      <c r="E17" s="235"/>
      <c r="F17" s="235"/>
      <c r="G17" s="235"/>
      <c r="H17" s="235"/>
      <c r="I17" s="235"/>
      <c r="J17" s="235"/>
      <c r="K17" s="235"/>
      <c r="L17" s="235"/>
      <c r="P17" s="237" t="s">
        <v>120</v>
      </c>
      <c r="Q17" s="237"/>
      <c r="R17" s="237"/>
      <c r="S17" s="237"/>
      <c r="T17" s="237"/>
      <c r="U17" s="237"/>
      <c r="V17" s="237"/>
      <c r="W17" s="237"/>
      <c r="X17" s="237"/>
      <c r="Y17" s="237"/>
      <c r="Z17" s="237"/>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108</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5" t="s">
        <v>124</v>
      </c>
      <c r="D11" s="235"/>
      <c r="E11" s="235"/>
      <c r="F11" s="235"/>
      <c r="G11" s="235"/>
      <c r="H11" s="235"/>
      <c r="I11" s="235"/>
      <c r="J11" s="235"/>
      <c r="K11" s="235"/>
      <c r="L11" s="235"/>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5" t="s">
        <v>129</v>
      </c>
      <c r="D18" s="235"/>
      <c r="E18" s="235"/>
      <c r="F18" s="235"/>
      <c r="G18" s="235"/>
      <c r="H18" s="235"/>
      <c r="I18" s="235"/>
      <c r="J18" s="235"/>
      <c r="K18" s="235"/>
      <c r="L18" s="235"/>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35" t="s">
        <v>135</v>
      </c>
      <c r="D26" s="235"/>
      <c r="E26" s="235"/>
      <c r="F26" s="235"/>
      <c r="G26" s="235"/>
      <c r="H26" s="235"/>
      <c r="I26" s="235"/>
      <c r="J26" s="235"/>
      <c r="K26" s="235"/>
      <c r="L26" s="235"/>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5" t="s">
        <v>139</v>
      </c>
      <c r="D33" s="235"/>
      <c r="E33" s="235"/>
      <c r="F33" s="235"/>
      <c r="G33" s="235"/>
      <c r="H33" s="235"/>
      <c r="I33" s="235"/>
      <c r="J33" s="235"/>
      <c r="K33" s="235"/>
      <c r="L33" s="235"/>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5" t="s">
        <v>142</v>
      </c>
      <c r="D40" s="235"/>
      <c r="E40" s="235"/>
      <c r="F40" s="235"/>
      <c r="G40" s="235"/>
      <c r="H40" s="235"/>
      <c r="I40" s="235"/>
      <c r="J40" s="235"/>
      <c r="K40" s="235"/>
      <c r="L40" s="235"/>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0.8571428571428571</v>
      </c>
      <c r="J44" s="123">
        <f t="shared" si="13"/>
        <v>0.8571428571428571</v>
      </c>
      <c r="K44" s="123">
        <f t="shared" si="13"/>
        <v>1.0714285714285714</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1430.5826500000005</v>
      </c>
      <c r="I45" s="25">
        <f>I7*I46</f>
        <v>1421.2693075</v>
      </c>
      <c r="J45" s="25">
        <f>J7*J46</f>
        <v>1549.8559569500003</v>
      </c>
      <c r="K45" s="25">
        <f>K7*K46</f>
        <v>1401.2709466509598</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39"/>
      <c r="H2" s="240" t="s">
        <v>106</v>
      </c>
      <c r="I2" s="238"/>
      <c r="J2" s="238"/>
      <c r="K2" s="238"/>
      <c r="L2" s="238"/>
      <c r="S2" s="249"/>
      <c r="T2" s="249"/>
      <c r="U2" s="249"/>
      <c r="V2" s="249"/>
      <c r="W2" s="249"/>
      <c r="X2" s="249"/>
      <c r="Y2" s="249"/>
      <c r="Z2" s="249"/>
      <c r="AA2" s="249"/>
      <c r="AB2" s="249"/>
      <c r="AC2" s="249"/>
      <c r="AE2" s="109"/>
    </row>
    <row r="3" spans="1:31" ht="10" customHeight="1" x14ac:dyDescent="0.2"/>
    <row r="4" spans="1:31" ht="16" customHeight="1" x14ac:dyDescent="0.2">
      <c r="A4" s="86"/>
      <c r="B4" s="60"/>
      <c r="C4" s="235" t="s">
        <v>18</v>
      </c>
      <c r="D4" s="235"/>
      <c r="E4" s="235"/>
      <c r="F4" s="235"/>
      <c r="G4" s="235"/>
      <c r="H4" s="235"/>
      <c r="I4" s="235"/>
      <c r="J4" s="235"/>
      <c r="K4" s="235"/>
      <c r="L4" s="235"/>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5" t="s">
        <v>150</v>
      </c>
      <c r="D13" s="235"/>
      <c r="E13" s="235"/>
      <c r="F13" s="235"/>
      <c r="G13" s="235"/>
      <c r="H13" s="235"/>
      <c r="I13" s="235"/>
      <c r="J13" s="235"/>
      <c r="K13" s="235"/>
      <c r="L13" s="23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5" t="s">
        <v>151</v>
      </c>
      <c r="D18" s="235"/>
      <c r="E18" s="235"/>
      <c r="F18" s="235"/>
      <c r="G18" s="235"/>
      <c r="H18" s="235"/>
      <c r="I18" s="235"/>
      <c r="J18" s="235"/>
      <c r="K18" s="235"/>
      <c r="L18" s="235"/>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1430.5826500000005</v>
      </c>
      <c r="I21" s="88">
        <f>'WC &amp; Investments'!I45</f>
        <v>1421.2693075</v>
      </c>
      <c r="J21" s="88">
        <f>'WC &amp; Investments'!J45</f>
        <v>1549.8559569500003</v>
      </c>
      <c r="K21" s="88">
        <f>'WC &amp; Investments'!K45</f>
        <v>1401.2709466509598</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5" t="s">
        <v>259</v>
      </c>
      <c r="D25" s="235"/>
      <c r="E25" s="235"/>
      <c r="F25" s="235"/>
      <c r="G25" s="235"/>
      <c r="H25" s="235"/>
      <c r="I25" s="235"/>
      <c r="J25" s="235"/>
      <c r="K25" s="235"/>
      <c r="L25" s="235"/>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9553.7075400547947</v>
      </c>
      <c r="I28" s="94">
        <f t="shared" si="7"/>
        <v>9440.2308497150734</v>
      </c>
      <c r="J28" s="94">
        <f t="shared" si="7"/>
        <v>9873.483013854393</v>
      </c>
      <c r="K28" s="94">
        <f t="shared" si="7"/>
        <v>10685.09480521263</v>
      </c>
      <c r="L28" s="94">
        <f t="shared" si="7"/>
        <v>12850.770513331205</v>
      </c>
    </row>
    <row r="31" spans="2:14" x14ac:dyDescent="0.2">
      <c r="C31" s="235" t="s">
        <v>75</v>
      </c>
      <c r="D31" s="235"/>
      <c r="E31" s="235"/>
      <c r="F31" s="235"/>
      <c r="G31" s="235"/>
      <c r="H31" s="235"/>
      <c r="I31" s="235"/>
      <c r="J31" s="235"/>
      <c r="K31" s="235"/>
      <c r="L31" s="235"/>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6">
        <f>Statement!AC78</f>
        <v>1060</v>
      </c>
    </row>
    <row r="6" spans="1:3" ht="17" customHeight="1" x14ac:dyDescent="0.2">
      <c r="B6" s="1" t="s">
        <v>1</v>
      </c>
      <c r="C6" s="133">
        <f ca="1">Overview!C5</f>
        <v>148.44499999999999</v>
      </c>
    </row>
    <row r="7" spans="1:3" ht="17" customHeight="1" x14ac:dyDescent="0.2">
      <c r="B7" s="1" t="s">
        <v>160</v>
      </c>
      <c r="C7" s="134">
        <f ca="1">C5*C6</f>
        <v>157351.69999999998</v>
      </c>
    </row>
    <row r="8" spans="1:3" ht="17" customHeight="1" x14ac:dyDescent="0.2">
      <c r="B8" s="1" t="s">
        <v>161</v>
      </c>
      <c r="C8" s="112">
        <f>Statement!AC107</f>
        <v>15270</v>
      </c>
    </row>
    <row r="9" spans="1:3" ht="17" customHeight="1" x14ac:dyDescent="0.2">
      <c r="B9" s="1" t="s">
        <v>162</v>
      </c>
      <c r="C9" s="135">
        <f ca="1">Overview!F27</f>
        <v>4.6630000000000005E-2</v>
      </c>
    </row>
    <row r="10" spans="1:3" ht="17" customHeight="1" x14ac:dyDescent="0.2">
      <c r="B10" s="1" t="s">
        <v>9</v>
      </c>
      <c r="C10" s="133">
        <f ca="1">Overview!C13</f>
        <v>1.6667000000000001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8" t="s">
        <v>165</v>
      </c>
      <c r="C15" s="238"/>
    </row>
    <row r="16" spans="1:3" ht="17" customHeight="1" x14ac:dyDescent="0.2">
      <c r="B16" s="1" t="s">
        <v>166</v>
      </c>
      <c r="C16" s="46">
        <f ca="1">C8/(C8+C7)</f>
        <v>8.8459330431805511E-2</v>
      </c>
    </row>
    <row r="17" spans="2:3" ht="17" customHeight="1" x14ac:dyDescent="0.2">
      <c r="B17" s="1" t="s">
        <v>167</v>
      </c>
      <c r="C17" s="46">
        <f ca="1">C7/(C8+C7)</f>
        <v>0.91154066956819446</v>
      </c>
    </row>
    <row r="18" spans="2:3" ht="17" customHeight="1" x14ac:dyDescent="0.2">
      <c r="B18" s="1" t="s">
        <v>168</v>
      </c>
      <c r="C18" s="46">
        <f>C13*(1-C12)</f>
        <v>3.6735000000000004E-2</v>
      </c>
    </row>
    <row r="19" spans="2:3" ht="17" customHeight="1" x14ac:dyDescent="0.2">
      <c r="B19" s="1" t="s">
        <v>169</v>
      </c>
      <c r="C19" s="46">
        <f ca="1">C9+C10*C11</f>
        <v>0.1216315</v>
      </c>
    </row>
    <row r="20" spans="2:3" ht="17" customHeight="1" x14ac:dyDescent="0.2">
      <c r="B20" s="1" t="s">
        <v>157</v>
      </c>
      <c r="C20" s="46">
        <f ca="1">(C17*C19)+(C16*C18)</f>
        <v>0.11412161245399621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172</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9553.7075400547947</v>
      </c>
      <c r="I7" s="112">
        <f>'FCF &amp; Other'!I28</f>
        <v>9440.2308497150734</v>
      </c>
      <c r="J7" s="112">
        <f>'FCF &amp; Other'!J28</f>
        <v>9873.483013854393</v>
      </c>
      <c r="K7" s="112">
        <f>'FCF &amp; Other'!K28</f>
        <v>10685.09480521263</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147798.49032650495</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8575.1029629624754</v>
      </c>
      <c r="I10" s="126">
        <f t="shared" ref="I10:L10" ca="1" si="0">I7/(1+$C$15)^I9</f>
        <v>7605.3186769058484</v>
      </c>
      <c r="J10" s="126">
        <f t="shared" ca="1" si="0"/>
        <v>7139.5787169027972</v>
      </c>
      <c r="K10" s="126">
        <f t="shared" ca="1" si="0"/>
        <v>6935.0242449607895</v>
      </c>
      <c r="L10" s="126">
        <f t="shared" ca="1" si="0"/>
        <v>7486.2818351437536</v>
      </c>
      <c r="N10" s="91"/>
    </row>
    <row r="11" spans="1:28" x14ac:dyDescent="0.2">
      <c r="B11" s="1" t="s">
        <v>175</v>
      </c>
      <c r="C11" s="137"/>
      <c r="D11" s="137"/>
      <c r="E11" s="137"/>
      <c r="F11" s="137"/>
      <c r="G11" s="138"/>
      <c r="H11" s="137"/>
      <c r="I11" s="137"/>
      <c r="J11" s="137"/>
      <c r="K11" s="137"/>
      <c r="L11" s="126">
        <f ca="1">L8/(1+C15)^L9</f>
        <v>86100.763549170602</v>
      </c>
    </row>
    <row r="13" spans="1:28" x14ac:dyDescent="0.2">
      <c r="B13" s="238" t="s">
        <v>176</v>
      </c>
      <c r="C13" s="238"/>
    </row>
    <row r="14" spans="1:28" x14ac:dyDescent="0.2">
      <c r="B14" s="1" t="s">
        <v>177</v>
      </c>
      <c r="C14" s="140">
        <v>2.5000000000000001E-2</v>
      </c>
    </row>
    <row r="15" spans="1:28" x14ac:dyDescent="0.2">
      <c r="B15" s="1" t="s">
        <v>157</v>
      </c>
      <c r="C15" s="135">
        <f ca="1">IF(Overview!C28&gt;0,Overview!C28,WACC!C20)</f>
        <v>0.11412161245399621</v>
      </c>
    </row>
    <row r="18" spans="2:3" x14ac:dyDescent="0.2">
      <c r="B18" s="238" t="s">
        <v>178</v>
      </c>
      <c r="C18" s="238"/>
    </row>
    <row r="19" spans="2:3" x14ac:dyDescent="0.2">
      <c r="B19" s="1" t="s">
        <v>179</v>
      </c>
      <c r="C19" s="64">
        <f ca="1">SUM(H10:L10)</f>
        <v>37741.306436875668</v>
      </c>
    </row>
    <row r="20" spans="2:3" x14ac:dyDescent="0.2">
      <c r="B20" s="1" t="s">
        <v>175</v>
      </c>
      <c r="C20" s="64">
        <f ca="1">L11</f>
        <v>86100.763549170602</v>
      </c>
    </row>
    <row r="21" spans="2:3" x14ac:dyDescent="0.2">
      <c r="B21" s="16" t="s">
        <v>180</v>
      </c>
      <c r="C21" s="94">
        <f ca="1">C19+C20</f>
        <v>123842.06998604626</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118371.06998604626</v>
      </c>
    </row>
    <row r="25" spans="2:3" x14ac:dyDescent="0.2">
      <c r="B25" s="1" t="s">
        <v>67</v>
      </c>
      <c r="C25" s="136">
        <f>Statement!AC78</f>
        <v>1060</v>
      </c>
    </row>
    <row r="26" spans="2:3" x14ac:dyDescent="0.2">
      <c r="B26" s="141" t="s">
        <v>184</v>
      </c>
      <c r="C26" s="142">
        <f ca="1">C24/C25</f>
        <v>111.67082074155307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39"/>
      <c r="H2" s="240" t="s">
        <v>106</v>
      </c>
      <c r="I2" s="238"/>
      <c r="J2" s="238"/>
      <c r="K2" s="238"/>
      <c r="L2" s="238"/>
    </row>
    <row r="3" spans="1:14" ht="10" customHeight="1" x14ac:dyDescent="0.2"/>
    <row r="4" spans="1:14" ht="16" customHeight="1" x14ac:dyDescent="0.2">
      <c r="A4" s="86"/>
      <c r="B4" s="60"/>
      <c r="C4" s="235" t="s">
        <v>186</v>
      </c>
      <c r="D4" s="235"/>
      <c r="E4" s="235"/>
      <c r="F4" s="235"/>
      <c r="G4" s="235"/>
      <c r="H4" s="235"/>
      <c r="I4" s="235"/>
      <c r="J4" s="235"/>
      <c r="K4" s="235"/>
      <c r="L4" s="235"/>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9553.7075400547947</v>
      </c>
      <c r="I8" s="92">
        <f>'FCF &amp; Other'!I28</f>
        <v>9440.2308497150734</v>
      </c>
      <c r="J8" s="92">
        <f>'FCF &amp; Other'!J28</f>
        <v>9873.483013854393</v>
      </c>
      <c r="K8" s="92">
        <f>'FCF &amp; Other'!K28</f>
        <v>10685.09480521263</v>
      </c>
      <c r="L8" s="92">
        <f>'FCF &amp; Other'!L28</f>
        <v>12850.770513331205</v>
      </c>
      <c r="N8" s="91"/>
    </row>
    <row r="9" spans="1:14" x14ac:dyDescent="0.2">
      <c r="N9" s="91"/>
    </row>
    <row r="10" spans="1:14" x14ac:dyDescent="0.2">
      <c r="C10" s="235" t="s">
        <v>114</v>
      </c>
      <c r="D10" s="235"/>
      <c r="E10" s="235"/>
      <c r="F10" s="235"/>
      <c r="G10" s="235"/>
      <c r="H10" s="235"/>
      <c r="I10" s="235"/>
      <c r="J10" s="235"/>
      <c r="K10" s="235"/>
      <c r="L10" s="235"/>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-0.18978611719924546</v>
      </c>
      <c r="I14" s="95">
        <f t="shared" si="3"/>
        <v>-1.1877764717410474E-2</v>
      </c>
      <c r="J14" s="95">
        <f t="shared" si="3"/>
        <v>4.5894234053862788E-2</v>
      </c>
      <c r="K14" s="95">
        <f t="shared" si="3"/>
        <v>8.2201163481963699E-2</v>
      </c>
      <c r="L14" s="95">
        <f t="shared" si="3"/>
        <v>0.20268193662278686</v>
      </c>
      <c r="N14" s="91"/>
    </row>
    <row r="15" spans="1:14" x14ac:dyDescent="0.2">
      <c r="N15" s="91"/>
    </row>
    <row r="16" spans="1:14" x14ac:dyDescent="0.2">
      <c r="C16" s="235" t="s">
        <v>188</v>
      </c>
      <c r="D16" s="235"/>
      <c r="E16" s="235"/>
      <c r="F16" s="235"/>
      <c r="G16" s="235"/>
      <c r="H16" s="235"/>
      <c r="I16" s="235"/>
      <c r="J16" s="235"/>
      <c r="K16" s="235"/>
      <c r="L16" s="235"/>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5" t="s">
        <v>191</v>
      </c>
      <c r="D21" s="235"/>
      <c r="E21" s="235"/>
      <c r="F21" s="235"/>
      <c r="G21" s="235"/>
      <c r="H21" s="235"/>
      <c r="I21" s="235"/>
      <c r="J21" s="235"/>
      <c r="K21" s="235"/>
      <c r="L21" s="235"/>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5" t="s">
        <v>192</v>
      </c>
      <c r="D26" s="235"/>
      <c r="E26" s="235"/>
      <c r="F26" s="235"/>
      <c r="G26" s="235"/>
      <c r="H26" s="235"/>
      <c r="I26" s="235"/>
      <c r="J26" s="235"/>
      <c r="K26" s="235"/>
      <c r="L26" s="235"/>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8" t="s">
        <v>197</v>
      </c>
      <c r="C37" s="238"/>
      <c r="N37" s="91"/>
    </row>
    <row r="38" spans="2:14" x14ac:dyDescent="0.2">
      <c r="B38" s="1" t="s">
        <v>198</v>
      </c>
      <c r="C38" s="64">
        <f>L7</f>
        <v>16641.420831907126</v>
      </c>
    </row>
    <row r="39" spans="2:14" x14ac:dyDescent="0.2">
      <c r="B39" s="1" t="s">
        <v>157</v>
      </c>
      <c r="C39" s="135">
        <f ca="1">IF(Overview!C28&gt;0,Overview!C28,WACC!C20)</f>
        <v>0.11412161245399621</v>
      </c>
    </row>
    <row r="40" spans="2:14" x14ac:dyDescent="0.2">
      <c r="B40" s="39" t="s">
        <v>199</v>
      </c>
      <c r="C40" s="105">
        <v>20</v>
      </c>
    </row>
    <row r="41" spans="2:14" x14ac:dyDescent="0.2">
      <c r="B41" s="1" t="s">
        <v>195</v>
      </c>
      <c r="C41" s="24">
        <f>(C38*C40)</f>
        <v>332828.41663814255</v>
      </c>
    </row>
    <row r="42" spans="2:14" x14ac:dyDescent="0.2">
      <c r="B42" s="1" t="s">
        <v>353</v>
      </c>
      <c r="C42" s="24">
        <f ca="1">C41/(1+C39)^5-G30+G31</f>
        <v>189234.88981964035</v>
      </c>
    </row>
    <row r="43" spans="2:14" x14ac:dyDescent="0.2">
      <c r="B43" s="1" t="s">
        <v>181</v>
      </c>
      <c r="C43" s="136">
        <f>Statement!AC106</f>
        <v>9799</v>
      </c>
    </row>
    <row r="44" spans="2:14" x14ac:dyDescent="0.2">
      <c r="B44" s="1" t="s">
        <v>182</v>
      </c>
      <c r="C44" s="136">
        <f>Statement!AC107</f>
        <v>15270</v>
      </c>
    </row>
    <row r="45" spans="2:14" x14ac:dyDescent="0.2">
      <c r="B45" s="1" t="s">
        <v>183</v>
      </c>
      <c r="C45" s="24">
        <f ca="1">C42+C43-C44</f>
        <v>183763.88981964035</v>
      </c>
    </row>
    <row r="46" spans="2:14" x14ac:dyDescent="0.2">
      <c r="B46" s="1" t="s">
        <v>67</v>
      </c>
      <c r="C46" s="88">
        <f>Statement!AC78</f>
        <v>1060</v>
      </c>
    </row>
    <row r="47" spans="2:14" x14ac:dyDescent="0.2">
      <c r="B47" s="141" t="s">
        <v>201</v>
      </c>
      <c r="C47" s="142">
        <f ca="1">C45/C46</f>
        <v>173.36216020720786</v>
      </c>
    </row>
    <row r="49" spans="2:3" x14ac:dyDescent="0.2">
      <c r="B49" s="238" t="s">
        <v>202</v>
      </c>
      <c r="C49" s="238"/>
    </row>
    <row r="50" spans="2:3" x14ac:dyDescent="0.2">
      <c r="B50" s="1" t="s">
        <v>203</v>
      </c>
      <c r="C50" s="64">
        <f>L6</f>
        <v>57384.209765196996</v>
      </c>
    </row>
    <row r="51" spans="2:3" x14ac:dyDescent="0.2">
      <c r="B51" s="1" t="s">
        <v>355</v>
      </c>
      <c r="C51" s="135">
        <f ca="1">IF(Overview!C29&gt;0,Overview!C29,WACC!C19)</f>
        <v>0.1216315</v>
      </c>
    </row>
    <row r="52" spans="2:3" x14ac:dyDescent="0.2">
      <c r="B52" s="39" t="s">
        <v>204</v>
      </c>
      <c r="C52" s="105">
        <v>6</v>
      </c>
    </row>
    <row r="53" spans="2:3" x14ac:dyDescent="0.2">
      <c r="B53" s="1" t="s">
        <v>200</v>
      </c>
      <c r="C53" s="24">
        <f>L18</f>
        <v>1024.4422356918749</v>
      </c>
    </row>
    <row r="54" spans="2:3" x14ac:dyDescent="0.2">
      <c r="B54" s="1" t="s">
        <v>184</v>
      </c>
      <c r="C54" s="24">
        <f>(C50*C52)/C53</f>
        <v>336.09045644105976</v>
      </c>
    </row>
    <row r="55" spans="2:3" x14ac:dyDescent="0.2">
      <c r="B55" s="141" t="s">
        <v>201</v>
      </c>
      <c r="C55" s="142">
        <f ca="1">C54/(1+C51)^5</f>
        <v>189.3237912426618</v>
      </c>
    </row>
    <row r="57" spans="2:3" x14ac:dyDescent="0.2">
      <c r="B57" s="238" t="s">
        <v>319</v>
      </c>
      <c r="C57" s="238"/>
    </row>
    <row r="58" spans="2:3" x14ac:dyDescent="0.2">
      <c r="B58" s="1" t="s">
        <v>205</v>
      </c>
      <c r="C58" s="64">
        <f>L8</f>
        <v>12850.770513331205</v>
      </c>
    </row>
    <row r="59" spans="2:3" x14ac:dyDescent="0.2">
      <c r="B59" s="1" t="s">
        <v>157</v>
      </c>
      <c r="C59" s="135">
        <f ca="1">IF(Overview!C28&gt;0,Overview!C28,WACC!C20)</f>
        <v>0.11412161245399621</v>
      </c>
    </row>
    <row r="60" spans="2:3" x14ac:dyDescent="0.2">
      <c r="B60" s="39" t="s">
        <v>354</v>
      </c>
      <c r="C60" s="105">
        <v>25</v>
      </c>
    </row>
    <row r="61" spans="2:3" x14ac:dyDescent="0.2">
      <c r="B61" s="1" t="s">
        <v>195</v>
      </c>
      <c r="C61" s="24">
        <f>(C58*C60)</f>
        <v>321269.26283328014</v>
      </c>
    </row>
    <row r="62" spans="2:3" x14ac:dyDescent="0.2">
      <c r="B62" s="1" t="s">
        <v>353</v>
      </c>
      <c r="C62" s="24">
        <f ca="1">C61/(1+C59)^5-G30+G31</f>
        <v>182501.04587859387</v>
      </c>
    </row>
    <row r="63" spans="2:3" x14ac:dyDescent="0.2">
      <c r="B63" s="1" t="s">
        <v>181</v>
      </c>
      <c r="C63" s="136">
        <f>Statement!AC106</f>
        <v>9799</v>
      </c>
    </row>
    <row r="64" spans="2:3" x14ac:dyDescent="0.2">
      <c r="B64" s="1" t="s">
        <v>182</v>
      </c>
      <c r="C64" s="136">
        <f>Statement!AC107</f>
        <v>15270</v>
      </c>
    </row>
    <row r="65" spans="2:3" x14ac:dyDescent="0.2">
      <c r="B65" s="1" t="s">
        <v>183</v>
      </c>
      <c r="C65" s="24">
        <f ca="1">C62+C63-C64</f>
        <v>177030.04587859387</v>
      </c>
    </row>
    <row r="66" spans="2:3" x14ac:dyDescent="0.2">
      <c r="B66" s="1" t="s">
        <v>67</v>
      </c>
      <c r="C66" s="88">
        <f>Statement!AC78</f>
        <v>1060</v>
      </c>
    </row>
    <row r="67" spans="2:3" x14ac:dyDescent="0.2">
      <c r="B67" s="141" t="s">
        <v>201</v>
      </c>
      <c r="C67" s="142">
        <f ca="1">C65/C66</f>
        <v>167.00947724395647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8" t="s">
        <v>207</v>
      </c>
      <c r="C4" s="238"/>
      <c r="N4" s="91"/>
    </row>
    <row r="5" spans="1:14" x14ac:dyDescent="0.2">
      <c r="B5" s="1" t="s">
        <v>208</v>
      </c>
      <c r="C5" s="133">
        <f ca="1">DCF!C26</f>
        <v>111.67082074155307</v>
      </c>
    </row>
    <row r="6" spans="1:14" x14ac:dyDescent="0.2">
      <c r="B6" s="1" t="s">
        <v>209</v>
      </c>
      <c r="C6" s="133">
        <f ca="1">Multiples!C47</f>
        <v>173.36216020720786</v>
      </c>
    </row>
    <row r="7" spans="1:14" x14ac:dyDescent="0.2">
      <c r="B7" s="1" t="s">
        <v>210</v>
      </c>
      <c r="C7" s="133">
        <f ca="1">Multiples!C55</f>
        <v>189.3237912426618</v>
      </c>
    </row>
    <row r="8" spans="1:14" x14ac:dyDescent="0.2">
      <c r="B8" s="1" t="s">
        <v>320</v>
      </c>
      <c r="C8" s="133">
        <f ca="1">Multiples!C67</f>
        <v>167.00947724395647</v>
      </c>
    </row>
    <row r="9" spans="1:14" x14ac:dyDescent="0.2">
      <c r="B9" s="141" t="s">
        <v>211</v>
      </c>
      <c r="C9" s="142">
        <f ca="1">AVERAGE(C5:C8)</f>
        <v>160.34156235884481</v>
      </c>
    </row>
    <row r="10" spans="1:14" x14ac:dyDescent="0.2">
      <c r="B10" s="1" t="s">
        <v>212</v>
      </c>
      <c r="C10" s="133">
        <f ca="1">Overview!C5</f>
        <v>148.44499999999999</v>
      </c>
    </row>
    <row r="11" spans="1:14" x14ac:dyDescent="0.2">
      <c r="B11" s="1" t="s">
        <v>213</v>
      </c>
      <c r="C11" s="154">
        <f ca="1">(C9-C10)/C10</f>
        <v>8.0141212966720457E-2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7"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406</v>
      </c>
    </row>
    <row r="2" spans="1:14" x14ac:dyDescent="0.2">
      <c r="A2" s="4"/>
      <c r="C2" s="238" t="s">
        <v>105</v>
      </c>
      <c r="D2" s="238"/>
      <c r="E2" s="238"/>
      <c r="F2" s="238"/>
      <c r="G2" s="239"/>
      <c r="H2" s="240" t="s">
        <v>106</v>
      </c>
      <c r="I2" s="238"/>
      <c r="J2" s="238"/>
      <c r="K2" s="238"/>
      <c r="L2" s="238"/>
    </row>
    <row r="3" spans="1:14" ht="10" customHeight="1" x14ac:dyDescent="0.2"/>
    <row r="4" spans="1:14" ht="16" customHeight="1" x14ac:dyDescent="0.2">
      <c r="A4" s="86"/>
      <c r="B4" s="60"/>
      <c r="C4" s="235" t="s">
        <v>186</v>
      </c>
      <c r="D4" s="235"/>
      <c r="E4" s="235"/>
      <c r="F4" s="235"/>
      <c r="G4" s="235"/>
      <c r="H4" s="235"/>
      <c r="I4" s="235"/>
      <c r="J4" s="235"/>
      <c r="K4" s="235"/>
      <c r="L4" s="235"/>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407</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35" t="s">
        <v>114</v>
      </c>
      <c r="D9" s="235"/>
      <c r="E9" s="235"/>
      <c r="F9" s="235"/>
      <c r="G9" s="235"/>
      <c r="H9" s="235"/>
      <c r="I9" s="235"/>
      <c r="J9" s="235"/>
      <c r="K9" s="235"/>
      <c r="L9" s="235"/>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35" t="s">
        <v>408</v>
      </c>
      <c r="D14" s="235"/>
      <c r="E14" s="235"/>
      <c r="F14" s="235"/>
      <c r="G14" s="235"/>
      <c r="H14" s="235"/>
      <c r="I14" s="235"/>
      <c r="J14" s="235"/>
      <c r="K14" s="235"/>
      <c r="L14" s="235"/>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409</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8" t="s">
        <v>410</v>
      </c>
      <c r="C20" s="238"/>
      <c r="N20" s="91"/>
    </row>
    <row r="21" spans="2:14" x14ac:dyDescent="0.2">
      <c r="B21" s="1" t="s">
        <v>411</v>
      </c>
      <c r="C21" s="232">
        <f>G7</f>
        <v>3.48</v>
      </c>
    </row>
    <row r="22" spans="2:14" x14ac:dyDescent="0.2">
      <c r="B22" s="1" t="s">
        <v>412</v>
      </c>
      <c r="C22" s="234">
        <v>0.06</v>
      </c>
    </row>
    <row r="23" spans="2:14" x14ac:dyDescent="0.2">
      <c r="B23" s="39" t="s">
        <v>413</v>
      </c>
      <c r="C23" s="233">
        <f>C21*(1+C22)</f>
        <v>3.6888000000000001</v>
      </c>
    </row>
    <row r="24" spans="2:14" x14ac:dyDescent="0.2">
      <c r="B24" s="1" t="s">
        <v>355</v>
      </c>
      <c r="C24" s="135">
        <f ca="1">IF(Overview!C29&gt;0,Overview!C29,WACC!C19)</f>
        <v>0.1216315</v>
      </c>
    </row>
    <row r="25" spans="2:14" x14ac:dyDescent="0.2">
      <c r="B25" s="39" t="s">
        <v>414</v>
      </c>
      <c r="C25" s="234">
        <v>0.02</v>
      </c>
    </row>
    <row r="26" spans="2:14" x14ac:dyDescent="0.2">
      <c r="B26" s="141" t="s">
        <v>201</v>
      </c>
      <c r="C26" s="142">
        <f ca="1">C23/(C24-C25)</f>
        <v>36.295833476825592</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172</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293540.05559779349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12351.238815094628</v>
      </c>
      <c r="I10" s="126">
        <f t="shared" ref="I10:L10" ca="1" si="1">I7/(1+$C$21)^I9</f>
        <v>12937.452730556917</v>
      </c>
      <c r="J10" s="126">
        <f t="shared" ca="1" si="1"/>
        <v>13551.489503290954</v>
      </c>
      <c r="K10" s="126">
        <f t="shared" ca="1" si="1"/>
        <v>14194.66966043938</v>
      </c>
      <c r="L10" s="126">
        <f t="shared" ca="1" si="1"/>
        <v>14868.376403941949</v>
      </c>
      <c r="N10" s="91"/>
    </row>
    <row r="11" spans="1:28" x14ac:dyDescent="0.2">
      <c r="B11" s="1" t="s">
        <v>175</v>
      </c>
      <c r="C11" s="137"/>
      <c r="D11" s="137"/>
      <c r="E11" s="137"/>
      <c r="F11" s="137"/>
      <c r="G11" s="138"/>
      <c r="H11" s="137"/>
      <c r="I11" s="137"/>
      <c r="J11" s="137"/>
      <c r="K11" s="137"/>
      <c r="L11" s="126">
        <f ca="1">L8/(1+C21)^L9</f>
        <v>171003.25492772355</v>
      </c>
    </row>
    <row r="13" spans="1:28" ht="17" thickBot="1" x14ac:dyDescent="0.25"/>
    <row r="14" spans="1:28" x14ac:dyDescent="0.2">
      <c r="B14" s="250" t="s">
        <v>215</v>
      </c>
      <c r="C14" s="251"/>
    </row>
    <row r="15" spans="1:28" x14ac:dyDescent="0.2">
      <c r="B15" s="155" t="s">
        <v>216</v>
      </c>
      <c r="C15" s="156">
        <f ca="1">Overview!C5</f>
        <v>148.44499999999999</v>
      </c>
    </row>
    <row r="16" spans="1:28" x14ac:dyDescent="0.2">
      <c r="B16" s="155" t="s">
        <v>217</v>
      </c>
      <c r="C16" s="156">
        <f ca="1">C36</f>
        <v>221.47578941275842</v>
      </c>
    </row>
    <row r="17" spans="2:9" ht="17" thickBot="1" x14ac:dyDescent="0.25">
      <c r="B17" s="157" t="s">
        <v>321</v>
      </c>
      <c r="C17" s="158">
        <v>0.16700000000000001</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0.11412161245399621</v>
      </c>
    </row>
    <row r="22" spans="2:9" x14ac:dyDescent="0.2">
      <c r="B22" s="159" t="s">
        <v>67</v>
      </c>
      <c r="C22" s="226">
        <f>Statement!AC75</f>
        <v>1054</v>
      </c>
    </row>
    <row r="23" spans="2:9" x14ac:dyDescent="0.2">
      <c r="B23" s="159" t="s">
        <v>219</v>
      </c>
      <c r="C23" s="161">
        <f ca="1">C15*C22</f>
        <v>156461.03</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161932.03</v>
      </c>
    </row>
    <row r="27" spans="2:9" ht="17" thickBot="1" x14ac:dyDescent="0.25"/>
    <row r="28" spans="2:9" x14ac:dyDescent="0.2">
      <c r="B28" s="250" t="s">
        <v>178</v>
      </c>
      <c r="C28" s="251"/>
    </row>
    <row r="29" spans="2:9" x14ac:dyDescent="0.2">
      <c r="B29" s="159" t="s">
        <v>179</v>
      </c>
      <c r="C29" s="161">
        <f ca="1">SUM(H10:L10)</f>
        <v>67903.227113323825</v>
      </c>
    </row>
    <row r="30" spans="2:9" x14ac:dyDescent="0.2">
      <c r="B30" s="159" t="s">
        <v>175</v>
      </c>
      <c r="C30" s="161">
        <f ca="1">L11</f>
        <v>171003.25492772355</v>
      </c>
    </row>
    <row r="31" spans="2:9" x14ac:dyDescent="0.2">
      <c r="B31" s="163" t="s">
        <v>180</v>
      </c>
      <c r="C31" s="164">
        <f ca="1">C29+C30</f>
        <v>238906.48204104736</v>
      </c>
    </row>
    <row r="32" spans="2:9" x14ac:dyDescent="0.2">
      <c r="B32" s="159" t="s">
        <v>181</v>
      </c>
      <c r="C32" s="165">
        <f>C24</f>
        <v>9799</v>
      </c>
    </row>
    <row r="33" spans="2:12" x14ac:dyDescent="0.2">
      <c r="B33" s="159" t="s">
        <v>182</v>
      </c>
      <c r="C33" s="165">
        <f>C25</f>
        <v>15270</v>
      </c>
    </row>
    <row r="34" spans="2:12" x14ac:dyDescent="0.2">
      <c r="B34" s="163" t="s">
        <v>183</v>
      </c>
      <c r="C34" s="164">
        <f ca="1">C31+C32-C33</f>
        <v>233435.48204104736</v>
      </c>
    </row>
    <row r="35" spans="2:12" x14ac:dyDescent="0.2">
      <c r="B35" s="159" t="s">
        <v>67</v>
      </c>
      <c r="C35" s="161">
        <f>C22</f>
        <v>1054</v>
      </c>
    </row>
    <row r="36" spans="2:12" ht="17" thickBot="1" x14ac:dyDescent="0.25">
      <c r="B36" s="166" t="s">
        <v>184</v>
      </c>
      <c r="C36" s="167">
        <f ca="1">C34/C35</f>
        <v>221.47578941275842</v>
      </c>
    </row>
    <row r="39" spans="2:12" x14ac:dyDescent="0.2">
      <c r="C39" s="235" t="s">
        <v>221</v>
      </c>
      <c r="D39" s="235"/>
      <c r="E39" s="235"/>
      <c r="F39" s="235"/>
      <c r="G39" s="235"/>
      <c r="H39" s="235"/>
      <c r="I39" s="235"/>
      <c r="J39" s="235"/>
      <c r="K39" s="235"/>
      <c r="L39" s="23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2026-07-31T17:06:18Z</dcterms:modified>
</cp:coreProperties>
</file>