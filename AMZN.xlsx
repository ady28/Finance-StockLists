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A1283EAD-57E5-7B46-8B5A-B8F11DA2730D}"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9" i="3" l="1"/>
  <c r="AA30" i="3"/>
  <c r="AA24" i="3"/>
  <c r="AA14" i="3"/>
  <c r="AA150" i="3" s="1"/>
  <c r="AA6" i="3"/>
  <c r="Z212" i="3"/>
  <c r="Y212" i="3"/>
  <c r="X212" i="3"/>
  <c r="W212" i="3"/>
  <c r="V212" i="3"/>
  <c r="U212" i="3"/>
  <c r="T212" i="3"/>
  <c r="Z211" i="3"/>
  <c r="Y211" i="3"/>
  <c r="X211" i="3"/>
  <c r="W211" i="3"/>
  <c r="V211" i="3"/>
  <c r="U211" i="3"/>
  <c r="T211" i="3"/>
  <c r="Z209" i="3"/>
  <c r="Y209" i="3"/>
  <c r="X209" i="3"/>
  <c r="W209" i="3"/>
  <c r="V209" i="3"/>
  <c r="U209" i="3"/>
  <c r="T209" i="3"/>
  <c r="Z207" i="3"/>
  <c r="Y207" i="3"/>
  <c r="X207" i="3"/>
  <c r="W207" i="3"/>
  <c r="V207" i="3"/>
  <c r="U207" i="3"/>
  <c r="T207" i="3"/>
  <c r="Z206" i="3"/>
  <c r="Y206" i="3"/>
  <c r="X206" i="3"/>
  <c r="W206" i="3"/>
  <c r="V206" i="3"/>
  <c r="U206" i="3"/>
  <c r="T206" i="3"/>
  <c r="Z205" i="3"/>
  <c r="Y205" i="3"/>
  <c r="X205" i="3"/>
  <c r="W205" i="3"/>
  <c r="V205" i="3"/>
  <c r="U205" i="3"/>
  <c r="T205" i="3"/>
  <c r="Z204" i="3"/>
  <c r="Y204" i="3"/>
  <c r="X204" i="3"/>
  <c r="W204" i="3"/>
  <c r="V204" i="3"/>
  <c r="U204" i="3"/>
  <c r="T204" i="3"/>
  <c r="Z203" i="3"/>
  <c r="Y203" i="3"/>
  <c r="X203" i="3"/>
  <c r="W203" i="3"/>
  <c r="V203" i="3"/>
  <c r="U203" i="3"/>
  <c r="T203" i="3"/>
  <c r="Z202" i="3"/>
  <c r="Y202" i="3"/>
  <c r="X202" i="3"/>
  <c r="W202" i="3"/>
  <c r="V202" i="3"/>
  <c r="U202" i="3"/>
  <c r="T202" i="3"/>
  <c r="Z194" i="3"/>
  <c r="Y194" i="3"/>
  <c r="Z208" i="3" s="1"/>
  <c r="X194" i="3"/>
  <c r="Y208" i="3" s="1"/>
  <c r="W194" i="3"/>
  <c r="X208" i="3" s="1"/>
  <c r="V194" i="3"/>
  <c r="W208" i="3" s="1"/>
  <c r="U194" i="3"/>
  <c r="V208" i="3" s="1"/>
  <c r="T194" i="3"/>
  <c r="Z180" i="3"/>
  <c r="Y180" i="3"/>
  <c r="X180" i="3"/>
  <c r="W180" i="3"/>
  <c r="V180" i="3"/>
  <c r="U180" i="3"/>
  <c r="T180" i="3"/>
  <c r="Z179" i="3"/>
  <c r="Y179" i="3"/>
  <c r="X179" i="3"/>
  <c r="W179" i="3"/>
  <c r="V179" i="3"/>
  <c r="U179" i="3"/>
  <c r="T179" i="3"/>
  <c r="Z178" i="3"/>
  <c r="Y178" i="3"/>
  <c r="X178" i="3"/>
  <c r="W178" i="3"/>
  <c r="V178" i="3"/>
  <c r="U178" i="3"/>
  <c r="T178" i="3"/>
  <c r="Z175" i="3"/>
  <c r="Y175" i="3"/>
  <c r="X175" i="3"/>
  <c r="W175" i="3"/>
  <c r="V175" i="3"/>
  <c r="U175" i="3"/>
  <c r="T175" i="3"/>
  <c r="Z174" i="3"/>
  <c r="Y174" i="3"/>
  <c r="X174" i="3"/>
  <c r="W174" i="3"/>
  <c r="V174" i="3"/>
  <c r="U174" i="3"/>
  <c r="T174" i="3"/>
  <c r="Z158" i="3"/>
  <c r="Y158" i="3"/>
  <c r="X158" i="3"/>
  <c r="W158" i="3"/>
  <c r="V158" i="3"/>
  <c r="U158" i="3"/>
  <c r="T158" i="3"/>
  <c r="Z153" i="3"/>
  <c r="Y153" i="3"/>
  <c r="X153" i="3"/>
  <c r="W153" i="3"/>
  <c r="V153" i="3"/>
  <c r="U153" i="3"/>
  <c r="T153" i="3"/>
  <c r="Z150" i="3"/>
  <c r="Y150" i="3"/>
  <c r="X150" i="3"/>
  <c r="W150" i="3"/>
  <c r="V150" i="3"/>
  <c r="U150" i="3"/>
  <c r="T150" i="3"/>
  <c r="Z149" i="3"/>
  <c r="Y149" i="3"/>
  <c r="X149" i="3"/>
  <c r="W149" i="3"/>
  <c r="V149" i="3"/>
  <c r="U149" i="3"/>
  <c r="T149" i="3"/>
  <c r="Z142" i="3"/>
  <c r="Y142" i="3"/>
  <c r="X142" i="3"/>
  <c r="W142" i="3"/>
  <c r="V142" i="3"/>
  <c r="U142" i="3"/>
  <c r="T142" i="3"/>
  <c r="Z136" i="3"/>
  <c r="Z137" i="3" s="1"/>
  <c r="Y136" i="3"/>
  <c r="Y137" i="3" s="1"/>
  <c r="X136" i="3"/>
  <c r="X137" i="3" s="1"/>
  <c r="W136" i="3"/>
  <c r="W137" i="3" s="1"/>
  <c r="V136" i="3"/>
  <c r="V137" i="3" s="1"/>
  <c r="U136" i="3"/>
  <c r="U137" i="3" s="1"/>
  <c r="T136" i="3"/>
  <c r="T137" i="3" s="1"/>
  <c r="Z132" i="3"/>
  <c r="Z133" i="3" s="1"/>
  <c r="Y132" i="3"/>
  <c r="Y133" i="3" s="1"/>
  <c r="X132" i="3"/>
  <c r="X133" i="3" s="1"/>
  <c r="W132" i="3"/>
  <c r="W133" i="3" s="1"/>
  <c r="V132" i="3"/>
  <c r="V133" i="3" s="1"/>
  <c r="U132" i="3"/>
  <c r="U133" i="3" s="1"/>
  <c r="T132" i="3"/>
  <c r="T133" i="3" s="1"/>
  <c r="Z118" i="3"/>
  <c r="Y118" i="3"/>
  <c r="X118" i="3"/>
  <c r="W118" i="3"/>
  <c r="V118" i="3"/>
  <c r="U118" i="3"/>
  <c r="T118" i="3"/>
  <c r="Z113" i="3"/>
  <c r="Y113" i="3"/>
  <c r="X113" i="3"/>
  <c r="W113" i="3"/>
  <c r="V113" i="3"/>
  <c r="U113" i="3"/>
  <c r="T113" i="3"/>
  <c r="X112" i="3"/>
  <c r="V112" i="3"/>
  <c r="U112" i="3"/>
  <c r="T112" i="3"/>
  <c r="Z111" i="3"/>
  <c r="Y111" i="3"/>
  <c r="X111" i="3"/>
  <c r="W111" i="3"/>
  <c r="V111" i="3"/>
  <c r="U111" i="3"/>
  <c r="T111" i="3"/>
  <c r="Z109" i="3"/>
  <c r="Y109" i="3"/>
  <c r="X109" i="3"/>
  <c r="W109" i="3"/>
  <c r="V109" i="3"/>
  <c r="U109" i="3"/>
  <c r="T109" i="3"/>
  <c r="X104" i="3"/>
  <c r="V104" i="3"/>
  <c r="U104" i="3"/>
  <c r="T104" i="3"/>
  <c r="Z103" i="3"/>
  <c r="Y103" i="3"/>
  <c r="X103" i="3"/>
  <c r="W103" i="3"/>
  <c r="V103" i="3"/>
  <c r="U103" i="3"/>
  <c r="T103" i="3"/>
  <c r="V99" i="3"/>
  <c r="U99" i="3"/>
  <c r="T99" i="3"/>
  <c r="V98" i="3"/>
  <c r="U98" i="3"/>
  <c r="T98" i="3"/>
  <c r="Z97" i="3"/>
  <c r="Y97" i="3"/>
  <c r="X97" i="3"/>
  <c r="W97" i="3"/>
  <c r="V97" i="3"/>
  <c r="U97" i="3"/>
  <c r="T97" i="3"/>
  <c r="Z95" i="3"/>
  <c r="Y95" i="3"/>
  <c r="X95" i="3"/>
  <c r="W95" i="3"/>
  <c r="V95" i="3"/>
  <c r="U95" i="3"/>
  <c r="T95" i="3"/>
  <c r="Z94" i="3"/>
  <c r="Y94" i="3"/>
  <c r="X94" i="3"/>
  <c r="W94" i="3"/>
  <c r="V94" i="3"/>
  <c r="U94" i="3"/>
  <c r="T94" i="3"/>
  <c r="Z93" i="3"/>
  <c r="Y93" i="3"/>
  <c r="X93" i="3"/>
  <c r="W93" i="3"/>
  <c r="V93" i="3"/>
  <c r="U93" i="3"/>
  <c r="T93" i="3"/>
  <c r="Z90" i="3"/>
  <c r="Y90" i="3"/>
  <c r="X90" i="3"/>
  <c r="W90" i="3"/>
  <c r="V90" i="3"/>
  <c r="U90" i="3"/>
  <c r="T90" i="3"/>
  <c r="X84" i="3"/>
  <c r="X107" i="3" s="1"/>
  <c r="V84" i="3"/>
  <c r="V107" i="3" s="1"/>
  <c r="U84" i="3"/>
  <c r="U107" i="3" s="1"/>
  <c r="T84" i="3"/>
  <c r="T107" i="3" s="1"/>
  <c r="Z83" i="3"/>
  <c r="Y83" i="3"/>
  <c r="X83" i="3"/>
  <c r="W83" i="3"/>
  <c r="V83" i="3"/>
  <c r="U83" i="3"/>
  <c r="T83" i="3"/>
  <c r="Z78" i="3"/>
  <c r="Y78" i="3"/>
  <c r="X78" i="3"/>
  <c r="W78" i="3"/>
  <c r="V78" i="3"/>
  <c r="U78" i="3"/>
  <c r="T78" i="3"/>
  <c r="Z76" i="3"/>
  <c r="Z79" i="3" s="1"/>
  <c r="Z154" i="3" s="1"/>
  <c r="Z155" i="3" s="1"/>
  <c r="Y76" i="3"/>
  <c r="Y79" i="3" s="1"/>
  <c r="Y154" i="3" s="1"/>
  <c r="Y155" i="3" s="1"/>
  <c r="X76" i="3"/>
  <c r="X79" i="3" s="1"/>
  <c r="X154" i="3" s="1"/>
  <c r="X155" i="3" s="1"/>
  <c r="W76" i="3"/>
  <c r="W79" i="3" s="1"/>
  <c r="W154" i="3" s="1"/>
  <c r="W155" i="3" s="1"/>
  <c r="V76" i="3"/>
  <c r="V79" i="3" s="1"/>
  <c r="V154" i="3" s="1"/>
  <c r="V155" i="3" s="1"/>
  <c r="U76" i="3"/>
  <c r="U79" i="3" s="1"/>
  <c r="U154" i="3" s="1"/>
  <c r="U155" i="3" s="1"/>
  <c r="T76" i="3"/>
  <c r="T79" i="3" s="1"/>
  <c r="T154" i="3" s="1"/>
  <c r="Z59" i="3"/>
  <c r="Y59" i="3"/>
  <c r="X59" i="3"/>
  <c r="W59" i="3"/>
  <c r="V59" i="3"/>
  <c r="U59" i="3"/>
  <c r="T59" i="3"/>
  <c r="Z44" i="3"/>
  <c r="Z72" i="3" s="1"/>
  <c r="Y44" i="3"/>
  <c r="Y72" i="3" s="1"/>
  <c r="X44" i="3"/>
  <c r="X72" i="3" s="1"/>
  <c r="W44" i="3"/>
  <c r="W72" i="3" s="1"/>
  <c r="V44" i="3"/>
  <c r="V72" i="3" s="1"/>
  <c r="U44" i="3"/>
  <c r="U72" i="3" s="1"/>
  <c r="T44" i="3"/>
  <c r="T72" i="3" s="1"/>
  <c r="Z43" i="3"/>
  <c r="Y43" i="3"/>
  <c r="X43" i="3"/>
  <c r="W43" i="3"/>
  <c r="V43" i="3"/>
  <c r="U43" i="3"/>
  <c r="T43" i="3"/>
  <c r="Z37" i="3"/>
  <c r="Y37" i="3"/>
  <c r="X37" i="3"/>
  <c r="W37" i="3"/>
  <c r="V37" i="3"/>
  <c r="U37" i="3"/>
  <c r="T37" i="3"/>
  <c r="Z30" i="3"/>
  <c r="Z108" i="3" s="1"/>
  <c r="Y30" i="3"/>
  <c r="Y108" i="3" s="1"/>
  <c r="X30" i="3"/>
  <c r="X108" i="3" s="1"/>
  <c r="W30" i="3"/>
  <c r="W108" i="3" s="1"/>
  <c r="V30" i="3"/>
  <c r="V108" i="3" s="1"/>
  <c r="U30" i="3"/>
  <c r="U108" i="3" s="1"/>
  <c r="T30" i="3"/>
  <c r="T108" i="3" s="1"/>
  <c r="X27" i="3"/>
  <c r="V27" i="3"/>
  <c r="U27" i="3"/>
  <c r="T27" i="3"/>
  <c r="X25" i="3"/>
  <c r="V25" i="3"/>
  <c r="U25" i="3"/>
  <c r="T25" i="3"/>
  <c r="Z23" i="3"/>
  <c r="Y23" i="3"/>
  <c r="X23" i="3"/>
  <c r="W23" i="3"/>
  <c r="V23" i="3"/>
  <c r="U23" i="3"/>
  <c r="T23" i="3"/>
  <c r="Z21" i="3"/>
  <c r="Y21" i="3"/>
  <c r="X21" i="3"/>
  <c r="W21" i="3"/>
  <c r="V21" i="3"/>
  <c r="U21" i="3"/>
  <c r="T21" i="3"/>
  <c r="Z19" i="3"/>
  <c r="Y19" i="3"/>
  <c r="W19" i="3"/>
  <c r="Z16" i="3"/>
  <c r="Z84" i="3" s="1"/>
  <c r="Z107" i="3" s="1"/>
  <c r="Y16" i="3"/>
  <c r="W16" i="3"/>
  <c r="Z15" i="3"/>
  <c r="Y15" i="3"/>
  <c r="W15" i="3"/>
  <c r="Z14" i="3"/>
  <c r="Y14" i="3"/>
  <c r="X14" i="3"/>
  <c r="W14" i="3"/>
  <c r="V14" i="3"/>
  <c r="U14" i="3"/>
  <c r="T14" i="3"/>
  <c r="Z12" i="3"/>
  <c r="Y12" i="3"/>
  <c r="Z96" i="3" s="1"/>
  <c r="X12" i="3"/>
  <c r="Y96" i="3" s="1"/>
  <c r="W12" i="3"/>
  <c r="X96" i="3" s="1"/>
  <c r="V12" i="3"/>
  <c r="W96" i="3" s="1"/>
  <c r="U12" i="3"/>
  <c r="V96" i="3" s="1"/>
  <c r="T12" i="3"/>
  <c r="Z6" i="3"/>
  <c r="Y6" i="3"/>
  <c r="X6" i="3"/>
  <c r="W6" i="3"/>
  <c r="V6" i="3"/>
  <c r="U6" i="3"/>
  <c r="T6" i="3"/>
  <c r="G94" i="17"/>
  <c r="F94" i="17"/>
  <c r="E94" i="17"/>
  <c r="D94" i="17"/>
  <c r="C94" i="17"/>
  <c r="G91" i="17"/>
  <c r="F91" i="17"/>
  <c r="E91" i="17"/>
  <c r="D91" i="17"/>
  <c r="G90" i="17"/>
  <c r="F90" i="17"/>
  <c r="E90" i="17"/>
  <c r="D90" i="17"/>
  <c r="C91" i="17"/>
  <c r="C90" i="17"/>
  <c r="G89" i="17"/>
  <c r="F89" i="17"/>
  <c r="E89" i="17"/>
  <c r="D89" i="17"/>
  <c r="G88" i="17"/>
  <c r="F88" i="17"/>
  <c r="E88" i="17"/>
  <c r="D88" i="17"/>
  <c r="C89" i="17"/>
  <c r="C88" i="17"/>
  <c r="J70" i="20"/>
  <c r="I70" i="20"/>
  <c r="H70" i="20"/>
  <c r="G70" i="20"/>
  <c r="F70" i="20"/>
  <c r="E70" i="20"/>
  <c r="D70" i="20"/>
  <c r="I69" i="20"/>
  <c r="H69" i="20"/>
  <c r="G69" i="20"/>
  <c r="F69" i="20"/>
  <c r="E69" i="20"/>
  <c r="D69" i="20"/>
  <c r="J68" i="20"/>
  <c r="I68" i="20"/>
  <c r="H68" i="20"/>
  <c r="G68" i="20"/>
  <c r="F68" i="20"/>
  <c r="E68" i="20"/>
  <c r="D68" i="20"/>
  <c r="J67" i="20"/>
  <c r="I67" i="20"/>
  <c r="H67" i="20"/>
  <c r="G67" i="20"/>
  <c r="F67" i="20"/>
  <c r="E67" i="20"/>
  <c r="D67" i="20"/>
  <c r="J66" i="20"/>
  <c r="I66" i="20"/>
  <c r="H66" i="20"/>
  <c r="G66" i="20"/>
  <c r="F66" i="20"/>
  <c r="E66" i="20"/>
  <c r="D66" i="20"/>
  <c r="C70" i="20"/>
  <c r="C69" i="20"/>
  <c r="C68" i="20"/>
  <c r="C67" i="20"/>
  <c r="C66" i="20"/>
  <c r="B70" i="20"/>
  <c r="B69" i="20"/>
  <c r="B68" i="20"/>
  <c r="B67" i="20"/>
  <c r="B66" i="20"/>
  <c r="B65" i="20"/>
  <c r="B64" i="20"/>
  <c r="B63" i="20"/>
  <c r="W15" i="6"/>
  <c r="V15" i="6"/>
  <c r="U15" i="6"/>
  <c r="T15" i="6"/>
  <c r="S15" i="6"/>
  <c r="R15" i="6"/>
  <c r="Q15" i="6"/>
  <c r="W14" i="6"/>
  <c r="V14" i="6"/>
  <c r="U14" i="6"/>
  <c r="T14" i="6"/>
  <c r="S14" i="6"/>
  <c r="R14" i="6"/>
  <c r="Q14" i="6"/>
  <c r="P15" i="6"/>
  <c r="P26" i="6" s="1"/>
  <c r="P14" i="6"/>
  <c r="V26" i="6"/>
  <c r="T26" i="6"/>
  <c r="S26" i="6"/>
  <c r="R26" i="6"/>
  <c r="Q26" i="6"/>
  <c r="G26" i="6"/>
  <c r="F26" i="6"/>
  <c r="E26" i="6"/>
  <c r="D26" i="6"/>
  <c r="C26" i="6"/>
  <c r="G25" i="6"/>
  <c r="F25" i="6"/>
  <c r="E25" i="6"/>
  <c r="D25" i="6"/>
  <c r="C25" i="6"/>
  <c r="G15" i="6"/>
  <c r="F15" i="6"/>
  <c r="E15" i="6"/>
  <c r="D15" i="6"/>
  <c r="G14" i="6"/>
  <c r="F14" i="6"/>
  <c r="E14" i="6"/>
  <c r="D14" i="6"/>
  <c r="C15" i="6"/>
  <c r="B15" i="6"/>
  <c r="B14" i="6"/>
  <c r="C14" i="6"/>
  <c r="AA212" i="3"/>
  <c r="AA211" i="3"/>
  <c r="Q212" i="3"/>
  <c r="P212" i="3"/>
  <c r="O212" i="3"/>
  <c r="N212" i="3"/>
  <c r="Q211" i="3"/>
  <c r="P211" i="3"/>
  <c r="O211" i="3"/>
  <c r="N211" i="3"/>
  <c r="M212" i="3"/>
  <c r="M211" i="3"/>
  <c r="B212" i="3"/>
  <c r="B211" i="3"/>
  <c r="AC198" i="3"/>
  <c r="AC197" i="3"/>
  <c r="Z13" i="5"/>
  <c r="Y13" i="5"/>
  <c r="X13" i="5"/>
  <c r="W13" i="5"/>
  <c r="V13" i="5"/>
  <c r="U13" i="5"/>
  <c r="T13" i="5"/>
  <c r="S13" i="5"/>
  <c r="Z11" i="5"/>
  <c r="Y11" i="5"/>
  <c r="X11" i="5"/>
  <c r="W11" i="5"/>
  <c r="V11" i="5"/>
  <c r="U11" i="5"/>
  <c r="T11" i="5"/>
  <c r="S11" i="5"/>
  <c r="Z10" i="5"/>
  <c r="Y10" i="5"/>
  <c r="X10" i="5"/>
  <c r="W10" i="5"/>
  <c r="V10" i="5"/>
  <c r="U10" i="5"/>
  <c r="T10" i="5"/>
  <c r="S10" i="5"/>
  <c r="Z9" i="5"/>
  <c r="Y9" i="5"/>
  <c r="X9" i="5"/>
  <c r="W9" i="5"/>
  <c r="V9" i="5"/>
  <c r="U9" i="5"/>
  <c r="T9" i="5"/>
  <c r="S9" i="5"/>
  <c r="G13" i="5"/>
  <c r="F13" i="5"/>
  <c r="E13" i="5"/>
  <c r="D13" i="5"/>
  <c r="C13" i="5"/>
  <c r="G11" i="5"/>
  <c r="F11" i="5"/>
  <c r="E11" i="5"/>
  <c r="D11" i="5"/>
  <c r="C11" i="5"/>
  <c r="G10" i="5"/>
  <c r="F10" i="5"/>
  <c r="E10" i="5"/>
  <c r="D10" i="5"/>
  <c r="C10" i="5"/>
  <c r="G9" i="5"/>
  <c r="F9" i="5"/>
  <c r="E9" i="5"/>
  <c r="D9" i="5"/>
  <c r="C9" i="5"/>
  <c r="B13" i="5"/>
  <c r="B12" i="5"/>
  <c r="B11" i="5"/>
  <c r="B10" i="5"/>
  <c r="B9" i="5"/>
  <c r="L80" i="19"/>
  <c r="K80" i="19"/>
  <c r="J80" i="19"/>
  <c r="I80" i="19"/>
  <c r="H80" i="19"/>
  <c r="G80" i="19"/>
  <c r="F80" i="19"/>
  <c r="E80" i="19"/>
  <c r="D80" i="19"/>
  <c r="C80" i="19"/>
  <c r="G79" i="19"/>
  <c r="F79" i="19"/>
  <c r="E79" i="19"/>
  <c r="D79" i="19"/>
  <c r="C79" i="19"/>
  <c r="L78" i="19"/>
  <c r="K78" i="19"/>
  <c r="J78" i="19"/>
  <c r="I78" i="19"/>
  <c r="H78" i="19"/>
  <c r="G78" i="19"/>
  <c r="F78" i="19"/>
  <c r="E78" i="19"/>
  <c r="D78" i="19"/>
  <c r="C78" i="19"/>
  <c r="L77" i="19"/>
  <c r="K77" i="19"/>
  <c r="J77" i="19"/>
  <c r="I77" i="19"/>
  <c r="H77" i="19"/>
  <c r="G77" i="19"/>
  <c r="F77" i="19"/>
  <c r="E77" i="19"/>
  <c r="D77" i="19"/>
  <c r="C77" i="19"/>
  <c r="L76" i="19"/>
  <c r="K76" i="19"/>
  <c r="J76" i="19"/>
  <c r="I76" i="19"/>
  <c r="H76" i="19"/>
  <c r="G76" i="19"/>
  <c r="F76" i="19"/>
  <c r="E76" i="19"/>
  <c r="D76" i="19"/>
  <c r="C76" i="19"/>
  <c r="L75" i="19"/>
  <c r="K75" i="19"/>
  <c r="J75" i="19"/>
  <c r="I75" i="19"/>
  <c r="H75" i="19"/>
  <c r="G75" i="19"/>
  <c r="F75" i="19"/>
  <c r="E75" i="19"/>
  <c r="D75" i="19"/>
  <c r="B80" i="19"/>
  <c r="B79" i="19"/>
  <c r="B78" i="19"/>
  <c r="B77" i="19"/>
  <c r="B76" i="19"/>
  <c r="B74" i="19"/>
  <c r="B73" i="19"/>
  <c r="B75" i="19"/>
  <c r="G38" i="18"/>
  <c r="F38" i="18"/>
  <c r="D38" i="18"/>
  <c r="C38" i="18"/>
  <c r="G34" i="18"/>
  <c r="F34" i="18"/>
  <c r="F35" i="18" s="1"/>
  <c r="D34" i="18"/>
  <c r="C34" i="18"/>
  <c r="G32" i="18"/>
  <c r="F32" i="18"/>
  <c r="D32" i="18"/>
  <c r="C32" i="18"/>
  <c r="G30" i="18"/>
  <c r="F30" i="18"/>
  <c r="D30" i="18"/>
  <c r="C30" i="18"/>
  <c r="AA136" i="3"/>
  <c r="AA209" i="3"/>
  <c r="AA207" i="3"/>
  <c r="AA206" i="3"/>
  <c r="AA205" i="3"/>
  <c r="AC195" i="3"/>
  <c r="AA194" i="3"/>
  <c r="J69" i="20" s="1"/>
  <c r="AC191" i="3"/>
  <c r="Q209" i="3"/>
  <c r="G105" i="17" s="1"/>
  <c r="P209" i="3"/>
  <c r="F105" i="17" s="1"/>
  <c r="O209" i="3"/>
  <c r="E105" i="17" s="1"/>
  <c r="N209" i="3"/>
  <c r="D105" i="17" s="1"/>
  <c r="Q207" i="3"/>
  <c r="G103" i="17" s="1"/>
  <c r="P207" i="3"/>
  <c r="F103" i="17" s="1"/>
  <c r="O207" i="3"/>
  <c r="E103" i="17" s="1"/>
  <c r="N207" i="3"/>
  <c r="D103" i="17" s="1"/>
  <c r="Q206" i="3"/>
  <c r="G102" i="17" s="1"/>
  <c r="P206" i="3"/>
  <c r="F102" i="17" s="1"/>
  <c r="O206" i="3"/>
  <c r="E102" i="17" s="1"/>
  <c r="N206" i="3"/>
  <c r="D102" i="17" s="1"/>
  <c r="Q205" i="3"/>
  <c r="G101" i="17" s="1"/>
  <c r="P205" i="3"/>
  <c r="F101" i="17" s="1"/>
  <c r="O205" i="3"/>
  <c r="E101" i="17" s="1"/>
  <c r="N205" i="3"/>
  <c r="D101" i="17" s="1"/>
  <c r="M209" i="3"/>
  <c r="C105" i="17" s="1"/>
  <c r="M207" i="3"/>
  <c r="C103" i="17" s="1"/>
  <c r="M206" i="3"/>
  <c r="C102" i="17" s="1"/>
  <c r="M205" i="3"/>
  <c r="C101" i="17" s="1"/>
  <c r="B209" i="3"/>
  <c r="B208" i="3"/>
  <c r="B207" i="3"/>
  <c r="B206" i="3"/>
  <c r="B205" i="3"/>
  <c r="B204" i="3"/>
  <c r="B203" i="3"/>
  <c r="B202" i="3"/>
  <c r="P194" i="3"/>
  <c r="O194" i="3"/>
  <c r="N194" i="3"/>
  <c r="M194" i="3"/>
  <c r="Q194" i="3"/>
  <c r="M59" i="3"/>
  <c r="N59" i="3"/>
  <c r="O59" i="3"/>
  <c r="P59" i="3"/>
  <c r="Q59" i="3"/>
  <c r="M30" i="3"/>
  <c r="N30" i="3"/>
  <c r="O44" i="3"/>
  <c r="O43" i="3" s="1"/>
  <c r="N44" i="3"/>
  <c r="N43" i="3" s="1"/>
  <c r="M44" i="3"/>
  <c r="M43" i="3" s="1"/>
  <c r="O30" i="3"/>
  <c r="P44" i="3"/>
  <c r="P43" i="3" s="1"/>
  <c r="P30" i="3"/>
  <c r="Q44" i="3"/>
  <c r="Q43" i="3" s="1"/>
  <c r="Q30" i="3"/>
  <c r="AA44" i="3"/>
  <c r="C8" i="18"/>
  <c r="AA84" i="3"/>
  <c r="AA12" i="3"/>
  <c r="AC11" i="3"/>
  <c r="Q26" i="3"/>
  <c r="Q27" i="3" s="1"/>
  <c r="G6" i="21" s="1"/>
  <c r="Q24" i="3"/>
  <c r="Q25" i="3" s="1"/>
  <c r="N19" i="3"/>
  <c r="N16" i="3"/>
  <c r="N15" i="3"/>
  <c r="M19" i="3"/>
  <c r="H67" i="19" s="1"/>
  <c r="M16" i="3"/>
  <c r="M98" i="3" s="1"/>
  <c r="M15" i="3"/>
  <c r="M14" i="3"/>
  <c r="M150" i="3" s="1"/>
  <c r="N14" i="3"/>
  <c r="N150" i="3" s="1"/>
  <c r="M12" i="3"/>
  <c r="N12" i="3"/>
  <c r="M6" i="3"/>
  <c r="N6" i="3"/>
  <c r="O14" i="3"/>
  <c r="O150" i="3" s="1"/>
  <c r="P14" i="3"/>
  <c r="P150" i="3" s="1"/>
  <c r="Q14" i="3"/>
  <c r="Q150" i="3" s="1"/>
  <c r="P12" i="3"/>
  <c r="O12" i="3"/>
  <c r="Q12" i="3"/>
  <c r="O6" i="3"/>
  <c r="P6" i="3"/>
  <c r="Q6" i="3"/>
  <c r="Q7" i="3" s="1"/>
  <c r="I13" i="1"/>
  <c r="H7" i="1"/>
  <c r="H6" i="1"/>
  <c r="AA118" i="3"/>
  <c r="L5" i="21"/>
  <c r="K5" i="21"/>
  <c r="J5" i="21"/>
  <c r="I5" i="21"/>
  <c r="H5" i="21"/>
  <c r="G5" i="21"/>
  <c r="F5" i="21"/>
  <c r="E5" i="21"/>
  <c r="D5" i="21"/>
  <c r="C5" i="21"/>
  <c r="P27" i="3"/>
  <c r="F6" i="21" s="1"/>
  <c r="P25" i="3"/>
  <c r="AA111" i="3"/>
  <c r="H86" i="19"/>
  <c r="G86" i="19"/>
  <c r="F86" i="19"/>
  <c r="E86" i="19"/>
  <c r="D86" i="19"/>
  <c r="C86" i="19"/>
  <c r="H85" i="19"/>
  <c r="G85" i="19"/>
  <c r="F85" i="19"/>
  <c r="E85" i="19"/>
  <c r="D85" i="19"/>
  <c r="C85" i="19"/>
  <c r="H84" i="19"/>
  <c r="G84" i="19"/>
  <c r="F84" i="19"/>
  <c r="E84" i="19"/>
  <c r="D84" i="19"/>
  <c r="C84" i="19"/>
  <c r="Q181" i="3"/>
  <c r="P181" i="3"/>
  <c r="O181" i="3"/>
  <c r="N181" i="3"/>
  <c r="M181" i="3"/>
  <c r="AC35" i="3"/>
  <c r="Q221" i="3"/>
  <c r="L85" i="19" s="1"/>
  <c r="P221" i="3"/>
  <c r="K85" i="19" s="1"/>
  <c r="O221" i="3"/>
  <c r="J85" i="19" s="1"/>
  <c r="N221" i="3"/>
  <c r="I85" i="19" s="1"/>
  <c r="G10" i="16"/>
  <c r="Q118" i="3"/>
  <c r="P118" i="3"/>
  <c r="O118" i="3"/>
  <c r="N118" i="3"/>
  <c r="M118" i="3"/>
  <c r="F26" i="1" a="1"/>
  <c r="J65" i="20"/>
  <c r="I65" i="20"/>
  <c r="G65" i="20"/>
  <c r="F65" i="20"/>
  <c r="E65" i="20"/>
  <c r="D65" i="20"/>
  <c r="J64" i="20"/>
  <c r="I64" i="20"/>
  <c r="G64" i="20"/>
  <c r="F64" i="20"/>
  <c r="E64" i="20"/>
  <c r="D64" i="20"/>
  <c r="J63" i="20"/>
  <c r="I63" i="20"/>
  <c r="G63" i="20"/>
  <c r="F63" i="20"/>
  <c r="E63" i="20"/>
  <c r="D63" i="20"/>
  <c r="C65" i="20"/>
  <c r="C64" i="20"/>
  <c r="C63"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83" i="19"/>
  <c r="F83" i="19"/>
  <c r="E83" i="19"/>
  <c r="D83" i="19"/>
  <c r="C83" i="19"/>
  <c r="G82" i="19"/>
  <c r="F82" i="19"/>
  <c r="E82" i="19"/>
  <c r="D82" i="19"/>
  <c r="C82" i="19"/>
  <c r="G81" i="19"/>
  <c r="F81" i="19"/>
  <c r="E81" i="19"/>
  <c r="D81" i="19"/>
  <c r="C81" i="19"/>
  <c r="C75" i="19"/>
  <c r="L74" i="19"/>
  <c r="K74" i="19"/>
  <c r="J74" i="19"/>
  <c r="I74" i="19"/>
  <c r="H74" i="19"/>
  <c r="G74" i="19"/>
  <c r="F74" i="19"/>
  <c r="E74" i="19"/>
  <c r="D74" i="19"/>
  <c r="C74" i="19"/>
  <c r="L73" i="19"/>
  <c r="K73" i="19"/>
  <c r="J73" i="19"/>
  <c r="I73" i="19"/>
  <c r="H73" i="19"/>
  <c r="G73" i="19"/>
  <c r="F73" i="19"/>
  <c r="E73" i="19"/>
  <c r="D73" i="19"/>
  <c r="C73" i="19"/>
  <c r="G72" i="19"/>
  <c r="F72" i="19"/>
  <c r="E72" i="19"/>
  <c r="D72" i="19"/>
  <c r="G71" i="19"/>
  <c r="F71" i="19"/>
  <c r="E71" i="19"/>
  <c r="D71" i="19"/>
  <c r="G70" i="19"/>
  <c r="F70" i="19"/>
  <c r="E70" i="19"/>
  <c r="D70" i="19"/>
  <c r="C72" i="19"/>
  <c r="C71" i="19"/>
  <c r="C70" i="19"/>
  <c r="G69" i="19"/>
  <c r="F69" i="19"/>
  <c r="E69" i="19"/>
  <c r="D69" i="19"/>
  <c r="G68" i="19"/>
  <c r="F68" i="19"/>
  <c r="E68" i="19"/>
  <c r="D68" i="19"/>
  <c r="C69" i="19"/>
  <c r="C68" i="19"/>
  <c r="L67" i="19"/>
  <c r="K67" i="19"/>
  <c r="J67" i="19"/>
  <c r="G67" i="19"/>
  <c r="F67" i="19"/>
  <c r="E67" i="19"/>
  <c r="D67" i="19"/>
  <c r="C67" i="19"/>
  <c r="L66" i="19"/>
  <c r="K66" i="19"/>
  <c r="J66" i="19"/>
  <c r="I66" i="19"/>
  <c r="H66" i="19"/>
  <c r="G66" i="19"/>
  <c r="F66" i="19"/>
  <c r="E66" i="19"/>
  <c r="D66" i="19"/>
  <c r="C66" i="19"/>
  <c r="L65" i="19"/>
  <c r="K65" i="19"/>
  <c r="J65" i="19"/>
  <c r="I65" i="19"/>
  <c r="H65" i="19"/>
  <c r="G65" i="19"/>
  <c r="F65" i="19"/>
  <c r="E65" i="19"/>
  <c r="D65" i="19"/>
  <c r="C65" i="19"/>
  <c r="H64" i="19"/>
  <c r="G64" i="19"/>
  <c r="F64" i="19"/>
  <c r="E64" i="19"/>
  <c r="D64" i="19"/>
  <c r="L63" i="19"/>
  <c r="K63" i="19"/>
  <c r="J63" i="19"/>
  <c r="I63" i="19"/>
  <c r="H63" i="19"/>
  <c r="G63" i="19"/>
  <c r="F63" i="19"/>
  <c r="E63" i="19"/>
  <c r="D63" i="19"/>
  <c r="C64" i="19"/>
  <c r="C63" i="19"/>
  <c r="G7" i="16"/>
  <c r="L72" i="3"/>
  <c r="K72" i="3"/>
  <c r="J72" i="3"/>
  <c r="I72" i="3"/>
  <c r="H72" i="3"/>
  <c r="G72" i="3"/>
  <c r="F72" i="3"/>
  <c r="E72" i="3"/>
  <c r="D72" i="3"/>
  <c r="C72" i="3"/>
  <c r="Q216" i="3"/>
  <c r="P216" i="3"/>
  <c r="O216" i="3"/>
  <c r="N216" i="3"/>
  <c r="M216" i="3"/>
  <c r="AC85" i="3"/>
  <c r="AC46" i="3"/>
  <c r="AC66" i="3"/>
  <c r="AA113" i="3"/>
  <c r="Q113" i="3"/>
  <c r="P113" i="3"/>
  <c r="O113" i="3"/>
  <c r="N113" i="3"/>
  <c r="M113" i="3"/>
  <c r="AC49" i="3"/>
  <c r="Q112" i="3"/>
  <c r="P112" i="3"/>
  <c r="O112" i="3"/>
  <c r="AC18" i="3"/>
  <c r="C13" i="10"/>
  <c r="C12" i="10"/>
  <c r="C11" i="10"/>
  <c r="G29" i="7"/>
  <c r="F29" i="7"/>
  <c r="E29" i="7"/>
  <c r="D29" i="7"/>
  <c r="C29" i="7"/>
  <c r="AC57" i="3"/>
  <c r="G14" i="7"/>
  <c r="F14" i="7"/>
  <c r="E14" i="7"/>
  <c r="D14" i="7"/>
  <c r="C14" i="7"/>
  <c r="AA109" i="3"/>
  <c r="AC109" i="3" s="1"/>
  <c r="Q109" i="3"/>
  <c r="P109" i="3"/>
  <c r="O109" i="3"/>
  <c r="E31" i="12" s="1"/>
  <c r="N109" i="3"/>
  <c r="D31" i="12" s="1"/>
  <c r="M109" i="3"/>
  <c r="AC40" i="3"/>
  <c r="AA78" i="3"/>
  <c r="H9" i="1"/>
  <c r="H8" i="1"/>
  <c r="H5" i="1"/>
  <c r="H4" i="1"/>
  <c r="H3" i="1"/>
  <c r="G28" i="18"/>
  <c r="F28" i="18"/>
  <c r="D28" i="18"/>
  <c r="C28" i="18"/>
  <c r="G26" i="18"/>
  <c r="F26" i="18"/>
  <c r="D26" i="18"/>
  <c r="C26" i="18"/>
  <c r="G24" i="18"/>
  <c r="F24" i="18"/>
  <c r="D24" i="18"/>
  <c r="C24" i="18"/>
  <c r="AA204" i="3"/>
  <c r="AA203" i="3"/>
  <c r="AA202" i="3"/>
  <c r="F16" i="18"/>
  <c r="G14" i="18"/>
  <c r="F14" i="18"/>
  <c r="D14" i="18"/>
  <c r="C14" i="18"/>
  <c r="G6" i="18"/>
  <c r="F6" i="18"/>
  <c r="D6" i="18"/>
  <c r="C6" i="18"/>
  <c r="G5" i="18"/>
  <c r="G4" i="18"/>
  <c r="F5" i="18"/>
  <c r="F4" i="18"/>
  <c r="D5" i="18"/>
  <c r="D4" i="18"/>
  <c r="C5" i="18"/>
  <c r="C4" i="18"/>
  <c r="Q204" i="3"/>
  <c r="P204" i="3"/>
  <c r="O204" i="3"/>
  <c r="N204" i="3"/>
  <c r="M204" i="3"/>
  <c r="Q203" i="3"/>
  <c r="P203" i="3"/>
  <c r="O203" i="3"/>
  <c r="N203" i="3"/>
  <c r="M203" i="3"/>
  <c r="Q202" i="3"/>
  <c r="P202" i="3"/>
  <c r="O202" i="3"/>
  <c r="N202" i="3"/>
  <c r="M202" i="3"/>
  <c r="G22" i="17"/>
  <c r="F22" i="17"/>
  <c r="E22" i="17"/>
  <c r="D22" i="17"/>
  <c r="C22" i="17"/>
  <c r="G21" i="17"/>
  <c r="F21" i="17"/>
  <c r="E21" i="17"/>
  <c r="G6" i="17"/>
  <c r="F6" i="17"/>
  <c r="E6" i="17"/>
  <c r="D6" i="17"/>
  <c r="C6" i="17"/>
  <c r="I3" i="17"/>
  <c r="C3" i="17"/>
  <c r="G2" i="17"/>
  <c r="F2" i="17"/>
  <c r="E2" i="17"/>
  <c r="D2" i="17"/>
  <c r="C2" i="17"/>
  <c r="Q111" i="3"/>
  <c r="G45" i="7" s="1"/>
  <c r="P111" i="3"/>
  <c r="F45" i="7" s="1"/>
  <c r="O111" i="3"/>
  <c r="E45" i="7" s="1"/>
  <c r="N111" i="3"/>
  <c r="D45" i="7" s="1"/>
  <c r="M111" i="3"/>
  <c r="C45" i="7" s="1"/>
  <c r="AC32" i="3"/>
  <c r="AC65" i="3"/>
  <c r="AA175" i="3"/>
  <c r="Q175" i="3"/>
  <c r="P175" i="3"/>
  <c r="O175" i="3"/>
  <c r="N175" i="3"/>
  <c r="M175" i="3"/>
  <c r="AA174" i="3"/>
  <c r="Q174" i="3"/>
  <c r="P174" i="3"/>
  <c r="O174" i="3"/>
  <c r="N174" i="3"/>
  <c r="M174" i="3"/>
  <c r="AA149" i="3"/>
  <c r="Q149" i="3"/>
  <c r="P149" i="3"/>
  <c r="O149" i="3"/>
  <c r="N149" i="3"/>
  <c r="M149" i="3"/>
  <c r="G9" i="16"/>
  <c r="F6" i="16"/>
  <c r="G6" i="16"/>
  <c r="AC63" i="3"/>
  <c r="AC62" i="3"/>
  <c r="AC61" i="3"/>
  <c r="AC60" i="3"/>
  <c r="AC55" i="3"/>
  <c r="AC54" i="3"/>
  <c r="AC77" i="3"/>
  <c r="P78" i="3"/>
  <c r="O78" i="3"/>
  <c r="N78" i="3"/>
  <c r="M78" i="3"/>
  <c r="Q78" i="3"/>
  <c r="AA132"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9" i="6"/>
  <c r="V19" i="6"/>
  <c r="U19" i="6"/>
  <c r="T19" i="6"/>
  <c r="S19" i="6"/>
  <c r="R19" i="6"/>
  <c r="Q19" i="6"/>
  <c r="P19" i="6"/>
  <c r="W18" i="6"/>
  <c r="V18" i="6"/>
  <c r="U18" i="6"/>
  <c r="T18" i="6"/>
  <c r="S18" i="6"/>
  <c r="R18" i="6"/>
  <c r="Q18" i="6"/>
  <c r="P18" i="6"/>
  <c r="W17" i="6"/>
  <c r="V17" i="6"/>
  <c r="U17" i="6"/>
  <c r="T17" i="6"/>
  <c r="S17" i="6"/>
  <c r="R17" i="6"/>
  <c r="Q17" i="6"/>
  <c r="P17" i="6"/>
  <c r="O20" i="6"/>
  <c r="O16" i="6"/>
  <c r="B31" i="6"/>
  <c r="B27" i="6"/>
  <c r="G19" i="6"/>
  <c r="F19" i="6"/>
  <c r="E19" i="6"/>
  <c r="D19" i="6"/>
  <c r="C19" i="6"/>
  <c r="G18" i="6"/>
  <c r="F18" i="6"/>
  <c r="E18" i="6"/>
  <c r="D18" i="6"/>
  <c r="C18" i="6"/>
  <c r="G17" i="6"/>
  <c r="F17" i="6"/>
  <c r="E17" i="6"/>
  <c r="D17" i="6"/>
  <c r="C17" i="6"/>
  <c r="B19" i="6"/>
  <c r="B18" i="6"/>
  <c r="B17" i="6"/>
  <c r="B5" i="6"/>
  <c r="Z24" i="6"/>
  <c r="Y24" i="6"/>
  <c r="X24" i="6"/>
  <c r="Z13" i="6"/>
  <c r="Y13" i="6"/>
  <c r="X13" i="6"/>
  <c r="Z8" i="5"/>
  <c r="AA8" i="5" s="1"/>
  <c r="Y8" i="5"/>
  <c r="W8" i="5"/>
  <c r="V8" i="5"/>
  <c r="U8" i="5"/>
  <c r="T8" i="5"/>
  <c r="S8" i="5"/>
  <c r="Z7" i="5"/>
  <c r="AA7" i="5" s="1"/>
  <c r="Y7" i="5"/>
  <c r="W7" i="5"/>
  <c r="V7" i="5"/>
  <c r="U7" i="5"/>
  <c r="T7" i="5"/>
  <c r="S7" i="5"/>
  <c r="Z6" i="5"/>
  <c r="Y6" i="5"/>
  <c r="V8" i="6" s="1"/>
  <c r="W6" i="5"/>
  <c r="T8" i="6" s="1"/>
  <c r="V6" i="5"/>
  <c r="S8" i="6" s="1"/>
  <c r="U6" i="5"/>
  <c r="R8" i="6" s="1"/>
  <c r="T6" i="5"/>
  <c r="Q8" i="6" s="1"/>
  <c r="S6" i="5"/>
  <c r="P8" i="6" s="1"/>
  <c r="Z14" i="5"/>
  <c r="Y14" i="5"/>
  <c r="X14" i="5"/>
  <c r="W14" i="5"/>
  <c r="V14" i="5"/>
  <c r="U14" i="5"/>
  <c r="T14" i="5"/>
  <c r="S14" i="5"/>
  <c r="Z5" i="5"/>
  <c r="Y5" i="5"/>
  <c r="X5" i="5"/>
  <c r="W5" i="5"/>
  <c r="V5" i="5"/>
  <c r="U5" i="5"/>
  <c r="T5" i="5"/>
  <c r="S5" i="5"/>
  <c r="R5" i="5"/>
  <c r="G8" i="5"/>
  <c r="H8" i="5" s="1"/>
  <c r="I8" i="5" s="1"/>
  <c r="J8" i="5" s="1"/>
  <c r="K8" i="5" s="1"/>
  <c r="L8" i="5" s="1"/>
  <c r="F8" i="5"/>
  <c r="E8" i="5"/>
  <c r="D8" i="5"/>
  <c r="C8" i="5"/>
  <c r="G7" i="5"/>
  <c r="H7" i="5" s="1"/>
  <c r="F7" i="5"/>
  <c r="E7" i="5"/>
  <c r="D7" i="5"/>
  <c r="C7" i="5"/>
  <c r="G6" i="5"/>
  <c r="F6" i="5"/>
  <c r="F8" i="6" s="1"/>
  <c r="E6" i="5"/>
  <c r="E8" i="6" s="1"/>
  <c r="D6" i="5"/>
  <c r="D8" i="6" s="1"/>
  <c r="C6" i="5"/>
  <c r="C8" i="6" s="1"/>
  <c r="B8" i="5"/>
  <c r="B7" i="5"/>
  <c r="B6" i="5"/>
  <c r="G14" i="5"/>
  <c r="F14" i="5"/>
  <c r="E14" i="5"/>
  <c r="D14" i="5"/>
  <c r="C14" i="5"/>
  <c r="C5" i="5"/>
  <c r="R26" i="5"/>
  <c r="B26" i="5"/>
  <c r="AC17" i="5"/>
  <c r="AB17" i="5"/>
  <c r="AA17" i="5"/>
  <c r="O84" i="3"/>
  <c r="E15" i="8" s="1"/>
  <c r="L84" i="3"/>
  <c r="K84" i="3"/>
  <c r="J84" i="3"/>
  <c r="I84" i="3"/>
  <c r="H84" i="3"/>
  <c r="G84" i="3"/>
  <c r="F84" i="3"/>
  <c r="E84" i="3"/>
  <c r="D84" i="3"/>
  <c r="C84" i="3"/>
  <c r="P84" i="3"/>
  <c r="F15" i="8" s="1"/>
  <c r="Q84" i="3"/>
  <c r="G15" i="8" s="1"/>
  <c r="P125" i="3"/>
  <c r="O125" i="3"/>
  <c r="N125" i="3"/>
  <c r="M125" i="3"/>
  <c r="Q125" i="3"/>
  <c r="P123" i="3"/>
  <c r="O123" i="3"/>
  <c r="N123" i="3"/>
  <c r="M123" i="3"/>
  <c r="Q123" i="3"/>
  <c r="AC188" i="3"/>
  <c r="AA103" i="3"/>
  <c r="AC82" i="3"/>
  <c r="AA83" i="3"/>
  <c r="Q83" i="3"/>
  <c r="G7" i="21" s="1"/>
  <c r="P83" i="3"/>
  <c r="F7" i="21" s="1"/>
  <c r="O83" i="3"/>
  <c r="E7" i="21" s="1"/>
  <c r="N83" i="3"/>
  <c r="D7" i="21" s="1"/>
  <c r="M83" i="3"/>
  <c r="C7" i="21" s="1"/>
  <c r="AC51" i="3"/>
  <c r="AC50" i="3"/>
  <c r="AC48" i="3"/>
  <c r="AC47" i="3"/>
  <c r="AC45" i="3"/>
  <c r="AC42" i="3"/>
  <c r="AC41" i="3"/>
  <c r="AC39" i="3"/>
  <c r="AC38" i="3"/>
  <c r="AC36" i="3"/>
  <c r="AC34" i="3"/>
  <c r="AC33" i="3"/>
  <c r="AC31" i="3"/>
  <c r="AA37" i="3"/>
  <c r="M37" i="3"/>
  <c r="O37" i="3"/>
  <c r="N37" i="3"/>
  <c r="P37" i="3"/>
  <c r="Q37" i="3"/>
  <c r="AA97" i="3"/>
  <c r="AA95" i="3"/>
  <c r="AA94" i="3"/>
  <c r="AA93" i="3"/>
  <c r="AA90" i="3"/>
  <c r="AC22" i="3"/>
  <c r="AC20" i="3"/>
  <c r="AC17" i="3"/>
  <c r="AC13" i="3"/>
  <c r="AC10" i="3"/>
  <c r="AC9" i="3"/>
  <c r="AC8" i="3"/>
  <c r="AC5" i="3"/>
  <c r="AA23" i="3"/>
  <c r="AA21" i="3"/>
  <c r="Q103" i="3"/>
  <c r="P103" i="3"/>
  <c r="O103" i="3"/>
  <c r="N103" i="3"/>
  <c r="M103" i="3"/>
  <c r="Q99" i="3"/>
  <c r="P99" i="3"/>
  <c r="Q98" i="3"/>
  <c r="P98" i="3"/>
  <c r="Q97" i="3"/>
  <c r="P97" i="3"/>
  <c r="O97" i="3"/>
  <c r="N97" i="3"/>
  <c r="M97" i="3"/>
  <c r="Q95" i="3"/>
  <c r="P95" i="3"/>
  <c r="O95" i="3"/>
  <c r="N95" i="3"/>
  <c r="M95" i="3"/>
  <c r="Q94" i="3"/>
  <c r="P94" i="3"/>
  <c r="O94" i="3"/>
  <c r="N94" i="3"/>
  <c r="M94" i="3"/>
  <c r="Q93" i="3"/>
  <c r="P93" i="3"/>
  <c r="O93" i="3"/>
  <c r="N93" i="3"/>
  <c r="M93" i="3"/>
  <c r="Q90" i="3"/>
  <c r="P90" i="3"/>
  <c r="O90" i="3"/>
  <c r="N90" i="3"/>
  <c r="M90" i="3"/>
  <c r="O27" i="3"/>
  <c r="E6" i="21" s="1"/>
  <c r="O25" i="3"/>
  <c r="Q23" i="3"/>
  <c r="P23" i="3"/>
  <c r="O23" i="3"/>
  <c r="N23" i="3"/>
  <c r="M23" i="3"/>
  <c r="Q21" i="3"/>
  <c r="P21" i="3"/>
  <c r="O21" i="3"/>
  <c r="N21" i="3"/>
  <c r="M21" i="3"/>
  <c r="L23" i="3"/>
  <c r="K23" i="3"/>
  <c r="J23" i="3"/>
  <c r="I23" i="3"/>
  <c r="H23" i="3"/>
  <c r="G23" i="3"/>
  <c r="F23" i="3"/>
  <c r="E23" i="3"/>
  <c r="D23" i="3"/>
  <c r="C23" i="3"/>
  <c r="L21" i="3"/>
  <c r="K21" i="3"/>
  <c r="J21" i="3"/>
  <c r="I21" i="3"/>
  <c r="H21" i="3"/>
  <c r="G21" i="3"/>
  <c r="F21" i="3"/>
  <c r="E21" i="3"/>
  <c r="D21" i="3"/>
  <c r="C21" i="3"/>
  <c r="L7" i="3"/>
  <c r="K7" i="3"/>
  <c r="J7" i="3"/>
  <c r="I7" i="3"/>
  <c r="H7" i="3"/>
  <c r="G7" i="3"/>
  <c r="F7" i="3"/>
  <c r="E7" i="3"/>
  <c r="D7" i="3"/>
  <c r="C7" i="3"/>
  <c r="C8" i="1" a="1"/>
  <c r="C9" i="1" a="1"/>
  <c r="C10" i="1" a="1"/>
  <c r="C14" i="1" a="1"/>
  <c r="C13" i="1" a="1"/>
  <c r="C12" i="1" a="1"/>
  <c r="C11" i="1" a="1"/>
  <c r="C7" i="1" a="1"/>
  <c r="C6" i="1" a="1"/>
  <c r="C5" i="1" a="1"/>
  <c r="C4" i="1" a="1"/>
  <c r="U208" i="3" l="1"/>
  <c r="T208" i="3"/>
  <c r="Z146" i="3"/>
  <c r="Z147" i="3"/>
  <c r="Y146" i="3"/>
  <c r="Y147" i="3"/>
  <c r="X147" i="3"/>
  <c r="X146" i="3"/>
  <c r="W147" i="3"/>
  <c r="W146" i="3"/>
  <c r="V147" i="3"/>
  <c r="V146" i="3"/>
  <c r="U147" i="3"/>
  <c r="U146" i="3"/>
  <c r="T147" i="3"/>
  <c r="T146" i="3"/>
  <c r="Z173" i="3"/>
  <c r="Z176" i="3"/>
  <c r="Z148" i="3"/>
  <c r="Y148" i="3"/>
  <c r="Y173" i="3"/>
  <c r="Y176" i="3"/>
  <c r="X148" i="3"/>
  <c r="X173" i="3"/>
  <c r="X176" i="3"/>
  <c r="W148" i="3"/>
  <c r="W173" i="3"/>
  <c r="W176" i="3"/>
  <c r="V148" i="3"/>
  <c r="V173" i="3"/>
  <c r="V176" i="3"/>
  <c r="U148" i="3"/>
  <c r="U173" i="3"/>
  <c r="U176" i="3"/>
  <c r="T148" i="3"/>
  <c r="T173" i="3"/>
  <c r="T176" i="3"/>
  <c r="Z24" i="3"/>
  <c r="Z25" i="3" s="1"/>
  <c r="Z112" i="3"/>
  <c r="Z104" i="3" s="1"/>
  <c r="Z26" i="3"/>
  <c r="Z27" i="3" s="1"/>
  <c r="Y112" i="3"/>
  <c r="Y104" i="3" s="1"/>
  <c r="Z99" i="3"/>
  <c r="Y99" i="3"/>
  <c r="Y24" i="3"/>
  <c r="Y25" i="3" s="1"/>
  <c r="Y26" i="3"/>
  <c r="Y27" i="3" s="1"/>
  <c r="W26" i="3"/>
  <c r="W27" i="3" s="1"/>
  <c r="F20" i="18" s="1"/>
  <c r="W24" i="3"/>
  <c r="W25" i="3" s="1"/>
  <c r="W71" i="3"/>
  <c r="W112" i="3"/>
  <c r="W104" i="3" s="1"/>
  <c r="X99" i="3"/>
  <c r="W99" i="3"/>
  <c r="Y98" i="3"/>
  <c r="Z98" i="3"/>
  <c r="Y84" i="3"/>
  <c r="Y107" i="3" s="1"/>
  <c r="W98" i="3"/>
  <c r="X98" i="3"/>
  <c r="W84" i="3"/>
  <c r="W107" i="3" s="1"/>
  <c r="T96" i="3"/>
  <c r="U96" i="3"/>
  <c r="Z70" i="3"/>
  <c r="Z71" i="3" s="1"/>
  <c r="Z7" i="3"/>
  <c r="Z102" i="3" s="1"/>
  <c r="Z144" i="3"/>
  <c r="Z143" i="3"/>
  <c r="Z145" i="3" s="1"/>
  <c r="Y70" i="3"/>
  <c r="Y71" i="3" s="1"/>
  <c r="Y7" i="3"/>
  <c r="Z91" i="3"/>
  <c r="Y143" i="3"/>
  <c r="Y144" i="3"/>
  <c r="Y91" i="3"/>
  <c r="X144" i="3"/>
  <c r="X143" i="3"/>
  <c r="X145" i="3" s="1"/>
  <c r="X7" i="3"/>
  <c r="X70" i="3"/>
  <c r="X71" i="3" s="1"/>
  <c r="W144" i="3"/>
  <c r="W7" i="3"/>
  <c r="W143" i="3"/>
  <c r="W145" i="3" s="1"/>
  <c r="W70" i="3"/>
  <c r="X91" i="3"/>
  <c r="V7" i="3"/>
  <c r="V143" i="3"/>
  <c r="W91" i="3"/>
  <c r="V70" i="3"/>
  <c r="V71" i="3" s="1"/>
  <c r="V144" i="3"/>
  <c r="U144" i="3"/>
  <c r="U7" i="3"/>
  <c r="V91" i="3"/>
  <c r="U70" i="3"/>
  <c r="U71" i="3" s="1"/>
  <c r="U143" i="3"/>
  <c r="U145" i="3" s="1"/>
  <c r="T143" i="3"/>
  <c r="T70" i="3"/>
  <c r="T71" i="3" s="1"/>
  <c r="T91" i="3"/>
  <c r="U91" i="3"/>
  <c r="T144" i="3"/>
  <c r="T7" i="3"/>
  <c r="T155" i="3"/>
  <c r="P16" i="6"/>
  <c r="W23" i="5"/>
  <c r="V23" i="5"/>
  <c r="U23" i="5"/>
  <c r="T23" i="5"/>
  <c r="Y22" i="5"/>
  <c r="X22" i="5"/>
  <c r="W22" i="5"/>
  <c r="V22" i="5"/>
  <c r="U22" i="5"/>
  <c r="T22" i="5"/>
  <c r="Y21" i="5"/>
  <c r="X21" i="5"/>
  <c r="W21" i="5"/>
  <c r="V21" i="5"/>
  <c r="U21" i="5"/>
  <c r="T21" i="5"/>
  <c r="F25" i="5"/>
  <c r="E25" i="5"/>
  <c r="D25" i="5"/>
  <c r="F23" i="5"/>
  <c r="E23" i="5"/>
  <c r="D23" i="5"/>
  <c r="F22" i="5"/>
  <c r="E22" i="5"/>
  <c r="D22" i="5"/>
  <c r="F21" i="5"/>
  <c r="E21" i="5"/>
  <c r="D21" i="5"/>
  <c r="Y25" i="5"/>
  <c r="W25" i="5"/>
  <c r="V25" i="5"/>
  <c r="U25" i="5"/>
  <c r="T25" i="5"/>
  <c r="Y23" i="5"/>
  <c r="AA10" i="5"/>
  <c r="AE10" i="5" s="1"/>
  <c r="Z22" i="5"/>
  <c r="Z21" i="5"/>
  <c r="AA9" i="5"/>
  <c r="AE9" i="5" s="1"/>
  <c r="H13" i="5"/>
  <c r="I13" i="5" s="1"/>
  <c r="J13" i="5" s="1"/>
  <c r="K13" i="5" s="1"/>
  <c r="L13" i="5" s="1"/>
  <c r="G25" i="5"/>
  <c r="H11" i="5"/>
  <c r="I11" i="5" s="1"/>
  <c r="J11" i="5" s="1"/>
  <c r="K11" i="5" s="1"/>
  <c r="L11" i="5" s="1"/>
  <c r="G23" i="5"/>
  <c r="H10" i="5"/>
  <c r="I10" i="5" s="1"/>
  <c r="J10" i="5" s="1"/>
  <c r="K10" i="5" s="1"/>
  <c r="L10" i="5" s="1"/>
  <c r="G22" i="5"/>
  <c r="H9" i="5"/>
  <c r="I9" i="5" s="1"/>
  <c r="J9" i="5" s="1"/>
  <c r="K9" i="5" s="1"/>
  <c r="L9" i="5" s="1"/>
  <c r="G21" i="5"/>
  <c r="R13" i="5"/>
  <c r="R25" i="5" s="1"/>
  <c r="B25" i="5"/>
  <c r="Z25" i="5"/>
  <c r="AA13" i="5"/>
  <c r="X25" i="5"/>
  <c r="AE13" i="5"/>
  <c r="Z23" i="5"/>
  <c r="AA11" i="5"/>
  <c r="X23" i="5"/>
  <c r="AE11" i="5"/>
  <c r="X12" i="5"/>
  <c r="AA208" i="3"/>
  <c r="C36" i="18"/>
  <c r="Y12" i="5"/>
  <c r="W12" i="5"/>
  <c r="F36" i="18"/>
  <c r="V12" i="5"/>
  <c r="U12" i="5"/>
  <c r="T12" i="5"/>
  <c r="S12" i="5"/>
  <c r="P7" i="6" s="1"/>
  <c r="P25" i="6" s="1"/>
  <c r="G36" i="18"/>
  <c r="D36" i="18"/>
  <c r="Z12" i="5"/>
  <c r="B38" i="18"/>
  <c r="B105" i="17"/>
  <c r="B104" i="17"/>
  <c r="B36" i="18"/>
  <c r="B103" i="17"/>
  <c r="B34" i="18"/>
  <c r="B102" i="17"/>
  <c r="B32" i="18"/>
  <c r="B101" i="17"/>
  <c r="B30" i="18"/>
  <c r="B28" i="18"/>
  <c r="B100" i="17"/>
  <c r="B26" i="18"/>
  <c r="B99" i="17"/>
  <c r="B98" i="17"/>
  <c r="B24" i="18"/>
  <c r="F12" i="5"/>
  <c r="Q208" i="3"/>
  <c r="G104" i="17" s="1"/>
  <c r="K79" i="19"/>
  <c r="P208" i="3"/>
  <c r="F104" i="17" s="1"/>
  <c r="J79" i="19"/>
  <c r="E12" i="5"/>
  <c r="I79" i="19"/>
  <c r="D12" i="5"/>
  <c r="O208" i="3"/>
  <c r="E104" i="17" s="1"/>
  <c r="H79" i="19"/>
  <c r="C12" i="5"/>
  <c r="C7" i="6" s="1"/>
  <c r="M208" i="3"/>
  <c r="C104" i="17" s="1"/>
  <c r="N208" i="3"/>
  <c r="D104" i="17" s="1"/>
  <c r="L79" i="19"/>
  <c r="G12" i="5"/>
  <c r="AA6" i="5"/>
  <c r="X8" i="6" s="1"/>
  <c r="X15" i="6" s="1"/>
  <c r="W8" i="6"/>
  <c r="W26" i="6" s="1"/>
  <c r="H6" i="5"/>
  <c r="G8" i="6"/>
  <c r="R12" i="5"/>
  <c r="R24" i="5" s="1"/>
  <c r="B24" i="5"/>
  <c r="R11" i="5"/>
  <c r="R23" i="5" s="1"/>
  <c r="B23" i="5"/>
  <c r="R10" i="5"/>
  <c r="R22" i="5" s="1"/>
  <c r="B22" i="5"/>
  <c r="R9" i="5"/>
  <c r="R21" i="5" s="1"/>
  <c r="B21" i="5"/>
  <c r="H12" i="5"/>
  <c r="F39" i="18"/>
  <c r="C39" i="18"/>
  <c r="C35" i="18"/>
  <c r="F33" i="18"/>
  <c r="C33" i="18"/>
  <c r="F31" i="18"/>
  <c r="C31" i="18"/>
  <c r="AC193" i="3"/>
  <c r="AC192" i="3"/>
  <c r="AC190" i="3"/>
  <c r="H65" i="20"/>
  <c r="X8" i="5"/>
  <c r="H64" i="20"/>
  <c r="X7" i="5"/>
  <c r="AC189" i="3"/>
  <c r="H63" i="20"/>
  <c r="X6" i="5"/>
  <c r="U8" i="6" s="1"/>
  <c r="U26" i="6" s="1"/>
  <c r="AC194" i="3"/>
  <c r="AC19" i="3"/>
  <c r="AC15" i="3"/>
  <c r="AA98" i="3"/>
  <c r="AC44" i="3"/>
  <c r="AA43" i="3"/>
  <c r="AC43" i="3" s="1"/>
  <c r="AC16" i="3"/>
  <c r="AC84" i="3" s="1"/>
  <c r="AC107" i="3" s="1"/>
  <c r="AC14" i="3"/>
  <c r="AC150" i="3" s="1"/>
  <c r="C16" i="18"/>
  <c r="AA99" i="3"/>
  <c r="C17" i="18" s="1"/>
  <c r="F8" i="18"/>
  <c r="N112" i="3"/>
  <c r="O99" i="3"/>
  <c r="E85" i="17" s="1"/>
  <c r="N99" i="3"/>
  <c r="D85" i="17" s="1"/>
  <c r="M99" i="3"/>
  <c r="C85" i="17" s="1"/>
  <c r="C21" i="17"/>
  <c r="C23" i="17" s="1"/>
  <c r="M143" i="3"/>
  <c r="C39" i="17" s="1"/>
  <c r="M7" i="3"/>
  <c r="M144" i="3"/>
  <c r="C40" i="17" s="1"/>
  <c r="C16" i="6"/>
  <c r="M91" i="3"/>
  <c r="C81" i="17" s="1"/>
  <c r="N91" i="3"/>
  <c r="D81" i="17" s="1"/>
  <c r="N144" i="3"/>
  <c r="D40" i="17" s="1"/>
  <c r="N143" i="3"/>
  <c r="D39" i="17" s="1"/>
  <c r="O91" i="3"/>
  <c r="E81" i="17" s="1"/>
  <c r="D16" i="6"/>
  <c r="N7" i="3"/>
  <c r="E16" i="6"/>
  <c r="O7" i="3"/>
  <c r="P91" i="3"/>
  <c r="F81" i="17" s="1"/>
  <c r="F16" i="6"/>
  <c r="Q91" i="3"/>
  <c r="G81" i="17" s="1"/>
  <c r="P7" i="3"/>
  <c r="T16" i="6"/>
  <c r="R16" i="6"/>
  <c r="F7" i="16"/>
  <c r="M112" i="3"/>
  <c r="U16" i="6"/>
  <c r="V16" i="6"/>
  <c r="S16" i="6"/>
  <c r="G62" i="20"/>
  <c r="I62" i="20"/>
  <c r="AA26" i="3"/>
  <c r="AA25" i="3"/>
  <c r="N26" i="3"/>
  <c r="N27" i="3" s="1"/>
  <c r="N24" i="3"/>
  <c r="N25" i="3" s="1"/>
  <c r="M26" i="3"/>
  <c r="M27" i="3" s="1"/>
  <c r="M24" i="3"/>
  <c r="M25" i="3" s="1"/>
  <c r="Q16" i="6"/>
  <c r="AC12" i="3"/>
  <c r="J59" i="20"/>
  <c r="D16" i="18"/>
  <c r="AA112" i="3"/>
  <c r="AA104" i="3" s="1"/>
  <c r="J62" i="20" s="1"/>
  <c r="G16" i="18"/>
  <c r="F17" i="18" s="1"/>
  <c r="G8" i="18"/>
  <c r="AA143" i="3"/>
  <c r="AA144" i="3"/>
  <c r="W16" i="6"/>
  <c r="AC6" i="3"/>
  <c r="D8" i="18"/>
  <c r="AA91" i="3"/>
  <c r="C9" i="18" s="1"/>
  <c r="AA7" i="3"/>
  <c r="I67" i="19"/>
  <c r="D21" i="17"/>
  <c r="D23" i="17" s="1"/>
  <c r="N84" i="3"/>
  <c r="O98" i="3"/>
  <c r="M84" i="3"/>
  <c r="N98" i="3"/>
  <c r="G11" i="21"/>
  <c r="C5" i="12"/>
  <c r="C6" i="11"/>
  <c r="F11" i="21"/>
  <c r="O143" i="3"/>
  <c r="E39" i="17" s="1"/>
  <c r="O144" i="3"/>
  <c r="E40" i="17" s="1"/>
  <c r="P143" i="3"/>
  <c r="F39" i="17" s="1"/>
  <c r="P144" i="3"/>
  <c r="F40" i="17" s="1"/>
  <c r="Q143" i="3"/>
  <c r="G39" i="17" s="1"/>
  <c r="Q144" i="3"/>
  <c r="G40" i="17" s="1"/>
  <c r="G16" i="6"/>
  <c r="I7" i="5"/>
  <c r="C81" i="12"/>
  <c r="C68" i="12"/>
  <c r="C47" i="12"/>
  <c r="I71" i="20"/>
  <c r="H71" i="20"/>
  <c r="G71" i="20"/>
  <c r="F71" i="20"/>
  <c r="E71" i="20"/>
  <c r="D71" i="20"/>
  <c r="C71" i="20"/>
  <c r="G16" i="21"/>
  <c r="C21" i="21"/>
  <c r="C23" i="21" s="1"/>
  <c r="G12" i="21"/>
  <c r="F16" i="21"/>
  <c r="E16" i="21"/>
  <c r="F12" i="21"/>
  <c r="E12" i="21"/>
  <c r="D12" i="21"/>
  <c r="L15" i="21"/>
  <c r="L10" i="21"/>
  <c r="K15" i="21"/>
  <c r="K10" i="21"/>
  <c r="J15" i="21"/>
  <c r="J10" i="21"/>
  <c r="I10" i="21"/>
  <c r="I15" i="21"/>
  <c r="H10" i="21"/>
  <c r="H15" i="21"/>
  <c r="G10" i="21"/>
  <c r="G15" i="21"/>
  <c r="F15" i="21"/>
  <c r="F10" i="21"/>
  <c r="E10" i="21"/>
  <c r="E15" i="21"/>
  <c r="D15" i="21"/>
  <c r="D10" i="21"/>
  <c r="C15" i="21"/>
  <c r="C10" i="21"/>
  <c r="AC181" i="3"/>
  <c r="D3" i="17"/>
  <c r="D5" i="5"/>
  <c r="I64" i="19"/>
  <c r="AC182" i="3"/>
  <c r="Q182" i="3"/>
  <c r="P182" i="3"/>
  <c r="O182" i="3"/>
  <c r="N182" i="3"/>
  <c r="M182" i="3"/>
  <c r="AA108" i="3"/>
  <c r="Q108" i="3"/>
  <c r="P108" i="3"/>
  <c r="O108" i="3"/>
  <c r="N108" i="3"/>
  <c r="M108" i="3"/>
  <c r="Q220" i="3"/>
  <c r="L84" i="19" s="1"/>
  <c r="P220" i="3"/>
  <c r="K84" i="19" s="1"/>
  <c r="O220" i="3"/>
  <c r="J84" i="19" s="1"/>
  <c r="N220" i="3"/>
  <c r="I84" i="19" s="1"/>
  <c r="F31" i="12"/>
  <c r="C23" i="11"/>
  <c r="C25" i="14"/>
  <c r="AA137" i="3"/>
  <c r="AA133" i="3"/>
  <c r="F10" i="16"/>
  <c r="Q164" i="3"/>
  <c r="P164" i="3"/>
  <c r="O164" i="3"/>
  <c r="N164" i="3"/>
  <c r="Q163" i="3"/>
  <c r="P163" i="3"/>
  <c r="O163" i="3"/>
  <c r="M164" i="3"/>
  <c r="Q152" i="3"/>
  <c r="P152" i="3"/>
  <c r="O152" i="3"/>
  <c r="N152" i="3"/>
  <c r="M152" i="3"/>
  <c r="Q151" i="3"/>
  <c r="P151" i="3"/>
  <c r="O151" i="3"/>
  <c r="AA158" i="3"/>
  <c r="J71" i="20" s="1"/>
  <c r="J61" i="20"/>
  <c r="I61" i="20"/>
  <c r="H61" i="20"/>
  <c r="G61" i="20"/>
  <c r="F61" i="20"/>
  <c r="E61" i="20"/>
  <c r="D61" i="20"/>
  <c r="C61" i="20"/>
  <c r="F27" i="1" s="1"/>
  <c r="C9" i="10" s="1"/>
  <c r="L71" i="19"/>
  <c r="K71" i="19"/>
  <c r="J71" i="19"/>
  <c r="I71" i="19"/>
  <c r="H71" i="19"/>
  <c r="G34" i="8"/>
  <c r="F34" i="8"/>
  <c r="E34" i="8"/>
  <c r="D34" i="8"/>
  <c r="C34" i="8"/>
  <c r="G8" i="16"/>
  <c r="AA72" i="3"/>
  <c r="O72" i="3"/>
  <c r="N72" i="3"/>
  <c r="M72" i="3"/>
  <c r="P72" i="3"/>
  <c r="Q72" i="3"/>
  <c r="Q70" i="3"/>
  <c r="P70" i="3"/>
  <c r="O70" i="3"/>
  <c r="N70" i="3"/>
  <c r="M70" i="3"/>
  <c r="L70" i="3"/>
  <c r="K70" i="3"/>
  <c r="J70" i="3"/>
  <c r="I70" i="3"/>
  <c r="H70" i="3"/>
  <c r="G70" i="3"/>
  <c r="F70" i="3"/>
  <c r="E70" i="3"/>
  <c r="D70" i="3"/>
  <c r="C70" i="3"/>
  <c r="AA70" i="3"/>
  <c r="Q158" i="3"/>
  <c r="Q168" i="3" s="1"/>
  <c r="P158" i="3"/>
  <c r="P168" i="3" s="1"/>
  <c r="O158" i="3"/>
  <c r="O168" i="3" s="1"/>
  <c r="N158" i="3"/>
  <c r="N168" i="3" s="1"/>
  <c r="M158" i="3"/>
  <c r="M168" i="3" s="1"/>
  <c r="AC113" i="3"/>
  <c r="Q122" i="3"/>
  <c r="P122" i="3"/>
  <c r="O122" i="3"/>
  <c r="H62" i="20"/>
  <c r="F62" i="20"/>
  <c r="E62" i="20"/>
  <c r="D62" i="20"/>
  <c r="C62" i="20"/>
  <c r="Q104" i="3"/>
  <c r="L72" i="19" s="1"/>
  <c r="P104" i="3"/>
  <c r="K72" i="19" s="1"/>
  <c r="O104" i="3"/>
  <c r="J72" i="19" s="1"/>
  <c r="G35" i="7"/>
  <c r="AC64" i="3"/>
  <c r="G31" i="12"/>
  <c r="E35" i="7"/>
  <c r="F35" i="7"/>
  <c r="D35" i="7"/>
  <c r="C35" i="7"/>
  <c r="AA146" i="3"/>
  <c r="Q146" i="3"/>
  <c r="N146" i="3"/>
  <c r="P146" i="3"/>
  <c r="O146" i="3"/>
  <c r="M146" i="3"/>
  <c r="C31" i="12"/>
  <c r="G100" i="17"/>
  <c r="G99" i="17"/>
  <c r="D99" i="17"/>
  <c r="C99" i="17"/>
  <c r="G98" i="17"/>
  <c r="F18" i="18"/>
  <c r="C18" i="18"/>
  <c r="F12" i="18"/>
  <c r="C12" i="18"/>
  <c r="F100" i="17"/>
  <c r="E100" i="17"/>
  <c r="D100" i="17"/>
  <c r="C100" i="17"/>
  <c r="F99" i="17"/>
  <c r="E99" i="17"/>
  <c r="F98" i="17"/>
  <c r="E98" i="17"/>
  <c r="D98" i="17"/>
  <c r="C98" i="17"/>
  <c r="AC30" i="3"/>
  <c r="G18" i="18"/>
  <c r="D18" i="18"/>
  <c r="AA107" i="3"/>
  <c r="C15" i="18"/>
  <c r="G12" i="18"/>
  <c r="D12" i="18"/>
  <c r="C7" i="18"/>
  <c r="G23" i="18"/>
  <c r="F23" i="18"/>
  <c r="C23" i="18"/>
  <c r="F27" i="18"/>
  <c r="C27" i="18"/>
  <c r="C25" i="18"/>
  <c r="F29" i="18"/>
  <c r="C29" i="18"/>
  <c r="F25" i="18"/>
  <c r="F15" i="18"/>
  <c r="D23" i="18"/>
  <c r="F7" i="18"/>
  <c r="G85" i="17"/>
  <c r="F85" i="17"/>
  <c r="G84" i="17"/>
  <c r="F84" i="17"/>
  <c r="E84" i="17"/>
  <c r="D84" i="17"/>
  <c r="C84"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29" i="17"/>
  <c r="F29" i="17"/>
  <c r="E29" i="17"/>
  <c r="D29" i="17"/>
  <c r="G27" i="17"/>
  <c r="F27" i="17"/>
  <c r="E27" i="17"/>
  <c r="D27" i="17"/>
  <c r="C29" i="17"/>
  <c r="C27" i="17"/>
  <c r="I22" i="17"/>
  <c r="G17" i="17"/>
  <c r="F17" i="17"/>
  <c r="E17" i="17"/>
  <c r="D17" i="17"/>
  <c r="C17" i="17"/>
  <c r="AA180" i="3"/>
  <c r="Q180" i="3"/>
  <c r="G77" i="17" s="1"/>
  <c r="P180" i="3"/>
  <c r="F77" i="17" s="1"/>
  <c r="O180" i="3"/>
  <c r="E77" i="17" s="1"/>
  <c r="N180" i="3"/>
  <c r="D77" i="17" s="1"/>
  <c r="M180" i="3"/>
  <c r="C77" i="17" s="1"/>
  <c r="AA179" i="3"/>
  <c r="Q179" i="3"/>
  <c r="G76" i="17" s="1"/>
  <c r="P179" i="3"/>
  <c r="F76" i="17" s="1"/>
  <c r="O179" i="3"/>
  <c r="E76" i="17" s="1"/>
  <c r="N179" i="3"/>
  <c r="D76" i="17" s="1"/>
  <c r="M179" i="3"/>
  <c r="C76" i="17" s="1"/>
  <c r="AA178" i="3"/>
  <c r="Q178" i="3"/>
  <c r="G75" i="17" s="1"/>
  <c r="P178" i="3"/>
  <c r="F75" i="17" s="1"/>
  <c r="O178" i="3"/>
  <c r="E75" i="17" s="1"/>
  <c r="N178" i="3"/>
  <c r="D75" i="17" s="1"/>
  <c r="M178" i="3"/>
  <c r="C75" i="17" s="1"/>
  <c r="AC111" i="3"/>
  <c r="E23" i="17"/>
  <c r="F23" i="17"/>
  <c r="G23" i="17"/>
  <c r="AC174" i="3"/>
  <c r="I71" i="17" s="1"/>
  <c r="AC175" i="3"/>
  <c r="AC80" i="3"/>
  <c r="Q81" i="3"/>
  <c r="P81" i="3"/>
  <c r="N81" i="3"/>
  <c r="M81" i="3"/>
  <c r="O81" i="3"/>
  <c r="AC149" i="3"/>
  <c r="AC146" i="3"/>
  <c r="AA142" i="3"/>
  <c r="AC142" i="3"/>
  <c r="Q142" i="3"/>
  <c r="P142" i="3"/>
  <c r="O142" i="3"/>
  <c r="N142" i="3"/>
  <c r="M142" i="3"/>
  <c r="F9" i="16"/>
  <c r="F17" i="16"/>
  <c r="AC59" i="3"/>
  <c r="AC78" i="3"/>
  <c r="O31" i="6"/>
  <c r="O27" i="6"/>
  <c r="AC58" i="3"/>
  <c r="AC56" i="3"/>
  <c r="O107" i="3"/>
  <c r="O110" i="3" s="1"/>
  <c r="O159" i="3" s="1"/>
  <c r="L107" i="3"/>
  <c r="K107" i="3"/>
  <c r="J107" i="3"/>
  <c r="I107" i="3"/>
  <c r="H107" i="3"/>
  <c r="G107" i="3"/>
  <c r="F107" i="3"/>
  <c r="E107" i="3"/>
  <c r="D107" i="3"/>
  <c r="C107" i="3"/>
  <c r="C6" i="14"/>
  <c r="G19" i="12"/>
  <c r="F19" i="12"/>
  <c r="E19" i="12"/>
  <c r="D19" i="12"/>
  <c r="C19" i="12"/>
  <c r="G6" i="12"/>
  <c r="F6" i="12"/>
  <c r="E6" i="12"/>
  <c r="D6" i="12"/>
  <c r="C6" i="12"/>
  <c r="C8" i="10"/>
  <c r="C18" i="10"/>
  <c r="E6" i="8"/>
  <c r="C5" i="8"/>
  <c r="C32" i="8" s="1"/>
  <c r="E13" i="7"/>
  <c r="C13" i="7"/>
  <c r="D7" i="7"/>
  <c r="U20" i="6"/>
  <c r="T20" i="6"/>
  <c r="P20" i="6"/>
  <c r="O18" i="6"/>
  <c r="O29" i="6" s="1"/>
  <c r="O17" i="6"/>
  <c r="O28" i="6" s="1"/>
  <c r="W6" i="6"/>
  <c r="T6" i="6"/>
  <c r="V5" i="6"/>
  <c r="S5" i="6"/>
  <c r="P5" i="6"/>
  <c r="B30" i="6"/>
  <c r="B28" i="6"/>
  <c r="E20" i="6"/>
  <c r="D20" i="6"/>
  <c r="G6" i="6"/>
  <c r="E6" i="6"/>
  <c r="C6" i="6"/>
  <c r="R6" i="5"/>
  <c r="G21" i="8"/>
  <c r="E21" i="8"/>
  <c r="G20" i="8"/>
  <c r="F20" i="8"/>
  <c r="C20" i="8"/>
  <c r="F6" i="8"/>
  <c r="F13" i="7"/>
  <c r="D13" i="7"/>
  <c r="F7" i="7"/>
  <c r="C6" i="7"/>
  <c r="V20" i="6"/>
  <c r="R20" i="6"/>
  <c r="U6" i="6"/>
  <c r="R6" i="6"/>
  <c r="P6" i="6"/>
  <c r="Q5" i="6"/>
  <c r="G20" i="6"/>
  <c r="C20" i="6"/>
  <c r="C5" i="6"/>
  <c r="R7" i="5"/>
  <c r="F21" i="8"/>
  <c r="D21" i="8"/>
  <c r="C21" i="8"/>
  <c r="E20" i="8"/>
  <c r="D20" i="8"/>
  <c r="G6" i="8"/>
  <c r="D6" i="8"/>
  <c r="C6" i="8"/>
  <c r="G13" i="7"/>
  <c r="G7" i="7"/>
  <c r="E7" i="7"/>
  <c r="C7" i="7"/>
  <c r="W20" i="6"/>
  <c r="S20" i="6"/>
  <c r="Q20" i="6"/>
  <c r="O19" i="6"/>
  <c r="O30" i="6" s="1"/>
  <c r="V6" i="6"/>
  <c r="S6" i="6"/>
  <c r="Q6" i="6"/>
  <c r="W5" i="6"/>
  <c r="U5" i="6"/>
  <c r="T5" i="6"/>
  <c r="R5" i="6"/>
  <c r="B29" i="6"/>
  <c r="F20" i="6"/>
  <c r="F6" i="6"/>
  <c r="D6" i="6"/>
  <c r="D29" i="6" s="1"/>
  <c r="R8" i="5"/>
  <c r="G44" i="7"/>
  <c r="F44" i="7"/>
  <c r="E44" i="7"/>
  <c r="D44" i="7"/>
  <c r="C44" i="7"/>
  <c r="O14" i="6"/>
  <c r="O25" i="6" s="1"/>
  <c r="B25" i="6"/>
  <c r="O15" i="6"/>
  <c r="O26" i="6" s="1"/>
  <c r="B26" i="6"/>
  <c r="AB12" i="6"/>
  <c r="AB13" i="6"/>
  <c r="S17" i="5"/>
  <c r="C17" i="5"/>
  <c r="Z26" i="5"/>
  <c r="Y26" i="5"/>
  <c r="X26" i="5"/>
  <c r="W26" i="5"/>
  <c r="V26" i="5"/>
  <c r="U26" i="5"/>
  <c r="T26" i="5"/>
  <c r="G26" i="5"/>
  <c r="F26" i="5"/>
  <c r="E26" i="5"/>
  <c r="D26" i="5"/>
  <c r="Z20" i="5"/>
  <c r="W20" i="5"/>
  <c r="V20" i="5"/>
  <c r="U20" i="5"/>
  <c r="T20" i="5"/>
  <c r="G20" i="5"/>
  <c r="F20" i="5"/>
  <c r="E20" i="5"/>
  <c r="D20" i="5"/>
  <c r="B20" i="5"/>
  <c r="Z19" i="5"/>
  <c r="W19" i="5"/>
  <c r="V19" i="5"/>
  <c r="U19" i="5"/>
  <c r="T19" i="5"/>
  <c r="G19" i="5"/>
  <c r="F19" i="5"/>
  <c r="E19" i="5"/>
  <c r="D19" i="5"/>
  <c r="B19" i="5"/>
  <c r="Z18" i="5"/>
  <c r="W18" i="5"/>
  <c r="V18" i="5"/>
  <c r="U18" i="5"/>
  <c r="T18" i="5"/>
  <c r="G18" i="5"/>
  <c r="F18" i="5"/>
  <c r="E18" i="5"/>
  <c r="D18" i="5"/>
  <c r="B18" i="5"/>
  <c r="Z17" i="5"/>
  <c r="Y17" i="5"/>
  <c r="X17" i="5"/>
  <c r="W17" i="5"/>
  <c r="V17" i="5"/>
  <c r="U17" i="5"/>
  <c r="T17" i="5"/>
  <c r="P107" i="3"/>
  <c r="P110" i="3" s="1"/>
  <c r="P159" i="3" s="1"/>
  <c r="Q107" i="3"/>
  <c r="AC125" i="3"/>
  <c r="AC123" i="3"/>
  <c r="AC103" i="3"/>
  <c r="AC83" i="3"/>
  <c r="AC75" i="3"/>
  <c r="AA76" i="3"/>
  <c r="M76" i="3"/>
  <c r="N76" i="3"/>
  <c r="O76" i="3"/>
  <c r="P76" i="3"/>
  <c r="Q76" i="3"/>
  <c r="AC37" i="3"/>
  <c r="AA96" i="3"/>
  <c r="C13" i="18" s="1"/>
  <c r="Q102" i="3"/>
  <c r="Q96" i="3"/>
  <c r="G83" i="17" s="1"/>
  <c r="P96" i="3"/>
  <c r="F83" i="17" s="1"/>
  <c r="O96" i="3"/>
  <c r="E83" i="17" s="1"/>
  <c r="N96" i="3"/>
  <c r="D83" i="17" s="1"/>
  <c r="M96" i="3"/>
  <c r="C83" i="17" s="1"/>
  <c r="AC23" i="3"/>
  <c r="AC21" i="3"/>
  <c r="H8" i="6" l="1"/>
  <c r="H15" i="6" s="1"/>
  <c r="I6" i="5"/>
  <c r="Y102" i="3"/>
  <c r="H60" i="20" s="1"/>
  <c r="Z92" i="3"/>
  <c r="Y92" i="3"/>
  <c r="X102" i="3"/>
  <c r="G60" i="20" s="1"/>
  <c r="W102" i="3"/>
  <c r="F60" i="20" s="1"/>
  <c r="X92" i="3"/>
  <c r="W92" i="3"/>
  <c r="V102" i="3"/>
  <c r="E60" i="20" s="1"/>
  <c r="U102" i="3"/>
  <c r="D60" i="20" s="1"/>
  <c r="V92" i="3"/>
  <c r="T92" i="3"/>
  <c r="U92" i="3"/>
  <c r="T102" i="3"/>
  <c r="C60" i="20" s="1"/>
  <c r="V145" i="3"/>
  <c r="T145" i="3"/>
  <c r="Y145" i="3"/>
  <c r="C37" i="18"/>
  <c r="I8" i="6"/>
  <c r="I15" i="6" s="1"/>
  <c r="AA12" i="5"/>
  <c r="AE12" i="5" s="1"/>
  <c r="AB7" i="6" s="1"/>
  <c r="F37" i="18"/>
  <c r="AC112" i="3"/>
  <c r="I21" i="17"/>
  <c r="I23" i="17" s="1"/>
  <c r="F16" i="16"/>
  <c r="F18" i="16" s="1"/>
  <c r="X24" i="5"/>
  <c r="U7" i="6"/>
  <c r="U25" i="6" s="1"/>
  <c r="Y24" i="5"/>
  <c r="V7" i="6"/>
  <c r="V25" i="6" s="1"/>
  <c r="W24" i="5"/>
  <c r="T7" i="6"/>
  <c r="T25" i="6" s="1"/>
  <c r="V24" i="5"/>
  <c r="S7" i="6"/>
  <c r="S25" i="6" s="1"/>
  <c r="U24" i="5"/>
  <c r="R7" i="6"/>
  <c r="R25" i="6" s="1"/>
  <c r="T24" i="5"/>
  <c r="Q7" i="6"/>
  <c r="Q25" i="6" s="1"/>
  <c r="Z24" i="5"/>
  <c r="W7" i="6"/>
  <c r="W25" i="6" s="1"/>
  <c r="F24" i="5"/>
  <c r="F7" i="6"/>
  <c r="E24" i="5"/>
  <c r="E7" i="6"/>
  <c r="D24" i="5"/>
  <c r="D7" i="6"/>
  <c r="G24" i="5"/>
  <c r="G7" i="6"/>
  <c r="F9" i="18"/>
  <c r="H14" i="5"/>
  <c r="H6" i="12" s="1"/>
  <c r="H13" i="12" s="1"/>
  <c r="H7" i="6"/>
  <c r="H14" i="6" s="1"/>
  <c r="H24" i="5"/>
  <c r="I12" i="5"/>
  <c r="J6" i="5"/>
  <c r="AE8" i="5"/>
  <c r="Y20" i="5"/>
  <c r="X20" i="5"/>
  <c r="Y19" i="5"/>
  <c r="X19" i="5"/>
  <c r="Y18" i="5"/>
  <c r="X18" i="5"/>
  <c r="F10" i="18"/>
  <c r="N122" i="3"/>
  <c r="N104" i="3"/>
  <c r="M92" i="3"/>
  <c r="C82" i="17" s="1"/>
  <c r="M102" i="3"/>
  <c r="N92" i="3"/>
  <c r="D82" i="17" s="1"/>
  <c r="C10" i="10" s="1"/>
  <c r="C8" i="7"/>
  <c r="C7" i="8"/>
  <c r="C8" i="8" s="1"/>
  <c r="D8" i="7"/>
  <c r="D7" i="8"/>
  <c r="D8" i="8" s="1"/>
  <c r="N102" i="3"/>
  <c r="O92" i="3"/>
  <c r="E82" i="17" s="1"/>
  <c r="E7" i="8"/>
  <c r="E8" i="8" s="1"/>
  <c r="E8" i="7"/>
  <c r="P92" i="3"/>
  <c r="F82" i="17" s="1"/>
  <c r="O102" i="3"/>
  <c r="F7" i="8"/>
  <c r="F8" i="8" s="1"/>
  <c r="F8" i="7"/>
  <c r="Q92" i="3"/>
  <c r="G82" i="17" s="1"/>
  <c r="P102" i="3"/>
  <c r="I60" i="20"/>
  <c r="C10" i="18"/>
  <c r="M122" i="3"/>
  <c r="M104" i="3"/>
  <c r="G10" i="18"/>
  <c r="D10" i="18"/>
  <c r="AA102" i="3"/>
  <c r="J60" i="20" s="1"/>
  <c r="AA92" i="3"/>
  <c r="C11" i="18" s="1"/>
  <c r="AC7" i="3"/>
  <c r="AC102" i="3" s="1"/>
  <c r="G8" i="7"/>
  <c r="G7" i="8"/>
  <c r="G8" i="8" s="1"/>
  <c r="AC24" i="3"/>
  <c r="AC25" i="3" s="1"/>
  <c r="C20" i="18"/>
  <c r="AA27" i="3"/>
  <c r="AC26" i="3"/>
  <c r="AC27" i="3" s="1"/>
  <c r="F5" i="1" s="1"/>
  <c r="D6" i="21"/>
  <c r="N163" i="3"/>
  <c r="D51" i="17" s="1"/>
  <c r="N222" i="3"/>
  <c r="I86" i="19" s="1"/>
  <c r="N151" i="3"/>
  <c r="D9" i="17" s="1"/>
  <c r="C6" i="21"/>
  <c r="C16" i="21" s="1"/>
  <c r="M163" i="3"/>
  <c r="C51" i="17" s="1"/>
  <c r="M151" i="3"/>
  <c r="C9" i="17" s="1"/>
  <c r="F8" i="16"/>
  <c r="Q222" i="3"/>
  <c r="L86" i="19" s="1"/>
  <c r="P222" i="3"/>
  <c r="K86" i="19" s="1"/>
  <c r="O222" i="3"/>
  <c r="J86" i="19" s="1"/>
  <c r="AC143" i="3"/>
  <c r="AC144" i="3"/>
  <c r="D15" i="8"/>
  <c r="N107" i="3"/>
  <c r="N110" i="3" s="1"/>
  <c r="C15" i="8"/>
  <c r="M107" i="3"/>
  <c r="M110" i="3" s="1"/>
  <c r="D5" i="12"/>
  <c r="D6" i="11"/>
  <c r="J7" i="5"/>
  <c r="AC76" i="3"/>
  <c r="C22" i="14" s="1"/>
  <c r="C35" i="14" s="1"/>
  <c r="AA153" i="3"/>
  <c r="Q184" i="3"/>
  <c r="Q183" i="3"/>
  <c r="P184" i="3"/>
  <c r="P183" i="3"/>
  <c r="O184" i="3"/>
  <c r="O183" i="3"/>
  <c r="N184" i="3"/>
  <c r="N183" i="3"/>
  <c r="M184" i="3"/>
  <c r="M183" i="3"/>
  <c r="E3" i="17"/>
  <c r="J64" i="19"/>
  <c r="E5" i="5"/>
  <c r="D6" i="14"/>
  <c r="D6" i="7"/>
  <c r="D5" i="6"/>
  <c r="D5" i="8"/>
  <c r="D17" i="5"/>
  <c r="C52" i="16"/>
  <c r="G53" i="17"/>
  <c r="F53" i="17"/>
  <c r="E53" i="17"/>
  <c r="D53" i="17"/>
  <c r="G51" i="17"/>
  <c r="F51" i="17"/>
  <c r="E51" i="17"/>
  <c r="C53" i="17"/>
  <c r="Q153" i="3"/>
  <c r="P153" i="3"/>
  <c r="O153" i="3"/>
  <c r="N153" i="3"/>
  <c r="M153" i="3"/>
  <c r="AC70" i="3"/>
  <c r="AC158" i="3"/>
  <c r="AC171" i="3" s="1"/>
  <c r="M79" i="3"/>
  <c r="M154" i="3" s="1"/>
  <c r="N79" i="3"/>
  <c r="N154" i="3" s="1"/>
  <c r="O79" i="3"/>
  <c r="O154" i="3" s="1"/>
  <c r="P79" i="3"/>
  <c r="P154" i="3" s="1"/>
  <c r="Q79" i="3"/>
  <c r="Q154" i="3" s="1"/>
  <c r="F22" i="8"/>
  <c r="AC72" i="3"/>
  <c r="Q169" i="3"/>
  <c r="L68" i="19"/>
  <c r="Q171" i="3"/>
  <c r="P169" i="3"/>
  <c r="K68" i="19"/>
  <c r="P171" i="3"/>
  <c r="O169" i="3"/>
  <c r="J68" i="19"/>
  <c r="O171" i="3"/>
  <c r="N169" i="3"/>
  <c r="I68" i="19"/>
  <c r="N171" i="3"/>
  <c r="M169" i="3"/>
  <c r="H68" i="19"/>
  <c r="M171" i="3"/>
  <c r="G16" i="17"/>
  <c r="G33" i="8"/>
  <c r="L70" i="19"/>
  <c r="E22" i="8"/>
  <c r="C22" i="8"/>
  <c r="G44" i="17"/>
  <c r="F44" i="17"/>
  <c r="E44" i="17"/>
  <c r="D44" i="17"/>
  <c r="C44" i="17"/>
  <c r="G26" i="17"/>
  <c r="F26" i="17"/>
  <c r="E26" i="17"/>
  <c r="G18" i="17"/>
  <c r="F18" i="17"/>
  <c r="E18" i="17"/>
  <c r="G22" i="8"/>
  <c r="D22" i="8"/>
  <c r="P124" i="3"/>
  <c r="K81" i="19" s="1"/>
  <c r="O124" i="3"/>
  <c r="J81" i="19" s="1"/>
  <c r="Q124" i="3"/>
  <c r="L81" i="19" s="1"/>
  <c r="Q71" i="3"/>
  <c r="O141" i="3"/>
  <c r="J83" i="19" s="1"/>
  <c r="K69" i="19"/>
  <c r="P141" i="3"/>
  <c r="K83" i="19" s="1"/>
  <c r="AC81" i="3"/>
  <c r="C19" i="18"/>
  <c r="F19" i="18"/>
  <c r="F13" i="18"/>
  <c r="Q170" i="3"/>
  <c r="G59" i="17" s="1"/>
  <c r="P170" i="3"/>
  <c r="F59" i="17" s="1"/>
  <c r="O170" i="3"/>
  <c r="E59" i="17" s="1"/>
  <c r="N170" i="3"/>
  <c r="D59" i="17" s="1"/>
  <c r="M170" i="3"/>
  <c r="C59" i="17" s="1"/>
  <c r="AC178" i="3"/>
  <c r="AC179" i="3"/>
  <c r="AC180" i="3"/>
  <c r="C53" i="16"/>
  <c r="I72" i="17"/>
  <c r="F34" i="16"/>
  <c r="I48" i="17"/>
  <c r="F32" i="16"/>
  <c r="I47" i="17"/>
  <c r="F30" i="16"/>
  <c r="I44" i="17"/>
  <c r="C30" i="16"/>
  <c r="I38" i="17"/>
  <c r="Q145" i="3"/>
  <c r="G41" i="17" s="1"/>
  <c r="G38" i="17"/>
  <c r="P145" i="3"/>
  <c r="F41" i="17" s="1"/>
  <c r="F38" i="17"/>
  <c r="O145" i="3"/>
  <c r="E41" i="17" s="1"/>
  <c r="E38" i="17"/>
  <c r="N145" i="3"/>
  <c r="D41" i="17" s="1"/>
  <c r="D38" i="17"/>
  <c r="M145" i="3"/>
  <c r="C41" i="17" s="1"/>
  <c r="C38" i="17"/>
  <c r="C25" i="16"/>
  <c r="I29" i="17"/>
  <c r="C23" i="16"/>
  <c r="I27" i="17"/>
  <c r="C17" i="16"/>
  <c r="I17" i="17"/>
  <c r="AA176" i="3"/>
  <c r="Q176" i="3"/>
  <c r="G67" i="17" s="1"/>
  <c r="P176" i="3"/>
  <c r="F67" i="17" s="1"/>
  <c r="O176" i="3"/>
  <c r="E67" i="17" s="1"/>
  <c r="N176" i="3"/>
  <c r="D67" i="17" s="1"/>
  <c r="M176" i="3"/>
  <c r="C67" i="17" s="1"/>
  <c r="AA145" i="3"/>
  <c r="C33" i="14"/>
  <c r="D30" i="12"/>
  <c r="F29" i="12"/>
  <c r="E20" i="12"/>
  <c r="H19" i="12"/>
  <c r="I19" i="12" s="1"/>
  <c r="J19" i="12" s="1"/>
  <c r="K19" i="12" s="1"/>
  <c r="L19" i="12" s="1"/>
  <c r="AA147" i="3"/>
  <c r="AA173" i="3"/>
  <c r="Q147" i="3"/>
  <c r="G45" i="17" s="1"/>
  <c r="Q173" i="3"/>
  <c r="G66" i="17" s="1"/>
  <c r="P147" i="3"/>
  <c r="F45" i="17" s="1"/>
  <c r="P173" i="3"/>
  <c r="F66" i="17" s="1"/>
  <c r="O147" i="3"/>
  <c r="E45" i="17" s="1"/>
  <c r="O173" i="3"/>
  <c r="E66" i="17" s="1"/>
  <c r="N147" i="3"/>
  <c r="D45" i="17" s="1"/>
  <c r="N173" i="3"/>
  <c r="D66" i="17" s="1"/>
  <c r="M147" i="3"/>
  <c r="C45" i="17" s="1"/>
  <c r="M173" i="3"/>
  <c r="C66" i="17" s="1"/>
  <c r="E9" i="17"/>
  <c r="G10" i="17"/>
  <c r="F10" i="17"/>
  <c r="E10" i="17"/>
  <c r="D10" i="17"/>
  <c r="C10" i="17"/>
  <c r="G9" i="17"/>
  <c r="F9" i="17"/>
  <c r="C5" i="16"/>
  <c r="T29" i="6"/>
  <c r="T28" i="6"/>
  <c r="G30" i="6"/>
  <c r="G28" i="6"/>
  <c r="AC108" i="3"/>
  <c r="AA148" i="3"/>
  <c r="G32" i="12"/>
  <c r="Q148" i="3"/>
  <c r="G46" i="17" s="1"/>
  <c r="F32" i="12"/>
  <c r="P148" i="3"/>
  <c r="F46" i="17" s="1"/>
  <c r="E32" i="12"/>
  <c r="O148" i="3"/>
  <c r="E46" i="17" s="1"/>
  <c r="D32" i="12"/>
  <c r="N148" i="3"/>
  <c r="D46" i="17" s="1"/>
  <c r="C32" i="12"/>
  <c r="M148" i="3"/>
  <c r="C46" i="17" s="1"/>
  <c r="AC110" i="3"/>
  <c r="AC159" i="3" s="1"/>
  <c r="Q110" i="3"/>
  <c r="Q159" i="3" s="1"/>
  <c r="E46" i="7"/>
  <c r="W13" i="6"/>
  <c r="U13" i="6"/>
  <c r="R13" i="6"/>
  <c r="AA79" i="3"/>
  <c r="F20" i="12"/>
  <c r="D20" i="12"/>
  <c r="G13" i="12"/>
  <c r="C30" i="12"/>
  <c r="E29" i="12"/>
  <c r="D29" i="12"/>
  <c r="G20" i="12"/>
  <c r="F13" i="12"/>
  <c r="E13" i="12"/>
  <c r="D13" i="12"/>
  <c r="G30" i="12"/>
  <c r="C46" i="7"/>
  <c r="G43" i="7"/>
  <c r="C43" i="7"/>
  <c r="V30" i="6"/>
  <c r="D27" i="6"/>
  <c r="D36" i="7"/>
  <c r="D37" i="7" s="1"/>
  <c r="S30" i="6"/>
  <c r="Q30" i="6"/>
  <c r="V27" i="6"/>
  <c r="S27" i="6"/>
  <c r="Q27" i="6"/>
  <c r="R20" i="5"/>
  <c r="R18" i="5"/>
  <c r="Q28" i="6"/>
  <c r="F30" i="6"/>
  <c r="F29" i="6"/>
  <c r="F30" i="12"/>
  <c r="E30" i="12"/>
  <c r="G29" i="12"/>
  <c r="C29" i="12"/>
  <c r="D28" i="6"/>
  <c r="S29" i="6"/>
  <c r="Q29" i="6"/>
  <c r="V31" i="6"/>
  <c r="D30" i="6"/>
  <c r="G46" i="7"/>
  <c r="C15" i="14"/>
  <c r="AC117" i="3"/>
  <c r="AC118" i="3" s="1"/>
  <c r="C6" i="10"/>
  <c r="E31" i="6"/>
  <c r="E9" i="8"/>
  <c r="D9" i="8"/>
  <c r="D31" i="6"/>
  <c r="G31" i="6"/>
  <c r="G9" i="8"/>
  <c r="C9" i="8"/>
  <c r="C31" i="6"/>
  <c r="F31" i="6"/>
  <c r="F9" i="8"/>
  <c r="U28" i="6"/>
  <c r="P28" i="6"/>
  <c r="U31" i="6"/>
  <c r="T31" i="6"/>
  <c r="P31" i="6"/>
  <c r="C30" i="6"/>
  <c r="G29" i="6"/>
  <c r="E28" i="6"/>
  <c r="C28" i="6"/>
  <c r="U29" i="6"/>
  <c r="P29" i="6"/>
  <c r="W29" i="6"/>
  <c r="V29" i="6"/>
  <c r="W28" i="6"/>
  <c r="V28" i="6"/>
  <c r="S28" i="6"/>
  <c r="W31" i="6"/>
  <c r="S31" i="6"/>
  <c r="Q31" i="6"/>
  <c r="E30" i="6"/>
  <c r="E29" i="6"/>
  <c r="C29" i="6"/>
  <c r="F28" i="6"/>
  <c r="Q13" i="6"/>
  <c r="C19" i="8"/>
  <c r="C14" i="8"/>
  <c r="F46" i="7"/>
  <c r="S13" i="6"/>
  <c r="P13" i="6"/>
  <c r="C26" i="8"/>
  <c r="G36" i="7"/>
  <c r="G37" i="7" s="1"/>
  <c r="F20" i="7"/>
  <c r="C12" i="7"/>
  <c r="R19" i="5"/>
  <c r="F43" i="7"/>
  <c r="D43" i="7"/>
  <c r="C41" i="7"/>
  <c r="C34" i="7"/>
  <c r="E27" i="6"/>
  <c r="C27" i="7"/>
  <c r="G20" i="7"/>
  <c r="D46" i="7"/>
  <c r="E43" i="7"/>
  <c r="F36" i="7"/>
  <c r="F37" i="7" s="1"/>
  <c r="C20" i="7"/>
  <c r="C19" i="7"/>
  <c r="E36" i="7"/>
  <c r="E37" i="7" s="1"/>
  <c r="C36" i="7"/>
  <c r="C37" i="7" s="1"/>
  <c r="E20" i="7"/>
  <c r="D20" i="7"/>
  <c r="W30" i="6"/>
  <c r="R30" i="6"/>
  <c r="W27" i="6"/>
  <c r="T27" i="6"/>
  <c r="F27" i="6"/>
  <c r="U30" i="6"/>
  <c r="R27" i="6"/>
  <c r="P27" i="6"/>
  <c r="T30" i="6"/>
  <c r="P30" i="6"/>
  <c r="U27" i="6"/>
  <c r="G27" i="6"/>
  <c r="C27" i="6"/>
  <c r="C24" i="6"/>
  <c r="C13" i="6"/>
  <c r="W24" i="6"/>
  <c r="V24" i="6"/>
  <c r="U24" i="6"/>
  <c r="T24" i="6"/>
  <c r="S24" i="6"/>
  <c r="R24" i="6"/>
  <c r="Q24" i="6"/>
  <c r="P24" i="6"/>
  <c r="V13" i="6"/>
  <c r="T13" i="6"/>
  <c r="R29" i="6"/>
  <c r="R28" i="6"/>
  <c r="R31" i="6"/>
  <c r="AA71" i="3"/>
  <c r="P71" i="3"/>
  <c r="M71" i="3"/>
  <c r="L71" i="3"/>
  <c r="O71" i="3"/>
  <c r="N71" i="3"/>
  <c r="K71" i="3"/>
  <c r="J71" i="3"/>
  <c r="I71" i="3"/>
  <c r="H71" i="3"/>
  <c r="G71" i="3"/>
  <c r="F71" i="3"/>
  <c r="E71" i="3"/>
  <c r="D71" i="3"/>
  <c r="C71" i="3"/>
  <c r="H6" i="8" l="1"/>
  <c r="H6" i="6"/>
  <c r="H19" i="6" s="1"/>
  <c r="H7" i="7"/>
  <c r="F11" i="18"/>
  <c r="AA24" i="5"/>
  <c r="X7" i="6"/>
  <c r="X14" i="6" s="1"/>
  <c r="AA14" i="5"/>
  <c r="AC104" i="3"/>
  <c r="AC122" i="3"/>
  <c r="D26" i="17"/>
  <c r="N124" i="3"/>
  <c r="I72" i="19"/>
  <c r="D18" i="17"/>
  <c r="J8" i="6"/>
  <c r="J15" i="6" s="1"/>
  <c r="I14" i="5"/>
  <c r="I7" i="6"/>
  <c r="I14" i="6" s="1"/>
  <c r="I24" i="5"/>
  <c r="J12" i="5"/>
  <c r="K6" i="5"/>
  <c r="C11" i="13"/>
  <c r="C19" i="10"/>
  <c r="H70" i="19"/>
  <c r="C16" i="17"/>
  <c r="C33" i="8"/>
  <c r="C21" i="7"/>
  <c r="C22" i="7"/>
  <c r="D21" i="7"/>
  <c r="D22" i="7"/>
  <c r="D16" i="17"/>
  <c r="D33" i="8"/>
  <c r="I70" i="19"/>
  <c r="E21" i="7"/>
  <c r="E22" i="7"/>
  <c r="J70" i="19"/>
  <c r="E33" i="8"/>
  <c r="E16" i="17"/>
  <c r="F22" i="7"/>
  <c r="F21" i="7"/>
  <c r="K70" i="19"/>
  <c r="F33" i="8"/>
  <c r="F16" i="17"/>
  <c r="C26" i="17"/>
  <c r="M124" i="3"/>
  <c r="H72" i="19"/>
  <c r="C18" i="17"/>
  <c r="I16" i="17"/>
  <c r="C16" i="16"/>
  <c r="G21" i="7"/>
  <c r="G22" i="7"/>
  <c r="D20" i="18"/>
  <c r="C21" i="18" s="1"/>
  <c r="G20" i="18"/>
  <c r="F21" i="18" s="1"/>
  <c r="D16" i="21"/>
  <c r="D11" i="21"/>
  <c r="E11" i="21"/>
  <c r="I39" i="17"/>
  <c r="C31" i="16"/>
  <c r="M159" i="3"/>
  <c r="M141" i="3"/>
  <c r="I40" i="17"/>
  <c r="C32" i="16"/>
  <c r="AC145" i="3"/>
  <c r="N159" i="3"/>
  <c r="N141" i="3"/>
  <c r="E5" i="12"/>
  <c r="E6" i="11"/>
  <c r="K7" i="5"/>
  <c r="AC79" i="3"/>
  <c r="C70" i="12" s="1"/>
  <c r="AA154" i="3"/>
  <c r="AA155" i="3" s="1"/>
  <c r="C67" i="12"/>
  <c r="C80" i="12"/>
  <c r="C46" i="12"/>
  <c r="AC184" i="3"/>
  <c r="AC183" i="3"/>
  <c r="AC168" i="3"/>
  <c r="AC169" i="3"/>
  <c r="F5" i="5"/>
  <c r="F3" i="17"/>
  <c r="K64" i="19"/>
  <c r="E5" i="6"/>
  <c r="E6" i="7"/>
  <c r="E17" i="5"/>
  <c r="E5" i="8"/>
  <c r="E6" i="14"/>
  <c r="D19" i="7"/>
  <c r="D27" i="7"/>
  <c r="D12" i="7"/>
  <c r="D34" i="7"/>
  <c r="D41" i="7"/>
  <c r="D24" i="6"/>
  <c r="D13" i="6"/>
  <c r="D32" i="8"/>
  <c r="D19" i="8"/>
  <c r="D26" i="8"/>
  <c r="D14" i="8"/>
  <c r="Q172" i="3"/>
  <c r="G63" i="17" s="1"/>
  <c r="D11" i="17"/>
  <c r="G58" i="17"/>
  <c r="E60" i="17"/>
  <c r="D58" i="17"/>
  <c r="D60" i="17"/>
  <c r="C58" i="17"/>
  <c r="N172" i="3"/>
  <c r="D63" i="17" s="1"/>
  <c r="C11" i="17"/>
  <c r="C60" i="17"/>
  <c r="P172" i="3"/>
  <c r="F63" i="17" s="1"/>
  <c r="G11" i="17"/>
  <c r="E11" i="17"/>
  <c r="M172" i="3"/>
  <c r="C63" i="17" s="1"/>
  <c r="O172" i="3"/>
  <c r="E63" i="17" s="1"/>
  <c r="F11" i="17"/>
  <c r="C22" i="11"/>
  <c r="C24" i="14"/>
  <c r="AC71" i="3"/>
  <c r="M166" i="3"/>
  <c r="C55" i="17" s="1"/>
  <c r="M155" i="3"/>
  <c r="M177" i="3"/>
  <c r="C68" i="17" s="1"/>
  <c r="M160" i="3"/>
  <c r="M162" i="3"/>
  <c r="C52" i="17" s="1"/>
  <c r="M165" i="3"/>
  <c r="C54" i="17" s="1"/>
  <c r="C7" i="17"/>
  <c r="N155" i="3"/>
  <c r="N160" i="3"/>
  <c r="N177" i="3"/>
  <c r="D68" i="17" s="1"/>
  <c r="N165" i="3"/>
  <c r="D54" i="17" s="1"/>
  <c r="D7" i="17"/>
  <c r="N166" i="3"/>
  <c r="D55" i="17" s="1"/>
  <c r="N162" i="3"/>
  <c r="D52" i="17" s="1"/>
  <c r="O162" i="3"/>
  <c r="E52" i="17" s="1"/>
  <c r="O177" i="3"/>
  <c r="E68" i="17" s="1"/>
  <c r="O165" i="3"/>
  <c r="E54" i="17" s="1"/>
  <c r="E7" i="17"/>
  <c r="O155" i="3"/>
  <c r="O166" i="3"/>
  <c r="E55" i="17" s="1"/>
  <c r="O160" i="3"/>
  <c r="P160" i="3"/>
  <c r="P177" i="3"/>
  <c r="F68" i="17" s="1"/>
  <c r="P165" i="3"/>
  <c r="F54" i="17" s="1"/>
  <c r="P155" i="3"/>
  <c r="P162" i="3"/>
  <c r="F52" i="17" s="1"/>
  <c r="P166" i="3"/>
  <c r="F55" i="17" s="1"/>
  <c r="F7" i="17"/>
  <c r="Q177" i="3"/>
  <c r="G68" i="17" s="1"/>
  <c r="Q165" i="3"/>
  <c r="G54" i="17" s="1"/>
  <c r="G7" i="17"/>
  <c r="Q155" i="3"/>
  <c r="Q166" i="3"/>
  <c r="G55" i="17" s="1"/>
  <c r="Q160" i="3"/>
  <c r="Q162" i="3"/>
  <c r="G52" i="17" s="1"/>
  <c r="AC164" i="3"/>
  <c r="AC163" i="3"/>
  <c r="AC153" i="3"/>
  <c r="AC152" i="3"/>
  <c r="AC151" i="3"/>
  <c r="G60" i="17"/>
  <c r="F58" i="17"/>
  <c r="F60" i="17"/>
  <c r="E58" i="17"/>
  <c r="P126" i="3"/>
  <c r="F28" i="17"/>
  <c r="F33" i="17" s="1"/>
  <c r="O126" i="3"/>
  <c r="E28" i="17"/>
  <c r="E33" i="17" s="1"/>
  <c r="Q126" i="3"/>
  <c r="O167" i="3"/>
  <c r="J69" i="19"/>
  <c r="G28" i="17"/>
  <c r="G33" i="17" s="1"/>
  <c r="E35" i="17"/>
  <c r="F35" i="17"/>
  <c r="P167" i="3"/>
  <c r="AC141" i="3"/>
  <c r="L69" i="19"/>
  <c r="Q141" i="3"/>
  <c r="L83" i="19" s="1"/>
  <c r="F52" i="16"/>
  <c r="I75" i="17"/>
  <c r="F53" i="16"/>
  <c r="I76" i="17"/>
  <c r="F54" i="16"/>
  <c r="I77" i="17"/>
  <c r="AC170" i="3"/>
  <c r="I6" i="17"/>
  <c r="C23" i="14"/>
  <c r="C56" i="12"/>
  <c r="AC173" i="3"/>
  <c r="AC176" i="3"/>
  <c r="I67" i="17" s="1"/>
  <c r="C33" i="12"/>
  <c r="C36" i="12" s="1"/>
  <c r="D33" i="12"/>
  <c r="D36" i="12" s="1"/>
  <c r="F33" i="12"/>
  <c r="F36" i="12" s="1"/>
  <c r="E33" i="12"/>
  <c r="E36" i="12" s="1"/>
  <c r="G33" i="12"/>
  <c r="G36" i="12" s="1"/>
  <c r="AC148" i="3"/>
  <c r="I46" i="17" s="1"/>
  <c r="AC147" i="3"/>
  <c r="I45" i="17" s="1"/>
  <c r="D10" i="8"/>
  <c r="G10" i="8"/>
  <c r="C12" i="12"/>
  <c r="C23" i="12"/>
  <c r="C18" i="12"/>
  <c r="C28" i="12"/>
  <c r="C10" i="8"/>
  <c r="F10" i="8"/>
  <c r="E10" i="8"/>
  <c r="H36" i="7" l="1"/>
  <c r="H45" i="7"/>
  <c r="H21" i="8" s="1"/>
  <c r="I91" i="17"/>
  <c r="C61" i="16"/>
  <c r="H18" i="6"/>
  <c r="H17" i="6"/>
  <c r="H42" i="7"/>
  <c r="H13" i="7"/>
  <c r="H28" i="7" s="1"/>
  <c r="I18" i="17"/>
  <c r="C18" i="16"/>
  <c r="I26" i="17"/>
  <c r="AC124" i="3"/>
  <c r="C22" i="16"/>
  <c r="I81" i="19"/>
  <c r="D28" i="17"/>
  <c r="D33" i="17" s="1"/>
  <c r="N126" i="3"/>
  <c r="I6" i="8"/>
  <c r="I6" i="6"/>
  <c r="I7" i="7"/>
  <c r="I6" i="12"/>
  <c r="I13" i="12" s="1"/>
  <c r="X6" i="6"/>
  <c r="AE14" i="5"/>
  <c r="AB6" i="6" s="1"/>
  <c r="K8" i="6"/>
  <c r="K15" i="6" s="1"/>
  <c r="J14" i="5"/>
  <c r="J7" i="6"/>
  <c r="J14" i="6" s="1"/>
  <c r="J24" i="5"/>
  <c r="H16" i="6"/>
  <c r="C23" i="7"/>
  <c r="D23" i="7"/>
  <c r="F23" i="7"/>
  <c r="K12" i="5"/>
  <c r="L6" i="5"/>
  <c r="C24" i="21"/>
  <c r="C26" i="21" s="1"/>
  <c r="I11" i="1" s="1"/>
  <c r="C54" i="12"/>
  <c r="I18" i="1" s="1"/>
  <c r="E23" i="7"/>
  <c r="G23" i="7"/>
  <c r="H81" i="19"/>
  <c r="M126" i="3"/>
  <c r="C28" i="17"/>
  <c r="C33" i="17" s="1"/>
  <c r="M167" i="3"/>
  <c r="H69" i="19"/>
  <c r="H83" i="19"/>
  <c r="C35" i="17"/>
  <c r="N167" i="3"/>
  <c r="I69" i="19"/>
  <c r="I83" i="19"/>
  <c r="D35" i="17"/>
  <c r="I41" i="17"/>
  <c r="C33" i="16"/>
  <c r="F18" i="1"/>
  <c r="C5" i="10"/>
  <c r="C7" i="10" s="1"/>
  <c r="AC154" i="3"/>
  <c r="AC172" i="3"/>
  <c r="F5" i="12"/>
  <c r="F6" i="11"/>
  <c r="L7" i="5"/>
  <c r="C83" i="12"/>
  <c r="C25" i="11"/>
  <c r="C49" i="12"/>
  <c r="G3" i="17"/>
  <c r="L64" i="19"/>
  <c r="G5" i="5"/>
  <c r="F5" i="8"/>
  <c r="F6" i="14"/>
  <c r="F6" i="7"/>
  <c r="F5" i="6"/>
  <c r="F17" i="5"/>
  <c r="E13" i="6"/>
  <c r="E24" i="6"/>
  <c r="E12" i="7"/>
  <c r="E34" i="7"/>
  <c r="E27" i="7"/>
  <c r="E41" i="7"/>
  <c r="E19" i="7"/>
  <c r="E14" i="8"/>
  <c r="E26" i="8"/>
  <c r="E19" i="8"/>
  <c r="E32" i="8"/>
  <c r="D28" i="12"/>
  <c r="D12" i="12"/>
  <c r="D18" i="12"/>
  <c r="D23" i="12"/>
  <c r="Q156" i="3"/>
  <c r="G12" i="17" s="1"/>
  <c r="Q157" i="3"/>
  <c r="G13" i="17" s="1"/>
  <c r="C8" i="17"/>
  <c r="D8" i="17"/>
  <c r="E8" i="17"/>
  <c r="F8" i="17"/>
  <c r="G8" i="17"/>
  <c r="C32" i="14"/>
  <c r="M156" i="3"/>
  <c r="C12" i="17" s="1"/>
  <c r="M157" i="3"/>
  <c r="C13" i="17" s="1"/>
  <c r="M161" i="3"/>
  <c r="N156" i="3"/>
  <c r="D12" i="17" s="1"/>
  <c r="N157" i="3"/>
  <c r="D13" i="17" s="1"/>
  <c r="N161" i="3"/>
  <c r="O156" i="3"/>
  <c r="E12" i="17" s="1"/>
  <c r="O157" i="3"/>
  <c r="E13" i="17" s="1"/>
  <c r="O161" i="3"/>
  <c r="P156" i="3"/>
  <c r="F12" i="17" s="1"/>
  <c r="P157" i="3"/>
  <c r="F13" i="17" s="1"/>
  <c r="P161" i="3"/>
  <c r="I10" i="17"/>
  <c r="I9" i="17"/>
  <c r="I53" i="17"/>
  <c r="I51" i="17"/>
  <c r="F30" i="17"/>
  <c r="F34" i="17" s="1"/>
  <c r="K82" i="19"/>
  <c r="E30" i="17"/>
  <c r="E34" i="17" s="1"/>
  <c r="J82" i="19"/>
  <c r="G30" i="17"/>
  <c r="G34" i="17" s="1"/>
  <c r="L82" i="19"/>
  <c r="I35" i="17"/>
  <c r="AC167" i="3"/>
  <c r="G35" i="17"/>
  <c r="Q167" i="3"/>
  <c r="I11" i="17"/>
  <c r="C10" i="16"/>
  <c r="F38" i="16"/>
  <c r="I58" i="17"/>
  <c r="F39" i="16"/>
  <c r="I59" i="17"/>
  <c r="F40" i="16"/>
  <c r="I60" i="17"/>
  <c r="F46" i="16"/>
  <c r="I66" i="17"/>
  <c r="C8" i="16"/>
  <c r="F6" i="1"/>
  <c r="C9" i="16"/>
  <c r="F7" i="1"/>
  <c r="C40" i="16"/>
  <c r="F11" i="1"/>
  <c r="F47" i="16"/>
  <c r="F16" i="1"/>
  <c r="F33" i="16"/>
  <c r="F20" i="1"/>
  <c r="F31" i="16"/>
  <c r="F19" i="1"/>
  <c r="F24" i="16"/>
  <c r="F14" i="1"/>
  <c r="C38" i="16"/>
  <c r="F9" i="1"/>
  <c r="C26" i="14"/>
  <c r="Q161" i="3"/>
  <c r="D27" i="8"/>
  <c r="D28" i="8" s="1"/>
  <c r="G27" i="8"/>
  <c r="G28" i="8" s="1"/>
  <c r="G7" i="14" s="1"/>
  <c r="G7" i="12"/>
  <c r="D7" i="12"/>
  <c r="C7" i="12"/>
  <c r="C27" i="8"/>
  <c r="C28" i="8" s="1"/>
  <c r="F7" i="12"/>
  <c r="F27" i="8"/>
  <c r="F28" i="8" s="1"/>
  <c r="E7" i="12"/>
  <c r="E27" i="8"/>
  <c r="E28" i="8" s="1"/>
  <c r="AE6" i="5"/>
  <c r="I90" i="17" l="1"/>
  <c r="C60" i="16"/>
  <c r="H20" i="6"/>
  <c r="H20" i="8"/>
  <c r="H44" i="7"/>
  <c r="J6" i="12"/>
  <c r="J6" i="8"/>
  <c r="J7" i="7"/>
  <c r="J6" i="6"/>
  <c r="J18" i="6" s="1"/>
  <c r="J13" i="12"/>
  <c r="I28" i="17"/>
  <c r="I33" i="17" s="1"/>
  <c r="C24" i="16"/>
  <c r="F22" i="16" s="1"/>
  <c r="F12" i="1"/>
  <c r="AC126" i="3"/>
  <c r="D30" i="17"/>
  <c r="D34" i="17" s="1"/>
  <c r="I82" i="19"/>
  <c r="I17" i="6"/>
  <c r="I18" i="6"/>
  <c r="I19" i="6"/>
  <c r="I13" i="7"/>
  <c r="I28" i="7" s="1"/>
  <c r="I42" i="7"/>
  <c r="I36" i="7"/>
  <c r="I45" i="7"/>
  <c r="I21" i="8" s="1"/>
  <c r="X19" i="6"/>
  <c r="AB19" i="6" s="1"/>
  <c r="AB15" i="6"/>
  <c r="X17" i="6"/>
  <c r="X18" i="6"/>
  <c r="AB18" i="6" s="1"/>
  <c r="H27" i="6"/>
  <c r="H8" i="7"/>
  <c r="H7" i="8"/>
  <c r="H8" i="8" s="1"/>
  <c r="H33" i="8" s="1"/>
  <c r="L8" i="6"/>
  <c r="L15" i="6" s="1"/>
  <c r="K14" i="5"/>
  <c r="K6" i="6" s="1"/>
  <c r="K7" i="6"/>
  <c r="K14" i="6" s="1"/>
  <c r="K24" i="5"/>
  <c r="L12" i="5"/>
  <c r="C30" i="17"/>
  <c r="C34" i="17" s="1"/>
  <c r="H82" i="19"/>
  <c r="C17" i="10"/>
  <c r="C16" i="10"/>
  <c r="AC155" i="3"/>
  <c r="AC166" i="3"/>
  <c r="AC177" i="3"/>
  <c r="AC162" i="3"/>
  <c r="AC165" i="3"/>
  <c r="F3" i="1"/>
  <c r="C6" i="16"/>
  <c r="I7" i="17"/>
  <c r="AC160" i="3"/>
  <c r="I63" i="17"/>
  <c r="C46" i="16"/>
  <c r="F17" i="1"/>
  <c r="G6" i="11"/>
  <c r="G5" i="12"/>
  <c r="H7" i="14"/>
  <c r="H5" i="5"/>
  <c r="G17" i="5"/>
  <c r="G5" i="6"/>
  <c r="G5" i="8"/>
  <c r="G6" i="7"/>
  <c r="G6" i="14"/>
  <c r="F19" i="8"/>
  <c r="F14" i="8"/>
  <c r="F26" i="8"/>
  <c r="F32" i="8"/>
  <c r="F27" i="7"/>
  <c r="F34" i="7"/>
  <c r="F41" i="7"/>
  <c r="F12" i="7"/>
  <c r="F19" i="7"/>
  <c r="F24" i="6"/>
  <c r="F13" i="6"/>
  <c r="E23" i="12"/>
  <c r="E18" i="12"/>
  <c r="E12" i="12"/>
  <c r="E28" i="12"/>
  <c r="F14" i="12"/>
  <c r="G14" i="12"/>
  <c r="E14" i="12"/>
  <c r="C34" i="12"/>
  <c r="D14" i="12"/>
  <c r="D7" i="11"/>
  <c r="D8" i="12"/>
  <c r="G7" i="11"/>
  <c r="G8" i="12"/>
  <c r="G34" i="12"/>
  <c r="D7" i="14"/>
  <c r="D34" i="12"/>
  <c r="C7" i="11"/>
  <c r="C8" i="12"/>
  <c r="C7" i="14"/>
  <c r="F34" i="12"/>
  <c r="F7" i="11"/>
  <c r="F8" i="12"/>
  <c r="F7" i="14"/>
  <c r="E34" i="12"/>
  <c r="E7" i="11"/>
  <c r="E8" i="12"/>
  <c r="E7" i="14"/>
  <c r="AE7" i="5"/>
  <c r="AB8" i="6" s="1"/>
  <c r="H26" i="5"/>
  <c r="I88" i="17" l="1"/>
  <c r="C58" i="16"/>
  <c r="H9" i="8"/>
  <c r="H10" i="8" s="1"/>
  <c r="H31" i="6"/>
  <c r="I20" i="6"/>
  <c r="J45" i="7"/>
  <c r="J21" i="8" s="1"/>
  <c r="J13" i="7"/>
  <c r="J28" i="7" s="1"/>
  <c r="J36" i="7"/>
  <c r="J42" i="7"/>
  <c r="H15" i="7"/>
  <c r="H30" i="7" s="1"/>
  <c r="H14" i="7"/>
  <c r="H29" i="7" s="1"/>
  <c r="I16" i="6"/>
  <c r="J19" i="6"/>
  <c r="J17" i="6"/>
  <c r="I20" i="8"/>
  <c r="I44" i="7"/>
  <c r="I30" i="17"/>
  <c r="I34" i="17" s="1"/>
  <c r="C26" i="16"/>
  <c r="F23" i="16" s="1"/>
  <c r="F13" i="1"/>
  <c r="X20" i="6"/>
  <c r="AB17" i="6"/>
  <c r="X16" i="6"/>
  <c r="X27" i="6" s="1"/>
  <c r="AB14" i="6"/>
  <c r="AB16" i="6" s="1"/>
  <c r="K6" i="8"/>
  <c r="K6" i="12"/>
  <c r="K13" i="12" s="1"/>
  <c r="K7" i="7"/>
  <c r="L14" i="5"/>
  <c r="L7" i="6"/>
  <c r="L14" i="6" s="1"/>
  <c r="L24" i="5"/>
  <c r="C20" i="10"/>
  <c r="C7" i="16"/>
  <c r="I8" i="17"/>
  <c r="AC157" i="3"/>
  <c r="F4" i="1"/>
  <c r="AC156" i="3"/>
  <c r="AC161" i="3"/>
  <c r="I55" i="17"/>
  <c r="C42" i="16"/>
  <c r="I68" i="17"/>
  <c r="F15" i="1"/>
  <c r="F48" i="16"/>
  <c r="I52" i="17"/>
  <c r="F8" i="1"/>
  <c r="C39" i="16"/>
  <c r="I54" i="17"/>
  <c r="F10" i="1"/>
  <c r="C41" i="16"/>
  <c r="H5" i="12"/>
  <c r="H6" i="11"/>
  <c r="I7" i="14"/>
  <c r="H17" i="5"/>
  <c r="I5" i="5"/>
  <c r="H6" i="14"/>
  <c r="G13" i="6"/>
  <c r="G24" i="6"/>
  <c r="H5" i="6"/>
  <c r="G19" i="8"/>
  <c r="G14" i="8"/>
  <c r="G26" i="8"/>
  <c r="H5" i="8"/>
  <c r="G32" i="8"/>
  <c r="G19" i="7"/>
  <c r="G34" i="7"/>
  <c r="G41" i="7"/>
  <c r="G12" i="7"/>
  <c r="G27" i="7"/>
  <c r="H6" i="7"/>
  <c r="F12" i="12"/>
  <c r="F28" i="12"/>
  <c r="F23" i="12"/>
  <c r="F18" i="12"/>
  <c r="F15" i="12"/>
  <c r="E15" i="12"/>
  <c r="G15" i="12"/>
  <c r="C35" i="12"/>
  <c r="D15" i="12"/>
  <c r="K18" i="6"/>
  <c r="K19" i="6"/>
  <c r="K17" i="6"/>
  <c r="D35" i="12"/>
  <c r="G35" i="12"/>
  <c r="F35" i="12"/>
  <c r="E35" i="12"/>
  <c r="AA26" i="5"/>
  <c r="I89" i="17" l="1"/>
  <c r="C59" i="16"/>
  <c r="H35" i="7"/>
  <c r="H22" i="8" s="1"/>
  <c r="J20" i="6"/>
  <c r="H7" i="12"/>
  <c r="H14" i="12" s="1"/>
  <c r="H27" i="8"/>
  <c r="H34" i="8"/>
  <c r="J16" i="6"/>
  <c r="I9" i="8"/>
  <c r="I31" i="6"/>
  <c r="J44" i="7"/>
  <c r="J20" i="8"/>
  <c r="K42" i="7"/>
  <c r="K13" i="7"/>
  <c r="K28" i="7" s="1"/>
  <c r="K36" i="7"/>
  <c r="K45" i="7"/>
  <c r="K21" i="8" s="1"/>
  <c r="L6" i="8"/>
  <c r="L7" i="7"/>
  <c r="I8" i="7"/>
  <c r="I7" i="8"/>
  <c r="I8" i="8" s="1"/>
  <c r="I27" i="6"/>
  <c r="X31" i="6"/>
  <c r="AB20" i="6"/>
  <c r="L6" i="12"/>
  <c r="L6" i="6"/>
  <c r="C41" i="12"/>
  <c r="C15" i="11"/>
  <c r="I17" i="1" s="1"/>
  <c r="C21" i="14"/>
  <c r="C62" i="12"/>
  <c r="C75" i="12"/>
  <c r="C12" i="16"/>
  <c r="I13" i="17"/>
  <c r="C11" i="16"/>
  <c r="I12" i="17"/>
  <c r="I5" i="12"/>
  <c r="I6" i="11"/>
  <c r="K20" i="6"/>
  <c r="J7" i="14"/>
  <c r="I17" i="5"/>
  <c r="J5" i="5"/>
  <c r="I6" i="14"/>
  <c r="G28" i="12"/>
  <c r="G12" i="12"/>
  <c r="G23" i="12"/>
  <c r="G18" i="12"/>
  <c r="H24" i="6"/>
  <c r="H13" i="6"/>
  <c r="I5" i="6"/>
  <c r="H19" i="8"/>
  <c r="H14" i="8"/>
  <c r="I5" i="8"/>
  <c r="H26" i="8"/>
  <c r="H32" i="8"/>
  <c r="H12" i="7"/>
  <c r="H19" i="7"/>
  <c r="I6" i="7"/>
  <c r="H27" i="7"/>
  <c r="H34" i="7"/>
  <c r="H41" i="7"/>
  <c r="K16" i="6"/>
  <c r="I26" i="5"/>
  <c r="J26" i="5"/>
  <c r="H28" i="8" l="1"/>
  <c r="J9" i="8"/>
  <c r="J31" i="6"/>
  <c r="J7" i="8"/>
  <c r="J8" i="8" s="1"/>
  <c r="J27" i="6"/>
  <c r="J8" i="7"/>
  <c r="K44" i="7"/>
  <c r="K20" i="8"/>
  <c r="L36" i="7"/>
  <c r="L42" i="7"/>
  <c r="L13" i="7"/>
  <c r="L28" i="7" s="1"/>
  <c r="L45" i="7"/>
  <c r="L21" i="8" s="1"/>
  <c r="I15" i="7"/>
  <c r="I30" i="7" s="1"/>
  <c r="I14" i="7"/>
  <c r="I29" i="7" s="1"/>
  <c r="I33" i="8"/>
  <c r="I10" i="8"/>
  <c r="C74" i="12"/>
  <c r="C77" i="12" s="1"/>
  <c r="C78" i="12" s="1"/>
  <c r="L13" i="12"/>
  <c r="C53" i="12"/>
  <c r="C57" i="12" s="1"/>
  <c r="C58" i="12" s="1"/>
  <c r="C7" i="13" s="1"/>
  <c r="I5" i="1" s="1"/>
  <c r="L16" i="6"/>
  <c r="L17" i="6"/>
  <c r="L18" i="6"/>
  <c r="L19" i="6"/>
  <c r="H10" i="14"/>
  <c r="I10" i="14"/>
  <c r="J6" i="11"/>
  <c r="J5" i="12"/>
  <c r="K9" i="8"/>
  <c r="K31" i="6"/>
  <c r="J10" i="14"/>
  <c r="K7" i="14"/>
  <c r="K8" i="7"/>
  <c r="K7" i="8"/>
  <c r="K8" i="8" s="1"/>
  <c r="K27" i="6"/>
  <c r="H23" i="12"/>
  <c r="H28" i="12"/>
  <c r="H12" i="12"/>
  <c r="H18" i="12"/>
  <c r="K5" i="5"/>
  <c r="J17" i="5"/>
  <c r="J6" i="14"/>
  <c r="I24" i="6"/>
  <c r="I13" i="6"/>
  <c r="J5" i="6"/>
  <c r="I14" i="8"/>
  <c r="J5" i="8"/>
  <c r="I19" i="8"/>
  <c r="I26" i="8"/>
  <c r="I32" i="8"/>
  <c r="I12" i="7"/>
  <c r="I34" i="7"/>
  <c r="I41" i="7"/>
  <c r="I19" i="7"/>
  <c r="I27" i="7"/>
  <c r="J6" i="7"/>
  <c r="I35" i="7" l="1"/>
  <c r="I22" i="8" s="1"/>
  <c r="H7" i="11"/>
  <c r="H10" i="11" s="1"/>
  <c r="H9" i="12" s="1"/>
  <c r="H8" i="12"/>
  <c r="H15" i="12" s="1"/>
  <c r="J10" i="8"/>
  <c r="J33" i="8"/>
  <c r="J15" i="7"/>
  <c r="J30" i="7" s="1"/>
  <c r="J14" i="7"/>
  <c r="J29" i="7" s="1"/>
  <c r="L44" i="7"/>
  <c r="L20" i="8"/>
  <c r="I34" i="8"/>
  <c r="I7" i="12"/>
  <c r="I14" i="12" s="1"/>
  <c r="I27" i="8"/>
  <c r="L20" i="6"/>
  <c r="K5" i="12"/>
  <c r="K6" i="11"/>
  <c r="K15" i="7"/>
  <c r="K14" i="7"/>
  <c r="K10" i="14"/>
  <c r="L7" i="14"/>
  <c r="K33" i="8"/>
  <c r="K10" i="8"/>
  <c r="L7" i="8"/>
  <c r="L8" i="8" s="1"/>
  <c r="L33" i="8" s="1"/>
  <c r="L8" i="7"/>
  <c r="I12" i="12"/>
  <c r="I23" i="12"/>
  <c r="I28" i="12"/>
  <c r="I18" i="12"/>
  <c r="L5" i="5"/>
  <c r="K17" i="5"/>
  <c r="K6" i="14"/>
  <c r="J13" i="6"/>
  <c r="J24" i="6"/>
  <c r="K5" i="6"/>
  <c r="K5" i="8"/>
  <c r="J14" i="8"/>
  <c r="J19" i="8"/>
  <c r="J26" i="8"/>
  <c r="J32" i="8"/>
  <c r="K6" i="7"/>
  <c r="J27" i="7"/>
  <c r="J19" i="7"/>
  <c r="J12" i="7"/>
  <c r="J41" i="7"/>
  <c r="J34" i="7"/>
  <c r="L27" i="6"/>
  <c r="K26" i="5"/>
  <c r="I28" i="8" l="1"/>
  <c r="J35" i="7"/>
  <c r="J22" i="8" s="1"/>
  <c r="J34" i="8"/>
  <c r="J27" i="8"/>
  <c r="J7" i="12"/>
  <c r="J14" i="12" s="1"/>
  <c r="K30" i="7"/>
  <c r="K29" i="7"/>
  <c r="L9" i="8"/>
  <c r="L10" i="8" s="1"/>
  <c r="L31" i="6"/>
  <c r="L5" i="12"/>
  <c r="L6" i="11"/>
  <c r="L10" i="14"/>
  <c r="C29" i="14" s="1"/>
  <c r="L8" i="14"/>
  <c r="L11" i="14" s="1"/>
  <c r="C30" i="14" s="1"/>
  <c r="K34" i="8"/>
  <c r="K7" i="12"/>
  <c r="K27" i="8"/>
  <c r="L14" i="7"/>
  <c r="L29" i="7" s="1"/>
  <c r="L15" i="7"/>
  <c r="L30" i="7" s="1"/>
  <c r="J12" i="12"/>
  <c r="J28" i="12"/>
  <c r="J23" i="12"/>
  <c r="J18" i="12"/>
  <c r="L17" i="5"/>
  <c r="L6" i="14"/>
  <c r="K13" i="6"/>
  <c r="K24" i="6"/>
  <c r="L5" i="6"/>
  <c r="K14" i="8"/>
  <c r="K19" i="8"/>
  <c r="L5" i="8"/>
  <c r="K26" i="8"/>
  <c r="K32" i="8"/>
  <c r="L6" i="7"/>
  <c r="K41" i="7"/>
  <c r="K34" i="7"/>
  <c r="K27" i="7"/>
  <c r="K19" i="7"/>
  <c r="K12" i="7"/>
  <c r="L26" i="5"/>
  <c r="I8" i="12" l="1"/>
  <c r="I15" i="12" s="1"/>
  <c r="I7" i="11"/>
  <c r="I10" i="11" s="1"/>
  <c r="I9" i="12" s="1"/>
  <c r="K35" i="7"/>
  <c r="K22" i="8" s="1"/>
  <c r="K28" i="8" s="1"/>
  <c r="J28" i="8"/>
  <c r="K14" i="12"/>
  <c r="C31" i="14"/>
  <c r="C34" i="14" s="1"/>
  <c r="C36" i="14" s="1"/>
  <c r="C16" i="14" s="1"/>
  <c r="I14" i="1" s="1"/>
  <c r="L34" i="8"/>
  <c r="L27" i="8"/>
  <c r="L7" i="12"/>
  <c r="L35" i="7"/>
  <c r="L22" i="8" s="1"/>
  <c r="K23" i="12"/>
  <c r="K18" i="12"/>
  <c r="K12" i="12"/>
  <c r="K28" i="12"/>
  <c r="L24" i="6"/>
  <c r="L13" i="6"/>
  <c r="L26" i="8"/>
  <c r="L19" i="8"/>
  <c r="L14" i="8"/>
  <c r="L32" i="8"/>
  <c r="L34" i="7"/>
  <c r="L41" i="7"/>
  <c r="L19" i="7"/>
  <c r="L27" i="7"/>
  <c r="L12" i="7"/>
  <c r="AC67" i="3"/>
  <c r="J8" i="12" l="1"/>
  <c r="J15" i="12" s="1"/>
  <c r="J7" i="11"/>
  <c r="J10" i="11" s="1"/>
  <c r="J9" i="12" s="1"/>
  <c r="L28" i="8"/>
  <c r="K7" i="11"/>
  <c r="K10" i="11" s="1"/>
  <c r="K9" i="12" s="1"/>
  <c r="K8" i="12"/>
  <c r="L14" i="12"/>
  <c r="C40" i="12"/>
  <c r="C43" i="12" s="1"/>
  <c r="C44" i="12" s="1"/>
  <c r="L28" i="12"/>
  <c r="L23" i="12"/>
  <c r="L18" i="12"/>
  <c r="L12" i="12"/>
  <c r="K15" i="12" l="1"/>
  <c r="C79" i="12"/>
  <c r="C82" i="12" s="1"/>
  <c r="C84" i="12" s="1"/>
  <c r="C9" i="13" s="1"/>
  <c r="I7" i="1" s="1"/>
  <c r="C45" i="12"/>
  <c r="C48" i="12" s="1"/>
  <c r="C50" i="12" s="1"/>
  <c r="C6" i="13" s="1"/>
  <c r="I4" i="1" s="1"/>
  <c r="L8" i="12"/>
  <c r="L7" i="11"/>
  <c r="L15" i="12" l="1"/>
  <c r="C61" i="12"/>
  <c r="C64" i="12" s="1"/>
  <c r="C65" i="12" s="1"/>
  <c r="C66" i="12" s="1"/>
  <c r="C69" i="12" s="1"/>
  <c r="C71" i="12" s="1"/>
  <c r="C8" i="13" s="1"/>
  <c r="I6" i="1" s="1"/>
  <c r="L8" i="11"/>
  <c r="L11" i="11" s="1"/>
  <c r="C20" i="11" s="1"/>
  <c r="L10" i="11"/>
  <c r="L9" i="12" l="1"/>
  <c r="C19" i="11"/>
  <c r="C21" i="11" s="1"/>
  <c r="C24" i="11" s="1"/>
  <c r="C26" i="11" s="1"/>
  <c r="C5" i="13" s="1"/>
  <c r="I3" i="1" l="1"/>
  <c r="C10" i="13"/>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5"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7"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<sst xmlns="http://schemas.openxmlformats.org/spreadsheetml/2006/main" count="849" uniqueCount="442">
  <si>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</si>
  <si>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</si>
  <si>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</si>
  <si>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</si>
  <si>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</si>
  <si>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</si>
  <si>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</si>
  <si>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</si>
  <si>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</si>
  <si>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</si>
  <si>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</si>
  <si>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</si>
  <si>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</si>
  <si>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</si>
  <si>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</si>
  <si>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</si>
  <si>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</si>
  <si>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</si>
  <si>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</si>
  <si>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</si>
  <si>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</si>
  <si>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</si>
  <si>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</si>
  <si>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</si>
  <si>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</si>
  <si>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</si>
  <si>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</si>
  <si>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</si>
  <si>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</si>
  <si>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</si>
  <si>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</si>
  <si>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</si>
  <si>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</si>
  <si>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</si>
  <si>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</si>
  <si>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</si>
  <si>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</si>
  <si>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</si>
  <si>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</si>
  <si>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</si>
  <si>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</si>
  <si>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</si>
  <si>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</si>
  <si>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</si>
  <si>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</si>
  <si>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</si>
  <si>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</si>
  <si>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</si>
  <si>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</si>
  <si>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</si>
  <si>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</si>
  <si>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</si>
  <si>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</si>
  <si>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</si>
  <si>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</si>
  <si>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</si>
  <si>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</si>
  <si>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</si>
  <si>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</si>
  <si>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</si>
  <si>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</si>
  <si>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</si>
  <si>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</si>
  <si>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</si>
  <si>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</si>
  <si>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</si>
  <si>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</si>
  <si>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</si>
  <si>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</si>
  <si>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</si>
  <si>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</si>
  <si>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</si>
  <si>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</si>
  <si>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</si>
  <si>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</si>
  <si>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</si>
  <si>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</si>
  <si>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</si>
  <si>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</si>
  <si>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</si>
  <si>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</si>
  <si>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</si>
  <si>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</si>
  <si>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</si>
  <si>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</si>
  <si>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</si>
  <si>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</si>
  <si>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</si>
  <si>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</si>
  <si>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</si>
  <si>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</si>
  <si>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</si>
  <si>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</si>
  <si>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</si>
  <si>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</si>
  <si>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</si>
  <si>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</si>
  <si>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</si>
  <si>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</si>
  <si>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</si>
  <si>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Subscription services</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</si>
  <si>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</si>
  <si>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</si>
  <si>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</si>
  <si>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</si>
  <si>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</si>
  <si>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</si>
  <si>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</si>
  <si>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</si>
  <si>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</si>
  <si>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</si>
  <si>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</si>
  <si>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</si>
  <si>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</si>
  <si>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</si>
  <si>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</si>
  <si>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</si>
  <si>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</si>
  <si>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</si>
  <si>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</si>
  <si>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</si>
  <si>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</si>
  <si>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</si>
  <si>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</si>
  <si>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</si>
  <si>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</si>
  <si>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</si>
  <si>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</si>
  <si>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</si>
  <si>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</si>
  <si>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</si>
  <si>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</si>
  <si>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</si>
  <si>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</si>
  <si>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</si>
  <si>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</si>
  <si>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</si>
  <si>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</si>
  <si>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</si>
  <si>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</si>
  <si>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</si>
  <si>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</si>
  <si>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</si>
  <si>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</si>
  <si>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</si>
  <si>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</si>
  <si>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</si>
  <si>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</si>
  <si>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</si>
  <si>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</si>
  <si>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</si>
  <si>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</si>
  <si>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</si>
  <si>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</si>
  <si>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</si>
  <si>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</si>
  <si>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</si>
  <si>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</si>
  <si>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</si>
  <si>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</si>
  <si>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</si>
  <si>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</si>
  <si>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</si>
  <si>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</si>
  <si>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</si>
  <si>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</si>
  <si>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</si>
  <si>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</si>
  <si>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</si>
  <si>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</si>
  <si>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</si>
  <si>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</si>
  <si>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</si>
  <si>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</si>
  <si>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</si>
  <si>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</si>
  <si>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</si>
  <si>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</si>
  <si>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</si>
  <si>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</si>
  <si>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</si>
  <si>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</si>
  <si>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</si>
  <si>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</si>
  <si>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</si>
  <si>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</si>
  <si>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</si>
  <si>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</si>
  <si>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</si>
  <si>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</si>
  <si>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</si>
  <si>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</si>
  <si>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</si>
  <si>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</si>
  <si>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</si>
  <si>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</si>
  <si>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</si>
  <si>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</si>
  <si>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</si>
  <si>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</si>
  <si>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</si>
  <si>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</si>
  <si>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</si>
  <si>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</si>
  <si>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</si>
  <si>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</si>
  <si>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</si>
  <si>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</si>
  <si>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</si>
  <si>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</si>
  <si>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</si>
  <si>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</si>
  <si>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</si>
  <si>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</si>
  <si>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</si>
  <si>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</si>
  <si>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</si>
  <si>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</si>
  <si>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</si>
  <si>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</si>
  <si>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</si>
  <si>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</si>
  <si>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</si>
  <si>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</si>
  <si>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</si>
  <si>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</si>
  <si>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</si>
  <si>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</si>
  <si>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</si>
  <si>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</si>
  <si>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</si>
  <si>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</si>
  <si>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</si>
  <si>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</si>
  <si>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</si>
  <si>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</si>
  <si>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</si>
  <si>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</si>
  <si>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</si>
  <si>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</si>
  <si>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</si>
  <si>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</si>
  <si>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</si>
  <si>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</si>
  <si>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</si>
  <si>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</si>
  <si>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</si>
  <si>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</si>
  <si>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</si>
  <si>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</si>
  <si>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</si>
  <si>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</si>
  <si>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</si>
  <si>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</si>
  <si>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</si>
  <si>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</si>
  <si>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</si>
  <si>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</si>
  <si>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</si>
  <si>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</si>
  <si>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</si>
  <si>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</si>
  <si>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</si>
  <si>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</si>
  <si>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</si>
  <si>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</si>
  <si>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</si>
  <si>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</si>
  <si>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</si>
  <si>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</si>
  <si>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</si>
  <si>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</si>
  <si>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</si>
  <si>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</si>
  <si>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</si>
  <si>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</si>
  <si>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</si>
  <si>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</si>
  <si>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</si>
  <si>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</si>
  <si>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</si>
  <si>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</si>
  <si>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</si>
  <si>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</si>
  <si>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</si>
  <si>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</si>
  <si>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</si>
  <si>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</si>
  <si>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</si>
  <si>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</si>
  <si>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</si>
  <si>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</si>
  <si>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</si>
  <si>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</si>
  <si>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</si>
  <si>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</si>
  <si>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</si>
  <si>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</si>
  <si>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</si>
  <si>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</si>
  <si>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</si>
  <si>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</si>
  <si>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</si>
  <si>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</si>
  <si>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</si>
  <si>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</si>
  <si>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</si>
  <si>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</si>
  <si>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</si>
  <si>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</si>
  <si>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</si>
  <si>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</si>
  <si>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</si>
  <si>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</si>
  <si>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</si>
  <si>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</si>
  <si>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</si>
  <si>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</si>
  <si>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</si>
  <si>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</si>
  <si>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</si>
  <si>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</si>
  <si>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</si>
  <si>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</si>
  <si>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</si>
  <si>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</si>
  <si>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</si>
  <si>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</si>
  <si>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</si>
  <si>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</si>
  <si>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</si>
  <si>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</si>
  <si>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</si>
  <si>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</si>
  <si>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</si>
  <si>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</si>
  <si>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</si>
  <si>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</si>
  <si>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</si>
  <si>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</si>
  <si>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</si>
  <si>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</si>
  <si>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</si>
  <si>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</si>
  <si>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</si>
  <si>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</si>
  <si>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</si>
  <si>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</si>
  <si>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</si>
  <si>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</si>
  <si>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</si>
  <si>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</si>
  <si>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</si>
  <si>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</si>
  <si>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</si>
  <si>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</si>
  <si>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</si>
  <si>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Q4 2024</t>
  </si>
  <si>
    <t>Q1 2025</t>
  </si>
  <si>
    <t>-</t>
  </si>
  <si>
    <t>Subscription Growth Rate</t>
  </si>
  <si>
    <t>Manual Cost of Equity</t>
  </si>
  <si>
    <t>DDM price</t>
  </si>
  <si>
    <t>Dividend discount model</t>
  </si>
  <si>
    <t>Dividend per share</t>
  </si>
  <si>
    <t>Ratios</t>
  </si>
  <si>
    <t>Payout</t>
  </si>
  <si>
    <t>DDM valuation</t>
  </si>
  <si>
    <t>Latest dividend</t>
  </si>
  <si>
    <t>Year 1 growth rate</t>
  </si>
  <si>
    <t>Year 1 dividend</t>
  </si>
  <si>
    <t>Perpetual dividend growth</t>
  </si>
  <si>
    <t>Terminal EV</t>
  </si>
  <si>
    <t>PV of Terminal EV</t>
  </si>
  <si>
    <t>Total EV</t>
  </si>
  <si>
    <t>Year 5 FCFF</t>
  </si>
  <si>
    <t>EV/Sales</t>
  </si>
  <si>
    <t>EV/Sales valuation</t>
  </si>
  <si>
    <t>Year 5 Sales</t>
  </si>
  <si>
    <t>Applied EV/Sales ratio</t>
  </si>
  <si>
    <t>EV/Sales price</t>
  </si>
  <si>
    <t>Reverse DCF rate</t>
  </si>
  <si>
    <t>Q3 2026</t>
  </si>
  <si>
    <t>18.09.2026</t>
  </si>
  <si>
    <t>Discount rates used</t>
  </si>
  <si>
    <t>Cost of Equity</t>
  </si>
  <si>
    <t>Links</t>
  </si>
  <si>
    <t>Financials -&gt;'!B13</t>
  </si>
  <si>
    <t>Analysis -&gt;'!B13</t>
  </si>
  <si>
    <t>Forecast -&gt;'!B13</t>
  </si>
  <si>
    <t>Valuation -&gt;'!B13</t>
  </si>
  <si>
    <t>Overview'!B3</t>
  </si>
  <si>
    <t>Reverse DCF price</t>
  </si>
  <si>
    <t>Be Earth's most customer-centric company</t>
  </si>
  <si>
    <t>Ernst &amp; Young</t>
  </si>
  <si>
    <t>31.12.2025</t>
  </si>
  <si>
    <t>31.12.2024</t>
  </si>
  <si>
    <t>31.12.2023</t>
  </si>
  <si>
    <t>31.12.2022</t>
  </si>
  <si>
    <t>31.12.2021</t>
  </si>
  <si>
    <t>Tech and infra</t>
  </si>
  <si>
    <t>Other expenses/income</t>
  </si>
  <si>
    <t>Taken out 11526 due to paper gains from Rivian and recalculate income lines</t>
  </si>
  <si>
    <t>Added 13870 due to Rivian paper loss and recalculated net income lines</t>
  </si>
  <si>
    <t>FY 2022</t>
  </si>
  <si>
    <t>FY 2021</t>
  </si>
  <si>
    <t>FY 2025</t>
  </si>
  <si>
    <t>Taken out 13000 due to paper gains from Anthropic</t>
  </si>
  <si>
    <t>30.06.2026</t>
  </si>
  <si>
    <t>30.06.2025</t>
  </si>
  <si>
    <t>Taken out 50486 due to paper gains from Anthropic</t>
  </si>
  <si>
    <t>31.03.2026</t>
  </si>
  <si>
    <t>31.03.2025</t>
  </si>
  <si>
    <t>Taken out 12328 due to paper gains from Anthropic</t>
  </si>
  <si>
    <t>30.09.2025</t>
  </si>
  <si>
    <t>Taken out 9000 due to paper gains from Anthropic</t>
  </si>
  <si>
    <t>Online Stores</t>
  </si>
  <si>
    <t>Physical Stores</t>
  </si>
  <si>
    <t>Advertising services</t>
  </si>
  <si>
    <t>Third party seller services</t>
  </si>
  <si>
    <t>Other</t>
  </si>
  <si>
    <t>Retail</t>
  </si>
  <si>
    <t>AWS</t>
  </si>
  <si>
    <t>EBIT Lower</t>
  </si>
  <si>
    <t>EBIT Upper</t>
  </si>
  <si>
    <t>Actual EBIT</t>
  </si>
  <si>
    <t>Online Stores Growth Rate</t>
  </si>
  <si>
    <t>Physical Stores Growth Rate</t>
  </si>
  <si>
    <t>Third party Growth Rate</t>
  </si>
  <si>
    <t>Advertising Growth Rate</t>
  </si>
  <si>
    <t>Other Growth Rate</t>
  </si>
  <si>
    <t>SUM of all the above</t>
  </si>
  <si>
    <t>AWS Growth Rate</t>
  </si>
  <si>
    <t>SUM of Retail and AWS</t>
  </si>
  <si>
    <t>Retail Store</t>
  </si>
  <si>
    <t>Cost of Sales COGS</t>
  </si>
  <si>
    <t>Fulfillment COGS</t>
  </si>
  <si>
    <t>FCF ratios</t>
  </si>
  <si>
    <t>FCFF/Sales</t>
  </si>
  <si>
    <t>FCFE/Sales</t>
  </si>
  <si>
    <t>Other standard growth rates</t>
  </si>
  <si>
    <t>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</si>
</sst>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6"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theme="5"/>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5" fillId="0" borderId="0" applyNumberFormat="0" applyFill="0" applyBorder="0" applyAlignment="0" applyProtection="0"/>
  </cellStyleXfs>
  <cellXfs count="269">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38" fontId="22" fillId="12" borderId="0" xfId="0" applyNumberFormat="1" applyFont="1" applyFill="1"/>
    <xf numFmtId="38" fontId="22" fillId="12" borderId="14" xfId="0" applyNumberFormat="1" applyFont="1" applyFill="1" applyBorder="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3"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4" fillId="12" borderId="0" xfId="0" applyNumberFormat="1" applyFont="1" applyFill="1"/>
    <xf numFmtId="168" fontId="24" fillId="12" borderId="14" xfId="0" applyNumberFormat="1" applyFont="1" applyFill="1" applyBorder="1"/>
    <xf numFmtId="168" fontId="24"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5" fillId="8" borderId="25" xfId="2" quotePrefix="1" applyFill="1" applyBorder="1" applyAlignment="1">
      <alignment horizontal="center"/>
    </xf>
    <xf numFmtId="0" fontId="25"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167" fontId="0" fillId="17" borderId="4" xfId="0" applyNumberFormat="1" applyFill="1" applyBorder="1"/>
    <xf numFmtId="37" fontId="8" fillId="2" borderId="0" xfId="0" applyNumberFormat="1" applyFont="1" applyFill="1"/>
    <xf numFmtId="38" fontId="8" fillId="2" borderId="0" xfId="0" applyNumberFormat="1" applyFont="1" applyFill="1"/>
    <xf numFmtId="10" fontId="7" fillId="2" borderId="0" xfId="1" applyNumberFormat="1" applyFont="1" applyFill="1"/>
    <xf numFmtId="3" fontId="7" fillId="18" borderId="27" xfId="0" applyNumberFormat="1" applyFont="1" applyFill="1" applyBorder="1"/>
    <xf numFmtId="3" fontId="7" fillId="18" borderId="4" xfId="0" applyNumberFormat="1" applyFont="1" applyFill="1" applyBorder="1"/>
    <xf numFmtId="0" fontId="20" fillId="7" borderId="16" xfId="0" applyFont="1" applyFill="1" applyBorder="1" applyAlignment="1">
      <alignment horizontal="left" indent="1"/>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20" fillId="17" borderId="5" xfId="1" applyNumberFormat="1" applyFont="1" applyFill="1" applyBorder="1" applyAlignment="1">
      <alignment horizontal="center"/>
    </xf>
    <xf numFmtId="168" fontId="20"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xf numFmtId="38" fontId="9" fillId="19" borderId="0" xfId="0" applyNumberFormat="1" applyFont="1" applyFill="1"/>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Year'!$H$63:$L$63</c:f>
              <c:strCache>
                <c:ptCount val="5"/>
                <c:pt idx="0">
                  <c:v>31.12.2021</c:v>
                </c:pt>
                <c:pt idx="1">
                  <c:v>31.12.2022</c:v>
                </c:pt>
                <c:pt idx="2">
                  <c:v>31.12.2023</c:v>
                </c:pt>
                <c:pt idx="3">
                  <c:v>31.12.2024</c:v>
                </c:pt>
                <c:pt idx="4">
                  <c:v>31.12.2025</c:v>
                </c:pt>
              </c:strCache>
            </c:strRef>
          </c:cat>
          <c:val>
            <c:numRef>
              <c:f>'Graphs Year'!$H$65:$L$65</c:f>
              <c:numCache>
                <c:formatCode>#,##0_);[Red]\(#,##0\)</c:formatCode>
                <c:ptCount val="5"/>
                <c:pt idx="0">
                  <c:v>469822</c:v>
                </c:pt>
                <c:pt idx="1">
                  <c:v>513983</c:v>
                </c:pt>
                <c:pt idx="2">
                  <c:v>574785</c:v>
                </c:pt>
                <c:pt idx="3">
                  <c:v>637959</c:v>
                </c:pt>
                <c:pt idx="4">
                  <c:v>716924</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Year'!$H$63:$L$63</c:f>
              <c:strCache>
                <c:ptCount val="5"/>
                <c:pt idx="0">
                  <c:v>31.12.2021</c:v>
                </c:pt>
                <c:pt idx="1">
                  <c:v>31.12.2022</c:v>
                </c:pt>
                <c:pt idx="2">
                  <c:v>31.12.2023</c:v>
                </c:pt>
                <c:pt idx="3">
                  <c:v>31.12.2024</c:v>
                </c:pt>
                <c:pt idx="4">
                  <c:v>31.12.2025</c:v>
                </c:pt>
              </c:strCache>
            </c:strRef>
          </c:cat>
          <c:val>
            <c:numRef>
              <c:f>'Graphs Year'!$H$66:$L$66</c:f>
              <c:numCache>
                <c:formatCode>#,##0_);\(#,##0\)</c:formatCode>
                <c:ptCount val="5"/>
                <c:pt idx="0">
                  <c:v>24879</c:v>
                </c:pt>
                <c:pt idx="1">
                  <c:v>12248</c:v>
                </c:pt>
                <c:pt idx="2">
                  <c:v>36852</c:v>
                </c:pt>
                <c:pt idx="3">
                  <c:v>68593</c:v>
                </c:pt>
                <c:pt idx="4">
                  <c:v>79975</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Year'!$H$63:$L$63</c:f>
              <c:strCache>
                <c:ptCount val="5"/>
                <c:pt idx="0">
                  <c:v>31.12.2021</c:v>
                </c:pt>
                <c:pt idx="1">
                  <c:v>31.12.2022</c:v>
                </c:pt>
                <c:pt idx="2">
                  <c:v>31.12.2023</c:v>
                </c:pt>
                <c:pt idx="3">
                  <c:v>31.12.2024</c:v>
                </c:pt>
                <c:pt idx="4">
                  <c:v>31.12.2025</c:v>
                </c:pt>
              </c:strCache>
            </c:strRef>
          </c:cat>
          <c:val>
            <c:numRef>
              <c:f>'Graphs Year'!$H$67:$L$67</c:f>
              <c:numCache>
                <c:formatCode>#,##0_);\(#,##0\)</c:formatCode>
                <c:ptCount val="5"/>
                <c:pt idx="0">
                  <c:v>21838</c:v>
                </c:pt>
                <c:pt idx="1">
                  <c:v>11148</c:v>
                </c:pt>
                <c:pt idx="2">
                  <c:v>30425</c:v>
                </c:pt>
                <c:pt idx="3">
                  <c:v>59248</c:v>
                </c:pt>
                <c:pt idx="4">
                  <c:v>64670</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-27483</c:v>
                </c:pt>
                <c:pt idx="1">
                  <c:v>-36514</c:v>
                </c:pt>
                <c:pt idx="2">
                  <c:v>8194</c:v>
                </c:pt>
                <c:pt idx="3">
                  <c:v>10867</c:v>
                </c:pt>
                <c:pt idx="4">
                  <c:v>-11772</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#,##0_);\(#,##0\)</c:formatCode>
                <c:ptCount val="5"/>
                <c:pt idx="0">
                  <c:v>-25828.818366197185</c:v>
                </c:pt>
                <c:pt idx="1">
                  <c:v>-30362</c:v>
                </c:pt>
                <c:pt idx="2">
                  <c:v>14258.652847671532</c:v>
                </c:pt>
                <c:pt idx="3">
                  <c:v>13585.835645786574</c:v>
                </c:pt>
                <c:pt idx="4">
                  <c:v>-24162.381563497052</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c:formatCode>
                <c:ptCount val="5"/>
                <c:pt idx="0">
                  <c:v>0.26045395915900066</c:v>
                </c:pt>
                <c:pt idx="1">
                  <c:v>0.27404213758042584</c:v>
                </c:pt>
                <c:pt idx="2">
                  <c:v>0.31216367859286515</c:v>
                </c:pt>
                <c:pt idx="3">
                  <c:v>0.33413746024431035</c:v>
                </c:pt>
                <c:pt idx="4">
                  <c:v>0.35071499907940035</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c:formatCode>
                <c:ptCount val="5"/>
                <c:pt idx="0">
                  <c:v>5.2954097509269465E-2</c:v>
                </c:pt>
                <c:pt idx="1">
                  <c:v>2.3829581912242232E-2</c:v>
                </c:pt>
                <c:pt idx="2">
                  <c:v>6.4114407996033296E-2</c:v>
                </c:pt>
                <c:pt idx="3">
                  <c:v>0.1075194487420038</c:v>
                </c:pt>
                <c:pt idx="4">
                  <c:v>0.11155296795755199</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c:formatCode>
                <c:ptCount val="5"/>
                <c:pt idx="0">
                  <c:v>4.6481433393923653E-2</c:v>
                </c:pt>
                <c:pt idx="1">
                  <c:v>2.1689433308105521E-2</c:v>
                </c:pt>
                <c:pt idx="2">
                  <c:v>5.2932835755978319E-2</c:v>
                </c:pt>
                <c:pt idx="3">
                  <c:v>9.2871171971866534E-2</c:v>
                </c:pt>
                <c:pt idx="4">
                  <c:v>9.0204819478773207E-2</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 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Online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Year'!$H$73:$L$73</c:f>
              <c:numCache>
                <c:formatCode>#,##0_);\(#,##0\)</c:formatCode>
                <c:ptCount val="5"/>
                <c:pt idx="0">
                  <c:v>222075</c:v>
                </c:pt>
                <c:pt idx="1">
                  <c:v>220004</c:v>
                </c:pt>
                <c:pt idx="2">
                  <c:v>231872</c:v>
                </c:pt>
                <c:pt idx="3">
                  <c:v>247029</c:v>
                </c:pt>
                <c:pt idx="4">
                  <c:v>269287</c:v>
                </c:pt>
              </c:numCache>
            </c:numRef>
          </c:val>
          <c:extLst>
            <c:ext xmlns:c16="http://schemas.microsoft.com/office/drawing/2014/chart" uri="{C3380CC4-5D6E-409C-BE32-E72D297353CC}">
              <c16:uniqueId val="{00000000-CDE5-154C-8153-319428CD8714}"/>
            </c:ext>
          </c:extLst>
        </c:ser>
        <c:ser>
          <c:idx val="1"/>
          <c:order val="1"/>
          <c:tx>
            <c:v>Physical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Year'!$H$74:$L$74</c:f>
              <c:numCache>
                <c:formatCode>#,##0_);\(#,##0\)</c:formatCode>
                <c:ptCount val="5"/>
                <c:pt idx="0">
                  <c:v>17075</c:v>
                </c:pt>
                <c:pt idx="1">
                  <c:v>18963</c:v>
                </c:pt>
                <c:pt idx="2">
                  <c:v>20030</c:v>
                </c:pt>
                <c:pt idx="3">
                  <c:v>21215</c:v>
                </c:pt>
                <c:pt idx="4">
                  <c:v>22561</c:v>
                </c:pt>
              </c:numCache>
            </c:numRef>
          </c:val>
          <c:extLst>
            <c:ext xmlns:c16="http://schemas.microsoft.com/office/drawing/2014/chart" uri="{C3380CC4-5D6E-409C-BE32-E72D297353CC}">
              <c16:uniqueId val="{00000001-CDE5-154C-8153-319428CD8714}"/>
            </c:ext>
          </c:extLst>
        </c:ser>
        <c:ser>
          <c:idx val="2"/>
          <c:order val="2"/>
          <c:tx>
            <c:v>3rd Party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Year'!$H$75:$L$75</c:f>
              <c:numCache>
                <c:formatCode>#,##0_);\(#,##0\)</c:formatCode>
                <c:ptCount val="5"/>
                <c:pt idx="0">
                  <c:v>103366</c:v>
                </c:pt>
                <c:pt idx="1">
                  <c:v>117716</c:v>
                </c:pt>
                <c:pt idx="2">
                  <c:v>140053</c:v>
                </c:pt>
                <c:pt idx="3">
                  <c:v>156146</c:v>
                </c:pt>
                <c:pt idx="4">
                  <c:v>172162</c:v>
                </c:pt>
              </c:numCache>
            </c:numRef>
          </c:val>
          <c:extLst>
            <c:ext xmlns:c16="http://schemas.microsoft.com/office/drawing/2014/chart" uri="{C3380CC4-5D6E-409C-BE32-E72D297353CC}">
              <c16:uniqueId val="{00000002-CDE5-154C-8153-319428CD8714}"/>
            </c:ext>
          </c:extLst>
        </c:ser>
        <c:ser>
          <c:idx val="3"/>
          <c:order val="3"/>
          <c:tx>
            <c:v>Advertising</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Year'!$H$76:$L$76</c:f>
              <c:numCache>
                <c:formatCode>#,##0_);\(#,##0\)</c:formatCode>
                <c:ptCount val="5"/>
                <c:pt idx="0">
                  <c:v>31160</c:v>
                </c:pt>
                <c:pt idx="1">
                  <c:v>37739</c:v>
                </c:pt>
                <c:pt idx="2">
                  <c:v>46906</c:v>
                </c:pt>
                <c:pt idx="3">
                  <c:v>56214</c:v>
                </c:pt>
                <c:pt idx="4">
                  <c:v>68635</c:v>
                </c:pt>
              </c:numCache>
            </c:numRef>
          </c:val>
          <c:extLst>
            <c:ext xmlns:c16="http://schemas.microsoft.com/office/drawing/2014/chart" uri="{C3380CC4-5D6E-409C-BE32-E72D297353CC}">
              <c16:uniqueId val="{00000000-5B06-4D48-8564-AEF0D762C3A4}"/>
            </c:ext>
          </c:extLst>
        </c:ser>
        <c:ser>
          <c:idx val="4"/>
          <c:order val="4"/>
          <c:tx>
            <c:v>Subscription</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Year'!$H$77:$L$77</c:f>
              <c:numCache>
                <c:formatCode>#,##0_);\(#,##0\)</c:formatCode>
                <c:ptCount val="5"/>
                <c:pt idx="0">
                  <c:v>31768</c:v>
                </c:pt>
                <c:pt idx="1">
                  <c:v>35218</c:v>
                </c:pt>
                <c:pt idx="2">
                  <c:v>40209</c:v>
                </c:pt>
                <c:pt idx="3">
                  <c:v>44374</c:v>
                </c:pt>
                <c:pt idx="4">
                  <c:v>49619</c:v>
                </c:pt>
              </c:numCache>
            </c:numRef>
          </c:val>
          <c:extLst>
            <c:ext xmlns:c16="http://schemas.microsoft.com/office/drawing/2014/chart" uri="{C3380CC4-5D6E-409C-BE32-E72D297353CC}">
              <c16:uniqueId val="{00000001-5B06-4D48-8564-AEF0D762C3A4}"/>
            </c:ext>
          </c:extLst>
        </c:ser>
        <c:ser>
          <c:idx val="5"/>
          <c:order val="5"/>
          <c:tx>
            <c:v>Other</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Year'!$H$78:$L$78</c:f>
              <c:numCache>
                <c:formatCode>#,##0_);\(#,##0\)</c:formatCode>
                <c:ptCount val="5"/>
                <c:pt idx="0">
                  <c:v>2176</c:v>
                </c:pt>
                <c:pt idx="1">
                  <c:v>4247</c:v>
                </c:pt>
                <c:pt idx="2">
                  <c:v>4958</c:v>
                </c:pt>
                <c:pt idx="3">
                  <c:v>5425</c:v>
                </c:pt>
                <c:pt idx="4">
                  <c:v>5935</c:v>
                </c:pt>
              </c:numCache>
            </c:numRef>
          </c:val>
          <c:extLst>
            <c:ext xmlns:c16="http://schemas.microsoft.com/office/drawing/2014/chart" uri="{C3380CC4-5D6E-409C-BE32-E72D297353CC}">
              <c16:uniqueId val="{00000002-5B06-4D48-8564-AEF0D762C3A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Year'!$H$81:$L$81</c:f>
              <c:numCache>
                <c:formatCode>0.00%</c:formatCode>
                <c:ptCount val="5"/>
                <c:pt idx="0">
                  <c:v>5.1927361615412233E-2</c:v>
                </c:pt>
                <c:pt idx="1">
                  <c:v>2.40946668828011E-2</c:v>
                </c:pt>
                <c:pt idx="2">
                  <c:v>5.7639044129626747E-2</c:v>
                </c:pt>
                <c:pt idx="3">
                  <c:v>9.481288026449286E-2</c:v>
                </c:pt>
                <c:pt idx="4">
                  <c:v>7.905462066739849E-2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Year'!$H$82:$L$82</c:f>
              <c:numCache>
                <c:formatCode>0.00%</c:formatCode>
                <c:ptCount val="5"/>
                <c:pt idx="0">
                  <c:v>0.15796593005171974</c:v>
                </c:pt>
                <c:pt idx="1">
                  <c:v>7.6333682545551645E-2</c:v>
                </c:pt>
                <c:pt idx="2">
                  <c:v>0.15071207430340555</c:v>
                </c:pt>
                <c:pt idx="3">
                  <c:v>0.20718257159841941</c:v>
                </c:pt>
                <c:pt idx="4">
                  <c:v>0.1573230510989746</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Year'!$H$83:$L$83</c:f>
              <c:numCache>
                <c:formatCode>0.00%</c:formatCode>
                <c:ptCount val="5"/>
                <c:pt idx="0">
                  <c:v>0.22434771974711698</c:v>
                </c:pt>
                <c:pt idx="1">
                  <c:v>8.5550441093268703E-2</c:v>
                </c:pt>
                <c:pt idx="2">
                  <c:v>0.17222665979085017</c:v>
                </c:pt>
                <c:pt idx="3">
                  <c:v>0.24992874896599523</c:v>
                </c:pt>
                <c:pt idx="4">
                  <c:v>0.17492908482290109</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Year'!$H$84:$L$84</c:f>
              <c:numCache>
                <c:formatCode>0</c:formatCode>
                <c:ptCount val="5"/>
                <c:pt idx="0">
                  <c:v>100</c:v>
                </c:pt>
                <c:pt idx="1">
                  <c:v>50.377879078694818</c:v>
                </c:pt>
                <c:pt idx="2">
                  <c:v>91.134836852207286</c:v>
                </c:pt>
                <c:pt idx="3">
                  <c:v>131.5918905950096</c:v>
                </c:pt>
                <c:pt idx="4">
                  <c:v>138.44769673704414</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Year'!$H$85:$L$85</c:f>
              <c:numCache>
                <c:formatCode>0</c:formatCode>
                <c:ptCount val="5"/>
                <c:pt idx="0">
                  <c:v>100</c:v>
                </c:pt>
                <c:pt idx="1">
                  <c:v>109.39951726398509</c:v>
                </c:pt>
                <c:pt idx="2">
                  <c:v>122.34101425646308</c:v>
                </c:pt>
                <c:pt idx="3">
                  <c:v>135.7873833068694</c:v>
                </c:pt>
                <c:pt idx="4">
                  <c:v>152.59481250345877</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Year'!$H$86:$L$86</c:f>
              <c:numCache>
                <c:formatCode>0</c:formatCode>
                <c:ptCount val="5"/>
                <c:pt idx="0">
                  <c:v>100</c:v>
                </c:pt>
                <c:pt idx="1">
                  <c:v>51.584719108330532</c:v>
                </c:pt>
                <c:pt idx="2">
                  <c:v>136.72680648411026</c:v>
                </c:pt>
                <c:pt idx="3">
                  <c:v>260.72387581280339</c:v>
                </c:pt>
                <c:pt idx="4">
                  <c:v>281.61150684360018</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Retail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Year'!$H$79:$L$79</c:f>
              <c:numCache>
                <c:formatCode>#,##0_);\(#,##0\)</c:formatCode>
                <c:ptCount val="5"/>
                <c:pt idx="0">
                  <c:v>407620</c:v>
                </c:pt>
                <c:pt idx="1">
                  <c:v>433887</c:v>
                </c:pt>
                <c:pt idx="2">
                  <c:v>484028</c:v>
                </c:pt>
                <c:pt idx="3">
                  <c:v>530403</c:v>
                </c:pt>
                <c:pt idx="4">
                  <c:v>588199</c:v>
                </c:pt>
              </c:numCache>
            </c:numRef>
          </c:val>
          <c:extLst>
            <c:ext xmlns:c16="http://schemas.microsoft.com/office/drawing/2014/chart" uri="{C3380CC4-5D6E-409C-BE32-E72D297353CC}">
              <c16:uniqueId val="{00000000-A634-D54E-942B-E2F64DD3AF7A}"/>
            </c:ext>
          </c:extLst>
        </c:ser>
        <c:ser>
          <c:idx val="1"/>
          <c:order val="1"/>
          <c:tx>
            <c:v>AWS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Year'!$H$80:$L$80</c:f>
              <c:numCache>
                <c:formatCode>#,##0_);\(#,##0\)</c:formatCode>
                <c:ptCount val="5"/>
                <c:pt idx="0">
                  <c:v>62202</c:v>
                </c:pt>
                <c:pt idx="1">
                  <c:v>80096</c:v>
                </c:pt>
                <c:pt idx="2">
                  <c:v>90757</c:v>
                </c:pt>
                <c:pt idx="3">
                  <c:v>107556</c:v>
                </c:pt>
                <c:pt idx="4">
                  <c:v>128725</c:v>
                </c:pt>
              </c:numCache>
            </c:numRef>
          </c:val>
          <c:extLst>
            <c:ext xmlns:c16="http://schemas.microsoft.com/office/drawing/2014/chart" uri="{C3380CC4-5D6E-409C-BE32-E72D297353CC}">
              <c16:uniqueId val="{00000001-A634-D54E-942B-E2F64DD3AF7A}"/>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187792</c:v>
                </c:pt>
                <c:pt idx="1">
                  <c:v>155667</c:v>
                </c:pt>
                <c:pt idx="2">
                  <c:v>167702</c:v>
                </c:pt>
                <c:pt idx="3">
                  <c:v>180169</c:v>
                </c:pt>
                <c:pt idx="4">
                  <c:v>213386</c:v>
                </c:pt>
                <c:pt idx="5">
                  <c:v>181519</c:v>
                </c:pt>
                <c:pt idx="6">
                  <c:v>200606</c:v>
                </c:pt>
                <c:pt idx="7">
                  <c:v>201944</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21203</c:v>
                </c:pt>
                <c:pt idx="1">
                  <c:v>18405</c:v>
                </c:pt>
                <c:pt idx="2">
                  <c:v>19171</c:v>
                </c:pt>
                <c:pt idx="3">
                  <c:v>17422</c:v>
                </c:pt>
                <c:pt idx="4">
                  <c:v>24977</c:v>
                </c:pt>
                <c:pt idx="5">
                  <c:v>23852</c:v>
                </c:pt>
                <c:pt idx="6">
                  <c:v>27461</c:v>
                </c:pt>
                <c:pt idx="7">
                  <c:v>28076</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20004</c:v>
                </c:pt>
                <c:pt idx="1">
                  <c:v>17127</c:v>
                </c:pt>
                <c:pt idx="2">
                  <c:v>18164</c:v>
                </c:pt>
                <c:pt idx="3">
                  <c:v>12187</c:v>
                </c:pt>
                <c:pt idx="4">
                  <c:v>21192</c:v>
                </c:pt>
                <c:pt idx="5">
                  <c:v>17927</c:v>
                </c:pt>
                <c:pt idx="6">
                  <c:v>12161</c:v>
                </c:pt>
                <c:pt idx="7">
                  <c:v>20685</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0.32449199113913268</c:v>
                </c:pt>
                <c:pt idx="1">
                  <c:v>0.34752388110517962</c:v>
                </c:pt>
                <c:pt idx="2">
                  <c:v>0.36324551883698464</c:v>
                </c:pt>
                <c:pt idx="3">
                  <c:v>0.35422297953588022</c:v>
                </c:pt>
                <c:pt idx="4">
                  <c:v>0.34023319243061867</c:v>
                </c:pt>
                <c:pt idx="5">
                  <c:v>0.36782375398718592</c:v>
                </c:pt>
                <c:pt idx="6">
                  <c:v>0.37483923711155198</c:v>
                </c:pt>
                <c:pt idx="7">
                  <c:v>0.38314582260428631</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0.1129068330919315</c:v>
                </c:pt>
                <c:pt idx="1">
                  <c:v>0.11823315153500742</c:v>
                </c:pt>
                <c:pt idx="2">
                  <c:v>0.11431586981669867</c:v>
                </c:pt>
                <c:pt idx="3">
                  <c:v>9.6698100117112273E-2</c:v>
                </c:pt>
                <c:pt idx="4">
                  <c:v>0.11705079058607407</c:v>
                </c:pt>
                <c:pt idx="5">
                  <c:v>0.13140222235688825</c:v>
                </c:pt>
                <c:pt idx="6">
                  <c:v>0.1368902226254449</c:v>
                </c:pt>
                <c:pt idx="7">
                  <c:v>0.13902864160361289</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0.10652210956803272</c:v>
                </c:pt>
                <c:pt idx="1">
                  <c:v>0.1100233190078822</c:v>
                </c:pt>
                <c:pt idx="2">
                  <c:v>0.10831117100571251</c:v>
                </c:pt>
                <c:pt idx="3">
                  <c:v>6.7642047189028082E-2</c:v>
                </c:pt>
                <c:pt idx="4">
                  <c:v>9.9312982107542205E-2</c:v>
                </c:pt>
                <c:pt idx="5">
                  <c:v>9.8761011244002009E-2</c:v>
                </c:pt>
                <c:pt idx="6">
                  <c:v>6.0621317408252995E-2</c:v>
                </c:pt>
                <c:pt idx="7">
                  <c:v>0.1024293863645367</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 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Online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0</c:v>
                </c:pt>
                <c:pt idx="1">
                  <c:v>57407</c:v>
                </c:pt>
                <c:pt idx="2">
                  <c:v>61485</c:v>
                </c:pt>
                <c:pt idx="3">
                  <c:v>67407</c:v>
                </c:pt>
                <c:pt idx="4">
                  <c:v>82988</c:v>
                </c:pt>
                <c:pt idx="5">
                  <c:v>64254</c:v>
                </c:pt>
                <c:pt idx="6">
                  <c:v>70432</c:v>
                </c:pt>
                <c:pt idx="7">
                  <c:v>68470</c:v>
                </c:pt>
              </c:numCache>
            </c:numRef>
          </c:val>
          <c:extLst>
            <c:ext xmlns:c16="http://schemas.microsoft.com/office/drawing/2014/chart" uri="{C3380CC4-5D6E-409C-BE32-E72D297353CC}">
              <c16:uniqueId val="{00000000-2E19-FD44-9C5E-C1716B02A7E3}"/>
            </c:ext>
          </c:extLst>
        </c:ser>
        <c:ser>
          <c:idx val="1"/>
          <c:order val="1"/>
          <c:tx>
            <c:v>Physical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0</c:v>
                </c:pt>
                <c:pt idx="1">
                  <c:v>5533</c:v>
                </c:pt>
                <c:pt idx="2">
                  <c:v>5595</c:v>
                </c:pt>
                <c:pt idx="3">
                  <c:v>5578</c:v>
                </c:pt>
                <c:pt idx="4">
                  <c:v>5855</c:v>
                </c:pt>
                <c:pt idx="5">
                  <c:v>5785</c:v>
                </c:pt>
                <c:pt idx="6">
                  <c:v>5794</c:v>
                </c:pt>
                <c:pt idx="7">
                  <c:v>5710</c:v>
                </c:pt>
              </c:numCache>
            </c:numRef>
          </c:val>
          <c:extLst>
            <c:ext xmlns:c16="http://schemas.microsoft.com/office/drawing/2014/chart" uri="{C3380CC4-5D6E-409C-BE32-E72D297353CC}">
              <c16:uniqueId val="{00000001-2E19-FD44-9C5E-C1716B02A7E3}"/>
            </c:ext>
          </c:extLst>
        </c:ser>
        <c:ser>
          <c:idx val="2"/>
          <c:order val="2"/>
          <c:tx>
            <c:v>3rd Party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0</c:v>
                </c:pt>
                <c:pt idx="1">
                  <c:v>36512</c:v>
                </c:pt>
                <c:pt idx="2">
                  <c:v>40348</c:v>
                </c:pt>
                <c:pt idx="3">
                  <c:v>42486</c:v>
                </c:pt>
                <c:pt idx="4">
                  <c:v>52816</c:v>
                </c:pt>
                <c:pt idx="5">
                  <c:v>41578</c:v>
                </c:pt>
                <c:pt idx="6">
                  <c:v>46780</c:v>
                </c:pt>
                <c:pt idx="7">
                  <c:v>46492</c:v>
                </c:pt>
              </c:numCache>
            </c:numRef>
          </c:val>
          <c:extLst>
            <c:ext xmlns:c16="http://schemas.microsoft.com/office/drawing/2014/chart" uri="{C3380CC4-5D6E-409C-BE32-E72D297353CC}">
              <c16:uniqueId val="{00000002-2E19-FD44-9C5E-C1716B02A7E3}"/>
            </c:ext>
          </c:extLst>
        </c:ser>
        <c:ser>
          <c:idx val="3"/>
          <c:order val="3"/>
          <c:tx>
            <c:v>Advertising</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0</c:v>
                </c:pt>
                <c:pt idx="1">
                  <c:v>13921</c:v>
                </c:pt>
                <c:pt idx="2">
                  <c:v>15694</c:v>
                </c:pt>
                <c:pt idx="3">
                  <c:v>17703</c:v>
                </c:pt>
                <c:pt idx="4">
                  <c:v>21317</c:v>
                </c:pt>
                <c:pt idx="5">
                  <c:v>17243</c:v>
                </c:pt>
                <c:pt idx="6">
                  <c:v>19809</c:v>
                </c:pt>
                <c:pt idx="7">
                  <c:v>19637</c:v>
                </c:pt>
              </c:numCache>
            </c:numRef>
          </c:val>
          <c:extLst>
            <c:ext xmlns:c16="http://schemas.microsoft.com/office/drawing/2014/chart" uri="{C3380CC4-5D6E-409C-BE32-E72D297353CC}">
              <c16:uniqueId val="{00000000-A5A7-984A-8A5E-C103268E1AAC}"/>
            </c:ext>
          </c:extLst>
        </c:ser>
        <c:ser>
          <c:idx val="4"/>
          <c:order val="4"/>
          <c:tx>
            <c:v>Subscription</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0</c:v>
                </c:pt>
                <c:pt idx="1">
                  <c:v>11715</c:v>
                </c:pt>
                <c:pt idx="2">
                  <c:v>12208</c:v>
                </c:pt>
                <c:pt idx="3">
                  <c:v>12574</c:v>
                </c:pt>
                <c:pt idx="4">
                  <c:v>13122</c:v>
                </c:pt>
                <c:pt idx="5">
                  <c:v>13427</c:v>
                </c:pt>
                <c:pt idx="6">
                  <c:v>13730</c:v>
                </c:pt>
                <c:pt idx="7">
                  <c:v>14006</c:v>
                </c:pt>
              </c:numCache>
            </c:numRef>
          </c:val>
          <c:extLst>
            <c:ext xmlns:c16="http://schemas.microsoft.com/office/drawing/2014/chart" uri="{C3380CC4-5D6E-409C-BE32-E72D297353CC}">
              <c16:uniqueId val="{00000001-A5A7-984A-8A5E-C103268E1AAC}"/>
            </c:ext>
          </c:extLst>
        </c:ser>
        <c:ser>
          <c:idx val="5"/>
          <c:order val="5"/>
          <c:tx>
            <c:v>Other</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Quarter'!$C$68:$J$68</c:f>
              <c:numCache>
                <c:formatCode>#,##0_);\(#,##0\)</c:formatCode>
                <c:ptCount val="8"/>
                <c:pt idx="0">
                  <c:v>0</c:v>
                </c:pt>
                <c:pt idx="1">
                  <c:v>1312</c:v>
                </c:pt>
                <c:pt idx="2">
                  <c:v>1499</c:v>
                </c:pt>
                <c:pt idx="3">
                  <c:v>1415</c:v>
                </c:pt>
                <c:pt idx="4">
                  <c:v>1709</c:v>
                </c:pt>
                <c:pt idx="5">
                  <c:v>1645</c:v>
                </c:pt>
                <c:pt idx="6">
                  <c:v>1829</c:v>
                </c:pt>
                <c:pt idx="7">
                  <c:v>1645</c:v>
                </c:pt>
              </c:numCache>
            </c:numRef>
          </c:val>
          <c:extLst>
            <c:ext xmlns:c16="http://schemas.microsoft.com/office/drawing/2014/chart" uri="{C3380CC4-5D6E-409C-BE32-E72D297353CC}">
              <c16:uniqueId val="{00000002-A5A7-984A-8A5E-C103268E1AAC}"/>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Quarter'!$C$71:$J$71</c:f>
              <c:numCache>
                <c:formatCode>#,##0_);\(#,##0\)</c:formatCode>
                <c:ptCount val="8"/>
                <c:pt idx="0">
                  <c:v>12807</c:v>
                </c:pt>
                <c:pt idx="1">
                  <c:v>-11693</c:v>
                </c:pt>
                <c:pt idx="2">
                  <c:v>-6202</c:v>
                </c:pt>
                <c:pt idx="3">
                  <c:v>-4417</c:v>
                </c:pt>
                <c:pt idx="4">
                  <c:v>10540</c:v>
                </c:pt>
                <c:pt idx="5">
                  <c:v>-22203</c:v>
                </c:pt>
                <c:pt idx="6">
                  <c:v>-14859</c:v>
                </c:pt>
                <c:pt idx="7">
                  <c:v>-40243</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Retail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Quarter'!$C$69:$J$69</c:f>
              <c:numCache>
                <c:formatCode>#,##0_);\(#,##0\)</c:formatCode>
                <c:ptCount val="8"/>
                <c:pt idx="0">
                  <c:v>0</c:v>
                </c:pt>
                <c:pt idx="1">
                  <c:v>126400</c:v>
                </c:pt>
                <c:pt idx="2">
                  <c:v>136829</c:v>
                </c:pt>
                <c:pt idx="3">
                  <c:v>147163</c:v>
                </c:pt>
                <c:pt idx="4">
                  <c:v>177807</c:v>
                </c:pt>
                <c:pt idx="5">
                  <c:v>143932</c:v>
                </c:pt>
                <c:pt idx="6">
                  <c:v>158374</c:v>
                </c:pt>
                <c:pt idx="7">
                  <c:v>155960</c:v>
                </c:pt>
              </c:numCache>
            </c:numRef>
          </c:val>
          <c:extLst>
            <c:ext xmlns:c16="http://schemas.microsoft.com/office/drawing/2014/chart" uri="{C3380CC4-5D6E-409C-BE32-E72D297353CC}">
              <c16:uniqueId val="{00000000-D131-DA43-89F4-6C892E0D2825}"/>
            </c:ext>
          </c:extLst>
        </c:ser>
        <c:ser>
          <c:idx val="1"/>
          <c:order val="1"/>
          <c:tx>
            <c:v>AWS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Quarter'!$C$70:$J$70</c:f>
              <c:numCache>
                <c:formatCode>#,##0_);\(#,##0\)</c:formatCode>
                <c:ptCount val="8"/>
                <c:pt idx="0">
                  <c:v>0</c:v>
                </c:pt>
                <c:pt idx="1">
                  <c:v>29267</c:v>
                </c:pt>
                <c:pt idx="2">
                  <c:v>30837</c:v>
                </c:pt>
                <c:pt idx="3">
                  <c:v>33006</c:v>
                </c:pt>
                <c:pt idx="4">
                  <c:v>35615</c:v>
                </c:pt>
                <c:pt idx="5">
                  <c:v>37587</c:v>
                </c:pt>
                <c:pt idx="6">
                  <c:v>42232</c:v>
                </c:pt>
                <c:pt idx="7">
                  <c:v>45984</c:v>
                </c:pt>
              </c:numCache>
            </c:numRef>
          </c:val>
          <c:extLst>
            <c:ext xmlns:c16="http://schemas.microsoft.com/office/drawing/2014/chart" uri="{C3380CC4-5D6E-409C-BE32-E72D297353CC}">
              <c16:uniqueId val="{00000001-D131-DA43-89F4-6C892E0D2825}"/>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46</xdr:row>
      <xdr:rowOff>0</xdr:rowOff>
    </xdr:from>
    <xdr:to>
      <xdr:col>5</xdr:col>
      <xdr:colOff>506402</xdr:colOff>
      <xdr:row>59</xdr:row>
      <xdr:rowOff>147288</xdr:rowOff>
    </xdr:to>
    <xdr:graphicFrame macro="">
      <xdr:nvGraphicFramePr>
        <xdr:cNvPr id="13" name="Chart 12">
          <a:extLst>
            <a:ext uri="{FF2B5EF4-FFF2-40B4-BE49-F238E27FC236}">
              <a16:creationId xmlns:a16="http://schemas.microsoft.com/office/drawing/2014/main" id="{FF7BD70B-0ADA-D549-A5B9-5A1AF8832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30</xdr:row>
      <xdr:rowOff>0</xdr:rowOff>
    </xdr:from>
    <xdr:to>
      <xdr:col>5</xdr:col>
      <xdr:colOff>637366</xdr:colOff>
      <xdr:row>43</xdr:row>
      <xdr:rowOff>76989</xdr:rowOff>
    </xdr:to>
    <xdr:graphicFrame macro="">
      <xdr:nvGraphicFramePr>
        <xdr:cNvPr id="6" name="Chart 5">
          <a:extLst>
            <a:ext uri="{FF2B5EF4-FFF2-40B4-BE49-F238E27FC236}">
              <a16:creationId xmlns:a16="http://schemas.microsoft.com/office/drawing/2014/main" id="{0E3D5C71-D0A4-5441-847C-4158E169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https://www.bing.com/financeapi/forcetrigger?t=a1nhlh&amp;q=XNAS%3aAMZN&amp;form=skydnc</v>
    <v>Learn more on Bing</v>
  </rv>
  <rv s="1">
    <v>0</v>
    <v>AMAZON.COM, INC. (XNAS:AMZN)</v>
    <v>2</v>
    <v>3</v>
    <v>Finance</v>
    <v>4</v>
    <v>en-US</v>
    <v>a1nhlh</v>
    <v>268435456</v>
    <v>1</v>
    <v>Powered by Refinitiv</v>
    <v>287.2</v>
    <v>196</v>
    <v>1.4919</v>
    <v>-10.81</v>
    <v>-4.2458999999999997E-2</v>
    <v>-12.540800000000001</v>
    <v>-5.1441000000000001E-2</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249.14</v>
    <v>Diversified Retail</v>
    <v>Stock</v>
    <v>46324.901610902343</v>
    <v>0</v>
    <v>241.24</v>
    <v>2629594514900</v>
    <v>AMAZON.COM, INC.</v>
    <v>AMAZON.COM, INC.</v>
    <v>246.95</v>
    <v>20.478400000000001</v>
    <v>254.6</v>
    <v>243.79</v>
    <v>231.2492</v>
    <v>10786310000</v>
    <v>AMZN</v>
    <v>AMAZON.COM, INC. (XNAS:AMZN)</v>
    <v>82422273</v>
    <v>35430230</v>
    <v>1996</v>
  </rv>
  <rv s="2">
    <v>1</v>
  </rv>
  <rv s="0">
    <v>https://www.bing.com/financeapi/forcetrigger?t=a33knm&amp;q=10+Y+TSY+YLD+NDX&amp;form=skydnc</v>
    <v>Learn more on Bing</v>
  </rv>
  <rv s="3">
    <v>5</v>
    <v>10 Y TSY YLD NDX</v>
    <v>6</v>
    <v>7</v>
    <v>Finance</v>
    <v>8</v>
    <v>en-US</v>
    <v>a33knm</v>
    <v>268435456</v>
    <v>1</v>
    <v>Powered by Refinitiv</v>
    <v>53.64</v>
    <v>39.56</v>
    <v>0.52</v>
    <v>1.0415000000000001E-2</v>
    <v>US</v>
    <v>50.49</v>
    <v>Index</v>
    <v>3</v>
    <v>49.91</v>
    <v>10 Y TSY YLD NDX</v>
    <v>49.99</v>
    <v>49.93</v>
    <v>50.45</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5" dT="2026-02-17T21:45:28.65" personId="{A0F62302-F8D3-B346-B5DF-839B413AE710}" id="{22B2B3EF-EBF6-0D4F-BF74-BA371A77FD6F}">
    <text>Actual number</text>
  </threadedComment>
  <threadedComment ref="B117"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72"/>
  <sheetViews>
    <sheetView tabSelected="1" topLeftCell="B1" zoomScale="160" zoomScaleNormal="160" workbookViewId="0">
      <selection activeCell="C5" sqref="C5"/>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8" t="s">
        <v>17</v>
      </c>
      <c r="C2" s="249"/>
      <c r="E2" s="248" t="s">
        <v>288</v>
      </c>
      <c r="F2" s="249"/>
      <c r="H2" s="248" t="s">
        <v>326</v>
      </c>
      <c r="I2" s="249"/>
      <c r="K2" s="134" t="s">
        <v>386</v>
      </c>
    </row>
    <row r="3" spans="2:11" x14ac:dyDescent="0.2">
      <c r="B3" s="183" t="s">
        <v>11</v>
      </c>
      <c r="C3" s="215" t="e" vm="1">
        <v>#VALUE!</v>
      </c>
      <c r="D3" s="2"/>
      <c r="E3" s="183" t="s">
        <v>240</v>
      </c>
      <c r="F3" s="185">
        <f ca="1">Statement!AC154</f>
        <v>2662186.7999999998</v>
      </c>
      <c r="H3" s="183" t="str">
        <f>'AVG target price'!B5</f>
        <v>DCF price</v>
      </c>
      <c r="I3" s="209">
        <f ca="1">'AVG target price'!C5</f>
        <v>93.815459920523494</v>
      </c>
      <c r="K3" s="236" t="s">
        <v>387</v>
      </c>
    </row>
    <row r="4" spans="2:11" x14ac:dyDescent="0.2">
      <c r="B4" s="183" t="s">
        <v>0</v>
      </c>
      <c r="C4" s="187" t="str" cm="1">
        <f t="array" aca="1" ref="C4" ca="1">_FV(C3,"Ticker symbol",TRUE)</f>
        <v>AMZN</v>
      </c>
      <c r="E4" s="184" t="s">
        <v>189</v>
      </c>
      <c r="F4" s="186">
        <f ca="1">Statement!AC155</f>
        <v>2721085.8</v>
      </c>
      <c r="H4" s="183" t="str">
        <f>'AVG target price'!B6</f>
        <v>EV/EBIT price</v>
      </c>
      <c r="I4" s="209">
        <f ca="1">'AVG target price'!C6</f>
        <v>385.51692408297538</v>
      </c>
      <c r="K4" s="236" t="s">
        <v>388</v>
      </c>
    </row>
    <row r="5" spans="2:11" x14ac:dyDescent="0.2">
      <c r="B5" s="183" t="s">
        <v>1</v>
      </c>
      <c r="C5" s="206" cm="1">
        <f t="array" aca="1" ref="C5" ca="1">_FV(C3,"Price",TRUE)</f>
        <v>243.79</v>
      </c>
      <c r="E5" s="183" t="s">
        <v>244</v>
      </c>
      <c r="F5" s="241">
        <f>Statement!AC27</f>
        <v>6.6066633299883843</v>
      </c>
      <c r="H5" s="183" t="str">
        <f>'AVG target price'!B7</f>
        <v>PS price</v>
      </c>
      <c r="I5" s="209">
        <f ca="1">'AVG target price'!C7</f>
        <v>284.18338025485855</v>
      </c>
      <c r="K5" s="236" t="s">
        <v>389</v>
      </c>
    </row>
    <row r="6" spans="2:11" x14ac:dyDescent="0.2">
      <c r="B6" s="183" t="s">
        <v>2</v>
      </c>
      <c r="C6" s="206" cm="1">
        <f t="array" aca="1" ref="C6" ca="1">_FV(C3,"Price (Extended hours)",TRUE)</f>
        <v>231.2492</v>
      </c>
      <c r="E6" s="183" t="s">
        <v>238</v>
      </c>
      <c r="F6" s="188">
        <f ca="1">Statement!AC151</f>
        <v>36.900624085597023</v>
      </c>
      <c r="H6" s="183" t="str">
        <f>'AVG target price'!B8</f>
        <v>EV/FCFF price</v>
      </c>
      <c r="I6" s="209">
        <f ca="1">'AVG target price'!C8</f>
        <v>278.17610420312451</v>
      </c>
      <c r="K6" s="237" t="s">
        <v>390</v>
      </c>
    </row>
    <row r="7" spans="2:11" x14ac:dyDescent="0.2">
      <c r="B7" s="183" t="s">
        <v>3</v>
      </c>
      <c r="C7" s="6" cm="1">
        <f t="array" aca="1" ref="C7" ca="1">_FV(C3,"Change")</f>
        <v>-10.81</v>
      </c>
      <c r="E7" s="184" t="s">
        <v>202</v>
      </c>
      <c r="F7" s="189">
        <f ca="1">Statement!AC152</f>
        <v>3.3298701838975235</v>
      </c>
      <c r="H7" s="183" t="str">
        <f>'AVG target price'!B9</f>
        <v>EV/Sales price</v>
      </c>
      <c r="I7" s="209">
        <f ca="1">'AVG target price'!C9</f>
        <v>282.71146287110639</v>
      </c>
    </row>
    <row r="8" spans="2:11" x14ac:dyDescent="0.2">
      <c r="B8" s="183" t="s">
        <v>4</v>
      </c>
      <c r="C8" s="6" cm="1">
        <f t="array" aca="1" ref="C8" ca="1">_FV(C3,"Change (extended hours)",TRUE)</f>
        <v>-12.540800000000001</v>
      </c>
      <c r="E8" s="183" t="s">
        <v>266</v>
      </c>
      <c r="F8" s="190">
        <f ca="1">Statement!AC162</f>
        <v>-2.5079006476930923E-2</v>
      </c>
      <c r="H8" s="182" t="str">
        <f>'AVG target price'!B10</f>
        <v>AVG price</v>
      </c>
      <c r="I8" s="210">
        <f ca="1">'AVG target price'!C10</f>
        <v>264.88066626651772</v>
      </c>
    </row>
    <row r="9" spans="2:11" x14ac:dyDescent="0.2">
      <c r="B9" s="183" t="s">
        <v>5</v>
      </c>
      <c r="C9" s="73" cm="1">
        <f t="array" aca="1" ref="C9" ca="1">_FV(C3,"Change (%)",TRUE)</f>
        <v>-4.2458999999999997E-2</v>
      </c>
      <c r="E9" s="183" t="s">
        <v>289</v>
      </c>
      <c r="F9" s="190">
        <f ca="1">Statement!AC163</f>
        <v>2.7099812666591675E-2</v>
      </c>
      <c r="H9" s="182" t="str">
        <f>'AVG target price'!B12</f>
        <v>Upside/Downside</v>
      </c>
      <c r="I9" s="211">
        <f ca="1">'AVG target price'!C12</f>
        <v>8.6511613546567667E-2</v>
      </c>
    </row>
    <row r="10" spans="2:11" x14ac:dyDescent="0.2">
      <c r="B10" s="183" t="s">
        <v>6</v>
      </c>
      <c r="C10" s="73" cm="1">
        <f t="array" aca="1" ref="C10" ca="1">_FV(C3,"Change % (extended hours)",TRUE)</f>
        <v>-5.1441000000000001E-2</v>
      </c>
      <c r="E10" s="183" t="s">
        <v>294</v>
      </c>
      <c r="F10" s="190">
        <f ca="1">Statement!AC165</f>
        <v>0</v>
      </c>
    </row>
    <row r="11" spans="2:11" x14ac:dyDescent="0.2">
      <c r="B11" s="183" t="s">
        <v>7</v>
      </c>
      <c r="C11" s="207" cm="1">
        <f t="array" aca="1" ref="C11" ca="1">_FV(C3,"52 week high",TRUE)</f>
        <v>287.2</v>
      </c>
      <c r="E11" s="184" t="s">
        <v>290</v>
      </c>
      <c r="F11" s="191">
        <f ca="1">Statement!AC164</f>
        <v>0</v>
      </c>
      <c r="H11" s="182" t="s">
        <v>362</v>
      </c>
      <c r="I11" s="210">
        <f ca="1">DDM!C26</f>
        <v>0</v>
      </c>
    </row>
    <row r="12" spans="2:11" x14ac:dyDescent="0.2">
      <c r="B12" s="183" t="s">
        <v>8</v>
      </c>
      <c r="C12" s="207" cm="1">
        <f t="array" aca="1" ref="C12" ca="1">_FV(C3,"52 week low",TRUE)</f>
        <v>196</v>
      </c>
      <c r="E12" s="183" t="s">
        <v>103</v>
      </c>
      <c r="F12" s="190">
        <f>Statement!AC124</f>
        <v>5.7878059176927586E-2</v>
      </c>
    </row>
    <row r="13" spans="2:11" x14ac:dyDescent="0.2">
      <c r="B13" s="183" t="s">
        <v>9</v>
      </c>
      <c r="C13" s="207" cm="1">
        <f t="array" aca="1" ref="C13" ca="1">_FV(C3,"Beta")</f>
        <v>1.4919</v>
      </c>
      <c r="E13" s="183" t="s">
        <v>105</v>
      </c>
      <c r="F13" s="190">
        <f>Statement!AC126</f>
        <v>0.11728305527533363</v>
      </c>
      <c r="H13" s="240" t="s">
        <v>381</v>
      </c>
      <c r="I13" s="238">
        <f>'Reverse DCF'!C17</f>
        <v>0.03</v>
      </c>
    </row>
    <row r="14" spans="2:11" x14ac:dyDescent="0.2">
      <c r="B14" s="184" t="s">
        <v>10</v>
      </c>
      <c r="C14" s="208" cm="1">
        <f t="array" aca="1" ref="C14" ca="1">_FV(C3,"Volume average",TRUE)</f>
        <v>35430230</v>
      </c>
      <c r="E14" s="184" t="s">
        <v>106</v>
      </c>
      <c r="F14" s="191">
        <f>Statement!AC141</f>
        <v>0.10099663822684149</v>
      </c>
      <c r="H14" s="184" t="s">
        <v>392</v>
      </c>
      <c r="I14" s="239">
        <f ca="1">'Reverse DCF'!C16</f>
        <v>-30.998310737397926</v>
      </c>
    </row>
    <row r="15" spans="2:11" x14ac:dyDescent="0.2">
      <c r="E15" s="183" t="s">
        <v>291</v>
      </c>
      <c r="F15" s="190">
        <f ca="1">Statement!AC177</f>
        <v>-2.2124292705530658E-2</v>
      </c>
    </row>
    <row r="16" spans="2:11" x14ac:dyDescent="0.2">
      <c r="E16" s="184" t="s">
        <v>296</v>
      </c>
      <c r="F16" s="189">
        <f>Statement!AC176</f>
        <v>-5.4606897830521044</v>
      </c>
      <c r="H16" s="248" t="s">
        <v>384</v>
      </c>
      <c r="I16" s="249"/>
    </row>
    <row r="17" spans="2:9" x14ac:dyDescent="0.2">
      <c r="B17" s="250" t="s">
        <v>90</v>
      </c>
      <c r="C17" s="250"/>
      <c r="E17" s="182" t="s">
        <v>297</v>
      </c>
      <c r="F17" s="192">
        <f>Statement!AC172</f>
        <v>9.3864468864468864E-2</v>
      </c>
      <c r="H17" s="183" t="s">
        <v>166</v>
      </c>
      <c r="I17" s="234">
        <f ca="1">DCF!C15</f>
        <v>0.11325171440453217</v>
      </c>
    </row>
    <row r="18" spans="2:9" x14ac:dyDescent="0.2">
      <c r="B18" s="182" t="s">
        <v>12</v>
      </c>
      <c r="C18" s="69" t="s">
        <v>356</v>
      </c>
      <c r="E18" s="183" t="s">
        <v>298</v>
      </c>
      <c r="F18" s="188">
        <f>Statement!AC145</f>
        <v>-38.849640565346476</v>
      </c>
      <c r="H18" s="184" t="s">
        <v>385</v>
      </c>
      <c r="I18" s="235">
        <f ca="1">Multiples!C54</f>
        <v>0.11758550000000001</v>
      </c>
    </row>
    <row r="19" spans="2:9" x14ac:dyDescent="0.2">
      <c r="B19" s="182" t="s">
        <v>13</v>
      </c>
      <c r="C19" s="70">
        <v>1000000</v>
      </c>
      <c r="E19" s="183" t="s">
        <v>259</v>
      </c>
      <c r="F19" s="188">
        <f>Statement!AC147</f>
        <v>9.5989087371109241E-2</v>
      </c>
      <c r="I19" s="50"/>
    </row>
    <row r="20" spans="2:9" x14ac:dyDescent="0.2">
      <c r="B20" s="182" t="s">
        <v>91</v>
      </c>
      <c r="C20" s="69" t="s">
        <v>92</v>
      </c>
      <c r="E20" s="184" t="s">
        <v>299</v>
      </c>
      <c r="F20" s="189">
        <f>Statement!AC148</f>
        <v>0.82357683869417242</v>
      </c>
    </row>
    <row r="21" spans="2:9" x14ac:dyDescent="0.2">
      <c r="B21" s="182" t="s">
        <v>93</v>
      </c>
      <c r="C21" s="69" t="s">
        <v>94</v>
      </c>
    </row>
    <row r="22" spans="2:9" x14ac:dyDescent="0.2">
      <c r="B22" s="182" t="s">
        <v>95</v>
      </c>
      <c r="C22" s="69" t="s">
        <v>92</v>
      </c>
      <c r="I22" s="50"/>
    </row>
    <row r="25" spans="2:9" x14ac:dyDescent="0.2">
      <c r="B25" s="250" t="s">
        <v>108</v>
      </c>
      <c r="C25" s="250"/>
      <c r="E25" s="248" t="s">
        <v>339</v>
      </c>
      <c r="F25" s="249"/>
    </row>
    <row r="26" spans="2:9" x14ac:dyDescent="0.2">
      <c r="B26" s="182" t="s">
        <v>109</v>
      </c>
      <c r="C26" s="168">
        <v>0.21</v>
      </c>
      <c r="E26" s="183" t="e" vm="2">
        <v>#VALUE!</v>
      </c>
      <c r="F26" s="217" cm="1">
        <f t="array" aca="1" ref="F26" ca="1">_FV(E26,"Price")</f>
        <v>50.45</v>
      </c>
    </row>
    <row r="27" spans="2:9" x14ac:dyDescent="0.2">
      <c r="B27" s="182" t="s">
        <v>173</v>
      </c>
      <c r="C27" s="219">
        <v>5.8999999999999997E-2</v>
      </c>
      <c r="E27" s="184" t="s">
        <v>340</v>
      </c>
      <c r="F27" s="218">
        <f ca="1">F26/1000</f>
        <v>5.0450000000000002E-2</v>
      </c>
    </row>
    <row r="28" spans="2:9" x14ac:dyDescent="0.2">
      <c r="B28" s="182" t="s">
        <v>344</v>
      </c>
      <c r="C28" s="219">
        <v>0</v>
      </c>
    </row>
    <row r="29" spans="2:9" x14ac:dyDescent="0.2">
      <c r="B29" s="182" t="s">
        <v>361</v>
      </c>
      <c r="C29" s="219">
        <v>0</v>
      </c>
    </row>
    <row r="33" spans="2:8" x14ac:dyDescent="0.2">
      <c r="B33" s="134" t="s">
        <v>334</v>
      </c>
      <c r="C33" s="134"/>
      <c r="D33" s="134"/>
      <c r="E33" s="134"/>
      <c r="F33" s="134"/>
      <c r="G33" s="134"/>
      <c r="H33" s="134"/>
    </row>
    <row r="35" spans="2:8" x14ac:dyDescent="0.2">
      <c r="B35" s="16" t="s">
        <v>335</v>
      </c>
      <c r="C35" s="1" t="s">
        <v>393</v>
      </c>
    </row>
    <row r="36" spans="2:8" x14ac:dyDescent="0.2">
      <c r="B36" s="16" t="s">
        <v>336</v>
      </c>
      <c r="C36" s="1" t="s">
        <v>394</v>
      </c>
    </row>
    <row r="39" spans="2:8" ht="6" customHeight="1" x14ac:dyDescent="0.2">
      <c r="B39" s="134"/>
      <c r="C39" s="134"/>
      <c r="D39" s="134"/>
      <c r="E39" s="134"/>
      <c r="F39" s="134"/>
      <c r="G39" s="134"/>
      <c r="H39" s="134"/>
    </row>
    <row r="42" spans="2:8" x14ac:dyDescent="0.2">
      <c r="B42" s="134" t="s">
        <v>337</v>
      </c>
      <c r="C42" s="134"/>
      <c r="D42" s="134"/>
      <c r="E42" s="134"/>
      <c r="F42" s="134"/>
      <c r="G42" s="134"/>
      <c r="H42" s="134"/>
    </row>
    <row r="44" spans="2:8" x14ac:dyDescent="0.2">
      <c r="B44" s="41" t="s">
        <v>338</v>
      </c>
      <c r="C44" s="41" t="s">
        <v>383</v>
      </c>
      <c r="D44" s="41"/>
      <c r="E44" s="41" t="s">
        <v>382</v>
      </c>
    </row>
    <row r="45" spans="2:8" x14ac:dyDescent="0.2">
      <c r="B45" s="1" t="s">
        <v>359</v>
      </c>
    </row>
    <row r="49" spans="2:8" ht="5" customHeight="1" x14ac:dyDescent="0.2">
      <c r="B49" s="134"/>
      <c r="C49" s="134"/>
      <c r="D49" s="134"/>
      <c r="E49" s="134"/>
      <c r="F49" s="134"/>
      <c r="G49" s="134"/>
      <c r="H49" s="134"/>
    </row>
    <row r="52" spans="2:8" x14ac:dyDescent="0.2">
      <c r="B52" s="134" t="s">
        <v>110</v>
      </c>
      <c r="C52" s="134"/>
      <c r="D52" s="134"/>
      <c r="E52" s="134"/>
      <c r="F52" s="134"/>
      <c r="G52" s="134"/>
      <c r="H52" s="134"/>
    </row>
    <row r="54" spans="2:8" x14ac:dyDescent="0.2">
      <c r="B54" s="41" t="s">
        <v>338</v>
      </c>
      <c r="C54" s="41" t="s">
        <v>408</v>
      </c>
      <c r="D54" s="41"/>
      <c r="E54" s="41" t="s">
        <v>87</v>
      </c>
    </row>
    <row r="55" spans="2:8" x14ac:dyDescent="0.2">
      <c r="B55" s="1" t="s">
        <v>359</v>
      </c>
      <c r="C55" s="1" t="s">
        <v>28</v>
      </c>
      <c r="E55" s="1" t="s">
        <v>410</v>
      </c>
    </row>
    <row r="57" spans="2:8" x14ac:dyDescent="0.2">
      <c r="B57" s="41" t="s">
        <v>338</v>
      </c>
      <c r="C57" s="41" t="s">
        <v>411</v>
      </c>
      <c r="D57" s="41"/>
      <c r="E57" s="41" t="s">
        <v>89</v>
      </c>
    </row>
    <row r="58" spans="2:8" x14ac:dyDescent="0.2">
      <c r="B58" s="1" t="s">
        <v>359</v>
      </c>
      <c r="C58" s="1" t="s">
        <v>28</v>
      </c>
      <c r="E58" s="1" t="s">
        <v>413</v>
      </c>
    </row>
    <row r="60" spans="2:8" x14ac:dyDescent="0.2">
      <c r="B60" s="41" t="s">
        <v>338</v>
      </c>
      <c r="C60" s="41" t="s">
        <v>414</v>
      </c>
      <c r="D60" s="41"/>
      <c r="E60" s="41" t="s">
        <v>86</v>
      </c>
    </row>
    <row r="61" spans="2:8" x14ac:dyDescent="0.2">
      <c r="B61" s="1" t="s">
        <v>359</v>
      </c>
      <c r="C61" s="1" t="s">
        <v>28</v>
      </c>
      <c r="E61" s="1" t="s">
        <v>415</v>
      </c>
    </row>
    <row r="63" spans="2:8" x14ac:dyDescent="0.2">
      <c r="B63" s="41" t="s">
        <v>338</v>
      </c>
      <c r="C63" s="41" t="s">
        <v>395</v>
      </c>
      <c r="D63" s="41"/>
      <c r="E63" s="41" t="s">
        <v>406</v>
      </c>
    </row>
    <row r="64" spans="2:8" x14ac:dyDescent="0.2">
      <c r="B64" s="1" t="s">
        <v>359</v>
      </c>
      <c r="C64" s="1" t="s">
        <v>28</v>
      </c>
      <c r="E64" s="1" t="s">
        <v>407</v>
      </c>
    </row>
    <row r="66" spans="2:8" x14ac:dyDescent="0.2">
      <c r="B66" s="41" t="s">
        <v>338</v>
      </c>
      <c r="C66" s="41" t="s">
        <v>398</v>
      </c>
      <c r="D66" s="41"/>
      <c r="E66" s="41" t="s">
        <v>404</v>
      </c>
    </row>
    <row r="67" spans="2:8" x14ac:dyDescent="0.2">
      <c r="B67" s="1" t="s">
        <v>359</v>
      </c>
      <c r="C67" s="1" t="s">
        <v>28</v>
      </c>
      <c r="E67" s="1" t="s">
        <v>403</v>
      </c>
    </row>
    <row r="69" spans="2:8" x14ac:dyDescent="0.2">
      <c r="B69" s="41" t="s">
        <v>338</v>
      </c>
      <c r="C69" s="41" t="s">
        <v>399</v>
      </c>
      <c r="D69" s="41"/>
      <c r="E69" s="41" t="s">
        <v>405</v>
      </c>
    </row>
    <row r="70" spans="2:8" x14ac:dyDescent="0.2">
      <c r="B70" s="1" t="s">
        <v>359</v>
      </c>
      <c r="C70" s="1" t="s">
        <v>28</v>
      </c>
      <c r="E70" s="1" t="s">
        <v>402</v>
      </c>
    </row>
    <row r="72" spans="2:8" ht="5" customHeight="1" x14ac:dyDescent="0.2">
      <c r="B72" s="134"/>
      <c r="C72" s="134"/>
      <c r="D72" s="134"/>
      <c r="E72" s="134"/>
      <c r="F72" s="134"/>
      <c r="G72" s="134"/>
      <c r="H72" s="134"/>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1621CF88-B889-2143-A07D-41075A1E40C7}"/>
    <hyperlink ref="K4" location="'Analysis -&gt;'!B13" display="'Analysis -&gt;'!B13" xr:uid="{6C1FB1EB-07D1-684F-8B75-01548820DC66}"/>
    <hyperlink ref="K5" location="'Forecast -&gt;'!B13" display="'Forecast -&gt;'!B13" xr:uid="{A6DD7074-1F30-274A-939E-C3124387BF4E}"/>
    <hyperlink ref="K6" location="'Valuation -&gt;'!B13" display="'Valuation -&gt;'!B13" xr:uid="{13526B62-5DF8-464A-9BB0-7668565397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6.33203125" style="1" customWidth="1"/>
    <col min="9" max="16384" width="10.83203125" style="1"/>
  </cols>
  <sheetData>
    <row r="5" spans="2:8" x14ac:dyDescent="0.2">
      <c r="H5" s="134" t="s">
        <v>386</v>
      </c>
    </row>
    <row r="6" spans="2:8" x14ac:dyDescent="0.2">
      <c r="H6" s="236" t="s">
        <v>391</v>
      </c>
    </row>
    <row r="7" spans="2:8" x14ac:dyDescent="0.2">
      <c r="H7" s="236" t="s">
        <v>387</v>
      </c>
    </row>
    <row r="8" spans="2:8" x14ac:dyDescent="0.2">
      <c r="H8" s="236" t="s">
        <v>388</v>
      </c>
    </row>
    <row r="9" spans="2:8" x14ac:dyDescent="0.2">
      <c r="H9" s="236" t="s">
        <v>389</v>
      </c>
    </row>
    <row r="10" spans="2:8" x14ac:dyDescent="0.2">
      <c r="H10" s="237" t="s">
        <v>390</v>
      </c>
    </row>
    <row r="13" spans="2:8" s="4" customFormat="1" ht="49" x14ac:dyDescent="0.2">
      <c r="B13" s="3" t="s">
        <v>14</v>
      </c>
    </row>
  </sheetData>
  <hyperlinks>
    <hyperlink ref="H6" location="Overview!B3" display="Overview'!B3" xr:uid="{143F4B9F-EC26-484D-AFDC-A9CE3E6FFC1F}"/>
    <hyperlink ref="H8" location="'Analysis -&gt;'!B13" display="'Analysis -&gt;'!B13" xr:uid="{0B5BD635-45CB-754B-80E1-B7F9DC321CC9}"/>
    <hyperlink ref="H9" location="'Forecast -&gt;'!B13" display="'Forecast -&gt;'!B13" xr:uid="{C5BB6F3D-0578-BA4D-B491-2F4294D08695}"/>
    <hyperlink ref="H10" location="'Valuation -&gt;'!B13" display="'Valuation -&gt;'!B13" xr:uid="{248DC901-D83B-7349-B21F-846BB64E20CC}"/>
    <hyperlink ref="H7" location="'Financials -&gt;'!B13" display="'Financials -&gt;'!B13" xr:uid="{8EB181CF-4C75-584E-AD71-1E2F7A9E80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7"/>
  <sheetViews>
    <sheetView zoomScale="170" zoomScaleNormal="150" workbookViewId="0">
      <pane xSplit="2" ySplit="3" topLeftCell="W127" activePane="bottomRight" state="frozen"/>
      <selection pane="topRight" activeCell="C1" sqref="C1"/>
      <selection pane="bottomLeft" activeCell="A4" sqref="A4"/>
      <selection pane="bottomRight" activeCell="AA198" sqref="AA19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9" t="s">
        <v>399</v>
      </c>
      <c r="N2" s="9" t="s">
        <v>398</v>
      </c>
      <c r="O2" s="10" t="s">
        <v>397</v>
      </c>
      <c r="P2" s="10" t="s">
        <v>396</v>
      </c>
      <c r="Q2" s="10" t="s">
        <v>395</v>
      </c>
      <c r="R2" s="7"/>
      <c r="S2" s="7"/>
      <c r="T2" s="10" t="s">
        <v>396</v>
      </c>
      <c r="U2" s="201" t="s">
        <v>412</v>
      </c>
      <c r="V2" s="201" t="s">
        <v>409</v>
      </c>
      <c r="W2" s="201" t="s">
        <v>414</v>
      </c>
      <c r="X2" s="201" t="s">
        <v>395</v>
      </c>
      <c r="Y2" s="201" t="s">
        <v>411</v>
      </c>
      <c r="Z2" s="201" t="s">
        <v>408</v>
      </c>
      <c r="AA2" s="201" t="s">
        <v>441</v>
      </c>
      <c r="AB2" s="7"/>
      <c r="AD2" s="7"/>
      <c r="AE2" s="7"/>
    </row>
    <row r="3" spans="1:31" s="13" customFormat="1" x14ac:dyDescent="0.2">
      <c r="A3" s="11"/>
      <c r="B3" s="12" t="s">
        <v>16</v>
      </c>
      <c r="M3" s="13">
        <v>2021</v>
      </c>
      <c r="N3" s="13">
        <v>2022</v>
      </c>
      <c r="O3" s="13">
        <v>2023</v>
      </c>
      <c r="P3" s="13">
        <v>2024</v>
      </c>
      <c r="Q3" s="13">
        <v>2025</v>
      </c>
      <c r="R3" s="11"/>
      <c r="S3" s="11"/>
      <c r="T3" s="10" t="s">
        <v>357</v>
      </c>
      <c r="U3" s="201" t="s">
        <v>358</v>
      </c>
      <c r="V3" s="201" t="s">
        <v>88</v>
      </c>
      <c r="W3" s="201" t="s">
        <v>86</v>
      </c>
      <c r="X3" s="201" t="s">
        <v>85</v>
      </c>
      <c r="Y3" s="201" t="s">
        <v>89</v>
      </c>
      <c r="Z3" s="201" t="s">
        <v>87</v>
      </c>
      <c r="AA3" s="201" t="s">
        <v>382</v>
      </c>
      <c r="AB3" s="11"/>
      <c r="AC3" s="59" t="s">
        <v>84</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469822</v>
      </c>
      <c r="N5" s="18">
        <v>513983</v>
      </c>
      <c r="O5" s="18">
        <v>574785</v>
      </c>
      <c r="P5" s="18">
        <v>637959</v>
      </c>
      <c r="Q5" s="18">
        <v>716924</v>
      </c>
      <c r="R5" s="16"/>
      <c r="S5" s="16"/>
      <c r="T5" s="18">
        <v>187792</v>
      </c>
      <c r="U5" s="18">
        <v>155667</v>
      </c>
      <c r="V5" s="18">
        <v>167702</v>
      </c>
      <c r="W5" s="18">
        <v>180169</v>
      </c>
      <c r="X5" s="18">
        <v>213386</v>
      </c>
      <c r="Y5" s="18">
        <v>181519</v>
      </c>
      <c r="Z5" s="18">
        <v>200606</v>
      </c>
      <c r="AA5" s="18">
        <v>201944</v>
      </c>
      <c r="AB5" s="16"/>
      <c r="AC5" s="18">
        <f>SUM(X5:AA5)</f>
        <v>797455</v>
      </c>
      <c r="AD5" s="16"/>
      <c r="AE5" s="16"/>
    </row>
    <row r="6" spans="1:31" x14ac:dyDescent="0.2">
      <c r="B6" s="20" t="s">
        <v>20</v>
      </c>
      <c r="C6" s="21"/>
      <c r="D6" s="21"/>
      <c r="E6" s="21"/>
      <c r="F6" s="21"/>
      <c r="G6" s="21"/>
      <c r="H6" s="21"/>
      <c r="I6" s="21"/>
      <c r="J6" s="21"/>
      <c r="K6" s="21"/>
      <c r="L6" s="21"/>
      <c r="M6" s="21">
        <f>272344+75111</f>
        <v>347455</v>
      </c>
      <c r="N6" s="21">
        <f>288831+84299</f>
        <v>373130</v>
      </c>
      <c r="O6" s="21">
        <f>304739+90619</f>
        <v>395358</v>
      </c>
      <c r="P6" s="21">
        <f>326288+98505</f>
        <v>424793</v>
      </c>
      <c r="Q6" s="21">
        <f>356414+109074</f>
        <v>465488</v>
      </c>
      <c r="T6" s="21">
        <f>98893+27962</f>
        <v>126855</v>
      </c>
      <c r="U6" s="21">
        <f>76976+24593</f>
        <v>101569</v>
      </c>
      <c r="V6" s="21">
        <f>80809+25976</f>
        <v>106785</v>
      </c>
      <c r="W6" s="21">
        <f>88670+27679</f>
        <v>116349</v>
      </c>
      <c r="X6" s="21">
        <f>109959+30826</f>
        <v>140785</v>
      </c>
      <c r="Y6" s="21">
        <f>87463+27289</f>
        <v>114752</v>
      </c>
      <c r="Z6" s="21">
        <f>95778+29633</f>
        <v>125411</v>
      </c>
      <c r="AA6" s="21">
        <f>94573+29997</f>
        <v>124570</v>
      </c>
      <c r="AC6" s="21">
        <f t="shared" ref="AC6:AC19" si="0">SUM(X6:AA6)</f>
        <v>505518</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122367</v>
      </c>
      <c r="N7" s="22">
        <f t="shared" si="1"/>
        <v>140853</v>
      </c>
      <c r="O7" s="22">
        <f t="shared" si="1"/>
        <v>179427</v>
      </c>
      <c r="P7" s="22">
        <f t="shared" si="1"/>
        <v>213166</v>
      </c>
      <c r="Q7" s="22">
        <f t="shared" si="1"/>
        <v>251436</v>
      </c>
      <c r="R7" s="16"/>
      <c r="S7" s="16"/>
      <c r="T7" s="22">
        <f t="shared" ref="T7:Z7" si="2">T5-T6</f>
        <v>60937</v>
      </c>
      <c r="U7" s="22">
        <f t="shared" si="2"/>
        <v>54098</v>
      </c>
      <c r="V7" s="22">
        <f t="shared" si="2"/>
        <v>60917</v>
      </c>
      <c r="W7" s="22">
        <f t="shared" si="2"/>
        <v>63820</v>
      </c>
      <c r="X7" s="22">
        <f t="shared" si="2"/>
        <v>72601</v>
      </c>
      <c r="Y7" s="22">
        <f t="shared" si="2"/>
        <v>66767</v>
      </c>
      <c r="Z7" s="22">
        <f t="shared" si="2"/>
        <v>75195</v>
      </c>
      <c r="AA7" s="22">
        <f t="shared" ref="Z7:AA7" si="3">AA5-AA6</f>
        <v>77374</v>
      </c>
      <c r="AB7" s="16"/>
      <c r="AC7" s="22">
        <f t="shared" si="0"/>
        <v>291937</v>
      </c>
      <c r="AD7" s="16"/>
      <c r="AE7" s="16"/>
    </row>
    <row r="8" spans="1:31" x14ac:dyDescent="0.2">
      <c r="B8" s="20" t="s">
        <v>400</v>
      </c>
      <c r="C8" s="21"/>
      <c r="D8" s="21"/>
      <c r="E8" s="21"/>
      <c r="F8" s="21"/>
      <c r="G8" s="21"/>
      <c r="H8" s="21"/>
      <c r="I8" s="21"/>
      <c r="J8" s="21"/>
      <c r="K8" s="21"/>
      <c r="L8" s="21"/>
      <c r="M8" s="21">
        <v>56052</v>
      </c>
      <c r="N8" s="21">
        <v>73213</v>
      </c>
      <c r="O8" s="21">
        <v>85622</v>
      </c>
      <c r="P8" s="21">
        <v>88544</v>
      </c>
      <c r="Q8" s="21">
        <v>108521</v>
      </c>
      <c r="T8" s="21">
        <v>23571</v>
      </c>
      <c r="U8" s="21">
        <v>22994</v>
      </c>
      <c r="V8" s="21">
        <v>27166</v>
      </c>
      <c r="W8" s="21">
        <v>28962</v>
      </c>
      <c r="X8" s="21">
        <v>29399</v>
      </c>
      <c r="Y8" s="21">
        <v>29567</v>
      </c>
      <c r="Z8" s="21">
        <v>33158</v>
      </c>
      <c r="AA8" s="21">
        <v>34814</v>
      </c>
      <c r="AC8" s="21">
        <f t="shared" si="0"/>
        <v>126938</v>
      </c>
    </row>
    <row r="9" spans="1:31" x14ac:dyDescent="0.2">
      <c r="B9" s="20" t="s">
        <v>23</v>
      </c>
      <c r="C9" s="21"/>
      <c r="D9" s="21"/>
      <c r="E9" s="21"/>
      <c r="F9" s="21"/>
      <c r="G9" s="21"/>
      <c r="H9" s="21"/>
      <c r="I9" s="21"/>
      <c r="J9" s="21"/>
      <c r="K9" s="21"/>
      <c r="L9" s="21"/>
      <c r="M9" s="21">
        <v>32551</v>
      </c>
      <c r="N9" s="21">
        <v>42238</v>
      </c>
      <c r="O9" s="21">
        <v>44370</v>
      </c>
      <c r="P9" s="21">
        <v>43907</v>
      </c>
      <c r="Q9" s="21">
        <v>47129</v>
      </c>
      <c r="T9" s="21">
        <v>13124</v>
      </c>
      <c r="U9" s="21">
        <v>9763</v>
      </c>
      <c r="V9" s="21">
        <v>11416</v>
      </c>
      <c r="W9" s="21">
        <v>11686</v>
      </c>
      <c r="X9" s="21">
        <v>14264</v>
      </c>
      <c r="Y9" s="21">
        <v>10314</v>
      </c>
      <c r="Z9" s="21">
        <v>11698</v>
      </c>
      <c r="AA9" s="21">
        <v>11649</v>
      </c>
      <c r="AC9" s="21">
        <f t="shared" si="0"/>
        <v>47925</v>
      </c>
    </row>
    <row r="10" spans="1:31" x14ac:dyDescent="0.2">
      <c r="B10" s="23" t="s">
        <v>24</v>
      </c>
      <c r="C10" s="21"/>
      <c r="D10" s="21"/>
      <c r="E10" s="21"/>
      <c r="F10" s="21"/>
      <c r="G10" s="21"/>
      <c r="H10" s="21"/>
      <c r="I10" s="21"/>
      <c r="J10" s="21"/>
      <c r="K10" s="21"/>
      <c r="L10" s="21"/>
      <c r="M10" s="21">
        <v>8823</v>
      </c>
      <c r="N10" s="21">
        <v>11891</v>
      </c>
      <c r="O10" s="21">
        <v>11816</v>
      </c>
      <c r="P10" s="21">
        <v>11359</v>
      </c>
      <c r="Q10" s="21">
        <v>11172</v>
      </c>
      <c r="T10" s="21">
        <v>2863</v>
      </c>
      <c r="U10" s="21">
        <v>2628</v>
      </c>
      <c r="V10" s="21">
        <v>2965</v>
      </c>
      <c r="W10" s="21">
        <v>2875</v>
      </c>
      <c r="X10" s="21">
        <v>2704</v>
      </c>
      <c r="Y10" s="21">
        <v>2587</v>
      </c>
      <c r="Z10" s="21">
        <v>2788</v>
      </c>
      <c r="AA10" s="21">
        <v>2701</v>
      </c>
      <c r="AC10" s="21">
        <f t="shared" si="0"/>
        <v>10780</v>
      </c>
    </row>
    <row r="11" spans="1:31" x14ac:dyDescent="0.2">
      <c r="B11" s="23" t="s">
        <v>401</v>
      </c>
      <c r="C11" s="21"/>
      <c r="D11" s="21"/>
      <c r="E11" s="21"/>
      <c r="F11" s="21"/>
      <c r="G11" s="21"/>
      <c r="H11" s="21"/>
      <c r="I11" s="21"/>
      <c r="J11" s="21"/>
      <c r="K11" s="21"/>
      <c r="L11" s="21"/>
      <c r="M11" s="21">
        <v>62</v>
      </c>
      <c r="N11" s="21">
        <v>1263</v>
      </c>
      <c r="O11" s="21">
        <v>767</v>
      </c>
      <c r="P11" s="21">
        <v>763</v>
      </c>
      <c r="Q11" s="21">
        <v>4639</v>
      </c>
      <c r="T11" s="21">
        <v>176</v>
      </c>
      <c r="U11" s="21">
        <v>308</v>
      </c>
      <c r="V11" s="21">
        <v>199</v>
      </c>
      <c r="W11" s="21">
        <v>2875</v>
      </c>
      <c r="X11" s="21">
        <v>1257</v>
      </c>
      <c r="Y11" s="21">
        <v>447</v>
      </c>
      <c r="Z11" s="21">
        <v>90</v>
      </c>
      <c r="AA11" s="21">
        <v>134</v>
      </c>
      <c r="AC11" s="21">
        <f t="shared" si="0"/>
        <v>1928</v>
      </c>
    </row>
    <row r="12" spans="1:31" x14ac:dyDescent="0.2">
      <c r="B12" s="23" t="s">
        <v>25</v>
      </c>
      <c r="C12" s="21"/>
      <c r="D12" s="21"/>
      <c r="E12" s="21"/>
      <c r="F12" s="21"/>
      <c r="G12" s="21"/>
      <c r="H12" s="21"/>
      <c r="I12" s="21"/>
      <c r="J12" s="21"/>
      <c r="K12" s="21"/>
      <c r="L12" s="21"/>
      <c r="M12" s="21">
        <f t="shared" ref="M12:P12" si="4">SUM(M8:M11)</f>
        <v>97488</v>
      </c>
      <c r="N12" s="21">
        <f t="shared" si="4"/>
        <v>128605</v>
      </c>
      <c r="O12" s="21">
        <f t="shared" si="4"/>
        <v>142575</v>
      </c>
      <c r="P12" s="21">
        <f t="shared" si="4"/>
        <v>144573</v>
      </c>
      <c r="Q12" s="21">
        <f>SUM(Q8:Q11)</f>
        <v>171461</v>
      </c>
      <c r="T12" s="21">
        <f t="shared" ref="T12:Z12" si="5">SUM(T8:T11)</f>
        <v>39734</v>
      </c>
      <c r="U12" s="21">
        <f t="shared" si="5"/>
        <v>35693</v>
      </c>
      <c r="V12" s="21">
        <f t="shared" si="5"/>
        <v>41746</v>
      </c>
      <c r="W12" s="21">
        <f t="shared" si="5"/>
        <v>46398</v>
      </c>
      <c r="X12" s="21">
        <f t="shared" si="5"/>
        <v>47624</v>
      </c>
      <c r="Y12" s="21">
        <f t="shared" si="5"/>
        <v>42915</v>
      </c>
      <c r="Z12" s="21">
        <f>SUM(Z8:Z11)</f>
        <v>47734</v>
      </c>
      <c r="AA12" s="21">
        <f>SUM(AA8:AA11)</f>
        <v>49298</v>
      </c>
      <c r="AC12" s="21">
        <f t="shared" si="0"/>
        <v>187571</v>
      </c>
    </row>
    <row r="13" spans="1:31" s="19" customFormat="1" x14ac:dyDescent="0.2">
      <c r="A13" s="16"/>
      <c r="B13" s="17" t="s">
        <v>26</v>
      </c>
      <c r="C13" s="18"/>
      <c r="D13" s="18"/>
      <c r="E13" s="18"/>
      <c r="F13" s="18"/>
      <c r="G13" s="18"/>
      <c r="H13" s="18"/>
      <c r="I13" s="18"/>
      <c r="J13" s="18"/>
      <c r="K13" s="18"/>
      <c r="L13" s="18"/>
      <c r="M13" s="18">
        <v>24879</v>
      </c>
      <c r="N13" s="18">
        <v>12248</v>
      </c>
      <c r="O13" s="18">
        <v>36852</v>
      </c>
      <c r="P13" s="18">
        <v>68593</v>
      </c>
      <c r="Q13" s="18">
        <v>79975</v>
      </c>
      <c r="R13" s="16"/>
      <c r="S13" s="16"/>
      <c r="T13" s="18">
        <v>21203</v>
      </c>
      <c r="U13" s="18">
        <v>18405</v>
      </c>
      <c r="V13" s="18">
        <v>19171</v>
      </c>
      <c r="W13" s="18">
        <v>17422</v>
      </c>
      <c r="X13" s="18">
        <v>24977</v>
      </c>
      <c r="Y13" s="18">
        <v>23852</v>
      </c>
      <c r="Z13" s="18">
        <v>27461</v>
      </c>
      <c r="AA13" s="18">
        <v>28076</v>
      </c>
      <c r="AB13" s="1"/>
      <c r="AC13" s="18">
        <f t="shared" si="0"/>
        <v>104366</v>
      </c>
      <c r="AD13" s="1"/>
      <c r="AE13" s="1"/>
    </row>
    <row r="14" spans="1:31" x14ac:dyDescent="0.2">
      <c r="B14" s="23" t="s">
        <v>27</v>
      </c>
      <c r="C14" s="21"/>
      <c r="D14" s="21"/>
      <c r="E14" s="21"/>
      <c r="F14" s="21"/>
      <c r="G14" s="21"/>
      <c r="H14" s="21"/>
      <c r="I14" s="21"/>
      <c r="J14" s="21"/>
      <c r="K14" s="21"/>
      <c r="L14" s="21"/>
      <c r="M14" s="62">
        <f>448-1809</f>
        <v>-1361</v>
      </c>
      <c r="N14" s="62">
        <f>989-2367</f>
        <v>-1378</v>
      </c>
      <c r="O14" s="62">
        <f>2949-3182</f>
        <v>-233</v>
      </c>
      <c r="P14" s="62">
        <f>4677-2406</f>
        <v>2271</v>
      </c>
      <c r="Q14" s="62">
        <f>4381-2274</f>
        <v>2107</v>
      </c>
      <c r="T14" s="62">
        <f>1248-570</f>
        <v>678</v>
      </c>
      <c r="U14" s="62">
        <f>1066-541</f>
        <v>525</v>
      </c>
      <c r="V14" s="62">
        <f>1085-516</f>
        <v>569</v>
      </c>
      <c r="W14" s="62">
        <f>1100-538</f>
        <v>562</v>
      </c>
      <c r="X14" s="62">
        <f>1130-679</f>
        <v>451</v>
      </c>
      <c r="Y14" s="62">
        <f>1135-800</f>
        <v>335</v>
      </c>
      <c r="Z14" s="62">
        <f>1295-1314</f>
        <v>-19</v>
      </c>
      <c r="AA14" s="62">
        <f>1187-1691</f>
        <v>-504</v>
      </c>
      <c r="AC14" s="62">
        <f t="shared" si="0"/>
        <v>263</v>
      </c>
    </row>
    <row r="15" spans="1:31" x14ac:dyDescent="0.2">
      <c r="B15" s="23" t="s">
        <v>28</v>
      </c>
      <c r="C15" s="21"/>
      <c r="D15" s="21"/>
      <c r="E15" s="21"/>
      <c r="F15" s="21"/>
      <c r="G15" s="21"/>
      <c r="H15" s="21"/>
      <c r="I15" s="21"/>
      <c r="J15" s="21"/>
      <c r="K15" s="21"/>
      <c r="L15" s="21"/>
      <c r="M15" s="62">
        <f>14633-11526</f>
        <v>3107</v>
      </c>
      <c r="N15" s="62">
        <f>-16806+13870</f>
        <v>-2936</v>
      </c>
      <c r="O15" s="62">
        <v>938</v>
      </c>
      <c r="P15" s="62">
        <v>-2250</v>
      </c>
      <c r="Q15" s="21">
        <v>2229</v>
      </c>
      <c r="T15" s="21">
        <v>468</v>
      </c>
      <c r="U15" s="21">
        <v>2749</v>
      </c>
      <c r="V15" s="21">
        <v>1117</v>
      </c>
      <c r="W15" s="21">
        <f>10186-9000</f>
        <v>1186</v>
      </c>
      <c r="X15" s="21">
        <v>1177</v>
      </c>
      <c r="Y15" s="21">
        <f>15647-12328</f>
        <v>3319</v>
      </c>
      <c r="Z15" s="21">
        <f>53415-50486</f>
        <v>2929</v>
      </c>
      <c r="AA15" s="62">
        <v>-703</v>
      </c>
      <c r="AC15" s="62">
        <f t="shared" si="0"/>
        <v>6722</v>
      </c>
    </row>
    <row r="16" spans="1:31" s="19" customFormat="1" x14ac:dyDescent="0.2">
      <c r="A16" s="16"/>
      <c r="B16" s="17" t="s">
        <v>29</v>
      </c>
      <c r="C16" s="18"/>
      <c r="D16" s="18"/>
      <c r="E16" s="18"/>
      <c r="F16" s="18"/>
      <c r="G16" s="18"/>
      <c r="H16" s="18"/>
      <c r="I16" s="18"/>
      <c r="J16" s="18"/>
      <c r="K16" s="18"/>
      <c r="L16" s="18"/>
      <c r="M16" s="18">
        <f>38151-11526</f>
        <v>26625</v>
      </c>
      <c r="N16" s="61">
        <f>-5936+13870</f>
        <v>7934</v>
      </c>
      <c r="O16" s="18">
        <v>37557</v>
      </c>
      <c r="P16" s="18">
        <v>68614</v>
      </c>
      <c r="Q16" s="18">
        <v>84311</v>
      </c>
      <c r="R16" s="1"/>
      <c r="S16" s="1"/>
      <c r="T16" s="18">
        <v>22349</v>
      </c>
      <c r="U16" s="18">
        <v>21679</v>
      </c>
      <c r="V16" s="18">
        <v>20857</v>
      </c>
      <c r="W16" s="18">
        <f>28170-9000</f>
        <v>19170</v>
      </c>
      <c r="X16" s="18">
        <v>26605</v>
      </c>
      <c r="Y16" s="18">
        <f>39834-12328</f>
        <v>27506</v>
      </c>
      <c r="Z16" s="18">
        <f>80857-50486</f>
        <v>30371</v>
      </c>
      <c r="AA16" s="18">
        <v>26869</v>
      </c>
      <c r="AB16" s="1"/>
      <c r="AC16" s="18">
        <f t="shared" si="0"/>
        <v>111351</v>
      </c>
      <c r="AD16" s="1"/>
      <c r="AE16" s="1"/>
    </row>
    <row r="17" spans="1:31" x14ac:dyDescent="0.2">
      <c r="B17" s="23" t="s">
        <v>30</v>
      </c>
      <c r="C17" s="21"/>
      <c r="D17" s="21"/>
      <c r="E17" s="21"/>
      <c r="F17" s="21"/>
      <c r="G17" s="21"/>
      <c r="H17" s="21"/>
      <c r="I17" s="21"/>
      <c r="J17" s="21"/>
      <c r="K17" s="21"/>
      <c r="L17" s="21"/>
      <c r="M17" s="62">
        <v>-4791</v>
      </c>
      <c r="N17" s="62">
        <v>3217</v>
      </c>
      <c r="O17" s="62">
        <v>-7120</v>
      </c>
      <c r="P17" s="62">
        <v>-9265</v>
      </c>
      <c r="Q17" s="62">
        <v>-19087</v>
      </c>
      <c r="T17" s="62">
        <v>-2325</v>
      </c>
      <c r="U17" s="62">
        <v>-4553</v>
      </c>
      <c r="V17" s="62">
        <v>-2678</v>
      </c>
      <c r="W17" s="62">
        <v>-6910</v>
      </c>
      <c r="X17" s="62">
        <v>-4946</v>
      </c>
      <c r="Y17" s="62">
        <v>-9560</v>
      </c>
      <c r="Z17" s="62">
        <v>-18199</v>
      </c>
      <c r="AA17" s="62">
        <v>-6180</v>
      </c>
      <c r="AC17" s="62">
        <f t="shared" si="0"/>
        <v>-38885</v>
      </c>
    </row>
    <row r="18" spans="1:31" x14ac:dyDescent="0.2">
      <c r="B18" s="23" t="s">
        <v>327</v>
      </c>
      <c r="C18" s="21"/>
      <c r="D18" s="21"/>
      <c r="E18" s="21"/>
      <c r="F18" s="21"/>
      <c r="G18" s="21"/>
      <c r="H18" s="21"/>
      <c r="I18" s="21"/>
      <c r="J18" s="21"/>
      <c r="K18" s="21"/>
      <c r="L18" s="21"/>
      <c r="M18" s="62">
        <v>0</v>
      </c>
      <c r="N18" s="62">
        <v>0</v>
      </c>
      <c r="O18" s="62">
        <v>0</v>
      </c>
      <c r="P18" s="62">
        <v>0</v>
      </c>
      <c r="Q18" s="62">
        <v>0</v>
      </c>
      <c r="T18" s="62">
        <v>0</v>
      </c>
      <c r="U18" s="62">
        <v>0</v>
      </c>
      <c r="V18" s="62">
        <v>0</v>
      </c>
      <c r="W18" s="62">
        <v>0</v>
      </c>
      <c r="X18" s="62">
        <v>0</v>
      </c>
      <c r="Y18" s="62">
        <v>0</v>
      </c>
      <c r="Z18" s="62">
        <v>0</v>
      </c>
      <c r="AA18" s="62">
        <v>0</v>
      </c>
      <c r="AC18" s="62">
        <f t="shared" si="0"/>
        <v>0</v>
      </c>
    </row>
    <row r="19" spans="1:31" s="19" customFormat="1" x14ac:dyDescent="0.2">
      <c r="A19" s="16"/>
      <c r="B19" s="17" t="s">
        <v>31</v>
      </c>
      <c r="C19" s="18"/>
      <c r="D19" s="18"/>
      <c r="E19" s="18"/>
      <c r="F19" s="18"/>
      <c r="G19" s="18"/>
      <c r="H19" s="18"/>
      <c r="I19" s="18"/>
      <c r="J19" s="18"/>
      <c r="K19" s="18"/>
      <c r="L19" s="18"/>
      <c r="M19" s="18">
        <f>33364-11526</f>
        <v>21838</v>
      </c>
      <c r="N19" s="61">
        <f>-2722+13870</f>
        <v>11148</v>
      </c>
      <c r="O19" s="18">
        <v>30425</v>
      </c>
      <c r="P19" s="18">
        <v>59248</v>
      </c>
      <c r="Q19" s="18">
        <v>64670</v>
      </c>
      <c r="R19" s="60"/>
      <c r="S19" s="60"/>
      <c r="T19" s="18">
        <v>20004</v>
      </c>
      <c r="U19" s="18">
        <v>17127</v>
      </c>
      <c r="V19" s="18">
        <v>18164</v>
      </c>
      <c r="W19" s="18">
        <f>21187-9000</f>
        <v>12187</v>
      </c>
      <c r="X19" s="18">
        <v>21192</v>
      </c>
      <c r="Y19" s="18">
        <f>30255-12328</f>
        <v>17927</v>
      </c>
      <c r="Z19" s="18">
        <f>62647-50486</f>
        <v>12161</v>
      </c>
      <c r="AA19" s="18">
        <v>20685</v>
      </c>
      <c r="AB19" s="1"/>
      <c r="AC19" s="61">
        <f t="shared" si="0"/>
        <v>71965</v>
      </c>
      <c r="AD19" s="1"/>
      <c r="AE19" s="1"/>
    </row>
    <row r="20" spans="1:31" x14ac:dyDescent="0.2">
      <c r="B20" s="23" t="s">
        <v>32</v>
      </c>
      <c r="C20" s="21"/>
      <c r="D20" s="21"/>
      <c r="E20" s="21"/>
      <c r="F20" s="21"/>
      <c r="G20" s="21"/>
      <c r="H20" s="21"/>
      <c r="I20" s="21"/>
      <c r="J20" s="21"/>
      <c r="K20" s="21"/>
      <c r="L20" s="21"/>
      <c r="M20" s="21">
        <v>10117</v>
      </c>
      <c r="N20" s="21">
        <v>10189</v>
      </c>
      <c r="O20" s="21">
        <v>10304</v>
      </c>
      <c r="P20" s="21">
        <v>10473</v>
      </c>
      <c r="Q20" s="21">
        <v>10656</v>
      </c>
      <c r="R20" s="60"/>
      <c r="S20" s="60"/>
      <c r="T20" s="21">
        <v>10552</v>
      </c>
      <c r="U20" s="21">
        <v>10603</v>
      </c>
      <c r="V20" s="21">
        <v>10637</v>
      </c>
      <c r="W20" s="21">
        <v>10674</v>
      </c>
      <c r="X20" s="21">
        <v>10709</v>
      </c>
      <c r="Y20" s="21">
        <v>10743</v>
      </c>
      <c r="Z20" s="21">
        <v>10769</v>
      </c>
      <c r="AA20" s="21">
        <v>10797</v>
      </c>
      <c r="AC20" s="62">
        <f>AVERAGE(X20:AA20)</f>
        <v>10754.5</v>
      </c>
    </row>
    <row r="21" spans="1:31" x14ac:dyDescent="0.2">
      <c r="B21" s="23" t="s">
        <v>33</v>
      </c>
      <c r="C21" s="25">
        <f t="shared" ref="C21:Q21" si="6">C20*C$86</f>
        <v>0</v>
      </c>
      <c r="D21" s="25">
        <f t="shared" si="6"/>
        <v>0</v>
      </c>
      <c r="E21" s="25">
        <f t="shared" si="6"/>
        <v>0</v>
      </c>
      <c r="F21" s="25">
        <f t="shared" si="6"/>
        <v>0</v>
      </c>
      <c r="G21" s="25">
        <f t="shared" si="6"/>
        <v>0</v>
      </c>
      <c r="H21" s="25">
        <f t="shared" si="6"/>
        <v>0</v>
      </c>
      <c r="I21" s="25">
        <f t="shared" si="6"/>
        <v>0</v>
      </c>
      <c r="J21" s="25">
        <f t="shared" si="6"/>
        <v>0</v>
      </c>
      <c r="K21" s="25">
        <f t="shared" si="6"/>
        <v>0</v>
      </c>
      <c r="L21" s="25">
        <f t="shared" si="6"/>
        <v>0</v>
      </c>
      <c r="M21" s="25">
        <f t="shared" si="6"/>
        <v>10117</v>
      </c>
      <c r="N21" s="25">
        <f t="shared" si="6"/>
        <v>10189</v>
      </c>
      <c r="O21" s="25">
        <f t="shared" si="6"/>
        <v>10304</v>
      </c>
      <c r="P21" s="25">
        <f t="shared" si="6"/>
        <v>10473</v>
      </c>
      <c r="Q21" s="25">
        <f t="shared" si="6"/>
        <v>10656</v>
      </c>
      <c r="T21" s="25">
        <f t="shared" ref="T21:Z21" si="7">T20*T$86</f>
        <v>10552</v>
      </c>
      <c r="U21" s="25">
        <f t="shared" si="7"/>
        <v>10603</v>
      </c>
      <c r="V21" s="25">
        <f t="shared" si="7"/>
        <v>10637</v>
      </c>
      <c r="W21" s="25">
        <f t="shared" si="7"/>
        <v>10674</v>
      </c>
      <c r="X21" s="25">
        <f t="shared" si="7"/>
        <v>10709</v>
      </c>
      <c r="Y21" s="25">
        <f t="shared" si="7"/>
        <v>10743</v>
      </c>
      <c r="Z21" s="25">
        <f t="shared" ref="Z21:AA21" si="8">Z20*Z$86</f>
        <v>10769</v>
      </c>
      <c r="AA21" s="25">
        <f t="shared" si="8"/>
        <v>10797</v>
      </c>
      <c r="AC21" s="25">
        <f>AC20*AC$86</f>
        <v>10754.5</v>
      </c>
    </row>
    <row r="22" spans="1:31" x14ac:dyDescent="0.2">
      <c r="B22" s="23" t="s">
        <v>34</v>
      </c>
      <c r="C22" s="21"/>
      <c r="D22" s="21"/>
      <c r="E22" s="21"/>
      <c r="F22" s="21"/>
      <c r="G22" s="21"/>
      <c r="H22" s="21"/>
      <c r="I22" s="21"/>
      <c r="J22" s="21"/>
      <c r="K22" s="21"/>
      <c r="L22" s="21"/>
      <c r="M22" s="21">
        <v>10296</v>
      </c>
      <c r="N22" s="21">
        <v>10189</v>
      </c>
      <c r="O22" s="21">
        <v>10492</v>
      </c>
      <c r="P22" s="21">
        <v>10721</v>
      </c>
      <c r="Q22" s="21">
        <v>10827</v>
      </c>
      <c r="T22" s="21">
        <v>10771</v>
      </c>
      <c r="U22" s="21">
        <v>10793</v>
      </c>
      <c r="V22" s="21">
        <v>10806</v>
      </c>
      <c r="W22" s="21">
        <v>10845</v>
      </c>
      <c r="X22" s="21">
        <v>10863</v>
      </c>
      <c r="Y22" s="21">
        <v>10874</v>
      </c>
      <c r="Z22" s="21">
        <v>10903</v>
      </c>
      <c r="AA22" s="21">
        <v>10929</v>
      </c>
      <c r="AC22" s="62">
        <f>AVERAGE(X22:AA22)</f>
        <v>10892.25</v>
      </c>
    </row>
    <row r="23" spans="1:31" x14ac:dyDescent="0.2">
      <c r="B23" s="23" t="s">
        <v>35</v>
      </c>
      <c r="C23" s="25">
        <f t="shared" ref="C23:Q23" si="9">C22*C$86</f>
        <v>0</v>
      </c>
      <c r="D23" s="25">
        <f t="shared" si="9"/>
        <v>0</v>
      </c>
      <c r="E23" s="25">
        <f t="shared" si="9"/>
        <v>0</v>
      </c>
      <c r="F23" s="25">
        <f t="shared" si="9"/>
        <v>0</v>
      </c>
      <c r="G23" s="25">
        <f t="shared" si="9"/>
        <v>0</v>
      </c>
      <c r="H23" s="25">
        <f t="shared" si="9"/>
        <v>0</v>
      </c>
      <c r="I23" s="25">
        <f t="shared" si="9"/>
        <v>0</v>
      </c>
      <c r="J23" s="25">
        <f t="shared" si="9"/>
        <v>0</v>
      </c>
      <c r="K23" s="25">
        <f t="shared" si="9"/>
        <v>0</v>
      </c>
      <c r="L23" s="25">
        <f t="shared" si="9"/>
        <v>0</v>
      </c>
      <c r="M23" s="25">
        <f t="shared" si="9"/>
        <v>10296</v>
      </c>
      <c r="N23" s="25">
        <f t="shared" si="9"/>
        <v>10189</v>
      </c>
      <c r="O23" s="25">
        <f t="shared" si="9"/>
        <v>10492</v>
      </c>
      <c r="P23" s="25">
        <f t="shared" si="9"/>
        <v>10721</v>
      </c>
      <c r="Q23" s="25">
        <f t="shared" si="9"/>
        <v>10827</v>
      </c>
      <c r="T23" s="25">
        <f t="shared" ref="T23:Z23" si="10">T22*T$86</f>
        <v>10771</v>
      </c>
      <c r="U23" s="25">
        <f t="shared" si="10"/>
        <v>10793</v>
      </c>
      <c r="V23" s="25">
        <f t="shared" si="10"/>
        <v>10806</v>
      </c>
      <c r="W23" s="25">
        <f t="shared" si="10"/>
        <v>10845</v>
      </c>
      <c r="X23" s="25">
        <f t="shared" si="10"/>
        <v>10863</v>
      </c>
      <c r="Y23" s="25">
        <f t="shared" si="10"/>
        <v>10874</v>
      </c>
      <c r="Z23" s="25">
        <f t="shared" ref="Z23:AA23" si="11">Z22*Z$86</f>
        <v>10903</v>
      </c>
      <c r="AA23" s="25">
        <f t="shared" si="11"/>
        <v>10929</v>
      </c>
      <c r="AC23" s="25">
        <f>AC22*AC$86</f>
        <v>10892.25</v>
      </c>
    </row>
    <row r="24" spans="1:31" x14ac:dyDescent="0.2">
      <c r="B24" s="23" t="s">
        <v>36</v>
      </c>
      <c r="C24" s="26"/>
      <c r="D24" s="26"/>
      <c r="E24" s="26"/>
      <c r="F24" s="26"/>
      <c r="G24" s="26"/>
      <c r="H24" s="26"/>
      <c r="I24" s="26"/>
      <c r="J24" s="26"/>
      <c r="K24" s="26"/>
      <c r="L24" s="26"/>
      <c r="M24" s="26">
        <f>M19/M20</f>
        <v>2.1585450232282297</v>
      </c>
      <c r="N24" s="63">
        <f>N19/N20</f>
        <v>1.094121111002061</v>
      </c>
      <c r="O24" s="26">
        <v>2.95</v>
      </c>
      <c r="P24" s="26">
        <v>5.66</v>
      </c>
      <c r="Q24" s="26">
        <f>Q19/Q20</f>
        <v>6.0688813813813818</v>
      </c>
      <c r="T24" s="26">
        <v>1.9</v>
      </c>
      <c r="U24" s="26">
        <v>1.62</v>
      </c>
      <c r="V24" s="26">
        <v>1.71</v>
      </c>
      <c r="W24" s="26">
        <f>W19/W20</f>
        <v>1.1417462994191494</v>
      </c>
      <c r="X24" s="26">
        <v>1.98</v>
      </c>
      <c r="Y24" s="26">
        <f>Y19/Y20</f>
        <v>1.6687145117751094</v>
      </c>
      <c r="Z24" s="26">
        <f>Z19/Z20</f>
        <v>1.1292599127124152</v>
      </c>
      <c r="AA24" s="26">
        <f>AA19/AA20</f>
        <v>1.9158099472075576</v>
      </c>
      <c r="AC24" s="26">
        <f>SUM(X24:AA24)</f>
        <v>6.6937843716950827</v>
      </c>
    </row>
    <row r="25" spans="1:31" x14ac:dyDescent="0.2">
      <c r="B25" s="23" t="s">
        <v>37</v>
      </c>
      <c r="C25" s="27"/>
      <c r="D25" s="27"/>
      <c r="E25" s="27"/>
      <c r="F25" s="27"/>
      <c r="G25" s="27"/>
      <c r="H25" s="27"/>
      <c r="I25" s="27"/>
      <c r="J25" s="27"/>
      <c r="K25" s="27"/>
      <c r="L25" s="27"/>
      <c r="M25" s="65">
        <f>M24/M$86</f>
        <v>2.1585450232282297</v>
      </c>
      <c r="N25" s="65">
        <f>N24/N$86</f>
        <v>1.094121111002061</v>
      </c>
      <c r="O25" s="65">
        <f>O24/O$86</f>
        <v>2.95</v>
      </c>
      <c r="P25" s="65">
        <f>P24/P$86</f>
        <v>5.66</v>
      </c>
      <c r="Q25" s="65">
        <f>Q24/Q$86</f>
        <v>6.0688813813813818</v>
      </c>
      <c r="T25" s="65">
        <f t="shared" ref="T25:Z25" si="12">T24/T$86</f>
        <v>1.9</v>
      </c>
      <c r="U25" s="65">
        <f t="shared" si="12"/>
        <v>1.62</v>
      </c>
      <c r="V25" s="65">
        <f t="shared" si="12"/>
        <v>1.71</v>
      </c>
      <c r="W25" s="65">
        <f t="shared" si="12"/>
        <v>1.1417462994191494</v>
      </c>
      <c r="X25" s="65">
        <f t="shared" si="12"/>
        <v>1.98</v>
      </c>
      <c r="Y25" s="65">
        <f t="shared" si="12"/>
        <v>1.6687145117751094</v>
      </c>
      <c r="Z25" s="65">
        <f t="shared" ref="Z25:AA25" si="13">Z24/Z$86</f>
        <v>1.1292599127124152</v>
      </c>
      <c r="AA25" s="65">
        <f t="shared" si="13"/>
        <v>1.9158099472075576</v>
      </c>
      <c r="AC25" s="65">
        <f>AC24/AC$86</f>
        <v>6.6937843716950827</v>
      </c>
    </row>
    <row r="26" spans="1:31" x14ac:dyDescent="0.2">
      <c r="B26" s="23" t="s">
        <v>38</v>
      </c>
      <c r="C26" s="26"/>
      <c r="D26" s="26"/>
      <c r="E26" s="26"/>
      <c r="F26" s="26"/>
      <c r="G26" s="26"/>
      <c r="H26" s="26"/>
      <c r="I26" s="26"/>
      <c r="J26" s="26"/>
      <c r="K26" s="26"/>
      <c r="L26" s="26"/>
      <c r="M26" s="26">
        <f>M19/M22</f>
        <v>2.1210178710178709</v>
      </c>
      <c r="N26" s="63">
        <f>N19/N22</f>
        <v>1.094121111002061</v>
      </c>
      <c r="O26" s="26">
        <v>2.9</v>
      </c>
      <c r="P26" s="26">
        <v>5.53</v>
      </c>
      <c r="Q26" s="26">
        <f>Q19/Q22</f>
        <v>5.9730303869954744</v>
      </c>
      <c r="T26" s="26">
        <v>1.86</v>
      </c>
      <c r="U26" s="63">
        <v>1.59</v>
      </c>
      <c r="V26" s="26">
        <v>1.68</v>
      </c>
      <c r="W26" s="26">
        <f>W19/W22</f>
        <v>1.1237436606731213</v>
      </c>
      <c r="X26" s="26">
        <v>1.95</v>
      </c>
      <c r="Y26" s="26">
        <f>Y19/Y22</f>
        <v>1.6486113665624424</v>
      </c>
      <c r="Z26" s="26">
        <f>Z19/Z22</f>
        <v>1.1153810877740071</v>
      </c>
      <c r="AA26" s="26">
        <f>AA19/AA22</f>
        <v>1.8926708756519353</v>
      </c>
      <c r="AC26" s="26">
        <f>SUM(X26:AA26)</f>
        <v>6.6066633299883843</v>
      </c>
    </row>
    <row r="27" spans="1:31" s="30" customFormat="1" ht="17" thickBot="1" x14ac:dyDescent="0.25">
      <c r="A27" s="1"/>
      <c r="B27" s="28" t="s">
        <v>39</v>
      </c>
      <c r="C27" s="29"/>
      <c r="D27" s="29"/>
      <c r="E27" s="29"/>
      <c r="F27" s="29"/>
      <c r="G27" s="29"/>
      <c r="H27" s="29"/>
      <c r="I27" s="29"/>
      <c r="J27" s="29"/>
      <c r="K27" s="29"/>
      <c r="L27" s="29"/>
      <c r="M27" s="66">
        <f>M26/M$86</f>
        <v>2.1210178710178709</v>
      </c>
      <c r="N27" s="66">
        <f>N26/N$86</f>
        <v>1.094121111002061</v>
      </c>
      <c r="O27" s="66">
        <f>O26/O$86</f>
        <v>2.9</v>
      </c>
      <c r="P27" s="66">
        <f>P26/P$86</f>
        <v>5.53</v>
      </c>
      <c r="Q27" s="66">
        <f>Q26/Q$86</f>
        <v>5.9730303869954744</v>
      </c>
      <c r="R27" s="1"/>
      <c r="S27" s="1"/>
      <c r="T27" s="66">
        <f t="shared" ref="T27:Z27" si="14">T26/T$86</f>
        <v>1.86</v>
      </c>
      <c r="U27" s="66">
        <f t="shared" si="14"/>
        <v>1.59</v>
      </c>
      <c r="V27" s="66">
        <f t="shared" si="14"/>
        <v>1.68</v>
      </c>
      <c r="W27" s="66">
        <f t="shared" si="14"/>
        <v>1.1237436606731213</v>
      </c>
      <c r="X27" s="66">
        <f t="shared" si="14"/>
        <v>1.95</v>
      </c>
      <c r="Y27" s="66">
        <f t="shared" si="14"/>
        <v>1.6486113665624424</v>
      </c>
      <c r="Z27" s="66">
        <f t="shared" ref="Z27:AA27" si="15">Z26/Z$86</f>
        <v>1.1153810877740071</v>
      </c>
      <c r="AA27" s="66">
        <f t="shared" si="15"/>
        <v>1.8926708756519353</v>
      </c>
      <c r="AB27" s="1"/>
      <c r="AC27" s="66">
        <f>AC26/AC$86</f>
        <v>6.6066633299883843</v>
      </c>
      <c r="AD27" s="1"/>
      <c r="AE27" s="1"/>
    </row>
    <row r="28" spans="1:31" s="30" customFormat="1" ht="17" thickBot="1" x14ac:dyDescent="0.25">
      <c r="A28" s="1"/>
      <c r="B28" s="31"/>
      <c r="J28" s="31"/>
      <c r="K28" s="31"/>
      <c r="L28" s="31"/>
      <c r="M28" s="31"/>
      <c r="N28" s="31"/>
      <c r="O28" s="31"/>
      <c r="P28" s="31"/>
      <c r="R28" s="1"/>
      <c r="S28" s="1"/>
      <c r="AB28" s="1"/>
      <c r="AD28" s="1"/>
      <c r="AE28" s="1"/>
    </row>
    <row r="29" spans="1:31" s="15" customFormat="1" ht="17" thickBot="1" x14ac:dyDescent="0.25">
      <c r="A29" s="11"/>
      <c r="B29" s="14" t="s">
        <v>40</v>
      </c>
      <c r="R29" s="1"/>
      <c r="S29" s="1"/>
      <c r="AB29" s="1"/>
      <c r="AD29" s="1"/>
      <c r="AE29" s="1"/>
    </row>
    <row r="30" spans="1:31" x14ac:dyDescent="0.2">
      <c r="B30" s="20" t="s">
        <v>41</v>
      </c>
      <c r="C30" s="21"/>
      <c r="D30" s="21"/>
      <c r="E30" s="21"/>
      <c r="F30" s="21"/>
      <c r="G30" s="21"/>
      <c r="H30" s="21"/>
      <c r="I30" s="21"/>
      <c r="J30" s="21"/>
      <c r="K30" s="21"/>
      <c r="L30" s="21"/>
      <c r="M30" s="21">
        <f>36220+59829</f>
        <v>96049</v>
      </c>
      <c r="N30" s="21">
        <f>53888+16138</f>
        <v>70026</v>
      </c>
      <c r="O30" s="21">
        <f>73387+13393</f>
        <v>86780</v>
      </c>
      <c r="P30" s="21">
        <f>78779+22423</f>
        <v>101202</v>
      </c>
      <c r="Q30" s="21">
        <f>86810+36219</f>
        <v>123029</v>
      </c>
      <c r="T30" s="21">
        <f>78779+22423</f>
        <v>101202</v>
      </c>
      <c r="U30" s="21">
        <f>66207+28358</f>
        <v>94565</v>
      </c>
      <c r="V30" s="21">
        <f>57741+35439</f>
        <v>93180</v>
      </c>
      <c r="W30" s="21">
        <f>66922+27275</f>
        <v>94197</v>
      </c>
      <c r="X30" s="21">
        <f>86810+36219</f>
        <v>123029</v>
      </c>
      <c r="Y30" s="21">
        <f>101816+41273</f>
        <v>143089</v>
      </c>
      <c r="Z30" s="21">
        <f>78213+44775</f>
        <v>122988</v>
      </c>
      <c r="AA30" s="21">
        <f>55783+58443</f>
        <v>114226</v>
      </c>
      <c r="AC30" s="21">
        <f>AA30</f>
        <v>114226</v>
      </c>
    </row>
    <row r="31" spans="1:31" x14ac:dyDescent="0.2">
      <c r="B31" s="20" t="s">
        <v>42</v>
      </c>
      <c r="C31" s="21"/>
      <c r="D31" s="21"/>
      <c r="E31" s="21"/>
      <c r="F31" s="21"/>
      <c r="G31" s="21"/>
      <c r="H31" s="21"/>
      <c r="I31" s="21"/>
      <c r="J31" s="21"/>
      <c r="K31" s="21"/>
      <c r="L31" s="21"/>
      <c r="M31" s="21">
        <v>32891</v>
      </c>
      <c r="N31" s="21">
        <v>42360</v>
      </c>
      <c r="O31" s="21">
        <v>52253</v>
      </c>
      <c r="P31" s="21">
        <v>55451</v>
      </c>
      <c r="Q31" s="21">
        <v>67729</v>
      </c>
      <c r="T31" s="21">
        <v>55451</v>
      </c>
      <c r="U31" s="21">
        <v>54216</v>
      </c>
      <c r="V31" s="21">
        <v>57415</v>
      </c>
      <c r="W31" s="21">
        <v>61175</v>
      </c>
      <c r="X31" s="21">
        <v>67729</v>
      </c>
      <c r="Y31" s="21">
        <v>75532</v>
      </c>
      <c r="Z31" s="21">
        <v>88092</v>
      </c>
      <c r="AA31" s="21">
        <v>98242</v>
      </c>
      <c r="AC31" s="21">
        <f t="shared" ref="AC31:AC51" si="16">AA31</f>
        <v>98242</v>
      </c>
    </row>
    <row r="32" spans="1:31" x14ac:dyDescent="0.2">
      <c r="B32" s="20" t="s">
        <v>136</v>
      </c>
      <c r="C32" s="21"/>
      <c r="D32" s="21"/>
      <c r="E32" s="21"/>
      <c r="F32" s="21"/>
      <c r="G32" s="21"/>
      <c r="H32" s="21"/>
      <c r="I32" s="21"/>
      <c r="J32" s="21"/>
      <c r="K32" s="21"/>
      <c r="L32" s="21"/>
      <c r="M32" s="21">
        <v>32640</v>
      </c>
      <c r="N32" s="21">
        <v>34405</v>
      </c>
      <c r="O32" s="21">
        <v>33318</v>
      </c>
      <c r="P32" s="21">
        <v>34214</v>
      </c>
      <c r="Q32" s="21">
        <v>38325</v>
      </c>
      <c r="T32" s="21">
        <v>34214</v>
      </c>
      <c r="U32" s="21">
        <v>35864</v>
      </c>
      <c r="V32" s="21">
        <v>40825</v>
      </c>
      <c r="W32" s="21">
        <v>41494</v>
      </c>
      <c r="X32" s="21">
        <v>38325</v>
      </c>
      <c r="Y32" s="21">
        <v>36534</v>
      </c>
      <c r="Z32" s="21">
        <v>38184</v>
      </c>
      <c r="AA32" s="21">
        <v>42632</v>
      </c>
      <c r="AC32" s="21">
        <f>AA32</f>
        <v>42632</v>
      </c>
    </row>
    <row r="33" spans="1:31" s="34" customFormat="1" x14ac:dyDescent="0.2">
      <c r="A33" s="16"/>
      <c r="B33" s="32" t="s">
        <v>43</v>
      </c>
      <c r="C33" s="33"/>
      <c r="D33" s="33"/>
      <c r="E33" s="33"/>
      <c r="F33" s="33"/>
      <c r="G33" s="33"/>
      <c r="H33" s="33"/>
      <c r="I33" s="33"/>
      <c r="J33" s="33"/>
      <c r="K33" s="33"/>
      <c r="L33" s="33"/>
      <c r="M33" s="33">
        <v>161580</v>
      </c>
      <c r="N33" s="33">
        <v>146791</v>
      </c>
      <c r="O33" s="33">
        <v>172351</v>
      </c>
      <c r="P33" s="33">
        <v>190867</v>
      </c>
      <c r="Q33" s="33">
        <v>229083</v>
      </c>
      <c r="R33" s="1"/>
      <c r="S33" s="1"/>
      <c r="T33" s="33">
        <v>190867</v>
      </c>
      <c r="U33" s="33">
        <v>184645</v>
      </c>
      <c r="V33" s="33">
        <v>191420</v>
      </c>
      <c r="W33" s="33">
        <v>196866</v>
      </c>
      <c r="X33" s="33">
        <v>229083</v>
      </c>
      <c r="Y33" s="33">
        <v>255155</v>
      </c>
      <c r="Z33" s="33">
        <v>249264</v>
      </c>
      <c r="AA33" s="33">
        <v>255100</v>
      </c>
      <c r="AB33" s="1"/>
      <c r="AC33" s="33">
        <f t="shared" si="16"/>
        <v>255100</v>
      </c>
      <c r="AD33" s="1"/>
      <c r="AE33" s="1"/>
    </row>
    <row r="34" spans="1:31" x14ac:dyDescent="0.2">
      <c r="B34" s="20" t="s">
        <v>44</v>
      </c>
      <c r="C34" s="21"/>
      <c r="D34" s="21"/>
      <c r="E34" s="21"/>
      <c r="F34" s="21"/>
      <c r="G34" s="21"/>
      <c r="H34" s="21"/>
      <c r="I34" s="21"/>
      <c r="J34" s="21"/>
      <c r="K34" s="21"/>
      <c r="L34" s="21"/>
      <c r="M34" s="21">
        <v>160281</v>
      </c>
      <c r="N34" s="21">
        <v>186715</v>
      </c>
      <c r="O34" s="21">
        <v>204177</v>
      </c>
      <c r="P34" s="21">
        <v>252665</v>
      </c>
      <c r="Q34" s="21">
        <v>357025</v>
      </c>
      <c r="T34" s="21">
        <v>252665</v>
      </c>
      <c r="U34" s="21">
        <v>272781</v>
      </c>
      <c r="V34" s="21">
        <v>297616</v>
      </c>
      <c r="W34" s="21">
        <v>324435</v>
      </c>
      <c r="X34" s="21">
        <v>357025</v>
      </c>
      <c r="Y34" s="21">
        <v>397458</v>
      </c>
      <c r="Z34" s="21">
        <v>446046</v>
      </c>
      <c r="AA34" s="21">
        <v>508862</v>
      </c>
      <c r="AC34" s="21">
        <f t="shared" si="16"/>
        <v>508862</v>
      </c>
    </row>
    <row r="35" spans="1:31" x14ac:dyDescent="0.2">
      <c r="B35" s="20" t="s">
        <v>351</v>
      </c>
      <c r="C35" s="21"/>
      <c r="D35" s="21"/>
      <c r="E35" s="21"/>
      <c r="F35" s="21"/>
      <c r="G35" s="21"/>
      <c r="H35" s="21"/>
      <c r="I35" s="21"/>
      <c r="J35" s="21"/>
      <c r="K35" s="21"/>
      <c r="L35" s="21"/>
      <c r="M35" s="21">
        <v>0</v>
      </c>
      <c r="N35" s="21">
        <v>0</v>
      </c>
      <c r="O35" s="21">
        <v>0</v>
      </c>
      <c r="P35" s="21">
        <v>0</v>
      </c>
      <c r="Q35" s="21">
        <v>0</v>
      </c>
      <c r="T35" s="21">
        <v>0</v>
      </c>
      <c r="U35" s="21">
        <v>0</v>
      </c>
      <c r="V35" s="21">
        <v>0</v>
      </c>
      <c r="W35" s="21">
        <v>0</v>
      </c>
      <c r="X35" s="21">
        <v>0</v>
      </c>
      <c r="Y35" s="21">
        <v>0</v>
      </c>
      <c r="Z35" s="21">
        <v>0</v>
      </c>
      <c r="AA35" s="21">
        <v>0</v>
      </c>
      <c r="AC35" s="21">
        <f t="shared" si="16"/>
        <v>0</v>
      </c>
    </row>
    <row r="36" spans="1:31" x14ac:dyDescent="0.2">
      <c r="B36" s="20" t="s">
        <v>45</v>
      </c>
      <c r="C36" s="21"/>
      <c r="D36" s="21"/>
      <c r="E36" s="21"/>
      <c r="F36" s="21"/>
      <c r="G36" s="21"/>
      <c r="H36" s="21"/>
      <c r="I36" s="21"/>
      <c r="J36" s="21"/>
      <c r="K36" s="21"/>
      <c r="L36" s="21"/>
      <c r="M36" s="21">
        <v>15371</v>
      </c>
      <c r="N36" s="21">
        <v>20288</v>
      </c>
      <c r="O36" s="21">
        <v>22789</v>
      </c>
      <c r="P36" s="21">
        <v>23074</v>
      </c>
      <c r="Q36" s="226">
        <v>23273</v>
      </c>
      <c r="T36" s="21">
        <v>23074</v>
      </c>
      <c r="U36" s="21">
        <v>23089</v>
      </c>
      <c r="V36" s="21">
        <v>23155</v>
      </c>
      <c r="W36" s="226">
        <v>23260</v>
      </c>
      <c r="X36" s="226">
        <v>23273</v>
      </c>
      <c r="Y36" s="226">
        <v>23449</v>
      </c>
      <c r="Z36" s="226">
        <v>23504</v>
      </c>
      <c r="AA36" s="226">
        <v>23743</v>
      </c>
      <c r="AC36" s="21">
        <f t="shared" si="16"/>
        <v>23743</v>
      </c>
    </row>
    <row r="37" spans="1:31" s="34" customFormat="1" x14ac:dyDescent="0.2">
      <c r="A37" s="16"/>
      <c r="B37" s="32" t="s">
        <v>46</v>
      </c>
      <c r="C37" s="35"/>
      <c r="D37" s="35"/>
      <c r="E37" s="35"/>
      <c r="F37" s="35"/>
      <c r="G37" s="35"/>
      <c r="H37" s="35"/>
      <c r="I37" s="35"/>
      <c r="J37" s="35"/>
      <c r="K37" s="35"/>
      <c r="L37" s="35"/>
      <c r="M37" s="35">
        <f t="shared" ref="M37:O37" si="17">M38-M33</f>
        <v>258969</v>
      </c>
      <c r="N37" s="35">
        <f t="shared" si="17"/>
        <v>315884</v>
      </c>
      <c r="O37" s="35">
        <f t="shared" si="17"/>
        <v>355503</v>
      </c>
      <c r="P37" s="35">
        <f>P38-P33</f>
        <v>434027</v>
      </c>
      <c r="Q37" s="35">
        <f>Q38-Q33</f>
        <v>588959</v>
      </c>
      <c r="R37" s="1"/>
      <c r="S37" s="1"/>
      <c r="T37" s="35">
        <f t="shared" ref="T37:Z37" si="18">T38-T33</f>
        <v>434027</v>
      </c>
      <c r="U37" s="35">
        <f t="shared" si="18"/>
        <v>458611</v>
      </c>
      <c r="V37" s="35">
        <f t="shared" si="18"/>
        <v>490750</v>
      </c>
      <c r="W37" s="35">
        <f t="shared" si="18"/>
        <v>531055</v>
      </c>
      <c r="X37" s="35">
        <f t="shared" si="18"/>
        <v>588959</v>
      </c>
      <c r="Y37" s="35">
        <f t="shared" si="18"/>
        <v>661475</v>
      </c>
      <c r="Z37" s="35">
        <f t="shared" si="18"/>
        <v>846425</v>
      </c>
      <c r="AA37" s="35">
        <f t="shared" ref="Z37:AA37" si="19">AA38-AA33</f>
        <v>988290</v>
      </c>
      <c r="AB37" s="1"/>
      <c r="AC37" s="35">
        <f t="shared" si="16"/>
        <v>988290</v>
      </c>
      <c r="AD37" s="1"/>
      <c r="AE37" s="1"/>
    </row>
    <row r="38" spans="1:31" s="19" customFormat="1" x14ac:dyDescent="0.2">
      <c r="A38" s="16"/>
      <c r="B38" s="17" t="s">
        <v>47</v>
      </c>
      <c r="C38" s="18"/>
      <c r="D38" s="18"/>
      <c r="E38" s="18"/>
      <c r="F38" s="18"/>
      <c r="G38" s="18"/>
      <c r="H38" s="18"/>
      <c r="I38" s="18"/>
      <c r="J38" s="18"/>
      <c r="K38" s="18"/>
      <c r="L38" s="18"/>
      <c r="M38" s="18">
        <v>420549</v>
      </c>
      <c r="N38" s="18">
        <v>462675</v>
      </c>
      <c r="O38" s="18">
        <v>527854</v>
      </c>
      <c r="P38" s="18">
        <v>624894</v>
      </c>
      <c r="Q38" s="18">
        <v>818042</v>
      </c>
      <c r="R38" s="1"/>
      <c r="S38" s="1"/>
      <c r="T38" s="18">
        <v>624894</v>
      </c>
      <c r="U38" s="18">
        <v>643256</v>
      </c>
      <c r="V38" s="18">
        <v>682170</v>
      </c>
      <c r="W38" s="18">
        <v>727921</v>
      </c>
      <c r="X38" s="18">
        <v>818042</v>
      </c>
      <c r="Y38" s="18">
        <v>916630</v>
      </c>
      <c r="Z38" s="18">
        <v>1095689</v>
      </c>
      <c r="AA38" s="18">
        <v>1243390</v>
      </c>
      <c r="AB38" s="1"/>
      <c r="AC38" s="18">
        <f t="shared" si="16"/>
        <v>1243390</v>
      </c>
      <c r="AD38" s="1"/>
      <c r="AE38" s="1"/>
    </row>
    <row r="39" spans="1:31" x14ac:dyDescent="0.2">
      <c r="B39" s="20" t="s">
        <v>48</v>
      </c>
      <c r="C39" s="21"/>
      <c r="D39" s="21"/>
      <c r="E39" s="21"/>
      <c r="F39" s="21"/>
      <c r="G39" s="21"/>
      <c r="H39" s="21"/>
      <c r="I39" s="21"/>
      <c r="J39" s="21"/>
      <c r="K39" s="21"/>
      <c r="L39" s="21"/>
      <c r="M39" s="21">
        <v>78664</v>
      </c>
      <c r="N39" s="21">
        <v>79600</v>
      </c>
      <c r="O39" s="21">
        <v>84981</v>
      </c>
      <c r="P39" s="21">
        <v>94363</v>
      </c>
      <c r="Q39" s="21">
        <v>121909</v>
      </c>
      <c r="T39" s="21">
        <v>94363</v>
      </c>
      <c r="U39" s="21">
        <v>89241</v>
      </c>
      <c r="V39" s="21">
        <v>98285</v>
      </c>
      <c r="W39" s="21">
        <v>106032</v>
      </c>
      <c r="X39" s="21">
        <v>121909</v>
      </c>
      <c r="Y39" s="21">
        <v>124749</v>
      </c>
      <c r="Z39" s="21">
        <v>147440</v>
      </c>
      <c r="AA39" s="21">
        <v>158715</v>
      </c>
      <c r="AC39" s="21">
        <f t="shared" si="16"/>
        <v>158715</v>
      </c>
    </row>
    <row r="40" spans="1:31" x14ac:dyDescent="0.2">
      <c r="B40" s="20" t="s">
        <v>170</v>
      </c>
      <c r="C40" s="21"/>
      <c r="D40" s="21"/>
      <c r="E40" s="21"/>
      <c r="F40" s="21"/>
      <c r="G40" s="21"/>
      <c r="H40" s="21"/>
      <c r="I40" s="21"/>
      <c r="J40" s="21"/>
      <c r="K40" s="21"/>
      <c r="L40" s="21"/>
      <c r="M40" s="21">
        <v>0</v>
      </c>
      <c r="N40" s="21">
        <v>0</v>
      </c>
      <c r="O40" s="21">
        <v>0</v>
      </c>
      <c r="P40" s="21">
        <v>0</v>
      </c>
      <c r="Q40" s="21">
        <v>0</v>
      </c>
      <c r="T40" s="21">
        <v>0</v>
      </c>
      <c r="U40" s="21">
        <v>0</v>
      </c>
      <c r="V40" s="21">
        <v>0</v>
      </c>
      <c r="W40" s="21">
        <v>0</v>
      </c>
      <c r="X40" s="21">
        <v>0</v>
      </c>
      <c r="Y40" s="21">
        <v>0</v>
      </c>
      <c r="Z40" s="21">
        <v>0</v>
      </c>
      <c r="AA40" s="21">
        <v>0</v>
      </c>
      <c r="AC40" s="21">
        <f t="shared" si="16"/>
        <v>0</v>
      </c>
    </row>
    <row r="41" spans="1:31" s="34" customFormat="1" x14ac:dyDescent="0.2">
      <c r="A41" s="16"/>
      <c r="B41" s="32" t="s">
        <v>49</v>
      </c>
      <c r="C41" s="33"/>
      <c r="D41" s="33"/>
      <c r="E41" s="33"/>
      <c r="F41" s="33"/>
      <c r="G41" s="33"/>
      <c r="H41" s="33"/>
      <c r="I41" s="33"/>
      <c r="J41" s="33"/>
      <c r="K41" s="33"/>
      <c r="L41" s="33"/>
      <c r="M41" s="33">
        <v>142266</v>
      </c>
      <c r="N41" s="33">
        <v>155393</v>
      </c>
      <c r="O41" s="33">
        <v>164917</v>
      </c>
      <c r="P41" s="33">
        <v>179431</v>
      </c>
      <c r="Q41" s="33">
        <v>218005</v>
      </c>
      <c r="R41" s="60"/>
      <c r="S41" s="60"/>
      <c r="T41" s="33">
        <v>179431</v>
      </c>
      <c r="U41" s="33">
        <v>176171</v>
      </c>
      <c r="V41" s="33">
        <v>186921</v>
      </c>
      <c r="W41" s="33">
        <v>195196</v>
      </c>
      <c r="X41" s="33">
        <v>218005</v>
      </c>
      <c r="Y41" s="33">
        <v>216756</v>
      </c>
      <c r="Z41" s="33">
        <v>241274</v>
      </c>
      <c r="AA41" s="33">
        <v>257982</v>
      </c>
      <c r="AB41" s="1"/>
      <c r="AC41" s="33">
        <f t="shared" si="16"/>
        <v>257982</v>
      </c>
      <c r="AD41" s="1"/>
      <c r="AE41" s="1"/>
    </row>
    <row r="42" spans="1:31" x14ac:dyDescent="0.2">
      <c r="B42" s="20" t="s">
        <v>170</v>
      </c>
      <c r="C42" s="21"/>
      <c r="D42" s="21"/>
      <c r="E42" s="21"/>
      <c r="F42" s="21"/>
      <c r="G42" s="21"/>
      <c r="H42" s="21"/>
      <c r="I42" s="21"/>
      <c r="J42" s="21"/>
      <c r="K42" s="21"/>
      <c r="L42" s="21"/>
      <c r="M42" s="21">
        <v>48744</v>
      </c>
      <c r="N42" s="21">
        <v>67150</v>
      </c>
      <c r="O42" s="21">
        <v>58314</v>
      </c>
      <c r="P42" s="21">
        <v>52623</v>
      </c>
      <c r="Q42" s="21">
        <v>65648</v>
      </c>
      <c r="T42" s="21">
        <v>52623</v>
      </c>
      <c r="U42" s="21">
        <v>53374</v>
      </c>
      <c r="V42" s="21">
        <v>50718</v>
      </c>
      <c r="W42" s="21">
        <v>50742</v>
      </c>
      <c r="X42" s="21">
        <v>65648</v>
      </c>
      <c r="Y42" s="21">
        <v>119074</v>
      </c>
      <c r="Z42" s="21">
        <v>128894</v>
      </c>
      <c r="AA42" s="21">
        <v>173125</v>
      </c>
      <c r="AC42" s="21">
        <f t="shared" si="16"/>
        <v>173125</v>
      </c>
    </row>
    <row r="43" spans="1:31" s="34" customFormat="1" x14ac:dyDescent="0.2">
      <c r="A43" s="16"/>
      <c r="B43" s="32" t="s">
        <v>50</v>
      </c>
      <c r="C43" s="35"/>
      <c r="D43" s="35"/>
      <c r="E43" s="35"/>
      <c r="F43" s="35"/>
      <c r="G43" s="35"/>
      <c r="H43" s="35"/>
      <c r="I43" s="35"/>
      <c r="J43" s="35"/>
      <c r="K43" s="35"/>
      <c r="L43" s="35"/>
      <c r="M43" s="35">
        <f t="shared" ref="M43:O43" si="20">M44-M41</f>
        <v>140038</v>
      </c>
      <c r="N43" s="35">
        <f t="shared" si="20"/>
        <v>161239</v>
      </c>
      <c r="O43" s="35">
        <f t="shared" si="20"/>
        <v>161062</v>
      </c>
      <c r="P43" s="35">
        <f>P44-P41</f>
        <v>159493</v>
      </c>
      <c r="Q43" s="35">
        <f>Q44-Q41</f>
        <v>188972</v>
      </c>
      <c r="R43" s="1"/>
      <c r="S43" s="1"/>
      <c r="T43" s="35">
        <f t="shared" ref="T43:Z43" si="21">T44-T41</f>
        <v>159493</v>
      </c>
      <c r="U43" s="35">
        <f t="shared" si="21"/>
        <v>161218</v>
      </c>
      <c r="V43" s="35">
        <f t="shared" si="21"/>
        <v>161474</v>
      </c>
      <c r="W43" s="35">
        <f t="shared" si="21"/>
        <v>163094</v>
      </c>
      <c r="X43" s="35">
        <f t="shared" si="21"/>
        <v>188972</v>
      </c>
      <c r="Y43" s="35">
        <f t="shared" si="21"/>
        <v>257960</v>
      </c>
      <c r="Z43" s="35">
        <f t="shared" si="21"/>
        <v>302795</v>
      </c>
      <c r="AA43" s="35">
        <f t="shared" ref="Z43:AA43" si="22">AA44-AA41</f>
        <v>371807</v>
      </c>
      <c r="AB43" s="1"/>
      <c r="AC43" s="35">
        <f t="shared" si="16"/>
        <v>371807</v>
      </c>
      <c r="AD43" s="1"/>
      <c r="AE43" s="1"/>
    </row>
    <row r="44" spans="1:31" s="19" customFormat="1" x14ac:dyDescent="0.2">
      <c r="A44" s="16"/>
      <c r="B44" s="17" t="s">
        <v>51</v>
      </c>
      <c r="C44" s="18"/>
      <c r="D44" s="18"/>
      <c r="E44" s="18"/>
      <c r="F44" s="18"/>
      <c r="G44" s="18"/>
      <c r="H44" s="18"/>
      <c r="I44" s="18"/>
      <c r="J44" s="18"/>
      <c r="K44" s="18"/>
      <c r="L44" s="18"/>
      <c r="M44" s="18">
        <f t="shared" ref="M44:O44" si="23">M51-M50</f>
        <v>282304</v>
      </c>
      <c r="N44" s="18">
        <f t="shared" si="23"/>
        <v>316632</v>
      </c>
      <c r="O44" s="18">
        <f t="shared" si="23"/>
        <v>325979</v>
      </c>
      <c r="P44" s="18">
        <f t="shared" ref="P44" si="24">P51-P50</f>
        <v>338924</v>
      </c>
      <c r="Q44" s="18">
        <f>Q51-Q50</f>
        <v>406977</v>
      </c>
      <c r="R44" s="1"/>
      <c r="S44" s="1"/>
      <c r="T44" s="18">
        <f t="shared" ref="T44:X44" si="25">T51-T50</f>
        <v>338924</v>
      </c>
      <c r="U44" s="18">
        <f t="shared" si="25"/>
        <v>337389</v>
      </c>
      <c r="V44" s="18">
        <f t="shared" si="25"/>
        <v>348395</v>
      </c>
      <c r="W44" s="18">
        <f t="shared" si="25"/>
        <v>358290</v>
      </c>
      <c r="X44" s="18">
        <f>X51-X50</f>
        <v>406977</v>
      </c>
      <c r="Y44" s="18">
        <f>Y51-Y50</f>
        <v>474716</v>
      </c>
      <c r="Z44" s="18">
        <f>Z51-Z50</f>
        <v>544069</v>
      </c>
      <c r="AA44" s="18">
        <f>AA51-AA50</f>
        <v>629789</v>
      </c>
      <c r="AB44" s="1"/>
      <c r="AC44" s="18">
        <f t="shared" si="16"/>
        <v>629789</v>
      </c>
      <c r="AD44" s="1"/>
      <c r="AE44" s="1"/>
    </row>
    <row r="45" spans="1:31" x14ac:dyDescent="0.2">
      <c r="B45" s="20" t="s">
        <v>53</v>
      </c>
      <c r="C45" s="21"/>
      <c r="D45" s="21"/>
      <c r="E45" s="21"/>
      <c r="F45" s="21"/>
      <c r="G45" s="21"/>
      <c r="H45" s="21"/>
      <c r="I45" s="21"/>
      <c r="J45" s="21"/>
      <c r="K45" s="21"/>
      <c r="L45" s="21"/>
      <c r="M45" s="62">
        <v>-1837</v>
      </c>
      <c r="N45" s="62">
        <v>-7837</v>
      </c>
      <c r="O45" s="62">
        <v>-7837</v>
      </c>
      <c r="P45" s="62">
        <v>-7837</v>
      </c>
      <c r="Q45" s="62">
        <v>-7837</v>
      </c>
      <c r="T45" s="62">
        <v>-7837</v>
      </c>
      <c r="U45" s="62">
        <v>-7837</v>
      </c>
      <c r="V45" s="62">
        <v>-7837</v>
      </c>
      <c r="W45" s="62">
        <v>-7837</v>
      </c>
      <c r="X45" s="62">
        <v>-7837</v>
      </c>
      <c r="Y45" s="62">
        <v>-7837</v>
      </c>
      <c r="Z45" s="62">
        <v>-7837</v>
      </c>
      <c r="AA45" s="62">
        <v>-7837</v>
      </c>
      <c r="AC45" s="62">
        <f t="shared" si="16"/>
        <v>-7837</v>
      </c>
    </row>
    <row r="46" spans="1:31" x14ac:dyDescent="0.2">
      <c r="B46" s="20" t="s">
        <v>331</v>
      </c>
      <c r="C46" s="21"/>
      <c r="D46" s="21"/>
      <c r="E46" s="21"/>
      <c r="F46" s="21"/>
      <c r="G46" s="21"/>
      <c r="H46" s="21"/>
      <c r="I46" s="21"/>
      <c r="J46" s="21"/>
      <c r="K46" s="21"/>
      <c r="L46" s="21"/>
      <c r="M46" s="62">
        <v>0</v>
      </c>
      <c r="N46" s="62">
        <v>0</v>
      </c>
      <c r="O46" s="62">
        <v>0</v>
      </c>
      <c r="P46" s="62">
        <v>0</v>
      </c>
      <c r="Q46" s="62">
        <v>0</v>
      </c>
      <c r="T46" s="62">
        <v>0</v>
      </c>
      <c r="U46" s="62">
        <v>0</v>
      </c>
      <c r="V46" s="62">
        <v>0</v>
      </c>
      <c r="W46" s="62">
        <v>0</v>
      </c>
      <c r="X46" s="62">
        <v>0</v>
      </c>
      <c r="Y46" s="62">
        <v>0</v>
      </c>
      <c r="Z46" s="62">
        <v>0</v>
      </c>
      <c r="AA46" s="62">
        <v>0</v>
      </c>
      <c r="AC46" s="62">
        <f t="shared" si="16"/>
        <v>0</v>
      </c>
    </row>
    <row r="47" spans="1:31" x14ac:dyDescent="0.2">
      <c r="B47" s="20" t="s">
        <v>52</v>
      </c>
      <c r="C47" s="21"/>
      <c r="D47" s="21"/>
      <c r="E47" s="21"/>
      <c r="F47" s="21"/>
      <c r="G47" s="21"/>
      <c r="H47" s="21"/>
      <c r="I47" s="21"/>
      <c r="J47" s="21"/>
      <c r="K47" s="21"/>
      <c r="L47" s="21"/>
      <c r="M47" s="21">
        <v>55437</v>
      </c>
      <c r="N47" s="21">
        <v>75066</v>
      </c>
      <c r="O47" s="21">
        <v>99025</v>
      </c>
      <c r="P47" s="62">
        <v>120864</v>
      </c>
      <c r="Q47" s="21">
        <v>140024</v>
      </c>
      <c r="T47" s="62">
        <v>120864</v>
      </c>
      <c r="U47" s="62">
        <v>124514</v>
      </c>
      <c r="V47" s="62">
        <v>130923</v>
      </c>
      <c r="W47" s="21">
        <v>135679</v>
      </c>
      <c r="X47" s="21">
        <v>140024</v>
      </c>
      <c r="Y47" s="21">
        <v>143979</v>
      </c>
      <c r="Z47" s="21">
        <v>149619</v>
      </c>
      <c r="AA47" s="21">
        <v>154924</v>
      </c>
      <c r="AC47" s="62">
        <f t="shared" si="16"/>
        <v>154924</v>
      </c>
    </row>
    <row r="48" spans="1:31" x14ac:dyDescent="0.2">
      <c r="B48" s="20" t="s">
        <v>332</v>
      </c>
      <c r="C48" s="21"/>
      <c r="D48" s="21"/>
      <c r="E48" s="21"/>
      <c r="F48" s="21"/>
      <c r="G48" s="21"/>
      <c r="H48" s="21"/>
      <c r="I48" s="21"/>
      <c r="J48" s="21"/>
      <c r="K48" s="21"/>
      <c r="L48" s="21"/>
      <c r="M48" s="21">
        <v>85915</v>
      </c>
      <c r="N48" s="21">
        <v>83193</v>
      </c>
      <c r="O48" s="21">
        <v>113618</v>
      </c>
      <c r="P48" s="62">
        <v>172866</v>
      </c>
      <c r="Q48" s="21">
        <v>250536</v>
      </c>
      <c r="T48" s="62">
        <v>172866</v>
      </c>
      <c r="U48" s="62">
        <v>189993</v>
      </c>
      <c r="V48" s="62">
        <v>208157</v>
      </c>
      <c r="W48" s="21">
        <v>229344</v>
      </c>
      <c r="X48" s="21">
        <v>250536</v>
      </c>
      <c r="Y48" s="21">
        <v>280791</v>
      </c>
      <c r="Z48" s="21">
        <v>343438</v>
      </c>
      <c r="AA48" s="21">
        <v>364123</v>
      </c>
      <c r="AC48" s="62">
        <f t="shared" si="16"/>
        <v>364123</v>
      </c>
    </row>
    <row r="49" spans="1:31" x14ac:dyDescent="0.2">
      <c r="B49" s="20" t="s">
        <v>327</v>
      </c>
      <c r="C49" s="21"/>
      <c r="D49" s="21"/>
      <c r="E49" s="21"/>
      <c r="F49" s="21"/>
      <c r="G49" s="21"/>
      <c r="H49" s="21"/>
      <c r="I49" s="21"/>
      <c r="J49" s="21"/>
      <c r="K49" s="21"/>
      <c r="L49" s="21"/>
      <c r="M49" s="62">
        <v>0</v>
      </c>
      <c r="N49" s="62">
        <v>0</v>
      </c>
      <c r="O49" s="62">
        <v>0</v>
      </c>
      <c r="P49" s="62">
        <v>0</v>
      </c>
      <c r="Q49" s="62">
        <v>0</v>
      </c>
      <c r="T49" s="62">
        <v>0</v>
      </c>
      <c r="U49" s="62">
        <v>0</v>
      </c>
      <c r="V49" s="62">
        <v>0</v>
      </c>
      <c r="W49" s="62">
        <v>0</v>
      </c>
      <c r="X49" s="62">
        <v>0</v>
      </c>
      <c r="Y49" s="62">
        <v>0</v>
      </c>
      <c r="Z49" s="62">
        <v>0</v>
      </c>
      <c r="AA49" s="62">
        <v>0</v>
      </c>
      <c r="AC49" s="62">
        <f t="shared" si="16"/>
        <v>0</v>
      </c>
    </row>
    <row r="50" spans="1:31" s="34" customFormat="1" x14ac:dyDescent="0.2">
      <c r="A50" s="16"/>
      <c r="B50" s="32" t="s">
        <v>54</v>
      </c>
      <c r="C50" s="33"/>
      <c r="D50" s="33"/>
      <c r="E50" s="33"/>
      <c r="F50" s="33"/>
      <c r="G50" s="33"/>
      <c r="H50" s="33"/>
      <c r="I50" s="33"/>
      <c r="J50" s="33"/>
      <c r="K50" s="33"/>
      <c r="L50" s="33"/>
      <c r="M50" s="33">
        <v>138245</v>
      </c>
      <c r="N50" s="33">
        <v>146043</v>
      </c>
      <c r="O50" s="33">
        <v>201875</v>
      </c>
      <c r="P50" s="33">
        <v>285970</v>
      </c>
      <c r="Q50" s="33">
        <v>411065</v>
      </c>
      <c r="R50" s="1"/>
      <c r="S50" s="1"/>
      <c r="T50" s="33">
        <v>285970</v>
      </c>
      <c r="U50" s="33">
        <v>305867</v>
      </c>
      <c r="V50" s="33">
        <v>333775</v>
      </c>
      <c r="W50" s="33">
        <v>369631</v>
      </c>
      <c r="X50" s="33">
        <v>411065</v>
      </c>
      <c r="Y50" s="33">
        <v>441914</v>
      </c>
      <c r="Z50" s="33">
        <v>551620</v>
      </c>
      <c r="AA50" s="33">
        <v>613601</v>
      </c>
      <c r="AB50" s="1"/>
      <c r="AC50" s="33">
        <f t="shared" si="16"/>
        <v>613601</v>
      </c>
      <c r="AD50" s="1"/>
      <c r="AE50" s="1"/>
    </row>
    <row r="51" spans="1:31" s="38" customFormat="1" ht="17" thickBot="1" x14ac:dyDescent="0.25">
      <c r="A51" s="16"/>
      <c r="B51" s="36" t="s">
        <v>55</v>
      </c>
      <c r="C51" s="37"/>
      <c r="D51" s="37"/>
      <c r="E51" s="37"/>
      <c r="F51" s="37"/>
      <c r="G51" s="37"/>
      <c r="H51" s="37"/>
      <c r="I51" s="37"/>
      <c r="J51" s="37"/>
      <c r="K51" s="37"/>
      <c r="L51" s="37"/>
      <c r="M51" s="37">
        <v>420549</v>
      </c>
      <c r="N51" s="37">
        <v>462675</v>
      </c>
      <c r="O51" s="37">
        <v>527854</v>
      </c>
      <c r="P51" s="37">
        <v>624894</v>
      </c>
      <c r="Q51" s="37">
        <v>818042</v>
      </c>
      <c r="R51" s="1"/>
      <c r="S51" s="1"/>
      <c r="T51" s="37">
        <v>624894</v>
      </c>
      <c r="U51" s="37">
        <v>643256</v>
      </c>
      <c r="V51" s="37">
        <v>682170</v>
      </c>
      <c r="W51" s="37">
        <v>727921</v>
      </c>
      <c r="X51" s="37">
        <v>818042</v>
      </c>
      <c r="Y51" s="37">
        <v>916630</v>
      </c>
      <c r="Z51" s="37">
        <v>1095689</v>
      </c>
      <c r="AA51" s="37">
        <v>1243390</v>
      </c>
      <c r="AB51" s="1"/>
      <c r="AC51" s="37">
        <f t="shared" si="16"/>
        <v>1243390</v>
      </c>
      <c r="AD51" s="1"/>
      <c r="AE51" s="1"/>
    </row>
    <row r="52" spans="1:31" x14ac:dyDescent="0.2">
      <c r="B52" s="1"/>
    </row>
    <row r="53" spans="1:31" s="15" customFormat="1" ht="17" thickBot="1" x14ac:dyDescent="0.25">
      <c r="A53" s="11"/>
      <c r="B53" s="14" t="s">
        <v>56</v>
      </c>
      <c r="R53" s="1"/>
      <c r="S53" s="1"/>
      <c r="AB53" s="1"/>
      <c r="AD53" s="1"/>
      <c r="AE53" s="1"/>
    </row>
    <row r="54" spans="1:31" x14ac:dyDescent="0.2">
      <c r="B54" s="20" t="s">
        <v>57</v>
      </c>
      <c r="C54" s="62"/>
      <c r="D54" s="62"/>
      <c r="E54" s="62"/>
      <c r="F54" s="62"/>
      <c r="G54" s="62"/>
      <c r="H54" s="62"/>
      <c r="I54" s="62"/>
      <c r="J54" s="62"/>
      <c r="K54" s="62"/>
      <c r="L54" s="62"/>
      <c r="M54" s="21">
        <v>34433</v>
      </c>
      <c r="N54" s="21">
        <v>41921</v>
      </c>
      <c r="O54" s="21">
        <v>48663</v>
      </c>
      <c r="P54" s="21">
        <v>52795</v>
      </c>
      <c r="Q54" s="21">
        <v>65756</v>
      </c>
      <c r="T54" s="21">
        <v>15631</v>
      </c>
      <c r="U54" s="21">
        <v>14262</v>
      </c>
      <c r="V54" s="21">
        <v>15227</v>
      </c>
      <c r="W54" s="21">
        <v>16796</v>
      </c>
      <c r="X54" s="21">
        <v>19471</v>
      </c>
      <c r="Y54" s="21">
        <v>18945</v>
      </c>
      <c r="Z54" s="21">
        <v>19988</v>
      </c>
      <c r="AA54" s="21">
        <v>20949</v>
      </c>
      <c r="AC54" s="62">
        <f>SUM(X54:AA54)</f>
        <v>79353</v>
      </c>
    </row>
    <row r="55" spans="1:31" x14ac:dyDescent="0.2">
      <c r="B55" s="23" t="s">
        <v>58</v>
      </c>
      <c r="C55" s="62"/>
      <c r="D55" s="62"/>
      <c r="E55" s="62"/>
      <c r="F55" s="62"/>
      <c r="G55" s="62"/>
      <c r="H55" s="62"/>
      <c r="I55" s="62"/>
      <c r="J55" s="62"/>
      <c r="K55" s="62"/>
      <c r="L55" s="62"/>
      <c r="M55" s="21">
        <v>12757</v>
      </c>
      <c r="N55" s="21">
        <v>19621</v>
      </c>
      <c r="O55" s="21">
        <v>24023</v>
      </c>
      <c r="P55" s="21">
        <v>22011</v>
      </c>
      <c r="Q55" s="21">
        <v>19467</v>
      </c>
      <c r="T55" s="21">
        <v>4995</v>
      </c>
      <c r="U55" s="21">
        <v>3689</v>
      </c>
      <c r="V55" s="21">
        <v>6534</v>
      </c>
      <c r="W55" s="21">
        <v>4847</v>
      </c>
      <c r="X55" s="21">
        <v>4397</v>
      </c>
      <c r="Y55" s="21">
        <v>4032</v>
      </c>
      <c r="Z55" s="21">
        <v>6038</v>
      </c>
      <c r="AA55" s="21">
        <v>5406</v>
      </c>
      <c r="AC55" s="62">
        <f t="shared" ref="AC55:AC59" si="26">SUM(X55:AA55)</f>
        <v>19873</v>
      </c>
    </row>
    <row r="56" spans="1:31" x14ac:dyDescent="0.2">
      <c r="B56" s="23" t="s">
        <v>96</v>
      </c>
      <c r="C56" s="62"/>
      <c r="D56" s="62"/>
      <c r="E56" s="62"/>
      <c r="F56" s="62"/>
      <c r="G56" s="62"/>
      <c r="H56" s="62"/>
      <c r="I56" s="62"/>
      <c r="J56" s="62"/>
      <c r="K56" s="62"/>
      <c r="L56" s="62"/>
      <c r="M56" s="62">
        <v>-9145</v>
      </c>
      <c r="N56" s="62">
        <v>-8622</v>
      </c>
      <c r="O56" s="62">
        <v>-8348</v>
      </c>
      <c r="P56" s="62">
        <v>-3249</v>
      </c>
      <c r="Q56" s="62">
        <v>-7333</v>
      </c>
      <c r="T56" s="62">
        <v>-4023</v>
      </c>
      <c r="U56" s="62">
        <v>1247</v>
      </c>
      <c r="V56" s="62">
        <v>-1125</v>
      </c>
      <c r="W56" s="62">
        <v>-1977</v>
      </c>
      <c r="X56" s="62">
        <v>-5478</v>
      </c>
      <c r="Y56" s="62">
        <v>-5750</v>
      </c>
      <c r="Z56" s="62">
        <v>-8204</v>
      </c>
      <c r="AA56" s="62">
        <v>-2127</v>
      </c>
      <c r="AC56" s="62">
        <f t="shared" si="26"/>
        <v>-21559</v>
      </c>
    </row>
    <row r="57" spans="1:31" x14ac:dyDescent="0.2">
      <c r="B57" s="23" t="s">
        <v>146</v>
      </c>
      <c r="C57" s="62"/>
      <c r="D57" s="62"/>
      <c r="E57" s="62"/>
      <c r="F57" s="62"/>
      <c r="G57" s="62"/>
      <c r="H57" s="62"/>
      <c r="I57" s="62"/>
      <c r="J57" s="62"/>
      <c r="K57" s="62"/>
      <c r="L57" s="62"/>
      <c r="M57" s="62">
        <v>-9487</v>
      </c>
      <c r="N57" s="62">
        <v>-2592</v>
      </c>
      <c r="O57" s="62">
        <v>1449</v>
      </c>
      <c r="P57" s="62">
        <v>-1884</v>
      </c>
      <c r="Q57" s="62">
        <v>-3002</v>
      </c>
      <c r="T57" s="62">
        <v>934</v>
      </c>
      <c r="U57" s="62">
        <v>-1222</v>
      </c>
      <c r="V57" s="62">
        <v>-4045</v>
      </c>
      <c r="W57" s="62">
        <v>-827</v>
      </c>
      <c r="X57" s="62">
        <v>3101</v>
      </c>
      <c r="Y57" s="62">
        <v>1622</v>
      </c>
      <c r="Z57" s="62">
        <v>-1818</v>
      </c>
      <c r="AA57" s="62">
        <v>-4516</v>
      </c>
      <c r="AC57" s="62">
        <f>SUM(X57:AA57)</f>
        <v>-1611</v>
      </c>
    </row>
    <row r="58" spans="1:31" x14ac:dyDescent="0.2">
      <c r="B58" s="23" t="s">
        <v>97</v>
      </c>
      <c r="C58" s="62"/>
      <c r="D58" s="62"/>
      <c r="E58" s="62"/>
      <c r="F58" s="62"/>
      <c r="G58" s="62"/>
      <c r="H58" s="62"/>
      <c r="I58" s="62"/>
      <c r="J58" s="62"/>
      <c r="K58" s="62"/>
      <c r="L58" s="62"/>
      <c r="M58" s="62">
        <v>3602</v>
      </c>
      <c r="N58" s="62">
        <v>2945</v>
      </c>
      <c r="O58" s="62">
        <v>5473</v>
      </c>
      <c r="P58" s="62">
        <v>2972</v>
      </c>
      <c r="Q58" s="62">
        <v>11231</v>
      </c>
      <c r="T58" s="62">
        <v>8726</v>
      </c>
      <c r="U58" s="62">
        <v>-9043</v>
      </c>
      <c r="V58" s="62">
        <v>7058</v>
      </c>
      <c r="W58" s="62">
        <v>2151</v>
      </c>
      <c r="X58" s="62">
        <v>11065</v>
      </c>
      <c r="Y58" s="62">
        <v>-8737</v>
      </c>
      <c r="Z58" s="62">
        <v>9442</v>
      </c>
      <c r="AA58" s="62">
        <v>1502</v>
      </c>
      <c r="AC58" s="62">
        <f t="shared" si="26"/>
        <v>13272</v>
      </c>
    </row>
    <row r="59" spans="1:31" x14ac:dyDescent="0.2">
      <c r="B59" s="23" t="s">
        <v>98</v>
      </c>
      <c r="C59" s="62"/>
      <c r="D59" s="62"/>
      <c r="E59" s="62"/>
      <c r="F59" s="62"/>
      <c r="G59" s="62"/>
      <c r="H59" s="62"/>
      <c r="I59" s="62"/>
      <c r="J59" s="62"/>
      <c r="K59" s="62"/>
      <c r="L59" s="62"/>
      <c r="M59" s="62">
        <f>-9018+2123+2314</f>
        <v>-4581</v>
      </c>
      <c r="N59" s="62">
        <f>-13275-1558+2216</f>
        <v>-12617</v>
      </c>
      <c r="O59" s="62">
        <f>-12265-2428+4578</f>
        <v>-10115</v>
      </c>
      <c r="P59" s="62">
        <f>-14483-2904+4007</f>
        <v>-13380</v>
      </c>
      <c r="Q59" s="62">
        <f>-15632-5019-214</f>
        <v>-20865</v>
      </c>
      <c r="T59" s="62">
        <f>-4190+4042+1611</f>
        <v>1463</v>
      </c>
      <c r="U59" s="62">
        <f>-3402-4061+728</f>
        <v>-6735</v>
      </c>
      <c r="V59" s="62">
        <f>-2971-4952-119</f>
        <v>-8042</v>
      </c>
      <c r="W59" s="62">
        <f>-4039-1999-632</f>
        <v>-6670</v>
      </c>
      <c r="X59" s="62">
        <f>-5220+5993-191</f>
        <v>582</v>
      </c>
      <c r="Y59" s="62">
        <f>-3811-8045+355</f>
        <v>-11501</v>
      </c>
      <c r="Z59" s="62">
        <f>-4717-2018-281</f>
        <v>-7016</v>
      </c>
      <c r="AA59" s="62">
        <f>-4637-3848+3281</f>
        <v>-5204</v>
      </c>
      <c r="AC59" s="62">
        <f t="shared" si="26"/>
        <v>-23139</v>
      </c>
    </row>
    <row r="60" spans="1:31" s="19" customFormat="1" x14ac:dyDescent="0.2">
      <c r="A60" s="16"/>
      <c r="B60" s="17" t="s">
        <v>59</v>
      </c>
      <c r="C60" s="61"/>
      <c r="D60" s="61"/>
      <c r="E60" s="61"/>
      <c r="F60" s="61"/>
      <c r="G60" s="61"/>
      <c r="H60" s="61"/>
      <c r="I60" s="61"/>
      <c r="J60" s="61"/>
      <c r="K60" s="61"/>
      <c r="L60" s="61"/>
      <c r="M60" s="18">
        <v>46327</v>
      </c>
      <c r="N60" s="18">
        <v>46752</v>
      </c>
      <c r="O60" s="18">
        <v>84946</v>
      </c>
      <c r="P60" s="18">
        <v>115877</v>
      </c>
      <c r="Q60" s="18">
        <v>139514</v>
      </c>
      <c r="R60" s="1"/>
      <c r="S60" s="1"/>
      <c r="T60" s="18">
        <v>45636</v>
      </c>
      <c r="U60" s="18">
        <v>17015</v>
      </c>
      <c r="V60" s="18">
        <v>32515</v>
      </c>
      <c r="W60" s="18">
        <v>35525</v>
      </c>
      <c r="X60" s="18">
        <v>54459</v>
      </c>
      <c r="Y60" s="18">
        <v>26032</v>
      </c>
      <c r="Z60" s="18">
        <v>45387</v>
      </c>
      <c r="AA60" s="18">
        <v>42422</v>
      </c>
      <c r="AB60" s="1"/>
      <c r="AC60" s="61">
        <f>SUM(X60:AA60)</f>
        <v>168300</v>
      </c>
      <c r="AD60" s="1"/>
      <c r="AE60" s="1"/>
    </row>
    <row r="61" spans="1:31" x14ac:dyDescent="0.2">
      <c r="B61" s="20" t="s">
        <v>60</v>
      </c>
      <c r="C61" s="62"/>
      <c r="D61" s="62"/>
      <c r="E61" s="62"/>
      <c r="F61" s="62"/>
      <c r="G61" s="62"/>
      <c r="H61" s="62"/>
      <c r="I61" s="62"/>
      <c r="J61" s="62"/>
      <c r="K61" s="62"/>
      <c r="L61" s="62"/>
      <c r="M61" s="62">
        <v>-61053</v>
      </c>
      <c r="N61" s="62">
        <v>-63645</v>
      </c>
      <c r="O61" s="62">
        <v>-52729</v>
      </c>
      <c r="P61" s="62">
        <v>-82999</v>
      </c>
      <c r="Q61" s="62">
        <v>-131819</v>
      </c>
      <c r="T61" s="62">
        <v>-27834</v>
      </c>
      <c r="U61" s="62">
        <v>-25019</v>
      </c>
      <c r="V61" s="62">
        <v>-32183</v>
      </c>
      <c r="W61" s="62">
        <v>-35095</v>
      </c>
      <c r="X61" s="62">
        <v>-39522</v>
      </c>
      <c r="Y61" s="62">
        <v>-44203</v>
      </c>
      <c r="Z61" s="62">
        <v>-54208</v>
      </c>
      <c r="AA61" s="62">
        <v>-77259</v>
      </c>
      <c r="AC61" s="62">
        <f>SUM(X61:AA61)</f>
        <v>-215192</v>
      </c>
    </row>
    <row r="62" spans="1:31" x14ac:dyDescent="0.2">
      <c r="B62" s="20" t="s">
        <v>99</v>
      </c>
      <c r="C62" s="62"/>
      <c r="D62" s="62"/>
      <c r="E62" s="62"/>
      <c r="F62" s="62"/>
      <c r="G62" s="62"/>
      <c r="H62" s="62"/>
      <c r="I62" s="62"/>
      <c r="J62" s="62"/>
      <c r="K62" s="62"/>
      <c r="L62" s="62"/>
      <c r="M62" s="62">
        <v>0</v>
      </c>
      <c r="N62" s="62">
        <v>0</v>
      </c>
      <c r="O62" s="62">
        <v>0</v>
      </c>
      <c r="P62" s="62">
        <v>0</v>
      </c>
      <c r="Q62" s="62">
        <v>0</v>
      </c>
      <c r="T62" s="62">
        <v>0</v>
      </c>
      <c r="U62" s="62">
        <v>0</v>
      </c>
      <c r="V62" s="62">
        <v>0</v>
      </c>
      <c r="W62" s="62">
        <v>0</v>
      </c>
      <c r="X62" s="62">
        <v>0</v>
      </c>
      <c r="Y62" s="62">
        <v>0</v>
      </c>
      <c r="Z62" s="62">
        <v>0</v>
      </c>
      <c r="AA62" s="62">
        <v>0</v>
      </c>
      <c r="AC62" s="62">
        <f t="shared" ref="AC62:AC67" si="27">SUM(X62:AA62)</f>
        <v>0</v>
      </c>
    </row>
    <row r="63" spans="1:31" s="19" customFormat="1" x14ac:dyDescent="0.2">
      <c r="A63" s="16"/>
      <c r="B63" s="17" t="s">
        <v>61</v>
      </c>
      <c r="C63" s="61"/>
      <c r="D63" s="61"/>
      <c r="E63" s="61"/>
      <c r="F63" s="61"/>
      <c r="G63" s="61"/>
      <c r="H63" s="61"/>
      <c r="I63" s="61"/>
      <c r="J63" s="61"/>
      <c r="K63" s="61"/>
      <c r="L63" s="61"/>
      <c r="M63" s="61">
        <v>-58154</v>
      </c>
      <c r="N63" s="61">
        <v>-37601</v>
      </c>
      <c r="O63" s="61">
        <v>-49833</v>
      </c>
      <c r="P63" s="61">
        <v>-94342</v>
      </c>
      <c r="Q63" s="61">
        <v>-142545</v>
      </c>
      <c r="R63" s="1"/>
      <c r="S63" s="1"/>
      <c r="T63" s="61">
        <v>-37443</v>
      </c>
      <c r="U63" s="61">
        <v>-29803</v>
      </c>
      <c r="V63" s="61">
        <v>-39424</v>
      </c>
      <c r="W63" s="61">
        <v>-26073</v>
      </c>
      <c r="X63" s="61">
        <v>-47245</v>
      </c>
      <c r="Y63" s="61">
        <v>-64212</v>
      </c>
      <c r="Z63" s="61">
        <v>-79245</v>
      </c>
      <c r="AA63" s="61">
        <v>-113642</v>
      </c>
      <c r="AB63" s="1"/>
      <c r="AC63" s="61">
        <f t="shared" si="27"/>
        <v>-304344</v>
      </c>
      <c r="AD63" s="1"/>
      <c r="AE63" s="1"/>
    </row>
    <row r="64" spans="1:31" x14ac:dyDescent="0.2">
      <c r="B64" s="20" t="s">
        <v>62</v>
      </c>
      <c r="C64" s="62"/>
      <c r="D64" s="62"/>
      <c r="E64" s="62"/>
      <c r="F64" s="62"/>
      <c r="G64" s="62"/>
      <c r="H64" s="62"/>
      <c r="I64" s="62"/>
      <c r="J64" s="62"/>
      <c r="K64" s="62"/>
      <c r="L64" s="62"/>
      <c r="M64" s="62">
        <v>0</v>
      </c>
      <c r="N64" s="62">
        <v>-6000</v>
      </c>
      <c r="O64" s="62">
        <v>0</v>
      </c>
      <c r="P64" s="62">
        <v>0</v>
      </c>
      <c r="Q64" s="62">
        <v>0</v>
      </c>
      <c r="T64" s="62">
        <v>0</v>
      </c>
      <c r="U64" s="62">
        <v>0</v>
      </c>
      <c r="V64" s="62">
        <v>0</v>
      </c>
      <c r="W64" s="62">
        <v>0</v>
      </c>
      <c r="X64" s="62">
        <v>0</v>
      </c>
      <c r="Y64" s="62">
        <v>0</v>
      </c>
      <c r="Z64" s="62">
        <v>0</v>
      </c>
      <c r="AA64" s="62">
        <v>0</v>
      </c>
      <c r="AC64" s="62">
        <f t="shared" si="27"/>
        <v>0</v>
      </c>
    </row>
    <row r="65" spans="1:31" x14ac:dyDescent="0.2">
      <c r="B65" s="20" t="s">
        <v>285</v>
      </c>
      <c r="C65" s="62"/>
      <c r="D65" s="62"/>
      <c r="E65" s="62"/>
      <c r="F65" s="62"/>
      <c r="G65" s="62"/>
      <c r="H65" s="62"/>
      <c r="I65" s="62"/>
      <c r="J65" s="62"/>
      <c r="K65" s="62"/>
      <c r="L65" s="62"/>
      <c r="M65" s="62">
        <v>0</v>
      </c>
      <c r="N65" s="62">
        <v>0</v>
      </c>
      <c r="O65" s="62">
        <v>0</v>
      </c>
      <c r="P65" s="62">
        <v>0</v>
      </c>
      <c r="Q65" s="62">
        <v>0</v>
      </c>
      <c r="T65" s="62">
        <v>0</v>
      </c>
      <c r="U65" s="62">
        <v>0</v>
      </c>
      <c r="V65" s="62">
        <v>0</v>
      </c>
      <c r="W65" s="62">
        <v>0</v>
      </c>
      <c r="X65" s="62">
        <v>0</v>
      </c>
      <c r="Y65" s="62">
        <v>0</v>
      </c>
      <c r="Z65" s="62">
        <v>0</v>
      </c>
      <c r="AA65" s="62">
        <v>0</v>
      </c>
      <c r="AC65" s="62">
        <f>SUM(X65:AA65)</f>
        <v>0</v>
      </c>
    </row>
    <row r="66" spans="1:31" x14ac:dyDescent="0.2">
      <c r="B66" s="20" t="s">
        <v>330</v>
      </c>
      <c r="C66" s="62"/>
      <c r="D66" s="62"/>
      <c r="E66" s="62"/>
      <c r="F66" s="62"/>
      <c r="G66" s="62"/>
      <c r="H66" s="62"/>
      <c r="I66" s="62"/>
      <c r="J66" s="62"/>
      <c r="K66" s="62"/>
      <c r="L66" s="62"/>
      <c r="M66" s="62">
        <v>0</v>
      </c>
      <c r="N66" s="62">
        <v>0</v>
      </c>
      <c r="O66" s="62">
        <v>0</v>
      </c>
      <c r="P66" s="62">
        <v>0</v>
      </c>
      <c r="Q66" s="62">
        <v>0</v>
      </c>
      <c r="T66" s="62">
        <v>0</v>
      </c>
      <c r="U66" s="62">
        <v>0</v>
      </c>
      <c r="V66" s="62">
        <v>0</v>
      </c>
      <c r="W66" s="62">
        <v>0</v>
      </c>
      <c r="X66" s="62">
        <v>0</v>
      </c>
      <c r="Y66" s="62">
        <v>0</v>
      </c>
      <c r="Z66" s="62">
        <v>0</v>
      </c>
      <c r="AA66" s="62">
        <v>0</v>
      </c>
      <c r="AC66" s="62">
        <f>SUM(X66:AA66)</f>
        <v>0</v>
      </c>
    </row>
    <row r="67" spans="1:31" s="19" customFormat="1" ht="17" thickBot="1" x14ac:dyDescent="0.25">
      <c r="A67" s="16"/>
      <c r="B67" s="36" t="s">
        <v>63</v>
      </c>
      <c r="C67" s="71"/>
      <c r="D67" s="71"/>
      <c r="E67" s="71"/>
      <c r="F67" s="71"/>
      <c r="G67" s="71"/>
      <c r="H67" s="71"/>
      <c r="I67" s="71"/>
      <c r="J67" s="71"/>
      <c r="K67" s="71"/>
      <c r="L67" s="71"/>
      <c r="M67" s="71">
        <v>6291</v>
      </c>
      <c r="N67" s="71">
        <v>9718</v>
      </c>
      <c r="O67" s="71">
        <v>-15879</v>
      </c>
      <c r="P67" s="71">
        <v>-11812</v>
      </c>
      <c r="Q67" s="71">
        <v>9661</v>
      </c>
      <c r="R67" s="1"/>
      <c r="S67" s="1"/>
      <c r="T67" s="71">
        <v>-3308</v>
      </c>
      <c r="U67" s="71">
        <v>-47</v>
      </c>
      <c r="V67" s="71">
        <v>-2539</v>
      </c>
      <c r="W67" s="71">
        <v>-44</v>
      </c>
      <c r="X67" s="71">
        <v>12291</v>
      </c>
      <c r="Y67" s="71">
        <v>52767</v>
      </c>
      <c r="Z67" s="71">
        <v>10146</v>
      </c>
      <c r="AA67" s="71">
        <v>48935</v>
      </c>
      <c r="AB67" s="1"/>
      <c r="AC67" s="71">
        <f t="shared" si="27"/>
        <v>124139</v>
      </c>
      <c r="AD67" s="1"/>
      <c r="AE67" s="1"/>
    </row>
    <row r="68" spans="1:31" x14ac:dyDescent="0.2">
      <c r="B68" s="1"/>
    </row>
    <row r="69" spans="1:31" s="15" customFormat="1" ht="17" thickBot="1" x14ac:dyDescent="0.25">
      <c r="A69" s="11"/>
      <c r="B69" s="14" t="s">
        <v>64</v>
      </c>
      <c r="R69" s="1"/>
      <c r="S69" s="1"/>
      <c r="AB69" s="1"/>
      <c r="AD69" s="1"/>
      <c r="AE69" s="1"/>
    </row>
    <row r="70" spans="1:31" x14ac:dyDescent="0.2">
      <c r="B70" s="20" t="s">
        <v>65</v>
      </c>
      <c r="C70" s="64">
        <f t="shared" ref="C70:Q70" si="28">C5-C6-C12+C14+C15+C17-C18</f>
        <v>0</v>
      </c>
      <c r="D70" s="64">
        <f t="shared" si="28"/>
        <v>0</v>
      </c>
      <c r="E70" s="64">
        <f t="shared" si="28"/>
        <v>0</v>
      </c>
      <c r="F70" s="64">
        <f t="shared" si="28"/>
        <v>0</v>
      </c>
      <c r="G70" s="64">
        <f t="shared" si="28"/>
        <v>0</v>
      </c>
      <c r="H70" s="64">
        <f t="shared" si="28"/>
        <v>0</v>
      </c>
      <c r="I70" s="64">
        <f t="shared" si="28"/>
        <v>0</v>
      </c>
      <c r="J70" s="64">
        <f t="shared" si="28"/>
        <v>0</v>
      </c>
      <c r="K70" s="64">
        <f t="shared" si="28"/>
        <v>0</v>
      </c>
      <c r="L70" s="64">
        <f t="shared" si="28"/>
        <v>0</v>
      </c>
      <c r="M70" s="64">
        <f t="shared" si="28"/>
        <v>21834</v>
      </c>
      <c r="N70" s="64">
        <f t="shared" si="28"/>
        <v>11151</v>
      </c>
      <c r="O70" s="64">
        <f t="shared" si="28"/>
        <v>30437</v>
      </c>
      <c r="P70" s="64">
        <f t="shared" si="28"/>
        <v>59349</v>
      </c>
      <c r="Q70" s="64">
        <f t="shared" si="28"/>
        <v>65224</v>
      </c>
      <c r="T70" s="64">
        <f t="shared" ref="T70:Z70" si="29">T5-T6-T12+T14+T15+T17-T18</f>
        <v>20024</v>
      </c>
      <c r="U70" s="64">
        <f t="shared" si="29"/>
        <v>17126</v>
      </c>
      <c r="V70" s="64">
        <f t="shared" si="29"/>
        <v>18179</v>
      </c>
      <c r="W70" s="64">
        <f t="shared" si="29"/>
        <v>12260</v>
      </c>
      <c r="X70" s="64">
        <f t="shared" si="29"/>
        <v>21659</v>
      </c>
      <c r="Y70" s="64">
        <f t="shared" si="29"/>
        <v>17946</v>
      </c>
      <c r="Z70" s="64">
        <f t="shared" ref="Z70:AA70" si="30">Z5-Z6-Z12+Z14+Z15+Z17-Z18</f>
        <v>12172</v>
      </c>
      <c r="AA70" s="64">
        <f t="shared" si="30"/>
        <v>20689</v>
      </c>
      <c r="AC70" s="64">
        <f>AC5-AC6-AC12+AC14+AC15+AC17-AC18</f>
        <v>72466</v>
      </c>
    </row>
    <row r="71" spans="1:31" s="41" customFormat="1" x14ac:dyDescent="0.2">
      <c r="A71" s="16"/>
      <c r="B71" s="17" t="s">
        <v>66</v>
      </c>
      <c r="C71" s="40">
        <f t="shared" ref="C71:Q71" si="31">C19-C70</f>
        <v>0</v>
      </c>
      <c r="D71" s="40">
        <f t="shared" si="31"/>
        <v>0</v>
      </c>
      <c r="E71" s="40">
        <f t="shared" si="31"/>
        <v>0</v>
      </c>
      <c r="F71" s="40">
        <f t="shared" si="31"/>
        <v>0</v>
      </c>
      <c r="G71" s="40">
        <f t="shared" si="31"/>
        <v>0</v>
      </c>
      <c r="H71" s="40">
        <f t="shared" si="31"/>
        <v>0</v>
      </c>
      <c r="I71" s="40">
        <f t="shared" si="31"/>
        <v>0</v>
      </c>
      <c r="J71" s="40">
        <f t="shared" si="31"/>
        <v>0</v>
      </c>
      <c r="K71" s="40">
        <f t="shared" si="31"/>
        <v>0</v>
      </c>
      <c r="L71" s="40">
        <f t="shared" si="31"/>
        <v>0</v>
      </c>
      <c r="M71" s="40">
        <f t="shared" si="31"/>
        <v>4</v>
      </c>
      <c r="N71" s="40">
        <f t="shared" si="31"/>
        <v>-3</v>
      </c>
      <c r="O71" s="40">
        <f t="shared" si="31"/>
        <v>-12</v>
      </c>
      <c r="P71" s="40">
        <f t="shared" si="31"/>
        <v>-101</v>
      </c>
      <c r="Q71" s="40">
        <f t="shared" si="31"/>
        <v>-554</v>
      </c>
      <c r="R71" s="1"/>
      <c r="S71" s="1"/>
      <c r="T71" s="40">
        <f t="shared" ref="T71:Z71" si="32">T19-T70</f>
        <v>-20</v>
      </c>
      <c r="U71" s="40">
        <f t="shared" si="32"/>
        <v>1</v>
      </c>
      <c r="V71" s="40">
        <f t="shared" si="32"/>
        <v>-15</v>
      </c>
      <c r="W71" s="40">
        <f t="shared" si="32"/>
        <v>-73</v>
      </c>
      <c r="X71" s="40">
        <f t="shared" si="32"/>
        <v>-467</v>
      </c>
      <c r="Y71" s="40">
        <f t="shared" si="32"/>
        <v>-19</v>
      </c>
      <c r="Z71" s="40">
        <f t="shared" si="32"/>
        <v>-11</v>
      </c>
      <c r="AA71" s="40">
        <f t="shared" ref="Z71:AA71" si="33">AA19-AA70</f>
        <v>-4</v>
      </c>
      <c r="AB71" s="16"/>
      <c r="AC71" s="40">
        <f>AC19-AC70</f>
        <v>-501</v>
      </c>
      <c r="AD71" s="1"/>
      <c r="AE71" s="1"/>
    </row>
    <row r="72" spans="1:31" s="41" customFormat="1" x14ac:dyDescent="0.2">
      <c r="A72" s="16"/>
      <c r="B72" s="17" t="s">
        <v>67</v>
      </c>
      <c r="C72" s="42">
        <f t="shared" ref="C72:Q72" si="34">C38-(C44+C113)</f>
        <v>0</v>
      </c>
      <c r="D72" s="42">
        <f t="shared" si="34"/>
        <v>0</v>
      </c>
      <c r="E72" s="42">
        <f t="shared" si="34"/>
        <v>0</v>
      </c>
      <c r="F72" s="42">
        <f t="shared" si="34"/>
        <v>0</v>
      </c>
      <c r="G72" s="42">
        <f t="shared" si="34"/>
        <v>0</v>
      </c>
      <c r="H72" s="42">
        <f t="shared" si="34"/>
        <v>0</v>
      </c>
      <c r="I72" s="42">
        <f t="shared" si="34"/>
        <v>0</v>
      </c>
      <c r="J72" s="42">
        <f t="shared" si="34"/>
        <v>0</v>
      </c>
      <c r="K72" s="42">
        <f t="shared" si="34"/>
        <v>0</v>
      </c>
      <c r="L72" s="42">
        <f t="shared" si="34"/>
        <v>0</v>
      </c>
      <c r="M72" s="42">
        <f t="shared" si="34"/>
        <v>0</v>
      </c>
      <c r="N72" s="42">
        <f t="shared" si="34"/>
        <v>0</v>
      </c>
      <c r="O72" s="42">
        <f t="shared" si="34"/>
        <v>0</v>
      </c>
      <c r="P72" s="42">
        <f t="shared" si="34"/>
        <v>0</v>
      </c>
      <c r="Q72" s="42">
        <f t="shared" si="34"/>
        <v>0</v>
      </c>
      <c r="R72" s="1"/>
      <c r="S72" s="1"/>
      <c r="T72" s="42">
        <f t="shared" ref="T72:Z72" si="35">T38-(T44+T113)</f>
        <v>0</v>
      </c>
      <c r="U72" s="42">
        <f t="shared" si="35"/>
        <v>0</v>
      </c>
      <c r="V72" s="42">
        <f t="shared" si="35"/>
        <v>0</v>
      </c>
      <c r="W72" s="42">
        <f t="shared" si="35"/>
        <v>0</v>
      </c>
      <c r="X72" s="42">
        <f t="shared" si="35"/>
        <v>0</v>
      </c>
      <c r="Y72" s="42">
        <f t="shared" si="35"/>
        <v>0</v>
      </c>
      <c r="Z72" s="42">
        <f t="shared" ref="Z72:AA72" si="36">Z38-(Z44+Z113)</f>
        <v>0</v>
      </c>
      <c r="AA72" s="42">
        <f t="shared" si="36"/>
        <v>0</v>
      </c>
      <c r="AB72" s="16"/>
      <c r="AC72" s="42">
        <f>AC38-(AC44+AC113)</f>
        <v>0</v>
      </c>
      <c r="AD72" s="1"/>
      <c r="AE72" s="1"/>
    </row>
    <row r="73" spans="1:31" x14ac:dyDescent="0.2">
      <c r="B73" s="39"/>
      <c r="J73" s="39"/>
      <c r="K73" s="39"/>
      <c r="L73" s="39"/>
      <c r="M73" s="39"/>
      <c r="N73" s="39"/>
      <c r="O73" s="39"/>
      <c r="P73" s="39"/>
    </row>
    <row r="74" spans="1:31" s="15" customFormat="1" ht="17" thickBot="1" x14ac:dyDescent="0.25">
      <c r="A74" s="11"/>
      <c r="B74" s="14" t="s">
        <v>68</v>
      </c>
      <c r="R74" s="1"/>
      <c r="S74" s="1"/>
      <c r="AB74" s="1"/>
      <c r="AD74" s="1"/>
      <c r="AE74" s="1"/>
    </row>
    <row r="75" spans="1:31" x14ac:dyDescent="0.2">
      <c r="B75" s="20" t="s">
        <v>69</v>
      </c>
      <c r="C75" s="43"/>
      <c r="D75" s="43"/>
      <c r="E75" s="43"/>
      <c r="F75" s="43"/>
      <c r="G75" s="43"/>
      <c r="H75" s="43"/>
      <c r="I75" s="43"/>
      <c r="J75" s="21"/>
      <c r="K75" s="21"/>
      <c r="L75" s="21"/>
      <c r="M75" s="43">
        <v>10177</v>
      </c>
      <c r="N75" s="43">
        <v>10247</v>
      </c>
      <c r="O75" s="21">
        <v>10388</v>
      </c>
      <c r="P75" s="21">
        <v>10598</v>
      </c>
      <c r="Q75" s="21">
        <v>10735</v>
      </c>
      <c r="T75" s="21">
        <v>10598</v>
      </c>
      <c r="U75" s="21">
        <v>10616</v>
      </c>
      <c r="V75" s="21">
        <v>10665</v>
      </c>
      <c r="W75" s="21">
        <v>10690</v>
      </c>
      <c r="X75" s="21">
        <v>10735</v>
      </c>
      <c r="Y75" s="21">
        <v>10757</v>
      </c>
      <c r="Z75" s="21">
        <v>10786</v>
      </c>
      <c r="AA75" s="268">
        <v>10786</v>
      </c>
      <c r="AC75" s="24">
        <f>AA75</f>
        <v>10786</v>
      </c>
    </row>
    <row r="76" spans="1:31" x14ac:dyDescent="0.2">
      <c r="B76" s="20" t="s">
        <v>70</v>
      </c>
      <c r="C76" s="25"/>
      <c r="D76" s="25"/>
      <c r="E76" s="25"/>
      <c r="F76" s="25"/>
      <c r="G76" s="25"/>
      <c r="H76" s="25"/>
      <c r="I76" s="25"/>
      <c r="J76" s="25"/>
      <c r="K76" s="25"/>
      <c r="L76" s="25"/>
      <c r="M76" s="25">
        <f t="shared" ref="M76:Q76" si="37">M75*M86</f>
        <v>10177</v>
      </c>
      <c r="N76" s="25">
        <f t="shared" si="37"/>
        <v>10247</v>
      </c>
      <c r="O76" s="25">
        <f t="shared" si="37"/>
        <v>10388</v>
      </c>
      <c r="P76" s="25">
        <f t="shared" si="37"/>
        <v>10598</v>
      </c>
      <c r="Q76" s="25">
        <f t="shared" si="37"/>
        <v>10735</v>
      </c>
      <c r="T76" s="25">
        <f t="shared" ref="T76:U76" si="38">T75*T86</f>
        <v>10598</v>
      </c>
      <c r="U76" s="25">
        <f t="shared" ref="U76:V76" si="39">U75*U86</f>
        <v>10616</v>
      </c>
      <c r="V76" s="25">
        <f t="shared" ref="V76:Y76" si="40">V75*V86</f>
        <v>10665</v>
      </c>
      <c r="W76" s="25">
        <f t="shared" si="40"/>
        <v>10690</v>
      </c>
      <c r="X76" s="25">
        <f t="shared" si="40"/>
        <v>10735</v>
      </c>
      <c r="Y76" s="25">
        <f t="shared" si="40"/>
        <v>10757</v>
      </c>
      <c r="Z76" s="25">
        <f t="shared" ref="Z76:AA76" si="41">Z75*Z86</f>
        <v>10786</v>
      </c>
      <c r="AA76" s="25">
        <f t="shared" si="41"/>
        <v>10786</v>
      </c>
      <c r="AC76" s="24">
        <f>AA76</f>
        <v>10786</v>
      </c>
    </row>
    <row r="77" spans="1:31" x14ac:dyDescent="0.2">
      <c r="B77" s="20" t="s">
        <v>235</v>
      </c>
      <c r="C77" s="25"/>
      <c r="D77" s="25"/>
      <c r="E77" s="25"/>
      <c r="F77" s="25"/>
      <c r="G77" s="25"/>
      <c r="H77" s="25"/>
      <c r="I77" s="25"/>
      <c r="J77" s="25"/>
      <c r="K77" s="25"/>
      <c r="L77" s="25"/>
      <c r="M77" s="21">
        <v>179</v>
      </c>
      <c r="N77" s="21">
        <v>0</v>
      </c>
      <c r="O77" s="21">
        <v>188</v>
      </c>
      <c r="P77" s="21">
        <v>248</v>
      </c>
      <c r="Q77" s="21">
        <v>171</v>
      </c>
      <c r="T77" s="21">
        <v>248</v>
      </c>
      <c r="U77" s="21">
        <v>190</v>
      </c>
      <c r="V77" s="21">
        <v>169</v>
      </c>
      <c r="W77" s="21">
        <v>171</v>
      </c>
      <c r="X77" s="21">
        <v>171</v>
      </c>
      <c r="Y77" s="21">
        <v>131</v>
      </c>
      <c r="Z77" s="21">
        <v>134</v>
      </c>
      <c r="AA77" s="268">
        <v>134</v>
      </c>
      <c r="AC77" s="21">
        <f>AA77</f>
        <v>134</v>
      </c>
    </row>
    <row r="78" spans="1:31" x14ac:dyDescent="0.2">
      <c r="B78" s="20" t="s">
        <v>236</v>
      </c>
      <c r="C78" s="25"/>
      <c r="D78" s="25"/>
      <c r="E78" s="25"/>
      <c r="F78" s="25"/>
      <c r="G78" s="25"/>
      <c r="H78" s="25"/>
      <c r="I78" s="25"/>
      <c r="J78" s="25"/>
      <c r="K78" s="25"/>
      <c r="L78" s="25"/>
      <c r="M78" s="25">
        <f t="shared" ref="M78:P78" si="42">M77*M86</f>
        <v>179</v>
      </c>
      <c r="N78" s="25">
        <f t="shared" si="42"/>
        <v>0</v>
      </c>
      <c r="O78" s="25">
        <f t="shared" si="42"/>
        <v>188</v>
      </c>
      <c r="P78" s="25">
        <f t="shared" si="42"/>
        <v>248</v>
      </c>
      <c r="Q78" s="25">
        <f>Q77*Q86</f>
        <v>171</v>
      </c>
      <c r="T78" s="25">
        <f t="shared" ref="T78:Z78" si="43">T77*T86</f>
        <v>248</v>
      </c>
      <c r="U78" s="25">
        <f t="shared" si="43"/>
        <v>190</v>
      </c>
      <c r="V78" s="25">
        <f t="shared" si="43"/>
        <v>169</v>
      </c>
      <c r="W78" s="25">
        <f t="shared" si="43"/>
        <v>171</v>
      </c>
      <c r="X78" s="25">
        <f t="shared" si="43"/>
        <v>171</v>
      </c>
      <c r="Y78" s="25">
        <f t="shared" si="43"/>
        <v>131</v>
      </c>
      <c r="Z78" s="25">
        <f t="shared" si="43"/>
        <v>134</v>
      </c>
      <c r="AA78" s="25">
        <f t="shared" ref="Z78:AA78" si="44">AA77*AA86</f>
        <v>134</v>
      </c>
      <c r="AC78" s="24">
        <f>AA78</f>
        <v>134</v>
      </c>
    </row>
    <row r="79" spans="1:31" x14ac:dyDescent="0.2">
      <c r="B79" s="20" t="s">
        <v>237</v>
      </c>
      <c r="C79" s="25"/>
      <c r="D79" s="25"/>
      <c r="E79" s="25"/>
      <c r="F79" s="25"/>
      <c r="G79" s="25"/>
      <c r="H79" s="25"/>
      <c r="I79" s="25"/>
      <c r="J79" s="25"/>
      <c r="K79" s="25"/>
      <c r="L79" s="25"/>
      <c r="M79" s="25">
        <f t="shared" ref="M79:P79" si="45">M76+M78</f>
        <v>10356</v>
      </c>
      <c r="N79" s="25">
        <f t="shared" si="45"/>
        <v>10247</v>
      </c>
      <c r="O79" s="25">
        <f t="shared" si="45"/>
        <v>10576</v>
      </c>
      <c r="P79" s="25">
        <f t="shared" si="45"/>
        <v>10846</v>
      </c>
      <c r="Q79" s="25">
        <f>Q76+Q78</f>
        <v>10906</v>
      </c>
      <c r="T79" s="25">
        <f t="shared" ref="T79:Z79" si="46">T76+T78</f>
        <v>10846</v>
      </c>
      <c r="U79" s="25">
        <f t="shared" si="46"/>
        <v>10806</v>
      </c>
      <c r="V79" s="25">
        <f t="shared" si="46"/>
        <v>10834</v>
      </c>
      <c r="W79" s="25">
        <f t="shared" si="46"/>
        <v>10861</v>
      </c>
      <c r="X79" s="25">
        <f t="shared" si="46"/>
        <v>10906</v>
      </c>
      <c r="Y79" s="25">
        <f t="shared" si="46"/>
        <v>10888</v>
      </c>
      <c r="Z79" s="25">
        <f t="shared" si="46"/>
        <v>10920</v>
      </c>
      <c r="AA79" s="25">
        <f t="shared" ref="Z79:AA79" si="47">AA76+AA78</f>
        <v>10920</v>
      </c>
      <c r="AC79" s="24">
        <f>AA79</f>
        <v>10920</v>
      </c>
    </row>
    <row r="80" spans="1:31" x14ac:dyDescent="0.2">
      <c r="B80" s="20" t="s">
        <v>276</v>
      </c>
      <c r="C80" s="25"/>
      <c r="D80" s="25"/>
      <c r="E80" s="25"/>
      <c r="F80" s="25"/>
      <c r="G80" s="25"/>
      <c r="H80" s="25"/>
      <c r="I80" s="25"/>
      <c r="J80" s="25"/>
      <c r="K80" s="25"/>
      <c r="L80" s="25"/>
      <c r="M80" s="21">
        <v>1415</v>
      </c>
      <c r="N80" s="21">
        <v>1294</v>
      </c>
      <c r="O80" s="21">
        <v>1262</v>
      </c>
      <c r="P80" s="21">
        <v>1126</v>
      </c>
      <c r="Q80" s="21">
        <v>1025</v>
      </c>
      <c r="T80" s="68"/>
      <c r="U80" s="68"/>
      <c r="V80" s="68"/>
      <c r="W80" s="68"/>
      <c r="X80" s="68"/>
      <c r="Y80" s="68"/>
      <c r="Z80" s="68"/>
      <c r="AA80" s="68"/>
      <c r="AC80" s="24">
        <f>Q80</f>
        <v>1025</v>
      </c>
    </row>
    <row r="81" spans="1:31" x14ac:dyDescent="0.2">
      <c r="B81" s="20" t="s">
        <v>277</v>
      </c>
      <c r="C81" s="25"/>
      <c r="D81" s="25"/>
      <c r="E81" s="25"/>
      <c r="F81" s="25"/>
      <c r="G81" s="25"/>
      <c r="H81" s="25"/>
      <c r="I81" s="25"/>
      <c r="J81" s="25"/>
      <c r="K81" s="25"/>
      <c r="L81" s="25"/>
      <c r="M81" s="25">
        <f t="shared" ref="M81:P81" si="48">M80*M86</f>
        <v>1415</v>
      </c>
      <c r="N81" s="25">
        <f t="shared" si="48"/>
        <v>1294</v>
      </c>
      <c r="O81" s="25">
        <f t="shared" si="48"/>
        <v>1262</v>
      </c>
      <c r="P81" s="25">
        <f t="shared" si="48"/>
        <v>1126</v>
      </c>
      <c r="Q81" s="25">
        <f>Q80*Q86</f>
        <v>1025</v>
      </c>
      <c r="T81" s="68"/>
      <c r="U81" s="68"/>
      <c r="V81" s="68"/>
      <c r="W81" s="68"/>
      <c r="X81" s="68"/>
      <c r="Y81" s="68"/>
      <c r="Z81" s="68"/>
      <c r="AA81" s="68"/>
      <c r="AC81" s="24">
        <f>Q81</f>
        <v>1025</v>
      </c>
    </row>
    <row r="82" spans="1:31" x14ac:dyDescent="0.2">
      <c r="B82" s="23" t="s">
        <v>71</v>
      </c>
      <c r="C82" s="44"/>
      <c r="D82" s="44"/>
      <c r="E82" s="44"/>
      <c r="F82" s="44"/>
      <c r="G82" s="44"/>
      <c r="H82" s="44"/>
      <c r="I82" s="44"/>
      <c r="J82" s="44"/>
      <c r="K82" s="44"/>
      <c r="L82" s="44"/>
      <c r="M82" s="44">
        <v>0</v>
      </c>
      <c r="N82" s="44">
        <v>0</v>
      </c>
      <c r="O82" s="44">
        <v>0</v>
      </c>
      <c r="P82" s="44">
        <v>0</v>
      </c>
      <c r="Q82" s="44">
        <v>0</v>
      </c>
      <c r="T82" s="44">
        <v>0</v>
      </c>
      <c r="U82" s="44">
        <v>0</v>
      </c>
      <c r="V82" s="44">
        <v>0</v>
      </c>
      <c r="W82" s="44">
        <v>0</v>
      </c>
      <c r="X82" s="44">
        <v>0</v>
      </c>
      <c r="Y82" s="44">
        <v>0</v>
      </c>
      <c r="Z82" s="44">
        <v>0</v>
      </c>
      <c r="AA82" s="44">
        <v>0</v>
      </c>
      <c r="AC82" s="72">
        <f>SUM(X82:AA82)</f>
        <v>0</v>
      </c>
    </row>
    <row r="83" spans="1:31" x14ac:dyDescent="0.2">
      <c r="B83" s="23" t="s">
        <v>72</v>
      </c>
      <c r="C83" s="39"/>
      <c r="D83" s="45"/>
      <c r="E83" s="45"/>
      <c r="F83" s="45"/>
      <c r="G83" s="45"/>
      <c r="H83" s="45"/>
      <c r="I83" s="45"/>
      <c r="J83" s="45"/>
      <c r="K83" s="45"/>
      <c r="L83" s="45"/>
      <c r="M83" s="45">
        <f t="shared" ref="M83:Q83" si="49">M82/M86</f>
        <v>0</v>
      </c>
      <c r="N83" s="45">
        <f t="shared" si="49"/>
        <v>0</v>
      </c>
      <c r="O83" s="45">
        <f t="shared" si="49"/>
        <v>0</v>
      </c>
      <c r="P83" s="45">
        <f t="shared" si="49"/>
        <v>0</v>
      </c>
      <c r="Q83" s="45">
        <f t="shared" si="49"/>
        <v>0</v>
      </c>
      <c r="T83" s="45">
        <f t="shared" ref="T83:U83" si="50">T82/T86</f>
        <v>0</v>
      </c>
      <c r="U83" s="45">
        <f t="shared" ref="U83:V83" si="51">U82/U86</f>
        <v>0</v>
      </c>
      <c r="V83" s="45">
        <f t="shared" ref="V83:Y83" si="52">V82/V86</f>
        <v>0</v>
      </c>
      <c r="W83" s="45">
        <f t="shared" si="52"/>
        <v>0</v>
      </c>
      <c r="X83" s="45">
        <f t="shared" si="52"/>
        <v>0</v>
      </c>
      <c r="Y83" s="45">
        <f t="shared" si="52"/>
        <v>0</v>
      </c>
      <c r="Z83" s="45">
        <f t="shared" ref="Z83:AA83" si="53">Z82/Z86</f>
        <v>0</v>
      </c>
      <c r="AA83" s="45">
        <f t="shared" si="53"/>
        <v>0</v>
      </c>
      <c r="AC83" s="72">
        <f>SUM(X83:AA83)</f>
        <v>0</v>
      </c>
    </row>
    <row r="84" spans="1:31" x14ac:dyDescent="0.2">
      <c r="B84" s="20" t="s">
        <v>73</v>
      </c>
      <c r="C84" s="46">
        <f t="shared" ref="C84:Q84" si="54">IF(AND(C16&gt;0,C17&lt;0),-(C17)/C16,0)</f>
        <v>0</v>
      </c>
      <c r="D84" s="46">
        <f t="shared" si="54"/>
        <v>0</v>
      </c>
      <c r="E84" s="46">
        <f t="shared" si="54"/>
        <v>0</v>
      </c>
      <c r="F84" s="46">
        <f t="shared" si="54"/>
        <v>0</v>
      </c>
      <c r="G84" s="46">
        <f t="shared" si="54"/>
        <v>0</v>
      </c>
      <c r="H84" s="46">
        <f t="shared" si="54"/>
        <v>0</v>
      </c>
      <c r="I84" s="46">
        <f t="shared" si="54"/>
        <v>0</v>
      </c>
      <c r="J84" s="46">
        <f t="shared" si="54"/>
        <v>0</v>
      </c>
      <c r="K84" s="46">
        <f t="shared" si="54"/>
        <v>0</v>
      </c>
      <c r="L84" s="46">
        <f t="shared" si="54"/>
        <v>0</v>
      </c>
      <c r="M84" s="46">
        <f t="shared" si="54"/>
        <v>0.17994366197183098</v>
      </c>
      <c r="N84" s="46">
        <f t="shared" si="54"/>
        <v>0</v>
      </c>
      <c r="O84" s="46">
        <f t="shared" si="54"/>
        <v>0.18957850733551668</v>
      </c>
      <c r="P84" s="46">
        <f t="shared" si="54"/>
        <v>0.13503075174162707</v>
      </c>
      <c r="Q84" s="46">
        <f t="shared" si="54"/>
        <v>0.22638801579865023</v>
      </c>
      <c r="T84" s="46">
        <f t="shared" ref="T84:Z84" si="55">IF(AND(T16&gt;0,T17&lt;0),-(T17)/T16,0)</f>
        <v>0.10403150029084075</v>
      </c>
      <c r="U84" s="46">
        <f t="shared" si="55"/>
        <v>0.21001891231145348</v>
      </c>
      <c r="V84" s="46">
        <f t="shared" si="55"/>
        <v>0.1283981397132857</v>
      </c>
      <c r="W84" s="46">
        <f t="shared" si="55"/>
        <v>0.36045905059989569</v>
      </c>
      <c r="X84" s="46">
        <f t="shared" si="55"/>
        <v>0.18590490509302762</v>
      </c>
      <c r="Y84" s="46">
        <f t="shared" si="55"/>
        <v>0.34756053224750966</v>
      </c>
      <c r="Z84" s="46">
        <f t="shared" ref="Z84:AA84" si="56">IF(AND(Z16&gt;0,Z17&lt;0),-(Z17)/Z16,0)</f>
        <v>0.59922294293898781</v>
      </c>
      <c r="AA84" s="46">
        <f t="shared" si="56"/>
        <v>0.23000483828947857</v>
      </c>
      <c r="AC84" s="46">
        <f>IF(AND(AC16&gt;0,AC17&lt;0),-(AC17)/AC16,0)</f>
        <v>0.3492110533358479</v>
      </c>
    </row>
    <row r="85" spans="1:31" x14ac:dyDescent="0.2">
      <c r="B85" s="20" t="s">
        <v>74</v>
      </c>
      <c r="C85" s="21"/>
      <c r="D85" s="21"/>
      <c r="E85" s="21"/>
      <c r="F85" s="21"/>
      <c r="G85" s="21"/>
      <c r="H85" s="21"/>
      <c r="I85" s="21"/>
      <c r="J85" s="21"/>
      <c r="K85" s="21"/>
      <c r="L85" s="21"/>
      <c r="M85" s="21">
        <v>1608000</v>
      </c>
      <c r="N85" s="21">
        <v>1541000</v>
      </c>
      <c r="O85" s="21">
        <v>1525000</v>
      </c>
      <c r="P85" s="21">
        <v>1556000</v>
      </c>
      <c r="Q85" s="21">
        <v>1576000</v>
      </c>
      <c r="T85" s="68"/>
      <c r="U85" s="68"/>
      <c r="V85" s="68"/>
      <c r="W85" s="68"/>
      <c r="X85" s="68"/>
      <c r="Y85" s="68"/>
      <c r="Z85" s="68"/>
      <c r="AA85" s="68"/>
      <c r="AC85" s="21">
        <f>Q85</f>
        <v>1576000</v>
      </c>
    </row>
    <row r="86" spans="1:31" x14ac:dyDescent="0.2">
      <c r="B86" s="20" t="s">
        <v>75</v>
      </c>
      <c r="C86" s="21"/>
      <c r="D86" s="21"/>
      <c r="E86" s="21"/>
      <c r="F86" s="21"/>
      <c r="G86" s="21"/>
      <c r="H86" s="21"/>
      <c r="I86" s="21"/>
      <c r="J86" s="21"/>
      <c r="K86" s="21"/>
      <c r="L86" s="21"/>
      <c r="M86" s="21">
        <v>1</v>
      </c>
      <c r="N86" s="21">
        <v>1</v>
      </c>
      <c r="O86" s="21">
        <v>1</v>
      </c>
      <c r="P86" s="21">
        <v>1</v>
      </c>
      <c r="Q86" s="21">
        <v>1</v>
      </c>
      <c r="T86" s="21">
        <v>1</v>
      </c>
      <c r="U86" s="21">
        <v>1</v>
      </c>
      <c r="V86" s="21">
        <v>1</v>
      </c>
      <c r="W86" s="21">
        <v>1</v>
      </c>
      <c r="X86" s="21">
        <v>1</v>
      </c>
      <c r="Y86" s="21">
        <v>1</v>
      </c>
      <c r="Z86" s="21">
        <v>1</v>
      </c>
      <c r="AA86" s="21">
        <v>1</v>
      </c>
      <c r="AC86" s="21">
        <v>1</v>
      </c>
    </row>
    <row r="88" spans="1:31" x14ac:dyDescent="0.2">
      <c r="B88" s="1"/>
    </row>
    <row r="89" spans="1:31" s="15" customFormat="1" ht="17" thickBot="1" x14ac:dyDescent="0.25">
      <c r="A89" s="11"/>
      <c r="B89" s="14" t="s">
        <v>76</v>
      </c>
      <c r="R89" s="1"/>
      <c r="S89" s="1"/>
      <c r="AB89" s="1"/>
      <c r="AD89" s="1"/>
      <c r="AE89" s="1"/>
    </row>
    <row r="90" spans="1:31" s="41" customFormat="1" x14ac:dyDescent="0.2">
      <c r="A90" s="16"/>
      <c r="B90" s="17" t="s">
        <v>19</v>
      </c>
      <c r="C90" s="47"/>
      <c r="D90" s="48"/>
      <c r="E90" s="48"/>
      <c r="F90" s="48"/>
      <c r="G90" s="48"/>
      <c r="H90" s="48"/>
      <c r="I90" s="48"/>
      <c r="J90" s="48"/>
      <c r="K90" s="48"/>
      <c r="L90" s="48"/>
      <c r="M90" s="48">
        <f t="shared" ref="M90:Q95" si="57">IF(L5=0,
IF(M5=0,0,IF(M5&gt;0,1,-1)),
(M5-L5)/ABS(L5)
)</f>
        <v>1</v>
      </c>
      <c r="N90" s="48">
        <f t="shared" si="57"/>
        <v>9.3995172639850841E-2</v>
      </c>
      <c r="O90" s="48">
        <f t="shared" si="57"/>
        <v>0.11829574129883673</v>
      </c>
      <c r="P90" s="48">
        <f t="shared" si="57"/>
        <v>0.10990892246666145</v>
      </c>
      <c r="Q90" s="48">
        <f t="shared" si="57"/>
        <v>0.12377754683294695</v>
      </c>
      <c r="R90" s="1"/>
      <c r="S90" s="1"/>
      <c r="T90" s="48">
        <f t="shared" ref="T90:T95" si="58">IF(S5=0,
IF(T5=0,0,IF(T5&gt;0,1,-1)),
(T5-S5)/ABS(S5)
)</f>
        <v>1</v>
      </c>
      <c r="U90" s="48">
        <f t="shared" ref="U90:U95" si="59">IF(T5=0,
IF(U5=0,0,IF(U5&gt;0,1,-1)),
(U5-T5)/ABS(T5)
)</f>
        <v>-0.17106692510863084</v>
      </c>
      <c r="V90" s="48">
        <f t="shared" ref="V90:V95" si="60">IF(U5=0,
IF(V5=0,0,IF(V5&gt;0,1,-1)),
(V5-U5)/ABS(U5)
)</f>
        <v>7.7312468281652502E-2</v>
      </c>
      <c r="W90" s="48">
        <f t="shared" ref="W90:W95" si="61">IF(V5=0,
IF(W5=0,0,IF(W5&gt;0,1,-1)),
(W5-V5)/ABS(V5)
)</f>
        <v>7.4340198685764039E-2</v>
      </c>
      <c r="X90" s="48">
        <f t="shared" ref="X90:X95" si="62">IF(W5=0,
IF(X5=0,0,IF(X5&gt;0,1,-1)),
(X5-W5)/ABS(W5)
)</f>
        <v>0.18436578989726313</v>
      </c>
      <c r="Y90" s="48">
        <f t="shared" ref="Y90:Y95" si="63">IF(X5=0,
IF(Y5=0,0,IF(Y5&gt;0,1,-1)),
(Y5-X5)/ABS(X5)
)</f>
        <v>-0.14933969426297883</v>
      </c>
      <c r="Z90" s="48">
        <f t="shared" ref="Z90:Z95" si="64">IF(Y5=0,
IF(Z5=0,0,IF(Z5&gt;0,1,-1)),
(Z5-Y5)/ABS(Y5)
)</f>
        <v>0.10515152683741096</v>
      </c>
      <c r="AA90" s="48">
        <f t="shared" ref="T90:AA95" si="65">IF(Z5=0,
IF(AA5=0,0,IF(AA5&gt;0,1,-1)),
(AA5-Z5)/ABS(Z5)
)</f>
        <v>6.6697905346799202E-3</v>
      </c>
      <c r="AB90" s="1"/>
      <c r="AC90" s="67"/>
      <c r="AD90" s="1"/>
      <c r="AE90" s="1"/>
    </row>
    <row r="91" spans="1:31" x14ac:dyDescent="0.2">
      <c r="B91" s="20" t="s">
        <v>20</v>
      </c>
      <c r="C91" s="49"/>
      <c r="D91" s="50"/>
      <c r="E91" s="50"/>
      <c r="F91" s="50"/>
      <c r="G91" s="50"/>
      <c r="H91" s="50"/>
      <c r="I91" s="50"/>
      <c r="J91" s="50"/>
      <c r="K91" s="50"/>
      <c r="L91" s="50"/>
      <c r="M91" s="50">
        <f t="shared" si="57"/>
        <v>1</v>
      </c>
      <c r="N91" s="50">
        <f t="shared" si="57"/>
        <v>7.3894461153242871E-2</v>
      </c>
      <c r="O91" s="50">
        <f t="shared" si="57"/>
        <v>5.9571731032079973E-2</v>
      </c>
      <c r="P91" s="50">
        <f t="shared" si="57"/>
        <v>7.4451509770891197E-2</v>
      </c>
      <c r="Q91" s="50">
        <f t="shared" si="57"/>
        <v>9.5799601217534183E-2</v>
      </c>
      <c r="T91" s="50">
        <f t="shared" si="58"/>
        <v>1</v>
      </c>
      <c r="U91" s="50">
        <f t="shared" si="59"/>
        <v>-0.1993299436364353</v>
      </c>
      <c r="V91" s="50">
        <f t="shared" si="60"/>
        <v>5.1354251789423939E-2</v>
      </c>
      <c r="W91" s="50">
        <f t="shared" si="61"/>
        <v>8.9563140890574516E-2</v>
      </c>
      <c r="X91" s="50">
        <f t="shared" si="62"/>
        <v>0.21002329199219588</v>
      </c>
      <c r="Y91" s="50">
        <f t="shared" si="63"/>
        <v>-0.18491316546507086</v>
      </c>
      <c r="Z91" s="50">
        <f t="shared" si="64"/>
        <v>9.2887269938650305E-2</v>
      </c>
      <c r="AA91" s="50">
        <f t="shared" si="65"/>
        <v>-6.7059508336589297E-3</v>
      </c>
      <c r="AC91" s="68"/>
    </row>
    <row r="92" spans="1:31" s="41" customFormat="1" x14ac:dyDescent="0.2">
      <c r="A92" s="16"/>
      <c r="B92" s="17" t="s">
        <v>21</v>
      </c>
      <c r="C92" s="47"/>
      <c r="D92" s="48"/>
      <c r="E92" s="48"/>
      <c r="F92" s="48"/>
      <c r="G92" s="48"/>
      <c r="H92" s="48"/>
      <c r="I92" s="48"/>
      <c r="J92" s="48"/>
      <c r="K92" s="48"/>
      <c r="L92" s="48"/>
      <c r="M92" s="48">
        <f t="shared" si="57"/>
        <v>1</v>
      </c>
      <c r="N92" s="48">
        <f t="shared" si="57"/>
        <v>0.15107014145970726</v>
      </c>
      <c r="O92" s="48">
        <f t="shared" si="57"/>
        <v>0.27385998168303127</v>
      </c>
      <c r="P92" s="48">
        <f t="shared" si="57"/>
        <v>0.18803747485049629</v>
      </c>
      <c r="Q92" s="48">
        <f t="shared" si="57"/>
        <v>0.17953144497715395</v>
      </c>
      <c r="R92" s="1"/>
      <c r="S92" s="1"/>
      <c r="T92" s="48">
        <f t="shared" si="58"/>
        <v>1</v>
      </c>
      <c r="U92" s="48">
        <f t="shared" si="59"/>
        <v>-0.11223066445673401</v>
      </c>
      <c r="V92" s="48">
        <f t="shared" si="60"/>
        <v>0.12604902214499611</v>
      </c>
      <c r="W92" s="48">
        <f t="shared" si="61"/>
        <v>4.7655005991759279E-2</v>
      </c>
      <c r="X92" s="48">
        <f t="shared" si="62"/>
        <v>0.1375900971482294</v>
      </c>
      <c r="Y92" s="48">
        <f t="shared" si="63"/>
        <v>-8.0357019875759286E-2</v>
      </c>
      <c r="Z92" s="48">
        <f t="shared" si="64"/>
        <v>0.12623002381415968</v>
      </c>
      <c r="AA92" s="48">
        <f t="shared" si="65"/>
        <v>2.8977990557882839E-2</v>
      </c>
      <c r="AB92" s="1"/>
      <c r="AC92" s="67"/>
      <c r="AD92" s="1"/>
      <c r="AE92" s="1"/>
    </row>
    <row r="93" spans="1:31" x14ac:dyDescent="0.2">
      <c r="B93" s="20" t="s">
        <v>23</v>
      </c>
      <c r="C93" s="49"/>
      <c r="D93" s="50"/>
      <c r="E93" s="50"/>
      <c r="F93" s="50"/>
      <c r="G93" s="50"/>
      <c r="H93" s="50"/>
      <c r="I93" s="50"/>
      <c r="J93" s="50"/>
      <c r="K93" s="50"/>
      <c r="L93" s="50"/>
      <c r="M93" s="50">
        <f t="shared" si="57"/>
        <v>1</v>
      </c>
      <c r="N93" s="50">
        <f t="shared" si="57"/>
        <v>0.3061621351602084</v>
      </c>
      <c r="O93" s="50">
        <f t="shared" si="57"/>
        <v>0.16949175692841434</v>
      </c>
      <c r="P93" s="50">
        <f t="shared" si="57"/>
        <v>3.4126743126766487E-2</v>
      </c>
      <c r="Q93" s="50">
        <f t="shared" si="57"/>
        <v>0.22561664257318395</v>
      </c>
      <c r="T93" s="50">
        <f t="shared" si="58"/>
        <v>1</v>
      </c>
      <c r="U93" s="50">
        <f t="shared" si="59"/>
        <v>-2.4479232955750711E-2</v>
      </c>
      <c r="V93" s="50">
        <f t="shared" si="60"/>
        <v>0.18143863616595635</v>
      </c>
      <c r="W93" s="50">
        <f t="shared" si="61"/>
        <v>6.6112051829492743E-2</v>
      </c>
      <c r="X93" s="50">
        <f t="shared" si="62"/>
        <v>1.5088736965679165E-2</v>
      </c>
      <c r="Y93" s="50">
        <f t="shared" si="63"/>
        <v>5.7144800843566112E-3</v>
      </c>
      <c r="Z93" s="50">
        <f t="shared" si="64"/>
        <v>0.12145297121791186</v>
      </c>
      <c r="AA93" s="50">
        <f t="shared" si="65"/>
        <v>4.9942698594607635E-2</v>
      </c>
      <c r="AC93" s="68"/>
    </row>
    <row r="94" spans="1:31" x14ac:dyDescent="0.2">
      <c r="B94" s="20" t="s">
        <v>22</v>
      </c>
      <c r="C94" s="49"/>
      <c r="D94" s="50"/>
      <c r="E94" s="50"/>
      <c r="F94" s="50"/>
      <c r="G94" s="50"/>
      <c r="H94" s="50"/>
      <c r="I94" s="50"/>
      <c r="J94" s="50"/>
      <c r="K94" s="50"/>
      <c r="L94" s="50"/>
      <c r="M94" s="50">
        <f t="shared" si="57"/>
        <v>1</v>
      </c>
      <c r="N94" s="50">
        <f t="shared" si="57"/>
        <v>0.29759454394642254</v>
      </c>
      <c r="O94" s="50">
        <f t="shared" si="57"/>
        <v>5.0475874804678252E-2</v>
      </c>
      <c r="P94" s="50">
        <f t="shared" si="57"/>
        <v>-1.0434978589136805E-2</v>
      </c>
      <c r="Q94" s="50">
        <f t="shared" si="57"/>
        <v>7.3382376386453188E-2</v>
      </c>
      <c r="T94" s="50">
        <f t="shared" si="58"/>
        <v>1</v>
      </c>
      <c r="U94" s="50">
        <f t="shared" si="59"/>
        <v>-0.25609570252971653</v>
      </c>
      <c r="V94" s="50">
        <f t="shared" si="60"/>
        <v>0.16931271125678582</v>
      </c>
      <c r="W94" s="50">
        <f t="shared" si="61"/>
        <v>2.3651016117729504E-2</v>
      </c>
      <c r="X94" s="50">
        <f t="shared" si="62"/>
        <v>0.22060585315762452</v>
      </c>
      <c r="Y94" s="50">
        <f t="shared" si="63"/>
        <v>-0.27692091979809308</v>
      </c>
      <c r="Z94" s="50">
        <f t="shared" si="64"/>
        <v>0.1341865425635059</v>
      </c>
      <c r="AA94" s="50">
        <f t="shared" si="65"/>
        <v>-4.188750213711746E-3</v>
      </c>
      <c r="AC94" s="68"/>
    </row>
    <row r="95" spans="1:31" x14ac:dyDescent="0.2">
      <c r="B95" s="23" t="s">
        <v>24</v>
      </c>
      <c r="C95" s="49"/>
      <c r="D95" s="50"/>
      <c r="E95" s="50"/>
      <c r="F95" s="50"/>
      <c r="G95" s="50"/>
      <c r="H95" s="50"/>
      <c r="I95" s="50"/>
      <c r="J95" s="50"/>
      <c r="K95" s="50"/>
      <c r="L95" s="50"/>
      <c r="M95" s="50">
        <f t="shared" si="57"/>
        <v>1</v>
      </c>
      <c r="N95" s="50">
        <f t="shared" si="57"/>
        <v>0.3477275303184858</v>
      </c>
      <c r="O95" s="50">
        <f t="shared" si="57"/>
        <v>-6.3072912286603316E-3</v>
      </c>
      <c r="P95" s="50">
        <f t="shared" si="57"/>
        <v>-3.8676371022342587E-2</v>
      </c>
      <c r="Q95" s="50">
        <f t="shared" si="57"/>
        <v>-1.6462716788449686E-2</v>
      </c>
      <c r="T95" s="50">
        <f t="shared" si="58"/>
        <v>1</v>
      </c>
      <c r="U95" s="50">
        <f t="shared" si="59"/>
        <v>-8.2081732448480618E-2</v>
      </c>
      <c r="V95" s="50">
        <f t="shared" si="60"/>
        <v>0.12823439878234399</v>
      </c>
      <c r="W95" s="50">
        <f t="shared" si="61"/>
        <v>-3.0354131534569982E-2</v>
      </c>
      <c r="X95" s="50">
        <f t="shared" si="62"/>
        <v>-5.9478260869565217E-2</v>
      </c>
      <c r="Y95" s="50">
        <f t="shared" si="63"/>
        <v>-4.3269230769230768E-2</v>
      </c>
      <c r="Z95" s="50">
        <f t="shared" si="64"/>
        <v>7.7696173173560104E-2</v>
      </c>
      <c r="AA95" s="50">
        <f t="shared" si="65"/>
        <v>-3.1205164992826398E-2</v>
      </c>
      <c r="AC95" s="68"/>
    </row>
    <row r="96" spans="1:31" x14ac:dyDescent="0.2">
      <c r="B96" s="23" t="s">
        <v>25</v>
      </c>
      <c r="C96" s="49"/>
      <c r="D96" s="50"/>
      <c r="E96" s="50"/>
      <c r="F96" s="50"/>
      <c r="G96" s="50"/>
      <c r="H96" s="50"/>
      <c r="I96" s="50"/>
      <c r="J96" s="50"/>
      <c r="K96" s="50"/>
      <c r="L96" s="50"/>
      <c r="M96" s="50">
        <f t="shared" ref="M96:Q97" si="66">IF(L12=0,
IF(M12=0,0,IF(M12&gt;0,1,-1)),
(M12-L12)/ABS(L12)
)</f>
        <v>1</v>
      </c>
      <c r="N96" s="50">
        <f t="shared" si="66"/>
        <v>0.3191880026259642</v>
      </c>
      <c r="O96" s="50">
        <f t="shared" si="66"/>
        <v>0.1086271917888107</v>
      </c>
      <c r="P96" s="50">
        <f t="shared" si="66"/>
        <v>1.4013677012098895E-2</v>
      </c>
      <c r="Q96" s="50">
        <f t="shared" si="66"/>
        <v>0.18598216817801388</v>
      </c>
      <c r="T96" s="50">
        <f t="shared" ref="T96:T97" si="67">IF(S12=0,
IF(T12=0,0,IF(T12&gt;0,1,-1)),
(T12-S12)/ABS(S12)
)</f>
        <v>1</v>
      </c>
      <c r="U96" s="50">
        <f t="shared" ref="U96:U97" si="68">IF(T12=0,
IF(U12=0,0,IF(U12&gt;0,1,-1)),
(U12-T12)/ABS(T12)
)</f>
        <v>-0.10170131373634671</v>
      </c>
      <c r="V96" s="50">
        <f t="shared" ref="V96:V97" si="69">IF(U12=0,
IF(V12=0,0,IF(V12&gt;0,1,-1)),
(V12-U12)/ABS(U12)
)</f>
        <v>0.16958507270333117</v>
      </c>
      <c r="W96" s="50">
        <f t="shared" ref="W96:W97" si="70">IF(V12=0,
IF(W12=0,0,IF(W12&gt;0,1,-1)),
(W12-V12)/ABS(V12)
)</f>
        <v>0.11143582618694006</v>
      </c>
      <c r="X96" s="50">
        <f t="shared" ref="X96:X97" si="71">IF(W12=0,
IF(X12=0,0,IF(X12&gt;0,1,-1)),
(X12-W12)/ABS(W12)
)</f>
        <v>2.6423552739342212E-2</v>
      </c>
      <c r="Y96" s="50">
        <f t="shared" ref="Y96:Y97" si="72">IF(X12=0,
IF(Y12=0,0,IF(Y12&gt;0,1,-1)),
(Y12-X12)/ABS(X12)
)</f>
        <v>-9.8878716613472195E-2</v>
      </c>
      <c r="Z96" s="50">
        <f t="shared" ref="Z96:Z97" si="73">IF(Y12=0,
IF(Z12=0,0,IF(Z12&gt;0,1,-1)),
(Z12-Y12)/ABS(Y12)
)</f>
        <v>0.11229173948502855</v>
      </c>
      <c r="AA96" s="50">
        <f t="shared" ref="AA96:AA97" si="74">IF(Z12=0,
IF(AA12=0,0,IF(AA12&gt;0,1,-1)),
(AA12-Z12)/ABS(Z12)
)</f>
        <v>3.2764905518079354E-2</v>
      </c>
      <c r="AC96" s="68"/>
    </row>
    <row r="97" spans="1:31" s="41" customFormat="1" x14ac:dyDescent="0.2">
      <c r="A97" s="16"/>
      <c r="B97" s="17" t="s">
        <v>26</v>
      </c>
      <c r="C97" s="47"/>
      <c r="D97" s="48"/>
      <c r="E97" s="48"/>
      <c r="F97" s="48"/>
      <c r="G97" s="48"/>
      <c r="H97" s="48"/>
      <c r="I97" s="48"/>
      <c r="J97" s="48"/>
      <c r="K97" s="48"/>
      <c r="L97" s="48"/>
      <c r="M97" s="48">
        <f t="shared" si="66"/>
        <v>1</v>
      </c>
      <c r="N97" s="48">
        <f t="shared" si="66"/>
        <v>-0.50769725471281002</v>
      </c>
      <c r="O97" s="48">
        <f t="shared" si="66"/>
        <v>2.0088177661659046</v>
      </c>
      <c r="P97" s="48">
        <f t="shared" si="66"/>
        <v>0.86131010528600893</v>
      </c>
      <c r="Q97" s="48">
        <f t="shared" si="66"/>
        <v>0.16593529952035921</v>
      </c>
      <c r="R97" s="1"/>
      <c r="S97" s="1"/>
      <c r="T97" s="48">
        <f t="shared" si="67"/>
        <v>1</v>
      </c>
      <c r="U97" s="48">
        <f t="shared" si="68"/>
        <v>-0.13196245814271565</v>
      </c>
      <c r="V97" s="48">
        <f t="shared" si="69"/>
        <v>4.1619125237707146E-2</v>
      </c>
      <c r="W97" s="48">
        <f t="shared" si="70"/>
        <v>-9.1231547650096501E-2</v>
      </c>
      <c r="X97" s="48">
        <f t="shared" si="71"/>
        <v>0.43364711284582713</v>
      </c>
      <c r="Y97" s="48">
        <f t="shared" si="72"/>
        <v>-4.5041438123073228E-2</v>
      </c>
      <c r="Z97" s="48">
        <f t="shared" si="73"/>
        <v>0.1513080664095254</v>
      </c>
      <c r="AA97" s="48">
        <f t="shared" si="74"/>
        <v>2.2395397108626779E-2</v>
      </c>
      <c r="AB97" s="1"/>
      <c r="AC97" s="67"/>
      <c r="AD97" s="1"/>
      <c r="AE97" s="1"/>
    </row>
    <row r="98" spans="1:31" s="53" customFormat="1" x14ac:dyDescent="0.2">
      <c r="A98" s="16"/>
      <c r="B98" s="51" t="s">
        <v>29</v>
      </c>
      <c r="C98" s="47"/>
      <c r="D98" s="52"/>
      <c r="E98" s="52"/>
      <c r="F98" s="52"/>
      <c r="G98" s="52"/>
      <c r="H98" s="52"/>
      <c r="I98" s="52"/>
      <c r="J98" s="52"/>
      <c r="K98" s="52"/>
      <c r="L98" s="52"/>
      <c r="M98" s="52">
        <f>IF(L16=0,
IF(M16=0,0,IF(M16&gt;0,1,-1)),
(M16-L16)/ABS(L16)
)</f>
        <v>1</v>
      </c>
      <c r="N98" s="52">
        <f>IF(M16=0,
IF(N16=0,0,IF(N16&gt;0,1,-1)),
(N16-M16)/ABS(M16)
)</f>
        <v>-0.70200938967136151</v>
      </c>
      <c r="O98" s="52">
        <f>IF(N16=0,
IF(O16=0,0,IF(O16&gt;0,1,-1)),
(O16-N16)/ABS(N16)
)</f>
        <v>3.7336778421981345</v>
      </c>
      <c r="P98" s="52">
        <f>IF(O16=0,
IF(P16=0,0,IF(P16&gt;0,1,-1)),
(P16-O16)/ABS(O16)
)</f>
        <v>0.82692973347178955</v>
      </c>
      <c r="Q98" s="52">
        <f>IF(P16=0,
IF(Q16=0,0,IF(Q16&gt;0,1,-1)),
(Q16-P16)/ABS(P16)
)</f>
        <v>0.22877255370624072</v>
      </c>
      <c r="R98" s="1"/>
      <c r="S98" s="1"/>
      <c r="T98" s="52">
        <f t="shared" ref="T98" si="75">IF(S16=0,
IF(T16=0,0,IF(T16&gt;0,1,-1)),
(T16-S16)/ABS(S16)
)</f>
        <v>1</v>
      </c>
      <c r="U98" s="52">
        <f t="shared" ref="U98" si="76">IF(T16=0,
IF(U16=0,0,IF(U16&gt;0,1,-1)),
(U16-T16)/ABS(T16)
)</f>
        <v>-2.9978969976285293E-2</v>
      </c>
      <c r="V98" s="52">
        <f t="shared" ref="V98" si="77">IF(U16=0,
IF(V16=0,0,IF(V16&gt;0,1,-1)),
(V16-U16)/ABS(U16)
)</f>
        <v>-3.7916878084782508E-2</v>
      </c>
      <c r="W98" s="52">
        <f t="shared" ref="W98" si="78">IF(V16=0,
IF(W16=0,0,IF(W16&gt;0,1,-1)),
(W16-V16)/ABS(V16)
)</f>
        <v>-8.0884115644627705E-2</v>
      </c>
      <c r="X98" s="52">
        <f t="shared" ref="X98" si="79">IF(W16=0,
IF(X16=0,0,IF(X16&gt;0,1,-1)),
(X16-W16)/ABS(W16)
)</f>
        <v>0.38784559207094416</v>
      </c>
      <c r="Y98" s="52">
        <f t="shared" ref="Y98" si="80">IF(X16=0,
IF(Y16=0,0,IF(Y16&gt;0,1,-1)),
(Y16-X16)/ABS(X16)
)</f>
        <v>3.386581469648562E-2</v>
      </c>
      <c r="Z98" s="52">
        <f t="shared" ref="Z98" si="81">IF(Y16=0,
IF(Z16=0,0,IF(Z16&gt;0,1,-1)),
(Z16-Y16)/ABS(Y16)
)</f>
        <v>0.10415909256162292</v>
      </c>
      <c r="AA98" s="52">
        <f t="shared" ref="AA98" si="82">IF(Z16=0,
IF(AA16=0,0,IF(AA16&gt;0,1,-1)),
(AA16-Z16)/ABS(Z16)
)</f>
        <v>-0.11530736557900628</v>
      </c>
      <c r="AB98" s="1"/>
      <c r="AC98" s="67"/>
      <c r="AD98" s="1"/>
      <c r="AE98" s="1"/>
    </row>
    <row r="99" spans="1:31" s="53" customFormat="1" x14ac:dyDescent="0.2">
      <c r="A99" s="16"/>
      <c r="B99" s="51" t="s">
        <v>31</v>
      </c>
      <c r="C99" s="47"/>
      <c r="D99" s="52"/>
      <c r="E99" s="52"/>
      <c r="F99" s="52"/>
      <c r="G99" s="52"/>
      <c r="H99" s="52"/>
      <c r="I99" s="52"/>
      <c r="J99" s="52"/>
      <c r="K99" s="52"/>
      <c r="L99" s="52"/>
      <c r="M99" s="52">
        <f>IF(L19=0,
IF(M19=0,0,IF(M19&gt;0,1,-1)),
(M19-L19)/ABS(L19)
)</f>
        <v>1</v>
      </c>
      <c r="N99" s="52">
        <f>IF(M19=0,
IF(N19=0,0,IF(N19&gt;0,1,-1)),
(N19-M19)/ABS(M19)
)</f>
        <v>-0.48951369173001191</v>
      </c>
      <c r="O99" s="52">
        <f>IF(N19=0,
IF(O19=0,0,IF(O19&gt;0,1,-1)),
(O19-N19)/ABS(N19)
)</f>
        <v>1.72918909221385</v>
      </c>
      <c r="P99" s="52">
        <f>IF(O19=0,
IF(P19=0,0,IF(P19&gt;0,1,-1)),
(P19-O19)/ABS(O19)
)</f>
        <v>0.9473459326211997</v>
      </c>
      <c r="Q99" s="52">
        <f>IF(P19=0,
IF(Q19=0,0,IF(Q19&gt;0,1,-1)),
(Q19-P19)/ABS(P19)
)</f>
        <v>9.1513637591142311E-2</v>
      </c>
      <c r="R99" s="1"/>
      <c r="S99" s="1"/>
      <c r="T99" s="52">
        <f t="shared" ref="T99" si="83">IF(S19=0,
IF(T19=0,0,IF(T19&gt;0,1,-1)),
(T19-S19)/ABS(S19)
)</f>
        <v>1</v>
      </c>
      <c r="U99" s="52">
        <f t="shared" ref="U99" si="84">IF(T19=0,
IF(U19=0,0,IF(U19&gt;0,1,-1)),
(U19-T19)/ABS(T19)
)</f>
        <v>-0.14382123575284944</v>
      </c>
      <c r="V99" s="52">
        <f t="shared" ref="V99" si="85">IF(U19=0,
IF(V19=0,0,IF(V19&gt;0,1,-1)),
(V19-U19)/ABS(U19)
)</f>
        <v>6.0547673264436268E-2</v>
      </c>
      <c r="W99" s="52">
        <f t="shared" ref="W99" si="86">IF(V19=0,
IF(W19=0,0,IF(W19&gt;0,1,-1)),
(W19-V19)/ABS(V19)
)</f>
        <v>-0.32905747632680027</v>
      </c>
      <c r="X99" s="52">
        <f t="shared" ref="X99" si="87">IF(W19=0,
IF(X19=0,0,IF(X19&gt;0,1,-1)),
(X19-W19)/ABS(W19)
)</f>
        <v>0.73890210880446372</v>
      </c>
      <c r="Y99" s="52">
        <f t="shared" ref="Y99" si="88">IF(X19=0,
IF(Y19=0,0,IF(Y19&gt;0,1,-1)),
(Y19-X19)/ABS(X19)
)</f>
        <v>-0.15406757266893167</v>
      </c>
      <c r="Z99" s="52">
        <f t="shared" ref="Z99" si="89">IF(Y19=0,
IF(Z19=0,0,IF(Z19&gt;0,1,-1)),
(Z19-Y19)/ABS(Y19)
)</f>
        <v>-0.32163775310983433</v>
      </c>
      <c r="AA99" s="52">
        <f t="shared" ref="AA99" si="90">IF(Z19=0,
IF(AA19=0,0,IF(AA19&gt;0,1,-1)),
(AA19-Z19)/ABS(Z19)
)</f>
        <v>0.70092919990132385</v>
      </c>
      <c r="AB99" s="1"/>
      <c r="AC99" s="67"/>
      <c r="AD99" s="1"/>
      <c r="AE99" s="1"/>
    </row>
    <row r="100" spans="1:31" x14ac:dyDescent="0.2">
      <c r="B100" s="1"/>
    </row>
    <row r="101" spans="1:31" s="15" customFormat="1" ht="17" thickBot="1" x14ac:dyDescent="0.25">
      <c r="A101" s="11"/>
      <c r="B101" s="14" t="s">
        <v>77</v>
      </c>
      <c r="R101" s="1"/>
      <c r="S101" s="1"/>
      <c r="AB101" s="1"/>
      <c r="AD101" s="1"/>
      <c r="AE101" s="1"/>
    </row>
    <row r="102" spans="1:31" x14ac:dyDescent="0.2">
      <c r="B102" s="20" t="s">
        <v>78</v>
      </c>
      <c r="C102" s="50"/>
      <c r="D102" s="50"/>
      <c r="E102" s="50"/>
      <c r="F102" s="50"/>
      <c r="G102" s="50"/>
      <c r="H102" s="50"/>
      <c r="I102" s="50"/>
      <c r="J102" s="50"/>
      <c r="K102" s="50"/>
      <c r="L102" s="50"/>
      <c r="M102" s="50">
        <f>M7/M5</f>
        <v>0.26045395915900066</v>
      </c>
      <c r="N102" s="50">
        <f>N7/N5</f>
        <v>0.27404213758042584</v>
      </c>
      <c r="O102" s="50">
        <f>O7/O5</f>
        <v>0.31216367859286515</v>
      </c>
      <c r="P102" s="50">
        <f>P7/P5</f>
        <v>0.33413746024431035</v>
      </c>
      <c r="Q102" s="50">
        <f>Q7/Q5</f>
        <v>0.35071499907940035</v>
      </c>
      <c r="T102" s="50">
        <f t="shared" ref="T102:Z102" si="91">T7/T5</f>
        <v>0.32449199113913268</v>
      </c>
      <c r="U102" s="50">
        <f t="shared" si="91"/>
        <v>0.34752388110517962</v>
      </c>
      <c r="V102" s="50">
        <f t="shared" si="91"/>
        <v>0.36324551883698464</v>
      </c>
      <c r="W102" s="50">
        <f t="shared" si="91"/>
        <v>0.35422297953588022</v>
      </c>
      <c r="X102" s="50">
        <f t="shared" si="91"/>
        <v>0.34023319243061867</v>
      </c>
      <c r="Y102" s="50">
        <f t="shared" si="91"/>
        <v>0.36782375398718592</v>
      </c>
      <c r="Z102" s="50">
        <f t="shared" ref="Z102:AA102" si="92">Z7/Z5</f>
        <v>0.37483923711155198</v>
      </c>
      <c r="AA102" s="50">
        <f t="shared" si="92"/>
        <v>0.38314582260428631</v>
      </c>
      <c r="AC102" s="50">
        <f>AC7/AC5</f>
        <v>0.36608586064417425</v>
      </c>
    </row>
    <row r="103" spans="1:31" x14ac:dyDescent="0.2">
      <c r="B103" s="20" t="s">
        <v>79</v>
      </c>
      <c r="C103" s="50"/>
      <c r="D103" s="50"/>
      <c r="E103" s="50"/>
      <c r="F103" s="50"/>
      <c r="G103" s="50"/>
      <c r="H103" s="50"/>
      <c r="I103" s="50"/>
      <c r="J103" s="50"/>
      <c r="K103" s="50"/>
      <c r="L103" s="50"/>
      <c r="M103" s="50">
        <f>M13/M5</f>
        <v>5.2954097509269465E-2</v>
      </c>
      <c r="N103" s="50">
        <f>N13/N5</f>
        <v>2.3829581912242232E-2</v>
      </c>
      <c r="O103" s="50">
        <f>O13/O5</f>
        <v>6.4114407996033296E-2</v>
      </c>
      <c r="P103" s="50">
        <f>P13/P5</f>
        <v>0.1075194487420038</v>
      </c>
      <c r="Q103" s="50">
        <f>Q13/Q5</f>
        <v>0.11155296795755199</v>
      </c>
      <c r="T103" s="50">
        <f t="shared" ref="T103:Z103" si="93">T13/T5</f>
        <v>0.1129068330919315</v>
      </c>
      <c r="U103" s="50">
        <f t="shared" si="93"/>
        <v>0.11823315153500742</v>
      </c>
      <c r="V103" s="50">
        <f t="shared" si="93"/>
        <v>0.11431586981669867</v>
      </c>
      <c r="W103" s="50">
        <f t="shared" si="93"/>
        <v>9.6698100117112273E-2</v>
      </c>
      <c r="X103" s="50">
        <f t="shared" si="93"/>
        <v>0.11705079058607407</v>
      </c>
      <c r="Y103" s="50">
        <f t="shared" si="93"/>
        <v>0.13140222235688825</v>
      </c>
      <c r="Z103" s="50">
        <f t="shared" ref="Z103:AA103" si="94">Z13/Z5</f>
        <v>0.1368902226254449</v>
      </c>
      <c r="AA103" s="50">
        <f t="shared" si="94"/>
        <v>0.13902864160361289</v>
      </c>
      <c r="AC103" s="50">
        <f>AC13/AC5</f>
        <v>0.13087384241117053</v>
      </c>
    </row>
    <row r="104" spans="1:31" s="56" customFormat="1" x14ac:dyDescent="0.2">
      <c r="A104" s="1"/>
      <c r="B104" s="54" t="s">
        <v>80</v>
      </c>
      <c r="C104" s="55"/>
      <c r="D104" s="55"/>
      <c r="E104" s="55"/>
      <c r="F104" s="55"/>
      <c r="G104" s="55"/>
      <c r="H104" s="55"/>
      <c r="I104" s="55"/>
      <c r="J104" s="55"/>
      <c r="K104" s="55"/>
      <c r="L104" s="55"/>
      <c r="M104" s="55">
        <f>M112/M5</f>
        <v>4.6481433393923653E-2</v>
      </c>
      <c r="N104" s="55">
        <f>N112/N5</f>
        <v>2.1689433308105521E-2</v>
      </c>
      <c r="O104" s="55">
        <f>O112/O5</f>
        <v>5.2932835755978319E-2</v>
      </c>
      <c r="P104" s="55">
        <f>P112/P5</f>
        <v>9.2871171971866534E-2</v>
      </c>
      <c r="Q104" s="55">
        <f>Q112/Q5</f>
        <v>9.0204819478773207E-2</v>
      </c>
      <c r="R104" s="1"/>
      <c r="S104" s="1"/>
      <c r="T104" s="55">
        <f t="shared" ref="T104:Z104" si="95">T112/T5</f>
        <v>0.10652210956803272</v>
      </c>
      <c r="U104" s="55">
        <f t="shared" si="95"/>
        <v>0.1100233190078822</v>
      </c>
      <c r="V104" s="55">
        <f t="shared" si="95"/>
        <v>0.10831117100571251</v>
      </c>
      <c r="W104" s="55">
        <f t="shared" si="95"/>
        <v>6.7642047189028082E-2</v>
      </c>
      <c r="X104" s="55">
        <f t="shared" si="95"/>
        <v>9.9312982107542205E-2</v>
      </c>
      <c r="Y104" s="55">
        <f t="shared" si="95"/>
        <v>9.8761011244002009E-2</v>
      </c>
      <c r="Z104" s="55">
        <f t="shared" ref="Z104:AA104" si="96">Z112/Z5</f>
        <v>6.0621317408252995E-2</v>
      </c>
      <c r="AA104" s="55">
        <f t="shared" si="96"/>
        <v>0.1024293863645367</v>
      </c>
      <c r="AB104" s="1"/>
      <c r="AC104" s="55">
        <f>AC112/AC5</f>
        <v>9.0243336614605207E-2</v>
      </c>
      <c r="AD104" s="1"/>
      <c r="AE104" s="1"/>
    </row>
    <row r="105" spans="1:31" x14ac:dyDescent="0.2">
      <c r="B105" s="1"/>
    </row>
    <row r="106" spans="1:31" s="15" customFormat="1" ht="17" thickBot="1" x14ac:dyDescent="0.25">
      <c r="A106" s="11"/>
      <c r="B106" s="14" t="s">
        <v>110</v>
      </c>
      <c r="R106" s="1"/>
      <c r="S106" s="1"/>
      <c r="AB106" s="1"/>
      <c r="AD106" s="1"/>
      <c r="AE106" s="1"/>
    </row>
    <row r="107" spans="1:31" x14ac:dyDescent="0.2">
      <c r="B107" s="20" t="s">
        <v>73</v>
      </c>
      <c r="C107" s="81">
        <f t="shared" ref="C107:Q107" si="97">IF(AND(C84&gt;=0,C13&gt;=0),C84,0)</f>
        <v>0</v>
      </c>
      <c r="D107" s="81">
        <f t="shared" si="97"/>
        <v>0</v>
      </c>
      <c r="E107" s="81">
        <f t="shared" si="97"/>
        <v>0</v>
      </c>
      <c r="F107" s="81">
        <f t="shared" si="97"/>
        <v>0</v>
      </c>
      <c r="G107" s="81">
        <f t="shared" si="97"/>
        <v>0</v>
      </c>
      <c r="H107" s="81">
        <f t="shared" si="97"/>
        <v>0</v>
      </c>
      <c r="I107" s="81">
        <f t="shared" si="97"/>
        <v>0</v>
      </c>
      <c r="J107" s="81">
        <f t="shared" si="97"/>
        <v>0</v>
      </c>
      <c r="K107" s="81">
        <f t="shared" si="97"/>
        <v>0</v>
      </c>
      <c r="L107" s="81">
        <f t="shared" si="97"/>
        <v>0</v>
      </c>
      <c r="M107" s="81">
        <f t="shared" si="97"/>
        <v>0.17994366197183098</v>
      </c>
      <c r="N107" s="81">
        <f t="shared" si="97"/>
        <v>0</v>
      </c>
      <c r="O107" s="81">
        <f t="shared" si="97"/>
        <v>0.18957850733551668</v>
      </c>
      <c r="P107" s="81">
        <f t="shared" si="97"/>
        <v>0.13503075174162707</v>
      </c>
      <c r="Q107" s="81">
        <f t="shared" si="97"/>
        <v>0.22638801579865023</v>
      </c>
      <c r="T107" s="81">
        <f t="shared" ref="T107:Z107" si="98">IF(AND(T84&gt;=0,T13&gt;=0),T84,0)</f>
        <v>0.10403150029084075</v>
      </c>
      <c r="U107" s="81">
        <f t="shared" si="98"/>
        <v>0.21001891231145348</v>
      </c>
      <c r="V107" s="81">
        <f t="shared" si="98"/>
        <v>0.1283981397132857</v>
      </c>
      <c r="W107" s="81">
        <f t="shared" si="98"/>
        <v>0.36045905059989569</v>
      </c>
      <c r="X107" s="81">
        <f t="shared" si="98"/>
        <v>0.18590490509302762</v>
      </c>
      <c r="Y107" s="81">
        <f t="shared" si="98"/>
        <v>0.34756053224750966</v>
      </c>
      <c r="Z107" s="81">
        <f t="shared" ref="Z107:AA107" si="99">IF(AND(Z84&gt;=0,Z13&gt;=0),Z84,0)</f>
        <v>0.59922294293898781</v>
      </c>
      <c r="AA107" s="81">
        <f t="shared" si="99"/>
        <v>0.23000483828947857</v>
      </c>
      <c r="AC107" s="81">
        <f>IF(AND(AC84&gt;=0,AC13&gt;=0),AC84,0)</f>
        <v>0.3492110533358479</v>
      </c>
    </row>
    <row r="108" spans="1:31" x14ac:dyDescent="0.2">
      <c r="B108" s="20" t="s">
        <v>179</v>
      </c>
      <c r="C108" s="25"/>
      <c r="D108" s="25"/>
      <c r="E108" s="25"/>
      <c r="F108" s="25"/>
      <c r="G108" s="25"/>
      <c r="H108" s="25"/>
      <c r="I108" s="25"/>
      <c r="J108" s="25"/>
      <c r="K108" s="25"/>
      <c r="L108" s="25"/>
      <c r="M108" s="25">
        <f>M30+M35</f>
        <v>96049</v>
      </c>
      <c r="N108" s="25">
        <f t="shared" ref="N108:Q108" si="100">N30+N35</f>
        <v>70026</v>
      </c>
      <c r="O108" s="25">
        <f t="shared" si="100"/>
        <v>86780</v>
      </c>
      <c r="P108" s="25">
        <f t="shared" si="100"/>
        <v>101202</v>
      </c>
      <c r="Q108" s="25">
        <f t="shared" si="100"/>
        <v>123029</v>
      </c>
      <c r="T108" s="25">
        <f t="shared" ref="T108:Z108" si="101">T30+T35</f>
        <v>101202</v>
      </c>
      <c r="U108" s="25">
        <f t="shared" si="101"/>
        <v>94565</v>
      </c>
      <c r="V108" s="25">
        <f t="shared" si="101"/>
        <v>93180</v>
      </c>
      <c r="W108" s="25">
        <f t="shared" si="101"/>
        <v>94197</v>
      </c>
      <c r="X108" s="25">
        <f t="shared" si="101"/>
        <v>123029</v>
      </c>
      <c r="Y108" s="25">
        <f t="shared" si="101"/>
        <v>143089</v>
      </c>
      <c r="Z108" s="25">
        <f t="shared" ref="Z108:AA108" si="102">Z30+Z35</f>
        <v>122988</v>
      </c>
      <c r="AA108" s="25">
        <f t="shared" si="102"/>
        <v>114226</v>
      </c>
      <c r="AC108" s="25">
        <f>AA108</f>
        <v>114226</v>
      </c>
    </row>
    <row r="109" spans="1:31" x14ac:dyDescent="0.2">
      <c r="B109" s="20" t="s">
        <v>170</v>
      </c>
      <c r="C109" s="25">
        <v>0</v>
      </c>
      <c r="D109" s="25">
        <v>0</v>
      </c>
      <c r="E109" s="25">
        <v>0</v>
      </c>
      <c r="F109" s="25">
        <v>0</v>
      </c>
      <c r="G109" s="25">
        <v>0</v>
      </c>
      <c r="H109" s="25">
        <v>0</v>
      </c>
      <c r="I109" s="25">
        <v>0</v>
      </c>
      <c r="J109" s="25">
        <v>0</v>
      </c>
      <c r="K109" s="25">
        <v>0</v>
      </c>
      <c r="L109" s="25">
        <v>0</v>
      </c>
      <c r="M109" s="25">
        <f>M40+M42</f>
        <v>48744</v>
      </c>
      <c r="N109" s="25">
        <f>N40+N42</f>
        <v>67150</v>
      </c>
      <c r="O109" s="25">
        <f>O40+O42</f>
        <v>58314</v>
      </c>
      <c r="P109" s="25">
        <f>P40+P42</f>
        <v>52623</v>
      </c>
      <c r="Q109" s="25">
        <f>Q40+Q42</f>
        <v>65648</v>
      </c>
      <c r="T109" s="25">
        <f t="shared" ref="T109:Z109" si="103">T40+T42</f>
        <v>52623</v>
      </c>
      <c r="U109" s="25">
        <f t="shared" si="103"/>
        <v>53374</v>
      </c>
      <c r="V109" s="25">
        <f t="shared" si="103"/>
        <v>50718</v>
      </c>
      <c r="W109" s="25">
        <f t="shared" si="103"/>
        <v>50742</v>
      </c>
      <c r="X109" s="25">
        <f t="shared" si="103"/>
        <v>65648</v>
      </c>
      <c r="Y109" s="25">
        <f t="shared" si="103"/>
        <v>119074</v>
      </c>
      <c r="Z109" s="25">
        <f t="shared" ref="Z109:AA109" si="104">Z40+Z42</f>
        <v>128894</v>
      </c>
      <c r="AA109" s="25">
        <f t="shared" si="104"/>
        <v>173125</v>
      </c>
      <c r="AC109" s="25">
        <f>AA109</f>
        <v>173125</v>
      </c>
    </row>
    <row r="110" spans="1:31" x14ac:dyDescent="0.2">
      <c r="B110" s="20" t="s">
        <v>163</v>
      </c>
      <c r="C110" s="25"/>
      <c r="D110" s="25"/>
      <c r="E110" s="25"/>
      <c r="F110" s="25"/>
      <c r="G110" s="25"/>
      <c r="H110" s="25"/>
      <c r="I110" s="25"/>
      <c r="J110" s="25"/>
      <c r="K110" s="25"/>
      <c r="L110" s="25"/>
      <c r="M110" s="128">
        <f>M13*(1-M107)</f>
        <v>20402.181633802818</v>
      </c>
      <c r="N110" s="128">
        <f>N13*(1-N107)</f>
        <v>12248</v>
      </c>
      <c r="O110" s="128">
        <f>O13*(1-O107)</f>
        <v>29865.652847671536</v>
      </c>
      <c r="P110" s="128">
        <f>P13*(1-P107)</f>
        <v>59330.835645786574</v>
      </c>
      <c r="Q110" s="25">
        <f>Q13*(1-Q107)</f>
        <v>61869.618436502948</v>
      </c>
      <c r="T110" s="67"/>
      <c r="U110" s="67"/>
      <c r="V110" s="67"/>
      <c r="W110" s="67"/>
      <c r="X110" s="67"/>
      <c r="Y110" s="67"/>
      <c r="Z110" s="67"/>
      <c r="AA110" s="67"/>
      <c r="AC110" s="25">
        <f>AC13*(1-AC107)</f>
        <v>67920.239207550898</v>
      </c>
    </row>
    <row r="111" spans="1:31" x14ac:dyDescent="0.2">
      <c r="B111" s="20" t="s">
        <v>300</v>
      </c>
      <c r="C111" s="25"/>
      <c r="D111" s="25"/>
      <c r="E111" s="25"/>
      <c r="F111" s="25"/>
      <c r="G111" s="25"/>
      <c r="H111" s="25"/>
      <c r="I111" s="25"/>
      <c r="J111" s="25"/>
      <c r="K111" s="25"/>
      <c r="L111" s="25"/>
      <c r="M111" s="128">
        <f>M61+M62</f>
        <v>-61053</v>
      </c>
      <c r="N111" s="128">
        <f>N61+N62</f>
        <v>-63645</v>
      </c>
      <c r="O111" s="128">
        <f>O61+O62</f>
        <v>-52729</v>
      </c>
      <c r="P111" s="128">
        <f>P61+P62</f>
        <v>-82999</v>
      </c>
      <c r="Q111" s="128">
        <f>Q61+Q62</f>
        <v>-131819</v>
      </c>
      <c r="T111" s="128">
        <f t="shared" ref="T111:Z111" si="105">T61+T62</f>
        <v>-27834</v>
      </c>
      <c r="U111" s="128">
        <f t="shared" si="105"/>
        <v>-25019</v>
      </c>
      <c r="V111" s="128">
        <f t="shared" si="105"/>
        <v>-32183</v>
      </c>
      <c r="W111" s="128">
        <f t="shared" si="105"/>
        <v>-35095</v>
      </c>
      <c r="X111" s="128">
        <f t="shared" si="105"/>
        <v>-39522</v>
      </c>
      <c r="Y111" s="128">
        <f t="shared" si="105"/>
        <v>-44203</v>
      </c>
      <c r="Z111" s="128">
        <f t="shared" ref="Z111:AA111" si="106">Z61+Z62</f>
        <v>-54208</v>
      </c>
      <c r="AA111" s="128">
        <f t="shared" si="106"/>
        <v>-77259</v>
      </c>
      <c r="AC111" s="128">
        <f>AC61+AC62</f>
        <v>-215192</v>
      </c>
    </row>
    <row r="112" spans="1:31" x14ac:dyDescent="0.2">
      <c r="B112" s="20" t="s">
        <v>328</v>
      </c>
      <c r="C112" s="25"/>
      <c r="D112" s="25"/>
      <c r="E112" s="25"/>
      <c r="F112" s="25"/>
      <c r="G112" s="25"/>
      <c r="H112" s="25"/>
      <c r="I112" s="25"/>
      <c r="J112" s="25"/>
      <c r="K112" s="25"/>
      <c r="L112" s="25"/>
      <c r="M112" s="128">
        <f>M18+M19</f>
        <v>21838</v>
      </c>
      <c r="N112" s="128">
        <f>N18+N19</f>
        <v>11148</v>
      </c>
      <c r="O112" s="128">
        <f>O18+O19</f>
        <v>30425</v>
      </c>
      <c r="P112" s="128">
        <f>P18+P19</f>
        <v>59248</v>
      </c>
      <c r="Q112" s="128">
        <f>Q18+Q19</f>
        <v>64670</v>
      </c>
      <c r="T112" s="128">
        <f t="shared" ref="T112:Z112" si="107">T18+T19</f>
        <v>20004</v>
      </c>
      <c r="U112" s="128">
        <f t="shared" si="107"/>
        <v>17127</v>
      </c>
      <c r="V112" s="128">
        <f t="shared" si="107"/>
        <v>18164</v>
      </c>
      <c r="W112" s="128">
        <f t="shared" si="107"/>
        <v>12187</v>
      </c>
      <c r="X112" s="128">
        <f t="shared" si="107"/>
        <v>21192</v>
      </c>
      <c r="Y112" s="128">
        <f t="shared" si="107"/>
        <v>17927</v>
      </c>
      <c r="Z112" s="128">
        <f t="shared" ref="Z112:AA112" si="108">Z18+Z19</f>
        <v>12161</v>
      </c>
      <c r="AA112" s="128">
        <f t="shared" si="108"/>
        <v>20685</v>
      </c>
      <c r="AC112" s="128">
        <f>AC18+AC19</f>
        <v>71965</v>
      </c>
    </row>
    <row r="113" spans="1:31" x14ac:dyDescent="0.2">
      <c r="B113" s="20" t="s">
        <v>329</v>
      </c>
      <c r="C113" s="25"/>
      <c r="D113" s="25"/>
      <c r="E113" s="25"/>
      <c r="F113" s="25"/>
      <c r="G113" s="25"/>
      <c r="H113" s="25"/>
      <c r="I113" s="25"/>
      <c r="J113" s="25"/>
      <c r="K113" s="25"/>
      <c r="L113" s="25"/>
      <c r="M113" s="128">
        <f>M50+M49</f>
        <v>138245</v>
      </c>
      <c r="N113" s="128">
        <f>N50+N49</f>
        <v>146043</v>
      </c>
      <c r="O113" s="128">
        <f>O50+O49</f>
        <v>201875</v>
      </c>
      <c r="P113" s="128">
        <f>P50+P49</f>
        <v>285970</v>
      </c>
      <c r="Q113" s="128">
        <f>Q50+Q49</f>
        <v>411065</v>
      </c>
      <c r="T113" s="128">
        <f t="shared" ref="T113:Z113" si="109">T50+T49</f>
        <v>285970</v>
      </c>
      <c r="U113" s="128">
        <f t="shared" si="109"/>
        <v>305867</v>
      </c>
      <c r="V113" s="128">
        <f t="shared" si="109"/>
        <v>333775</v>
      </c>
      <c r="W113" s="128">
        <f t="shared" si="109"/>
        <v>369631</v>
      </c>
      <c r="X113" s="128">
        <f t="shared" si="109"/>
        <v>411065</v>
      </c>
      <c r="Y113" s="128">
        <f t="shared" si="109"/>
        <v>441914</v>
      </c>
      <c r="Z113" s="128">
        <f t="shared" ref="Z113:AA113" si="110">Z50+Z49</f>
        <v>551620</v>
      </c>
      <c r="AA113" s="128">
        <f t="shared" si="110"/>
        <v>613601</v>
      </c>
      <c r="AC113" s="128">
        <f>AC50+AC49</f>
        <v>613601</v>
      </c>
    </row>
    <row r="114" spans="1:31" x14ac:dyDescent="0.2">
      <c r="C114" s="57"/>
      <c r="D114" s="57"/>
      <c r="E114" s="57"/>
      <c r="F114" s="57"/>
      <c r="G114" s="57"/>
      <c r="H114" s="57"/>
      <c r="I114" s="57"/>
      <c r="J114" s="57"/>
      <c r="K114" s="57"/>
    </row>
    <row r="115" spans="1:31" x14ac:dyDescent="0.2">
      <c r="B115" s="1"/>
    </row>
    <row r="116" spans="1:31" s="15" customFormat="1" ht="17" thickBot="1" x14ac:dyDescent="0.25">
      <c r="A116" s="11"/>
      <c r="B116" s="14" t="s">
        <v>82</v>
      </c>
      <c r="R116" s="1"/>
      <c r="S116" s="1"/>
      <c r="AB116" s="1"/>
      <c r="AD116" s="1"/>
      <c r="AE116" s="1"/>
    </row>
    <row r="117" spans="1:31" x14ac:dyDescent="0.2">
      <c r="B117" s="20" t="s">
        <v>83</v>
      </c>
      <c r="C117" s="26"/>
      <c r="D117" s="26"/>
      <c r="E117" s="26"/>
      <c r="F117" s="26"/>
      <c r="G117" s="26"/>
      <c r="H117" s="26"/>
      <c r="I117" s="26"/>
      <c r="J117" s="26"/>
      <c r="K117" s="26"/>
      <c r="L117" s="26"/>
      <c r="M117" s="26">
        <v>166.72</v>
      </c>
      <c r="N117" s="26">
        <v>83.99</v>
      </c>
      <c r="O117" s="26">
        <v>151.94</v>
      </c>
      <c r="P117" s="26">
        <v>219.39</v>
      </c>
      <c r="Q117" s="26">
        <v>230.82</v>
      </c>
      <c r="T117" s="26">
        <v>219.39</v>
      </c>
      <c r="U117" s="26">
        <v>190.26</v>
      </c>
      <c r="V117" s="26">
        <v>219.39</v>
      </c>
      <c r="W117" s="26">
        <v>219.57</v>
      </c>
      <c r="X117" s="26">
        <v>230.82</v>
      </c>
      <c r="Y117" s="26">
        <v>208.27</v>
      </c>
      <c r="Z117" s="26">
        <v>238.24</v>
      </c>
      <c r="AA117" s="26">
        <v>249.15</v>
      </c>
      <c r="AC117" s="63">
        <f ca="1">Overview!C5</f>
        <v>243.79</v>
      </c>
    </row>
    <row r="118" spans="1:31" x14ac:dyDescent="0.2">
      <c r="B118" s="20" t="s">
        <v>341</v>
      </c>
      <c r="C118" s="26"/>
      <c r="D118" s="26"/>
      <c r="E118" s="26"/>
      <c r="F118" s="26"/>
      <c r="G118" s="26"/>
      <c r="H118" s="26"/>
      <c r="I118" s="26"/>
      <c r="J118" s="26"/>
      <c r="K118" s="26"/>
      <c r="L118" s="26"/>
      <c r="M118" s="65">
        <f>M117/M86</f>
        <v>166.72</v>
      </c>
      <c r="N118" s="65">
        <f>N117/N86</f>
        <v>83.99</v>
      </c>
      <c r="O118" s="65">
        <f>O117/O86</f>
        <v>151.94</v>
      </c>
      <c r="P118" s="65">
        <f>P117/P86</f>
        <v>219.39</v>
      </c>
      <c r="Q118" s="65">
        <f>Q117/Q86</f>
        <v>230.82</v>
      </c>
      <c r="T118" s="65">
        <f t="shared" ref="T118:Z118" si="111">T117/T86</f>
        <v>219.39</v>
      </c>
      <c r="U118" s="65">
        <f t="shared" si="111"/>
        <v>190.26</v>
      </c>
      <c r="V118" s="65">
        <f t="shared" si="111"/>
        <v>219.39</v>
      </c>
      <c r="W118" s="65">
        <f t="shared" si="111"/>
        <v>219.57</v>
      </c>
      <c r="X118" s="65">
        <f t="shared" si="111"/>
        <v>230.82</v>
      </c>
      <c r="Y118" s="65">
        <f t="shared" si="111"/>
        <v>208.27</v>
      </c>
      <c r="Z118" s="65">
        <f t="shared" ref="Z118:AA118" si="112">Z117/Z86</f>
        <v>238.24</v>
      </c>
      <c r="AA118" s="65">
        <f t="shared" si="112"/>
        <v>249.15</v>
      </c>
      <c r="AC118" s="65">
        <f ca="1">AC117/AC86</f>
        <v>243.79</v>
      </c>
    </row>
    <row r="120" spans="1:31" x14ac:dyDescent="0.2">
      <c r="B120" s="1"/>
    </row>
    <row r="121" spans="1:31" ht="17" thickBot="1" x14ac:dyDescent="0.25">
      <c r="B121" s="14" t="s">
        <v>107</v>
      </c>
      <c r="C121" s="15"/>
      <c r="D121" s="15"/>
      <c r="E121" s="15"/>
      <c r="F121" s="15"/>
      <c r="G121" s="15"/>
      <c r="H121" s="15"/>
      <c r="I121" s="15"/>
      <c r="J121" s="15"/>
      <c r="K121" s="15"/>
      <c r="L121" s="15"/>
      <c r="M121" s="15"/>
      <c r="N121" s="15"/>
      <c r="O121" s="15"/>
      <c r="P121" s="15"/>
      <c r="Q121" s="15"/>
      <c r="T121" s="15"/>
      <c r="U121" s="15"/>
      <c r="V121" s="15"/>
      <c r="W121" s="15"/>
      <c r="X121" s="15"/>
      <c r="Y121" s="15"/>
      <c r="Z121" s="15"/>
      <c r="AA121" s="15"/>
      <c r="AC121" s="15"/>
    </row>
    <row r="122" spans="1:31" x14ac:dyDescent="0.2">
      <c r="B122" s="20" t="s">
        <v>101</v>
      </c>
      <c r="M122" s="74">
        <f>M112/M5</f>
        <v>4.6481433393923653E-2</v>
      </c>
      <c r="N122" s="74">
        <f>N112/N5</f>
        <v>2.1689433308105521E-2</v>
      </c>
      <c r="O122" s="74">
        <f>O112/O5</f>
        <v>5.2932835755978319E-2</v>
      </c>
      <c r="P122" s="74">
        <f>P112/P5</f>
        <v>9.2871171971866534E-2</v>
      </c>
      <c r="Q122" s="74">
        <f>Q112/Q5</f>
        <v>9.0204819478773207E-2</v>
      </c>
      <c r="T122" s="77"/>
      <c r="U122" s="77"/>
      <c r="V122" s="77"/>
      <c r="W122" s="77"/>
      <c r="X122" s="77"/>
      <c r="Y122" s="77"/>
      <c r="Z122" s="77"/>
      <c r="AA122" s="77"/>
      <c r="AC122" s="74">
        <f>AC112/AC5</f>
        <v>9.0243336614605207E-2</v>
      </c>
    </row>
    <row r="123" spans="1:31" x14ac:dyDescent="0.2">
      <c r="B123" s="20" t="s">
        <v>102</v>
      </c>
      <c r="M123" s="75">
        <f>M5/M38</f>
        <v>1.1171635172120253</v>
      </c>
      <c r="N123" s="75">
        <f>N5/N38</f>
        <v>1.1108942562273734</v>
      </c>
      <c r="O123" s="75">
        <f>O5/O38</f>
        <v>1.0889090543976174</v>
      </c>
      <c r="P123" s="75">
        <f>P5/P38</f>
        <v>1.0209075459197881</v>
      </c>
      <c r="Q123" s="75">
        <f>Q5/Q38</f>
        <v>0.87639020979362914</v>
      </c>
      <c r="T123" s="78"/>
      <c r="U123" s="78"/>
      <c r="V123" s="78"/>
      <c r="W123" s="78"/>
      <c r="X123" s="78"/>
      <c r="Y123" s="78"/>
      <c r="Z123" s="78"/>
      <c r="AA123" s="78"/>
      <c r="AC123" s="75">
        <f>AC5/AC38</f>
        <v>0.64135548781958995</v>
      </c>
    </row>
    <row r="124" spans="1:31" x14ac:dyDescent="0.2">
      <c r="B124" s="32" t="s">
        <v>103</v>
      </c>
      <c r="M124" s="76">
        <f t="shared" ref="M124:P124" si="113">M122*M123</f>
        <v>5.1927361615412233E-2</v>
      </c>
      <c r="N124" s="76">
        <f t="shared" si="113"/>
        <v>2.40946668828011E-2</v>
      </c>
      <c r="O124" s="76">
        <f t="shared" si="113"/>
        <v>5.7639044129626747E-2</v>
      </c>
      <c r="P124" s="76">
        <f t="shared" si="113"/>
        <v>9.481288026449286E-2</v>
      </c>
      <c r="Q124" s="76">
        <f>Q122*Q123</f>
        <v>7.905462066739849E-2</v>
      </c>
      <c r="T124" s="79"/>
      <c r="U124" s="79"/>
      <c r="V124" s="79"/>
      <c r="W124" s="79"/>
      <c r="X124" s="79"/>
      <c r="Y124" s="79"/>
      <c r="Z124" s="79"/>
      <c r="AA124" s="79"/>
      <c r="AC124" s="76">
        <f>AC122*AC123</f>
        <v>5.7878059176927586E-2</v>
      </c>
    </row>
    <row r="125" spans="1:31" x14ac:dyDescent="0.2">
      <c r="B125" s="20" t="s">
        <v>104</v>
      </c>
      <c r="M125" s="75">
        <f>M38/M50</f>
        <v>3.0420557705522802</v>
      </c>
      <c r="N125" s="75">
        <f>N38/N50</f>
        <v>3.1680737864875415</v>
      </c>
      <c r="O125" s="75">
        <f>O38/O50</f>
        <v>2.6147566563467493</v>
      </c>
      <c r="P125" s="75">
        <f>P38/P50</f>
        <v>2.1851732699234185</v>
      </c>
      <c r="Q125" s="75">
        <f>Q38/Q50</f>
        <v>1.9900551007748166</v>
      </c>
      <c r="T125" s="80"/>
      <c r="U125" s="80"/>
      <c r="V125" s="80"/>
      <c r="W125" s="80"/>
      <c r="X125" s="80"/>
      <c r="Y125" s="80"/>
      <c r="Z125" s="80"/>
      <c r="AA125" s="80"/>
      <c r="AC125" s="75">
        <f>AC38/AC50</f>
        <v>2.0263819648273063</v>
      </c>
    </row>
    <row r="126" spans="1:31" x14ac:dyDescent="0.2">
      <c r="B126" s="32" t="s">
        <v>105</v>
      </c>
      <c r="M126" s="76">
        <f t="shared" ref="M126:P126" si="114">M124*M125</f>
        <v>0.15796593005171974</v>
      </c>
      <c r="N126" s="76">
        <f t="shared" si="114"/>
        <v>7.6333682545551645E-2</v>
      </c>
      <c r="O126" s="76">
        <f t="shared" si="114"/>
        <v>0.15071207430340555</v>
      </c>
      <c r="P126" s="76">
        <f t="shared" si="114"/>
        <v>0.20718257159841941</v>
      </c>
      <c r="Q126" s="76">
        <f>Q124*Q125</f>
        <v>0.1573230510989746</v>
      </c>
      <c r="T126" s="79"/>
      <c r="U126" s="79"/>
      <c r="V126" s="79"/>
      <c r="W126" s="79"/>
      <c r="X126" s="79"/>
      <c r="Y126" s="79"/>
      <c r="Z126" s="79"/>
      <c r="AA126" s="79"/>
      <c r="AC126" s="76">
        <f>AC124*AC125</f>
        <v>0.11728305527533363</v>
      </c>
    </row>
    <row r="128" spans="1:31" x14ac:dyDescent="0.2">
      <c r="B128" s="1"/>
    </row>
    <row r="129" spans="2:29" ht="17" thickBot="1" x14ac:dyDescent="0.25">
      <c r="B129" s="14" t="s">
        <v>229</v>
      </c>
      <c r="C129" s="169"/>
      <c r="D129" s="169"/>
      <c r="E129" s="169"/>
      <c r="F129" s="169"/>
      <c r="G129" s="169"/>
      <c r="H129" s="169"/>
      <c r="I129" s="169"/>
      <c r="J129" s="169"/>
      <c r="K129" s="169"/>
      <c r="L129" s="169"/>
      <c r="M129" s="169"/>
      <c r="N129" s="169"/>
      <c r="O129" s="169"/>
      <c r="P129" s="169"/>
      <c r="Q129" s="169"/>
      <c r="T129" s="169"/>
      <c r="U129" s="169"/>
      <c r="V129" s="169"/>
      <c r="W129" s="169"/>
      <c r="X129" s="169"/>
      <c r="Y129" s="169"/>
      <c r="Z129" s="169"/>
      <c r="AA129" s="169"/>
      <c r="AC129" s="169"/>
    </row>
    <row r="130" spans="2:29" x14ac:dyDescent="0.2">
      <c r="B130" s="20" t="s">
        <v>230</v>
      </c>
      <c r="C130" s="49"/>
      <c r="D130" s="49"/>
      <c r="E130" s="49"/>
      <c r="F130" s="49"/>
      <c r="G130" s="49"/>
      <c r="H130" s="49"/>
      <c r="I130" s="49"/>
      <c r="J130" s="49"/>
      <c r="K130" s="49"/>
      <c r="L130" s="49"/>
      <c r="M130" s="49"/>
      <c r="N130" s="49"/>
      <c r="O130" s="49"/>
      <c r="P130" s="49"/>
      <c r="Q130" s="49"/>
      <c r="T130" s="21">
        <v>151000</v>
      </c>
      <c r="U130" s="21">
        <v>159000</v>
      </c>
      <c r="V130" s="21">
        <v>174000</v>
      </c>
      <c r="W130" s="21">
        <v>206000</v>
      </c>
      <c r="X130" s="21">
        <v>173500</v>
      </c>
      <c r="Y130" s="21">
        <v>194000</v>
      </c>
      <c r="Z130" s="21">
        <v>197000</v>
      </c>
      <c r="AA130" s="21">
        <v>240000</v>
      </c>
      <c r="AC130" s="49"/>
    </row>
    <row r="131" spans="2:29" x14ac:dyDescent="0.2">
      <c r="B131" s="20" t="s">
        <v>231</v>
      </c>
      <c r="C131" s="49"/>
      <c r="D131" s="49"/>
      <c r="E131" s="49"/>
      <c r="F131" s="49"/>
      <c r="G131" s="49"/>
      <c r="H131" s="49"/>
      <c r="I131" s="49"/>
      <c r="J131" s="49"/>
      <c r="K131" s="49"/>
      <c r="L131" s="49"/>
      <c r="M131" s="49"/>
      <c r="N131" s="49"/>
      <c r="O131" s="49"/>
      <c r="P131" s="49"/>
      <c r="Q131" s="49"/>
      <c r="T131" s="21">
        <v>155500</v>
      </c>
      <c r="U131" s="21">
        <v>164000</v>
      </c>
      <c r="V131" s="21">
        <v>179500</v>
      </c>
      <c r="W131" s="21">
        <v>213000</v>
      </c>
      <c r="X131" s="21">
        <v>178500</v>
      </c>
      <c r="Y131" s="21">
        <v>199000</v>
      </c>
      <c r="Z131" s="21">
        <v>202000</v>
      </c>
      <c r="AA131" s="21">
        <v>247000</v>
      </c>
      <c r="AC131" s="49"/>
    </row>
    <row r="132" spans="2:29" x14ac:dyDescent="0.2">
      <c r="B132" s="20" t="s">
        <v>232</v>
      </c>
      <c r="C132" s="49"/>
      <c r="D132" s="49"/>
      <c r="E132" s="49"/>
      <c r="F132" s="49"/>
      <c r="G132" s="49"/>
      <c r="H132" s="49"/>
      <c r="I132" s="49"/>
      <c r="J132" s="49"/>
      <c r="K132" s="49"/>
      <c r="L132" s="49"/>
      <c r="M132" s="49"/>
      <c r="N132" s="49"/>
      <c r="O132" s="49"/>
      <c r="P132" s="49"/>
      <c r="Q132" s="49"/>
      <c r="T132" s="25">
        <f t="shared" ref="T132" si="115">U5</f>
        <v>155667</v>
      </c>
      <c r="U132" s="25">
        <f t="shared" ref="U132" si="116">V5</f>
        <v>167702</v>
      </c>
      <c r="V132" s="25">
        <f t="shared" ref="V132" si="117">W5</f>
        <v>180169</v>
      </c>
      <c r="W132" s="25">
        <f t="shared" ref="W132" si="118">X5</f>
        <v>213386</v>
      </c>
      <c r="X132" s="25">
        <f t="shared" ref="X132" si="119">Y5</f>
        <v>181519</v>
      </c>
      <c r="Y132" s="25">
        <f t="shared" ref="Y132" si="120">Z5</f>
        <v>200606</v>
      </c>
      <c r="Z132" s="25">
        <f t="shared" ref="Z132" si="121">AA5</f>
        <v>201944</v>
      </c>
      <c r="AA132" s="25">
        <f t="shared" ref="AA132" si="122">AB5</f>
        <v>0</v>
      </c>
      <c r="AC132" s="49"/>
    </row>
    <row r="133" spans="2:29" x14ac:dyDescent="0.2">
      <c r="B133" s="20" t="s">
        <v>187</v>
      </c>
      <c r="C133" s="49"/>
      <c r="D133" s="49"/>
      <c r="E133" s="49"/>
      <c r="F133" s="49"/>
      <c r="G133" s="49"/>
      <c r="H133" s="49"/>
      <c r="I133" s="49"/>
      <c r="J133" s="49"/>
      <c r="K133" s="49"/>
      <c r="L133" s="49"/>
      <c r="M133" s="49"/>
      <c r="N133" s="49"/>
      <c r="O133" s="49"/>
      <c r="P133" s="49"/>
      <c r="Q133" s="49"/>
      <c r="T133" s="223" t="str">
        <f t="shared" ref="T133:Y133" si="123">IF(T132&gt;T131, "BEAT", IF(T132&lt;T130, "MISSED", "MET"))</f>
        <v>BEAT</v>
      </c>
      <c r="U133" s="223" t="str">
        <f t="shared" si="123"/>
        <v>BEAT</v>
      </c>
      <c r="V133" s="223" t="str">
        <f t="shared" si="123"/>
        <v>BEAT</v>
      </c>
      <c r="W133" s="223" t="str">
        <f t="shared" si="123"/>
        <v>BEAT</v>
      </c>
      <c r="X133" s="223" t="str">
        <f t="shared" si="123"/>
        <v>BEAT</v>
      </c>
      <c r="Y133" s="223" t="str">
        <f>IF(Y132&gt;Y131, "BEAT", IF(Y132&lt;Y130, "MISSED", "MET"))</f>
        <v>BEAT</v>
      </c>
      <c r="Z133" s="223" t="str">
        <f>IF(Z132&gt;Z131, "BEAT", IF(Z132&lt;Z130, "MISSED", "MET"))</f>
        <v>MET</v>
      </c>
      <c r="AA133" s="223" t="str">
        <f>IF(AA132&gt;AA131, "BEAT", IF(AA132&lt;AA130, "MISSED", "MET"))</f>
        <v>MISSED</v>
      </c>
      <c r="AC133" s="49"/>
    </row>
    <row r="134" spans="2:29" x14ac:dyDescent="0.2">
      <c r="B134" s="20" t="s">
        <v>423</v>
      </c>
      <c r="C134" s="49"/>
      <c r="D134" s="49"/>
      <c r="E134" s="49"/>
      <c r="F134" s="49"/>
      <c r="G134" s="49"/>
      <c r="H134" s="49"/>
      <c r="I134" s="49"/>
      <c r="J134" s="49"/>
      <c r="K134" s="49"/>
      <c r="L134" s="49"/>
      <c r="M134" s="49"/>
      <c r="N134" s="49"/>
      <c r="O134" s="49"/>
      <c r="P134" s="49"/>
      <c r="Q134" s="49"/>
      <c r="T134" s="21">
        <v>14000</v>
      </c>
      <c r="U134" s="21">
        <v>13000</v>
      </c>
      <c r="V134" s="21">
        <v>15500</v>
      </c>
      <c r="W134" s="21">
        <v>21000</v>
      </c>
      <c r="X134" s="21">
        <v>16500</v>
      </c>
      <c r="Y134" s="21">
        <v>20000</v>
      </c>
      <c r="Z134" s="21">
        <v>22500</v>
      </c>
      <c r="AA134" s="21">
        <v>28500</v>
      </c>
      <c r="AC134" s="49"/>
    </row>
    <row r="135" spans="2:29" x14ac:dyDescent="0.2">
      <c r="B135" s="20" t="s">
        <v>424</v>
      </c>
      <c r="C135" s="49"/>
      <c r="D135" s="49"/>
      <c r="E135" s="49"/>
      <c r="F135" s="49"/>
      <c r="G135" s="49"/>
      <c r="H135" s="49"/>
      <c r="I135" s="49"/>
      <c r="J135" s="49"/>
      <c r="K135" s="49"/>
      <c r="L135" s="49"/>
      <c r="M135" s="49"/>
      <c r="N135" s="49"/>
      <c r="O135" s="49"/>
      <c r="P135" s="49"/>
      <c r="Q135" s="49"/>
      <c r="T135" s="21">
        <v>18000</v>
      </c>
      <c r="U135" s="21">
        <v>17500</v>
      </c>
      <c r="V135" s="21">
        <v>20500</v>
      </c>
      <c r="W135" s="21">
        <v>26000</v>
      </c>
      <c r="X135" s="21">
        <v>21500</v>
      </c>
      <c r="Y135" s="21">
        <v>24000</v>
      </c>
      <c r="Z135" s="21">
        <v>26500</v>
      </c>
      <c r="AA135" s="21">
        <v>33500</v>
      </c>
      <c r="AC135" s="49"/>
    </row>
    <row r="136" spans="2:29" x14ac:dyDescent="0.2">
      <c r="B136" s="20" t="s">
        <v>425</v>
      </c>
      <c r="C136" s="49"/>
      <c r="D136" s="49"/>
      <c r="E136" s="49"/>
      <c r="F136" s="49"/>
      <c r="G136" s="49"/>
      <c r="H136" s="49"/>
      <c r="I136" s="49"/>
      <c r="J136" s="49"/>
      <c r="K136" s="49"/>
      <c r="L136" s="49"/>
      <c r="M136" s="49"/>
      <c r="N136" s="49"/>
      <c r="O136" s="49"/>
      <c r="P136" s="49"/>
      <c r="Q136" s="49"/>
      <c r="T136" s="25">
        <f t="shared" ref="T136" si="124">U13</f>
        <v>18405</v>
      </c>
      <c r="U136" s="25">
        <f t="shared" ref="U136" si="125">V13</f>
        <v>19171</v>
      </c>
      <c r="V136" s="25">
        <f t="shared" ref="V136" si="126">W13</f>
        <v>17422</v>
      </c>
      <c r="W136" s="25">
        <f t="shared" ref="W136" si="127">X13</f>
        <v>24977</v>
      </c>
      <c r="X136" s="25">
        <f t="shared" ref="X136" si="128">Y13</f>
        <v>23852</v>
      </c>
      <c r="Y136" s="25">
        <f t="shared" ref="Y136" si="129">Z13</f>
        <v>27461</v>
      </c>
      <c r="Z136" s="25">
        <f t="shared" ref="Z136" si="130">AA13</f>
        <v>28076</v>
      </c>
      <c r="AA136" s="25">
        <f t="shared" ref="U136:AA136" si="131">AB13</f>
        <v>0</v>
      </c>
      <c r="AC136" s="49"/>
    </row>
    <row r="137" spans="2:29" x14ac:dyDescent="0.2">
      <c r="B137" s="23" t="s">
        <v>187</v>
      </c>
      <c r="C137" s="49"/>
      <c r="D137" s="49"/>
      <c r="E137" s="49"/>
      <c r="F137" s="49"/>
      <c r="G137" s="49"/>
      <c r="H137" s="49"/>
      <c r="I137" s="49"/>
      <c r="J137" s="49"/>
      <c r="K137" s="49"/>
      <c r="L137" s="49"/>
      <c r="M137" s="49"/>
      <c r="N137" s="49"/>
      <c r="O137" s="49"/>
      <c r="P137" s="49"/>
      <c r="Q137" s="49"/>
      <c r="T137" s="223" t="str">
        <f t="shared" ref="T137:Y137" si="132">IF(T136&gt;T135, "BEAT", IF(T136&lt;T134, "MISSED", "MET"))</f>
        <v>BEAT</v>
      </c>
      <c r="U137" s="223" t="str">
        <f t="shared" si="132"/>
        <v>BEAT</v>
      </c>
      <c r="V137" s="223" t="str">
        <f t="shared" si="132"/>
        <v>MET</v>
      </c>
      <c r="W137" s="223" t="str">
        <f t="shared" si="132"/>
        <v>MET</v>
      </c>
      <c r="X137" s="223" t="str">
        <f t="shared" si="132"/>
        <v>BEAT</v>
      </c>
      <c r="Y137" s="223" t="str">
        <f>IF(Y136&gt;Y135, "BEAT", IF(Y136&lt;Y134, "MISSED", "MET"))</f>
        <v>BEAT</v>
      </c>
      <c r="Z137" s="223" t="str">
        <f>IF(Z136&gt;Z135, "BEAT", IF(Z136&lt;Z134, "MISSED", "MET"))</f>
        <v>BEAT</v>
      </c>
      <c r="AA137" s="223" t="str">
        <f>IF(AA136&gt;AA135, "BEAT", IF(AA136&lt;AA134, "MISSED", "MET"))</f>
        <v>MISSED</v>
      </c>
      <c r="AC137" s="49"/>
    </row>
    <row r="139" spans="2:29" x14ac:dyDescent="0.2">
      <c r="B139" s="1"/>
    </row>
    <row r="140" spans="2:29" ht="17" thickBot="1" x14ac:dyDescent="0.25">
      <c r="B140" s="14" t="s">
        <v>249</v>
      </c>
      <c r="C140" s="169"/>
      <c r="D140" s="169"/>
      <c r="E140" s="169"/>
      <c r="F140" s="169"/>
      <c r="G140" s="169"/>
      <c r="H140" s="169"/>
      <c r="I140" s="169"/>
      <c r="J140" s="169"/>
      <c r="K140" s="169"/>
      <c r="L140" s="169"/>
      <c r="M140" s="169"/>
      <c r="N140" s="169"/>
      <c r="O140" s="169"/>
      <c r="P140" s="169"/>
      <c r="Q140" s="169"/>
      <c r="T140" s="169"/>
      <c r="U140" s="169"/>
      <c r="V140" s="169"/>
      <c r="W140" s="169"/>
      <c r="X140" s="169"/>
      <c r="Y140" s="169"/>
      <c r="Z140" s="169"/>
      <c r="AA140" s="169"/>
      <c r="AC140" s="169"/>
    </row>
    <row r="141" spans="2:29" x14ac:dyDescent="0.2">
      <c r="B141" s="20" t="s">
        <v>106</v>
      </c>
      <c r="C141" s="81"/>
      <c r="D141" s="81"/>
      <c r="E141" s="81"/>
      <c r="F141" s="81"/>
      <c r="G141" s="81"/>
      <c r="H141" s="81"/>
      <c r="I141" s="81"/>
      <c r="J141" s="81"/>
      <c r="K141" s="81"/>
      <c r="L141" s="81"/>
      <c r="M141" s="81">
        <f>M110/(M109+M113-M108)</f>
        <v>0.22434771974711698</v>
      </c>
      <c r="N141" s="81">
        <f>N110/(N109+N113-N108)</f>
        <v>8.5550441093268703E-2</v>
      </c>
      <c r="O141" s="81">
        <f>O110/(O109+O113-O108)</f>
        <v>0.17222665979085017</v>
      </c>
      <c r="P141" s="81">
        <f>P110/(P109+P113-P108)</f>
        <v>0.24992874896599523</v>
      </c>
      <c r="Q141" s="81">
        <f>Q110/(Q109+Q113-Q108)</f>
        <v>0.17492908482290109</v>
      </c>
      <c r="T141" s="49"/>
      <c r="U141" s="49"/>
      <c r="V141" s="49"/>
      <c r="W141" s="49"/>
      <c r="X141" s="49"/>
      <c r="Y141" s="49"/>
      <c r="Z141" s="49"/>
      <c r="AA141" s="49"/>
      <c r="AC141" s="81">
        <f>AC110/(AC109+AC113-AC108)</f>
        <v>0.10099663822684149</v>
      </c>
    </row>
    <row r="142" spans="2:29" x14ac:dyDescent="0.2">
      <c r="B142" s="20" t="s">
        <v>140</v>
      </c>
      <c r="M142" s="120">
        <f t="shared" ref="M142:Q143" si="133">M31/M5*365</f>
        <v>25.552688039299991</v>
      </c>
      <c r="N142" s="120">
        <f t="shared" si="133"/>
        <v>30.081539661817608</v>
      </c>
      <c r="O142" s="120">
        <f t="shared" si="133"/>
        <v>33.181702723627097</v>
      </c>
      <c r="P142" s="120">
        <f t="shared" si="133"/>
        <v>31.725573273517579</v>
      </c>
      <c r="Q142" s="120">
        <f t="shared" si="133"/>
        <v>34.482155709670764</v>
      </c>
      <c r="T142" s="120">
        <f t="shared" ref="T142:Z142" si="134">T31/T5*90</f>
        <v>26.575093720712278</v>
      </c>
      <c r="U142" s="120">
        <f t="shared" si="134"/>
        <v>31.345371851452136</v>
      </c>
      <c r="V142" s="120">
        <f t="shared" si="134"/>
        <v>30.812691560029101</v>
      </c>
      <c r="W142" s="120">
        <f t="shared" si="134"/>
        <v>30.558808674078229</v>
      </c>
      <c r="X142" s="120">
        <f t="shared" si="134"/>
        <v>28.566119614220241</v>
      </c>
      <c r="Y142" s="120">
        <f t="shared" si="134"/>
        <v>37.449963915623158</v>
      </c>
      <c r="Z142" s="120">
        <f t="shared" ref="Z142:AA142" si="135">Z31/Z5*90</f>
        <v>39.521649402310999</v>
      </c>
      <c r="AA142" s="120">
        <f t="shared" si="135"/>
        <v>43.78332607059383</v>
      </c>
      <c r="AC142" s="120">
        <f>AC31/AC5*365</f>
        <v>44.965960461718844</v>
      </c>
    </row>
    <row r="143" spans="2:29" x14ac:dyDescent="0.2">
      <c r="B143" s="20" t="s">
        <v>141</v>
      </c>
      <c r="M143" s="120">
        <f t="shared" si="133"/>
        <v>34.288181203321294</v>
      </c>
      <c r="N143" s="120">
        <f t="shared" si="133"/>
        <v>33.655361402192263</v>
      </c>
      <c r="O143" s="120">
        <f t="shared" si="133"/>
        <v>30.759640629505409</v>
      </c>
      <c r="P143" s="120">
        <f t="shared" si="133"/>
        <v>29.398106842626877</v>
      </c>
      <c r="Q143" s="120">
        <f t="shared" si="133"/>
        <v>30.051526569965283</v>
      </c>
      <c r="T143" s="120">
        <f t="shared" ref="T143:Z143" si="136">T32/T6*365</f>
        <v>98.44397146348193</v>
      </c>
      <c r="U143" s="120">
        <f t="shared" si="136"/>
        <v>128.88145004873536</v>
      </c>
      <c r="V143" s="120">
        <f t="shared" si="136"/>
        <v>139.54324109191367</v>
      </c>
      <c r="W143" s="120">
        <f t="shared" si="136"/>
        <v>130.1713809315078</v>
      </c>
      <c r="X143" s="120">
        <f t="shared" si="136"/>
        <v>99.361615228895118</v>
      </c>
      <c r="Y143" s="120">
        <f t="shared" si="136"/>
        <v>116.20634063022867</v>
      </c>
      <c r="Z143" s="120">
        <f t="shared" ref="Z143:AA143" si="137">Z32/Z6*365</f>
        <v>111.13187838387383</v>
      </c>
      <c r="AA143" s="120">
        <f t="shared" si="137"/>
        <v>124.91514810949667</v>
      </c>
      <c r="AC143" s="120">
        <f>AC32/AC6*365</f>
        <v>30.781653670096812</v>
      </c>
    </row>
    <row r="144" spans="2:29" x14ac:dyDescent="0.2">
      <c r="B144" s="20" t="s">
        <v>142</v>
      </c>
      <c r="M144" s="120">
        <f>M39/M6*365</f>
        <v>82.636197493200555</v>
      </c>
      <c r="N144" s="120">
        <f>N39/N6*365</f>
        <v>77.865623241229599</v>
      </c>
      <c r="O144" s="120">
        <f>O39/O6*365</f>
        <v>78.455640204574081</v>
      </c>
      <c r="P144" s="120">
        <f>P39/P6*365</f>
        <v>81.080655754685225</v>
      </c>
      <c r="Q144" s="120">
        <f>Q39/Q6*365</f>
        <v>95.59169087065618</v>
      </c>
      <c r="T144" s="120">
        <f t="shared" ref="T144:Z144" si="138">T39/T6*90</f>
        <v>66.947853848882588</v>
      </c>
      <c r="U144" s="120">
        <f t="shared" si="138"/>
        <v>79.076194508166864</v>
      </c>
      <c r="V144" s="120">
        <f t="shared" si="138"/>
        <v>82.836072482090174</v>
      </c>
      <c r="W144" s="120">
        <f t="shared" si="138"/>
        <v>82.019441507877161</v>
      </c>
      <c r="X144" s="120">
        <f t="shared" si="138"/>
        <v>77.933089462655829</v>
      </c>
      <c r="Y144" s="120">
        <f t="shared" si="138"/>
        <v>97.84064765755717</v>
      </c>
      <c r="Z144" s="120">
        <f t="shared" ref="Z144:AA144" si="139">Z39/Z6*90</f>
        <v>105.80890033569622</v>
      </c>
      <c r="AA144" s="120">
        <f t="shared" si="139"/>
        <v>114.66926226218192</v>
      </c>
      <c r="AC144" s="120">
        <f>AC39/AC6*365</f>
        <v>114.59725469716213</v>
      </c>
    </row>
    <row r="145" spans="2:29" x14ac:dyDescent="0.2">
      <c r="B145" s="20" t="s">
        <v>143</v>
      </c>
      <c r="M145" s="120">
        <f>M142+M143-M144</f>
        <v>-22.795328250579274</v>
      </c>
      <c r="N145" s="120">
        <f t="shared" ref="N145:Q145" si="140">N142+N143-N144</f>
        <v>-14.128722177219728</v>
      </c>
      <c r="O145" s="120">
        <f t="shared" si="140"/>
        <v>-14.514296851441571</v>
      </c>
      <c r="P145" s="120">
        <f t="shared" si="140"/>
        <v>-19.956975638540769</v>
      </c>
      <c r="Q145" s="120">
        <f t="shared" si="140"/>
        <v>-31.058008591020126</v>
      </c>
      <c r="T145" s="120">
        <f t="shared" ref="T145:U145" si="141">T142+T143-T144</f>
        <v>58.071211335311617</v>
      </c>
      <c r="U145" s="120">
        <f t="shared" ref="U145:V145" si="142">U142+U143-U144</f>
        <v>81.150627392020638</v>
      </c>
      <c r="V145" s="120">
        <f t="shared" ref="V145:Y145" si="143">V142+V143-V144</f>
        <v>87.519860169852592</v>
      </c>
      <c r="W145" s="120">
        <f t="shared" si="143"/>
        <v>78.710748097708858</v>
      </c>
      <c r="X145" s="120">
        <f t="shared" si="143"/>
        <v>49.994645380459531</v>
      </c>
      <c r="Y145" s="120">
        <f t="shared" si="143"/>
        <v>55.81565688829464</v>
      </c>
      <c r="Z145" s="120">
        <f t="shared" ref="Z145:AA145" si="144">Z142+Z143-Z144</f>
        <v>44.844627450488616</v>
      </c>
      <c r="AA145" s="120">
        <f t="shared" si="144"/>
        <v>54.029211917908583</v>
      </c>
      <c r="AC145" s="120">
        <f t="shared" ref="AC145" si="145">AC142+AC143-AC144</f>
        <v>-38.849640565346476</v>
      </c>
    </row>
    <row r="146" spans="2:29" x14ac:dyDescent="0.2">
      <c r="B146" s="20" t="s">
        <v>252</v>
      </c>
      <c r="M146" s="120">
        <f>M109/M50</f>
        <v>0.35259141379435061</v>
      </c>
      <c r="N146" s="120">
        <f>N109/N50</f>
        <v>0.45979608745369516</v>
      </c>
      <c r="O146" s="120">
        <f>O109/O50</f>
        <v>0.28886191950464396</v>
      </c>
      <c r="P146" s="120">
        <f>P109/P50</f>
        <v>0.18401580585376087</v>
      </c>
      <c r="Q146" s="120">
        <f>Q109/Q50</f>
        <v>0.15970223687251409</v>
      </c>
      <c r="T146" s="120">
        <f t="shared" ref="T146:Z146" si="146">T109/T50</f>
        <v>0.18401580585376087</v>
      </c>
      <c r="U146" s="120">
        <f t="shared" si="146"/>
        <v>0.17450068166882993</v>
      </c>
      <c r="V146" s="120">
        <f t="shared" si="146"/>
        <v>0.15195266272189348</v>
      </c>
      <c r="W146" s="120">
        <f t="shared" si="146"/>
        <v>0.13727744696738098</v>
      </c>
      <c r="X146" s="120">
        <f t="shared" si="146"/>
        <v>0.15970223687251409</v>
      </c>
      <c r="Y146" s="120">
        <f t="shared" si="146"/>
        <v>0.26945061708839274</v>
      </c>
      <c r="Z146" s="120">
        <f t="shared" ref="Z146:AA146" si="147">Z109/Z50</f>
        <v>0.23366447917044342</v>
      </c>
      <c r="AA146" s="120">
        <f t="shared" si="147"/>
        <v>0.28214588959274839</v>
      </c>
      <c r="AC146" s="120">
        <f>AC109/AC50</f>
        <v>0.28214588959274839</v>
      </c>
    </row>
    <row r="147" spans="2:29" x14ac:dyDescent="0.2">
      <c r="B147" s="20" t="s">
        <v>256</v>
      </c>
      <c r="M147" s="177">
        <f>(M109-M108)/M50</f>
        <v>-0.34218235740894787</v>
      </c>
      <c r="N147" s="177">
        <f>(N109-N108)/N50</f>
        <v>-1.9692830193847016E-2</v>
      </c>
      <c r="O147" s="177">
        <f>(O109-O108)/O50</f>
        <v>-0.14100804953560372</v>
      </c>
      <c r="P147" s="177">
        <f>(P109-P108)/P50</f>
        <v>-0.16987446235619122</v>
      </c>
      <c r="Q147" s="177">
        <f>(Q109-Q108)/Q50</f>
        <v>-0.13959106224076484</v>
      </c>
      <c r="T147" s="177">
        <f t="shared" ref="T147:Z147" si="148">(T109-T108)/T50</f>
        <v>-0.16987446235619122</v>
      </c>
      <c r="U147" s="177">
        <f t="shared" si="148"/>
        <v>-0.13466964399559286</v>
      </c>
      <c r="V147" s="177">
        <f t="shared" si="148"/>
        <v>-0.12721743689611265</v>
      </c>
      <c r="W147" s="177">
        <f t="shared" si="148"/>
        <v>-0.1175631913989898</v>
      </c>
      <c r="X147" s="177">
        <f t="shared" si="148"/>
        <v>-0.13959106224076484</v>
      </c>
      <c r="Y147" s="177">
        <f t="shared" si="148"/>
        <v>-5.4343152740125904E-2</v>
      </c>
      <c r="Z147" s="177">
        <f t="shared" ref="Z147:AA147" si="149">(Z109-Z108)/Z50</f>
        <v>1.0706645879409738E-2</v>
      </c>
      <c r="AA147" s="177">
        <f t="shared" si="149"/>
        <v>9.5989087371109241E-2</v>
      </c>
      <c r="AC147" s="177">
        <f>(AC109-AC108)/AC50</f>
        <v>9.5989087371109241E-2</v>
      </c>
    </row>
    <row r="148" spans="2:29" x14ac:dyDescent="0.2">
      <c r="B148" s="20" t="s">
        <v>253</v>
      </c>
      <c r="M148" s="120">
        <f>(M108+M31)/M41</f>
        <v>0.90633039517523517</v>
      </c>
      <c r="N148" s="120">
        <f>(N108+N31)/N41</f>
        <v>0.72323721145740161</v>
      </c>
      <c r="O148" s="120">
        <f>(O108+O31)/O41</f>
        <v>0.84304832127676343</v>
      </c>
      <c r="P148" s="120">
        <f>(P108+P31)/P41</f>
        <v>0.87305426598525337</v>
      </c>
      <c r="Q148" s="120">
        <f>(Q108+Q31)/Q41</f>
        <v>0.8750166280589895</v>
      </c>
      <c r="T148" s="120">
        <f t="shared" ref="T148:Z148" si="150">(T108+T31)/T41</f>
        <v>0.87305426598525337</v>
      </c>
      <c r="U148" s="120">
        <f t="shared" si="150"/>
        <v>0.84452605706955175</v>
      </c>
      <c r="V148" s="120">
        <f t="shared" si="150"/>
        <v>0.80566121516576517</v>
      </c>
      <c r="W148" s="120">
        <f t="shared" si="150"/>
        <v>0.79597942580790593</v>
      </c>
      <c r="X148" s="120">
        <f t="shared" si="150"/>
        <v>0.8750166280589895</v>
      </c>
      <c r="Y148" s="120">
        <f t="shared" si="150"/>
        <v>1.0086041447526251</v>
      </c>
      <c r="Z148" s="120">
        <f t="shared" ref="Z148:AA148" si="151">(Z108+Z31)/Z41</f>
        <v>0.87485597287730965</v>
      </c>
      <c r="AA148" s="120">
        <f t="shared" si="151"/>
        <v>0.82357683869417242</v>
      </c>
      <c r="AC148" s="120">
        <f>(AC108+AC31)/AC41</f>
        <v>0.82357683869417242</v>
      </c>
    </row>
    <row r="149" spans="2:29" x14ac:dyDescent="0.2">
      <c r="B149" s="20" t="s">
        <v>254</v>
      </c>
      <c r="M149" s="120">
        <f>M33/M41</f>
        <v>1.1357597739445826</v>
      </c>
      <c r="N149" s="120">
        <f>N33/N41</f>
        <v>0.9446435811136924</v>
      </c>
      <c r="O149" s="120">
        <f>O33/O41</f>
        <v>1.0450772206625152</v>
      </c>
      <c r="P149" s="120">
        <f>P33/P41</f>
        <v>1.0637348061371781</v>
      </c>
      <c r="Q149" s="120">
        <f>Q33/Q41</f>
        <v>1.0508153482718285</v>
      </c>
      <c r="T149" s="120">
        <f t="shared" ref="T149:Z149" si="152">T33/T41</f>
        <v>1.0637348061371781</v>
      </c>
      <c r="U149" s="120">
        <f t="shared" si="152"/>
        <v>1.0481009927854188</v>
      </c>
      <c r="V149" s="120">
        <f t="shared" si="152"/>
        <v>1.0240689917130767</v>
      </c>
      <c r="W149" s="120">
        <f t="shared" si="152"/>
        <v>1.0085555031865407</v>
      </c>
      <c r="X149" s="120">
        <f t="shared" si="152"/>
        <v>1.0508153482718285</v>
      </c>
      <c r="Y149" s="120">
        <f t="shared" si="152"/>
        <v>1.1771531122552548</v>
      </c>
      <c r="Z149" s="120">
        <f t="shared" ref="Z149:AA149" si="153">Z33/Z41</f>
        <v>1.0331158765552857</v>
      </c>
      <c r="AA149" s="120">
        <f t="shared" si="153"/>
        <v>0.9888286779697808</v>
      </c>
      <c r="AC149" s="120">
        <f>AC33/AC41</f>
        <v>0.9888286779697808</v>
      </c>
    </row>
    <row r="150" spans="2:29" x14ac:dyDescent="0.2">
      <c r="B150" s="20" t="s">
        <v>260</v>
      </c>
      <c r="M150" s="179">
        <f>IF(M14&gt;=0,"N/A",IF(M13&lt;=0,"N/A",M13/-M14))</f>
        <v>18.279941219691402</v>
      </c>
      <c r="N150" s="179">
        <f>IF(N14&gt;=0,"N/A",IF(N13&lt;=0,"N/A",N13/-N14))</f>
        <v>8.8882438316400574</v>
      </c>
      <c r="O150" s="179">
        <f>IF(O14&gt;=0,"N/A",IF(O13&lt;=0,"N/A",O13/-O14))</f>
        <v>158.16309012875536</v>
      </c>
      <c r="P150" s="179" t="str">
        <f>IF(P14&gt;=0,"N/A",IF(P13&lt;=0,"N/A",P13/-P14))</f>
        <v>N/A</v>
      </c>
      <c r="Q150" s="179" t="str">
        <f>IF(Q14&gt;=0,"N/A",IF(Q13&lt;=0,"N/A",Q13/-Q14))</f>
        <v>N/A</v>
      </c>
      <c r="T150" s="179" t="str">
        <f t="shared" ref="T150:Z150" si="154">IF(T14&gt;=0,"N/A",IF(T13&lt;=0,"N/A",T13/-T14))</f>
        <v>N/A</v>
      </c>
      <c r="U150" s="179" t="str">
        <f t="shared" si="154"/>
        <v>N/A</v>
      </c>
      <c r="V150" s="179" t="str">
        <f t="shared" si="154"/>
        <v>N/A</v>
      </c>
      <c r="W150" s="179" t="str">
        <f t="shared" si="154"/>
        <v>N/A</v>
      </c>
      <c r="X150" s="179" t="str">
        <f t="shared" si="154"/>
        <v>N/A</v>
      </c>
      <c r="Y150" s="179" t="str">
        <f t="shared" si="154"/>
        <v>N/A</v>
      </c>
      <c r="Z150" s="179">
        <f t="shared" ref="Z150:AA150" si="155">IF(Z14&gt;=0,"N/A",IF(Z13&lt;=0,"N/A",Z13/-Z14))</f>
        <v>1445.3157894736842</v>
      </c>
      <c r="AA150" s="179">
        <f t="shared" si="155"/>
        <v>55.706349206349209</v>
      </c>
      <c r="AC150" s="179" t="str">
        <f>IF(AC14&gt;=0,"N/A",IF(AC13&lt;=0,"N/A",AC13/-AC14))</f>
        <v>N/A</v>
      </c>
    </row>
    <row r="151" spans="2:29" x14ac:dyDescent="0.2">
      <c r="B151" s="20" t="s">
        <v>238</v>
      </c>
      <c r="M151" s="72">
        <f>M118/Statement!M27</f>
        <v>78.603769575968499</v>
      </c>
      <c r="N151" s="72">
        <f>N118/Statement!N27</f>
        <v>76.764810728381775</v>
      </c>
      <c r="O151" s="72">
        <f>O118/Statement!O27</f>
        <v>52.393103448275866</v>
      </c>
      <c r="P151" s="72">
        <f>P118/Statement!P27</f>
        <v>39.67269439421338</v>
      </c>
      <c r="Q151" s="72">
        <f>Q118/Statement!Q27</f>
        <v>38.643700943250344</v>
      </c>
      <c r="T151" s="49"/>
      <c r="U151" s="49"/>
      <c r="V151" s="49"/>
      <c r="W151" s="49"/>
      <c r="X151" s="49"/>
      <c r="Y151" s="49"/>
      <c r="Z151" s="49"/>
      <c r="AA151" s="49"/>
      <c r="AC151" s="72">
        <f ca="1">AC118/Statement!AC27</f>
        <v>36.900624085597023</v>
      </c>
    </row>
    <row r="152" spans="2:29" x14ac:dyDescent="0.2">
      <c r="B152" s="20" t="s">
        <v>202</v>
      </c>
      <c r="M152" s="72">
        <f>M118/(Statement!M5/Statement!M23)</f>
        <v>3.653615880056702</v>
      </c>
      <c r="N152" s="72">
        <f>N118/(Statement!N5/Statement!N23)</f>
        <v>1.6649852427025797</v>
      </c>
      <c r="O152" s="72">
        <f>O118/(Statement!O5/Statement!O23)</f>
        <v>2.7734796141165825</v>
      </c>
      <c r="P152" s="72">
        <f>P118/(Statement!P5/Statement!P23)</f>
        <v>3.6868829971832042</v>
      </c>
      <c r="Q152" s="72">
        <f>Q118/(Statement!Q5/Statement!Q23)</f>
        <v>3.4858480675775949</v>
      </c>
      <c r="T152" s="49"/>
      <c r="U152" s="49"/>
      <c r="V152" s="49"/>
      <c r="W152" s="49"/>
      <c r="X152" s="49"/>
      <c r="Y152" s="49"/>
      <c r="Z152" s="49"/>
      <c r="AA152" s="49"/>
      <c r="AC152" s="72">
        <f ca="1">AC118/(Statement!AC5/Statement!AC23)</f>
        <v>3.3298701838975235</v>
      </c>
    </row>
    <row r="153" spans="2:29" x14ac:dyDescent="0.2">
      <c r="B153" s="20" t="s">
        <v>239</v>
      </c>
      <c r="M153" s="72">
        <f>M118/(Statement!M50/Statement!M76)</f>
        <v>12.273206553582407</v>
      </c>
      <c r="N153" s="72">
        <f>N118/(Statement!N50/Statement!N76)</f>
        <v>5.8930967591736678</v>
      </c>
      <c r="O153" s="72">
        <f>O118/(Statement!O50/Statement!O76)</f>
        <v>7.8184654860681118</v>
      </c>
      <c r="P153" s="72">
        <f>P118/(Statement!P50/Statement!P76)</f>
        <v>8.1305564220023072</v>
      </c>
      <c r="Q153" s="72">
        <f>Q118/(Statement!Q50/Statement!Q76)</f>
        <v>6.0278853709267386</v>
      </c>
      <c r="T153" s="72">
        <f>T118/(Statement!T50/Statement!T76)</f>
        <v>8.1305564220023072</v>
      </c>
      <c r="U153" s="72">
        <f>U118/(Statement!U50/Statement!U76)</f>
        <v>6.6035242768915898</v>
      </c>
      <c r="V153" s="72">
        <f>V118/(Statement!V50/Statement!V76)</f>
        <v>7.0100946745562123</v>
      </c>
      <c r="W153" s="72">
        <f>W118/(Statement!W50/Statement!W76)</f>
        <v>6.35012566586677</v>
      </c>
      <c r="X153" s="72">
        <f>X118/(Statement!X50/Statement!X76)</f>
        <v>6.0278853709267386</v>
      </c>
      <c r="Y153" s="72">
        <f>Y118/(Statement!Y50/Statement!Y76)</f>
        <v>5.0696750725254232</v>
      </c>
      <c r="Z153" s="72">
        <f>Z118/(Statement!Z50/Statement!Z76)</f>
        <v>4.6583819295892104</v>
      </c>
      <c r="AA153" s="72">
        <f>AA118/(Statement!AA50/Statement!AA76)</f>
        <v>4.3796080840806972</v>
      </c>
      <c r="AC153" s="72">
        <f ca="1">AC118/(Statement!AC50/Statement!AC76)</f>
        <v>4.2853889416738236</v>
      </c>
    </row>
    <row r="154" spans="2:29" x14ac:dyDescent="0.2">
      <c r="B154" s="20" t="s">
        <v>240</v>
      </c>
      <c r="M154" s="143">
        <f>Statement!M118*Statement!M79</f>
        <v>1726552.32</v>
      </c>
      <c r="N154" s="143">
        <f>Statement!N118*Statement!N79</f>
        <v>860645.52999999991</v>
      </c>
      <c r="O154" s="143">
        <f>Statement!O118*Statement!O79</f>
        <v>1606917.44</v>
      </c>
      <c r="P154" s="143">
        <f>Statement!P118*Statement!P79</f>
        <v>2379503.94</v>
      </c>
      <c r="Q154" s="143">
        <f>Statement!Q118*Statement!Q79</f>
        <v>2517322.92</v>
      </c>
      <c r="T154" s="143">
        <f>Statement!T118*Statement!T79</f>
        <v>2379503.94</v>
      </c>
      <c r="U154" s="143">
        <f>Statement!U118*Statement!U79</f>
        <v>2055949.5599999998</v>
      </c>
      <c r="V154" s="143">
        <f>Statement!V118*Statement!V79</f>
        <v>2376871.2599999998</v>
      </c>
      <c r="W154" s="143">
        <f>Statement!W118*Statement!W79</f>
        <v>2384749.77</v>
      </c>
      <c r="X154" s="143">
        <f>Statement!X118*Statement!X79</f>
        <v>2517322.92</v>
      </c>
      <c r="Y154" s="143">
        <f>Statement!Y118*Statement!Y79</f>
        <v>2267643.7600000002</v>
      </c>
      <c r="Z154" s="143">
        <f>Statement!Z118*Statement!Z79</f>
        <v>2601580.8000000003</v>
      </c>
      <c r="AA154" s="143">
        <f>Statement!AA118*Statement!AA79</f>
        <v>2720718</v>
      </c>
      <c r="AC154" s="143">
        <f ca="1">Statement!AC118*Statement!AC79</f>
        <v>2662186.7999999998</v>
      </c>
    </row>
    <row r="155" spans="2:29" x14ac:dyDescent="0.2">
      <c r="B155" s="20" t="s">
        <v>189</v>
      </c>
      <c r="M155" s="143">
        <f>M154+M109-M108+M49+M46</f>
        <v>1679247.32</v>
      </c>
      <c r="N155" s="143">
        <f>N154+N109-N108+N49+N46</f>
        <v>857769.52999999991</v>
      </c>
      <c r="O155" s="143">
        <f>O154+O109-O108+O49+O46</f>
        <v>1578451.44</v>
      </c>
      <c r="P155" s="143">
        <f>P154+P109-P108+P49+P46</f>
        <v>2330924.94</v>
      </c>
      <c r="Q155" s="143">
        <f>Q154+Q109-Q108+Q49+Q46</f>
        <v>2459941.92</v>
      </c>
      <c r="T155" s="143">
        <f t="shared" ref="T155:Z155" si="156">T154+T109-T108+T49+T46</f>
        <v>2330924.94</v>
      </c>
      <c r="U155" s="143">
        <f t="shared" si="156"/>
        <v>2014758.5599999996</v>
      </c>
      <c r="V155" s="143">
        <f t="shared" si="156"/>
        <v>2334409.2599999998</v>
      </c>
      <c r="W155" s="143">
        <f t="shared" si="156"/>
        <v>2341294.77</v>
      </c>
      <c r="X155" s="143">
        <f t="shared" si="156"/>
        <v>2459941.92</v>
      </c>
      <c r="Y155" s="143">
        <f t="shared" si="156"/>
        <v>2243628.7600000002</v>
      </c>
      <c r="Z155" s="143">
        <f t="shared" ref="Z155:AA155" si="157">Z154+Z109-Z108+Z49+Z46</f>
        <v>2607486.8000000003</v>
      </c>
      <c r="AA155" s="143">
        <f t="shared" si="157"/>
        <v>2779617</v>
      </c>
      <c r="AC155" s="143">
        <f ca="1">AC154+AC109-AC108+AC49+AC46</f>
        <v>2721085.8</v>
      </c>
    </row>
    <row r="156" spans="2:29" x14ac:dyDescent="0.2">
      <c r="B156" s="20" t="s">
        <v>261</v>
      </c>
      <c r="M156" s="181">
        <f>M155/M5</f>
        <v>3.5742202791695581</v>
      </c>
      <c r="N156" s="181">
        <f>N155/N5</f>
        <v>1.6688675111822764</v>
      </c>
      <c r="O156" s="181">
        <f>O155/O5</f>
        <v>2.7461597640857014</v>
      </c>
      <c r="P156" s="181">
        <f>P155/P5</f>
        <v>3.6537221670985125</v>
      </c>
      <c r="Q156" s="181">
        <f>Q155/Q5</f>
        <v>3.4312450413153974</v>
      </c>
      <c r="T156" s="49"/>
      <c r="U156" s="49"/>
      <c r="V156" s="49"/>
      <c r="W156" s="49"/>
      <c r="X156" s="49"/>
      <c r="Y156" s="49"/>
      <c r="Z156" s="49"/>
      <c r="AA156" s="49"/>
      <c r="AC156" s="181">
        <f ca="1">AC155/AC5</f>
        <v>3.4122123505401558</v>
      </c>
    </row>
    <row r="157" spans="2:29" x14ac:dyDescent="0.2">
      <c r="B157" s="20" t="s">
        <v>205</v>
      </c>
      <c r="M157" s="181">
        <f>M155/M13</f>
        <v>67.496576228948115</v>
      </c>
      <c r="N157" s="181">
        <f>N155/N13</f>
        <v>70.033436479425205</v>
      </c>
      <c r="O157" s="181">
        <f>O155/O13</f>
        <v>42.832178443503743</v>
      </c>
      <c r="P157" s="181">
        <f>P155/P13</f>
        <v>33.981965215109412</v>
      </c>
      <c r="Q157" s="181">
        <f>Q155/Q13</f>
        <v>30.758886151922475</v>
      </c>
      <c r="T157" s="49"/>
      <c r="U157" s="49"/>
      <c r="V157" s="49"/>
      <c r="W157" s="49"/>
      <c r="X157" s="49"/>
      <c r="Y157" s="49"/>
      <c r="Z157" s="49"/>
      <c r="AA157" s="49"/>
      <c r="AC157" s="181">
        <f ca="1">AC155/AC13</f>
        <v>26.072531284134676</v>
      </c>
    </row>
    <row r="158" spans="2:29" x14ac:dyDescent="0.2">
      <c r="B158" s="20" t="s">
        <v>262</v>
      </c>
      <c r="M158" s="64">
        <f>M60-M55+M111+M66</f>
        <v>-27483</v>
      </c>
      <c r="N158" s="64">
        <f>N60-N55+N111+N66</f>
        <v>-36514</v>
      </c>
      <c r="O158" s="64">
        <f>O60-O55+O111+O66</f>
        <v>8194</v>
      </c>
      <c r="P158" s="64">
        <f>P60-P55+P111+P66</f>
        <v>10867</v>
      </c>
      <c r="Q158" s="64">
        <f>Q60-Q55+Q111+Q66</f>
        <v>-11772</v>
      </c>
      <c r="T158" s="64">
        <f t="shared" ref="T158:Z158" si="158">T60-T55+T111+T66</f>
        <v>12807</v>
      </c>
      <c r="U158" s="64">
        <f t="shared" si="158"/>
        <v>-11693</v>
      </c>
      <c r="V158" s="64">
        <f t="shared" si="158"/>
        <v>-6202</v>
      </c>
      <c r="W158" s="64">
        <f t="shared" si="158"/>
        <v>-4417</v>
      </c>
      <c r="X158" s="64">
        <f t="shared" si="158"/>
        <v>10540</v>
      </c>
      <c r="Y158" s="64">
        <f t="shared" si="158"/>
        <v>-22203</v>
      </c>
      <c r="Z158" s="64">
        <f t="shared" ref="Z158:AA158" si="159">Z60-Z55+Z111+Z66</f>
        <v>-14859</v>
      </c>
      <c r="AA158" s="64">
        <f t="shared" si="159"/>
        <v>-40243</v>
      </c>
      <c r="AC158" s="64">
        <f>AC60-AC55+AC111+AC66</f>
        <v>-66765</v>
      </c>
    </row>
    <row r="159" spans="2:29" x14ac:dyDescent="0.2">
      <c r="B159" s="20" t="s">
        <v>263</v>
      </c>
      <c r="M159" s="64">
        <f>M110+M54+M111+M56+M58+M59+M57</f>
        <v>-25828.818366197185</v>
      </c>
      <c r="N159" s="64">
        <f>N110+N54+N111+N56+N58+N59+N57</f>
        <v>-30362</v>
      </c>
      <c r="O159" s="64">
        <f>O110+O54+O111+O56+O58+O59+O57</f>
        <v>14258.652847671532</v>
      </c>
      <c r="P159" s="64">
        <f>P110+P54+P111+P56+P58+P59+P57</f>
        <v>13585.835645786574</v>
      </c>
      <c r="Q159" s="64">
        <f>Q110+Q54+Q111+Q56+Q58+Q59+Q57</f>
        <v>-24162.381563497052</v>
      </c>
      <c r="T159" s="49"/>
      <c r="U159" s="49"/>
      <c r="V159" s="49"/>
      <c r="W159" s="49"/>
      <c r="X159" s="49"/>
      <c r="Y159" s="49"/>
      <c r="Z159" s="49"/>
      <c r="AA159" s="49"/>
      <c r="AC159" s="64">
        <f>AC110+AC54+AC111+AC56+AC58+AC59+AC57</f>
        <v>-100955.76079244912</v>
      </c>
    </row>
    <row r="160" spans="2:29" x14ac:dyDescent="0.2">
      <c r="B160" s="20" t="s">
        <v>264</v>
      </c>
      <c r="M160" s="72">
        <f>M154/M158</f>
        <v>-62.822556489466216</v>
      </c>
      <c r="N160" s="72">
        <f t="shared" ref="N160:Q160" si="160">N154/N158</f>
        <v>-23.570288930273318</v>
      </c>
      <c r="O160" s="72">
        <f t="shared" si="160"/>
        <v>196.10903587991211</v>
      </c>
      <c r="P160" s="72">
        <f t="shared" si="160"/>
        <v>218.96603846507776</v>
      </c>
      <c r="Q160" s="72">
        <f t="shared" si="160"/>
        <v>-213.83986748216105</v>
      </c>
      <c r="T160" s="49"/>
      <c r="U160" s="49"/>
      <c r="V160" s="49"/>
      <c r="W160" s="49"/>
      <c r="X160" s="49"/>
      <c r="Y160" s="49"/>
      <c r="Z160" s="49"/>
      <c r="AA160" s="49"/>
      <c r="AC160" s="72">
        <f t="shared" ref="AC160:AC161" ca="1" si="161">AC154/AC158</f>
        <v>-39.873987867894854</v>
      </c>
    </row>
    <row r="161" spans="2:29" x14ac:dyDescent="0.2">
      <c r="B161" s="20" t="s">
        <v>265</v>
      </c>
      <c r="M161" s="72">
        <f>M155/M159</f>
        <v>-65.014484835964183</v>
      </c>
      <c r="N161" s="72">
        <f t="shared" ref="N161:Q161" si="162">N155/N159</f>
        <v>-28.251417232066395</v>
      </c>
      <c r="O161" s="72">
        <f t="shared" si="162"/>
        <v>110.70130235043659</v>
      </c>
      <c r="P161" s="72">
        <f t="shared" si="162"/>
        <v>171.57022952231122</v>
      </c>
      <c r="Q161" s="72">
        <f t="shared" si="162"/>
        <v>-101.80875231754139</v>
      </c>
      <c r="T161" s="49"/>
      <c r="U161" s="49"/>
      <c r="V161" s="49"/>
      <c r="W161" s="49"/>
      <c r="X161" s="49"/>
      <c r="Y161" s="49"/>
      <c r="Z161" s="49"/>
      <c r="AA161" s="49"/>
      <c r="AC161" s="72">
        <f t="shared" ca="1" si="161"/>
        <v>-26.953249409849633</v>
      </c>
    </row>
    <row r="162" spans="2:29" x14ac:dyDescent="0.2">
      <c r="B162" s="20" t="s">
        <v>266</v>
      </c>
      <c r="M162" s="74">
        <f>M158/M154</f>
        <v>-1.591784950947794E-2</v>
      </c>
      <c r="N162" s="74">
        <f t="shared" ref="N162:Q162" si="163">N158/N154</f>
        <v>-4.242629366819578E-2</v>
      </c>
      <c r="O162" s="74">
        <f t="shared" si="163"/>
        <v>5.0992041009897812E-3</v>
      </c>
      <c r="P162" s="74">
        <f t="shared" si="163"/>
        <v>4.5669182628039692E-3</v>
      </c>
      <c r="Q162" s="74">
        <f t="shared" si="163"/>
        <v>-4.6763964632713867E-3</v>
      </c>
      <c r="T162" s="49"/>
      <c r="U162" s="49"/>
      <c r="V162" s="49"/>
      <c r="W162" s="49"/>
      <c r="X162" s="49"/>
      <c r="Y162" s="49"/>
      <c r="Z162" s="49"/>
      <c r="AA162" s="49"/>
      <c r="AC162" s="74">
        <f t="shared" ref="AC162" ca="1" si="164">AC158/AC154</f>
        <v>-2.5079006476930923E-2</v>
      </c>
    </row>
    <row r="163" spans="2:29" x14ac:dyDescent="0.2">
      <c r="B163" s="20" t="s">
        <v>267</v>
      </c>
      <c r="M163" s="74">
        <f>M27/M118</f>
        <v>1.2722036174531375E-2</v>
      </c>
      <c r="N163" s="74">
        <f>N27/N118</f>
        <v>1.3026802131230635E-2</v>
      </c>
      <c r="O163" s="74">
        <f>O27/O118</f>
        <v>1.9086481505857573E-2</v>
      </c>
      <c r="P163" s="74">
        <f>P27/P118</f>
        <v>2.520625370345048E-2</v>
      </c>
      <c r="Q163" s="74">
        <f>Q27/Q118</f>
        <v>2.5877438640479485E-2</v>
      </c>
      <c r="T163" s="49"/>
      <c r="U163" s="49"/>
      <c r="V163" s="49"/>
      <c r="W163" s="49"/>
      <c r="X163" s="49"/>
      <c r="Y163" s="49"/>
      <c r="Z163" s="49"/>
      <c r="AA163" s="49"/>
      <c r="AC163" s="74">
        <f ca="1">AC27/AC118</f>
        <v>2.7099812666591675E-2</v>
      </c>
    </row>
    <row r="164" spans="2:29" x14ac:dyDescent="0.2">
      <c r="B164" s="20" t="s">
        <v>268</v>
      </c>
      <c r="M164" s="154">
        <f>M83/M118</f>
        <v>0</v>
      </c>
      <c r="N164" s="154">
        <f>N83/N118</f>
        <v>0</v>
      </c>
      <c r="O164" s="154">
        <f>O83/O118</f>
        <v>0</v>
      </c>
      <c r="P164" s="154">
        <f>P83/P118</f>
        <v>0</v>
      </c>
      <c r="Q164" s="154">
        <f>Q83/Q118</f>
        <v>0</v>
      </c>
      <c r="T164" s="49"/>
      <c r="U164" s="49"/>
      <c r="V164" s="49"/>
      <c r="W164" s="49"/>
      <c r="X164" s="49"/>
      <c r="Y164" s="49"/>
      <c r="Z164" s="49"/>
      <c r="AA164" s="49"/>
      <c r="AC164" s="154">
        <f ca="1">AC83/AC118</f>
        <v>0</v>
      </c>
    </row>
    <row r="165" spans="2:29" x14ac:dyDescent="0.2">
      <c r="B165" s="20" t="s">
        <v>293</v>
      </c>
      <c r="M165" s="154">
        <f>-M64/M154</f>
        <v>0</v>
      </c>
      <c r="N165" s="154">
        <f>-N64/N154</f>
        <v>6.9715112562078844E-3</v>
      </c>
      <c r="O165" s="154">
        <f>-O64/O154</f>
        <v>0</v>
      </c>
      <c r="P165" s="154">
        <f>-P64/P154</f>
        <v>0</v>
      </c>
      <c r="Q165" s="154">
        <f>-Q64/Q154</f>
        <v>0</v>
      </c>
      <c r="T165" s="49"/>
      <c r="U165" s="49"/>
      <c r="V165" s="49"/>
      <c r="W165" s="49"/>
      <c r="X165" s="49"/>
      <c r="Y165" s="49"/>
      <c r="Z165" s="49"/>
      <c r="AA165" s="49"/>
      <c r="AC165" s="154">
        <f ca="1">-AC64/AC154</f>
        <v>0</v>
      </c>
    </row>
    <row r="166" spans="2:29" x14ac:dyDescent="0.2">
      <c r="B166" s="20" t="s">
        <v>295</v>
      </c>
      <c r="M166" s="154">
        <f>-(M64+M65)/M154</f>
        <v>0</v>
      </c>
      <c r="N166" s="154">
        <f>-(N64+N65)/N154</f>
        <v>6.9715112562078844E-3</v>
      </c>
      <c r="O166" s="154">
        <f>-(O64+O65)/O154</f>
        <v>0</v>
      </c>
      <c r="P166" s="154">
        <f>-(P64+P65)/P154</f>
        <v>0</v>
      </c>
      <c r="Q166" s="154">
        <f>-(Q64+Q65)/Q154</f>
        <v>0</v>
      </c>
      <c r="T166" s="49"/>
      <c r="U166" s="49"/>
      <c r="V166" s="49"/>
      <c r="W166" s="49"/>
      <c r="X166" s="49"/>
      <c r="Y166" s="49"/>
      <c r="Z166" s="49"/>
      <c r="AA166" s="49"/>
      <c r="AC166" s="154">
        <f ca="1">-(AC64+AC65)/AC154</f>
        <v>0</v>
      </c>
    </row>
    <row r="167" spans="2:29" x14ac:dyDescent="0.2">
      <c r="B167" s="20" t="s">
        <v>342</v>
      </c>
      <c r="M167" s="154">
        <f>M159/M5</f>
        <v>-5.4975753298477266E-2</v>
      </c>
      <c r="N167" s="154">
        <f>N159/N5</f>
        <v>-5.9071992653453517E-2</v>
      </c>
      <c r="O167" s="154">
        <f>O159/O5</f>
        <v>2.4806932762113716E-2</v>
      </c>
      <c r="P167" s="154">
        <f>P159/P5</f>
        <v>2.1295781775610305E-2</v>
      </c>
      <c r="Q167" s="154">
        <f>Q159/Q5</f>
        <v>-3.3702849344556821E-2</v>
      </c>
      <c r="T167" s="49"/>
      <c r="U167" s="49"/>
      <c r="V167" s="49"/>
      <c r="W167" s="49"/>
      <c r="X167" s="49"/>
      <c r="Y167" s="49"/>
      <c r="Z167" s="49"/>
      <c r="AA167" s="49"/>
      <c r="AC167" s="154">
        <f>AC159/AC5</f>
        <v>-0.12659743909367815</v>
      </c>
    </row>
    <row r="168" spans="2:29" x14ac:dyDescent="0.2">
      <c r="B168" s="20" t="s">
        <v>343</v>
      </c>
      <c r="M168" s="154">
        <f>M158/M5</f>
        <v>-5.8496622124974994E-2</v>
      </c>
      <c r="N168" s="154">
        <f>N158/N5</f>
        <v>-7.1041260119498115E-2</v>
      </c>
      <c r="O168" s="154">
        <f>O158/O5</f>
        <v>1.4255765199161425E-2</v>
      </c>
      <c r="P168" s="154">
        <f>P158/P5</f>
        <v>1.703401002258766E-2</v>
      </c>
      <c r="Q168" s="154">
        <f>Q158/Q5</f>
        <v>-1.6420150531995022E-2</v>
      </c>
      <c r="T168" s="49"/>
      <c r="U168" s="49"/>
      <c r="V168" s="49"/>
      <c r="W168" s="49"/>
      <c r="X168" s="49"/>
      <c r="Y168" s="49"/>
      <c r="Z168" s="49"/>
      <c r="AA168" s="49"/>
      <c r="AC168" s="154">
        <f>AC158/AC5</f>
        <v>-8.37225924973823E-2</v>
      </c>
    </row>
    <row r="169" spans="2:29" x14ac:dyDescent="0.2">
      <c r="B169" s="20" t="s">
        <v>271</v>
      </c>
      <c r="M169" s="154">
        <f>-M65/M158</f>
        <v>0</v>
      </c>
      <c r="N169" s="154">
        <f>-N65/N158</f>
        <v>0</v>
      </c>
      <c r="O169" s="154">
        <f>-O65/O158</f>
        <v>0</v>
      </c>
      <c r="P169" s="154">
        <f>-P65/P158</f>
        <v>0</v>
      </c>
      <c r="Q169" s="154">
        <f>-Q65/Q158</f>
        <v>0</v>
      </c>
      <c r="T169" s="49"/>
      <c r="U169" s="49"/>
      <c r="V169" s="49"/>
      <c r="W169" s="49"/>
      <c r="X169" s="49"/>
      <c r="Y169" s="49"/>
      <c r="Z169" s="49"/>
      <c r="AA169" s="49"/>
      <c r="AC169" s="154">
        <f>-AC65/AC158</f>
        <v>0</v>
      </c>
    </row>
    <row r="170" spans="2:29" x14ac:dyDescent="0.2">
      <c r="B170" s="20" t="s">
        <v>273</v>
      </c>
      <c r="M170" s="154">
        <f>-M64/M158</f>
        <v>0</v>
      </c>
      <c r="N170" s="154">
        <f>-N64/N158</f>
        <v>-0.16432053458947254</v>
      </c>
      <c r="O170" s="154">
        <f>-O64/O158</f>
        <v>0</v>
      </c>
      <c r="P170" s="154">
        <f>-P64/P158</f>
        <v>0</v>
      </c>
      <c r="Q170" s="154">
        <f>-Q64/Q158</f>
        <v>0</v>
      </c>
      <c r="T170" s="49"/>
      <c r="U170" s="49"/>
      <c r="V170" s="49"/>
      <c r="W170" s="49"/>
      <c r="X170" s="49"/>
      <c r="Y170" s="49"/>
      <c r="Z170" s="49"/>
      <c r="AA170" s="49"/>
      <c r="AC170" s="154">
        <f>-AC64/AC158</f>
        <v>0</v>
      </c>
    </row>
    <row r="171" spans="2:29" x14ac:dyDescent="0.2">
      <c r="B171" s="20" t="s">
        <v>284</v>
      </c>
      <c r="M171" s="154">
        <f>(-M65-M64)/M158</f>
        <v>0</v>
      </c>
      <c r="N171" s="154">
        <f>(-N65-N64)/N158</f>
        <v>-0.16432053458947254</v>
      </c>
      <c r="O171" s="154">
        <f>(-O65-O64)/O158</f>
        <v>0</v>
      </c>
      <c r="P171" s="154">
        <f>(-P65-P64)/P158</f>
        <v>0</v>
      </c>
      <c r="Q171" s="154">
        <f>(-Q65-Q64)/Q158</f>
        <v>0</v>
      </c>
      <c r="T171" s="49"/>
      <c r="U171" s="49"/>
      <c r="V171" s="49"/>
      <c r="W171" s="49"/>
      <c r="X171" s="49"/>
      <c r="Y171" s="49"/>
      <c r="Z171" s="49"/>
      <c r="AA171" s="49"/>
      <c r="AC171" s="154">
        <f>(-AC65-AC64)/AC158</f>
        <v>0</v>
      </c>
    </row>
    <row r="172" spans="2:29" x14ac:dyDescent="0.2">
      <c r="B172" s="20" t="s">
        <v>278</v>
      </c>
      <c r="M172" s="154">
        <f>M81/M79</f>
        <v>0.13663576670529162</v>
      </c>
      <c r="N172" s="154">
        <f>N81/N79</f>
        <v>0.12628086269151947</v>
      </c>
      <c r="O172" s="154">
        <f>O81/O79</f>
        <v>0.1193267776096823</v>
      </c>
      <c r="P172" s="154">
        <f>P81/P79</f>
        <v>0.10381707541950949</v>
      </c>
      <c r="Q172" s="154">
        <f>Q81/Q79</f>
        <v>9.3984962406015032E-2</v>
      </c>
      <c r="T172" s="49"/>
      <c r="U172" s="49"/>
      <c r="V172" s="49"/>
      <c r="W172" s="49"/>
      <c r="X172" s="49"/>
      <c r="Y172" s="49"/>
      <c r="Z172" s="49"/>
      <c r="AA172" s="49"/>
      <c r="AC172" s="154">
        <f>AC81/AC79</f>
        <v>9.3864468864468864E-2</v>
      </c>
    </row>
    <row r="173" spans="2:29" x14ac:dyDescent="0.2">
      <c r="B173" s="20" t="s">
        <v>279</v>
      </c>
      <c r="M173" s="72">
        <f>M108/M76</f>
        <v>9.437850054043432</v>
      </c>
      <c r="N173" s="72">
        <f>N108/N76</f>
        <v>6.8338050161022741</v>
      </c>
      <c r="O173" s="72">
        <f>O108/O76</f>
        <v>8.3538698498267223</v>
      </c>
      <c r="P173" s="72">
        <f>P108/P76</f>
        <v>9.5491602189092273</v>
      </c>
      <c r="Q173" s="72">
        <f>Q108/Q76</f>
        <v>11.460549604098743</v>
      </c>
      <c r="T173" s="72">
        <f t="shared" ref="T173:Z173" si="165">T108/T76</f>
        <v>9.5491602189092273</v>
      </c>
      <c r="U173" s="72">
        <f t="shared" si="165"/>
        <v>8.9077807083647329</v>
      </c>
      <c r="V173" s="72">
        <f t="shared" si="165"/>
        <v>8.7369901547116733</v>
      </c>
      <c r="W173" s="72">
        <f t="shared" si="165"/>
        <v>8.8116931711880255</v>
      </c>
      <c r="X173" s="72">
        <f t="shared" si="165"/>
        <v>11.460549604098743</v>
      </c>
      <c r="Y173" s="72">
        <f t="shared" si="165"/>
        <v>13.301942920888724</v>
      </c>
      <c r="Z173" s="72">
        <f t="shared" ref="Z173:AA173" si="166">Z108/Z76</f>
        <v>11.402558872612646</v>
      </c>
      <c r="AA173" s="72">
        <f t="shared" si="166"/>
        <v>10.590209530873354</v>
      </c>
      <c r="AC173" s="72">
        <f>AC108/AC76</f>
        <v>10.590209530873354</v>
      </c>
    </row>
    <row r="174" spans="2:29" x14ac:dyDescent="0.2">
      <c r="B174" s="20" t="s">
        <v>281</v>
      </c>
      <c r="M174" s="154">
        <f>M55/M60</f>
        <v>0.27536857556068817</v>
      </c>
      <c r="N174" s="154">
        <f>N55/N60</f>
        <v>0.41968258042436685</v>
      </c>
      <c r="O174" s="154">
        <f>O55/O60</f>
        <v>0.28280319261648579</v>
      </c>
      <c r="P174" s="154">
        <f>P55/P60</f>
        <v>0.18995141399932688</v>
      </c>
      <c r="Q174" s="154">
        <f>Q55/Q60</f>
        <v>0.1395343836460857</v>
      </c>
      <c r="T174" s="154">
        <f t="shared" ref="T174:Z174" si="167">T55/T60</f>
        <v>0.10945306337102288</v>
      </c>
      <c r="U174" s="154">
        <f t="shared" si="167"/>
        <v>0.21680869820746401</v>
      </c>
      <c r="V174" s="154">
        <f t="shared" si="167"/>
        <v>0.2009534061202522</v>
      </c>
      <c r="W174" s="154">
        <f t="shared" si="167"/>
        <v>0.13643912737508795</v>
      </c>
      <c r="X174" s="154">
        <f t="shared" si="167"/>
        <v>8.0739638994472909E-2</v>
      </c>
      <c r="Y174" s="154">
        <f t="shared" si="167"/>
        <v>0.15488629379225569</v>
      </c>
      <c r="Z174" s="154">
        <f t="shared" ref="Z174:AA174" si="168">Z55/Z60</f>
        <v>0.13303368806045784</v>
      </c>
      <c r="AA174" s="154">
        <f t="shared" si="168"/>
        <v>0.1274338786478714</v>
      </c>
      <c r="AC174" s="154">
        <f>AC55/AC60</f>
        <v>0.11808080808080808</v>
      </c>
    </row>
    <row r="175" spans="2:29" x14ac:dyDescent="0.2">
      <c r="B175" s="20" t="s">
        <v>282</v>
      </c>
      <c r="M175" s="154">
        <f>M55/M5</f>
        <v>2.7152836606204052E-2</v>
      </c>
      <c r="N175" s="154">
        <f>N55/N5</f>
        <v>3.8174414328878581E-2</v>
      </c>
      <c r="O175" s="154">
        <f>O55/O5</f>
        <v>4.1794758039962771E-2</v>
      </c>
      <c r="P175" s="154">
        <f>P55/P5</f>
        <v>3.4502217227125882E-2</v>
      </c>
      <c r="Q175" s="154">
        <f>Q55/Q5</f>
        <v>2.7153505810936725E-2</v>
      </c>
      <c r="T175" s="154">
        <f t="shared" ref="T175:Z175" si="169">T55/T5</f>
        <v>2.6598577149186335E-2</v>
      </c>
      <c r="U175" s="154">
        <f t="shared" si="169"/>
        <v>2.3698022059909937E-2</v>
      </c>
      <c r="V175" s="154">
        <f t="shared" si="169"/>
        <v>3.8961968253211056E-2</v>
      </c>
      <c r="W175" s="154">
        <f t="shared" si="169"/>
        <v>2.6902519301322647E-2</v>
      </c>
      <c r="X175" s="154">
        <f t="shared" si="169"/>
        <v>2.0605850430674928E-2</v>
      </c>
      <c r="Y175" s="154">
        <f t="shared" si="169"/>
        <v>2.2212550752262847E-2</v>
      </c>
      <c r="Z175" s="154">
        <f t="shared" ref="Z175:AA175" si="170">Z55/Z5</f>
        <v>3.0098800634078743E-2</v>
      </c>
      <c r="AA175" s="154">
        <f t="shared" si="170"/>
        <v>2.6769797567642514E-2</v>
      </c>
      <c r="AC175" s="154">
        <f>AC55/AC5</f>
        <v>2.4920528431071346E-2</v>
      </c>
    </row>
    <row r="176" spans="2:29" x14ac:dyDescent="0.2">
      <c r="B176" s="20" t="s">
        <v>287</v>
      </c>
      <c r="M176" s="72">
        <f>(M108-M109)/M76</f>
        <v>4.648226392846615</v>
      </c>
      <c r="N176" s="72">
        <f>(N108-N109)/N76</f>
        <v>0.28066751244266613</v>
      </c>
      <c r="O176" s="72">
        <f>(O108-O109)/O76</f>
        <v>2.740277242972661</v>
      </c>
      <c r="P176" s="72">
        <f>(P108-P109)/P76</f>
        <v>4.5837893942253256</v>
      </c>
      <c r="Q176" s="72">
        <f>(Q108-Q109)/Q76</f>
        <v>5.3452258965999064</v>
      </c>
      <c r="T176" s="72">
        <f t="shared" ref="T176:Z176" si="171">(T108-T109)/T76</f>
        <v>4.5837893942253256</v>
      </c>
      <c r="U176" s="72">
        <f t="shared" si="171"/>
        <v>3.8800866616428031</v>
      </c>
      <c r="V176" s="72">
        <f t="shared" si="171"/>
        <v>3.9814345991561182</v>
      </c>
      <c r="W176" s="72">
        <f t="shared" si="171"/>
        <v>4.0650140318054255</v>
      </c>
      <c r="X176" s="72">
        <f t="shared" si="171"/>
        <v>5.3452258965999064</v>
      </c>
      <c r="Y176" s="72">
        <f t="shared" si="171"/>
        <v>2.232499767593195</v>
      </c>
      <c r="Z176" s="72">
        <f t="shared" ref="Z176:AA176" si="172">(Z108-Z109)/Z76</f>
        <v>-0.54756165399592061</v>
      </c>
      <c r="AA176" s="72">
        <f t="shared" si="172"/>
        <v>-5.4606897830521044</v>
      </c>
      <c r="AC176" s="72">
        <f>(AC108-AC109)/AC76</f>
        <v>-5.4606897830521044</v>
      </c>
    </row>
    <row r="177" spans="1:31" x14ac:dyDescent="0.2">
      <c r="B177" s="20" t="s">
        <v>292</v>
      </c>
      <c r="M177" s="154">
        <f>(M108-M109)/M154</f>
        <v>2.739853258544751E-2</v>
      </c>
      <c r="N177" s="154">
        <f>(N108-N109)/N154</f>
        <v>3.3416777288089792E-3</v>
      </c>
      <c r="O177" s="154">
        <f>(O108-O109)/O154</f>
        <v>1.7714662428456811E-2</v>
      </c>
      <c r="P177" s="154">
        <f>(P108-P109)/P154</f>
        <v>2.0415599732102146E-2</v>
      </c>
      <c r="Q177" s="154">
        <f>(Q108-Q109)/Q154</f>
        <v>2.2794453402903113E-2</v>
      </c>
      <c r="T177" s="49"/>
      <c r="U177" s="49"/>
      <c r="V177" s="49"/>
      <c r="W177" s="49"/>
      <c r="X177" s="49"/>
      <c r="Y177" s="49"/>
      <c r="Z177" s="49"/>
      <c r="AA177" s="49"/>
      <c r="AC177" s="154">
        <f ca="1">(AC108-AC109)/AC154</f>
        <v>-2.2124292705530658E-2</v>
      </c>
    </row>
    <row r="178" spans="1:31" x14ac:dyDescent="0.2">
      <c r="B178" s="20" t="s">
        <v>301</v>
      </c>
      <c r="M178" s="154">
        <f>-M111/M5</f>
        <v>0.12994921480901278</v>
      </c>
      <c r="N178" s="154">
        <f>-N111/N5</f>
        <v>0.12382705264571008</v>
      </c>
      <c r="O178" s="154">
        <f>-O111/O5</f>
        <v>9.1736910322990334E-2</v>
      </c>
      <c r="P178" s="154">
        <f>-P111/P5</f>
        <v>0.13010083720113674</v>
      </c>
      <c r="Q178" s="154">
        <f>-Q111/Q5</f>
        <v>0.18386746712343288</v>
      </c>
      <c r="T178" s="154">
        <f t="shared" ref="T178:Z178" si="173">-T111/T5</f>
        <v>0.14821717645054103</v>
      </c>
      <c r="U178" s="154">
        <f t="shared" si="173"/>
        <v>0.16072128325207014</v>
      </c>
      <c r="V178" s="154">
        <f t="shared" si="173"/>
        <v>0.19190588066928241</v>
      </c>
      <c r="W178" s="154">
        <f t="shared" si="173"/>
        <v>0.19478933667834089</v>
      </c>
      <c r="X178" s="154">
        <f t="shared" si="173"/>
        <v>0.18521365038006243</v>
      </c>
      <c r="Y178" s="154">
        <f t="shared" si="173"/>
        <v>0.2435172075650483</v>
      </c>
      <c r="Z178" s="154">
        <f t="shared" ref="Z178:AA178" si="174">-Z111/Z5</f>
        <v>0.27022122967408752</v>
      </c>
      <c r="AA178" s="154">
        <f t="shared" si="174"/>
        <v>0.38257635780216298</v>
      </c>
      <c r="AC178" s="154">
        <f>-AC111/AC5</f>
        <v>0.26984845539873725</v>
      </c>
    </row>
    <row r="179" spans="1:31" x14ac:dyDescent="0.2">
      <c r="B179" s="20" t="s">
        <v>302</v>
      </c>
      <c r="M179" s="154">
        <f>-(M111/M60)</f>
        <v>1.3178707880933365</v>
      </c>
      <c r="N179" s="154">
        <f>-(N111/N60)</f>
        <v>1.3613321355236139</v>
      </c>
      <c r="O179" s="154">
        <f>-(O111/O60)</f>
        <v>0.62073552609893345</v>
      </c>
      <c r="P179" s="154">
        <f>-(P111/P60)</f>
        <v>0.71626811187724915</v>
      </c>
      <c r="Q179" s="154">
        <f>-(Q111/Q60)</f>
        <v>0.94484424502200492</v>
      </c>
      <c r="T179" s="154">
        <f t="shared" ref="T179:Z179" si="175">-(T111/T60)</f>
        <v>0.6099132264002104</v>
      </c>
      <c r="U179" s="154">
        <f t="shared" si="175"/>
        <v>1.4704084631207759</v>
      </c>
      <c r="V179" s="154">
        <f t="shared" si="175"/>
        <v>0.98978932800246044</v>
      </c>
      <c r="W179" s="154">
        <f t="shared" si="175"/>
        <v>0.98789584799437014</v>
      </c>
      <c r="X179" s="154">
        <f t="shared" si="175"/>
        <v>0.72572026662259681</v>
      </c>
      <c r="Y179" s="154">
        <f t="shared" si="175"/>
        <v>1.6980255070682237</v>
      </c>
      <c r="Z179" s="154">
        <f t="shared" ref="Z179:AA179" si="176">-(Z111/Z60)</f>
        <v>1.1943508052966709</v>
      </c>
      <c r="AA179" s="154">
        <f t="shared" si="176"/>
        <v>1.8212012634953563</v>
      </c>
      <c r="AC179" s="154">
        <f>-(AC111/AC60)</f>
        <v>1.2786215092097446</v>
      </c>
    </row>
    <row r="180" spans="1:31" x14ac:dyDescent="0.2">
      <c r="B180" s="20" t="s">
        <v>303</v>
      </c>
      <c r="M180" s="154">
        <f>-M111/M54</f>
        <v>1.7730955769174919</v>
      </c>
      <c r="N180" s="154">
        <f>-N111/N54</f>
        <v>1.5182128288924406</v>
      </c>
      <c r="O180" s="154">
        <f>-O111/O54</f>
        <v>1.0835542403879745</v>
      </c>
      <c r="P180" s="154">
        <f>-P111/P54</f>
        <v>1.5720996306468416</v>
      </c>
      <c r="Q180" s="154">
        <f>-Q111/Q54</f>
        <v>2.0046687754729606</v>
      </c>
      <c r="T180" s="154">
        <f t="shared" ref="T180:Z180" si="177">-T111/T54</f>
        <v>1.7806922141897512</v>
      </c>
      <c r="U180" s="154">
        <f t="shared" si="177"/>
        <v>1.7542420417893703</v>
      </c>
      <c r="V180" s="154">
        <f t="shared" si="177"/>
        <v>2.1135483023576542</v>
      </c>
      <c r="W180" s="154">
        <f t="shared" si="177"/>
        <v>2.0894855918075734</v>
      </c>
      <c r="X180" s="154">
        <f t="shared" si="177"/>
        <v>2.0297878896820913</v>
      </c>
      <c r="Y180" s="154">
        <f t="shared" si="177"/>
        <v>2.3332277645816837</v>
      </c>
      <c r="Z180" s="154">
        <f t="shared" ref="Z180:AA180" si="178">-Z111/Z54</f>
        <v>2.712027216329798</v>
      </c>
      <c r="AA180" s="154">
        <f t="shared" si="178"/>
        <v>3.68795646570242</v>
      </c>
      <c r="AC180" s="154">
        <f>-AC111/AC54</f>
        <v>2.7118319408213929</v>
      </c>
    </row>
    <row r="181" spans="1:31" x14ac:dyDescent="0.2">
      <c r="B181" s="20" t="s">
        <v>355</v>
      </c>
      <c r="M181" s="222">
        <f>M5/M38</f>
        <v>1.1171635172120253</v>
      </c>
      <c r="N181" s="222">
        <f t="shared" ref="N181:Q181" si="179">N5/N38</f>
        <v>1.1108942562273734</v>
      </c>
      <c r="O181" s="222">
        <f t="shared" si="179"/>
        <v>1.0889090543976174</v>
      </c>
      <c r="P181" s="222">
        <f t="shared" si="179"/>
        <v>1.0209075459197881</v>
      </c>
      <c r="Q181" s="222">
        <f t="shared" si="179"/>
        <v>0.87639020979362914</v>
      </c>
      <c r="T181" s="49"/>
      <c r="U181" s="49"/>
      <c r="V181" s="49"/>
      <c r="W181" s="49"/>
      <c r="X181" s="49"/>
      <c r="Y181" s="49"/>
      <c r="Z181" s="49"/>
      <c r="AA181" s="49"/>
      <c r="AC181" s="222">
        <f t="shared" ref="AC181" si="180">AC5/AC38</f>
        <v>0.64135548781958995</v>
      </c>
    </row>
    <row r="182" spans="1:31" x14ac:dyDescent="0.2">
      <c r="B182" s="20" t="s">
        <v>352</v>
      </c>
      <c r="M182" s="224">
        <f>IF(AND(M13&gt;0,M109&gt;0),M109/M13,"N/A")</f>
        <v>1.9592427348366093</v>
      </c>
      <c r="N182" s="224">
        <f t="shared" ref="N182:Q182" si="181">IF(AND(N13&gt;0,N109&gt;0),N109/N13,"N/A")</f>
        <v>5.4825277596342259</v>
      </c>
      <c r="O182" s="224">
        <f t="shared" si="181"/>
        <v>1.5823835884076849</v>
      </c>
      <c r="P182" s="224">
        <f t="shared" si="181"/>
        <v>0.76717740877349005</v>
      </c>
      <c r="Q182" s="224">
        <f t="shared" si="181"/>
        <v>0.82085651766176926</v>
      </c>
      <c r="T182" s="49"/>
      <c r="U182" s="49"/>
      <c r="V182" s="49"/>
      <c r="W182" s="49"/>
      <c r="X182" s="49"/>
      <c r="Y182" s="49"/>
      <c r="Z182" s="49"/>
      <c r="AA182" s="49"/>
      <c r="AC182" s="224">
        <f t="shared" ref="AC182" si="182">IF(AND(AC13&gt;0,AC109&gt;0),AC109/AC13,"N/A")</f>
        <v>1.6588256711956002</v>
      </c>
    </row>
    <row r="183" spans="1:31" x14ac:dyDescent="0.2">
      <c r="B183" s="20" t="s">
        <v>353</v>
      </c>
      <c r="M183" s="224">
        <f>IF(AND(M13&gt;0,M109&gt;0),(M109-M108)/M13,"N/A")</f>
        <v>-1.9014027895011858</v>
      </c>
      <c r="N183" s="224">
        <f t="shared" ref="N183:Q183" si="183">IF(AND(N13&gt;0,N109&gt;0),(N109-N108)/N13,"N/A")</f>
        <v>-0.23481384715871978</v>
      </c>
      <c r="O183" s="224">
        <f t="shared" si="183"/>
        <v>-0.77244111581460984</v>
      </c>
      <c r="P183" s="224">
        <f t="shared" si="183"/>
        <v>-0.7082209554910851</v>
      </c>
      <c r="Q183" s="224">
        <f t="shared" si="183"/>
        <v>-0.71748671459831193</v>
      </c>
      <c r="T183" s="49"/>
      <c r="U183" s="49"/>
      <c r="V183" s="49"/>
      <c r="W183" s="49"/>
      <c r="X183" s="49"/>
      <c r="Y183" s="49"/>
      <c r="Z183" s="49"/>
      <c r="AA183" s="49"/>
      <c r="AC183" s="224">
        <f t="shared" ref="AC183" si="184">IF(AND(AC13&gt;0,AC109&gt;0),(AC109-AC108)/AC13,"N/A")</f>
        <v>0.56435045896173086</v>
      </c>
    </row>
    <row r="184" spans="1:31" x14ac:dyDescent="0.2">
      <c r="B184" s="20" t="s">
        <v>354</v>
      </c>
      <c r="M184" s="224">
        <f>M5/(M109+M113-M108)</f>
        <v>5.1662854629425992</v>
      </c>
      <c r="N184" s="224">
        <f t="shared" ref="N184:Q184" si="185">N5/(N109+N113-N108)</f>
        <v>3.5900940859276229</v>
      </c>
      <c r="O184" s="224">
        <f t="shared" si="185"/>
        <v>3.3146203484248224</v>
      </c>
      <c r="P184" s="224">
        <f t="shared" si="185"/>
        <v>2.6873765222775927</v>
      </c>
      <c r="Q184" s="224">
        <f t="shared" si="185"/>
        <v>2.0270184684633743</v>
      </c>
      <c r="T184" s="49"/>
      <c r="U184" s="49"/>
      <c r="V184" s="49"/>
      <c r="W184" s="49"/>
      <c r="X184" s="49"/>
      <c r="Y184" s="49"/>
      <c r="Z184" s="49"/>
      <c r="AA184" s="49"/>
      <c r="AC184" s="224">
        <f t="shared" ref="AC184" si="186">AC5/(AC109+AC113-AC108)</f>
        <v>1.1858066914498142</v>
      </c>
    </row>
    <row r="186" spans="1:31" x14ac:dyDescent="0.2">
      <c r="B186" s="1"/>
    </row>
    <row r="187" spans="1:31" s="15" customFormat="1" ht="17" thickBot="1" x14ac:dyDescent="0.25">
      <c r="A187" s="11"/>
      <c r="B187" s="14" t="s">
        <v>81</v>
      </c>
      <c r="R187" s="1"/>
      <c r="S187" s="1"/>
      <c r="AB187" s="1"/>
      <c r="AD187" s="1"/>
      <c r="AE187" s="1"/>
    </row>
    <row r="188" spans="1:31" x14ac:dyDescent="0.2">
      <c r="B188" s="20" t="s">
        <v>416</v>
      </c>
      <c r="C188" s="62"/>
      <c r="D188" s="62"/>
      <c r="E188" s="62"/>
      <c r="F188" s="62"/>
      <c r="G188" s="62"/>
      <c r="H188" s="62"/>
      <c r="I188" s="62"/>
      <c r="J188" s="62"/>
      <c r="K188" s="62"/>
      <c r="L188" s="62"/>
      <c r="M188" s="21">
        <v>222075</v>
      </c>
      <c r="N188" s="21">
        <v>220004</v>
      </c>
      <c r="O188" s="21">
        <v>231872</v>
      </c>
      <c r="P188" s="21">
        <v>247029</v>
      </c>
      <c r="Q188" s="21">
        <v>269287</v>
      </c>
      <c r="T188" s="21"/>
      <c r="U188" s="21">
        <v>57407</v>
      </c>
      <c r="V188" s="21">
        <v>61485</v>
      </c>
      <c r="W188" s="21">
        <v>67407</v>
      </c>
      <c r="X188" s="21">
        <v>82988</v>
      </c>
      <c r="Y188" s="21">
        <v>64254</v>
      </c>
      <c r="Z188" s="21">
        <v>70432</v>
      </c>
      <c r="AA188" s="21">
        <v>68470</v>
      </c>
      <c r="AC188" s="62">
        <f>SUM(X188:AA188)</f>
        <v>286144</v>
      </c>
    </row>
    <row r="189" spans="1:31" x14ac:dyDescent="0.2">
      <c r="B189" s="20" t="s">
        <v>417</v>
      </c>
      <c r="C189" s="62"/>
      <c r="D189" s="62"/>
      <c r="E189" s="62"/>
      <c r="F189" s="62"/>
      <c r="G189" s="62"/>
      <c r="H189" s="62"/>
      <c r="I189" s="62"/>
      <c r="J189" s="62"/>
      <c r="K189" s="62"/>
      <c r="L189" s="62"/>
      <c r="M189" s="21">
        <v>17075</v>
      </c>
      <c r="N189" s="21">
        <v>18963</v>
      </c>
      <c r="O189" s="21">
        <v>20030</v>
      </c>
      <c r="P189" s="21">
        <v>21215</v>
      </c>
      <c r="Q189" s="21">
        <v>22561</v>
      </c>
      <c r="T189" s="21"/>
      <c r="U189" s="21">
        <v>5533</v>
      </c>
      <c r="V189" s="21">
        <v>5595</v>
      </c>
      <c r="W189" s="21">
        <v>5578</v>
      </c>
      <c r="X189" s="21">
        <v>5855</v>
      </c>
      <c r="Y189" s="21">
        <v>5785</v>
      </c>
      <c r="Z189" s="21">
        <v>5794</v>
      </c>
      <c r="AA189" s="21">
        <v>5710</v>
      </c>
      <c r="AC189" s="62">
        <f t="shared" ref="AC189:AC198" si="187">SUM(X189:AA189)</f>
        <v>23144</v>
      </c>
    </row>
    <row r="190" spans="1:31" x14ac:dyDescent="0.2">
      <c r="B190" s="20" t="s">
        <v>419</v>
      </c>
      <c r="C190" s="62"/>
      <c r="D190" s="62"/>
      <c r="E190" s="62"/>
      <c r="F190" s="62"/>
      <c r="G190" s="62"/>
      <c r="H190" s="62"/>
      <c r="I190" s="62"/>
      <c r="J190" s="62"/>
      <c r="K190" s="62"/>
      <c r="L190" s="62"/>
      <c r="M190" s="21">
        <v>103366</v>
      </c>
      <c r="N190" s="21">
        <v>117716</v>
      </c>
      <c r="O190" s="21">
        <v>140053</v>
      </c>
      <c r="P190" s="21">
        <v>156146</v>
      </c>
      <c r="Q190" s="21">
        <v>172162</v>
      </c>
      <c r="T190" s="21"/>
      <c r="U190" s="21">
        <v>36512</v>
      </c>
      <c r="V190" s="21">
        <v>40348</v>
      </c>
      <c r="W190" s="21">
        <v>42486</v>
      </c>
      <c r="X190" s="21">
        <v>52816</v>
      </c>
      <c r="Y190" s="21">
        <v>41578</v>
      </c>
      <c r="Z190" s="21">
        <v>46780</v>
      </c>
      <c r="AA190" s="21">
        <v>46492</v>
      </c>
      <c r="AC190" s="62">
        <f t="shared" si="187"/>
        <v>187666</v>
      </c>
    </row>
    <row r="191" spans="1:31" x14ac:dyDescent="0.2">
      <c r="B191" s="20" t="s">
        <v>418</v>
      </c>
      <c r="C191" s="21"/>
      <c r="D191" s="21"/>
      <c r="E191" s="21"/>
      <c r="F191" s="21"/>
      <c r="G191" s="21"/>
      <c r="H191" s="21"/>
      <c r="I191" s="21"/>
      <c r="J191" s="21"/>
      <c r="K191" s="21"/>
      <c r="L191" s="21"/>
      <c r="M191" s="21">
        <v>31160</v>
      </c>
      <c r="N191" s="21">
        <v>37739</v>
      </c>
      <c r="O191" s="21">
        <v>46906</v>
      </c>
      <c r="P191" s="21">
        <v>56214</v>
      </c>
      <c r="Q191" s="21">
        <v>68635</v>
      </c>
      <c r="T191" s="21"/>
      <c r="U191" s="21">
        <v>13921</v>
      </c>
      <c r="V191" s="21">
        <v>15694</v>
      </c>
      <c r="W191" s="21">
        <v>17703</v>
      </c>
      <c r="X191" s="21">
        <v>21317</v>
      </c>
      <c r="Y191" s="21">
        <v>17243</v>
      </c>
      <c r="Z191" s="21">
        <v>19809</v>
      </c>
      <c r="AA191" s="21">
        <v>19637</v>
      </c>
      <c r="AC191" s="62">
        <f t="shared" si="187"/>
        <v>78006</v>
      </c>
    </row>
    <row r="192" spans="1:31" x14ac:dyDescent="0.2">
      <c r="B192" s="20" t="s">
        <v>100</v>
      </c>
      <c r="C192" s="62"/>
      <c r="D192" s="62"/>
      <c r="E192" s="62"/>
      <c r="F192" s="62"/>
      <c r="G192" s="62"/>
      <c r="H192" s="62"/>
      <c r="I192" s="62"/>
      <c r="J192" s="62"/>
      <c r="K192" s="62"/>
      <c r="L192" s="21"/>
      <c r="M192" s="21">
        <v>31768</v>
      </c>
      <c r="N192" s="21">
        <v>35218</v>
      </c>
      <c r="O192" s="21">
        <v>40209</v>
      </c>
      <c r="P192" s="21">
        <v>44374</v>
      </c>
      <c r="Q192" s="21">
        <v>49619</v>
      </c>
      <c r="T192" s="21"/>
      <c r="U192" s="21">
        <v>11715</v>
      </c>
      <c r="V192" s="21">
        <v>12208</v>
      </c>
      <c r="W192" s="21">
        <v>12574</v>
      </c>
      <c r="X192" s="21">
        <v>13122</v>
      </c>
      <c r="Y192" s="21">
        <v>13427</v>
      </c>
      <c r="Z192" s="21">
        <v>13730</v>
      </c>
      <c r="AA192" s="21">
        <v>14006</v>
      </c>
      <c r="AC192" s="62">
        <f t="shared" si="187"/>
        <v>54285</v>
      </c>
    </row>
    <row r="193" spans="2:29" x14ac:dyDescent="0.2">
      <c r="B193" s="20" t="s">
        <v>420</v>
      </c>
      <c r="C193" s="62"/>
      <c r="D193" s="62"/>
      <c r="E193" s="62"/>
      <c r="F193" s="62"/>
      <c r="G193" s="62"/>
      <c r="H193" s="62"/>
      <c r="I193" s="62"/>
      <c r="J193" s="62"/>
      <c r="K193" s="62"/>
      <c r="L193" s="21"/>
      <c r="M193" s="21">
        <v>2176</v>
      </c>
      <c r="N193" s="21">
        <v>4247</v>
      </c>
      <c r="O193" s="21">
        <v>4958</v>
      </c>
      <c r="P193" s="21">
        <v>5425</v>
      </c>
      <c r="Q193" s="21">
        <v>5935</v>
      </c>
      <c r="T193" s="21"/>
      <c r="U193" s="21">
        <v>1312</v>
      </c>
      <c r="V193" s="21">
        <v>1499</v>
      </c>
      <c r="W193" s="21">
        <v>1415</v>
      </c>
      <c r="X193" s="21">
        <v>1709</v>
      </c>
      <c r="Y193" s="21">
        <v>1645</v>
      </c>
      <c r="Z193" s="21">
        <v>1829</v>
      </c>
      <c r="AA193" s="21">
        <v>1645</v>
      </c>
      <c r="AC193" s="62">
        <f t="shared" si="187"/>
        <v>6828</v>
      </c>
    </row>
    <row r="194" spans="2:29" s="16" customFormat="1" x14ac:dyDescent="0.2">
      <c r="B194" s="32" t="s">
        <v>421</v>
      </c>
      <c r="C194" s="242"/>
      <c r="D194" s="242"/>
      <c r="E194" s="242"/>
      <c r="F194" s="242"/>
      <c r="G194" s="242"/>
      <c r="H194" s="242"/>
      <c r="I194" s="242"/>
      <c r="J194" s="242"/>
      <c r="K194" s="242"/>
      <c r="L194" s="243"/>
      <c r="M194" s="243">
        <f t="shared" ref="M194:P194" si="188">SUM(M188:M193)</f>
        <v>407620</v>
      </c>
      <c r="N194" s="243">
        <f t="shared" si="188"/>
        <v>433887</v>
      </c>
      <c r="O194" s="243">
        <f t="shared" si="188"/>
        <v>484028</v>
      </c>
      <c r="P194" s="243">
        <f t="shared" si="188"/>
        <v>530403</v>
      </c>
      <c r="Q194" s="243">
        <f>SUM(Q188:Q193)</f>
        <v>588199</v>
      </c>
      <c r="T194" s="243">
        <f t="shared" ref="T194:Z194" si="189">SUM(T188:T193)</f>
        <v>0</v>
      </c>
      <c r="U194" s="243">
        <f t="shared" si="189"/>
        <v>126400</v>
      </c>
      <c r="V194" s="243">
        <f t="shared" si="189"/>
        <v>136829</v>
      </c>
      <c r="W194" s="243">
        <f t="shared" si="189"/>
        <v>147163</v>
      </c>
      <c r="X194" s="243">
        <f t="shared" si="189"/>
        <v>177807</v>
      </c>
      <c r="Y194" s="243">
        <f t="shared" si="189"/>
        <v>143932</v>
      </c>
      <c r="Z194" s="243">
        <f>SUM(Z188:Z193)</f>
        <v>158374</v>
      </c>
      <c r="AA194" s="243">
        <f>SUM(AA188:AA193)</f>
        <v>155960</v>
      </c>
      <c r="AC194" s="242">
        <f t="shared" si="187"/>
        <v>636073</v>
      </c>
    </row>
    <row r="195" spans="2:29" s="16" customFormat="1" x14ac:dyDescent="0.2">
      <c r="B195" s="32" t="s">
        <v>422</v>
      </c>
      <c r="C195" s="243"/>
      <c r="D195" s="243"/>
      <c r="E195" s="243"/>
      <c r="F195" s="243"/>
      <c r="G195" s="243"/>
      <c r="H195" s="243"/>
      <c r="I195" s="243"/>
      <c r="J195" s="243"/>
      <c r="K195" s="243"/>
      <c r="L195" s="243"/>
      <c r="M195" s="243">
        <v>62202</v>
      </c>
      <c r="N195" s="243">
        <v>80096</v>
      </c>
      <c r="O195" s="243">
        <v>90757</v>
      </c>
      <c r="P195" s="243">
        <v>107556</v>
      </c>
      <c r="Q195" s="243">
        <v>128725</v>
      </c>
      <c r="T195" s="243"/>
      <c r="U195" s="243">
        <v>29267</v>
      </c>
      <c r="V195" s="243">
        <v>30837</v>
      </c>
      <c r="W195" s="243">
        <v>33006</v>
      </c>
      <c r="X195" s="243">
        <v>35615</v>
      </c>
      <c r="Y195" s="243">
        <v>37587</v>
      </c>
      <c r="Z195" s="243">
        <v>42232</v>
      </c>
      <c r="AA195" s="243">
        <v>45984</v>
      </c>
      <c r="AC195" s="242">
        <f t="shared" si="187"/>
        <v>161418</v>
      </c>
    </row>
    <row r="196" spans="2:29" x14ac:dyDescent="0.2">
      <c r="C196" s="21"/>
      <c r="D196" s="21"/>
      <c r="E196" s="21"/>
      <c r="F196" s="21"/>
      <c r="G196" s="21"/>
      <c r="H196" s="21"/>
      <c r="I196" s="21"/>
      <c r="J196" s="21"/>
      <c r="K196" s="21"/>
      <c r="L196" s="21"/>
      <c r="M196" s="21"/>
      <c r="N196" s="21"/>
      <c r="O196" s="21"/>
      <c r="P196" s="21"/>
      <c r="Q196" s="21"/>
    </row>
    <row r="197" spans="2:29" x14ac:dyDescent="0.2">
      <c r="B197" s="20" t="s">
        <v>435</v>
      </c>
      <c r="C197" s="21"/>
      <c r="D197" s="21"/>
      <c r="E197" s="21"/>
      <c r="F197" s="21"/>
      <c r="G197" s="21"/>
      <c r="H197" s="21"/>
      <c r="I197" s="21"/>
      <c r="J197" s="21"/>
      <c r="K197" s="21"/>
      <c r="L197" s="21"/>
      <c r="M197" s="21">
        <v>272344</v>
      </c>
      <c r="N197" s="21">
        <v>288831</v>
      </c>
      <c r="O197" s="21">
        <v>304739</v>
      </c>
      <c r="P197" s="21">
        <v>326288</v>
      </c>
      <c r="Q197" s="21">
        <v>356414</v>
      </c>
      <c r="T197" s="21">
        <v>98893</v>
      </c>
      <c r="U197" s="21">
        <v>76976</v>
      </c>
      <c r="V197" s="21">
        <v>80809</v>
      </c>
      <c r="W197" s="21">
        <v>88670</v>
      </c>
      <c r="X197" s="21">
        <v>109959</v>
      </c>
      <c r="Y197" s="21">
        <v>87463</v>
      </c>
      <c r="Z197" s="21">
        <v>95778</v>
      </c>
      <c r="AA197" s="21">
        <v>94573</v>
      </c>
      <c r="AC197" s="62">
        <f t="shared" si="187"/>
        <v>387773</v>
      </c>
    </row>
    <row r="198" spans="2:29" x14ac:dyDescent="0.2">
      <c r="B198" s="20" t="s">
        <v>436</v>
      </c>
      <c r="C198" s="21"/>
      <c r="D198" s="21"/>
      <c r="E198" s="21"/>
      <c r="F198" s="21"/>
      <c r="G198" s="21"/>
      <c r="H198" s="21"/>
      <c r="I198" s="21"/>
      <c r="J198" s="21"/>
      <c r="K198" s="21"/>
      <c r="L198" s="21"/>
      <c r="M198" s="21">
        <v>75111</v>
      </c>
      <c r="N198" s="21">
        <v>84299</v>
      </c>
      <c r="O198" s="21">
        <v>90619</v>
      </c>
      <c r="P198" s="21">
        <v>98505</v>
      </c>
      <c r="Q198" s="21">
        <v>109074</v>
      </c>
      <c r="T198" s="21">
        <v>27962</v>
      </c>
      <c r="U198" s="21">
        <v>24593</v>
      </c>
      <c r="V198" s="21">
        <v>25976</v>
      </c>
      <c r="W198" s="21">
        <v>27679</v>
      </c>
      <c r="X198" s="21">
        <v>30826</v>
      </c>
      <c r="Y198" s="21">
        <v>27289</v>
      </c>
      <c r="Z198" s="21">
        <v>29633</v>
      </c>
      <c r="AA198" s="21">
        <v>29997</v>
      </c>
      <c r="AC198" s="62">
        <f t="shared" si="187"/>
        <v>117745</v>
      </c>
    </row>
    <row r="199" spans="2:29" x14ac:dyDescent="0.2">
      <c r="C199" s="21"/>
      <c r="D199" s="21"/>
      <c r="E199" s="21"/>
      <c r="F199" s="21"/>
      <c r="G199" s="21"/>
      <c r="H199" s="21"/>
      <c r="I199" s="21"/>
      <c r="J199" s="21"/>
      <c r="K199" s="21"/>
      <c r="L199" s="21"/>
      <c r="M199" s="21"/>
      <c r="N199" s="21"/>
      <c r="O199" s="21"/>
      <c r="P199" s="21"/>
      <c r="Q199" s="21"/>
    </row>
    <row r="200" spans="2:29" x14ac:dyDescent="0.2">
      <c r="B200" s="1"/>
      <c r="L200" s="21"/>
      <c r="M200" s="21"/>
      <c r="N200" s="21"/>
      <c r="O200" s="21"/>
      <c r="P200" s="21"/>
      <c r="Q200" s="21"/>
    </row>
    <row r="201" spans="2:29" ht="17" thickBot="1" x14ac:dyDescent="0.25">
      <c r="B201" s="14" t="s">
        <v>312</v>
      </c>
      <c r="C201" s="169"/>
      <c r="D201" s="169"/>
      <c r="E201" s="169"/>
      <c r="F201" s="169"/>
      <c r="G201" s="169"/>
      <c r="H201" s="169"/>
      <c r="I201" s="169"/>
      <c r="J201" s="169"/>
      <c r="K201" s="169"/>
      <c r="L201" s="169"/>
      <c r="M201" s="169"/>
      <c r="N201" s="169"/>
      <c r="O201" s="169"/>
      <c r="P201" s="169"/>
      <c r="Q201" s="169"/>
      <c r="T201" s="169"/>
      <c r="U201" s="169"/>
      <c r="V201" s="169"/>
      <c r="W201" s="169"/>
      <c r="X201" s="169"/>
      <c r="Y201" s="169"/>
      <c r="Z201" s="169"/>
      <c r="AA201" s="169"/>
      <c r="AC201" s="169"/>
    </row>
    <row r="202" spans="2:29" x14ac:dyDescent="0.2">
      <c r="B202" s="20" t="str">
        <f>B188</f>
        <v>Online Stores</v>
      </c>
      <c r="C202" s="81"/>
      <c r="D202" s="81"/>
      <c r="E202" s="81"/>
      <c r="F202" s="81"/>
      <c r="G202" s="81"/>
      <c r="H202" s="81"/>
      <c r="I202" s="81"/>
      <c r="J202" s="81"/>
      <c r="K202" s="81"/>
      <c r="L202" s="81"/>
      <c r="M202" s="81">
        <f t="shared" ref="M202:Q212" si="190">IF(L188=0,
IF(M188=0,0,IF(M188&gt;0,1,-1)),
(M188-L188)/ABS(L188)
)</f>
        <v>1</v>
      </c>
      <c r="N202" s="81">
        <f t="shared" si="190"/>
        <v>-9.3256782618484739E-3</v>
      </c>
      <c r="O202" s="81">
        <f t="shared" si="190"/>
        <v>5.394447373684115E-2</v>
      </c>
      <c r="P202" s="81">
        <f t="shared" si="190"/>
        <v>6.5367961634004962E-2</v>
      </c>
      <c r="Q202" s="81">
        <f t="shared" si="190"/>
        <v>9.0102781454808947E-2</v>
      </c>
      <c r="T202" s="81">
        <f t="shared" ref="T202:T209" si="191">IF(S188=0,
IF(T188=0,0,IF(T188&gt;0,1,-1)),
(T188-S188)/ABS(S188)
)</f>
        <v>0</v>
      </c>
      <c r="U202" s="81">
        <f t="shared" ref="U202:U209" si="192">IF(T188=0,
IF(U188=0,0,IF(U188&gt;0,1,-1)),
(U188-T188)/ABS(T188)
)</f>
        <v>1</v>
      </c>
      <c r="V202" s="81">
        <f t="shared" ref="V202:V209" si="193">IF(U188=0,
IF(V188=0,0,IF(V188&gt;0,1,-1)),
(V188-U188)/ABS(U188)
)</f>
        <v>7.1036633163203092E-2</v>
      </c>
      <c r="W202" s="81">
        <f t="shared" ref="W202:W209" si="194">IF(V188=0,
IF(W188=0,0,IF(W188&gt;0,1,-1)),
(W188-V188)/ABS(V188)
)</f>
        <v>9.6316174676750424E-2</v>
      </c>
      <c r="X202" s="81">
        <f t="shared" ref="X202:X209" si="195">IF(W188=0,
IF(X188=0,0,IF(X188&gt;0,1,-1)),
(X188-W188)/ABS(W188)
)</f>
        <v>0.23114810034566144</v>
      </c>
      <c r="Y202" s="81">
        <f t="shared" ref="Y202:Y209" si="196">IF(X188=0,
IF(Y188=0,0,IF(Y188&gt;0,1,-1)),
(Y188-X188)/ABS(X188)
)</f>
        <v>-0.22574348098520269</v>
      </c>
      <c r="Z202" s="81">
        <f t="shared" ref="Z202:Z209" si="197">IF(Y188=0,
IF(Z188=0,0,IF(Z188&gt;0,1,-1)),
(Z188-Y188)/ABS(Y188)
)</f>
        <v>9.6149656052541471E-2</v>
      </c>
      <c r="AA202" s="81">
        <f t="shared" ref="AA202:AA209" si="198">IF(Z188=0,
IF(AA188=0,0,IF(AA188&gt;0,1,-1)),
(AA188-Z188)/ABS(Z188)
)</f>
        <v>-2.7856656065424808E-2</v>
      </c>
      <c r="AC202" s="49"/>
    </row>
    <row r="203" spans="2:29" x14ac:dyDescent="0.2">
      <c r="B203" s="20" t="str">
        <f t="shared" ref="B203:B209" si="199">B189</f>
        <v>Physical Stores</v>
      </c>
      <c r="M203" s="81">
        <f t="shared" si="190"/>
        <v>1</v>
      </c>
      <c r="N203" s="81">
        <f t="shared" si="190"/>
        <v>0.1105710102489019</v>
      </c>
      <c r="O203" s="81">
        <f t="shared" si="190"/>
        <v>5.626746822760112E-2</v>
      </c>
      <c r="P203" s="81">
        <f t="shared" si="190"/>
        <v>5.9161258112830753E-2</v>
      </c>
      <c r="Q203" s="81">
        <f t="shared" si="190"/>
        <v>6.3445675229790249E-2</v>
      </c>
      <c r="T203" s="81">
        <f t="shared" si="191"/>
        <v>0</v>
      </c>
      <c r="U203" s="81">
        <f t="shared" si="192"/>
        <v>1</v>
      </c>
      <c r="V203" s="81">
        <f t="shared" si="193"/>
        <v>1.1205494306885957E-2</v>
      </c>
      <c r="W203" s="81">
        <f t="shared" si="194"/>
        <v>-3.0384271671134943E-3</v>
      </c>
      <c r="X203" s="81">
        <f t="shared" si="195"/>
        <v>4.9659376120473289E-2</v>
      </c>
      <c r="Y203" s="81">
        <f t="shared" si="196"/>
        <v>-1.1955593509820665E-2</v>
      </c>
      <c r="Z203" s="81">
        <f t="shared" si="197"/>
        <v>1.5557476231633535E-3</v>
      </c>
      <c r="AA203" s="81">
        <f t="shared" si="198"/>
        <v>-1.4497756299620296E-2</v>
      </c>
      <c r="AC203" s="49"/>
    </row>
    <row r="204" spans="2:29" x14ac:dyDescent="0.2">
      <c r="B204" s="20" t="str">
        <f t="shared" si="199"/>
        <v>Third party seller services</v>
      </c>
      <c r="M204" s="81">
        <f t="shared" si="190"/>
        <v>1</v>
      </c>
      <c r="N204" s="81">
        <f t="shared" si="190"/>
        <v>0.13882708047133488</v>
      </c>
      <c r="O204" s="81">
        <f t="shared" si="190"/>
        <v>0.18975330456352577</v>
      </c>
      <c r="P204" s="81">
        <f t="shared" si="190"/>
        <v>0.11490649968226314</v>
      </c>
      <c r="Q204" s="81">
        <f t="shared" si="190"/>
        <v>0.10257067103864333</v>
      </c>
      <c r="T204" s="81">
        <f t="shared" si="191"/>
        <v>0</v>
      </c>
      <c r="U204" s="81">
        <f t="shared" si="192"/>
        <v>1</v>
      </c>
      <c r="V204" s="81">
        <f t="shared" si="193"/>
        <v>0.10506134969325154</v>
      </c>
      <c r="W204" s="81">
        <f t="shared" si="194"/>
        <v>5.298899573708734E-2</v>
      </c>
      <c r="X204" s="81">
        <f t="shared" si="195"/>
        <v>0.24313891634891494</v>
      </c>
      <c r="Y204" s="81">
        <f t="shared" si="196"/>
        <v>-0.21277643138442895</v>
      </c>
      <c r="Z204" s="81">
        <f t="shared" si="197"/>
        <v>0.12511424310933666</v>
      </c>
      <c r="AA204" s="81">
        <f t="shared" si="198"/>
        <v>-6.1564771269773406E-3</v>
      </c>
      <c r="AC204" s="49"/>
    </row>
    <row r="205" spans="2:29" x14ac:dyDescent="0.2">
      <c r="B205" s="20" t="str">
        <f t="shared" si="199"/>
        <v>Advertising services</v>
      </c>
      <c r="M205" s="81">
        <f t="shared" si="190"/>
        <v>1</v>
      </c>
      <c r="N205" s="81">
        <f t="shared" ref="N205:N209" si="200">IF(M191=0,
IF(N191=0,0,IF(N191&gt;0,1,-1)),
(N191-M191)/ABS(M191)
)</f>
        <v>0.21113607188703465</v>
      </c>
      <c r="O205" s="81">
        <f t="shared" ref="O205:O209" si="201">IF(N191=0,
IF(O191=0,0,IF(O191&gt;0,1,-1)),
(O191-N191)/ABS(N191)
)</f>
        <v>0.2429052174143459</v>
      </c>
      <c r="P205" s="81">
        <f t="shared" ref="P205:P209" si="202">IF(O191=0,
IF(P191=0,0,IF(P191&gt;0,1,-1)),
(P191-O191)/ABS(O191)
)</f>
        <v>0.19843943205560055</v>
      </c>
      <c r="Q205" s="81">
        <f t="shared" ref="Q205:Q209" si="203">IF(P191=0,
IF(Q191=0,0,IF(Q191&gt;0,1,-1)),
(Q191-P191)/ABS(P191)
)</f>
        <v>0.22095919166044045</v>
      </c>
      <c r="T205" s="81">
        <f t="shared" si="191"/>
        <v>0</v>
      </c>
      <c r="U205" s="81">
        <f t="shared" si="192"/>
        <v>1</v>
      </c>
      <c r="V205" s="81">
        <f t="shared" si="193"/>
        <v>0.1273615401192443</v>
      </c>
      <c r="W205" s="81">
        <f t="shared" si="194"/>
        <v>0.1280107047279215</v>
      </c>
      <c r="X205" s="81">
        <f t="shared" si="195"/>
        <v>0.20414618991131447</v>
      </c>
      <c r="Y205" s="81">
        <f t="shared" si="196"/>
        <v>-0.19111507247736548</v>
      </c>
      <c r="Z205" s="81">
        <f t="shared" si="197"/>
        <v>0.14881401148292062</v>
      </c>
      <c r="AA205" s="81">
        <f t="shared" si="198"/>
        <v>-8.6829219041849662E-3</v>
      </c>
      <c r="AC205" s="49"/>
    </row>
    <row r="206" spans="2:29" x14ac:dyDescent="0.2">
      <c r="B206" s="20" t="str">
        <f t="shared" si="199"/>
        <v>Subscription services</v>
      </c>
      <c r="M206" s="81">
        <f t="shared" si="190"/>
        <v>1</v>
      </c>
      <c r="N206" s="81">
        <f t="shared" si="200"/>
        <v>0.10859984890455805</v>
      </c>
      <c r="O206" s="81">
        <f t="shared" si="201"/>
        <v>0.14171730365154184</v>
      </c>
      <c r="P206" s="81">
        <f t="shared" si="202"/>
        <v>0.10358377477679126</v>
      </c>
      <c r="Q206" s="81">
        <f t="shared" si="203"/>
        <v>0.11819984675711002</v>
      </c>
      <c r="T206" s="81">
        <f t="shared" si="191"/>
        <v>0</v>
      </c>
      <c r="U206" s="81">
        <f t="shared" si="192"/>
        <v>1</v>
      </c>
      <c r="V206" s="81">
        <f t="shared" si="193"/>
        <v>4.2082799829278705E-2</v>
      </c>
      <c r="W206" s="81">
        <f t="shared" si="194"/>
        <v>2.9980340760157275E-2</v>
      </c>
      <c r="X206" s="81">
        <f t="shared" si="195"/>
        <v>4.3581994592015269E-2</v>
      </c>
      <c r="Y206" s="81">
        <f t="shared" si="196"/>
        <v>2.3243408017070567E-2</v>
      </c>
      <c r="Z206" s="81">
        <f t="shared" si="197"/>
        <v>2.2566470544425413E-2</v>
      </c>
      <c r="AA206" s="81">
        <f t="shared" si="198"/>
        <v>2.0101966496722506E-2</v>
      </c>
      <c r="AC206" s="49"/>
    </row>
    <row r="207" spans="2:29" x14ac:dyDescent="0.2">
      <c r="B207" s="20" t="str">
        <f t="shared" si="199"/>
        <v>Other</v>
      </c>
      <c r="M207" s="81">
        <f t="shared" si="190"/>
        <v>1</v>
      </c>
      <c r="N207" s="81">
        <f t="shared" si="200"/>
        <v>0.9517463235294118</v>
      </c>
      <c r="O207" s="81">
        <f t="shared" si="201"/>
        <v>0.16741229102896163</v>
      </c>
      <c r="P207" s="81">
        <f t="shared" si="202"/>
        <v>9.419120613150464E-2</v>
      </c>
      <c r="Q207" s="81">
        <f t="shared" si="203"/>
        <v>9.4009216589861749E-2</v>
      </c>
      <c r="T207" s="81">
        <f t="shared" si="191"/>
        <v>0</v>
      </c>
      <c r="U207" s="81">
        <f t="shared" si="192"/>
        <v>1</v>
      </c>
      <c r="V207" s="81">
        <f t="shared" si="193"/>
        <v>0.14253048780487804</v>
      </c>
      <c r="W207" s="81">
        <f t="shared" si="194"/>
        <v>-5.6037358238825885E-2</v>
      </c>
      <c r="X207" s="81">
        <f t="shared" si="195"/>
        <v>0.207773851590106</v>
      </c>
      <c r="Y207" s="81">
        <f t="shared" si="196"/>
        <v>-3.7448800468110006E-2</v>
      </c>
      <c r="Z207" s="81">
        <f t="shared" si="197"/>
        <v>0.11185410334346504</v>
      </c>
      <c r="AA207" s="81">
        <f t="shared" si="198"/>
        <v>-0.10060142154182614</v>
      </c>
      <c r="AC207" s="49"/>
    </row>
    <row r="208" spans="2:29" s="16" customFormat="1" x14ac:dyDescent="0.2">
      <c r="B208" s="32" t="str">
        <f t="shared" si="199"/>
        <v>Retail</v>
      </c>
      <c r="M208" s="244">
        <f t="shared" si="190"/>
        <v>1</v>
      </c>
      <c r="N208" s="244">
        <f t="shared" si="200"/>
        <v>6.4439919532898293E-2</v>
      </c>
      <c r="O208" s="244">
        <f t="shared" si="201"/>
        <v>0.11556234687833468</v>
      </c>
      <c r="P208" s="244">
        <f t="shared" si="202"/>
        <v>9.5810572942061203E-2</v>
      </c>
      <c r="Q208" s="244">
        <f t="shared" si="203"/>
        <v>0.108966201171562</v>
      </c>
      <c r="T208" s="244">
        <f t="shared" si="191"/>
        <v>0</v>
      </c>
      <c r="U208" s="244">
        <f t="shared" si="192"/>
        <v>1</v>
      </c>
      <c r="V208" s="244">
        <f t="shared" si="193"/>
        <v>8.250791139240507E-2</v>
      </c>
      <c r="W208" s="244">
        <f t="shared" si="194"/>
        <v>7.5524925271689483E-2</v>
      </c>
      <c r="X208" s="244">
        <f t="shared" si="195"/>
        <v>0.20823168867174494</v>
      </c>
      <c r="Y208" s="244">
        <f t="shared" si="196"/>
        <v>-0.19051555900498857</v>
      </c>
      <c r="Z208" s="244">
        <f t="shared" si="197"/>
        <v>0.10033904899535892</v>
      </c>
      <c r="AA208" s="244">
        <f t="shared" si="198"/>
        <v>-1.5242400899137485E-2</v>
      </c>
      <c r="AC208" s="47"/>
    </row>
    <row r="209" spans="2:29" s="16" customFormat="1" x14ac:dyDescent="0.2">
      <c r="B209" s="32" t="str">
        <f t="shared" si="199"/>
        <v>AWS</v>
      </c>
      <c r="M209" s="244">
        <f t="shared" si="190"/>
        <v>1</v>
      </c>
      <c r="N209" s="244">
        <f t="shared" si="200"/>
        <v>0.28767563743931063</v>
      </c>
      <c r="O209" s="244">
        <f t="shared" si="201"/>
        <v>0.13310277666799841</v>
      </c>
      <c r="P209" s="244">
        <f t="shared" si="202"/>
        <v>0.18509867007503553</v>
      </c>
      <c r="Q209" s="244">
        <f t="shared" si="203"/>
        <v>0.19681840157685299</v>
      </c>
      <c r="T209" s="244">
        <f t="shared" si="191"/>
        <v>0</v>
      </c>
      <c r="U209" s="244">
        <f t="shared" si="192"/>
        <v>1</v>
      </c>
      <c r="V209" s="244">
        <f t="shared" si="193"/>
        <v>5.3644035944920898E-2</v>
      </c>
      <c r="W209" s="244">
        <f t="shared" si="194"/>
        <v>7.0337581476797348E-2</v>
      </c>
      <c r="X209" s="244">
        <f t="shared" si="195"/>
        <v>7.9046234018057326E-2</v>
      </c>
      <c r="Y209" s="244">
        <f t="shared" si="196"/>
        <v>5.5369928400954657E-2</v>
      </c>
      <c r="Z209" s="244">
        <f t="shared" si="197"/>
        <v>0.12357996115678294</v>
      </c>
      <c r="AA209" s="244">
        <f t="shared" si="198"/>
        <v>8.8842583822693694E-2</v>
      </c>
      <c r="AC209" s="47"/>
    </row>
    <row r="211" spans="2:29" x14ac:dyDescent="0.2">
      <c r="B211" s="20" t="str">
        <f>B197</f>
        <v>Cost of Sales COGS</v>
      </c>
      <c r="M211" s="81">
        <f t="shared" si="190"/>
        <v>1</v>
      </c>
      <c r="N211" s="81">
        <f t="shared" ref="N211:N212" si="204">IF(M197=0,
IF(N197=0,0,IF(N197&gt;0,1,-1)),
(N197-M197)/ABS(M197)
)</f>
        <v>6.0537408571512498E-2</v>
      </c>
      <c r="O211" s="81">
        <f t="shared" ref="O211:O212" si="205">IF(N197=0,
IF(O197=0,0,IF(O197&gt;0,1,-1)),
(O197-N197)/ABS(N197)
)</f>
        <v>5.50771904677822E-2</v>
      </c>
      <c r="P211" s="81">
        <f t="shared" ref="P211:P212" si="206">IF(O197=0,
IF(P197=0,0,IF(P197&gt;0,1,-1)),
(P197-O197)/ABS(O197)
)</f>
        <v>7.0712970771709557E-2</v>
      </c>
      <c r="Q211" s="81">
        <f t="shared" ref="Q211:Q212" si="207">IF(P197=0,
IF(Q197=0,0,IF(Q197&gt;0,1,-1)),
(Q197-P197)/ABS(P197)
)</f>
        <v>9.2329475800519784E-2</v>
      </c>
      <c r="T211" s="81">
        <f t="shared" ref="T211:T212" si="208">IF(S197=0,
IF(T197=0,0,IF(T197&gt;0,1,-1)),
(T197-S197)/ABS(S197)
)</f>
        <v>1</v>
      </c>
      <c r="U211" s="81">
        <f t="shared" ref="U211:U212" si="209">IF(T197=0,
IF(U197=0,0,IF(U197&gt;0,1,-1)),
(U197-T197)/ABS(T197)
)</f>
        <v>-0.22162337071380178</v>
      </c>
      <c r="V211" s="81">
        <f t="shared" ref="V211:V212" si="210">IF(U197=0,
IF(V197=0,0,IF(V197&gt;0,1,-1)),
(V197-U197)/ABS(U197)
)</f>
        <v>4.9794741218041984E-2</v>
      </c>
      <c r="W211" s="81">
        <f t="shared" ref="W211:W212" si="211">IF(V197=0,
IF(W197=0,0,IF(W197&gt;0,1,-1)),
(W197-V197)/ABS(V197)
)</f>
        <v>9.7278768454008832E-2</v>
      </c>
      <c r="X211" s="81">
        <f t="shared" ref="X211:X212" si="212">IF(W197=0,
IF(X197=0,0,IF(X197&gt;0,1,-1)),
(X197-W197)/ABS(W197)
)</f>
        <v>0.24009247772640127</v>
      </c>
      <c r="Y211" s="81">
        <f t="shared" ref="Y211:Y212" si="213">IF(X197=0,
IF(Y197=0,0,IF(Y197&gt;0,1,-1)),
(Y197-X197)/ABS(X197)
)</f>
        <v>-0.20458534544693932</v>
      </c>
      <c r="Z211" s="81">
        <f t="shared" ref="Z211:Z212" si="214">IF(Y197=0,
IF(Z197=0,0,IF(Z197&gt;0,1,-1)),
(Z197-Y197)/ABS(Y197)
)</f>
        <v>9.5068771937848004E-2</v>
      </c>
      <c r="AA211" s="81">
        <f t="shared" ref="AA211:AA212" si="215">IF(Z197=0,
IF(AA197=0,0,IF(AA197&gt;0,1,-1)),
(AA197-Z197)/ABS(Z197)
)</f>
        <v>-1.2581177305853118E-2</v>
      </c>
    </row>
    <row r="212" spans="2:29" x14ac:dyDescent="0.2">
      <c r="B212" s="20" t="str">
        <f>B198</f>
        <v>Fulfillment COGS</v>
      </c>
      <c r="M212" s="81">
        <f t="shared" si="190"/>
        <v>1</v>
      </c>
      <c r="N212" s="81">
        <f t="shared" si="204"/>
        <v>0.12232562474204843</v>
      </c>
      <c r="O212" s="81">
        <f t="shared" si="205"/>
        <v>7.4971233347963795E-2</v>
      </c>
      <c r="P212" s="81">
        <f t="shared" si="206"/>
        <v>8.7023692603096475E-2</v>
      </c>
      <c r="Q212" s="81">
        <f t="shared" si="207"/>
        <v>0.10729404598751333</v>
      </c>
      <c r="T212" s="81">
        <f t="shared" si="208"/>
        <v>1</v>
      </c>
      <c r="U212" s="81">
        <f t="shared" si="209"/>
        <v>-0.12048494385237107</v>
      </c>
      <c r="V212" s="81">
        <f t="shared" si="210"/>
        <v>5.6235514170698976E-2</v>
      </c>
      <c r="W212" s="81">
        <f t="shared" si="211"/>
        <v>6.5560517400677545E-2</v>
      </c>
      <c r="X212" s="81">
        <f t="shared" si="212"/>
        <v>0.1136963040572275</v>
      </c>
      <c r="Y212" s="81">
        <f t="shared" si="213"/>
        <v>-0.11474080321806267</v>
      </c>
      <c r="Z212" s="81">
        <f t="shared" si="214"/>
        <v>8.5895415735277952E-2</v>
      </c>
      <c r="AA212" s="81">
        <f t="shared" si="215"/>
        <v>1.2283602740188304E-2</v>
      </c>
    </row>
    <row r="214" spans="2:29" x14ac:dyDescent="0.2">
      <c r="B214" s="1"/>
    </row>
    <row r="215" spans="2:29" ht="17" thickBot="1" x14ac:dyDescent="0.25">
      <c r="B215" s="14" t="s">
        <v>313</v>
      </c>
      <c r="C215" s="169"/>
      <c r="D215" s="169"/>
      <c r="E215" s="169"/>
      <c r="F215" s="169"/>
      <c r="G215" s="169"/>
      <c r="H215" s="169"/>
      <c r="I215" s="169"/>
      <c r="J215" s="169"/>
      <c r="K215" s="169"/>
      <c r="L215" s="169"/>
      <c r="M215" s="169"/>
      <c r="N215" s="169"/>
      <c r="O215" s="169"/>
      <c r="P215" s="169"/>
      <c r="Q215" s="169"/>
      <c r="T215" s="169"/>
      <c r="U215" s="169"/>
      <c r="V215" s="169"/>
      <c r="W215" s="169"/>
      <c r="X215" s="169"/>
      <c r="Y215" s="169"/>
      <c r="Z215" s="169"/>
      <c r="AA215" s="169"/>
      <c r="AC215" s="169"/>
    </row>
    <row r="216" spans="2:29" x14ac:dyDescent="0.2">
      <c r="B216" s="20" t="s">
        <v>285</v>
      </c>
      <c r="C216" s="81"/>
      <c r="D216" s="81"/>
      <c r="E216" s="81"/>
      <c r="F216" s="81"/>
      <c r="G216" s="81"/>
      <c r="H216" s="81"/>
      <c r="I216" s="81"/>
      <c r="J216" s="81"/>
      <c r="K216" s="81"/>
      <c r="L216" s="81"/>
      <c r="M216" s="81">
        <f>IF(L65=0,
IF(M65=0,0,IF(M65&gt;0,1,-1)),
(M65-L65)/L65
)</f>
        <v>0</v>
      </c>
      <c r="N216" s="81">
        <f>IF(M65=0,
IF(N65=0,0,IF(N65&gt;0,1,-1)),
(N65-M65)/M65
)</f>
        <v>0</v>
      </c>
      <c r="O216" s="81">
        <f>IF(N65=0,
IF(O65=0,0,IF(O65&gt;0,1,-1)),
(O65-N65)/N65
)</f>
        <v>0</v>
      </c>
      <c r="P216" s="81">
        <f>IF(O65=0,
IF(P65=0,0,IF(P65&gt;0,1,-1)),
(P65-O65)/O65
)</f>
        <v>0</v>
      </c>
      <c r="Q216" s="81">
        <f>IF(P65=0,
IF(Q65=0,0,IF(Q65&gt;0,1,-1)),
(Q65-P65)/P65
)</f>
        <v>0</v>
      </c>
      <c r="T216" s="49"/>
      <c r="U216" s="49"/>
      <c r="V216" s="49"/>
      <c r="W216" s="49"/>
      <c r="X216" s="49"/>
      <c r="Y216" s="49"/>
      <c r="Z216" s="49"/>
      <c r="AA216" s="49"/>
      <c r="AC216" s="49"/>
    </row>
    <row r="218" spans="2:29" x14ac:dyDescent="0.2">
      <c r="B218" s="1"/>
    </row>
    <row r="219" spans="2:29" ht="17" thickBot="1" x14ac:dyDescent="0.25">
      <c r="B219" s="14" t="s">
        <v>347</v>
      </c>
      <c r="C219" s="169"/>
      <c r="D219" s="169"/>
      <c r="E219" s="169"/>
      <c r="F219" s="169"/>
      <c r="G219" s="169"/>
      <c r="H219" s="169"/>
      <c r="I219" s="169"/>
      <c r="J219" s="169"/>
      <c r="K219" s="169"/>
      <c r="L219" s="169"/>
      <c r="M219" s="169"/>
      <c r="N219" s="169"/>
      <c r="O219" s="169"/>
      <c r="P219" s="169"/>
      <c r="Q219" s="169"/>
      <c r="T219" s="169"/>
      <c r="U219" s="169"/>
      <c r="V219" s="169"/>
      <c r="W219" s="169"/>
      <c r="X219" s="169"/>
      <c r="Y219" s="169"/>
      <c r="Z219" s="169"/>
      <c r="AA219" s="169"/>
      <c r="AC219" s="169"/>
    </row>
    <row r="220" spans="2:29" x14ac:dyDescent="0.2">
      <c r="B220" s="20" t="s">
        <v>348</v>
      </c>
      <c r="M220" s="143">
        <v>100</v>
      </c>
      <c r="N220" s="143">
        <f>100*(1+((N118-$M118)/ABS($M118)))</f>
        <v>50.377879078694818</v>
      </c>
      <c r="O220" s="143">
        <f t="shared" ref="O220:Q220" si="216">100*(1+((O118-$M118)/ABS($M118)))</f>
        <v>91.134836852207286</v>
      </c>
      <c r="P220" s="143">
        <f t="shared" si="216"/>
        <v>131.5918905950096</v>
      </c>
      <c r="Q220" s="143">
        <f t="shared" si="216"/>
        <v>138.44769673704414</v>
      </c>
      <c r="T220" s="49"/>
      <c r="U220" s="49"/>
      <c r="V220" s="49"/>
      <c r="W220" s="49"/>
      <c r="X220" s="49"/>
      <c r="Y220" s="49"/>
      <c r="Z220" s="49"/>
      <c r="AA220" s="49"/>
      <c r="AC220" s="49"/>
    </row>
    <row r="221" spans="2:29" x14ac:dyDescent="0.2">
      <c r="B221" s="20" t="s">
        <v>349</v>
      </c>
      <c r="M221" s="143">
        <v>100</v>
      </c>
      <c r="N221" s="143">
        <f>100*(1+((N5-$M5)/ABS($M5)))</f>
        <v>109.39951726398509</v>
      </c>
      <c r="O221" s="143">
        <f t="shared" ref="O221:Q221" si="217">100*(1+((O5-$M5)/ABS($M5)))</f>
        <v>122.34101425646308</v>
      </c>
      <c r="P221" s="143">
        <f t="shared" si="217"/>
        <v>135.7873833068694</v>
      </c>
      <c r="Q221" s="143">
        <f t="shared" si="217"/>
        <v>152.59481250345877</v>
      </c>
      <c r="T221" s="49"/>
      <c r="U221" s="49"/>
      <c r="V221" s="49"/>
      <c r="W221" s="49"/>
      <c r="X221" s="49"/>
      <c r="Y221" s="49"/>
      <c r="Z221" s="49"/>
      <c r="AA221" s="49"/>
      <c r="AC221" s="49"/>
    </row>
    <row r="222" spans="2:29" x14ac:dyDescent="0.2">
      <c r="B222" s="20" t="s">
        <v>350</v>
      </c>
      <c r="M222" s="143">
        <v>100</v>
      </c>
      <c r="N222" s="143">
        <f>100*(1+((N27-$M27)/ABS($M27)))</f>
        <v>51.584719108330532</v>
      </c>
      <c r="O222" s="143">
        <f t="shared" ref="O222:Q222" si="218">100*(1+((O27-$M27)/ABS($M27)))</f>
        <v>136.72680648411026</v>
      </c>
      <c r="P222" s="143">
        <f t="shared" si="218"/>
        <v>260.72387581280339</v>
      </c>
      <c r="Q222" s="143">
        <f t="shared" si="218"/>
        <v>281.61150684360018</v>
      </c>
      <c r="T222" s="49"/>
      <c r="U222" s="49"/>
      <c r="V222" s="49"/>
      <c r="W222" s="49"/>
      <c r="X222" s="49"/>
      <c r="Y222" s="49"/>
      <c r="Z222" s="49"/>
      <c r="AA222" s="49"/>
      <c r="AC222" s="49"/>
    </row>
    <row r="224" spans="2:29" x14ac:dyDescent="0.2">
      <c r="B224" s="1"/>
    </row>
    <row r="225" spans="1:31" s="15" customFormat="1" ht="17" thickBot="1" x14ac:dyDescent="0.25">
      <c r="A225" s="11"/>
      <c r="B225" s="14" t="s">
        <v>111</v>
      </c>
      <c r="R225" s="1"/>
      <c r="S225" s="1"/>
      <c r="AB225" s="1"/>
      <c r="AD225" s="1"/>
      <c r="AE225" s="1"/>
    </row>
    <row r="226" spans="1:31" x14ac:dyDescent="0.2">
      <c r="C226" s="62"/>
      <c r="D226" s="62"/>
      <c r="E226" s="62"/>
      <c r="F226" s="62"/>
      <c r="G226" s="62"/>
      <c r="H226" s="62"/>
      <c r="I226" s="62"/>
      <c r="J226" s="62"/>
      <c r="K226" s="62"/>
      <c r="L226" s="62"/>
      <c r="M226" s="62"/>
      <c r="N226" s="62"/>
      <c r="O226" s="62"/>
      <c r="P226" s="62"/>
      <c r="Q226" s="62"/>
      <c r="T226" s="62"/>
      <c r="U226" s="62"/>
      <c r="V226" s="62"/>
      <c r="W226" s="62"/>
      <c r="X226" s="62"/>
      <c r="Y226" s="62"/>
      <c r="Z226" s="62"/>
      <c r="AA226" s="62"/>
      <c r="AC226" s="62"/>
    </row>
    <row r="227" spans="1:31" x14ac:dyDescent="0.2">
      <c r="B227" s="1"/>
    </row>
  </sheetData>
  <pageMargins left="0.7" right="0.7" top="0.75" bottom="0.75" header="0.3" footer="0.3"/>
  <ignoredErrors>
    <ignoredError sqref="AC24 AC82 AC54:AC58 AC60:AC63 AC12:AC20 AC65:AC67 AC5:AC10" formulaRange="1"/>
    <ignoredError sqref="AC21:AC22 AC25:AC26" formula="1" formulaRange="1"/>
    <ignoredError sqref="M125:Q125"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7.5" style="1" customWidth="1"/>
    <col min="9" max="16384" width="10.83203125" style="1"/>
  </cols>
  <sheetData>
    <row r="5" spans="2:8" x14ac:dyDescent="0.2">
      <c r="H5" s="134" t="s">
        <v>386</v>
      </c>
    </row>
    <row r="6" spans="2:8" x14ac:dyDescent="0.2">
      <c r="H6" s="236" t="s">
        <v>391</v>
      </c>
    </row>
    <row r="7" spans="2:8" x14ac:dyDescent="0.2">
      <c r="H7" s="236" t="s">
        <v>387</v>
      </c>
    </row>
    <row r="8" spans="2:8" x14ac:dyDescent="0.2">
      <c r="H8" s="236" t="s">
        <v>388</v>
      </c>
    </row>
    <row r="9" spans="2:8" x14ac:dyDescent="0.2">
      <c r="H9" s="236" t="s">
        <v>389</v>
      </c>
    </row>
    <row r="10" spans="2:8" x14ac:dyDescent="0.2">
      <c r="H10" s="237" t="s">
        <v>390</v>
      </c>
    </row>
    <row r="13" spans="2:8" s="4" customFormat="1" ht="49" x14ac:dyDescent="0.2">
      <c r="B13" s="3" t="s">
        <v>233</v>
      </c>
    </row>
  </sheetData>
  <hyperlinks>
    <hyperlink ref="H6" location="Overview!B3" display="Overview'!B3" xr:uid="{20744307-6899-E14E-A89E-5997BE08FB99}"/>
    <hyperlink ref="H8" location="'Analysis -&gt;'!B13" display="'Analysis -&gt;'!B13" xr:uid="{453D1AC9-C5D9-6241-AA24-1E2D8C8B273F}"/>
    <hyperlink ref="H9" location="'Forecast -&gt;'!B13" display="'Forecast -&gt;'!B13" xr:uid="{B0D18EE8-BE4D-D941-9CDD-CC1AF0E90E7B}"/>
    <hyperlink ref="H10" location="'Valuation -&gt;'!B13" display="'Valuation -&gt;'!B13" xr:uid="{73679ABD-615E-804F-BFBC-FA733B2672C8}"/>
    <hyperlink ref="H7" location="'Financials -&gt;'!B13" display="'Financials -&gt;'!B13" xr:uid="{8EA60BF0-8D9B-3941-BA1C-F39576F09E3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61"/>
  <sheetViews>
    <sheetView topLeftCell="A50" zoomScale="173" workbookViewId="0">
      <selection activeCell="C61" sqref="C61"/>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275</v>
      </c>
    </row>
    <row r="4" spans="2:7" x14ac:dyDescent="0.2">
      <c r="B4" s="251" t="s">
        <v>234</v>
      </c>
      <c r="C4" s="251"/>
      <c r="E4" s="251" t="s">
        <v>241</v>
      </c>
      <c r="F4" s="251"/>
      <c r="G4" s="251"/>
    </row>
    <row r="5" spans="2:7" x14ac:dyDescent="0.2">
      <c r="B5" s="20" t="s">
        <v>1</v>
      </c>
      <c r="C5" s="170">
        <f ca="1">Overview!C5</f>
        <v>243.79</v>
      </c>
      <c r="E5" s="12"/>
      <c r="F5" s="134" t="s">
        <v>242</v>
      </c>
      <c r="G5" s="134" t="s">
        <v>243</v>
      </c>
    </row>
    <row r="6" spans="2:7" x14ac:dyDescent="0.2">
      <c r="B6" s="20" t="s">
        <v>240</v>
      </c>
      <c r="C6" s="171">
        <f ca="1">Statement!AC154</f>
        <v>2662186.7999999998</v>
      </c>
      <c r="E6" s="20" t="s">
        <v>19</v>
      </c>
      <c r="F6" s="176">
        <f>IF(Statement!M5&lt;=0,"N/A",_xlfn.RRI(4,Statement!M5,Statement!Q5))</f>
        <v>0.11143723551067208</v>
      </c>
      <c r="G6" s="176" t="str">
        <f>IF(Statement!H5&lt;=0,"N/A",_xlfn.RRI(9,Statement!H5,Statement!Q5))</f>
        <v>N/A</v>
      </c>
    </row>
    <row r="7" spans="2:7" x14ac:dyDescent="0.2">
      <c r="B7" s="20" t="s">
        <v>189</v>
      </c>
      <c r="C7" s="171">
        <f ca="1">Statement!AC155</f>
        <v>2721085.8</v>
      </c>
      <c r="E7" s="20" t="s">
        <v>31</v>
      </c>
      <c r="F7" s="176">
        <f>IF(OR(Statement!M19&lt;=0, Statement!Q19&lt;=0), "N/A", _xlfn.RRI(4, Statement!M19, Statement!Q19))</f>
        <v>0.31181471990734488</v>
      </c>
      <c r="G7" s="176" t="str">
        <f>IF(OR(Statement!H19&lt;=0, Statement!Q19&lt;=0), "N/A", _xlfn.RRI(9, Statement!H19, Statement!Q19))</f>
        <v>N/A</v>
      </c>
    </row>
    <row r="8" spans="2:7" x14ac:dyDescent="0.2">
      <c r="B8" s="20" t="s">
        <v>238</v>
      </c>
      <c r="C8" s="172">
        <f ca="1">Statement!AC151</f>
        <v>36.900624085597023</v>
      </c>
      <c r="E8" s="20" t="s">
        <v>244</v>
      </c>
      <c r="F8" s="176">
        <f>IF(OR(Statement!M27&lt;=0, Statement!Q27&lt;=0), "N/A", _xlfn.RRI(4, Statement!M27, Statement!Q27))</f>
        <v>0.29542596939184218</v>
      </c>
      <c r="G8" s="176" t="str">
        <f>IF(OR(Statement!H27&lt;=0, Statement!Q27&lt;=0), "N/A", _xlfn.RRI(9, Statement!H27, Statement!Q27))</f>
        <v>N/A</v>
      </c>
    </row>
    <row r="9" spans="2:7" x14ac:dyDescent="0.2">
      <c r="B9" s="20" t="s">
        <v>202</v>
      </c>
      <c r="C9" s="172">
        <f ca="1">Statement!AC152</f>
        <v>3.3298701838975235</v>
      </c>
      <c r="E9" s="20" t="s">
        <v>245</v>
      </c>
      <c r="F9" s="176" t="str">
        <f>IF(Statement!M83&lt;=0,"N/A",_xlfn.RRI(4,Statement!M83,Statement!Q83))</f>
        <v>N/A</v>
      </c>
      <c r="G9" s="176" t="str">
        <f>IF(Statement!H83&lt;=0,"N/A",_xlfn.RRI(9,Statement!H83,Statement!Q83))</f>
        <v>N/A</v>
      </c>
    </row>
    <row r="10" spans="2:7" x14ac:dyDescent="0.2">
      <c r="B10" s="20" t="s">
        <v>239</v>
      </c>
      <c r="C10" s="172">
        <f ca="1">Statement!AC153</f>
        <v>4.2853889416738236</v>
      </c>
      <c r="E10" s="20" t="s">
        <v>1</v>
      </c>
      <c r="F10" s="176">
        <f>IF(Statement!M118&lt;=0,"N/A",_xlfn.RRI(4,Statement!M118,Statement!Q118))</f>
        <v>8.4729456288380467E-2</v>
      </c>
      <c r="G10" s="176" t="str">
        <f>IF(Statement!H118&lt;=0,"N/A",_xlfn.RRI(9,Statement!H118,Statement!Q118))</f>
        <v>N/A</v>
      </c>
    </row>
    <row r="11" spans="2:7" x14ac:dyDescent="0.2">
      <c r="B11" s="20" t="s">
        <v>261</v>
      </c>
      <c r="C11" s="172">
        <f ca="1">Statement!AC156</f>
        <v>3.4122123505401558</v>
      </c>
    </row>
    <row r="12" spans="2:7" x14ac:dyDescent="0.2">
      <c r="B12" s="20" t="s">
        <v>205</v>
      </c>
      <c r="C12" s="172">
        <f ca="1">Statement!AC157</f>
        <v>26.072531284134676</v>
      </c>
    </row>
    <row r="15" spans="2:7" x14ac:dyDescent="0.2">
      <c r="B15" s="251" t="s">
        <v>77</v>
      </c>
      <c r="C15" s="251"/>
      <c r="E15" s="251" t="s">
        <v>247</v>
      </c>
      <c r="F15" s="251"/>
    </row>
    <row r="16" spans="2:7" x14ac:dyDescent="0.2">
      <c r="B16" s="20" t="s">
        <v>78</v>
      </c>
      <c r="C16" s="173">
        <f>Statement!AC102</f>
        <v>0.36608586064417425</v>
      </c>
      <c r="E16" s="20" t="s">
        <v>31</v>
      </c>
      <c r="F16" s="171">
        <f>Statement!AC19</f>
        <v>71965</v>
      </c>
    </row>
    <row r="17" spans="2:6" x14ac:dyDescent="0.2">
      <c r="B17" s="20" t="s">
        <v>79</v>
      </c>
      <c r="C17" s="173">
        <f>Statement!AC103</f>
        <v>0.13087384241117053</v>
      </c>
      <c r="E17" s="20" t="s">
        <v>248</v>
      </c>
      <c r="F17" s="171">
        <f>Statement!AC60</f>
        <v>168300</v>
      </c>
    </row>
    <row r="18" spans="2:6" x14ac:dyDescent="0.2">
      <c r="B18" s="20" t="s">
        <v>80</v>
      </c>
      <c r="C18" s="173">
        <f>Statement!AC104</f>
        <v>9.0243336614605207E-2</v>
      </c>
      <c r="E18" s="20" t="s">
        <v>255</v>
      </c>
      <c r="F18" s="175">
        <f>IF(OR(F16&lt;=0, F17&lt;=0),"N/A",F16-F17)</f>
        <v>-96335</v>
      </c>
    </row>
    <row r="21" spans="2:6" x14ac:dyDescent="0.2">
      <c r="B21" s="251" t="s">
        <v>246</v>
      </c>
      <c r="C21" s="251"/>
      <c r="E21" s="251" t="s">
        <v>250</v>
      </c>
      <c r="F21" s="251"/>
    </row>
    <row r="22" spans="2:6" x14ac:dyDescent="0.2">
      <c r="B22" s="20" t="s">
        <v>101</v>
      </c>
      <c r="C22" s="173">
        <f>Statement!AC122</f>
        <v>9.0243336614605207E-2</v>
      </c>
      <c r="E22" s="20" t="s">
        <v>103</v>
      </c>
      <c r="F22" s="173">
        <f>C24</f>
        <v>5.7878059176927586E-2</v>
      </c>
    </row>
    <row r="23" spans="2:6" x14ac:dyDescent="0.2">
      <c r="B23" s="20" t="s">
        <v>102</v>
      </c>
      <c r="C23" s="172">
        <f>Statement!AC123</f>
        <v>0.64135548781958995</v>
      </c>
      <c r="E23" s="20" t="s">
        <v>105</v>
      </c>
      <c r="F23" s="173">
        <f>C26</f>
        <v>0.11728305527533363</v>
      </c>
    </row>
    <row r="24" spans="2:6" x14ac:dyDescent="0.2">
      <c r="B24" s="32" t="s">
        <v>103</v>
      </c>
      <c r="C24" s="174">
        <f>Statement!AC124</f>
        <v>5.7878059176927586E-2</v>
      </c>
      <c r="E24" s="20" t="s">
        <v>106</v>
      </c>
      <c r="F24" s="173">
        <f>Statement!AC141</f>
        <v>0.10099663822684149</v>
      </c>
    </row>
    <row r="25" spans="2:6" x14ac:dyDescent="0.2">
      <c r="B25" s="20" t="s">
        <v>104</v>
      </c>
      <c r="C25" s="172">
        <f>Statement!AC125</f>
        <v>2.0263819648273063</v>
      </c>
    </row>
    <row r="26" spans="2:6" x14ac:dyDescent="0.2">
      <c r="B26" s="32" t="s">
        <v>105</v>
      </c>
      <c r="C26" s="174">
        <f>Statement!AC126</f>
        <v>0.11728305527533363</v>
      </c>
    </row>
    <row r="29" spans="2:6" x14ac:dyDescent="0.2">
      <c r="B29" s="251" t="s">
        <v>251</v>
      </c>
      <c r="C29" s="251"/>
      <c r="E29" s="251" t="s">
        <v>257</v>
      </c>
      <c r="F29" s="251"/>
    </row>
    <row r="30" spans="2:6" x14ac:dyDescent="0.2">
      <c r="B30" s="20" t="s">
        <v>140</v>
      </c>
      <c r="C30" s="172">
        <f>Statement!AC142</f>
        <v>44.965960461718844</v>
      </c>
      <c r="E30" s="20" t="s">
        <v>258</v>
      </c>
      <c r="F30" s="178">
        <f>Statement!AC146</f>
        <v>0.28214588959274839</v>
      </c>
    </row>
    <row r="31" spans="2:6" x14ac:dyDescent="0.2">
      <c r="B31" s="20" t="s">
        <v>141</v>
      </c>
      <c r="C31" s="172">
        <f>Statement!AC143</f>
        <v>30.781653670096812</v>
      </c>
      <c r="E31" s="20" t="s">
        <v>259</v>
      </c>
      <c r="F31" s="178">
        <f>Statement!AC147</f>
        <v>9.5989087371109241E-2</v>
      </c>
    </row>
    <row r="32" spans="2:6" x14ac:dyDescent="0.2">
      <c r="B32" s="20" t="s">
        <v>142</v>
      </c>
      <c r="C32" s="172">
        <f>Statement!AC144</f>
        <v>114.59725469716213</v>
      </c>
      <c r="E32" s="20" t="s">
        <v>254</v>
      </c>
      <c r="F32" s="178">
        <f>Statement!AC149</f>
        <v>0.9888286779697808</v>
      </c>
    </row>
    <row r="33" spans="2:6" x14ac:dyDescent="0.2">
      <c r="B33" s="20" t="s">
        <v>143</v>
      </c>
      <c r="C33" s="172">
        <f>Statement!AC145</f>
        <v>-38.849640565346476</v>
      </c>
      <c r="E33" s="20" t="s">
        <v>253</v>
      </c>
      <c r="F33" s="178">
        <f>Statement!AC148</f>
        <v>0.82357683869417242</v>
      </c>
    </row>
    <row r="34" spans="2:6" x14ac:dyDescent="0.2">
      <c r="E34" s="20" t="s">
        <v>260</v>
      </c>
      <c r="F34" s="180" t="str">
        <f>Statement!AC150</f>
        <v>N/A</v>
      </c>
    </row>
    <row r="37" spans="2:6" x14ac:dyDescent="0.2">
      <c r="B37" s="251" t="s">
        <v>269</v>
      </c>
      <c r="C37" s="251"/>
      <c r="E37" s="251" t="s">
        <v>272</v>
      </c>
      <c r="F37" s="251"/>
    </row>
    <row r="38" spans="2:6" x14ac:dyDescent="0.2">
      <c r="B38" s="20" t="s">
        <v>267</v>
      </c>
      <c r="C38" s="173">
        <f ca="1">Statement!AC163</f>
        <v>2.7099812666591675E-2</v>
      </c>
      <c r="E38" s="20" t="s">
        <v>271</v>
      </c>
      <c r="F38" s="173">
        <f>Statement!AC169</f>
        <v>0</v>
      </c>
    </row>
    <row r="39" spans="2:6" x14ac:dyDescent="0.2">
      <c r="B39" s="54" t="s">
        <v>270</v>
      </c>
      <c r="C39" s="213">
        <f ca="1">Statement!AC162</f>
        <v>-2.5079006476930923E-2</v>
      </c>
      <c r="E39" s="20" t="s">
        <v>273</v>
      </c>
      <c r="F39" s="173">
        <f>Statement!AC170</f>
        <v>0</v>
      </c>
    </row>
    <row r="40" spans="2:6" x14ac:dyDescent="0.2">
      <c r="B40" s="20" t="s">
        <v>268</v>
      </c>
      <c r="C40" s="173">
        <f ca="1">Statement!AC164</f>
        <v>0</v>
      </c>
      <c r="E40" s="20" t="s">
        <v>274</v>
      </c>
      <c r="F40" s="173">
        <f>Statement!AC171</f>
        <v>0</v>
      </c>
    </row>
    <row r="41" spans="2:6" x14ac:dyDescent="0.2">
      <c r="B41" s="20" t="s">
        <v>293</v>
      </c>
      <c r="C41" s="173">
        <f ca="1">Statement!AC165</f>
        <v>0</v>
      </c>
    </row>
    <row r="42" spans="2:6" x14ac:dyDescent="0.2">
      <c r="B42" s="20" t="s">
        <v>295</v>
      </c>
      <c r="C42" s="173">
        <f ca="1">Statement!AC166</f>
        <v>0</v>
      </c>
    </row>
    <row r="45" spans="2:6" x14ac:dyDescent="0.2">
      <c r="B45" s="251" t="s">
        <v>280</v>
      </c>
      <c r="C45" s="251"/>
      <c r="E45" s="251" t="s">
        <v>286</v>
      </c>
      <c r="F45" s="251"/>
    </row>
    <row r="46" spans="2:6" x14ac:dyDescent="0.2">
      <c r="B46" s="20" t="s">
        <v>278</v>
      </c>
      <c r="C46" s="173">
        <f>Statement!AC172</f>
        <v>9.3864468864468864E-2</v>
      </c>
      <c r="E46" s="20" t="s">
        <v>279</v>
      </c>
      <c r="F46" s="172">
        <f>Statement!AC173</f>
        <v>10.590209530873354</v>
      </c>
    </row>
    <row r="47" spans="2:6" x14ac:dyDescent="0.2">
      <c r="E47" s="20" t="s">
        <v>287</v>
      </c>
      <c r="F47" s="172">
        <f>Statement!AC176</f>
        <v>-5.4606897830521044</v>
      </c>
    </row>
    <row r="48" spans="2:6" x14ac:dyDescent="0.2">
      <c r="E48" s="20" t="s">
        <v>292</v>
      </c>
      <c r="F48" s="173">
        <f ca="1">Statement!AC177</f>
        <v>-2.2124292705530658E-2</v>
      </c>
    </row>
    <row r="51" spans="2:6" x14ac:dyDescent="0.2">
      <c r="B51" s="251" t="s">
        <v>283</v>
      </c>
      <c r="C51" s="251"/>
      <c r="E51" s="251" t="s">
        <v>304</v>
      </c>
      <c r="F51" s="251"/>
    </row>
    <row r="52" spans="2:6" x14ac:dyDescent="0.2">
      <c r="B52" s="20" t="s">
        <v>281</v>
      </c>
      <c r="C52" s="173">
        <f>Statement!AC174</f>
        <v>0.11808080808080808</v>
      </c>
      <c r="E52" s="20" t="s">
        <v>305</v>
      </c>
      <c r="F52" s="173">
        <f>Statement!AC178</f>
        <v>0.26984845539873725</v>
      </c>
    </row>
    <row r="53" spans="2:6" x14ac:dyDescent="0.2">
      <c r="B53" s="20" t="s">
        <v>282</v>
      </c>
      <c r="C53" s="173">
        <f>Statement!AC175</f>
        <v>2.4920528431071346E-2</v>
      </c>
      <c r="E53" s="20" t="s">
        <v>302</v>
      </c>
      <c r="F53" s="173">
        <f>Statement!AC179</f>
        <v>1.2786215092097446</v>
      </c>
    </row>
    <row r="54" spans="2:6" x14ac:dyDescent="0.2">
      <c r="E54" s="20" t="s">
        <v>303</v>
      </c>
      <c r="F54" s="173">
        <f>Statement!AC180</f>
        <v>2.7118319408213929</v>
      </c>
    </row>
    <row r="57" spans="2:6" x14ac:dyDescent="0.2">
      <c r="B57" s="251" t="s">
        <v>437</v>
      </c>
      <c r="C57" s="251"/>
    </row>
    <row r="58" spans="2:6" x14ac:dyDescent="0.2">
      <c r="B58" s="20" t="s">
        <v>264</v>
      </c>
      <c r="C58" s="172">
        <f ca="1">Statement!AC160</f>
        <v>-39.873987867894854</v>
      </c>
    </row>
    <row r="59" spans="2:6" x14ac:dyDescent="0.2">
      <c r="B59" s="20" t="s">
        <v>265</v>
      </c>
      <c r="C59" s="172">
        <f ca="1">Statement!AC161</f>
        <v>-26.953249409849633</v>
      </c>
    </row>
    <row r="60" spans="2:6" x14ac:dyDescent="0.2">
      <c r="B60" s="20" t="s">
        <v>438</v>
      </c>
      <c r="C60" s="173">
        <f>Statement!AC167</f>
        <v>-0.12659743909367815</v>
      </c>
    </row>
    <row r="61" spans="2:6" x14ac:dyDescent="0.2">
      <c r="B61" s="20" t="s">
        <v>439</v>
      </c>
      <c r="C61" s="173">
        <f>Statement!AC168</f>
        <v>-8.37225924973823E-2</v>
      </c>
    </row>
  </sheetData>
  <mergeCells count="15">
    <mergeCell ref="B57:C57"/>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105"/>
  <sheetViews>
    <sheetView zoomScale="159" zoomScaleNormal="230" workbookViewId="0">
      <pane xSplit="2" ySplit="3" topLeftCell="C36" activePane="bottomRight" state="frozen"/>
      <selection pane="topRight" activeCell="C1" sqref="C1"/>
      <selection pane="bottomLeft" activeCell="A4" sqref="A4"/>
      <selection pane="bottomRight" activeCell="B108" sqref="B108"/>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31.12.2021</v>
      </c>
      <c r="D2" s="10" t="str">
        <f>Statement!N2</f>
        <v>31.12.2022</v>
      </c>
      <c r="E2" s="10" t="str">
        <f>Statement!O2</f>
        <v>31.12.2023</v>
      </c>
      <c r="F2" s="10" t="str">
        <f>Statement!P2</f>
        <v>31.12.2024</v>
      </c>
      <c r="G2" s="10" t="str">
        <f>Statement!Q2</f>
        <v>31.12.2025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234</v>
      </c>
      <c r="C5" s="14"/>
      <c r="D5" s="14"/>
      <c r="E5" s="14"/>
      <c r="F5" s="14"/>
      <c r="G5" s="14"/>
      <c r="I5" s="14"/>
    </row>
    <row r="6" spans="2:9" x14ac:dyDescent="0.2">
      <c r="B6" s="20" t="s">
        <v>1</v>
      </c>
      <c r="C6" s="170">
        <f>Statement!M117</f>
        <v>166.72</v>
      </c>
      <c r="D6" s="170">
        <f>Statement!N117</f>
        <v>83.99</v>
      </c>
      <c r="E6" s="170">
        <f>Statement!O117</f>
        <v>151.94</v>
      </c>
      <c r="F6" s="170">
        <f>Statement!P117</f>
        <v>219.39</v>
      </c>
      <c r="G6" s="170">
        <f>Statement!Q117</f>
        <v>230.82</v>
      </c>
      <c r="I6" s="170">
        <f ca="1">Statement!AC117</f>
        <v>243.79</v>
      </c>
    </row>
    <row r="7" spans="2:9" x14ac:dyDescent="0.2">
      <c r="B7" s="20" t="s">
        <v>240</v>
      </c>
      <c r="C7" s="171">
        <f>Statement!M154</f>
        <v>1726552.32</v>
      </c>
      <c r="D7" s="171">
        <f>Statement!N154</f>
        <v>860645.52999999991</v>
      </c>
      <c r="E7" s="171">
        <f>Statement!O154</f>
        <v>1606917.44</v>
      </c>
      <c r="F7" s="171">
        <f>Statement!P154</f>
        <v>2379503.94</v>
      </c>
      <c r="G7" s="171">
        <f>Statement!Q154</f>
        <v>2517322.92</v>
      </c>
      <c r="I7" s="171">
        <f ca="1">Statement!AC154</f>
        <v>2662186.7999999998</v>
      </c>
    </row>
    <row r="8" spans="2:9" x14ac:dyDescent="0.2">
      <c r="B8" s="20" t="s">
        <v>189</v>
      </c>
      <c r="C8" s="171">
        <f>Statement!M155</f>
        <v>1679247.32</v>
      </c>
      <c r="D8" s="171">
        <f>Statement!N155</f>
        <v>857769.52999999991</v>
      </c>
      <c r="E8" s="171">
        <f>Statement!O155</f>
        <v>1578451.44</v>
      </c>
      <c r="F8" s="171">
        <f>Statement!P155</f>
        <v>2330924.94</v>
      </c>
      <c r="G8" s="171">
        <f>Statement!Q155</f>
        <v>2459941.92</v>
      </c>
      <c r="I8" s="171">
        <f ca="1">Statement!AC155</f>
        <v>2721085.8</v>
      </c>
    </row>
    <row r="9" spans="2:9" x14ac:dyDescent="0.2">
      <c r="B9" s="20" t="s">
        <v>238</v>
      </c>
      <c r="C9" s="172">
        <f>Statement!M151</f>
        <v>78.603769575968499</v>
      </c>
      <c r="D9" s="172">
        <f>Statement!N151</f>
        <v>76.764810728381775</v>
      </c>
      <c r="E9" s="172">
        <f>Statement!O151</f>
        <v>52.393103448275866</v>
      </c>
      <c r="F9" s="172">
        <f>Statement!P151</f>
        <v>39.67269439421338</v>
      </c>
      <c r="G9" s="172">
        <f>Statement!Q151</f>
        <v>38.643700943250344</v>
      </c>
      <c r="I9" s="172">
        <f ca="1">Statement!AC151</f>
        <v>36.900624085597023</v>
      </c>
    </row>
    <row r="10" spans="2:9" x14ac:dyDescent="0.2">
      <c r="B10" s="20" t="s">
        <v>202</v>
      </c>
      <c r="C10" s="172">
        <f>Statement!M152</f>
        <v>3.653615880056702</v>
      </c>
      <c r="D10" s="172">
        <f>Statement!N152</f>
        <v>1.6649852427025797</v>
      </c>
      <c r="E10" s="172">
        <f>Statement!O152</f>
        <v>2.7734796141165825</v>
      </c>
      <c r="F10" s="172">
        <f>Statement!P152</f>
        <v>3.6868829971832042</v>
      </c>
      <c r="G10" s="172">
        <f>Statement!Q152</f>
        <v>3.4858480675775949</v>
      </c>
      <c r="I10" s="172">
        <f ca="1">Statement!AC152</f>
        <v>3.3298701838975235</v>
      </c>
    </row>
    <row r="11" spans="2:9" x14ac:dyDescent="0.2">
      <c r="B11" s="20" t="s">
        <v>239</v>
      </c>
      <c r="C11" s="172">
        <f>Statement!M153</f>
        <v>12.273206553582407</v>
      </c>
      <c r="D11" s="172">
        <f>Statement!N153</f>
        <v>5.8930967591736678</v>
      </c>
      <c r="E11" s="172">
        <f>Statement!O153</f>
        <v>7.8184654860681118</v>
      </c>
      <c r="F11" s="172">
        <f>Statement!P153</f>
        <v>8.1305564220023072</v>
      </c>
      <c r="G11" s="172">
        <f>Statement!Q153</f>
        <v>6.0278853709267386</v>
      </c>
      <c r="I11" s="172">
        <f ca="1">Statement!AC153</f>
        <v>4.2853889416738236</v>
      </c>
    </row>
    <row r="12" spans="2:9" x14ac:dyDescent="0.2">
      <c r="B12" s="20" t="s">
        <v>261</v>
      </c>
      <c r="C12" s="172">
        <f>Statement!M156</f>
        <v>3.5742202791695581</v>
      </c>
      <c r="D12" s="172">
        <f>Statement!N156</f>
        <v>1.6688675111822764</v>
      </c>
      <c r="E12" s="172">
        <f>Statement!O156</f>
        <v>2.7461597640857014</v>
      </c>
      <c r="F12" s="172">
        <f>Statement!P156</f>
        <v>3.6537221670985125</v>
      </c>
      <c r="G12" s="172">
        <f>Statement!Q156</f>
        <v>3.4312450413153974</v>
      </c>
      <c r="I12" s="172">
        <f ca="1">Statement!AC156</f>
        <v>3.4122123505401558</v>
      </c>
    </row>
    <row r="13" spans="2:9" x14ac:dyDescent="0.2">
      <c r="B13" s="20" t="s">
        <v>205</v>
      </c>
      <c r="C13" s="172">
        <f>Statement!M157</f>
        <v>67.496576228948115</v>
      </c>
      <c r="D13" s="172">
        <f>Statement!N157</f>
        <v>70.033436479425205</v>
      </c>
      <c r="E13" s="172">
        <f>Statement!O157</f>
        <v>42.832178443503743</v>
      </c>
      <c r="F13" s="172">
        <f>Statement!P157</f>
        <v>33.981965215109412</v>
      </c>
      <c r="G13" s="172">
        <f>Statement!Q157</f>
        <v>30.758886151922475</v>
      </c>
      <c r="I13" s="172">
        <f ca="1">Statement!AC157</f>
        <v>26.072531284134676</v>
      </c>
    </row>
    <row r="15" spans="2:9" ht="17" thickBot="1" x14ac:dyDescent="0.25">
      <c r="B15" s="14" t="s">
        <v>77</v>
      </c>
      <c r="C15" s="14"/>
      <c r="D15" s="14"/>
      <c r="E15" s="14"/>
      <c r="F15" s="14"/>
      <c r="G15" s="14"/>
      <c r="I15" s="14"/>
    </row>
    <row r="16" spans="2:9" x14ac:dyDescent="0.2">
      <c r="B16" s="20" t="s">
        <v>78</v>
      </c>
      <c r="C16" s="173">
        <f>Statement!M102</f>
        <v>0.26045395915900066</v>
      </c>
      <c r="D16" s="173">
        <f>Statement!N102</f>
        <v>0.27404213758042584</v>
      </c>
      <c r="E16" s="173">
        <f>Statement!O102</f>
        <v>0.31216367859286515</v>
      </c>
      <c r="F16" s="173">
        <f>Statement!P102</f>
        <v>0.33413746024431035</v>
      </c>
      <c r="G16" s="173">
        <f>Statement!Q102</f>
        <v>0.35071499907940035</v>
      </c>
      <c r="I16" s="173">
        <f>Statement!AC102</f>
        <v>0.36608586064417425</v>
      </c>
    </row>
    <row r="17" spans="2:9" x14ac:dyDescent="0.2">
      <c r="B17" s="20" t="s">
        <v>79</v>
      </c>
      <c r="C17" s="173">
        <f>Statement!M103</f>
        <v>5.2954097509269465E-2</v>
      </c>
      <c r="D17" s="173">
        <f>Statement!N103</f>
        <v>2.3829581912242232E-2</v>
      </c>
      <c r="E17" s="173">
        <f>Statement!O103</f>
        <v>6.4114407996033296E-2</v>
      </c>
      <c r="F17" s="173">
        <f>Statement!P103</f>
        <v>0.1075194487420038</v>
      </c>
      <c r="G17" s="173">
        <f>Statement!Q103</f>
        <v>0.11155296795755199</v>
      </c>
      <c r="I17" s="173">
        <f>Statement!AC103</f>
        <v>0.13087384241117053</v>
      </c>
    </row>
    <row r="18" spans="2:9" x14ac:dyDescent="0.2">
      <c r="B18" s="20" t="s">
        <v>80</v>
      </c>
      <c r="C18" s="173">
        <f>Statement!M104</f>
        <v>4.6481433393923653E-2</v>
      </c>
      <c r="D18" s="173">
        <f>Statement!N104</f>
        <v>2.1689433308105521E-2</v>
      </c>
      <c r="E18" s="173">
        <f>Statement!O104</f>
        <v>5.2932835755978319E-2</v>
      </c>
      <c r="F18" s="173">
        <f>Statement!P104</f>
        <v>9.2871171971866534E-2</v>
      </c>
      <c r="G18" s="173">
        <f>Statement!Q104</f>
        <v>9.0204819478773207E-2</v>
      </c>
      <c r="I18" s="173">
        <f>Statement!AC104</f>
        <v>9.0243336614605207E-2</v>
      </c>
    </row>
    <row r="20" spans="2:9" ht="17" thickBot="1" x14ac:dyDescent="0.25">
      <c r="B20" s="14" t="s">
        <v>247</v>
      </c>
      <c r="C20" s="14"/>
      <c r="D20" s="14"/>
      <c r="E20" s="14"/>
      <c r="F20" s="14"/>
      <c r="G20" s="14"/>
      <c r="I20" s="14"/>
    </row>
    <row r="21" spans="2:9" x14ac:dyDescent="0.2">
      <c r="B21" s="20" t="s">
        <v>31</v>
      </c>
      <c r="C21" s="175">
        <f>Statement!M19</f>
        <v>21838</v>
      </c>
      <c r="D21" s="175">
        <f>Statement!N19</f>
        <v>11148</v>
      </c>
      <c r="E21" s="175">
        <f>Statement!O19</f>
        <v>30425</v>
      </c>
      <c r="F21" s="175">
        <f>Statement!P19</f>
        <v>59248</v>
      </c>
      <c r="G21" s="175">
        <f>Statement!Q19</f>
        <v>64670</v>
      </c>
      <c r="I21" s="175">
        <f>Statement!AC19</f>
        <v>71965</v>
      </c>
    </row>
    <row r="22" spans="2:9" x14ac:dyDescent="0.2">
      <c r="B22" s="20" t="s">
        <v>248</v>
      </c>
      <c r="C22" s="175">
        <f>Statement!M60</f>
        <v>46327</v>
      </c>
      <c r="D22" s="175">
        <f>Statement!N60</f>
        <v>46752</v>
      </c>
      <c r="E22" s="175">
        <f>Statement!O60</f>
        <v>84946</v>
      </c>
      <c r="F22" s="175">
        <f>Statement!P60</f>
        <v>115877</v>
      </c>
      <c r="G22" s="175">
        <f>Statement!Q60</f>
        <v>139514</v>
      </c>
      <c r="I22" s="175">
        <f>Statement!AC60</f>
        <v>168300</v>
      </c>
    </row>
    <row r="23" spans="2:9" x14ac:dyDescent="0.2">
      <c r="B23" s="20" t="s">
        <v>255</v>
      </c>
      <c r="C23" s="193">
        <f>IF(OR(C21&lt;=0, C22&lt;=0),"N/A",C21-C22)</f>
        <v>-24489</v>
      </c>
      <c r="D23" s="193">
        <f t="shared" ref="D23:I23" si="0">IF(OR(D21&lt;=0, D22&lt;=0),"N/A",D21-D22)</f>
        <v>-35604</v>
      </c>
      <c r="E23" s="193">
        <f t="shared" si="0"/>
        <v>-54521</v>
      </c>
      <c r="F23" s="193">
        <f t="shared" si="0"/>
        <v>-56629</v>
      </c>
      <c r="G23" s="193">
        <f t="shared" si="0"/>
        <v>-74844</v>
      </c>
      <c r="I23" s="193">
        <f t="shared" si="0"/>
        <v>-96335</v>
      </c>
    </row>
    <row r="25" spans="2:9" ht="17" thickBot="1" x14ac:dyDescent="0.25">
      <c r="B25" s="14" t="s">
        <v>246</v>
      </c>
      <c r="C25" s="14"/>
      <c r="D25" s="14"/>
      <c r="E25" s="14"/>
      <c r="F25" s="14"/>
      <c r="G25" s="14"/>
      <c r="I25" s="14"/>
    </row>
    <row r="26" spans="2:9" x14ac:dyDescent="0.2">
      <c r="B26" s="20" t="s">
        <v>101</v>
      </c>
      <c r="C26" s="173">
        <f>Statement!M122</f>
        <v>4.6481433393923653E-2</v>
      </c>
      <c r="D26" s="173">
        <f>Statement!N122</f>
        <v>2.1689433308105521E-2</v>
      </c>
      <c r="E26" s="173">
        <f>Statement!O122</f>
        <v>5.2932835755978319E-2</v>
      </c>
      <c r="F26" s="173">
        <f>Statement!P122</f>
        <v>9.2871171971866534E-2</v>
      </c>
      <c r="G26" s="173">
        <f>Statement!Q122</f>
        <v>9.0204819478773207E-2</v>
      </c>
      <c r="I26" s="173">
        <f>Statement!AC122</f>
        <v>9.0243336614605207E-2</v>
      </c>
    </row>
    <row r="27" spans="2:9" x14ac:dyDescent="0.2">
      <c r="B27" s="20" t="s">
        <v>102</v>
      </c>
      <c r="C27" s="212">
        <f>Statement!M123</f>
        <v>1.1171635172120253</v>
      </c>
      <c r="D27" s="212">
        <f>Statement!N123</f>
        <v>1.1108942562273734</v>
      </c>
      <c r="E27" s="212">
        <f>Statement!O123</f>
        <v>1.0889090543976174</v>
      </c>
      <c r="F27" s="212">
        <f>Statement!P123</f>
        <v>1.0209075459197881</v>
      </c>
      <c r="G27" s="212">
        <f>Statement!Q123</f>
        <v>0.87639020979362914</v>
      </c>
      <c r="I27" s="212">
        <f>Statement!AC123</f>
        <v>0.64135548781958995</v>
      </c>
    </row>
    <row r="28" spans="2:9" x14ac:dyDescent="0.2">
      <c r="B28" s="32" t="s">
        <v>103</v>
      </c>
      <c r="C28" s="174">
        <f>Statement!M124</f>
        <v>5.1927361615412233E-2</v>
      </c>
      <c r="D28" s="174">
        <f>Statement!N124</f>
        <v>2.40946668828011E-2</v>
      </c>
      <c r="E28" s="174">
        <f>Statement!O124</f>
        <v>5.7639044129626747E-2</v>
      </c>
      <c r="F28" s="174">
        <f>Statement!P124</f>
        <v>9.481288026449286E-2</v>
      </c>
      <c r="G28" s="174">
        <f>Statement!Q124</f>
        <v>7.905462066739849E-2</v>
      </c>
      <c r="I28" s="174">
        <f>Statement!AC124</f>
        <v>5.7878059176927586E-2</v>
      </c>
    </row>
    <row r="29" spans="2:9" x14ac:dyDescent="0.2">
      <c r="B29" s="20" t="s">
        <v>104</v>
      </c>
      <c r="C29" s="212">
        <f>Statement!M125</f>
        <v>3.0420557705522802</v>
      </c>
      <c r="D29" s="212">
        <f>Statement!N125</f>
        <v>3.1680737864875415</v>
      </c>
      <c r="E29" s="212">
        <f>Statement!O125</f>
        <v>2.6147566563467493</v>
      </c>
      <c r="F29" s="212">
        <f>Statement!P125</f>
        <v>2.1851732699234185</v>
      </c>
      <c r="G29" s="212">
        <f>Statement!Q125</f>
        <v>1.9900551007748166</v>
      </c>
      <c r="I29" s="212">
        <f>Statement!AC125</f>
        <v>2.0263819648273063</v>
      </c>
    </row>
    <row r="30" spans="2:9" x14ac:dyDescent="0.2">
      <c r="B30" s="32" t="s">
        <v>105</v>
      </c>
      <c r="C30" s="174">
        <f>Statement!M126</f>
        <v>0.15796593005171974</v>
      </c>
      <c r="D30" s="174">
        <f>Statement!N126</f>
        <v>7.6333682545551645E-2</v>
      </c>
      <c r="E30" s="174">
        <f>Statement!O126</f>
        <v>0.15071207430340555</v>
      </c>
      <c r="F30" s="174">
        <f>Statement!P126</f>
        <v>0.20718257159841941</v>
      </c>
      <c r="G30" s="174">
        <f>Statement!Q126</f>
        <v>0.1573230510989746</v>
      </c>
      <c r="I30" s="174">
        <f>Statement!AC126</f>
        <v>0.11728305527533363</v>
      </c>
    </row>
    <row r="32" spans="2:9" ht="17" thickBot="1" x14ac:dyDescent="0.25">
      <c r="B32" s="14" t="s">
        <v>306</v>
      </c>
      <c r="C32" s="14"/>
      <c r="D32" s="14"/>
      <c r="E32" s="14"/>
      <c r="F32" s="14"/>
      <c r="G32" s="14"/>
      <c r="I32" s="14"/>
    </row>
    <row r="33" spans="2:9" x14ac:dyDescent="0.2">
      <c r="B33" s="20" t="s">
        <v>103</v>
      </c>
      <c r="C33" s="173">
        <f>C28</f>
        <v>5.1927361615412233E-2</v>
      </c>
      <c r="D33" s="173">
        <f t="shared" ref="D33:G33" si="1">D28</f>
        <v>2.40946668828011E-2</v>
      </c>
      <c r="E33" s="173">
        <f t="shared" si="1"/>
        <v>5.7639044129626747E-2</v>
      </c>
      <c r="F33" s="173">
        <f t="shared" si="1"/>
        <v>9.481288026449286E-2</v>
      </c>
      <c r="G33" s="173">
        <f t="shared" si="1"/>
        <v>7.905462066739849E-2</v>
      </c>
      <c r="I33" s="173">
        <f>I28</f>
        <v>5.7878059176927586E-2</v>
      </c>
    </row>
    <row r="34" spans="2:9" x14ac:dyDescent="0.2">
      <c r="B34" s="20" t="s">
        <v>105</v>
      </c>
      <c r="C34" s="173">
        <f>C30</f>
        <v>0.15796593005171974</v>
      </c>
      <c r="D34" s="173">
        <f t="shared" ref="D34:G34" si="2">D30</f>
        <v>7.6333682545551645E-2</v>
      </c>
      <c r="E34" s="173">
        <f t="shared" si="2"/>
        <v>0.15071207430340555</v>
      </c>
      <c r="F34" s="173">
        <f t="shared" si="2"/>
        <v>0.20718257159841941</v>
      </c>
      <c r="G34" s="173">
        <f t="shared" si="2"/>
        <v>0.1573230510989746</v>
      </c>
      <c r="I34" s="173">
        <f>I30</f>
        <v>0.11728305527533363</v>
      </c>
    </row>
    <row r="35" spans="2:9" x14ac:dyDescent="0.2">
      <c r="B35" s="20" t="s">
        <v>106</v>
      </c>
      <c r="C35" s="173">
        <f>Statement!M141</f>
        <v>0.22434771974711698</v>
      </c>
      <c r="D35" s="173">
        <f>Statement!N141</f>
        <v>8.5550441093268703E-2</v>
      </c>
      <c r="E35" s="173">
        <f>Statement!O141</f>
        <v>0.17222665979085017</v>
      </c>
      <c r="F35" s="173">
        <f>Statement!P141</f>
        <v>0.24992874896599523</v>
      </c>
      <c r="G35" s="173">
        <f>Statement!Q141</f>
        <v>0.17492908482290109</v>
      </c>
      <c r="I35" s="173">
        <f>Statement!AC141</f>
        <v>0.10099663822684149</v>
      </c>
    </row>
    <row r="37" spans="2:9" ht="17" thickBot="1" x14ac:dyDescent="0.25">
      <c r="B37" s="14" t="s">
        <v>251</v>
      </c>
      <c r="C37" s="14"/>
      <c r="D37" s="14"/>
      <c r="E37" s="14"/>
      <c r="F37" s="14"/>
      <c r="G37" s="14"/>
      <c r="I37" s="14"/>
    </row>
    <row r="38" spans="2:9" x14ac:dyDescent="0.2">
      <c r="B38" s="20" t="s">
        <v>140</v>
      </c>
      <c r="C38" s="172">
        <f>Statement!M142</f>
        <v>25.552688039299991</v>
      </c>
      <c r="D38" s="172">
        <f>Statement!N142</f>
        <v>30.081539661817608</v>
      </c>
      <c r="E38" s="172">
        <f>Statement!O142</f>
        <v>33.181702723627097</v>
      </c>
      <c r="F38" s="172">
        <f>Statement!P142</f>
        <v>31.725573273517579</v>
      </c>
      <c r="G38" s="172">
        <f>Statement!Q142</f>
        <v>34.482155709670764</v>
      </c>
      <c r="I38" s="172">
        <f>Statement!AC142</f>
        <v>44.965960461718844</v>
      </c>
    </row>
    <row r="39" spans="2:9" x14ac:dyDescent="0.2">
      <c r="B39" s="20" t="s">
        <v>141</v>
      </c>
      <c r="C39" s="172">
        <f>Statement!M143</f>
        <v>34.288181203321294</v>
      </c>
      <c r="D39" s="172">
        <f>Statement!N143</f>
        <v>33.655361402192263</v>
      </c>
      <c r="E39" s="172">
        <f>Statement!O143</f>
        <v>30.759640629505409</v>
      </c>
      <c r="F39" s="172">
        <f>Statement!P143</f>
        <v>29.398106842626877</v>
      </c>
      <c r="G39" s="172">
        <f>Statement!Q143</f>
        <v>30.051526569965283</v>
      </c>
      <c r="I39" s="172">
        <f>Statement!AC143</f>
        <v>30.781653670096812</v>
      </c>
    </row>
    <row r="40" spans="2:9" x14ac:dyDescent="0.2">
      <c r="B40" s="20" t="s">
        <v>142</v>
      </c>
      <c r="C40" s="172">
        <f>Statement!M144</f>
        <v>82.636197493200555</v>
      </c>
      <c r="D40" s="172">
        <f>Statement!N144</f>
        <v>77.865623241229599</v>
      </c>
      <c r="E40" s="172">
        <f>Statement!O144</f>
        <v>78.455640204574081</v>
      </c>
      <c r="F40" s="172">
        <f>Statement!P144</f>
        <v>81.080655754685225</v>
      </c>
      <c r="G40" s="172">
        <f>Statement!Q144</f>
        <v>95.59169087065618</v>
      </c>
      <c r="I40" s="172">
        <f>Statement!AC144</f>
        <v>114.59725469716213</v>
      </c>
    </row>
    <row r="41" spans="2:9" x14ac:dyDescent="0.2">
      <c r="B41" s="20" t="s">
        <v>143</v>
      </c>
      <c r="C41" s="172">
        <f>Statement!M145</f>
        <v>-22.795328250579274</v>
      </c>
      <c r="D41" s="172">
        <f>Statement!N145</f>
        <v>-14.128722177219728</v>
      </c>
      <c r="E41" s="172">
        <f>Statement!O145</f>
        <v>-14.514296851441571</v>
      </c>
      <c r="F41" s="172">
        <f>Statement!P145</f>
        <v>-19.956975638540769</v>
      </c>
      <c r="G41" s="172">
        <f>Statement!Q145</f>
        <v>-31.058008591020126</v>
      </c>
      <c r="I41" s="172">
        <f>Statement!AC145</f>
        <v>-38.849640565346476</v>
      </c>
    </row>
    <row r="43" spans="2:9" ht="17" thickBot="1" x14ac:dyDescent="0.25">
      <c r="B43" s="14" t="s">
        <v>257</v>
      </c>
      <c r="C43" s="14"/>
      <c r="D43" s="14"/>
      <c r="E43" s="14"/>
      <c r="F43" s="14"/>
      <c r="G43" s="14"/>
      <c r="I43" s="14"/>
    </row>
    <row r="44" spans="2:9" x14ac:dyDescent="0.2">
      <c r="B44" s="20" t="s">
        <v>258</v>
      </c>
      <c r="C44" s="178">
        <f>Statement!M146</f>
        <v>0.35259141379435061</v>
      </c>
      <c r="D44" s="178">
        <f>Statement!N146</f>
        <v>0.45979608745369516</v>
      </c>
      <c r="E44" s="178">
        <f>Statement!O146</f>
        <v>0.28886191950464396</v>
      </c>
      <c r="F44" s="178">
        <f>Statement!P146</f>
        <v>0.18401580585376087</v>
      </c>
      <c r="G44" s="178">
        <f>Statement!Q146</f>
        <v>0.15970223687251409</v>
      </c>
      <c r="I44" s="178">
        <f>Statement!AC146</f>
        <v>0.28214588959274839</v>
      </c>
    </row>
    <row r="45" spans="2:9" x14ac:dyDescent="0.2">
      <c r="B45" s="20" t="s">
        <v>259</v>
      </c>
      <c r="C45" s="178">
        <f>Statement!M147</f>
        <v>-0.34218235740894787</v>
      </c>
      <c r="D45" s="178">
        <f>Statement!N147</f>
        <v>-1.9692830193847016E-2</v>
      </c>
      <c r="E45" s="178">
        <f>Statement!O147</f>
        <v>-0.14100804953560372</v>
      </c>
      <c r="F45" s="178">
        <f>Statement!P147</f>
        <v>-0.16987446235619122</v>
      </c>
      <c r="G45" s="178">
        <f>Statement!Q147</f>
        <v>-0.13959106224076484</v>
      </c>
      <c r="I45" s="178">
        <f>Statement!AC147</f>
        <v>9.5989087371109241E-2</v>
      </c>
    </row>
    <row r="46" spans="2:9" x14ac:dyDescent="0.2">
      <c r="B46" s="20" t="s">
        <v>253</v>
      </c>
      <c r="C46" s="178">
        <f>Statement!M148</f>
        <v>0.90633039517523517</v>
      </c>
      <c r="D46" s="178">
        <f>Statement!N148</f>
        <v>0.72323721145740161</v>
      </c>
      <c r="E46" s="178">
        <f>Statement!O148</f>
        <v>0.84304832127676343</v>
      </c>
      <c r="F46" s="178">
        <f>Statement!P148</f>
        <v>0.87305426598525337</v>
      </c>
      <c r="G46" s="178">
        <f>Statement!Q148</f>
        <v>0.8750166280589895</v>
      </c>
      <c r="I46" s="178">
        <f>Statement!AC148</f>
        <v>0.82357683869417242</v>
      </c>
    </row>
    <row r="47" spans="2:9" x14ac:dyDescent="0.2">
      <c r="B47" s="20" t="s">
        <v>254</v>
      </c>
      <c r="C47" s="178">
        <f>Statement!M149</f>
        <v>1.1357597739445826</v>
      </c>
      <c r="D47" s="178">
        <f>Statement!N149</f>
        <v>0.9446435811136924</v>
      </c>
      <c r="E47" s="178">
        <f>Statement!O149</f>
        <v>1.0450772206625152</v>
      </c>
      <c r="F47" s="178">
        <f>Statement!P149</f>
        <v>1.0637348061371781</v>
      </c>
      <c r="G47" s="178">
        <f>Statement!Q149</f>
        <v>1.0508153482718285</v>
      </c>
      <c r="I47" s="178">
        <f>Statement!AC149</f>
        <v>0.9888286779697808</v>
      </c>
    </row>
    <row r="48" spans="2:9" x14ac:dyDescent="0.2">
      <c r="B48" s="20" t="s">
        <v>260</v>
      </c>
      <c r="C48" s="180">
        <f>Statement!M150</f>
        <v>18.279941219691402</v>
      </c>
      <c r="D48" s="180">
        <f>Statement!N150</f>
        <v>8.8882438316400574</v>
      </c>
      <c r="E48" s="180">
        <f>Statement!O150</f>
        <v>158.16309012875536</v>
      </c>
      <c r="F48" s="180" t="str">
        <f>Statement!P150</f>
        <v>N/A</v>
      </c>
      <c r="G48" s="180" t="str">
        <f>Statement!Q150</f>
        <v>N/A</v>
      </c>
      <c r="I48" s="180" t="str">
        <f>Statement!AC150</f>
        <v>N/A</v>
      </c>
    </row>
    <row r="50" spans="2:9" ht="17" thickBot="1" x14ac:dyDescent="0.25">
      <c r="B50" s="14" t="s">
        <v>269</v>
      </c>
      <c r="C50" s="14"/>
      <c r="D50" s="14"/>
      <c r="E50" s="14"/>
      <c r="F50" s="14"/>
      <c r="G50" s="14"/>
      <c r="I50" s="14"/>
    </row>
    <row r="51" spans="2:9" x14ac:dyDescent="0.2">
      <c r="B51" s="20" t="s">
        <v>267</v>
      </c>
      <c r="C51" s="173">
        <f>Statement!M163</f>
        <v>1.2722036174531375E-2</v>
      </c>
      <c r="D51" s="173">
        <f>Statement!N163</f>
        <v>1.3026802131230635E-2</v>
      </c>
      <c r="E51" s="173">
        <f>Statement!O163</f>
        <v>1.9086481505857573E-2</v>
      </c>
      <c r="F51" s="173">
        <f>Statement!P163</f>
        <v>2.520625370345048E-2</v>
      </c>
      <c r="G51" s="173">
        <f>Statement!Q163</f>
        <v>2.5877438640479485E-2</v>
      </c>
      <c r="I51" s="173">
        <f ca="1">Statement!AC163</f>
        <v>2.7099812666591675E-2</v>
      </c>
    </row>
    <row r="52" spans="2:9" x14ac:dyDescent="0.2">
      <c r="B52" s="20" t="s">
        <v>270</v>
      </c>
      <c r="C52" s="173">
        <f>Statement!M162</f>
        <v>-1.591784950947794E-2</v>
      </c>
      <c r="D52" s="173">
        <f>Statement!N162</f>
        <v>-4.242629366819578E-2</v>
      </c>
      <c r="E52" s="173">
        <f>Statement!O162</f>
        <v>5.0992041009897812E-3</v>
      </c>
      <c r="F52" s="173">
        <f>Statement!P162</f>
        <v>4.5669182628039692E-3</v>
      </c>
      <c r="G52" s="173">
        <f>Statement!Q162</f>
        <v>-4.6763964632713867E-3</v>
      </c>
      <c r="I52" s="173">
        <f ca="1">Statement!AC162</f>
        <v>-2.5079006476930923E-2</v>
      </c>
    </row>
    <row r="53" spans="2:9" x14ac:dyDescent="0.2">
      <c r="B53" s="20" t="s">
        <v>268</v>
      </c>
      <c r="C53" s="173">
        <f>Statement!M164</f>
        <v>0</v>
      </c>
      <c r="D53" s="173">
        <f>Statement!N164</f>
        <v>0</v>
      </c>
      <c r="E53" s="173">
        <f>Statement!O164</f>
        <v>0</v>
      </c>
      <c r="F53" s="173">
        <f>Statement!P164</f>
        <v>0</v>
      </c>
      <c r="G53" s="173">
        <f>Statement!Q164</f>
        <v>0</v>
      </c>
      <c r="I53" s="173">
        <f ca="1">Statement!AC164</f>
        <v>0</v>
      </c>
    </row>
    <row r="54" spans="2:9" x14ac:dyDescent="0.2">
      <c r="B54" s="20" t="s">
        <v>293</v>
      </c>
      <c r="C54" s="173">
        <f>Statement!M165</f>
        <v>0</v>
      </c>
      <c r="D54" s="173">
        <f>Statement!N165</f>
        <v>6.9715112562078844E-3</v>
      </c>
      <c r="E54" s="173">
        <f>Statement!O165</f>
        <v>0</v>
      </c>
      <c r="F54" s="173">
        <f>Statement!P165</f>
        <v>0</v>
      </c>
      <c r="G54" s="173">
        <f>Statement!Q165</f>
        <v>0</v>
      </c>
      <c r="I54" s="173">
        <f ca="1">Statement!AC165</f>
        <v>0</v>
      </c>
    </row>
    <row r="55" spans="2:9" x14ac:dyDescent="0.2">
      <c r="B55" s="20" t="s">
        <v>295</v>
      </c>
      <c r="C55" s="173">
        <f>Statement!M166</f>
        <v>0</v>
      </c>
      <c r="D55" s="173">
        <f>Statement!N166</f>
        <v>6.9715112562078844E-3</v>
      </c>
      <c r="E55" s="173">
        <f>Statement!O166</f>
        <v>0</v>
      </c>
      <c r="F55" s="173">
        <f>Statement!P166</f>
        <v>0</v>
      </c>
      <c r="G55" s="173">
        <f>Statement!Q166</f>
        <v>0</v>
      </c>
      <c r="I55" s="173">
        <f ca="1">Statement!AC166</f>
        <v>0</v>
      </c>
    </row>
    <row r="57" spans="2:9" ht="17" thickBot="1" x14ac:dyDescent="0.25">
      <c r="B57" s="14" t="s">
        <v>272</v>
      </c>
      <c r="C57" s="14"/>
      <c r="D57" s="14"/>
      <c r="E57" s="14"/>
      <c r="F57" s="14"/>
      <c r="G57" s="14"/>
      <c r="I57" s="14"/>
    </row>
    <row r="58" spans="2:9" x14ac:dyDescent="0.2">
      <c r="B58" s="20" t="s">
        <v>271</v>
      </c>
      <c r="C58" s="173">
        <f>Statement!M169</f>
        <v>0</v>
      </c>
      <c r="D58" s="173">
        <f>Statement!N169</f>
        <v>0</v>
      </c>
      <c r="E58" s="173">
        <f>Statement!O169</f>
        <v>0</v>
      </c>
      <c r="F58" s="173">
        <f>Statement!P169</f>
        <v>0</v>
      </c>
      <c r="G58" s="173">
        <f>Statement!Q169</f>
        <v>0</v>
      </c>
      <c r="I58" s="173">
        <f>Statement!AC169</f>
        <v>0</v>
      </c>
    </row>
    <row r="59" spans="2:9" x14ac:dyDescent="0.2">
      <c r="B59" s="20" t="s">
        <v>273</v>
      </c>
      <c r="C59" s="173">
        <f>Statement!M170</f>
        <v>0</v>
      </c>
      <c r="D59" s="173">
        <f>Statement!N170</f>
        <v>-0.16432053458947254</v>
      </c>
      <c r="E59" s="173">
        <f>Statement!O170</f>
        <v>0</v>
      </c>
      <c r="F59" s="173">
        <f>Statement!P170</f>
        <v>0</v>
      </c>
      <c r="G59" s="173">
        <f>Statement!Q170</f>
        <v>0</v>
      </c>
      <c r="I59" s="173">
        <f>Statement!AC170</f>
        <v>0</v>
      </c>
    </row>
    <row r="60" spans="2:9" x14ac:dyDescent="0.2">
      <c r="B60" s="20" t="s">
        <v>274</v>
      </c>
      <c r="C60" s="173">
        <f>Statement!M171</f>
        <v>0</v>
      </c>
      <c r="D60" s="173">
        <f>Statement!N171</f>
        <v>-0.16432053458947254</v>
      </c>
      <c r="E60" s="173">
        <f>Statement!O171</f>
        <v>0</v>
      </c>
      <c r="F60" s="173">
        <f>Statement!P171</f>
        <v>0</v>
      </c>
      <c r="G60" s="173">
        <f>Statement!Q171</f>
        <v>0</v>
      </c>
      <c r="I60" s="173">
        <f>Statement!AC171</f>
        <v>0</v>
      </c>
    </row>
    <row r="62" spans="2:9" ht="17" thickBot="1" x14ac:dyDescent="0.25">
      <c r="B62" s="14" t="s">
        <v>280</v>
      </c>
      <c r="C62" s="14"/>
      <c r="D62" s="14"/>
      <c r="E62" s="14"/>
      <c r="F62" s="14"/>
      <c r="G62" s="14"/>
      <c r="I62" s="14"/>
    </row>
    <row r="63" spans="2:9" x14ac:dyDescent="0.2">
      <c r="B63" s="20" t="s">
        <v>278</v>
      </c>
      <c r="C63" s="173">
        <f>Statement!M172</f>
        <v>0.13663576670529162</v>
      </c>
      <c r="D63" s="173">
        <f>Statement!N172</f>
        <v>0.12628086269151947</v>
      </c>
      <c r="E63" s="173">
        <f>Statement!O172</f>
        <v>0.1193267776096823</v>
      </c>
      <c r="F63" s="173">
        <f>Statement!P172</f>
        <v>0.10381707541950949</v>
      </c>
      <c r="G63" s="173">
        <f>Statement!Q172</f>
        <v>9.3984962406015032E-2</v>
      </c>
      <c r="I63" s="173">
        <f>Statement!AC172</f>
        <v>9.3864468864468864E-2</v>
      </c>
    </row>
    <row r="65" spans="2:9" ht="17" thickBot="1" x14ac:dyDescent="0.25">
      <c r="B65" s="14" t="s">
        <v>286</v>
      </c>
      <c r="C65" s="14"/>
      <c r="D65" s="14"/>
      <c r="E65" s="14"/>
      <c r="F65" s="14"/>
      <c r="G65" s="14"/>
      <c r="I65" s="14"/>
    </row>
    <row r="66" spans="2:9" x14ac:dyDescent="0.2">
      <c r="B66" s="20" t="s">
        <v>279</v>
      </c>
      <c r="C66" s="172">
        <f>Statement!M173</f>
        <v>9.437850054043432</v>
      </c>
      <c r="D66" s="172">
        <f>Statement!N173</f>
        <v>6.8338050161022741</v>
      </c>
      <c r="E66" s="172">
        <f>Statement!O173</f>
        <v>8.3538698498267223</v>
      </c>
      <c r="F66" s="172">
        <f>Statement!P173</f>
        <v>9.5491602189092273</v>
      </c>
      <c r="G66" s="172">
        <f>Statement!Q173</f>
        <v>11.460549604098743</v>
      </c>
      <c r="I66" s="172">
        <f>Statement!AC173</f>
        <v>10.590209530873354</v>
      </c>
    </row>
    <row r="67" spans="2:9" x14ac:dyDescent="0.2">
      <c r="B67" s="20" t="s">
        <v>287</v>
      </c>
      <c r="C67" s="172">
        <f>Statement!M176</f>
        <v>4.648226392846615</v>
      </c>
      <c r="D67" s="172">
        <f>Statement!N176</f>
        <v>0.28066751244266613</v>
      </c>
      <c r="E67" s="172">
        <f>Statement!O176</f>
        <v>2.740277242972661</v>
      </c>
      <c r="F67" s="172">
        <f>Statement!P176</f>
        <v>4.5837893942253256</v>
      </c>
      <c r="G67" s="172">
        <f>Statement!Q176</f>
        <v>5.3452258965999064</v>
      </c>
      <c r="I67" s="172">
        <f>Statement!AC176</f>
        <v>-5.4606897830521044</v>
      </c>
    </row>
    <row r="68" spans="2:9" x14ac:dyDescent="0.2">
      <c r="B68" s="20" t="s">
        <v>292</v>
      </c>
      <c r="C68" s="194">
        <f>Statement!M177</f>
        <v>2.739853258544751E-2</v>
      </c>
      <c r="D68" s="194">
        <f>Statement!N177</f>
        <v>3.3416777288089792E-3</v>
      </c>
      <c r="E68" s="194">
        <f>Statement!O177</f>
        <v>1.7714662428456811E-2</v>
      </c>
      <c r="F68" s="194">
        <f>Statement!P177</f>
        <v>2.0415599732102146E-2</v>
      </c>
      <c r="G68" s="194">
        <f>Statement!Q177</f>
        <v>2.2794453402903113E-2</v>
      </c>
      <c r="I68" s="194">
        <f ca="1">Statement!AC177</f>
        <v>-2.2124292705530658E-2</v>
      </c>
    </row>
    <row r="70" spans="2:9" ht="17" thickBot="1" x14ac:dyDescent="0.25">
      <c r="B70" s="14" t="s">
        <v>307</v>
      </c>
      <c r="C70" s="14"/>
      <c r="D70" s="14"/>
      <c r="E70" s="14"/>
      <c r="F70" s="14"/>
      <c r="G70" s="14"/>
      <c r="I70" s="14"/>
    </row>
    <row r="71" spans="2:9" x14ac:dyDescent="0.2">
      <c r="B71" s="20" t="s">
        <v>281</v>
      </c>
      <c r="C71" s="173">
        <f>Statement!M174</f>
        <v>0.27536857556068817</v>
      </c>
      <c r="D71" s="173">
        <f>Statement!N174</f>
        <v>0.41968258042436685</v>
      </c>
      <c r="E71" s="173">
        <f>Statement!O174</f>
        <v>0.28280319261648579</v>
      </c>
      <c r="F71" s="173">
        <f>Statement!P174</f>
        <v>0.18995141399932688</v>
      </c>
      <c r="G71" s="173">
        <f>Statement!Q174</f>
        <v>0.1395343836460857</v>
      </c>
      <c r="I71" s="173">
        <f>Statement!AC174</f>
        <v>0.11808080808080808</v>
      </c>
    </row>
    <row r="72" spans="2:9" x14ac:dyDescent="0.2">
      <c r="B72" s="20" t="s">
        <v>282</v>
      </c>
      <c r="C72" s="173">
        <f>Statement!M175</f>
        <v>2.7152836606204052E-2</v>
      </c>
      <c r="D72" s="173">
        <f>Statement!N175</f>
        <v>3.8174414328878581E-2</v>
      </c>
      <c r="E72" s="173">
        <f>Statement!O175</f>
        <v>4.1794758039962771E-2</v>
      </c>
      <c r="F72" s="173">
        <f>Statement!P175</f>
        <v>3.4502217227125882E-2</v>
      </c>
      <c r="G72" s="173">
        <f>Statement!Q175</f>
        <v>2.7153505810936725E-2</v>
      </c>
      <c r="I72" s="173">
        <f>Statement!AC175</f>
        <v>2.4920528431071346E-2</v>
      </c>
    </row>
    <row r="74" spans="2:9" ht="17" thickBot="1" x14ac:dyDescent="0.25">
      <c r="B74" s="14" t="s">
        <v>308</v>
      </c>
      <c r="C74" s="14"/>
      <c r="D74" s="14"/>
      <c r="E74" s="14"/>
      <c r="F74" s="14"/>
      <c r="G74" s="14"/>
      <c r="I74" s="14"/>
    </row>
    <row r="75" spans="2:9" x14ac:dyDescent="0.2">
      <c r="B75" s="20" t="s">
        <v>305</v>
      </c>
      <c r="C75" s="173">
        <f>Statement!M178</f>
        <v>0.12994921480901278</v>
      </c>
      <c r="D75" s="173">
        <f>Statement!N178</f>
        <v>0.12382705264571008</v>
      </c>
      <c r="E75" s="173">
        <f>Statement!O178</f>
        <v>9.1736910322990334E-2</v>
      </c>
      <c r="F75" s="173">
        <f>Statement!P178</f>
        <v>0.13010083720113674</v>
      </c>
      <c r="G75" s="173">
        <f>Statement!Q178</f>
        <v>0.18386746712343288</v>
      </c>
      <c r="I75" s="173">
        <f>Statement!AC178</f>
        <v>0.26984845539873725</v>
      </c>
    </row>
    <row r="76" spans="2:9" x14ac:dyDescent="0.2">
      <c r="B76" s="20" t="s">
        <v>302</v>
      </c>
      <c r="C76" s="173">
        <f>Statement!M179</f>
        <v>1.3178707880933365</v>
      </c>
      <c r="D76" s="173">
        <f>Statement!N179</f>
        <v>1.3613321355236139</v>
      </c>
      <c r="E76" s="173">
        <f>Statement!O179</f>
        <v>0.62073552609893345</v>
      </c>
      <c r="F76" s="173">
        <f>Statement!P179</f>
        <v>0.71626811187724915</v>
      </c>
      <c r="G76" s="173">
        <f>Statement!Q179</f>
        <v>0.94484424502200492</v>
      </c>
      <c r="I76" s="173">
        <f>Statement!AC179</f>
        <v>1.2786215092097446</v>
      </c>
    </row>
    <row r="77" spans="2:9" x14ac:dyDescent="0.2">
      <c r="B77" s="20" t="s">
        <v>303</v>
      </c>
      <c r="C77" s="173">
        <f>Statement!M180</f>
        <v>1.7730955769174919</v>
      </c>
      <c r="D77" s="173">
        <f>Statement!N180</f>
        <v>1.5182128288924406</v>
      </c>
      <c r="E77" s="173">
        <f>Statement!O180</f>
        <v>1.0835542403879745</v>
      </c>
      <c r="F77" s="173">
        <f>Statement!P180</f>
        <v>1.5720996306468416</v>
      </c>
      <c r="G77" s="173">
        <f>Statement!Q180</f>
        <v>2.0046687754729606</v>
      </c>
      <c r="I77" s="173">
        <f>Statement!AC180</f>
        <v>2.7118319408213929</v>
      </c>
    </row>
    <row r="79" spans="2:9" ht="17" thickBot="1" x14ac:dyDescent="0.25">
      <c r="B79" s="14" t="s">
        <v>123</v>
      </c>
      <c r="C79" s="14"/>
      <c r="D79" s="14"/>
      <c r="E79" s="14"/>
      <c r="F79" s="14"/>
      <c r="G79" s="14"/>
      <c r="I79" s="14"/>
    </row>
    <row r="80" spans="2:9" x14ac:dyDescent="0.2">
      <c r="B80" s="20" t="s">
        <v>19</v>
      </c>
      <c r="C80" s="173">
        <f>Statement!M90</f>
        <v>1</v>
      </c>
      <c r="D80" s="173">
        <f>Statement!N90</f>
        <v>9.3995172639850841E-2</v>
      </c>
      <c r="E80" s="173">
        <f>Statement!O90</f>
        <v>0.11829574129883673</v>
      </c>
      <c r="F80" s="173">
        <f>Statement!P90</f>
        <v>0.10990892246666145</v>
      </c>
      <c r="G80" s="173">
        <f>Statement!Q90</f>
        <v>0.12377754683294695</v>
      </c>
      <c r="I80" s="195"/>
    </row>
    <row r="81" spans="2:9" x14ac:dyDescent="0.2">
      <c r="B81" s="20" t="s">
        <v>20</v>
      </c>
      <c r="C81" s="173">
        <f>Statement!M91</f>
        <v>1</v>
      </c>
      <c r="D81" s="173">
        <f>Statement!N91</f>
        <v>7.3894461153242871E-2</v>
      </c>
      <c r="E81" s="173">
        <f>Statement!O91</f>
        <v>5.9571731032079973E-2</v>
      </c>
      <c r="F81" s="173">
        <f>Statement!P91</f>
        <v>7.4451509770891197E-2</v>
      </c>
      <c r="G81" s="173">
        <f>Statement!Q91</f>
        <v>9.5799601217534183E-2</v>
      </c>
      <c r="I81" s="195"/>
    </row>
    <row r="82" spans="2:9" x14ac:dyDescent="0.2">
      <c r="B82" s="20" t="s">
        <v>21</v>
      </c>
      <c r="C82" s="173">
        <f>Statement!M92</f>
        <v>1</v>
      </c>
      <c r="D82" s="173">
        <f>Statement!N92</f>
        <v>0.15107014145970726</v>
      </c>
      <c r="E82" s="173">
        <f>Statement!O92</f>
        <v>0.27385998168303127</v>
      </c>
      <c r="F82" s="173">
        <f>Statement!P92</f>
        <v>0.18803747485049629</v>
      </c>
      <c r="G82" s="173">
        <f>Statement!Q92</f>
        <v>0.17953144497715395</v>
      </c>
      <c r="I82" s="195"/>
    </row>
    <row r="83" spans="2:9" x14ac:dyDescent="0.2">
      <c r="B83" s="20" t="s">
        <v>25</v>
      </c>
      <c r="C83" s="173">
        <f>Statement!M96</f>
        <v>1</v>
      </c>
      <c r="D83" s="173">
        <f>Statement!N96</f>
        <v>0.3191880026259642</v>
      </c>
      <c r="E83" s="173">
        <f>Statement!O96</f>
        <v>0.1086271917888107</v>
      </c>
      <c r="F83" s="173">
        <f>Statement!P96</f>
        <v>1.4013677012098895E-2</v>
      </c>
      <c r="G83" s="173">
        <f>Statement!Q96</f>
        <v>0.18598216817801388</v>
      </c>
      <c r="I83" s="195"/>
    </row>
    <row r="84" spans="2:9" x14ac:dyDescent="0.2">
      <c r="B84" s="20" t="s">
        <v>309</v>
      </c>
      <c r="C84" s="173">
        <f>Statement!M97</f>
        <v>1</v>
      </c>
      <c r="D84" s="173">
        <f>Statement!N97</f>
        <v>-0.50769725471281002</v>
      </c>
      <c r="E84" s="173">
        <f>Statement!O97</f>
        <v>2.0088177661659046</v>
      </c>
      <c r="F84" s="173">
        <f>Statement!P97</f>
        <v>0.86131010528600893</v>
      </c>
      <c r="G84" s="173">
        <f>Statement!Q97</f>
        <v>0.16593529952035921</v>
      </c>
      <c r="I84" s="195"/>
    </row>
    <row r="85" spans="2:9" x14ac:dyDescent="0.2">
      <c r="B85" s="20" t="s">
        <v>310</v>
      </c>
      <c r="C85" s="173">
        <f>Statement!M99</f>
        <v>1</v>
      </c>
      <c r="D85" s="173">
        <f>Statement!N99</f>
        <v>-0.48951369173001191</v>
      </c>
      <c r="E85" s="173">
        <f>Statement!O99</f>
        <v>1.72918909221385</v>
      </c>
      <c r="F85" s="173">
        <f>Statement!P99</f>
        <v>0.9473459326211997</v>
      </c>
      <c r="G85" s="173">
        <f>Statement!Q99</f>
        <v>9.1513637591142311E-2</v>
      </c>
      <c r="I85" s="195"/>
    </row>
    <row r="87" spans="2:9" ht="17" thickBot="1" x14ac:dyDescent="0.25">
      <c r="B87" s="14" t="s">
        <v>437</v>
      </c>
      <c r="C87" s="14"/>
      <c r="D87" s="14"/>
      <c r="E87" s="14"/>
      <c r="F87" s="14"/>
      <c r="G87" s="14"/>
      <c r="I87" s="14"/>
    </row>
    <row r="88" spans="2:9" x14ac:dyDescent="0.2">
      <c r="B88" s="20" t="s">
        <v>264</v>
      </c>
      <c r="C88" s="172">
        <f>Statement!M160</f>
        <v>-62.822556489466216</v>
      </c>
      <c r="D88" s="172">
        <f>Statement!N160</f>
        <v>-23.570288930273318</v>
      </c>
      <c r="E88" s="172">
        <f>Statement!O160</f>
        <v>196.10903587991211</v>
      </c>
      <c r="F88" s="172">
        <f>Statement!P160</f>
        <v>218.96603846507776</v>
      </c>
      <c r="G88" s="172">
        <f>Statement!Q160</f>
        <v>-213.83986748216105</v>
      </c>
      <c r="I88" s="172">
        <f ca="1">Statement!AC160</f>
        <v>-39.873987867894854</v>
      </c>
    </row>
    <row r="89" spans="2:9" x14ac:dyDescent="0.2">
      <c r="B89" s="20" t="s">
        <v>265</v>
      </c>
      <c r="C89" s="172">
        <f>Statement!M161</f>
        <v>-65.014484835964183</v>
      </c>
      <c r="D89" s="172">
        <f>Statement!N161</f>
        <v>-28.251417232066395</v>
      </c>
      <c r="E89" s="172">
        <f>Statement!O161</f>
        <v>110.70130235043659</v>
      </c>
      <c r="F89" s="172">
        <f>Statement!P161</f>
        <v>171.57022952231122</v>
      </c>
      <c r="G89" s="172">
        <f>Statement!Q161</f>
        <v>-101.80875231754139</v>
      </c>
      <c r="I89" s="172">
        <f ca="1">Statement!AC161</f>
        <v>-26.953249409849633</v>
      </c>
    </row>
    <row r="90" spans="2:9" x14ac:dyDescent="0.2">
      <c r="B90" s="20" t="s">
        <v>438</v>
      </c>
      <c r="C90" s="173">
        <f>Statement!M167</f>
        <v>-5.4975753298477266E-2</v>
      </c>
      <c r="D90" s="173">
        <f>Statement!N167</f>
        <v>-5.9071992653453517E-2</v>
      </c>
      <c r="E90" s="173">
        <f>Statement!O167</f>
        <v>2.4806932762113716E-2</v>
      </c>
      <c r="F90" s="173">
        <f>Statement!P167</f>
        <v>2.1295781775610305E-2</v>
      </c>
      <c r="G90" s="173">
        <f>Statement!Q167</f>
        <v>-3.3702849344556821E-2</v>
      </c>
      <c r="I90" s="173">
        <f>Statement!AC167</f>
        <v>-0.12659743909367815</v>
      </c>
    </row>
    <row r="91" spans="2:9" x14ac:dyDescent="0.2">
      <c r="B91" s="20" t="s">
        <v>439</v>
      </c>
      <c r="C91" s="173">
        <f>Statement!M168</f>
        <v>-5.8496622124974994E-2</v>
      </c>
      <c r="D91" s="173">
        <f>Statement!N168</f>
        <v>-7.1041260119498115E-2</v>
      </c>
      <c r="E91" s="173">
        <f>Statement!O168</f>
        <v>1.4255765199161425E-2</v>
      </c>
      <c r="F91" s="173">
        <f>Statement!P168</f>
        <v>1.703401002258766E-2</v>
      </c>
      <c r="G91" s="173">
        <f>Statement!Q168</f>
        <v>-1.6420150531995022E-2</v>
      </c>
      <c r="I91" s="173">
        <f>Statement!AC168</f>
        <v>-8.37225924973823E-2</v>
      </c>
    </row>
    <row r="93" spans="2:9" ht="17" thickBot="1" x14ac:dyDescent="0.25">
      <c r="B93" s="14" t="s">
        <v>440</v>
      </c>
      <c r="C93" s="14"/>
      <c r="D93" s="14"/>
      <c r="E93" s="14"/>
      <c r="F93" s="14"/>
      <c r="G93" s="14"/>
      <c r="I93" s="14"/>
    </row>
    <row r="94" spans="2:9" x14ac:dyDescent="0.2">
      <c r="B94" s="20" t="s">
        <v>285</v>
      </c>
      <c r="C94" s="173">
        <f>Statement!M216</f>
        <v>0</v>
      </c>
      <c r="D94" s="173">
        <f>Statement!N216</f>
        <v>0</v>
      </c>
      <c r="E94" s="173">
        <f>Statement!O216</f>
        <v>0</v>
      </c>
      <c r="F94" s="173">
        <f>Statement!P216</f>
        <v>0</v>
      </c>
      <c r="G94" s="173">
        <f>Statement!Q216</f>
        <v>0</v>
      </c>
      <c r="I94" s="195"/>
    </row>
    <row r="97" spans="2:9" ht="17" thickBot="1" x14ac:dyDescent="0.25">
      <c r="B97" s="14" t="s">
        <v>311</v>
      </c>
      <c r="C97" s="14"/>
      <c r="D97" s="14"/>
      <c r="E97" s="14"/>
      <c r="F97" s="14"/>
      <c r="G97" s="14"/>
      <c r="I97" s="14"/>
    </row>
    <row r="98" spans="2:9" x14ac:dyDescent="0.2">
      <c r="B98" s="20" t="str">
        <f>Statement!B202</f>
        <v>Online Stores</v>
      </c>
      <c r="C98" s="173">
        <f>Statement!M202</f>
        <v>1</v>
      </c>
      <c r="D98" s="173">
        <f>Statement!N202</f>
        <v>-9.3256782618484739E-3</v>
      </c>
      <c r="E98" s="173">
        <f>Statement!O202</f>
        <v>5.394447373684115E-2</v>
      </c>
      <c r="F98" s="173">
        <f>Statement!P202</f>
        <v>6.5367961634004962E-2</v>
      </c>
      <c r="G98" s="173">
        <f>Statement!Q202</f>
        <v>9.0102781454808947E-2</v>
      </c>
      <c r="I98" s="195"/>
    </row>
    <row r="99" spans="2:9" x14ac:dyDescent="0.2">
      <c r="B99" s="20" t="str">
        <f>Statement!B203</f>
        <v>Physical Stores</v>
      </c>
      <c r="C99" s="173">
        <f>Statement!M203</f>
        <v>1</v>
      </c>
      <c r="D99" s="173">
        <f>Statement!N203</f>
        <v>0.1105710102489019</v>
      </c>
      <c r="E99" s="173">
        <f>Statement!O203</f>
        <v>5.626746822760112E-2</v>
      </c>
      <c r="F99" s="173">
        <f>Statement!P203</f>
        <v>5.9161258112830753E-2</v>
      </c>
      <c r="G99" s="173">
        <f>Statement!Q203</f>
        <v>6.3445675229790249E-2</v>
      </c>
      <c r="I99" s="195"/>
    </row>
    <row r="100" spans="2:9" x14ac:dyDescent="0.2">
      <c r="B100" s="20" t="str">
        <f>Statement!B204</f>
        <v>Third party seller services</v>
      </c>
      <c r="C100" s="173">
        <f>Statement!M204</f>
        <v>1</v>
      </c>
      <c r="D100" s="173">
        <f>Statement!N204</f>
        <v>0.13882708047133488</v>
      </c>
      <c r="E100" s="173">
        <f>Statement!O204</f>
        <v>0.18975330456352577</v>
      </c>
      <c r="F100" s="173">
        <f>Statement!P204</f>
        <v>0.11490649968226314</v>
      </c>
      <c r="G100" s="173">
        <f>Statement!Q204</f>
        <v>0.10257067103864333</v>
      </c>
      <c r="I100" s="195"/>
    </row>
    <row r="101" spans="2:9" x14ac:dyDescent="0.2">
      <c r="B101" s="20" t="str">
        <f>Statement!B205</f>
        <v>Advertising services</v>
      </c>
      <c r="C101" s="173">
        <f>Statement!M205</f>
        <v>1</v>
      </c>
      <c r="D101" s="173">
        <f>Statement!N205</f>
        <v>0.21113607188703465</v>
      </c>
      <c r="E101" s="173">
        <f>Statement!O205</f>
        <v>0.2429052174143459</v>
      </c>
      <c r="F101" s="173">
        <f>Statement!P205</f>
        <v>0.19843943205560055</v>
      </c>
      <c r="G101" s="173">
        <f>Statement!Q205</f>
        <v>0.22095919166044045</v>
      </c>
      <c r="I101" s="195"/>
    </row>
    <row r="102" spans="2:9" x14ac:dyDescent="0.2">
      <c r="B102" s="20" t="str">
        <f>Statement!B206</f>
        <v>Subscription services</v>
      </c>
      <c r="C102" s="173">
        <f>Statement!M206</f>
        <v>1</v>
      </c>
      <c r="D102" s="173">
        <f>Statement!N206</f>
        <v>0.10859984890455805</v>
      </c>
      <c r="E102" s="173">
        <f>Statement!O206</f>
        <v>0.14171730365154184</v>
      </c>
      <c r="F102" s="173">
        <f>Statement!P206</f>
        <v>0.10358377477679126</v>
      </c>
      <c r="G102" s="173">
        <f>Statement!Q206</f>
        <v>0.11819984675711002</v>
      </c>
      <c r="I102" s="195"/>
    </row>
    <row r="103" spans="2:9" x14ac:dyDescent="0.2">
      <c r="B103" s="20" t="str">
        <f>Statement!B207</f>
        <v>Other</v>
      </c>
      <c r="C103" s="173">
        <f>Statement!M207</f>
        <v>1</v>
      </c>
      <c r="D103" s="173">
        <f>Statement!N207</f>
        <v>0.9517463235294118</v>
      </c>
      <c r="E103" s="173">
        <f>Statement!O207</f>
        <v>0.16741229102896163</v>
      </c>
      <c r="F103" s="173">
        <f>Statement!P207</f>
        <v>9.419120613150464E-2</v>
      </c>
      <c r="G103" s="173">
        <f>Statement!Q207</f>
        <v>9.4009216589861749E-2</v>
      </c>
      <c r="I103" s="195"/>
    </row>
    <row r="104" spans="2:9" x14ac:dyDescent="0.2">
      <c r="B104" s="20" t="str">
        <f>Statement!B208</f>
        <v>Retail</v>
      </c>
      <c r="C104" s="173">
        <f>Statement!M208</f>
        <v>1</v>
      </c>
      <c r="D104" s="173">
        <f>Statement!N208</f>
        <v>6.4439919532898293E-2</v>
      </c>
      <c r="E104" s="173">
        <f>Statement!O208</f>
        <v>0.11556234687833468</v>
      </c>
      <c r="F104" s="173">
        <f>Statement!P208</f>
        <v>9.5810572942061203E-2</v>
      </c>
      <c r="G104" s="173">
        <f>Statement!Q208</f>
        <v>0.108966201171562</v>
      </c>
      <c r="I104" s="195"/>
    </row>
    <row r="105" spans="2:9" x14ac:dyDescent="0.2">
      <c r="B105" s="20" t="str">
        <f>Statement!B209</f>
        <v>AWS</v>
      </c>
      <c r="C105" s="173">
        <f>Statement!M209</f>
        <v>1</v>
      </c>
      <c r="D105" s="173">
        <f>Statement!N209</f>
        <v>0.28767563743931063</v>
      </c>
      <c r="E105" s="173">
        <f>Statement!O209</f>
        <v>0.13310277666799841</v>
      </c>
      <c r="F105" s="173">
        <f>Statement!P209</f>
        <v>0.18509867007503553</v>
      </c>
      <c r="G105" s="173">
        <f>Statement!Q209</f>
        <v>0.19681840157685299</v>
      </c>
      <c r="I105" s="1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9"/>
  <sheetViews>
    <sheetView topLeftCell="A29" zoomScale="180" workbookViewId="0">
      <selection activeCell="C43" sqref="C43"/>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54" t="s">
        <v>314</v>
      </c>
      <c r="D3" s="255"/>
      <c r="F3" s="256" t="s">
        <v>315</v>
      </c>
      <c r="G3" s="255"/>
    </row>
    <row r="4" spans="2:7" x14ac:dyDescent="0.2">
      <c r="B4" s="8"/>
      <c r="C4" s="10" t="str">
        <f>Statement!Z2</f>
        <v>30.06.2026</v>
      </c>
      <c r="D4" s="201" t="str">
        <f>Statement!AA2</f>
        <v>30.09.2026</v>
      </c>
      <c r="F4" s="202" t="str">
        <f>Statement!W2</f>
        <v>30.09.2025</v>
      </c>
      <c r="G4" s="201" t="str">
        <f>Statement!AA2</f>
        <v>30.09.2026</v>
      </c>
    </row>
    <row r="5" spans="2:7" x14ac:dyDescent="0.2">
      <c r="B5" s="8" t="s">
        <v>320</v>
      </c>
      <c r="C5" s="10" t="str">
        <f>Statement!Z3</f>
        <v>Q2 2026</v>
      </c>
      <c r="D5" s="201" t="str">
        <f>Statement!AA3</f>
        <v>Q3 2026</v>
      </c>
      <c r="F5" s="202" t="str">
        <f>Statement!W3</f>
        <v>Q3 2025</v>
      </c>
      <c r="G5" s="201" t="str">
        <f>Statement!AA3</f>
        <v>Q3 2026</v>
      </c>
    </row>
    <row r="6" spans="2:7" x14ac:dyDescent="0.2">
      <c r="B6" s="203" t="s">
        <v>19</v>
      </c>
      <c r="C6" s="197">
        <f>Statement!Z5</f>
        <v>200606</v>
      </c>
      <c r="D6" s="196">
        <f>Statement!AA5</f>
        <v>201944</v>
      </c>
      <c r="F6" s="197">
        <f>Statement!W5</f>
        <v>180169</v>
      </c>
      <c r="G6" s="196">
        <f>Statement!AA5</f>
        <v>201944</v>
      </c>
    </row>
    <row r="7" spans="2:7" x14ac:dyDescent="0.2">
      <c r="B7" s="204" t="s">
        <v>316</v>
      </c>
      <c r="C7" s="252">
        <f>Statement!AA90</f>
        <v>6.6697905346799202E-3</v>
      </c>
      <c r="D7" s="253"/>
      <c r="F7" s="252">
        <f>IF(F6=0,
IF(G6=0,0,IF(G6&gt;0,1,-1)),
(G6-F6)/ABS(F6)
)</f>
        <v>0.12085874928539315</v>
      </c>
      <c r="G7" s="253"/>
    </row>
    <row r="8" spans="2:7" x14ac:dyDescent="0.2">
      <c r="B8" s="205" t="s">
        <v>20</v>
      </c>
      <c r="C8" s="198">
        <f>Statement!Z6</f>
        <v>125411</v>
      </c>
      <c r="D8" s="196">
        <f>Statement!AA6</f>
        <v>124570</v>
      </c>
      <c r="F8" s="198">
        <f>Statement!W6</f>
        <v>116349</v>
      </c>
      <c r="G8" s="196">
        <f>Statement!AA6</f>
        <v>124570</v>
      </c>
    </row>
    <row r="9" spans="2:7" x14ac:dyDescent="0.2">
      <c r="B9" s="204" t="s">
        <v>316</v>
      </c>
      <c r="C9" s="252">
        <f>Statement!AA91</f>
        <v>-6.7059508336589297E-3</v>
      </c>
      <c r="D9" s="253"/>
      <c r="F9" s="252">
        <f>IF(F8=0,
IF(G8=0,0,IF(G8&gt;0,1,-1)),
(G8-F8)/ABS(F8)
)</f>
        <v>7.0658106214922342E-2</v>
      </c>
      <c r="G9" s="253"/>
    </row>
    <row r="10" spans="2:7" x14ac:dyDescent="0.2">
      <c r="B10" s="205" t="s">
        <v>21</v>
      </c>
      <c r="C10" s="198">
        <f>Statement!Z7</f>
        <v>75195</v>
      </c>
      <c r="D10" s="196">
        <f>Statement!AA7</f>
        <v>77374</v>
      </c>
      <c r="F10" s="198">
        <f>Statement!W7</f>
        <v>63820</v>
      </c>
      <c r="G10" s="196">
        <f>Statement!AA7</f>
        <v>77374</v>
      </c>
    </row>
    <row r="11" spans="2:7" x14ac:dyDescent="0.2">
      <c r="B11" s="204" t="s">
        <v>316</v>
      </c>
      <c r="C11" s="252">
        <f>Statement!AA92</f>
        <v>2.8977990557882839E-2</v>
      </c>
      <c r="D11" s="253"/>
      <c r="F11" s="252">
        <f>IF(F10=0,
IF(G10=0,0,IF(G10&gt;0,1,-1)),
(G10-F10)/ABS(F10)
)</f>
        <v>0.21237856471325603</v>
      </c>
      <c r="G11" s="253"/>
    </row>
    <row r="12" spans="2:7" x14ac:dyDescent="0.2">
      <c r="B12" s="205" t="s">
        <v>25</v>
      </c>
      <c r="C12" s="198">
        <f>Statement!Z12</f>
        <v>47734</v>
      </c>
      <c r="D12" s="196">
        <f>Statement!AA12</f>
        <v>49298</v>
      </c>
      <c r="F12" s="198">
        <f>Statement!W12</f>
        <v>46398</v>
      </c>
      <c r="G12" s="196">
        <f>Statement!AA12</f>
        <v>49298</v>
      </c>
    </row>
    <row r="13" spans="2:7" x14ac:dyDescent="0.2">
      <c r="B13" s="204" t="s">
        <v>316</v>
      </c>
      <c r="C13" s="252">
        <f>Statement!AA96</f>
        <v>3.2764905518079354E-2</v>
      </c>
      <c r="D13" s="253"/>
      <c r="F13" s="252">
        <f>IF(F12=0,
IF(G12=0,0,IF(G12&gt;0,1,-1)),
(G12-F12)/ABS(F12)
)</f>
        <v>6.2502694081641455E-2</v>
      </c>
      <c r="G13" s="253"/>
    </row>
    <row r="14" spans="2:7" x14ac:dyDescent="0.2">
      <c r="B14" s="205" t="s">
        <v>317</v>
      </c>
      <c r="C14" s="198">
        <f>Statement!Z13</f>
        <v>27461</v>
      </c>
      <c r="D14" s="196">
        <f>Statement!AA13</f>
        <v>28076</v>
      </c>
      <c r="F14" s="198">
        <f>Statement!W13</f>
        <v>17422</v>
      </c>
      <c r="G14" s="196">
        <f>Statement!AA13</f>
        <v>28076</v>
      </c>
    </row>
    <row r="15" spans="2:7" x14ac:dyDescent="0.2">
      <c r="B15" s="204" t="s">
        <v>316</v>
      </c>
      <c r="C15" s="252">
        <f>Statement!AA97</f>
        <v>2.2395397108626779E-2</v>
      </c>
      <c r="D15" s="253"/>
      <c r="F15" s="252">
        <f>IF(F14=0,
IF(G14=0,0,IF(G14&gt;0,1,-1)),
(G14-F14)/ABS(F14)
)</f>
        <v>0.61152565721501551</v>
      </c>
      <c r="G15" s="253"/>
    </row>
    <row r="16" spans="2:7" x14ac:dyDescent="0.2">
      <c r="B16" s="205" t="s">
        <v>31</v>
      </c>
      <c r="C16" s="198">
        <f>Statement!Z19</f>
        <v>12161</v>
      </c>
      <c r="D16" s="196">
        <f>Statement!AA19</f>
        <v>20685</v>
      </c>
      <c r="F16" s="198">
        <f>Statement!W19</f>
        <v>12187</v>
      </c>
      <c r="G16" s="196">
        <f>Statement!AA19</f>
        <v>20685</v>
      </c>
    </row>
    <row r="17" spans="2:7" x14ac:dyDescent="0.2">
      <c r="B17" s="204" t="s">
        <v>316</v>
      </c>
      <c r="C17" s="252">
        <f>Statement!AA99</f>
        <v>0.70092919990132385</v>
      </c>
      <c r="D17" s="253"/>
      <c r="F17" s="252">
        <f>IF(F16=0,
IF(G16=0,0,IF(G16&gt;0,1,-1)),
(G16-F16)/ABS(F16)
)</f>
        <v>0.6973004020677771</v>
      </c>
      <c r="G17" s="253"/>
    </row>
    <row r="18" spans="2:7" x14ac:dyDescent="0.2">
      <c r="B18" s="205" t="s">
        <v>318</v>
      </c>
      <c r="C18" s="198">
        <f>Statement!Z23</f>
        <v>10903</v>
      </c>
      <c r="D18" s="196">
        <f>Statement!AA23</f>
        <v>10929</v>
      </c>
      <c r="F18" s="198">
        <f>Statement!W23</f>
        <v>10845</v>
      </c>
      <c r="G18" s="196">
        <f>Statement!AA23</f>
        <v>10929</v>
      </c>
    </row>
    <row r="19" spans="2:7" x14ac:dyDescent="0.2">
      <c r="B19" s="204" t="s">
        <v>316</v>
      </c>
      <c r="C19" s="252">
        <f>IF(C18=0,
IF(D18=0,0,IF(D18&gt;0,1,-1)),
(D18-C18)/ABS(C18)
)</f>
        <v>2.3846647711639E-3</v>
      </c>
      <c r="D19" s="253"/>
      <c r="F19" s="252">
        <f>IF(F18=0,
IF(G18=0,0,IF(G18&gt;0,1,-1)),
(G18-F18)/ABS(F18)
)</f>
        <v>7.7455048409405258E-3</v>
      </c>
      <c r="G19" s="253"/>
    </row>
    <row r="20" spans="2:7" x14ac:dyDescent="0.2">
      <c r="B20" s="205" t="s">
        <v>38</v>
      </c>
      <c r="C20" s="199">
        <f>Statement!Z27</f>
        <v>1.1153810877740071</v>
      </c>
      <c r="D20" s="200">
        <f>Statement!AA27</f>
        <v>1.8926708756519353</v>
      </c>
      <c r="F20" s="199">
        <f>Statement!W27</f>
        <v>1.1237436606731213</v>
      </c>
      <c r="G20" s="200">
        <f>Statement!AA27</f>
        <v>1.8926708756519353</v>
      </c>
    </row>
    <row r="21" spans="2:7" x14ac:dyDescent="0.2">
      <c r="B21" s="204" t="s">
        <v>316</v>
      </c>
      <c r="C21" s="252">
        <f>IF(C20=0,
IF(D20=0,0,IF(D20&gt;0,1,-1)),
(D20-C20)/ABS(C20)
)</f>
        <v>0.69688270349749615</v>
      </c>
      <c r="D21" s="253"/>
      <c r="F21" s="252">
        <f>IF(F20=0,
IF(G20=0,0,IF(G20&gt;0,1,-1)),
(G20-F20)/ABS(F20)
)</f>
        <v>0.68425499683640256</v>
      </c>
      <c r="G21" s="253"/>
    </row>
    <row r="23" spans="2:7" x14ac:dyDescent="0.2">
      <c r="B23" s="8" t="s">
        <v>319</v>
      </c>
      <c r="C23" s="10" t="str">
        <f>C5</f>
        <v>Q2 2026</v>
      </c>
      <c r="D23" s="201" t="str">
        <f>D5</f>
        <v>Q3 2026</v>
      </c>
      <c r="F23" s="202" t="str">
        <f>F5</f>
        <v>Q3 2025</v>
      </c>
      <c r="G23" s="201" t="str">
        <f>G5</f>
        <v>Q3 2026</v>
      </c>
    </row>
    <row r="24" spans="2:7" x14ac:dyDescent="0.2">
      <c r="B24" s="20" t="str">
        <f>Statement!B202</f>
        <v>Online Stores</v>
      </c>
      <c r="C24" s="198">
        <f>Statement!Z188</f>
        <v>70432</v>
      </c>
      <c r="D24" s="196">
        <f>Statement!AA188</f>
        <v>68470</v>
      </c>
      <c r="F24" s="198">
        <f>Statement!W188</f>
        <v>67407</v>
      </c>
      <c r="G24" s="196">
        <f>Statement!AA188</f>
        <v>68470</v>
      </c>
    </row>
    <row r="25" spans="2:7" x14ac:dyDescent="0.2">
      <c r="B25" s="204" t="s">
        <v>316</v>
      </c>
      <c r="C25" s="252">
        <f>IF(C24=0,
IF(D24=0,0,IF(D24&gt;0,1,-1)),
(D24-C24)/ABS(C24)
)</f>
        <v>-2.7856656065424808E-2</v>
      </c>
      <c r="D25" s="253"/>
      <c r="F25" s="252">
        <f>IF(F24=0,
IF(G24=0,0,IF(G24&gt;0,1,-1)),
(G24-F24)/ABS(F24)
)</f>
        <v>1.5769875532214754E-2</v>
      </c>
      <c r="G25" s="253"/>
    </row>
    <row r="26" spans="2:7" x14ac:dyDescent="0.2">
      <c r="B26" s="20" t="str">
        <f>Statement!B203</f>
        <v>Physical Stores</v>
      </c>
      <c r="C26" s="198">
        <f>Statement!Z189</f>
        <v>5794</v>
      </c>
      <c r="D26" s="196">
        <f>Statement!AA189</f>
        <v>5710</v>
      </c>
      <c r="F26" s="198">
        <f>Statement!W189</f>
        <v>5578</v>
      </c>
      <c r="G26" s="196">
        <f>Statement!AA189</f>
        <v>5710</v>
      </c>
    </row>
    <row r="27" spans="2:7" x14ac:dyDescent="0.2">
      <c r="B27" s="204" t="s">
        <v>316</v>
      </c>
      <c r="C27" s="252">
        <f>IF(C26=0,
IF(D26=0,0,IF(D26&gt;0,1,-1)),
(D26-C26)/ABS(C26)
)</f>
        <v>-1.4497756299620296E-2</v>
      </c>
      <c r="D27" s="253"/>
      <c r="F27" s="252">
        <f>IF(F26=0,
IF(G26=0,0,IF(G26&gt;0,1,-1)),
(G26-F26)/ABS(F26)
)</f>
        <v>2.3664395840803154E-2</v>
      </c>
      <c r="G27" s="253"/>
    </row>
    <row r="28" spans="2:7" x14ac:dyDescent="0.2">
      <c r="B28" s="20" t="str">
        <f>Statement!B204</f>
        <v>Third party seller services</v>
      </c>
      <c r="C28" s="198">
        <f>Statement!Z190</f>
        <v>46780</v>
      </c>
      <c r="D28" s="196">
        <f>Statement!AA190</f>
        <v>46492</v>
      </c>
      <c r="F28" s="198">
        <f>Statement!W190</f>
        <v>42486</v>
      </c>
      <c r="G28" s="196">
        <f>Statement!AA190</f>
        <v>46492</v>
      </c>
    </row>
    <row r="29" spans="2:7" x14ac:dyDescent="0.2">
      <c r="B29" s="204" t="s">
        <v>316</v>
      </c>
      <c r="C29" s="252">
        <f>IF(C28=0,
IF(D28=0,0,IF(D28&gt;0,1,-1)),
(D28-C28)/ABS(C28)
)</f>
        <v>-6.1564771269773406E-3</v>
      </c>
      <c r="D29" s="253"/>
      <c r="F29" s="252">
        <f>IF(F28=0,
IF(G28=0,0,IF(G28&gt;0,1,-1)),
(G28-F28)/ABS(F28)
)</f>
        <v>9.4289883726403997E-2</v>
      </c>
      <c r="G29" s="253"/>
    </row>
    <row r="30" spans="2:7" x14ac:dyDescent="0.2">
      <c r="B30" s="20" t="str">
        <f>Statement!B205</f>
        <v>Advertising services</v>
      </c>
      <c r="C30" s="198">
        <f>Statement!Z191</f>
        <v>19809</v>
      </c>
      <c r="D30" s="196">
        <f>Statement!AA191</f>
        <v>19637</v>
      </c>
      <c r="F30" s="198">
        <f>Statement!W191</f>
        <v>17703</v>
      </c>
      <c r="G30" s="196">
        <f>Statement!AA191</f>
        <v>19637</v>
      </c>
    </row>
    <row r="31" spans="2:7" x14ac:dyDescent="0.2">
      <c r="B31" s="204" t="s">
        <v>316</v>
      </c>
      <c r="C31" s="252">
        <f>IF(C30=0,
IF(D30=0,0,IF(D30&gt;0,1,-1)),
(D30-C30)/ABS(C30)
)</f>
        <v>-8.6829219041849662E-3</v>
      </c>
      <c r="D31" s="253"/>
      <c r="F31" s="252">
        <f>IF(F30=0,
IF(G30=0,0,IF(G30&gt;0,1,-1)),
(G30-F30)/ABS(F30)
)</f>
        <v>0.10924702027904874</v>
      </c>
      <c r="G31" s="253"/>
    </row>
    <row r="32" spans="2:7" x14ac:dyDescent="0.2">
      <c r="B32" s="20" t="str">
        <f>Statement!B206</f>
        <v>Subscription services</v>
      </c>
      <c r="C32" s="198">
        <f>Statement!Z192</f>
        <v>13730</v>
      </c>
      <c r="D32" s="196">
        <f>Statement!AA192</f>
        <v>14006</v>
      </c>
      <c r="F32" s="198">
        <f>Statement!W192</f>
        <v>12574</v>
      </c>
      <c r="G32" s="196">
        <f>Statement!AA192</f>
        <v>14006</v>
      </c>
    </row>
    <row r="33" spans="2:7" x14ac:dyDescent="0.2">
      <c r="B33" s="204" t="s">
        <v>316</v>
      </c>
      <c r="C33" s="252">
        <f>IF(C32=0,
IF(D32=0,0,IF(D32&gt;0,1,-1)),
(D32-C32)/ABS(C32)
)</f>
        <v>2.0101966496722506E-2</v>
      </c>
      <c r="D33" s="253"/>
      <c r="F33" s="252">
        <f>IF(F32=0,
IF(G32=0,0,IF(G32&gt;0,1,-1)),
(G32-F32)/ABS(F32)
)</f>
        <v>0.113885796087164</v>
      </c>
      <c r="G33" s="253"/>
    </row>
    <row r="34" spans="2:7" x14ac:dyDescent="0.2">
      <c r="B34" s="20" t="str">
        <f>Statement!B207</f>
        <v>Other</v>
      </c>
      <c r="C34" s="198">
        <f>Statement!Z193</f>
        <v>1829</v>
      </c>
      <c r="D34" s="196">
        <f>Statement!AA193</f>
        <v>1645</v>
      </c>
      <c r="F34" s="198">
        <f>Statement!W193</f>
        <v>1415</v>
      </c>
      <c r="G34" s="196">
        <f>Statement!AA193</f>
        <v>1645</v>
      </c>
    </row>
    <row r="35" spans="2:7" x14ac:dyDescent="0.2">
      <c r="B35" s="204" t="s">
        <v>316</v>
      </c>
      <c r="C35" s="252">
        <f>IF(C34=0,
IF(D34=0,0,IF(D34&gt;0,1,-1)),
(D34-C34)/ABS(C34)
)</f>
        <v>-0.10060142154182614</v>
      </c>
      <c r="D35" s="253"/>
      <c r="F35" s="252">
        <f>IF(F34=0,
IF(G34=0,0,IF(G34&gt;0,1,-1)),
(G34-F34)/ABS(F34)
)</f>
        <v>0.16254416961130741</v>
      </c>
      <c r="G35" s="253"/>
    </row>
    <row r="36" spans="2:7" x14ac:dyDescent="0.2">
      <c r="B36" s="32" t="str">
        <f>Statement!B208</f>
        <v>Retail</v>
      </c>
      <c r="C36" s="245">
        <f>Statement!Z194</f>
        <v>158374</v>
      </c>
      <c r="D36" s="246">
        <f>Statement!AA194</f>
        <v>155960</v>
      </c>
      <c r="E36" s="16"/>
      <c r="F36" s="245">
        <f>Statement!W194</f>
        <v>147163</v>
      </c>
      <c r="G36" s="246">
        <f>Statement!AA194</f>
        <v>155960</v>
      </c>
    </row>
    <row r="37" spans="2:7" x14ac:dyDescent="0.2">
      <c r="B37" s="247" t="s">
        <v>316</v>
      </c>
      <c r="C37" s="257">
        <f>IF(C36=0,
IF(D36=0,0,IF(D36&gt;0,1,-1)),
(D36-C36)/ABS(C36)
)</f>
        <v>-1.5242400899137485E-2</v>
      </c>
      <c r="D37" s="258"/>
      <c r="E37" s="16"/>
      <c r="F37" s="257">
        <f>IF(F36=0,
IF(G36=0,0,IF(G36&gt;0,1,-1)),
(G36-F36)/ABS(F36)
)</f>
        <v>5.9777253793412748E-2</v>
      </c>
      <c r="G37" s="258"/>
    </row>
    <row r="38" spans="2:7" x14ac:dyDescent="0.2">
      <c r="B38" s="32" t="str">
        <f>Statement!B209</f>
        <v>AWS</v>
      </c>
      <c r="C38" s="245">
        <f>Statement!Z195</f>
        <v>42232</v>
      </c>
      <c r="D38" s="246">
        <f>Statement!AA195</f>
        <v>45984</v>
      </c>
      <c r="E38" s="16"/>
      <c r="F38" s="245">
        <f>Statement!W195</f>
        <v>33006</v>
      </c>
      <c r="G38" s="246">
        <f>Statement!AA195</f>
        <v>45984</v>
      </c>
    </row>
    <row r="39" spans="2:7" x14ac:dyDescent="0.2">
      <c r="B39" s="247" t="s">
        <v>316</v>
      </c>
      <c r="C39" s="257">
        <f>IF(C38=0,
IF(D38=0,0,IF(D38&gt;0,1,-1)),
(D38-C38)/ABS(C38)
)</f>
        <v>8.8842583822693694E-2</v>
      </c>
      <c r="D39" s="258"/>
      <c r="E39" s="16"/>
      <c r="F39" s="257">
        <f>IF(F38=0,
IF(G38=0,0,IF(G38&gt;0,1,-1)),
(G38-F38)/ABS(F38)
)</f>
        <v>0.39320123613888386</v>
      </c>
      <c r="G39" s="258"/>
    </row>
  </sheetData>
  <mergeCells count="34">
    <mergeCell ref="C37:D37"/>
    <mergeCell ref="F37:G37"/>
    <mergeCell ref="C39:D39"/>
    <mergeCell ref="F39:G39"/>
    <mergeCell ref="C31:D31"/>
    <mergeCell ref="F31:G31"/>
    <mergeCell ref="C33:D33"/>
    <mergeCell ref="F33:G33"/>
    <mergeCell ref="C35:D35"/>
    <mergeCell ref="F35:G35"/>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25:D25"/>
    <mergeCell ref="F25:G25"/>
    <mergeCell ref="C27:D27"/>
    <mergeCell ref="F27:G27"/>
    <mergeCell ref="C29:D29"/>
    <mergeCell ref="F29:G2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63:L86"/>
  <sheetViews>
    <sheetView topLeftCell="A64" zoomScale="159" workbookViewId="0">
      <selection activeCell="G52" sqref="G52"/>
    </sheetView>
  </sheetViews>
  <sheetFormatPr baseColWidth="10" defaultRowHeight="16" x14ac:dyDescent="0.2"/>
  <cols>
    <col min="1" max="1" width="2.6640625" style="1" customWidth="1"/>
    <col min="2" max="2" width="21" style="1" customWidth="1"/>
    <col min="3" max="16384" width="10.83203125" style="1"/>
  </cols>
  <sheetData>
    <row r="63" spans="2:12" x14ac:dyDescent="0.2">
      <c r="B63" s="10"/>
      <c r="C63" s="10">
        <f>Statement!H2</f>
        <v>0</v>
      </c>
      <c r="D63" s="10">
        <f>Statement!I2</f>
        <v>0</v>
      </c>
      <c r="E63" s="10">
        <f>Statement!J2</f>
        <v>0</v>
      </c>
      <c r="F63" s="10">
        <f>Statement!K2</f>
        <v>0</v>
      </c>
      <c r="G63" s="10">
        <f>Statement!L2</f>
        <v>0</v>
      </c>
      <c r="H63" s="10" t="str">
        <f>Statement!M2</f>
        <v>31.12.2021</v>
      </c>
      <c r="I63" s="10" t="str">
        <f>Statement!N2</f>
        <v>31.12.2022</v>
      </c>
      <c r="J63" s="10" t="str">
        <f>Statement!O2</f>
        <v>31.12.2023</v>
      </c>
      <c r="K63" s="10" t="str">
        <f>Statement!P2</f>
        <v>31.12.2024</v>
      </c>
      <c r="L63" s="10" t="str">
        <f>Statement!Q2</f>
        <v>31.12.2025</v>
      </c>
    </row>
    <row r="64" spans="2:12" x14ac:dyDescent="0.2">
      <c r="B64" s="10"/>
      <c r="C64" s="10">
        <f>Statement!H3</f>
        <v>0</v>
      </c>
      <c r="D64" s="10">
        <f>Statement!I3</f>
        <v>0</v>
      </c>
      <c r="E64" s="10">
        <f>Statement!J3</f>
        <v>0</v>
      </c>
      <c r="F64" s="10">
        <f>Statement!K3</f>
        <v>0</v>
      </c>
      <c r="G64" s="10">
        <f>Statement!L3</f>
        <v>0</v>
      </c>
      <c r="H64" s="10">
        <f>Statement!M3</f>
        <v>2021</v>
      </c>
      <c r="I64" s="10">
        <f>Statement!N3</f>
        <v>2022</v>
      </c>
      <c r="J64" s="10">
        <f>Statement!O3</f>
        <v>2023</v>
      </c>
      <c r="K64" s="10">
        <f>Statement!P3</f>
        <v>2024</v>
      </c>
      <c r="L64" s="10">
        <f>Statement!Q3</f>
        <v>2025</v>
      </c>
    </row>
    <row r="65" spans="2:12" x14ac:dyDescent="0.2">
      <c r="B65" s="20" t="s">
        <v>19</v>
      </c>
      <c r="C65" s="64">
        <f>Statement!H5</f>
        <v>0</v>
      </c>
      <c r="D65" s="64">
        <f>Statement!I5</f>
        <v>0</v>
      </c>
      <c r="E65" s="64">
        <f>Statement!J5</f>
        <v>0</v>
      </c>
      <c r="F65" s="64">
        <f>Statement!K5</f>
        <v>0</v>
      </c>
      <c r="G65" s="64">
        <f>Statement!L5</f>
        <v>0</v>
      </c>
      <c r="H65" s="24">
        <f>Statement!M5</f>
        <v>469822</v>
      </c>
      <c r="I65" s="24">
        <f>Statement!N5</f>
        <v>513983</v>
      </c>
      <c r="J65" s="24">
        <f>Statement!O5</f>
        <v>574785</v>
      </c>
      <c r="K65" s="24">
        <f>Statement!P5</f>
        <v>637959</v>
      </c>
      <c r="L65" s="24">
        <f>Statement!Q5</f>
        <v>716924</v>
      </c>
    </row>
    <row r="66" spans="2:12" x14ac:dyDescent="0.2">
      <c r="B66" s="20" t="s">
        <v>26</v>
      </c>
      <c r="C66" s="64">
        <f>Statement!H13</f>
        <v>0</v>
      </c>
      <c r="D66" s="64">
        <f>Statement!I13</f>
        <v>0</v>
      </c>
      <c r="E66" s="64">
        <f>Statement!J13</f>
        <v>0</v>
      </c>
      <c r="F66" s="64">
        <f>Statement!K13</f>
        <v>0</v>
      </c>
      <c r="G66" s="64">
        <f>Statement!L13</f>
        <v>0</v>
      </c>
      <c r="H66" s="64">
        <f>Statement!M13</f>
        <v>24879</v>
      </c>
      <c r="I66" s="64">
        <f>Statement!N13</f>
        <v>12248</v>
      </c>
      <c r="J66" s="64">
        <f>Statement!O13</f>
        <v>36852</v>
      </c>
      <c r="K66" s="64">
        <f>Statement!P13</f>
        <v>68593</v>
      </c>
      <c r="L66" s="64">
        <f>Statement!Q13</f>
        <v>79975</v>
      </c>
    </row>
    <row r="67" spans="2:12" x14ac:dyDescent="0.2">
      <c r="B67" s="20" t="s">
        <v>31</v>
      </c>
      <c r="C67" s="64">
        <f>Statement!H19</f>
        <v>0</v>
      </c>
      <c r="D67" s="64">
        <f>Statement!I19</f>
        <v>0</v>
      </c>
      <c r="E67" s="64">
        <f>Statement!J19</f>
        <v>0</v>
      </c>
      <c r="F67" s="64">
        <f>Statement!K19</f>
        <v>0</v>
      </c>
      <c r="G67" s="64">
        <f>Statement!L19</f>
        <v>0</v>
      </c>
      <c r="H67" s="64">
        <f>Statement!M19</f>
        <v>21838</v>
      </c>
      <c r="I67" s="64">
        <f>Statement!N19</f>
        <v>11148</v>
      </c>
      <c r="J67" s="64">
        <f>Statement!O19</f>
        <v>30425</v>
      </c>
      <c r="K67" s="64">
        <f>Statement!P19</f>
        <v>59248</v>
      </c>
      <c r="L67" s="64">
        <f>Statement!Q19</f>
        <v>64670</v>
      </c>
    </row>
    <row r="68" spans="2:12" x14ac:dyDescent="0.2">
      <c r="B68" s="20" t="s">
        <v>262</v>
      </c>
      <c r="C68" s="64">
        <f>Statement!H158</f>
        <v>0</v>
      </c>
      <c r="D68" s="64">
        <f>Statement!I158</f>
        <v>0</v>
      </c>
      <c r="E68" s="64">
        <f>Statement!J158</f>
        <v>0</v>
      </c>
      <c r="F68" s="64">
        <f>Statement!K158</f>
        <v>0</v>
      </c>
      <c r="G68" s="64">
        <f>Statement!L158</f>
        <v>0</v>
      </c>
      <c r="H68" s="64">
        <f>Statement!M158</f>
        <v>-27483</v>
      </c>
      <c r="I68" s="64">
        <f>Statement!N158</f>
        <v>-36514</v>
      </c>
      <c r="J68" s="64">
        <f>Statement!O158</f>
        <v>8194</v>
      </c>
      <c r="K68" s="64">
        <f>Statement!P158</f>
        <v>10867</v>
      </c>
      <c r="L68" s="64">
        <f>Statement!Q158</f>
        <v>-11772</v>
      </c>
    </row>
    <row r="69" spans="2:12" x14ac:dyDescent="0.2">
      <c r="B69" s="20" t="s">
        <v>263</v>
      </c>
      <c r="C69" s="64">
        <f>Statement!H159</f>
        <v>0</v>
      </c>
      <c r="D69" s="64">
        <f>Statement!I159</f>
        <v>0</v>
      </c>
      <c r="E69" s="64">
        <f>Statement!J159</f>
        <v>0</v>
      </c>
      <c r="F69" s="64">
        <f>Statement!K159</f>
        <v>0</v>
      </c>
      <c r="G69" s="64">
        <f>Statement!L159</f>
        <v>0</v>
      </c>
      <c r="H69" s="64">
        <f>Statement!M159</f>
        <v>-25828.818366197185</v>
      </c>
      <c r="I69" s="64">
        <f>Statement!N159</f>
        <v>-30362</v>
      </c>
      <c r="J69" s="64">
        <f>Statement!O159</f>
        <v>14258.652847671532</v>
      </c>
      <c r="K69" s="64">
        <f>Statement!P159</f>
        <v>13585.835645786574</v>
      </c>
      <c r="L69" s="64">
        <f>Statement!Q159</f>
        <v>-24162.381563497052</v>
      </c>
    </row>
    <row r="70" spans="2:12" x14ac:dyDescent="0.2">
      <c r="B70" s="20" t="s">
        <v>78</v>
      </c>
      <c r="C70" s="58">
        <f>Statement!H102</f>
        <v>0</v>
      </c>
      <c r="D70" s="58">
        <f>Statement!I102</f>
        <v>0</v>
      </c>
      <c r="E70" s="58">
        <f>Statement!J102</f>
        <v>0</v>
      </c>
      <c r="F70" s="58">
        <f>Statement!K102</f>
        <v>0</v>
      </c>
      <c r="G70" s="58">
        <f>Statement!L102</f>
        <v>0</v>
      </c>
      <c r="H70" s="58">
        <f>Statement!M102</f>
        <v>0.26045395915900066</v>
      </c>
      <c r="I70" s="58">
        <f>Statement!N102</f>
        <v>0.27404213758042584</v>
      </c>
      <c r="J70" s="58">
        <f>Statement!O102</f>
        <v>0.31216367859286515</v>
      </c>
      <c r="K70" s="58">
        <f>Statement!P102</f>
        <v>0.33413746024431035</v>
      </c>
      <c r="L70" s="58">
        <f>Statement!Q102</f>
        <v>0.35071499907940035</v>
      </c>
    </row>
    <row r="71" spans="2:12" x14ac:dyDescent="0.2">
      <c r="B71" s="20" t="s">
        <v>79</v>
      </c>
      <c r="C71" s="58">
        <f>Statement!H103</f>
        <v>0</v>
      </c>
      <c r="D71" s="58">
        <f>Statement!I103</f>
        <v>0</v>
      </c>
      <c r="E71" s="58">
        <f>Statement!J103</f>
        <v>0</v>
      </c>
      <c r="F71" s="58">
        <f>Statement!K103</f>
        <v>0</v>
      </c>
      <c r="G71" s="58">
        <f>Statement!L103</f>
        <v>0</v>
      </c>
      <c r="H71" s="58">
        <f>Statement!M103</f>
        <v>5.2954097509269465E-2</v>
      </c>
      <c r="I71" s="58">
        <f>Statement!N103</f>
        <v>2.3829581912242232E-2</v>
      </c>
      <c r="J71" s="58">
        <f>Statement!O103</f>
        <v>6.4114407996033296E-2</v>
      </c>
      <c r="K71" s="58">
        <f>Statement!P103</f>
        <v>0.1075194487420038</v>
      </c>
      <c r="L71" s="58">
        <f>Statement!Q103</f>
        <v>0.11155296795755199</v>
      </c>
    </row>
    <row r="72" spans="2:12" x14ac:dyDescent="0.2">
      <c r="B72" s="20" t="s">
        <v>80</v>
      </c>
      <c r="C72" s="58">
        <f>Statement!H104</f>
        <v>0</v>
      </c>
      <c r="D72" s="58">
        <f>Statement!I104</f>
        <v>0</v>
      </c>
      <c r="E72" s="58">
        <f>Statement!J104</f>
        <v>0</v>
      </c>
      <c r="F72" s="58">
        <f>Statement!K104</f>
        <v>0</v>
      </c>
      <c r="G72" s="58">
        <f>Statement!L104</f>
        <v>0</v>
      </c>
      <c r="H72" s="58">
        <f>Statement!M104</f>
        <v>4.6481433393923653E-2</v>
      </c>
      <c r="I72" s="58">
        <f>Statement!N104</f>
        <v>2.1689433308105521E-2</v>
      </c>
      <c r="J72" s="58">
        <f>Statement!O104</f>
        <v>5.2932835755978319E-2</v>
      </c>
      <c r="K72" s="58">
        <f>Statement!P104</f>
        <v>9.2871171971866534E-2</v>
      </c>
      <c r="L72" s="58">
        <f>Statement!Q104</f>
        <v>9.0204819478773207E-2</v>
      </c>
    </row>
    <row r="73" spans="2:12" x14ac:dyDescent="0.2">
      <c r="B73" s="20" t="str">
        <f>"Revenue "&amp;Statement!B188</f>
        <v>Revenue Online Stores</v>
      </c>
      <c r="C73" s="64">
        <f>Statement!H188</f>
        <v>0</v>
      </c>
      <c r="D73" s="64">
        <f>Statement!I188</f>
        <v>0</v>
      </c>
      <c r="E73" s="64">
        <f>Statement!J188</f>
        <v>0</v>
      </c>
      <c r="F73" s="64">
        <f>Statement!K188</f>
        <v>0</v>
      </c>
      <c r="G73" s="64">
        <f>Statement!L188</f>
        <v>0</v>
      </c>
      <c r="H73" s="64">
        <f>Statement!M188</f>
        <v>222075</v>
      </c>
      <c r="I73" s="64">
        <f>Statement!N188</f>
        <v>220004</v>
      </c>
      <c r="J73" s="64">
        <f>Statement!O188</f>
        <v>231872</v>
      </c>
      <c r="K73" s="64">
        <f>Statement!P188</f>
        <v>247029</v>
      </c>
      <c r="L73" s="64">
        <f>Statement!Q188</f>
        <v>269287</v>
      </c>
    </row>
    <row r="74" spans="2:12" x14ac:dyDescent="0.2">
      <c r="B74" s="20" t="str">
        <f>"Revenue "&amp;Statement!B189</f>
        <v>Revenue Physical Stores</v>
      </c>
      <c r="C74" s="64">
        <f>Statement!H189</f>
        <v>0</v>
      </c>
      <c r="D74" s="64">
        <f>Statement!I189</f>
        <v>0</v>
      </c>
      <c r="E74" s="64">
        <f>Statement!J189</f>
        <v>0</v>
      </c>
      <c r="F74" s="64">
        <f>Statement!K189</f>
        <v>0</v>
      </c>
      <c r="G74" s="64">
        <f>Statement!L189</f>
        <v>0</v>
      </c>
      <c r="H74" s="64">
        <f>Statement!M189</f>
        <v>17075</v>
      </c>
      <c r="I74" s="64">
        <f>Statement!N189</f>
        <v>18963</v>
      </c>
      <c r="J74" s="64">
        <f>Statement!O189</f>
        <v>20030</v>
      </c>
      <c r="K74" s="64">
        <f>Statement!P189</f>
        <v>21215</v>
      </c>
      <c r="L74" s="64">
        <f>Statement!Q189</f>
        <v>22561</v>
      </c>
    </row>
    <row r="75" spans="2:12" x14ac:dyDescent="0.2">
      <c r="B75" s="20" t="str">
        <f>"Revenue "&amp;Statement!B190</f>
        <v>Revenue Third party seller services</v>
      </c>
      <c r="C75" s="64">
        <f>Statement!H190</f>
        <v>0</v>
      </c>
      <c r="D75" s="64">
        <f>Statement!I190</f>
        <v>0</v>
      </c>
      <c r="E75" s="64">
        <f>Statement!J190</f>
        <v>0</v>
      </c>
      <c r="F75" s="64">
        <f>Statement!K190</f>
        <v>0</v>
      </c>
      <c r="G75" s="64">
        <f>Statement!L190</f>
        <v>0</v>
      </c>
      <c r="H75" s="64">
        <f>Statement!M190</f>
        <v>103366</v>
      </c>
      <c r="I75" s="64">
        <f>Statement!N190</f>
        <v>117716</v>
      </c>
      <c r="J75" s="64">
        <f>Statement!O190</f>
        <v>140053</v>
      </c>
      <c r="K75" s="64">
        <f>Statement!P190</f>
        <v>156146</v>
      </c>
      <c r="L75" s="64">
        <f>Statement!Q190</f>
        <v>172162</v>
      </c>
    </row>
    <row r="76" spans="2:12" x14ac:dyDescent="0.2">
      <c r="B76" s="20" t="str">
        <f>"Revenue "&amp;Statement!B191</f>
        <v>Revenue Advertising services</v>
      </c>
      <c r="C76" s="64">
        <f>Statement!H191</f>
        <v>0</v>
      </c>
      <c r="D76" s="64">
        <f>Statement!I191</f>
        <v>0</v>
      </c>
      <c r="E76" s="64">
        <f>Statement!J191</f>
        <v>0</v>
      </c>
      <c r="F76" s="64">
        <f>Statement!K191</f>
        <v>0</v>
      </c>
      <c r="G76" s="64">
        <f>Statement!L191</f>
        <v>0</v>
      </c>
      <c r="H76" s="64">
        <f>Statement!M191</f>
        <v>31160</v>
      </c>
      <c r="I76" s="64">
        <f>Statement!N191</f>
        <v>37739</v>
      </c>
      <c r="J76" s="64">
        <f>Statement!O191</f>
        <v>46906</v>
      </c>
      <c r="K76" s="64">
        <f>Statement!P191</f>
        <v>56214</v>
      </c>
      <c r="L76" s="64">
        <f>Statement!Q191</f>
        <v>68635</v>
      </c>
    </row>
    <row r="77" spans="2:12" x14ac:dyDescent="0.2">
      <c r="B77" s="20" t="str">
        <f>"Revenue "&amp;Statement!B192</f>
        <v>Revenue Subscription services</v>
      </c>
      <c r="C77" s="64">
        <f>Statement!H192</f>
        <v>0</v>
      </c>
      <c r="D77" s="64">
        <f>Statement!I192</f>
        <v>0</v>
      </c>
      <c r="E77" s="64">
        <f>Statement!J192</f>
        <v>0</v>
      </c>
      <c r="F77" s="64">
        <f>Statement!K192</f>
        <v>0</v>
      </c>
      <c r="G77" s="64">
        <f>Statement!L192</f>
        <v>0</v>
      </c>
      <c r="H77" s="64">
        <f>Statement!M192</f>
        <v>31768</v>
      </c>
      <c r="I77" s="64">
        <f>Statement!N192</f>
        <v>35218</v>
      </c>
      <c r="J77" s="64">
        <f>Statement!O192</f>
        <v>40209</v>
      </c>
      <c r="K77" s="64">
        <f>Statement!P192</f>
        <v>44374</v>
      </c>
      <c r="L77" s="64">
        <f>Statement!Q192</f>
        <v>49619</v>
      </c>
    </row>
    <row r="78" spans="2:12" x14ac:dyDescent="0.2">
      <c r="B78" s="20" t="str">
        <f>"Revenue "&amp;Statement!B193</f>
        <v>Revenue Other</v>
      </c>
      <c r="C78" s="64">
        <f>Statement!H193</f>
        <v>0</v>
      </c>
      <c r="D78" s="64">
        <f>Statement!I193</f>
        <v>0</v>
      </c>
      <c r="E78" s="64">
        <f>Statement!J193</f>
        <v>0</v>
      </c>
      <c r="F78" s="64">
        <f>Statement!K193</f>
        <v>0</v>
      </c>
      <c r="G78" s="64">
        <f>Statement!L193</f>
        <v>0</v>
      </c>
      <c r="H78" s="64">
        <f>Statement!M193</f>
        <v>2176</v>
      </c>
      <c r="I78" s="64">
        <f>Statement!N193</f>
        <v>4247</v>
      </c>
      <c r="J78" s="64">
        <f>Statement!O193</f>
        <v>4958</v>
      </c>
      <c r="K78" s="64">
        <f>Statement!P193</f>
        <v>5425</v>
      </c>
      <c r="L78" s="64">
        <f>Statement!Q193</f>
        <v>5935</v>
      </c>
    </row>
    <row r="79" spans="2:12" x14ac:dyDescent="0.2">
      <c r="B79" s="20" t="str">
        <f>"Revenue "&amp;Statement!B194</f>
        <v>Revenue Retail</v>
      </c>
      <c r="C79" s="64">
        <f>Statement!H194</f>
        <v>0</v>
      </c>
      <c r="D79" s="64">
        <f>Statement!I194</f>
        <v>0</v>
      </c>
      <c r="E79" s="64">
        <f>Statement!J194</f>
        <v>0</v>
      </c>
      <c r="F79" s="64">
        <f>Statement!K194</f>
        <v>0</v>
      </c>
      <c r="G79" s="64">
        <f>Statement!L194</f>
        <v>0</v>
      </c>
      <c r="H79" s="64">
        <f>Statement!M194</f>
        <v>407620</v>
      </c>
      <c r="I79" s="64">
        <f>Statement!N194</f>
        <v>433887</v>
      </c>
      <c r="J79" s="64">
        <f>Statement!O194</f>
        <v>484028</v>
      </c>
      <c r="K79" s="64">
        <f>Statement!P194</f>
        <v>530403</v>
      </c>
      <c r="L79" s="64">
        <f>Statement!Q194</f>
        <v>588199</v>
      </c>
    </row>
    <row r="80" spans="2:12" x14ac:dyDescent="0.2">
      <c r="B80" s="20" t="str">
        <f>"Revenue "&amp;Statement!B195</f>
        <v>Revenue AWS</v>
      </c>
      <c r="C80" s="64">
        <f>Statement!H195</f>
        <v>0</v>
      </c>
      <c r="D80" s="64">
        <f>Statement!I195</f>
        <v>0</v>
      </c>
      <c r="E80" s="64">
        <f>Statement!J195</f>
        <v>0</v>
      </c>
      <c r="F80" s="64">
        <f>Statement!K195</f>
        <v>0</v>
      </c>
      <c r="G80" s="64">
        <f>Statement!L195</f>
        <v>0</v>
      </c>
      <c r="H80" s="64">
        <f>Statement!M195</f>
        <v>62202</v>
      </c>
      <c r="I80" s="64">
        <f>Statement!N195</f>
        <v>80096</v>
      </c>
      <c r="J80" s="64">
        <f>Statement!O195</f>
        <v>90757</v>
      </c>
      <c r="K80" s="64">
        <f>Statement!P195</f>
        <v>107556</v>
      </c>
      <c r="L80" s="64">
        <f>Statement!Q195</f>
        <v>128725</v>
      </c>
    </row>
    <row r="81" spans="2:12" x14ac:dyDescent="0.2">
      <c r="B81" s="20" t="s">
        <v>103</v>
      </c>
      <c r="C81" s="216">
        <f>Statement!H124</f>
        <v>0</v>
      </c>
      <c r="D81" s="216">
        <f>Statement!I124</f>
        <v>0</v>
      </c>
      <c r="E81" s="216">
        <f>Statement!J124</f>
        <v>0</v>
      </c>
      <c r="F81" s="216">
        <f>Statement!K124</f>
        <v>0</v>
      </c>
      <c r="G81" s="216">
        <f>Statement!L124</f>
        <v>0</v>
      </c>
      <c r="H81" s="216">
        <f>Statement!M124</f>
        <v>5.1927361615412233E-2</v>
      </c>
      <c r="I81" s="216">
        <f>Statement!N124</f>
        <v>2.40946668828011E-2</v>
      </c>
      <c r="J81" s="216">
        <f>Statement!O124</f>
        <v>5.7639044129626747E-2</v>
      </c>
      <c r="K81" s="216">
        <f>Statement!P124</f>
        <v>9.481288026449286E-2</v>
      </c>
      <c r="L81" s="216">
        <f>Statement!Q124</f>
        <v>7.905462066739849E-2</v>
      </c>
    </row>
    <row r="82" spans="2:12" x14ac:dyDescent="0.2">
      <c r="B82" s="20" t="s">
        <v>105</v>
      </c>
      <c r="C82" s="216">
        <f>Statement!H126</f>
        <v>0</v>
      </c>
      <c r="D82" s="216">
        <f>Statement!I126</f>
        <v>0</v>
      </c>
      <c r="E82" s="216">
        <f>Statement!J126</f>
        <v>0</v>
      </c>
      <c r="F82" s="216">
        <f>Statement!K126</f>
        <v>0</v>
      </c>
      <c r="G82" s="216">
        <f>Statement!L126</f>
        <v>0</v>
      </c>
      <c r="H82" s="216">
        <f>Statement!M126</f>
        <v>0.15796593005171974</v>
      </c>
      <c r="I82" s="216">
        <f>Statement!N126</f>
        <v>7.6333682545551645E-2</v>
      </c>
      <c r="J82" s="216">
        <f>Statement!O126</f>
        <v>0.15071207430340555</v>
      </c>
      <c r="K82" s="216">
        <f>Statement!P126</f>
        <v>0.20718257159841941</v>
      </c>
      <c r="L82" s="216">
        <f>Statement!Q126</f>
        <v>0.1573230510989746</v>
      </c>
    </row>
    <row r="83" spans="2:12" x14ac:dyDescent="0.2">
      <c r="B83" s="20" t="s">
        <v>106</v>
      </c>
      <c r="C83" s="216">
        <f>Statement!H141</f>
        <v>0</v>
      </c>
      <c r="D83" s="216">
        <f>Statement!I141</f>
        <v>0</v>
      </c>
      <c r="E83" s="216">
        <f>Statement!J141</f>
        <v>0</v>
      </c>
      <c r="F83" s="216">
        <f>Statement!K141</f>
        <v>0</v>
      </c>
      <c r="G83" s="216">
        <f>Statement!L141</f>
        <v>0</v>
      </c>
      <c r="H83" s="216">
        <f>Statement!M141</f>
        <v>0.22434771974711698</v>
      </c>
      <c r="I83" s="216">
        <f>Statement!N141</f>
        <v>8.5550441093268703E-2</v>
      </c>
      <c r="J83" s="216">
        <f>Statement!O141</f>
        <v>0.17222665979085017</v>
      </c>
      <c r="K83" s="216">
        <f>Statement!P141</f>
        <v>0.24992874896599523</v>
      </c>
      <c r="L83" s="216">
        <f>Statement!Q141</f>
        <v>0.17492908482290109</v>
      </c>
    </row>
    <row r="84" spans="2:12" x14ac:dyDescent="0.2">
      <c r="B84" s="20" t="s">
        <v>348</v>
      </c>
      <c r="C84" s="225">
        <f>Statement!H220</f>
        <v>0</v>
      </c>
      <c r="D84" s="225">
        <f>Statement!I220</f>
        <v>0</v>
      </c>
      <c r="E84" s="225">
        <f>Statement!J220</f>
        <v>0</v>
      </c>
      <c r="F84" s="225">
        <f>Statement!K220</f>
        <v>0</v>
      </c>
      <c r="G84" s="225">
        <f>Statement!L220</f>
        <v>0</v>
      </c>
      <c r="H84" s="225">
        <f>Statement!M220</f>
        <v>100</v>
      </c>
      <c r="I84" s="225">
        <f>Statement!N220</f>
        <v>50.377879078694818</v>
      </c>
      <c r="J84" s="225">
        <f>Statement!O220</f>
        <v>91.134836852207286</v>
      </c>
      <c r="K84" s="225">
        <f>Statement!P220</f>
        <v>131.5918905950096</v>
      </c>
      <c r="L84" s="225">
        <f>Statement!Q220</f>
        <v>138.44769673704414</v>
      </c>
    </row>
    <row r="85" spans="2:12" x14ac:dyDescent="0.2">
      <c r="B85" s="20" t="s">
        <v>349</v>
      </c>
      <c r="C85" s="225">
        <f>Statement!H221</f>
        <v>0</v>
      </c>
      <c r="D85" s="225">
        <f>Statement!I221</f>
        <v>0</v>
      </c>
      <c r="E85" s="225">
        <f>Statement!J221</f>
        <v>0</v>
      </c>
      <c r="F85" s="225">
        <f>Statement!K221</f>
        <v>0</v>
      </c>
      <c r="G85" s="225">
        <f>Statement!L221</f>
        <v>0</v>
      </c>
      <c r="H85" s="225">
        <f>Statement!M221</f>
        <v>100</v>
      </c>
      <c r="I85" s="225">
        <f>Statement!N221</f>
        <v>109.39951726398509</v>
      </c>
      <c r="J85" s="225">
        <f>Statement!O221</f>
        <v>122.34101425646308</v>
      </c>
      <c r="K85" s="225">
        <f>Statement!P221</f>
        <v>135.7873833068694</v>
      </c>
      <c r="L85" s="225">
        <f>Statement!Q221</f>
        <v>152.59481250345877</v>
      </c>
    </row>
    <row r="86" spans="2:12" x14ac:dyDescent="0.2">
      <c r="B86" s="20" t="s">
        <v>350</v>
      </c>
      <c r="C86" s="225">
        <f>Statement!H222</f>
        <v>0</v>
      </c>
      <c r="D86" s="225">
        <f>Statement!I222</f>
        <v>0</v>
      </c>
      <c r="E86" s="225">
        <f>Statement!J222</f>
        <v>0</v>
      </c>
      <c r="F86" s="225">
        <f>Statement!K222</f>
        <v>0</v>
      </c>
      <c r="G86" s="225">
        <f>Statement!L222</f>
        <v>0</v>
      </c>
      <c r="H86" s="225">
        <f>Statement!M222</f>
        <v>100</v>
      </c>
      <c r="I86" s="225">
        <f>Statement!N222</f>
        <v>51.584719108330532</v>
      </c>
      <c r="J86" s="225">
        <f>Statement!O222</f>
        <v>136.72680648411026</v>
      </c>
      <c r="K86" s="225">
        <f>Statement!P222</f>
        <v>260.72387581280339</v>
      </c>
      <c r="L86" s="225">
        <f>Statement!Q222</f>
        <v>281.61150684360018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71"/>
  <sheetViews>
    <sheetView topLeftCell="A19" zoomScale="161" workbookViewId="0">
      <selection activeCell="H42" sqref="H42"/>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31.12.2024</v>
      </c>
      <c r="D55" s="10" t="str">
        <f>Statement!U2</f>
        <v>31.03.2025</v>
      </c>
      <c r="E55" s="10" t="str">
        <f>Statement!V2</f>
        <v>30.06.2025</v>
      </c>
      <c r="F55" s="10" t="str">
        <f>Statement!W2</f>
        <v>30.09.2025</v>
      </c>
      <c r="G55" s="10" t="str">
        <f>Statement!X2</f>
        <v>31.12.2025</v>
      </c>
      <c r="H55" s="10" t="str">
        <f>Statement!Y2</f>
        <v>31.03.2026</v>
      </c>
      <c r="I55" s="10" t="str">
        <f>Statement!Z2</f>
        <v>30.06.2026</v>
      </c>
      <c r="J55" s="10" t="str">
        <f>Statement!AA2</f>
        <v>30.09.2026</v>
      </c>
    </row>
    <row r="56" spans="2:10" x14ac:dyDescent="0.2">
      <c r="B56" s="10"/>
      <c r="C56" s="10" t="str">
        <f>Statement!T3</f>
        <v>Q4 2024</v>
      </c>
      <c r="D56" s="10" t="str">
        <f>Statement!U3</f>
        <v>Q1 2025</v>
      </c>
      <c r="E56" s="10" t="str">
        <f>Statement!V3</f>
        <v>Q2 2025</v>
      </c>
      <c r="F56" s="10" t="str">
        <f>Statement!W3</f>
        <v>Q3 2025</v>
      </c>
      <c r="G56" s="10" t="str">
        <f>Statement!X3</f>
        <v>Q4 2025</v>
      </c>
      <c r="H56" s="10" t="str">
        <f>Statement!Y3</f>
        <v>Q1 2026</v>
      </c>
      <c r="I56" s="10" t="str">
        <f>Statement!Z3</f>
        <v>Q2 2026</v>
      </c>
      <c r="J56" s="10" t="str">
        <f>Statement!AA3</f>
        <v>Q3 2026</v>
      </c>
    </row>
    <row r="57" spans="2:10" x14ac:dyDescent="0.2">
      <c r="B57" s="20" t="s">
        <v>19</v>
      </c>
      <c r="C57" s="64">
        <f>Statement!T5</f>
        <v>187792</v>
      </c>
      <c r="D57" s="64">
        <f>Statement!U5</f>
        <v>155667</v>
      </c>
      <c r="E57" s="64">
        <f>Statement!V5</f>
        <v>167702</v>
      </c>
      <c r="F57" s="64">
        <f>Statement!W5</f>
        <v>180169</v>
      </c>
      <c r="G57" s="64">
        <f>Statement!X5</f>
        <v>213386</v>
      </c>
      <c r="H57" s="64">
        <f>Statement!Y5</f>
        <v>181519</v>
      </c>
      <c r="I57" s="64">
        <f>Statement!Z5</f>
        <v>200606</v>
      </c>
      <c r="J57" s="64">
        <f>Statement!AA5</f>
        <v>201944</v>
      </c>
    </row>
    <row r="58" spans="2:10" x14ac:dyDescent="0.2">
      <c r="B58" s="20" t="s">
        <v>26</v>
      </c>
      <c r="C58" s="64">
        <f>Statement!T13</f>
        <v>21203</v>
      </c>
      <c r="D58" s="64">
        <f>Statement!U13</f>
        <v>18405</v>
      </c>
      <c r="E58" s="64">
        <f>Statement!V13</f>
        <v>19171</v>
      </c>
      <c r="F58" s="64">
        <f>Statement!W13</f>
        <v>17422</v>
      </c>
      <c r="G58" s="64">
        <f>Statement!X13</f>
        <v>24977</v>
      </c>
      <c r="H58" s="64">
        <f>Statement!Y13</f>
        <v>23852</v>
      </c>
      <c r="I58" s="64">
        <f>Statement!Z13</f>
        <v>27461</v>
      </c>
      <c r="J58" s="64">
        <f>Statement!AA13</f>
        <v>28076</v>
      </c>
    </row>
    <row r="59" spans="2:10" x14ac:dyDescent="0.2">
      <c r="B59" s="20" t="s">
        <v>31</v>
      </c>
      <c r="C59" s="64">
        <f>Statement!T19</f>
        <v>20004</v>
      </c>
      <c r="D59" s="64">
        <f>Statement!U19</f>
        <v>17127</v>
      </c>
      <c r="E59" s="64">
        <f>Statement!V19</f>
        <v>18164</v>
      </c>
      <c r="F59" s="64">
        <f>Statement!W19</f>
        <v>12187</v>
      </c>
      <c r="G59" s="64">
        <f>Statement!X19</f>
        <v>21192</v>
      </c>
      <c r="H59" s="64">
        <f>Statement!Y19</f>
        <v>17927</v>
      </c>
      <c r="I59" s="64">
        <f>Statement!Z19</f>
        <v>12161</v>
      </c>
      <c r="J59" s="64">
        <f>Statement!AA19</f>
        <v>20685</v>
      </c>
    </row>
    <row r="60" spans="2:10" x14ac:dyDescent="0.2">
      <c r="B60" s="20" t="s">
        <v>78</v>
      </c>
      <c r="C60" s="58">
        <f>Statement!T102</f>
        <v>0.32449199113913268</v>
      </c>
      <c r="D60" s="58">
        <f>Statement!U102</f>
        <v>0.34752388110517962</v>
      </c>
      <c r="E60" s="58">
        <f>Statement!V102</f>
        <v>0.36324551883698464</v>
      </c>
      <c r="F60" s="58">
        <f>Statement!W102</f>
        <v>0.35422297953588022</v>
      </c>
      <c r="G60" s="58">
        <f>Statement!X102</f>
        <v>0.34023319243061867</v>
      </c>
      <c r="H60" s="58">
        <f>Statement!Y102</f>
        <v>0.36782375398718592</v>
      </c>
      <c r="I60" s="58">
        <f>Statement!Z102</f>
        <v>0.37483923711155198</v>
      </c>
      <c r="J60" s="58">
        <f>Statement!AA102</f>
        <v>0.38314582260428631</v>
      </c>
    </row>
    <row r="61" spans="2:10" x14ac:dyDescent="0.2">
      <c r="B61" s="20" t="s">
        <v>79</v>
      </c>
      <c r="C61" s="58">
        <f>Statement!T103</f>
        <v>0.1129068330919315</v>
      </c>
      <c r="D61" s="58">
        <f>Statement!U103</f>
        <v>0.11823315153500742</v>
      </c>
      <c r="E61" s="58">
        <f>Statement!V103</f>
        <v>0.11431586981669867</v>
      </c>
      <c r="F61" s="58">
        <f>Statement!W103</f>
        <v>9.6698100117112273E-2</v>
      </c>
      <c r="G61" s="58">
        <f>Statement!X103</f>
        <v>0.11705079058607407</v>
      </c>
      <c r="H61" s="58">
        <f>Statement!Y103</f>
        <v>0.13140222235688825</v>
      </c>
      <c r="I61" s="58">
        <f>Statement!Z103</f>
        <v>0.1368902226254449</v>
      </c>
      <c r="J61" s="58">
        <f>Statement!AA103</f>
        <v>0.13902864160361289</v>
      </c>
    </row>
    <row r="62" spans="2:10" x14ac:dyDescent="0.2">
      <c r="B62" s="20" t="s">
        <v>80</v>
      </c>
      <c r="C62" s="58">
        <f>Statement!T104</f>
        <v>0.10652210956803272</v>
      </c>
      <c r="D62" s="58">
        <f>Statement!U104</f>
        <v>0.1100233190078822</v>
      </c>
      <c r="E62" s="58">
        <f>Statement!V104</f>
        <v>0.10831117100571251</v>
      </c>
      <c r="F62" s="58">
        <f>Statement!W104</f>
        <v>6.7642047189028082E-2</v>
      </c>
      <c r="G62" s="58">
        <f>Statement!X104</f>
        <v>9.9312982107542205E-2</v>
      </c>
      <c r="H62" s="58">
        <f>Statement!Y104</f>
        <v>9.8761011244002009E-2</v>
      </c>
      <c r="I62" s="58">
        <f>Statement!Z104</f>
        <v>6.0621317408252995E-2</v>
      </c>
      <c r="J62" s="58">
        <f>Statement!AA104</f>
        <v>0.1024293863645367</v>
      </c>
    </row>
    <row r="63" spans="2:10" x14ac:dyDescent="0.2">
      <c r="B63" s="20" t="str">
        <f>"Revenue "&amp;Statement!B188</f>
        <v>Revenue Online Stores</v>
      </c>
      <c r="C63" s="64">
        <f>Statement!T188</f>
        <v>0</v>
      </c>
      <c r="D63" s="64">
        <f>Statement!U188</f>
        <v>57407</v>
      </c>
      <c r="E63" s="64">
        <f>Statement!V188</f>
        <v>61485</v>
      </c>
      <c r="F63" s="64">
        <f>Statement!W188</f>
        <v>67407</v>
      </c>
      <c r="G63" s="64">
        <f>Statement!X188</f>
        <v>82988</v>
      </c>
      <c r="H63" s="64">
        <f>Statement!Y188</f>
        <v>64254</v>
      </c>
      <c r="I63" s="64">
        <f>Statement!Z188</f>
        <v>70432</v>
      </c>
      <c r="J63" s="64">
        <f>Statement!AA188</f>
        <v>68470</v>
      </c>
    </row>
    <row r="64" spans="2:10" x14ac:dyDescent="0.2">
      <c r="B64" s="20" t="str">
        <f>"Revenue "&amp;Statement!B189</f>
        <v>Revenue Physical Stores</v>
      </c>
      <c r="C64" s="64">
        <f>Statement!T189</f>
        <v>0</v>
      </c>
      <c r="D64" s="64">
        <f>Statement!U189</f>
        <v>5533</v>
      </c>
      <c r="E64" s="64">
        <f>Statement!V189</f>
        <v>5595</v>
      </c>
      <c r="F64" s="64">
        <f>Statement!W189</f>
        <v>5578</v>
      </c>
      <c r="G64" s="64">
        <f>Statement!X189</f>
        <v>5855</v>
      </c>
      <c r="H64" s="64">
        <f>Statement!Y189</f>
        <v>5785</v>
      </c>
      <c r="I64" s="64">
        <f>Statement!Z189</f>
        <v>5794</v>
      </c>
      <c r="J64" s="64">
        <f>Statement!AA189</f>
        <v>5710</v>
      </c>
    </row>
    <row r="65" spans="2:10" x14ac:dyDescent="0.2">
      <c r="B65" s="20" t="str">
        <f>"Revenue "&amp;Statement!B190</f>
        <v>Revenue Third party seller services</v>
      </c>
      <c r="C65" s="64">
        <f>Statement!T190</f>
        <v>0</v>
      </c>
      <c r="D65" s="64">
        <f>Statement!U190</f>
        <v>36512</v>
      </c>
      <c r="E65" s="64">
        <f>Statement!V190</f>
        <v>40348</v>
      </c>
      <c r="F65" s="64">
        <f>Statement!W190</f>
        <v>42486</v>
      </c>
      <c r="G65" s="64">
        <f>Statement!X190</f>
        <v>52816</v>
      </c>
      <c r="H65" s="64">
        <f>Statement!Y190</f>
        <v>41578</v>
      </c>
      <c r="I65" s="64">
        <f>Statement!Z190</f>
        <v>46780</v>
      </c>
      <c r="J65" s="64">
        <f>Statement!AA190</f>
        <v>46492</v>
      </c>
    </row>
    <row r="66" spans="2:10" x14ac:dyDescent="0.2">
      <c r="B66" s="20" t="str">
        <f>"Revenue "&amp;Statement!B191</f>
        <v>Revenue Advertising services</v>
      </c>
      <c r="C66" s="64">
        <f>Statement!T191</f>
        <v>0</v>
      </c>
      <c r="D66" s="64">
        <f>Statement!U191</f>
        <v>13921</v>
      </c>
      <c r="E66" s="64">
        <f>Statement!V191</f>
        <v>15694</v>
      </c>
      <c r="F66" s="64">
        <f>Statement!W191</f>
        <v>17703</v>
      </c>
      <c r="G66" s="64">
        <f>Statement!X191</f>
        <v>21317</v>
      </c>
      <c r="H66" s="64">
        <f>Statement!Y191</f>
        <v>17243</v>
      </c>
      <c r="I66" s="64">
        <f>Statement!Z191</f>
        <v>19809</v>
      </c>
      <c r="J66" s="64">
        <f>Statement!AA191</f>
        <v>19637</v>
      </c>
    </row>
    <row r="67" spans="2:10" x14ac:dyDescent="0.2">
      <c r="B67" s="20" t="str">
        <f>"Revenue "&amp;Statement!B192</f>
        <v>Revenue Subscription services</v>
      </c>
      <c r="C67" s="64">
        <f>Statement!T192</f>
        <v>0</v>
      </c>
      <c r="D67" s="64">
        <f>Statement!U192</f>
        <v>11715</v>
      </c>
      <c r="E67" s="64">
        <f>Statement!V192</f>
        <v>12208</v>
      </c>
      <c r="F67" s="64">
        <f>Statement!W192</f>
        <v>12574</v>
      </c>
      <c r="G67" s="64">
        <f>Statement!X192</f>
        <v>13122</v>
      </c>
      <c r="H67" s="64">
        <f>Statement!Y192</f>
        <v>13427</v>
      </c>
      <c r="I67" s="64">
        <f>Statement!Z192</f>
        <v>13730</v>
      </c>
      <c r="J67" s="64">
        <f>Statement!AA192</f>
        <v>14006</v>
      </c>
    </row>
    <row r="68" spans="2:10" x14ac:dyDescent="0.2">
      <c r="B68" s="20" t="str">
        <f>"Revenue "&amp;Statement!B193</f>
        <v>Revenue Other</v>
      </c>
      <c r="C68" s="64">
        <f>Statement!T193</f>
        <v>0</v>
      </c>
      <c r="D68" s="64">
        <f>Statement!U193</f>
        <v>1312</v>
      </c>
      <c r="E68" s="64">
        <f>Statement!V193</f>
        <v>1499</v>
      </c>
      <c r="F68" s="64">
        <f>Statement!W193</f>
        <v>1415</v>
      </c>
      <c r="G68" s="64">
        <f>Statement!X193</f>
        <v>1709</v>
      </c>
      <c r="H68" s="64">
        <f>Statement!Y193</f>
        <v>1645</v>
      </c>
      <c r="I68" s="64">
        <f>Statement!Z193</f>
        <v>1829</v>
      </c>
      <c r="J68" s="64">
        <f>Statement!AA193</f>
        <v>1645</v>
      </c>
    </row>
    <row r="69" spans="2:10" x14ac:dyDescent="0.2">
      <c r="B69" s="20" t="str">
        <f>"Revenue "&amp;Statement!B194</f>
        <v>Revenue Retail</v>
      </c>
      <c r="C69" s="64">
        <f>Statement!T194</f>
        <v>0</v>
      </c>
      <c r="D69" s="64">
        <f>Statement!U194</f>
        <v>126400</v>
      </c>
      <c r="E69" s="64">
        <f>Statement!V194</f>
        <v>136829</v>
      </c>
      <c r="F69" s="64">
        <f>Statement!W194</f>
        <v>147163</v>
      </c>
      <c r="G69" s="64">
        <f>Statement!X194</f>
        <v>177807</v>
      </c>
      <c r="H69" s="64">
        <f>Statement!Y194</f>
        <v>143932</v>
      </c>
      <c r="I69" s="64">
        <f>Statement!Z194</f>
        <v>158374</v>
      </c>
      <c r="J69" s="64">
        <f>Statement!AA194</f>
        <v>155960</v>
      </c>
    </row>
    <row r="70" spans="2:10" x14ac:dyDescent="0.2">
      <c r="B70" s="20" t="str">
        <f>"Revenue "&amp;Statement!B195</f>
        <v>Revenue AWS</v>
      </c>
      <c r="C70" s="64">
        <f>Statement!T195</f>
        <v>0</v>
      </c>
      <c r="D70" s="64">
        <f>Statement!U195</f>
        <v>29267</v>
      </c>
      <c r="E70" s="64">
        <f>Statement!V195</f>
        <v>30837</v>
      </c>
      <c r="F70" s="64">
        <f>Statement!W195</f>
        <v>33006</v>
      </c>
      <c r="G70" s="64">
        <f>Statement!X195</f>
        <v>35615</v>
      </c>
      <c r="H70" s="64">
        <f>Statement!Y195</f>
        <v>37587</v>
      </c>
      <c r="I70" s="64">
        <f>Statement!Z195</f>
        <v>42232</v>
      </c>
      <c r="J70" s="64">
        <f>Statement!AA195</f>
        <v>45984</v>
      </c>
    </row>
    <row r="71" spans="2:10" x14ac:dyDescent="0.2">
      <c r="B71" s="20" t="s">
        <v>262</v>
      </c>
      <c r="C71" s="64">
        <f>Statement!T158</f>
        <v>12807</v>
      </c>
      <c r="D71" s="64">
        <f>Statement!U158</f>
        <v>-11693</v>
      </c>
      <c r="E71" s="64">
        <f>Statement!V158</f>
        <v>-6202</v>
      </c>
      <c r="F71" s="64">
        <f>Statement!W158</f>
        <v>-4417</v>
      </c>
      <c r="G71" s="64">
        <f>Statement!X158</f>
        <v>10540</v>
      </c>
      <c r="H71" s="64">
        <f>Statement!Y158</f>
        <v>-22203</v>
      </c>
      <c r="I71" s="64">
        <f>Statement!Z158</f>
        <v>-14859</v>
      </c>
      <c r="J71" s="64">
        <f>Statement!AA158</f>
        <v>-40243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8.1640625" style="1" customWidth="1"/>
    <col min="9" max="16384" width="10.83203125" style="1"/>
  </cols>
  <sheetData>
    <row r="5" spans="2:8" x14ac:dyDescent="0.2">
      <c r="H5" s="134" t="s">
        <v>386</v>
      </c>
    </row>
    <row r="6" spans="2:8" x14ac:dyDescent="0.2">
      <c r="H6" s="236" t="s">
        <v>391</v>
      </c>
    </row>
    <row r="7" spans="2:8" x14ac:dyDescent="0.2">
      <c r="H7" s="236" t="s">
        <v>387</v>
      </c>
    </row>
    <row r="8" spans="2:8" x14ac:dyDescent="0.2">
      <c r="H8" s="236" t="s">
        <v>388</v>
      </c>
    </row>
    <row r="9" spans="2:8" x14ac:dyDescent="0.2">
      <c r="H9" s="236" t="s">
        <v>389</v>
      </c>
    </row>
    <row r="10" spans="2:8" x14ac:dyDescent="0.2">
      <c r="H10" s="237" t="s">
        <v>390</v>
      </c>
    </row>
    <row r="13" spans="2:8" s="4" customFormat="1" ht="49" x14ac:dyDescent="0.2">
      <c r="B13" s="3" t="s">
        <v>112</v>
      </c>
    </row>
  </sheetData>
  <hyperlinks>
    <hyperlink ref="H6" location="Overview!B3" display="Overview'!B3" xr:uid="{0C7F0F1F-F339-B848-9C11-B9DEBD77927D}"/>
    <hyperlink ref="H8" location="'Analysis -&gt;'!B13" display="'Analysis -&gt;'!B13" xr:uid="{4DDFAC57-39D4-3345-8DDC-127F349724B3}"/>
    <hyperlink ref="H9" location="'Forecast -&gt;'!B13" display="'Forecast -&gt;'!B13" xr:uid="{057BE4E1-006C-1146-8D88-DA0B50E42D63}"/>
    <hyperlink ref="H10" location="'Valuation -&gt;'!B13" display="'Valuation -&gt;'!B13" xr:uid="{E36163F3-014E-C54F-9203-D28EA0B6F5D0}"/>
    <hyperlink ref="H7" location="'Financials -&gt;'!B13" display="'Financials -&gt;'!B13" xr:uid="{13B55C9E-2A66-CD4A-8132-953862B3BEB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8"/>
  <sheetViews>
    <sheetView topLeftCell="B14" zoomScale="184" zoomScaleNormal="75" workbookViewId="0">
      <selection activeCell="L25" sqref="L25"/>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113</v>
      </c>
      <c r="O1" s="84"/>
    </row>
    <row r="2" spans="1:31" x14ac:dyDescent="0.2">
      <c r="A2" s="4"/>
      <c r="C2" s="251" t="s">
        <v>114</v>
      </c>
      <c r="D2" s="251"/>
      <c r="E2" s="251"/>
      <c r="F2" s="251"/>
      <c r="G2" s="262"/>
      <c r="H2" s="263" t="s">
        <v>115</v>
      </c>
      <c r="I2" s="251"/>
      <c r="J2" s="251"/>
      <c r="K2" s="251"/>
      <c r="L2" s="251"/>
      <c r="O2" s="5"/>
      <c r="S2" s="251" t="s">
        <v>114</v>
      </c>
      <c r="T2" s="251"/>
      <c r="U2" s="251"/>
      <c r="V2" s="251"/>
      <c r="W2" s="251"/>
      <c r="X2" s="251"/>
      <c r="Y2" s="251"/>
      <c r="Z2" s="251"/>
      <c r="AA2" s="251" t="s">
        <v>115</v>
      </c>
      <c r="AB2" s="251"/>
      <c r="AC2" s="251"/>
      <c r="AE2" s="85" t="s">
        <v>116</v>
      </c>
    </row>
    <row r="3" spans="1:31" ht="10" customHeight="1" x14ac:dyDescent="0.2">
      <c r="O3" s="5"/>
    </row>
    <row r="4" spans="1:31" ht="16" customHeight="1" x14ac:dyDescent="0.2">
      <c r="A4" s="86"/>
      <c r="B4" s="60"/>
      <c r="C4" s="259" t="s">
        <v>117</v>
      </c>
      <c r="D4" s="259"/>
      <c r="E4" s="259"/>
      <c r="F4" s="259"/>
      <c r="G4" s="259"/>
      <c r="H4" s="259"/>
      <c r="I4" s="259"/>
      <c r="J4" s="259"/>
      <c r="K4" s="259"/>
      <c r="L4" s="259"/>
      <c r="O4" s="5"/>
      <c r="S4" s="260" t="s">
        <v>117</v>
      </c>
      <c r="T4" s="261"/>
      <c r="U4" s="261"/>
      <c r="V4" s="261"/>
      <c r="W4" s="261"/>
      <c r="X4" s="261"/>
      <c r="Y4" s="261"/>
      <c r="Z4" s="261"/>
      <c r="AA4" s="261"/>
      <c r="AB4" s="261"/>
      <c r="AC4" s="261"/>
      <c r="AE4" s="87"/>
    </row>
    <row r="5" spans="1:31" x14ac:dyDescent="0.2">
      <c r="B5" s="16" t="s">
        <v>118</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Q4 2024</v>
      </c>
      <c r="T5" s="12" t="str">
        <f>Statement!U3</f>
        <v>Q1 2025</v>
      </c>
      <c r="U5" s="12" t="str">
        <f>Statement!V3</f>
        <v>Q2 2025</v>
      </c>
      <c r="V5" s="12" t="str">
        <f>Statement!W3</f>
        <v>Q3 2025</v>
      </c>
      <c r="W5" s="12" t="str">
        <f>Statement!X3</f>
        <v>Q4 2025</v>
      </c>
      <c r="X5" s="12" t="str">
        <f>Statement!Y3</f>
        <v>Q1 2026</v>
      </c>
      <c r="Y5" s="12" t="str">
        <f>Statement!Z3</f>
        <v>Q2 2026</v>
      </c>
      <c r="Z5" s="12" t="str">
        <f>Statement!AA3</f>
        <v>Q3 2026</v>
      </c>
      <c r="AA5" s="12" t="s">
        <v>119</v>
      </c>
      <c r="AB5" s="12" t="s">
        <v>120</v>
      </c>
      <c r="AC5" s="12" t="s">
        <v>121</v>
      </c>
      <c r="AE5" s="8" t="s">
        <v>119</v>
      </c>
    </row>
    <row r="6" spans="1:31" x14ac:dyDescent="0.2">
      <c r="B6" s="1" t="str">
        <f>Statement!B188</f>
        <v>Online Stores</v>
      </c>
      <c r="C6" s="88">
        <f>Statement!M188</f>
        <v>222075</v>
      </c>
      <c r="D6" s="88">
        <f>Statement!N188</f>
        <v>220004</v>
      </c>
      <c r="E6" s="88">
        <f>Statement!O188</f>
        <v>231872</v>
      </c>
      <c r="F6" s="88">
        <f>Statement!P188</f>
        <v>247029</v>
      </c>
      <c r="G6" s="89">
        <f>Statement!Q188</f>
        <v>269287</v>
      </c>
      <c r="H6" s="64">
        <f>G6*(1+H18)</f>
        <v>292176.39500000002</v>
      </c>
      <c r="I6" s="64">
        <f t="shared" ref="I6:L6" si="1">H6*(1+I18)</f>
        <v>312628.74265000003</v>
      </c>
      <c r="J6" s="64">
        <f t="shared" si="1"/>
        <v>334512.75463550002</v>
      </c>
      <c r="K6" s="64">
        <f t="shared" si="1"/>
        <v>357928.64745998505</v>
      </c>
      <c r="L6" s="64">
        <f t="shared" si="1"/>
        <v>382983.65278218401</v>
      </c>
      <c r="N6" s="90" t="s">
        <v>426</v>
      </c>
      <c r="O6" s="5"/>
      <c r="Q6" s="90" t="s">
        <v>426</v>
      </c>
      <c r="R6" s="1" t="str">
        <f>B6</f>
        <v>Online Stores</v>
      </c>
      <c r="S6" s="88">
        <f>Statement!T188</f>
        <v>0</v>
      </c>
      <c r="T6" s="88">
        <f>Statement!U188</f>
        <v>57407</v>
      </c>
      <c r="U6" s="88">
        <f>Statement!V188</f>
        <v>61485</v>
      </c>
      <c r="V6" s="88">
        <f>Statement!W188</f>
        <v>67407</v>
      </c>
      <c r="W6" s="88">
        <f>Statement!X188</f>
        <v>82988</v>
      </c>
      <c r="X6" s="88">
        <f>Statement!Y188</f>
        <v>64254</v>
      </c>
      <c r="Y6" s="88">
        <f>Statement!Z188</f>
        <v>70432</v>
      </c>
      <c r="Z6" s="89">
        <f>Statement!AA188</f>
        <v>68470</v>
      </c>
      <c r="AA6" s="64">
        <f>Z6*(1+AA18)</f>
        <v>89011</v>
      </c>
      <c r="AB6" s="64"/>
      <c r="AC6" s="64"/>
      <c r="AE6" s="64">
        <f>SUM(X6:AA6)</f>
        <v>292167</v>
      </c>
    </row>
    <row r="7" spans="1:31" x14ac:dyDescent="0.2">
      <c r="B7" s="1" t="str">
        <f>Statement!B189</f>
        <v>Physical Stores</v>
      </c>
      <c r="C7" s="88">
        <f>Statement!M189</f>
        <v>17075</v>
      </c>
      <c r="D7" s="88">
        <f>Statement!N189</f>
        <v>18963</v>
      </c>
      <c r="E7" s="88">
        <f>Statement!O189</f>
        <v>20030</v>
      </c>
      <c r="F7" s="88">
        <f>Statement!P189</f>
        <v>21215</v>
      </c>
      <c r="G7" s="89">
        <f>Statement!Q189</f>
        <v>22561</v>
      </c>
      <c r="H7" s="64">
        <f t="shared" ref="H7:L7" si="2">G7*(1+H19)</f>
        <v>23576.244999999999</v>
      </c>
      <c r="I7" s="64">
        <f t="shared" si="2"/>
        <v>24566.44729</v>
      </c>
      <c r="J7" s="64">
        <f t="shared" si="2"/>
        <v>25549.1051816</v>
      </c>
      <c r="K7" s="64">
        <f t="shared" si="2"/>
        <v>26571.069388864002</v>
      </c>
      <c r="L7" s="64">
        <f t="shared" si="2"/>
        <v>27633.912164418562</v>
      </c>
      <c r="N7" s="90" t="s">
        <v>427</v>
      </c>
      <c r="O7" s="5"/>
      <c r="Q7" s="90" t="s">
        <v>427</v>
      </c>
      <c r="R7" s="1" t="str">
        <f t="shared" ref="R7:R13" si="3">B7</f>
        <v>Physical Stores</v>
      </c>
      <c r="S7" s="88">
        <f>Statement!T189</f>
        <v>0</v>
      </c>
      <c r="T7" s="88">
        <f>Statement!U189</f>
        <v>5533</v>
      </c>
      <c r="U7" s="88">
        <f>Statement!V189</f>
        <v>5595</v>
      </c>
      <c r="V7" s="88">
        <f>Statement!W189</f>
        <v>5578</v>
      </c>
      <c r="W7" s="88">
        <f>Statement!X189</f>
        <v>5855</v>
      </c>
      <c r="X7" s="88">
        <f>Statement!Y189</f>
        <v>5785</v>
      </c>
      <c r="Y7" s="88">
        <f>Statement!Z189</f>
        <v>5794</v>
      </c>
      <c r="Z7" s="89">
        <f>Statement!AA189</f>
        <v>5710</v>
      </c>
      <c r="AA7" s="64">
        <f>Z7*(1+AA19)</f>
        <v>6566.4999999999991</v>
      </c>
      <c r="AB7" s="64"/>
      <c r="AC7" s="64"/>
      <c r="AE7" s="64">
        <f t="shared" ref="AE7:AE13" si="4">SUM(X7:AA7)</f>
        <v>23855.5</v>
      </c>
    </row>
    <row r="8" spans="1:31" x14ac:dyDescent="0.2">
      <c r="B8" s="1" t="str">
        <f>Statement!B190</f>
        <v>Third party seller services</v>
      </c>
      <c r="C8" s="88">
        <f>Statement!M190</f>
        <v>103366</v>
      </c>
      <c r="D8" s="88">
        <f>Statement!N190</f>
        <v>117716</v>
      </c>
      <c r="E8" s="88">
        <f>Statement!O190</f>
        <v>140053</v>
      </c>
      <c r="F8" s="88">
        <f>Statement!P190</f>
        <v>156146</v>
      </c>
      <c r="G8" s="89">
        <f>Statement!Q190</f>
        <v>172162</v>
      </c>
      <c r="H8" s="64">
        <f t="shared" ref="H8:L13" si="5">G8*(1+H20)</f>
        <v>189378.2</v>
      </c>
      <c r="I8" s="64">
        <f t="shared" si="5"/>
        <v>208316.02000000002</v>
      </c>
      <c r="J8" s="64">
        <f t="shared" si="5"/>
        <v>229147.62200000003</v>
      </c>
      <c r="K8" s="64">
        <f t="shared" si="5"/>
        <v>249770.90798000005</v>
      </c>
      <c r="L8" s="64">
        <f t="shared" si="5"/>
        <v>272250.28969820007</v>
      </c>
      <c r="N8" s="90" t="s">
        <v>428</v>
      </c>
      <c r="O8" s="5"/>
      <c r="Q8" s="90" t="s">
        <v>428</v>
      </c>
      <c r="R8" s="1" t="str">
        <f t="shared" si="3"/>
        <v>Third party seller services</v>
      </c>
      <c r="S8" s="88">
        <f>Statement!T190</f>
        <v>0</v>
      </c>
      <c r="T8" s="88">
        <f>Statement!U190</f>
        <v>36512</v>
      </c>
      <c r="U8" s="88">
        <f>Statement!V190</f>
        <v>40348</v>
      </c>
      <c r="V8" s="88">
        <f>Statement!W190</f>
        <v>42486</v>
      </c>
      <c r="W8" s="88">
        <f>Statement!X190</f>
        <v>52816</v>
      </c>
      <c r="X8" s="88">
        <f>Statement!Y190</f>
        <v>41578</v>
      </c>
      <c r="Y8" s="88">
        <f>Statement!Z190</f>
        <v>46780</v>
      </c>
      <c r="Z8" s="89">
        <f>Statement!AA190</f>
        <v>46492</v>
      </c>
      <c r="AA8" s="64">
        <f>Z8*(1+AA20)</f>
        <v>55790.400000000001</v>
      </c>
      <c r="AB8" s="64"/>
      <c r="AC8" s="64"/>
      <c r="AE8" s="64">
        <f t="shared" si="4"/>
        <v>190640.4</v>
      </c>
    </row>
    <row r="9" spans="1:31" x14ac:dyDescent="0.2">
      <c r="B9" s="1" t="str">
        <f>Statement!B191</f>
        <v>Advertising services</v>
      </c>
      <c r="C9" s="88">
        <f>Statement!M191</f>
        <v>31160</v>
      </c>
      <c r="D9" s="88">
        <f>Statement!N191</f>
        <v>37739</v>
      </c>
      <c r="E9" s="88">
        <f>Statement!O191</f>
        <v>46906</v>
      </c>
      <c r="F9" s="88">
        <f>Statement!P191</f>
        <v>56214</v>
      </c>
      <c r="G9" s="89">
        <f>Statement!Q191</f>
        <v>68635</v>
      </c>
      <c r="H9" s="64">
        <f t="shared" si="5"/>
        <v>78930.25</v>
      </c>
      <c r="I9" s="64">
        <f t="shared" ref="I9:I11" si="6">H9*(1+I21)</f>
        <v>93137.694999999992</v>
      </c>
      <c r="J9" s="64">
        <f t="shared" ref="J9:J11" si="7">I9*(1+J21)</f>
        <v>110833.85704999999</v>
      </c>
      <c r="K9" s="64">
        <f t="shared" ref="K9:K11" si="8">J9*(1+K21)</f>
        <v>129675.61274849999</v>
      </c>
      <c r="L9" s="64">
        <f t="shared" ref="L9:L11" si="9">K9*(1+L21)</f>
        <v>149126.95466077497</v>
      </c>
      <c r="N9" s="90" t="s">
        <v>429</v>
      </c>
      <c r="O9" s="5"/>
      <c r="Q9" s="90" t="s">
        <v>429</v>
      </c>
      <c r="R9" s="1" t="str">
        <f t="shared" si="3"/>
        <v>Advertising services</v>
      </c>
      <c r="S9" s="88">
        <f>Statement!T191</f>
        <v>0</v>
      </c>
      <c r="T9" s="88">
        <f>Statement!U191</f>
        <v>13921</v>
      </c>
      <c r="U9" s="88">
        <f>Statement!V191</f>
        <v>15694</v>
      </c>
      <c r="V9" s="88">
        <f>Statement!W191</f>
        <v>17703</v>
      </c>
      <c r="W9" s="88">
        <f>Statement!X191</f>
        <v>21317</v>
      </c>
      <c r="X9" s="88">
        <f>Statement!Y191</f>
        <v>17243</v>
      </c>
      <c r="Y9" s="88">
        <f>Statement!Z191</f>
        <v>19809</v>
      </c>
      <c r="Z9" s="89">
        <f>Statement!AA191</f>
        <v>19637</v>
      </c>
      <c r="AA9" s="64">
        <f t="shared" ref="AA9:AA13" si="10">Z9*(1+AA21)</f>
        <v>20618.850000000002</v>
      </c>
      <c r="AB9" s="64"/>
      <c r="AC9" s="64"/>
      <c r="AE9" s="64">
        <f t="shared" si="4"/>
        <v>77307.850000000006</v>
      </c>
    </row>
    <row r="10" spans="1:31" x14ac:dyDescent="0.2">
      <c r="B10" s="1" t="str">
        <f>Statement!B192</f>
        <v>Subscription services</v>
      </c>
      <c r="C10" s="88">
        <f>Statement!M192</f>
        <v>31768</v>
      </c>
      <c r="D10" s="88">
        <f>Statement!N192</f>
        <v>35218</v>
      </c>
      <c r="E10" s="88">
        <f>Statement!O192</f>
        <v>40209</v>
      </c>
      <c r="F10" s="88">
        <f>Statement!P192</f>
        <v>44374</v>
      </c>
      <c r="G10" s="89">
        <f>Statement!Q192</f>
        <v>49619</v>
      </c>
      <c r="H10" s="64">
        <f t="shared" si="5"/>
        <v>54580.9</v>
      </c>
      <c r="I10" s="64">
        <f t="shared" si="6"/>
        <v>60584.799000000006</v>
      </c>
      <c r="J10" s="64">
        <f t="shared" si="7"/>
        <v>67854.974880000009</v>
      </c>
      <c r="K10" s="64">
        <f t="shared" si="8"/>
        <v>74640.472368000017</v>
      </c>
      <c r="L10" s="64">
        <f t="shared" si="9"/>
        <v>81358.114881120026</v>
      </c>
      <c r="N10" s="90" t="s">
        <v>360</v>
      </c>
      <c r="O10" s="5"/>
      <c r="Q10" s="90" t="s">
        <v>360</v>
      </c>
      <c r="R10" s="1" t="str">
        <f t="shared" si="3"/>
        <v>Subscription services</v>
      </c>
      <c r="S10" s="88">
        <f>Statement!T192</f>
        <v>0</v>
      </c>
      <c r="T10" s="88">
        <f>Statement!U192</f>
        <v>11715</v>
      </c>
      <c r="U10" s="88">
        <f>Statement!V192</f>
        <v>12208</v>
      </c>
      <c r="V10" s="88">
        <f>Statement!W192</f>
        <v>12574</v>
      </c>
      <c r="W10" s="88">
        <f>Statement!X192</f>
        <v>13122</v>
      </c>
      <c r="X10" s="88">
        <f>Statement!Y192</f>
        <v>13427</v>
      </c>
      <c r="Y10" s="88">
        <f>Statement!Z192</f>
        <v>13730</v>
      </c>
      <c r="Z10" s="89">
        <f>Statement!AA192</f>
        <v>14006</v>
      </c>
      <c r="AA10" s="64">
        <f t="shared" si="10"/>
        <v>14706.300000000001</v>
      </c>
      <c r="AB10" s="64"/>
      <c r="AC10" s="64"/>
      <c r="AE10" s="64">
        <f t="shared" si="4"/>
        <v>55869.3</v>
      </c>
    </row>
    <row r="11" spans="1:31" x14ac:dyDescent="0.2">
      <c r="B11" s="1" t="str">
        <f>Statement!B193</f>
        <v>Other</v>
      </c>
      <c r="C11" s="88">
        <f>Statement!M193</f>
        <v>2176</v>
      </c>
      <c r="D11" s="88">
        <f>Statement!N193</f>
        <v>4247</v>
      </c>
      <c r="E11" s="88">
        <f>Statement!O193</f>
        <v>4958</v>
      </c>
      <c r="F11" s="88">
        <f>Statement!P193</f>
        <v>5425</v>
      </c>
      <c r="G11" s="89">
        <f>Statement!Q193</f>
        <v>5935</v>
      </c>
      <c r="H11" s="64">
        <f t="shared" si="5"/>
        <v>6409.8</v>
      </c>
      <c r="I11" s="64">
        <f t="shared" si="6"/>
        <v>6858.4860000000008</v>
      </c>
      <c r="J11" s="64">
        <f t="shared" si="7"/>
        <v>7407.1648800000012</v>
      </c>
      <c r="K11" s="64">
        <f t="shared" si="8"/>
        <v>7925.6664216000017</v>
      </c>
      <c r="L11" s="64">
        <f t="shared" si="9"/>
        <v>8480.4630711120026</v>
      </c>
      <c r="N11" s="90" t="s">
        <v>430</v>
      </c>
      <c r="O11" s="5"/>
      <c r="Q11" s="90" t="s">
        <v>430</v>
      </c>
      <c r="R11" s="1" t="str">
        <f t="shared" si="3"/>
        <v>Other</v>
      </c>
      <c r="S11" s="88">
        <f>Statement!T193</f>
        <v>0</v>
      </c>
      <c r="T11" s="88">
        <f>Statement!U193</f>
        <v>1312</v>
      </c>
      <c r="U11" s="88">
        <f>Statement!V193</f>
        <v>1499</v>
      </c>
      <c r="V11" s="88">
        <f>Statement!W193</f>
        <v>1415</v>
      </c>
      <c r="W11" s="88">
        <f>Statement!X193</f>
        <v>1709</v>
      </c>
      <c r="X11" s="88">
        <f>Statement!Y193</f>
        <v>1645</v>
      </c>
      <c r="Y11" s="88">
        <f>Statement!Z193</f>
        <v>1829</v>
      </c>
      <c r="Z11" s="89">
        <f>Statement!AA193</f>
        <v>1645</v>
      </c>
      <c r="AA11" s="64">
        <f t="shared" si="10"/>
        <v>1809.5000000000002</v>
      </c>
      <c r="AB11" s="64"/>
      <c r="AC11" s="64"/>
      <c r="AE11" s="64">
        <f t="shared" si="4"/>
        <v>6928.5</v>
      </c>
    </row>
    <row r="12" spans="1:31" x14ac:dyDescent="0.2">
      <c r="B12" s="1" t="str">
        <f>Statement!B194</f>
        <v>Retail</v>
      </c>
      <c r="C12" s="88">
        <f>Statement!M194</f>
        <v>407620</v>
      </c>
      <c r="D12" s="88">
        <f>Statement!N194</f>
        <v>433887</v>
      </c>
      <c r="E12" s="88">
        <f>Statement!O194</f>
        <v>484028</v>
      </c>
      <c r="F12" s="88">
        <f>Statement!P194</f>
        <v>530403</v>
      </c>
      <c r="G12" s="89">
        <f>Statement!Q194</f>
        <v>588199</v>
      </c>
      <c r="H12" s="64">
        <f>SUM(H6:H11)</f>
        <v>645051.79000000015</v>
      </c>
      <c r="I12" s="64">
        <f t="shared" ref="I12:L12" si="11">SUM(I6:I11)</f>
        <v>706092.18993999995</v>
      </c>
      <c r="J12" s="64">
        <f t="shared" si="11"/>
        <v>775305.47862710012</v>
      </c>
      <c r="K12" s="64">
        <f t="shared" si="11"/>
        <v>846512.37636694906</v>
      </c>
      <c r="L12" s="64">
        <f t="shared" si="11"/>
        <v>921833.38725780963</v>
      </c>
      <c r="N12" s="90" t="s">
        <v>431</v>
      </c>
      <c r="O12" s="5"/>
      <c r="Q12" s="90" t="s">
        <v>431</v>
      </c>
      <c r="R12" s="1" t="str">
        <f t="shared" si="3"/>
        <v>Retail</v>
      </c>
      <c r="S12" s="88">
        <f>Statement!T194</f>
        <v>0</v>
      </c>
      <c r="T12" s="88">
        <f>Statement!U194</f>
        <v>126400</v>
      </c>
      <c r="U12" s="88">
        <f>Statement!V194</f>
        <v>136829</v>
      </c>
      <c r="V12" s="88">
        <f>Statement!W194</f>
        <v>147163</v>
      </c>
      <c r="W12" s="88">
        <f>Statement!X194</f>
        <v>177807</v>
      </c>
      <c r="X12" s="88">
        <f>Statement!Y194</f>
        <v>143932</v>
      </c>
      <c r="Y12" s="88">
        <f>Statement!Z194</f>
        <v>158374</v>
      </c>
      <c r="Z12" s="89">
        <f>Statement!AA194</f>
        <v>155960</v>
      </c>
      <c r="AA12" s="64">
        <f t="shared" ref="AA12" si="12">SUM(AA6:AA11)</f>
        <v>188502.55</v>
      </c>
      <c r="AB12" s="64"/>
      <c r="AC12" s="64"/>
      <c r="AE12" s="64">
        <f t="shared" si="4"/>
        <v>646768.55000000005</v>
      </c>
    </row>
    <row r="13" spans="1:31" x14ac:dyDescent="0.2">
      <c r="B13" s="1" t="str">
        <f>Statement!B195</f>
        <v>AWS</v>
      </c>
      <c r="C13" s="88">
        <f>Statement!M195</f>
        <v>62202</v>
      </c>
      <c r="D13" s="88">
        <f>Statement!N195</f>
        <v>80096</v>
      </c>
      <c r="E13" s="88">
        <f>Statement!O195</f>
        <v>90757</v>
      </c>
      <c r="F13" s="88">
        <f>Statement!P195</f>
        <v>107556</v>
      </c>
      <c r="G13" s="89">
        <f>Statement!Q195</f>
        <v>128725</v>
      </c>
      <c r="H13" s="64">
        <f t="shared" si="5"/>
        <v>181502.25</v>
      </c>
      <c r="I13" s="64">
        <f t="shared" ref="I13" si="13">H13*(1+I25)</f>
        <v>245028.03750000001</v>
      </c>
      <c r="J13" s="64">
        <f t="shared" ref="J13" si="14">I13*(1+J25)</f>
        <v>301384.486125</v>
      </c>
      <c r="K13" s="64">
        <f t="shared" ref="K13" si="15">J13*(1+K25)</f>
        <v>355633.69362749998</v>
      </c>
      <c r="L13" s="64">
        <f t="shared" ref="L13" si="16">K13*(1+L25)</f>
        <v>405422.41073535004</v>
      </c>
      <c r="N13" s="90" t="s">
        <v>432</v>
      </c>
      <c r="O13" s="5"/>
      <c r="Q13" s="90" t="s">
        <v>432</v>
      </c>
      <c r="R13" s="1" t="str">
        <f t="shared" si="3"/>
        <v>AWS</v>
      </c>
      <c r="S13" s="88">
        <f>Statement!T195</f>
        <v>0</v>
      </c>
      <c r="T13" s="88">
        <f>Statement!U195</f>
        <v>29267</v>
      </c>
      <c r="U13" s="88">
        <f>Statement!V195</f>
        <v>30837</v>
      </c>
      <c r="V13" s="88">
        <f>Statement!W195</f>
        <v>33006</v>
      </c>
      <c r="W13" s="88">
        <f>Statement!X195</f>
        <v>35615</v>
      </c>
      <c r="X13" s="88">
        <f>Statement!Y195</f>
        <v>37587</v>
      </c>
      <c r="Y13" s="88">
        <f>Statement!Z195</f>
        <v>42232</v>
      </c>
      <c r="Z13" s="89">
        <f>Statement!AA195</f>
        <v>45984</v>
      </c>
      <c r="AA13" s="64">
        <f t="shared" si="10"/>
        <v>55180.799999999996</v>
      </c>
      <c r="AB13" s="64"/>
      <c r="AC13" s="64"/>
      <c r="AE13" s="64">
        <f t="shared" si="4"/>
        <v>180983.8</v>
      </c>
    </row>
    <row r="14" spans="1:31" x14ac:dyDescent="0.2">
      <c r="B14" s="16" t="s">
        <v>122</v>
      </c>
      <c r="C14" s="92">
        <f>Statement!M5</f>
        <v>469822</v>
      </c>
      <c r="D14" s="92">
        <f>Statement!N5</f>
        <v>513983</v>
      </c>
      <c r="E14" s="92">
        <f>Statement!O5</f>
        <v>574785</v>
      </c>
      <c r="F14" s="92">
        <f>Statement!P5</f>
        <v>637959</v>
      </c>
      <c r="G14" s="93">
        <f>Statement!Q5</f>
        <v>716924</v>
      </c>
      <c r="H14" s="94">
        <f>SUM(H12:H13)</f>
        <v>826554.04000000015</v>
      </c>
      <c r="I14" s="94">
        <f t="shared" ref="I14:L14" si="17">SUM(I12:I13)</f>
        <v>951120.22743999993</v>
      </c>
      <c r="J14" s="94">
        <f t="shared" si="17"/>
        <v>1076689.9647521002</v>
      </c>
      <c r="K14" s="94">
        <f t="shared" si="17"/>
        <v>1202146.0699944491</v>
      </c>
      <c r="L14" s="94">
        <f t="shared" si="17"/>
        <v>1327255.7979931596</v>
      </c>
      <c r="N14" s="1" t="s">
        <v>433</v>
      </c>
      <c r="O14" s="5"/>
      <c r="Q14" s="1" t="s">
        <v>433</v>
      </c>
      <c r="R14" s="16" t="s">
        <v>122</v>
      </c>
      <c r="S14" s="92">
        <f>Statement!T5</f>
        <v>187792</v>
      </c>
      <c r="T14" s="92">
        <f>Statement!U5</f>
        <v>155667</v>
      </c>
      <c r="U14" s="92">
        <f>Statement!V5</f>
        <v>167702</v>
      </c>
      <c r="V14" s="92">
        <f>Statement!W5</f>
        <v>180169</v>
      </c>
      <c r="W14" s="92">
        <f>Statement!X5</f>
        <v>213386</v>
      </c>
      <c r="X14" s="92">
        <f>Statement!Y5</f>
        <v>181519</v>
      </c>
      <c r="Y14" s="92">
        <f>Statement!Z5</f>
        <v>200606</v>
      </c>
      <c r="Z14" s="93">
        <f>Statement!AA5</f>
        <v>201944</v>
      </c>
      <c r="AA14" s="94">
        <f>SUM(AA12:AA13)</f>
        <v>243683.34999999998</v>
      </c>
      <c r="AB14" s="94"/>
      <c r="AC14" s="94"/>
      <c r="AE14" s="94">
        <f>SUM(X14:AA14)</f>
        <v>827752.35</v>
      </c>
    </row>
    <row r="15" spans="1:31" x14ac:dyDescent="0.2">
      <c r="O15" s="5"/>
      <c r="Q15" s="91"/>
    </row>
    <row r="16" spans="1:31" x14ac:dyDescent="0.2">
      <c r="C16" s="259" t="s">
        <v>123</v>
      </c>
      <c r="D16" s="259"/>
      <c r="E16" s="259"/>
      <c r="F16" s="259"/>
      <c r="G16" s="259"/>
      <c r="H16" s="259"/>
      <c r="I16" s="259"/>
      <c r="J16" s="259"/>
      <c r="K16" s="259"/>
      <c r="L16" s="259"/>
      <c r="O16" s="5"/>
      <c r="Q16" s="91"/>
      <c r="S16" s="260" t="s">
        <v>123</v>
      </c>
      <c r="T16" s="261"/>
      <c r="U16" s="261"/>
      <c r="V16" s="261"/>
      <c r="W16" s="261"/>
      <c r="X16" s="261"/>
      <c r="Y16" s="261"/>
      <c r="Z16" s="261"/>
      <c r="AA16" s="261"/>
      <c r="AB16" s="261"/>
      <c r="AC16" s="261"/>
    </row>
    <row r="17" spans="2:29" x14ac:dyDescent="0.2">
      <c r="B17" s="16" t="s">
        <v>124</v>
      </c>
      <c r="C17" s="12">
        <f t="shared" ref="C17:L17" si="18">C5</f>
        <v>2021</v>
      </c>
      <c r="D17" s="12">
        <f t="shared" si="18"/>
        <v>2022</v>
      </c>
      <c r="E17" s="12">
        <f t="shared" si="18"/>
        <v>2023</v>
      </c>
      <c r="F17" s="12">
        <f t="shared" si="18"/>
        <v>2024</v>
      </c>
      <c r="G17" s="12">
        <f t="shared" si="18"/>
        <v>2025</v>
      </c>
      <c r="H17" s="12">
        <f t="shared" si="18"/>
        <v>2026</v>
      </c>
      <c r="I17" s="12">
        <f t="shared" si="18"/>
        <v>2027</v>
      </c>
      <c r="J17" s="12">
        <f t="shared" si="18"/>
        <v>2028</v>
      </c>
      <c r="K17" s="12">
        <f t="shared" si="18"/>
        <v>2029</v>
      </c>
      <c r="L17" s="12">
        <f t="shared" si="18"/>
        <v>2030</v>
      </c>
      <c r="O17" s="5"/>
      <c r="Q17" s="91"/>
      <c r="R17" s="16" t="s">
        <v>124</v>
      </c>
      <c r="S17" s="12" t="str">
        <f t="shared" ref="S17:AC17" si="19">S5</f>
        <v>Q4 2024</v>
      </c>
      <c r="T17" s="12" t="str">
        <f t="shared" si="19"/>
        <v>Q1 2025</v>
      </c>
      <c r="U17" s="12" t="str">
        <f t="shared" si="19"/>
        <v>Q2 2025</v>
      </c>
      <c r="V17" s="12" t="str">
        <f t="shared" si="19"/>
        <v>Q3 2025</v>
      </c>
      <c r="W17" s="12" t="str">
        <f t="shared" si="19"/>
        <v>Q4 2025</v>
      </c>
      <c r="X17" s="12" t="str">
        <f t="shared" si="19"/>
        <v>Q1 2026</v>
      </c>
      <c r="Y17" s="12" t="str">
        <f t="shared" si="19"/>
        <v>Q2 2026</v>
      </c>
      <c r="Z17" s="12" t="str">
        <f t="shared" si="19"/>
        <v>Q3 2026</v>
      </c>
      <c r="AA17" s="12" t="str">
        <f t="shared" si="19"/>
        <v>FQ1</v>
      </c>
      <c r="AB17" s="12" t="str">
        <f t="shared" si="19"/>
        <v>FQ2</v>
      </c>
      <c r="AC17" s="12" t="str">
        <f t="shared" si="19"/>
        <v>FQ3</v>
      </c>
    </row>
    <row r="18" spans="2:29" x14ac:dyDescent="0.2">
      <c r="B18" s="1" t="str">
        <f>B6</f>
        <v>Online Stores</v>
      </c>
      <c r="C18" s="47"/>
      <c r="D18" s="95">
        <f t="shared" ref="D18:G18" si="20">D6/C6-1</f>
        <v>-9.3256782618484912E-3</v>
      </c>
      <c r="E18" s="95">
        <f t="shared" si="20"/>
        <v>5.3944473736841081E-2</v>
      </c>
      <c r="F18" s="95">
        <f t="shared" si="20"/>
        <v>6.5367961634005045E-2</v>
      </c>
      <c r="G18" s="96">
        <f t="shared" si="20"/>
        <v>9.0102781454808989E-2</v>
      </c>
      <c r="H18" s="97">
        <v>8.5000000000000006E-2</v>
      </c>
      <c r="I18" s="97">
        <v>7.0000000000000007E-2</v>
      </c>
      <c r="J18" s="97">
        <v>7.0000000000000007E-2</v>
      </c>
      <c r="K18" s="97">
        <v>7.0000000000000007E-2</v>
      </c>
      <c r="L18" s="97">
        <v>7.0000000000000007E-2</v>
      </c>
      <c r="O18" s="5"/>
      <c r="Q18" s="91"/>
      <c r="R18" s="1" t="str">
        <f>R6</f>
        <v>Online Stores</v>
      </c>
      <c r="S18" s="47"/>
      <c r="T18" s="95" t="e">
        <f t="shared" ref="T18:Z20" si="21">T6/S6-1</f>
        <v>#DIV/0!</v>
      </c>
      <c r="U18" s="95">
        <f t="shared" si="21"/>
        <v>7.1036633163203078E-2</v>
      </c>
      <c r="V18" s="95">
        <f t="shared" si="21"/>
        <v>9.6316174676750466E-2</v>
      </c>
      <c r="W18" s="95">
        <f t="shared" si="21"/>
        <v>0.23114810034566147</v>
      </c>
      <c r="X18" s="95">
        <f t="shared" si="21"/>
        <v>-0.22574348098520269</v>
      </c>
      <c r="Y18" s="95">
        <f t="shared" si="21"/>
        <v>9.6149656052541443E-2</v>
      </c>
      <c r="Z18" s="96">
        <f t="shared" si="21"/>
        <v>-2.7856656065424756E-2</v>
      </c>
      <c r="AA18" s="97">
        <v>0.3</v>
      </c>
      <c r="AB18" s="95"/>
      <c r="AC18" s="95"/>
    </row>
    <row r="19" spans="2:29" x14ac:dyDescent="0.2">
      <c r="B19" s="1" t="str">
        <f>B7</f>
        <v>Physical Stores</v>
      </c>
      <c r="C19" s="47"/>
      <c r="D19" s="95">
        <f t="shared" ref="D19:G19" si="22">D7/C7-1</f>
        <v>0.11057101024890192</v>
      </c>
      <c r="E19" s="95">
        <f t="shared" si="22"/>
        <v>5.6267468227601203E-2</v>
      </c>
      <c r="F19" s="95">
        <f t="shared" si="22"/>
        <v>5.9161258112830684E-2</v>
      </c>
      <c r="G19" s="96">
        <f t="shared" si="22"/>
        <v>6.3445675229790277E-2</v>
      </c>
      <c r="H19" s="97">
        <v>4.4999999999999998E-2</v>
      </c>
      <c r="I19" s="97">
        <v>4.2000000000000003E-2</v>
      </c>
      <c r="J19" s="97">
        <v>0.04</v>
      </c>
      <c r="K19" s="97">
        <v>0.04</v>
      </c>
      <c r="L19" s="97">
        <v>0.04</v>
      </c>
      <c r="O19" s="5"/>
      <c r="Q19" s="91"/>
      <c r="R19" s="1" t="str">
        <f>R7</f>
        <v>Physical Stores</v>
      </c>
      <c r="S19" s="47"/>
      <c r="T19" s="95" t="e">
        <f t="shared" si="21"/>
        <v>#DIV/0!</v>
      </c>
      <c r="U19" s="95">
        <f t="shared" si="21"/>
        <v>1.1205494306885999E-2</v>
      </c>
      <c r="V19" s="95">
        <f t="shared" si="21"/>
        <v>-3.0384271671134444E-3</v>
      </c>
      <c r="W19" s="95">
        <f t="shared" si="21"/>
        <v>4.9659376120473331E-2</v>
      </c>
      <c r="X19" s="95">
        <f t="shared" si="21"/>
        <v>-1.1955593509820672E-2</v>
      </c>
      <c r="Y19" s="95">
        <f t="shared" si="21"/>
        <v>1.5557476231633505E-3</v>
      </c>
      <c r="Z19" s="96">
        <f t="shared" si="21"/>
        <v>-1.4497756299620246E-2</v>
      </c>
      <c r="AA19" s="97">
        <v>0.15</v>
      </c>
      <c r="AB19" s="95"/>
      <c r="AC19" s="95"/>
    </row>
    <row r="20" spans="2:29" x14ac:dyDescent="0.2">
      <c r="B20" s="1" t="str">
        <f>B8</f>
        <v>Third party seller services</v>
      </c>
      <c r="C20" s="47"/>
      <c r="D20" s="95">
        <f t="shared" ref="D20:G20" si="23">D8/C8-1</f>
        <v>0.13882708047133496</v>
      </c>
      <c r="E20" s="95">
        <f t="shared" si="23"/>
        <v>0.18975330456352579</v>
      </c>
      <c r="F20" s="95">
        <f t="shared" si="23"/>
        <v>0.11490649968226307</v>
      </c>
      <c r="G20" s="96">
        <f t="shared" si="23"/>
        <v>0.10257067103864337</v>
      </c>
      <c r="H20" s="97">
        <v>0.1</v>
      </c>
      <c r="I20" s="97">
        <v>0.1</v>
      </c>
      <c r="J20" s="97">
        <v>0.1</v>
      </c>
      <c r="K20" s="97">
        <v>0.09</v>
      </c>
      <c r="L20" s="97">
        <v>0.09</v>
      </c>
      <c r="O20" s="5"/>
      <c r="Q20" s="91"/>
      <c r="R20" s="1" t="str">
        <f>R8</f>
        <v>Third party seller services</v>
      </c>
      <c r="S20" s="47"/>
      <c r="T20" s="95" t="e">
        <f t="shared" si="21"/>
        <v>#DIV/0!</v>
      </c>
      <c r="U20" s="95">
        <f t="shared" si="21"/>
        <v>0.10506134969325154</v>
      </c>
      <c r="V20" s="95">
        <f t="shared" si="21"/>
        <v>5.2988995737087263E-2</v>
      </c>
      <c r="W20" s="95">
        <f t="shared" si="21"/>
        <v>0.24313891634891505</v>
      </c>
      <c r="X20" s="95">
        <f t="shared" si="21"/>
        <v>-0.21277643138442892</v>
      </c>
      <c r="Y20" s="95">
        <f t="shared" si="21"/>
        <v>0.12511424310933661</v>
      </c>
      <c r="Z20" s="96">
        <f t="shared" si="21"/>
        <v>-6.1564771269773111E-3</v>
      </c>
      <c r="AA20" s="97">
        <v>0.2</v>
      </c>
      <c r="AB20" s="95"/>
      <c r="AC20" s="95"/>
    </row>
    <row r="21" spans="2:29" x14ac:dyDescent="0.2">
      <c r="B21" s="1" t="str">
        <f t="shared" ref="B21:B25" si="24">B9</f>
        <v>Advertising services</v>
      </c>
      <c r="C21" s="47"/>
      <c r="D21" s="95">
        <f t="shared" ref="D21:D25" si="25">D9/C9-1</f>
        <v>0.21113607188703476</v>
      </c>
      <c r="E21" s="95">
        <f t="shared" ref="E21:E25" si="26">E9/D9-1</f>
        <v>0.24290521741434601</v>
      </c>
      <c r="F21" s="95">
        <f t="shared" ref="F21:F25" si="27">F9/E9-1</f>
        <v>0.19843943205560066</v>
      </c>
      <c r="G21" s="96">
        <f t="shared" ref="G21:G25" si="28">G9/F9-1</f>
        <v>0.22095919166044053</v>
      </c>
      <c r="H21" s="97">
        <v>0.15</v>
      </c>
      <c r="I21" s="97">
        <v>0.18</v>
      </c>
      <c r="J21" s="97">
        <v>0.19</v>
      </c>
      <c r="K21" s="97">
        <v>0.17</v>
      </c>
      <c r="L21" s="97">
        <v>0.15</v>
      </c>
      <c r="O21" s="5"/>
      <c r="Q21" s="91"/>
      <c r="R21" s="1" t="str">
        <f t="shared" ref="R21:R25" si="29">R9</f>
        <v>Advertising services</v>
      </c>
      <c r="S21" s="47"/>
      <c r="T21" s="95" t="e">
        <f t="shared" ref="T21:Z21" si="30">T9/S9-1</f>
        <v>#DIV/0!</v>
      </c>
      <c r="U21" s="95">
        <f t="shared" si="30"/>
        <v>0.12736154011924428</v>
      </c>
      <c r="V21" s="95">
        <f t="shared" si="30"/>
        <v>0.12801070472792153</v>
      </c>
      <c r="W21" s="95">
        <f t="shared" si="30"/>
        <v>0.20414618991131439</v>
      </c>
      <c r="X21" s="95">
        <f t="shared" si="30"/>
        <v>-0.19111507247736548</v>
      </c>
      <c r="Y21" s="95">
        <f t="shared" si="30"/>
        <v>0.14881401148292062</v>
      </c>
      <c r="Z21" s="96">
        <f t="shared" si="30"/>
        <v>-8.6829219041849592E-3</v>
      </c>
      <c r="AA21" s="97">
        <v>0.05</v>
      </c>
      <c r="AB21" s="95"/>
      <c r="AC21" s="95"/>
    </row>
    <row r="22" spans="2:29" x14ac:dyDescent="0.2">
      <c r="B22" s="1" t="str">
        <f t="shared" si="24"/>
        <v>Subscription services</v>
      </c>
      <c r="C22" s="47"/>
      <c r="D22" s="95">
        <f t="shared" si="25"/>
        <v>0.10859984890455809</v>
      </c>
      <c r="E22" s="95">
        <f t="shared" si="26"/>
        <v>0.14171730365154178</v>
      </c>
      <c r="F22" s="95">
        <f t="shared" si="27"/>
        <v>0.10358377477679137</v>
      </c>
      <c r="G22" s="96">
        <f t="shared" si="28"/>
        <v>0.11819984675710993</v>
      </c>
      <c r="H22" s="97">
        <v>0.1</v>
      </c>
      <c r="I22" s="97">
        <v>0.11</v>
      </c>
      <c r="J22" s="97">
        <v>0.12</v>
      </c>
      <c r="K22" s="97">
        <v>0.1</v>
      </c>
      <c r="L22" s="97">
        <v>0.09</v>
      </c>
      <c r="O22" s="5"/>
      <c r="Q22" s="91"/>
      <c r="R22" s="1" t="str">
        <f t="shared" si="29"/>
        <v>Subscription services</v>
      </c>
      <c r="S22" s="47"/>
      <c r="T22" s="95" t="e">
        <f t="shared" ref="T22:Z22" si="31">T10/S10-1</f>
        <v>#DIV/0!</v>
      </c>
      <c r="U22" s="95">
        <f t="shared" si="31"/>
        <v>4.2082799829278761E-2</v>
      </c>
      <c r="V22" s="95">
        <f t="shared" si="31"/>
        <v>2.998034076015732E-2</v>
      </c>
      <c r="W22" s="95">
        <f t="shared" si="31"/>
        <v>4.3581994592015283E-2</v>
      </c>
      <c r="X22" s="95">
        <f t="shared" si="31"/>
        <v>2.3243408017070477E-2</v>
      </c>
      <c r="Y22" s="95">
        <f t="shared" si="31"/>
        <v>2.256647054442551E-2</v>
      </c>
      <c r="Z22" s="96">
        <f t="shared" si="31"/>
        <v>2.0101966496722579E-2</v>
      </c>
      <c r="AA22" s="97">
        <v>0.05</v>
      </c>
      <c r="AB22" s="95"/>
      <c r="AC22" s="95"/>
    </row>
    <row r="23" spans="2:29" x14ac:dyDescent="0.2">
      <c r="B23" s="1" t="str">
        <f t="shared" si="24"/>
        <v>Other</v>
      </c>
      <c r="C23" s="47"/>
      <c r="D23" s="95">
        <f t="shared" si="25"/>
        <v>0.95174632352941169</v>
      </c>
      <c r="E23" s="95">
        <f t="shared" si="26"/>
        <v>0.16741229102896171</v>
      </c>
      <c r="F23" s="95">
        <f t="shared" si="27"/>
        <v>9.4191206131504668E-2</v>
      </c>
      <c r="G23" s="96">
        <f t="shared" si="28"/>
        <v>9.4009216589861833E-2</v>
      </c>
      <c r="H23" s="97">
        <v>0.08</v>
      </c>
      <c r="I23" s="97">
        <v>7.0000000000000007E-2</v>
      </c>
      <c r="J23" s="97">
        <v>0.08</v>
      </c>
      <c r="K23" s="97">
        <v>7.0000000000000007E-2</v>
      </c>
      <c r="L23" s="97">
        <v>7.0000000000000007E-2</v>
      </c>
      <c r="O23" s="5"/>
      <c r="Q23" s="91"/>
      <c r="R23" s="1" t="str">
        <f t="shared" si="29"/>
        <v>Other</v>
      </c>
      <c r="S23" s="47"/>
      <c r="T23" s="95" t="e">
        <f t="shared" ref="T23:Z23" si="32">T11/S11-1</f>
        <v>#DIV/0!</v>
      </c>
      <c r="U23" s="95">
        <f t="shared" si="32"/>
        <v>0.14253048780487809</v>
      </c>
      <c r="V23" s="95">
        <f t="shared" si="32"/>
        <v>-5.603735823882583E-2</v>
      </c>
      <c r="W23" s="95">
        <f t="shared" si="32"/>
        <v>0.20777385159010597</v>
      </c>
      <c r="X23" s="95">
        <f t="shared" si="32"/>
        <v>-3.7448800468110055E-2</v>
      </c>
      <c r="Y23" s="95">
        <f t="shared" si="32"/>
        <v>0.11185410334346502</v>
      </c>
      <c r="Z23" s="96">
        <f t="shared" si="32"/>
        <v>-0.10060142154182616</v>
      </c>
      <c r="AA23" s="97">
        <v>0.1</v>
      </c>
      <c r="AB23" s="95"/>
      <c r="AC23" s="95"/>
    </row>
    <row r="24" spans="2:29" x14ac:dyDescent="0.2">
      <c r="B24" s="1" t="str">
        <f t="shared" si="24"/>
        <v>Retail</v>
      </c>
      <c r="C24" s="47"/>
      <c r="D24" s="95">
        <f t="shared" si="25"/>
        <v>6.4439919532898182E-2</v>
      </c>
      <c r="E24" s="95">
        <f t="shared" si="26"/>
        <v>0.11556234687833467</v>
      </c>
      <c r="F24" s="95">
        <f t="shared" si="27"/>
        <v>9.5810572942061301E-2</v>
      </c>
      <c r="G24" s="96">
        <f t="shared" si="28"/>
        <v>0.10896620117156197</v>
      </c>
      <c r="H24" s="95">
        <f>H12/G12-1</f>
        <v>9.6655706657100993E-2</v>
      </c>
      <c r="I24" s="95">
        <f t="shared" ref="I24:L24" si="33">I12/H12-1</f>
        <v>9.4628680807163912E-2</v>
      </c>
      <c r="J24" s="95">
        <f t="shared" si="33"/>
        <v>9.8023019760325569E-2</v>
      </c>
      <c r="K24" s="95">
        <f t="shared" si="33"/>
        <v>9.1843666403520263E-2</v>
      </c>
      <c r="L24" s="95">
        <f t="shared" si="33"/>
        <v>8.8978038589491604E-2</v>
      </c>
      <c r="O24" s="5"/>
      <c r="Q24" s="91"/>
      <c r="R24" s="1" t="str">
        <f t="shared" si="29"/>
        <v>Retail</v>
      </c>
      <c r="S24" s="47"/>
      <c r="T24" s="95" t="e">
        <f t="shared" ref="T24:Z24" si="34">T12/S12-1</f>
        <v>#DIV/0!</v>
      </c>
      <c r="U24" s="95">
        <f t="shared" si="34"/>
        <v>8.2507911392404987E-2</v>
      </c>
      <c r="V24" s="95">
        <f t="shared" si="34"/>
        <v>7.5524925271689414E-2</v>
      </c>
      <c r="W24" s="95">
        <f t="shared" si="34"/>
        <v>0.20823168867174502</v>
      </c>
      <c r="X24" s="95">
        <f t="shared" si="34"/>
        <v>-0.19051555900498851</v>
      </c>
      <c r="Y24" s="95">
        <f t="shared" si="34"/>
        <v>0.10033904899535884</v>
      </c>
      <c r="Z24" s="96">
        <f t="shared" si="34"/>
        <v>-1.5242400899137531E-2</v>
      </c>
      <c r="AA24" s="95">
        <f>AA12/Z12-1</f>
        <v>0.20865959220312891</v>
      </c>
      <c r="AB24" s="95"/>
      <c r="AC24" s="95"/>
    </row>
    <row r="25" spans="2:29" x14ac:dyDescent="0.2">
      <c r="B25" s="1" t="str">
        <f t="shared" si="24"/>
        <v>AWS</v>
      </c>
      <c r="C25" s="47"/>
      <c r="D25" s="95">
        <f t="shared" si="25"/>
        <v>0.28767563743931057</v>
      </c>
      <c r="E25" s="95">
        <f t="shared" si="26"/>
        <v>0.13310277666799841</v>
      </c>
      <c r="F25" s="95">
        <f t="shared" si="27"/>
        <v>0.18509867007503544</v>
      </c>
      <c r="G25" s="96">
        <f t="shared" si="28"/>
        <v>0.19681840157685304</v>
      </c>
      <c r="H25" s="97">
        <v>0.41</v>
      </c>
      <c r="I25" s="97">
        <v>0.35</v>
      </c>
      <c r="J25" s="97">
        <v>0.23</v>
      </c>
      <c r="K25" s="97">
        <v>0.18</v>
      </c>
      <c r="L25" s="97">
        <v>0.14000000000000001</v>
      </c>
      <c r="O25" s="5"/>
      <c r="Q25" s="91"/>
      <c r="R25" s="1" t="str">
        <f t="shared" si="29"/>
        <v>AWS</v>
      </c>
      <c r="S25" s="47"/>
      <c r="T25" s="95" t="e">
        <f t="shared" ref="T25:Z25" si="35">T13/S13-1</f>
        <v>#DIV/0!</v>
      </c>
      <c r="U25" s="95">
        <f t="shared" si="35"/>
        <v>5.3644035944920843E-2</v>
      </c>
      <c r="V25" s="95">
        <f t="shared" si="35"/>
        <v>7.0337581476797251E-2</v>
      </c>
      <c r="W25" s="95">
        <f t="shared" si="35"/>
        <v>7.9046234018057326E-2</v>
      </c>
      <c r="X25" s="95">
        <f t="shared" si="35"/>
        <v>5.536992840095456E-2</v>
      </c>
      <c r="Y25" s="95">
        <f t="shared" si="35"/>
        <v>0.12357996115678294</v>
      </c>
      <c r="Z25" s="96">
        <f t="shared" si="35"/>
        <v>8.884258382269361E-2</v>
      </c>
      <c r="AA25" s="97">
        <v>0.2</v>
      </c>
      <c r="AB25" s="95"/>
      <c r="AC25" s="95"/>
    </row>
    <row r="26" spans="2:29" x14ac:dyDescent="0.2">
      <c r="B26" s="16" t="str">
        <f>B14</f>
        <v>Total</v>
      </c>
      <c r="C26" s="47"/>
      <c r="D26" s="103">
        <f t="shared" ref="D26:L26" si="36">D14/C14-1</f>
        <v>9.399517263985091E-2</v>
      </c>
      <c r="E26" s="103">
        <f t="shared" si="36"/>
        <v>0.1182957412988368</v>
      </c>
      <c r="F26" s="103">
        <f t="shared" si="36"/>
        <v>0.1099089224666614</v>
      </c>
      <c r="G26" s="104">
        <f t="shared" si="36"/>
        <v>0.12377754683294695</v>
      </c>
      <c r="H26" s="103">
        <f t="shared" si="36"/>
        <v>0.15291724087908931</v>
      </c>
      <c r="I26" s="103">
        <f t="shared" si="36"/>
        <v>0.15070543656165514</v>
      </c>
      <c r="J26" s="103">
        <f t="shared" si="36"/>
        <v>0.13202299108923277</v>
      </c>
      <c r="K26" s="103">
        <f t="shared" si="36"/>
        <v>0.11652017697706918</v>
      </c>
      <c r="L26" s="103">
        <f t="shared" si="36"/>
        <v>0.10407198519501715</v>
      </c>
      <c r="O26" s="5"/>
      <c r="Q26" s="91"/>
      <c r="R26" s="16" t="str">
        <f>R14</f>
        <v>Total</v>
      </c>
      <c r="S26" s="47"/>
      <c r="T26" s="103">
        <f t="shared" ref="T26:AA26" si="37">T14/S14-1</f>
        <v>-0.17106692510863086</v>
      </c>
      <c r="U26" s="103">
        <f t="shared" si="37"/>
        <v>7.7312468281652391E-2</v>
      </c>
      <c r="V26" s="103">
        <f t="shared" si="37"/>
        <v>7.4340198685764136E-2</v>
      </c>
      <c r="W26" s="103">
        <f t="shared" si="37"/>
        <v>0.18436578989726304</v>
      </c>
      <c r="X26" s="103">
        <f t="shared" si="37"/>
        <v>-0.14933969426297877</v>
      </c>
      <c r="Y26" s="103">
        <f t="shared" si="37"/>
        <v>0.10515152683741102</v>
      </c>
      <c r="Z26" s="104">
        <f t="shared" si="37"/>
        <v>6.6697905346799757E-3</v>
      </c>
      <c r="AA26" s="103">
        <f t="shared" si="37"/>
        <v>0.20668774511745824</v>
      </c>
      <c r="AB26" s="103"/>
      <c r="AC26" s="103"/>
    </row>
    <row r="27" spans="2:29" x14ac:dyDescent="0.2">
      <c r="O27" s="5"/>
      <c r="Q27" s="91"/>
    </row>
    <row r="28" spans="2:29" x14ac:dyDescent="0.2">
      <c r="O28" s="5"/>
      <c r="Q28" s="91"/>
    </row>
  </sheetData>
  <mergeCells count="8">
    <mergeCell ref="C16:L16"/>
    <mergeCell ref="S16:AC16"/>
    <mergeCell ref="C2:G2"/>
    <mergeCell ref="H2:L2"/>
    <mergeCell ref="S2:Z2"/>
    <mergeCell ref="AA2:AC2"/>
    <mergeCell ref="C4:L4"/>
    <mergeCell ref="S4:A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31"/>
  <sheetViews>
    <sheetView topLeftCell="D18" zoomScale="178" zoomScaleNormal="100" workbookViewId="0">
      <selection activeCell="I27" sqref="I27"/>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125</v>
      </c>
    </row>
    <row r="2" spans="1:28" x14ac:dyDescent="0.2">
      <c r="A2" s="4"/>
      <c r="C2" s="251" t="s">
        <v>114</v>
      </c>
      <c r="D2" s="251"/>
      <c r="E2" s="251"/>
      <c r="F2" s="251"/>
      <c r="G2" s="262"/>
      <c r="H2" s="263" t="s">
        <v>115</v>
      </c>
      <c r="I2" s="251"/>
      <c r="J2" s="251"/>
      <c r="K2" s="251"/>
      <c r="L2" s="251"/>
      <c r="P2" s="251" t="s">
        <v>114</v>
      </c>
      <c r="Q2" s="251"/>
      <c r="R2" s="251"/>
      <c r="S2" s="251"/>
      <c r="T2" s="251"/>
      <c r="U2" s="251"/>
      <c r="V2" s="251"/>
      <c r="W2" s="251"/>
      <c r="X2" s="251" t="s">
        <v>115</v>
      </c>
      <c r="Y2" s="251"/>
      <c r="Z2" s="251"/>
      <c r="AB2" s="85" t="s">
        <v>116</v>
      </c>
    </row>
    <row r="3" spans="1:28" ht="10" customHeight="1" x14ac:dyDescent="0.2"/>
    <row r="4" spans="1:28" ht="16" customHeight="1" x14ac:dyDescent="0.2">
      <c r="A4" s="86"/>
      <c r="B4" s="60"/>
      <c r="C4" s="259" t="s">
        <v>117</v>
      </c>
      <c r="D4" s="259"/>
      <c r="E4" s="259"/>
      <c r="F4" s="259"/>
      <c r="G4" s="259"/>
      <c r="H4" s="259"/>
      <c r="I4" s="259"/>
      <c r="J4" s="259"/>
      <c r="K4" s="259"/>
      <c r="L4" s="259"/>
      <c r="P4" s="261" t="s">
        <v>117</v>
      </c>
      <c r="Q4" s="261"/>
      <c r="R4" s="261"/>
      <c r="S4" s="261"/>
      <c r="T4" s="261"/>
      <c r="U4" s="261"/>
      <c r="V4" s="261"/>
      <c r="W4" s="261"/>
      <c r="X4" s="261"/>
      <c r="Y4" s="261"/>
      <c r="Z4" s="261"/>
      <c r="AB4" s="87"/>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118</v>
      </c>
      <c r="P5" s="12" t="str">
        <f>Revenue!S5</f>
        <v>Q4 2024</v>
      </c>
      <c r="Q5" s="12" t="str">
        <f>Revenue!T5</f>
        <v>Q1 2025</v>
      </c>
      <c r="R5" s="12" t="str">
        <f>Revenue!U5</f>
        <v>Q2 2025</v>
      </c>
      <c r="S5" s="12" t="str">
        <f>Revenue!V5</f>
        <v>Q3 2025</v>
      </c>
      <c r="T5" s="12" t="str">
        <f>Revenue!W5</f>
        <v>Q4 2025</v>
      </c>
      <c r="U5" s="12" t="str">
        <f>Revenue!X5</f>
        <v>Q1 2026</v>
      </c>
      <c r="V5" s="12" t="str">
        <f>Revenue!Y5</f>
        <v>Q2 2026</v>
      </c>
      <c r="W5" s="12" t="str">
        <f>Revenue!Z5</f>
        <v>Q3 2026</v>
      </c>
      <c r="X5" s="12" t="s">
        <v>119</v>
      </c>
      <c r="Y5" s="12" t="s">
        <v>120</v>
      </c>
      <c r="Z5" s="12" t="s">
        <v>121</v>
      </c>
      <c r="AB5" s="87" t="str">
        <f>Revenue!AE5</f>
        <v>FQ1</v>
      </c>
    </row>
    <row r="6" spans="1:28" x14ac:dyDescent="0.2">
      <c r="B6" s="16" t="s">
        <v>19</v>
      </c>
      <c r="C6" s="92">
        <f>Revenue!C14</f>
        <v>469822</v>
      </c>
      <c r="D6" s="92">
        <f>Revenue!D14</f>
        <v>513983</v>
      </c>
      <c r="E6" s="92">
        <f>Revenue!E14</f>
        <v>574785</v>
      </c>
      <c r="F6" s="92">
        <f>Revenue!F14</f>
        <v>637959</v>
      </c>
      <c r="G6" s="93">
        <f>Revenue!G14</f>
        <v>716924</v>
      </c>
      <c r="H6" s="92">
        <f>Revenue!H14</f>
        <v>826554.04000000015</v>
      </c>
      <c r="I6" s="92">
        <f>Revenue!I14</f>
        <v>951120.22743999993</v>
      </c>
      <c r="J6" s="92">
        <f>Revenue!J14</f>
        <v>1076689.9647521002</v>
      </c>
      <c r="K6" s="92">
        <f>Revenue!K14</f>
        <v>1202146.0699944491</v>
      </c>
      <c r="L6" s="92">
        <f>Revenue!L14</f>
        <v>1327255.7979931596</v>
      </c>
      <c r="N6" s="91"/>
      <c r="O6" s="16" t="s">
        <v>19</v>
      </c>
      <c r="P6" s="92">
        <f>Revenue!S14</f>
        <v>187792</v>
      </c>
      <c r="Q6" s="92">
        <f>Revenue!T14</f>
        <v>155667</v>
      </c>
      <c r="R6" s="92">
        <f>Revenue!U14</f>
        <v>167702</v>
      </c>
      <c r="S6" s="92">
        <f>Revenue!V14</f>
        <v>180169</v>
      </c>
      <c r="T6" s="92">
        <f>Revenue!W14</f>
        <v>213386</v>
      </c>
      <c r="U6" s="92">
        <f>Revenue!X14</f>
        <v>181519</v>
      </c>
      <c r="V6" s="92">
        <f>Revenue!Y14</f>
        <v>200606</v>
      </c>
      <c r="W6" s="93">
        <f>Revenue!Z14</f>
        <v>201944</v>
      </c>
      <c r="X6" s="92">
        <f>Revenue!AA14</f>
        <v>243683.34999999998</v>
      </c>
      <c r="Y6" s="94"/>
      <c r="Z6" s="94"/>
      <c r="AB6" s="92">
        <f>Revenue!AE14</f>
        <v>827752.35</v>
      </c>
    </row>
    <row r="7" spans="1:28" x14ac:dyDescent="0.2">
      <c r="B7" s="16" t="s">
        <v>421</v>
      </c>
      <c r="C7" s="92">
        <f>Revenue!C12</f>
        <v>407620</v>
      </c>
      <c r="D7" s="92">
        <f>Revenue!D12</f>
        <v>433887</v>
      </c>
      <c r="E7" s="92">
        <f>Revenue!E12</f>
        <v>484028</v>
      </c>
      <c r="F7" s="92">
        <f>Revenue!F12</f>
        <v>530403</v>
      </c>
      <c r="G7" s="93">
        <f>Revenue!G12</f>
        <v>588199</v>
      </c>
      <c r="H7" s="92">
        <f>Revenue!H12</f>
        <v>645051.79000000015</v>
      </c>
      <c r="I7" s="92">
        <f>Revenue!I12</f>
        <v>706092.18993999995</v>
      </c>
      <c r="J7" s="92">
        <f>Revenue!J12</f>
        <v>775305.47862710012</v>
      </c>
      <c r="K7" s="92">
        <f>Revenue!K12</f>
        <v>846512.37636694906</v>
      </c>
      <c r="L7" s="92">
        <f>Revenue!L12</f>
        <v>921833.38725780963</v>
      </c>
      <c r="N7" s="91"/>
      <c r="O7" s="16" t="s">
        <v>421</v>
      </c>
      <c r="P7" s="92">
        <f>Revenue!S12</f>
        <v>0</v>
      </c>
      <c r="Q7" s="92">
        <f>Revenue!T12</f>
        <v>126400</v>
      </c>
      <c r="R7" s="92">
        <f>Revenue!U12</f>
        <v>136829</v>
      </c>
      <c r="S7" s="92">
        <f>Revenue!V12</f>
        <v>147163</v>
      </c>
      <c r="T7" s="92">
        <f>Revenue!W12</f>
        <v>177807</v>
      </c>
      <c r="U7" s="92">
        <f>Revenue!X12</f>
        <v>143932</v>
      </c>
      <c r="V7" s="92">
        <f>Revenue!Y12</f>
        <v>158374</v>
      </c>
      <c r="W7" s="93">
        <f>Revenue!Z12</f>
        <v>155960</v>
      </c>
      <c r="X7" s="92">
        <f>Revenue!AA12</f>
        <v>188502.55</v>
      </c>
      <c r="Y7" s="94"/>
      <c r="Z7" s="94"/>
      <c r="AB7" s="92">
        <f>Revenue!AE12</f>
        <v>646768.55000000005</v>
      </c>
    </row>
    <row r="8" spans="1:28" x14ac:dyDescent="0.2">
      <c r="B8" s="16" t="s">
        <v>434</v>
      </c>
      <c r="C8" s="92">
        <f>SUM(Revenue!C6:C8)</f>
        <v>342516</v>
      </c>
      <c r="D8" s="92">
        <f>SUM(Revenue!D6:D8)</f>
        <v>356683</v>
      </c>
      <c r="E8" s="92">
        <f>SUM(Revenue!E6:E8)</f>
        <v>391955</v>
      </c>
      <c r="F8" s="92">
        <f>SUM(Revenue!F6:F8)</f>
        <v>424390</v>
      </c>
      <c r="G8" s="93">
        <f>SUM(Revenue!G6:G8)</f>
        <v>464010</v>
      </c>
      <c r="H8" s="92">
        <f>SUM(Revenue!H6:H8)</f>
        <v>505130.84</v>
      </c>
      <c r="I8" s="92">
        <f>SUM(Revenue!I6:I8)</f>
        <v>545511.20993999997</v>
      </c>
      <c r="J8" s="92">
        <f>SUM(Revenue!J6:J8)</f>
        <v>589209.48181710008</v>
      </c>
      <c r="K8" s="92">
        <f>SUM(Revenue!K6:K8)</f>
        <v>634270.6248288491</v>
      </c>
      <c r="L8" s="92">
        <f>SUM(Revenue!L6:L8)</f>
        <v>682867.85464480263</v>
      </c>
      <c r="N8" s="91"/>
      <c r="O8" s="16" t="s">
        <v>434</v>
      </c>
      <c r="P8" s="92">
        <f>SUM(Revenue!S6:S8)</f>
        <v>0</v>
      </c>
      <c r="Q8" s="92">
        <f>SUM(Revenue!T6:T8)</f>
        <v>99452</v>
      </c>
      <c r="R8" s="92">
        <f>SUM(Revenue!U6:U8)</f>
        <v>107428</v>
      </c>
      <c r="S8" s="92">
        <f>SUM(Revenue!V6:V8)</f>
        <v>115471</v>
      </c>
      <c r="T8" s="92">
        <f>SUM(Revenue!W6:W8)</f>
        <v>141659</v>
      </c>
      <c r="U8" s="92">
        <f>SUM(Revenue!X6:X8)</f>
        <v>111617</v>
      </c>
      <c r="V8" s="92">
        <f>SUM(Revenue!Y6:Y8)</f>
        <v>123006</v>
      </c>
      <c r="W8" s="93">
        <f>SUM(Revenue!Z6:Z8)</f>
        <v>120672</v>
      </c>
      <c r="X8" s="92">
        <f>SUM(Revenue!AA6:AA8)</f>
        <v>151367.9</v>
      </c>
      <c r="Y8" s="94"/>
      <c r="Z8" s="94"/>
      <c r="AB8" s="92">
        <f>SUM(Revenue!AE6:AE8)</f>
        <v>506662.9</v>
      </c>
    </row>
    <row r="9" spans="1:28" x14ac:dyDescent="0.2">
      <c r="B9" s="16"/>
      <c r="C9" s="92"/>
      <c r="D9" s="92"/>
      <c r="E9" s="92"/>
      <c r="F9" s="92"/>
      <c r="G9" s="92"/>
      <c r="H9" s="92"/>
      <c r="I9" s="92"/>
      <c r="J9" s="92"/>
      <c r="K9" s="92"/>
      <c r="L9" s="92"/>
      <c r="N9" s="91"/>
      <c r="O9" s="16"/>
      <c r="P9" s="92"/>
      <c r="Q9" s="92"/>
      <c r="R9" s="92"/>
      <c r="S9" s="92"/>
      <c r="T9" s="92"/>
      <c r="U9" s="92"/>
      <c r="V9" s="92"/>
      <c r="W9" s="92"/>
      <c r="X9" s="92"/>
      <c r="Y9" s="94"/>
      <c r="Z9" s="94"/>
      <c r="AB9" s="92"/>
    </row>
    <row r="10" spans="1:28" x14ac:dyDescent="0.2">
      <c r="N10" s="91"/>
    </row>
    <row r="11" spans="1:28" x14ac:dyDescent="0.2">
      <c r="N11" s="91"/>
    </row>
    <row r="12" spans="1:28" x14ac:dyDescent="0.2">
      <c r="C12" s="259" t="s">
        <v>126</v>
      </c>
      <c r="D12" s="259"/>
      <c r="E12" s="259"/>
      <c r="F12" s="259"/>
      <c r="G12" s="259"/>
      <c r="H12" s="259"/>
      <c r="I12" s="259"/>
      <c r="J12" s="259"/>
      <c r="K12" s="259"/>
      <c r="L12" s="259"/>
      <c r="N12" s="91"/>
      <c r="P12" s="261" t="s">
        <v>127</v>
      </c>
      <c r="Q12" s="261"/>
      <c r="R12" s="261"/>
      <c r="S12" s="261"/>
      <c r="T12" s="261"/>
      <c r="U12" s="261"/>
      <c r="V12" s="261"/>
      <c r="W12" s="261"/>
      <c r="X12" s="261"/>
      <c r="Y12" s="261"/>
      <c r="Z12" s="261"/>
      <c r="AB12" s="87">
        <f>AB4</f>
        <v>0</v>
      </c>
    </row>
    <row r="13" spans="1:28" x14ac:dyDescent="0.2">
      <c r="B13" s="16" t="s">
        <v>131</v>
      </c>
      <c r="C13" s="12">
        <f t="shared" ref="C13:L13" si="1">C5</f>
        <v>2021</v>
      </c>
      <c r="D13" s="12">
        <f t="shared" si="1"/>
        <v>2022</v>
      </c>
      <c r="E13" s="12">
        <f t="shared" si="1"/>
        <v>2023</v>
      </c>
      <c r="F13" s="12">
        <f t="shared" si="1"/>
        <v>2024</v>
      </c>
      <c r="G13" s="12">
        <f t="shared" si="1"/>
        <v>2025</v>
      </c>
      <c r="H13" s="12">
        <f t="shared" si="1"/>
        <v>2026</v>
      </c>
      <c r="I13" s="12">
        <f t="shared" si="1"/>
        <v>2027</v>
      </c>
      <c r="J13" s="12">
        <f t="shared" si="1"/>
        <v>2028</v>
      </c>
      <c r="K13" s="12">
        <f t="shared" si="1"/>
        <v>2029</v>
      </c>
      <c r="L13" s="12">
        <f t="shared" si="1"/>
        <v>2030</v>
      </c>
      <c r="N13" s="91"/>
      <c r="O13" s="16" t="s">
        <v>128</v>
      </c>
      <c r="P13" s="12" t="str">
        <f t="shared" ref="P13:Z13" si="2">P5</f>
        <v>Q4 2024</v>
      </c>
      <c r="Q13" s="12" t="str">
        <f t="shared" si="2"/>
        <v>Q1 2025</v>
      </c>
      <c r="R13" s="12" t="str">
        <f t="shared" si="2"/>
        <v>Q2 2025</v>
      </c>
      <c r="S13" s="12" t="str">
        <f t="shared" si="2"/>
        <v>Q3 2025</v>
      </c>
      <c r="T13" s="12" t="str">
        <f t="shared" si="2"/>
        <v>Q4 2025</v>
      </c>
      <c r="U13" s="12" t="str">
        <f t="shared" si="2"/>
        <v>Q1 2026</v>
      </c>
      <c r="V13" s="12" t="str">
        <f t="shared" si="2"/>
        <v>Q2 2026</v>
      </c>
      <c r="W13" s="12" t="str">
        <f t="shared" si="2"/>
        <v>Q3 2026</v>
      </c>
      <c r="X13" s="12" t="str">
        <f t="shared" si="2"/>
        <v>FQ1</v>
      </c>
      <c r="Y13" s="12" t="str">
        <f t="shared" si="2"/>
        <v>FQ2</v>
      </c>
      <c r="Z13" s="12" t="str">
        <f t="shared" si="2"/>
        <v>FQ3</v>
      </c>
      <c r="AB13" s="8" t="str">
        <f>AB5</f>
        <v>FQ1</v>
      </c>
    </row>
    <row r="14" spans="1:28" x14ac:dyDescent="0.2">
      <c r="B14" s="39" t="str">
        <f>Statement!B197</f>
        <v>Cost of Sales COGS</v>
      </c>
      <c r="C14" s="109">
        <f>Statement!M197</f>
        <v>272344</v>
      </c>
      <c r="D14" s="109">
        <f>Statement!N197</f>
        <v>288831</v>
      </c>
      <c r="E14" s="109">
        <f>Statement!O197</f>
        <v>304739</v>
      </c>
      <c r="F14" s="109">
        <f>Statement!P197</f>
        <v>326288</v>
      </c>
      <c r="G14" s="110">
        <f>Statement!Q197</f>
        <v>356414</v>
      </c>
      <c r="H14" s="25">
        <f>H7*H25</f>
        <v>393481.59190000006</v>
      </c>
      <c r="I14" s="25">
        <f t="shared" ref="I14:L14" si="3">I7*I25</f>
        <v>423655.31396399997</v>
      </c>
      <c r="J14" s="25">
        <f t="shared" si="3"/>
        <v>480689.3967488021</v>
      </c>
      <c r="K14" s="25">
        <f t="shared" si="3"/>
        <v>533302.79711117793</v>
      </c>
      <c r="L14" s="25">
        <f t="shared" si="3"/>
        <v>562318.36622726382</v>
      </c>
      <c r="N14" s="91"/>
      <c r="O14" s="39" t="str">
        <f>B14</f>
        <v>Cost of Sales COGS</v>
      </c>
      <c r="P14" s="109">
        <f>Statement!T197</f>
        <v>98893</v>
      </c>
      <c r="Q14" s="109">
        <f>Statement!U197</f>
        <v>76976</v>
      </c>
      <c r="R14" s="109">
        <f>Statement!V197</f>
        <v>80809</v>
      </c>
      <c r="S14" s="109">
        <f>Statement!W197</f>
        <v>88670</v>
      </c>
      <c r="T14" s="109">
        <f>Statement!X197</f>
        <v>109959</v>
      </c>
      <c r="U14" s="109">
        <f>Statement!Y197</f>
        <v>87463</v>
      </c>
      <c r="V14" s="109">
        <f>Statement!Z197</f>
        <v>95778</v>
      </c>
      <c r="W14" s="110">
        <f>Statement!AA197</f>
        <v>94573</v>
      </c>
      <c r="X14" s="25">
        <f>X25*X$7</f>
        <v>113101.52999999998</v>
      </c>
      <c r="Y14" s="25"/>
      <c r="Z14" s="25"/>
      <c r="AB14" s="24">
        <f>SUM(U14:X14)</f>
        <v>390915.52999999997</v>
      </c>
    </row>
    <row r="15" spans="1:28" x14ac:dyDescent="0.2">
      <c r="B15" s="39" t="str">
        <f>Statement!B198</f>
        <v>Fulfillment COGS</v>
      </c>
      <c r="C15" s="109">
        <f>Statement!M198</f>
        <v>75111</v>
      </c>
      <c r="D15" s="109">
        <f>Statement!N198</f>
        <v>84299</v>
      </c>
      <c r="E15" s="109">
        <f>Statement!O198</f>
        <v>90619</v>
      </c>
      <c r="F15" s="109">
        <f>Statement!P198</f>
        <v>98505</v>
      </c>
      <c r="G15" s="110">
        <f>Statement!Q198</f>
        <v>109074</v>
      </c>
      <c r="H15" s="25">
        <f>H8*H26</f>
        <v>136385.32680000001</v>
      </c>
      <c r="I15" s="25">
        <f t="shared" ref="I15:L15" si="4">I8*I26</f>
        <v>130922.69038559998</v>
      </c>
      <c r="J15" s="25">
        <f t="shared" si="4"/>
        <v>135518.18081793303</v>
      </c>
      <c r="K15" s="25">
        <f t="shared" si="4"/>
        <v>158567.65620721228</v>
      </c>
      <c r="L15" s="25">
        <f t="shared" si="4"/>
        <v>163888.28511475262</v>
      </c>
      <c r="N15" s="91"/>
      <c r="O15" s="39" t="str">
        <f t="shared" ref="O15:O20" si="5">B15</f>
        <v>Fulfillment COGS</v>
      </c>
      <c r="P15" s="109">
        <f>Statement!T198</f>
        <v>27962</v>
      </c>
      <c r="Q15" s="109">
        <f>Statement!U198</f>
        <v>24593</v>
      </c>
      <c r="R15" s="109">
        <f>Statement!V198</f>
        <v>25976</v>
      </c>
      <c r="S15" s="109">
        <f>Statement!W198</f>
        <v>27679</v>
      </c>
      <c r="T15" s="109">
        <f>Statement!X198</f>
        <v>30826</v>
      </c>
      <c r="U15" s="109">
        <f>Statement!Y198</f>
        <v>27289</v>
      </c>
      <c r="V15" s="109">
        <f>Statement!Z198</f>
        <v>29633</v>
      </c>
      <c r="W15" s="110">
        <f>Statement!AA198</f>
        <v>29997</v>
      </c>
      <c r="X15" s="25">
        <f>X26*X$8</f>
        <v>34814.616999999998</v>
      </c>
      <c r="Y15" s="25"/>
      <c r="Z15" s="25"/>
      <c r="AB15" s="24">
        <f>SUM(U15:X15)</f>
        <v>121733.617</v>
      </c>
    </row>
    <row r="16" spans="1:28" x14ac:dyDescent="0.2">
      <c r="B16" s="16" t="s">
        <v>20</v>
      </c>
      <c r="C16" s="106">
        <f>Statement!M6</f>
        <v>347455</v>
      </c>
      <c r="D16" s="106">
        <f>Statement!N6</f>
        <v>373130</v>
      </c>
      <c r="E16" s="106">
        <f>Statement!O6</f>
        <v>395358</v>
      </c>
      <c r="F16" s="106">
        <f>Statement!P6</f>
        <v>424793</v>
      </c>
      <c r="G16" s="107">
        <f>Statement!Q6</f>
        <v>465488</v>
      </c>
      <c r="H16" s="108">
        <f>SUM(H14:H15)</f>
        <v>529866.91870000004</v>
      </c>
      <c r="I16" s="108">
        <f>SUM(I14:I15)</f>
        <v>554578.00434959994</v>
      </c>
      <c r="J16" s="108">
        <f>SUM(J14:J15)</f>
        <v>616207.5775667351</v>
      </c>
      <c r="K16" s="108">
        <f>SUM(K14:K15)</f>
        <v>691870.45331839018</v>
      </c>
      <c r="L16" s="108">
        <f>SUM(L14:L15)</f>
        <v>726206.65134201641</v>
      </c>
      <c r="N16" s="91"/>
      <c r="O16" s="16" t="str">
        <f t="shared" si="5"/>
        <v>COGS</v>
      </c>
      <c r="P16" s="106">
        <f>Statement!T6</f>
        <v>126855</v>
      </c>
      <c r="Q16" s="106">
        <f>Statement!U6</f>
        <v>101569</v>
      </c>
      <c r="R16" s="106">
        <f>Statement!V6</f>
        <v>106785</v>
      </c>
      <c r="S16" s="106">
        <f>Statement!W6</f>
        <v>116349</v>
      </c>
      <c r="T16" s="106">
        <f>Statement!X6</f>
        <v>140785</v>
      </c>
      <c r="U16" s="106">
        <f>Statement!Y6</f>
        <v>114752</v>
      </c>
      <c r="V16" s="106">
        <f>Statement!Z6</f>
        <v>125411</v>
      </c>
      <c r="W16" s="107">
        <f>Statement!AA6</f>
        <v>124570</v>
      </c>
      <c r="X16" s="108">
        <f>SUM(X14:X15)</f>
        <v>147916.147</v>
      </c>
      <c r="Y16" s="108"/>
      <c r="Z16" s="108"/>
      <c r="AB16" s="108">
        <f>SUM(AB14:AB15)</f>
        <v>512649.147</v>
      </c>
    </row>
    <row r="17" spans="2:28" x14ac:dyDescent="0.2">
      <c r="B17" s="1" t="str">
        <f>Statement!B8</f>
        <v>Tech and infra</v>
      </c>
      <c r="C17" s="98">
        <f>Statement!M8</f>
        <v>56052</v>
      </c>
      <c r="D17" s="98">
        <f>Statement!N8</f>
        <v>73213</v>
      </c>
      <c r="E17" s="98">
        <f>Statement!O8</f>
        <v>85622</v>
      </c>
      <c r="F17" s="98">
        <f>Statement!P8</f>
        <v>88544</v>
      </c>
      <c r="G17" s="99">
        <f>Statement!Q8</f>
        <v>108521</v>
      </c>
      <c r="H17" s="24">
        <f>H6*H28</f>
        <v>148779.72720000002</v>
      </c>
      <c r="I17" s="24">
        <f>I6*I28</f>
        <v>142668.034116</v>
      </c>
      <c r="J17" s="24">
        <f>J6*J28</f>
        <v>172270.39436033604</v>
      </c>
      <c r="K17" s="24">
        <f>K6*K28</f>
        <v>168300.4497992229</v>
      </c>
      <c r="L17" s="24">
        <f>L6*L28</f>
        <v>199088.36969897393</v>
      </c>
      <c r="N17" s="91"/>
      <c r="O17" s="39" t="str">
        <f t="shared" si="5"/>
        <v>Tech and infra</v>
      </c>
      <c r="P17" s="98">
        <f>Statement!T8</f>
        <v>23571</v>
      </c>
      <c r="Q17" s="98">
        <f>Statement!U8</f>
        <v>22994</v>
      </c>
      <c r="R17" s="98">
        <f>Statement!V8</f>
        <v>27166</v>
      </c>
      <c r="S17" s="98">
        <f>Statement!W8</f>
        <v>28962</v>
      </c>
      <c r="T17" s="98">
        <f>Statement!X8</f>
        <v>29399</v>
      </c>
      <c r="U17" s="98">
        <f>Statement!Y8</f>
        <v>29567</v>
      </c>
      <c r="V17" s="98">
        <f>Statement!Z8</f>
        <v>33158</v>
      </c>
      <c r="W17" s="99">
        <f>Statement!AA8</f>
        <v>34814</v>
      </c>
      <c r="X17" s="25">
        <f>X28*X$6</f>
        <v>46299.836499999998</v>
      </c>
      <c r="Y17" s="24"/>
      <c r="Z17" s="24"/>
      <c r="AB17" s="24">
        <f t="shared" ref="AB17:AB20" si="6">SUM(U17:X17)</f>
        <v>143838.8365</v>
      </c>
    </row>
    <row r="18" spans="2:28" x14ac:dyDescent="0.2">
      <c r="B18" s="1" t="str">
        <f>Statement!B9</f>
        <v>Sales and marketing</v>
      </c>
      <c r="C18" s="98">
        <f>Statement!M9</f>
        <v>32551</v>
      </c>
      <c r="D18" s="98">
        <f>Statement!N9</f>
        <v>42238</v>
      </c>
      <c r="E18" s="98">
        <f>Statement!O9</f>
        <v>44370</v>
      </c>
      <c r="F18" s="98">
        <f>Statement!P9</f>
        <v>43907</v>
      </c>
      <c r="G18" s="99">
        <f>Statement!Q9</f>
        <v>47129</v>
      </c>
      <c r="H18" s="24">
        <f>H6*H29</f>
        <v>66124.323200000013</v>
      </c>
      <c r="I18" s="24">
        <f>I6*I29</f>
        <v>66578.415920800006</v>
      </c>
      <c r="J18" s="24">
        <f>J6*J29</f>
        <v>64601.397885126011</v>
      </c>
      <c r="K18" s="24">
        <f>K6*K29</f>
        <v>96171.685599555931</v>
      </c>
      <c r="L18" s="24">
        <f>L6*L29</f>
        <v>86271.626869555374</v>
      </c>
      <c r="M18" s="90"/>
      <c r="N18" s="90"/>
      <c r="O18" s="39" t="str">
        <f t="shared" si="5"/>
        <v>Sales and marketing</v>
      </c>
      <c r="P18" s="98">
        <f>Statement!T9</f>
        <v>13124</v>
      </c>
      <c r="Q18" s="98">
        <f>Statement!U9</f>
        <v>9763</v>
      </c>
      <c r="R18" s="98">
        <f>Statement!V9</f>
        <v>11416</v>
      </c>
      <c r="S18" s="98">
        <f>Statement!W9</f>
        <v>11686</v>
      </c>
      <c r="T18" s="98">
        <f>Statement!X9</f>
        <v>14264</v>
      </c>
      <c r="U18" s="98">
        <f>Statement!Y9</f>
        <v>10314</v>
      </c>
      <c r="V18" s="98">
        <f>Statement!Z9</f>
        <v>11698</v>
      </c>
      <c r="W18" s="99">
        <f>Statement!AA9</f>
        <v>11649</v>
      </c>
      <c r="X18" s="25">
        <f>X29*X$6</f>
        <v>19494.667999999998</v>
      </c>
      <c r="Y18" s="24"/>
      <c r="Z18" s="24"/>
      <c r="AB18" s="24">
        <f t="shared" si="6"/>
        <v>53155.667999999998</v>
      </c>
    </row>
    <row r="19" spans="2:28" x14ac:dyDescent="0.2">
      <c r="B19" s="1" t="str">
        <f>Statement!B10</f>
        <v>General and administrative</v>
      </c>
      <c r="C19" s="98">
        <f>Statement!M10</f>
        <v>8823</v>
      </c>
      <c r="D19" s="98">
        <f>Statement!N10</f>
        <v>11891</v>
      </c>
      <c r="E19" s="98">
        <f>Statement!O10</f>
        <v>11816</v>
      </c>
      <c r="F19" s="98">
        <f>Statement!P10</f>
        <v>11359</v>
      </c>
      <c r="G19" s="99">
        <f>Statement!Q10</f>
        <v>11172</v>
      </c>
      <c r="H19" s="24">
        <f>H6*H30</f>
        <v>16531.080800000003</v>
      </c>
      <c r="I19" s="24">
        <f>I6*I30</f>
        <v>14266.803411599998</v>
      </c>
      <c r="J19" s="24">
        <f>J6*J30</f>
        <v>21533.799295042005</v>
      </c>
      <c r="K19" s="24">
        <f>K6*K30</f>
        <v>24042.921399888983</v>
      </c>
      <c r="L19" s="24">
        <f>L6*L30</f>
        <v>26545.115959863193</v>
      </c>
      <c r="M19" s="90"/>
      <c r="N19" s="90"/>
      <c r="O19" s="39" t="str">
        <f t="shared" si="5"/>
        <v>General and administrative</v>
      </c>
      <c r="P19" s="98">
        <f>Statement!T10</f>
        <v>2863</v>
      </c>
      <c r="Q19" s="98">
        <f>Statement!U10</f>
        <v>2628</v>
      </c>
      <c r="R19" s="98">
        <f>Statement!V10</f>
        <v>2965</v>
      </c>
      <c r="S19" s="98">
        <f>Statement!W10</f>
        <v>2875</v>
      </c>
      <c r="T19" s="98">
        <f>Statement!X10</f>
        <v>2704</v>
      </c>
      <c r="U19" s="98">
        <f>Statement!Y10</f>
        <v>2587</v>
      </c>
      <c r="V19" s="98">
        <f>Statement!Z10</f>
        <v>2788</v>
      </c>
      <c r="W19" s="99">
        <f>Statement!AA10</f>
        <v>2701</v>
      </c>
      <c r="X19" s="25">
        <f>X30*X$6</f>
        <v>4873.6669999999995</v>
      </c>
      <c r="Y19" s="24"/>
      <c r="Z19" s="24"/>
      <c r="AB19" s="24">
        <f t="shared" si="6"/>
        <v>12949.666999999999</v>
      </c>
    </row>
    <row r="20" spans="2:28" x14ac:dyDescent="0.2">
      <c r="B20" s="16" t="s">
        <v>25</v>
      </c>
      <c r="C20" s="106">
        <f>Statement!M12</f>
        <v>97488</v>
      </c>
      <c r="D20" s="106">
        <f>Statement!N12</f>
        <v>128605</v>
      </c>
      <c r="E20" s="106">
        <f>Statement!O12</f>
        <v>142575</v>
      </c>
      <c r="F20" s="106">
        <f>Statement!P12</f>
        <v>144573</v>
      </c>
      <c r="G20" s="107">
        <f>Statement!Q12</f>
        <v>171461</v>
      </c>
      <c r="H20" s="108">
        <f>SUM(H17:H19)</f>
        <v>231435.13120000003</v>
      </c>
      <c r="I20" s="108">
        <f>SUM(I17:I19)</f>
        <v>223513.25344840001</v>
      </c>
      <c r="J20" s="108">
        <f>SUM(J17:J19)</f>
        <v>258405.59154050404</v>
      </c>
      <c r="K20" s="108">
        <f>SUM(K17:K19)</f>
        <v>288515.05679866782</v>
      </c>
      <c r="L20" s="108">
        <f>SUM(L17:L19)</f>
        <v>311905.11252839246</v>
      </c>
      <c r="M20" s="90"/>
      <c r="N20" s="90"/>
      <c r="O20" s="16" t="str">
        <f t="shared" si="5"/>
        <v>OpEx</v>
      </c>
      <c r="P20" s="106">
        <f>Statement!T12</f>
        <v>39734</v>
      </c>
      <c r="Q20" s="106">
        <f>Statement!U12</f>
        <v>35693</v>
      </c>
      <c r="R20" s="106">
        <f>Statement!V12</f>
        <v>41746</v>
      </c>
      <c r="S20" s="106">
        <f>Statement!W12</f>
        <v>46398</v>
      </c>
      <c r="T20" s="106">
        <f>Statement!X12</f>
        <v>47624</v>
      </c>
      <c r="U20" s="106">
        <f>Statement!Y12</f>
        <v>42915</v>
      </c>
      <c r="V20" s="106">
        <f>Statement!Z12</f>
        <v>47734</v>
      </c>
      <c r="W20" s="107">
        <f>Statement!AA12</f>
        <v>49298</v>
      </c>
      <c r="X20" s="108">
        <f>SUM(X17:X19)</f>
        <v>70668.171499999997</v>
      </c>
      <c r="Y20" s="108"/>
      <c r="Z20" s="108"/>
      <c r="AB20" s="108">
        <f t="shared" si="6"/>
        <v>210615.1715</v>
      </c>
    </row>
    <row r="23" spans="2:28" x14ac:dyDescent="0.2">
      <c r="C23" s="259" t="s">
        <v>129</v>
      </c>
      <c r="D23" s="259"/>
      <c r="E23" s="259"/>
      <c r="F23" s="259"/>
      <c r="G23" s="259"/>
      <c r="H23" s="259"/>
      <c r="I23" s="259"/>
      <c r="J23" s="259"/>
      <c r="K23" s="259"/>
      <c r="L23" s="259"/>
      <c r="P23" s="261" t="s">
        <v>129</v>
      </c>
      <c r="Q23" s="261"/>
      <c r="R23" s="261"/>
      <c r="S23" s="261"/>
      <c r="T23" s="261"/>
      <c r="U23" s="261"/>
      <c r="V23" s="261"/>
      <c r="W23" s="261"/>
      <c r="X23" s="261"/>
      <c r="Y23" s="261"/>
      <c r="Z23" s="261"/>
    </row>
    <row r="24" spans="2:28" x14ac:dyDescent="0.2">
      <c r="B24" s="16" t="s">
        <v>130</v>
      </c>
      <c r="C24" s="12">
        <f t="shared" ref="C24:L24" si="7">C5</f>
        <v>2021</v>
      </c>
      <c r="D24" s="12">
        <f t="shared" si="7"/>
        <v>2022</v>
      </c>
      <c r="E24" s="12">
        <f t="shared" si="7"/>
        <v>2023</v>
      </c>
      <c r="F24" s="12">
        <f t="shared" si="7"/>
        <v>2024</v>
      </c>
      <c r="G24" s="12">
        <f t="shared" si="7"/>
        <v>2025</v>
      </c>
      <c r="H24" s="12">
        <f t="shared" si="7"/>
        <v>2026</v>
      </c>
      <c r="I24" s="12">
        <f t="shared" si="7"/>
        <v>2027</v>
      </c>
      <c r="J24" s="12">
        <f t="shared" si="7"/>
        <v>2028</v>
      </c>
      <c r="K24" s="12">
        <f t="shared" si="7"/>
        <v>2029</v>
      </c>
      <c r="L24" s="12">
        <f t="shared" si="7"/>
        <v>2030</v>
      </c>
      <c r="O24" s="16" t="s">
        <v>130</v>
      </c>
      <c r="P24" s="12" t="str">
        <f t="shared" ref="P24:Z24" si="8">P5</f>
        <v>Q4 2024</v>
      </c>
      <c r="Q24" s="12" t="str">
        <f t="shared" si="8"/>
        <v>Q1 2025</v>
      </c>
      <c r="R24" s="12" t="str">
        <f t="shared" si="8"/>
        <v>Q2 2025</v>
      </c>
      <c r="S24" s="12" t="str">
        <f t="shared" si="8"/>
        <v>Q3 2025</v>
      </c>
      <c r="T24" s="12" t="str">
        <f t="shared" si="8"/>
        <v>Q4 2025</v>
      </c>
      <c r="U24" s="12" t="str">
        <f t="shared" si="8"/>
        <v>Q1 2026</v>
      </c>
      <c r="V24" s="12" t="str">
        <f t="shared" si="8"/>
        <v>Q2 2026</v>
      </c>
      <c r="W24" s="12" t="str">
        <f t="shared" si="8"/>
        <v>Q3 2026</v>
      </c>
      <c r="X24" s="12" t="str">
        <f t="shared" si="8"/>
        <v>FQ1</v>
      </c>
      <c r="Y24" s="12" t="str">
        <f t="shared" si="8"/>
        <v>FQ2</v>
      </c>
      <c r="Z24" s="12" t="str">
        <f t="shared" si="8"/>
        <v>FQ3</v>
      </c>
    </row>
    <row r="25" spans="2:28" x14ac:dyDescent="0.2">
      <c r="B25" s="1" t="str">
        <f>B14</f>
        <v>Cost of Sales COGS</v>
      </c>
      <c r="C25" s="95">
        <f>C14/C$7</f>
        <v>0.6681320838035425</v>
      </c>
      <c r="D25" s="95">
        <f t="shared" ref="D25:G25" si="9">D14/D$7</f>
        <v>0.6656825394630399</v>
      </c>
      <c r="E25" s="95">
        <f t="shared" si="9"/>
        <v>0.62958961051839979</v>
      </c>
      <c r="F25" s="95">
        <f t="shared" si="9"/>
        <v>0.61516997452880173</v>
      </c>
      <c r="G25" s="96">
        <f t="shared" si="9"/>
        <v>0.60594118657121143</v>
      </c>
      <c r="H25" s="97">
        <v>0.61</v>
      </c>
      <c r="I25" s="97">
        <v>0.6</v>
      </c>
      <c r="J25" s="97">
        <v>0.62</v>
      </c>
      <c r="K25" s="97">
        <v>0.63</v>
      </c>
      <c r="L25" s="97">
        <v>0.61</v>
      </c>
      <c r="O25" s="1" t="str">
        <f>O14</f>
        <v>Cost of Sales COGS</v>
      </c>
      <c r="P25" s="95" t="e">
        <f>P14/P$7</f>
        <v>#DIV/0!</v>
      </c>
      <c r="Q25" s="95">
        <f t="shared" ref="Q25:W25" si="10">Q14/Q$7</f>
        <v>0.60898734177215186</v>
      </c>
      <c r="R25" s="95">
        <f t="shared" si="10"/>
        <v>0.59058386745499858</v>
      </c>
      <c r="S25" s="95">
        <f t="shared" si="10"/>
        <v>0.60252916833714998</v>
      </c>
      <c r="T25" s="95">
        <f t="shared" si="10"/>
        <v>0.61841772258684979</v>
      </c>
      <c r="U25" s="95">
        <f t="shared" si="10"/>
        <v>0.60766889920240108</v>
      </c>
      <c r="V25" s="95">
        <f t="shared" si="10"/>
        <v>0.6047583568009901</v>
      </c>
      <c r="W25" s="96">
        <f t="shared" si="10"/>
        <v>0.60639266478584253</v>
      </c>
      <c r="X25" s="97">
        <v>0.6</v>
      </c>
      <c r="Y25" s="97"/>
      <c r="Z25" s="97"/>
    </row>
    <row r="26" spans="2:28" x14ac:dyDescent="0.2">
      <c r="B26" s="1" t="str">
        <f>B15</f>
        <v>Fulfillment COGS</v>
      </c>
      <c r="C26" s="95">
        <f>C15/C$8</f>
        <v>0.21929194548575834</v>
      </c>
      <c r="D26" s="95">
        <f t="shared" ref="D26:G26" si="11">D15/D$8</f>
        <v>0.236341513332567</v>
      </c>
      <c r="E26" s="95">
        <f t="shared" si="11"/>
        <v>0.23119745889196464</v>
      </c>
      <c r="F26" s="95">
        <f t="shared" si="11"/>
        <v>0.23210961615495182</v>
      </c>
      <c r="G26" s="96">
        <f t="shared" si="11"/>
        <v>0.23506820973685913</v>
      </c>
      <c r="H26" s="97">
        <v>0.27</v>
      </c>
      <c r="I26" s="97">
        <v>0.24</v>
      </c>
      <c r="J26" s="97">
        <v>0.23</v>
      </c>
      <c r="K26" s="97">
        <v>0.25</v>
      </c>
      <c r="L26" s="97">
        <v>0.24</v>
      </c>
      <c r="O26" s="1" t="str">
        <f>O15</f>
        <v>Fulfillment COGS</v>
      </c>
      <c r="P26" s="95" t="e">
        <f>P15/P$8</f>
        <v>#DIV/0!</v>
      </c>
      <c r="Q26" s="95">
        <f t="shared" ref="Q26:W26" si="12">Q15/Q$8</f>
        <v>0.24728512247114184</v>
      </c>
      <c r="R26" s="95">
        <f t="shared" si="12"/>
        <v>0.24179915850616227</v>
      </c>
      <c r="S26" s="95">
        <f t="shared" si="12"/>
        <v>0.23970520736808376</v>
      </c>
      <c r="T26" s="95">
        <f t="shared" si="12"/>
        <v>0.21760707050028591</v>
      </c>
      <c r="U26" s="95">
        <f t="shared" si="12"/>
        <v>0.24448784683336769</v>
      </c>
      <c r="V26" s="95">
        <f t="shared" si="12"/>
        <v>0.24090694762857096</v>
      </c>
      <c r="W26" s="96">
        <f t="shared" si="12"/>
        <v>0.2485829355608592</v>
      </c>
      <c r="X26" s="97">
        <v>0.23</v>
      </c>
      <c r="Y26" s="97"/>
      <c r="Z26" s="97"/>
    </row>
    <row r="27" spans="2:28" x14ac:dyDescent="0.2">
      <c r="B27" s="16" t="str">
        <f t="shared" ref="B27" si="13">B16</f>
        <v>COGS</v>
      </c>
      <c r="C27" s="103">
        <f>C16/C$6</f>
        <v>0.7395460408409994</v>
      </c>
      <c r="D27" s="103">
        <f t="shared" ref="D27:L27" si="14">D16/D$6</f>
        <v>0.72595786241957416</v>
      </c>
      <c r="E27" s="103">
        <f t="shared" si="14"/>
        <v>0.6878363214071348</v>
      </c>
      <c r="F27" s="103">
        <f t="shared" si="14"/>
        <v>0.66586253975568965</v>
      </c>
      <c r="G27" s="104">
        <f t="shared" si="14"/>
        <v>0.64928500092059971</v>
      </c>
      <c r="H27" s="103">
        <f t="shared" si="14"/>
        <v>0.64105538544098084</v>
      </c>
      <c r="I27" s="103">
        <f t="shared" si="14"/>
        <v>0.58307876160123484</v>
      </c>
      <c r="J27" s="103">
        <f t="shared" si="14"/>
        <v>0.57231663500143448</v>
      </c>
      <c r="K27" s="103">
        <f t="shared" si="14"/>
        <v>0.57552943904860487</v>
      </c>
      <c r="L27" s="103">
        <f t="shared" si="14"/>
        <v>0.54714897643698912</v>
      </c>
      <c r="O27" s="16" t="str">
        <f t="shared" ref="O27:O31" si="15">O16</f>
        <v>COGS</v>
      </c>
      <c r="P27" s="103">
        <f>P16/P$6</f>
        <v>0.67550800886086737</v>
      </c>
      <c r="Q27" s="103">
        <f t="shared" ref="Q27:V27" si="16">Q16/Q$6</f>
        <v>0.65247611889482038</v>
      </c>
      <c r="R27" s="103">
        <f t="shared" si="16"/>
        <v>0.63675448116301536</v>
      </c>
      <c r="S27" s="103">
        <f t="shared" si="16"/>
        <v>0.64577702046411978</v>
      </c>
      <c r="T27" s="103">
        <f t="shared" si="16"/>
        <v>0.65976680756938133</v>
      </c>
      <c r="U27" s="103">
        <f t="shared" si="16"/>
        <v>0.63217624601281408</v>
      </c>
      <c r="V27" s="103">
        <f t="shared" si="16"/>
        <v>0.62516076288844802</v>
      </c>
      <c r="W27" s="104">
        <f t="shared" ref="W27:X31" si="17">W16/W$6</f>
        <v>0.61685417739571369</v>
      </c>
      <c r="X27" s="103">
        <f t="shared" si="17"/>
        <v>0.60700145085825519</v>
      </c>
      <c r="Y27" s="16"/>
      <c r="Z27" s="16"/>
    </row>
    <row r="28" spans="2:28" x14ac:dyDescent="0.2">
      <c r="B28" s="1" t="str">
        <f>B17</f>
        <v>Tech and infra</v>
      </c>
      <c r="C28" s="95">
        <f t="shared" ref="C28:G28" si="18">C17/C$6</f>
        <v>0.11930475797216818</v>
      </c>
      <c r="D28" s="95">
        <f t="shared" si="18"/>
        <v>0.14244245432241923</v>
      </c>
      <c r="E28" s="95">
        <f t="shared" si="18"/>
        <v>0.14896352549214054</v>
      </c>
      <c r="F28" s="95">
        <f t="shared" si="18"/>
        <v>0.13879261833440706</v>
      </c>
      <c r="G28" s="96">
        <f t="shared" si="18"/>
        <v>0.15137029866485149</v>
      </c>
      <c r="H28" s="97">
        <v>0.18</v>
      </c>
      <c r="I28" s="97">
        <v>0.15</v>
      </c>
      <c r="J28" s="97">
        <v>0.16</v>
      </c>
      <c r="K28" s="97">
        <v>0.14000000000000001</v>
      </c>
      <c r="L28" s="97">
        <v>0.15</v>
      </c>
      <c r="O28" s="1" t="str">
        <f t="shared" si="15"/>
        <v>Tech and infra</v>
      </c>
      <c r="P28" s="95">
        <f>P17/P$6</f>
        <v>0.12551652892561985</v>
      </c>
      <c r="Q28" s="95">
        <f t="shared" ref="Q28:V28" si="19">Q17/Q$6</f>
        <v>0.14771274579711821</v>
      </c>
      <c r="R28" s="95">
        <f t="shared" si="19"/>
        <v>0.16198971986022825</v>
      </c>
      <c r="S28" s="95">
        <f t="shared" si="19"/>
        <v>0.1607490744800715</v>
      </c>
      <c r="T28" s="95">
        <f t="shared" si="19"/>
        <v>0.13777379959322542</v>
      </c>
      <c r="U28" s="95">
        <f t="shared" si="19"/>
        <v>0.16288652978476081</v>
      </c>
      <c r="V28" s="95">
        <f t="shared" si="19"/>
        <v>0.16528917380337577</v>
      </c>
      <c r="W28" s="96">
        <f t="shared" si="17"/>
        <v>0.17239432714019728</v>
      </c>
      <c r="X28" s="97">
        <v>0.19</v>
      </c>
      <c r="Y28" s="97"/>
      <c r="Z28" s="97"/>
    </row>
    <row r="29" spans="2:28" x14ac:dyDescent="0.2">
      <c r="B29" s="1" t="str">
        <f t="shared" ref="B29:B31" si="20">B18</f>
        <v>Sales and marketing</v>
      </c>
      <c r="C29" s="95">
        <f t="shared" ref="C29:G29" si="21">C18/C$6</f>
        <v>6.9283686161993263E-2</v>
      </c>
      <c r="D29" s="95">
        <f t="shared" si="21"/>
        <v>8.2177815219569517E-2</v>
      </c>
      <c r="E29" s="95">
        <f t="shared" si="21"/>
        <v>7.7194081265168718E-2</v>
      </c>
      <c r="F29" s="95">
        <f t="shared" si="21"/>
        <v>6.8824172086293947E-2</v>
      </c>
      <c r="G29" s="96">
        <f t="shared" si="21"/>
        <v>6.5737790895548209E-2</v>
      </c>
      <c r="H29" s="97">
        <v>0.08</v>
      </c>
      <c r="I29" s="97">
        <v>7.0000000000000007E-2</v>
      </c>
      <c r="J29" s="97">
        <v>0.06</v>
      </c>
      <c r="K29" s="97">
        <v>0.08</v>
      </c>
      <c r="L29" s="97">
        <v>6.5000000000000002E-2</v>
      </c>
      <c r="O29" s="1" t="str">
        <f t="shared" si="15"/>
        <v>Sales and marketing</v>
      </c>
      <c r="P29" s="95">
        <f t="shared" ref="P29:V31" si="22">P18/P$6</f>
        <v>6.9885831132316611E-2</v>
      </c>
      <c r="Q29" s="95">
        <f t="shared" si="22"/>
        <v>6.2717210455652123E-2</v>
      </c>
      <c r="R29" s="95">
        <f t="shared" si="22"/>
        <v>6.80731297181906E-2</v>
      </c>
      <c r="S29" s="95">
        <f t="shared" si="22"/>
        <v>6.4861324645194229E-2</v>
      </c>
      <c r="T29" s="95">
        <f t="shared" si="22"/>
        <v>6.6845997394393258E-2</v>
      </c>
      <c r="U29" s="95">
        <f t="shared" si="22"/>
        <v>5.6820498129672374E-2</v>
      </c>
      <c r="V29" s="95">
        <f t="shared" si="22"/>
        <v>5.8313310668673915E-2</v>
      </c>
      <c r="W29" s="96">
        <f t="shared" si="17"/>
        <v>5.7684308521174184E-2</v>
      </c>
      <c r="X29" s="97">
        <v>0.08</v>
      </c>
      <c r="Y29" s="97"/>
      <c r="Z29" s="97"/>
    </row>
    <row r="30" spans="2:28" x14ac:dyDescent="0.2">
      <c r="B30" s="1" t="str">
        <f t="shared" si="20"/>
        <v>General and administrative</v>
      </c>
      <c r="C30" s="95">
        <f t="shared" ref="C30:G30" si="23">C19/C$6</f>
        <v>1.8779452643767215E-2</v>
      </c>
      <c r="D30" s="95">
        <f t="shared" si="23"/>
        <v>2.3135006410717866E-2</v>
      </c>
      <c r="E30" s="95">
        <f t="shared" si="23"/>
        <v>2.0557251841993092E-2</v>
      </c>
      <c r="F30" s="95">
        <f t="shared" si="23"/>
        <v>1.7805219457676748E-2</v>
      </c>
      <c r="G30" s="96">
        <f t="shared" si="23"/>
        <v>1.5583241738315358E-2</v>
      </c>
      <c r="H30" s="97">
        <v>0.02</v>
      </c>
      <c r="I30" s="97">
        <v>1.4999999999999999E-2</v>
      </c>
      <c r="J30" s="97">
        <v>0.02</v>
      </c>
      <c r="K30" s="97">
        <v>0.02</v>
      </c>
      <c r="L30" s="97">
        <v>0.02</v>
      </c>
      <c r="O30" s="1" t="str">
        <f t="shared" si="15"/>
        <v>General and administrative</v>
      </c>
      <c r="P30" s="95">
        <f t="shared" si="22"/>
        <v>1.5245590866490586E-2</v>
      </c>
      <c r="Q30" s="95">
        <f t="shared" si="22"/>
        <v>1.6882190830426486E-2</v>
      </c>
      <c r="R30" s="95">
        <f t="shared" si="22"/>
        <v>1.7680170779120107E-2</v>
      </c>
      <c r="S30" s="95">
        <f t="shared" si="22"/>
        <v>1.5957240146751105E-2</v>
      </c>
      <c r="T30" s="95">
        <f t="shared" si="22"/>
        <v>1.2671871631690926E-2</v>
      </c>
      <c r="U30" s="95">
        <f t="shared" si="22"/>
        <v>1.4251951586335314E-2</v>
      </c>
      <c r="V30" s="95">
        <f t="shared" si="22"/>
        <v>1.3897889395132748E-2</v>
      </c>
      <c r="W30" s="96">
        <f t="shared" si="17"/>
        <v>1.3374995048132155E-2</v>
      </c>
      <c r="X30" s="97">
        <v>0.02</v>
      </c>
      <c r="Y30" s="97"/>
      <c r="Z30" s="97"/>
    </row>
    <row r="31" spans="2:28" x14ac:dyDescent="0.2">
      <c r="B31" s="16" t="str">
        <f t="shared" si="20"/>
        <v>OpEx</v>
      </c>
      <c r="C31" s="103">
        <f>C20/C$6</f>
        <v>0.20749986164973117</v>
      </c>
      <c r="D31" s="103">
        <f t="shared" ref="D31:L31" si="24">D20/D$6</f>
        <v>0.25021255566818357</v>
      </c>
      <c r="E31" s="103">
        <f t="shared" si="24"/>
        <v>0.24804927059683185</v>
      </c>
      <c r="F31" s="103">
        <f t="shared" si="24"/>
        <v>0.22661801150230657</v>
      </c>
      <c r="G31" s="104">
        <f t="shared" si="24"/>
        <v>0.23916203112184833</v>
      </c>
      <c r="H31" s="103">
        <f t="shared" si="24"/>
        <v>0.27999999999999997</v>
      </c>
      <c r="I31" s="103">
        <f t="shared" si="24"/>
        <v>0.23500000000000001</v>
      </c>
      <c r="J31" s="103">
        <f t="shared" si="24"/>
        <v>0.24</v>
      </c>
      <c r="K31" s="103">
        <f t="shared" si="24"/>
        <v>0.24000000000000002</v>
      </c>
      <c r="L31" s="103">
        <f t="shared" si="24"/>
        <v>0.23499999999999996</v>
      </c>
      <c r="O31" s="16" t="str">
        <f t="shared" si="15"/>
        <v>OpEx</v>
      </c>
      <c r="P31" s="103">
        <f t="shared" si="22"/>
        <v>0.21158515804720116</v>
      </c>
      <c r="Q31" s="103">
        <f t="shared" si="22"/>
        <v>0.22929072957017221</v>
      </c>
      <c r="R31" s="103">
        <f t="shared" si="22"/>
        <v>0.24892964902028597</v>
      </c>
      <c r="S31" s="103">
        <f t="shared" si="22"/>
        <v>0.25752487941876795</v>
      </c>
      <c r="T31" s="103">
        <f t="shared" si="22"/>
        <v>0.22318240184454463</v>
      </c>
      <c r="U31" s="103">
        <f t="shared" si="22"/>
        <v>0.23642153163029767</v>
      </c>
      <c r="V31" s="103">
        <f t="shared" si="22"/>
        <v>0.23794901448610709</v>
      </c>
      <c r="W31" s="104">
        <f t="shared" si="17"/>
        <v>0.24411718100067345</v>
      </c>
      <c r="X31" s="103">
        <f t="shared" si="17"/>
        <v>0.29000000000000004</v>
      </c>
      <c r="Y31" s="16"/>
      <c r="Z31" s="16"/>
    </row>
  </sheetData>
  <mergeCells count="10">
    <mergeCell ref="C12:L12"/>
    <mergeCell ref="P12:Z12"/>
    <mergeCell ref="C23:L23"/>
    <mergeCell ref="P23:Z23"/>
    <mergeCell ref="C2:G2"/>
    <mergeCell ref="H2:L2"/>
    <mergeCell ref="P2:W2"/>
    <mergeCell ref="X2:Z2"/>
    <mergeCell ref="C4:L4"/>
    <mergeCell ref="P4:Z4"/>
  </mergeCells>
  <pageMargins left="0.7" right="0.7" top="0.75" bottom="0.75" header="0.3" footer="0.3"/>
  <ignoredErrors>
    <ignoredError sqref="AB16 X16"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D13" zoomScale="189" zoomScaleNormal="100" workbookViewId="0">
      <selection activeCell="I46" sqref="I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132</v>
      </c>
    </row>
    <row r="2" spans="1:28" s="83" customFormat="1" ht="18" customHeight="1" x14ac:dyDescent="0.2">
      <c r="A2" s="4"/>
      <c r="B2" s="82"/>
    </row>
    <row r="3" spans="1:28" x14ac:dyDescent="0.2">
      <c r="A3" s="4"/>
      <c r="C3" s="251" t="s">
        <v>114</v>
      </c>
      <c r="D3" s="251"/>
      <c r="E3" s="251"/>
      <c r="F3" s="251"/>
      <c r="G3" s="262"/>
      <c r="H3" s="263" t="s">
        <v>115</v>
      </c>
      <c r="I3" s="251"/>
      <c r="J3" s="251"/>
      <c r="K3" s="251"/>
      <c r="L3" s="251"/>
      <c r="P3" s="264"/>
      <c r="Q3" s="264"/>
      <c r="R3" s="264"/>
      <c r="S3" s="264"/>
      <c r="T3" s="264"/>
      <c r="U3" s="264"/>
      <c r="V3" s="264"/>
      <c r="W3" s="264"/>
      <c r="X3" s="264"/>
      <c r="Y3" s="264"/>
      <c r="Z3" s="264"/>
      <c r="AB3" s="111"/>
    </row>
    <row r="4" spans="1:28" ht="10" customHeight="1" x14ac:dyDescent="0.2"/>
    <row r="5" spans="1:28" ht="16" customHeight="1" x14ac:dyDescent="0.2">
      <c r="A5" s="86"/>
      <c r="B5" s="60"/>
      <c r="C5" s="259" t="s">
        <v>117</v>
      </c>
      <c r="D5" s="259"/>
      <c r="E5" s="259"/>
      <c r="F5" s="259"/>
      <c r="G5" s="259"/>
      <c r="H5" s="259"/>
      <c r="I5" s="259"/>
      <c r="J5" s="259"/>
      <c r="K5" s="259"/>
      <c r="L5" s="259"/>
      <c r="P5" s="264"/>
      <c r="Q5" s="264"/>
      <c r="R5" s="264"/>
      <c r="S5" s="264"/>
      <c r="T5" s="264"/>
      <c r="U5" s="264"/>
      <c r="V5" s="264"/>
      <c r="W5" s="264"/>
      <c r="X5" s="264"/>
      <c r="Y5" s="264"/>
      <c r="Z5" s="264"/>
      <c r="AB5" s="112"/>
    </row>
    <row r="6" spans="1:28" x14ac:dyDescent="0.2">
      <c r="B6" s="16" t="s">
        <v>118</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3"/>
      <c r="Q6" s="113"/>
      <c r="R6" s="113"/>
      <c r="S6" s="113"/>
      <c r="T6" s="113"/>
      <c r="U6" s="113"/>
      <c r="V6" s="113"/>
      <c r="W6" s="113"/>
      <c r="X6" s="113"/>
      <c r="Y6" s="113"/>
      <c r="Z6" s="113"/>
      <c r="AB6" s="112"/>
    </row>
    <row r="7" spans="1:28" x14ac:dyDescent="0.2">
      <c r="B7" s="16" t="s">
        <v>19</v>
      </c>
      <c r="C7" s="92">
        <f>Revenue!C14</f>
        <v>469822</v>
      </c>
      <c r="D7" s="92">
        <f>Revenue!D14</f>
        <v>513983</v>
      </c>
      <c r="E7" s="92">
        <f>Revenue!E14</f>
        <v>574785</v>
      </c>
      <c r="F7" s="92">
        <f>Revenue!F14</f>
        <v>637959</v>
      </c>
      <c r="G7" s="93">
        <f>Revenue!G14</f>
        <v>716924</v>
      </c>
      <c r="H7" s="92">
        <f>Revenue!H14</f>
        <v>826554.04000000015</v>
      </c>
      <c r="I7" s="92">
        <f>Revenue!I14</f>
        <v>951120.22743999993</v>
      </c>
      <c r="J7" s="92">
        <f>Revenue!J14</f>
        <v>1076689.9647521002</v>
      </c>
      <c r="K7" s="92">
        <f>Revenue!K14</f>
        <v>1202146.0699944491</v>
      </c>
      <c r="L7" s="92">
        <f>Revenue!L14</f>
        <v>1327255.7979931596</v>
      </c>
      <c r="N7" s="91"/>
      <c r="O7" s="16"/>
      <c r="P7" s="92"/>
      <c r="Q7" s="92"/>
      <c r="R7" s="92"/>
      <c r="S7" s="92"/>
      <c r="T7" s="92"/>
      <c r="U7" s="92"/>
      <c r="V7" s="92"/>
      <c r="W7" s="92"/>
      <c r="X7" s="94"/>
      <c r="Y7" s="94"/>
      <c r="Z7" s="94"/>
      <c r="AB7" s="94"/>
    </row>
    <row r="8" spans="1:28" x14ac:dyDescent="0.2">
      <c r="B8" s="39" t="s">
        <v>20</v>
      </c>
      <c r="C8" s="114">
        <f>'COGS &amp; OpEx'!C16</f>
        <v>347455</v>
      </c>
      <c r="D8" s="114">
        <f>'COGS &amp; OpEx'!D16</f>
        <v>373130</v>
      </c>
      <c r="E8" s="114">
        <f>'COGS &amp; OpEx'!E16</f>
        <v>395358</v>
      </c>
      <c r="F8" s="114">
        <f>'COGS &amp; OpEx'!F16</f>
        <v>424793</v>
      </c>
      <c r="G8" s="115">
        <f>'COGS &amp; OpEx'!G16</f>
        <v>465488</v>
      </c>
      <c r="H8" s="114">
        <f>'COGS &amp; OpEx'!H16</f>
        <v>529866.91870000004</v>
      </c>
      <c r="I8" s="114">
        <f>'COGS &amp; OpEx'!I16</f>
        <v>554578.00434959994</v>
      </c>
      <c r="J8" s="114">
        <f>'COGS &amp; OpEx'!J16</f>
        <v>616207.5775667351</v>
      </c>
      <c r="K8" s="114">
        <f>'COGS &amp; OpEx'!K16</f>
        <v>691870.45331839018</v>
      </c>
      <c r="L8" s="114">
        <f>'COGS &amp; OpEx'!L16</f>
        <v>726206.65134201641</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9" t="s">
        <v>133</v>
      </c>
      <c r="D11" s="259"/>
      <c r="E11" s="259"/>
      <c r="F11" s="259"/>
      <c r="G11" s="259"/>
      <c r="H11" s="259"/>
      <c r="I11" s="259"/>
      <c r="J11" s="259"/>
      <c r="K11" s="259"/>
      <c r="L11" s="259"/>
      <c r="N11" s="91"/>
      <c r="P11" s="264"/>
      <c r="Q11" s="264"/>
      <c r="R11" s="264"/>
      <c r="S11" s="264"/>
      <c r="T11" s="264"/>
      <c r="U11" s="264"/>
      <c r="V11" s="264"/>
      <c r="W11" s="264"/>
      <c r="X11" s="264"/>
      <c r="Y11" s="264"/>
      <c r="Z11" s="264"/>
      <c r="AB11" s="112"/>
    </row>
    <row r="12" spans="1:28" x14ac:dyDescent="0.2">
      <c r="B12" s="16" t="s">
        <v>134</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1"/>
      <c r="O12" s="16"/>
      <c r="P12" s="113"/>
      <c r="Q12" s="113"/>
      <c r="R12" s="113"/>
      <c r="S12" s="113"/>
      <c r="T12" s="113"/>
      <c r="U12" s="113"/>
      <c r="V12" s="113"/>
      <c r="W12" s="113"/>
      <c r="X12" s="113"/>
      <c r="Y12" s="113"/>
      <c r="Z12" s="113"/>
      <c r="AB12" s="112"/>
    </row>
    <row r="13" spans="1:28" x14ac:dyDescent="0.2">
      <c r="B13" s="39" t="s">
        <v>135</v>
      </c>
      <c r="C13" s="116">
        <f>Statement!M31</f>
        <v>32891</v>
      </c>
      <c r="D13" s="116">
        <f>Statement!N31</f>
        <v>42360</v>
      </c>
      <c r="E13" s="116">
        <f>Statement!O31</f>
        <v>52253</v>
      </c>
      <c r="F13" s="116">
        <f>Statement!P31</f>
        <v>55451</v>
      </c>
      <c r="G13" s="117">
        <f>Statement!Q31</f>
        <v>67729</v>
      </c>
      <c r="H13" s="25">
        <f>H20*H7/365</f>
        <v>86052.201424657556</v>
      </c>
      <c r="I13" s="25">
        <f>I20*I7/365</f>
        <v>99020.736007452055</v>
      </c>
      <c r="J13" s="25">
        <f>J20*J7/365</f>
        <v>112093.74975501317</v>
      </c>
      <c r="K13" s="25">
        <f>K20*K7/365</f>
        <v>125154.9333144906</v>
      </c>
      <c r="L13" s="25">
        <f>L20*L7/365</f>
        <v>138180.05568147963</v>
      </c>
      <c r="N13" s="91"/>
      <c r="O13" s="16"/>
      <c r="P13" s="118"/>
      <c r="Q13" s="118"/>
      <c r="R13" s="118"/>
      <c r="S13" s="118"/>
      <c r="T13" s="118"/>
      <c r="U13" s="118"/>
      <c r="V13" s="118"/>
      <c r="W13" s="118"/>
      <c r="X13" s="108"/>
      <c r="Y13" s="108"/>
      <c r="Z13" s="108"/>
      <c r="AB13" s="24"/>
    </row>
    <row r="14" spans="1:28" x14ac:dyDescent="0.2">
      <c r="B14" s="39" t="s">
        <v>136</v>
      </c>
      <c r="C14" s="116">
        <f>Statement!M32</f>
        <v>32640</v>
      </c>
      <c r="D14" s="116">
        <f>Statement!N32</f>
        <v>34405</v>
      </c>
      <c r="E14" s="116">
        <f>Statement!O32</f>
        <v>33318</v>
      </c>
      <c r="F14" s="116">
        <f>Statement!P32</f>
        <v>34214</v>
      </c>
      <c r="G14" s="117">
        <f>Statement!Q32</f>
        <v>38325</v>
      </c>
      <c r="H14" s="128">
        <f>H21*H8/365</f>
        <v>39195.635081917811</v>
      </c>
      <c r="I14" s="128">
        <f t="shared" ref="I14:L14" si="2">I21*I8/365</f>
        <v>41023.578403943015</v>
      </c>
      <c r="J14" s="128">
        <f t="shared" si="2"/>
        <v>45582.478340553011</v>
      </c>
      <c r="K14" s="128">
        <f t="shared" si="2"/>
        <v>51179.458190675439</v>
      </c>
      <c r="L14" s="128">
        <f t="shared" si="2"/>
        <v>53719.396126669708</v>
      </c>
      <c r="N14" s="91"/>
      <c r="O14" s="16"/>
      <c r="P14" s="118"/>
      <c r="Q14" s="118"/>
      <c r="R14" s="118"/>
      <c r="S14" s="118"/>
      <c r="T14" s="118"/>
      <c r="U14" s="118"/>
      <c r="V14" s="118"/>
      <c r="W14" s="118"/>
      <c r="X14" s="108"/>
      <c r="Y14" s="108"/>
      <c r="Z14" s="108"/>
      <c r="AB14" s="24"/>
    </row>
    <row r="15" spans="1:28" x14ac:dyDescent="0.2">
      <c r="B15" s="1" t="s">
        <v>137</v>
      </c>
      <c r="C15" s="116">
        <f>Statement!M39</f>
        <v>78664</v>
      </c>
      <c r="D15" s="116">
        <f>Statement!N39</f>
        <v>79600</v>
      </c>
      <c r="E15" s="116">
        <f>Statement!O39</f>
        <v>84981</v>
      </c>
      <c r="F15" s="116">
        <f>Statement!P39</f>
        <v>94363</v>
      </c>
      <c r="G15" s="117">
        <f>Statement!Q39</f>
        <v>121909</v>
      </c>
      <c r="H15" s="24">
        <f>H22*H8/365</f>
        <v>145169.01882191782</v>
      </c>
      <c r="I15" s="24">
        <f>I22*I8/365</f>
        <v>151939.179273863</v>
      </c>
      <c r="J15" s="24">
        <f>J22*J8/365</f>
        <v>168823.99385390003</v>
      </c>
      <c r="K15" s="24">
        <f>K22*K8/365</f>
        <v>189553.54885435349</v>
      </c>
      <c r="L15" s="24">
        <f>L22*L8/365</f>
        <v>198960.726395073</v>
      </c>
      <c r="N15" s="91"/>
      <c r="P15" s="119"/>
      <c r="Q15" s="119"/>
      <c r="R15" s="119"/>
      <c r="S15" s="119"/>
      <c r="T15" s="119"/>
      <c r="U15" s="119"/>
      <c r="V15" s="119"/>
      <c r="W15" s="119"/>
      <c r="X15" s="25"/>
      <c r="Y15" s="24"/>
      <c r="Z15" s="24"/>
      <c r="AB15" s="24"/>
    </row>
    <row r="16" spans="1:28" x14ac:dyDescent="0.2">
      <c r="D16" s="24"/>
    </row>
    <row r="18" spans="2:12" x14ac:dyDescent="0.2">
      <c r="C18" s="259" t="s">
        <v>138</v>
      </c>
      <c r="D18" s="259"/>
      <c r="E18" s="259"/>
      <c r="F18" s="259"/>
      <c r="G18" s="259"/>
      <c r="H18" s="259"/>
      <c r="I18" s="259"/>
      <c r="J18" s="259"/>
      <c r="K18" s="259"/>
      <c r="L18" s="259"/>
    </row>
    <row r="19" spans="2:12" x14ac:dyDescent="0.2">
      <c r="B19" s="16" t="s">
        <v>139</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140</v>
      </c>
      <c r="C20" s="120">
        <f>C13/C7*365</f>
        <v>25.552688039299991</v>
      </c>
      <c r="D20" s="120">
        <f>D13/D7*365</f>
        <v>30.081539661817608</v>
      </c>
      <c r="E20" s="120">
        <f>E13/E7*365</f>
        <v>33.181702723627097</v>
      </c>
      <c r="F20" s="120">
        <f>F13/F7*365</f>
        <v>31.725573273517579</v>
      </c>
      <c r="G20" s="121">
        <f>G13/G7*365</f>
        <v>34.482155709670764</v>
      </c>
      <c r="H20" s="102">
        <v>38</v>
      </c>
      <c r="I20" s="102">
        <v>38</v>
      </c>
      <c r="J20" s="102">
        <v>38</v>
      </c>
      <c r="K20" s="102">
        <v>38</v>
      </c>
      <c r="L20" s="102">
        <v>38</v>
      </c>
    </row>
    <row r="21" spans="2:12" x14ac:dyDescent="0.2">
      <c r="B21" s="1" t="s">
        <v>141</v>
      </c>
      <c r="C21" s="120">
        <f>C14/C8*365</f>
        <v>34.288181203321294</v>
      </c>
      <c r="D21" s="120">
        <f t="shared" ref="D21:G21" si="4">D14/D8*365</f>
        <v>33.655361402192263</v>
      </c>
      <c r="E21" s="120">
        <f t="shared" si="4"/>
        <v>30.759640629505409</v>
      </c>
      <c r="F21" s="120">
        <f t="shared" si="4"/>
        <v>29.398106842626877</v>
      </c>
      <c r="G21" s="121">
        <f t="shared" si="4"/>
        <v>30.051526569965283</v>
      </c>
      <c r="H21" s="102">
        <v>27</v>
      </c>
      <c r="I21" s="102">
        <v>27</v>
      </c>
      <c r="J21" s="102">
        <v>27</v>
      </c>
      <c r="K21" s="102">
        <v>27</v>
      </c>
      <c r="L21" s="102">
        <v>27</v>
      </c>
    </row>
    <row r="22" spans="2:12" x14ac:dyDescent="0.2">
      <c r="B22" s="1" t="s">
        <v>142</v>
      </c>
      <c r="C22" s="120">
        <f>C15/C8*365</f>
        <v>82.636197493200555</v>
      </c>
      <c r="D22" s="120">
        <f>D15/D8*365</f>
        <v>77.865623241229599</v>
      </c>
      <c r="E22" s="120">
        <f>E15/E8*365</f>
        <v>78.455640204574081</v>
      </c>
      <c r="F22" s="120">
        <f>F15/F8*365</f>
        <v>81.080655754685225</v>
      </c>
      <c r="G22" s="121">
        <f>G15/G8*365</f>
        <v>95.59169087065618</v>
      </c>
      <c r="H22" s="102">
        <v>100</v>
      </c>
      <c r="I22" s="102">
        <v>100</v>
      </c>
      <c r="J22" s="102">
        <v>100</v>
      </c>
      <c r="K22" s="102">
        <v>100</v>
      </c>
      <c r="L22" s="102">
        <v>100</v>
      </c>
    </row>
    <row r="23" spans="2:12" x14ac:dyDescent="0.2">
      <c r="B23" s="1" t="s">
        <v>143</v>
      </c>
      <c r="C23" s="120">
        <f>C20+C21-C22</f>
        <v>-22.795328250579274</v>
      </c>
      <c r="D23" s="120">
        <f t="shared" ref="D23:L23" si="5">D20+D21-D22</f>
        <v>-14.128722177219728</v>
      </c>
      <c r="E23" s="120">
        <f t="shared" si="5"/>
        <v>-14.514296851441571</v>
      </c>
      <c r="F23" s="120">
        <f t="shared" si="5"/>
        <v>-19.956975638540769</v>
      </c>
      <c r="G23" s="121">
        <f t="shared" si="5"/>
        <v>-31.058008591020126</v>
      </c>
      <c r="H23" s="120">
        <f t="shared" si="5"/>
        <v>-35</v>
      </c>
      <c r="I23" s="120">
        <f t="shared" si="5"/>
        <v>-35</v>
      </c>
      <c r="J23" s="120">
        <f t="shared" si="5"/>
        <v>-35</v>
      </c>
      <c r="K23" s="120">
        <f t="shared" si="5"/>
        <v>-35</v>
      </c>
      <c r="L23" s="120">
        <f t="shared" si="5"/>
        <v>-35</v>
      </c>
    </row>
    <row r="25" spans="2:12" x14ac:dyDescent="0.2">
      <c r="B25" s="264"/>
      <c r="C25" s="264"/>
    </row>
    <row r="26" spans="2:12" x14ac:dyDescent="0.2">
      <c r="B26" s="111"/>
      <c r="C26" s="259" t="s">
        <v>144</v>
      </c>
      <c r="D26" s="259"/>
      <c r="E26" s="259"/>
      <c r="F26" s="259"/>
      <c r="G26" s="259"/>
      <c r="H26" s="259"/>
      <c r="I26" s="259"/>
      <c r="J26" s="259"/>
      <c r="K26" s="259"/>
      <c r="L26" s="259"/>
    </row>
    <row r="27" spans="2:12" x14ac:dyDescent="0.2">
      <c r="B27" s="16" t="s">
        <v>134</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145</v>
      </c>
      <c r="C28" s="116">
        <f>Statement!M56</f>
        <v>-9145</v>
      </c>
      <c r="D28" s="116">
        <f>Statement!N56</f>
        <v>-8622</v>
      </c>
      <c r="E28" s="116">
        <f>Statement!O56</f>
        <v>-8348</v>
      </c>
      <c r="F28" s="116">
        <f>Statement!P56</f>
        <v>-3249</v>
      </c>
      <c r="G28" s="117">
        <f>Statement!Q56</f>
        <v>-7333</v>
      </c>
      <c r="H28" s="128">
        <f>-(H13-G13)</f>
        <v>-18323.201424657556</v>
      </c>
      <c r="I28" s="128">
        <f t="shared" ref="I28:L29" si="7">-(I13-H13)</f>
        <v>-12968.534582794498</v>
      </c>
      <c r="J28" s="128">
        <f t="shared" si="7"/>
        <v>-13073.013747561112</v>
      </c>
      <c r="K28" s="128">
        <f t="shared" si="7"/>
        <v>-13061.183559477431</v>
      </c>
      <c r="L28" s="128">
        <f t="shared" si="7"/>
        <v>-13025.122366989031</v>
      </c>
    </row>
    <row r="29" spans="2:12" x14ac:dyDescent="0.2">
      <c r="B29" s="1" t="s">
        <v>146</v>
      </c>
      <c r="C29" s="116">
        <f>Statement!M57</f>
        <v>-9487</v>
      </c>
      <c r="D29" s="116">
        <f>Statement!N57</f>
        <v>-2592</v>
      </c>
      <c r="E29" s="116">
        <f>Statement!O57</f>
        <v>1449</v>
      </c>
      <c r="F29" s="116">
        <f>Statement!P57</f>
        <v>-1884</v>
      </c>
      <c r="G29" s="117">
        <f>Statement!Q57</f>
        <v>-3002</v>
      </c>
      <c r="H29" s="128">
        <f>-(H14-G14)</f>
        <v>-870.63508191781148</v>
      </c>
      <c r="I29" s="128">
        <f t="shared" si="7"/>
        <v>-1827.9433220252031</v>
      </c>
      <c r="J29" s="128">
        <f t="shared" si="7"/>
        <v>-4558.8999366099961</v>
      </c>
      <c r="K29" s="128">
        <f t="shared" si="7"/>
        <v>-5596.9798501224286</v>
      </c>
      <c r="L29" s="128">
        <f t="shared" si="7"/>
        <v>-2539.9379359942686</v>
      </c>
    </row>
    <row r="30" spans="2:12" x14ac:dyDescent="0.2">
      <c r="B30" s="1" t="s">
        <v>147</v>
      </c>
      <c r="C30" s="116">
        <f>Statement!M58</f>
        <v>3602</v>
      </c>
      <c r="D30" s="116">
        <f>Statement!N58</f>
        <v>2945</v>
      </c>
      <c r="E30" s="116">
        <f>Statement!O58</f>
        <v>5473</v>
      </c>
      <c r="F30" s="116">
        <f>Statement!P58</f>
        <v>2972</v>
      </c>
      <c r="G30" s="117">
        <f>Statement!Q58</f>
        <v>11231</v>
      </c>
      <c r="H30" s="64">
        <f>H15-G15</f>
        <v>23260.018821917824</v>
      </c>
      <c r="I30" s="64">
        <f t="shared" ref="I30:L30" si="8">I15-H15</f>
        <v>6770.1604519451794</v>
      </c>
      <c r="J30" s="64">
        <f t="shared" si="8"/>
        <v>16884.814580037026</v>
      </c>
      <c r="K30" s="64">
        <f t="shared" si="8"/>
        <v>20729.55500045346</v>
      </c>
      <c r="L30" s="64">
        <f t="shared" si="8"/>
        <v>9407.1775407195091</v>
      </c>
    </row>
    <row r="31" spans="2:12" x14ac:dyDescent="0.2">
      <c r="B31" s="111"/>
      <c r="C31" s="111"/>
    </row>
    <row r="32" spans="2:12" x14ac:dyDescent="0.2">
      <c r="B32" s="111"/>
      <c r="C32" s="111"/>
    </row>
    <row r="33" spans="2:12" x14ac:dyDescent="0.2">
      <c r="B33" s="111"/>
      <c r="C33" s="259" t="s">
        <v>148</v>
      </c>
      <c r="D33" s="259"/>
      <c r="E33" s="259"/>
      <c r="F33" s="259"/>
      <c r="G33" s="259"/>
      <c r="H33" s="259"/>
      <c r="I33" s="259"/>
      <c r="J33" s="259"/>
      <c r="K33" s="259"/>
      <c r="L33" s="259"/>
    </row>
    <row r="34" spans="2:12" x14ac:dyDescent="0.2">
      <c r="B34" s="16" t="s">
        <v>134</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149</v>
      </c>
      <c r="C35" s="116">
        <f>Statement!M56+Statement!M57+Statement!M58+Statement!M59</f>
        <v>-19611</v>
      </c>
      <c r="D35" s="116">
        <f>Statement!N56+Statement!N57+Statement!N58+Statement!N59</f>
        <v>-20886</v>
      </c>
      <c r="E35" s="116">
        <f>Statement!O56+Statement!O57+Statement!O58+Statement!O59</f>
        <v>-11541</v>
      </c>
      <c r="F35" s="116">
        <f>Statement!P56+Statement!P57+Statement!P58+Statement!P59</f>
        <v>-15541</v>
      </c>
      <c r="G35" s="117">
        <f>Statement!Q56+Statement!Q57+Statement!Q58+Statement!Q59</f>
        <v>-19969</v>
      </c>
      <c r="H35" s="128">
        <f>H36+H28+H29+H30</f>
        <v>-8332.1282846575486</v>
      </c>
      <c r="I35" s="128">
        <f t="shared" ref="I35:L35" si="10">I36+I28+I29+I30</f>
        <v>-27048.72200167452</v>
      </c>
      <c r="J35" s="128">
        <f t="shared" si="10"/>
        <v>-16897.448575415583</v>
      </c>
      <c r="K35" s="128">
        <f t="shared" si="10"/>
        <v>-21971.529809035383</v>
      </c>
      <c r="L35" s="128">
        <f t="shared" si="10"/>
        <v>-26066.719732161189</v>
      </c>
    </row>
    <row r="36" spans="2:12" x14ac:dyDescent="0.2">
      <c r="B36" s="1" t="s">
        <v>150</v>
      </c>
      <c r="C36" s="122">
        <f>C35-C28-C29-C30</f>
        <v>-4581</v>
      </c>
      <c r="D36" s="122">
        <f t="shared" ref="D36:G36" si="11">D35-D28-D29-D30</f>
        <v>-12617</v>
      </c>
      <c r="E36" s="122">
        <f t="shared" si="11"/>
        <v>-10115</v>
      </c>
      <c r="F36" s="122">
        <f t="shared" si="11"/>
        <v>-13380</v>
      </c>
      <c r="G36" s="123">
        <f t="shared" si="11"/>
        <v>-20865</v>
      </c>
      <c r="H36" s="64">
        <f>H7*H37</f>
        <v>-12398.310600000003</v>
      </c>
      <c r="I36" s="64">
        <f>I7*I37</f>
        <v>-19022.404548799997</v>
      </c>
      <c r="J36" s="64">
        <f>J7*J37</f>
        <v>-16150.349471281503</v>
      </c>
      <c r="K36" s="64">
        <f>K7*K37</f>
        <v>-24042.921399888983</v>
      </c>
      <c r="L36" s="64">
        <f>L7*L37</f>
        <v>-19908.836969897395</v>
      </c>
    </row>
    <row r="37" spans="2:12" x14ac:dyDescent="0.2">
      <c r="B37" s="124" t="s">
        <v>130</v>
      </c>
      <c r="C37" s="125">
        <f>C36/C7</f>
        <v>-9.7505012536662824E-3</v>
      </c>
      <c r="D37" s="125">
        <f>D36/D7</f>
        <v>-2.4547504489448094E-2</v>
      </c>
      <c r="E37" s="125">
        <f>E36/E7</f>
        <v>-1.7597884426350723E-2</v>
      </c>
      <c r="F37" s="125">
        <f>F36/F7</f>
        <v>-2.0973134637178877E-2</v>
      </c>
      <c r="G37" s="126">
        <f>G36/G7</f>
        <v>-2.9103503300210342E-2</v>
      </c>
      <c r="H37" s="97">
        <v>-1.4999999999999999E-2</v>
      </c>
      <c r="I37" s="97">
        <v>-0.02</v>
      </c>
      <c r="J37" s="97">
        <v>-1.4999999999999999E-2</v>
      </c>
      <c r="K37" s="97">
        <v>-0.02</v>
      </c>
      <c r="L37" s="97">
        <v>-1.4999999999999999E-2</v>
      </c>
    </row>
    <row r="38" spans="2:12" x14ac:dyDescent="0.2">
      <c r="C38" s="64"/>
    </row>
    <row r="39" spans="2:12" x14ac:dyDescent="0.2">
      <c r="C39" s="127"/>
    </row>
    <row r="40" spans="2:12" x14ac:dyDescent="0.2">
      <c r="C40" s="259" t="s">
        <v>151</v>
      </c>
      <c r="D40" s="259"/>
      <c r="E40" s="259"/>
      <c r="F40" s="259"/>
      <c r="G40" s="259"/>
      <c r="H40" s="259"/>
      <c r="I40" s="259"/>
      <c r="J40" s="259"/>
      <c r="K40" s="259"/>
      <c r="L40" s="259"/>
    </row>
    <row r="41" spans="2:12" x14ac:dyDescent="0.2">
      <c r="B41" s="16" t="s">
        <v>134</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57</v>
      </c>
      <c r="C42" s="116">
        <f>Statement!M54</f>
        <v>34433</v>
      </c>
      <c r="D42" s="116">
        <f>Statement!N54</f>
        <v>41921</v>
      </c>
      <c r="E42" s="116">
        <f>Statement!O54</f>
        <v>48663</v>
      </c>
      <c r="F42" s="116">
        <f>Statement!P54</f>
        <v>52795</v>
      </c>
      <c r="G42" s="117">
        <f>Statement!Q54</f>
        <v>65756</v>
      </c>
      <c r="H42" s="25">
        <f>H7*H43</f>
        <v>90920.944400000022</v>
      </c>
      <c r="I42" s="25">
        <f>I7*I43</f>
        <v>123645.6295672</v>
      </c>
      <c r="J42" s="25">
        <f>J7*J43</f>
        <v>139969.69541777304</v>
      </c>
      <c r="K42" s="25">
        <f>K7*K43</f>
        <v>144257.52839933388</v>
      </c>
      <c r="L42" s="25">
        <f>L7*L43</f>
        <v>132725.57979931598</v>
      </c>
    </row>
    <row r="43" spans="2:12" x14ac:dyDescent="0.2">
      <c r="B43" s="124" t="s">
        <v>152</v>
      </c>
      <c r="C43" s="125">
        <f>C42/C7</f>
        <v>7.3289458560901785E-2</v>
      </c>
      <c r="D43" s="125">
        <f>D42/D7</f>
        <v>8.1561063303650122E-2</v>
      </c>
      <c r="E43" s="125">
        <f>E42/E7</f>
        <v>8.4662960933218512E-2</v>
      </c>
      <c r="F43" s="125">
        <f>F42/F7</f>
        <v>8.2756101881155369E-2</v>
      </c>
      <c r="G43" s="126">
        <f>G42/G7</f>
        <v>9.1719624395333391E-2</v>
      </c>
      <c r="H43" s="97">
        <v>0.11</v>
      </c>
      <c r="I43" s="97">
        <v>0.13</v>
      </c>
      <c r="J43" s="97">
        <v>0.13</v>
      </c>
      <c r="K43" s="97">
        <v>0.12</v>
      </c>
      <c r="L43" s="97">
        <v>0.1</v>
      </c>
    </row>
    <row r="44" spans="2:12" x14ac:dyDescent="0.2">
      <c r="B44" s="124" t="s">
        <v>153</v>
      </c>
      <c r="C44" s="125">
        <f>C42/C45</f>
        <v>0.56398538974333778</v>
      </c>
      <c r="D44" s="125">
        <f t="shared" ref="D44:L44" si="13">D42/D45</f>
        <v>0.65866918061120272</v>
      </c>
      <c r="E44" s="125">
        <f t="shared" si="13"/>
        <v>0.92288873295529972</v>
      </c>
      <c r="F44" s="125">
        <f t="shared" si="13"/>
        <v>0.6360920011084471</v>
      </c>
      <c r="G44" s="126">
        <f t="shared" si="13"/>
        <v>0.49883552446915846</v>
      </c>
      <c r="H44" s="125">
        <f t="shared" si="13"/>
        <v>0.40740740740740738</v>
      </c>
      <c r="I44" s="125">
        <f t="shared" si="13"/>
        <v>0.56521739130434789</v>
      </c>
      <c r="J44" s="125">
        <f t="shared" si="13"/>
        <v>0.65</v>
      </c>
      <c r="K44" s="125">
        <f t="shared" si="13"/>
        <v>0.70588235294117641</v>
      </c>
      <c r="L44" s="125">
        <f t="shared" si="13"/>
        <v>0.7142857142857143</v>
      </c>
    </row>
    <row r="45" spans="2:12" x14ac:dyDescent="0.2">
      <c r="B45" s="1" t="s">
        <v>60</v>
      </c>
      <c r="C45" s="116">
        <f>-Statement!M111</f>
        <v>61053</v>
      </c>
      <c r="D45" s="116">
        <f>-Statement!N111</f>
        <v>63645</v>
      </c>
      <c r="E45" s="116">
        <f>-Statement!O111</f>
        <v>52729</v>
      </c>
      <c r="F45" s="116">
        <f>-Statement!P111</f>
        <v>82999</v>
      </c>
      <c r="G45" s="117">
        <f>-Statement!Q111</f>
        <v>131819</v>
      </c>
      <c r="H45" s="25">
        <f>H7*H46</f>
        <v>223169.59080000006</v>
      </c>
      <c r="I45" s="25">
        <f>I7*I46</f>
        <v>218757.65231119998</v>
      </c>
      <c r="J45" s="25">
        <f>J7*J46</f>
        <v>215337.99295042004</v>
      </c>
      <c r="K45" s="25">
        <f>K7*K46</f>
        <v>204364.83189905636</v>
      </c>
      <c r="L45" s="25">
        <f>L7*L46</f>
        <v>185815.81171904237</v>
      </c>
    </row>
    <row r="46" spans="2:12" x14ac:dyDescent="0.2">
      <c r="B46" s="124" t="s">
        <v>152</v>
      </c>
      <c r="C46" s="125">
        <f>C45/C7</f>
        <v>0.12994921480901278</v>
      </c>
      <c r="D46" s="125">
        <f>D45/D7</f>
        <v>0.12382705264571008</v>
      </c>
      <c r="E46" s="125">
        <f>E45/E7</f>
        <v>9.1736910322990334E-2</v>
      </c>
      <c r="F46" s="125">
        <f>F45/F7</f>
        <v>0.13010083720113674</v>
      </c>
      <c r="G46" s="126">
        <f>G45/G7</f>
        <v>0.18386746712343288</v>
      </c>
      <c r="H46" s="97">
        <v>0.27</v>
      </c>
      <c r="I46" s="97">
        <v>0.23</v>
      </c>
      <c r="J46" s="97">
        <v>0.2</v>
      </c>
      <c r="K46" s="97">
        <v>0.17</v>
      </c>
      <c r="L46" s="97">
        <v>0.14000000000000001</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D19" zoomScale="183" workbookViewId="0">
      <selection activeCell="L28" sqref="L28"/>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154</v>
      </c>
    </row>
    <row r="2" spans="1:31" x14ac:dyDescent="0.2">
      <c r="A2" s="4"/>
      <c r="C2" s="251" t="s">
        <v>114</v>
      </c>
      <c r="D2" s="251"/>
      <c r="E2" s="251"/>
      <c r="F2" s="251"/>
      <c r="G2" s="262"/>
      <c r="H2" s="263" t="s">
        <v>115</v>
      </c>
      <c r="I2" s="251"/>
      <c r="J2" s="251"/>
      <c r="K2" s="251"/>
      <c r="L2" s="251"/>
      <c r="S2" s="264"/>
      <c r="T2" s="264"/>
      <c r="U2" s="264"/>
      <c r="V2" s="264"/>
      <c r="W2" s="264"/>
      <c r="X2" s="264"/>
      <c r="Y2" s="264"/>
      <c r="Z2" s="264"/>
      <c r="AA2" s="264"/>
      <c r="AB2" s="264"/>
      <c r="AC2" s="264"/>
      <c r="AE2" s="111"/>
    </row>
    <row r="3" spans="1:31" ht="10" customHeight="1" x14ac:dyDescent="0.2"/>
    <row r="4" spans="1:31" ht="16" customHeight="1" x14ac:dyDescent="0.2">
      <c r="A4" s="86"/>
      <c r="B4" s="60"/>
      <c r="C4" s="259" t="s">
        <v>18</v>
      </c>
      <c r="D4" s="259"/>
      <c r="E4" s="259"/>
      <c r="F4" s="259"/>
      <c r="G4" s="259"/>
      <c r="H4" s="259"/>
      <c r="I4" s="259"/>
      <c r="J4" s="259"/>
      <c r="K4" s="259"/>
      <c r="L4" s="259"/>
      <c r="S4" s="264"/>
      <c r="T4" s="264"/>
      <c r="U4" s="264"/>
      <c r="V4" s="264"/>
      <c r="W4" s="264"/>
      <c r="X4" s="264"/>
      <c r="Y4" s="264"/>
      <c r="Z4" s="264"/>
      <c r="AA4" s="264"/>
      <c r="AB4" s="264"/>
      <c r="AC4" s="264"/>
      <c r="AE4" s="112"/>
    </row>
    <row r="5" spans="1:31" x14ac:dyDescent="0.2">
      <c r="B5" s="16" t="s">
        <v>134</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3"/>
      <c r="T5" s="113"/>
      <c r="U5" s="113"/>
      <c r="V5" s="113"/>
      <c r="W5" s="113"/>
      <c r="X5" s="113"/>
      <c r="Y5" s="113"/>
      <c r="Z5" s="113"/>
      <c r="AA5" s="113"/>
      <c r="AB5" s="113"/>
      <c r="AC5" s="113"/>
      <c r="AE5" s="112"/>
    </row>
    <row r="6" spans="1:31" x14ac:dyDescent="0.2">
      <c r="B6" s="16" t="s">
        <v>19</v>
      </c>
      <c r="C6" s="92">
        <f>Revenue!C14</f>
        <v>469822</v>
      </c>
      <c r="D6" s="92">
        <f>Revenue!D14</f>
        <v>513983</v>
      </c>
      <c r="E6" s="92">
        <f>Revenue!E14</f>
        <v>574785</v>
      </c>
      <c r="F6" s="92">
        <f>Revenue!F14</f>
        <v>637959</v>
      </c>
      <c r="G6" s="93">
        <f>Revenue!G14</f>
        <v>716924</v>
      </c>
      <c r="H6" s="92">
        <f>Revenue!H14</f>
        <v>826554.04000000015</v>
      </c>
      <c r="I6" s="92">
        <f>Revenue!I14</f>
        <v>951120.22743999993</v>
      </c>
      <c r="J6" s="92">
        <f>Revenue!J14</f>
        <v>1076689.9647521002</v>
      </c>
      <c r="K6" s="92">
        <f>Revenue!K14</f>
        <v>1202146.0699944491</v>
      </c>
      <c r="L6" s="92">
        <f>Revenue!L14</f>
        <v>1327255.7979931596</v>
      </c>
      <c r="N6" s="90" t="s">
        <v>155</v>
      </c>
      <c r="Q6" s="90"/>
      <c r="S6" s="88"/>
      <c r="T6" s="88"/>
      <c r="U6" s="88"/>
      <c r="V6" s="88"/>
      <c r="W6" s="88"/>
      <c r="X6" s="88"/>
      <c r="Y6" s="88"/>
      <c r="Z6" s="88"/>
      <c r="AA6" s="64"/>
      <c r="AB6" s="64"/>
      <c r="AC6" s="64"/>
      <c r="AE6" s="64"/>
    </row>
    <row r="7" spans="1:31" x14ac:dyDescent="0.2">
      <c r="B7" s="1" t="s">
        <v>20</v>
      </c>
      <c r="C7" s="88">
        <f>'COGS &amp; OpEx'!C16</f>
        <v>347455</v>
      </c>
      <c r="D7" s="88">
        <f>'COGS &amp; OpEx'!D16</f>
        <v>373130</v>
      </c>
      <c r="E7" s="88">
        <f>'COGS &amp; OpEx'!E16</f>
        <v>395358</v>
      </c>
      <c r="F7" s="88">
        <f>'COGS &amp; OpEx'!F16</f>
        <v>424793</v>
      </c>
      <c r="G7" s="89">
        <f>'COGS &amp; OpEx'!G16</f>
        <v>465488</v>
      </c>
      <c r="H7" s="114">
        <f>'COGS &amp; OpEx'!H16</f>
        <v>529866.91870000004</v>
      </c>
      <c r="I7" s="114">
        <f>'COGS &amp; OpEx'!I16</f>
        <v>554578.00434959994</v>
      </c>
      <c r="J7" s="114">
        <f>'COGS &amp; OpEx'!J16</f>
        <v>616207.5775667351</v>
      </c>
      <c r="K7" s="114">
        <f>'COGS &amp; OpEx'!K16</f>
        <v>691870.45331839018</v>
      </c>
      <c r="L7" s="114">
        <f>'COGS &amp; OpEx'!L16</f>
        <v>726206.65134201641</v>
      </c>
      <c r="N7" s="90" t="s">
        <v>156</v>
      </c>
      <c r="Q7" s="90"/>
      <c r="S7" s="88"/>
      <c r="T7" s="88"/>
      <c r="U7" s="88"/>
      <c r="V7" s="88"/>
      <c r="W7" s="88"/>
      <c r="X7" s="88"/>
      <c r="Y7" s="88"/>
      <c r="Z7" s="88"/>
      <c r="AA7" s="64"/>
      <c r="AB7" s="64"/>
      <c r="AC7" s="64"/>
      <c r="AE7" s="64"/>
    </row>
    <row r="8" spans="1:31" x14ac:dyDescent="0.2">
      <c r="B8" s="16" t="s">
        <v>157</v>
      </c>
      <c r="C8" s="94">
        <f>C6-C7</f>
        <v>122367</v>
      </c>
      <c r="D8" s="94">
        <f t="shared" ref="D8:L8" si="1">D6-D7</f>
        <v>140853</v>
      </c>
      <c r="E8" s="94">
        <f t="shared" si="1"/>
        <v>179427</v>
      </c>
      <c r="F8" s="94">
        <f t="shared" si="1"/>
        <v>213166</v>
      </c>
      <c r="G8" s="129">
        <f t="shared" si="1"/>
        <v>251436</v>
      </c>
      <c r="H8" s="94">
        <f t="shared" si="1"/>
        <v>296687.12130000012</v>
      </c>
      <c r="I8" s="94">
        <f t="shared" si="1"/>
        <v>396542.22309039999</v>
      </c>
      <c r="J8" s="94">
        <f t="shared" si="1"/>
        <v>460482.38718536508</v>
      </c>
      <c r="K8" s="94">
        <f t="shared" si="1"/>
        <v>510275.61667605897</v>
      </c>
      <c r="L8" s="94">
        <f t="shared" si="1"/>
        <v>601049.14665114321</v>
      </c>
      <c r="N8" s="90"/>
      <c r="Q8" s="90"/>
      <c r="S8" s="88"/>
      <c r="T8" s="88"/>
      <c r="U8" s="88"/>
      <c r="V8" s="88"/>
      <c r="W8" s="88"/>
      <c r="X8" s="88"/>
      <c r="Y8" s="88"/>
      <c r="Z8" s="88"/>
      <c r="AA8" s="64"/>
      <c r="AB8" s="64"/>
      <c r="AC8" s="64"/>
      <c r="AE8" s="64"/>
    </row>
    <row r="9" spans="1:31" x14ac:dyDescent="0.2">
      <c r="B9" s="1" t="s">
        <v>25</v>
      </c>
      <c r="C9" s="88">
        <f>'COGS &amp; OpEx'!C20</f>
        <v>97488</v>
      </c>
      <c r="D9" s="88">
        <f>'COGS &amp; OpEx'!D20</f>
        <v>128605</v>
      </c>
      <c r="E9" s="88">
        <f>'COGS &amp; OpEx'!E20</f>
        <v>142575</v>
      </c>
      <c r="F9" s="88">
        <f>'COGS &amp; OpEx'!F20</f>
        <v>144573</v>
      </c>
      <c r="G9" s="89">
        <f>'COGS &amp; OpEx'!G20</f>
        <v>171461</v>
      </c>
      <c r="H9" s="114">
        <f>'COGS &amp; OpEx'!H20</f>
        <v>231435.13120000003</v>
      </c>
      <c r="I9" s="114">
        <f>'COGS &amp; OpEx'!I20</f>
        <v>223513.25344840001</v>
      </c>
      <c r="J9" s="114">
        <f>'COGS &amp; OpEx'!J20</f>
        <v>258405.59154050404</v>
      </c>
      <c r="K9" s="114">
        <f>'COGS &amp; OpEx'!K20</f>
        <v>288515.05679866782</v>
      </c>
      <c r="L9" s="114">
        <f>'COGS &amp; OpEx'!L20</f>
        <v>311905.11252839246</v>
      </c>
      <c r="N9" s="130" t="s">
        <v>156</v>
      </c>
      <c r="Q9" s="90"/>
      <c r="S9" s="88"/>
      <c r="T9" s="88"/>
      <c r="U9" s="88"/>
      <c r="V9" s="88"/>
      <c r="W9" s="88"/>
      <c r="X9" s="88"/>
      <c r="Y9" s="88"/>
      <c r="Z9" s="88"/>
      <c r="AA9" s="64"/>
      <c r="AB9" s="64"/>
      <c r="AC9" s="64"/>
      <c r="AE9" s="64"/>
    </row>
    <row r="10" spans="1:31" x14ac:dyDescent="0.2">
      <c r="B10" s="16" t="s">
        <v>158</v>
      </c>
      <c r="C10" s="94">
        <f t="shared" ref="C10:L10" si="2">C8-C9</f>
        <v>24879</v>
      </c>
      <c r="D10" s="94">
        <f t="shared" si="2"/>
        <v>12248</v>
      </c>
      <c r="E10" s="94">
        <f t="shared" si="2"/>
        <v>36852</v>
      </c>
      <c r="F10" s="94">
        <f t="shared" si="2"/>
        <v>68593</v>
      </c>
      <c r="G10" s="129">
        <f t="shared" si="2"/>
        <v>79975</v>
      </c>
      <c r="H10" s="94">
        <f t="shared" si="2"/>
        <v>65251.990100000083</v>
      </c>
      <c r="I10" s="94">
        <f t="shared" si="2"/>
        <v>173028.96964199998</v>
      </c>
      <c r="J10" s="94">
        <f t="shared" si="2"/>
        <v>202076.79564486103</v>
      </c>
      <c r="K10" s="94">
        <f t="shared" si="2"/>
        <v>221760.55987739115</v>
      </c>
      <c r="L10" s="94">
        <f t="shared" si="2"/>
        <v>289144.03412275075</v>
      </c>
      <c r="N10" s="90"/>
      <c r="Q10" s="90"/>
      <c r="S10" s="88"/>
      <c r="T10" s="88"/>
      <c r="U10" s="88"/>
      <c r="V10" s="88"/>
      <c r="W10" s="88"/>
      <c r="X10" s="88"/>
      <c r="Y10" s="88"/>
      <c r="Z10" s="88"/>
      <c r="AA10" s="64"/>
      <c r="AB10" s="64"/>
      <c r="AC10" s="64"/>
      <c r="AE10" s="64"/>
    </row>
    <row r="13" spans="1:31" x14ac:dyDescent="0.2">
      <c r="C13" s="259" t="s">
        <v>159</v>
      </c>
      <c r="D13" s="259"/>
      <c r="E13" s="259"/>
      <c r="F13" s="259"/>
      <c r="G13" s="259"/>
      <c r="H13" s="259"/>
      <c r="I13" s="259"/>
      <c r="J13" s="259"/>
      <c r="K13" s="259"/>
      <c r="L13" s="259"/>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73</v>
      </c>
      <c r="C15" s="131">
        <f>Statement!M84</f>
        <v>0.17994366197183098</v>
      </c>
      <c r="D15" s="131">
        <f>Statement!N84</f>
        <v>0</v>
      </c>
      <c r="E15" s="131">
        <f>Statement!O84</f>
        <v>0.18957850733551668</v>
      </c>
      <c r="F15" s="131">
        <f>Statement!P84</f>
        <v>0.13503075174162707</v>
      </c>
      <c r="G15" s="132">
        <f>Statement!Q84</f>
        <v>0.22638801579865023</v>
      </c>
      <c r="H15" s="131">
        <f>Overview!$C$26</f>
        <v>0.21</v>
      </c>
      <c r="I15" s="131">
        <f>Overview!$C$26</f>
        <v>0.21</v>
      </c>
      <c r="J15" s="131">
        <f>Overview!$C$26</f>
        <v>0.21</v>
      </c>
      <c r="K15" s="131">
        <f>Overview!$C$26</f>
        <v>0.21</v>
      </c>
      <c r="L15" s="131">
        <f>Overview!$C$26</f>
        <v>0.21</v>
      </c>
      <c r="N15" s="1" t="s">
        <v>164</v>
      </c>
    </row>
    <row r="18" spans="2:14" x14ac:dyDescent="0.2">
      <c r="C18" s="259" t="s">
        <v>160</v>
      </c>
      <c r="D18" s="259"/>
      <c r="E18" s="259"/>
      <c r="F18" s="259"/>
      <c r="G18" s="259"/>
      <c r="H18" s="259"/>
      <c r="I18" s="259"/>
      <c r="J18" s="259"/>
      <c r="K18" s="259"/>
      <c r="L18" s="259"/>
    </row>
    <row r="19" spans="2:14" x14ac:dyDescent="0.2">
      <c r="B19" s="16" t="s">
        <v>134</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57</v>
      </c>
      <c r="C20" s="88">
        <f>'WC &amp; Investments'!C42</f>
        <v>34433</v>
      </c>
      <c r="D20" s="88">
        <f>'WC &amp; Investments'!D42</f>
        <v>41921</v>
      </c>
      <c r="E20" s="88">
        <f>'WC &amp; Investments'!E42</f>
        <v>48663</v>
      </c>
      <c r="F20" s="88">
        <f>'WC &amp; Investments'!F42</f>
        <v>52795</v>
      </c>
      <c r="G20" s="89">
        <f>'WC &amp; Investments'!G42</f>
        <v>65756</v>
      </c>
      <c r="H20" s="88">
        <f>'WC &amp; Investments'!H42</f>
        <v>90920.944400000022</v>
      </c>
      <c r="I20" s="88">
        <f>'WC &amp; Investments'!I42</f>
        <v>123645.6295672</v>
      </c>
      <c r="J20" s="88">
        <f>'WC &amp; Investments'!J42</f>
        <v>139969.69541777304</v>
      </c>
      <c r="K20" s="88">
        <f>'WC &amp; Investments'!K42</f>
        <v>144257.52839933388</v>
      </c>
      <c r="L20" s="88">
        <f>'WC &amp; Investments'!L42</f>
        <v>132725.57979931598</v>
      </c>
      <c r="N20" s="1" t="s">
        <v>161</v>
      </c>
    </row>
    <row r="21" spans="2:14" x14ac:dyDescent="0.2">
      <c r="B21" s="1" t="s">
        <v>60</v>
      </c>
      <c r="C21" s="88">
        <f>'WC &amp; Investments'!C45</f>
        <v>61053</v>
      </c>
      <c r="D21" s="88">
        <f>'WC &amp; Investments'!D45</f>
        <v>63645</v>
      </c>
      <c r="E21" s="88">
        <f>'WC &amp; Investments'!E45</f>
        <v>52729</v>
      </c>
      <c r="F21" s="88">
        <f>'WC &amp; Investments'!F45</f>
        <v>82999</v>
      </c>
      <c r="G21" s="89">
        <f>'WC &amp; Investments'!G45</f>
        <v>131819</v>
      </c>
      <c r="H21" s="88">
        <f>'WC &amp; Investments'!H45</f>
        <v>223169.59080000006</v>
      </c>
      <c r="I21" s="88">
        <f>'WC &amp; Investments'!I45</f>
        <v>218757.65231119998</v>
      </c>
      <c r="J21" s="88">
        <f>'WC &amp; Investments'!J45</f>
        <v>215337.99295042004</v>
      </c>
      <c r="K21" s="88">
        <f>'WC &amp; Investments'!K45</f>
        <v>204364.83189905636</v>
      </c>
      <c r="L21" s="88">
        <f>'WC &amp; Investments'!L45</f>
        <v>185815.81171904237</v>
      </c>
      <c r="N21" s="1" t="s">
        <v>161</v>
      </c>
    </row>
    <row r="22" spans="2:14" x14ac:dyDescent="0.2">
      <c r="B22" s="1" t="s">
        <v>162</v>
      </c>
      <c r="C22" s="88">
        <f>'WC &amp; Investments'!C35</f>
        <v>-19611</v>
      </c>
      <c r="D22" s="88">
        <f>'WC &amp; Investments'!D35</f>
        <v>-20886</v>
      </c>
      <c r="E22" s="88">
        <f>'WC &amp; Investments'!E35</f>
        <v>-11541</v>
      </c>
      <c r="F22" s="88">
        <f>'WC &amp; Investments'!F35</f>
        <v>-15541</v>
      </c>
      <c r="G22" s="89">
        <f>'WC &amp; Investments'!G35</f>
        <v>-19969</v>
      </c>
      <c r="H22" s="88">
        <f>'WC &amp; Investments'!H35</f>
        <v>-8332.1282846575486</v>
      </c>
      <c r="I22" s="88">
        <f>'WC &amp; Investments'!I35</f>
        <v>-27048.72200167452</v>
      </c>
      <c r="J22" s="88">
        <f>'WC &amp; Investments'!J35</f>
        <v>-16897.448575415583</v>
      </c>
      <c r="K22" s="88">
        <f>'WC &amp; Investments'!K35</f>
        <v>-21971.529809035383</v>
      </c>
      <c r="L22" s="88">
        <f>'WC &amp; Investments'!L35</f>
        <v>-26066.719732161189</v>
      </c>
      <c r="N22" s="1" t="s">
        <v>161</v>
      </c>
    </row>
    <row r="25" spans="2:14" x14ac:dyDescent="0.2">
      <c r="C25" s="259" t="s">
        <v>263</v>
      </c>
      <c r="D25" s="259"/>
      <c r="E25" s="259"/>
      <c r="F25" s="259"/>
      <c r="G25" s="259"/>
      <c r="H25" s="259"/>
      <c r="I25" s="259"/>
      <c r="J25" s="259"/>
      <c r="K25" s="259"/>
      <c r="L25" s="259"/>
    </row>
    <row r="26" spans="2:14" x14ac:dyDescent="0.2">
      <c r="B26" s="16" t="s">
        <v>134</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163</v>
      </c>
      <c r="C27" s="128">
        <f>C10*(1-C15)</f>
        <v>20402.181633802818</v>
      </c>
      <c r="D27" s="128">
        <f t="shared" ref="D27:L27" si="6">D10*(1-D15)</f>
        <v>12248</v>
      </c>
      <c r="E27" s="128">
        <f t="shared" si="6"/>
        <v>29865.652847671536</v>
      </c>
      <c r="F27" s="128">
        <f t="shared" si="6"/>
        <v>59330.835645786574</v>
      </c>
      <c r="G27" s="133">
        <f t="shared" si="6"/>
        <v>61869.618436502948</v>
      </c>
      <c r="H27" s="128">
        <f t="shared" si="6"/>
        <v>51549.072179000068</v>
      </c>
      <c r="I27" s="128">
        <f t="shared" si="6"/>
        <v>136692.88601717999</v>
      </c>
      <c r="J27" s="128">
        <f t="shared" si="6"/>
        <v>159640.66855944024</v>
      </c>
      <c r="K27" s="128">
        <f t="shared" si="6"/>
        <v>175190.84230313901</v>
      </c>
      <c r="L27" s="128">
        <f t="shared" si="6"/>
        <v>228423.78695697311</v>
      </c>
    </row>
    <row r="28" spans="2:14" x14ac:dyDescent="0.2">
      <c r="B28" s="16" t="s">
        <v>263</v>
      </c>
      <c r="C28" s="94">
        <f>C27+C20-C21+C22</f>
        <v>-25828.818366197185</v>
      </c>
      <c r="D28" s="94">
        <f t="shared" ref="D28:L28" si="7">D27+D20-D21+D22</f>
        <v>-30362</v>
      </c>
      <c r="E28" s="94">
        <f t="shared" si="7"/>
        <v>14258.652847671532</v>
      </c>
      <c r="F28" s="94">
        <f t="shared" si="7"/>
        <v>13585.835645786574</v>
      </c>
      <c r="G28" s="129">
        <f t="shared" si="7"/>
        <v>-24162.381563497052</v>
      </c>
      <c r="H28" s="94">
        <f t="shared" si="7"/>
        <v>-89031.702505657508</v>
      </c>
      <c r="I28" s="94">
        <f t="shared" si="7"/>
        <v>14532.141271505483</v>
      </c>
      <c r="J28" s="94">
        <f t="shared" si="7"/>
        <v>67374.922451377643</v>
      </c>
      <c r="K28" s="94">
        <f t="shared" si="7"/>
        <v>93112.008994381118</v>
      </c>
      <c r="L28" s="94">
        <f t="shared" si="7"/>
        <v>149266.83530508552</v>
      </c>
    </row>
    <row r="31" spans="2:14" x14ac:dyDescent="0.2">
      <c r="C31" s="259" t="s">
        <v>77</v>
      </c>
      <c r="D31" s="259"/>
      <c r="E31" s="259"/>
      <c r="F31" s="259"/>
      <c r="G31" s="259"/>
      <c r="H31" s="259"/>
      <c r="I31" s="259"/>
      <c r="J31" s="259"/>
      <c r="K31" s="259"/>
      <c r="L31" s="259"/>
    </row>
    <row r="32" spans="2:14" x14ac:dyDescent="0.2">
      <c r="B32" s="16" t="s">
        <v>333</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78</v>
      </c>
      <c r="C33" s="131">
        <f>Statement!M102</f>
        <v>0.26045395915900066</v>
      </c>
      <c r="D33" s="131">
        <f>Statement!N102</f>
        <v>0.27404213758042584</v>
      </c>
      <c r="E33" s="131">
        <f>Statement!O102</f>
        <v>0.31216367859286515</v>
      </c>
      <c r="F33" s="131">
        <f>Statement!P102</f>
        <v>0.33413746024431035</v>
      </c>
      <c r="G33" s="132">
        <f>Statement!Q102</f>
        <v>0.35071499907940035</v>
      </c>
      <c r="H33" s="214">
        <f>H8/H6</f>
        <v>0.3589446145590191</v>
      </c>
      <c r="I33" s="214">
        <f t="shared" ref="I33:L33" si="9">I8/I6</f>
        <v>0.41692123839876521</v>
      </c>
      <c r="J33" s="214">
        <f t="shared" si="9"/>
        <v>0.42768336499856552</v>
      </c>
      <c r="K33" s="214">
        <f t="shared" si="9"/>
        <v>0.42447056095139513</v>
      </c>
      <c r="L33" s="214">
        <f t="shared" si="9"/>
        <v>0.45285102356301093</v>
      </c>
    </row>
    <row r="34" spans="2:12" x14ac:dyDescent="0.2">
      <c r="B34" s="1" t="s">
        <v>79</v>
      </c>
      <c r="C34" s="131">
        <f>Statement!M103</f>
        <v>5.2954097509269465E-2</v>
      </c>
      <c r="D34" s="131">
        <f>Statement!N103</f>
        <v>2.3829581912242232E-2</v>
      </c>
      <c r="E34" s="131">
        <f>Statement!O103</f>
        <v>6.4114407996033296E-2</v>
      </c>
      <c r="F34" s="131">
        <f>Statement!P103</f>
        <v>0.1075194487420038</v>
      </c>
      <c r="G34" s="132">
        <f>Statement!Q103</f>
        <v>0.11155296795755199</v>
      </c>
      <c r="H34" s="214">
        <f>H10/H6</f>
        <v>7.8944614559019119E-2</v>
      </c>
      <c r="I34" s="214">
        <f t="shared" ref="I34:L34" si="10">I10/I6</f>
        <v>0.18192123839876517</v>
      </c>
      <c r="J34" s="214">
        <f t="shared" si="10"/>
        <v>0.1876833649985655</v>
      </c>
      <c r="K34" s="214">
        <f t="shared" si="10"/>
        <v>0.18447056095139513</v>
      </c>
      <c r="L34" s="214">
        <f t="shared" si="10"/>
        <v>0.21785102356301098</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topLeftCell="B1" workbookViewId="0">
      <selection activeCell="H6" sqref="H6"/>
    </sheetView>
  </sheetViews>
  <sheetFormatPr baseColWidth="10" defaultRowHeight="16" x14ac:dyDescent="0.2"/>
  <cols>
    <col min="1" max="7" width="10.83203125" style="1"/>
    <col min="8" max="8" width="17.6640625" style="1" customWidth="1"/>
    <col min="9" max="16384" width="10.83203125" style="1"/>
  </cols>
  <sheetData>
    <row r="5" spans="2:8" x14ac:dyDescent="0.2">
      <c r="H5" s="134" t="s">
        <v>386</v>
      </c>
    </row>
    <row r="6" spans="2:8" x14ac:dyDescent="0.2">
      <c r="H6" s="236" t="s">
        <v>391</v>
      </c>
    </row>
    <row r="7" spans="2:8" x14ac:dyDescent="0.2">
      <c r="H7" s="236" t="s">
        <v>387</v>
      </c>
    </row>
    <row r="8" spans="2:8" x14ac:dyDescent="0.2">
      <c r="H8" s="236" t="s">
        <v>388</v>
      </c>
    </row>
    <row r="9" spans="2:8" x14ac:dyDescent="0.2">
      <c r="H9" s="236" t="s">
        <v>389</v>
      </c>
    </row>
    <row r="10" spans="2:8" x14ac:dyDescent="0.2">
      <c r="H10" s="237" t="s">
        <v>390</v>
      </c>
    </row>
    <row r="13" spans="2:8" s="4" customFormat="1" ht="49" x14ac:dyDescent="0.2">
      <c r="B13" s="3" t="s">
        <v>165</v>
      </c>
    </row>
  </sheetData>
  <hyperlinks>
    <hyperlink ref="H6" location="Overview!B3" display="Overview'!B3" xr:uid="{E9D325EF-2B97-8C40-B8E7-7BB9014A74A8}"/>
    <hyperlink ref="H8" location="'Analysis -&gt;'!B13" display="'Analysis -&gt;'!B13" xr:uid="{A7A03757-8751-5F43-AE38-CD5D7C93F606}"/>
    <hyperlink ref="H9" location="'Forecast -&gt;'!B13" display="'Forecast -&gt;'!B13" xr:uid="{983558CB-5894-4B42-A739-EDDC57596255}"/>
    <hyperlink ref="H10" location="'Valuation -&gt;'!B13" display="'Valuation -&gt;'!B13" xr:uid="{682C8372-6400-A944-9F4C-C4B13CF132CD}"/>
    <hyperlink ref="H7" location="'Financials -&gt;'!B13" display="'Financials -&gt;'!B13" xr:uid="{2C21B7D5-75A9-474B-AB0D-5863115B2EF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0"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166</v>
      </c>
    </row>
    <row r="2" spans="1:3" s="83" customFormat="1" ht="18" customHeight="1" x14ac:dyDescent="0.2">
      <c r="A2" s="4"/>
      <c r="B2" s="82"/>
    </row>
    <row r="3" spans="1:3" ht="17" customHeight="1" x14ac:dyDescent="0.2"/>
    <row r="4" spans="1:3" ht="17" customHeight="1" x14ac:dyDescent="0.2">
      <c r="B4" s="251" t="s">
        <v>167</v>
      </c>
      <c r="C4" s="251"/>
    </row>
    <row r="5" spans="1:3" ht="17" customHeight="1" x14ac:dyDescent="0.2">
      <c r="B5" s="1" t="s">
        <v>168</v>
      </c>
      <c r="C5" s="138">
        <f>Statement!AC79</f>
        <v>10920</v>
      </c>
    </row>
    <row r="6" spans="1:3" ht="17" customHeight="1" x14ac:dyDescent="0.2">
      <c r="B6" s="1" t="s">
        <v>1</v>
      </c>
      <c r="C6" s="135">
        <f ca="1">Overview!C5</f>
        <v>243.79</v>
      </c>
    </row>
    <row r="7" spans="1:3" ht="17" customHeight="1" x14ac:dyDescent="0.2">
      <c r="B7" s="1" t="s">
        <v>169</v>
      </c>
      <c r="C7" s="136">
        <f ca="1">C5*C6</f>
        <v>2662186.7999999998</v>
      </c>
    </row>
    <row r="8" spans="1:3" ht="17" customHeight="1" x14ac:dyDescent="0.2">
      <c r="B8" s="1" t="s">
        <v>170</v>
      </c>
      <c r="C8" s="114">
        <f>Statement!AC109</f>
        <v>173125</v>
      </c>
    </row>
    <row r="9" spans="1:3" ht="17" customHeight="1" x14ac:dyDescent="0.2">
      <c r="B9" s="1" t="s">
        <v>171</v>
      </c>
      <c r="C9" s="137">
        <f ca="1">Overview!F27</f>
        <v>5.0450000000000002E-2</v>
      </c>
    </row>
    <row r="10" spans="1:3" ht="17" customHeight="1" x14ac:dyDescent="0.2">
      <c r="B10" s="1" t="s">
        <v>9</v>
      </c>
      <c r="C10" s="135">
        <f ca="1">Overview!C13</f>
        <v>1.4919</v>
      </c>
    </row>
    <row r="11" spans="1:3" ht="17" customHeight="1" x14ac:dyDescent="0.2">
      <c r="B11" s="1" t="s">
        <v>172</v>
      </c>
      <c r="C11" s="137">
        <f>[1]Sheet1!$C$12</f>
        <v>4.4999999999999998E-2</v>
      </c>
    </row>
    <row r="12" spans="1:3" ht="17" customHeight="1" x14ac:dyDescent="0.2">
      <c r="B12" s="1" t="s">
        <v>73</v>
      </c>
      <c r="C12" s="137">
        <f>Overview!C26</f>
        <v>0.21</v>
      </c>
    </row>
    <row r="13" spans="1:3" ht="17" customHeight="1" x14ac:dyDescent="0.2">
      <c r="B13" s="1" t="s">
        <v>173</v>
      </c>
      <c r="C13" s="137">
        <f>Overview!C27</f>
        <v>5.8999999999999997E-2</v>
      </c>
    </row>
    <row r="14" spans="1:3" ht="17" customHeight="1" x14ac:dyDescent="0.2"/>
    <row r="15" spans="1:3" ht="17" customHeight="1" x14ac:dyDescent="0.2">
      <c r="B15" s="251" t="s">
        <v>174</v>
      </c>
      <c r="C15" s="251"/>
    </row>
    <row r="16" spans="1:3" ht="17" customHeight="1" x14ac:dyDescent="0.2">
      <c r="B16" s="1" t="s">
        <v>175</v>
      </c>
      <c r="C16" s="46">
        <f ca="1">C8/(C8+C7)</f>
        <v>6.1060303843831217E-2</v>
      </c>
    </row>
    <row r="17" spans="2:3" ht="17" customHeight="1" x14ac:dyDescent="0.2">
      <c r="B17" s="1" t="s">
        <v>176</v>
      </c>
      <c r="C17" s="46">
        <f ca="1">C7/(C8+C7)</f>
        <v>0.93893969615616879</v>
      </c>
    </row>
    <row r="18" spans="2:3" ht="17" customHeight="1" x14ac:dyDescent="0.2">
      <c r="B18" s="1" t="s">
        <v>177</v>
      </c>
      <c r="C18" s="46">
        <f>C13*(1-C12)</f>
        <v>4.6609999999999999E-2</v>
      </c>
    </row>
    <row r="19" spans="2:3" ht="17" customHeight="1" x14ac:dyDescent="0.2">
      <c r="B19" s="1" t="s">
        <v>178</v>
      </c>
      <c r="C19" s="46">
        <f ca="1">C9+C10*C11</f>
        <v>0.11758550000000001</v>
      </c>
    </row>
    <row r="20" spans="2:3" ht="17" customHeight="1" x14ac:dyDescent="0.2">
      <c r="B20" s="1" t="s">
        <v>166</v>
      </c>
      <c r="C20" s="46">
        <f ca="1">(C17*C19)+(C16*C18)</f>
        <v>0.11325171440453217</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6" zoomScale="188" zoomScaleNormal="100" workbookViewId="0">
      <selection activeCell="D25" sqref="D25"/>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180</v>
      </c>
    </row>
    <row r="2" spans="1:28" s="83" customFormat="1" ht="18" customHeight="1" x14ac:dyDescent="0.2">
      <c r="A2" s="4"/>
      <c r="B2" s="82"/>
    </row>
    <row r="3" spans="1:28" x14ac:dyDescent="0.2">
      <c r="A3" s="4"/>
      <c r="C3" s="251" t="s">
        <v>114</v>
      </c>
      <c r="D3" s="251"/>
      <c r="E3" s="251"/>
      <c r="F3" s="251"/>
      <c r="G3" s="262"/>
      <c r="H3" s="263" t="s">
        <v>115</v>
      </c>
      <c r="I3" s="251"/>
      <c r="J3" s="251"/>
      <c r="K3" s="251"/>
      <c r="L3" s="251"/>
      <c r="P3" s="264"/>
      <c r="Q3" s="264"/>
      <c r="R3" s="264"/>
      <c r="S3" s="264"/>
      <c r="T3" s="264"/>
      <c r="U3" s="264"/>
      <c r="V3" s="264"/>
      <c r="W3" s="264"/>
      <c r="X3" s="264"/>
      <c r="Y3" s="264"/>
      <c r="Z3" s="264"/>
      <c r="AB3" s="111"/>
    </row>
    <row r="4" spans="1:28" ht="10" customHeight="1" x14ac:dyDescent="0.2"/>
    <row r="5" spans="1:28" ht="16" customHeight="1" x14ac:dyDescent="0.2">
      <c r="A5" s="86"/>
      <c r="B5" s="60"/>
      <c r="C5" s="259" t="s">
        <v>181</v>
      </c>
      <c r="D5" s="259"/>
      <c r="E5" s="259"/>
      <c r="F5" s="259"/>
      <c r="G5" s="259"/>
      <c r="H5" s="259"/>
      <c r="I5" s="259"/>
      <c r="J5" s="259"/>
      <c r="K5" s="259"/>
      <c r="L5" s="259"/>
      <c r="P5" s="264"/>
      <c r="Q5" s="264"/>
      <c r="R5" s="264"/>
      <c r="S5" s="264"/>
      <c r="T5" s="264"/>
      <c r="U5" s="264"/>
      <c r="V5" s="264"/>
      <c r="W5" s="264"/>
      <c r="X5" s="264"/>
      <c r="Y5" s="264"/>
      <c r="Z5" s="264"/>
      <c r="AB5" s="112"/>
    </row>
    <row r="6" spans="1:28" x14ac:dyDescent="0.2">
      <c r="B6" s="16" t="s">
        <v>134</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263</v>
      </c>
      <c r="C7" s="114">
        <f>'FCF &amp; Other'!C28</f>
        <v>-25828.818366197185</v>
      </c>
      <c r="D7" s="114">
        <f>'FCF &amp; Other'!D28</f>
        <v>-30362</v>
      </c>
      <c r="E7" s="114">
        <f>'FCF &amp; Other'!E28</f>
        <v>14258.652847671532</v>
      </c>
      <c r="F7" s="114">
        <f>'FCF &amp; Other'!F28</f>
        <v>13585.835645786574</v>
      </c>
      <c r="G7" s="115">
        <f>'FCF &amp; Other'!G28</f>
        <v>-24162.381563497052</v>
      </c>
      <c r="H7" s="114">
        <f>'FCF &amp; Other'!H28</f>
        <v>-89031.702505657508</v>
      </c>
      <c r="I7" s="114">
        <f>'FCF &amp; Other'!I28</f>
        <v>14532.141271505483</v>
      </c>
      <c r="J7" s="114">
        <f>'FCF &amp; Other'!J28</f>
        <v>67374.922451377643</v>
      </c>
      <c r="K7" s="114">
        <f>'FCF &amp; Other'!K28</f>
        <v>93112.008994381118</v>
      </c>
      <c r="L7" s="114">
        <f>'FCF &amp; Other'!L28</f>
        <v>149266.83530508552</v>
      </c>
      <c r="N7" s="91"/>
      <c r="O7" s="16"/>
      <c r="P7" s="92"/>
      <c r="Q7" s="92"/>
      <c r="R7" s="92"/>
      <c r="S7" s="92"/>
      <c r="T7" s="92"/>
      <c r="U7" s="92"/>
      <c r="V7" s="92"/>
      <c r="W7" s="92"/>
      <c r="X7" s="94"/>
      <c r="Y7" s="94"/>
      <c r="Z7" s="94"/>
      <c r="AB7" s="94"/>
    </row>
    <row r="8" spans="1:28" x14ac:dyDescent="0.2">
      <c r="B8" s="39" t="s">
        <v>182</v>
      </c>
      <c r="C8" s="128">
        <v>0</v>
      </c>
      <c r="D8" s="128">
        <v>0</v>
      </c>
      <c r="E8" s="128">
        <v>0</v>
      </c>
      <c r="F8" s="128">
        <v>0</v>
      </c>
      <c r="G8" s="133">
        <v>0</v>
      </c>
      <c r="H8" s="128">
        <v>0</v>
      </c>
      <c r="I8" s="128">
        <v>0</v>
      </c>
      <c r="J8" s="128">
        <v>0</v>
      </c>
      <c r="K8" s="128">
        <v>0</v>
      </c>
      <c r="L8" s="128">
        <f ca="1">L7*(1+C14)/(C15-C14)</f>
        <v>1632701.0498778301</v>
      </c>
      <c r="N8" s="91"/>
      <c r="O8" s="16"/>
      <c r="P8" s="92"/>
      <c r="Q8" s="92"/>
      <c r="R8" s="92"/>
      <c r="S8" s="92"/>
      <c r="T8" s="92"/>
      <c r="U8" s="92"/>
      <c r="V8" s="92"/>
      <c r="W8" s="92"/>
      <c r="X8" s="94"/>
      <c r="Y8" s="94"/>
      <c r="Z8" s="94"/>
      <c r="AB8" s="94"/>
    </row>
    <row r="9" spans="1:28" x14ac:dyDescent="0.2">
      <c r="B9" s="1" t="s">
        <v>183</v>
      </c>
      <c r="C9" s="139"/>
      <c r="D9" s="139"/>
      <c r="E9" s="139"/>
      <c r="F9" s="139"/>
      <c r="G9" s="140"/>
      <c r="H9" s="141">
        <v>1</v>
      </c>
      <c r="I9" s="141">
        <v>2</v>
      </c>
      <c r="J9" s="141">
        <v>3</v>
      </c>
      <c r="K9" s="141">
        <v>4</v>
      </c>
      <c r="L9" s="141">
        <v>5</v>
      </c>
      <c r="N9" s="91"/>
    </row>
    <row r="10" spans="1:28" x14ac:dyDescent="0.2">
      <c r="B10" s="1" t="s">
        <v>321</v>
      </c>
      <c r="C10" s="139"/>
      <c r="D10" s="139"/>
      <c r="E10" s="139"/>
      <c r="F10" s="139"/>
      <c r="G10" s="140"/>
      <c r="H10" s="128">
        <f ca="1">H7/(1+$C$15)^H9</f>
        <v>-79974.458025676358</v>
      </c>
      <c r="I10" s="128">
        <f t="shared" ref="I10:L10" ca="1" si="0">I7/(1+$C$15)^I9</f>
        <v>11725.810353908499</v>
      </c>
      <c r="J10" s="128">
        <f t="shared" ca="1" si="0"/>
        <v>48833.534663098129</v>
      </c>
      <c r="K10" s="128">
        <f t="shared" ca="1" si="0"/>
        <v>60622.271700391007</v>
      </c>
      <c r="L10" s="128">
        <f t="shared" ca="1" si="0"/>
        <v>87296.425691611381</v>
      </c>
      <c r="N10" s="91"/>
    </row>
    <row r="11" spans="1:28" x14ac:dyDescent="0.2">
      <c r="B11" s="1" t="s">
        <v>184</v>
      </c>
      <c r="C11" s="139"/>
      <c r="D11" s="139"/>
      <c r="E11" s="139"/>
      <c r="F11" s="139"/>
      <c r="G11" s="140"/>
      <c r="H11" s="139"/>
      <c r="I11" s="139"/>
      <c r="J11" s="139"/>
      <c r="K11" s="139"/>
      <c r="L11" s="128">
        <f ca="1">L8/(1+C15)^L9</f>
        <v>954860.23794878379</v>
      </c>
    </row>
    <row r="13" spans="1:28" x14ac:dyDescent="0.2">
      <c r="B13" s="251" t="s">
        <v>185</v>
      </c>
      <c r="C13" s="251"/>
    </row>
    <row r="14" spans="1:28" x14ac:dyDescent="0.2">
      <c r="B14" s="1" t="s">
        <v>186</v>
      </c>
      <c r="C14" s="142">
        <v>0.02</v>
      </c>
    </row>
    <row r="15" spans="1:28" x14ac:dyDescent="0.2">
      <c r="B15" s="1" t="s">
        <v>166</v>
      </c>
      <c r="C15" s="137">
        <f ca="1">IF(Overview!C28&gt;0,Overview!C28,WACC!C20)</f>
        <v>0.11325171440453217</v>
      </c>
    </row>
    <row r="18" spans="2:3" x14ac:dyDescent="0.2">
      <c r="B18" s="251" t="s">
        <v>187</v>
      </c>
      <c r="C18" s="251"/>
    </row>
    <row r="19" spans="2:3" x14ac:dyDescent="0.2">
      <c r="B19" s="1" t="s">
        <v>188</v>
      </c>
      <c r="C19" s="64">
        <f ca="1">SUM(H10:L10)</f>
        <v>128503.58438333267</v>
      </c>
    </row>
    <row r="20" spans="2:3" x14ac:dyDescent="0.2">
      <c r="B20" s="1" t="s">
        <v>184</v>
      </c>
      <c r="C20" s="64">
        <f ca="1">L11</f>
        <v>954860.23794878379</v>
      </c>
    </row>
    <row r="21" spans="2:3" x14ac:dyDescent="0.2">
      <c r="B21" s="16" t="s">
        <v>189</v>
      </c>
      <c r="C21" s="94">
        <f ca="1">C19+C20</f>
        <v>1083363.8223321165</v>
      </c>
    </row>
    <row r="22" spans="2:3" x14ac:dyDescent="0.2">
      <c r="B22" s="1" t="s">
        <v>190</v>
      </c>
      <c r="C22" s="88">
        <f>Statement!AC108</f>
        <v>114226</v>
      </c>
    </row>
    <row r="23" spans="2:3" x14ac:dyDescent="0.2">
      <c r="B23" s="1" t="s">
        <v>191</v>
      </c>
      <c r="C23" s="88">
        <f>Statement!AC109</f>
        <v>173125</v>
      </c>
    </row>
    <row r="24" spans="2:3" x14ac:dyDescent="0.2">
      <c r="B24" s="16" t="s">
        <v>192</v>
      </c>
      <c r="C24" s="94">
        <f ca="1">C21+C22-C23</f>
        <v>1024464.8223321165</v>
      </c>
    </row>
    <row r="25" spans="2:3" x14ac:dyDescent="0.2">
      <c r="B25" s="1" t="s">
        <v>69</v>
      </c>
      <c r="C25" s="88">
        <f>Statement!AC79</f>
        <v>10920</v>
      </c>
    </row>
    <row r="26" spans="2:3" x14ac:dyDescent="0.2">
      <c r="B26" s="232" t="s">
        <v>193</v>
      </c>
      <c r="C26" s="233">
        <f ca="1">C24/C25</f>
        <v>93.815459920523494</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6" zoomScale="192" zoomScaleNormal="100" workbookViewId="0">
      <selection activeCell="C76" sqref="C76"/>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194</v>
      </c>
    </row>
    <row r="2" spans="1:14" x14ac:dyDescent="0.2">
      <c r="A2" s="4"/>
      <c r="C2" s="251" t="s">
        <v>114</v>
      </c>
      <c r="D2" s="251"/>
      <c r="E2" s="251"/>
      <c r="F2" s="251"/>
      <c r="G2" s="262"/>
      <c r="H2" s="263" t="s">
        <v>115</v>
      </c>
      <c r="I2" s="251"/>
      <c r="J2" s="251"/>
      <c r="K2" s="251"/>
      <c r="L2" s="251"/>
    </row>
    <row r="3" spans="1:14" ht="10" customHeight="1" x14ac:dyDescent="0.2"/>
    <row r="4" spans="1:14" ht="16" customHeight="1" x14ac:dyDescent="0.2">
      <c r="A4" s="86"/>
      <c r="B4" s="60"/>
      <c r="C4" s="259" t="s">
        <v>195</v>
      </c>
      <c r="D4" s="259"/>
      <c r="E4" s="259"/>
      <c r="F4" s="259"/>
      <c r="G4" s="259"/>
      <c r="H4" s="259"/>
      <c r="I4" s="259"/>
      <c r="J4" s="259"/>
      <c r="K4" s="259"/>
      <c r="L4" s="259"/>
    </row>
    <row r="5" spans="1:14" x14ac:dyDescent="0.2">
      <c r="B5" s="16" t="s">
        <v>118</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2">
        <f>Revenue!C14</f>
        <v>469822</v>
      </c>
      <c r="D6" s="92">
        <f>Revenue!D14</f>
        <v>513983</v>
      </c>
      <c r="E6" s="92">
        <f>Revenue!E14</f>
        <v>574785</v>
      </c>
      <c r="F6" s="92">
        <f>Revenue!F14</f>
        <v>637959</v>
      </c>
      <c r="G6" s="93">
        <f>Revenue!G14</f>
        <v>716924</v>
      </c>
      <c r="H6" s="92">
        <f>Revenue!H14</f>
        <v>826554.04000000015</v>
      </c>
      <c r="I6" s="92">
        <f>Revenue!I14</f>
        <v>951120.22743999993</v>
      </c>
      <c r="J6" s="92">
        <f>Revenue!J14</f>
        <v>1076689.9647521002</v>
      </c>
      <c r="K6" s="92">
        <f>Revenue!K14</f>
        <v>1202146.0699944491</v>
      </c>
      <c r="L6" s="92">
        <f>Revenue!L14</f>
        <v>1327255.7979931596</v>
      </c>
      <c r="N6" s="91"/>
    </row>
    <row r="7" spans="1:14" x14ac:dyDescent="0.2">
      <c r="B7" s="16" t="s">
        <v>158</v>
      </c>
      <c r="C7" s="92">
        <f>'FCF &amp; Other'!C10</f>
        <v>24879</v>
      </c>
      <c r="D7" s="92">
        <f>'FCF &amp; Other'!D10</f>
        <v>12248</v>
      </c>
      <c r="E7" s="92">
        <f>'FCF &amp; Other'!E10</f>
        <v>36852</v>
      </c>
      <c r="F7" s="92">
        <f>'FCF &amp; Other'!F10</f>
        <v>68593</v>
      </c>
      <c r="G7" s="93">
        <f>'FCF &amp; Other'!G10</f>
        <v>79975</v>
      </c>
      <c r="H7" s="92">
        <f>'FCF &amp; Other'!H10</f>
        <v>65251.990100000083</v>
      </c>
      <c r="I7" s="92">
        <f>'FCF &amp; Other'!I10</f>
        <v>173028.96964199998</v>
      </c>
      <c r="J7" s="92">
        <f>'FCF &amp; Other'!J10</f>
        <v>202076.79564486103</v>
      </c>
      <c r="K7" s="92">
        <f>'FCF &amp; Other'!K10</f>
        <v>221760.55987739115</v>
      </c>
      <c r="L7" s="92">
        <f>'FCF &amp; Other'!L10</f>
        <v>289144.03412275075</v>
      </c>
      <c r="N7" s="91"/>
    </row>
    <row r="8" spans="1:14" x14ac:dyDescent="0.2">
      <c r="B8" s="16" t="s">
        <v>263</v>
      </c>
      <c r="C8" s="92">
        <f>'FCF &amp; Other'!C28</f>
        <v>-25828.818366197185</v>
      </c>
      <c r="D8" s="92">
        <f>'FCF &amp; Other'!D28</f>
        <v>-30362</v>
      </c>
      <c r="E8" s="92">
        <f>'FCF &amp; Other'!E28</f>
        <v>14258.652847671532</v>
      </c>
      <c r="F8" s="92">
        <f>'FCF &amp; Other'!F28</f>
        <v>13585.835645786574</v>
      </c>
      <c r="G8" s="93">
        <f>'FCF &amp; Other'!G28</f>
        <v>-24162.381563497052</v>
      </c>
      <c r="H8" s="92">
        <f>'FCF &amp; Other'!H28</f>
        <v>-89031.702505657508</v>
      </c>
      <c r="I8" s="92">
        <f>'FCF &amp; Other'!I28</f>
        <v>14532.141271505483</v>
      </c>
      <c r="J8" s="92">
        <f>'FCF &amp; Other'!J28</f>
        <v>67374.922451377643</v>
      </c>
      <c r="K8" s="92">
        <f>'FCF &amp; Other'!K28</f>
        <v>93112.008994381118</v>
      </c>
      <c r="L8" s="92">
        <f>'FCF &amp; Other'!L28</f>
        <v>149266.83530508552</v>
      </c>
      <c r="N8" s="91"/>
    </row>
    <row r="9" spans="1:14" x14ac:dyDescent="0.2">
      <c r="B9" s="16" t="s">
        <v>321</v>
      </c>
      <c r="C9" s="139"/>
      <c r="D9" s="139"/>
      <c r="E9" s="139"/>
      <c r="F9" s="139"/>
      <c r="G9" s="140"/>
      <c r="H9" s="92">
        <f ca="1">DCF!H10</f>
        <v>-79974.458025676358</v>
      </c>
      <c r="I9" s="92">
        <f ca="1">DCF!I10</f>
        <v>11725.810353908499</v>
      </c>
      <c r="J9" s="92">
        <f ca="1">DCF!J10</f>
        <v>48833.534663098129</v>
      </c>
      <c r="K9" s="92">
        <f ca="1">DCF!K10</f>
        <v>60622.271700391007</v>
      </c>
      <c r="L9" s="92">
        <f ca="1">DCF!L10</f>
        <v>87296.425691611381</v>
      </c>
      <c r="N9" s="91"/>
    </row>
    <row r="10" spans="1:14" x14ac:dyDescent="0.2">
      <c r="N10" s="91"/>
    </row>
    <row r="11" spans="1:14" x14ac:dyDescent="0.2">
      <c r="C11" s="259" t="s">
        <v>123</v>
      </c>
      <c r="D11" s="259"/>
      <c r="E11" s="259"/>
      <c r="F11" s="259"/>
      <c r="G11" s="259"/>
      <c r="H11" s="259"/>
      <c r="I11" s="259"/>
      <c r="J11" s="259"/>
      <c r="K11" s="259"/>
      <c r="L11" s="259"/>
      <c r="N11" s="91"/>
    </row>
    <row r="12" spans="1:14" x14ac:dyDescent="0.2">
      <c r="B12" s="16" t="s">
        <v>196</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1"/>
    </row>
    <row r="13" spans="1:14" x14ac:dyDescent="0.2">
      <c r="B13" s="1" t="s">
        <v>19</v>
      </c>
      <c r="C13" s="139"/>
      <c r="D13" s="95">
        <f>(D6-C6)/C6</f>
        <v>9.3995172639850841E-2</v>
      </c>
      <c r="E13" s="95">
        <f t="shared" ref="E13:L13" si="1">(E6-D6)/D6</f>
        <v>0.11829574129883673</v>
      </c>
      <c r="F13" s="95">
        <f t="shared" si="1"/>
        <v>0.10990892246666145</v>
      </c>
      <c r="G13" s="96">
        <f t="shared" si="1"/>
        <v>0.12377754683294695</v>
      </c>
      <c r="H13" s="95">
        <f t="shared" si="1"/>
        <v>0.1529172408790892</v>
      </c>
      <c r="I13" s="95">
        <f t="shared" si="1"/>
        <v>0.15070543656165514</v>
      </c>
      <c r="J13" s="95">
        <f t="shared" si="1"/>
        <v>0.13202299108923288</v>
      </c>
      <c r="K13" s="95">
        <f t="shared" si="1"/>
        <v>0.11652017697706907</v>
      </c>
      <c r="L13" s="95">
        <f t="shared" si="1"/>
        <v>0.10407198519501724</v>
      </c>
      <c r="N13" s="91"/>
    </row>
    <row r="14" spans="1:14" x14ac:dyDescent="0.2">
      <c r="B14" s="1" t="s">
        <v>158</v>
      </c>
      <c r="C14" s="139"/>
      <c r="D14" s="95">
        <f>IF(C7=0,
IF(D7=0,0,IF(D7&gt;0,1,-1)),
(D7-C7)/ABS(C7)
)</f>
        <v>-0.50769725471281002</v>
      </c>
      <c r="E14" s="95">
        <f t="shared" ref="E14:L14" si="2">IF(D7=0,
IF(E7=0,0,IF(E7&gt;0,1,-1)),
(E7-D7)/ABS(D7)
)</f>
        <v>2.0088177661659046</v>
      </c>
      <c r="F14" s="95">
        <f t="shared" si="2"/>
        <v>0.86131010528600893</v>
      </c>
      <c r="G14" s="96">
        <f t="shared" si="2"/>
        <v>0.16593529952035921</v>
      </c>
      <c r="H14" s="95">
        <f t="shared" si="2"/>
        <v>-0.18409515348546318</v>
      </c>
      <c r="I14" s="95">
        <f t="shared" si="2"/>
        <v>1.6517040993972651</v>
      </c>
      <c r="J14" s="95">
        <f t="shared" si="2"/>
        <v>0.16787839668098078</v>
      </c>
      <c r="K14" s="95">
        <f t="shared" si="2"/>
        <v>9.740734540903577E-2</v>
      </c>
      <c r="L14" s="95">
        <f t="shared" si="2"/>
        <v>0.30385689088544482</v>
      </c>
      <c r="N14" s="91"/>
    </row>
    <row r="15" spans="1:14" x14ac:dyDescent="0.2">
      <c r="B15" s="1" t="s">
        <v>263</v>
      </c>
      <c r="C15" s="139"/>
      <c r="D15" s="95">
        <f>IF(C8=0,
IF(D8=0,0,IF(D8&gt;0,1,-1)),
(D8-C8)/ABS(C8)
)</f>
        <v>-0.17550867289134303</v>
      </c>
      <c r="E15" s="95">
        <f t="shared" ref="E15:L15" si="3">IF(D8=0,
IF(E8=0,0,IF(E8&gt;0,1,-1)),
(E8-D8)/ABS(D8)
)</f>
        <v>1.4696216602223677</v>
      </c>
      <c r="F15" s="95">
        <f t="shared" si="3"/>
        <v>-4.7186589720138297E-2</v>
      </c>
      <c r="G15" s="96">
        <f t="shared" si="3"/>
        <v>-2.7784980028807151</v>
      </c>
      <c r="H15" s="95">
        <f t="shared" si="3"/>
        <v>-2.6847238038886361</v>
      </c>
      <c r="I15" s="95">
        <f t="shared" si="3"/>
        <v>1.1632243443910559</v>
      </c>
      <c r="J15" s="95">
        <f t="shared" si="3"/>
        <v>3.6362694383852365</v>
      </c>
      <c r="K15" s="95">
        <f t="shared" si="3"/>
        <v>0.38199801360182817</v>
      </c>
      <c r="L15" s="95">
        <f t="shared" si="3"/>
        <v>0.60308897764297076</v>
      </c>
      <c r="N15" s="91"/>
    </row>
    <row r="16" spans="1:14" x14ac:dyDescent="0.2">
      <c r="N16" s="91"/>
    </row>
    <row r="17" spans="2:14" x14ac:dyDescent="0.2">
      <c r="C17" s="259" t="s">
        <v>197</v>
      </c>
      <c r="D17" s="259"/>
      <c r="E17" s="259"/>
      <c r="F17" s="259"/>
      <c r="G17" s="259"/>
      <c r="H17" s="259"/>
      <c r="I17" s="259"/>
      <c r="J17" s="259"/>
      <c r="K17" s="259"/>
      <c r="L17" s="259"/>
      <c r="N17" s="91"/>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1"/>
    </row>
    <row r="19" spans="2:14" x14ac:dyDescent="0.2">
      <c r="B19" s="1" t="s">
        <v>198</v>
      </c>
      <c r="C19" s="100">
        <f>Statement!M23</f>
        <v>10296</v>
      </c>
      <c r="D19" s="100">
        <f>Statement!N23</f>
        <v>10189</v>
      </c>
      <c r="E19" s="100">
        <f>Statement!O23</f>
        <v>10492</v>
      </c>
      <c r="F19" s="100">
        <f>Statement!P23</f>
        <v>10721</v>
      </c>
      <c r="G19" s="101">
        <f>Statement!Q23</f>
        <v>10827</v>
      </c>
      <c r="H19" s="143">
        <f>G19*(1+H20)</f>
        <v>10935.27</v>
      </c>
      <c r="I19" s="143">
        <f t="shared" ref="I19:L19" si="5">H19*(1+I20)</f>
        <v>11044.6227</v>
      </c>
      <c r="J19" s="143">
        <f t="shared" si="5"/>
        <v>11044.6227</v>
      </c>
      <c r="K19" s="143">
        <f t="shared" si="5"/>
        <v>10934.176473</v>
      </c>
      <c r="L19" s="143">
        <f t="shared" si="5"/>
        <v>10715.492943539999</v>
      </c>
      <c r="N19" s="91"/>
    </row>
    <row r="20" spans="2:14" x14ac:dyDescent="0.2">
      <c r="B20" s="1" t="s">
        <v>199</v>
      </c>
      <c r="C20" s="139"/>
      <c r="D20" s="144">
        <f>D19/C19-1</f>
        <v>-1.0392385392385406E-2</v>
      </c>
      <c r="E20" s="144">
        <f t="shared" ref="E20:G20" si="6">E19/D19-1</f>
        <v>2.9737952694081748E-2</v>
      </c>
      <c r="F20" s="144">
        <f t="shared" si="6"/>
        <v>2.1826153259626446E-2</v>
      </c>
      <c r="G20" s="145">
        <f t="shared" si="6"/>
        <v>9.887137393899792E-3</v>
      </c>
      <c r="H20" s="146">
        <v>0.01</v>
      </c>
      <c r="I20" s="97">
        <v>0.01</v>
      </c>
      <c r="J20" s="97">
        <v>0</v>
      </c>
      <c r="K20" s="97">
        <v>-0.01</v>
      </c>
      <c r="L20" s="97">
        <v>-0.02</v>
      </c>
      <c r="N20" s="91"/>
    </row>
    <row r="21" spans="2:14" x14ac:dyDescent="0.2">
      <c r="N21" s="91"/>
    </row>
    <row r="22" spans="2:14" x14ac:dyDescent="0.2">
      <c r="C22" s="259" t="s">
        <v>200</v>
      </c>
      <c r="D22" s="259"/>
      <c r="E22" s="259"/>
      <c r="F22" s="259"/>
      <c r="G22" s="259"/>
      <c r="H22" s="259"/>
      <c r="I22" s="259"/>
      <c r="J22" s="259"/>
      <c r="K22" s="259"/>
      <c r="L22" s="259"/>
      <c r="N22" s="91"/>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1"/>
    </row>
    <row r="24" spans="2:14" x14ac:dyDescent="0.2">
      <c r="B24" s="1" t="s">
        <v>1</v>
      </c>
      <c r="C24" s="147">
        <f>Statement!M117</f>
        <v>166.72</v>
      </c>
      <c r="D24" s="147">
        <f>Statement!N117</f>
        <v>83.99</v>
      </c>
      <c r="E24" s="147">
        <f>Statement!O117</f>
        <v>151.94</v>
      </c>
      <c r="F24" s="147">
        <f>Statement!P117</f>
        <v>219.39</v>
      </c>
      <c r="G24" s="148">
        <f>Statement!Q117</f>
        <v>230.82</v>
      </c>
      <c r="H24" s="139"/>
      <c r="I24" s="139"/>
      <c r="J24" s="139"/>
      <c r="K24" s="139"/>
      <c r="L24" s="139"/>
      <c r="N24" s="91"/>
    </row>
    <row r="25" spans="2:14" x14ac:dyDescent="0.2">
      <c r="N25" s="91"/>
    </row>
    <row r="26" spans="2:14" x14ac:dyDescent="0.2">
      <c r="N26" s="91"/>
    </row>
    <row r="27" spans="2:14" x14ac:dyDescent="0.2">
      <c r="C27" s="259" t="s">
        <v>201</v>
      </c>
      <c r="D27" s="259"/>
      <c r="E27" s="259"/>
      <c r="F27" s="259"/>
      <c r="G27" s="259"/>
      <c r="H27" s="259"/>
      <c r="I27" s="259"/>
      <c r="J27" s="259"/>
      <c r="K27" s="259"/>
      <c r="L27" s="259"/>
      <c r="N27" s="91"/>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1"/>
    </row>
    <row r="29" spans="2:14" x14ac:dyDescent="0.2">
      <c r="B29" s="16" t="s">
        <v>202</v>
      </c>
      <c r="C29" s="149">
        <f>C24/(C6/C19)</f>
        <v>3.653615880056702</v>
      </c>
      <c r="D29" s="149">
        <f t="shared" ref="D29:G29" si="9">D24/(D6/D19)</f>
        <v>1.6649852427025797</v>
      </c>
      <c r="E29" s="149">
        <f t="shared" si="9"/>
        <v>2.7734796141165825</v>
      </c>
      <c r="F29" s="149">
        <f t="shared" si="9"/>
        <v>3.6868829971832042</v>
      </c>
      <c r="G29" s="150">
        <f t="shared" si="9"/>
        <v>3.4858480675775949</v>
      </c>
      <c r="H29" s="139"/>
      <c r="I29" s="139"/>
      <c r="J29" s="139"/>
      <c r="K29" s="139"/>
      <c r="L29" s="139"/>
      <c r="N29" s="91"/>
    </row>
    <row r="30" spans="2:14" x14ac:dyDescent="0.2">
      <c r="B30" s="1" t="s">
        <v>203</v>
      </c>
      <c r="C30" s="143">
        <f>C24*C19</f>
        <v>1716549.1199999999</v>
      </c>
      <c r="D30" s="143">
        <f t="shared" ref="D30:G30" si="10">D24*D19</f>
        <v>855774.11</v>
      </c>
      <c r="E30" s="143">
        <f t="shared" si="10"/>
        <v>1594154.48</v>
      </c>
      <c r="F30" s="143">
        <f t="shared" si="10"/>
        <v>2352080.19</v>
      </c>
      <c r="G30" s="151">
        <f t="shared" si="10"/>
        <v>2499088.14</v>
      </c>
      <c r="H30" s="139"/>
      <c r="I30" s="139"/>
      <c r="J30" s="139"/>
      <c r="K30" s="139"/>
      <c r="L30" s="139"/>
      <c r="N30" s="91"/>
    </row>
    <row r="31" spans="2:14" x14ac:dyDescent="0.2">
      <c r="B31" s="1" t="s">
        <v>170</v>
      </c>
      <c r="C31" s="88">
        <f>Statement!M109</f>
        <v>48744</v>
      </c>
      <c r="D31" s="152">
        <f>Statement!N109</f>
        <v>67150</v>
      </c>
      <c r="E31" s="152">
        <f>Statement!O109</f>
        <v>58314</v>
      </c>
      <c r="F31" s="152">
        <f>Statement!P109</f>
        <v>52623</v>
      </c>
      <c r="G31" s="153">
        <f>Statement!Q109</f>
        <v>65648</v>
      </c>
      <c r="H31" s="139"/>
      <c r="I31" s="139"/>
      <c r="J31" s="139"/>
      <c r="K31" s="139"/>
      <c r="L31" s="139"/>
      <c r="N31" s="91"/>
    </row>
    <row r="32" spans="2:14" x14ac:dyDescent="0.2">
      <c r="B32" s="1" t="s">
        <v>179</v>
      </c>
      <c r="C32" s="152">
        <f>Statement!M108</f>
        <v>96049</v>
      </c>
      <c r="D32" s="152">
        <f>Statement!N108</f>
        <v>70026</v>
      </c>
      <c r="E32" s="152">
        <f>Statement!O108</f>
        <v>86780</v>
      </c>
      <c r="F32" s="152">
        <f>Statement!P108</f>
        <v>101202</v>
      </c>
      <c r="G32" s="153">
        <f>Statement!Q108</f>
        <v>123029</v>
      </c>
      <c r="H32" s="139"/>
      <c r="I32" s="139"/>
      <c r="J32" s="139"/>
      <c r="K32" s="139"/>
      <c r="L32" s="139"/>
      <c r="N32" s="91"/>
    </row>
    <row r="33" spans="2:14" x14ac:dyDescent="0.2">
      <c r="B33" s="1" t="s">
        <v>204</v>
      </c>
      <c r="C33" s="143">
        <f>C30+C31-C32</f>
        <v>1669244.1199999999</v>
      </c>
      <c r="D33" s="143">
        <f t="shared" ref="D33:G33" si="11">D30+D31-D32</f>
        <v>852898.11</v>
      </c>
      <c r="E33" s="143">
        <f t="shared" si="11"/>
        <v>1565688.48</v>
      </c>
      <c r="F33" s="143">
        <f t="shared" si="11"/>
        <v>2303501.19</v>
      </c>
      <c r="G33" s="151">
        <f t="shared" si="11"/>
        <v>2441707.14</v>
      </c>
      <c r="H33" s="139"/>
      <c r="I33" s="139"/>
      <c r="J33" s="139"/>
      <c r="K33" s="139"/>
      <c r="L33" s="139"/>
      <c r="N33" s="91"/>
    </row>
    <row r="34" spans="2:14" x14ac:dyDescent="0.2">
      <c r="B34" s="16" t="s">
        <v>205</v>
      </c>
      <c r="C34" s="149">
        <f>C33/C7</f>
        <v>67.094502190602512</v>
      </c>
      <c r="D34" s="149">
        <f t="shared" ref="D34:G34" si="12">D33/D7</f>
        <v>69.635704604833435</v>
      </c>
      <c r="E34" s="149">
        <f t="shared" si="12"/>
        <v>42.48584825789645</v>
      </c>
      <c r="F34" s="149">
        <f t="shared" si="12"/>
        <v>33.58216129925794</v>
      </c>
      <c r="G34" s="150">
        <f t="shared" si="12"/>
        <v>30.53088015004689</v>
      </c>
      <c r="H34" s="139"/>
      <c r="I34" s="139"/>
      <c r="J34" s="139"/>
      <c r="K34" s="139"/>
      <c r="L34" s="139"/>
      <c r="N34" s="91"/>
    </row>
    <row r="35" spans="2:14" x14ac:dyDescent="0.2">
      <c r="B35" s="16" t="s">
        <v>322</v>
      </c>
      <c r="C35" s="149">
        <f>C33/C8</f>
        <v>-64.627196503289554</v>
      </c>
      <c r="D35" s="149">
        <f t="shared" ref="D35:G35" si="13">D33/D8</f>
        <v>-28.090972597325603</v>
      </c>
      <c r="E35" s="149">
        <f t="shared" si="13"/>
        <v>109.80619955662083</v>
      </c>
      <c r="F35" s="149">
        <f t="shared" si="13"/>
        <v>169.55167499868833</v>
      </c>
      <c r="G35" s="150">
        <f t="shared" si="13"/>
        <v>-101.05407588169089</v>
      </c>
      <c r="H35" s="139"/>
      <c r="I35" s="139"/>
      <c r="J35" s="139"/>
      <c r="K35" s="139"/>
      <c r="L35" s="139"/>
      <c r="N35" s="91"/>
    </row>
    <row r="36" spans="2:14" x14ac:dyDescent="0.2">
      <c r="B36" s="16" t="s">
        <v>376</v>
      </c>
      <c r="C36" s="149">
        <f>C33/C6</f>
        <v>3.5529288113370594</v>
      </c>
      <c r="D36" s="149">
        <f t="shared" ref="D36:G36" si="14">D33/D6</f>
        <v>1.6593897268975821</v>
      </c>
      <c r="E36" s="149">
        <f t="shared" si="14"/>
        <v>2.7239550092643334</v>
      </c>
      <c r="F36" s="149">
        <f t="shared" si="14"/>
        <v>3.6107354704612677</v>
      </c>
      <c r="G36" s="150">
        <f t="shared" si="14"/>
        <v>3.405810295094041</v>
      </c>
      <c r="H36" s="139"/>
      <c r="I36" s="139"/>
      <c r="J36" s="139"/>
      <c r="K36" s="139"/>
      <c r="L36" s="139"/>
      <c r="N36" s="91"/>
    </row>
    <row r="37" spans="2:14" x14ac:dyDescent="0.2">
      <c r="N37" s="91"/>
    </row>
    <row r="38" spans="2:14" x14ac:dyDescent="0.2">
      <c r="N38" s="91"/>
    </row>
    <row r="39" spans="2:14" x14ac:dyDescent="0.2">
      <c r="B39" s="251" t="s">
        <v>206</v>
      </c>
      <c r="C39" s="251"/>
      <c r="N39" s="91"/>
    </row>
    <row r="40" spans="2:14" x14ac:dyDescent="0.2">
      <c r="B40" s="1" t="s">
        <v>207</v>
      </c>
      <c r="C40" s="64">
        <f>L7</f>
        <v>289144.03412275075</v>
      </c>
    </row>
    <row r="41" spans="2:14" x14ac:dyDescent="0.2">
      <c r="B41" s="1" t="s">
        <v>166</v>
      </c>
      <c r="C41" s="137">
        <f ca="1">IF(Overview!C28&gt;0,Overview!C28,WACC!C20)</f>
        <v>0.11325171440453217</v>
      </c>
    </row>
    <row r="42" spans="2:14" x14ac:dyDescent="0.2">
      <c r="B42" s="39" t="s">
        <v>208</v>
      </c>
      <c r="C42" s="105">
        <v>25</v>
      </c>
    </row>
    <row r="43" spans="2:14" x14ac:dyDescent="0.2">
      <c r="B43" s="1" t="s">
        <v>372</v>
      </c>
      <c r="C43" s="24">
        <f>(C40*C42)</f>
        <v>7228600.853068769</v>
      </c>
    </row>
    <row r="44" spans="2:14" x14ac:dyDescent="0.2">
      <c r="B44" s="1" t="s">
        <v>373</v>
      </c>
      <c r="C44" s="24">
        <f ca="1">C43/(1+C41)^5</f>
        <v>4227536.6522943703</v>
      </c>
    </row>
    <row r="45" spans="2:14" x14ac:dyDescent="0.2">
      <c r="B45" s="16" t="s">
        <v>374</v>
      </c>
      <c r="C45" s="108">
        <f ca="1">SUM(H9:K9)+C44</f>
        <v>4268743.8109860914</v>
      </c>
    </row>
    <row r="46" spans="2:14" x14ac:dyDescent="0.2">
      <c r="B46" s="1" t="s">
        <v>190</v>
      </c>
      <c r="C46" s="88">
        <f>Statement!AC108</f>
        <v>114226</v>
      </c>
    </row>
    <row r="47" spans="2:14" x14ac:dyDescent="0.2">
      <c r="B47" s="1" t="s">
        <v>191</v>
      </c>
      <c r="C47" s="88">
        <f>Statement!AC109</f>
        <v>173125</v>
      </c>
    </row>
    <row r="48" spans="2:14" x14ac:dyDescent="0.2">
      <c r="B48" s="16" t="s">
        <v>192</v>
      </c>
      <c r="C48" s="108">
        <f ca="1">C45+C46-C47</f>
        <v>4209844.8109860914</v>
      </c>
    </row>
    <row r="49" spans="2:3" x14ac:dyDescent="0.2">
      <c r="B49" s="1" t="s">
        <v>69</v>
      </c>
      <c r="C49" s="88">
        <f>Statement!AC79</f>
        <v>10920</v>
      </c>
    </row>
    <row r="50" spans="2:3" x14ac:dyDescent="0.2">
      <c r="B50" s="232" t="s">
        <v>210</v>
      </c>
      <c r="C50" s="233">
        <f ca="1">C48/C49</f>
        <v>385.51692408297538</v>
      </c>
    </row>
    <row r="52" spans="2:3" x14ac:dyDescent="0.2">
      <c r="B52" s="251" t="s">
        <v>211</v>
      </c>
      <c r="C52" s="251"/>
    </row>
    <row r="53" spans="2:3" x14ac:dyDescent="0.2">
      <c r="B53" s="1" t="s">
        <v>212</v>
      </c>
      <c r="C53" s="64">
        <f>L6</f>
        <v>1327255.7979931596</v>
      </c>
    </row>
    <row r="54" spans="2:3" x14ac:dyDescent="0.2">
      <c r="B54" s="1" t="s">
        <v>345</v>
      </c>
      <c r="C54" s="137">
        <f ca="1">IF(Overview!C29&gt;0,Overview!C29,WACC!C19)</f>
        <v>0.11758550000000001</v>
      </c>
    </row>
    <row r="55" spans="2:3" x14ac:dyDescent="0.2">
      <c r="B55" s="39" t="s">
        <v>213</v>
      </c>
      <c r="C55" s="105">
        <v>4</v>
      </c>
    </row>
    <row r="56" spans="2:3" x14ac:dyDescent="0.2">
      <c r="B56" s="1" t="s">
        <v>209</v>
      </c>
      <c r="C56" s="24">
        <f>L19</f>
        <v>10715.492943539999</v>
      </c>
    </row>
    <row r="57" spans="2:3" x14ac:dyDescent="0.2">
      <c r="B57" s="1" t="s">
        <v>193</v>
      </c>
      <c r="C57" s="24">
        <f>(C53*C55)/C56</f>
        <v>495.45300621687829</v>
      </c>
    </row>
    <row r="58" spans="2:3" x14ac:dyDescent="0.2">
      <c r="B58" s="232" t="s">
        <v>210</v>
      </c>
      <c r="C58" s="233">
        <f ca="1">C57/(1+C54)^5</f>
        <v>284.18338025485855</v>
      </c>
    </row>
    <row r="60" spans="2:3" x14ac:dyDescent="0.2">
      <c r="B60" s="251" t="s">
        <v>323</v>
      </c>
      <c r="C60" s="251"/>
    </row>
    <row r="61" spans="2:3" x14ac:dyDescent="0.2">
      <c r="B61" s="1" t="s">
        <v>375</v>
      </c>
      <c r="C61" s="64">
        <f>L8</f>
        <v>149266.83530508552</v>
      </c>
    </row>
    <row r="62" spans="2:3" x14ac:dyDescent="0.2">
      <c r="B62" s="1" t="s">
        <v>166</v>
      </c>
      <c r="C62" s="137">
        <f ca="1">IF(Overview!C28&gt;0,Overview!C28,WACC!C20)</f>
        <v>0.11325171440453217</v>
      </c>
    </row>
    <row r="63" spans="2:3" x14ac:dyDescent="0.2">
      <c r="B63" s="39" t="s">
        <v>346</v>
      </c>
      <c r="C63" s="105">
        <v>35</v>
      </c>
    </row>
    <row r="64" spans="2:3" x14ac:dyDescent="0.2">
      <c r="B64" s="1" t="s">
        <v>372</v>
      </c>
      <c r="C64" s="24">
        <f>(C61*C63)</f>
        <v>5224339.2356779929</v>
      </c>
    </row>
    <row r="65" spans="2:3" x14ac:dyDescent="0.2">
      <c r="B65" s="1" t="s">
        <v>373</v>
      </c>
      <c r="C65" s="24">
        <f ca="1">C64/(1+C62)^5</f>
        <v>3055374.8992063981</v>
      </c>
    </row>
    <row r="66" spans="2:3" x14ac:dyDescent="0.2">
      <c r="B66" s="16" t="s">
        <v>374</v>
      </c>
      <c r="C66" s="108">
        <f ca="1">SUM(H9:K9)+C65</f>
        <v>3096582.0578981196</v>
      </c>
    </row>
    <row r="67" spans="2:3" x14ac:dyDescent="0.2">
      <c r="B67" s="1" t="s">
        <v>190</v>
      </c>
      <c r="C67" s="88">
        <f>Statement!AC108</f>
        <v>114226</v>
      </c>
    </row>
    <row r="68" spans="2:3" x14ac:dyDescent="0.2">
      <c r="B68" s="1" t="s">
        <v>191</v>
      </c>
      <c r="C68" s="88">
        <f>Statement!AC109</f>
        <v>173125</v>
      </c>
    </row>
    <row r="69" spans="2:3" x14ac:dyDescent="0.2">
      <c r="B69" s="16" t="s">
        <v>192</v>
      </c>
      <c r="C69" s="108">
        <f ca="1">C66+C67-C68</f>
        <v>3037683.0578981196</v>
      </c>
    </row>
    <row r="70" spans="2:3" x14ac:dyDescent="0.2">
      <c r="B70" s="1" t="s">
        <v>69</v>
      </c>
      <c r="C70" s="88">
        <f>Statement!AC79</f>
        <v>10920</v>
      </c>
    </row>
    <row r="71" spans="2:3" x14ac:dyDescent="0.2">
      <c r="B71" s="232" t="s">
        <v>210</v>
      </c>
      <c r="C71" s="233">
        <f ca="1">C69/C70</f>
        <v>278.17610420312451</v>
      </c>
    </row>
    <row r="73" spans="2:3" x14ac:dyDescent="0.2">
      <c r="B73" s="251" t="s">
        <v>377</v>
      </c>
      <c r="C73" s="251"/>
    </row>
    <row r="74" spans="2:3" x14ac:dyDescent="0.2">
      <c r="B74" s="1" t="s">
        <v>378</v>
      </c>
      <c r="C74" s="64">
        <f>L6</f>
        <v>1327255.7979931596</v>
      </c>
    </row>
    <row r="75" spans="2:3" x14ac:dyDescent="0.2">
      <c r="B75" s="1" t="s">
        <v>166</v>
      </c>
      <c r="C75" s="137">
        <f ca="1">IF(Overview!C28&gt;0,Overview!C28,WACC!C20)</f>
        <v>0.11325171440453217</v>
      </c>
    </row>
    <row r="76" spans="2:3" x14ac:dyDescent="0.2">
      <c r="B76" s="39" t="s">
        <v>379</v>
      </c>
      <c r="C76" s="105">
        <v>4</v>
      </c>
    </row>
    <row r="77" spans="2:3" x14ac:dyDescent="0.2">
      <c r="B77" s="1" t="s">
        <v>372</v>
      </c>
      <c r="C77" s="24">
        <f>(C74*C76)</f>
        <v>5309023.1919726385</v>
      </c>
    </row>
    <row r="78" spans="2:3" x14ac:dyDescent="0.2">
      <c r="B78" s="1" t="s">
        <v>373</v>
      </c>
      <c r="C78" s="24">
        <f ca="1">C77/(1+C75)^5</f>
        <v>3104901.0158607606</v>
      </c>
    </row>
    <row r="79" spans="2:3" x14ac:dyDescent="0.2">
      <c r="B79" s="16" t="s">
        <v>374</v>
      </c>
      <c r="C79" s="108">
        <f ca="1">SUM(H9:K9)+C78</f>
        <v>3146108.1745524821</v>
      </c>
    </row>
    <row r="80" spans="2:3" x14ac:dyDescent="0.2">
      <c r="B80" s="1" t="s">
        <v>190</v>
      </c>
      <c r="C80" s="88">
        <f>Statement!AC108</f>
        <v>114226</v>
      </c>
    </row>
    <row r="81" spans="2:3" x14ac:dyDescent="0.2">
      <c r="B81" s="1" t="s">
        <v>191</v>
      </c>
      <c r="C81" s="88">
        <f>Statement!AC109</f>
        <v>173125</v>
      </c>
    </row>
    <row r="82" spans="2:3" x14ac:dyDescent="0.2">
      <c r="B82" s="16" t="s">
        <v>192</v>
      </c>
      <c r="C82" s="108">
        <f ca="1">C79+C80-C81</f>
        <v>3087209.1745524821</v>
      </c>
    </row>
    <row r="83" spans="2:3" x14ac:dyDescent="0.2">
      <c r="B83" s="1" t="s">
        <v>69</v>
      </c>
      <c r="C83" s="88">
        <f>Statement!AC79</f>
        <v>10920</v>
      </c>
    </row>
    <row r="84" spans="2:3" x14ac:dyDescent="0.2">
      <c r="B84" s="232" t="s">
        <v>210</v>
      </c>
      <c r="C84" s="233">
        <f ca="1">C82/C83</f>
        <v>282.71146287110639</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214</v>
      </c>
    </row>
    <row r="2" spans="1:14" x14ac:dyDescent="0.2">
      <c r="N2" s="91"/>
    </row>
    <row r="3" spans="1:14" x14ac:dyDescent="0.2">
      <c r="N3" s="91"/>
    </row>
    <row r="4" spans="1:14" x14ac:dyDescent="0.2">
      <c r="B4" s="251" t="s">
        <v>215</v>
      </c>
      <c r="C4" s="251"/>
      <c r="N4" s="91"/>
    </row>
    <row r="5" spans="1:14" x14ac:dyDescent="0.2">
      <c r="B5" s="1" t="s">
        <v>216</v>
      </c>
      <c r="C5" s="135">
        <f ca="1">DCF!C26</f>
        <v>93.815459920523494</v>
      </c>
    </row>
    <row r="6" spans="1:14" x14ac:dyDescent="0.2">
      <c r="B6" s="1" t="s">
        <v>217</v>
      </c>
      <c r="C6" s="135">
        <f ca="1">Multiples!C50</f>
        <v>385.51692408297538</v>
      </c>
    </row>
    <row r="7" spans="1:14" x14ac:dyDescent="0.2">
      <c r="B7" s="1" t="s">
        <v>218</v>
      </c>
      <c r="C7" s="135">
        <f ca="1">Multiples!C58</f>
        <v>284.18338025485855</v>
      </c>
    </row>
    <row r="8" spans="1:14" x14ac:dyDescent="0.2">
      <c r="B8" s="1" t="s">
        <v>324</v>
      </c>
      <c r="C8" s="135">
        <f ca="1">Multiples!C71</f>
        <v>278.17610420312451</v>
      </c>
    </row>
    <row r="9" spans="1:14" x14ac:dyDescent="0.2">
      <c r="B9" s="1" t="s">
        <v>380</v>
      </c>
      <c r="C9" s="135">
        <f ca="1">Multiples!C84</f>
        <v>282.71146287110639</v>
      </c>
    </row>
    <row r="10" spans="1:14" x14ac:dyDescent="0.2">
      <c r="B10" s="232" t="s">
        <v>219</v>
      </c>
      <c r="C10" s="233">
        <f ca="1">AVERAGE(C5:C9)</f>
        <v>264.88066626651772</v>
      </c>
    </row>
    <row r="11" spans="1:14" x14ac:dyDescent="0.2">
      <c r="B11" s="1" t="s">
        <v>220</v>
      </c>
      <c r="C11" s="135">
        <f ca="1">Overview!C5</f>
        <v>243.79</v>
      </c>
    </row>
    <row r="12" spans="1:14" x14ac:dyDescent="0.2">
      <c r="B12" s="1" t="s">
        <v>221</v>
      </c>
      <c r="C12" s="154">
        <f ca="1">(C10-C11)/C11</f>
        <v>8.6511613546567667E-2</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A1-F7CC-5043-8E79-210959816CC1}">
  <dimension ref="A1:N26"/>
  <sheetViews>
    <sheetView topLeftCell="A16" zoomScale="192" zoomScaleNormal="100" workbookViewId="0">
      <selection activeCell="D24" sqref="D24"/>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363</v>
      </c>
    </row>
    <row r="2" spans="1:14" x14ac:dyDescent="0.2">
      <c r="A2" s="4"/>
      <c r="C2" s="251" t="s">
        <v>114</v>
      </c>
      <c r="D2" s="251"/>
      <c r="E2" s="251"/>
      <c r="F2" s="251"/>
      <c r="G2" s="262"/>
      <c r="H2" s="263" t="s">
        <v>115</v>
      </c>
      <c r="I2" s="251"/>
      <c r="J2" s="251"/>
      <c r="K2" s="251"/>
      <c r="L2" s="251"/>
    </row>
    <row r="3" spans="1:14" ht="10" customHeight="1" x14ac:dyDescent="0.2"/>
    <row r="4" spans="1:14" ht="16" customHeight="1" x14ac:dyDescent="0.2">
      <c r="A4" s="86"/>
      <c r="B4" s="60"/>
      <c r="C4" s="259" t="s">
        <v>195</v>
      </c>
      <c r="D4" s="259"/>
      <c r="E4" s="259"/>
      <c r="F4" s="259"/>
      <c r="G4" s="259"/>
      <c r="H4" s="259"/>
      <c r="I4" s="259"/>
      <c r="J4" s="259"/>
      <c r="K4" s="259"/>
      <c r="L4" s="259"/>
    </row>
    <row r="5" spans="1:14" x14ac:dyDescent="0.2">
      <c r="B5" s="16" t="s">
        <v>118</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244</v>
      </c>
      <c r="C6" s="227">
        <f>Statement!M27</f>
        <v>2.1210178710178709</v>
      </c>
      <c r="D6" s="227">
        <f>Statement!N27</f>
        <v>1.094121111002061</v>
      </c>
      <c r="E6" s="227">
        <f>Statement!O27</f>
        <v>2.9</v>
      </c>
      <c r="F6" s="227">
        <f>Statement!P27</f>
        <v>5.53</v>
      </c>
      <c r="G6" s="228">
        <f>Statement!Q27</f>
        <v>5.9730303869954744</v>
      </c>
      <c r="H6" s="139"/>
      <c r="I6" s="139"/>
      <c r="J6" s="139"/>
      <c r="K6" s="139"/>
      <c r="L6" s="139"/>
      <c r="N6" s="91"/>
    </row>
    <row r="7" spans="1:14" x14ac:dyDescent="0.2">
      <c r="B7" s="16" t="s">
        <v>364</v>
      </c>
      <c r="C7" s="227">
        <f>Statement!M83</f>
        <v>0</v>
      </c>
      <c r="D7" s="227">
        <f>Statement!N83</f>
        <v>0</v>
      </c>
      <c r="E7" s="227">
        <f>Statement!O83</f>
        <v>0</v>
      </c>
      <c r="F7" s="227">
        <f>Statement!P83</f>
        <v>0</v>
      </c>
      <c r="G7" s="228">
        <f>Statement!Q83</f>
        <v>0</v>
      </c>
      <c r="H7" s="139"/>
      <c r="I7" s="139"/>
      <c r="J7" s="139"/>
      <c r="K7" s="139"/>
      <c r="L7" s="139"/>
      <c r="N7" s="91"/>
    </row>
    <row r="8" spans="1:14" x14ac:dyDescent="0.2">
      <c r="N8" s="91"/>
    </row>
    <row r="9" spans="1:14" x14ac:dyDescent="0.2">
      <c r="C9" s="259" t="s">
        <v>123</v>
      </c>
      <c r="D9" s="259"/>
      <c r="E9" s="259"/>
      <c r="F9" s="259"/>
      <c r="G9" s="259"/>
      <c r="H9" s="259"/>
      <c r="I9" s="259"/>
      <c r="J9" s="259"/>
      <c r="K9" s="259"/>
      <c r="L9" s="259"/>
      <c r="N9" s="91"/>
    </row>
    <row r="10" spans="1:14" x14ac:dyDescent="0.2">
      <c r="B10" s="16" t="s">
        <v>196</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244</v>
      </c>
      <c r="C11" s="139"/>
      <c r="D11" s="95">
        <f>(D6-C6)/C6</f>
        <v>-0.48415280891669471</v>
      </c>
      <c r="E11" s="95">
        <f>(E6-D6)/D6</f>
        <v>1.6505292429135272</v>
      </c>
      <c r="F11" s="95">
        <f>(F6-E6)/E6</f>
        <v>0.90689655172413808</v>
      </c>
      <c r="G11" s="96">
        <f>(G6-F6)/F6</f>
        <v>8.0113994031731306E-2</v>
      </c>
      <c r="H11" s="139"/>
      <c r="I11" s="139"/>
      <c r="J11" s="139"/>
      <c r="K11" s="139"/>
      <c r="L11" s="139"/>
      <c r="N11" s="91"/>
    </row>
    <row r="12" spans="1:14" x14ac:dyDescent="0.2">
      <c r="B12" s="1" t="s">
        <v>245</v>
      </c>
      <c r="C12" s="139"/>
      <c r="D12" s="95">
        <f>IF(C7=0,
IF(D7=0,0,IF(D7&gt;0,1,-1)),
(D7-C7)/ABS(C7)
)</f>
        <v>0</v>
      </c>
      <c r="E12" s="95">
        <f>IF(D7=0,
IF(E7=0,0,IF(E7&gt;0,1,-1)),
(E7-D7)/ABS(D7)
)</f>
        <v>0</v>
      </c>
      <c r="F12" s="95">
        <f>IF(E7=0,
IF(F7=0,0,IF(F7&gt;0,1,-1)),
(F7-E7)/ABS(E7)
)</f>
        <v>0</v>
      </c>
      <c r="G12" s="96">
        <f>IF(F7=0,
IF(G7=0,0,IF(G7&gt;0,1,-1)),
(G7-F7)/ABS(F7)
)</f>
        <v>0</v>
      </c>
      <c r="H12" s="139"/>
      <c r="I12" s="139"/>
      <c r="J12" s="139"/>
      <c r="K12" s="139"/>
      <c r="L12" s="139"/>
      <c r="N12" s="91"/>
    </row>
    <row r="13" spans="1:14" x14ac:dyDescent="0.2">
      <c r="N13" s="91"/>
    </row>
    <row r="14" spans="1:14" x14ac:dyDescent="0.2">
      <c r="C14" s="259" t="s">
        <v>365</v>
      </c>
      <c r="D14" s="259"/>
      <c r="E14" s="259"/>
      <c r="F14" s="259"/>
      <c r="G14" s="259"/>
      <c r="H14" s="259"/>
      <c r="I14" s="259"/>
      <c r="J14" s="259"/>
      <c r="K14" s="259"/>
      <c r="L14" s="259"/>
      <c r="N14" s="91"/>
    </row>
    <row r="15" spans="1:14" x14ac:dyDescent="0.2">
      <c r="B15" s="16" t="s">
        <v>333</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366</v>
      </c>
      <c r="C16" s="95">
        <f>C7/C6</f>
        <v>0</v>
      </c>
      <c r="D16" s="95">
        <f t="shared" ref="D16:G16" si="2">D7/D6</f>
        <v>0</v>
      </c>
      <c r="E16" s="95">
        <f t="shared" si="2"/>
        <v>0</v>
      </c>
      <c r="F16" s="95">
        <f t="shared" si="2"/>
        <v>0</v>
      </c>
      <c r="G16" s="96">
        <f t="shared" si="2"/>
        <v>0</v>
      </c>
      <c r="H16" s="139"/>
      <c r="I16" s="139"/>
      <c r="J16" s="139"/>
      <c r="K16" s="139"/>
      <c r="L16" s="139"/>
      <c r="N16" s="91"/>
    </row>
    <row r="17" spans="2:14" x14ac:dyDescent="0.2">
      <c r="N17" s="91"/>
    </row>
    <row r="18" spans="2:14" x14ac:dyDescent="0.2">
      <c r="N18" s="91"/>
    </row>
    <row r="19" spans="2:14" x14ac:dyDescent="0.2">
      <c r="N19" s="91"/>
    </row>
    <row r="20" spans="2:14" x14ac:dyDescent="0.2">
      <c r="B20" s="251" t="s">
        <v>367</v>
      </c>
      <c r="C20" s="251"/>
      <c r="N20" s="91"/>
    </row>
    <row r="21" spans="2:14" x14ac:dyDescent="0.2">
      <c r="B21" s="1" t="s">
        <v>368</v>
      </c>
      <c r="C21" s="229">
        <f>G7</f>
        <v>0</v>
      </c>
    </row>
    <row r="22" spans="2:14" x14ac:dyDescent="0.2">
      <c r="B22" s="1" t="s">
        <v>369</v>
      </c>
      <c r="C22" s="230">
        <v>0</v>
      </c>
    </row>
    <row r="23" spans="2:14" x14ac:dyDescent="0.2">
      <c r="B23" s="39" t="s">
        <v>370</v>
      </c>
      <c r="C23" s="231">
        <f>C21*(1+C22)</f>
        <v>0</v>
      </c>
    </row>
    <row r="24" spans="2:14" x14ac:dyDescent="0.2">
      <c r="B24" s="1" t="s">
        <v>345</v>
      </c>
      <c r="C24" s="137">
        <f ca="1">IF(Overview!C29&gt;0,Overview!C29,WACC!C19)</f>
        <v>0.11758550000000001</v>
      </c>
    </row>
    <row r="25" spans="2:14" x14ac:dyDescent="0.2">
      <c r="B25" s="39" t="s">
        <v>371</v>
      </c>
      <c r="C25" s="230">
        <v>0</v>
      </c>
    </row>
    <row r="26" spans="2:14" x14ac:dyDescent="0.2">
      <c r="B26" s="232" t="s">
        <v>210</v>
      </c>
      <c r="C26" s="233">
        <f ca="1">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zoomScale="176"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222</v>
      </c>
    </row>
    <row r="2" spans="1:28" s="83" customFormat="1" ht="18" customHeight="1" x14ac:dyDescent="0.2">
      <c r="A2" s="4"/>
      <c r="B2" s="82"/>
    </row>
    <row r="3" spans="1:28" x14ac:dyDescent="0.2">
      <c r="A3" s="4"/>
      <c r="C3" s="251" t="s">
        <v>114</v>
      </c>
      <c r="D3" s="251"/>
      <c r="E3" s="251"/>
      <c r="F3" s="251"/>
      <c r="G3" s="262"/>
      <c r="H3" s="263" t="s">
        <v>115</v>
      </c>
      <c r="I3" s="251"/>
      <c r="J3" s="251"/>
      <c r="K3" s="251"/>
      <c r="L3" s="251"/>
      <c r="P3" s="264"/>
      <c r="Q3" s="264"/>
      <c r="R3" s="264"/>
      <c r="S3" s="264"/>
      <c r="T3" s="264"/>
      <c r="U3" s="264"/>
      <c r="V3" s="264"/>
      <c r="W3" s="264"/>
      <c r="X3" s="264"/>
      <c r="Y3" s="264"/>
      <c r="Z3" s="264"/>
      <c r="AB3" s="111"/>
    </row>
    <row r="4" spans="1:28" ht="10" customHeight="1" x14ac:dyDescent="0.2"/>
    <row r="5" spans="1:28" ht="16" customHeight="1" x14ac:dyDescent="0.2">
      <c r="A5" s="86"/>
      <c r="B5" s="60"/>
      <c r="C5" s="259" t="s">
        <v>181</v>
      </c>
      <c r="D5" s="259"/>
      <c r="E5" s="259"/>
      <c r="F5" s="259"/>
      <c r="G5" s="259"/>
      <c r="H5" s="259"/>
      <c r="I5" s="259"/>
      <c r="J5" s="259"/>
      <c r="K5" s="259"/>
      <c r="L5" s="259"/>
      <c r="P5" s="264"/>
      <c r="Q5" s="264"/>
      <c r="R5" s="264"/>
      <c r="S5" s="264"/>
      <c r="T5" s="264"/>
      <c r="U5" s="264"/>
      <c r="V5" s="264"/>
      <c r="W5" s="264"/>
      <c r="X5" s="264"/>
      <c r="Y5" s="264"/>
      <c r="Z5" s="264"/>
      <c r="AB5" s="112"/>
    </row>
    <row r="6" spans="1:28" x14ac:dyDescent="0.2">
      <c r="B6" s="16" t="s">
        <v>134</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263</v>
      </c>
      <c r="C7" s="114">
        <f>'FCF &amp; Other'!C28</f>
        <v>-25828.818366197185</v>
      </c>
      <c r="D7" s="114">
        <f>'FCF &amp; Other'!D28</f>
        <v>-30362</v>
      </c>
      <c r="E7" s="114">
        <f>'FCF &amp; Other'!E28</f>
        <v>14258.652847671532</v>
      </c>
      <c r="F7" s="114">
        <f>'FCF &amp; Other'!F28</f>
        <v>13585.835645786574</v>
      </c>
      <c r="G7" s="115">
        <f>'FCF &amp; Other'!G28</f>
        <v>-24162.381563497052</v>
      </c>
      <c r="H7" s="128">
        <f>G7*(1+$C$17)</f>
        <v>-24887.253010401964</v>
      </c>
      <c r="I7" s="128">
        <f t="shared" ref="I7:L7" si="0">H7*(1+$C$17)</f>
        <v>-25633.870600714024</v>
      </c>
      <c r="J7" s="128">
        <f t="shared" si="0"/>
        <v>-26402.886718735444</v>
      </c>
      <c r="K7" s="128">
        <f t="shared" si="0"/>
        <v>-27194.973320297508</v>
      </c>
      <c r="L7" s="128">
        <f t="shared" si="0"/>
        <v>-28010.822519906433</v>
      </c>
      <c r="N7" s="91"/>
      <c r="O7" s="16"/>
      <c r="P7" s="92"/>
      <c r="Q7" s="92"/>
      <c r="R7" s="92"/>
      <c r="S7" s="92"/>
      <c r="T7" s="92"/>
      <c r="U7" s="92"/>
      <c r="V7" s="92"/>
      <c r="W7" s="92"/>
      <c r="X7" s="94"/>
      <c r="Y7" s="94"/>
      <c r="Z7" s="94"/>
      <c r="AB7" s="94"/>
    </row>
    <row r="8" spans="1:28" x14ac:dyDescent="0.2">
      <c r="B8" s="39" t="s">
        <v>182</v>
      </c>
      <c r="C8" s="139"/>
      <c r="D8" s="139"/>
      <c r="E8" s="139"/>
      <c r="F8" s="139"/>
      <c r="G8" s="140"/>
      <c r="H8" s="139"/>
      <c r="I8" s="139"/>
      <c r="J8" s="139"/>
      <c r="K8" s="139"/>
      <c r="L8" s="128">
        <f ca="1">L7*(1+C20)/(C21-C20)</f>
        <v>-306386.20590246184</v>
      </c>
      <c r="N8" s="91"/>
      <c r="O8" s="16"/>
      <c r="P8" s="92"/>
      <c r="Q8" s="92"/>
      <c r="R8" s="92"/>
      <c r="S8" s="92"/>
      <c r="T8" s="92"/>
      <c r="U8" s="92"/>
      <c r="V8" s="92"/>
      <c r="W8" s="92"/>
      <c r="X8" s="94"/>
      <c r="Y8" s="94"/>
      <c r="Z8" s="94"/>
      <c r="AB8" s="94"/>
    </row>
    <row r="9" spans="1:28" x14ac:dyDescent="0.2">
      <c r="B9" s="1" t="s">
        <v>183</v>
      </c>
      <c r="C9" s="139"/>
      <c r="D9" s="139"/>
      <c r="E9" s="139"/>
      <c r="F9" s="139"/>
      <c r="G9" s="140"/>
      <c r="H9" s="141">
        <v>1</v>
      </c>
      <c r="I9" s="141">
        <v>2</v>
      </c>
      <c r="J9" s="141">
        <v>3</v>
      </c>
      <c r="K9" s="141">
        <v>4</v>
      </c>
      <c r="L9" s="141">
        <v>5</v>
      </c>
      <c r="N9" s="91"/>
    </row>
    <row r="10" spans="1:28" x14ac:dyDescent="0.2">
      <c r="B10" s="1" t="s">
        <v>321</v>
      </c>
      <c r="C10" s="139"/>
      <c r="D10" s="139"/>
      <c r="E10" s="139"/>
      <c r="F10" s="139"/>
      <c r="G10" s="140"/>
      <c r="H10" s="128">
        <f ca="1">H7/(1+$C$21)^H9</f>
        <v>-22355.458957199018</v>
      </c>
      <c r="I10" s="128">
        <f t="shared" ref="I10:L10" ca="1" si="1">I7/(1+$C$21)^I9</f>
        <v>-20683.662488884151</v>
      </c>
      <c r="J10" s="128">
        <f t="shared" ca="1" si="1"/>
        <v>-19136.887092014113</v>
      </c>
      <c r="K10" s="128">
        <f t="shared" ca="1" si="1"/>
        <v>-17705.783381899178</v>
      </c>
      <c r="L10" s="128">
        <f t="shared" ca="1" si="1"/>
        <v>-16381.701143942033</v>
      </c>
      <c r="N10" s="91"/>
    </row>
    <row r="11" spans="1:28" x14ac:dyDescent="0.2">
      <c r="B11" s="1" t="s">
        <v>184</v>
      </c>
      <c r="C11" s="139"/>
      <c r="D11" s="139"/>
      <c r="E11" s="139"/>
      <c r="F11" s="139"/>
      <c r="G11" s="140"/>
      <c r="H11" s="139"/>
      <c r="I11" s="139"/>
      <c r="J11" s="139"/>
      <c r="K11" s="139"/>
      <c r="L11" s="128">
        <f ca="1">L8/(1+C21)^L9</f>
        <v>-179185.28654963552</v>
      </c>
    </row>
    <row r="13" spans="1:28" ht="17" thickBot="1" x14ac:dyDescent="0.25"/>
    <row r="14" spans="1:28" x14ac:dyDescent="0.2">
      <c r="B14" s="266" t="s">
        <v>223</v>
      </c>
      <c r="C14" s="267"/>
    </row>
    <row r="15" spans="1:28" x14ac:dyDescent="0.2">
      <c r="B15" s="155" t="s">
        <v>224</v>
      </c>
      <c r="C15" s="156">
        <f ca="1">Overview!C5</f>
        <v>243.79</v>
      </c>
    </row>
    <row r="16" spans="1:28" x14ac:dyDescent="0.2">
      <c r="B16" s="155" t="s">
        <v>225</v>
      </c>
      <c r="C16" s="156">
        <f ca="1">C36</f>
        <v>-30.998310737397926</v>
      </c>
    </row>
    <row r="17" spans="2:9" ht="17" thickBot="1" x14ac:dyDescent="0.25">
      <c r="B17" s="157" t="s">
        <v>325</v>
      </c>
      <c r="C17" s="158">
        <v>0.03</v>
      </c>
      <c r="E17" s="265" t="s">
        <v>226</v>
      </c>
      <c r="F17" s="265"/>
      <c r="G17" s="265"/>
      <c r="H17" s="265"/>
      <c r="I17" s="265"/>
    </row>
    <row r="18" spans="2:9" ht="17" thickBot="1" x14ac:dyDescent="0.25"/>
    <row r="19" spans="2:9" x14ac:dyDescent="0.2">
      <c r="B19" s="266" t="s">
        <v>185</v>
      </c>
      <c r="C19" s="267"/>
    </row>
    <row r="20" spans="2:9" x14ac:dyDescent="0.2">
      <c r="B20" s="159" t="s">
        <v>186</v>
      </c>
      <c r="C20" s="160">
        <v>0.02</v>
      </c>
    </row>
    <row r="21" spans="2:9" x14ac:dyDescent="0.2">
      <c r="B21" s="159" t="s">
        <v>166</v>
      </c>
      <c r="C21" s="220">
        <f ca="1">IF(Overview!C28&gt;0,Overview!C28,WACC!C20)</f>
        <v>0.11325171440453217</v>
      </c>
    </row>
    <row r="22" spans="2:9" x14ac:dyDescent="0.2">
      <c r="B22" s="159" t="s">
        <v>69</v>
      </c>
      <c r="C22" s="221">
        <f>Statement!AC76</f>
        <v>10786</v>
      </c>
    </row>
    <row r="23" spans="2:9" x14ac:dyDescent="0.2">
      <c r="B23" s="159" t="s">
        <v>227</v>
      </c>
      <c r="C23" s="161">
        <f ca="1">C15*C22</f>
        <v>2629518.94</v>
      </c>
    </row>
    <row r="24" spans="2:9" x14ac:dyDescent="0.2">
      <c r="B24" s="159" t="s">
        <v>179</v>
      </c>
      <c r="C24" s="221">
        <f>Statement!AC108</f>
        <v>114226</v>
      </c>
    </row>
    <row r="25" spans="2:9" x14ac:dyDescent="0.2">
      <c r="B25" s="159" t="s">
        <v>170</v>
      </c>
      <c r="C25" s="221">
        <f>Statement!AC109</f>
        <v>173125</v>
      </c>
    </row>
    <row r="26" spans="2:9" ht="17" thickBot="1" x14ac:dyDescent="0.25">
      <c r="B26" s="157" t="s">
        <v>228</v>
      </c>
      <c r="C26" s="162">
        <f ca="1">C23+C25-C24</f>
        <v>2688417.94</v>
      </c>
    </row>
    <row r="27" spans="2:9" ht="17" thickBot="1" x14ac:dyDescent="0.25"/>
    <row r="28" spans="2:9" x14ac:dyDescent="0.2">
      <c r="B28" s="266" t="s">
        <v>187</v>
      </c>
      <c r="C28" s="267"/>
    </row>
    <row r="29" spans="2:9" x14ac:dyDescent="0.2">
      <c r="B29" s="159" t="s">
        <v>188</v>
      </c>
      <c r="C29" s="161">
        <f ca="1">SUM(H10:L10)</f>
        <v>-96263.493063938498</v>
      </c>
    </row>
    <row r="30" spans="2:9" x14ac:dyDescent="0.2">
      <c r="B30" s="159" t="s">
        <v>184</v>
      </c>
      <c r="C30" s="161">
        <f ca="1">L11</f>
        <v>-179185.28654963552</v>
      </c>
    </row>
    <row r="31" spans="2:9" x14ac:dyDescent="0.2">
      <c r="B31" s="163" t="s">
        <v>189</v>
      </c>
      <c r="C31" s="164">
        <f ca="1">C29+C30</f>
        <v>-275448.77961357404</v>
      </c>
    </row>
    <row r="32" spans="2:9" x14ac:dyDescent="0.2">
      <c r="B32" s="159" t="s">
        <v>190</v>
      </c>
      <c r="C32" s="165">
        <f>C24</f>
        <v>114226</v>
      </c>
    </row>
    <row r="33" spans="2:3" x14ac:dyDescent="0.2">
      <c r="B33" s="159" t="s">
        <v>191</v>
      </c>
      <c r="C33" s="165">
        <f>C25</f>
        <v>173125</v>
      </c>
    </row>
    <row r="34" spans="2:3" x14ac:dyDescent="0.2">
      <c r="B34" s="163" t="s">
        <v>192</v>
      </c>
      <c r="C34" s="164">
        <f ca="1">C31+C32-C33</f>
        <v>-334347.77961357404</v>
      </c>
    </row>
    <row r="35" spans="2:3" x14ac:dyDescent="0.2">
      <c r="B35" s="159" t="s">
        <v>69</v>
      </c>
      <c r="C35" s="161">
        <f>C22</f>
        <v>10786</v>
      </c>
    </row>
    <row r="36" spans="2:3" ht="17" thickBot="1" x14ac:dyDescent="0.25">
      <c r="B36" s="166" t="s">
        <v>193</v>
      </c>
      <c r="C36" s="167">
        <f ca="1">C34/C35</f>
        <v>-30.998310737397926</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2026-10-29T21:39:36Z</dcterms:modified>
</cp:coreProperties>
</file>