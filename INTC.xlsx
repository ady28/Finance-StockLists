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80F10B2-5260-5B4C-A9CE-17F11B4A320A}"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9" i="1"/>
  <c r="H8"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1" i="1" s="1"/>
  <c r="AC78" i="3" l="1"/>
  <c r="AA153" i="3"/>
  <c r="AA154" i="3" s="1"/>
  <c r="C67" i="12"/>
  <c r="C46" i="12"/>
  <c r="AC183" i="3"/>
  <c r="AA11" i="5"/>
  <c r="E17" i="5"/>
  <c r="F17" i="5"/>
  <c r="H14" i="8"/>
  <c r="I5" i="8"/>
  <c r="I32" i="8" s="1"/>
  <c r="G11" i="17"/>
  <c r="F11" i="17"/>
  <c r="E11" i="17"/>
  <c r="D11" i="17"/>
  <c r="C11" i="17"/>
  <c r="H19" i="8"/>
  <c r="C24" i="14"/>
  <c r="C22" i="11"/>
  <c r="C70" i="12"/>
  <c r="C25" i="11"/>
  <c r="C49"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I7" i="1" s="1"/>
  <c r="C45" i="12" l="1"/>
  <c r="C48" i="12" s="1"/>
  <c r="C50" i="12" s="1"/>
  <c r="C6" i="13" s="1"/>
  <c r="I4" i="1" s="1"/>
  <c r="C61" i="12"/>
  <c r="C64" i="12" s="1"/>
  <c r="C65" i="12" s="1"/>
  <c r="C66" i="12" s="1"/>
  <c r="C69" i="12" s="1"/>
  <c r="L10" i="11"/>
  <c r="L9" i="12" s="1"/>
  <c r="L8" i="11"/>
  <c r="L11" i="11" s="1"/>
  <c r="C20" i="11" s="1"/>
  <c r="L15" i="12"/>
  <c r="K15" i="12"/>
  <c r="C71" i="12" l="1"/>
  <c r="C8" i="13" s="1"/>
  <c r="I6" i="1" s="1"/>
  <c r="C19" i="11"/>
  <c r="C21" i="11" l="1"/>
  <c r="C24" i="11" s="1"/>
  <c r="C26" i="11" s="1"/>
  <c r="C5" i="13" s="1"/>
  <c r="C10" i="13" s="1"/>
  <c r="P43" i="3"/>
  <c r="P71" i="3" s="1"/>
  <c r="I3" i="1" l="1"/>
  <c r="M43" i="3"/>
  <c r="M71" i="3" s="1"/>
  <c r="N43" i="3"/>
  <c r="N71" i="3" s="1"/>
  <c r="O43" i="3"/>
  <c r="O71" i="3" s="1"/>
  <c r="I8" i="1" l="1"/>
  <c r="C12" i="13"/>
  <c r="I9" i="1" s="1"/>
  <c r="AA43" i="3"/>
  <c r="AA71" i="3" s="1"/>
  <c r="AC43" i="3" l="1"/>
  <c r="AC71" i="3" s="1"/>
  <c r="AC53" i="3" l="1"/>
  <c r="AC166" i="3" l="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<sst xmlns="http://schemas.openxmlformats.org/spreadsheetml/2006/main" count="790" uniqueCount="419">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</sst>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32.89</v>
    <v>2.3532999999999999</v>
    <v>-3.14</v>
    <v>-2.6314000000000001E-2</v>
    <v>0.2177</v>
    <v>1.874E-3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118.0583</v>
    <v>Semiconductors &amp; Semiconductor Equipment</v>
    <v>Stock</v>
    <v>46300.892228853903</v>
    <v>0</v>
    <v>115.31</v>
    <v>614072167110</v>
    <v>INTEL CORPORATION</v>
    <v>INTEL CORPORATION</v>
    <v>115.33499999999999</v>
    <v>0</v>
    <v>119.33</v>
    <v>116.19</v>
    <v>116.40770000000001</v>
    <v>5285069000</v>
    <v>INTC</v>
    <v>INTEL CORPORATION (XNAS:INTC)</v>
    <v>81014393</v>
    <v>104373065</v>
    <v>1989</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282</v>
      </c>
      <c r="F2" s="233"/>
      <c r="H2" s="232" t="s">
        <v>320</v>
      </c>
      <c r="I2" s="233"/>
    </row>
    <row r="3" spans="2:9" x14ac:dyDescent="0.2">
      <c r="B3" s="180" t="s">
        <v>11</v>
      </c>
      <c r="C3" s="215" t="e" vm="1">
        <v>#VALUE!</v>
      </c>
      <c r="D3" s="2"/>
      <c r="E3" s="180" t="s">
        <v>234</v>
      </c>
      <c r="F3" s="182">
        <f ca="1">Statement!AC153</f>
        <v>586062.36</v>
      </c>
      <c r="H3" s="180" t="str">
        <f>'AVG target price'!B5</f>
        <v>DCF price</v>
      </c>
      <c r="I3" s="206">
        <f ca="1">'AVG target price'!C5</f>
        <v>-9.9335819864773587</v>
      </c>
    </row>
    <row r="4" spans="2:9" x14ac:dyDescent="0.2">
      <c r="B4" s="180" t="s">
        <v>0</v>
      </c>
      <c r="C4" s="184" t="str" cm="1">
        <f t="array" aca="1" ref="C4" ca="1">_FV(C3,"Ticker symbol",TRUE)</f>
        <v>INTC</v>
      </c>
      <c r="E4" s="181" t="s">
        <v>183</v>
      </c>
      <c r="F4" s="183">
        <f ca="1">Statement!AC154</f>
        <v>614063.35999999999</v>
      </c>
      <c r="H4" s="180" t="str">
        <f>'AVG target price'!B6</f>
        <v>EV/EBIT price</v>
      </c>
      <c r="I4" s="206">
        <f ca="1">'AVG target price'!C6</f>
        <v>36.173902272610633</v>
      </c>
    </row>
    <row r="5" spans="2:9" x14ac:dyDescent="0.2">
      <c r="B5" s="180" t="s">
        <v>1</v>
      </c>
      <c r="C5" s="203" cm="1">
        <f t="array" aca="1" ref="C5" ca="1">_FV(C3,"Price",TRUE)</f>
        <v>116.19</v>
      </c>
      <c r="E5" s="180" t="s">
        <v>238</v>
      </c>
      <c r="F5" s="184">
        <f>Statement!AC26</f>
        <v>-2.1100000000000003</v>
      </c>
      <c r="H5" s="180" t="str">
        <f>'AVG target price'!B7</f>
        <v>PS price</v>
      </c>
      <c r="I5" s="206">
        <f>'AVG target price'!C7</f>
        <v>48.738460839691712</v>
      </c>
    </row>
    <row r="6" spans="2:9" x14ac:dyDescent="0.2">
      <c r="B6" s="180" t="s">
        <v>2</v>
      </c>
      <c r="C6" s="203" cm="1">
        <f t="array" aca="1" ref="C6" ca="1">_FV(C3,"Price (Extended hours)",TRUE)</f>
        <v>116.40770000000001</v>
      </c>
      <c r="E6" s="180" t="s">
        <v>232</v>
      </c>
      <c r="F6" s="185">
        <f ca="1">Statement!AC150</f>
        <v>-55.066350710900466</v>
      </c>
      <c r="H6" s="180" t="str">
        <f>'AVG target price'!B8</f>
        <v>EV/FCFF price</v>
      </c>
      <c r="I6" s="206">
        <f ca="1">'AVG target price'!C8</f>
        <v>-21.033300890971983</v>
      </c>
    </row>
    <row r="7" spans="2:9" x14ac:dyDescent="0.2">
      <c r="B7" s="180" t="s">
        <v>3</v>
      </c>
      <c r="C7" s="6" cm="1">
        <f t="array" aca="1" ref="C7" ca="1">_FV(C3,"Change")</f>
        <v>-3.14</v>
      </c>
      <c r="E7" s="181" t="s">
        <v>196</v>
      </c>
      <c r="F7" s="186">
        <f ca="1">Statement!AC151</f>
        <v>9.9607581270164118</v>
      </c>
      <c r="H7" s="180" t="str">
        <f>'AVG target price'!B9</f>
        <v>EV/Sales price</v>
      </c>
      <c r="I7" s="206">
        <f ca="1">'AVG target price'!C9</f>
        <v>40.421130260648567</v>
      </c>
    </row>
    <row r="8" spans="2:9" x14ac:dyDescent="0.2">
      <c r="B8" s="180" t="s">
        <v>4</v>
      </c>
      <c r="C8" s="6" cm="1">
        <f t="array" aca="1" ref="C8" ca="1">_FV(C3,"Change (extended hours)",TRUE)</f>
        <v>0.2177</v>
      </c>
      <c r="E8" s="180" t="s">
        <v>260</v>
      </c>
      <c r="F8" s="187">
        <f ca="1">Statement!AC161</f>
        <v>-1.9187377943876142E-2</v>
      </c>
      <c r="H8" s="179" t="str">
        <f>'AVG target price'!B10</f>
        <v>AVG price</v>
      </c>
      <c r="I8" s="207">
        <f ca="1">'AVG target price'!C10</f>
        <v>18.873322099100314</v>
      </c>
    </row>
    <row r="9" spans="2:9" x14ac:dyDescent="0.2">
      <c r="B9" s="180" t="s">
        <v>5</v>
      </c>
      <c r="C9" s="72" cm="1">
        <f t="array" aca="1" ref="C9" ca="1">_FV(C3,"Change (%)",TRUE)</f>
        <v>-2.6314000000000001E-2</v>
      </c>
      <c r="E9" s="180" t="s">
        <v>283</v>
      </c>
      <c r="F9" s="187">
        <f ca="1">Statement!AC162</f>
        <v>-1.8159910491436445E-2</v>
      </c>
      <c r="H9" s="179" t="str">
        <f>'AVG target price'!B12</f>
        <v>Upside/Downside</v>
      </c>
      <c r="I9" s="208">
        <f ca="1">'AVG target price'!C12</f>
        <v>-0.8375650047413693</v>
      </c>
    </row>
    <row r="10" spans="2:9" x14ac:dyDescent="0.2">
      <c r="B10" s="180" t="s">
        <v>6</v>
      </c>
      <c r="C10" s="72" cm="1">
        <f t="array" aca="1" ref="C10" ca="1">_FV(C3,"Change % (extended hours)",TRUE)</f>
        <v>1.874E-3</v>
      </c>
      <c r="E10" s="180" t="s">
        <v>288</v>
      </c>
      <c r="F10" s="187">
        <f ca="1">Statement!AC164</f>
        <v>0</v>
      </c>
    </row>
    <row r="11" spans="2:9" x14ac:dyDescent="0.2">
      <c r="B11" s="180" t="s">
        <v>7</v>
      </c>
      <c r="C11" s="204" cm="1">
        <f t="array" aca="1" ref="C11" ca="1">_FV(C3,"52 week high",TRUE)</f>
        <v>142.35</v>
      </c>
      <c r="E11" s="181" t="s">
        <v>284</v>
      </c>
      <c r="F11" s="188">
        <f ca="1">Statement!AC163</f>
        <v>0</v>
      </c>
      <c r="H11" s="179" t="s">
        <v>401</v>
      </c>
      <c r="I11" s="207">
        <f>DDM!C26</f>
        <v>0</v>
      </c>
    </row>
    <row r="12" spans="2:9" x14ac:dyDescent="0.2">
      <c r="B12" s="180" t="s">
        <v>8</v>
      </c>
      <c r="C12" s="204" cm="1">
        <f t="array" aca="1" ref="C12" ca="1">_FV(C3,"52 week low",TRUE)</f>
        <v>32.89</v>
      </c>
      <c r="E12" s="180" t="s">
        <v>97</v>
      </c>
      <c r="F12" s="187">
        <f>Statement!AC123</f>
        <v>-5.5285789793468654E-2</v>
      </c>
    </row>
    <row r="13" spans="2:9" x14ac:dyDescent="0.2">
      <c r="B13" s="180" t="s">
        <v>9</v>
      </c>
      <c r="C13" s="204" cm="1">
        <f t="array" aca="1" ref="C13" ca="1">_FV(C3,"Beta")</f>
        <v>2.3532999999999999</v>
      </c>
      <c r="E13" s="180" t="s">
        <v>99</v>
      </c>
      <c r="F13" s="187">
        <f>Statement!AC125</f>
        <v>-0.12784720477028169</v>
      </c>
      <c r="H13" s="179" t="s">
        <v>418</v>
      </c>
      <c r="I13" s="208">
        <f>'Reverse DCF'!C17</f>
        <v>0.65</v>
      </c>
    </row>
    <row r="14" spans="2:9" x14ac:dyDescent="0.2">
      <c r="B14" s="181" t="s">
        <v>10</v>
      </c>
      <c r="C14" s="205" cm="1">
        <f t="array" aca="1" ref="C14" ca="1">_FV(C3,"Volume average",TRUE)</f>
        <v>104373065</v>
      </c>
      <c r="E14" s="181" t="s">
        <v>100</v>
      </c>
      <c r="F14" s="188">
        <f>Statement!AC140</f>
        <v>-6.6641856278614885E-4</v>
      </c>
    </row>
    <row r="15" spans="2:9" x14ac:dyDescent="0.2">
      <c r="E15" s="180" t="s">
        <v>285</v>
      </c>
      <c r="F15" s="187">
        <f ca="1">Statement!AC176</f>
        <v>-2.1158157981686455E-2</v>
      </c>
    </row>
    <row r="16" spans="2:9" x14ac:dyDescent="0.2">
      <c r="E16" s="181" t="s">
        <v>290</v>
      </c>
      <c r="F16" s="186">
        <f>Statement!AC175</f>
        <v>-2.4583663758921492</v>
      </c>
    </row>
    <row r="17" spans="2:9" x14ac:dyDescent="0.2">
      <c r="B17" s="234" t="s">
        <v>87</v>
      </c>
      <c r="C17" s="234"/>
      <c r="E17" s="179" t="s">
        <v>291</v>
      </c>
      <c r="F17" s="189">
        <f>Statement!AC171</f>
        <v>5.947660586835844E-4</v>
      </c>
    </row>
    <row r="18" spans="2:9" x14ac:dyDescent="0.2">
      <c r="B18" s="179" t="s">
        <v>12</v>
      </c>
      <c r="C18" s="68" t="s">
        <v>325</v>
      </c>
      <c r="E18" s="180" t="s">
        <v>292</v>
      </c>
      <c r="F18" s="185">
        <f>Statement!AC144</f>
        <v>64.755312947057305</v>
      </c>
    </row>
    <row r="19" spans="2:9" x14ac:dyDescent="0.2">
      <c r="B19" s="179" t="s">
        <v>13</v>
      </c>
      <c r="C19" s="69">
        <v>1000000</v>
      </c>
      <c r="E19" s="180" t="s">
        <v>253</v>
      </c>
      <c r="F19" s="185">
        <f>Statement!AC146</f>
        <v>0.14164629549244934</v>
      </c>
      <c r="I19" s="50"/>
    </row>
    <row r="20" spans="2:9" x14ac:dyDescent="0.2">
      <c r="B20" s="179" t="s">
        <v>88</v>
      </c>
      <c r="C20" s="68" t="s">
        <v>363</v>
      </c>
      <c r="E20" s="181" t="s">
        <v>293</v>
      </c>
      <c r="F20" s="186">
        <f>Statement!AC147</f>
        <v>1.1822259601906364</v>
      </c>
    </row>
    <row r="21" spans="2:9" x14ac:dyDescent="0.2">
      <c r="B21" s="179" t="s">
        <v>89</v>
      </c>
      <c r="C21" s="68" t="s">
        <v>363</v>
      </c>
    </row>
    <row r="22" spans="2:9" x14ac:dyDescent="0.2">
      <c r="B22" s="179" t="s">
        <v>90</v>
      </c>
      <c r="C22" s="68" t="s">
        <v>340</v>
      </c>
      <c r="I22" s="50"/>
    </row>
    <row r="25" spans="2:9" x14ac:dyDescent="0.2">
      <c r="B25" s="234" t="s">
        <v>102</v>
      </c>
      <c r="C25" s="234"/>
      <c r="E25" s="232" t="s">
        <v>373</v>
      </c>
      <c r="F25" s="233"/>
    </row>
    <row r="26" spans="2:9" x14ac:dyDescent="0.2">
      <c r="B26" s="179" t="s">
        <v>103</v>
      </c>
      <c r="C26" s="165">
        <v>0.21</v>
      </c>
      <c r="E26" s="180" t="e" vm="2">
        <v>#VALUE!</v>
      </c>
      <c r="F26" s="218" cm="1">
        <f t="array" aca="1" ref="F26" ca="1">_FV(E26,"Price")</f>
        <v>52.77</v>
      </c>
    </row>
    <row r="27" spans="2:9" x14ac:dyDescent="0.2">
      <c r="B27" s="179" t="s">
        <v>167</v>
      </c>
      <c r="C27" s="213">
        <v>5.6000000000000001E-2</v>
      </c>
      <c r="E27" s="181" t="s">
        <v>374</v>
      </c>
      <c r="F27" s="219">
        <f ca="1">F26/1000</f>
        <v>5.2770000000000004E-2</v>
      </c>
    </row>
    <row r="28" spans="2:9" x14ac:dyDescent="0.2">
      <c r="B28" s="179" t="s">
        <v>378</v>
      </c>
      <c r="C28" s="213">
        <v>0</v>
      </c>
    </row>
    <row r="29" spans="2:9" x14ac:dyDescent="0.2">
      <c r="B29" s="179" t="s">
        <v>391</v>
      </c>
      <c r="C29" s="213">
        <v>0.12</v>
      </c>
    </row>
    <row r="33" spans="2:8" x14ac:dyDescent="0.2">
      <c r="B33" s="131" t="s">
        <v>343</v>
      </c>
      <c r="C33" s="131"/>
      <c r="D33" s="131"/>
      <c r="E33" s="131"/>
      <c r="F33" s="131"/>
      <c r="G33" s="131"/>
      <c r="H33" s="131"/>
    </row>
    <row r="35" spans="2:8" x14ac:dyDescent="0.2">
      <c r="B35" s="16" t="s">
        <v>344</v>
      </c>
      <c r="C35" s="1" t="s">
        <v>357</v>
      </c>
    </row>
    <row r="36" spans="2:8" x14ac:dyDescent="0.2">
      <c r="B36" s="16" t="s">
        <v>345</v>
      </c>
      <c r="C36" s="1" t="s">
        <v>372</v>
      </c>
    </row>
    <row r="39" spans="2:8" ht="8" customHeight="1" x14ac:dyDescent="0.2">
      <c r="B39" s="131"/>
      <c r="C39" s="131"/>
      <c r="D39" s="131"/>
      <c r="E39" s="131"/>
      <c r="F39" s="131"/>
      <c r="G39" s="131"/>
      <c r="H39" s="131"/>
    </row>
    <row r="42" spans="2:8" x14ac:dyDescent="0.2">
      <c r="B42" s="131" t="s">
        <v>346</v>
      </c>
      <c r="C42" s="131"/>
      <c r="D42" s="131"/>
      <c r="E42" s="131"/>
      <c r="F42" s="131"/>
      <c r="G42" s="131"/>
      <c r="H42" s="1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131"/>
      <c r="C52" s="131"/>
      <c r="D52" s="131"/>
      <c r="E52" s="131"/>
      <c r="F52" s="131"/>
      <c r="G52" s="131"/>
      <c r="H52" s="131"/>
    </row>
    <row r="55" spans="2:8" x14ac:dyDescent="0.2">
      <c r="B55" s="131" t="s">
        <v>104</v>
      </c>
      <c r="C55" s="131"/>
      <c r="D55" s="131"/>
      <c r="E55" s="131"/>
      <c r="F55" s="131"/>
      <c r="G55" s="131"/>
      <c r="H55" s="131"/>
    </row>
    <row r="57" spans="2:8" x14ac:dyDescent="0.2">
      <c r="B57" s="41" t="s">
        <v>347</v>
      </c>
      <c r="C57" s="41" t="s">
        <v>332</v>
      </c>
      <c r="D57" s="41"/>
      <c r="E57" s="41" t="s">
        <v>86</v>
      </c>
    </row>
    <row r="62" spans="2:8" ht="7" customHeight="1" x14ac:dyDescent="0.2">
      <c r="B62" s="131"/>
      <c r="C62" s="131"/>
      <c r="D62" s="131"/>
      <c r="E62" s="131"/>
      <c r="F62" s="131"/>
      <c r="G62" s="131"/>
      <c r="H62" s="131"/>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tabSelected="1" zoomScale="160" zoomScaleNormal="150" workbookViewId="0">
      <pane xSplit="2" ySplit="3" topLeftCell="Y148"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116.19</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116.19</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-55.066350710900466</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9.9607581270164118</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6.6946421146421144</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586062.36</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614063.35999999999</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10.766996773741058</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-7974.8488311688307</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AC109+AC53+AC110+AC55+AC57+AC58+AC56</f>
        <v>-7711</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-52.117595375722544</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-79.63472441966023</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-1.9187377943876142E-2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-1.8159910491436445E-2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2.728378597799729E-3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-0.13520479730677515</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-2.1158157981686455E-2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5" t="s">
        <v>228</v>
      </c>
      <c r="C4" s="235"/>
      <c r="E4" s="235" t="s">
        <v>235</v>
      </c>
      <c r="F4" s="235"/>
      <c r="G4" s="235"/>
    </row>
    <row r="5" spans="2:7" x14ac:dyDescent="0.2">
      <c r="B5" s="20" t="s">
        <v>1</v>
      </c>
      <c r="C5" s="167">
        <f ca="1">Overview!C5</f>
        <v>116.19</v>
      </c>
      <c r="E5" s="12"/>
      <c r="F5" s="131" t="s">
        <v>236</v>
      </c>
      <c r="G5" s="131" t="s">
        <v>237</v>
      </c>
    </row>
    <row r="6" spans="2:7" x14ac:dyDescent="0.2">
      <c r="B6" s="20" t="s">
        <v>234</v>
      </c>
      <c r="C6" s="168">
        <f ca="1">Statement!AC153</f>
        <v>586062.36</v>
      </c>
      <c r="E6" s="20" t="s">
        <v>19</v>
      </c>
      <c r="F6" s="173">
        <f>IF(Statement!M5&lt;=0,"N/A",_xlfn.RRI(4,Statement!M5,Statement!Q5))</f>
        <v>-9.5668499906773397E-2</v>
      </c>
      <c r="G6" s="173" t="str">
        <f>IF(Statement!H5&lt;=0,"N/A",_xlfn.RRI(9,Statement!H5,Statement!Q5))</f>
        <v>N/A</v>
      </c>
    </row>
    <row r="7" spans="2:7" x14ac:dyDescent="0.2">
      <c r="B7" s="20" t="s">
        <v>183</v>
      </c>
      <c r="C7" s="168">
        <f ca="1">Statement!AC154</f>
        <v>614063.35999999999</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-55.066350710900466</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9.9607581270164118</v>
      </c>
      <c r="E9" s="20" t="s">
        <v>239</v>
      </c>
      <c r="F9" s="173">
        <f>IF(Statement!M82&lt;=0,"N/A",_xlfn.RRI(4,Statement!M82,Statement!Q82))</f>
        <v>-1</v>
      </c>
      <c r="G9" s="173" t="str">
        <f>IF(Statement!H82&lt;=0,"N/A",_xlfn.RRI(9,Statement!H82,Statement!Q82))</f>
        <v>N/A</v>
      </c>
    </row>
    <row r="10" spans="2:7" x14ac:dyDescent="0.2">
      <c r="B10" s="20" t="s">
        <v>233</v>
      </c>
      <c r="C10" s="169">
        <f ca="1">Statement!AC152</f>
        <v>6.6946421146421144</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10.766996773741058</v>
      </c>
    </row>
    <row r="12" spans="2:7" x14ac:dyDescent="0.2">
      <c r="B12" s="20" t="s">
        <v>199</v>
      </c>
      <c r="C12" s="169">
        <f ca="1">Statement!AC156</f>
        <v>-7974.8488311688307</v>
      </c>
    </row>
    <row r="15" spans="2:7" x14ac:dyDescent="0.2">
      <c r="B15" s="235" t="s">
        <v>75</v>
      </c>
      <c r="C15" s="235"/>
      <c r="E15" s="235" t="s">
        <v>241</v>
      </c>
      <c r="F15" s="235"/>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5" t="s">
        <v>240</v>
      </c>
      <c r="C21" s="235"/>
      <c r="E21" s="235" t="s">
        <v>244</v>
      </c>
      <c r="F21" s="235"/>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5" t="s">
        <v>245</v>
      </c>
      <c r="C29" s="235"/>
      <c r="E29" s="235" t="s">
        <v>251</v>
      </c>
      <c r="F29" s="235"/>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5" t="s">
        <v>263</v>
      </c>
      <c r="C37" s="235"/>
      <c r="E37" s="235" t="s">
        <v>266</v>
      </c>
      <c r="F37" s="235"/>
    </row>
    <row r="38" spans="2:6" x14ac:dyDescent="0.2">
      <c r="B38" s="20" t="s">
        <v>261</v>
      </c>
      <c r="C38" s="170">
        <f ca="1">Statement!AC162</f>
        <v>-1.8159910491436445E-2</v>
      </c>
      <c r="E38" s="20" t="s">
        <v>265</v>
      </c>
      <c r="F38" s="170">
        <f>Statement!AC168</f>
        <v>-0.14219653179190753</v>
      </c>
    </row>
    <row r="39" spans="2:6" x14ac:dyDescent="0.2">
      <c r="B39" s="54" t="s">
        <v>264</v>
      </c>
      <c r="C39" s="210">
        <f ca="1">Statement!AC161</f>
        <v>-1.9187377943876142E-2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2.728378597799729E-3</v>
      </c>
    </row>
    <row r="45" spans="2:6" x14ac:dyDescent="0.2">
      <c r="B45" s="235" t="s">
        <v>274</v>
      </c>
      <c r="C45" s="235"/>
      <c r="E45" s="235" t="s">
        <v>280</v>
      </c>
      <c r="F45" s="235"/>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-2.1158157981686455E-2</v>
      </c>
    </row>
    <row r="51" spans="2:6" x14ac:dyDescent="0.2">
      <c r="B51" s="235" t="s">
        <v>277</v>
      </c>
      <c r="C51" s="235"/>
      <c r="E51" s="235" t="s">
        <v>298</v>
      </c>
      <c r="F51" s="235"/>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116.19</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586062.36</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614063.35999999999</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-55.066350710900466</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9.9607581270164118</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6.6946421146421144</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10.766996773741058</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-7974.8488311688307</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-1.8159910491436445E-2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-1.9187377943876142E-2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2.728378597799729E-3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-2.1158157981686455E-2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308</v>
      </c>
      <c r="D3" s="239"/>
      <c r="F3" s="240" t="s">
        <v>309</v>
      </c>
      <c r="G3" s="239"/>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36">
        <f>Statement!AA89</f>
        <v>0.18789128673491934</v>
      </c>
      <c r="D7" s="237"/>
      <c r="F7" s="236">
        <f>IF(F6=0,
IF(G6=0,0,IF(G6&gt;0,1,-1)),
(G6-F6)/ABS(F6)
)</f>
        <v>0.25421883505715842</v>
      </c>
      <c r="G7" s="237"/>
    </row>
    <row r="8" spans="2:7" x14ac:dyDescent="0.2">
      <c r="B8" s="202" t="s">
        <v>20</v>
      </c>
      <c r="C8" s="195">
        <f>Statement!Z6</f>
        <v>8230</v>
      </c>
      <c r="D8" s="193">
        <f>Statement!AA6</f>
        <v>9619</v>
      </c>
      <c r="F8" s="195">
        <f>Statement!W6</f>
        <v>9317</v>
      </c>
      <c r="G8" s="193">
        <f>Statement!AA6</f>
        <v>9619</v>
      </c>
    </row>
    <row r="9" spans="2:7" x14ac:dyDescent="0.2">
      <c r="B9" s="201" t="s">
        <v>310</v>
      </c>
      <c r="C9" s="236">
        <f>Statement!AA90</f>
        <v>0.16877278250303768</v>
      </c>
      <c r="D9" s="237"/>
      <c r="F9" s="236">
        <f>IF(F8=0,
IF(G8=0,0,IF(G8&gt;0,1,-1)),
(G8-F8)/ABS(F8)
)</f>
        <v>3.2413867124610925E-2</v>
      </c>
      <c r="G9" s="237"/>
    </row>
    <row r="10" spans="2:7" x14ac:dyDescent="0.2">
      <c r="B10" s="202" t="s">
        <v>21</v>
      </c>
      <c r="C10" s="195">
        <f>Statement!Z7</f>
        <v>5347</v>
      </c>
      <c r="D10" s="193">
        <f>Statement!AA7</f>
        <v>6509</v>
      </c>
      <c r="F10" s="195">
        <f>Statement!W7</f>
        <v>3542</v>
      </c>
      <c r="G10" s="193">
        <f>Statement!AA7</f>
        <v>6509</v>
      </c>
    </row>
    <row r="11" spans="2:7" x14ac:dyDescent="0.2">
      <c r="B11" s="201" t="s">
        <v>310</v>
      </c>
      <c r="C11" s="236">
        <f>Statement!AA91</f>
        <v>0.21731812231157657</v>
      </c>
      <c r="D11" s="237"/>
      <c r="F11" s="236">
        <f>IF(F10=0,
IF(G10=0,0,IF(G10&gt;0,1,-1)),
(G10-F10)/ABS(F10)
)</f>
        <v>0.83766233766233766</v>
      </c>
      <c r="G11" s="237"/>
    </row>
    <row r="12" spans="2:7" x14ac:dyDescent="0.2">
      <c r="B12" s="202" t="s">
        <v>23</v>
      </c>
      <c r="C12" s="195">
        <f>Statement!Z11</f>
        <v>8483</v>
      </c>
      <c r="D12" s="193">
        <f>Statement!AA11</f>
        <v>4713</v>
      </c>
      <c r="F12" s="195">
        <f>Statement!W11</f>
        <v>6718</v>
      </c>
      <c r="G12" s="193">
        <f>Statement!AA11</f>
        <v>4713</v>
      </c>
    </row>
    <row r="13" spans="2:7" x14ac:dyDescent="0.2">
      <c r="B13" s="201" t="s">
        <v>310</v>
      </c>
      <c r="C13" s="236">
        <f>Statement!AA95</f>
        <v>-0.44441824826122833</v>
      </c>
      <c r="D13" s="237"/>
      <c r="F13" s="236">
        <f>IF(F12=0,
IF(G12=0,0,IF(G12&gt;0,1,-1)),
(G12-F12)/ABS(F12)
)</f>
        <v>-0.29845192021434952</v>
      </c>
      <c r="G13" s="237"/>
    </row>
    <row r="14" spans="2:7" x14ac:dyDescent="0.2">
      <c r="B14" s="202" t="s">
        <v>311</v>
      </c>
      <c r="C14" s="195">
        <f>Statement!Z12</f>
        <v>-3136</v>
      </c>
      <c r="D14" s="193">
        <f>Statement!AA12</f>
        <v>1796</v>
      </c>
      <c r="F14" s="195">
        <f>Statement!W12</f>
        <v>-3176</v>
      </c>
      <c r="G14" s="193">
        <f>Statement!AA12</f>
        <v>1796</v>
      </c>
    </row>
    <row r="15" spans="2:7" x14ac:dyDescent="0.2">
      <c r="B15" s="201" t="s">
        <v>310</v>
      </c>
      <c r="C15" s="236">
        <f>Statement!AA96</f>
        <v>1.572704081632653</v>
      </c>
      <c r="D15" s="237"/>
      <c r="F15" s="236">
        <f>IF(F14=0,
IF(G14=0,0,IF(G14&gt;0,1,-1)),
(G14-F14)/ABS(F14)
)</f>
        <v>1.5654911838790933</v>
      </c>
      <c r="G15" s="237"/>
    </row>
    <row r="16" spans="2:7" x14ac:dyDescent="0.2">
      <c r="B16" s="202" t="s">
        <v>29</v>
      </c>
      <c r="C16" s="195">
        <f>Statement!Z18</f>
        <v>-3728</v>
      </c>
      <c r="D16" s="193">
        <f>Statement!AA18</f>
        <v>-11033</v>
      </c>
      <c r="F16" s="195">
        <f>Statement!W18</f>
        <v>-2918</v>
      </c>
      <c r="G16" s="193">
        <f>Statement!AA18</f>
        <v>-11033</v>
      </c>
    </row>
    <row r="17" spans="2:7" x14ac:dyDescent="0.2">
      <c r="B17" s="201" t="s">
        <v>310</v>
      </c>
      <c r="C17" s="236">
        <f>Statement!AA98</f>
        <v>-1.9594957081545064</v>
      </c>
      <c r="D17" s="237"/>
      <c r="F17" s="236">
        <f>IF(F16=0,
IF(G16=0,0,IF(G16&gt;0,1,-1)),
(G16-F16)/ABS(F16)
)</f>
        <v>-2.781014393420151</v>
      </c>
      <c r="G17" s="237"/>
    </row>
    <row r="18" spans="2:7" x14ac:dyDescent="0.2">
      <c r="B18" s="202" t="s">
        <v>312</v>
      </c>
      <c r="C18" s="195">
        <f>Statement!Z22</f>
        <v>5083</v>
      </c>
      <c r="D18" s="193">
        <f>Statement!AA22</f>
        <v>5104</v>
      </c>
      <c r="F18" s="195">
        <f>Statement!W22</f>
        <v>4369</v>
      </c>
      <c r="G18" s="193">
        <f>Statement!AA22</f>
        <v>5104</v>
      </c>
    </row>
    <row r="19" spans="2:7" x14ac:dyDescent="0.2">
      <c r="B19" s="201" t="s">
        <v>310</v>
      </c>
      <c r="C19" s="236">
        <f>IF(C18=0,
IF(D18=0,0,IF(D18&gt;0,1,-1)),
(D18-C18)/ABS(C18)
)</f>
        <v>4.1314184536690932E-3</v>
      </c>
      <c r="D19" s="237"/>
      <c r="F19" s="236">
        <f>IF(F18=0,
IF(G18=0,0,IF(G18&gt;0,1,-1)),
(G18-F18)/ABS(F18)
)</f>
        <v>0.16823071641107806</v>
      </c>
      <c r="G19" s="237"/>
    </row>
    <row r="20" spans="2:7" x14ac:dyDescent="0.2">
      <c r="B20" s="202" t="s">
        <v>36</v>
      </c>
      <c r="C20" s="196">
        <f>Statement!Z26</f>
        <v>-0.73</v>
      </c>
      <c r="D20" s="197">
        <f>Statement!AA26</f>
        <v>-2.16</v>
      </c>
      <c r="F20" s="196">
        <f>Statement!W26</f>
        <v>-0.67</v>
      </c>
      <c r="G20" s="197">
        <f>Statement!AA26</f>
        <v>-2.16</v>
      </c>
    </row>
    <row r="21" spans="2:7" x14ac:dyDescent="0.2">
      <c r="B21" s="201" t="s">
        <v>310</v>
      </c>
      <c r="C21" s="236">
        <f>IF(C20=0,
IF(D20=0,0,IF(D20&gt;0,1,-1)),
(D20-C20)/ABS(C20)
)</f>
        <v>-1.9589041095890414</v>
      </c>
      <c r="D21" s="237"/>
      <c r="F21" s="236">
        <f>IF(F20=0,
IF(G20=0,0,IF(G20&gt;0,1,-1)),
(G20-F20)/ABS(F20)
)</f>
        <v>-2.2238805970149254</v>
      </c>
      <c r="G21" s="237"/>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36">
        <f>IF(C24=0,
IF(D24=0,0,IF(D24&gt;0,1,-1)),
(D24-C24)/ABS(C24)
)</f>
        <v>0.14882878219231266</v>
      </c>
      <c r="D25" s="237"/>
      <c r="F25" s="236">
        <f>IF(F24=0,
IF(G24=0,0,IF(G24&gt;0,1,-1)),
(G24-F24)/ABS(F24)
)</f>
        <v>0.12781095159446068</v>
      </c>
      <c r="G25" s="237"/>
    </row>
    <row r="26" spans="2:7" x14ac:dyDescent="0.2">
      <c r="B26" s="20" t="s">
        <v>349</v>
      </c>
      <c r="C26" s="195">
        <f>Statement!Z188</f>
        <v>5052</v>
      </c>
      <c r="D26" s="193">
        <f>Statement!AA188</f>
        <v>6262</v>
      </c>
      <c r="F26" s="195">
        <f>Statement!W188</f>
        <v>3939</v>
      </c>
      <c r="G26" s="193">
        <f>Statement!AA188</f>
        <v>6262</v>
      </c>
    </row>
    <row r="27" spans="2:7" x14ac:dyDescent="0.2">
      <c r="B27" s="201" t="s">
        <v>310</v>
      </c>
      <c r="C27" s="236">
        <f>IF(C26=0,
IF(D26=0,0,IF(D26&gt;0,1,-1)),
(D26-C26)/ABS(C26)
)</f>
        <v>0.23950910530482977</v>
      </c>
      <c r="D27" s="237"/>
      <c r="F27" s="236">
        <f>IF(F26=0,
IF(G26=0,0,IF(G26&gt;0,1,-1)),
(G26-F26)/ABS(F26)
)</f>
        <v>0.58974358974358976</v>
      </c>
      <c r="G27" s="237"/>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36">
        <f>IF(C28=0,
IF(D28=0,0,IF(D28&gt;0,1,-1)),
(D28-C28)/ABS(C28)
)</f>
        <v>0.18467798732295171</v>
      </c>
      <c r="D29" s="237"/>
      <c r="F29" s="236">
        <f>IF(F28=0,
IF(G28=0,0,IF(G28&gt;0,1,-1)),
(G28-F28)/ABS(F28)
)</f>
        <v>0.28187976291278577</v>
      </c>
      <c r="G29" s="237"/>
    </row>
    <row r="30" spans="2:7" x14ac:dyDescent="0.2">
      <c r="B30" s="20" t="s">
        <v>351</v>
      </c>
      <c r="C30" s="195">
        <f>Statement!Z190</f>
        <v>5421</v>
      </c>
      <c r="D30" s="195">
        <f>Statement!AA190</f>
        <v>5765</v>
      </c>
      <c r="F30" s="195">
        <f>Statement!W190</f>
        <v>4417</v>
      </c>
      <c r="G30" s="193">
        <f>Statement!AA190</f>
        <v>5765</v>
      </c>
    </row>
    <row r="31" spans="2:7" x14ac:dyDescent="0.2">
      <c r="B31" s="201" t="s">
        <v>310</v>
      </c>
      <c r="C31" s="236">
        <f>IF(C30=0,
IF(D30=0,0,IF(D30&gt;0,1,-1)),
(D30-C30)/ABS(C30)
)</f>
        <v>6.3456926766279287E-2</v>
      </c>
      <c r="D31" s="237"/>
      <c r="F31" s="236">
        <f>IF(F30=0,
IF(G30=0,0,IF(G30&gt;0,1,-1)),
(G30-F30)/ABS(F30)
)</f>
        <v>0.30518451437627347</v>
      </c>
      <c r="G31" s="237"/>
    </row>
    <row r="32" spans="2:7" x14ac:dyDescent="0.2">
      <c r="B32" s="20" t="s">
        <v>352</v>
      </c>
      <c r="C32" s="195">
        <f>Statement!Z191</f>
        <v>628</v>
      </c>
      <c r="D32" s="193">
        <f>Statement!AA191</f>
        <v>701</v>
      </c>
      <c r="F32" s="195">
        <f>Statement!W191</f>
        <v>1053</v>
      </c>
      <c r="G32" s="193">
        <f>Statement!AA191</f>
        <v>701</v>
      </c>
    </row>
    <row r="33" spans="2:7" x14ac:dyDescent="0.2">
      <c r="B33" s="201" t="s">
        <v>310</v>
      </c>
      <c r="C33" s="236">
        <f>IF(C32=0,
IF(D32=0,0,IF(D32&gt;0,1,-1)),
(D32-C32)/ABS(C32)
)</f>
        <v>0.11624203821656051</v>
      </c>
      <c r="D33" s="237"/>
      <c r="F33" s="236">
        <f>IF(F32=0,
IF(G32=0,0,IF(G32&gt;0,1,-1)),
(G32-F32)/ABS(F32)
)</f>
        <v>-0.33428300094966762</v>
      </c>
      <c r="G33" s="237"/>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5" t="s">
        <v>108</v>
      </c>
      <c r="D2" s="235"/>
      <c r="E2" s="235"/>
      <c r="F2" s="235"/>
      <c r="G2" s="244"/>
      <c r="H2" s="245" t="s">
        <v>109</v>
      </c>
      <c r="I2" s="235"/>
      <c r="J2" s="235"/>
      <c r="K2" s="235"/>
      <c r="L2" s="235"/>
      <c r="O2" s="5"/>
      <c r="S2" s="235" t="s">
        <v>108</v>
      </c>
      <c r="T2" s="235"/>
      <c r="U2" s="235"/>
      <c r="V2" s="235"/>
      <c r="W2" s="235"/>
      <c r="X2" s="235"/>
      <c r="Y2" s="235"/>
      <c r="Z2" s="235"/>
      <c r="AA2" s="235" t="s">
        <v>109</v>
      </c>
      <c r="AB2" s="235"/>
      <c r="AC2" s="235"/>
      <c r="AE2" s="84" t="s">
        <v>110</v>
      </c>
    </row>
    <row r="3" spans="1:31" ht="10" customHeight="1" x14ac:dyDescent="0.2">
      <c r="O3" s="5"/>
    </row>
    <row r="4" spans="1:31" ht="16" customHeight="1" x14ac:dyDescent="0.2">
      <c r="A4" s="85"/>
      <c r="B4" s="59"/>
      <c r="C4" s="241" t="s">
        <v>111</v>
      </c>
      <c r="D4" s="241"/>
      <c r="E4" s="241"/>
      <c r="F4" s="241"/>
      <c r="G4" s="241"/>
      <c r="H4" s="241"/>
      <c r="I4" s="241"/>
      <c r="J4" s="241"/>
      <c r="K4" s="241"/>
      <c r="L4" s="241"/>
      <c r="O4" s="5"/>
      <c r="S4" s="242" t="s">
        <v>111</v>
      </c>
      <c r="T4" s="243"/>
      <c r="U4" s="243"/>
      <c r="V4" s="243"/>
      <c r="W4" s="243"/>
      <c r="X4" s="243"/>
      <c r="Y4" s="243"/>
      <c r="Z4" s="243"/>
      <c r="AA4" s="243"/>
      <c r="AB4" s="243"/>
      <c r="AC4" s="243"/>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1" t="s">
        <v>117</v>
      </c>
      <c r="D13" s="241"/>
      <c r="E13" s="241"/>
      <c r="F13" s="241"/>
      <c r="G13" s="241"/>
      <c r="H13" s="241"/>
      <c r="I13" s="241"/>
      <c r="J13" s="241"/>
      <c r="K13" s="241"/>
      <c r="L13" s="241"/>
      <c r="O13" s="5"/>
      <c r="Q13" s="90"/>
      <c r="S13" s="242" t="s">
        <v>117</v>
      </c>
      <c r="T13" s="243"/>
      <c r="U13" s="243"/>
      <c r="V13" s="243"/>
      <c r="W13" s="243"/>
      <c r="X13" s="243"/>
      <c r="Y13" s="243"/>
      <c r="Z13" s="243"/>
      <c r="AA13" s="243"/>
      <c r="AB13" s="243"/>
      <c r="AC13" s="243"/>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5" t="s">
        <v>108</v>
      </c>
      <c r="D2" s="235"/>
      <c r="E2" s="235"/>
      <c r="F2" s="235"/>
      <c r="G2" s="244"/>
      <c r="H2" s="245" t="s">
        <v>109</v>
      </c>
      <c r="I2" s="235"/>
      <c r="J2" s="235"/>
      <c r="K2" s="235"/>
      <c r="L2" s="235"/>
      <c r="P2" s="235" t="s">
        <v>108</v>
      </c>
      <c r="Q2" s="235"/>
      <c r="R2" s="235"/>
      <c r="S2" s="235"/>
      <c r="T2" s="235"/>
      <c r="U2" s="235"/>
      <c r="V2" s="235"/>
      <c r="W2" s="235"/>
      <c r="X2" s="235" t="s">
        <v>109</v>
      </c>
      <c r="Y2" s="235"/>
      <c r="Z2" s="235"/>
      <c r="AB2" s="84" t="s">
        <v>110</v>
      </c>
    </row>
    <row r="3" spans="1:28" ht="10" customHeight="1" x14ac:dyDescent="0.2"/>
    <row r="4" spans="1:28" ht="16" customHeight="1" x14ac:dyDescent="0.2">
      <c r="A4" s="85"/>
      <c r="B4" s="59"/>
      <c r="C4" s="241" t="s">
        <v>111</v>
      </c>
      <c r="D4" s="241"/>
      <c r="E4" s="241"/>
      <c r="F4" s="241"/>
      <c r="G4" s="241"/>
      <c r="H4" s="241"/>
      <c r="I4" s="241"/>
      <c r="J4" s="241"/>
      <c r="K4" s="241"/>
      <c r="L4" s="241"/>
      <c r="P4" s="243" t="s">
        <v>111</v>
      </c>
      <c r="Q4" s="243"/>
      <c r="R4" s="243"/>
      <c r="S4" s="243"/>
      <c r="T4" s="243"/>
      <c r="U4" s="243"/>
      <c r="V4" s="243"/>
      <c r="W4" s="243"/>
      <c r="X4" s="243"/>
      <c r="Y4" s="243"/>
      <c r="Z4" s="243"/>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1" t="s">
        <v>120</v>
      </c>
      <c r="D9" s="241"/>
      <c r="E9" s="241"/>
      <c r="F9" s="241"/>
      <c r="G9" s="241"/>
      <c r="H9" s="241"/>
      <c r="I9" s="241"/>
      <c r="J9" s="241"/>
      <c r="K9" s="241"/>
      <c r="L9" s="241"/>
      <c r="N9" s="90"/>
      <c r="P9" s="243" t="s">
        <v>121</v>
      </c>
      <c r="Q9" s="243"/>
      <c r="R9" s="243"/>
      <c r="S9" s="243"/>
      <c r="T9" s="243"/>
      <c r="U9" s="243"/>
      <c r="V9" s="243"/>
      <c r="W9" s="243"/>
      <c r="X9" s="243"/>
      <c r="Y9" s="243"/>
      <c r="Z9" s="243"/>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1" t="s">
        <v>123</v>
      </c>
      <c r="D18" s="241"/>
      <c r="E18" s="241"/>
      <c r="F18" s="241"/>
      <c r="G18" s="241"/>
      <c r="H18" s="241"/>
      <c r="I18" s="241"/>
      <c r="J18" s="241"/>
      <c r="K18" s="241"/>
      <c r="L18" s="241"/>
      <c r="P18" s="243" t="s">
        <v>123</v>
      </c>
      <c r="Q18" s="243"/>
      <c r="R18" s="243"/>
      <c r="S18" s="243"/>
      <c r="T18" s="243"/>
      <c r="U18" s="243"/>
      <c r="V18" s="243"/>
      <c r="W18" s="243"/>
      <c r="X18" s="243"/>
      <c r="Y18" s="243"/>
      <c r="Z18" s="243"/>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5" t="s">
        <v>108</v>
      </c>
      <c r="D3" s="235"/>
      <c r="E3" s="235"/>
      <c r="F3" s="235"/>
      <c r="G3" s="244"/>
      <c r="H3" s="245" t="s">
        <v>109</v>
      </c>
      <c r="I3" s="235"/>
      <c r="J3" s="235"/>
      <c r="K3" s="235"/>
      <c r="L3" s="235"/>
      <c r="P3" s="246"/>
      <c r="Q3" s="246"/>
      <c r="R3" s="246"/>
      <c r="S3" s="246"/>
      <c r="T3" s="246"/>
      <c r="U3" s="246"/>
      <c r="V3" s="246"/>
      <c r="W3" s="246"/>
      <c r="X3" s="246"/>
      <c r="Y3" s="246"/>
      <c r="Z3" s="246"/>
      <c r="AB3" s="108"/>
    </row>
    <row r="4" spans="1:28" ht="10" customHeight="1" x14ac:dyDescent="0.2"/>
    <row r="5" spans="1:28" ht="16" customHeight="1" x14ac:dyDescent="0.2">
      <c r="A5" s="85"/>
      <c r="B5" s="59"/>
      <c r="C5" s="241" t="s">
        <v>111</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1" t="s">
        <v>127</v>
      </c>
      <c r="D11" s="241"/>
      <c r="E11" s="241"/>
      <c r="F11" s="241"/>
      <c r="G11" s="241"/>
      <c r="H11" s="241"/>
      <c r="I11" s="241"/>
      <c r="J11" s="241"/>
      <c r="K11" s="241"/>
      <c r="L11" s="241"/>
      <c r="N11" s="90"/>
      <c r="P11" s="246"/>
      <c r="Q11" s="246"/>
      <c r="R11" s="246"/>
      <c r="S11" s="246"/>
      <c r="T11" s="246"/>
      <c r="U11" s="246"/>
      <c r="V11" s="246"/>
      <c r="W11" s="246"/>
      <c r="X11" s="246"/>
      <c r="Y11" s="246"/>
      <c r="Z11" s="246"/>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1" t="s">
        <v>132</v>
      </c>
      <c r="D18" s="241"/>
      <c r="E18" s="241"/>
      <c r="F18" s="241"/>
      <c r="G18" s="241"/>
      <c r="H18" s="241"/>
      <c r="I18" s="241"/>
      <c r="J18" s="241"/>
      <c r="K18" s="241"/>
      <c r="L18" s="241"/>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6"/>
      <c r="C25" s="246"/>
    </row>
    <row r="26" spans="2:12" x14ac:dyDescent="0.2">
      <c r="B26" s="108"/>
      <c r="C26" s="241" t="s">
        <v>138</v>
      </c>
      <c r="D26" s="241"/>
      <c r="E26" s="241"/>
      <c r="F26" s="241"/>
      <c r="G26" s="241"/>
      <c r="H26" s="241"/>
      <c r="I26" s="241"/>
      <c r="J26" s="241"/>
      <c r="K26" s="241"/>
      <c r="L26" s="241"/>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1" t="s">
        <v>142</v>
      </c>
      <c r="D33" s="241"/>
      <c r="E33" s="241"/>
      <c r="F33" s="241"/>
      <c r="G33" s="241"/>
      <c r="H33" s="241"/>
      <c r="I33" s="241"/>
      <c r="J33" s="241"/>
      <c r="K33" s="241"/>
      <c r="L33" s="241"/>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1" t="s">
        <v>145</v>
      </c>
      <c r="D40" s="241"/>
      <c r="E40" s="241"/>
      <c r="F40" s="241"/>
      <c r="G40" s="241"/>
      <c r="H40" s="241"/>
      <c r="I40" s="241"/>
      <c r="J40" s="241"/>
      <c r="K40" s="241"/>
      <c r="L40" s="241"/>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5" t="s">
        <v>108</v>
      </c>
      <c r="D2" s="235"/>
      <c r="E2" s="235"/>
      <c r="F2" s="235"/>
      <c r="G2" s="244"/>
      <c r="H2" s="245" t="s">
        <v>109</v>
      </c>
      <c r="I2" s="235"/>
      <c r="J2" s="235"/>
      <c r="K2" s="235"/>
      <c r="L2" s="235"/>
      <c r="S2" s="246"/>
      <c r="T2" s="246"/>
      <c r="U2" s="246"/>
      <c r="V2" s="246"/>
      <c r="W2" s="246"/>
      <c r="X2" s="246"/>
      <c r="Y2" s="246"/>
      <c r="Z2" s="246"/>
      <c r="AA2" s="246"/>
      <c r="AB2" s="246"/>
      <c r="AC2" s="246"/>
      <c r="AE2" s="108"/>
    </row>
    <row r="3" spans="1:31" ht="10" customHeight="1" x14ac:dyDescent="0.2"/>
    <row r="4" spans="1:31" ht="16" customHeight="1" x14ac:dyDescent="0.2">
      <c r="A4" s="85"/>
      <c r="B4" s="59"/>
      <c r="C4" s="241" t="s">
        <v>18</v>
      </c>
      <c r="D4" s="241"/>
      <c r="E4" s="241"/>
      <c r="F4" s="241"/>
      <c r="G4" s="241"/>
      <c r="H4" s="241"/>
      <c r="I4" s="241"/>
      <c r="J4" s="241"/>
      <c r="K4" s="241"/>
      <c r="L4" s="241"/>
      <c r="S4" s="246"/>
      <c r="T4" s="246"/>
      <c r="U4" s="246"/>
      <c r="V4" s="246"/>
      <c r="W4" s="246"/>
      <c r="X4" s="246"/>
      <c r="Y4" s="246"/>
      <c r="Z4" s="246"/>
      <c r="AA4" s="246"/>
      <c r="AB4" s="246"/>
      <c r="AC4" s="246"/>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1" t="s">
        <v>153</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1" t="s">
        <v>154</v>
      </c>
      <c r="D18" s="241"/>
      <c r="E18" s="241"/>
      <c r="F18" s="241"/>
      <c r="G18" s="241"/>
      <c r="H18" s="241"/>
      <c r="I18" s="241"/>
      <c r="J18" s="241"/>
      <c r="K18" s="241"/>
      <c r="L18" s="241"/>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1" t="s">
        <v>257</v>
      </c>
      <c r="D25" s="241"/>
      <c r="E25" s="241"/>
      <c r="F25" s="241"/>
      <c r="G25" s="241"/>
      <c r="H25" s="241"/>
      <c r="I25" s="241"/>
      <c r="J25" s="241"/>
      <c r="K25" s="241"/>
      <c r="L25" s="241"/>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1" t="s">
        <v>75</v>
      </c>
      <c r="D31" s="241"/>
      <c r="E31" s="241"/>
      <c r="F31" s="241"/>
      <c r="G31" s="241"/>
      <c r="H31" s="241"/>
      <c r="I31" s="241"/>
      <c r="J31" s="241"/>
      <c r="K31" s="241"/>
      <c r="L31" s="241"/>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5" t="s">
        <v>161</v>
      </c>
      <c r="C4" s="235"/>
    </row>
    <row r="5" spans="1:3" ht="17" customHeight="1" x14ac:dyDescent="0.2">
      <c r="B5" s="1" t="s">
        <v>162</v>
      </c>
      <c r="C5" s="135">
        <f>Statement!AC78</f>
        <v>5044</v>
      </c>
    </row>
    <row r="6" spans="1:3" ht="17" customHeight="1" x14ac:dyDescent="0.2">
      <c r="B6" s="1" t="s">
        <v>1</v>
      </c>
      <c r="C6" s="132">
        <f ca="1">Overview!C5</f>
        <v>116.19</v>
      </c>
    </row>
    <row r="7" spans="1:3" ht="17" customHeight="1" x14ac:dyDescent="0.2">
      <c r="B7" s="1" t="s">
        <v>163</v>
      </c>
      <c r="C7" s="133">
        <f ca="1">C5*C6</f>
        <v>586062.36</v>
      </c>
    </row>
    <row r="8" spans="1:3" ht="17" customHeight="1" x14ac:dyDescent="0.2">
      <c r="B8" s="1" t="s">
        <v>164</v>
      </c>
      <c r="C8" s="111">
        <f>Statement!AC108</f>
        <v>50537</v>
      </c>
    </row>
    <row r="9" spans="1:3" ht="17" customHeight="1" x14ac:dyDescent="0.2">
      <c r="B9" s="1" t="s">
        <v>165</v>
      </c>
      <c r="C9" s="134">
        <f ca="1">Overview!F27</f>
        <v>5.2770000000000004E-2</v>
      </c>
    </row>
    <row r="10" spans="1:3" ht="17" customHeight="1" x14ac:dyDescent="0.2">
      <c r="B10" s="1" t="s">
        <v>9</v>
      </c>
      <c r="C10" s="132">
        <f ca="1">Overview!C13</f>
        <v>2.3532999999999999</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5" t="s">
        <v>168</v>
      </c>
      <c r="C15" s="235"/>
    </row>
    <row r="16" spans="1:3" ht="17" customHeight="1" x14ac:dyDescent="0.2">
      <c r="B16" s="1" t="s">
        <v>169</v>
      </c>
      <c r="C16" s="46">
        <f ca="1">C8/(C8+C7)</f>
        <v>7.9385879370032664E-2</v>
      </c>
    </row>
    <row r="17" spans="2:3" ht="17" customHeight="1" x14ac:dyDescent="0.2">
      <c r="B17" s="1" t="s">
        <v>170</v>
      </c>
      <c r="C17" s="46">
        <f ca="1">C7/(C8+C7)</f>
        <v>0.92061412062996728</v>
      </c>
    </row>
    <row r="18" spans="2:3" ht="17" customHeight="1" x14ac:dyDescent="0.2">
      <c r="B18" s="1" t="s">
        <v>171</v>
      </c>
      <c r="C18" s="46">
        <f>C13*(1-C12)</f>
        <v>4.4240000000000002E-2</v>
      </c>
    </row>
    <row r="19" spans="2:3" ht="17" customHeight="1" x14ac:dyDescent="0.2">
      <c r="B19" s="1" t="s">
        <v>172</v>
      </c>
      <c r="C19" s="46">
        <f ca="1">C9+C10*C11</f>
        <v>0.15866849999999999</v>
      </c>
    </row>
    <row r="20" spans="2:3" ht="17" customHeight="1" x14ac:dyDescent="0.2">
      <c r="B20" s="1" t="s">
        <v>160</v>
      </c>
      <c r="C20" s="46">
        <f ca="1">(C17*C19)+(C16*C18)</f>
        <v>0.14958449290250619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5" t="s">
        <v>108</v>
      </c>
      <c r="D3" s="235"/>
      <c r="E3" s="235"/>
      <c r="F3" s="235"/>
      <c r="G3" s="244"/>
      <c r="H3" s="245" t="s">
        <v>109</v>
      </c>
      <c r="I3" s="235"/>
      <c r="J3" s="235"/>
      <c r="K3" s="235"/>
      <c r="L3" s="235"/>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-28423.520436261952</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-8048.76355261343</v>
      </c>
      <c r="I10" s="125">
        <f t="shared" ref="I10:L10" ca="1" si="0">I7/(1+$C$15)^I9</f>
        <v>-5654.7092232632258</v>
      </c>
      <c r="J10" s="125">
        <f t="shared" ca="1" si="0"/>
        <v>-4125.2518135291557</v>
      </c>
      <c r="K10" s="125">
        <f t="shared" ca="1" si="0"/>
        <v>-3920.6273943655701</v>
      </c>
      <c r="L10" s="125">
        <f t="shared" ca="1" si="0"/>
        <v>-1798.5654427572829</v>
      </c>
      <c r="N10" s="90"/>
    </row>
    <row r="11" spans="1:28" x14ac:dyDescent="0.2">
      <c r="B11" s="1" t="s">
        <v>178</v>
      </c>
      <c r="C11" s="136"/>
      <c r="D11" s="136"/>
      <c r="E11" s="136"/>
      <c r="F11" s="136"/>
      <c r="G11" s="137"/>
      <c r="H11" s="136"/>
      <c r="I11" s="136"/>
      <c r="J11" s="136"/>
      <c r="K11" s="136"/>
      <c r="L11" s="125">
        <f ca="1">L8/(1+C15)^L9</f>
        <v>-14157.070113263129</v>
      </c>
    </row>
    <row r="13" spans="1:28" x14ac:dyDescent="0.2">
      <c r="B13" s="235" t="s">
        <v>179</v>
      </c>
      <c r="C13" s="235"/>
    </row>
    <row r="14" spans="1:28" x14ac:dyDescent="0.2">
      <c r="B14" s="1" t="s">
        <v>180</v>
      </c>
      <c r="C14" s="139">
        <v>0.02</v>
      </c>
    </row>
    <row r="15" spans="1:28" x14ac:dyDescent="0.2">
      <c r="B15" s="1" t="s">
        <v>160</v>
      </c>
      <c r="C15" s="134">
        <f ca="1">IF(Overview!C28&gt;0,Overview!C28,WACC!C20)</f>
        <v>0.14958449290250619</v>
      </c>
    </row>
    <row r="18" spans="2:3" x14ac:dyDescent="0.2">
      <c r="B18" s="235" t="s">
        <v>181</v>
      </c>
      <c r="C18" s="235"/>
    </row>
    <row r="19" spans="2:3" x14ac:dyDescent="0.2">
      <c r="B19" s="1" t="s">
        <v>182</v>
      </c>
      <c r="C19" s="63">
        <f ca="1">SUM(H10:L10)</f>
        <v>-23547.917426528667</v>
      </c>
    </row>
    <row r="20" spans="2:3" x14ac:dyDescent="0.2">
      <c r="B20" s="1" t="s">
        <v>178</v>
      </c>
      <c r="C20" s="63">
        <f ca="1">L11</f>
        <v>-14157.070113263129</v>
      </c>
    </row>
    <row r="21" spans="2:3" x14ac:dyDescent="0.2">
      <c r="B21" s="16" t="s">
        <v>183</v>
      </c>
      <c r="C21" s="93">
        <f ca="1">C19+C20</f>
        <v>-37704.987539791793</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-50104.987539791793</v>
      </c>
    </row>
    <row r="25" spans="2:3" x14ac:dyDescent="0.2">
      <c r="B25" s="1" t="s">
        <v>67</v>
      </c>
      <c r="C25" s="87">
        <f>Statement!AC78</f>
        <v>5044</v>
      </c>
    </row>
    <row r="26" spans="2:3" x14ac:dyDescent="0.2">
      <c r="B26" s="230" t="s">
        <v>187</v>
      </c>
      <c r="C26" s="231">
        <f ca="1">C24/C25</f>
        <v>-9.9335819864773587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5" t="s">
        <v>108</v>
      </c>
      <c r="D2" s="235"/>
      <c r="E2" s="235"/>
      <c r="F2" s="235"/>
      <c r="G2" s="244"/>
      <c r="H2" s="245" t="s">
        <v>109</v>
      </c>
      <c r="I2" s="235"/>
      <c r="J2" s="235"/>
      <c r="K2" s="235"/>
      <c r="L2" s="235"/>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-8048.76355261343</v>
      </c>
      <c r="I9" s="91">
        <f ca="1">DCF!I10</f>
        <v>-5654.7092232632258</v>
      </c>
      <c r="J9" s="91">
        <f ca="1">DCF!J10</f>
        <v>-4125.2518135291557</v>
      </c>
      <c r="K9" s="91">
        <f ca="1">DCF!K10</f>
        <v>-3920.6273943655701</v>
      </c>
      <c r="L9" s="91">
        <f ca="1">DCF!L10</f>
        <v>-1798.5654427572829</v>
      </c>
      <c r="N9" s="90"/>
    </row>
    <row r="10" spans="1:14" x14ac:dyDescent="0.2">
      <c r="N10" s="90"/>
    </row>
    <row r="11" spans="1:14" x14ac:dyDescent="0.2">
      <c r="C11" s="241" t="s">
        <v>117</v>
      </c>
      <c r="D11" s="241"/>
      <c r="E11" s="241"/>
      <c r="F11" s="241"/>
      <c r="G11" s="241"/>
      <c r="H11" s="241"/>
      <c r="I11" s="241"/>
      <c r="J11" s="241"/>
      <c r="K11" s="241"/>
      <c r="L11" s="241"/>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1" t="s">
        <v>191</v>
      </c>
      <c r="D17" s="241"/>
      <c r="E17" s="241"/>
      <c r="F17" s="241"/>
      <c r="G17" s="241"/>
      <c r="H17" s="241"/>
      <c r="I17" s="241"/>
      <c r="J17" s="241"/>
      <c r="K17" s="241"/>
      <c r="L17" s="241"/>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1" t="s">
        <v>194</v>
      </c>
      <c r="D22" s="241"/>
      <c r="E22" s="241"/>
      <c r="F22" s="241"/>
      <c r="G22" s="241"/>
      <c r="H22" s="241"/>
      <c r="I22" s="241"/>
      <c r="J22" s="241"/>
      <c r="K22" s="241"/>
      <c r="L22" s="241"/>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1" t="s">
        <v>195</v>
      </c>
      <c r="D27" s="241"/>
      <c r="E27" s="241"/>
      <c r="F27" s="241"/>
      <c r="G27" s="241"/>
      <c r="H27" s="241"/>
      <c r="I27" s="241"/>
      <c r="J27" s="241"/>
      <c r="K27" s="241"/>
      <c r="L27" s="241"/>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35" t="s">
        <v>200</v>
      </c>
      <c r="C39" s="235"/>
      <c r="N39" s="90"/>
    </row>
    <row r="40" spans="2:14" x14ac:dyDescent="0.2">
      <c r="B40" s="1" t="s">
        <v>201</v>
      </c>
      <c r="C40" s="63">
        <f>L7</f>
        <v>12425.560115163004</v>
      </c>
    </row>
    <row r="41" spans="2:14" x14ac:dyDescent="0.2">
      <c r="B41" s="1" t="s">
        <v>160</v>
      </c>
      <c r="C41" s="134">
        <f ca="1">IF(Overview!C28&gt;0,Overview!C28,WACC!C20)</f>
        <v>0.14958449290250619</v>
      </c>
    </row>
    <row r="42" spans="2:14" x14ac:dyDescent="0.2">
      <c r="B42" s="39" t="s">
        <v>202</v>
      </c>
      <c r="C42" s="104">
        <v>35</v>
      </c>
    </row>
    <row r="43" spans="2:14" x14ac:dyDescent="0.2">
      <c r="B43" s="1" t="s">
        <v>409</v>
      </c>
      <c r="C43" s="24">
        <f>(C40*C42)</f>
        <v>434894.60403070512</v>
      </c>
    </row>
    <row r="44" spans="2:14" x14ac:dyDescent="0.2">
      <c r="B44" s="1" t="s">
        <v>410</v>
      </c>
      <c r="C44" s="24">
        <f ca="1">C43/(1+C41)^5</f>
        <v>216610.5150468194</v>
      </c>
    </row>
    <row r="45" spans="2:14" x14ac:dyDescent="0.2">
      <c r="B45" s="16" t="s">
        <v>411</v>
      </c>
      <c r="C45" s="93">
        <f ca="1">SUM(H9:K9)+C44</f>
        <v>194861.16306304804</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182461.16306304804</v>
      </c>
    </row>
    <row r="49" spans="2:3" x14ac:dyDescent="0.2">
      <c r="B49" s="1" t="s">
        <v>67</v>
      </c>
      <c r="C49" s="87">
        <f>Statement!AC78</f>
        <v>5044</v>
      </c>
    </row>
    <row r="50" spans="2:3" x14ac:dyDescent="0.2">
      <c r="B50" s="230" t="s">
        <v>204</v>
      </c>
      <c r="C50" s="231">
        <f ca="1">C48/C49</f>
        <v>36.173902272610633</v>
      </c>
    </row>
    <row r="52" spans="2:3" x14ac:dyDescent="0.2">
      <c r="B52" s="235" t="s">
        <v>205</v>
      </c>
      <c r="C52" s="235"/>
    </row>
    <row r="53" spans="2:3" x14ac:dyDescent="0.2">
      <c r="B53" s="1" t="s">
        <v>206</v>
      </c>
      <c r="C53" s="63">
        <f>L6</f>
        <v>95581.231655099982</v>
      </c>
    </row>
    <row r="54" spans="2:3" x14ac:dyDescent="0.2">
      <c r="B54" s="1" t="s">
        <v>379</v>
      </c>
      <c r="C54" s="134">
        <f>IF(Overview!C29&gt;0,Overview!C29,WACC!C19)</f>
        <v>0.12</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C57/(1+C54)^5</f>
        <v>48.738460839691712</v>
      </c>
    </row>
    <row r="60" spans="2:3" x14ac:dyDescent="0.2">
      <c r="B60" s="235" t="s">
        <v>317</v>
      </c>
      <c r="C60" s="235"/>
    </row>
    <row r="61" spans="2:3" x14ac:dyDescent="0.2">
      <c r="B61" s="1" t="s">
        <v>412</v>
      </c>
      <c r="C61" s="63">
        <f>L8</f>
        <v>-3611.026943369634</v>
      </c>
    </row>
    <row r="62" spans="2:3" x14ac:dyDescent="0.2">
      <c r="B62" s="1" t="s">
        <v>160</v>
      </c>
      <c r="C62" s="134">
        <f ca="1">IF(Overview!C28&gt;0,Overview!C28,WACC!C20)</f>
        <v>0.14958449290250619</v>
      </c>
    </row>
    <row r="63" spans="2:3" x14ac:dyDescent="0.2">
      <c r="B63" s="39" t="s">
        <v>390</v>
      </c>
      <c r="C63" s="104">
        <v>40</v>
      </c>
    </row>
    <row r="64" spans="2:3" x14ac:dyDescent="0.2">
      <c r="B64" s="1" t="s">
        <v>409</v>
      </c>
      <c r="C64" s="63">
        <f>(C61*C63)</f>
        <v>-144441.07773478536</v>
      </c>
    </row>
    <row r="65" spans="2:3" x14ac:dyDescent="0.2">
      <c r="B65" s="1" t="s">
        <v>410</v>
      </c>
      <c r="C65" s="63">
        <f ca="1">C64/(1+C62)^5</f>
        <v>-71942.617710291306</v>
      </c>
    </row>
    <row r="66" spans="2:3" x14ac:dyDescent="0.2">
      <c r="B66" s="16" t="s">
        <v>411</v>
      </c>
      <c r="C66" s="93">
        <f ca="1">SUM(H9:K9)+C65</f>
        <v>-93691.969694062689</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-106091.96969406269</v>
      </c>
    </row>
    <row r="70" spans="2:3" x14ac:dyDescent="0.2">
      <c r="B70" s="1" t="s">
        <v>67</v>
      </c>
      <c r="C70" s="87">
        <f>Statement!AC78</f>
        <v>5044</v>
      </c>
    </row>
    <row r="71" spans="2:3" x14ac:dyDescent="0.2">
      <c r="B71" s="230" t="s">
        <v>204</v>
      </c>
      <c r="C71" s="231">
        <f ca="1">C69/C70</f>
        <v>-21.033300890971983</v>
      </c>
    </row>
    <row r="73" spans="2:3" x14ac:dyDescent="0.2">
      <c r="B73" s="235" t="s">
        <v>414</v>
      </c>
      <c r="C73" s="235"/>
    </row>
    <row r="74" spans="2:3" x14ac:dyDescent="0.2">
      <c r="B74" s="1" t="s">
        <v>415</v>
      </c>
      <c r="C74" s="63">
        <f>L6</f>
        <v>95581.231655099982</v>
      </c>
    </row>
    <row r="75" spans="2:3" x14ac:dyDescent="0.2">
      <c r="B75" s="1" t="s">
        <v>160</v>
      </c>
      <c r="C75" s="134">
        <f ca="1">IF(Overview!C28&gt;0,Overview!C28,WACC!C20)</f>
        <v>0.14958449290250619</v>
      </c>
    </row>
    <row r="76" spans="2:3" x14ac:dyDescent="0.2">
      <c r="B76" s="39" t="s">
        <v>416</v>
      </c>
      <c r="C76" s="104">
        <v>5</v>
      </c>
    </row>
    <row r="77" spans="2:3" x14ac:dyDescent="0.2">
      <c r="B77" s="1" t="s">
        <v>409</v>
      </c>
      <c r="C77" s="63">
        <f>(C74*C76)</f>
        <v>477906.15827549994</v>
      </c>
    </row>
    <row r="78" spans="2:3" x14ac:dyDescent="0.2">
      <c r="B78" s="1" t="s">
        <v>410</v>
      </c>
      <c r="C78" s="63">
        <f ca="1">C77/(1+C75)^5</f>
        <v>238033.53301848276</v>
      </c>
    </row>
    <row r="79" spans="2:3" x14ac:dyDescent="0.2">
      <c r="B79" s="16" t="s">
        <v>411</v>
      </c>
      <c r="C79" s="93">
        <f ca="1">SUM(H9:K9)+C78</f>
        <v>216284.18103471136</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203884.18103471136</v>
      </c>
    </row>
    <row r="83" spans="2:3" x14ac:dyDescent="0.2">
      <c r="B83" s="1" t="s">
        <v>67</v>
      </c>
      <c r="C83" s="87">
        <f>Statement!AC78</f>
        <v>5044</v>
      </c>
    </row>
    <row r="84" spans="2:3" x14ac:dyDescent="0.2">
      <c r="B84" s="230" t="s">
        <v>204</v>
      </c>
      <c r="C84" s="231">
        <f ca="1">C82/C83</f>
        <v>40.421130260648567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5" t="s">
        <v>209</v>
      </c>
      <c r="C4" s="235"/>
      <c r="N4" s="90"/>
    </row>
    <row r="5" spans="1:14" x14ac:dyDescent="0.2">
      <c r="B5" s="1" t="s">
        <v>210</v>
      </c>
      <c r="C5" s="132">
        <f ca="1">DCF!C26</f>
        <v>-9.9335819864773587</v>
      </c>
    </row>
    <row r="6" spans="1:14" x14ac:dyDescent="0.2">
      <c r="B6" s="1" t="s">
        <v>211</v>
      </c>
      <c r="C6" s="132">
        <f ca="1">Multiples!C50</f>
        <v>36.173902272610633</v>
      </c>
    </row>
    <row r="7" spans="1:14" x14ac:dyDescent="0.2">
      <c r="B7" s="1" t="s">
        <v>212</v>
      </c>
      <c r="C7" s="132">
        <f>Multiples!C58</f>
        <v>48.738460839691712</v>
      </c>
    </row>
    <row r="8" spans="1:14" x14ac:dyDescent="0.2">
      <c r="B8" s="1" t="s">
        <v>318</v>
      </c>
      <c r="C8" s="132">
        <f ca="1">Multiples!C71</f>
        <v>-21.033300890971983</v>
      </c>
    </row>
    <row r="9" spans="1:14" x14ac:dyDescent="0.2">
      <c r="B9" s="1" t="s">
        <v>417</v>
      </c>
      <c r="C9" s="132">
        <f ca="1">Multiples!C84</f>
        <v>40.421130260648567</v>
      </c>
    </row>
    <row r="10" spans="1:14" x14ac:dyDescent="0.2">
      <c r="B10" s="230" t="s">
        <v>213</v>
      </c>
      <c r="C10" s="231">
        <f ca="1">AVERAGE(C5:C9)</f>
        <v>18.873322099100314</v>
      </c>
    </row>
    <row r="11" spans="1:14" x14ac:dyDescent="0.2">
      <c r="B11" s="1" t="s">
        <v>214</v>
      </c>
      <c r="C11" s="132">
        <f ca="1">Overview!C5</f>
        <v>116.19</v>
      </c>
    </row>
    <row r="12" spans="1:14" x14ac:dyDescent="0.2">
      <c r="B12" s="1" t="s">
        <v>215</v>
      </c>
      <c r="C12" s="151">
        <f ca="1">(C10-C11)/C11</f>
        <v>-0.8375650047413693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5" t="s">
        <v>108</v>
      </c>
      <c r="D2" s="235"/>
      <c r="E2" s="235"/>
      <c r="F2" s="235"/>
      <c r="G2" s="244"/>
      <c r="H2" s="245" t="s">
        <v>109</v>
      </c>
      <c r="I2" s="235"/>
      <c r="J2" s="235"/>
      <c r="K2" s="235"/>
      <c r="L2" s="235"/>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1" t="s">
        <v>117</v>
      </c>
      <c r="D9" s="241"/>
      <c r="E9" s="241"/>
      <c r="F9" s="241"/>
      <c r="G9" s="241"/>
      <c r="H9" s="241"/>
      <c r="I9" s="241"/>
      <c r="J9" s="241"/>
      <c r="K9" s="241"/>
      <c r="L9" s="241"/>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1" t="s">
        <v>394</v>
      </c>
      <c r="D14" s="241"/>
      <c r="E14" s="241"/>
      <c r="F14" s="241"/>
      <c r="G14" s="241"/>
      <c r="H14" s="241"/>
      <c r="I14" s="241"/>
      <c r="J14" s="241"/>
      <c r="K14" s="241"/>
      <c r="L14" s="241"/>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5" t="s">
        <v>396</v>
      </c>
      <c r="C20" s="235"/>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30" t="s">
        <v>204</v>
      </c>
      <c r="C26" s="23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5" t="s">
        <v>108</v>
      </c>
      <c r="D3" s="235"/>
      <c r="E3" s="235"/>
      <c r="F3" s="235"/>
      <c r="G3" s="244"/>
      <c r="H3" s="245" t="s">
        <v>109</v>
      </c>
      <c r="I3" s="235"/>
      <c r="J3" s="235"/>
      <c r="K3" s="235"/>
      <c r="L3" s="235"/>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-454751.44859292789</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-6780.32137721239</v>
      </c>
      <c r="I10" s="125">
        <f t="shared" ref="I10:L10" ca="1" si="1">I7/(1+$C$21)^I9</f>
        <v>-9731.8033963330709</v>
      </c>
      <c r="J10" s="125">
        <f t="shared" ca="1" si="1"/>
        <v>-13968.069074598561</v>
      </c>
      <c r="K10" s="125">
        <f t="shared" ca="1" si="1"/>
        <v>-20048.386278156078</v>
      </c>
      <c r="L10" s="125">
        <f t="shared" ca="1" si="1"/>
        <v>-28775.472845355227</v>
      </c>
      <c r="N10" s="90"/>
    </row>
    <row r="11" spans="1:28" x14ac:dyDescent="0.2">
      <c r="B11" s="1" t="s">
        <v>178</v>
      </c>
      <c r="C11" s="136"/>
      <c r="D11" s="136"/>
      <c r="E11" s="136"/>
      <c r="F11" s="136"/>
      <c r="G11" s="137"/>
      <c r="H11" s="136"/>
      <c r="I11" s="136"/>
      <c r="J11" s="136"/>
      <c r="K11" s="136"/>
      <c r="L11" s="125">
        <f ca="1">L8/(1+C21)^L9</f>
        <v>-226500.7304874415</v>
      </c>
    </row>
    <row r="13" spans="1:28" ht="17" thickBot="1" x14ac:dyDescent="0.25"/>
    <row r="14" spans="1:28" x14ac:dyDescent="0.2">
      <c r="B14" s="248" t="s">
        <v>217</v>
      </c>
      <c r="C14" s="249"/>
    </row>
    <row r="15" spans="1:28" x14ac:dyDescent="0.2">
      <c r="B15" s="152" t="s">
        <v>218</v>
      </c>
      <c r="C15" s="153">
        <f ca="1">Overview!C5</f>
        <v>116.19</v>
      </c>
    </row>
    <row r="16" spans="1:28" x14ac:dyDescent="0.2">
      <c r="B16" s="152" t="s">
        <v>219</v>
      </c>
      <c r="C16" s="153">
        <f ca="1">C36</f>
        <v>-63.08580163741015</v>
      </c>
    </row>
    <row r="17" spans="2:9" ht="17" thickBot="1" x14ac:dyDescent="0.25">
      <c r="B17" s="154" t="s">
        <v>319</v>
      </c>
      <c r="C17" s="155">
        <v>0.65</v>
      </c>
      <c r="E17" s="247" t="s">
        <v>220</v>
      </c>
      <c r="F17" s="247"/>
      <c r="G17" s="247"/>
      <c r="H17" s="247"/>
      <c r="I17" s="247"/>
    </row>
    <row r="18" spans="2:9" ht="17" thickBot="1" x14ac:dyDescent="0.25"/>
    <row r="19" spans="2:9" x14ac:dyDescent="0.2">
      <c r="B19" s="248" t="s">
        <v>179</v>
      </c>
      <c r="C19" s="249"/>
    </row>
    <row r="20" spans="2:9" x14ac:dyDescent="0.2">
      <c r="B20" s="156" t="s">
        <v>180</v>
      </c>
      <c r="C20" s="157">
        <v>0.02</v>
      </c>
    </row>
    <row r="21" spans="2:9" x14ac:dyDescent="0.2">
      <c r="B21" s="156" t="s">
        <v>160</v>
      </c>
      <c r="C21" s="221">
        <f ca="1">IF(Overview!C28&gt;0,Overview!C28,WACC!C20)</f>
        <v>0.14958449290250619</v>
      </c>
    </row>
    <row r="22" spans="2:9" x14ac:dyDescent="0.2">
      <c r="B22" s="156" t="s">
        <v>67</v>
      </c>
      <c r="C22" s="222">
        <f>Statement!AC75</f>
        <v>5044</v>
      </c>
    </row>
    <row r="23" spans="2:9" x14ac:dyDescent="0.2">
      <c r="B23" s="156" t="s">
        <v>221</v>
      </c>
      <c r="C23" s="158">
        <f ca="1">C15*C22</f>
        <v>586062.36</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598462.36</v>
      </c>
    </row>
    <row r="27" spans="2:9" ht="17" thickBot="1" x14ac:dyDescent="0.25"/>
    <row r="28" spans="2:9" x14ac:dyDescent="0.2">
      <c r="B28" s="248" t="s">
        <v>181</v>
      </c>
      <c r="C28" s="249"/>
    </row>
    <row r="29" spans="2:9" x14ac:dyDescent="0.2">
      <c r="B29" s="156" t="s">
        <v>182</v>
      </c>
      <c r="C29" s="158">
        <f ca="1">SUM(H10:L10)</f>
        <v>-79304.052971655328</v>
      </c>
    </row>
    <row r="30" spans="2:9" x14ac:dyDescent="0.2">
      <c r="B30" s="156" t="s">
        <v>178</v>
      </c>
      <c r="C30" s="158">
        <f ca="1">L11</f>
        <v>-226500.7304874415</v>
      </c>
    </row>
    <row r="31" spans="2:9" x14ac:dyDescent="0.2">
      <c r="B31" s="160" t="s">
        <v>183</v>
      </c>
      <c r="C31" s="161">
        <f ca="1">C29+C30</f>
        <v>-305804.7834590968</v>
      </c>
    </row>
    <row r="32" spans="2:9" x14ac:dyDescent="0.2">
      <c r="B32" s="156" t="s">
        <v>184</v>
      </c>
      <c r="C32" s="162">
        <f>C24</f>
        <v>38137</v>
      </c>
    </row>
    <row r="33" spans="2:3" x14ac:dyDescent="0.2">
      <c r="B33" s="156" t="s">
        <v>185</v>
      </c>
      <c r="C33" s="162">
        <f>C25</f>
        <v>50537</v>
      </c>
    </row>
    <row r="34" spans="2:3" x14ac:dyDescent="0.2">
      <c r="B34" s="160" t="s">
        <v>186</v>
      </c>
      <c r="C34" s="161">
        <f ca="1">C31+C32-C33</f>
        <v>-318204.7834590968</v>
      </c>
    </row>
    <row r="35" spans="2:3" x14ac:dyDescent="0.2">
      <c r="B35" s="156" t="s">
        <v>67</v>
      </c>
      <c r="C35" s="158">
        <f>C22</f>
        <v>5044</v>
      </c>
    </row>
    <row r="36" spans="2:3" ht="17" thickBot="1" x14ac:dyDescent="0.25">
      <c r="B36" s="163" t="s">
        <v>187</v>
      </c>
      <c r="C36" s="164">
        <f ca="1">C34/C35</f>
        <v>-63.08580163741015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2026-10-05T21:25:22Z</dcterms:modified>
</cp:coreProperties>
</file>