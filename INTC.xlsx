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6078511-71B9-D640-9378-1F8CE9F92D5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 i="5" l="1"/>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1"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5" i="3"/>
  <c r="Q145" i="3"/>
  <c r="N145" i="3"/>
  <c r="P145" i="3"/>
  <c r="O145" i="3"/>
  <c r="M145" i="3"/>
  <c r="C30"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64" i="12"/>
  <c r="C44"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C78" i="3" l="1"/>
  <c r="AA153" i="3"/>
  <c r="AA154" i="3" s="1"/>
  <c r="C63" i="12"/>
  <c r="C43" i="12"/>
  <c r="AC183" i="3"/>
  <c r="AA11" i="5"/>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10" i="8" s="1"/>
  <c r="H24" i="6"/>
  <c r="I28" i="7"/>
  <c r="F14" i="12"/>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45" i="12" l="1"/>
  <c r="C47" i="12" s="1"/>
  <c r="C6" i="13" s="1"/>
  <c r="I4" i="1" s="1"/>
  <c r="J14" i="12"/>
  <c r="L8" i="12"/>
  <c r="L7" i="11"/>
  <c r="K8" i="12"/>
  <c r="K7" i="11"/>
  <c r="K10" i="11" s="1"/>
  <c r="C58" i="12" l="1"/>
  <c r="C61" i="12" s="1"/>
  <c r="C62" i="12" s="1"/>
  <c r="L10" i="11"/>
  <c r="L8" i="11"/>
  <c r="L11" i="11" s="1"/>
  <c r="C20" i="11" s="1"/>
  <c r="L14" i="12"/>
  <c r="K14" i="12"/>
  <c r="C65" i="12" l="1"/>
  <c r="C67" i="12" s="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<sst xmlns="http://schemas.openxmlformats.org/spreadsheetml/2006/main" count="782" uniqueCount="418">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</sst>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23.75</v>
    <v>2.2740999999999998</v>
    <v>4.13</v>
    <v>4.5053000000000003E-2</v>
    <v>-0.01</v>
    <v>-1.0439999999999999E-4</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95.94</v>
    <v>Semiconductors &amp; Semiconductor Equipment</v>
    <v>Stock</v>
    <v>46269.899596041403</v>
    <v>0</v>
    <v>91.87</v>
    <v>506309610200</v>
    <v>INTEL CORPORATION</v>
    <v>INTEL CORPORATION</v>
    <v>92.45</v>
    <v>0</v>
    <v>91.67</v>
    <v>95.8</v>
    <v>95.79</v>
    <v>5285069000</v>
    <v>INTC</v>
    <v>INTEL CORPORATION (XNAS:INTC)</v>
    <v>97334975</v>
    <v>97208231</v>
    <v>1989</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tabSelected="1"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4" t="s">
        <v>17</v>
      </c>
      <c r="C2" s="235"/>
      <c r="E2" s="234" t="s">
        <v>287</v>
      </c>
      <c r="F2" s="235"/>
      <c r="H2" s="234" t="s">
        <v>328</v>
      </c>
      <c r="I2" s="235"/>
    </row>
    <row r="3" spans="2:9" x14ac:dyDescent="0.2">
      <c r="B3" s="184" t="s">
        <v>11</v>
      </c>
      <c r="C3" s="219" t="e" vm="1">
        <v>#VALUE!</v>
      </c>
      <c r="D3" s="2"/>
      <c r="E3" s="184" t="s">
        <v>239</v>
      </c>
      <c r="F3" s="186">
        <f ca="1">Statement!AC153</f>
        <v>483215.2</v>
      </c>
      <c r="H3" s="184" t="str">
        <f>'AVG target price'!B5</f>
        <v>DCF price</v>
      </c>
      <c r="I3" s="210">
        <f ca="1">'AVG target price'!C5</f>
        <v>-10.384946881958557</v>
      </c>
    </row>
    <row r="4" spans="2:9" x14ac:dyDescent="0.2">
      <c r="B4" s="184" t="s">
        <v>0</v>
      </c>
      <c r="C4" s="188" t="str" cm="1">
        <f t="array" aca="1" ref="C4" ca="1">_FV(C3,"Ticker symbol",TRUE)</f>
        <v>INTC</v>
      </c>
      <c r="E4" s="185" t="s">
        <v>183</v>
      </c>
      <c r="F4" s="187">
        <f ca="1">Statement!AC154</f>
        <v>511216.19999999995</v>
      </c>
      <c r="H4" s="184" t="str">
        <f>'AVG target price'!B6</f>
        <v>EV/EBIT price</v>
      </c>
      <c r="I4" s="210">
        <f ca="1">'AVG target price'!C6</f>
        <v>42.202208590617651</v>
      </c>
    </row>
    <row r="5" spans="2:9" x14ac:dyDescent="0.2">
      <c r="B5" s="184" t="s">
        <v>1</v>
      </c>
      <c r="C5" s="207" cm="1">
        <f t="array" aca="1" ref="C5" ca="1">_FV(C3,"Price",TRUE)</f>
        <v>95.8</v>
      </c>
      <c r="E5" s="184" t="s">
        <v>243</v>
      </c>
      <c r="F5" s="188">
        <f>Statement!AC26</f>
        <v>-2.1100000000000003</v>
      </c>
      <c r="H5" s="184" t="str">
        <f>'AVG target price'!B7</f>
        <v>PS price</v>
      </c>
      <c r="I5" s="210">
        <f>'AVG target price'!C7</f>
        <v>48.738460839691712</v>
      </c>
    </row>
    <row r="6" spans="2:9" x14ac:dyDescent="0.2">
      <c r="B6" s="184" t="s">
        <v>2</v>
      </c>
      <c r="C6" s="207" cm="1">
        <f t="array" aca="1" ref="C6" ca="1">_FV(C3,"Price (Extended hours)",TRUE)</f>
        <v>95.79</v>
      </c>
      <c r="E6" s="184" t="s">
        <v>237</v>
      </c>
      <c r="F6" s="189">
        <f ca="1">Statement!AC150</f>
        <v>-45.402843601895725</v>
      </c>
      <c r="H6" s="184" t="str">
        <f>'AVG target price'!B8</f>
        <v>EV/FCFF price</v>
      </c>
      <c r="I6" s="210">
        <f ca="1">'AVG target price'!C8</f>
        <v>-17.532615973282802</v>
      </c>
    </row>
    <row r="7" spans="2:9" x14ac:dyDescent="0.2">
      <c r="B7" s="184" t="s">
        <v>3</v>
      </c>
      <c r="C7" s="6" cm="1">
        <f t="array" aca="1" ref="C7" ca="1">_FV(C3,"Change")</f>
        <v>4.13</v>
      </c>
      <c r="E7" s="185" t="s">
        <v>196</v>
      </c>
      <c r="F7" s="190">
        <f ca="1">Statement!AC151</f>
        <v>8.2127603801374676</v>
      </c>
      <c r="H7" s="183" t="str">
        <f>'AVG target price'!B9</f>
        <v>AVG price</v>
      </c>
      <c r="I7" s="211">
        <f ca="1">'AVG target price'!C9</f>
        <v>15.755776643767003</v>
      </c>
    </row>
    <row r="8" spans="2:9" x14ac:dyDescent="0.2">
      <c r="B8" s="184" t="s">
        <v>4</v>
      </c>
      <c r="C8" s="6" cm="1">
        <f t="array" aca="1" ref="C8" ca="1">_FV(C3,"Change (extended hours)",TRUE)</f>
        <v>-0.01</v>
      </c>
      <c r="E8" s="184" t="s">
        <v>265</v>
      </c>
      <c r="F8" s="191">
        <f ca="1">Statement!AC161</f>
        <v>-2.3271205044874416E-2</v>
      </c>
      <c r="H8" s="183" t="str">
        <f>'AVG target price'!B11</f>
        <v>Upside/Downside</v>
      </c>
      <c r="I8" s="212">
        <f ca="1">'AVG target price'!C11</f>
        <v>-0.83553469056610641</v>
      </c>
    </row>
    <row r="9" spans="2:9" x14ac:dyDescent="0.2">
      <c r="B9" s="184" t="s">
        <v>5</v>
      </c>
      <c r="C9" s="72" cm="1">
        <f t="array" aca="1" ref="C9" ca="1">_FV(C3,"Change (%)",TRUE)</f>
        <v>4.5053000000000003E-2</v>
      </c>
      <c r="E9" s="184" t="s">
        <v>288</v>
      </c>
      <c r="F9" s="191">
        <f ca="1">Statement!AC162</f>
        <v>-2.202505219206681E-2</v>
      </c>
    </row>
    <row r="10" spans="2:9" x14ac:dyDescent="0.2">
      <c r="B10" s="184" t="s">
        <v>6</v>
      </c>
      <c r="C10" s="72" cm="1">
        <f t="array" aca="1" ref="C10" ca="1">_FV(C3,"Change % (extended hours)",TRUE)</f>
        <v>-1.0439999999999999E-4</v>
      </c>
      <c r="E10" s="184" t="s">
        <v>293</v>
      </c>
      <c r="F10" s="191">
        <f ca="1">Statement!AC164</f>
        <v>0</v>
      </c>
      <c r="H10" s="183" t="s">
        <v>410</v>
      </c>
      <c r="I10" s="211">
        <f>DDM!C26</f>
        <v>0</v>
      </c>
    </row>
    <row r="11" spans="2:9" x14ac:dyDescent="0.2">
      <c r="B11" s="184" t="s">
        <v>7</v>
      </c>
      <c r="C11" s="208" cm="1">
        <f t="array" aca="1" ref="C11" ca="1">_FV(C3,"52 week high",TRUE)</f>
        <v>142.35</v>
      </c>
      <c r="E11" s="185" t="s">
        <v>289</v>
      </c>
      <c r="F11" s="192">
        <f ca="1">Statement!AC163</f>
        <v>0</v>
      </c>
    </row>
    <row r="12" spans="2:9" x14ac:dyDescent="0.2">
      <c r="B12" s="184" t="s">
        <v>8</v>
      </c>
      <c r="C12" s="208" cm="1">
        <f t="array" aca="1" ref="C12" ca="1">_FV(C3,"52 week low",TRUE)</f>
        <v>23.75</v>
      </c>
      <c r="E12" s="184" t="s">
        <v>97</v>
      </c>
      <c r="F12" s="191">
        <f>Statement!AC123</f>
        <v>-5.5285789793468654E-2</v>
      </c>
    </row>
    <row r="13" spans="2:9" x14ac:dyDescent="0.2">
      <c r="B13" s="184" t="s">
        <v>9</v>
      </c>
      <c r="C13" s="208" cm="1">
        <f t="array" aca="1" ref="C13" ca="1">_FV(C3,"Beta")</f>
        <v>2.2740999999999998</v>
      </c>
      <c r="E13" s="184" t="s">
        <v>99</v>
      </c>
      <c r="F13" s="191">
        <f>Statement!AC125</f>
        <v>-0.12784720477028169</v>
      </c>
    </row>
    <row r="14" spans="2:9" x14ac:dyDescent="0.2">
      <c r="B14" s="185" t="s">
        <v>10</v>
      </c>
      <c r="C14" s="209" cm="1">
        <f t="array" aca="1" ref="C14" ca="1">_FV(C3,"Volume average",TRUE)</f>
        <v>97208231</v>
      </c>
      <c r="E14" s="185" t="s">
        <v>100</v>
      </c>
      <c r="F14" s="192">
        <f>Statement!AC140</f>
        <v>-6.6641856278614885E-4</v>
      </c>
    </row>
    <row r="15" spans="2:9" x14ac:dyDescent="0.2">
      <c r="E15" s="184" t="s">
        <v>290</v>
      </c>
      <c r="F15" s="191">
        <f ca="1">Statement!AC176</f>
        <v>-2.5661444424761471E-2</v>
      </c>
    </row>
    <row r="16" spans="2:9" x14ac:dyDescent="0.2">
      <c r="E16" s="185" t="s">
        <v>295</v>
      </c>
      <c r="F16" s="190">
        <f>Statement!AC175</f>
        <v>-2.4583663758921492</v>
      </c>
    </row>
    <row r="17" spans="2:9" x14ac:dyDescent="0.2">
      <c r="B17" s="236" t="s">
        <v>87</v>
      </c>
      <c r="C17" s="236"/>
      <c r="E17" s="183" t="s">
        <v>296</v>
      </c>
      <c r="F17" s="193">
        <f>Statement!AC171</f>
        <v>5.947660586835844E-4</v>
      </c>
    </row>
    <row r="18" spans="2:9" x14ac:dyDescent="0.2">
      <c r="B18" s="183" t="s">
        <v>12</v>
      </c>
      <c r="C18" s="68" t="s">
        <v>333</v>
      </c>
      <c r="E18" s="184" t="s">
        <v>297</v>
      </c>
      <c r="F18" s="189">
        <f>Statement!AC144</f>
        <v>64.755312947057305</v>
      </c>
      <c r="I18" s="50"/>
    </row>
    <row r="19" spans="2:9" x14ac:dyDescent="0.2">
      <c r="B19" s="183" t="s">
        <v>13</v>
      </c>
      <c r="C19" s="69">
        <v>1000000</v>
      </c>
      <c r="E19" s="184" t="s">
        <v>258</v>
      </c>
      <c r="F19" s="189">
        <f>Statement!AC146</f>
        <v>0.14164629549244934</v>
      </c>
    </row>
    <row r="20" spans="2:9" x14ac:dyDescent="0.2">
      <c r="B20" s="183" t="s">
        <v>88</v>
      </c>
      <c r="C20" s="68" t="s">
        <v>371</v>
      </c>
      <c r="E20" s="185" t="s">
        <v>298</v>
      </c>
      <c r="F20" s="190">
        <f>Statement!AC147</f>
        <v>1.1822259601906364</v>
      </c>
    </row>
    <row r="21" spans="2:9" x14ac:dyDescent="0.2">
      <c r="B21" s="183" t="s">
        <v>89</v>
      </c>
      <c r="C21" s="68" t="s">
        <v>371</v>
      </c>
      <c r="I21" s="50"/>
    </row>
    <row r="22" spans="2:9" x14ac:dyDescent="0.2">
      <c r="B22" s="183" t="s">
        <v>90</v>
      </c>
      <c r="C22" s="68" t="s">
        <v>348</v>
      </c>
    </row>
    <row r="25" spans="2:9" x14ac:dyDescent="0.2">
      <c r="B25" s="236" t="s">
        <v>102</v>
      </c>
      <c r="C25" s="236"/>
      <c r="E25" s="234" t="s">
        <v>381</v>
      </c>
      <c r="F25" s="235"/>
    </row>
    <row r="26" spans="2:9" x14ac:dyDescent="0.2">
      <c r="B26" s="183" t="s">
        <v>103</v>
      </c>
      <c r="C26" s="169">
        <v>0.21</v>
      </c>
      <c r="E26" s="184" t="e" vm="2">
        <v>#VALUE!</v>
      </c>
      <c r="F26" s="222" cm="1">
        <f t="array" aca="1" ref="F26" ca="1">_FV(E26,"Price")</f>
        <v>47.62</v>
      </c>
    </row>
    <row r="27" spans="2:9" x14ac:dyDescent="0.2">
      <c r="B27" s="183" t="s">
        <v>167</v>
      </c>
      <c r="C27" s="217">
        <v>5.6000000000000001E-2</v>
      </c>
      <c r="E27" s="185" t="s">
        <v>382</v>
      </c>
      <c r="F27" s="223">
        <f ca="1">F26/1000</f>
        <v>4.7619999999999996E-2</v>
      </c>
    </row>
    <row r="28" spans="2:9" x14ac:dyDescent="0.2">
      <c r="B28" s="183" t="s">
        <v>386</v>
      </c>
      <c r="C28" s="217">
        <v>0</v>
      </c>
    </row>
    <row r="29" spans="2:9" x14ac:dyDescent="0.2">
      <c r="B29" s="183" t="s">
        <v>400</v>
      </c>
      <c r="C29" s="217">
        <v>0.12</v>
      </c>
    </row>
    <row r="33" spans="2:8" x14ac:dyDescent="0.2">
      <c r="B33" s="237" t="s">
        <v>351</v>
      </c>
      <c r="C33" s="237"/>
      <c r="D33" s="237"/>
      <c r="E33" s="237"/>
      <c r="F33" s="237"/>
      <c r="G33" s="237"/>
      <c r="H33" s="237"/>
    </row>
    <row r="35" spans="2:8" x14ac:dyDescent="0.2">
      <c r="B35" s="16" t="s">
        <v>352</v>
      </c>
      <c r="C35" s="1" t="s">
        <v>365</v>
      </c>
    </row>
    <row r="36" spans="2:8" x14ac:dyDescent="0.2">
      <c r="B36" s="16" t="s">
        <v>353</v>
      </c>
      <c r="C36" s="1" t="s">
        <v>380</v>
      </c>
    </row>
    <row r="39" spans="2:8" ht="8" customHeight="1" x14ac:dyDescent="0.2">
      <c r="B39" s="237"/>
      <c r="C39" s="237"/>
      <c r="D39" s="237"/>
      <c r="E39" s="237"/>
      <c r="F39" s="237"/>
      <c r="G39" s="237"/>
      <c r="H39" s="237"/>
    </row>
    <row r="42" spans="2:8" x14ac:dyDescent="0.2">
      <c r="B42" s="237" t="s">
        <v>354</v>
      </c>
      <c r="C42" s="237"/>
      <c r="D42" s="237"/>
      <c r="E42" s="237"/>
      <c r="F42" s="237"/>
      <c r="G42" s="237"/>
      <c r="H42" s="237"/>
    </row>
    <row r="44" spans="2:8" x14ac:dyDescent="0.2">
      <c r="B44" s="41" t="s">
        <v>355</v>
      </c>
      <c r="C44" s="41" t="s">
        <v>415</v>
      </c>
      <c r="D44" s="41"/>
      <c r="E44" s="41" t="s">
        <v>411</v>
      </c>
    </row>
    <row r="45" spans="2:8" x14ac:dyDescent="0.2">
      <c r="B45" s="224" t="s">
        <v>388</v>
      </c>
      <c r="C45" s="1" t="s">
        <v>416</v>
      </c>
    </row>
    <row r="47" spans="2:8" x14ac:dyDescent="0.2">
      <c r="B47" s="41" t="s">
        <v>355</v>
      </c>
      <c r="C47" s="41" t="s">
        <v>340</v>
      </c>
      <c r="D47" s="41"/>
      <c r="E47" s="41" t="s">
        <v>86</v>
      </c>
    </row>
    <row r="48" spans="2:8" x14ac:dyDescent="0.2">
      <c r="B48" s="224" t="s">
        <v>388</v>
      </c>
      <c r="C48" s="1" t="s">
        <v>364</v>
      </c>
    </row>
    <row r="49" spans="2:8" x14ac:dyDescent="0.2">
      <c r="B49" s="224" t="s">
        <v>388</v>
      </c>
      <c r="C49" s="1" t="s">
        <v>366</v>
      </c>
    </row>
    <row r="52" spans="2:8" ht="7" customHeight="1" x14ac:dyDescent="0.2">
      <c r="B52" s="237"/>
      <c r="C52" s="237"/>
      <c r="D52" s="237"/>
      <c r="E52" s="237"/>
      <c r="F52" s="237"/>
      <c r="G52" s="237"/>
      <c r="H52" s="237"/>
    </row>
    <row r="55" spans="2:8" x14ac:dyDescent="0.2">
      <c r="B55" s="237" t="s">
        <v>104</v>
      </c>
      <c r="C55" s="237"/>
      <c r="D55" s="237"/>
      <c r="E55" s="237"/>
      <c r="F55" s="237"/>
      <c r="G55" s="237"/>
      <c r="H55" s="237"/>
    </row>
    <row r="57" spans="2:8" x14ac:dyDescent="0.2">
      <c r="B57" s="41" t="s">
        <v>355</v>
      </c>
      <c r="C57" s="41" t="s">
        <v>340</v>
      </c>
      <c r="D57" s="41"/>
      <c r="E57" s="41" t="s">
        <v>86</v>
      </c>
    </row>
    <row r="62" spans="2:8" ht="7" customHeight="1" x14ac:dyDescent="0.2">
      <c r="B62" s="237"/>
      <c r="C62" s="237"/>
      <c r="D62" s="237"/>
      <c r="E62" s="237"/>
      <c r="F62" s="237"/>
      <c r="G62" s="237"/>
      <c r="H62" s="237"/>
    </row>
  </sheetData>
  <mergeCells count="12">
    <mergeCell ref="B55:H55"/>
    <mergeCell ref="B62:H62"/>
    <mergeCell ref="B33:H33"/>
    <mergeCell ref="B39:H39"/>
    <mergeCell ref="B42:H42"/>
    <mergeCell ref="B52:H52"/>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339</v>
      </c>
      <c r="N2" s="10" t="s">
        <v>338</v>
      </c>
      <c r="O2" s="10" t="s">
        <v>336</v>
      </c>
      <c r="P2" s="10" t="s">
        <v>335</v>
      </c>
      <c r="Q2" s="10" t="s">
        <v>334</v>
      </c>
      <c r="R2" s="7"/>
      <c r="S2" s="7"/>
      <c r="T2" s="10" t="s">
        <v>346</v>
      </c>
      <c r="U2" s="10" t="s">
        <v>335</v>
      </c>
      <c r="V2" s="10" t="s">
        <v>342</v>
      </c>
      <c r="W2" s="10" t="s">
        <v>347</v>
      </c>
      <c r="X2" s="10" t="s">
        <v>344</v>
      </c>
      <c r="Y2" s="10" t="s">
        <v>334</v>
      </c>
      <c r="Z2" s="10" t="s">
        <v>340</v>
      </c>
      <c r="AA2" s="10" t="s">
        <v>412</v>
      </c>
      <c r="AB2" s="7"/>
      <c r="AD2" s="7"/>
      <c r="AE2" s="7"/>
    </row>
    <row r="3" spans="1:31" s="13" customFormat="1" x14ac:dyDescent="0.2">
      <c r="A3" s="11"/>
      <c r="B3" s="12" t="s">
        <v>16</v>
      </c>
      <c r="M3" s="13">
        <v>2021</v>
      </c>
      <c r="N3" s="13">
        <v>2022</v>
      </c>
      <c r="O3" s="13">
        <v>2023</v>
      </c>
      <c r="P3" s="13">
        <v>2024</v>
      </c>
      <c r="Q3" s="13">
        <v>2025</v>
      </c>
      <c r="R3" s="11"/>
      <c r="S3" s="11"/>
      <c r="T3" s="10" t="s">
        <v>345</v>
      </c>
      <c r="U3" s="10" t="s">
        <v>343</v>
      </c>
      <c r="V3" s="10" t="s">
        <v>341</v>
      </c>
      <c r="W3" s="10" t="s">
        <v>85</v>
      </c>
      <c r="X3" s="10" t="s">
        <v>84</v>
      </c>
      <c r="Y3" s="10" t="s">
        <v>83</v>
      </c>
      <c r="Z3" s="10" t="s">
        <v>86</v>
      </c>
      <c r="AA3" s="10" t="s">
        <v>411</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337</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329</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394</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349</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350</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329</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284</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332</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234</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235</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236</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275</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276</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337</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299</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330</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331</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95.8</v>
      </c>
    </row>
    <row r="117" spans="1:31" x14ac:dyDescent="0.2">
      <c r="B117" s="20" t="s">
        <v>383</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95.8</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228</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229</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230</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7" t="str">
        <f t="shared" ref="T132:Y132" si="121">IF(T131&gt;T130, "BEAT", IF(T131&lt;T129, "MISSED", "MET"))</f>
        <v>MET</v>
      </c>
      <c r="U132" s="227" t="str">
        <f t="shared" si="121"/>
        <v>MET</v>
      </c>
      <c r="V132" s="227" t="str">
        <f t="shared" si="121"/>
        <v>BEAT</v>
      </c>
      <c r="W132" s="227" t="str">
        <f t="shared" si="121"/>
        <v>BEAT</v>
      </c>
      <c r="X132" s="227" t="str">
        <f t="shared" si="121"/>
        <v>MET</v>
      </c>
      <c r="Y132" s="227" t="str">
        <f t="shared" si="121"/>
        <v>BEAT</v>
      </c>
      <c r="Z132" s="227" t="str">
        <f>IF(Z131&gt;Z130, "BEAT", IF(Z131&lt;Z129, "MISSED", "MET"))</f>
        <v>BEAT</v>
      </c>
      <c r="AA132" s="227" t="str">
        <f>IF(AA131&gt;AA130, "BEAT", IF(AA131&lt;AA129, "MISSED", "MET"))</f>
        <v>MISSED</v>
      </c>
      <c r="AC132" s="49"/>
    </row>
    <row r="133" spans="2:29" x14ac:dyDescent="0.2">
      <c r="B133" s="20" t="s">
        <v>361</v>
      </c>
      <c r="C133" s="49"/>
      <c r="D133" s="49"/>
      <c r="E133" s="49"/>
      <c r="F133" s="49"/>
      <c r="G133" s="49"/>
      <c r="H133" s="49"/>
      <c r="I133" s="49"/>
      <c r="J133" s="49"/>
      <c r="K133" s="49"/>
      <c r="L133" s="49"/>
      <c r="M133" s="49"/>
      <c r="N133" s="49"/>
      <c r="O133" s="49"/>
      <c r="P133" s="49"/>
      <c r="Q133" s="49"/>
      <c r="T133" s="216">
        <v>0.36499999999999999</v>
      </c>
      <c r="U133" s="216">
        <v>0.33800000000000002</v>
      </c>
      <c r="V133" s="216">
        <v>0.34300000000000003</v>
      </c>
      <c r="W133" s="216">
        <v>0.34100000000000003</v>
      </c>
      <c r="X133" s="216">
        <v>0.34499999999999997</v>
      </c>
      <c r="Y133" s="216">
        <v>0.32300000000000001</v>
      </c>
      <c r="Z133" s="216">
        <v>0.375</v>
      </c>
      <c r="AA133" s="216">
        <v>0.42</v>
      </c>
      <c r="AC133" s="49"/>
    </row>
    <row r="134" spans="2:29" x14ac:dyDescent="0.2">
      <c r="B134" s="20" t="s">
        <v>362</v>
      </c>
      <c r="C134" s="49"/>
      <c r="D134" s="49"/>
      <c r="E134" s="49"/>
      <c r="F134" s="49"/>
      <c r="G134" s="49"/>
      <c r="H134" s="49"/>
      <c r="I134" s="49"/>
      <c r="J134" s="49"/>
      <c r="K134" s="49"/>
      <c r="L134" s="49"/>
      <c r="M134" s="49"/>
      <c r="N134" s="49"/>
      <c r="O134" s="49"/>
      <c r="P134" s="49"/>
      <c r="Q134" s="49"/>
      <c r="T134" s="216">
        <v>0.36499999999999999</v>
      </c>
      <c r="U134" s="216">
        <v>0.33800000000000002</v>
      </c>
      <c r="V134" s="216">
        <v>0.34300000000000003</v>
      </c>
      <c r="W134" s="216">
        <v>0.34100000000000003</v>
      </c>
      <c r="X134" s="216">
        <v>0.34499999999999997</v>
      </c>
      <c r="Y134" s="216">
        <v>0.32300000000000001</v>
      </c>
      <c r="Z134" s="216">
        <v>0.375</v>
      </c>
      <c r="AA134" s="216">
        <v>0.42</v>
      </c>
      <c r="AC134" s="49"/>
    </row>
    <row r="135" spans="2:29" x14ac:dyDescent="0.2">
      <c r="B135" s="20" t="s">
        <v>363</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7" t="str">
        <f t="shared" ref="T136:Y136" si="130">IF(T135&gt;T134, "BEAT", IF(T135&lt;T133, "MISSED", "MET"))</f>
        <v>BEAT</v>
      </c>
      <c r="U136" s="227" t="str">
        <f t="shared" si="130"/>
        <v>BEAT</v>
      </c>
      <c r="V136" s="227" t="str">
        <f t="shared" si="130"/>
        <v>MISSED</v>
      </c>
      <c r="W136" s="227" t="str">
        <f t="shared" si="130"/>
        <v>BEAT</v>
      </c>
      <c r="X136" s="227" t="str">
        <f t="shared" si="130"/>
        <v>BEAT</v>
      </c>
      <c r="Y136" s="227" t="str">
        <f t="shared" si="130"/>
        <v>BEAT</v>
      </c>
      <c r="Z136" s="227" t="str">
        <f>IF(Z135&gt;Z134, "BEAT", IF(Z135&lt;Z133, "MISSED", "MET"))</f>
        <v>BEAT</v>
      </c>
      <c r="AA136" s="227" t="str">
        <f>IF(AA135&gt;AA134, "BEAT", IF(AA135&lt;AA133, "MISSED", "MET"))</f>
        <v>MISSED</v>
      </c>
      <c r="AC136" s="49"/>
    </row>
    <row r="138" spans="2:29" x14ac:dyDescent="0.2">
      <c r="B138" s="1"/>
    </row>
    <row r="139" spans="2:29" ht="17" thickBot="1" x14ac:dyDescent="0.25">
      <c r="B139" s="14" t="s">
        <v>248</v>
      </c>
      <c r="C139" s="170"/>
      <c r="D139" s="170"/>
      <c r="E139" s="170"/>
      <c r="F139" s="170"/>
      <c r="G139" s="170"/>
      <c r="H139" s="170"/>
      <c r="I139" s="170"/>
      <c r="J139" s="170"/>
      <c r="K139" s="170"/>
      <c r="L139" s="170"/>
      <c r="M139" s="170"/>
      <c r="N139" s="170"/>
      <c r="O139" s="170"/>
      <c r="P139" s="170"/>
      <c r="Q139" s="170"/>
      <c r="T139" s="170"/>
      <c r="U139" s="170"/>
      <c r="V139" s="170"/>
      <c r="W139" s="170"/>
      <c r="X139" s="170"/>
      <c r="Y139" s="170"/>
      <c r="Z139" s="170"/>
      <c r="AA139" s="170"/>
      <c r="AC139" s="170"/>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251</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255</v>
      </c>
      <c r="M146" s="178">
        <f>(M108-M107)/M49</f>
        <v>3.5537943831179045E-2</v>
      </c>
      <c r="N146" s="178">
        <f>(N108-N107)/N49</f>
        <v>7.691549254113958E-2</v>
      </c>
      <c r="O146" s="178">
        <f>(O108-O107)/O49</f>
        <v>0.17428733781608108</v>
      </c>
      <c r="P146" s="178">
        <f>(P108-P107)/P49</f>
        <v>0.22731943185252343</v>
      </c>
      <c r="Q146" s="178">
        <f>(Q108-Q107)/Q49</f>
        <v>5.7489871457197606E-3</v>
      </c>
      <c r="T146" s="178">
        <f t="shared" ref="T146:Z146" si="148">(T108-T107)/T49</f>
        <v>0.20751115219225977</v>
      </c>
      <c r="U146" s="178">
        <f t="shared" si="148"/>
        <v>0.22731943185252343</v>
      </c>
      <c r="V146" s="178">
        <f t="shared" si="148"/>
        <v>0.2413488912947592</v>
      </c>
      <c r="W146" s="178">
        <f t="shared" si="148"/>
        <v>0.24690702164829439</v>
      </c>
      <c r="X146" s="178">
        <f t="shared" si="148"/>
        <v>6.5343686545837401E-2</v>
      </c>
      <c r="Y146" s="178">
        <f t="shared" si="148"/>
        <v>5.7489871457197606E-3</v>
      </c>
      <c r="Z146" s="178">
        <f t="shared" si="148"/>
        <v>3.3763039301937268E-2</v>
      </c>
      <c r="AA146" s="178">
        <f t="shared" ref="AA146" si="149">(AA108-AA107)/AA49</f>
        <v>0.14164629549244934</v>
      </c>
      <c r="AC146" s="178">
        <f>(AC108-AC107)/AC49</f>
        <v>0.14164629549244934</v>
      </c>
    </row>
    <row r="147" spans="2:29" x14ac:dyDescent="0.2">
      <c r="B147" s="20" t="s">
        <v>252</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253</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259</v>
      </c>
      <c r="M149" s="180" t="str">
        <f>IF(M13&gt;=0,"N/A",IF(M12&lt;=0,"N/A",M12/-M13))</f>
        <v>N/A</v>
      </c>
      <c r="N149" s="180" t="str">
        <f>IF(N13&gt;=0,"N/A",IF(N12&lt;=0,"N/A",N12/-N13))</f>
        <v>N/A</v>
      </c>
      <c r="O149" s="180" t="str">
        <f>IF(O13&gt;=0,"N/A",IF(O12&lt;=0,"N/A",O12/-O13))</f>
        <v>N/A</v>
      </c>
      <c r="P149" s="180" t="str">
        <f>IF(P13&gt;=0,"N/A",IF(P12&lt;=0,"N/A",P12/-P13))</f>
        <v>N/A</v>
      </c>
      <c r="Q149" s="180" t="str">
        <f>IF(Q13&gt;=0,"N/A",IF(Q12&lt;=0,"N/A",Q12/-Q13))</f>
        <v>N/A</v>
      </c>
      <c r="T149" s="180" t="str">
        <f t="shared" ref="T149:Z149" si="154">IF(T13&gt;=0,"N/A",IF(T12&lt;=0,"N/A",T12/-T13))</f>
        <v>N/A</v>
      </c>
      <c r="U149" s="180" t="str">
        <f t="shared" si="154"/>
        <v>N/A</v>
      </c>
      <c r="V149" s="180" t="str">
        <f t="shared" si="154"/>
        <v>N/A</v>
      </c>
      <c r="W149" s="180" t="str">
        <f t="shared" si="154"/>
        <v>N/A</v>
      </c>
      <c r="X149" s="180" t="str">
        <f t="shared" si="154"/>
        <v>N/A</v>
      </c>
      <c r="Y149" s="180">
        <f t="shared" si="154"/>
        <v>5.9793814432989691</v>
      </c>
      <c r="Z149" s="180" t="str">
        <f t="shared" si="154"/>
        <v>N/A</v>
      </c>
      <c r="AA149" s="180">
        <f t="shared" ref="AA149" si="155">IF(AA13&gt;=0,"N/A",IF(AA12&lt;=0,"N/A",AA12/-AA13))</f>
        <v>46.051282051282051</v>
      </c>
      <c r="AC149" s="180" t="str">
        <f>IF(AC13&gt;=0,"N/A",IF(AC12&lt;=0,"N/A",AC12/-AC13))</f>
        <v>N/A</v>
      </c>
    </row>
    <row r="150" spans="2:29" x14ac:dyDescent="0.2">
      <c r="B150" s="20" t="s">
        <v>237</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-45.402843601895725</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8.2127603801374676</v>
      </c>
    </row>
    <row r="152" spans="2:29" x14ac:dyDescent="0.2">
      <c r="B152" s="20" t="s">
        <v>238</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5.5198099198099193</v>
      </c>
    </row>
    <row r="153" spans="2:29" x14ac:dyDescent="0.2">
      <c r="B153" s="20" t="s">
        <v>239</v>
      </c>
      <c r="M153" s="142">
        <f>Statement!M117*Statement!M78</f>
        <v>210524.93000000002</v>
      </c>
      <c r="N153" s="142">
        <f>Statement!N117*Statement!N78</f>
        <v>109737.36</v>
      </c>
      <c r="O153" s="142">
        <f>Statement!O117*Statement!O78</f>
        <v>213562.5</v>
      </c>
      <c r="P153" s="142">
        <f>Statement!P117*Statement!P78</f>
        <v>87899</v>
      </c>
      <c r="Q153" s="142">
        <f>Statement!Q117*Statement!Q78</f>
        <v>180819</v>
      </c>
      <c r="T153" s="142">
        <f>Statement!T117*Statement!T78</f>
        <v>103123.83</v>
      </c>
      <c r="U153" s="142">
        <f>Statement!U117*Statement!U78</f>
        <v>87899</v>
      </c>
      <c r="V153" s="142">
        <f>Statement!V117*Statement!V78</f>
        <v>99061.02</v>
      </c>
      <c r="W153" s="142">
        <f>Statement!W117*Statement!W78</f>
        <v>99314.13</v>
      </c>
      <c r="X153" s="142">
        <f>Statement!X117*Statement!X78</f>
        <v>169335</v>
      </c>
      <c r="Y153" s="142">
        <f>Statement!Y117*Statement!Y78</f>
        <v>180819</v>
      </c>
      <c r="Z153" s="142">
        <f>Statement!Z117*Statement!Z78</f>
        <v>217273.97999999998</v>
      </c>
      <c r="AA153" s="142">
        <f>Statement!AA117*Statement!AA78</f>
        <v>647246.07999999996</v>
      </c>
      <c r="AC153" s="142">
        <f ca="1">Statement!AC117*Statement!AC78</f>
        <v>483215.2</v>
      </c>
    </row>
    <row r="154" spans="2:29" x14ac:dyDescent="0.2">
      <c r="B154" s="20" t="s">
        <v>183</v>
      </c>
      <c r="M154" s="142">
        <f>M153+M108-M107+M48+M45</f>
        <v>213914.93000000002</v>
      </c>
      <c r="N154" s="142">
        <f>N153+N108-N107+N48+N45</f>
        <v>119401.35999999999</v>
      </c>
      <c r="O154" s="142">
        <f>O153+O108-O107+O48+O45</f>
        <v>236340.5</v>
      </c>
      <c r="P154" s="142">
        <f>P153+P108-P107+P48+P45</f>
        <v>116227</v>
      </c>
      <c r="Q154" s="142">
        <f>Q153+Q108-Q107+Q48+Q45</f>
        <v>193555</v>
      </c>
      <c r="T154" s="142">
        <f t="shared" ref="T154:Z154" si="156">T153+T108-T107+T48+T45</f>
        <v>129109.83000000002</v>
      </c>
      <c r="U154" s="142">
        <f t="shared" si="156"/>
        <v>116227</v>
      </c>
      <c r="V154" s="142">
        <f t="shared" si="156"/>
        <v>129794.02000000002</v>
      </c>
      <c r="W154" s="142">
        <f t="shared" si="156"/>
        <v>131350.13</v>
      </c>
      <c r="X154" s="142">
        <f t="shared" si="156"/>
        <v>186640</v>
      </c>
      <c r="Y154" s="142">
        <f t="shared" si="156"/>
        <v>193555</v>
      </c>
      <c r="Z154" s="142">
        <f t="shared" si="156"/>
        <v>234629.97999999998</v>
      </c>
      <c r="AA154" s="142">
        <f t="shared" ref="AA154" si="157">AA153+AA108-AA107+AA48+AA45</f>
        <v>675247.08</v>
      </c>
      <c r="AC154" s="142">
        <f ca="1">AC153+AC108-AC107+AC48+AC45</f>
        <v>511216.19999999995</v>
      </c>
    </row>
    <row r="155" spans="2:29" x14ac:dyDescent="0.2">
      <c r="B155" s="20" t="s">
        <v>260</v>
      </c>
      <c r="M155" s="182">
        <f>M154/M5</f>
        <v>2.7069615559829927</v>
      </c>
      <c r="N155" s="182">
        <f>N154/N5</f>
        <v>1.8936365654835536</v>
      </c>
      <c r="O155" s="182">
        <f>O154/O5</f>
        <v>4.3582743232278531</v>
      </c>
      <c r="P155" s="182">
        <f>P154/P5</f>
        <v>2.1887911715410255</v>
      </c>
      <c r="Q155" s="182">
        <f>Q154/Q5</f>
        <v>3.6621383838192725</v>
      </c>
      <c r="T155" s="49"/>
      <c r="U155" s="49"/>
      <c r="V155" s="49"/>
      <c r="W155" s="49"/>
      <c r="X155" s="49"/>
      <c r="Y155" s="49"/>
      <c r="Z155" s="49"/>
      <c r="AA155" s="49"/>
      <c r="AC155" s="182">
        <f ca="1">AC154/AC5</f>
        <v>8.9636730256697987</v>
      </c>
    </row>
    <row r="156" spans="2:29" x14ac:dyDescent="0.2">
      <c r="B156" s="20" t="s">
        <v>199</v>
      </c>
      <c r="M156" s="182">
        <f>M154/M12</f>
        <v>10.994805201480265</v>
      </c>
      <c r="N156" s="182">
        <f>N154/N12</f>
        <v>51.157395029991427</v>
      </c>
      <c r="O156" s="182">
        <f>O154/O12</f>
        <v>2541.2956989247314</v>
      </c>
      <c r="P156" s="182">
        <f>P154/P12</f>
        <v>-9.9526460010275724</v>
      </c>
      <c r="Q156" s="182">
        <f>Q154/Q12</f>
        <v>-87.42321589882566</v>
      </c>
      <c r="T156" s="49"/>
      <c r="U156" s="49"/>
      <c r="V156" s="49"/>
      <c r="W156" s="49"/>
      <c r="X156" s="49"/>
      <c r="Y156" s="49"/>
      <c r="Z156" s="49"/>
      <c r="AA156" s="49"/>
      <c r="AC156" s="182">
        <f ca="1">AC154/AC12</f>
        <v>-6639.1714285714279</v>
      </c>
    </row>
    <row r="157" spans="2:29" x14ac:dyDescent="0.2">
      <c r="B157" s="20" t="s">
        <v>261</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262</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263</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-42.971560693641621</v>
      </c>
    </row>
    <row r="160" spans="2:29" x14ac:dyDescent="0.2">
      <c r="B160" s="20" t="s">
        <v>264</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-90.753807917628251</v>
      </c>
    </row>
    <row r="161" spans="2:29" x14ac:dyDescent="0.2">
      <c r="B161" s="20" t="s">
        <v>265</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-2.3271205044874416E-2</v>
      </c>
    </row>
    <row r="162" spans="2:29" x14ac:dyDescent="0.2">
      <c r="B162" s="20" t="s">
        <v>266</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-2.202505219206681E-2</v>
      </c>
    </row>
    <row r="163" spans="2:29" x14ac:dyDescent="0.2">
      <c r="B163" s="20" t="s">
        <v>267</v>
      </c>
      <c r="M163" s="153">
        <f>M82/M117</f>
        <v>2.7090235821477293E-2</v>
      </c>
      <c r="N163" s="153">
        <f>N82/N117</f>
        <v>5.5240257283390083E-2</v>
      </c>
      <c r="O163" s="153">
        <f>O82/O117</f>
        <v>1.472636815920398E-2</v>
      </c>
      <c r="P163" s="153">
        <f>P82/P117</f>
        <v>1.8719211822660099E-2</v>
      </c>
      <c r="Q163" s="153">
        <f>Q82/Q117</f>
        <v>0</v>
      </c>
      <c r="T163" s="49"/>
      <c r="U163" s="49"/>
      <c r="V163" s="49"/>
      <c r="W163" s="49"/>
      <c r="X163" s="49"/>
      <c r="Y163" s="49"/>
      <c r="Z163" s="49"/>
      <c r="AA163" s="49"/>
      <c r="AC163" s="153">
        <f ca="1">AC82/AC117</f>
        <v>0</v>
      </c>
    </row>
    <row r="164" spans="2:29" x14ac:dyDescent="0.2">
      <c r="B164" s="20" t="s">
        <v>292</v>
      </c>
      <c r="M164" s="153">
        <f>-M63/M153</f>
        <v>1.1471325510000168E-2</v>
      </c>
      <c r="N164" s="153">
        <f>-N63/N153</f>
        <v>0</v>
      </c>
      <c r="O164" s="153">
        <f>-O63/O153</f>
        <v>0</v>
      </c>
      <c r="P164" s="153">
        <f>-P63/P153</f>
        <v>0</v>
      </c>
      <c r="Q164" s="153">
        <f>-Q63/Q153</f>
        <v>0</v>
      </c>
      <c r="T164" s="49"/>
      <c r="U164" s="49"/>
      <c r="V164" s="49"/>
      <c r="W164" s="49"/>
      <c r="X164" s="49"/>
      <c r="Y164" s="49"/>
      <c r="Z164" s="49"/>
      <c r="AA164" s="49"/>
      <c r="AC164" s="153">
        <f ca="1">-AC63/AC153</f>
        <v>0</v>
      </c>
    </row>
    <row r="165" spans="2:29" x14ac:dyDescent="0.2">
      <c r="B165" s="20" t="s">
        <v>294</v>
      </c>
      <c r="M165" s="153">
        <f>-(M63+M64)/M153</f>
        <v>3.8280501981404286E-2</v>
      </c>
      <c r="N165" s="153">
        <f>-(N63+N64)/N153</f>
        <v>5.4648662953072684E-2</v>
      </c>
      <c r="O165" s="153">
        <f>-(O63+O64)/O153</f>
        <v>1.4459467369037167E-2</v>
      </c>
      <c r="P165" s="153">
        <f>-(P63+P64)/P153</f>
        <v>1.8191333234735322E-2</v>
      </c>
      <c r="Q165" s="153">
        <f>-(Q63+Q64)/Q153</f>
        <v>0</v>
      </c>
      <c r="T165" s="49"/>
      <c r="U165" s="49"/>
      <c r="V165" s="49"/>
      <c r="W165" s="49"/>
      <c r="X165" s="49"/>
      <c r="Y165" s="49"/>
      <c r="Z165" s="49"/>
      <c r="AA165" s="49"/>
      <c r="AC165" s="153">
        <f ca="1">-(AC63+AC64)/AC153</f>
        <v>3.3090846479994834E-3</v>
      </c>
    </row>
    <row r="166" spans="2:29" x14ac:dyDescent="0.2">
      <c r="B166" s="20" t="s">
        <v>384</v>
      </c>
      <c r="M166" s="153">
        <f>M158/M5</f>
        <v>6.9118053061243856E-2</v>
      </c>
      <c r="N166" s="153">
        <f>N158/N5</f>
        <v>-0.22176229898182509</v>
      </c>
      <c r="O166" s="153">
        <f>O158/O5</f>
        <v>-0.30655749797152765</v>
      </c>
      <c r="P166" s="153">
        <f>P158/P5</f>
        <v>-0.43577333760192838</v>
      </c>
      <c r="Q166" s="153">
        <f>Q158/Q5</f>
        <v>-0.1305696933002857</v>
      </c>
      <c r="T166" s="49"/>
      <c r="U166" s="49"/>
      <c r="V166" s="49"/>
      <c r="W166" s="49"/>
      <c r="X166" s="49"/>
      <c r="Y166" s="49"/>
      <c r="Z166" s="49"/>
      <c r="AA166" s="49"/>
      <c r="AC166" s="153">
        <f>AC158/AC5</f>
        <v>-9.8769112077430221E-2</v>
      </c>
    </row>
    <row r="167" spans="2:29" x14ac:dyDescent="0.2">
      <c r="B167" s="20" t="s">
        <v>385</v>
      </c>
      <c r="M167" s="153">
        <f>M157/M5</f>
        <v>0.10992862927718161</v>
      </c>
      <c r="N167" s="153">
        <f>N157/N5</f>
        <v>-0.19886129349446507</v>
      </c>
      <c r="O167" s="153">
        <f>O157/O5</f>
        <v>-0.3228590396105333</v>
      </c>
      <c r="P167" s="153">
        <f>P157/P5</f>
        <v>-0.35905161861358542</v>
      </c>
      <c r="Q167" s="153">
        <f>Q157/Q5</f>
        <v>-0.13968932700130551</v>
      </c>
      <c r="T167" s="49"/>
      <c r="U167" s="49"/>
      <c r="V167" s="49"/>
      <c r="W167" s="49"/>
      <c r="X167" s="49"/>
      <c r="Y167" s="49"/>
      <c r="Z167" s="49"/>
      <c r="AA167" s="49"/>
      <c r="AC167" s="153">
        <f>AC157/AC5</f>
        <v>-0.19717000981904895</v>
      </c>
    </row>
    <row r="168" spans="2:29" x14ac:dyDescent="0.2">
      <c r="B168" s="20" t="s">
        <v>270</v>
      </c>
      <c r="M168" s="153">
        <f>-M64/M157</f>
        <v>0.64970645792563597</v>
      </c>
      <c r="N168" s="153">
        <f>-N64/N157</f>
        <v>-0.47826780445011563</v>
      </c>
      <c r="O168" s="153">
        <f>-O64/O157</f>
        <v>-0.1763765135937857</v>
      </c>
      <c r="P168" s="153">
        <f>-P64/P157</f>
        <v>-8.3866568761145496E-2</v>
      </c>
      <c r="Q168" s="153">
        <f>-Q64/Q157</f>
        <v>0</v>
      </c>
      <c r="T168" s="49"/>
      <c r="U168" s="49"/>
      <c r="V168" s="49"/>
      <c r="W168" s="49"/>
      <c r="X168" s="49"/>
      <c r="Y168" s="49"/>
      <c r="Z168" s="49"/>
      <c r="AA168" s="49"/>
      <c r="AC168" s="153">
        <f>-AC64/AC157</f>
        <v>-0.14219653179190753</v>
      </c>
    </row>
    <row r="169" spans="2:29" x14ac:dyDescent="0.2">
      <c r="B169" s="20" t="s">
        <v>272</v>
      </c>
      <c r="M169" s="153">
        <f>-M63/M157</f>
        <v>0.27800161160354553</v>
      </c>
      <c r="N169" s="153">
        <f>-N63/N157</f>
        <v>0</v>
      </c>
      <c r="O169" s="153">
        <f>-O63/O157</f>
        <v>0</v>
      </c>
      <c r="P169" s="153">
        <f>-P63/P157</f>
        <v>0</v>
      </c>
      <c r="Q169" s="153">
        <f>-Q63/Q157</f>
        <v>0</v>
      </c>
      <c r="T169" s="49"/>
      <c r="U169" s="49"/>
      <c r="V169" s="49"/>
      <c r="W169" s="49"/>
      <c r="X169" s="49"/>
      <c r="Y169" s="49"/>
      <c r="Z169" s="49"/>
      <c r="AA169" s="49"/>
      <c r="AC169" s="153">
        <f>-AC63/AC157</f>
        <v>0</v>
      </c>
    </row>
    <row r="170" spans="2:29" x14ac:dyDescent="0.2">
      <c r="B170" s="20" t="s">
        <v>283</v>
      </c>
      <c r="M170" s="153">
        <f>(-M64-M63)/M157</f>
        <v>0.9277080695291815</v>
      </c>
      <c r="N170" s="153">
        <f>(-N64-N63)/N157</f>
        <v>-0.47826780445011563</v>
      </c>
      <c r="O170" s="153">
        <f>(-O64-O63)/O157</f>
        <v>-0.1763765135937857</v>
      </c>
      <c r="P170" s="153">
        <f>(-P64-P63)/P157</f>
        <v>-8.3866568761145496E-2</v>
      </c>
      <c r="Q170" s="153">
        <f>(-Q64-Q63)/Q157</f>
        <v>0</v>
      </c>
      <c r="T170" s="49"/>
      <c r="U170" s="49"/>
      <c r="V170" s="49"/>
      <c r="W170" s="49"/>
      <c r="X170" s="49"/>
      <c r="Y170" s="49"/>
      <c r="Z170" s="49"/>
      <c r="AA170" s="49"/>
      <c r="AC170" s="153">
        <f>(-AC64-AC63)/AC157</f>
        <v>-0.14219653179190753</v>
      </c>
    </row>
    <row r="171" spans="2:29" x14ac:dyDescent="0.2">
      <c r="B171" s="20" t="s">
        <v>277</v>
      </c>
      <c r="M171" s="153">
        <f>M80/M78</f>
        <v>4.874482086278333E-4</v>
      </c>
      <c r="N171" s="153">
        <f>N80/N78</f>
        <v>4.8169556840077071E-4</v>
      </c>
      <c r="O171" s="153">
        <f>O80/O78</f>
        <v>4.7058823529411766E-4</v>
      </c>
      <c r="P171" s="153">
        <f>P80/P78</f>
        <v>4.6189376443418013E-4</v>
      </c>
      <c r="Q171" s="153">
        <f>Q80/Q78</f>
        <v>6.0060060060060057E-4</v>
      </c>
      <c r="T171" s="49"/>
      <c r="U171" s="49"/>
      <c r="V171" s="49"/>
      <c r="W171" s="49"/>
      <c r="X171" s="49"/>
      <c r="Y171" s="49"/>
      <c r="Z171" s="49"/>
      <c r="AA171" s="49"/>
      <c r="AC171" s="153">
        <f>AC80/AC78</f>
        <v>5.947660586835844E-4</v>
      </c>
    </row>
    <row r="172" spans="2:29" x14ac:dyDescent="0.2">
      <c r="B172" s="20" t="s">
        <v>278</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280</v>
      </c>
      <c r="M173" s="153">
        <f>M54/M59</f>
        <v>6.9120043454644217E-2</v>
      </c>
      <c r="N173" s="153">
        <f>N54/N59</f>
        <v>0.20268256333830104</v>
      </c>
      <c r="O173" s="153">
        <f>O54/O59</f>
        <v>0.28149245924505273</v>
      </c>
      <c r="P173" s="153">
        <f>P54/P59</f>
        <v>0.41143822393822393</v>
      </c>
      <c r="Q173" s="153">
        <f>Q54/Q59</f>
        <v>0.25100546560791998</v>
      </c>
      <c r="T173" s="153" t="e">
        <f t="shared" ref="T173:X173" si="167">T54/T59</f>
        <v>#DIV/0!</v>
      </c>
      <c r="U173" s="153" t="e">
        <f t="shared" si="167"/>
        <v>#DIV/0!</v>
      </c>
      <c r="V173" s="153">
        <f t="shared" si="167"/>
        <v>0.84132841328413288</v>
      </c>
      <c r="W173" s="153">
        <f t="shared" si="167"/>
        <v>0.32390243902439025</v>
      </c>
      <c r="X173" s="153">
        <f t="shared" si="167"/>
        <v>0.2152395915161037</v>
      </c>
      <c r="Y173" s="153">
        <f>V54/V59</f>
        <v>0.84132841328413288</v>
      </c>
      <c r="Z173" s="153">
        <f>Z54/Z59</f>
        <v>0.56660583941605835</v>
      </c>
      <c r="AA173" s="153">
        <f>AA54/AA59</f>
        <v>9.7916071938338567E-2</v>
      </c>
      <c r="AC173" s="153">
        <f>AC54/AC59</f>
        <v>0.24905744067420715</v>
      </c>
    </row>
    <row r="174" spans="2:29" x14ac:dyDescent="0.2">
      <c r="B174" s="20" t="s">
        <v>281</v>
      </c>
      <c r="M174" s="153">
        <f>M54/M5</f>
        <v>2.5764324762097592E-2</v>
      </c>
      <c r="N174" s="153">
        <f>N54/N5</f>
        <v>4.9608272274558315E-2</v>
      </c>
      <c r="O174" s="153">
        <f>O54/O5</f>
        <v>5.9544884561481153E-2</v>
      </c>
      <c r="P174" s="153">
        <f>P54/P5</f>
        <v>6.4217246379540877E-2</v>
      </c>
      <c r="Q174" s="153">
        <f>Q54/Q5</f>
        <v>4.6052258149963103E-2</v>
      </c>
      <c r="T174" s="153">
        <f t="shared" ref="T174:X174" si="168">T54/T5</f>
        <v>0</v>
      </c>
      <c r="U174" s="153">
        <f t="shared" si="168"/>
        <v>0</v>
      </c>
      <c r="V174" s="153">
        <f t="shared" si="168"/>
        <v>5.3998578984763561E-2</v>
      </c>
      <c r="W174" s="153">
        <f t="shared" si="168"/>
        <v>5.1636985768722297E-2</v>
      </c>
      <c r="X174" s="153">
        <f t="shared" si="168"/>
        <v>4.0137698674284038E-2</v>
      </c>
      <c r="Y174" s="153">
        <f>V54/Y5</f>
        <v>5.0021939447125935E-2</v>
      </c>
      <c r="Z174" s="153">
        <f>Z54/Z5</f>
        <v>4.5739117625395891E-2</v>
      </c>
      <c r="AA174" s="153">
        <f>AA54/AA5</f>
        <v>4.2534722222222224E-2</v>
      </c>
      <c r="AC174" s="153">
        <f>AC54/AC5</f>
        <v>5.9072099873755085E-2</v>
      </c>
    </row>
    <row r="175" spans="2:29" x14ac:dyDescent="0.2">
      <c r="B175" s="20" t="s">
        <v>286</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291</v>
      </c>
      <c r="M176" s="153">
        <f>(M107-M108)/M153</f>
        <v>-1.6102605995403963E-2</v>
      </c>
      <c r="N176" s="153">
        <f>(N107-N108)/N153</f>
        <v>-7.1087913906439884E-2</v>
      </c>
      <c r="O176" s="153">
        <f>(O107-O108)/O153</f>
        <v>-8.617149546385719E-2</v>
      </c>
      <c r="P176" s="153">
        <f>(P107-P108)/P153</f>
        <v>-0.25672647015324407</v>
      </c>
      <c r="Q176" s="153">
        <f>(Q107-Q108)/Q153</f>
        <v>-3.6334677218655118E-3</v>
      </c>
      <c r="T176" s="49"/>
      <c r="U176" s="49"/>
      <c r="V176" s="49"/>
      <c r="W176" s="49"/>
      <c r="X176" s="49"/>
      <c r="Y176" s="49"/>
      <c r="Z176" s="49"/>
      <c r="AA176" s="49"/>
      <c r="AC176" s="153">
        <f ca="1">(AC107-AC108)/AC153</f>
        <v>-2.5661444424761471E-2</v>
      </c>
    </row>
    <row r="177" spans="1:31" x14ac:dyDescent="0.2">
      <c r="B177" s="20" t="s">
        <v>300</v>
      </c>
      <c r="M177" s="153">
        <f>-M110/M5</f>
        <v>0.23705456570155903</v>
      </c>
      <c r="N177" s="153">
        <f>-N110/N5</f>
        <v>0.39401148222158783</v>
      </c>
      <c r="O177" s="153">
        <f>-O110/O5</f>
        <v>0.4748469425389098</v>
      </c>
      <c r="P177" s="153">
        <f>-P110/P5</f>
        <v>0.45091429539933336</v>
      </c>
      <c r="Q177" s="153">
        <f>-Q110/Q5</f>
        <v>0.27710820577829071</v>
      </c>
      <c r="T177" s="153">
        <f t="shared" ref="T177:Z177" si="171">-T110/T5</f>
        <v>0</v>
      </c>
      <c r="U177" s="153">
        <f t="shared" si="171"/>
        <v>0</v>
      </c>
      <c r="V177" s="153">
        <f t="shared" si="171"/>
        <v>0.40917344280413676</v>
      </c>
      <c r="W177" s="153">
        <f t="shared" si="171"/>
        <v>0.27607123415506651</v>
      </c>
      <c r="X177" s="153">
        <f t="shared" si="171"/>
        <v>0.17761664103127517</v>
      </c>
      <c r="Y177" s="153">
        <f t="shared" si="171"/>
        <v>0.93505923650723999</v>
      </c>
      <c r="Z177" s="153">
        <f t="shared" si="171"/>
        <v>0.2678058481255064</v>
      </c>
      <c r="AA177" s="153">
        <f t="shared" ref="AA177" si="172">-AA110/AA5</f>
        <v>0.15848214285714285</v>
      </c>
      <c r="AC177" s="153">
        <f>-AC110/AC5</f>
        <v>0.37528054425585639</v>
      </c>
    </row>
    <row r="178" spans="1:31" x14ac:dyDescent="0.2">
      <c r="B178" s="20" t="s">
        <v>301</v>
      </c>
      <c r="M178" s="153">
        <f>-(M110/M59)</f>
        <v>0.63596550787615425</v>
      </c>
      <c r="N178" s="153">
        <f>-(N110/N59)</f>
        <v>1.6097971878442299</v>
      </c>
      <c r="O178" s="153">
        <f>-(O110/O59)</f>
        <v>2.2447912126231366</v>
      </c>
      <c r="P178" s="153">
        <f>-(P110/P59)</f>
        <v>2.8889961389961392</v>
      </c>
      <c r="Q178" s="153">
        <f>-(Q110/Q59)</f>
        <v>1.5103640301124059</v>
      </c>
      <c r="T178" s="153" t="e">
        <f t="shared" ref="T178:X178" si="173">-(T110/T59)</f>
        <v>#DIV/0!</v>
      </c>
      <c r="U178" s="153" t="e">
        <f t="shared" si="173"/>
        <v>#DIV/0!</v>
      </c>
      <c r="V178" s="153">
        <f t="shared" si="173"/>
        <v>6.375153751537515</v>
      </c>
      <c r="W178" s="153">
        <f t="shared" si="173"/>
        <v>1.7317073170731707</v>
      </c>
      <c r="X178" s="153">
        <f t="shared" si="173"/>
        <v>0.95247446975648076</v>
      </c>
      <c r="Y178" s="153">
        <f>-(Y110/V59)</f>
        <v>15.726937269372694</v>
      </c>
      <c r="Z178" s="153">
        <f>-(Z110/Z59)</f>
        <v>3.3175182481751824</v>
      </c>
      <c r="AA178" s="153">
        <f>-(AA110/AA59)</f>
        <v>0.36483014558949473</v>
      </c>
      <c r="AC178" s="153">
        <f>-(AC110/AC59)</f>
        <v>1.5822429215642788</v>
      </c>
    </row>
    <row r="179" spans="1:31" x14ac:dyDescent="0.2">
      <c r="B179" s="20" t="s">
        <v>302</v>
      </c>
      <c r="M179" s="153">
        <f>-M110/M53</f>
        <v>1.5886194029850746</v>
      </c>
      <c r="N179" s="153">
        <f>-N110/N53</f>
        <v>1.9059455312619868</v>
      </c>
      <c r="O179" s="153">
        <f>-O110/O53</f>
        <v>2.6817329722974379</v>
      </c>
      <c r="P179" s="153">
        <f>-P110/P53</f>
        <v>2.1042270849811056</v>
      </c>
      <c r="Q179" s="153">
        <f>-Q110/Q53</f>
        <v>1.2511532547411583</v>
      </c>
      <c r="T179" s="153" t="e">
        <f t="shared" ref="T179:X179" si="174">-T110/T53</f>
        <v>#DIV/0!</v>
      </c>
      <c r="U179" s="153" t="e">
        <f t="shared" si="174"/>
        <v>#DIV/0!</v>
      </c>
      <c r="V179" s="153">
        <f t="shared" si="174"/>
        <v>1.9382946896035902</v>
      </c>
      <c r="W179" s="153">
        <f t="shared" si="174"/>
        <v>1.1782276800531033</v>
      </c>
      <c r="X179" s="153">
        <f t="shared" si="174"/>
        <v>0.81049465240641716</v>
      </c>
      <c r="Y179" s="153">
        <f>-Y110/V53</f>
        <v>4.7816005983545251</v>
      </c>
      <c r="Z179" s="153">
        <f>-Z110/Z53</f>
        <v>1.159438775510204</v>
      </c>
      <c r="AA179" s="153">
        <f>-AA110/AA53</f>
        <v>0.79280397022332505</v>
      </c>
      <c r="AC179" s="153">
        <f>-AC110/AC53</f>
        <v>1.7758878194490542</v>
      </c>
    </row>
    <row r="180" spans="1:31" x14ac:dyDescent="0.2">
      <c r="B180" s="20" t="s">
        <v>398</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395</v>
      </c>
      <c r="M181" s="71">
        <f>IF(AND(M12&gt;0,M108&gt;0),M108/M12,"N/A")</f>
        <v>1.9583162006578947</v>
      </c>
      <c r="N181" s="71">
        <f t="shared" ref="N181:Q181" si="177">IF(AND(N12&gt;0,N108&gt;0),N108/N12,"N/A")</f>
        <v>18.016709511568124</v>
      </c>
      <c r="O181" s="71">
        <f t="shared" si="177"/>
        <v>529.74193548387098</v>
      </c>
      <c r="P181" s="180" t="str">
        <f t="shared" si="177"/>
        <v>N/A</v>
      </c>
      <c r="Q181" s="180" t="str">
        <f t="shared" si="177"/>
        <v>N/A</v>
      </c>
      <c r="T181" s="49"/>
      <c r="U181" s="49"/>
      <c r="V181" s="49"/>
      <c r="W181" s="49"/>
      <c r="X181" s="49"/>
      <c r="Y181" s="49"/>
      <c r="Z181" s="49"/>
      <c r="AA181" s="49"/>
      <c r="AC181" s="180" t="str">
        <f t="shared" ref="AC181" si="178">IF(AND(AC12&gt;0,AC108&gt;0),AC108/AC12,"N/A")</f>
        <v>N/A</v>
      </c>
    </row>
    <row r="182" spans="1:31" x14ac:dyDescent="0.2">
      <c r="B182" s="20" t="s">
        <v>396</v>
      </c>
      <c r="M182" s="71">
        <f>IF(AND(M12&gt;0,M108&gt;0),(M108-M107)/M12,"N/A")</f>
        <v>0.17423930921052633</v>
      </c>
      <c r="N182" s="71">
        <f t="shared" ref="N182:Q182" si="179">IF(AND(N12&gt;0,N108&gt;0),(N108-N107)/N12,"N/A")</f>
        <v>3.342330762639246</v>
      </c>
      <c r="O182" s="71">
        <f t="shared" si="179"/>
        <v>197.88172043010752</v>
      </c>
      <c r="P182" s="180" t="str">
        <f t="shared" si="179"/>
        <v>N/A</v>
      </c>
      <c r="Q182" s="180" t="str">
        <f t="shared" si="179"/>
        <v>N/A</v>
      </c>
      <c r="T182" s="49"/>
      <c r="U182" s="49"/>
      <c r="V182" s="49"/>
      <c r="W182" s="49"/>
      <c r="X182" s="49"/>
      <c r="Y182" s="49"/>
      <c r="Z182" s="49"/>
      <c r="AA182" s="49"/>
      <c r="AC182" s="180" t="str">
        <f t="shared" ref="AC182" si="180">IF(AND(AC12&gt;0,AC108&gt;0),(AC108-AC107)/AC12,"N/A")</f>
        <v>N/A</v>
      </c>
    </row>
    <row r="183" spans="1:31" x14ac:dyDescent="0.2">
      <c r="B183" s="20" t="s">
        <v>397</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5" t="s">
        <v>413</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5" t="s">
        <v>357</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358</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359</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360</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5" t="s">
        <v>414</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5" t="s">
        <v>367</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368</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369</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370</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311</v>
      </c>
      <c r="C200" s="170"/>
      <c r="D200" s="170"/>
      <c r="E200" s="170"/>
      <c r="F200" s="170"/>
      <c r="G200" s="170"/>
      <c r="H200" s="170"/>
      <c r="I200" s="170"/>
      <c r="J200" s="170"/>
      <c r="K200" s="170"/>
      <c r="L200" s="170"/>
      <c r="M200" s="170"/>
      <c r="N200" s="170"/>
      <c r="O200" s="170"/>
      <c r="P200" s="170"/>
      <c r="Q200" s="170"/>
      <c r="T200" s="170"/>
      <c r="U200" s="170"/>
      <c r="V200" s="170"/>
      <c r="W200" s="170"/>
      <c r="X200" s="170"/>
      <c r="Y200" s="170"/>
      <c r="Z200" s="170"/>
      <c r="AA200" s="170"/>
      <c r="AC200" s="170"/>
    </row>
    <row r="201" spans="2:29" x14ac:dyDescent="0.2">
      <c r="B201" s="215" t="s">
        <v>413</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5" t="s">
        <v>357</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358</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359</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360</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312</v>
      </c>
      <c r="C208" s="170"/>
      <c r="D208" s="170"/>
      <c r="E208" s="170"/>
      <c r="F208" s="170"/>
      <c r="G208" s="170"/>
      <c r="H208" s="170"/>
      <c r="I208" s="170"/>
      <c r="J208" s="170"/>
      <c r="K208" s="170"/>
      <c r="L208" s="170"/>
      <c r="M208" s="170"/>
      <c r="N208" s="170"/>
      <c r="O208" s="170"/>
      <c r="P208" s="170"/>
      <c r="Q208" s="170"/>
      <c r="T208" s="170"/>
      <c r="U208" s="170"/>
      <c r="V208" s="170"/>
      <c r="W208" s="170"/>
      <c r="X208" s="170"/>
      <c r="Y208" s="170"/>
      <c r="Z208" s="170"/>
      <c r="AA208" s="170"/>
      <c r="AC208" s="170"/>
    </row>
    <row r="209" spans="1:31" x14ac:dyDescent="0.2">
      <c r="B209" s="20" t="s">
        <v>284</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390</v>
      </c>
      <c r="C212" s="170"/>
      <c r="D212" s="170"/>
      <c r="E212" s="170"/>
      <c r="F212" s="170"/>
      <c r="G212" s="170"/>
      <c r="H212" s="170"/>
      <c r="I212" s="170"/>
      <c r="J212" s="170"/>
      <c r="K212" s="170"/>
      <c r="L212" s="170"/>
      <c r="M212" s="170"/>
      <c r="N212" s="170"/>
      <c r="O212" s="170"/>
      <c r="P212" s="170"/>
      <c r="Q212" s="170"/>
      <c r="T212" s="170"/>
      <c r="U212" s="170"/>
      <c r="V212" s="170"/>
      <c r="W212" s="170"/>
      <c r="X212" s="170"/>
      <c r="Y212" s="170"/>
      <c r="Z212" s="170"/>
      <c r="AA212" s="170"/>
      <c r="AC212" s="170"/>
    </row>
    <row r="213" spans="1:31" x14ac:dyDescent="0.2">
      <c r="B213" s="20" t="s">
        <v>391</v>
      </c>
      <c r="M213" s="142">
        <v>100</v>
      </c>
      <c r="N213" s="142">
        <f>100*(1+((N117-$M117)/ABS($M117)))</f>
        <v>51.510426817384527</v>
      </c>
      <c r="O213" s="142">
        <f t="shared" ref="O213:Q213" si="193">100*(1+((O117-$M117)/ABS($M117)))</f>
        <v>97.934125901383737</v>
      </c>
      <c r="P213" s="142">
        <f t="shared" si="193"/>
        <v>39.563437926330145</v>
      </c>
      <c r="Q213" s="142">
        <f t="shared" si="193"/>
        <v>70.551549405573965</v>
      </c>
      <c r="T213" s="49"/>
      <c r="U213" s="49"/>
      <c r="V213" s="49"/>
      <c r="W213" s="49"/>
      <c r="X213" s="49"/>
      <c r="Y213" s="49"/>
      <c r="Z213" s="49"/>
      <c r="AA213" s="49"/>
      <c r="AC213" s="49"/>
    </row>
    <row r="214" spans="1:31" x14ac:dyDescent="0.2">
      <c r="B214" s="20" t="s">
        <v>392</v>
      </c>
      <c r="M214" s="142">
        <v>100</v>
      </c>
      <c r="N214" s="142">
        <f>100*(1+((N5-$M5)/ABS($M5)))</f>
        <v>79.790949584936214</v>
      </c>
      <c r="O214" s="142">
        <f t="shared" ref="O214:Q214" si="194">100*(1+((O5-$M5)/ABS($M5)))</f>
        <v>68.6221907268678</v>
      </c>
      <c r="P214" s="142">
        <f t="shared" si="194"/>
        <v>67.196041708847943</v>
      </c>
      <c r="Q214" s="142">
        <f t="shared" si="194"/>
        <v>66.882212998582702</v>
      </c>
      <c r="T214" s="49"/>
      <c r="U214" s="49"/>
      <c r="V214" s="49"/>
      <c r="W214" s="49"/>
      <c r="X214" s="49"/>
      <c r="Y214" s="49"/>
      <c r="Z214" s="49"/>
      <c r="AA214" s="49"/>
      <c r="AC214" s="49"/>
    </row>
    <row r="215" spans="1:31" x14ac:dyDescent="0.2">
      <c r="B215" s="20" t="s">
        <v>393</v>
      </c>
      <c r="M215" s="142">
        <v>100</v>
      </c>
      <c r="N215" s="142">
        <f>100*(1+((N26-$M26)/ABS($M26)))</f>
        <v>39.917695473251023</v>
      </c>
      <c r="O215" s="142">
        <f t="shared" ref="O215:Q215" si="195">100*(1+((O26-$M26)/ABS($M26)))</f>
        <v>8.2304526748971263</v>
      </c>
      <c r="P215" s="142">
        <f t="shared" si="195"/>
        <v>-90.123456790123456</v>
      </c>
      <c r="Q215" s="142">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377</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378</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274</v>
      </c>
    </row>
    <row r="4" spans="2:7" x14ac:dyDescent="0.2">
      <c r="B4" s="237" t="s">
        <v>233</v>
      </c>
      <c r="C4" s="237"/>
      <c r="E4" s="237" t="s">
        <v>240</v>
      </c>
      <c r="F4" s="237"/>
      <c r="G4" s="237"/>
    </row>
    <row r="5" spans="2:7" x14ac:dyDescent="0.2">
      <c r="B5" s="20" t="s">
        <v>1</v>
      </c>
      <c r="C5" s="171">
        <f ca="1">Overview!C5</f>
        <v>95.8</v>
      </c>
      <c r="E5" s="12"/>
      <c r="F5" s="131" t="s">
        <v>241</v>
      </c>
      <c r="G5" s="131" t="s">
        <v>242</v>
      </c>
    </row>
    <row r="6" spans="2:7" x14ac:dyDescent="0.2">
      <c r="B6" s="20" t="s">
        <v>239</v>
      </c>
      <c r="C6" s="172">
        <f ca="1">Statement!AC153</f>
        <v>483215.2</v>
      </c>
      <c r="E6" s="20" t="s">
        <v>19</v>
      </c>
      <c r="F6" s="177">
        <f>IF(Statement!M5&lt;=0,"N/A",_xlfn.RRI(4,Statement!M5,Statement!Q5))</f>
        <v>-9.5668499906773397E-2</v>
      </c>
      <c r="G6" s="177" t="str">
        <f>IF(Statement!H5&lt;=0,"N/A",_xlfn.RRI(9,Statement!H5,Statement!Q5))</f>
        <v>N/A</v>
      </c>
    </row>
    <row r="7" spans="2:7" x14ac:dyDescent="0.2">
      <c r="B7" s="20" t="s">
        <v>183</v>
      </c>
      <c r="C7" s="172">
        <f ca="1">Statement!AC154</f>
        <v>511216.19999999995</v>
      </c>
      <c r="E7" s="20" t="s">
        <v>29</v>
      </c>
      <c r="F7" s="177" t="str">
        <f>IF(OR(Statement!M18&lt;=0, Statement!Q18&lt;=0), "N/A", _xlfn.RRI(4, Statement!M18, Statement!Q18))</f>
        <v>N/A</v>
      </c>
      <c r="G7" s="177" t="str">
        <f>IF(OR(Statement!H18&lt;=0, Statement!Q18&lt;=0), "N/A", _xlfn.RRI(9, Statement!H18, Statement!Q18))</f>
        <v>N/A</v>
      </c>
    </row>
    <row r="8" spans="2:7" x14ac:dyDescent="0.2">
      <c r="B8" s="20" t="s">
        <v>237</v>
      </c>
      <c r="C8" s="173">
        <f ca="1">Statement!AC150</f>
        <v>-45.402843601895725</v>
      </c>
      <c r="E8" s="20" t="s">
        <v>243</v>
      </c>
      <c r="F8" s="177" t="str">
        <f>IF(OR(Statement!M26&lt;=0, Statement!Q26&lt;=0), "N/A", _xlfn.RRI(4, Statement!M26, Statement!Q26))</f>
        <v>N/A</v>
      </c>
      <c r="G8" s="177" t="str">
        <f>IF(OR(Statement!H26&lt;=0, Statement!Q26&lt;=0), "N/A", _xlfn.RRI(9, Statement!H26, Statement!Q26))</f>
        <v>N/A</v>
      </c>
    </row>
    <row r="9" spans="2:7" x14ac:dyDescent="0.2">
      <c r="B9" s="20" t="s">
        <v>196</v>
      </c>
      <c r="C9" s="173">
        <f ca="1">Statement!AC151</f>
        <v>8.2127603801374676</v>
      </c>
      <c r="E9" s="20" t="s">
        <v>244</v>
      </c>
      <c r="F9" s="177">
        <f>IF(Statement!M82&lt;=0,"N/A",_xlfn.RRI(4,Statement!M82,Statement!Q82))</f>
        <v>-1</v>
      </c>
      <c r="G9" s="177" t="str">
        <f>IF(Statement!H82&lt;=0,"N/A",_xlfn.RRI(9,Statement!H82,Statement!Q82))</f>
        <v>N/A</v>
      </c>
    </row>
    <row r="10" spans="2:7" x14ac:dyDescent="0.2">
      <c r="B10" s="20" t="s">
        <v>238</v>
      </c>
      <c r="C10" s="173">
        <f ca="1">Statement!AC152</f>
        <v>5.5198099198099193</v>
      </c>
      <c r="E10" s="20" t="s">
        <v>1</v>
      </c>
      <c r="F10" s="177">
        <f>IF(Statement!M117&lt;=0,"N/A",_xlfn.RRI(4,Statement!M117,Statement!Q117))</f>
        <v>-8.3512303772420138E-2</v>
      </c>
      <c r="G10" s="177" t="str">
        <f>IF(Statement!H117&lt;=0,"N/A",_xlfn.RRI(9,Statement!H117,Statement!Q117))</f>
        <v>N/A</v>
      </c>
    </row>
    <row r="11" spans="2:7" x14ac:dyDescent="0.2">
      <c r="B11" s="20" t="s">
        <v>260</v>
      </c>
      <c r="C11" s="173">
        <f ca="1">Statement!AC155</f>
        <v>8.9636730256697987</v>
      </c>
    </row>
    <row r="12" spans="2:7" x14ac:dyDescent="0.2">
      <c r="B12" s="20" t="s">
        <v>199</v>
      </c>
      <c r="C12" s="173">
        <f ca="1">Statement!AC156</f>
        <v>-6639.1714285714279</v>
      </c>
    </row>
    <row r="15" spans="2:7" x14ac:dyDescent="0.2">
      <c r="B15" s="237" t="s">
        <v>75</v>
      </c>
      <c r="C15" s="237"/>
      <c r="E15" s="237" t="s">
        <v>246</v>
      </c>
      <c r="F15" s="237"/>
    </row>
    <row r="16" spans="2:7" x14ac:dyDescent="0.2">
      <c r="B16" s="20" t="s">
        <v>76</v>
      </c>
      <c r="C16" s="174">
        <f>Statement!AC101</f>
        <v>0.38604643007434425</v>
      </c>
      <c r="E16" s="20" t="s">
        <v>29</v>
      </c>
      <c r="F16" s="172">
        <f>Statement!AC18</f>
        <v>-11289</v>
      </c>
    </row>
    <row r="17" spans="2:6" x14ac:dyDescent="0.2">
      <c r="B17" s="20" t="s">
        <v>77</v>
      </c>
      <c r="C17" s="174">
        <f>Statement!AC102</f>
        <v>-1.350119231308739E-3</v>
      </c>
      <c r="E17" s="20" t="s">
        <v>247</v>
      </c>
      <c r="F17" s="172">
        <f>Statement!AC59</f>
        <v>13527</v>
      </c>
    </row>
    <row r="18" spans="2:6" x14ac:dyDescent="0.2">
      <c r="B18" s="20" t="s">
        <v>78</v>
      </c>
      <c r="C18" s="174">
        <f>Statement!AC103</f>
        <v>-0.19624070697152476</v>
      </c>
      <c r="E18" s="20" t="s">
        <v>254</v>
      </c>
      <c r="F18" s="176" t="str">
        <f>IF(OR(F16&lt;=0, F17&lt;=0),"N/A",F16-F17)</f>
        <v>N/A</v>
      </c>
    </row>
    <row r="21" spans="2:6" x14ac:dyDescent="0.2">
      <c r="B21" s="237" t="s">
        <v>245</v>
      </c>
      <c r="C21" s="237"/>
      <c r="E21" s="237" t="s">
        <v>249</v>
      </c>
      <c r="F21" s="237"/>
    </row>
    <row r="22" spans="2:6" x14ac:dyDescent="0.2">
      <c r="B22" s="20" t="s">
        <v>95</v>
      </c>
      <c r="C22" s="174">
        <f>Statement!AC121</f>
        <v>-0.19624070697152476</v>
      </c>
      <c r="E22" s="20" t="s">
        <v>97</v>
      </c>
      <c r="F22" s="174">
        <f>C24</f>
        <v>-5.5285789793468654E-2</v>
      </c>
    </row>
    <row r="23" spans="2:6" x14ac:dyDescent="0.2">
      <c r="B23" s="20" t="s">
        <v>96</v>
      </c>
      <c r="C23" s="173">
        <f>Statement!AC122</f>
        <v>0.28172437129209293</v>
      </c>
      <c r="E23" s="20" t="s">
        <v>99</v>
      </c>
      <c r="F23" s="174">
        <f>C26</f>
        <v>-0.12784720477028169</v>
      </c>
    </row>
    <row r="24" spans="2:6" x14ac:dyDescent="0.2">
      <c r="B24" s="32" t="s">
        <v>97</v>
      </c>
      <c r="C24" s="175">
        <f>Statement!AC123</f>
        <v>-5.5285789793468654E-2</v>
      </c>
      <c r="E24" s="20" t="s">
        <v>100</v>
      </c>
      <c r="F24" s="174">
        <f>Statement!AC140</f>
        <v>-6.6641856278614885E-4</v>
      </c>
    </row>
    <row r="25" spans="2:6" x14ac:dyDescent="0.2">
      <c r="B25" s="20" t="s">
        <v>98</v>
      </c>
      <c r="C25" s="173">
        <f>Statement!AC124</f>
        <v>2.3124785817093509</v>
      </c>
    </row>
    <row r="26" spans="2:6" x14ac:dyDescent="0.2">
      <c r="B26" s="32" t="s">
        <v>99</v>
      </c>
      <c r="C26" s="175">
        <f>Statement!AC125</f>
        <v>-0.12784720477028169</v>
      </c>
    </row>
    <row r="29" spans="2:6" x14ac:dyDescent="0.2">
      <c r="B29" s="237" t="s">
        <v>250</v>
      </c>
      <c r="C29" s="237"/>
      <c r="E29" s="237" t="s">
        <v>256</v>
      </c>
      <c r="F29" s="237"/>
    </row>
    <row r="30" spans="2:6" x14ac:dyDescent="0.2">
      <c r="B30" s="20" t="s">
        <v>134</v>
      </c>
      <c r="C30" s="173">
        <f>Statement!AC141</f>
        <v>25.81086056950484</v>
      </c>
      <c r="E30" s="20" t="s">
        <v>257</v>
      </c>
      <c r="F30" s="179">
        <f>Statement!AC145</f>
        <v>0.57728861575015422</v>
      </c>
    </row>
    <row r="31" spans="2:6" x14ac:dyDescent="0.2">
      <c r="B31" s="20" t="s">
        <v>135</v>
      </c>
      <c r="C31" s="173">
        <f>Statement!AC142</f>
        <v>130.21790661145224</v>
      </c>
      <c r="E31" s="20" t="s">
        <v>258</v>
      </c>
      <c r="F31" s="179">
        <f>Statement!AC146</f>
        <v>0.14164629549244934</v>
      </c>
    </row>
    <row r="32" spans="2:6" x14ac:dyDescent="0.2">
      <c r="B32" s="20" t="s">
        <v>136</v>
      </c>
      <c r="C32" s="173">
        <f>Statement!AC143</f>
        <v>91.273454233899756</v>
      </c>
      <c r="E32" s="20" t="s">
        <v>253</v>
      </c>
      <c r="F32" s="179">
        <f>Statement!AC148</f>
        <v>1.6039529015979814</v>
      </c>
    </row>
    <row r="33" spans="2:6" x14ac:dyDescent="0.2">
      <c r="B33" s="20" t="s">
        <v>137</v>
      </c>
      <c r="C33" s="173">
        <f>Statement!AC144</f>
        <v>64.755312947057305</v>
      </c>
      <c r="E33" s="20" t="s">
        <v>252</v>
      </c>
      <c r="F33" s="179">
        <f>Statement!AC147</f>
        <v>1.1822259601906364</v>
      </c>
    </row>
    <row r="34" spans="2:6" x14ac:dyDescent="0.2">
      <c r="E34" s="20" t="s">
        <v>259</v>
      </c>
      <c r="F34" s="181" t="str">
        <f>Statement!AC149</f>
        <v>N/A</v>
      </c>
    </row>
    <row r="37" spans="2:6" x14ac:dyDescent="0.2">
      <c r="B37" s="237" t="s">
        <v>268</v>
      </c>
      <c r="C37" s="237"/>
      <c r="E37" s="237" t="s">
        <v>271</v>
      </c>
      <c r="F37" s="237"/>
    </row>
    <row r="38" spans="2:6" x14ac:dyDescent="0.2">
      <c r="B38" s="20" t="s">
        <v>266</v>
      </c>
      <c r="C38" s="174">
        <f ca="1">Statement!AC162</f>
        <v>-2.202505219206681E-2</v>
      </c>
      <c r="E38" s="20" t="s">
        <v>270</v>
      </c>
      <c r="F38" s="174">
        <f>Statement!AC168</f>
        <v>-0.14219653179190753</v>
      </c>
    </row>
    <row r="39" spans="2:6" x14ac:dyDescent="0.2">
      <c r="B39" s="54" t="s">
        <v>269</v>
      </c>
      <c r="C39" s="214">
        <f ca="1">Statement!AC161</f>
        <v>-2.3271205044874416E-2</v>
      </c>
      <c r="E39" s="20" t="s">
        <v>272</v>
      </c>
      <c r="F39" s="174">
        <f>Statement!AC169</f>
        <v>0</v>
      </c>
    </row>
    <row r="40" spans="2:6" x14ac:dyDescent="0.2">
      <c r="B40" s="20" t="s">
        <v>267</v>
      </c>
      <c r="C40" s="174">
        <f ca="1">Statement!AC163</f>
        <v>0</v>
      </c>
      <c r="E40" s="20" t="s">
        <v>273</v>
      </c>
      <c r="F40" s="174">
        <f>Statement!AC170</f>
        <v>-0.14219653179190753</v>
      </c>
    </row>
    <row r="41" spans="2:6" x14ac:dyDescent="0.2">
      <c r="B41" s="20" t="s">
        <v>292</v>
      </c>
      <c r="C41" s="174">
        <f ca="1">Statement!AC164</f>
        <v>0</v>
      </c>
    </row>
    <row r="42" spans="2:6" x14ac:dyDescent="0.2">
      <c r="B42" s="20" t="s">
        <v>294</v>
      </c>
      <c r="C42" s="174">
        <f ca="1">Statement!AC165</f>
        <v>3.3090846479994834E-3</v>
      </c>
    </row>
    <row r="45" spans="2:6" x14ac:dyDescent="0.2">
      <c r="B45" s="237" t="s">
        <v>279</v>
      </c>
      <c r="C45" s="237"/>
      <c r="E45" s="237" t="s">
        <v>285</v>
      </c>
      <c r="F45" s="237"/>
    </row>
    <row r="46" spans="2:6" x14ac:dyDescent="0.2">
      <c r="B46" s="20" t="s">
        <v>277</v>
      </c>
      <c r="C46" s="174">
        <f>Statement!AC171</f>
        <v>5.947660586835844E-4</v>
      </c>
      <c r="E46" s="20" t="s">
        <v>278</v>
      </c>
      <c r="F46" s="173">
        <f>Statement!AC172</f>
        <v>7.5608643933386199</v>
      </c>
    </row>
    <row r="47" spans="2:6" x14ac:dyDescent="0.2">
      <c r="E47" s="20" t="s">
        <v>286</v>
      </c>
      <c r="F47" s="173">
        <f>Statement!AC175</f>
        <v>-2.4583663758921492</v>
      </c>
    </row>
    <row r="48" spans="2:6" x14ac:dyDescent="0.2">
      <c r="E48" s="20" t="s">
        <v>291</v>
      </c>
      <c r="F48" s="174">
        <f ca="1">Statement!AC176</f>
        <v>-2.5661444424761471E-2</v>
      </c>
    </row>
    <row r="51" spans="2:6" x14ac:dyDescent="0.2">
      <c r="B51" s="237" t="s">
        <v>282</v>
      </c>
      <c r="C51" s="237"/>
      <c r="E51" s="237" t="s">
        <v>303</v>
      </c>
      <c r="F51" s="237"/>
    </row>
    <row r="52" spans="2:6" x14ac:dyDescent="0.2">
      <c r="B52" s="20" t="s">
        <v>280</v>
      </c>
      <c r="C52" s="174">
        <f>Statement!AC173</f>
        <v>0.24905744067420715</v>
      </c>
      <c r="E52" s="20" t="s">
        <v>304</v>
      </c>
      <c r="F52" s="174">
        <f>Statement!AC177</f>
        <v>0.37528054425585639</v>
      </c>
    </row>
    <row r="53" spans="2:6" x14ac:dyDescent="0.2">
      <c r="B53" s="20" t="s">
        <v>281</v>
      </c>
      <c r="C53" s="174">
        <f>Statement!AC174</f>
        <v>5.9072099873755085E-2</v>
      </c>
      <c r="E53" s="20" t="s">
        <v>301</v>
      </c>
      <c r="F53" s="174">
        <f>Statement!AC178</f>
        <v>1.5822429215642788</v>
      </c>
    </row>
    <row r="54" spans="2:6" x14ac:dyDescent="0.2">
      <c r="E54" s="20" t="s">
        <v>302</v>
      </c>
      <c r="F54" s="174">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1">
        <f>Statement!M116</f>
        <v>51.31</v>
      </c>
      <c r="D6" s="171">
        <f>Statement!N116</f>
        <v>26.43</v>
      </c>
      <c r="E6" s="171">
        <f>Statement!O116</f>
        <v>50.25</v>
      </c>
      <c r="F6" s="171">
        <f>Statement!P116</f>
        <v>20.3</v>
      </c>
      <c r="G6" s="171">
        <f>Statement!Q116</f>
        <v>36.200000000000003</v>
      </c>
      <c r="I6" s="171">
        <f ca="1">Statement!AC116</f>
        <v>95.8</v>
      </c>
    </row>
    <row r="7" spans="2:9" x14ac:dyDescent="0.2">
      <c r="B7" s="20" t="s">
        <v>239</v>
      </c>
      <c r="C7" s="172">
        <f>Statement!M153</f>
        <v>210524.93000000002</v>
      </c>
      <c r="D7" s="172">
        <f>Statement!N153</f>
        <v>109737.36</v>
      </c>
      <c r="E7" s="172">
        <f>Statement!O153</f>
        <v>213562.5</v>
      </c>
      <c r="F7" s="172">
        <f>Statement!P153</f>
        <v>87899</v>
      </c>
      <c r="G7" s="172">
        <f>Statement!Q153</f>
        <v>180819</v>
      </c>
      <c r="I7" s="172">
        <f ca="1">Statement!AC153</f>
        <v>483215.2</v>
      </c>
    </row>
    <row r="8" spans="2:9" x14ac:dyDescent="0.2">
      <c r="B8" s="20" t="s">
        <v>183</v>
      </c>
      <c r="C8" s="172">
        <f>Statement!M154</f>
        <v>213914.93000000002</v>
      </c>
      <c r="D8" s="172">
        <f>Statement!N154</f>
        <v>119401.35999999999</v>
      </c>
      <c r="E8" s="172">
        <f>Statement!O154</f>
        <v>236340.5</v>
      </c>
      <c r="F8" s="172">
        <f>Statement!P154</f>
        <v>116227</v>
      </c>
      <c r="G8" s="172">
        <f>Statement!Q154</f>
        <v>193555</v>
      </c>
      <c r="I8" s="172">
        <f ca="1">Statement!AC154</f>
        <v>511216.19999999995</v>
      </c>
    </row>
    <row r="9" spans="2:9" x14ac:dyDescent="0.2">
      <c r="B9" s="20" t="s">
        <v>237</v>
      </c>
      <c r="C9" s="173">
        <f>Statement!M150</f>
        <v>10.557613168724279</v>
      </c>
      <c r="D9" s="173">
        <f>Statement!N150</f>
        <v>13.623711340206185</v>
      </c>
      <c r="E9" s="173">
        <f>Statement!O150</f>
        <v>125.625</v>
      </c>
      <c r="F9" s="173">
        <f>Statement!P150</f>
        <v>-4.634703196347032</v>
      </c>
      <c r="G9" s="173">
        <f>Statement!Q150</f>
        <v>-603.33333333333337</v>
      </c>
      <c r="I9" s="173">
        <f ca="1">Statement!AC150</f>
        <v>-45.402843601895725</v>
      </c>
    </row>
    <row r="10" spans="2:9" x14ac:dyDescent="0.2">
      <c r="B10" s="20" t="s">
        <v>196</v>
      </c>
      <c r="C10" s="173">
        <f>Statement!M151</f>
        <v>2.6556223425794698</v>
      </c>
      <c r="D10" s="173">
        <f>Statement!N151</f>
        <v>1.7282153392330384</v>
      </c>
      <c r="E10" s="173">
        <f>Statement!O151</f>
        <v>3.9030205797742865</v>
      </c>
      <c r="F10" s="173">
        <f>Statement!P151</f>
        <v>1.6362027080469295</v>
      </c>
      <c r="G10" s="173">
        <f>Statement!Q151</f>
        <v>3.102681020944885</v>
      </c>
      <c r="I10" s="173">
        <f ca="1">Statement!AC151</f>
        <v>8.2127603801374676</v>
      </c>
    </row>
    <row r="11" spans="2:9" x14ac:dyDescent="0.2">
      <c r="B11" s="20" t="s">
        <v>238</v>
      </c>
      <c r="C11" s="173">
        <f>Statement!M152</f>
        <v>2.190293843234687</v>
      </c>
      <c r="D11" s="173">
        <f>Statement!N152</f>
        <v>1.0780681896611222</v>
      </c>
      <c r="E11" s="173">
        <f>Statement!O152</f>
        <v>2.0120939482905578</v>
      </c>
      <c r="F11" s="173">
        <f>Statement!P152</f>
        <v>0.88545381283368585</v>
      </c>
      <c r="G11" s="173">
        <f>Statement!Q152</f>
        <v>1.5822315170500785</v>
      </c>
      <c r="I11" s="173">
        <f ca="1">Statement!AC152</f>
        <v>5.5198099198099193</v>
      </c>
    </row>
    <row r="12" spans="2:9" x14ac:dyDescent="0.2">
      <c r="B12" s="20" t="s">
        <v>260</v>
      </c>
      <c r="C12" s="173">
        <f>Statement!M155</f>
        <v>2.7069615559829927</v>
      </c>
      <c r="D12" s="173">
        <f>Statement!N155</f>
        <v>1.8936365654835536</v>
      </c>
      <c r="E12" s="173">
        <f>Statement!O155</f>
        <v>4.3582743232278531</v>
      </c>
      <c r="F12" s="173">
        <f>Statement!P155</f>
        <v>2.1887911715410255</v>
      </c>
      <c r="G12" s="173">
        <f>Statement!Q155</f>
        <v>3.6621383838192725</v>
      </c>
      <c r="I12" s="173">
        <f ca="1">Statement!AC155</f>
        <v>8.9636730256697987</v>
      </c>
    </row>
    <row r="13" spans="2:9" x14ac:dyDescent="0.2">
      <c r="B13" s="20" t="s">
        <v>199</v>
      </c>
      <c r="C13" s="173">
        <f>Statement!M156</f>
        <v>10.994805201480265</v>
      </c>
      <c r="D13" s="173">
        <f>Statement!N156</f>
        <v>51.157395029991427</v>
      </c>
      <c r="E13" s="173">
        <f>Statement!O156</f>
        <v>2541.2956989247314</v>
      </c>
      <c r="F13" s="173">
        <f>Statement!P156</f>
        <v>-9.9526460010275724</v>
      </c>
      <c r="G13" s="173">
        <f>Statement!Q156</f>
        <v>-87.42321589882566</v>
      </c>
      <c r="I13" s="173">
        <f ca="1">Statement!AC156</f>
        <v>-6639.1714285714279</v>
      </c>
    </row>
    <row r="15" spans="2:9" ht="17" thickBot="1" x14ac:dyDescent="0.25">
      <c r="B15" s="14" t="s">
        <v>75</v>
      </c>
      <c r="C15" s="14"/>
      <c r="D15" s="14"/>
      <c r="E15" s="14"/>
      <c r="F15" s="14"/>
      <c r="G15" s="14"/>
      <c r="I15" s="14"/>
    </row>
    <row r="16" spans="2:9" x14ac:dyDescent="0.2">
      <c r="B16" s="20" t="s">
        <v>76</v>
      </c>
      <c r="C16" s="174">
        <f>Statement!M101</f>
        <v>0.5544518121077141</v>
      </c>
      <c r="D16" s="174">
        <f>Statement!N101</f>
        <v>0.42607923367272499</v>
      </c>
      <c r="E16" s="174">
        <f>Statement!O101</f>
        <v>0.40036512502766097</v>
      </c>
      <c r="F16" s="174">
        <f>Statement!P101</f>
        <v>0.32664168283083184</v>
      </c>
      <c r="G16" s="174">
        <f>Statement!Q101</f>
        <v>0.34766238434904356</v>
      </c>
      <c r="I16" s="174">
        <f>Statement!AC101</f>
        <v>0.38604643007434425</v>
      </c>
    </row>
    <row r="17" spans="2:9" x14ac:dyDescent="0.2">
      <c r="B17" s="20" t="s">
        <v>77</v>
      </c>
      <c r="C17" s="174">
        <f>Statement!M102</f>
        <v>0.24620368495646891</v>
      </c>
      <c r="D17" s="174">
        <f>Statement!N102</f>
        <v>3.7015891140926828E-2</v>
      </c>
      <c r="E17" s="174">
        <f>Statement!O102</f>
        <v>1.714981190528878E-3</v>
      </c>
      <c r="F17" s="174">
        <f>Statement!P102</f>
        <v>-0.21992052880360069</v>
      </c>
      <c r="G17" s="174">
        <f>Statement!Q102</f>
        <v>-4.1889769738709247E-2</v>
      </c>
      <c r="I17" s="174">
        <f>Statement!AC102</f>
        <v>-1.350119231308739E-3</v>
      </c>
    </row>
    <row r="18" spans="2:9" x14ac:dyDescent="0.2">
      <c r="B18" s="20" t="s">
        <v>78</v>
      </c>
      <c r="C18" s="174">
        <f>Statement!M103</f>
        <v>0.25141729094958493</v>
      </c>
      <c r="D18" s="174">
        <f>Statement!N103</f>
        <v>0.12714498683667966</v>
      </c>
      <c r="E18" s="174">
        <f>Statement!O103</f>
        <v>3.088810208748248E-2</v>
      </c>
      <c r="F18" s="174">
        <f>Statement!P103</f>
        <v>-0.3621965688028474</v>
      </c>
      <c r="G18" s="174">
        <f>Statement!Q103</f>
        <v>4.9193044860272833E-4</v>
      </c>
      <c r="I18" s="174">
        <f>Statement!AC103</f>
        <v>-0.19624070697152476</v>
      </c>
    </row>
    <row r="20" spans="2:9" ht="17" thickBot="1" x14ac:dyDescent="0.25">
      <c r="B20" s="14" t="s">
        <v>246</v>
      </c>
      <c r="C20" s="14"/>
      <c r="D20" s="14"/>
      <c r="E20" s="14"/>
      <c r="F20" s="14"/>
      <c r="G20" s="14"/>
      <c r="I20" s="14"/>
    </row>
    <row r="21" spans="2:9" x14ac:dyDescent="0.2">
      <c r="B21" s="20" t="s">
        <v>29</v>
      </c>
      <c r="C21" s="176">
        <f>Statement!M18</f>
        <v>19868</v>
      </c>
      <c r="D21" s="176">
        <f>Statement!N18</f>
        <v>8014</v>
      </c>
      <c r="E21" s="176">
        <f>Statement!O18</f>
        <v>1689</v>
      </c>
      <c r="F21" s="176">
        <f>Statement!P18</f>
        <v>-18756</v>
      </c>
      <c r="G21" s="176">
        <f>Statement!Q18</f>
        <v>-267</v>
      </c>
      <c r="I21" s="176">
        <f>Statement!AC18</f>
        <v>-11289</v>
      </c>
    </row>
    <row r="22" spans="2:9" x14ac:dyDescent="0.2">
      <c r="B22" s="20" t="s">
        <v>247</v>
      </c>
      <c r="C22" s="176">
        <f>Statement!M59</f>
        <v>29456</v>
      </c>
      <c r="D22" s="176">
        <f>Statement!N59</f>
        <v>15433</v>
      </c>
      <c r="E22" s="176">
        <f>Statement!O59</f>
        <v>11471</v>
      </c>
      <c r="F22" s="176">
        <f>Statement!P59</f>
        <v>8288</v>
      </c>
      <c r="G22" s="176">
        <f>Statement!Q59</f>
        <v>9697</v>
      </c>
      <c r="I22" s="176">
        <f>Statement!AC59</f>
        <v>13527</v>
      </c>
    </row>
    <row r="23" spans="2:9" x14ac:dyDescent="0.2">
      <c r="B23" s="20" t="s">
        <v>254</v>
      </c>
      <c r="C23" s="194">
        <f>IF(OR(C21&lt;=0, C22&lt;=0),"N/A",C21-C22)</f>
        <v>-9588</v>
      </c>
      <c r="D23" s="194">
        <f t="shared" ref="D23:I23" si="0">IF(OR(D21&lt;=0, D22&lt;=0),"N/A",D21-D22)</f>
        <v>-7419</v>
      </c>
      <c r="E23" s="194">
        <f t="shared" si="0"/>
        <v>-9782</v>
      </c>
      <c r="F23" s="194" t="str">
        <f t="shared" si="0"/>
        <v>N/A</v>
      </c>
      <c r="G23" s="194" t="str">
        <f t="shared" si="0"/>
        <v>N/A</v>
      </c>
      <c r="I23" s="194" t="str">
        <f t="shared" si="0"/>
        <v>N/A</v>
      </c>
    </row>
    <row r="25" spans="2:9" ht="17" thickBot="1" x14ac:dyDescent="0.25">
      <c r="B25" s="14" t="s">
        <v>245</v>
      </c>
      <c r="C25" s="14"/>
      <c r="D25" s="14"/>
      <c r="E25" s="14"/>
      <c r="F25" s="14"/>
      <c r="G25" s="14"/>
      <c r="I25" s="14"/>
    </row>
    <row r="26" spans="2:9" x14ac:dyDescent="0.2">
      <c r="B26" s="20" t="s">
        <v>95</v>
      </c>
      <c r="C26" s="174">
        <f>Statement!M121</f>
        <v>0.25141729094958493</v>
      </c>
      <c r="D26" s="174">
        <f>Statement!N121</f>
        <v>0.12714498683667966</v>
      </c>
      <c r="E26" s="174">
        <f>Statement!O121</f>
        <v>3.088810208748248E-2</v>
      </c>
      <c r="F26" s="174">
        <f>Statement!P121</f>
        <v>-0.3621965688028474</v>
      </c>
      <c r="G26" s="174">
        <f>Statement!Q121</f>
        <v>4.9193044860272833E-4</v>
      </c>
      <c r="I26" s="174">
        <f>Statement!AC121</f>
        <v>-0.19624070697152476</v>
      </c>
    </row>
    <row r="27" spans="2:9" x14ac:dyDescent="0.2">
      <c r="B27" s="20" t="s">
        <v>96</v>
      </c>
      <c r="C27" s="213">
        <f>Statement!M122</f>
        <v>0.46924693894516822</v>
      </c>
      <c r="D27" s="213">
        <f>Statement!N122</f>
        <v>0.34625459218134791</v>
      </c>
      <c r="E27" s="213">
        <f>Statement!O122</f>
        <v>0.2830685068799198</v>
      </c>
      <c r="F27" s="213">
        <f>Statement!P122</f>
        <v>0.27025472682393059</v>
      </c>
      <c r="G27" s="213">
        <f>Statement!Q122</f>
        <v>0.24997989868939455</v>
      </c>
      <c r="I27" s="213">
        <f>Statement!AC122</f>
        <v>0.28172437129209293</v>
      </c>
    </row>
    <row r="28" spans="2:9" x14ac:dyDescent="0.2">
      <c r="B28" s="32" t="s">
        <v>97</v>
      </c>
      <c r="C28" s="175">
        <f>Statement!M123</f>
        <v>0.11797679417597948</v>
      </c>
      <c r="D28" s="175">
        <f>Statement!N123</f>
        <v>4.4024535565037361E-2</v>
      </c>
      <c r="E28" s="175">
        <f>Statement!O123</f>
        <v>8.7434489382581995E-3</v>
      </c>
      <c r="F28" s="175">
        <f>Statement!P123</f>
        <v>-9.7885334758378503E-2</v>
      </c>
      <c r="G28" s="175">
        <f>Statement!Q123</f>
        <v>1.2297272370393844E-4</v>
      </c>
      <c r="I28" s="175">
        <f>Statement!AC123</f>
        <v>-5.5285789793468654E-2</v>
      </c>
    </row>
    <row r="29" spans="2:9" x14ac:dyDescent="0.2">
      <c r="B29" s="20" t="s">
        <v>98</v>
      </c>
      <c r="C29" s="213">
        <f>Statement!M124</f>
        <v>1.7654286043756748</v>
      </c>
      <c r="D29" s="213">
        <f>Statement!N124</f>
        <v>1.7954803151159007</v>
      </c>
      <c r="E29" s="213">
        <f>Statement!O124</f>
        <v>1.8143005966474097</v>
      </c>
      <c r="F29" s="213">
        <f>Statement!P124</f>
        <v>1.9792988818374131</v>
      </c>
      <c r="G29" s="213">
        <f>Statement!Q124</f>
        <v>1.8500800658027143</v>
      </c>
      <c r="I29" s="213">
        <f>Statement!AC124</f>
        <v>2.3124785817093509</v>
      </c>
    </row>
    <row r="30" spans="2:9" x14ac:dyDescent="0.2">
      <c r="B30" s="32" t="s">
        <v>99</v>
      </c>
      <c r="C30" s="175">
        <f>Statement!M125</f>
        <v>0.20827960709081569</v>
      </c>
      <c r="D30" s="175">
        <f>Statement!N125</f>
        <v>7.904518698914445E-2</v>
      </c>
      <c r="E30" s="175">
        <f>Statement!O125</f>
        <v>1.5863244625438012E-2</v>
      </c>
      <c r="F30" s="175">
        <f>Statement!P125</f>
        <v>-0.19374433363553945</v>
      </c>
      <c r="G30" s="175">
        <f>Statement!Q125</f>
        <v>2.2750938476212145E-4</v>
      </c>
      <c r="I30" s="175">
        <f>Statement!AC125</f>
        <v>-0.12784720477028169</v>
      </c>
    </row>
    <row r="32" spans="2:9" ht="17" thickBot="1" x14ac:dyDescent="0.25">
      <c r="B32" s="14" t="s">
        <v>305</v>
      </c>
      <c r="C32" s="14"/>
      <c r="D32" s="14"/>
      <c r="E32" s="14"/>
      <c r="F32" s="14"/>
      <c r="G32" s="14"/>
      <c r="I32" s="14"/>
    </row>
    <row r="33" spans="2:9" x14ac:dyDescent="0.2">
      <c r="B33" s="20" t="s">
        <v>97</v>
      </c>
      <c r="C33" s="174">
        <f>C28</f>
        <v>0.11797679417597948</v>
      </c>
      <c r="D33" s="174">
        <f t="shared" ref="D33:G33" si="1">D28</f>
        <v>4.4024535565037361E-2</v>
      </c>
      <c r="E33" s="174">
        <f t="shared" si="1"/>
        <v>8.7434489382581995E-3</v>
      </c>
      <c r="F33" s="174">
        <f t="shared" si="1"/>
        <v>-9.7885334758378503E-2</v>
      </c>
      <c r="G33" s="174">
        <f t="shared" si="1"/>
        <v>1.2297272370393844E-4</v>
      </c>
      <c r="I33" s="174">
        <f>I28</f>
        <v>-5.5285789793468654E-2</v>
      </c>
    </row>
    <row r="34" spans="2:9" x14ac:dyDescent="0.2">
      <c r="B34" s="20" t="s">
        <v>99</v>
      </c>
      <c r="C34" s="174">
        <f>C30</f>
        <v>0.20827960709081569</v>
      </c>
      <c r="D34" s="174">
        <f t="shared" ref="D34:G34" si="2">D30</f>
        <v>7.904518698914445E-2</v>
      </c>
      <c r="E34" s="174">
        <f t="shared" si="2"/>
        <v>1.5863244625438012E-2</v>
      </c>
      <c r="F34" s="174">
        <f t="shared" si="2"/>
        <v>-0.19374433363553945</v>
      </c>
      <c r="G34" s="174">
        <f t="shared" si="2"/>
        <v>2.2750938476212145E-4</v>
      </c>
      <c r="I34" s="174">
        <f>I30</f>
        <v>-0.12784720477028169</v>
      </c>
    </row>
    <row r="35" spans="2:9" x14ac:dyDescent="0.2">
      <c r="B35" s="20" t="s">
        <v>100</v>
      </c>
      <c r="C35" s="174">
        <f>Statement!M140</f>
        <v>0.18030780236190902</v>
      </c>
      <c r="D35" s="174">
        <f>Statement!N140</f>
        <v>2.1010559291366228E-2</v>
      </c>
      <c r="E35" s="174">
        <f>Statement!O140</f>
        <v>7.2447962108936807E-4</v>
      </c>
      <c r="F35" s="174">
        <f>Statement!P140</f>
        <v>-9.1521810686687882E-2</v>
      </c>
      <c r="G35" s="174">
        <f>Statement!Q140</f>
        <v>-1.7430737617799192E-2</v>
      </c>
      <c r="I35" s="174">
        <f>Statement!AC140</f>
        <v>-6.6641856278614885E-4</v>
      </c>
    </row>
    <row r="37" spans="2:9" ht="17" thickBot="1" x14ac:dyDescent="0.25">
      <c r="B37" s="14" t="s">
        <v>250</v>
      </c>
      <c r="C37" s="14"/>
      <c r="D37" s="14"/>
      <c r="E37" s="14"/>
      <c r="F37" s="14"/>
      <c r="G37" s="14"/>
      <c r="I37" s="14"/>
    </row>
    <row r="38" spans="2:9" x14ac:dyDescent="0.2">
      <c r="B38" s="20" t="s">
        <v>134</v>
      </c>
      <c r="C38" s="173">
        <f>Statement!M141</f>
        <v>43.680464162785988</v>
      </c>
      <c r="D38" s="173">
        <f>Statement!N141</f>
        <v>23.924651885685286</v>
      </c>
      <c r="E38" s="173">
        <f>Statement!O141</f>
        <v>22.898318211993807</v>
      </c>
      <c r="F38" s="173">
        <f>Statement!P141</f>
        <v>23.906706088397584</v>
      </c>
      <c r="G38" s="173">
        <f>Statement!Q141</f>
        <v>26.511929313378616</v>
      </c>
      <c r="I38" s="173">
        <f>Statement!AC141</f>
        <v>25.81086056950484</v>
      </c>
    </row>
    <row r="39" spans="2:9" x14ac:dyDescent="0.2">
      <c r="B39" s="20" t="s">
        <v>135</v>
      </c>
      <c r="C39" s="173">
        <f>Statement!M142</f>
        <v>111.71121020193701</v>
      </c>
      <c r="D39" s="173">
        <f>Statement!N142</f>
        <v>133.38012600862163</v>
      </c>
      <c r="E39" s="173">
        <f>Statement!O142</f>
        <v>124.89943721745549</v>
      </c>
      <c r="F39" s="173">
        <f>Statement!P142</f>
        <v>124.51812283253162</v>
      </c>
      <c r="G39" s="173">
        <f>Statement!Q142</f>
        <v>122.99350310342828</v>
      </c>
      <c r="I39" s="173">
        <f>Statement!AC142</f>
        <v>130.21790661145224</v>
      </c>
    </row>
    <row r="40" spans="2:9" x14ac:dyDescent="0.2">
      <c r="B40" s="20" t="s">
        <v>136</v>
      </c>
      <c r="C40" s="173">
        <f>Statement!M143</f>
        <v>59.577238774177054</v>
      </c>
      <c r="D40" s="173">
        <f>Statement!N143</f>
        <v>96.777246601083235</v>
      </c>
      <c r="E40" s="173">
        <f>Statement!O143</f>
        <v>96.219823476950523</v>
      </c>
      <c r="F40" s="173">
        <f>Statement!P143</f>
        <v>128.17261438639667</v>
      </c>
      <c r="G40" s="173">
        <f>Statement!Q143</f>
        <v>104.6154069261558</v>
      </c>
      <c r="I40" s="173">
        <f>Statement!AC143</f>
        <v>91.273454233899756</v>
      </c>
    </row>
    <row r="41" spans="2:9" x14ac:dyDescent="0.2">
      <c r="B41" s="20" t="s">
        <v>137</v>
      </c>
      <c r="C41" s="173">
        <f>Statement!M144</f>
        <v>95.814435590545941</v>
      </c>
      <c r="D41" s="173">
        <f>Statement!N144</f>
        <v>60.527531293223674</v>
      </c>
      <c r="E41" s="173">
        <f>Statement!O144</f>
        <v>51.577931952498773</v>
      </c>
      <c r="F41" s="173">
        <f>Statement!P144</f>
        <v>20.252214534532527</v>
      </c>
      <c r="G41" s="173">
        <f>Statement!Q144</f>
        <v>44.890025490651112</v>
      </c>
      <c r="I41" s="173">
        <f>Statement!AC144</f>
        <v>64.755312947057305</v>
      </c>
    </row>
    <row r="43" spans="2:9" ht="17" thickBot="1" x14ac:dyDescent="0.25">
      <c r="B43" s="14" t="s">
        <v>256</v>
      </c>
      <c r="C43" s="14"/>
      <c r="D43" s="14"/>
      <c r="E43" s="14"/>
      <c r="F43" s="14"/>
      <c r="G43" s="14"/>
      <c r="I43" s="14"/>
    </row>
    <row r="44" spans="2:9" x14ac:dyDescent="0.2">
      <c r="B44" s="20" t="s">
        <v>257</v>
      </c>
      <c r="C44" s="179">
        <f>Statement!M145</f>
        <v>0.39941923242234595</v>
      </c>
      <c r="D44" s="179">
        <f>Statement!N145</f>
        <v>0.41461009830117429</v>
      </c>
      <c r="E44" s="179">
        <f>Statement!O145</f>
        <v>0.46657827445780853</v>
      </c>
      <c r="F44" s="179">
        <f>Statement!P145</f>
        <v>0.50378764984386015</v>
      </c>
      <c r="G44" s="179">
        <f>Statement!Q145</f>
        <v>0.40763556496705489</v>
      </c>
      <c r="I44" s="179">
        <f>Statement!AC145</f>
        <v>0.57728861575015422</v>
      </c>
    </row>
    <row r="45" spans="2:9" x14ac:dyDescent="0.2">
      <c r="B45" s="20" t="s">
        <v>258</v>
      </c>
      <c r="C45" s="179">
        <f>Statement!M146</f>
        <v>3.5537943831179045E-2</v>
      </c>
      <c r="D45" s="179">
        <f>Statement!N146</f>
        <v>7.691549254113958E-2</v>
      </c>
      <c r="E45" s="179">
        <f>Statement!O146</f>
        <v>0.17428733781608108</v>
      </c>
      <c r="F45" s="179">
        <f>Statement!P146</f>
        <v>0.22731943185252343</v>
      </c>
      <c r="G45" s="179">
        <f>Statement!Q146</f>
        <v>5.7489871457197606E-3</v>
      </c>
      <c r="I45" s="179">
        <f>Statement!AC146</f>
        <v>0.14164629549244934</v>
      </c>
    </row>
    <row r="46" spans="2:9" x14ac:dyDescent="0.2">
      <c r="B46" s="20" t="s">
        <v>252</v>
      </c>
      <c r="C46" s="179">
        <f>Statement!M147</f>
        <v>1.6083315126356419</v>
      </c>
      <c r="D46" s="179">
        <f>Statement!N147</f>
        <v>1.1936868294199969</v>
      </c>
      <c r="E46" s="179">
        <f>Statement!O147</f>
        <v>1.2214379923715823</v>
      </c>
      <c r="F46" s="179">
        <f>Statement!P147</f>
        <v>0.86701620591039086</v>
      </c>
      <c r="G46" s="179">
        <f>Statement!Q147</f>
        <v>1.5761520190023752</v>
      </c>
      <c r="I46" s="179">
        <f>Statement!AC147</f>
        <v>1.1822259601906364</v>
      </c>
    </row>
    <row r="47" spans="2:9" x14ac:dyDescent="0.2">
      <c r="B47" s="20" t="s">
        <v>253</v>
      </c>
      <c r="C47" s="179">
        <f>Statement!M148</f>
        <v>2.1017405869929355</v>
      </c>
      <c r="D47" s="179">
        <f>Statement!N148</f>
        <v>1.5676255636759446</v>
      </c>
      <c r="E47" s="179">
        <f>Statement!O148</f>
        <v>1.5424018821516416</v>
      </c>
      <c r="F47" s="179">
        <f>Statement!P148</f>
        <v>1.3268659227275277</v>
      </c>
      <c r="G47" s="179">
        <f>Statement!Q148</f>
        <v>2.0170387965162311</v>
      </c>
      <c r="I47" s="179">
        <f>Statement!AC148</f>
        <v>1.6039529015979814</v>
      </c>
    </row>
    <row r="48" spans="2:9" x14ac:dyDescent="0.2">
      <c r="B48" s="20" t="s">
        <v>259</v>
      </c>
      <c r="C48" s="181" t="str">
        <f>Statement!M149</f>
        <v>N/A</v>
      </c>
      <c r="D48" s="181" t="str">
        <f>Statement!N149</f>
        <v>N/A</v>
      </c>
      <c r="E48" s="181" t="str">
        <f>Statement!O149</f>
        <v>N/A</v>
      </c>
      <c r="F48" s="181" t="str">
        <f>Statement!P149</f>
        <v>N/A</v>
      </c>
      <c r="G48" s="181" t="str">
        <f>Statement!Q149</f>
        <v>N/A</v>
      </c>
      <c r="I48" s="181" t="str">
        <f>Statement!AC149</f>
        <v>N/A</v>
      </c>
    </row>
    <row r="50" spans="2:9" ht="17" thickBot="1" x14ac:dyDescent="0.25">
      <c r="B50" s="14" t="s">
        <v>268</v>
      </c>
      <c r="C50" s="14"/>
      <c r="D50" s="14"/>
      <c r="E50" s="14"/>
      <c r="F50" s="14"/>
      <c r="G50" s="14"/>
      <c r="I50" s="14"/>
    </row>
    <row r="51" spans="2:9" x14ac:dyDescent="0.2">
      <c r="B51" s="20" t="s">
        <v>266</v>
      </c>
      <c r="C51" s="174">
        <f>Statement!M162</f>
        <v>9.471837848372637E-2</v>
      </c>
      <c r="D51" s="174">
        <f>Statement!N162</f>
        <v>7.3401437760121077E-2</v>
      </c>
      <c r="E51" s="174">
        <f>Statement!O162</f>
        <v>7.9601990049751256E-3</v>
      </c>
      <c r="F51" s="174">
        <f>Statement!P162</f>
        <v>-0.21576354679802953</v>
      </c>
      <c r="G51" s="174">
        <f>Statement!Q162</f>
        <v>-1.6574585635359114E-3</v>
      </c>
      <c r="I51" s="174">
        <f ca="1">Statement!AC162</f>
        <v>-2.202505219206681E-2</v>
      </c>
    </row>
    <row r="52" spans="2:9" x14ac:dyDescent="0.2">
      <c r="B52" s="20" t="s">
        <v>269</v>
      </c>
      <c r="C52" s="174">
        <f>Statement!M161</f>
        <v>4.1263521617131038E-2</v>
      </c>
      <c r="D52" s="174">
        <f>Statement!N161</f>
        <v>-0.11426372932609277</v>
      </c>
      <c r="E52" s="174">
        <f>Statement!O161</f>
        <v>-8.1980684811237922E-2</v>
      </c>
      <c r="F52" s="174">
        <f>Statement!P161</f>
        <v>-0.21690804218478027</v>
      </c>
      <c r="G52" s="174">
        <f>Statement!Q161</f>
        <v>-4.0830886134753538E-2</v>
      </c>
      <c r="I52" s="174">
        <f ca="1">Statement!AC161</f>
        <v>-2.3271205044874416E-2</v>
      </c>
    </row>
    <row r="53" spans="2:9" x14ac:dyDescent="0.2">
      <c r="B53" s="20" t="s">
        <v>267</v>
      </c>
      <c r="C53" s="174">
        <f>Statement!M163</f>
        <v>2.7090235821477293E-2</v>
      </c>
      <c r="D53" s="174">
        <f>Statement!N163</f>
        <v>5.5240257283390083E-2</v>
      </c>
      <c r="E53" s="174">
        <f>Statement!O163</f>
        <v>1.472636815920398E-2</v>
      </c>
      <c r="F53" s="174">
        <f>Statement!P163</f>
        <v>1.8719211822660099E-2</v>
      </c>
      <c r="G53" s="174">
        <f>Statement!Q163</f>
        <v>0</v>
      </c>
      <c r="I53" s="174">
        <f ca="1">Statement!AC163</f>
        <v>0</v>
      </c>
    </row>
    <row r="54" spans="2:9" x14ac:dyDescent="0.2">
      <c r="B54" s="20" t="s">
        <v>292</v>
      </c>
      <c r="C54" s="174">
        <f>Statement!M164</f>
        <v>1.1471325510000168E-2</v>
      </c>
      <c r="D54" s="174">
        <f>Statement!N164</f>
        <v>0</v>
      </c>
      <c r="E54" s="174">
        <f>Statement!O164</f>
        <v>0</v>
      </c>
      <c r="F54" s="174">
        <f>Statement!P164</f>
        <v>0</v>
      </c>
      <c r="G54" s="174">
        <f>Statement!Q164</f>
        <v>0</v>
      </c>
      <c r="I54" s="174">
        <f ca="1">Statement!AC164</f>
        <v>0</v>
      </c>
    </row>
    <row r="55" spans="2:9" x14ac:dyDescent="0.2">
      <c r="B55" s="20" t="s">
        <v>294</v>
      </c>
      <c r="C55" s="174">
        <f>Statement!M165</f>
        <v>3.8280501981404286E-2</v>
      </c>
      <c r="D55" s="174">
        <f>Statement!N165</f>
        <v>5.4648662953072684E-2</v>
      </c>
      <c r="E55" s="174">
        <f>Statement!O165</f>
        <v>1.4459467369037167E-2</v>
      </c>
      <c r="F55" s="174">
        <f>Statement!P165</f>
        <v>1.8191333234735322E-2</v>
      </c>
      <c r="G55" s="174">
        <f>Statement!Q165</f>
        <v>0</v>
      </c>
      <c r="I55" s="174">
        <f ca="1">Statement!AC165</f>
        <v>3.3090846479994834E-3</v>
      </c>
    </row>
    <row r="57" spans="2:9" ht="17" thickBot="1" x14ac:dyDescent="0.25">
      <c r="B57" s="14" t="s">
        <v>271</v>
      </c>
      <c r="C57" s="14"/>
      <c r="D57" s="14"/>
      <c r="E57" s="14"/>
      <c r="F57" s="14"/>
      <c r="G57" s="14"/>
      <c r="I57" s="14"/>
    </row>
    <row r="58" spans="2:9" x14ac:dyDescent="0.2">
      <c r="B58" s="20" t="s">
        <v>270</v>
      </c>
      <c r="C58" s="174">
        <f>Statement!M168</f>
        <v>0.64970645792563597</v>
      </c>
      <c r="D58" s="174">
        <f>Statement!N168</f>
        <v>-0.47826780445011563</v>
      </c>
      <c r="E58" s="174">
        <f>Statement!O168</f>
        <v>-0.1763765135937857</v>
      </c>
      <c r="F58" s="174">
        <f>Statement!P168</f>
        <v>-8.3866568761145496E-2</v>
      </c>
      <c r="G58" s="174">
        <f>Statement!Q168</f>
        <v>0</v>
      </c>
      <c r="I58" s="174">
        <f>Statement!AC168</f>
        <v>-0.14219653179190753</v>
      </c>
    </row>
    <row r="59" spans="2:9" x14ac:dyDescent="0.2">
      <c r="B59" s="20" t="s">
        <v>272</v>
      </c>
      <c r="C59" s="174">
        <f>Statement!M169</f>
        <v>0.27800161160354553</v>
      </c>
      <c r="D59" s="174">
        <f>Statement!N169</f>
        <v>0</v>
      </c>
      <c r="E59" s="174">
        <f>Statement!O169</f>
        <v>0</v>
      </c>
      <c r="F59" s="174">
        <f>Statement!P169</f>
        <v>0</v>
      </c>
      <c r="G59" s="174">
        <f>Statement!Q169</f>
        <v>0</v>
      </c>
      <c r="I59" s="174">
        <f>Statement!AC169</f>
        <v>0</v>
      </c>
    </row>
    <row r="60" spans="2:9" x14ac:dyDescent="0.2">
      <c r="B60" s="20" t="s">
        <v>273</v>
      </c>
      <c r="C60" s="174">
        <f>Statement!M170</f>
        <v>0.9277080695291815</v>
      </c>
      <c r="D60" s="174">
        <f>Statement!N170</f>
        <v>-0.47826780445011563</v>
      </c>
      <c r="E60" s="174">
        <f>Statement!O170</f>
        <v>-0.1763765135937857</v>
      </c>
      <c r="F60" s="174">
        <f>Statement!P170</f>
        <v>-8.3866568761145496E-2</v>
      </c>
      <c r="G60" s="174">
        <f>Statement!Q170</f>
        <v>0</v>
      </c>
      <c r="I60" s="174">
        <f>Statement!AC170</f>
        <v>-0.14219653179190753</v>
      </c>
    </row>
    <row r="62" spans="2:9" ht="17" thickBot="1" x14ac:dyDescent="0.25">
      <c r="B62" s="14" t="s">
        <v>279</v>
      </c>
      <c r="C62" s="14"/>
      <c r="D62" s="14"/>
      <c r="E62" s="14"/>
      <c r="F62" s="14"/>
      <c r="G62" s="14"/>
      <c r="I62" s="14"/>
    </row>
    <row r="63" spans="2:9" x14ac:dyDescent="0.2">
      <c r="B63" s="20" t="s">
        <v>277</v>
      </c>
      <c r="C63" s="174">
        <f>Statement!M171</f>
        <v>4.874482086278333E-4</v>
      </c>
      <c r="D63" s="174">
        <f>Statement!N171</f>
        <v>4.8169556840077071E-4</v>
      </c>
      <c r="E63" s="174">
        <f>Statement!O171</f>
        <v>4.7058823529411766E-4</v>
      </c>
      <c r="F63" s="174">
        <f>Statement!P171</f>
        <v>4.6189376443418013E-4</v>
      </c>
      <c r="G63" s="174">
        <f>Statement!Q171</f>
        <v>6.0060060060060057E-4</v>
      </c>
      <c r="I63" s="174">
        <f>Statement!AC171</f>
        <v>5.947660586835844E-4</v>
      </c>
    </row>
    <row r="65" spans="2:9" ht="17" thickBot="1" x14ac:dyDescent="0.25">
      <c r="B65" s="14" t="s">
        <v>285</v>
      </c>
      <c r="C65" s="14"/>
      <c r="D65" s="14"/>
      <c r="E65" s="14"/>
      <c r="F65" s="14"/>
      <c r="G65" s="14"/>
      <c r="I65" s="14"/>
    </row>
    <row r="66" spans="2:9" x14ac:dyDescent="0.2">
      <c r="B66" s="20" t="s">
        <v>278</v>
      </c>
      <c r="C66" s="173">
        <f>Statement!M172</f>
        <v>8.524312377210217</v>
      </c>
      <c r="D66" s="173">
        <f>Statement!N172</f>
        <v>8.2789460962049795</v>
      </c>
      <c r="E66" s="173">
        <f>Statement!O172</f>
        <v>7.2996688741721858</v>
      </c>
      <c r="F66" s="173">
        <f>Statement!P172</f>
        <v>6.3383371824480372</v>
      </c>
      <c r="G66" s="173">
        <f>Statement!Q172</f>
        <v>9.1947947947947952</v>
      </c>
      <c r="I66" s="173">
        <f>Statement!AC172</f>
        <v>7.5608643933386199</v>
      </c>
    </row>
    <row r="67" spans="2:9" x14ac:dyDescent="0.2">
      <c r="B67" s="20" t="s">
        <v>286</v>
      </c>
      <c r="C67" s="173">
        <f>Statement!M175</f>
        <v>-0.83251473477406679</v>
      </c>
      <c r="D67" s="173">
        <f>Statement!N175</f>
        <v>-1.8856659415035049</v>
      </c>
      <c r="E67" s="173">
        <f>Statement!O175</f>
        <v>-4.3526490066225163</v>
      </c>
      <c r="F67" s="173">
        <f>Statement!P175</f>
        <v>-5.2115473441108549</v>
      </c>
      <c r="G67" s="173">
        <f>Statement!Q175</f>
        <v>-0.13153153153153152</v>
      </c>
      <c r="I67" s="173">
        <f>Statement!AC175</f>
        <v>-2.4583663758921492</v>
      </c>
    </row>
    <row r="68" spans="2:9" x14ac:dyDescent="0.2">
      <c r="B68" s="20" t="s">
        <v>291</v>
      </c>
      <c r="C68" s="195">
        <f>Statement!M176</f>
        <v>-1.6102605995403963E-2</v>
      </c>
      <c r="D68" s="195">
        <f>Statement!N176</f>
        <v>-7.1087913906439884E-2</v>
      </c>
      <c r="E68" s="195">
        <f>Statement!O176</f>
        <v>-8.617149546385719E-2</v>
      </c>
      <c r="F68" s="195">
        <f>Statement!P176</f>
        <v>-0.25672647015324407</v>
      </c>
      <c r="G68" s="195">
        <f>Statement!Q176</f>
        <v>-3.6334677218655118E-3</v>
      </c>
      <c r="I68" s="195">
        <f ca="1">Statement!AC176</f>
        <v>-2.5661444424761471E-2</v>
      </c>
    </row>
    <row r="70" spans="2:9" ht="17" thickBot="1" x14ac:dyDescent="0.25">
      <c r="B70" s="14" t="s">
        <v>306</v>
      </c>
      <c r="C70" s="14"/>
      <c r="D70" s="14"/>
      <c r="E70" s="14"/>
      <c r="F70" s="14"/>
      <c r="G70" s="14"/>
      <c r="I70" s="14"/>
    </row>
    <row r="71" spans="2:9" x14ac:dyDescent="0.2">
      <c r="B71" s="20" t="s">
        <v>280</v>
      </c>
      <c r="C71" s="174">
        <f>Statement!M173</f>
        <v>6.9120043454644217E-2</v>
      </c>
      <c r="D71" s="174">
        <f>Statement!N173</f>
        <v>0.20268256333830104</v>
      </c>
      <c r="E71" s="174">
        <f>Statement!O173</f>
        <v>0.28149245924505273</v>
      </c>
      <c r="F71" s="174">
        <f>Statement!P173</f>
        <v>0.41143822393822393</v>
      </c>
      <c r="G71" s="174">
        <f>Statement!Q173</f>
        <v>0.25100546560791998</v>
      </c>
      <c r="I71" s="174">
        <f>Statement!AC173</f>
        <v>0.24905744067420715</v>
      </c>
    </row>
    <row r="72" spans="2:9" x14ac:dyDescent="0.2">
      <c r="B72" s="20" t="s">
        <v>281</v>
      </c>
      <c r="C72" s="174">
        <f>Statement!M174</f>
        <v>2.5764324762097592E-2</v>
      </c>
      <c r="D72" s="174">
        <f>Statement!N174</f>
        <v>4.9608272274558315E-2</v>
      </c>
      <c r="E72" s="174">
        <f>Statement!O174</f>
        <v>5.9544884561481153E-2</v>
      </c>
      <c r="F72" s="174">
        <f>Statement!P174</f>
        <v>6.4217246379540877E-2</v>
      </c>
      <c r="G72" s="174">
        <f>Statement!Q174</f>
        <v>4.6052258149963103E-2</v>
      </c>
      <c r="I72" s="174">
        <f>Statement!AC174</f>
        <v>5.9072099873755085E-2</v>
      </c>
    </row>
    <row r="74" spans="2:9" ht="17" thickBot="1" x14ac:dyDescent="0.25">
      <c r="B74" s="14" t="s">
        <v>307</v>
      </c>
      <c r="C74" s="14"/>
      <c r="D74" s="14"/>
      <c r="E74" s="14"/>
      <c r="F74" s="14"/>
      <c r="G74" s="14"/>
      <c r="I74" s="14"/>
    </row>
    <row r="75" spans="2:9" x14ac:dyDescent="0.2">
      <c r="B75" s="20" t="s">
        <v>304</v>
      </c>
      <c r="C75" s="174">
        <f>Statement!M177</f>
        <v>0.23705456570155903</v>
      </c>
      <c r="D75" s="174">
        <f>Statement!N177</f>
        <v>0.39401148222158783</v>
      </c>
      <c r="E75" s="174">
        <f>Statement!O177</f>
        <v>0.4748469425389098</v>
      </c>
      <c r="F75" s="174">
        <f>Statement!P177</f>
        <v>0.45091429539933336</v>
      </c>
      <c r="G75" s="174">
        <f>Statement!Q177</f>
        <v>0.27710820577829071</v>
      </c>
      <c r="I75" s="174">
        <f>Statement!AC177</f>
        <v>0.37528054425585639</v>
      </c>
    </row>
    <row r="76" spans="2:9" x14ac:dyDescent="0.2">
      <c r="B76" s="20" t="s">
        <v>301</v>
      </c>
      <c r="C76" s="174">
        <f>Statement!M178</f>
        <v>0.63596550787615425</v>
      </c>
      <c r="D76" s="174">
        <f>Statement!N178</f>
        <v>1.6097971878442299</v>
      </c>
      <c r="E76" s="174">
        <f>Statement!O178</f>
        <v>2.2447912126231366</v>
      </c>
      <c r="F76" s="174">
        <f>Statement!P178</f>
        <v>2.8889961389961392</v>
      </c>
      <c r="G76" s="174">
        <f>Statement!Q178</f>
        <v>1.5103640301124059</v>
      </c>
      <c r="I76" s="174">
        <f>Statement!AC178</f>
        <v>1.5822429215642788</v>
      </c>
    </row>
    <row r="77" spans="2:9" x14ac:dyDescent="0.2">
      <c r="B77" s="20" t="s">
        <v>302</v>
      </c>
      <c r="C77" s="174">
        <f>Statement!M179</f>
        <v>1.5886194029850746</v>
      </c>
      <c r="D77" s="174">
        <f>Statement!N179</f>
        <v>1.9059455312619868</v>
      </c>
      <c r="E77" s="174">
        <f>Statement!O179</f>
        <v>2.6817329722974379</v>
      </c>
      <c r="F77" s="174">
        <f>Statement!P179</f>
        <v>2.1042270849811056</v>
      </c>
      <c r="G77" s="174">
        <f>Statement!Q179</f>
        <v>1.2511532547411583</v>
      </c>
      <c r="I77" s="174">
        <f>Statement!AC179</f>
        <v>1.7758878194490542</v>
      </c>
    </row>
    <row r="79" spans="2:9" ht="17" thickBot="1" x14ac:dyDescent="0.25">
      <c r="B79" s="14" t="s">
        <v>117</v>
      </c>
      <c r="C79" s="14"/>
      <c r="D79" s="14"/>
      <c r="E79" s="14"/>
      <c r="F79" s="14"/>
      <c r="G79" s="14"/>
      <c r="I79" s="14"/>
    </row>
    <row r="80" spans="2:9" x14ac:dyDescent="0.2">
      <c r="B80" s="20" t="s">
        <v>19</v>
      </c>
      <c r="C80" s="174">
        <f>Statement!M89</f>
        <v>1</v>
      </c>
      <c r="D80" s="174">
        <f>Statement!N89</f>
        <v>-0.20209050415063778</v>
      </c>
      <c r="E80" s="174">
        <f>Statement!O89</f>
        <v>-0.13997525930155105</v>
      </c>
      <c r="F80" s="174">
        <f>Statement!P89</f>
        <v>-2.0782621523935976E-2</v>
      </c>
      <c r="G80" s="174">
        <f>Statement!Q89</f>
        <v>-4.6703451912393362E-3</v>
      </c>
      <c r="I80" s="196"/>
    </row>
    <row r="81" spans="2:9" x14ac:dyDescent="0.2">
      <c r="B81" s="20" t="s">
        <v>20</v>
      </c>
      <c r="C81" s="174">
        <f>Statement!M90</f>
        <v>1</v>
      </c>
      <c r="D81" s="174">
        <f>Statement!N90</f>
        <v>2.7805390667158966E-2</v>
      </c>
      <c r="E81" s="174">
        <f>Statement!O90</f>
        <v>-0.10144246711617111</v>
      </c>
      <c r="F81" s="174">
        <f>Statement!P90</f>
        <v>9.9609435064735366E-2</v>
      </c>
      <c r="G81" s="174">
        <f>Statement!Q90</f>
        <v>-3.5742253048439421E-2</v>
      </c>
      <c r="I81" s="196"/>
    </row>
    <row r="82" spans="2:9" x14ac:dyDescent="0.2">
      <c r="B82" s="20" t="s">
        <v>21</v>
      </c>
      <c r="C82" s="174">
        <f>Statement!M91</f>
        <v>1</v>
      </c>
      <c r="D82" s="174">
        <f>Statement!N91</f>
        <v>-0.38683099395184295</v>
      </c>
      <c r="E82" s="174">
        <f>Statement!O91</f>
        <v>-0.19187821037742872</v>
      </c>
      <c r="F82" s="174">
        <f>Statement!P91</f>
        <v>-0.20109621850674772</v>
      </c>
      <c r="G82" s="174">
        <f>Statement!Q91</f>
        <v>5.9383107523782071E-2</v>
      </c>
      <c r="I82" s="196"/>
    </row>
    <row r="83" spans="2:9" x14ac:dyDescent="0.2">
      <c r="B83" s="20" t="s">
        <v>23</v>
      </c>
      <c r="C83" s="174">
        <f>Statement!M95</f>
        <v>1</v>
      </c>
      <c r="D83" s="174">
        <f>Statement!N95</f>
        <v>7.1020977872654871E-3</v>
      </c>
      <c r="E83" s="174">
        <f>Statement!O95</f>
        <v>-0.11878362954508397</v>
      </c>
      <c r="F83" s="174">
        <f>Statement!P95</f>
        <v>0.34253862521972428</v>
      </c>
      <c r="G83" s="174">
        <f>Statement!Q95</f>
        <v>-0.29059711263480686</v>
      </c>
      <c r="I83" s="196"/>
    </row>
    <row r="84" spans="2:9" x14ac:dyDescent="0.2">
      <c r="B84" s="20" t="s">
        <v>308</v>
      </c>
      <c r="C84" s="174">
        <f>Statement!M96</f>
        <v>1</v>
      </c>
      <c r="D84" s="174">
        <f>Statement!N96</f>
        <v>-0.88003700657894735</v>
      </c>
      <c r="E84" s="174">
        <f>Statement!O96</f>
        <v>-0.96015424164524421</v>
      </c>
      <c r="F84" s="174">
        <f>Statement!P96</f>
        <v>-126.56989247311827</v>
      </c>
      <c r="G84" s="174">
        <f>Statement!Q96</f>
        <v>0.81041274190786095</v>
      </c>
      <c r="I84" s="196"/>
    </row>
    <row r="85" spans="2:9" x14ac:dyDescent="0.2">
      <c r="B85" s="20" t="s">
        <v>309</v>
      </c>
      <c r="C85" s="174">
        <f>Statement!M98</f>
        <v>1</v>
      </c>
      <c r="D85" s="174">
        <f>Statement!N98</f>
        <v>-0.59663780954298373</v>
      </c>
      <c r="E85" s="174">
        <f>Statement!O98</f>
        <v>-0.78924382330920884</v>
      </c>
      <c r="F85" s="174">
        <f>Statement!P98</f>
        <v>-12.104795737122558</v>
      </c>
      <c r="G85" s="174">
        <f>Statement!Q98</f>
        <v>0.98576455534229046</v>
      </c>
      <c r="I85" s="196"/>
    </row>
    <row r="88" spans="2:9" ht="17" thickBot="1" x14ac:dyDescent="0.25">
      <c r="B88" s="14" t="s">
        <v>310</v>
      </c>
      <c r="C88" s="14"/>
      <c r="D88" s="14"/>
      <c r="E88" s="14"/>
      <c r="F88" s="14"/>
      <c r="G88" s="14"/>
      <c r="I88" s="14"/>
    </row>
    <row r="89" spans="2:9" x14ac:dyDescent="0.2">
      <c r="B89" s="215" t="s">
        <v>356</v>
      </c>
      <c r="C89" s="174">
        <f>Statement!M201</f>
        <v>1</v>
      </c>
      <c r="D89" s="174">
        <f>Statement!N201</f>
        <v>-0.22657676298045326</v>
      </c>
      <c r="E89" s="174">
        <f>Statement!O201</f>
        <v>-7.9155257608661447E-2</v>
      </c>
      <c r="F89" s="174">
        <f>Statement!P201</f>
        <v>0.139722469068289</v>
      </c>
      <c r="G89" s="174">
        <f>Statement!Q201</f>
        <v>-3.3527259641336293E-2</v>
      </c>
      <c r="I89" s="196"/>
    </row>
    <row r="90" spans="2:9" x14ac:dyDescent="0.2">
      <c r="B90" s="215" t="s">
        <v>357</v>
      </c>
      <c r="C90" s="174">
        <f>Statement!M202</f>
        <v>1</v>
      </c>
      <c r="D90" s="174">
        <f>Statement!N202</f>
        <v>-8.4923946253162061E-2</v>
      </c>
      <c r="E90" s="174">
        <f>Statement!O202</f>
        <v>-0.23547784878293962</v>
      </c>
      <c r="F90" s="174">
        <f>Statement!P202</f>
        <v>-0.242779995304062</v>
      </c>
      <c r="G90" s="174">
        <f>Statement!Q202</f>
        <v>4.9240310077519382E-2</v>
      </c>
      <c r="I90" s="196"/>
    </row>
    <row r="91" spans="2:9" x14ac:dyDescent="0.2">
      <c r="B91" s="20" t="s">
        <v>358</v>
      </c>
      <c r="C91" s="174">
        <f>Statement!M203</f>
        <v>1</v>
      </c>
      <c r="D91" s="174">
        <f>Statement!N203</f>
        <v>-0.16628914988814317</v>
      </c>
      <c r="E91" s="174">
        <f>Statement!O203</f>
        <v>-0.1521793818236705</v>
      </c>
      <c r="F91" s="174">
        <f>Statement!P203</f>
        <v>-2.1403279726227919E-2</v>
      </c>
      <c r="G91" s="174">
        <f>Statement!Q203</f>
        <v>-6.5492915041135214E-3</v>
      </c>
      <c r="I91" s="196"/>
    </row>
    <row r="92" spans="2:9" x14ac:dyDescent="0.2">
      <c r="B92" s="20" t="s">
        <v>359</v>
      </c>
      <c r="C92" s="174">
        <f>Statement!M204</f>
        <v>1</v>
      </c>
      <c r="D92" s="174">
        <f>Statement!N204</f>
        <v>0.35158501440922191</v>
      </c>
      <c r="E92" s="174">
        <f>Statement!O204</f>
        <v>1.0298507462686568</v>
      </c>
      <c r="F92" s="174">
        <f>Statement!P204</f>
        <v>17.190126050420169</v>
      </c>
      <c r="G92" s="174">
        <f>Statement!Q204</f>
        <v>2.9393081942599757E-2</v>
      </c>
      <c r="I92" s="196"/>
    </row>
    <row r="93" spans="2:9" x14ac:dyDescent="0.2">
      <c r="B93" s="20" t="s">
        <v>360</v>
      </c>
      <c r="C93" s="174">
        <f>Statement!M205</f>
        <v>1</v>
      </c>
      <c r="D93" s="174">
        <f>Statement!N205</f>
        <v>-0.58669833729216148</v>
      </c>
      <c r="E93" s="174">
        <f>Statement!O205</f>
        <v>-7.9445571331981074E-2</v>
      </c>
      <c r="F93" s="174">
        <f>Statement!P205</f>
        <v>0.32243848696290855</v>
      </c>
      <c r="G93" s="174">
        <f>Statement!Q205</f>
        <v>-1.0552624271035824E-2</v>
      </c>
      <c r="I93" s="196"/>
    </row>
    <row r="95" spans="2:9" ht="17" thickBot="1" x14ac:dyDescent="0.25">
      <c r="B95" s="14" t="s">
        <v>312</v>
      </c>
      <c r="C95" s="14"/>
      <c r="D95" s="14"/>
      <c r="E95" s="14"/>
      <c r="F95" s="14"/>
      <c r="G95" s="14"/>
      <c r="I95" s="14"/>
    </row>
    <row r="96" spans="2:9" x14ac:dyDescent="0.2">
      <c r="B96" s="20" t="s">
        <v>284</v>
      </c>
      <c r="C96" s="174">
        <f>Statement!M209</f>
        <v>-1</v>
      </c>
      <c r="D96" s="174">
        <f>Statement!N209</f>
        <v>6.2544294826364283E-2</v>
      </c>
      <c r="E96" s="174">
        <f>Statement!O209</f>
        <v>-0.48507587126896784</v>
      </c>
      <c r="F96" s="174">
        <f>Statement!P209</f>
        <v>-0.48218911917098445</v>
      </c>
      <c r="G96" s="174">
        <f>Statement!Q209</f>
        <v>-1</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313</v>
      </c>
      <c r="D3" s="241"/>
      <c r="F3" s="242" t="s">
        <v>314</v>
      </c>
      <c r="G3" s="241"/>
    </row>
    <row r="4" spans="2:7" x14ac:dyDescent="0.2">
      <c r="B4" s="8"/>
      <c r="C4" s="10" t="str">
        <f>Statement!Z2</f>
        <v>28.03.2026</v>
      </c>
      <c r="D4" s="202" t="str">
        <f>Statement!AA2</f>
        <v>27.06.2026</v>
      </c>
      <c r="F4" s="203" t="str">
        <f>Statement!W2</f>
        <v>28.06.2025</v>
      </c>
      <c r="G4" s="202" t="str">
        <f>Statement!AA2</f>
        <v>27.06.2026</v>
      </c>
    </row>
    <row r="5" spans="2:7" x14ac:dyDescent="0.2">
      <c r="B5" s="8" t="s">
        <v>319</v>
      </c>
      <c r="C5" s="10" t="str">
        <f>Statement!Z3</f>
        <v>Q1 2026</v>
      </c>
      <c r="D5" s="202" t="str">
        <f>Statement!AA3</f>
        <v>Q2 2026</v>
      </c>
      <c r="F5" s="203" t="str">
        <f>Statement!W3</f>
        <v>Q2 2025</v>
      </c>
      <c r="G5" s="202" t="str">
        <f>Statement!AA3</f>
        <v>Q2 2026</v>
      </c>
    </row>
    <row r="6" spans="2:7" x14ac:dyDescent="0.2">
      <c r="B6" s="204" t="s">
        <v>19</v>
      </c>
      <c r="C6" s="198">
        <f>Statement!Z5</f>
        <v>13577</v>
      </c>
      <c r="D6" s="197">
        <f>Statement!AA5</f>
        <v>16128</v>
      </c>
      <c r="F6" s="198">
        <f>Statement!W5</f>
        <v>12859</v>
      </c>
      <c r="G6" s="197">
        <f>Statement!AA5</f>
        <v>16128</v>
      </c>
    </row>
    <row r="7" spans="2:7" x14ac:dyDescent="0.2">
      <c r="B7" s="205" t="s">
        <v>315</v>
      </c>
      <c r="C7" s="238">
        <f>Statement!AA89</f>
        <v>0.18789128673491934</v>
      </c>
      <c r="D7" s="239"/>
      <c r="F7" s="238">
        <f>IF(F6=0,
IF(G6=0,0,IF(G6&gt;0,1,-1)),
(G6-F6)/ABS(F6)
)</f>
        <v>0.25421883505715842</v>
      </c>
      <c r="G7" s="239"/>
    </row>
    <row r="8" spans="2:7" x14ac:dyDescent="0.2">
      <c r="B8" s="206" t="s">
        <v>20</v>
      </c>
      <c r="C8" s="199">
        <f>Statement!Z6</f>
        <v>8230</v>
      </c>
      <c r="D8" s="197">
        <f>Statement!AA6</f>
        <v>9619</v>
      </c>
      <c r="F8" s="199">
        <f>Statement!W6</f>
        <v>9317</v>
      </c>
      <c r="G8" s="197">
        <f>Statement!AA6</f>
        <v>9619</v>
      </c>
    </row>
    <row r="9" spans="2:7" x14ac:dyDescent="0.2">
      <c r="B9" s="205" t="s">
        <v>315</v>
      </c>
      <c r="C9" s="238">
        <f>Statement!AA90</f>
        <v>0.16877278250303768</v>
      </c>
      <c r="D9" s="239"/>
      <c r="F9" s="238">
        <f>IF(F8=0,
IF(G8=0,0,IF(G8&gt;0,1,-1)),
(G8-F8)/ABS(F8)
)</f>
        <v>3.2413867124610925E-2</v>
      </c>
      <c r="G9" s="239"/>
    </row>
    <row r="10" spans="2:7" x14ac:dyDescent="0.2">
      <c r="B10" s="206" t="s">
        <v>21</v>
      </c>
      <c r="C10" s="199">
        <f>Statement!Z7</f>
        <v>5347</v>
      </c>
      <c r="D10" s="197">
        <f>Statement!AA7</f>
        <v>6509</v>
      </c>
      <c r="F10" s="199">
        <f>Statement!W7</f>
        <v>3542</v>
      </c>
      <c r="G10" s="197">
        <f>Statement!AA7</f>
        <v>6509</v>
      </c>
    </row>
    <row r="11" spans="2:7" x14ac:dyDescent="0.2">
      <c r="B11" s="205" t="s">
        <v>315</v>
      </c>
      <c r="C11" s="238">
        <f>Statement!AA91</f>
        <v>0.21731812231157657</v>
      </c>
      <c r="D11" s="239"/>
      <c r="F11" s="238">
        <f>IF(F10=0,
IF(G10=0,0,IF(G10&gt;0,1,-1)),
(G10-F10)/ABS(F10)
)</f>
        <v>0.83766233766233766</v>
      </c>
      <c r="G11" s="239"/>
    </row>
    <row r="12" spans="2:7" x14ac:dyDescent="0.2">
      <c r="B12" s="206" t="s">
        <v>23</v>
      </c>
      <c r="C12" s="199">
        <f>Statement!Z11</f>
        <v>8483</v>
      </c>
      <c r="D12" s="197">
        <f>Statement!AA11</f>
        <v>4713</v>
      </c>
      <c r="F12" s="199">
        <f>Statement!W11</f>
        <v>6718</v>
      </c>
      <c r="G12" s="197">
        <f>Statement!AA11</f>
        <v>4713</v>
      </c>
    </row>
    <row r="13" spans="2:7" x14ac:dyDescent="0.2">
      <c r="B13" s="205" t="s">
        <v>315</v>
      </c>
      <c r="C13" s="238">
        <f>Statement!AA95</f>
        <v>-0.44441824826122833</v>
      </c>
      <c r="D13" s="239"/>
      <c r="F13" s="238">
        <f>IF(F12=0,
IF(G12=0,0,IF(G12&gt;0,1,-1)),
(G12-F12)/ABS(F12)
)</f>
        <v>-0.29845192021434952</v>
      </c>
      <c r="G13" s="239"/>
    </row>
    <row r="14" spans="2:7" x14ac:dyDescent="0.2">
      <c r="B14" s="206" t="s">
        <v>316</v>
      </c>
      <c r="C14" s="199">
        <f>Statement!Z12</f>
        <v>-3136</v>
      </c>
      <c r="D14" s="197">
        <f>Statement!AA12</f>
        <v>1796</v>
      </c>
      <c r="F14" s="199">
        <f>Statement!W12</f>
        <v>-3176</v>
      </c>
      <c r="G14" s="197">
        <f>Statement!AA12</f>
        <v>1796</v>
      </c>
    </row>
    <row r="15" spans="2:7" x14ac:dyDescent="0.2">
      <c r="B15" s="205" t="s">
        <v>315</v>
      </c>
      <c r="C15" s="238">
        <f>Statement!AA96</f>
        <v>1.572704081632653</v>
      </c>
      <c r="D15" s="239"/>
      <c r="F15" s="238">
        <f>IF(F14=0,
IF(G14=0,0,IF(G14&gt;0,1,-1)),
(G14-F14)/ABS(F14)
)</f>
        <v>1.5654911838790933</v>
      </c>
      <c r="G15" s="239"/>
    </row>
    <row r="16" spans="2:7" x14ac:dyDescent="0.2">
      <c r="B16" s="206" t="s">
        <v>29</v>
      </c>
      <c r="C16" s="199">
        <f>Statement!Z18</f>
        <v>-3728</v>
      </c>
      <c r="D16" s="197">
        <f>Statement!AA18</f>
        <v>-11033</v>
      </c>
      <c r="F16" s="199">
        <f>Statement!W18</f>
        <v>-2918</v>
      </c>
      <c r="G16" s="197">
        <f>Statement!AA18</f>
        <v>-11033</v>
      </c>
    </row>
    <row r="17" spans="2:7" x14ac:dyDescent="0.2">
      <c r="B17" s="205" t="s">
        <v>315</v>
      </c>
      <c r="C17" s="238">
        <f>Statement!AA98</f>
        <v>-1.9594957081545064</v>
      </c>
      <c r="D17" s="239"/>
      <c r="F17" s="238">
        <f>IF(F16=0,
IF(G16=0,0,IF(G16&gt;0,1,-1)),
(G16-F16)/ABS(F16)
)</f>
        <v>-2.781014393420151</v>
      </c>
      <c r="G17" s="239"/>
    </row>
    <row r="18" spans="2:7" x14ac:dyDescent="0.2">
      <c r="B18" s="206" t="s">
        <v>317</v>
      </c>
      <c r="C18" s="199">
        <f>Statement!Z22</f>
        <v>5083</v>
      </c>
      <c r="D18" s="197">
        <f>Statement!AA22</f>
        <v>5104</v>
      </c>
      <c r="F18" s="199">
        <f>Statement!W22</f>
        <v>4369</v>
      </c>
      <c r="G18" s="197">
        <f>Statement!AA22</f>
        <v>5104</v>
      </c>
    </row>
    <row r="19" spans="2:7" x14ac:dyDescent="0.2">
      <c r="B19" s="205" t="s">
        <v>315</v>
      </c>
      <c r="C19" s="238">
        <f>IF(C18=0,
IF(D18=0,0,IF(D18&gt;0,1,-1)),
(D18-C18)/ABS(C18)
)</f>
        <v>4.1314184536690932E-3</v>
      </c>
      <c r="D19" s="239"/>
      <c r="F19" s="238">
        <f>IF(F18=0,
IF(G18=0,0,IF(G18&gt;0,1,-1)),
(G18-F18)/ABS(F18)
)</f>
        <v>0.16823071641107806</v>
      </c>
      <c r="G19" s="239"/>
    </row>
    <row r="20" spans="2:7" x14ac:dyDescent="0.2">
      <c r="B20" s="206" t="s">
        <v>36</v>
      </c>
      <c r="C20" s="200">
        <f>Statement!Z26</f>
        <v>-0.73</v>
      </c>
      <c r="D20" s="201">
        <f>Statement!AA26</f>
        <v>-2.16</v>
      </c>
      <c r="F20" s="200">
        <f>Statement!W26</f>
        <v>-0.67</v>
      </c>
      <c r="G20" s="201">
        <f>Statement!AA26</f>
        <v>-2.16</v>
      </c>
    </row>
    <row r="21" spans="2:7" x14ac:dyDescent="0.2">
      <c r="B21" s="205" t="s">
        <v>315</v>
      </c>
      <c r="C21" s="238">
        <f>IF(C20=0,
IF(D20=0,0,IF(D20&gt;0,1,-1)),
(D20-C20)/ABS(C20)
)</f>
        <v>-1.9589041095890414</v>
      </c>
      <c r="D21" s="239"/>
      <c r="F21" s="238">
        <f>IF(F20=0,
IF(G20=0,0,IF(G20&gt;0,1,-1)),
(G20-F20)/ABS(F20)
)</f>
        <v>-2.2238805970149254</v>
      </c>
      <c r="G21" s="239"/>
    </row>
    <row r="23" spans="2:7" x14ac:dyDescent="0.2">
      <c r="B23" s="8" t="s">
        <v>318</v>
      </c>
      <c r="C23" s="10" t="str">
        <f>C5</f>
        <v>Q1 2026</v>
      </c>
      <c r="D23" s="202" t="str">
        <f>D5</f>
        <v>Q2 2026</v>
      </c>
      <c r="F23" s="203" t="str">
        <f>F5</f>
        <v>Q2 2025</v>
      </c>
      <c r="G23" s="202" t="str">
        <f>G5</f>
        <v>Q2 2026</v>
      </c>
    </row>
    <row r="24" spans="2:7" x14ac:dyDescent="0.2">
      <c r="B24" s="20" t="s">
        <v>356</v>
      </c>
      <c r="C24" s="199">
        <f>Statement!Z187</f>
        <v>7727</v>
      </c>
      <c r="D24" s="197">
        <f>Statement!AA187</f>
        <v>8877</v>
      </c>
      <c r="F24" s="199">
        <f>Statement!W187</f>
        <v>7871</v>
      </c>
      <c r="G24" s="197">
        <f>Statement!AA187</f>
        <v>8877</v>
      </c>
    </row>
    <row r="25" spans="2:7" x14ac:dyDescent="0.2">
      <c r="B25" s="205" t="s">
        <v>315</v>
      </c>
      <c r="C25" s="238">
        <f>IF(C24=0,
IF(D24=0,0,IF(D24&gt;0,1,-1)),
(D24-C24)/ABS(C24)
)</f>
        <v>0.14882878219231266</v>
      </c>
      <c r="D25" s="239"/>
      <c r="F25" s="238">
        <f>IF(F24=0,
IF(G24=0,0,IF(G24&gt;0,1,-1)),
(G24-F24)/ABS(F24)
)</f>
        <v>0.12781095159446068</v>
      </c>
      <c r="G25" s="239"/>
    </row>
    <row r="26" spans="2:7" x14ac:dyDescent="0.2">
      <c r="B26" s="20" t="s">
        <v>357</v>
      </c>
      <c r="C26" s="199">
        <f>Statement!Z188</f>
        <v>5052</v>
      </c>
      <c r="D26" s="197">
        <f>Statement!AA188</f>
        <v>6262</v>
      </c>
      <c r="F26" s="199">
        <f>Statement!W188</f>
        <v>3939</v>
      </c>
      <c r="G26" s="197">
        <f>Statement!AA188</f>
        <v>6262</v>
      </c>
    </row>
    <row r="27" spans="2:7" x14ac:dyDescent="0.2">
      <c r="B27" s="205" t="s">
        <v>315</v>
      </c>
      <c r="C27" s="238">
        <f>IF(C26=0,
IF(D26=0,0,IF(D26&gt;0,1,-1)),
(D26-C26)/ABS(C26)
)</f>
        <v>0.23950910530482977</v>
      </c>
      <c r="D27" s="239"/>
      <c r="F27" s="238">
        <f>IF(F26=0,
IF(G26=0,0,IF(G26&gt;0,1,-1)),
(G26-F26)/ABS(F26)
)</f>
        <v>0.58974358974358976</v>
      </c>
      <c r="G27" s="239"/>
    </row>
    <row r="28" spans="2:7" x14ac:dyDescent="0.2">
      <c r="B28" s="20" t="s">
        <v>358</v>
      </c>
      <c r="C28" s="199">
        <f>Statement!Z189</f>
        <v>12779</v>
      </c>
      <c r="D28" s="197">
        <f>Statement!AA189</f>
        <v>15139</v>
      </c>
      <c r="F28" s="199">
        <f>Statement!W189</f>
        <v>11810</v>
      </c>
      <c r="G28" s="197">
        <f>Statement!AA189</f>
        <v>15139</v>
      </c>
    </row>
    <row r="29" spans="2:7" x14ac:dyDescent="0.2">
      <c r="B29" s="205" t="s">
        <v>315</v>
      </c>
      <c r="C29" s="238">
        <f>IF(C28=0,
IF(D28=0,0,IF(D28&gt;0,1,-1)),
(D28-C28)/ABS(C28)
)</f>
        <v>0.18467798732295171</v>
      </c>
      <c r="D29" s="239"/>
      <c r="F29" s="238">
        <f>IF(F28=0,
IF(G28=0,0,IF(G28&gt;0,1,-1)),
(G28-F28)/ABS(F28)
)</f>
        <v>0.28187976291278577</v>
      </c>
      <c r="G29" s="239"/>
    </row>
    <row r="30" spans="2:7" x14ac:dyDescent="0.2">
      <c r="B30" s="20" t="s">
        <v>359</v>
      </c>
      <c r="C30" s="199">
        <f>Statement!Z190</f>
        <v>5421</v>
      </c>
      <c r="D30" s="199">
        <f>Statement!AA190</f>
        <v>5765</v>
      </c>
      <c r="F30" s="199">
        <f>Statement!W190</f>
        <v>4417</v>
      </c>
      <c r="G30" s="197">
        <f>Statement!AA190</f>
        <v>5765</v>
      </c>
    </row>
    <row r="31" spans="2:7" x14ac:dyDescent="0.2">
      <c r="B31" s="205" t="s">
        <v>315</v>
      </c>
      <c r="C31" s="238">
        <f>IF(C30=0,
IF(D30=0,0,IF(D30&gt;0,1,-1)),
(D30-C30)/ABS(C30)
)</f>
        <v>6.3456926766279287E-2</v>
      </c>
      <c r="D31" s="239"/>
      <c r="F31" s="238">
        <f>IF(F30=0,
IF(G30=0,0,IF(G30&gt;0,1,-1)),
(G30-F30)/ABS(F30)
)</f>
        <v>0.30518451437627347</v>
      </c>
      <c r="G31" s="239"/>
    </row>
    <row r="32" spans="2:7" x14ac:dyDescent="0.2">
      <c r="B32" s="20" t="s">
        <v>360</v>
      </c>
      <c r="C32" s="199">
        <f>Statement!Z191</f>
        <v>628</v>
      </c>
      <c r="D32" s="197">
        <f>Statement!AA191</f>
        <v>701</v>
      </c>
      <c r="F32" s="199">
        <f>Statement!W191</f>
        <v>1053</v>
      </c>
      <c r="G32" s="197">
        <f>Statement!AA191</f>
        <v>701</v>
      </c>
    </row>
    <row r="33" spans="2:7" x14ac:dyDescent="0.2">
      <c r="B33" s="205" t="s">
        <v>315</v>
      </c>
      <c r="C33" s="238">
        <f>IF(C32=0,
IF(D32=0,0,IF(D32&gt;0,1,-1)),
(D32-C32)/ABS(C32)
)</f>
        <v>0.11624203821656051</v>
      </c>
      <c r="D33" s="239"/>
      <c r="F33" s="238">
        <f>IF(F32=0,
IF(G32=0,0,IF(G32&gt;0,1,-1)),
(G32-F32)/ABS(F32)
)</f>
        <v>-0.33428300094966762</v>
      </c>
      <c r="G33" s="239"/>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261</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262</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0">
        <f>Statement!H101</f>
        <v>0</v>
      </c>
      <c r="D62" s="220">
        <f>Statement!I101</f>
        <v>0</v>
      </c>
      <c r="E62" s="220">
        <f>Statement!J101</f>
        <v>0</v>
      </c>
      <c r="F62" s="220">
        <f>Statement!K101</f>
        <v>0</v>
      </c>
      <c r="G62" s="220">
        <f>Statement!L101</f>
        <v>0</v>
      </c>
      <c r="H62" s="220">
        <f>Statement!M101</f>
        <v>0.5544518121077141</v>
      </c>
      <c r="I62" s="220">
        <f>Statement!N101</f>
        <v>0.42607923367272499</v>
      </c>
      <c r="J62" s="220">
        <f>Statement!O101</f>
        <v>0.40036512502766097</v>
      </c>
      <c r="K62" s="220">
        <f>Statement!P101</f>
        <v>0.32664168283083184</v>
      </c>
      <c r="L62" s="220">
        <f>Statement!Q101</f>
        <v>0.34766238434904356</v>
      </c>
    </row>
    <row r="63" spans="2:12" x14ac:dyDescent="0.2">
      <c r="B63" s="20" t="s">
        <v>77</v>
      </c>
      <c r="C63" s="220">
        <f>Statement!H102</f>
        <v>0</v>
      </c>
      <c r="D63" s="220">
        <f>Statement!I102</f>
        <v>0</v>
      </c>
      <c r="E63" s="220">
        <f>Statement!J102</f>
        <v>0</v>
      </c>
      <c r="F63" s="220">
        <f>Statement!K102</f>
        <v>0</v>
      </c>
      <c r="G63" s="220">
        <f>Statement!L102</f>
        <v>0</v>
      </c>
      <c r="H63" s="220">
        <f>Statement!M102</f>
        <v>0.24620368495646891</v>
      </c>
      <c r="I63" s="220">
        <f>Statement!N102</f>
        <v>3.7015891140926828E-2</v>
      </c>
      <c r="J63" s="220">
        <f>Statement!O102</f>
        <v>1.714981190528878E-3</v>
      </c>
      <c r="K63" s="220">
        <f>Statement!P102</f>
        <v>-0.21992052880360069</v>
      </c>
      <c r="L63" s="220">
        <f>Statement!Q102</f>
        <v>-4.1889769738709247E-2</v>
      </c>
    </row>
    <row r="64" spans="2:12" x14ac:dyDescent="0.2">
      <c r="B64" s="20" t="s">
        <v>78</v>
      </c>
      <c r="C64" s="220">
        <f>Statement!H103</f>
        <v>0</v>
      </c>
      <c r="D64" s="220">
        <f>Statement!I103</f>
        <v>0</v>
      </c>
      <c r="E64" s="220">
        <f>Statement!J103</f>
        <v>0</v>
      </c>
      <c r="F64" s="220">
        <f>Statement!K103</f>
        <v>0</v>
      </c>
      <c r="G64" s="220">
        <f>Statement!L103</f>
        <v>0</v>
      </c>
      <c r="H64" s="220">
        <f>Statement!M103</f>
        <v>0.25141729094958493</v>
      </c>
      <c r="I64" s="220">
        <f>Statement!N103</f>
        <v>0.12714498683667966</v>
      </c>
      <c r="J64" s="220">
        <f>Statement!O103</f>
        <v>3.088810208748248E-2</v>
      </c>
      <c r="K64" s="220">
        <f>Statement!P103</f>
        <v>-0.3621965688028474</v>
      </c>
      <c r="L64" s="220">
        <f>Statement!Q103</f>
        <v>4.9193044860272833E-4</v>
      </c>
    </row>
    <row r="65" spans="2:12" x14ac:dyDescent="0.2">
      <c r="B65" s="20" t="s">
        <v>358</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359</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360</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1">
        <f>Statement!H123</f>
        <v>0</v>
      </c>
      <c r="D68" s="221">
        <f>Statement!I123</f>
        <v>0</v>
      </c>
      <c r="E68" s="221">
        <f>Statement!J123</f>
        <v>0</v>
      </c>
      <c r="F68" s="221">
        <f>Statement!K123</f>
        <v>0</v>
      </c>
      <c r="G68" s="221">
        <f>Statement!L123</f>
        <v>0</v>
      </c>
      <c r="H68" s="221">
        <f>Statement!M123</f>
        <v>0.11797679417597948</v>
      </c>
      <c r="I68" s="221">
        <f>Statement!N123</f>
        <v>4.4024535565037361E-2</v>
      </c>
      <c r="J68" s="221">
        <f>Statement!O123</f>
        <v>8.7434489382581995E-3</v>
      </c>
      <c r="K68" s="221">
        <f>Statement!P123</f>
        <v>-9.7885334758378503E-2</v>
      </c>
      <c r="L68" s="221">
        <f>Statement!Q123</f>
        <v>1.2297272370393844E-4</v>
      </c>
    </row>
    <row r="69" spans="2:12" x14ac:dyDescent="0.2">
      <c r="B69" s="20" t="s">
        <v>99</v>
      </c>
      <c r="C69" s="221">
        <f>Statement!H125</f>
        <v>0</v>
      </c>
      <c r="D69" s="221">
        <f>Statement!I125</f>
        <v>0</v>
      </c>
      <c r="E69" s="221">
        <f>Statement!J125</f>
        <v>0</v>
      </c>
      <c r="F69" s="221">
        <f>Statement!K125</f>
        <v>0</v>
      </c>
      <c r="G69" s="221">
        <f>Statement!L125</f>
        <v>0</v>
      </c>
      <c r="H69" s="221">
        <f>Statement!M125</f>
        <v>0.20827960709081569</v>
      </c>
      <c r="I69" s="221">
        <f>Statement!N125</f>
        <v>7.904518698914445E-2</v>
      </c>
      <c r="J69" s="221">
        <f>Statement!O125</f>
        <v>1.5863244625438012E-2</v>
      </c>
      <c r="K69" s="221">
        <f>Statement!P125</f>
        <v>-0.19374433363553945</v>
      </c>
      <c r="L69" s="221">
        <f>Statement!Q125</f>
        <v>2.2750938476212145E-4</v>
      </c>
    </row>
    <row r="70" spans="2:12" x14ac:dyDescent="0.2">
      <c r="B70" s="20" t="s">
        <v>100</v>
      </c>
      <c r="C70" s="221">
        <f>Statement!H140</f>
        <v>0</v>
      </c>
      <c r="D70" s="221">
        <f>Statement!I140</f>
        <v>0</v>
      </c>
      <c r="E70" s="221">
        <f>Statement!J140</f>
        <v>0</v>
      </c>
      <c r="F70" s="221">
        <f>Statement!K140</f>
        <v>0</v>
      </c>
      <c r="G70" s="221">
        <f>Statement!L140</f>
        <v>0</v>
      </c>
      <c r="H70" s="221">
        <f>Statement!M140</f>
        <v>0.18030780236190902</v>
      </c>
      <c r="I70" s="221">
        <f>Statement!N140</f>
        <v>2.1010559291366228E-2</v>
      </c>
      <c r="J70" s="221">
        <f>Statement!O140</f>
        <v>7.2447962108936807E-4</v>
      </c>
      <c r="K70" s="221">
        <f>Statement!P140</f>
        <v>-9.1521810686687882E-2</v>
      </c>
      <c r="L70" s="221">
        <f>Statement!Q140</f>
        <v>-1.7430737617799192E-2</v>
      </c>
    </row>
    <row r="71" spans="2:12" x14ac:dyDescent="0.2">
      <c r="B71" s="20" t="s">
        <v>391</v>
      </c>
      <c r="C71" s="228">
        <f>Statement!H213</f>
        <v>0</v>
      </c>
      <c r="D71" s="228">
        <f>Statement!I213</f>
        <v>0</v>
      </c>
      <c r="E71" s="228">
        <f>Statement!J213</f>
        <v>0</v>
      </c>
      <c r="F71" s="228">
        <f>Statement!K213</f>
        <v>0</v>
      </c>
      <c r="G71" s="228">
        <f>Statement!L213</f>
        <v>0</v>
      </c>
      <c r="H71" s="228">
        <f>Statement!M213</f>
        <v>100</v>
      </c>
      <c r="I71" s="228">
        <f>Statement!N213</f>
        <v>51.510426817384527</v>
      </c>
      <c r="J71" s="228">
        <f>Statement!O213</f>
        <v>97.934125901383737</v>
      </c>
      <c r="K71" s="228">
        <f>Statement!P213</f>
        <v>39.563437926330145</v>
      </c>
      <c r="L71" s="228">
        <f>Statement!Q213</f>
        <v>70.551549405573965</v>
      </c>
    </row>
    <row r="72" spans="2:12" x14ac:dyDescent="0.2">
      <c r="B72" s="20" t="s">
        <v>392</v>
      </c>
      <c r="C72" s="228">
        <f>Statement!H214</f>
        <v>0</v>
      </c>
      <c r="D72" s="228">
        <f>Statement!I214</f>
        <v>0</v>
      </c>
      <c r="E72" s="228">
        <f>Statement!J214</f>
        <v>0</v>
      </c>
      <c r="F72" s="228">
        <f>Statement!K214</f>
        <v>0</v>
      </c>
      <c r="G72" s="228">
        <f>Statement!L214</f>
        <v>0</v>
      </c>
      <c r="H72" s="228">
        <f>Statement!M214</f>
        <v>100</v>
      </c>
      <c r="I72" s="228">
        <f>Statement!N214</f>
        <v>79.790949584936214</v>
      </c>
      <c r="J72" s="228">
        <f>Statement!O214</f>
        <v>68.6221907268678</v>
      </c>
      <c r="K72" s="228">
        <f>Statement!P214</f>
        <v>67.196041708847943</v>
      </c>
      <c r="L72" s="228">
        <f>Statement!Q214</f>
        <v>66.882212998582702</v>
      </c>
    </row>
    <row r="73" spans="2:12" x14ac:dyDescent="0.2">
      <c r="B73" s="20" t="s">
        <v>393</v>
      </c>
      <c r="C73" s="228">
        <f>Statement!H215</f>
        <v>0</v>
      </c>
      <c r="D73" s="228">
        <f>Statement!I215</f>
        <v>0</v>
      </c>
      <c r="E73" s="228">
        <f>Statement!J215</f>
        <v>0</v>
      </c>
      <c r="F73" s="228">
        <f>Statement!K215</f>
        <v>0</v>
      </c>
      <c r="G73" s="228">
        <f>Statement!L215</f>
        <v>0</v>
      </c>
      <c r="H73" s="228">
        <f>Statement!M215</f>
        <v>100</v>
      </c>
      <c r="I73" s="228">
        <f>Statement!N215</f>
        <v>39.917695473251023</v>
      </c>
      <c r="J73" s="228">
        <f>Statement!O215</f>
        <v>8.2304526748971263</v>
      </c>
      <c r="K73" s="228">
        <f>Statement!P215</f>
        <v>-90.123456790123456</v>
      </c>
      <c r="L73" s="228">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20">
        <f>Statement!T101</f>
        <v>0.15033122553447756</v>
      </c>
      <c r="D60" s="220">
        <f>Statement!U101</f>
        <v>0.39158485273492288</v>
      </c>
      <c r="E60" s="220">
        <f>Statement!V101</f>
        <v>0.36883239914739085</v>
      </c>
      <c r="F60" s="220">
        <f>Statement!W101</f>
        <v>0.27544910179640719</v>
      </c>
      <c r="G60" s="220">
        <f>Statement!X101</f>
        <v>0.38218706511389439</v>
      </c>
      <c r="H60" s="220">
        <f>Statement!Y101</f>
        <v>0.36148895714494661</v>
      </c>
      <c r="I60" s="220">
        <f>Statement!Z101</f>
        <v>0.39382779700964865</v>
      </c>
      <c r="J60" s="220">
        <f>Statement!AA101</f>
        <v>0.40358382936507936</v>
      </c>
    </row>
    <row r="61" spans="2:10" x14ac:dyDescent="0.2">
      <c r="B61" s="20" t="s">
        <v>77</v>
      </c>
      <c r="C61" s="220">
        <f>Statement!T102</f>
        <v>-0.68179765130984649</v>
      </c>
      <c r="D61" s="220">
        <f>Statement!U102</f>
        <v>2.8892005610098175E-2</v>
      </c>
      <c r="E61" s="220">
        <f>Statement!V102</f>
        <v>-2.3762532564932503E-2</v>
      </c>
      <c r="F61" s="220">
        <f>Statement!W102</f>
        <v>-0.246986546387744</v>
      </c>
      <c r="G61" s="220">
        <f>Statement!X102</f>
        <v>5.0025635391489048E-2</v>
      </c>
      <c r="H61" s="220">
        <f>Statement!Y102</f>
        <v>4.2416264443469361E-2</v>
      </c>
      <c r="I61" s="220">
        <f>Statement!Z102</f>
        <v>-0.23097886130956766</v>
      </c>
      <c r="J61" s="220">
        <f>Statement!AA102</f>
        <v>0.11135912698412699</v>
      </c>
    </row>
    <row r="62" spans="2:10" x14ac:dyDescent="0.2">
      <c r="B62" s="20" t="s">
        <v>78</v>
      </c>
      <c r="C62" s="220">
        <f>Statement!T103</f>
        <v>-1.278906955736224</v>
      </c>
      <c r="D62" s="220">
        <f>Statement!U103</f>
        <v>-1.0729312762973352E-2</v>
      </c>
      <c r="E62" s="220">
        <f>Statement!V103</f>
        <v>-7.0024473040183152E-2</v>
      </c>
      <c r="F62" s="220">
        <f>Statement!W103</f>
        <v>-0.23516603157321719</v>
      </c>
      <c r="G62" s="220">
        <f>Statement!X103</f>
        <v>0.31275177616641031</v>
      </c>
      <c r="H62" s="220">
        <f>Statement!Y103</f>
        <v>-2.4352786309784994E-2</v>
      </c>
      <c r="I62" s="220">
        <f>Statement!Z103</f>
        <v>-0.31531266111806733</v>
      </c>
      <c r="J62" s="220">
        <f>Statement!AA103</f>
        <v>-0.67261904761904767</v>
      </c>
    </row>
    <row r="63" spans="2:10" x14ac:dyDescent="0.2">
      <c r="B63" s="20" t="s">
        <v>358</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359</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360</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261</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7" t="s">
        <v>108</v>
      </c>
      <c r="D2" s="237"/>
      <c r="E2" s="237"/>
      <c r="F2" s="237"/>
      <c r="G2" s="246"/>
      <c r="H2" s="247" t="s">
        <v>109</v>
      </c>
      <c r="I2" s="237"/>
      <c r="J2" s="237"/>
      <c r="K2" s="237"/>
      <c r="L2" s="237"/>
      <c r="O2" s="5"/>
      <c r="S2" s="237" t="s">
        <v>108</v>
      </c>
      <c r="T2" s="237"/>
      <c r="U2" s="237"/>
      <c r="V2" s="237"/>
      <c r="W2" s="237"/>
      <c r="X2" s="237"/>
      <c r="Y2" s="237"/>
      <c r="Z2" s="237"/>
      <c r="AA2" s="237" t="s">
        <v>109</v>
      </c>
      <c r="AB2" s="237"/>
      <c r="AC2" s="237"/>
      <c r="AE2" s="84" t="s">
        <v>110</v>
      </c>
    </row>
    <row r="3" spans="1:31" ht="10" customHeight="1" x14ac:dyDescent="0.2">
      <c r="O3" s="5"/>
    </row>
    <row r="4" spans="1:31" ht="16" customHeight="1" x14ac:dyDescent="0.2">
      <c r="A4" s="85"/>
      <c r="B4" s="59"/>
      <c r="C4" s="243" t="s">
        <v>111</v>
      </c>
      <c r="D4" s="243"/>
      <c r="E4" s="243"/>
      <c r="F4" s="243"/>
      <c r="G4" s="243"/>
      <c r="H4" s="243"/>
      <c r="I4" s="243"/>
      <c r="J4" s="243"/>
      <c r="K4" s="243"/>
      <c r="L4" s="243"/>
      <c r="O4" s="5"/>
      <c r="S4" s="244" t="s">
        <v>111</v>
      </c>
      <c r="T4" s="245"/>
      <c r="U4" s="245"/>
      <c r="V4" s="245"/>
      <c r="W4" s="245"/>
      <c r="X4" s="245"/>
      <c r="Y4" s="245"/>
      <c r="Z4" s="245"/>
      <c r="AA4" s="245"/>
      <c r="AB4" s="245"/>
      <c r="AC4" s="245"/>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372</v>
      </c>
      <c r="O6" s="5"/>
      <c r="Q6" s="89" t="s">
        <v>372</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373</v>
      </c>
      <c r="O7" s="5"/>
      <c r="Q7" s="89" t="s">
        <v>373</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417</v>
      </c>
      <c r="O8" s="5"/>
      <c r="Q8" s="89" t="s">
        <v>417</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374</v>
      </c>
      <c r="O9" s="5"/>
      <c r="Q9" s="89" t="s">
        <v>374</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375</v>
      </c>
      <c r="O10" s="5"/>
      <c r="Q10" s="89" t="s">
        <v>375</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376</v>
      </c>
      <c r="O11" s="5"/>
      <c r="Q11" s="1" t="s">
        <v>376</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3" t="s">
        <v>117</v>
      </c>
      <c r="D13" s="243"/>
      <c r="E13" s="243"/>
      <c r="F13" s="243"/>
      <c r="G13" s="243"/>
      <c r="H13" s="243"/>
      <c r="I13" s="243"/>
      <c r="J13" s="243"/>
      <c r="K13" s="243"/>
      <c r="L13" s="243"/>
      <c r="O13" s="5"/>
      <c r="Q13" s="90"/>
      <c r="S13" s="244" t="s">
        <v>117</v>
      </c>
      <c r="T13" s="245"/>
      <c r="U13" s="245"/>
      <c r="V13" s="245"/>
      <c r="W13" s="245"/>
      <c r="X13" s="245"/>
      <c r="Y13" s="245"/>
      <c r="Z13" s="245"/>
      <c r="AA13" s="245"/>
      <c r="AB13" s="245"/>
      <c r="AC13" s="245"/>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7" t="s">
        <v>108</v>
      </c>
      <c r="D2" s="237"/>
      <c r="E2" s="237"/>
      <c r="F2" s="237"/>
      <c r="G2" s="246"/>
      <c r="H2" s="247" t="s">
        <v>109</v>
      </c>
      <c r="I2" s="237"/>
      <c r="J2" s="237"/>
      <c r="K2" s="237"/>
      <c r="L2" s="237"/>
      <c r="P2" s="237" t="s">
        <v>108</v>
      </c>
      <c r="Q2" s="237"/>
      <c r="R2" s="237"/>
      <c r="S2" s="237"/>
      <c r="T2" s="237"/>
      <c r="U2" s="237"/>
      <c r="V2" s="237"/>
      <c r="W2" s="237"/>
      <c r="X2" s="237" t="s">
        <v>109</v>
      </c>
      <c r="Y2" s="237"/>
      <c r="Z2" s="237"/>
      <c r="AB2" s="84" t="s">
        <v>110</v>
      </c>
    </row>
    <row r="3" spans="1:28" ht="10" customHeight="1" x14ac:dyDescent="0.2"/>
    <row r="4" spans="1:28" ht="16" customHeight="1" x14ac:dyDescent="0.2">
      <c r="A4" s="85"/>
      <c r="B4" s="59"/>
      <c r="C4" s="243" t="s">
        <v>111</v>
      </c>
      <c r="D4" s="243"/>
      <c r="E4" s="243"/>
      <c r="F4" s="243"/>
      <c r="G4" s="243"/>
      <c r="H4" s="243"/>
      <c r="I4" s="243"/>
      <c r="J4" s="243"/>
      <c r="K4" s="243"/>
      <c r="L4" s="243"/>
      <c r="P4" s="245" t="s">
        <v>111</v>
      </c>
      <c r="Q4" s="245"/>
      <c r="R4" s="245"/>
      <c r="S4" s="245"/>
      <c r="T4" s="245"/>
      <c r="U4" s="245"/>
      <c r="V4" s="245"/>
      <c r="W4" s="245"/>
      <c r="X4" s="245"/>
      <c r="Y4" s="245"/>
      <c r="Z4" s="245"/>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3" t="s">
        <v>120</v>
      </c>
      <c r="D9" s="243"/>
      <c r="E9" s="243"/>
      <c r="F9" s="243"/>
      <c r="G9" s="243"/>
      <c r="H9" s="243"/>
      <c r="I9" s="243"/>
      <c r="J9" s="243"/>
      <c r="K9" s="243"/>
      <c r="L9" s="243"/>
      <c r="N9" s="90"/>
      <c r="P9" s="245" t="s">
        <v>121</v>
      </c>
      <c r="Q9" s="245"/>
      <c r="R9" s="245"/>
      <c r="S9" s="245"/>
      <c r="T9" s="245"/>
      <c r="U9" s="245"/>
      <c r="V9" s="245"/>
      <c r="W9" s="245"/>
      <c r="X9" s="245"/>
      <c r="Y9" s="245"/>
      <c r="Z9" s="245"/>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3" t="s">
        <v>123</v>
      </c>
      <c r="D18" s="243"/>
      <c r="E18" s="243"/>
      <c r="F18" s="243"/>
      <c r="G18" s="243"/>
      <c r="H18" s="243"/>
      <c r="I18" s="243"/>
      <c r="J18" s="243"/>
      <c r="K18" s="243"/>
      <c r="L18" s="243"/>
      <c r="P18" s="245" t="s">
        <v>123</v>
      </c>
      <c r="Q18" s="245"/>
      <c r="R18" s="245"/>
      <c r="S18" s="245"/>
      <c r="T18" s="245"/>
      <c r="U18" s="245"/>
      <c r="V18" s="245"/>
      <c r="W18" s="245"/>
      <c r="X18" s="245"/>
      <c r="Y18" s="245"/>
      <c r="Z18" s="245"/>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7" t="s">
        <v>108</v>
      </c>
      <c r="D3" s="237"/>
      <c r="E3" s="237"/>
      <c r="F3" s="237"/>
      <c r="G3" s="246"/>
      <c r="H3" s="247" t="s">
        <v>109</v>
      </c>
      <c r="I3" s="237"/>
      <c r="J3" s="237"/>
      <c r="K3" s="237"/>
      <c r="L3" s="237"/>
      <c r="P3" s="248"/>
      <c r="Q3" s="248"/>
      <c r="R3" s="248"/>
      <c r="S3" s="248"/>
      <c r="T3" s="248"/>
      <c r="U3" s="248"/>
      <c r="V3" s="248"/>
      <c r="W3" s="248"/>
      <c r="X3" s="248"/>
      <c r="Y3" s="248"/>
      <c r="Z3" s="248"/>
      <c r="AB3" s="108"/>
    </row>
    <row r="4" spans="1:28" ht="10" customHeight="1" x14ac:dyDescent="0.2"/>
    <row r="5" spans="1:28" ht="16" customHeight="1" x14ac:dyDescent="0.2">
      <c r="A5" s="85"/>
      <c r="B5" s="59"/>
      <c r="C5" s="243" t="s">
        <v>111</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3" t="s">
        <v>127</v>
      </c>
      <c r="D11" s="243"/>
      <c r="E11" s="243"/>
      <c r="F11" s="243"/>
      <c r="G11" s="243"/>
      <c r="H11" s="243"/>
      <c r="I11" s="243"/>
      <c r="J11" s="243"/>
      <c r="K11" s="243"/>
      <c r="L11" s="243"/>
      <c r="N11" s="90"/>
      <c r="P11" s="248"/>
      <c r="Q11" s="248"/>
      <c r="R11" s="248"/>
      <c r="S11" s="248"/>
      <c r="T11" s="248"/>
      <c r="U11" s="248"/>
      <c r="V11" s="248"/>
      <c r="W11" s="248"/>
      <c r="X11" s="248"/>
      <c r="Y11" s="248"/>
      <c r="Z11" s="248"/>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3" t="s">
        <v>132</v>
      </c>
      <c r="D18" s="243"/>
      <c r="E18" s="243"/>
      <c r="F18" s="243"/>
      <c r="G18" s="243"/>
      <c r="H18" s="243"/>
      <c r="I18" s="243"/>
      <c r="J18" s="243"/>
      <c r="K18" s="243"/>
      <c r="L18" s="243"/>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8"/>
      <c r="C25" s="248"/>
    </row>
    <row r="26" spans="2:12" x14ac:dyDescent="0.2">
      <c r="B26" s="108"/>
      <c r="C26" s="243" t="s">
        <v>138</v>
      </c>
      <c r="D26" s="243"/>
      <c r="E26" s="243"/>
      <c r="F26" s="243"/>
      <c r="G26" s="243"/>
      <c r="H26" s="243"/>
      <c r="I26" s="243"/>
      <c r="J26" s="243"/>
      <c r="K26" s="243"/>
      <c r="L26" s="243"/>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3" t="s">
        <v>142</v>
      </c>
      <c r="D33" s="243"/>
      <c r="E33" s="243"/>
      <c r="F33" s="243"/>
      <c r="G33" s="243"/>
      <c r="H33" s="243"/>
      <c r="I33" s="243"/>
      <c r="J33" s="243"/>
      <c r="K33" s="243"/>
      <c r="L33" s="243"/>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3" t="s">
        <v>145</v>
      </c>
      <c r="D40" s="243"/>
      <c r="E40" s="243"/>
      <c r="F40" s="243"/>
      <c r="G40" s="243"/>
      <c r="H40" s="243"/>
      <c r="I40" s="243"/>
      <c r="J40" s="243"/>
      <c r="K40" s="243"/>
      <c r="L40" s="243"/>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0"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7" t="s">
        <v>108</v>
      </c>
      <c r="D2" s="237"/>
      <c r="E2" s="237"/>
      <c r="F2" s="237"/>
      <c r="G2" s="246"/>
      <c r="H2" s="247" t="s">
        <v>109</v>
      </c>
      <c r="I2" s="237"/>
      <c r="J2" s="237"/>
      <c r="K2" s="237"/>
      <c r="L2" s="237"/>
      <c r="S2" s="248"/>
      <c r="T2" s="248"/>
      <c r="U2" s="248"/>
      <c r="V2" s="248"/>
      <c r="W2" s="248"/>
      <c r="X2" s="248"/>
      <c r="Y2" s="248"/>
      <c r="Z2" s="248"/>
      <c r="AA2" s="248"/>
      <c r="AB2" s="248"/>
      <c r="AC2" s="248"/>
      <c r="AE2" s="108"/>
    </row>
    <row r="3" spans="1:31" ht="10" customHeight="1" x14ac:dyDescent="0.2"/>
    <row r="4" spans="1:31" ht="16" customHeight="1" x14ac:dyDescent="0.2">
      <c r="A4" s="85"/>
      <c r="B4" s="59"/>
      <c r="C4" s="243" t="s">
        <v>18</v>
      </c>
      <c r="D4" s="243"/>
      <c r="E4" s="243"/>
      <c r="F4" s="243"/>
      <c r="G4" s="243"/>
      <c r="H4" s="243"/>
      <c r="I4" s="243"/>
      <c r="J4" s="243"/>
      <c r="K4" s="243"/>
      <c r="L4" s="243"/>
      <c r="S4" s="248"/>
      <c r="T4" s="248"/>
      <c r="U4" s="248"/>
      <c r="V4" s="248"/>
      <c r="W4" s="248"/>
      <c r="X4" s="248"/>
      <c r="Y4" s="248"/>
      <c r="Z4" s="248"/>
      <c r="AA4" s="248"/>
      <c r="AB4" s="248"/>
      <c r="AC4" s="248"/>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3" t="s">
        <v>153</v>
      </c>
      <c r="D13" s="243"/>
      <c r="E13" s="243"/>
      <c r="F13" s="243"/>
      <c r="G13" s="243"/>
      <c r="H13" s="243"/>
      <c r="I13" s="243"/>
      <c r="J13" s="243"/>
      <c r="K13" s="243"/>
      <c r="L13" s="24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3" t="s">
        <v>154</v>
      </c>
      <c r="D18" s="243"/>
      <c r="E18" s="243"/>
      <c r="F18" s="243"/>
      <c r="G18" s="243"/>
      <c r="H18" s="243"/>
      <c r="I18" s="243"/>
      <c r="J18" s="243"/>
      <c r="K18" s="243"/>
      <c r="L18" s="243"/>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3" t="s">
        <v>262</v>
      </c>
      <c r="D25" s="243"/>
      <c r="E25" s="243"/>
      <c r="F25" s="243"/>
      <c r="G25" s="243"/>
      <c r="H25" s="243"/>
      <c r="I25" s="243"/>
      <c r="J25" s="243"/>
      <c r="K25" s="243"/>
      <c r="L25" s="243"/>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262</v>
      </c>
      <c r="C28" s="93">
        <f>C27+C20-C21+C22</f>
        <v>8752.0149748882686</v>
      </c>
      <c r="D28" s="93">
        <f t="shared" ref="D28:L28" si="7">D27+D20-D21+D22</f>
        <v>-13983</v>
      </c>
      <c r="E28" s="93">
        <f t="shared" si="7"/>
        <v>-16624</v>
      </c>
      <c r="F28" s="93">
        <f t="shared" si="7"/>
        <v>-23140</v>
      </c>
      <c r="G28" s="126">
        <f t="shared" si="7"/>
        <v>-9078.0289017341056</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3" t="s">
        <v>75</v>
      </c>
      <c r="D31" s="243"/>
      <c r="E31" s="243"/>
      <c r="F31" s="243"/>
      <c r="G31" s="243"/>
      <c r="H31" s="243"/>
      <c r="I31" s="243"/>
      <c r="J31" s="243"/>
      <c r="K31" s="243"/>
      <c r="L31" s="243"/>
    </row>
    <row r="32" spans="2:14" x14ac:dyDescent="0.2">
      <c r="B32" s="16" t="s">
        <v>379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8">
        <f>H8/H6</f>
        <v>0.36</v>
      </c>
      <c r="I33" s="218">
        <f t="shared" ref="I33:L33" si="9">I8/I6</f>
        <v>0.38000000000000006</v>
      </c>
      <c r="J33" s="218">
        <f t="shared" si="9"/>
        <v>0.40000000000000008</v>
      </c>
      <c r="K33" s="218">
        <f t="shared" si="9"/>
        <v>0.4</v>
      </c>
      <c r="L33" s="218">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8">
        <f>H10/H6</f>
        <v>0</v>
      </c>
      <c r="I34" s="218">
        <f t="shared" ref="I34:L34" si="10">I10/I6</f>
        <v>3.0000000000000013E-2</v>
      </c>
      <c r="J34" s="218">
        <f t="shared" si="10"/>
        <v>7.0000000000000034E-2</v>
      </c>
      <c r="K34" s="218">
        <f t="shared" si="10"/>
        <v>0.08</v>
      </c>
      <c r="L34" s="218">
        <f t="shared" si="10"/>
        <v>0.13000000000000006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7" t="s">
        <v>161</v>
      </c>
      <c r="C4" s="237"/>
    </row>
    <row r="5" spans="1:3" ht="17" customHeight="1" x14ac:dyDescent="0.2">
      <c r="B5" s="1" t="s">
        <v>162</v>
      </c>
      <c r="C5" s="135">
        <f>Statement!AC78</f>
        <v>5044</v>
      </c>
    </row>
    <row r="6" spans="1:3" ht="17" customHeight="1" x14ac:dyDescent="0.2">
      <c r="B6" s="1" t="s">
        <v>1</v>
      </c>
      <c r="C6" s="132">
        <f ca="1">Overview!C5</f>
        <v>95.8</v>
      </c>
    </row>
    <row r="7" spans="1:3" ht="17" customHeight="1" x14ac:dyDescent="0.2">
      <c r="B7" s="1" t="s">
        <v>163</v>
      </c>
      <c r="C7" s="133">
        <f ca="1">C5*C6</f>
        <v>483215.2</v>
      </c>
    </row>
    <row r="8" spans="1:3" ht="17" customHeight="1" x14ac:dyDescent="0.2">
      <c r="B8" s="1" t="s">
        <v>164</v>
      </c>
      <c r="C8" s="111">
        <f>Statement!AC108</f>
        <v>50537</v>
      </c>
    </row>
    <row r="9" spans="1:3" ht="17" customHeight="1" x14ac:dyDescent="0.2">
      <c r="B9" s="1" t="s">
        <v>165</v>
      </c>
      <c r="C9" s="134">
        <f ca="1">Overview!F27</f>
        <v>4.7619999999999996E-2</v>
      </c>
    </row>
    <row r="10" spans="1:3" ht="17" customHeight="1" x14ac:dyDescent="0.2">
      <c r="B10" s="1" t="s">
        <v>9</v>
      </c>
      <c r="C10" s="132">
        <f ca="1">Overview!C13</f>
        <v>2.2740999999999998</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7" t="s">
        <v>168</v>
      </c>
      <c r="C15" s="237"/>
    </row>
    <row r="16" spans="1:3" ht="17" customHeight="1" x14ac:dyDescent="0.2">
      <c r="B16" s="1" t="s">
        <v>169</v>
      </c>
      <c r="C16" s="46">
        <f ca="1">C8/(C8+C7)</f>
        <v>9.4682513720786551E-2</v>
      </c>
    </row>
    <row r="17" spans="2:3" ht="17" customHeight="1" x14ac:dyDescent="0.2">
      <c r="B17" s="1" t="s">
        <v>170</v>
      </c>
      <c r="C17" s="46">
        <f ca="1">C7/(C8+C7)</f>
        <v>0.9053174862792136</v>
      </c>
    </row>
    <row r="18" spans="2:3" ht="17" customHeight="1" x14ac:dyDescent="0.2">
      <c r="B18" s="1" t="s">
        <v>171</v>
      </c>
      <c r="C18" s="46">
        <f>C13*(1-C12)</f>
        <v>4.4240000000000002E-2</v>
      </c>
    </row>
    <row r="19" spans="2:3" ht="17" customHeight="1" x14ac:dyDescent="0.2">
      <c r="B19" s="1" t="s">
        <v>172</v>
      </c>
      <c r="C19" s="46">
        <f ca="1">C9+C10*C11</f>
        <v>0.14995449999999999</v>
      </c>
    </row>
    <row r="20" spans="2:3" ht="17" customHeight="1" x14ac:dyDescent="0.2">
      <c r="B20" s="1" t="s">
        <v>160</v>
      </c>
      <c r="C20" s="46">
        <f ca="1">(C17*C19)+(C16*C18)</f>
        <v>0.13994518540326395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C15" sqref="C1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7" t="s">
        <v>108</v>
      </c>
      <c r="D3" s="237"/>
      <c r="E3" s="237"/>
      <c r="F3" s="237"/>
      <c r="G3" s="246"/>
      <c r="H3" s="247" t="s">
        <v>109</v>
      </c>
      <c r="I3" s="237"/>
      <c r="J3" s="237"/>
      <c r="K3" s="237"/>
      <c r="L3" s="237"/>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-30707.755962473158</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H7/(1+$C$15)^H9</f>
        <v>-8116.8234101099024</v>
      </c>
      <c r="I10" s="125">
        <f t="shared" ref="I10:L10" ca="1" si="0">I7/(1+$C$15)^I9</f>
        <v>-5750.7453093893491</v>
      </c>
      <c r="J10" s="125">
        <f t="shared" ca="1" si="0"/>
        <v>-4230.7878493503404</v>
      </c>
      <c r="K10" s="125">
        <f t="shared" ca="1" si="0"/>
        <v>-4054.9292659967323</v>
      </c>
      <c r="L10" s="125">
        <f t="shared" ca="1" si="0"/>
        <v>-1875.9051927323635</v>
      </c>
      <c r="N10" s="90"/>
    </row>
    <row r="11" spans="1:28" x14ac:dyDescent="0.2">
      <c r="B11" s="1" t="s">
        <v>178</v>
      </c>
      <c r="C11" s="136"/>
      <c r="D11" s="136"/>
      <c r="E11" s="136"/>
      <c r="F11" s="136"/>
      <c r="G11" s="137"/>
      <c r="H11" s="136"/>
      <c r="I11" s="136"/>
      <c r="J11" s="136"/>
      <c r="K11" s="136"/>
      <c r="L11" s="125">
        <f ca="1">L8/(1+C15)^L9</f>
        <v>-15952.481045020277</v>
      </c>
    </row>
    <row r="13" spans="1:28" x14ac:dyDescent="0.2">
      <c r="B13" s="237" t="s">
        <v>179</v>
      </c>
      <c r="C13" s="237"/>
    </row>
    <row r="14" spans="1:28" x14ac:dyDescent="0.2">
      <c r="B14" s="1" t="s">
        <v>180</v>
      </c>
      <c r="C14" s="139">
        <v>0.02</v>
      </c>
    </row>
    <row r="15" spans="1:28" x14ac:dyDescent="0.2">
      <c r="B15" s="1" t="s">
        <v>160</v>
      </c>
      <c r="C15" s="134">
        <f ca="1">IF(Overview!C28&gt;0,Overview!C28,WACC!C20)</f>
        <v>0.13994518540326395</v>
      </c>
    </row>
    <row r="18" spans="2:3" x14ac:dyDescent="0.2">
      <c r="B18" s="237" t="s">
        <v>181</v>
      </c>
      <c r="C18" s="237"/>
    </row>
    <row r="19" spans="2:3" x14ac:dyDescent="0.2">
      <c r="B19" s="1" t="s">
        <v>182</v>
      </c>
      <c r="C19" s="63">
        <f ca="1">SUM(H10:L10)</f>
        <v>-24029.191027578687</v>
      </c>
    </row>
    <row r="20" spans="2:3" x14ac:dyDescent="0.2">
      <c r="B20" s="1" t="s">
        <v>178</v>
      </c>
      <c r="C20" s="63">
        <f ca="1">L11</f>
        <v>-15952.481045020277</v>
      </c>
    </row>
    <row r="21" spans="2:3" x14ac:dyDescent="0.2">
      <c r="B21" s="16" t="s">
        <v>183</v>
      </c>
      <c r="C21" s="93">
        <f ca="1">C19+C20</f>
        <v>-39981.672072598965</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-52381.672072598965</v>
      </c>
    </row>
    <row r="25" spans="2:3" x14ac:dyDescent="0.2">
      <c r="B25" s="1" t="s">
        <v>67</v>
      </c>
      <c r="C25" s="87">
        <f>Statement!AC78</f>
        <v>5044</v>
      </c>
    </row>
    <row r="26" spans="2:3" x14ac:dyDescent="0.2">
      <c r="B26" s="140" t="s">
        <v>187</v>
      </c>
      <c r="C26" s="141">
        <f ca="1">C24/C25</f>
        <v>-10.384946881958557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7" t="s">
        <v>108</v>
      </c>
      <c r="D2" s="237"/>
      <c r="E2" s="237"/>
      <c r="F2" s="237"/>
      <c r="G2" s="246"/>
      <c r="H2" s="247" t="s">
        <v>109</v>
      </c>
      <c r="I2" s="237"/>
      <c r="J2" s="237"/>
      <c r="K2" s="237"/>
      <c r="L2" s="237"/>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262</v>
      </c>
      <c r="C8" s="91">
        <f>'FCF &amp; Other'!C28</f>
        <v>8752.0149748882686</v>
      </c>
      <c r="D8" s="91">
        <f>'FCF &amp; Other'!D28</f>
        <v>-13983</v>
      </c>
      <c r="E8" s="91">
        <f>'FCF &amp; Other'!E28</f>
        <v>-16624</v>
      </c>
      <c r="F8" s="91">
        <f>'FCF &amp; Other'!F28</f>
        <v>-23140</v>
      </c>
      <c r="G8" s="92">
        <f>'FCF &amp; Other'!G28</f>
        <v>-9078.0289017341056</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N9" s="90"/>
    </row>
    <row r="10" spans="1:14" x14ac:dyDescent="0.2">
      <c r="C10" s="243" t="s">
        <v>117</v>
      </c>
      <c r="D10" s="243"/>
      <c r="E10" s="243"/>
      <c r="F10" s="243"/>
      <c r="G10" s="243"/>
      <c r="H10" s="243"/>
      <c r="I10" s="243"/>
      <c r="J10" s="243"/>
      <c r="K10" s="243"/>
      <c r="L10" s="243"/>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6"/>
      <c r="D12" s="94">
        <f>(D6-C6)/C6</f>
        <v>-0.20209050415063778</v>
      </c>
      <c r="E12" s="94">
        <f t="shared" ref="E12:L12" si="1">(E6-D6)/D6</f>
        <v>-0.13997525930155105</v>
      </c>
      <c r="F12" s="94">
        <f t="shared" si="1"/>
        <v>-2.0782621523935976E-2</v>
      </c>
      <c r="G12" s="95">
        <f t="shared" si="1"/>
        <v>-4.6703451912393362E-3</v>
      </c>
      <c r="H12" s="94">
        <f t="shared" si="1"/>
        <v>0.15771100978184777</v>
      </c>
      <c r="I12" s="94">
        <f t="shared" si="1"/>
        <v>7.9167466108827661E-2</v>
      </c>
      <c r="J12" s="94">
        <f t="shared" si="1"/>
        <v>0.11710091820728931</v>
      </c>
      <c r="K12" s="94">
        <f t="shared" si="1"/>
        <v>0.14754698442432296</v>
      </c>
      <c r="L12" s="94">
        <f t="shared" si="1"/>
        <v>0.12914856449963988</v>
      </c>
      <c r="N12" s="90"/>
    </row>
    <row r="13" spans="1:14" x14ac:dyDescent="0.2">
      <c r="B13" s="1" t="s">
        <v>152</v>
      </c>
      <c r="C13" s="136"/>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v>
      </c>
      <c r="I13" s="94">
        <f t="shared" si="2"/>
        <v>1</v>
      </c>
      <c r="J13" s="94">
        <f t="shared" si="2"/>
        <v>1.6065688091503416</v>
      </c>
      <c r="K13" s="94">
        <f t="shared" si="2"/>
        <v>0.31148226791351141</v>
      </c>
      <c r="L13" s="94">
        <f t="shared" si="2"/>
        <v>0.83486641731191569</v>
      </c>
      <c r="N13" s="90"/>
    </row>
    <row r="14" spans="1:14" x14ac:dyDescent="0.2">
      <c r="B14" s="1" t="s">
        <v>262</v>
      </c>
      <c r="C14" s="136"/>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-1.9244801628226501E-2</v>
      </c>
      <c r="I14" s="94">
        <f t="shared" si="3"/>
        <v>0.19235221752470913</v>
      </c>
      <c r="J14" s="94">
        <f t="shared" si="3"/>
        <v>0.16134935910738973</v>
      </c>
      <c r="K14" s="94">
        <f t="shared" si="3"/>
        <v>-9.2561777739235448E-2</v>
      </c>
      <c r="L14" s="94">
        <f t="shared" si="3"/>
        <v>0.47263467438004808</v>
      </c>
      <c r="N14" s="90"/>
    </row>
    <row r="15" spans="1:14" x14ac:dyDescent="0.2">
      <c r="N15" s="90"/>
    </row>
    <row r="16" spans="1:14" x14ac:dyDescent="0.2">
      <c r="C16" s="243" t="s">
        <v>191</v>
      </c>
      <c r="D16" s="243"/>
      <c r="E16" s="243"/>
      <c r="F16" s="243"/>
      <c r="G16" s="243"/>
      <c r="H16" s="243"/>
      <c r="I16" s="243"/>
      <c r="J16" s="243"/>
      <c r="K16" s="243"/>
      <c r="L16" s="243"/>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2">
        <f>G18*(1+H19)</f>
        <v>4756.5</v>
      </c>
      <c r="I18" s="142">
        <f t="shared" ref="I18:L18" si="5">H18*(1+I19)</f>
        <v>4994.3249999999998</v>
      </c>
      <c r="J18" s="142">
        <f t="shared" si="5"/>
        <v>5194.098</v>
      </c>
      <c r="K18" s="142">
        <f t="shared" si="5"/>
        <v>5401.8619200000003</v>
      </c>
      <c r="L18" s="142">
        <f t="shared" si="5"/>
        <v>5563.9177776000006</v>
      </c>
      <c r="N18" s="90"/>
    </row>
    <row r="19" spans="2:14" x14ac:dyDescent="0.2">
      <c r="B19" s="1" t="s">
        <v>193</v>
      </c>
      <c r="C19" s="136"/>
      <c r="D19" s="143">
        <f>D18/C18-1</f>
        <v>8.0684596577016432E-3</v>
      </c>
      <c r="E19" s="143">
        <f t="shared" ref="E19:G19" si="6">E18/D18-1</f>
        <v>2.1586223623575096E-2</v>
      </c>
      <c r="F19" s="143">
        <f t="shared" si="6"/>
        <v>1.6144349477682729E-2</v>
      </c>
      <c r="G19" s="144">
        <f t="shared" si="6"/>
        <v>5.8411214953270951E-2</v>
      </c>
      <c r="H19" s="145">
        <v>0.05</v>
      </c>
      <c r="I19" s="96">
        <v>0.05</v>
      </c>
      <c r="J19" s="96">
        <v>0.04</v>
      </c>
      <c r="K19" s="96">
        <v>0.04</v>
      </c>
      <c r="L19" s="96">
        <v>0.03</v>
      </c>
      <c r="N19" s="90"/>
    </row>
    <row r="20" spans="2:14" x14ac:dyDescent="0.2">
      <c r="N20" s="90"/>
    </row>
    <row r="21" spans="2:14" x14ac:dyDescent="0.2">
      <c r="C21" s="243" t="s">
        <v>194</v>
      </c>
      <c r="D21" s="243"/>
      <c r="E21" s="243"/>
      <c r="F21" s="243"/>
      <c r="G21" s="243"/>
      <c r="H21" s="243"/>
      <c r="I21" s="243"/>
      <c r="J21" s="243"/>
      <c r="K21" s="243"/>
      <c r="L21" s="243"/>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6">
        <f>Statement!M116</f>
        <v>51.31</v>
      </c>
      <c r="D23" s="146">
        <f>Statement!N116</f>
        <v>26.43</v>
      </c>
      <c r="E23" s="146">
        <f>Statement!O116</f>
        <v>50.25</v>
      </c>
      <c r="F23" s="146">
        <f>Statement!P116</f>
        <v>20.3</v>
      </c>
      <c r="G23" s="147">
        <f>Statement!Q116</f>
        <v>36.200000000000003</v>
      </c>
      <c r="H23" s="136"/>
      <c r="I23" s="136"/>
      <c r="J23" s="136"/>
      <c r="K23" s="136"/>
      <c r="L23" s="136"/>
      <c r="N23" s="90"/>
    </row>
    <row r="24" spans="2:14" x14ac:dyDescent="0.2">
      <c r="N24" s="90"/>
    </row>
    <row r="25" spans="2:14" x14ac:dyDescent="0.2">
      <c r="N25" s="90"/>
    </row>
    <row r="26" spans="2:14" x14ac:dyDescent="0.2">
      <c r="C26" s="243" t="s">
        <v>195</v>
      </c>
      <c r="D26" s="243"/>
      <c r="E26" s="243"/>
      <c r="F26" s="243"/>
      <c r="G26" s="243"/>
      <c r="H26" s="243"/>
      <c r="I26" s="243"/>
      <c r="J26" s="243"/>
      <c r="K26" s="243"/>
      <c r="L26" s="243"/>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8">
        <f>C23/(C6/C18)</f>
        <v>2.6556223425794698</v>
      </c>
      <c r="D28" s="148">
        <f t="shared" ref="D28:G28" si="9">D23/(D6/D18)</f>
        <v>1.7282153392330384</v>
      </c>
      <c r="E28" s="148">
        <f t="shared" si="9"/>
        <v>3.9030205797742865</v>
      </c>
      <c r="F28" s="148">
        <f t="shared" si="9"/>
        <v>1.6362027080469295</v>
      </c>
      <c r="G28" s="149">
        <f t="shared" si="9"/>
        <v>3.102681020944885</v>
      </c>
      <c r="H28" s="136"/>
      <c r="I28" s="136"/>
      <c r="J28" s="136"/>
      <c r="K28" s="136"/>
      <c r="L28" s="136"/>
      <c r="N28" s="90"/>
    </row>
    <row r="29" spans="2:14" x14ac:dyDescent="0.2">
      <c r="B29" s="1" t="s">
        <v>197</v>
      </c>
      <c r="C29" s="142">
        <f>C23*C18</f>
        <v>209857.90000000002</v>
      </c>
      <c r="D29" s="142">
        <f t="shared" ref="D29:G29" si="10">D23*D18</f>
        <v>108970.89</v>
      </c>
      <c r="E29" s="142">
        <f t="shared" si="10"/>
        <v>211653</v>
      </c>
      <c r="F29" s="142">
        <f t="shared" si="10"/>
        <v>86884</v>
      </c>
      <c r="G29" s="150">
        <f t="shared" si="10"/>
        <v>163986</v>
      </c>
      <c r="H29" s="136"/>
      <c r="I29" s="136"/>
      <c r="J29" s="136"/>
      <c r="K29" s="136"/>
      <c r="L29" s="136"/>
      <c r="N29" s="90"/>
    </row>
    <row r="30" spans="2:14" x14ac:dyDescent="0.2">
      <c r="B30" s="1" t="s">
        <v>164</v>
      </c>
      <c r="C30" s="87">
        <f>Statement!M108</f>
        <v>38101</v>
      </c>
      <c r="D30" s="151">
        <f>Statement!N108</f>
        <v>42051</v>
      </c>
      <c r="E30" s="151">
        <f>Statement!O108</f>
        <v>49266</v>
      </c>
      <c r="F30" s="151">
        <f>Statement!P108</f>
        <v>50011</v>
      </c>
      <c r="G30" s="152">
        <f>Statement!Q108</f>
        <v>46585</v>
      </c>
      <c r="H30" s="136"/>
      <c r="I30" s="136"/>
      <c r="J30" s="136"/>
      <c r="K30" s="136"/>
      <c r="L30" s="136"/>
      <c r="N30" s="90"/>
    </row>
    <row r="31" spans="2:14" x14ac:dyDescent="0.2">
      <c r="B31" s="1" t="s">
        <v>173</v>
      </c>
      <c r="C31" s="151">
        <f>Statement!M107</f>
        <v>34711</v>
      </c>
      <c r="D31" s="151">
        <f>Statement!N107</f>
        <v>34250</v>
      </c>
      <c r="E31" s="151">
        <f>Statement!O107</f>
        <v>30863</v>
      </c>
      <c r="F31" s="151">
        <f>Statement!P107</f>
        <v>27445</v>
      </c>
      <c r="G31" s="152">
        <f>Statement!Q107</f>
        <v>45928</v>
      </c>
      <c r="H31" s="136"/>
      <c r="I31" s="136"/>
      <c r="J31" s="136"/>
      <c r="K31" s="136"/>
      <c r="L31" s="136"/>
      <c r="N31" s="90"/>
    </row>
    <row r="32" spans="2:14" x14ac:dyDescent="0.2">
      <c r="B32" s="1" t="s">
        <v>198</v>
      </c>
      <c r="C32" s="142">
        <f>C29+C30-C31</f>
        <v>213247.90000000002</v>
      </c>
      <c r="D32" s="142">
        <f t="shared" ref="D32:G32" si="11">D29+D30-D31</f>
        <v>116771.89000000001</v>
      </c>
      <c r="E32" s="142">
        <f t="shared" si="11"/>
        <v>230056</v>
      </c>
      <c r="F32" s="142">
        <f t="shared" si="11"/>
        <v>109450</v>
      </c>
      <c r="G32" s="150">
        <f t="shared" si="11"/>
        <v>164643</v>
      </c>
      <c r="H32" s="136"/>
      <c r="I32" s="136"/>
      <c r="J32" s="136"/>
      <c r="K32" s="136"/>
      <c r="L32" s="136"/>
      <c r="N32" s="90"/>
    </row>
    <row r="33" spans="2:14" x14ac:dyDescent="0.2">
      <c r="B33" s="16" t="s">
        <v>199</v>
      </c>
      <c r="C33" s="148">
        <f>C32/C7</f>
        <v>10.960521175986843</v>
      </c>
      <c r="D33" s="148">
        <f t="shared" ref="D33:G33" si="12">D32/D7</f>
        <v>50.030801199657247</v>
      </c>
      <c r="E33" s="148">
        <f t="shared" si="12"/>
        <v>2473.7204301075267</v>
      </c>
      <c r="F33" s="148">
        <f t="shared" si="12"/>
        <v>-9.3723240280870019</v>
      </c>
      <c r="G33" s="149">
        <f t="shared" si="12"/>
        <v>-74.364498644986455</v>
      </c>
      <c r="H33" s="136"/>
      <c r="I33" s="136"/>
      <c r="J33" s="136"/>
      <c r="K33" s="136"/>
      <c r="L33" s="136"/>
      <c r="N33" s="90"/>
    </row>
    <row r="34" spans="2:14" x14ac:dyDescent="0.2">
      <c r="B34" s="16" t="s">
        <v>321</v>
      </c>
      <c r="C34" s="148">
        <f>C32/C8</f>
        <v>24.365577596914751</v>
      </c>
      <c r="D34" s="148">
        <f t="shared" ref="D34:G34" si="13">D32/D8</f>
        <v>-8.3509897732961456</v>
      </c>
      <c r="E34" s="148">
        <f t="shared" si="13"/>
        <v>-13.83878729547642</v>
      </c>
      <c r="F34" s="148">
        <f t="shared" si="13"/>
        <v>-4.7299049265341404</v>
      </c>
      <c r="G34" s="149">
        <f t="shared" si="13"/>
        <v>-18.136426065855499</v>
      </c>
      <c r="H34" s="136"/>
      <c r="I34" s="136"/>
      <c r="J34" s="136"/>
      <c r="K34" s="136"/>
      <c r="L34" s="136"/>
      <c r="N34" s="90"/>
    </row>
    <row r="35" spans="2:14" x14ac:dyDescent="0.2">
      <c r="N35" s="90"/>
    </row>
    <row r="36" spans="2:14" x14ac:dyDescent="0.2">
      <c r="N36" s="90"/>
    </row>
    <row r="37" spans="2:14" x14ac:dyDescent="0.2">
      <c r="B37" s="237" t="s">
        <v>200</v>
      </c>
      <c r="C37" s="237"/>
      <c r="N37" s="90"/>
    </row>
    <row r="38" spans="2:14" x14ac:dyDescent="0.2">
      <c r="B38" s="1" t="s">
        <v>201</v>
      </c>
      <c r="C38" s="63">
        <f>L7</f>
        <v>12425.560115163004</v>
      </c>
    </row>
    <row r="39" spans="2:14" x14ac:dyDescent="0.2">
      <c r="B39" s="1" t="s">
        <v>160</v>
      </c>
      <c r="C39" s="134">
        <f ca="1">IF(Overview!C28&gt;0,Overview!C28,WACC!C20)</f>
        <v>0.13994518540326395</v>
      </c>
    </row>
    <row r="40" spans="2:14" x14ac:dyDescent="0.2">
      <c r="B40" s="39" t="s">
        <v>202</v>
      </c>
      <c r="C40" s="104">
        <v>35</v>
      </c>
    </row>
    <row r="41" spans="2:14" x14ac:dyDescent="0.2">
      <c r="B41" s="1" t="s">
        <v>198</v>
      </c>
      <c r="C41" s="24">
        <f>(C38*C40)</f>
        <v>434894.60403070512</v>
      </c>
    </row>
    <row r="42" spans="2:14" x14ac:dyDescent="0.2">
      <c r="B42" s="1" t="s">
        <v>389</v>
      </c>
      <c r="C42" s="24">
        <f ca="1">C41/(1+C39)^5-G30+G31</f>
        <v>225267.94013107542</v>
      </c>
    </row>
    <row r="43" spans="2:14" x14ac:dyDescent="0.2">
      <c r="B43" s="1" t="s">
        <v>184</v>
      </c>
      <c r="C43" s="87">
        <f>Statement!AC107</f>
        <v>38137</v>
      </c>
    </row>
    <row r="44" spans="2:14" x14ac:dyDescent="0.2">
      <c r="B44" s="1" t="s">
        <v>185</v>
      </c>
      <c r="C44" s="87">
        <f>Statement!AC108</f>
        <v>50537</v>
      </c>
    </row>
    <row r="45" spans="2:14" x14ac:dyDescent="0.2">
      <c r="B45" s="1" t="s">
        <v>186</v>
      </c>
      <c r="C45" s="24">
        <f ca="1">C42+C43-C44</f>
        <v>212867.94013107545</v>
      </c>
    </row>
    <row r="46" spans="2:14" x14ac:dyDescent="0.2">
      <c r="B46" s="1" t="s">
        <v>67</v>
      </c>
      <c r="C46" s="87">
        <f>Statement!AC78</f>
        <v>5044</v>
      </c>
    </row>
    <row r="47" spans="2:14" x14ac:dyDescent="0.2">
      <c r="B47" s="140" t="s">
        <v>204</v>
      </c>
      <c r="C47" s="141">
        <f ca="1">C45/C46</f>
        <v>42.202208590617651</v>
      </c>
    </row>
    <row r="49" spans="2:3" x14ac:dyDescent="0.2">
      <c r="B49" s="237" t="s">
        <v>205</v>
      </c>
      <c r="C49" s="237"/>
    </row>
    <row r="50" spans="2:3" x14ac:dyDescent="0.2">
      <c r="B50" s="1" t="s">
        <v>206</v>
      </c>
      <c r="C50" s="63">
        <f>L6</f>
        <v>95581.231655099982</v>
      </c>
    </row>
    <row r="51" spans="2:3" x14ac:dyDescent="0.2">
      <c r="B51" s="1" t="s">
        <v>387</v>
      </c>
      <c r="C51" s="134">
        <f>IF(Overview!C29&gt;0,Overview!C29,WACC!C19)</f>
        <v>0.12</v>
      </c>
    </row>
    <row r="52" spans="2:3" x14ac:dyDescent="0.2">
      <c r="B52" s="39" t="s">
        <v>207</v>
      </c>
      <c r="C52" s="104">
        <v>5</v>
      </c>
    </row>
    <row r="53" spans="2:3" x14ac:dyDescent="0.2">
      <c r="B53" s="1" t="s">
        <v>203</v>
      </c>
      <c r="C53" s="24">
        <f>L18</f>
        <v>5563.9177776000006</v>
      </c>
    </row>
    <row r="54" spans="2:3" x14ac:dyDescent="0.2">
      <c r="B54" s="1" t="s">
        <v>187</v>
      </c>
      <c r="C54" s="24">
        <f>(C50*C52)/C53</f>
        <v>85.8938211127996</v>
      </c>
    </row>
    <row r="55" spans="2:3" x14ac:dyDescent="0.2">
      <c r="B55" s="140" t="s">
        <v>204</v>
      </c>
      <c r="C55" s="141">
        <f>C54/(1+C51)^5</f>
        <v>48.738460839691712</v>
      </c>
    </row>
    <row r="57" spans="2:3" x14ac:dyDescent="0.2">
      <c r="B57" s="237" t="s">
        <v>322</v>
      </c>
      <c r="C57" s="237"/>
    </row>
    <row r="58" spans="2:3" x14ac:dyDescent="0.2">
      <c r="B58" s="1" t="s">
        <v>208</v>
      </c>
      <c r="C58" s="63">
        <f>L8</f>
        <v>-3611.026943369634</v>
      </c>
    </row>
    <row r="59" spans="2:3" x14ac:dyDescent="0.2">
      <c r="B59" s="1" t="s">
        <v>160</v>
      </c>
      <c r="C59" s="134">
        <f ca="1">IF(Overview!C28&gt;0,Overview!C28,WACC!C20)</f>
        <v>0.13994518540326395</v>
      </c>
    </row>
    <row r="60" spans="2:3" x14ac:dyDescent="0.2">
      <c r="B60" s="39" t="s">
        <v>399</v>
      </c>
      <c r="C60" s="104">
        <v>40</v>
      </c>
    </row>
    <row r="61" spans="2:3" x14ac:dyDescent="0.2">
      <c r="B61" s="1" t="s">
        <v>198</v>
      </c>
      <c r="C61" s="63">
        <f>(C58*C60)-G30+G31</f>
        <v>-145098.07773478536</v>
      </c>
    </row>
    <row r="62" spans="2:3" x14ac:dyDescent="0.2">
      <c r="B62" s="1" t="s">
        <v>389</v>
      </c>
      <c r="C62" s="63">
        <f ca="1">C61/(1+C59)^5-G30+G31</f>
        <v>-76034.514969238458</v>
      </c>
    </row>
    <row r="63" spans="2:3" x14ac:dyDescent="0.2">
      <c r="B63" s="1" t="s">
        <v>184</v>
      </c>
      <c r="C63" s="87">
        <f>Statement!AC107</f>
        <v>38137</v>
      </c>
    </row>
    <row r="64" spans="2:3" x14ac:dyDescent="0.2">
      <c r="B64" s="1" t="s">
        <v>185</v>
      </c>
      <c r="C64" s="87">
        <f>Statement!AC108</f>
        <v>50537</v>
      </c>
    </row>
    <row r="65" spans="2:3" x14ac:dyDescent="0.2">
      <c r="B65" s="1" t="s">
        <v>186</v>
      </c>
      <c r="C65" s="24">
        <f ca="1">C62+C63-C64</f>
        <v>-88434.514969238458</v>
      </c>
    </row>
    <row r="66" spans="2:3" x14ac:dyDescent="0.2">
      <c r="B66" s="1" t="s">
        <v>67</v>
      </c>
      <c r="C66" s="87">
        <f>Statement!AC78</f>
        <v>5044</v>
      </c>
    </row>
    <row r="67" spans="2:3" x14ac:dyDescent="0.2">
      <c r="B67" s="140" t="s">
        <v>204</v>
      </c>
      <c r="C67" s="141">
        <f ca="1">C65/C66</f>
        <v>-17.532615973282802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7" t="s">
        <v>210</v>
      </c>
      <c r="C4" s="237"/>
      <c r="N4" s="90"/>
    </row>
    <row r="5" spans="1:14" x14ac:dyDescent="0.2">
      <c r="B5" s="1" t="s">
        <v>211</v>
      </c>
      <c r="C5" s="132">
        <f ca="1">DCF!C26</f>
        <v>-10.384946881958557</v>
      </c>
    </row>
    <row r="6" spans="1:14" x14ac:dyDescent="0.2">
      <c r="B6" s="1" t="s">
        <v>212</v>
      </c>
      <c r="C6" s="132">
        <f ca="1">Multiples!C47</f>
        <v>42.202208590617651</v>
      </c>
    </row>
    <row r="7" spans="1:14" x14ac:dyDescent="0.2">
      <c r="B7" s="1" t="s">
        <v>213</v>
      </c>
      <c r="C7" s="132">
        <f>Multiples!C55</f>
        <v>48.738460839691712</v>
      </c>
    </row>
    <row r="8" spans="1:14" x14ac:dyDescent="0.2">
      <c r="B8" s="1" t="s">
        <v>323</v>
      </c>
      <c r="C8" s="132">
        <f ca="1">Multiples!C67</f>
        <v>-17.532615973282802</v>
      </c>
    </row>
    <row r="9" spans="1:14" x14ac:dyDescent="0.2">
      <c r="B9" s="140" t="s">
        <v>214</v>
      </c>
      <c r="C9" s="141">
        <f ca="1">AVERAGE(C5:C8)</f>
        <v>15.755776643767003</v>
      </c>
    </row>
    <row r="10" spans="1:14" x14ac:dyDescent="0.2">
      <c r="B10" s="1" t="s">
        <v>215</v>
      </c>
      <c r="C10" s="132">
        <f ca="1">Overview!C5</f>
        <v>95.8</v>
      </c>
    </row>
    <row r="11" spans="1:14" x14ac:dyDescent="0.2">
      <c r="B11" s="1" t="s">
        <v>216</v>
      </c>
      <c r="C11" s="153">
        <f ca="1">(C9-C10)/C10</f>
        <v>-0.83553469056610641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C25" sqref="C25"/>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401</v>
      </c>
    </row>
    <row r="2" spans="1:14" x14ac:dyDescent="0.2">
      <c r="A2" s="4"/>
      <c r="C2" s="237" t="s">
        <v>108</v>
      </c>
      <c r="D2" s="237"/>
      <c r="E2" s="237"/>
      <c r="F2" s="237"/>
      <c r="G2" s="246"/>
      <c r="H2" s="247" t="s">
        <v>109</v>
      </c>
      <c r="I2" s="237"/>
      <c r="J2" s="237"/>
      <c r="K2" s="237"/>
      <c r="L2" s="237"/>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9">
        <f>Statement!M26</f>
        <v>4.8600000000000003</v>
      </c>
      <c r="D6" s="229">
        <f>Statement!N26</f>
        <v>1.94</v>
      </c>
      <c r="E6" s="229">
        <f>Statement!O26</f>
        <v>0.4</v>
      </c>
      <c r="F6" s="229">
        <f>Statement!P26</f>
        <v>-4.38</v>
      </c>
      <c r="G6" s="230">
        <f>Statement!Q26</f>
        <v>-0.06</v>
      </c>
      <c r="H6" s="136"/>
      <c r="I6" s="136"/>
      <c r="J6" s="136"/>
      <c r="K6" s="136"/>
      <c r="L6" s="136"/>
      <c r="N6" s="90"/>
    </row>
    <row r="7" spans="1:14" x14ac:dyDescent="0.2">
      <c r="B7" s="16" t="s">
        <v>402</v>
      </c>
      <c r="C7" s="229">
        <f>Statement!M82</f>
        <v>1.39</v>
      </c>
      <c r="D7" s="229">
        <f>Statement!N82</f>
        <v>1.46</v>
      </c>
      <c r="E7" s="229">
        <f>Statement!O82</f>
        <v>0.74</v>
      </c>
      <c r="F7" s="229">
        <f>Statement!P82</f>
        <v>0.38</v>
      </c>
      <c r="G7" s="230">
        <f>Statement!Q82</f>
        <v>0</v>
      </c>
      <c r="H7" s="136"/>
      <c r="I7" s="136"/>
      <c r="J7" s="136"/>
      <c r="K7" s="136"/>
      <c r="L7" s="136"/>
      <c r="N7" s="90"/>
    </row>
    <row r="8" spans="1:14" x14ac:dyDescent="0.2">
      <c r="N8" s="90"/>
    </row>
    <row r="9" spans="1:14" x14ac:dyDescent="0.2">
      <c r="C9" s="243" t="s">
        <v>117</v>
      </c>
      <c r="D9" s="243"/>
      <c r="E9" s="243"/>
      <c r="F9" s="243"/>
      <c r="G9" s="243"/>
      <c r="H9" s="243"/>
      <c r="I9" s="243"/>
      <c r="J9" s="243"/>
      <c r="K9" s="243"/>
      <c r="L9" s="243"/>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243</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244</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3" t="s">
        <v>403</v>
      </c>
      <c r="D14" s="243"/>
      <c r="E14" s="243"/>
      <c r="F14" s="243"/>
      <c r="G14" s="243"/>
      <c r="H14" s="243"/>
      <c r="I14" s="243"/>
      <c r="J14" s="243"/>
      <c r="K14" s="243"/>
      <c r="L14" s="243"/>
      <c r="N14" s="90"/>
    </row>
    <row r="15" spans="1:14" x14ac:dyDescent="0.2">
      <c r="B15" s="16" t="s">
        <v>379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404</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7" t="s">
        <v>405</v>
      </c>
      <c r="C20" s="237"/>
      <c r="N20" s="90"/>
    </row>
    <row r="21" spans="2:14" x14ac:dyDescent="0.2">
      <c r="B21" s="1" t="s">
        <v>406</v>
      </c>
      <c r="C21" s="231">
        <f>G7</f>
        <v>0</v>
      </c>
    </row>
    <row r="22" spans="2:14" x14ac:dyDescent="0.2">
      <c r="B22" s="1" t="s">
        <v>407</v>
      </c>
      <c r="C22" s="232">
        <v>0</v>
      </c>
    </row>
    <row r="23" spans="2:14" x14ac:dyDescent="0.2">
      <c r="B23" s="39" t="s">
        <v>408</v>
      </c>
      <c r="C23" s="233">
        <f>C21*(1+C22)</f>
        <v>0</v>
      </c>
    </row>
    <row r="24" spans="2:14" x14ac:dyDescent="0.2">
      <c r="B24" s="1" t="s">
        <v>387</v>
      </c>
      <c r="C24" s="134">
        <f>IF(Overview!C29&gt;0,Overview!C29,WACC!C19)</f>
        <v>0.12</v>
      </c>
    </row>
    <row r="25" spans="2:14" x14ac:dyDescent="0.2">
      <c r="B25" s="39" t="s">
        <v>409</v>
      </c>
      <c r="C25" s="232">
        <v>0</v>
      </c>
    </row>
    <row r="26" spans="2:14" x14ac:dyDescent="0.2">
      <c r="B26" s="140" t="s">
        <v>204</v>
      </c>
      <c r="C26" s="14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7" t="s">
        <v>108</v>
      </c>
      <c r="D3" s="237"/>
      <c r="E3" s="237"/>
      <c r="F3" s="237"/>
      <c r="G3" s="246"/>
      <c r="H3" s="247" t="s">
        <v>109</v>
      </c>
      <c r="I3" s="237"/>
      <c r="J3" s="237"/>
      <c r="K3" s="237"/>
      <c r="L3" s="237"/>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-944123.12197827699</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H7/(1+$C$21)^H9</f>
        <v>-13139.884162555092</v>
      </c>
      <c r="I10" s="125">
        <f t="shared" ref="I10:L10" ca="1" si="1">I7/(1+$C$21)^I9</f>
        <v>-19019.167891433444</v>
      </c>
      <c r="J10" s="125">
        <f t="shared" ca="1" si="1"/>
        <v>-27529.066680310338</v>
      </c>
      <c r="K10" s="125">
        <f t="shared" ca="1" si="1"/>
        <v>-39846.617718239992</v>
      </c>
      <c r="L10" s="125">
        <f t="shared" ca="1" si="1"/>
        <v>-57675.509381477445</v>
      </c>
      <c r="N10" s="90"/>
    </row>
    <row r="11" spans="1:28" x14ac:dyDescent="0.2">
      <c r="B11" s="1" t="s">
        <v>178</v>
      </c>
      <c r="C11" s="136"/>
      <c r="D11" s="136"/>
      <c r="E11" s="136"/>
      <c r="F11" s="136"/>
      <c r="G11" s="137"/>
      <c r="H11" s="136"/>
      <c r="I11" s="136"/>
      <c r="J11" s="136"/>
      <c r="K11" s="136"/>
      <c r="L11" s="125">
        <f ca="1">L8/(1+C21)^L9</f>
        <v>-490465.86881599115</v>
      </c>
    </row>
    <row r="13" spans="1:28" ht="17" thickBot="1" x14ac:dyDescent="0.25"/>
    <row r="14" spans="1:28" x14ac:dyDescent="0.2">
      <c r="B14" s="249" t="s">
        <v>218</v>
      </c>
      <c r="C14" s="250"/>
    </row>
    <row r="15" spans="1:28" x14ac:dyDescent="0.2">
      <c r="B15" s="154" t="s">
        <v>219</v>
      </c>
      <c r="C15" s="155">
        <f ca="1">Overview!C5</f>
        <v>95.8</v>
      </c>
    </row>
    <row r="16" spans="1:28" x14ac:dyDescent="0.2">
      <c r="B16" s="154" t="s">
        <v>220</v>
      </c>
      <c r="C16" s="155">
        <f ca="1">C36</f>
        <v>-130.86362304718625</v>
      </c>
    </row>
    <row r="17" spans="2:9" ht="17" thickBot="1" x14ac:dyDescent="0.25">
      <c r="B17" s="156" t="s">
        <v>324</v>
      </c>
      <c r="C17" s="157">
        <v>0.65</v>
      </c>
      <c r="E17" s="251" t="s">
        <v>221</v>
      </c>
      <c r="F17" s="251"/>
      <c r="G17" s="251"/>
      <c r="H17" s="251"/>
      <c r="I17" s="251"/>
    </row>
    <row r="18" spans="2:9" ht="17" thickBot="1" x14ac:dyDescent="0.25"/>
    <row r="19" spans="2:9" x14ac:dyDescent="0.2">
      <c r="B19" s="249" t="s">
        <v>179</v>
      </c>
      <c r="C19" s="250"/>
    </row>
    <row r="20" spans="2:9" x14ac:dyDescent="0.2">
      <c r="B20" s="158" t="s">
        <v>180</v>
      </c>
      <c r="C20" s="159">
        <v>0.02</v>
      </c>
    </row>
    <row r="21" spans="2:9" x14ac:dyDescent="0.2">
      <c r="B21" s="158" t="s">
        <v>160</v>
      </c>
      <c r="C21" s="225">
        <f ca="1">IF(Overview!C28&gt;0,Overview!C28,WACC!C20)</f>
        <v>0.13994518540326395</v>
      </c>
    </row>
    <row r="22" spans="2:9" x14ac:dyDescent="0.2">
      <c r="B22" s="158" t="s">
        <v>67</v>
      </c>
      <c r="C22" s="226">
        <f>Statement!AC75</f>
        <v>5044</v>
      </c>
    </row>
    <row r="23" spans="2:9" x14ac:dyDescent="0.2">
      <c r="B23" s="158" t="s">
        <v>222</v>
      </c>
      <c r="C23" s="160">
        <f ca="1">C15*C22</f>
        <v>483215.2</v>
      </c>
    </row>
    <row r="24" spans="2:9" x14ac:dyDescent="0.2">
      <c r="B24" s="158" t="s">
        <v>173</v>
      </c>
      <c r="C24" s="226">
        <f>Statement!AC107</f>
        <v>38137</v>
      </c>
    </row>
    <row r="25" spans="2:9" x14ac:dyDescent="0.2">
      <c r="B25" s="158" t="s">
        <v>164</v>
      </c>
      <c r="C25" s="226">
        <f>Statement!AC108</f>
        <v>50537</v>
      </c>
    </row>
    <row r="26" spans="2:9" ht="17" thickBot="1" x14ac:dyDescent="0.25">
      <c r="B26" s="156" t="s">
        <v>223</v>
      </c>
      <c r="C26" s="161">
        <f ca="1">C23+C25-C24</f>
        <v>495615.19999999995</v>
      </c>
    </row>
    <row r="27" spans="2:9" ht="17" thickBot="1" x14ac:dyDescent="0.25"/>
    <row r="28" spans="2:9" x14ac:dyDescent="0.2">
      <c r="B28" s="249" t="s">
        <v>181</v>
      </c>
      <c r="C28" s="250"/>
    </row>
    <row r="29" spans="2:9" x14ac:dyDescent="0.2">
      <c r="B29" s="158" t="s">
        <v>182</v>
      </c>
      <c r="C29" s="160">
        <f ca="1">SUM(H10:L10)</f>
        <v>-157210.2458340163</v>
      </c>
    </row>
    <row r="30" spans="2:9" x14ac:dyDescent="0.2">
      <c r="B30" s="158" t="s">
        <v>178</v>
      </c>
      <c r="C30" s="160">
        <f ca="1">L11</f>
        <v>-490465.86881599115</v>
      </c>
    </row>
    <row r="31" spans="2:9" x14ac:dyDescent="0.2">
      <c r="B31" s="162" t="s">
        <v>183</v>
      </c>
      <c r="C31" s="163">
        <f ca="1">C29+C30</f>
        <v>-647676.11465000745</v>
      </c>
    </row>
    <row r="32" spans="2:9" x14ac:dyDescent="0.2">
      <c r="B32" s="158" t="s">
        <v>184</v>
      </c>
      <c r="C32" s="164">
        <f>C24</f>
        <v>38137</v>
      </c>
    </row>
    <row r="33" spans="2:12" x14ac:dyDescent="0.2">
      <c r="B33" s="158" t="s">
        <v>185</v>
      </c>
      <c r="C33" s="164">
        <f>C25</f>
        <v>50537</v>
      </c>
    </row>
    <row r="34" spans="2:12" x14ac:dyDescent="0.2">
      <c r="B34" s="162" t="s">
        <v>186</v>
      </c>
      <c r="C34" s="163">
        <f ca="1">C31+C32-C33</f>
        <v>-660076.11465000745</v>
      </c>
    </row>
    <row r="35" spans="2:12" x14ac:dyDescent="0.2">
      <c r="B35" s="158" t="s">
        <v>67</v>
      </c>
      <c r="C35" s="160">
        <f>C22</f>
        <v>5044</v>
      </c>
    </row>
    <row r="36" spans="2:12" ht="17" thickBot="1" x14ac:dyDescent="0.25">
      <c r="B36" s="165" t="s">
        <v>187</v>
      </c>
      <c r="C36" s="166">
        <f ca="1">C34/C35</f>
        <v>-130.86362304718625</v>
      </c>
    </row>
    <row r="39" spans="2:12" x14ac:dyDescent="0.2">
      <c r="C39" s="243" t="s">
        <v>224</v>
      </c>
      <c r="D39" s="243"/>
      <c r="E39" s="243"/>
      <c r="F39" s="243"/>
      <c r="G39" s="243"/>
      <c r="H39" s="243"/>
      <c r="I39" s="243"/>
      <c r="J39" s="243"/>
      <c r="K39" s="243"/>
      <c r="L39" s="243"/>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262</v>
      </c>
      <c r="C41" s="111">
        <f>C7</f>
        <v>8752.0149748882686</v>
      </c>
      <c r="D41" s="111">
        <f t="shared" si="2"/>
        <v>-13983</v>
      </c>
      <c r="E41" s="111">
        <f t="shared" si="2"/>
        <v>-16624</v>
      </c>
      <c r="F41" s="111">
        <f t="shared" si="2"/>
        <v>-23140</v>
      </c>
      <c r="G41" s="112">
        <f t="shared" si="2"/>
        <v>-9078.0289017341056</v>
      </c>
      <c r="H41" s="142">
        <f t="shared" si="2"/>
        <v>-14978.747687861274</v>
      </c>
      <c r="I41" s="142">
        <f t="shared" si="2"/>
        <v>-24714.9336849711</v>
      </c>
      <c r="J41" s="142">
        <f t="shared" si="2"/>
        <v>-40779.640580202315</v>
      </c>
      <c r="K41" s="142">
        <f t="shared" si="2"/>
        <v>-67286.40695733382</v>
      </c>
      <c r="L41" s="142">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2">
        <f>H41/H43</f>
        <v>-13617.043352601157</v>
      </c>
      <c r="I42" s="142">
        <f t="shared" ref="I42:L42" si="3">I41/I43</f>
        <v>-22468.121531791909</v>
      </c>
      <c r="J42" s="142">
        <f t="shared" si="3"/>
        <v>-37072.400527456644</v>
      </c>
      <c r="K42" s="142">
        <f t="shared" si="3"/>
        <v>-61169.460870303468</v>
      </c>
      <c r="L42" s="142">
        <f t="shared" si="3"/>
        <v>-100929.61043600072</v>
      </c>
    </row>
    <row r="43" spans="2:12" x14ac:dyDescent="0.2">
      <c r="B43" s="121" t="s">
        <v>325</v>
      </c>
      <c r="C43" s="94">
        <f>C41/C42</f>
        <v>0.4498362959954908</v>
      </c>
      <c r="D43" s="94">
        <f t="shared" ref="D43:G43" si="4">D41/D42</f>
        <v>-5.9910025706940875</v>
      </c>
      <c r="E43" s="94">
        <f t="shared" si="4"/>
        <v>-178.75268817204301</v>
      </c>
      <c r="F43" s="94">
        <f t="shared" si="4"/>
        <v>1.9815036821373524</v>
      </c>
      <c r="G43" s="95">
        <f t="shared" si="4"/>
        <v>4.1002840567904721</v>
      </c>
      <c r="H43" s="167">
        <v>1.1000000000000001</v>
      </c>
      <c r="I43" s="167">
        <v>1.1000000000000001</v>
      </c>
      <c r="J43" s="167">
        <v>1.1000000000000001</v>
      </c>
      <c r="K43" s="167">
        <v>1.1000000000000001</v>
      </c>
      <c r="L43" s="167">
        <v>1.1000000000000001</v>
      </c>
    </row>
    <row r="44" spans="2:12" x14ac:dyDescent="0.2">
      <c r="B44" s="1" t="s">
        <v>19</v>
      </c>
      <c r="C44" s="111">
        <f>Revenue!C11</f>
        <v>79024</v>
      </c>
      <c r="D44" s="111">
        <f>Revenue!D11</f>
        <v>63054</v>
      </c>
      <c r="E44" s="111">
        <f>Revenue!E11</f>
        <v>54228</v>
      </c>
      <c r="F44" s="111">
        <f>Revenue!F11</f>
        <v>53101</v>
      </c>
      <c r="G44" s="112">
        <f>Revenue!G11</f>
        <v>52853</v>
      </c>
      <c r="H44" s="142">
        <f>H41/H45</f>
        <v>-1497874.7687861274</v>
      </c>
      <c r="I44" s="142">
        <f t="shared" ref="I44:L44" si="5">I41/I45</f>
        <v>-1235746.684248555</v>
      </c>
      <c r="J44" s="142">
        <f t="shared" si="5"/>
        <v>-970943.82333815028</v>
      </c>
      <c r="K44" s="142">
        <f t="shared" si="5"/>
        <v>-961234.38510476879</v>
      </c>
      <c r="L44" s="142">
        <f t="shared" si="5"/>
        <v>-740150.47653067205</v>
      </c>
    </row>
    <row r="45" spans="2:12" x14ac:dyDescent="0.2">
      <c r="B45" s="121" t="s">
        <v>326</v>
      </c>
      <c r="C45" s="94">
        <f>C41/C44</f>
        <v>0.11075135370125871</v>
      </c>
      <c r="D45" s="94">
        <f t="shared" ref="D45:G45" si="6">D41/D44</f>
        <v>-0.22176229898182509</v>
      </c>
      <c r="E45" s="94">
        <f t="shared" si="6"/>
        <v>-0.30655749797152765</v>
      </c>
      <c r="F45" s="94">
        <f t="shared" si="6"/>
        <v>-0.43577333760192838</v>
      </c>
      <c r="G45" s="95">
        <f t="shared" si="6"/>
        <v>-0.17175995500225352</v>
      </c>
      <c r="H45" s="167">
        <v>0.01</v>
      </c>
      <c r="I45" s="167">
        <v>0.02</v>
      </c>
      <c r="J45" s="167">
        <v>4.2000000000000003E-2</v>
      </c>
      <c r="K45" s="167">
        <v>7.0000000000000007E-2</v>
      </c>
      <c r="L45" s="167">
        <v>0.15</v>
      </c>
    </row>
    <row r="46" spans="2:12" x14ac:dyDescent="0.2">
      <c r="B46" s="121" t="s">
        <v>327</v>
      </c>
      <c r="C46" s="136"/>
      <c r="D46" s="94">
        <f>D41/C41-1</f>
        <v>-2.597689222438575</v>
      </c>
      <c r="E46" s="94">
        <f t="shared" ref="E46:L47" si="7">E41/D41-1</f>
        <v>0.18887220195952237</v>
      </c>
      <c r="F46" s="94">
        <f t="shared" si="7"/>
        <v>0.39196342637151105</v>
      </c>
      <c r="G46" s="95">
        <f t="shared" si="7"/>
        <v>-0.6076910586977482</v>
      </c>
      <c r="H46" s="168">
        <f t="shared" si="7"/>
        <v>0.64999999999999991</v>
      </c>
      <c r="I46" s="168">
        <f t="shared" si="7"/>
        <v>0.64999999999999991</v>
      </c>
      <c r="J46" s="168">
        <f t="shared" si="7"/>
        <v>0.64999999999999991</v>
      </c>
      <c r="K46" s="168">
        <f t="shared" si="7"/>
        <v>0.65000000000000013</v>
      </c>
      <c r="L46" s="168">
        <f t="shared" si="7"/>
        <v>0.64999999999999991</v>
      </c>
    </row>
    <row r="47" spans="2:12" x14ac:dyDescent="0.2">
      <c r="B47" s="121" t="s">
        <v>225</v>
      </c>
      <c r="C47" s="136"/>
      <c r="D47" s="94">
        <f>D42/C42-1</f>
        <v>-0.88003700657894735</v>
      </c>
      <c r="E47" s="94">
        <f t="shared" si="7"/>
        <v>-0.96015424164524421</v>
      </c>
      <c r="F47" s="94">
        <f t="shared" si="7"/>
        <v>-126.56989247311827</v>
      </c>
      <c r="G47" s="95">
        <f t="shared" si="7"/>
        <v>-0.81041274190786095</v>
      </c>
      <c r="H47" s="168">
        <f t="shared" si="7"/>
        <v>5.1504260851857078</v>
      </c>
      <c r="I47" s="168">
        <f t="shared" si="7"/>
        <v>0.64999999999999991</v>
      </c>
      <c r="J47" s="168">
        <f t="shared" si="7"/>
        <v>0.64999999999999969</v>
      </c>
      <c r="K47" s="168">
        <f t="shared" si="7"/>
        <v>0.65000000000000013</v>
      </c>
      <c r="L47" s="168">
        <f t="shared" si="7"/>
        <v>0.64999999999999991</v>
      </c>
    </row>
    <row r="48" spans="2:12" x14ac:dyDescent="0.2">
      <c r="B48" s="121" t="s">
        <v>226</v>
      </c>
      <c r="C48" s="136"/>
      <c r="D48" s="94">
        <f>D44/C44-1</f>
        <v>-0.20209050415063778</v>
      </c>
      <c r="E48" s="94">
        <f t="shared" ref="E48:L48" si="8">E44/D44-1</f>
        <v>-0.13997525930155108</v>
      </c>
      <c r="F48" s="94">
        <f t="shared" si="8"/>
        <v>-2.0782621523935951E-2</v>
      </c>
      <c r="G48" s="95">
        <f t="shared" si="8"/>
        <v>-4.6703451912393223E-3</v>
      </c>
      <c r="H48" s="168">
        <f t="shared" si="8"/>
        <v>-29.340392575371833</v>
      </c>
      <c r="I48" s="168">
        <f t="shared" si="8"/>
        <v>-0.17500000000000016</v>
      </c>
      <c r="J48" s="168">
        <f t="shared" si="8"/>
        <v>-0.2142857142857143</v>
      </c>
      <c r="K48" s="168">
        <f t="shared" si="8"/>
        <v>-1.0000000000000009E-2</v>
      </c>
      <c r="L48" s="168">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8">
        <f t="shared" si="9"/>
        <v>9.0909090909090887E-3</v>
      </c>
      <c r="I49" s="168">
        <f t="shared" si="9"/>
        <v>1.8181818181818181E-2</v>
      </c>
      <c r="J49" s="168">
        <f t="shared" si="9"/>
        <v>3.8181818181818178E-2</v>
      </c>
      <c r="K49" s="168">
        <f t="shared" si="9"/>
        <v>6.363636363636363E-2</v>
      </c>
      <c r="L49" s="168">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2026-09-04T21:35:45Z</dcterms:modified>
</cp:coreProperties>
</file>