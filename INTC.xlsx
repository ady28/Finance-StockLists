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2199889-51F8-BF4B-A517-47B3D778F18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7" i="3" l="1"/>
  <c r="Z107" i="3"/>
  <c r="Y107" i="3"/>
  <c r="X107" i="3"/>
  <c r="W107" i="3"/>
  <c r="V107" i="3"/>
  <c r="U107" i="3"/>
  <c r="T107" i="3"/>
  <c r="Q107" i="3"/>
  <c r="P107" i="3"/>
  <c r="O107" i="3"/>
  <c r="N107" i="3"/>
  <c r="M107" i="3"/>
  <c r="AC34" i="3"/>
  <c r="Q211" i="3"/>
  <c r="P211" i="3"/>
  <c r="O211" i="3"/>
  <c r="N211" i="3"/>
  <c r="Q180" i="3"/>
  <c r="P180" i="3"/>
  <c r="O180" i="3"/>
  <c r="N180" i="3"/>
  <c r="M180" i="3"/>
  <c r="C48"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17" i="3"/>
  <c r="Z217" i="3"/>
  <c r="Y217" i="3"/>
  <c r="X217" i="3"/>
  <c r="W217" i="3"/>
  <c r="V217" i="3"/>
  <c r="U217" i="3"/>
  <c r="T217" i="3"/>
  <c r="Q217" i="3"/>
  <c r="P217" i="3"/>
  <c r="AC216" i="3"/>
  <c r="Z10" i="5"/>
  <c r="Y10" i="5"/>
  <c r="X10" i="5"/>
  <c r="W10" i="5"/>
  <c r="V10" i="5"/>
  <c r="U10" i="5"/>
  <c r="T10" i="5"/>
  <c r="S10" i="5"/>
  <c r="G10" i="5"/>
  <c r="F10" i="5"/>
  <c r="B10" i="5"/>
  <c r="F7" i="16"/>
  <c r="G7" i="16"/>
  <c r="L71" i="3"/>
  <c r="K71" i="3"/>
  <c r="J71" i="3"/>
  <c r="I71" i="3"/>
  <c r="H71" i="3"/>
  <c r="G71" i="3"/>
  <c r="F71" i="3"/>
  <c r="E71" i="3"/>
  <c r="D71" i="3"/>
  <c r="C71" i="3"/>
  <c r="M193" i="3"/>
  <c r="N193" i="3"/>
  <c r="M190" i="3"/>
  <c r="N190" i="3"/>
  <c r="M188" i="3"/>
  <c r="N188" i="3"/>
  <c r="M185" i="3"/>
  <c r="N185" i="3"/>
  <c r="O193" i="3"/>
  <c r="O190" i="3"/>
  <c r="O185" i="3"/>
  <c r="O188" i="3"/>
  <c r="G32" i="18"/>
  <c r="F32" i="18"/>
  <c r="D32" i="18"/>
  <c r="C32" i="18"/>
  <c r="G30" i="18"/>
  <c r="F30" i="18"/>
  <c r="D30" i="18"/>
  <c r="C30" i="18"/>
  <c r="AA202" i="3"/>
  <c r="Z202" i="3"/>
  <c r="Y202" i="3"/>
  <c r="X202" i="3"/>
  <c r="W202" i="3"/>
  <c r="V202" i="3"/>
  <c r="U202" i="3"/>
  <c r="T202" i="3"/>
  <c r="AA201" i="3"/>
  <c r="Z201" i="3"/>
  <c r="Y201" i="3"/>
  <c r="X201" i="3"/>
  <c r="W201" i="3"/>
  <c r="V201" i="3"/>
  <c r="U201" i="3"/>
  <c r="T201" i="3"/>
  <c r="Q202" i="3"/>
  <c r="Q201" i="3"/>
  <c r="P201" i="3"/>
  <c r="O201" i="3"/>
  <c r="N201" i="3"/>
  <c r="M201" i="3"/>
  <c r="AC194" i="3"/>
  <c r="AC193" i="3"/>
  <c r="AC192" i="3"/>
  <c r="AC191" i="3"/>
  <c r="AC190" i="3"/>
  <c r="AC188" i="3"/>
  <c r="AC187" i="3"/>
  <c r="AC186" i="3"/>
  <c r="AC185" i="3"/>
  <c r="AA135" i="3"/>
  <c r="Q206" i="3"/>
  <c r="P206" i="3"/>
  <c r="O206" i="3"/>
  <c r="N206" i="3"/>
  <c r="M206"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0" i="3"/>
  <c r="Y200" i="3"/>
  <c r="X200" i="3"/>
  <c r="W200" i="3"/>
  <c r="V200" i="3"/>
  <c r="U200" i="3"/>
  <c r="T200" i="3"/>
  <c r="Z199" i="3"/>
  <c r="Y199" i="3"/>
  <c r="X199" i="3"/>
  <c r="W199" i="3"/>
  <c r="V199" i="3"/>
  <c r="U199" i="3"/>
  <c r="T199" i="3"/>
  <c r="Z198" i="3"/>
  <c r="Y198" i="3"/>
  <c r="X198" i="3"/>
  <c r="W198" i="3"/>
  <c r="V198" i="3"/>
  <c r="U198" i="3"/>
  <c r="T198"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Q200" i="3"/>
  <c r="Q199" i="3"/>
  <c r="Q198" i="3"/>
  <c r="P198"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5" i="7"/>
  <c r="F45" i="7"/>
  <c r="E45" i="7"/>
  <c r="D45" i="7"/>
  <c r="C45"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4"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W177" i="3" l="1"/>
  <c r="D42" i="7"/>
  <c r="C42" i="7"/>
  <c r="Q212" i="3"/>
  <c r="P212" i="3"/>
  <c r="O212" i="3"/>
  <c r="N212" i="3"/>
  <c r="Q210" i="3"/>
  <c r="P210" i="3"/>
  <c r="O210" i="3"/>
  <c r="N210" i="3"/>
  <c r="AC180"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AC217" i="3"/>
  <c r="M199" i="3"/>
  <c r="C7" i="5"/>
  <c r="E7" i="5"/>
  <c r="D7" i="5"/>
  <c r="AA10" i="5"/>
  <c r="AA7" i="5"/>
  <c r="AA6" i="5"/>
  <c r="E10" i="5"/>
  <c r="D10" i="5"/>
  <c r="C10" i="5"/>
  <c r="G93" i="17"/>
  <c r="G92" i="17"/>
  <c r="F92" i="17"/>
  <c r="E92" i="17"/>
  <c r="D92" i="17"/>
  <c r="C92" i="17"/>
  <c r="G8" i="16"/>
  <c r="F8" i="16"/>
  <c r="P202" i="3"/>
  <c r="F93" i="17" s="1"/>
  <c r="O202" i="3"/>
  <c r="E93" i="17" s="1"/>
  <c r="N202" i="3"/>
  <c r="D93" i="17" s="1"/>
  <c r="M202" i="3"/>
  <c r="C93" i="17" s="1"/>
  <c r="AA8" i="5"/>
  <c r="Z19" i="5"/>
  <c r="Y19" i="5"/>
  <c r="X19" i="5"/>
  <c r="W19" i="5"/>
  <c r="V19" i="5"/>
  <c r="U19" i="5"/>
  <c r="T19" i="5"/>
  <c r="G19" i="5"/>
  <c r="F19" i="5"/>
  <c r="E19" i="5"/>
  <c r="D19" i="5"/>
  <c r="E18" i="5"/>
  <c r="D18" i="5"/>
  <c r="B19" i="5"/>
  <c r="B18" i="5"/>
  <c r="R10" i="5"/>
  <c r="R19" i="5" s="1"/>
  <c r="R9" i="5"/>
  <c r="R18" i="5" s="1"/>
  <c r="M194" i="3"/>
  <c r="N194" i="3"/>
  <c r="M191" i="3"/>
  <c r="N191" i="3"/>
  <c r="M186" i="3"/>
  <c r="H65" i="19" s="1"/>
  <c r="N186" i="3"/>
  <c r="O191" i="3"/>
  <c r="O194" i="3"/>
  <c r="O186" i="3"/>
  <c r="AC65" i="3"/>
  <c r="N200" i="3"/>
  <c r="O200" i="3"/>
  <c r="N199" i="3"/>
  <c r="O199" i="3"/>
  <c r="P199"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8" i="1"/>
  <c r="C9" i="1"/>
  <c r="C10" i="1"/>
  <c r="C14" i="1"/>
  <c r="C13" i="1"/>
  <c r="C10" i="10" s="1"/>
  <c r="C12" i="1"/>
  <c r="C11" i="1"/>
  <c r="C7" i="1"/>
  <c r="C6" i="1"/>
  <c r="C5" i="1"/>
  <c r="C10" i="13" s="1"/>
  <c r="C4" i="1"/>
  <c r="C20" i="8" l="1"/>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0"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0" i="3"/>
  <c r="C91" i="17" s="1"/>
  <c r="C8" i="5"/>
  <c r="M192" i="3"/>
  <c r="N192" i="3"/>
  <c r="O192"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1" i="12"/>
  <c r="C25" i="11"/>
  <c r="C43"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8" i="12"/>
  <c r="C50"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F13" i="12" s="1"/>
  <c r="E42" i="14"/>
  <c r="E27" i="8"/>
  <c r="E28" i="8" s="1"/>
  <c r="H17" i="12"/>
  <c r="H11" i="12"/>
  <c r="H27" i="12"/>
  <c r="H22" i="12"/>
  <c r="K5" i="5"/>
  <c r="J14" i="5"/>
  <c r="AE6" i="5"/>
  <c r="J6" i="12" l="1"/>
  <c r="J6" i="8"/>
  <c r="J7" i="7"/>
  <c r="J6" i="6"/>
  <c r="J11" i="6" s="1"/>
  <c r="X14" i="6"/>
  <c r="AB14" i="6" s="1"/>
  <c r="X11" i="6"/>
  <c r="AB11" i="6" s="1"/>
  <c r="X12" i="6"/>
  <c r="X13" i="6"/>
  <c r="AB13" i="6" s="1"/>
  <c r="H15" i="6"/>
  <c r="J19" i="8"/>
  <c r="J26" i="8"/>
  <c r="K5" i="8"/>
  <c r="K32" i="8" s="1"/>
  <c r="J14" i="8"/>
  <c r="G13" i="12"/>
  <c r="C56"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47" i="12"/>
  <c r="C51" i="12" s="1"/>
  <c r="C52"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I7" i="11"/>
  <c r="I10" i="11" s="1"/>
  <c r="I8" i="12"/>
  <c r="J47" i="14"/>
  <c r="J49" i="14"/>
  <c r="K46" i="14"/>
  <c r="K42" i="14"/>
  <c r="K44" i="14"/>
  <c r="K48" i="14" s="1"/>
  <c r="L41" i="14"/>
  <c r="L10" i="14"/>
  <c r="C29" i="14" s="1"/>
  <c r="L8" i="14"/>
  <c r="L11" i="14" s="1"/>
  <c r="C30" i="14" s="1"/>
  <c r="L15" i="7"/>
  <c r="L30" i="7" s="1"/>
  <c r="L14" i="7"/>
  <c r="L29" i="7" s="1"/>
  <c r="L10" i="8"/>
  <c r="L34" i="8" s="1"/>
  <c r="L20" i="5"/>
  <c r="J28" i="8" l="1"/>
  <c r="J13" i="12"/>
  <c r="L35" i="7"/>
  <c r="L22" i="8" s="1"/>
  <c r="J8" i="12"/>
  <c r="K27" i="8"/>
  <c r="J7" i="11"/>
  <c r="J10" i="11" s="1"/>
  <c r="K7" i="12"/>
  <c r="K35" i="7"/>
  <c r="K22" i="8" s="1"/>
  <c r="I14" i="12"/>
  <c r="K49" i="14"/>
  <c r="K47" i="14"/>
  <c r="L44" i="14"/>
  <c r="L48" i="14" s="1"/>
  <c r="L46" i="14"/>
  <c r="L42" i="14"/>
  <c r="C31" i="14"/>
  <c r="C34" i="14" s="1"/>
  <c r="C36" i="14" s="1"/>
  <c r="C16" i="14" s="1"/>
  <c r="L7" i="12"/>
  <c r="L27" i="8"/>
  <c r="AC66" i="3"/>
  <c r="K13" i="12" l="1"/>
  <c r="J14" i="12"/>
  <c r="L28" i="8"/>
  <c r="K28" i="8"/>
  <c r="L47" i="14"/>
  <c r="L49" i="14"/>
  <c r="C38" i="12"/>
  <c r="C41" i="12" s="1"/>
  <c r="C42" i="12" s="1"/>
  <c r="C44" i="12" s="1"/>
  <c r="C6" i="13" s="1"/>
  <c r="I4" i="1" s="1"/>
  <c r="L13" i="12"/>
  <c r="L8" i="12" l="1"/>
  <c r="L7" i="11"/>
  <c r="K8" i="12"/>
  <c r="K7" i="11"/>
  <c r="K10" i="11" s="1"/>
  <c r="C55" i="12" l="1"/>
  <c r="C59" i="12" s="1"/>
  <c r="C60" i="12" s="1"/>
  <c r="C62" i="12" s="1"/>
  <c r="C8" i="13" s="1"/>
  <c r="I6" i="1" s="1"/>
  <c r="L10" i="11"/>
  <c r="L8" i="11"/>
  <c r="L11" i="11" s="1"/>
  <c r="C20" i="11" s="1"/>
  <c r="L14" i="12"/>
  <c r="K14" i="12"/>
  <c r="C19" i="11" l="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<sst xmlns="http://schemas.openxmlformats.org/spreadsheetml/2006/main" count="741" uniqueCount="402">
  <si>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</si>
  <si>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</si>
  <si>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</si>
  <si>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</si>
  <si>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</si>
  <si>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</si>
  <si>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</si>
  <si>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</si>
  <si>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</si>
  <si>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</si>
  <si>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</si>
  <si>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</si>
  <si>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</si>
  <si>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</si>
  <si>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</si>
  <si>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</si>
  <si>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</si>
  <si>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</si>
  <si>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</si>
  <si>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</si>
  <si>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</si>
  <si>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</si>
  <si>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</si>
  <si>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</si>
  <si>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</si>
  <si>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</si>
  <si>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</si>
  <si>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</si>
  <si>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</si>
  <si>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</si>
  <si>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</si>
  <si>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</si>
  <si>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</si>
  <si>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</si>
  <si>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</si>
  <si>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</si>
  <si>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</si>
  <si>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</si>
  <si>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</si>
  <si>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</si>
  <si>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</si>
  <si>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</si>
  <si>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</si>
  <si>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</si>
  <si>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</si>
  <si>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</si>
  <si>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</si>
  <si>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</si>
  <si>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</si>
  <si>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</si>
  <si>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</si>
  <si>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</si>
  <si>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</si>
  <si>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</si>
  <si>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</si>
  <si>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</si>
  <si>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</si>
  <si>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</si>
  <si>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</si>
  <si>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</si>
  <si>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</si>
  <si>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</si>
  <si>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</si>
  <si>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</si>
  <si>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</si>
  <si>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</si>
  <si>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</si>
  <si>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</si>
  <si>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</si>
  <si>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</si>
  <si>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</si>
  <si>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</si>
  <si>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</si>
  <si>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</si>
  <si>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</si>
  <si>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</si>
  <si>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</si>
  <si>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</si>
  <si>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</si>
  <si>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</si>
  <si>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</si>
  <si>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</si>
  <si>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</si>
  <si>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</si>
  <si>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</si>
  <si>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</si>
  <si>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</si>
  <si>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</si>
  <si>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</si>
  <si>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</si>
  <si>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</si>
  <si>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</si>
  <si>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</si>
  <si>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</si>
  <si>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</si>
  <si>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</si>
  <si>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</si>
  <si>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</si>
  <si>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</si>
  <si>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</si>
  <si>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</si>
  <si>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</si>
  <si>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</si>
  <si>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</si>
  <si>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</si>
  <si>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</si>
  <si>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</si>
  <si>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</si>
  <si>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</si>
  <si>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</si>
  <si>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</si>
  <si>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</si>
  <si>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</si>
  <si>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</si>
  <si>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</si>
  <si>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</si>
  <si>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</si>
  <si>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</si>
  <si>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</si>
  <si>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</si>
  <si>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</si>
  <si>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</si>
  <si>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</si>
  <si>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</si>
  <si>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</si>
  <si>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</si>
  <si>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</si>
  <si>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</si>
  <si>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</si>
  <si>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</si>
  <si>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</si>
  <si>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</si>
  <si>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</si>
  <si>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</si>
  <si>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</si>
  <si>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</si>
  <si>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</si>
  <si>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</si>
  <si>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</si>
  <si>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</si>
  <si>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</si>
  <si>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</si>
  <si>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</si>
  <si>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</si>
  <si>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</si>
  <si>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</si>
  <si>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</si>
  <si>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</si>
  <si>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</si>
  <si>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</si>
  <si>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</si>
  <si>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</si>
  <si>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</si>
  <si>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</si>
  <si>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</si>
  <si>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</si>
  <si>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</si>
  <si>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</si>
  <si>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</si>
  <si>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</si>
  <si>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</si>
  <si>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</si>
  <si>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</si>
  <si>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</si>
  <si>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</si>
  <si>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</si>
  <si>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</si>
  <si>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</si>
  <si>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</si>
  <si>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</si>
  <si>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</si>
  <si>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</si>
  <si>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</si>
  <si>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</si>
  <si>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</si>
  <si>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</si>
  <si>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</si>
  <si>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</si>
  <si>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</si>
  <si>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</si>
  <si>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</si>
  <si>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</si>
  <si>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</si>
  <si>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</si>
  <si>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</si>
  <si>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</si>
  <si>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</si>
  <si>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</si>
  <si>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</si>
  <si>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</si>
  <si>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</si>
  <si>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</si>
  <si>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</si>
  <si>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</si>
  <si>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</si>
  <si>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</si>
  <si>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</si>
  <si>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</si>
  <si>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</si>
  <si>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</si>
  <si>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</si>
  <si>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</si>
  <si>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</si>
  <si>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</si>
  <si>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</si>
  <si>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</si>
  <si>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</si>
  <si>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</si>
  <si>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</si>
  <si>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</si>
  <si>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</si>
  <si>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</si>
  <si>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</si>
  <si>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</si>
  <si>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</si>
  <si>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</si>
  <si>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</si>
  <si>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</si>
  <si>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</si>
  <si>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</si>
  <si>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</si>
  <si>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</si>
  <si>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</si>
  <si>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</si>
  <si>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</si>
  <si>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</si>
  <si>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</si>
  <si>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</si>
  <si>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</si>
  <si>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</si>
  <si>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</si>
  <si>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</si>
  <si>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</si>
  <si>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</si>
  <si>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</si>
  <si>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</si>
  <si>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</si>
  <si>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</si>
  <si>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</si>
  <si>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</si>
  <si>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</si>
  <si>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</si>
  <si>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</si>
  <si>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</si>
  <si>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</si>
  <si>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</si>
  <si>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</si>
  <si>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</si>
  <si>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</si>
  <si>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</si>
  <si>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</si>
  <si>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</si>
  <si>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</si>
  <si>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</si>
  <si>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</si>
  <si>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</si>
  <si>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</si>
  <si>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</si>
  <si>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</si>
  <si>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</si>
  <si>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</si>
  <si>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</si>
  <si>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</si>
  <si>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</si>
  <si>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</si>
  <si>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</si>
  <si>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</si>
  <si>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</si>
  <si>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</si>
  <si>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</si>
  <si>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</si>
  <si>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</si>
  <si>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</si>
  <si>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</si>
  <si>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</si>
  <si>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</si>
  <si>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</si>
  <si>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</si>
  <si>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</si>
  <si>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</si>
  <si>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</si>
  <si>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</si>
  <si>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</si>
  <si>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</si>
  <si>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</si>
  <si>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</si>
  <si>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</si>
  <si>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</si>
  <si>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</si>
  <si>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</si>
  <si>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</si>
  <si>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</si>
  <si>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</si>
  <si>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</si>
  <si>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</si>
  <si>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</si>
  <si>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</si>
  <si>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</si>
  <si>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</si>
  <si>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</si>
  <si>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</si>
  <si>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</si>
  <si>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</si>
  <si>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</si>
  <si>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</si>
  <si>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</si>
  <si>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</si>
  <si>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</si>
  <si>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</si>
  <si>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</si>
  <si>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</si>
  <si>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</si>
  <si>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</si>
  <si>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</si>
  <si>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</si>
  <si>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</si>
  <si>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</si>
  <si>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</si>
  <si>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</si>
  <si>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</si>
  <si>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</si>
  <si>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</si>
  <si>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</si>
  <si>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</si>
  <si>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</si>
  <si>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</si>
  <si>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</si>
  <si>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</si>
  <si>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</si>
  <si>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</si>
  <si>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</si>
  <si>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</si>
  <si>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</si>
  <si>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</si>
  <si>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</si>
  <si>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</si>
  <si>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</si>
  <si>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</si>
  <si>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</si>
  <si>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</si>
  <si>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</si>
  <si>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</si>
  <si>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</si>
  <si>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</si>
  <si>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</si>
  <si>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</si>
  <si>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</si>
  <si>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</si>
  <si>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</si>
  <si>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</si>
  <si>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</si>
  <si>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</si>
  <si>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</si>
  <si>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</si>
  <si>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</si>
  <si>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</si>
  <si>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</si>
  <si>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</si>
  <si>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</si>
  <si>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</si>
  <si>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</si>
  <si>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</si>
  <si>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</si>
  <si>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</si>
  <si>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</si>
  <si>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</si>
  <si>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</si>
  <si>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</si>
  <si>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</si>
  <si>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</si>
  <si>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</si>
  <si>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</si>
  <si>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</si>
  <si>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</si>
  <si>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</si>
  <si>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</si>
  <si>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</si>
  <si>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</si>
  <si>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</si>
  <si>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</si>
  <si>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</si>
  <si>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</si>
  <si>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</si>
  <si>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</si>
  <si>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</si>
  <si>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</si>
  <si>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</si>
  <si>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</si>
  <si>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</si>
  <si>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</si>
  <si>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</si>
  <si>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</si>
  <si>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</si>
  <si>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</si>
  <si>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</si>
  <si>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</si>
  <si>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Capital intensity</t>
  </si>
  <si>
    <t>Common size growth rates</t>
  </si>
  <si>
    <t>Price 5y</t>
  </si>
  <si>
    <t>Revenue 5y</t>
  </si>
  <si>
    <t>EPS 5y</t>
  </si>
  <si>
    <t>Marketable securities and investments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</si>
</sst>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132.75</v>
    <v>18.965</v>
    <v>2.2189000000000001</v>
    <v>5.875</v>
    <v>5.4885999999999997E-2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119.44</v>
    <v>Semiconductors &amp; Semiconductor Equipment</v>
    <v>Stock</v>
    <v>46184.658226770312</v>
    <v>0</v>
    <v>111.6</v>
    <v>567510790000</v>
    <v>INTEL CORPORATION</v>
    <v>INTEL CORPORATION</v>
    <v>113.85</v>
    <v>0</v>
    <v>107.04</v>
    <v>112.91500000000001</v>
    <v>5026000000</v>
    <v>INTC</v>
    <v>INTEL CORPORATION (XNAS:INTC)</v>
    <v>89416502</v>
    <v>134287791</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0.14000000000000001</v>
    <v>3.0919999999999997E-3</v>
    <v>US</v>
    <v>45.6</v>
    <v>Index</v>
    <v>6</v>
    <v>45.13</v>
    <v>10 Y TSY YLD NDX</v>
    <v>45.34</v>
    <v>45.28</v>
    <v>45.42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tabSelected="1" zoomScale="160" zoomScaleNormal="160" workbookViewId="0">
      <selection activeCell="F46" sqref="F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1" t="s">
        <v>17</v>
      </c>
      <c r="C2" s="232"/>
      <c r="E2" s="231" t="s">
        <v>289</v>
      </c>
      <c r="F2" s="232"/>
      <c r="H2" s="231" t="s">
        <v>330</v>
      </c>
      <c r="I2" s="232"/>
    </row>
    <row r="3" spans="2:9" x14ac:dyDescent="0.2">
      <c r="B3" s="186" t="s">
        <v>11</v>
      </c>
      <c r="C3" s="222" t="e" vm="1">
        <v>#VALUE!</v>
      </c>
      <c r="D3" s="2"/>
      <c r="E3" s="186" t="s">
        <v>241</v>
      </c>
      <c r="F3" s="188">
        <f ca="1">Statement!AC153</f>
        <v>567510.79</v>
      </c>
      <c r="H3" s="186" t="str">
        <f>'AVG target price'!B5</f>
        <v>DCF price</v>
      </c>
      <c r="I3" s="212">
        <f ca="1">'AVG target price'!C5</f>
        <v>-7.1061455419777575</v>
      </c>
    </row>
    <row r="4" spans="2:9" x14ac:dyDescent="0.2">
      <c r="B4" s="186" t="s">
        <v>0</v>
      </c>
      <c r="C4" s="190" t="str" cm="1">
        <f t="array" aca="1" ref="C4" ca="1">_FV(C3,"Ticker symbol",TRUE)</f>
        <v>INTC</v>
      </c>
      <c r="E4" s="187" t="s">
        <v>183</v>
      </c>
      <c r="F4" s="189">
        <f ca="1">Statement!AC154</f>
        <v>584866.79</v>
      </c>
      <c r="H4" s="186" t="str">
        <f>'AVG target price'!B6</f>
        <v>EV/EBIT price</v>
      </c>
      <c r="I4" s="212">
        <f ca="1">'AVG target price'!C6</f>
        <v>36.562604017004602</v>
      </c>
    </row>
    <row r="5" spans="2:9" x14ac:dyDescent="0.2">
      <c r="B5" s="186" t="s">
        <v>1</v>
      </c>
      <c r="C5" s="209" cm="1">
        <f t="array" aca="1" ref="C5" ca="1">_FV(C3,"Price",TRUE)</f>
        <v>112.91500000000001</v>
      </c>
      <c r="E5" s="186" t="s">
        <v>245</v>
      </c>
      <c r="F5" s="190">
        <f>Statement!AC26</f>
        <v>-0.62</v>
      </c>
      <c r="H5" s="186" t="str">
        <f>'AVG target price'!B7</f>
        <v>PS price</v>
      </c>
      <c r="I5" s="212">
        <f>'AVG target price'!C7</f>
        <v>39.399238739054248</v>
      </c>
    </row>
    <row r="6" spans="2:9" x14ac:dyDescent="0.2">
      <c r="B6" s="186" t="s">
        <v>2</v>
      </c>
      <c r="C6" s="209" t="e" cm="1" vm="2">
        <f t="array" ref="C6">_FV(C3,"Price (Extended hours)",TRUE)</f>
        <v>#VALUE!</v>
      </c>
      <c r="E6" s="186" t="s">
        <v>239</v>
      </c>
      <c r="F6" s="191">
        <f ca="1">Statement!AC150</f>
        <v>-182.12096774193549</v>
      </c>
      <c r="H6" s="186" t="str">
        <f>'AVG target price'!B8</f>
        <v>EV/FCFF price</v>
      </c>
      <c r="I6" s="212">
        <f ca="1">'AVG target price'!C8</f>
        <v>-11.387513566081854</v>
      </c>
    </row>
    <row r="7" spans="2:9" x14ac:dyDescent="0.2">
      <c r="B7" s="186" t="s">
        <v>3</v>
      </c>
      <c r="C7" s="6" cm="1">
        <f t="array" aca="1" ref="C7" ca="1">_FV(C3,"Change")</f>
        <v>5.875</v>
      </c>
      <c r="E7" s="187" t="s">
        <v>196</v>
      </c>
      <c r="F7" s="192">
        <f ca="1">Statement!AC151</f>
        <v>9.882661542324648</v>
      </c>
      <c r="H7" s="185" t="str">
        <f>'AVG target price'!B9</f>
        <v>AVG price</v>
      </c>
      <c r="I7" s="213">
        <f ca="1">'AVG target price'!C9</f>
        <v>14.36704591199981</v>
      </c>
    </row>
    <row r="8" spans="2:9" x14ac:dyDescent="0.2">
      <c r="B8" s="186" t="s">
        <v>4</v>
      </c>
      <c r="C8" s="6" t="e" cm="1" vm="3">
        <f t="array" ref="C8">_FV(C3,"Change (extended hours)",TRUE)</f>
        <v>#VALUE!</v>
      </c>
      <c r="E8" s="186" t="s">
        <v>267</v>
      </c>
      <c r="F8" s="193">
        <f ca="1">Statement!AC161</f>
        <v>-9.67382488005206E-3</v>
      </c>
      <c r="H8" s="185" t="str">
        <f>'AVG target price'!B11</f>
        <v>Upside/Downside</v>
      </c>
      <c r="I8" s="214">
        <f ca="1">'AVG target price'!C11</f>
        <v>-0.87276229099765479</v>
      </c>
    </row>
    <row r="9" spans="2:9" x14ac:dyDescent="0.2">
      <c r="B9" s="186" t="s">
        <v>5</v>
      </c>
      <c r="C9" s="72" cm="1">
        <f t="array" aca="1" ref="C9" ca="1">_FV(C3,"Change (%)",TRUE)</f>
        <v>5.4885999999999997E-2</v>
      </c>
      <c r="E9" s="186" t="s">
        <v>290</v>
      </c>
      <c r="F9" s="193">
        <f ca="1">Statement!AC162</f>
        <v>-5.490855953593411E-3</v>
      </c>
    </row>
    <row r="10" spans="2:9" x14ac:dyDescent="0.2">
      <c r="B10" s="186" t="s">
        <v>6</v>
      </c>
      <c r="C10" s="72" t="e" cm="1" vm="4">
        <f t="array" ref="C10">_FV(C3,"Change % (extended hours)",TRUE)</f>
        <v>#VALUE!</v>
      </c>
      <c r="E10" s="186" t="s">
        <v>295</v>
      </c>
      <c r="F10" s="193">
        <f ca="1">Statement!AC164</f>
        <v>0</v>
      </c>
    </row>
    <row r="11" spans="2:9" x14ac:dyDescent="0.2">
      <c r="B11" s="186" t="s">
        <v>7</v>
      </c>
      <c r="C11" s="210" cm="1">
        <f t="array" aca="1" ref="C11" ca="1">_FV(C3,"52 week high",TRUE)</f>
        <v>132.75</v>
      </c>
      <c r="E11" s="187" t="s">
        <v>291</v>
      </c>
      <c r="F11" s="194">
        <f ca="1">Statement!AC163</f>
        <v>0</v>
      </c>
    </row>
    <row r="12" spans="2:9" x14ac:dyDescent="0.2">
      <c r="B12" s="186" t="s">
        <v>8</v>
      </c>
      <c r="C12" s="210" cm="1">
        <f t="array" aca="1" ref="C12" ca="1">_FV(C3,"52 week low",TRUE)</f>
        <v>18.965</v>
      </c>
      <c r="E12" s="186" t="s">
        <v>97</v>
      </c>
      <c r="F12" s="193">
        <f>Statement!AC123</f>
        <v>-1.6402703913661776E-2</v>
      </c>
    </row>
    <row r="13" spans="2:9" x14ac:dyDescent="0.2">
      <c r="B13" s="186" t="s">
        <v>9</v>
      </c>
      <c r="C13" s="210" cm="1">
        <f t="array" aca="1" ref="C13" ca="1">_FV(C3,"Beta")</f>
        <v>2.2189000000000001</v>
      </c>
      <c r="E13" s="186" t="s">
        <v>99</v>
      </c>
      <c r="F13" s="193">
        <f>Statement!AC125</f>
        <v>-3.0235021634917498E-2</v>
      </c>
    </row>
    <row r="14" spans="2:9" x14ac:dyDescent="0.2">
      <c r="B14" s="187" t="s">
        <v>10</v>
      </c>
      <c r="C14" s="211" cm="1">
        <f t="array" aca="1" ref="C14" ca="1">_FV(C3,"Volume average",TRUE)</f>
        <v>134287791</v>
      </c>
      <c r="E14" s="187" t="s">
        <v>100</v>
      </c>
      <c r="F14" s="194">
        <f>Statement!AC140</f>
        <v>-3.9215533980582522E-2</v>
      </c>
    </row>
    <row r="15" spans="2:9" x14ac:dyDescent="0.2">
      <c r="E15" s="186" t="s">
        <v>292</v>
      </c>
      <c r="F15" s="193">
        <f ca="1">Statement!AC176</f>
        <v>-6.6271867711977768E-3</v>
      </c>
    </row>
    <row r="16" spans="2:9" x14ac:dyDescent="0.2">
      <c r="E16" s="187" t="s">
        <v>297</v>
      </c>
      <c r="F16" s="192">
        <f>Statement!AC175</f>
        <v>-0.74830879426979702</v>
      </c>
    </row>
    <row r="17" spans="2:9" x14ac:dyDescent="0.2">
      <c r="B17" s="233" t="s">
        <v>87</v>
      </c>
      <c r="C17" s="233"/>
      <c r="E17" s="185" t="s">
        <v>298</v>
      </c>
      <c r="F17" s="195">
        <f>Statement!AC171</f>
        <v>5.9689614007162755E-4</v>
      </c>
    </row>
    <row r="18" spans="2:9" x14ac:dyDescent="0.2">
      <c r="B18" s="185" t="s">
        <v>12</v>
      </c>
      <c r="C18" s="68" t="s">
        <v>335</v>
      </c>
      <c r="E18" s="186" t="s">
        <v>299</v>
      </c>
      <c r="F18" s="191">
        <f>Statement!AC144</f>
        <v>82.9857136586363</v>
      </c>
      <c r="I18" s="50"/>
    </row>
    <row r="19" spans="2:9" x14ac:dyDescent="0.2">
      <c r="B19" s="185" t="s">
        <v>13</v>
      </c>
      <c r="C19" s="69">
        <v>1000000</v>
      </c>
      <c r="E19" s="186" t="s">
        <v>260</v>
      </c>
      <c r="F19" s="191">
        <f>Statement!AC146</f>
        <v>3.3763039301937268E-2</v>
      </c>
    </row>
    <row r="20" spans="2:9" x14ac:dyDescent="0.2">
      <c r="B20" s="185" t="s">
        <v>88</v>
      </c>
      <c r="C20" s="68" t="s">
        <v>376</v>
      </c>
      <c r="E20" s="187" t="s">
        <v>300</v>
      </c>
      <c r="F20" s="192">
        <f>Statement!AC147</f>
        <v>1.686293472196392</v>
      </c>
    </row>
    <row r="21" spans="2:9" x14ac:dyDescent="0.2">
      <c r="B21" s="185" t="s">
        <v>89</v>
      </c>
      <c r="C21" s="68" t="s">
        <v>376</v>
      </c>
      <c r="I21" s="50"/>
    </row>
    <row r="22" spans="2:9" x14ac:dyDescent="0.2">
      <c r="B22" s="185" t="s">
        <v>90</v>
      </c>
      <c r="C22" s="68" t="s">
        <v>352</v>
      </c>
    </row>
    <row r="25" spans="2:9" x14ac:dyDescent="0.2">
      <c r="B25" s="233" t="s">
        <v>102</v>
      </c>
      <c r="C25" s="233"/>
      <c r="E25" s="231" t="s">
        <v>387</v>
      </c>
      <c r="F25" s="232"/>
    </row>
    <row r="26" spans="2:9" x14ac:dyDescent="0.2">
      <c r="B26" s="185" t="s">
        <v>103</v>
      </c>
      <c r="C26" s="170">
        <v>0.21</v>
      </c>
      <c r="E26" s="186" t="e" vm="5">
        <v>#VALUE!</v>
      </c>
      <c r="F26" s="225" cm="1">
        <f t="array" aca="1" ref="F26" ca="1">_FV(E26,"Price")</f>
        <v>45.42</v>
      </c>
    </row>
    <row r="27" spans="2:9" x14ac:dyDescent="0.2">
      <c r="B27" s="185" t="s">
        <v>167</v>
      </c>
      <c r="C27" s="220">
        <v>5.3999999999999999E-2</v>
      </c>
      <c r="E27" s="187" t="s">
        <v>388</v>
      </c>
      <c r="F27" s="226">
        <f ca="1">F26/1000</f>
        <v>4.5420000000000002E-2</v>
      </c>
    </row>
    <row r="28" spans="2:9" x14ac:dyDescent="0.2">
      <c r="B28" s="185" t="s">
        <v>392</v>
      </c>
      <c r="C28" s="220">
        <v>0</v>
      </c>
    </row>
    <row r="29" spans="2:9" x14ac:dyDescent="0.2">
      <c r="B29" s="185" t="s">
        <v>393</v>
      </c>
      <c r="C29" s="220">
        <v>0.12</v>
      </c>
    </row>
    <row r="33" spans="2:8" x14ac:dyDescent="0.2">
      <c r="B33" s="230" t="s">
        <v>355</v>
      </c>
      <c r="C33" s="230"/>
      <c r="D33" s="230"/>
      <c r="E33" s="230"/>
      <c r="F33" s="230"/>
      <c r="G33" s="230"/>
      <c r="H33" s="230"/>
    </row>
    <row r="35" spans="2:8" x14ac:dyDescent="0.2">
      <c r="B35" s="16" t="s">
        <v>356</v>
      </c>
      <c r="C35" s="1" t="s">
        <v>369</v>
      </c>
    </row>
    <row r="36" spans="2:8" x14ac:dyDescent="0.2">
      <c r="B36" s="16" t="s">
        <v>357</v>
      </c>
      <c r="C36" s="1" t="s">
        <v>386</v>
      </c>
    </row>
    <row r="39" spans="2:8" ht="8" customHeight="1" x14ac:dyDescent="0.2">
      <c r="B39" s="230"/>
      <c r="C39" s="230"/>
      <c r="D39" s="230"/>
      <c r="E39" s="230"/>
      <c r="F39" s="230"/>
      <c r="G39" s="230"/>
      <c r="H39" s="230"/>
    </row>
    <row r="42" spans="2:8" x14ac:dyDescent="0.2">
      <c r="B42" s="230" t="s">
        <v>358</v>
      </c>
      <c r="C42" s="230"/>
      <c r="D42" s="230"/>
      <c r="E42" s="230"/>
      <c r="F42" s="230"/>
      <c r="G42" s="230"/>
      <c r="H42" s="230"/>
    </row>
    <row r="44" spans="2:8" x14ac:dyDescent="0.2">
      <c r="B44" s="41" t="s">
        <v>359</v>
      </c>
      <c r="C44" s="41" t="s">
        <v>342</v>
      </c>
      <c r="D44" s="41" t="s">
        <v>86</v>
      </c>
      <c r="E44" s="219"/>
    </row>
    <row r="45" spans="2:8" x14ac:dyDescent="0.2">
      <c r="B45" s="227" t="s">
        <v>394</v>
      </c>
      <c r="C45" s="1" t="s">
        <v>368</v>
      </c>
    </row>
    <row r="46" spans="2:8" x14ac:dyDescent="0.2">
      <c r="B46" s="227" t="s">
        <v>394</v>
      </c>
      <c r="C46" s="1" t="s">
        <v>370</v>
      </c>
    </row>
    <row r="49" spans="2:8" ht="7" customHeight="1" x14ac:dyDescent="0.2">
      <c r="B49" s="230"/>
      <c r="C49" s="230"/>
      <c r="D49" s="230"/>
      <c r="E49" s="230"/>
      <c r="F49" s="230"/>
      <c r="G49" s="230"/>
      <c r="H49" s="230"/>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60" zoomScaleNormal="150" workbookViewId="0">
      <pane xSplit="2" ySplit="3" topLeftCell="X104" activePane="bottomRight" state="frozen"/>
      <selection pane="topRight" activeCell="C1" sqref="C1"/>
      <selection pane="bottomLeft" activeCell="A4" sqref="A4"/>
      <selection pane="bottomRight" activeCell="AC107" sqref="AC10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341</v>
      </c>
      <c r="N2" s="10" t="s">
        <v>340</v>
      </c>
      <c r="O2" s="10" t="s">
        <v>338</v>
      </c>
      <c r="P2" s="10" t="s">
        <v>337</v>
      </c>
      <c r="Q2" s="10" t="s">
        <v>336</v>
      </c>
      <c r="R2" s="7"/>
      <c r="S2" s="7"/>
      <c r="T2" s="10" t="s">
        <v>351</v>
      </c>
      <c r="U2" s="10" t="s">
        <v>348</v>
      </c>
      <c r="V2" s="10" t="s">
        <v>337</v>
      </c>
      <c r="W2" s="10" t="s">
        <v>344</v>
      </c>
      <c r="X2" s="10" t="s">
        <v>349</v>
      </c>
      <c r="Y2" s="10" t="s">
        <v>346</v>
      </c>
      <c r="Z2" s="10" t="s">
        <v>336</v>
      </c>
      <c r="AA2" s="10" t="s">
        <v>342</v>
      </c>
      <c r="AB2" s="7"/>
      <c r="AD2" s="7"/>
      <c r="AE2" s="7"/>
    </row>
    <row r="3" spans="1:31" s="13" customFormat="1" x14ac:dyDescent="0.2">
      <c r="A3" s="11"/>
      <c r="B3" s="12" t="s">
        <v>16</v>
      </c>
      <c r="M3" s="13">
        <v>2021</v>
      </c>
      <c r="N3" s="13">
        <v>2022</v>
      </c>
      <c r="O3" s="13">
        <v>2023</v>
      </c>
      <c r="P3" s="13">
        <v>2024</v>
      </c>
      <c r="Q3" s="13">
        <v>2025</v>
      </c>
      <c r="R3" s="11"/>
      <c r="S3" s="11"/>
      <c r="T3" s="10" t="s">
        <v>350</v>
      </c>
      <c r="U3" s="10" t="s">
        <v>347</v>
      </c>
      <c r="V3" s="10" t="s">
        <v>345</v>
      </c>
      <c r="W3" s="10" t="s">
        <v>343</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339</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331</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401</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353</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354</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331</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286</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334</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236</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237</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238</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277</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278</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339</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301</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112.91500000000001</v>
      </c>
    </row>
    <row r="117" spans="1:31" x14ac:dyDescent="0.2">
      <c r="B117" s="20" t="s">
        <v>389</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112.91500000000001</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230</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231</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232</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233</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172" t="str">
        <f t="shared" ref="T132:Z132" si="77">IF(T131&gt;T130, "BEAT", IF(T131&lt;T129, "MISSED", "MET"))</f>
        <v>MET</v>
      </c>
      <c r="U132" s="172" t="str">
        <f t="shared" si="77"/>
        <v>MET</v>
      </c>
      <c r="V132" s="172" t="str">
        <f t="shared" si="77"/>
        <v>MET</v>
      </c>
      <c r="W132" s="172" t="str">
        <f t="shared" si="77"/>
        <v>BEAT</v>
      </c>
      <c r="X132" s="172" t="str">
        <f t="shared" si="77"/>
        <v>BEAT</v>
      </c>
      <c r="Y132" s="172" t="str">
        <f t="shared" si="77"/>
        <v>MET</v>
      </c>
      <c r="Z132" s="172" t="str">
        <f t="shared" si="77"/>
        <v>BEAT</v>
      </c>
      <c r="AA132" s="172" t="str">
        <f>IF(AA131&gt;AA130, "BEAT", IF(AA131&lt;AA129, "MISSED", "MET"))</f>
        <v>MISSED</v>
      </c>
      <c r="AC132" s="49"/>
    </row>
    <row r="133" spans="2:29" x14ac:dyDescent="0.2">
      <c r="B133" s="20" t="s">
        <v>365</v>
      </c>
      <c r="C133" s="49"/>
      <c r="D133" s="49"/>
      <c r="E133" s="49"/>
      <c r="F133" s="49"/>
      <c r="G133" s="49"/>
      <c r="H133" s="49"/>
      <c r="I133" s="49"/>
      <c r="J133" s="49"/>
      <c r="K133" s="49"/>
      <c r="L133" s="49"/>
      <c r="M133" s="49"/>
      <c r="N133" s="49"/>
      <c r="O133" s="49"/>
      <c r="P133" s="49"/>
      <c r="Q133" s="49"/>
      <c r="T133" s="218">
        <v>0.34499999999999997</v>
      </c>
      <c r="U133" s="218">
        <v>0.36499999999999999</v>
      </c>
      <c r="V133" s="218">
        <v>0.33800000000000002</v>
      </c>
      <c r="W133" s="218">
        <v>0.34300000000000003</v>
      </c>
      <c r="X133" s="218">
        <v>0.34100000000000003</v>
      </c>
      <c r="Y133" s="218">
        <v>0.34499999999999997</v>
      </c>
      <c r="Z133" s="218">
        <v>0.32300000000000001</v>
      </c>
      <c r="AA133" s="218">
        <v>0.375</v>
      </c>
      <c r="AC133" s="49"/>
    </row>
    <row r="134" spans="2:29" x14ac:dyDescent="0.2">
      <c r="B134" s="20" t="s">
        <v>366</v>
      </c>
      <c r="C134" s="49"/>
      <c r="D134" s="49"/>
      <c r="E134" s="49"/>
      <c r="F134" s="49"/>
      <c r="G134" s="49"/>
      <c r="H134" s="49"/>
      <c r="I134" s="49"/>
      <c r="J134" s="49"/>
      <c r="K134" s="49"/>
      <c r="L134" s="49"/>
      <c r="M134" s="49"/>
      <c r="N134" s="49"/>
      <c r="O134" s="49"/>
      <c r="P134" s="49"/>
      <c r="Q134" s="49"/>
      <c r="T134" s="218">
        <v>0.34499999999999997</v>
      </c>
      <c r="U134" s="218">
        <v>0.36499999999999999</v>
      </c>
      <c r="V134" s="218">
        <v>0.33800000000000002</v>
      </c>
      <c r="W134" s="218">
        <v>0.34300000000000003</v>
      </c>
      <c r="X134" s="218">
        <v>0.34100000000000003</v>
      </c>
      <c r="Y134" s="218">
        <v>0.34499999999999997</v>
      </c>
      <c r="Z134" s="218">
        <v>0.32300000000000001</v>
      </c>
      <c r="AA134" s="218">
        <v>0.375</v>
      </c>
      <c r="AC134" s="49"/>
    </row>
    <row r="135" spans="2:29" x14ac:dyDescent="0.2">
      <c r="B135" s="20" t="s">
        <v>367</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172" t="str">
        <f t="shared" ref="T136:Z136" si="79">IF(T135&gt;T134, "BEAT", IF(T135&lt;T133, "MISSED", "MET"))</f>
        <v>MISSED</v>
      </c>
      <c r="U136" s="172" t="str">
        <f t="shared" si="79"/>
        <v>BEAT</v>
      </c>
      <c r="V136" s="172" t="str">
        <f t="shared" si="79"/>
        <v>BEAT</v>
      </c>
      <c r="W136" s="172" t="str">
        <f t="shared" si="79"/>
        <v>MISSED</v>
      </c>
      <c r="X136" s="172" t="str">
        <f t="shared" si="79"/>
        <v>BEAT</v>
      </c>
      <c r="Y136" s="172" t="str">
        <f t="shared" si="79"/>
        <v>BEAT</v>
      </c>
      <c r="Z136" s="172" t="str">
        <f t="shared" si="79"/>
        <v>BEAT</v>
      </c>
      <c r="AA136" s="172" t="str">
        <f>IF(AA135&gt;AA134, "BEAT", IF(AA135&lt;AA133, "MISSED", "MET"))</f>
        <v>MISSED</v>
      </c>
      <c r="AC136" s="49"/>
    </row>
    <row r="138" spans="2:29" x14ac:dyDescent="0.2">
      <c r="B138" s="1"/>
    </row>
    <row r="139" spans="2:29" ht="17" thickBot="1" x14ac:dyDescent="0.25">
      <c r="B139" s="14" t="s">
        <v>250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253</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257</v>
      </c>
      <c r="M146" s="180">
        <f>(M108-M107)/M49</f>
        <v>3.5537943831179045E-2</v>
      </c>
      <c r="N146" s="180">
        <f>(N108-N107)/N49</f>
        <v>7.691549254113958E-2</v>
      </c>
      <c r="O146" s="180">
        <f>(O108-O107)/O49</f>
        <v>0.17428733781608108</v>
      </c>
      <c r="P146" s="180">
        <f>(P108-P107)/P49</f>
        <v>0.22731943185252343</v>
      </c>
      <c r="Q146" s="180">
        <f>(Q108-Q107)/Q49</f>
        <v>5.7489871457197606E-3</v>
      </c>
      <c r="T146" s="180">
        <f t="shared" ref="T146:AA146" si="94">(T108-T107)/T49</f>
        <v>0.15562054691093388</v>
      </c>
      <c r="U146" s="180">
        <f t="shared" si="94"/>
        <v>0.20751115219225977</v>
      </c>
      <c r="V146" s="180">
        <f t="shared" si="94"/>
        <v>0.22731943185252343</v>
      </c>
      <c r="W146" s="180">
        <f t="shared" si="94"/>
        <v>0.2413488912947592</v>
      </c>
      <c r="X146" s="180">
        <f t="shared" si="94"/>
        <v>0.24690702164829439</v>
      </c>
      <c r="Y146" s="180">
        <f t="shared" si="94"/>
        <v>6.5343686545837401E-2</v>
      </c>
      <c r="Z146" s="180">
        <f t="shared" si="94"/>
        <v>5.7489871457197606E-3</v>
      </c>
      <c r="AA146" s="180">
        <f t="shared" si="94"/>
        <v>3.3763039301937268E-2</v>
      </c>
      <c r="AC146" s="180">
        <f>(AC108-AC107)/AC49</f>
        <v>3.3763039301937268E-2</v>
      </c>
    </row>
    <row r="147" spans="2:29" x14ac:dyDescent="0.2">
      <c r="B147" s="20" t="s">
        <v>254</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255</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261</v>
      </c>
      <c r="M149" s="182" t="str">
        <f>IF(M13&gt;=0,"N/A",IF(M12&lt;=0,"N/A",M12/-M13))</f>
        <v>N/A</v>
      </c>
      <c r="N149" s="182" t="str">
        <f>IF(N13&gt;=0,"N/A",IF(N12&lt;=0,"N/A",N12/-N13))</f>
        <v>N/A</v>
      </c>
      <c r="O149" s="182" t="str">
        <f>IF(O13&gt;=0,"N/A",IF(O12&lt;=0,"N/A",O12/-O13))</f>
        <v>N/A</v>
      </c>
      <c r="P149" s="182" t="str">
        <f>IF(P13&gt;=0,"N/A",IF(P12&lt;=0,"N/A",P12/-P13))</f>
        <v>N/A</v>
      </c>
      <c r="Q149" s="182" t="str">
        <f>IF(Q13&gt;=0,"N/A",IF(Q12&lt;=0,"N/A",Q12/-Q13))</f>
        <v>N/A</v>
      </c>
      <c r="T149" s="182" t="str">
        <f t="shared" ref="T149:AA149" si="97">IF(T13&gt;=0,"N/A",IF(T12&lt;=0,"N/A",T12/-T13))</f>
        <v>N/A</v>
      </c>
      <c r="U149" s="182" t="str">
        <f t="shared" si="97"/>
        <v>N/A</v>
      </c>
      <c r="V149" s="182" t="str">
        <f t="shared" si="97"/>
        <v>N/A</v>
      </c>
      <c r="W149" s="182" t="str">
        <f t="shared" si="97"/>
        <v>N/A</v>
      </c>
      <c r="X149" s="182" t="str">
        <f t="shared" si="97"/>
        <v>N/A</v>
      </c>
      <c r="Y149" s="182" t="str">
        <f t="shared" si="97"/>
        <v>N/A</v>
      </c>
      <c r="Z149" s="182">
        <f t="shared" si="97"/>
        <v>5.9793814432989691</v>
      </c>
      <c r="AA149" s="182" t="str">
        <f t="shared" si="97"/>
        <v>N/A</v>
      </c>
      <c r="AC149" s="182" t="str">
        <f>IF(AC13&gt;=0,"N/A",IF(AC12&lt;=0,"N/A",AC12/-AC13))</f>
        <v>N/A</v>
      </c>
    </row>
    <row r="150" spans="2:29" x14ac:dyDescent="0.2">
      <c r="B150" s="20" t="s">
        <v>239</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-182.12096774193549</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9.882661542324648</v>
      </c>
    </row>
    <row r="152" spans="2:29" x14ac:dyDescent="0.2">
      <c r="B152" s="20" t="s">
        <v>240</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5.094626191715891</v>
      </c>
    </row>
    <row r="153" spans="2:29" x14ac:dyDescent="0.2">
      <c r="B153" s="20" t="s">
        <v>241</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567510.79</v>
      </c>
    </row>
    <row r="154" spans="2:29" x14ac:dyDescent="0.2">
      <c r="B154" s="20" t="s">
        <v>183</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584866.79</v>
      </c>
    </row>
    <row r="155" spans="2:29" x14ac:dyDescent="0.2">
      <c r="B155" s="20" t="s">
        <v>262</v>
      </c>
      <c r="M155" s="184">
        <f>M154/M5</f>
        <v>2.7069615559829927</v>
      </c>
      <c r="N155" s="184">
        <f>N154/N5</f>
        <v>1.8936365654835536</v>
      </c>
      <c r="O155" s="184">
        <f>O154/O5</f>
        <v>4.3582743232278531</v>
      </c>
      <c r="P155" s="184">
        <f>P154/P5</f>
        <v>2.1887911715410255</v>
      </c>
      <c r="Q155" s="184">
        <f>Q154/Q5</f>
        <v>3.6621383838192725</v>
      </c>
      <c r="T155" s="49"/>
      <c r="U155" s="49"/>
      <c r="V155" s="49"/>
      <c r="W155" s="49"/>
      <c r="X155" s="49"/>
      <c r="Y155" s="49"/>
      <c r="Z155" s="49"/>
      <c r="AA155" s="49"/>
      <c r="AC155" s="184">
        <f ca="1">AC154/AC5</f>
        <v>10.878611498614289</v>
      </c>
    </row>
    <row r="156" spans="2:29" x14ac:dyDescent="0.2">
      <c r="B156" s="20" t="s">
        <v>199</v>
      </c>
      <c r="M156" s="184">
        <f>M154/M12</f>
        <v>10.994805201480265</v>
      </c>
      <c r="N156" s="184">
        <f>N154/N12</f>
        <v>51.157395029991427</v>
      </c>
      <c r="O156" s="184">
        <f>O154/O12</f>
        <v>2541.2956989247314</v>
      </c>
      <c r="P156" s="184">
        <f>P154/P12</f>
        <v>-9.9526460010275724</v>
      </c>
      <c r="Q156" s="184">
        <f>Q154/Q12</f>
        <v>-87.42321589882566</v>
      </c>
      <c r="T156" s="49"/>
      <c r="U156" s="49"/>
      <c r="V156" s="49"/>
      <c r="W156" s="49"/>
      <c r="X156" s="49"/>
      <c r="Y156" s="49"/>
      <c r="Z156" s="49"/>
      <c r="AA156" s="49"/>
      <c r="AC156" s="184">
        <f ca="1">AC154/AC12</f>
        <v>-115.83814418696772</v>
      </c>
    </row>
    <row r="157" spans="2:29" x14ac:dyDescent="0.2">
      <c r="B157" s="20" t="s">
        <v>263</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264</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265</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-103.37172859744992</v>
      </c>
    </row>
    <row r="160" spans="2:29" x14ac:dyDescent="0.2">
      <c r="B160" s="20" t="s">
        <v>266</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-68.221951475562818</v>
      </c>
    </row>
    <row r="161" spans="2:29" x14ac:dyDescent="0.2">
      <c r="B161" s="20" t="s">
        <v>267</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-9.67382488005206E-3</v>
      </c>
    </row>
    <row r="162" spans="2:29" x14ac:dyDescent="0.2">
      <c r="B162" s="20" t="s">
        <v>268</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-5.490855953593411E-3</v>
      </c>
    </row>
    <row r="163" spans="2:29" x14ac:dyDescent="0.2">
      <c r="B163" s="20" t="s">
        <v>269</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294</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296</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390</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391</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272</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274</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285</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279</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280</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282</v>
      </c>
      <c r="M173" s="154">
        <f>M54/M59</f>
        <v>6.9120043454644217E-2</v>
      </c>
      <c r="N173" s="154">
        <f>N54/N59</f>
        <v>0.20268256333830104</v>
      </c>
      <c r="O173" s="154">
        <f>O54/O59</f>
        <v>0.28149245924505273</v>
      </c>
      <c r="P173" s="154">
        <f>P54/P59</f>
        <v>0.41143822393822393</v>
      </c>
      <c r="Q173" s="154">
        <f>Q54/Q59</f>
        <v>0.25100546560791998</v>
      </c>
      <c r="T173" s="154" t="e">
        <f t="shared" ref="T173:Y173" si="105">T54/T59</f>
        <v>#DIV/0!</v>
      </c>
      <c r="U173" s="154" t="e">
        <f t="shared" si="105"/>
        <v>#DIV/0!</v>
      </c>
      <c r="V173" s="154" t="e">
        <f t="shared" si="105"/>
        <v>#DIV/0!</v>
      </c>
      <c r="W173" s="154">
        <f t="shared" si="105"/>
        <v>0.84132841328413288</v>
      </c>
      <c r="X173" s="154">
        <f t="shared" si="105"/>
        <v>0.32390243902439025</v>
      </c>
      <c r="Y173" s="154">
        <f t="shared" si="105"/>
        <v>0.2152395915161037</v>
      </c>
      <c r="Z173" s="154">
        <f>W54/W59</f>
        <v>0.84132841328413288</v>
      </c>
      <c r="AA173" s="154">
        <f>AA54/AA59</f>
        <v>0.56660583941605835</v>
      </c>
      <c r="AC173" s="154">
        <f>AC54/AC59</f>
        <v>0.2375751503006012</v>
      </c>
    </row>
    <row r="174" spans="2:29" x14ac:dyDescent="0.2">
      <c r="B174" s="20" t="s">
        <v>283</v>
      </c>
      <c r="M174" s="154">
        <f>M54/M5</f>
        <v>2.5764324762097592E-2</v>
      </c>
      <c r="N174" s="154">
        <f>N54/N5</f>
        <v>4.9608272274558315E-2</v>
      </c>
      <c r="O174" s="154">
        <f>O54/O5</f>
        <v>5.9544884561481153E-2</v>
      </c>
      <c r="P174" s="154">
        <f>P54/P5</f>
        <v>6.4217246379540877E-2</v>
      </c>
      <c r="Q174" s="154">
        <f>Q54/Q5</f>
        <v>4.6052258149963103E-2</v>
      </c>
      <c r="T174" s="154">
        <f t="shared" ref="T174:Y174" si="106">T54/T5</f>
        <v>0</v>
      </c>
      <c r="U174" s="154">
        <f t="shared" si="106"/>
        <v>0</v>
      </c>
      <c r="V174" s="154">
        <f t="shared" si="106"/>
        <v>0</v>
      </c>
      <c r="W174" s="154">
        <f t="shared" si="106"/>
        <v>5.3998578984763561E-2</v>
      </c>
      <c r="X174" s="154">
        <f t="shared" si="106"/>
        <v>5.1636985768722297E-2</v>
      </c>
      <c r="Y174" s="154">
        <f t="shared" si="106"/>
        <v>4.0137698674284038E-2</v>
      </c>
      <c r="Z174" s="154">
        <f>W54/Z5</f>
        <v>5.0021939447125935E-2</v>
      </c>
      <c r="AA174" s="154">
        <f>AA54/AA5</f>
        <v>4.5739117625395891E-2</v>
      </c>
      <c r="AC174" s="154">
        <f>AC54/AC5</f>
        <v>4.4100961627885349E-2</v>
      </c>
    </row>
    <row r="175" spans="2:29" x14ac:dyDescent="0.2">
      <c r="B175" s="20" t="s">
        <v>288</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293</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-6.6271867711977768E-3</v>
      </c>
    </row>
    <row r="177" spans="1:31" x14ac:dyDescent="0.2">
      <c r="B177" s="20" t="s">
        <v>302</v>
      </c>
      <c r="M177" s="154">
        <f>-M110/M5</f>
        <v>0.23705456570155903</v>
      </c>
      <c r="N177" s="154">
        <f>-N110/N5</f>
        <v>0.39401148222158783</v>
      </c>
      <c r="O177" s="154">
        <f>-O110/O5</f>
        <v>0.4748469425389098</v>
      </c>
      <c r="P177" s="154">
        <f>-P110/P5</f>
        <v>0.45091429539933336</v>
      </c>
      <c r="Q177" s="154">
        <f>-Q110/Q5</f>
        <v>0.27710820577829071</v>
      </c>
      <c r="T177" s="154">
        <f t="shared" ref="T177:AA177" si="108">-T110/T5</f>
        <v>0</v>
      </c>
      <c r="U177" s="154">
        <f t="shared" si="108"/>
        <v>0</v>
      </c>
      <c r="V177" s="154">
        <f t="shared" si="108"/>
        <v>0</v>
      </c>
      <c r="W177" s="154">
        <f t="shared" si="108"/>
        <v>0.40917344280413676</v>
      </c>
      <c r="X177" s="154">
        <f t="shared" si="108"/>
        <v>0.27607123415506651</v>
      </c>
      <c r="Y177" s="154">
        <f t="shared" si="108"/>
        <v>0.17761664103127517</v>
      </c>
      <c r="Z177" s="154">
        <f t="shared" si="108"/>
        <v>0.25508263858417435</v>
      </c>
      <c r="AA177" s="154">
        <f t="shared" si="108"/>
        <v>0.2678058481255064</v>
      </c>
      <c r="AC177" s="154">
        <f>-AC110/AC5</f>
        <v>0.24364339787586259</v>
      </c>
    </row>
    <row r="178" spans="1:31" x14ac:dyDescent="0.2">
      <c r="B178" s="20" t="s">
        <v>303</v>
      </c>
      <c r="M178" s="154">
        <f>-(M110/M59)</f>
        <v>0.63596550787615425</v>
      </c>
      <c r="N178" s="154">
        <f>-(N110/N59)</f>
        <v>1.6097971878442299</v>
      </c>
      <c r="O178" s="154">
        <f>-(O110/O59)</f>
        <v>2.2447912126231366</v>
      </c>
      <c r="P178" s="154">
        <f>-(P110/P59)</f>
        <v>2.8889961389961392</v>
      </c>
      <c r="Q178" s="154">
        <f>-(Q110/Q59)</f>
        <v>1.5103640301124059</v>
      </c>
      <c r="T178" s="154" t="e">
        <f t="shared" ref="T178:Y178" si="109">-(T110/T59)</f>
        <v>#DIV/0!</v>
      </c>
      <c r="U178" s="154" t="e">
        <f t="shared" si="109"/>
        <v>#DIV/0!</v>
      </c>
      <c r="V178" s="154" t="e">
        <f t="shared" si="109"/>
        <v>#DIV/0!</v>
      </c>
      <c r="W178" s="154">
        <f t="shared" si="109"/>
        <v>6.375153751537515</v>
      </c>
      <c r="X178" s="154">
        <f t="shared" si="109"/>
        <v>1.7317073170731707</v>
      </c>
      <c r="Y178" s="154">
        <f t="shared" si="109"/>
        <v>0.95247446975648076</v>
      </c>
      <c r="Z178" s="154">
        <f>-(Z110/W59)</f>
        <v>4.2902829028290279</v>
      </c>
      <c r="AA178" s="154">
        <f>-(AA110/AA59)</f>
        <v>3.3175182481751824</v>
      </c>
      <c r="AC178" s="154">
        <f>-(AC110/AC59)</f>
        <v>1.3125250501002004</v>
      </c>
    </row>
    <row r="179" spans="1:31" x14ac:dyDescent="0.2">
      <c r="B179" s="20" t="s">
        <v>304</v>
      </c>
      <c r="M179" s="154">
        <f>-M110/M53</f>
        <v>1.5886194029850746</v>
      </c>
      <c r="N179" s="154">
        <f>-N110/N53</f>
        <v>1.9059455312619868</v>
      </c>
      <c r="O179" s="154">
        <f>-O110/O53</f>
        <v>2.6817329722974379</v>
      </c>
      <c r="P179" s="154">
        <f>-P110/P53</f>
        <v>2.1042270849811056</v>
      </c>
      <c r="Q179" s="154">
        <f>-Q110/Q53</f>
        <v>1.2511532547411583</v>
      </c>
      <c r="T179" s="154" t="e">
        <f t="shared" ref="T179:Y179" si="110">-T110/T53</f>
        <v>#DIV/0!</v>
      </c>
      <c r="U179" s="154" t="e">
        <f t="shared" si="110"/>
        <v>#DIV/0!</v>
      </c>
      <c r="V179" s="154" t="e">
        <f t="shared" si="110"/>
        <v>#DIV/0!</v>
      </c>
      <c r="W179" s="154">
        <f t="shared" si="110"/>
        <v>1.9382946896035902</v>
      </c>
      <c r="X179" s="154">
        <f t="shared" si="110"/>
        <v>1.1782276800531033</v>
      </c>
      <c r="Y179" s="154">
        <f t="shared" si="110"/>
        <v>0.81049465240641716</v>
      </c>
      <c r="Z179" s="154">
        <f>-Z110/W53</f>
        <v>1.3044128646222888</v>
      </c>
      <c r="AA179" s="154">
        <f>-AA110/AA53</f>
        <v>1.159438775510204</v>
      </c>
      <c r="AC179" s="154">
        <f>-AC110/AC53</f>
        <v>1.0765121630506247</v>
      </c>
    </row>
    <row r="180" spans="1:31" x14ac:dyDescent="0.2">
      <c r="B180" s="20" t="s">
        <v>396</v>
      </c>
      <c r="M180" s="71">
        <f>M37/M5</f>
        <v>2.1310741040696497</v>
      </c>
      <c r="N180" s="71">
        <f>N37/N5</f>
        <v>2.8880483395185079</v>
      </c>
      <c r="O180" s="71">
        <f>O37/O5</f>
        <v>3.5327137272257874</v>
      </c>
      <c r="P180" s="71">
        <f>P37/P5</f>
        <v>3.7002128020187945</v>
      </c>
      <c r="Q180" s="71">
        <f>Q37/Q5</f>
        <v>4.0003216468317788</v>
      </c>
      <c r="T180" s="49"/>
      <c r="U180" s="49"/>
      <c r="V180" s="49"/>
      <c r="W180" s="49"/>
      <c r="X180" s="49"/>
      <c r="Y180" s="49"/>
      <c r="Z180" s="49"/>
      <c r="AA180" s="49"/>
      <c r="AC180" s="71">
        <f>AC37/AC5</f>
        <v>3.8192065174934435</v>
      </c>
    </row>
    <row r="182" spans="1:31" x14ac:dyDescent="0.2">
      <c r="B182" s="1"/>
    </row>
    <row r="183" spans="1:31" s="15" customFormat="1" ht="17" thickBot="1" x14ac:dyDescent="0.25">
      <c r="A183" s="11"/>
      <c r="B183" s="14" t="s">
        <v>79</v>
      </c>
      <c r="R183" s="1"/>
      <c r="S183" s="1"/>
      <c r="AB183" s="1"/>
      <c r="AD183" s="1"/>
      <c r="AE183" s="1"/>
    </row>
    <row r="184" spans="1:31" x14ac:dyDescent="0.2">
      <c r="B184" s="217" t="s">
        <v>360</v>
      </c>
      <c r="C184" s="61"/>
      <c r="D184" s="61"/>
      <c r="E184" s="61"/>
      <c r="F184" s="61"/>
      <c r="G184" s="61"/>
      <c r="H184" s="61"/>
      <c r="I184" s="61"/>
      <c r="J184" s="61"/>
      <c r="K184" s="61"/>
      <c r="L184" s="61"/>
      <c r="M184" s="61">
        <v>41081</v>
      </c>
      <c r="N184" s="61">
        <v>31773</v>
      </c>
      <c r="O184" s="61">
        <v>29258</v>
      </c>
      <c r="P184" s="61">
        <v>33346</v>
      </c>
      <c r="Q184" s="61">
        <v>32228</v>
      </c>
      <c r="T184" s="61">
        <v>8143</v>
      </c>
      <c r="U184" s="61">
        <v>8161</v>
      </c>
      <c r="V184" s="61">
        <v>8769</v>
      </c>
      <c r="W184" s="61">
        <v>7629</v>
      </c>
      <c r="X184" s="61">
        <v>7871</v>
      </c>
      <c r="Y184" s="61">
        <v>8535</v>
      </c>
      <c r="Z184" s="61">
        <v>8193</v>
      </c>
      <c r="AA184" s="61">
        <v>7727</v>
      </c>
      <c r="AC184" s="61">
        <f>SUM(X184:AA184)</f>
        <v>32326</v>
      </c>
    </row>
    <row r="185" spans="1:31" x14ac:dyDescent="0.2">
      <c r="B185" s="217" t="s">
        <v>361</v>
      </c>
      <c r="C185" s="61"/>
      <c r="D185" s="61"/>
      <c r="E185" s="61"/>
      <c r="F185" s="61"/>
      <c r="G185" s="61"/>
      <c r="H185" s="61"/>
      <c r="I185" s="61"/>
      <c r="J185" s="61"/>
      <c r="K185" s="61"/>
      <c r="L185" s="61"/>
      <c r="M185" s="61">
        <f>22774+7665</f>
        <v>30439</v>
      </c>
      <c r="N185" s="61">
        <f>19445+8409</f>
        <v>27854</v>
      </c>
      <c r="O185" s="61">
        <f>15521+5774</f>
        <v>21295</v>
      </c>
      <c r="P185" s="61">
        <v>16125</v>
      </c>
      <c r="Q185" s="61">
        <v>16919</v>
      </c>
      <c r="T185" s="61">
        <v>3805</v>
      </c>
      <c r="U185" s="61">
        <v>4141</v>
      </c>
      <c r="V185" s="61">
        <v>4351</v>
      </c>
      <c r="W185" s="61">
        <v>4126</v>
      </c>
      <c r="X185" s="61">
        <v>3939</v>
      </c>
      <c r="Y185" s="61">
        <v>4117</v>
      </c>
      <c r="Z185" s="61">
        <v>4737</v>
      </c>
      <c r="AA185" s="61">
        <v>5052</v>
      </c>
      <c r="AC185" s="61">
        <f t="shared" ref="AC185:AC194" si="111">SUM(X185:AA185)</f>
        <v>17845</v>
      </c>
    </row>
    <row r="186" spans="1:31" x14ac:dyDescent="0.2">
      <c r="B186" s="20" t="s">
        <v>362</v>
      </c>
      <c r="C186" s="61"/>
      <c r="D186" s="61"/>
      <c r="E186" s="61"/>
      <c r="F186" s="61"/>
      <c r="G186" s="61"/>
      <c r="H186" s="61"/>
      <c r="I186" s="61"/>
      <c r="J186" s="61"/>
      <c r="K186" s="61"/>
      <c r="L186" s="61"/>
      <c r="M186" s="61">
        <f>M185+M184</f>
        <v>71520</v>
      </c>
      <c r="N186" s="61">
        <f>N184+N185</f>
        <v>59627</v>
      </c>
      <c r="O186" s="61">
        <f>O184+O185</f>
        <v>50553</v>
      </c>
      <c r="P186" s="61">
        <v>49471</v>
      </c>
      <c r="Q186" s="61">
        <v>49147</v>
      </c>
      <c r="T186" s="61">
        <v>11948</v>
      </c>
      <c r="U186" s="61">
        <v>12302</v>
      </c>
      <c r="V186" s="61">
        <v>13120</v>
      </c>
      <c r="W186" s="61">
        <v>11755</v>
      </c>
      <c r="X186" s="61">
        <v>11810</v>
      </c>
      <c r="Y186" s="61">
        <v>12652</v>
      </c>
      <c r="Z186" s="61">
        <v>12930</v>
      </c>
      <c r="AA186" s="61">
        <v>12779</v>
      </c>
      <c r="AC186" s="61">
        <f t="shared" si="111"/>
        <v>50171</v>
      </c>
    </row>
    <row r="187" spans="1:31" x14ac:dyDescent="0.2">
      <c r="B187" s="20" t="s">
        <v>363</v>
      </c>
      <c r="C187" s="21"/>
      <c r="D187" s="21"/>
      <c r="E187" s="21"/>
      <c r="F187" s="21"/>
      <c r="G187" s="21"/>
      <c r="H187" s="21"/>
      <c r="I187" s="21"/>
      <c r="J187" s="21"/>
      <c r="K187" s="21"/>
      <c r="L187" s="21"/>
      <c r="M187" s="61">
        <v>347</v>
      </c>
      <c r="N187" s="61">
        <v>469</v>
      </c>
      <c r="O187" s="61">
        <v>952</v>
      </c>
      <c r="P187" s="61">
        <v>17317</v>
      </c>
      <c r="Q187" s="61">
        <v>17826</v>
      </c>
      <c r="T187" s="61">
        <v>4282</v>
      </c>
      <c r="U187" s="61">
        <v>4339</v>
      </c>
      <c r="V187" s="61">
        <v>4340</v>
      </c>
      <c r="W187" s="61">
        <v>4667</v>
      </c>
      <c r="X187" s="61">
        <v>4417</v>
      </c>
      <c r="Y187" s="61">
        <v>4235</v>
      </c>
      <c r="Z187" s="61">
        <v>4507</v>
      </c>
      <c r="AA187" s="61">
        <v>5421</v>
      </c>
      <c r="AC187" s="61">
        <f t="shared" si="111"/>
        <v>18580</v>
      </c>
    </row>
    <row r="188" spans="1:31" x14ac:dyDescent="0.2">
      <c r="B188" s="20" t="s">
        <v>364</v>
      </c>
      <c r="C188" s="61"/>
      <c r="D188" s="61"/>
      <c r="E188" s="61"/>
      <c r="F188" s="61"/>
      <c r="G188" s="61"/>
      <c r="H188" s="61"/>
      <c r="I188" s="61"/>
      <c r="J188" s="61"/>
      <c r="K188" s="61"/>
      <c r="L188" s="61"/>
      <c r="M188" s="61">
        <f>1386+5771</f>
        <v>7157</v>
      </c>
      <c r="N188" s="61">
        <f>1869+1089</f>
        <v>2958</v>
      </c>
      <c r="O188" s="61">
        <f>644+2079</f>
        <v>2723</v>
      </c>
      <c r="P188" s="61">
        <v>3601</v>
      </c>
      <c r="Q188" s="61">
        <v>3563</v>
      </c>
      <c r="T188" s="61">
        <v>881</v>
      </c>
      <c r="U188" s="61">
        <v>964</v>
      </c>
      <c r="V188" s="61">
        <v>1113</v>
      </c>
      <c r="W188" s="61">
        <v>943</v>
      </c>
      <c r="X188" s="61">
        <v>1053</v>
      </c>
      <c r="Y188" s="61">
        <v>993</v>
      </c>
      <c r="Z188" s="61">
        <v>574</v>
      </c>
      <c r="AA188" s="61">
        <v>628</v>
      </c>
      <c r="AC188" s="61">
        <f t="shared" si="111"/>
        <v>3248</v>
      </c>
    </row>
    <row r="189" spans="1:31" x14ac:dyDescent="0.2">
      <c r="C189" s="61"/>
      <c r="D189" s="61"/>
      <c r="E189" s="61"/>
      <c r="F189" s="61"/>
      <c r="G189" s="61"/>
      <c r="H189" s="61"/>
      <c r="I189" s="61"/>
      <c r="J189" s="61"/>
      <c r="K189" s="61"/>
      <c r="L189" s="61"/>
      <c r="M189" s="61"/>
      <c r="N189" s="61"/>
      <c r="O189" s="61"/>
      <c r="P189" s="61"/>
      <c r="Q189" s="61"/>
      <c r="T189" s="61"/>
      <c r="U189" s="61"/>
      <c r="V189" s="61"/>
      <c r="W189" s="61"/>
      <c r="X189" s="61"/>
      <c r="Y189" s="61"/>
      <c r="Z189" s="61"/>
      <c r="AA189" s="61"/>
      <c r="AC189" s="61"/>
    </row>
    <row r="190" spans="1:31" x14ac:dyDescent="0.2">
      <c r="B190" s="217" t="s">
        <v>371</v>
      </c>
      <c r="C190" s="61"/>
      <c r="D190" s="61"/>
      <c r="E190" s="61"/>
      <c r="F190" s="61"/>
      <c r="G190" s="61"/>
      <c r="H190" s="61"/>
      <c r="I190" s="61"/>
      <c r="J190" s="61"/>
      <c r="K190" s="61"/>
      <c r="L190" s="61"/>
      <c r="M190" s="61">
        <f>M184-15523</f>
        <v>25558</v>
      </c>
      <c r="N190" s="61">
        <f>N184-5569</f>
        <v>26204</v>
      </c>
      <c r="O190" s="61">
        <f>O184-6520</f>
        <v>22738</v>
      </c>
      <c r="P190" s="61">
        <v>21752</v>
      </c>
      <c r="Q190" s="61">
        <v>22911</v>
      </c>
      <c r="T190" s="61">
        <v>5502</v>
      </c>
      <c r="U190" s="61">
        <v>5224</v>
      </c>
      <c r="V190" s="61">
        <v>5575</v>
      </c>
      <c r="W190" s="61">
        <v>5268</v>
      </c>
      <c r="X190" s="61">
        <v>5818</v>
      </c>
      <c r="Y190" s="61">
        <v>5841</v>
      </c>
      <c r="Z190" s="61">
        <v>5984</v>
      </c>
      <c r="AA190" s="61">
        <v>2516</v>
      </c>
      <c r="AC190" s="61">
        <f t="shared" si="111"/>
        <v>20159</v>
      </c>
    </row>
    <row r="191" spans="1:31" x14ac:dyDescent="0.2">
      <c r="B191" s="217" t="s">
        <v>372</v>
      </c>
      <c r="C191" s="61"/>
      <c r="D191" s="61"/>
      <c r="E191" s="61"/>
      <c r="F191" s="61"/>
      <c r="G191" s="61"/>
      <c r="H191" s="61"/>
      <c r="I191" s="61"/>
      <c r="J191" s="61"/>
      <c r="K191" s="61"/>
      <c r="L191" s="61"/>
      <c r="M191" s="61">
        <f>M185-7376-1935</f>
        <v>21128</v>
      </c>
      <c r="N191" s="61">
        <f>N185-1300-1033</f>
        <v>25521</v>
      </c>
      <c r="O191" s="61">
        <f>O185+530+482</f>
        <v>22307</v>
      </c>
      <c r="P191" s="61">
        <v>14711</v>
      </c>
      <c r="Q191" s="61">
        <v>13497</v>
      </c>
      <c r="T191" s="61">
        <v>3563</v>
      </c>
      <c r="U191" s="61">
        <v>3760</v>
      </c>
      <c r="V191" s="61">
        <v>3977</v>
      </c>
      <c r="W191" s="61">
        <v>3551</v>
      </c>
      <c r="X191" s="61">
        <v>3306</v>
      </c>
      <c r="Y191" s="61">
        <v>3153</v>
      </c>
      <c r="Z191" s="61">
        <v>3487</v>
      </c>
      <c r="AA191" s="61">
        <v>3510</v>
      </c>
      <c r="AC191" s="61">
        <f t="shared" si="111"/>
        <v>13456</v>
      </c>
    </row>
    <row r="192" spans="1:31" x14ac:dyDescent="0.2">
      <c r="B192" s="20" t="s">
        <v>373</v>
      </c>
      <c r="C192" s="61"/>
      <c r="D192" s="61"/>
      <c r="E192" s="61"/>
      <c r="F192" s="61"/>
      <c r="G192" s="61"/>
      <c r="H192" s="61"/>
      <c r="I192" s="61"/>
      <c r="J192" s="61"/>
      <c r="K192" s="61"/>
      <c r="L192" s="61"/>
      <c r="M192" s="61">
        <f>M190+M191</f>
        <v>46686</v>
      </c>
      <c r="N192" s="61">
        <f>N190+N191</f>
        <v>51725</v>
      </c>
      <c r="O192" s="61">
        <f>O190+O191</f>
        <v>45045</v>
      </c>
      <c r="P192" s="61">
        <v>36463</v>
      </c>
      <c r="Q192" s="61">
        <v>36408</v>
      </c>
      <c r="T192" s="61">
        <v>9065</v>
      </c>
      <c r="U192" s="61">
        <v>8984</v>
      </c>
      <c r="V192" s="61">
        <v>9552</v>
      </c>
      <c r="W192" s="61">
        <v>8819</v>
      </c>
      <c r="X192" s="61">
        <v>9124</v>
      </c>
      <c r="Y192" s="61">
        <v>8994</v>
      </c>
      <c r="Z192" s="61">
        <v>9471</v>
      </c>
      <c r="AA192" s="61">
        <v>8721</v>
      </c>
      <c r="AC192" s="61">
        <f t="shared" si="111"/>
        <v>36310</v>
      </c>
    </row>
    <row r="193" spans="2:29" x14ac:dyDescent="0.2">
      <c r="B193" s="20" t="s">
        <v>374</v>
      </c>
      <c r="C193" s="61"/>
      <c r="D193" s="61"/>
      <c r="E193" s="61"/>
      <c r="F193" s="61"/>
      <c r="G193" s="61"/>
      <c r="H193" s="61"/>
      <c r="I193" s="61"/>
      <c r="J193" s="61"/>
      <c r="K193" s="61"/>
      <c r="L193" s="61"/>
      <c r="M193" s="61">
        <f>M187-76</f>
        <v>271</v>
      </c>
      <c r="N193" s="61">
        <f>N187+281</f>
        <v>750</v>
      </c>
      <c r="O193" s="61">
        <f>O187+482</f>
        <v>1434</v>
      </c>
      <c r="P193" s="61">
        <v>30608</v>
      </c>
      <c r="Q193" s="61">
        <v>28144</v>
      </c>
      <c r="T193" s="61">
        <v>7084</v>
      </c>
      <c r="U193" s="61">
        <v>10138</v>
      </c>
      <c r="V193" s="61">
        <v>6589</v>
      </c>
      <c r="W193" s="61">
        <v>6987</v>
      </c>
      <c r="X193" s="61">
        <v>7585</v>
      </c>
      <c r="Y193" s="61">
        <v>6556</v>
      </c>
      <c r="Z193" s="61">
        <v>7016</v>
      </c>
      <c r="AA193" s="61">
        <v>7858</v>
      </c>
      <c r="AC193" s="61">
        <f t="shared" si="111"/>
        <v>29015</v>
      </c>
    </row>
    <row r="194" spans="2:29" x14ac:dyDescent="0.2">
      <c r="B194" s="20" t="s">
        <v>375</v>
      </c>
      <c r="C194" s="61"/>
      <c r="D194" s="61"/>
      <c r="E194" s="61"/>
      <c r="F194" s="61"/>
      <c r="G194" s="61"/>
      <c r="H194" s="61"/>
      <c r="I194" s="61"/>
      <c r="J194" s="61"/>
      <c r="K194" s="61"/>
      <c r="L194" s="61"/>
      <c r="M194" s="61">
        <f>M188+6008-554</f>
        <v>12611</v>
      </c>
      <c r="N194" s="61">
        <f>N188+5977-690</f>
        <v>8245</v>
      </c>
      <c r="O194" s="61">
        <f>O188+5597-664</f>
        <v>7656</v>
      </c>
      <c r="P194" s="61">
        <v>3658</v>
      </c>
      <c r="Q194" s="61">
        <v>3299</v>
      </c>
      <c r="T194" s="61">
        <v>927</v>
      </c>
      <c r="U194" s="61">
        <v>959</v>
      </c>
      <c r="V194" s="61">
        <v>959</v>
      </c>
      <c r="W194" s="61">
        <v>840</v>
      </c>
      <c r="X194" s="61">
        <v>984</v>
      </c>
      <c r="Y194" s="61">
        <v>893</v>
      </c>
      <c r="Z194" s="61">
        <v>582</v>
      </c>
      <c r="AA194" s="61">
        <v>526</v>
      </c>
      <c r="AC194" s="61">
        <f t="shared" si="111"/>
        <v>2985</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313</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17" t="s">
        <v>360</v>
      </c>
      <c r="C198" s="80"/>
      <c r="D198" s="80"/>
      <c r="E198" s="80"/>
      <c r="F198" s="80"/>
      <c r="G198" s="80"/>
      <c r="H198" s="80"/>
      <c r="I198" s="80"/>
      <c r="J198" s="80"/>
      <c r="K198" s="80"/>
      <c r="L198" s="80"/>
      <c r="M198" s="80">
        <f t="shared" ref="M198:Q202" si="112">IF(L184=0,
IF(M184=0,0,IF(M184&gt;0,1,-1)),
(M184-L184)/ABS(L184)
)</f>
        <v>1</v>
      </c>
      <c r="N198" s="80">
        <f t="shared" si="112"/>
        <v>-0.22657676298045326</v>
      </c>
      <c r="O198" s="80">
        <f t="shared" si="112"/>
        <v>-7.9155257608661447E-2</v>
      </c>
      <c r="P198" s="80">
        <f t="shared" si="112"/>
        <v>0.139722469068289</v>
      </c>
      <c r="Q198" s="80">
        <f t="shared" si="112"/>
        <v>-3.3527259641336293E-2</v>
      </c>
      <c r="T198" s="80">
        <f t="shared" ref="T198:AA202" si="113">IF(S184=0,
IF(T184=0,0,IF(T184&gt;0,1,-1)),
(T184-S184)/ABS(S184)
)</f>
        <v>1</v>
      </c>
      <c r="U198" s="80">
        <f t="shared" si="113"/>
        <v>2.2104875353063983E-3</v>
      </c>
      <c r="V198" s="80">
        <f t="shared" si="113"/>
        <v>7.4500673937017522E-2</v>
      </c>
      <c r="W198" s="80">
        <f t="shared" si="113"/>
        <v>-0.13000342114266164</v>
      </c>
      <c r="X198" s="80">
        <f t="shared" si="113"/>
        <v>3.1721064359680168E-2</v>
      </c>
      <c r="Y198" s="80">
        <f t="shared" si="113"/>
        <v>8.436030999872951E-2</v>
      </c>
      <c r="Z198" s="80">
        <f t="shared" si="113"/>
        <v>-4.0070298769771528E-2</v>
      </c>
      <c r="AA198" s="80">
        <f t="shared" si="113"/>
        <v>-5.687782253142927E-2</v>
      </c>
      <c r="AC198" s="49"/>
    </row>
    <row r="199" spans="2:29" x14ac:dyDescent="0.2">
      <c r="B199" s="217" t="s">
        <v>361</v>
      </c>
      <c r="M199" s="80">
        <f t="shared" si="112"/>
        <v>1</v>
      </c>
      <c r="N199" s="80">
        <f t="shared" si="112"/>
        <v>-8.4923946253162061E-2</v>
      </c>
      <c r="O199" s="80">
        <f t="shared" si="112"/>
        <v>-0.23547784878293962</v>
      </c>
      <c r="P199" s="80">
        <f t="shared" si="112"/>
        <v>-0.242779995304062</v>
      </c>
      <c r="Q199" s="80">
        <f t="shared" si="112"/>
        <v>4.9240310077519382E-2</v>
      </c>
      <c r="T199" s="80">
        <f t="shared" si="113"/>
        <v>1</v>
      </c>
      <c r="U199" s="80">
        <f t="shared" si="113"/>
        <v>8.8304862023653091E-2</v>
      </c>
      <c r="V199" s="80">
        <f t="shared" si="113"/>
        <v>5.0712388312001935E-2</v>
      </c>
      <c r="W199" s="80">
        <f t="shared" si="113"/>
        <v>-5.1712250057458053E-2</v>
      </c>
      <c r="X199" s="80">
        <f t="shared" si="113"/>
        <v>-4.5322346097915654E-2</v>
      </c>
      <c r="Y199" s="80">
        <f t="shared" si="113"/>
        <v>4.5189134298045192E-2</v>
      </c>
      <c r="Z199" s="80">
        <f t="shared" si="113"/>
        <v>0.15059509351469516</v>
      </c>
      <c r="AA199" s="80">
        <f t="shared" si="113"/>
        <v>6.6497783407219763E-2</v>
      </c>
      <c r="AC199" s="49"/>
    </row>
    <row r="200" spans="2:29" x14ac:dyDescent="0.2">
      <c r="B200" s="20" t="s">
        <v>362</v>
      </c>
      <c r="M200" s="80">
        <f t="shared" si="112"/>
        <v>1</v>
      </c>
      <c r="N200" s="80">
        <f t="shared" si="112"/>
        <v>-0.16628914988814317</v>
      </c>
      <c r="O200" s="80">
        <f t="shared" si="112"/>
        <v>-0.1521793818236705</v>
      </c>
      <c r="P200" s="80">
        <f t="shared" si="112"/>
        <v>-2.1403279726227919E-2</v>
      </c>
      <c r="Q200" s="80">
        <f t="shared" si="112"/>
        <v>-6.5492915041135214E-3</v>
      </c>
      <c r="T200" s="80">
        <f t="shared" si="113"/>
        <v>1</v>
      </c>
      <c r="U200" s="80">
        <f t="shared" si="113"/>
        <v>2.9628389688650822E-2</v>
      </c>
      <c r="V200" s="80">
        <f t="shared" si="113"/>
        <v>6.6493253129572424E-2</v>
      </c>
      <c r="W200" s="80">
        <f t="shared" si="113"/>
        <v>-0.10403963414634146</v>
      </c>
      <c r="X200" s="80">
        <f t="shared" si="113"/>
        <v>4.6788600595491277E-3</v>
      </c>
      <c r="Y200" s="80">
        <f t="shared" si="113"/>
        <v>7.1295512277730733E-2</v>
      </c>
      <c r="Z200" s="80">
        <f t="shared" si="113"/>
        <v>2.1972810622826432E-2</v>
      </c>
      <c r="AA200" s="80">
        <f t="shared" si="113"/>
        <v>-1.1678267594740912E-2</v>
      </c>
      <c r="AC200" s="49"/>
    </row>
    <row r="201" spans="2:29" x14ac:dyDescent="0.2">
      <c r="B201" s="20" t="s">
        <v>363</v>
      </c>
      <c r="M201" s="80">
        <f t="shared" si="112"/>
        <v>1</v>
      </c>
      <c r="N201" s="80">
        <f t="shared" si="112"/>
        <v>0.35158501440922191</v>
      </c>
      <c r="O201" s="80">
        <f t="shared" si="112"/>
        <v>1.0298507462686568</v>
      </c>
      <c r="P201" s="80">
        <f t="shared" si="112"/>
        <v>17.190126050420169</v>
      </c>
      <c r="Q201" s="80">
        <f t="shared" si="112"/>
        <v>2.9393081942599757E-2</v>
      </c>
      <c r="T201" s="80">
        <f t="shared" si="113"/>
        <v>1</v>
      </c>
      <c r="U201" s="80">
        <f t="shared" si="113"/>
        <v>1.3311536665109761E-2</v>
      </c>
      <c r="V201" s="80">
        <f t="shared" si="113"/>
        <v>2.3046784973496196E-4</v>
      </c>
      <c r="W201" s="80">
        <f t="shared" si="113"/>
        <v>7.5345622119815672E-2</v>
      </c>
      <c r="X201" s="80">
        <f t="shared" si="113"/>
        <v>-5.3567602314120423E-2</v>
      </c>
      <c r="Y201" s="80">
        <f t="shared" si="113"/>
        <v>-4.1204437400950873E-2</v>
      </c>
      <c r="Z201" s="80">
        <f t="shared" si="113"/>
        <v>6.4226682408500588E-2</v>
      </c>
      <c r="AA201" s="80">
        <f t="shared" si="113"/>
        <v>0.2027956512092301</v>
      </c>
      <c r="AC201" s="49"/>
    </row>
    <row r="202" spans="2:29" x14ac:dyDescent="0.2">
      <c r="B202" s="20" t="s">
        <v>364</v>
      </c>
      <c r="M202" s="80">
        <f t="shared" si="112"/>
        <v>1</v>
      </c>
      <c r="N202" s="80">
        <f t="shared" si="112"/>
        <v>-0.58669833729216148</v>
      </c>
      <c r="O202" s="80">
        <f t="shared" si="112"/>
        <v>-7.9445571331981074E-2</v>
      </c>
      <c r="P202" s="80">
        <f t="shared" si="112"/>
        <v>0.32243848696290855</v>
      </c>
      <c r="Q202" s="80">
        <f t="shared" si="112"/>
        <v>-1.0552624271035824E-2</v>
      </c>
      <c r="T202" s="80">
        <f t="shared" si="113"/>
        <v>1</v>
      </c>
      <c r="U202" s="80">
        <f t="shared" si="113"/>
        <v>9.4211123723041995E-2</v>
      </c>
      <c r="V202" s="80">
        <f t="shared" si="113"/>
        <v>0.1545643153526971</v>
      </c>
      <c r="W202" s="80">
        <f t="shared" si="113"/>
        <v>-0.1527403414195867</v>
      </c>
      <c r="X202" s="80">
        <f t="shared" si="113"/>
        <v>0.11664899257688228</v>
      </c>
      <c r="Y202" s="80">
        <f t="shared" si="113"/>
        <v>-5.6980056980056981E-2</v>
      </c>
      <c r="Z202" s="80">
        <f t="shared" si="113"/>
        <v>-0.42195367573011078</v>
      </c>
      <c r="AA202" s="80">
        <f t="shared" si="113"/>
        <v>9.4076655052264813E-2</v>
      </c>
      <c r="AC202" s="49"/>
    </row>
    <row r="204" spans="2:29" x14ac:dyDescent="0.2">
      <c r="B204" s="1"/>
    </row>
    <row r="205" spans="2:29" ht="17" thickBot="1" x14ac:dyDescent="0.25">
      <c r="B205" s="14" t="s">
        <v>314</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286</v>
      </c>
      <c r="C206" s="80"/>
      <c r="D206" s="80"/>
      <c r="E206" s="80"/>
      <c r="F206" s="80"/>
      <c r="G206" s="80"/>
      <c r="H206" s="80"/>
      <c r="I206" s="80"/>
      <c r="J206" s="80"/>
      <c r="K206" s="80"/>
      <c r="L206" s="80"/>
      <c r="M206" s="80">
        <f>IF(L64=0,
IF(M64=0,0,IF(M64&gt;0,1,-1)),
(M64-L64)/L64
)</f>
        <v>-1</v>
      </c>
      <c r="N206" s="80">
        <f>IF(M64=0,
IF(N64=0,0,IF(N64&gt;0,1,-1)),
(N64-M64)/M64
)</f>
        <v>6.2544294826364283E-2</v>
      </c>
      <c r="O206" s="80">
        <f>IF(N64=0,
IF(O64=0,0,IF(O64&gt;0,1,-1)),
(O64-N64)/N64
)</f>
        <v>-0.48507587126896784</v>
      </c>
      <c r="P206" s="80">
        <f>IF(O64=0,
IF(P64=0,0,IF(P64&gt;0,1,-1)),
(P64-O64)/O64
)</f>
        <v>-0.48218911917098445</v>
      </c>
      <c r="Q206" s="80">
        <f>IF(P64=0,
IF(Q64=0,0,IF(Q64&gt;0,1,-1)),
(Q64-P64)/P64
)</f>
        <v>-1</v>
      </c>
      <c r="T206" s="49"/>
      <c r="U206" s="49"/>
      <c r="V206" s="49"/>
      <c r="W206" s="49"/>
      <c r="X206" s="49"/>
      <c r="Y206" s="49"/>
      <c r="Z206" s="49"/>
      <c r="AA206" s="49"/>
      <c r="AC206" s="49"/>
    </row>
    <row r="208" spans="2:29" x14ac:dyDescent="0.2">
      <c r="B208" s="1"/>
    </row>
    <row r="209" spans="1:31" ht="17" thickBot="1" x14ac:dyDescent="0.25">
      <c r="B209" s="14" t="s">
        <v>397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398</v>
      </c>
      <c r="M210" s="143">
        <v>100</v>
      </c>
      <c r="N210" s="143">
        <f>100*(1+((N117-$M117)/ABS($M117)))</f>
        <v>51.510426817384527</v>
      </c>
      <c r="O210" s="143">
        <f t="shared" ref="O210:Q210" si="114">100*(1+((O117-$M117)/ABS($M117)))</f>
        <v>97.934125901383737</v>
      </c>
      <c r="P210" s="143">
        <f t="shared" si="114"/>
        <v>39.563437926330145</v>
      </c>
      <c r="Q210" s="143">
        <f t="shared" si="114"/>
        <v>70.551549405573965</v>
      </c>
      <c r="T210" s="49"/>
      <c r="U210" s="49"/>
      <c r="V210" s="49"/>
      <c r="W210" s="49"/>
      <c r="X210" s="49"/>
      <c r="Y210" s="49"/>
      <c r="Z210" s="49"/>
      <c r="AA210" s="49"/>
      <c r="AC210" s="49"/>
    </row>
    <row r="211" spans="1:31" x14ac:dyDescent="0.2">
      <c r="B211" s="20" t="s">
        <v>399</v>
      </c>
      <c r="M211" s="143">
        <v>100</v>
      </c>
      <c r="N211" s="143">
        <f>100*(1+((N5-$M5)/ABS($M5)))</f>
        <v>79.790949584936214</v>
      </c>
      <c r="O211" s="143">
        <f t="shared" ref="O211:Q211" si="115">100*(1+((O5-$M5)/ABS($M5)))</f>
        <v>68.6221907268678</v>
      </c>
      <c r="P211" s="143">
        <f t="shared" si="115"/>
        <v>67.196041708847943</v>
      </c>
      <c r="Q211" s="143">
        <f t="shared" si="115"/>
        <v>66.882212998582702</v>
      </c>
      <c r="T211" s="49"/>
      <c r="U211" s="49"/>
      <c r="V211" s="49"/>
      <c r="W211" s="49"/>
      <c r="X211" s="49"/>
      <c r="Y211" s="49"/>
      <c r="Z211" s="49"/>
      <c r="AA211" s="49"/>
      <c r="AC211" s="49"/>
    </row>
    <row r="212" spans="1:31" x14ac:dyDescent="0.2">
      <c r="B212" s="20" t="s">
        <v>400</v>
      </c>
      <c r="M212" s="143">
        <v>100</v>
      </c>
      <c r="N212" s="143">
        <f>100*(1+((N26-$M26)/ABS($M26)))</f>
        <v>39.917695473251023</v>
      </c>
      <c r="O212" s="143">
        <f t="shared" ref="O212:Q212" si="116">100*(1+((O26-$M26)/ABS($M26)))</f>
        <v>8.2304526748971263</v>
      </c>
      <c r="P212" s="143">
        <f t="shared" si="116"/>
        <v>-90.123456790123456</v>
      </c>
      <c r="Q212" s="143">
        <f t="shared" si="116"/>
        <v>-1.2345679012345512</v>
      </c>
      <c r="T212" s="49"/>
      <c r="U212" s="49"/>
      <c r="V212" s="49"/>
      <c r="W212" s="49"/>
      <c r="X212" s="49"/>
      <c r="Y212" s="49"/>
      <c r="Z212" s="49"/>
      <c r="AA212" s="49"/>
      <c r="AC212" s="49"/>
    </row>
    <row r="214" spans="1:31" x14ac:dyDescent="0.2">
      <c r="B214" s="1"/>
    </row>
    <row r="215" spans="1:31" s="15" customFormat="1" ht="17" thickBot="1" x14ac:dyDescent="0.25">
      <c r="A215" s="11"/>
      <c r="B215" s="14" t="s">
        <v>105</v>
      </c>
      <c r="R215" s="1"/>
      <c r="S215" s="1"/>
      <c r="AB215" s="1"/>
      <c r="AD215" s="1"/>
      <c r="AE215" s="1"/>
    </row>
    <row r="216" spans="1:31" x14ac:dyDescent="0.2">
      <c r="B216" s="20" t="s">
        <v>383</v>
      </c>
      <c r="M216" s="61">
        <v>0</v>
      </c>
      <c r="N216" s="61">
        <v>-27005</v>
      </c>
      <c r="O216" s="61">
        <v>-18024</v>
      </c>
      <c r="P216" s="61">
        <v>-17288</v>
      </c>
      <c r="Q216" s="61">
        <v>-17683</v>
      </c>
      <c r="T216" s="61">
        <v>-4278</v>
      </c>
      <c r="U216" s="61">
        <v>-4321</v>
      </c>
      <c r="V216" s="61">
        <v>-4313</v>
      </c>
      <c r="W216" s="61">
        <v>-4698</v>
      </c>
      <c r="X216" s="61">
        <v>-4421</v>
      </c>
      <c r="Y216" s="61">
        <v>-4227</v>
      </c>
      <c r="Z216" s="61">
        <v>-4337</v>
      </c>
      <c r="AA216" s="61">
        <v>-5251</v>
      </c>
      <c r="AC216" s="63">
        <f>SUM(X216:AA216)</f>
        <v>-18236</v>
      </c>
    </row>
    <row r="217" spans="1:31" x14ac:dyDescent="0.2">
      <c r="B217" s="20" t="s">
        <v>384</v>
      </c>
      <c r="M217" s="61">
        <v>0</v>
      </c>
      <c r="N217" s="61">
        <v>0</v>
      </c>
      <c r="O217" s="61">
        <v>0</v>
      </c>
      <c r="P217" s="61">
        <f>P187+P216</f>
        <v>29</v>
      </c>
      <c r="Q217" s="61">
        <f>Q187+Q216</f>
        <v>143</v>
      </c>
      <c r="T217" s="61">
        <f t="shared" ref="T217:AA217" si="117">T187+T216</f>
        <v>4</v>
      </c>
      <c r="U217" s="61">
        <f t="shared" si="117"/>
        <v>18</v>
      </c>
      <c r="V217" s="61">
        <f t="shared" si="117"/>
        <v>27</v>
      </c>
      <c r="W217" s="61">
        <f t="shared" si="117"/>
        <v>-31</v>
      </c>
      <c r="X217" s="61">
        <f t="shared" si="117"/>
        <v>-4</v>
      </c>
      <c r="Y217" s="61">
        <f t="shared" si="117"/>
        <v>8</v>
      </c>
      <c r="Z217" s="61">
        <f t="shared" si="117"/>
        <v>170</v>
      </c>
      <c r="AA217" s="61">
        <f t="shared" si="117"/>
        <v>170</v>
      </c>
      <c r="AC217" s="63">
        <f>SUM(X217:AA217)</f>
        <v>344</v>
      </c>
    </row>
    <row r="219" spans="1:31" x14ac:dyDescent="0.2">
      <c r="B219"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276</v>
      </c>
    </row>
    <row r="4" spans="2:7" x14ac:dyDescent="0.2">
      <c r="B4" s="230" t="s">
        <v>235</v>
      </c>
      <c r="C4" s="230"/>
      <c r="E4" s="230" t="s">
        <v>242</v>
      </c>
      <c r="F4" s="230"/>
      <c r="G4" s="230"/>
    </row>
    <row r="5" spans="2:7" x14ac:dyDescent="0.2">
      <c r="B5" s="20" t="s">
        <v>1</v>
      </c>
      <c r="C5" s="173">
        <f ca="1">Overview!C5</f>
        <v>112.91500000000001</v>
      </c>
      <c r="E5" s="12"/>
      <c r="F5" s="131" t="s">
        <v>243</v>
      </c>
      <c r="G5" s="131" t="s">
        <v>244</v>
      </c>
    </row>
    <row r="6" spans="2:7" x14ac:dyDescent="0.2">
      <c r="B6" s="20" t="s">
        <v>241</v>
      </c>
      <c r="C6" s="174">
        <f ca="1">Statement!AC153</f>
        <v>567510.79</v>
      </c>
      <c r="E6" s="20" t="s">
        <v>19</v>
      </c>
      <c r="F6" s="179">
        <f>IF(Statement!M5&lt;=0,"N/A",_xlfn.RRI(4,Statement!M5,Statement!Q5))</f>
        <v>-9.5668499906773397E-2</v>
      </c>
      <c r="G6" s="179" t="str">
        <f>IF(Statement!H5&lt;=0,"N/A",_xlfn.RRI(9,Statement!H5,Statement!Q5))</f>
        <v>N/A</v>
      </c>
    </row>
    <row r="7" spans="2:7" x14ac:dyDescent="0.2">
      <c r="B7" s="20" t="s">
        <v>183</v>
      </c>
      <c r="C7" s="174">
        <f ca="1">Statement!AC154</f>
        <v>584866.79</v>
      </c>
      <c r="E7" s="20" t="s">
        <v>29</v>
      </c>
      <c r="F7" s="179" t="str">
        <f>IF(OR(Statement!M18&lt;=0, Statement!Q18&lt;=0), "N/A", _xlfn.RRI(4, Statement!M18, Statement!Q18))</f>
        <v>N/A</v>
      </c>
      <c r="G7" s="179" t="str">
        <f>IF(OR(Statement!H18&lt;=0, Statement!Q18&lt;=0), "N/A", _xlfn.RRI(9, Statement!H18, Statement!Q18))</f>
        <v>N/A</v>
      </c>
    </row>
    <row r="8" spans="2:7" x14ac:dyDescent="0.2">
      <c r="B8" s="20" t="s">
        <v>239</v>
      </c>
      <c r="C8" s="175">
        <f ca="1">Statement!AC150</f>
        <v>-182.12096774193549</v>
      </c>
      <c r="E8" s="20" t="s">
        <v>245</v>
      </c>
      <c r="F8" s="179" t="str">
        <f>IF(OR(Statement!M26&lt;=0, Statement!Q26&lt;=0), "N/A", _xlfn.RRI(4, Statement!M26, Statement!Q26))</f>
        <v>N/A</v>
      </c>
      <c r="G8" s="179" t="str">
        <f>IF(OR(Statement!H26&lt;=0, Statement!Q26&lt;=0), "N/A", _xlfn.RRI(9, Statement!H26, Statement!Q26))</f>
        <v>N/A</v>
      </c>
    </row>
    <row r="9" spans="2:7" x14ac:dyDescent="0.2">
      <c r="B9" s="20" t="s">
        <v>196</v>
      </c>
      <c r="C9" s="175">
        <f ca="1">Statement!AC151</f>
        <v>9.882661542324648</v>
      </c>
      <c r="E9" s="20" t="s">
        <v>246</v>
      </c>
      <c r="F9" s="179">
        <f>IF(Statement!M82&lt;=0,"N/A",_xlfn.RRI(4,Statement!M82,Statement!Q82))</f>
        <v>-1</v>
      </c>
      <c r="G9" s="179" t="str">
        <f>IF(Statement!H82&lt;=0,"N/A",_xlfn.RRI(9,Statement!H82,Statement!Q82))</f>
        <v>N/A</v>
      </c>
    </row>
    <row r="10" spans="2:7" x14ac:dyDescent="0.2">
      <c r="B10" s="20" t="s">
        <v>240</v>
      </c>
      <c r="C10" s="175">
        <f ca="1">Statement!AC152</f>
        <v>5.094626191715891</v>
      </c>
      <c r="E10" s="20" t="s">
        <v>1</v>
      </c>
      <c r="F10" s="179">
        <f>IF(Statement!M117&lt;=0,"N/A",_xlfn.RRI(4,Statement!M117,Statement!Q117))</f>
        <v>-8.3512303772420138E-2</v>
      </c>
      <c r="G10" s="179" t="str">
        <f>IF(Statement!H117&lt;=0,"N/A",_xlfn.RRI(9,Statement!H117,Statement!Q117))</f>
        <v>N/A</v>
      </c>
    </row>
    <row r="11" spans="2:7" x14ac:dyDescent="0.2">
      <c r="B11" s="20" t="s">
        <v>262</v>
      </c>
      <c r="C11" s="175">
        <f ca="1">Statement!AC155</f>
        <v>10.878611498614289</v>
      </c>
    </row>
    <row r="12" spans="2:7" x14ac:dyDescent="0.2">
      <c r="B12" s="20" t="s">
        <v>199</v>
      </c>
      <c r="C12" s="175">
        <f ca="1">Statement!AC156</f>
        <v>-115.83814418696772</v>
      </c>
    </row>
    <row r="15" spans="2:7" x14ac:dyDescent="0.2">
      <c r="B15" s="230" t="s">
        <v>75</v>
      </c>
      <c r="C15" s="230"/>
      <c r="E15" s="230" t="s">
        <v>248</v>
      </c>
      <c r="F15" s="230"/>
    </row>
    <row r="16" spans="2:7" x14ac:dyDescent="0.2">
      <c r="B16" s="20" t="s">
        <v>76</v>
      </c>
      <c r="C16" s="176">
        <f>Statement!AC101</f>
        <v>0.35433290552982533</v>
      </c>
      <c r="E16" s="20" t="s">
        <v>29</v>
      </c>
      <c r="F16" s="174">
        <f>Statement!AC18</f>
        <v>-3174</v>
      </c>
    </row>
    <row r="17" spans="2:6" x14ac:dyDescent="0.2">
      <c r="B17" s="20" t="s">
        <v>77</v>
      </c>
      <c r="C17" s="176">
        <f>Statement!AC102</f>
        <v>-9.391217007979466E-2</v>
      </c>
      <c r="E17" s="20" t="s">
        <v>249</v>
      </c>
      <c r="F17" s="174">
        <f>Statement!AC59</f>
        <v>9980</v>
      </c>
    </row>
    <row r="18" spans="2:6" x14ac:dyDescent="0.2">
      <c r="B18" s="20" t="s">
        <v>78</v>
      </c>
      <c r="C18" s="176">
        <f>Statement!AC103</f>
        <v>-6.2645313691572266E-2</v>
      </c>
      <c r="E18" s="20" t="s">
        <v>256</v>
      </c>
      <c r="F18" s="178" t="str">
        <f>IF(OR(F16&lt;=0, F17&lt;=0),"N/A",F16-F17)</f>
        <v>N/A</v>
      </c>
    </row>
    <row r="21" spans="2:6" x14ac:dyDescent="0.2">
      <c r="B21" s="230" t="s">
        <v>247</v>
      </c>
      <c r="C21" s="230"/>
      <c r="E21" s="230" t="s">
        <v>251</v>
      </c>
      <c r="F21" s="230"/>
    </row>
    <row r="22" spans="2:6" x14ac:dyDescent="0.2">
      <c r="B22" s="20" t="s">
        <v>95</v>
      </c>
      <c r="C22" s="176">
        <f>Statement!AC121</f>
        <v>-6.2645313691572266E-2</v>
      </c>
      <c r="E22" s="20" t="s">
        <v>97</v>
      </c>
      <c r="F22" s="176">
        <f>C24</f>
        <v>-1.6402703913661776E-2</v>
      </c>
    </row>
    <row r="23" spans="2:6" x14ac:dyDescent="0.2">
      <c r="B23" s="20" t="s">
        <v>96</v>
      </c>
      <c r="C23" s="175">
        <f>Statement!AC122</f>
        <v>0.26183449243176904</v>
      </c>
      <c r="E23" s="20" t="s">
        <v>99</v>
      </c>
      <c r="F23" s="176">
        <f>C26</f>
        <v>-3.0235021634917498E-2</v>
      </c>
    </row>
    <row r="24" spans="2:6" x14ac:dyDescent="0.2">
      <c r="B24" s="32" t="s">
        <v>97</v>
      </c>
      <c r="C24" s="177">
        <f>Statement!AC123</f>
        <v>-1.6402703913661776E-2</v>
      </c>
      <c r="E24" s="20" t="s">
        <v>100</v>
      </c>
      <c r="F24" s="176">
        <f>Statement!AC140</f>
        <v>-3.9215533980582522E-2</v>
      </c>
    </row>
    <row r="25" spans="2:6" x14ac:dyDescent="0.2">
      <c r="B25" s="20" t="s">
        <v>98</v>
      </c>
      <c r="C25" s="175">
        <f>Statement!AC124</f>
        <v>1.8432949710038242</v>
      </c>
    </row>
    <row r="26" spans="2:6" x14ac:dyDescent="0.2">
      <c r="B26" s="32" t="s">
        <v>99</v>
      </c>
      <c r="C26" s="177">
        <f>Statement!AC125</f>
        <v>-3.0235021634917498E-2</v>
      </c>
    </row>
    <row r="29" spans="2:6" x14ac:dyDescent="0.2">
      <c r="B29" s="230" t="s">
        <v>252</v>
      </c>
      <c r="C29" s="230"/>
      <c r="E29" s="230" t="s">
        <v>258</v>
      </c>
      <c r="F29" s="230"/>
    </row>
    <row r="30" spans="2:6" x14ac:dyDescent="0.2">
      <c r="B30" s="20" t="s">
        <v>134</v>
      </c>
      <c r="C30" s="175">
        <f>Statement!AC141</f>
        <v>27.604300355262914</v>
      </c>
      <c r="E30" s="20" t="s">
        <v>259</v>
      </c>
      <c r="F30" s="181">
        <f>Statement!AC145</f>
        <v>0.40424978005996731</v>
      </c>
    </row>
    <row r="31" spans="2:6" x14ac:dyDescent="0.2">
      <c r="B31" s="20" t="s">
        <v>135</v>
      </c>
      <c r="C31" s="175">
        <f>Statement!AC142</f>
        <v>130.6568144499179</v>
      </c>
      <c r="E31" s="20" t="s">
        <v>260</v>
      </c>
      <c r="F31" s="181">
        <f>Statement!AC146</f>
        <v>3.3763039301937268E-2</v>
      </c>
    </row>
    <row r="32" spans="2:6" x14ac:dyDescent="0.2">
      <c r="B32" s="20" t="s">
        <v>136</v>
      </c>
      <c r="C32" s="175">
        <f>Statement!AC143</f>
        <v>75.275401146544525</v>
      </c>
      <c r="E32" s="20" t="s">
        <v>255</v>
      </c>
      <c r="F32" s="181">
        <f>Statement!AC148</f>
        <v>2.3119583410823878</v>
      </c>
    </row>
    <row r="33" spans="2:6" x14ac:dyDescent="0.2">
      <c r="B33" s="20" t="s">
        <v>137</v>
      </c>
      <c r="C33" s="175">
        <f>Statement!AC144</f>
        <v>82.9857136586363</v>
      </c>
      <c r="E33" s="20" t="s">
        <v>254</v>
      </c>
      <c r="F33" s="181">
        <f>Statement!AC147</f>
        <v>1.686293472196392</v>
      </c>
    </row>
    <row r="34" spans="2:6" x14ac:dyDescent="0.2">
      <c r="E34" s="20" t="s">
        <v>261</v>
      </c>
      <c r="F34" s="183" t="str">
        <f>Statement!AC149</f>
        <v>N/A</v>
      </c>
    </row>
    <row r="37" spans="2:6" x14ac:dyDescent="0.2">
      <c r="B37" s="230" t="s">
        <v>270</v>
      </c>
      <c r="C37" s="230"/>
      <c r="E37" s="230" t="s">
        <v>273</v>
      </c>
      <c r="F37" s="230"/>
    </row>
    <row r="38" spans="2:6" x14ac:dyDescent="0.2">
      <c r="B38" s="20" t="s">
        <v>268</v>
      </c>
      <c r="C38" s="176">
        <f ca="1">Statement!AC162</f>
        <v>-5.490855953593411E-3</v>
      </c>
      <c r="E38" s="20" t="s">
        <v>272</v>
      </c>
      <c r="F38" s="176">
        <f>Statement!AC168</f>
        <v>0</v>
      </c>
    </row>
    <row r="39" spans="2:6" x14ac:dyDescent="0.2">
      <c r="B39" s="54" t="s">
        <v>271</v>
      </c>
      <c r="C39" s="216">
        <f ca="1">Statement!AC161</f>
        <v>-9.67382488005206E-3</v>
      </c>
      <c r="E39" s="20" t="s">
        <v>274</v>
      </c>
      <c r="F39" s="176">
        <f>Statement!AC169</f>
        <v>0</v>
      </c>
    </row>
    <row r="40" spans="2:6" x14ac:dyDescent="0.2">
      <c r="B40" s="20" t="s">
        <v>269</v>
      </c>
      <c r="C40" s="176">
        <f ca="1">Statement!AC163</f>
        <v>0</v>
      </c>
      <c r="E40" s="20" t="s">
        <v>275</v>
      </c>
      <c r="F40" s="176">
        <f>Statement!AC170</f>
        <v>0</v>
      </c>
    </row>
    <row r="41" spans="2:6" x14ac:dyDescent="0.2">
      <c r="B41" s="20" t="s">
        <v>294</v>
      </c>
      <c r="C41" s="176">
        <f ca="1">Statement!AC164</f>
        <v>0</v>
      </c>
    </row>
    <row r="42" spans="2:6" x14ac:dyDescent="0.2">
      <c r="B42" s="20" t="s">
        <v>296</v>
      </c>
      <c r="C42" s="176">
        <f ca="1">Statement!AC165</f>
        <v>0</v>
      </c>
    </row>
    <row r="45" spans="2:6" x14ac:dyDescent="0.2">
      <c r="B45" s="230" t="s">
        <v>281</v>
      </c>
      <c r="C45" s="230"/>
      <c r="E45" s="230" t="s">
        <v>287</v>
      </c>
      <c r="F45" s="230"/>
    </row>
    <row r="46" spans="2:6" x14ac:dyDescent="0.2">
      <c r="B46" s="20" t="s">
        <v>279</v>
      </c>
      <c r="C46" s="176">
        <f>Statement!AC171</f>
        <v>5.9689614007162755E-4</v>
      </c>
      <c r="E46" s="20" t="s">
        <v>280</v>
      </c>
      <c r="F46" s="175">
        <f>Statement!AC172</f>
        <v>8.2113012335853561</v>
      </c>
    </row>
    <row r="47" spans="2:6" x14ac:dyDescent="0.2">
      <c r="E47" s="20" t="s">
        <v>288</v>
      </c>
      <c r="F47" s="175">
        <f>Statement!AC175</f>
        <v>-0.74830879426979702</v>
      </c>
    </row>
    <row r="48" spans="2:6" x14ac:dyDescent="0.2">
      <c r="E48" s="20" t="s">
        <v>293</v>
      </c>
      <c r="F48" s="176">
        <f ca="1">Statement!AC176</f>
        <v>-6.6271867711977768E-3</v>
      </c>
    </row>
    <row r="51" spans="2:6" x14ac:dyDescent="0.2">
      <c r="B51" s="230" t="s">
        <v>284</v>
      </c>
      <c r="C51" s="230"/>
      <c r="E51" s="230" t="s">
        <v>305</v>
      </c>
      <c r="F51" s="230"/>
    </row>
    <row r="52" spans="2:6" x14ac:dyDescent="0.2">
      <c r="B52" s="20" t="s">
        <v>282</v>
      </c>
      <c r="C52" s="176">
        <f>Statement!AC173</f>
        <v>0.2375751503006012</v>
      </c>
      <c r="E52" s="20" t="s">
        <v>306</v>
      </c>
      <c r="F52" s="176">
        <f>Statement!AC177</f>
        <v>0.24364339787586259</v>
      </c>
    </row>
    <row r="53" spans="2:6" x14ac:dyDescent="0.2">
      <c r="B53" s="20" t="s">
        <v>283</v>
      </c>
      <c r="C53" s="176">
        <f>Statement!AC174</f>
        <v>4.4100961627885349E-2</v>
      </c>
      <c r="E53" s="20" t="s">
        <v>303</v>
      </c>
      <c r="F53" s="176">
        <f>Statement!AC178</f>
        <v>1.3125250501002004</v>
      </c>
    </row>
    <row r="54" spans="2:6" x14ac:dyDescent="0.2">
      <c r="E54" s="20" t="s">
        <v>304</v>
      </c>
      <c r="F54" s="176">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235</v>
      </c>
      <c r="C5" s="14"/>
      <c r="D5" s="14"/>
      <c r="E5" s="14"/>
      <c r="F5" s="14"/>
      <c r="G5" s="14"/>
      <c r="I5" s="14"/>
    </row>
    <row r="6" spans="2:9" x14ac:dyDescent="0.2">
      <c r="B6" s="20" t="s">
        <v>1</v>
      </c>
      <c r="C6" s="173">
        <f>Statement!M116</f>
        <v>51.31</v>
      </c>
      <c r="D6" s="173">
        <f>Statement!N116</f>
        <v>26.43</v>
      </c>
      <c r="E6" s="173">
        <f>Statement!O116</f>
        <v>50.25</v>
      </c>
      <c r="F6" s="173">
        <f>Statement!P116</f>
        <v>20.3</v>
      </c>
      <c r="G6" s="173">
        <f>Statement!Q116</f>
        <v>36.200000000000003</v>
      </c>
      <c r="I6" s="173">
        <f ca="1">Statement!AC116</f>
        <v>112.91500000000001</v>
      </c>
    </row>
    <row r="7" spans="2:9" x14ac:dyDescent="0.2">
      <c r="B7" s="20" t="s">
        <v>241</v>
      </c>
      <c r="C7" s="174">
        <f>Statement!M153</f>
        <v>210524.93000000002</v>
      </c>
      <c r="D7" s="174">
        <f>Statement!N153</f>
        <v>109737.36</v>
      </c>
      <c r="E7" s="174">
        <f>Statement!O153</f>
        <v>213562.5</v>
      </c>
      <c r="F7" s="174">
        <f>Statement!P153</f>
        <v>87899</v>
      </c>
      <c r="G7" s="174">
        <f>Statement!Q153</f>
        <v>180819</v>
      </c>
      <c r="I7" s="174">
        <f ca="1">Statement!AC153</f>
        <v>567510.79</v>
      </c>
    </row>
    <row r="8" spans="2:9" x14ac:dyDescent="0.2">
      <c r="B8" s="20" t="s">
        <v>183</v>
      </c>
      <c r="C8" s="174">
        <f>Statement!M154</f>
        <v>213914.93000000002</v>
      </c>
      <c r="D8" s="174">
        <f>Statement!N154</f>
        <v>119401.35999999999</v>
      </c>
      <c r="E8" s="174">
        <f>Statement!O154</f>
        <v>236340.5</v>
      </c>
      <c r="F8" s="174">
        <f>Statement!P154</f>
        <v>116227</v>
      </c>
      <c r="G8" s="174">
        <f>Statement!Q154</f>
        <v>193555</v>
      </c>
      <c r="I8" s="174">
        <f ca="1">Statement!AC154</f>
        <v>584866.79</v>
      </c>
    </row>
    <row r="9" spans="2:9" x14ac:dyDescent="0.2">
      <c r="B9" s="20" t="s">
        <v>239</v>
      </c>
      <c r="C9" s="175">
        <f>Statement!M150</f>
        <v>10.557613168724279</v>
      </c>
      <c r="D9" s="175">
        <f>Statement!N150</f>
        <v>13.623711340206185</v>
      </c>
      <c r="E9" s="175">
        <f>Statement!O150</f>
        <v>125.625</v>
      </c>
      <c r="F9" s="175">
        <f>Statement!P150</f>
        <v>-4.634703196347032</v>
      </c>
      <c r="G9" s="175">
        <f>Statement!Q150</f>
        <v>-603.33333333333337</v>
      </c>
      <c r="I9" s="175">
        <f ca="1">Statement!AC150</f>
        <v>-182.12096774193549</v>
      </c>
    </row>
    <row r="10" spans="2:9" x14ac:dyDescent="0.2">
      <c r="B10" s="20" t="s">
        <v>196</v>
      </c>
      <c r="C10" s="175">
        <f>Statement!M151</f>
        <v>2.6556223425794698</v>
      </c>
      <c r="D10" s="175">
        <f>Statement!N151</f>
        <v>1.7282153392330384</v>
      </c>
      <c r="E10" s="175">
        <f>Statement!O151</f>
        <v>3.9030205797742865</v>
      </c>
      <c r="F10" s="175">
        <f>Statement!P151</f>
        <v>1.6362027080469295</v>
      </c>
      <c r="G10" s="175">
        <f>Statement!Q151</f>
        <v>3.102681020944885</v>
      </c>
      <c r="I10" s="175">
        <f ca="1">Statement!AC151</f>
        <v>9.882661542324648</v>
      </c>
    </row>
    <row r="11" spans="2:9" x14ac:dyDescent="0.2">
      <c r="B11" s="20" t="s">
        <v>240</v>
      </c>
      <c r="C11" s="175">
        <f>Statement!M152</f>
        <v>2.190293843234687</v>
      </c>
      <c r="D11" s="175">
        <f>Statement!N152</f>
        <v>1.0780681896611222</v>
      </c>
      <c r="E11" s="175">
        <f>Statement!O152</f>
        <v>2.0120939482905578</v>
      </c>
      <c r="F11" s="175">
        <f>Statement!P152</f>
        <v>0.88545381283368585</v>
      </c>
      <c r="G11" s="175">
        <f>Statement!Q152</f>
        <v>1.5822315170500785</v>
      </c>
      <c r="I11" s="175">
        <f ca="1">Statement!AC152</f>
        <v>5.094626191715891</v>
      </c>
    </row>
    <row r="12" spans="2:9" x14ac:dyDescent="0.2">
      <c r="B12" s="20" t="s">
        <v>262</v>
      </c>
      <c r="C12" s="175">
        <f>Statement!M155</f>
        <v>2.7069615559829927</v>
      </c>
      <c r="D12" s="175">
        <f>Statement!N155</f>
        <v>1.8936365654835536</v>
      </c>
      <c r="E12" s="175">
        <f>Statement!O155</f>
        <v>4.3582743232278531</v>
      </c>
      <c r="F12" s="175">
        <f>Statement!P155</f>
        <v>2.1887911715410255</v>
      </c>
      <c r="G12" s="175">
        <f>Statement!Q155</f>
        <v>3.6621383838192725</v>
      </c>
      <c r="I12" s="175">
        <f ca="1">Statement!AC155</f>
        <v>10.878611498614289</v>
      </c>
    </row>
    <row r="13" spans="2:9" x14ac:dyDescent="0.2">
      <c r="B13" s="20" t="s">
        <v>199</v>
      </c>
      <c r="C13" s="175">
        <f>Statement!M156</f>
        <v>10.994805201480265</v>
      </c>
      <c r="D13" s="175">
        <f>Statement!N156</f>
        <v>51.157395029991427</v>
      </c>
      <c r="E13" s="175">
        <f>Statement!O156</f>
        <v>2541.2956989247314</v>
      </c>
      <c r="F13" s="175">
        <f>Statement!P156</f>
        <v>-9.9526460010275724</v>
      </c>
      <c r="G13" s="175">
        <f>Statement!Q156</f>
        <v>-87.42321589882566</v>
      </c>
      <c r="I13" s="175">
        <f ca="1">Statement!AC156</f>
        <v>-115.83814418696772</v>
      </c>
    </row>
    <row r="15" spans="2:9" ht="17" thickBot="1" x14ac:dyDescent="0.25">
      <c r="B15" s="14" t="s">
        <v>75</v>
      </c>
      <c r="C15" s="14"/>
      <c r="D15" s="14"/>
      <c r="E15" s="14"/>
      <c r="F15" s="14"/>
      <c r="G15" s="14"/>
      <c r="I15" s="14"/>
    </row>
    <row r="16" spans="2:9" x14ac:dyDescent="0.2">
      <c r="B16" s="20" t="s">
        <v>76</v>
      </c>
      <c r="C16" s="176">
        <f>Statement!M101</f>
        <v>0.5544518121077141</v>
      </c>
      <c r="D16" s="176">
        <f>Statement!N101</f>
        <v>0.42607923367272499</v>
      </c>
      <c r="E16" s="176">
        <f>Statement!O101</f>
        <v>0.40036512502766097</v>
      </c>
      <c r="F16" s="176">
        <f>Statement!P101</f>
        <v>0.32664168283083184</v>
      </c>
      <c r="G16" s="176">
        <f>Statement!Q101</f>
        <v>0.34766238434904356</v>
      </c>
      <c r="I16" s="176">
        <f>Statement!AC101</f>
        <v>0.35433290552982533</v>
      </c>
    </row>
    <row r="17" spans="2:9" x14ac:dyDescent="0.2">
      <c r="B17" s="20" t="s">
        <v>77</v>
      </c>
      <c r="C17" s="176">
        <f>Statement!M102</f>
        <v>0.24620368495646891</v>
      </c>
      <c r="D17" s="176">
        <f>Statement!N102</f>
        <v>3.7015891140926828E-2</v>
      </c>
      <c r="E17" s="176">
        <f>Statement!O102</f>
        <v>1.714981190528878E-3</v>
      </c>
      <c r="F17" s="176">
        <f>Statement!P102</f>
        <v>-0.21992052880360069</v>
      </c>
      <c r="G17" s="176">
        <f>Statement!Q102</f>
        <v>-4.1889769738709247E-2</v>
      </c>
      <c r="I17" s="176">
        <f>Statement!AC102</f>
        <v>-9.391217007979466E-2</v>
      </c>
    </row>
    <row r="18" spans="2:9" x14ac:dyDescent="0.2">
      <c r="B18" s="20" t="s">
        <v>78</v>
      </c>
      <c r="C18" s="176">
        <f>Statement!M103</f>
        <v>0.25141729094958493</v>
      </c>
      <c r="D18" s="176">
        <f>Statement!N103</f>
        <v>0.12714498683667966</v>
      </c>
      <c r="E18" s="176">
        <f>Statement!O103</f>
        <v>3.088810208748248E-2</v>
      </c>
      <c r="F18" s="176">
        <f>Statement!P103</f>
        <v>-0.3621965688028474</v>
      </c>
      <c r="G18" s="176">
        <f>Statement!Q103</f>
        <v>4.9193044860272833E-4</v>
      </c>
      <c r="I18" s="176">
        <f>Statement!AC103</f>
        <v>-6.2645313691572266E-2</v>
      </c>
    </row>
    <row r="20" spans="2:9" ht="17" thickBot="1" x14ac:dyDescent="0.25">
      <c r="B20" s="14" t="s">
        <v>248</v>
      </c>
      <c r="C20" s="14"/>
      <c r="D20" s="14"/>
      <c r="E20" s="14"/>
      <c r="F20" s="14"/>
      <c r="G20" s="14"/>
      <c r="I20" s="14"/>
    </row>
    <row r="21" spans="2:9" x14ac:dyDescent="0.2">
      <c r="B21" s="20" t="s">
        <v>29</v>
      </c>
      <c r="C21" s="178">
        <f>Statement!M18</f>
        <v>19868</v>
      </c>
      <c r="D21" s="178">
        <f>Statement!N18</f>
        <v>8014</v>
      </c>
      <c r="E21" s="178">
        <f>Statement!O18</f>
        <v>1689</v>
      </c>
      <c r="F21" s="178">
        <f>Statement!P18</f>
        <v>-18756</v>
      </c>
      <c r="G21" s="178">
        <f>Statement!Q18</f>
        <v>-267</v>
      </c>
      <c r="I21" s="178">
        <f>Statement!AC18</f>
        <v>-3174</v>
      </c>
    </row>
    <row r="22" spans="2:9" x14ac:dyDescent="0.2">
      <c r="B22" s="20" t="s">
        <v>249</v>
      </c>
      <c r="C22" s="178">
        <f>Statement!M59</f>
        <v>29456</v>
      </c>
      <c r="D22" s="178">
        <f>Statement!N59</f>
        <v>15433</v>
      </c>
      <c r="E22" s="178">
        <f>Statement!O59</f>
        <v>11471</v>
      </c>
      <c r="F22" s="178">
        <f>Statement!P59</f>
        <v>8288</v>
      </c>
      <c r="G22" s="178">
        <f>Statement!Q59</f>
        <v>9697</v>
      </c>
      <c r="I22" s="178">
        <f>Statement!AC59</f>
        <v>9980</v>
      </c>
    </row>
    <row r="23" spans="2:9" x14ac:dyDescent="0.2">
      <c r="B23" s="20" t="s">
        <v>256</v>
      </c>
      <c r="C23" s="196">
        <f>IF(OR(C21&lt;=0, C22&lt;=0),"N/A",C21-C22)</f>
        <v>-9588</v>
      </c>
      <c r="D23" s="196">
        <f t="shared" ref="D23:I23" si="0">IF(OR(D21&lt;=0, D22&lt;=0),"N/A",D21-D22)</f>
        <v>-7419</v>
      </c>
      <c r="E23" s="196">
        <f t="shared" si="0"/>
        <v>-9782</v>
      </c>
      <c r="F23" s="196" t="str">
        <f t="shared" si="0"/>
        <v>N/A</v>
      </c>
      <c r="G23" s="196" t="str">
        <f t="shared" si="0"/>
        <v>N/A</v>
      </c>
      <c r="I23" s="196" t="str">
        <f t="shared" si="0"/>
        <v>N/A</v>
      </c>
    </row>
    <row r="25" spans="2:9" ht="17" thickBot="1" x14ac:dyDescent="0.25">
      <c r="B25" s="14" t="s">
        <v>247</v>
      </c>
      <c r="C25" s="14"/>
      <c r="D25" s="14"/>
      <c r="E25" s="14"/>
      <c r="F25" s="14"/>
      <c r="G25" s="14"/>
      <c r="I25" s="14"/>
    </row>
    <row r="26" spans="2:9" x14ac:dyDescent="0.2">
      <c r="B26" s="20" t="s">
        <v>95</v>
      </c>
      <c r="C26" s="176">
        <f>Statement!M121</f>
        <v>0.25141729094958493</v>
      </c>
      <c r="D26" s="176">
        <f>Statement!N121</f>
        <v>0.12714498683667966</v>
      </c>
      <c r="E26" s="176">
        <f>Statement!O121</f>
        <v>3.088810208748248E-2</v>
      </c>
      <c r="F26" s="176">
        <f>Statement!P121</f>
        <v>-0.3621965688028474</v>
      </c>
      <c r="G26" s="176">
        <f>Statement!Q121</f>
        <v>4.9193044860272833E-4</v>
      </c>
      <c r="I26" s="176">
        <f>Statement!AC121</f>
        <v>-6.2645313691572266E-2</v>
      </c>
    </row>
    <row r="27" spans="2:9" x14ac:dyDescent="0.2">
      <c r="B27" s="20" t="s">
        <v>96</v>
      </c>
      <c r="C27" s="215">
        <f>Statement!M122</f>
        <v>0.46924693894516822</v>
      </c>
      <c r="D27" s="215">
        <f>Statement!N122</f>
        <v>0.34625459218134791</v>
      </c>
      <c r="E27" s="215">
        <f>Statement!O122</f>
        <v>0.2830685068799198</v>
      </c>
      <c r="F27" s="215">
        <f>Statement!P122</f>
        <v>0.27025472682393059</v>
      </c>
      <c r="G27" s="215">
        <f>Statement!Q122</f>
        <v>0.24997989868939455</v>
      </c>
      <c r="I27" s="215">
        <f>Statement!AC122</f>
        <v>0.26183449243176904</v>
      </c>
    </row>
    <row r="28" spans="2:9" x14ac:dyDescent="0.2">
      <c r="B28" s="32" t="s">
        <v>97</v>
      </c>
      <c r="C28" s="177">
        <f>Statement!M123</f>
        <v>0.11797679417597948</v>
      </c>
      <c r="D28" s="177">
        <f>Statement!N123</f>
        <v>4.4024535565037361E-2</v>
      </c>
      <c r="E28" s="177">
        <f>Statement!O123</f>
        <v>8.7434489382581995E-3</v>
      </c>
      <c r="F28" s="177">
        <f>Statement!P123</f>
        <v>-9.7885334758378503E-2</v>
      </c>
      <c r="G28" s="177">
        <f>Statement!Q123</f>
        <v>1.2297272370393844E-4</v>
      </c>
      <c r="I28" s="177">
        <f>Statement!AC123</f>
        <v>-1.6402703913661776E-2</v>
      </c>
    </row>
    <row r="29" spans="2:9" x14ac:dyDescent="0.2">
      <c r="B29" s="20" t="s">
        <v>98</v>
      </c>
      <c r="C29" s="215">
        <f>Statement!M124</f>
        <v>1.7654286043756748</v>
      </c>
      <c r="D29" s="215">
        <f>Statement!N124</f>
        <v>1.7954803151159007</v>
      </c>
      <c r="E29" s="215">
        <f>Statement!O124</f>
        <v>1.8143005966474097</v>
      </c>
      <c r="F29" s="215">
        <f>Statement!P124</f>
        <v>1.9792988818374131</v>
      </c>
      <c r="G29" s="215">
        <f>Statement!Q124</f>
        <v>1.8500800658027143</v>
      </c>
      <c r="I29" s="215">
        <f>Statement!AC124</f>
        <v>1.8432949710038242</v>
      </c>
    </row>
    <row r="30" spans="2:9" x14ac:dyDescent="0.2">
      <c r="B30" s="32" t="s">
        <v>99</v>
      </c>
      <c r="C30" s="177">
        <f>Statement!M125</f>
        <v>0.20827960709081569</v>
      </c>
      <c r="D30" s="177">
        <f>Statement!N125</f>
        <v>7.904518698914445E-2</v>
      </c>
      <c r="E30" s="177">
        <f>Statement!O125</f>
        <v>1.5863244625438012E-2</v>
      </c>
      <c r="F30" s="177">
        <f>Statement!P125</f>
        <v>-0.19374433363553945</v>
      </c>
      <c r="G30" s="177">
        <f>Statement!Q125</f>
        <v>2.2750938476212145E-4</v>
      </c>
      <c r="I30" s="177">
        <f>Statement!AC125</f>
        <v>-3.0235021634917498E-2</v>
      </c>
    </row>
    <row r="32" spans="2:9" ht="17" thickBot="1" x14ac:dyDescent="0.25">
      <c r="B32" s="14" t="s">
        <v>307</v>
      </c>
      <c r="C32" s="14"/>
      <c r="D32" s="14"/>
      <c r="E32" s="14"/>
      <c r="F32" s="14"/>
      <c r="G32" s="14"/>
      <c r="I32" s="14"/>
    </row>
    <row r="33" spans="2:9" x14ac:dyDescent="0.2">
      <c r="B33" s="20" t="s">
        <v>97</v>
      </c>
      <c r="C33" s="176">
        <f>C28</f>
        <v>0.11797679417597948</v>
      </c>
      <c r="D33" s="176">
        <f t="shared" ref="D33:G33" si="1">D28</f>
        <v>4.4024535565037361E-2</v>
      </c>
      <c r="E33" s="176">
        <f t="shared" si="1"/>
        <v>8.7434489382581995E-3</v>
      </c>
      <c r="F33" s="176">
        <f t="shared" si="1"/>
        <v>-9.7885334758378503E-2</v>
      </c>
      <c r="G33" s="176">
        <f t="shared" si="1"/>
        <v>1.2297272370393844E-4</v>
      </c>
      <c r="I33" s="176">
        <f>I28</f>
        <v>-1.6402703913661776E-2</v>
      </c>
    </row>
    <row r="34" spans="2:9" x14ac:dyDescent="0.2">
      <c r="B34" s="20" t="s">
        <v>99</v>
      </c>
      <c r="C34" s="176">
        <f>C30</f>
        <v>0.20827960709081569</v>
      </c>
      <c r="D34" s="176">
        <f t="shared" ref="D34:G34" si="2">D30</f>
        <v>7.904518698914445E-2</v>
      </c>
      <c r="E34" s="176">
        <f t="shared" si="2"/>
        <v>1.5863244625438012E-2</v>
      </c>
      <c r="F34" s="176">
        <f t="shared" si="2"/>
        <v>-0.19374433363553945</v>
      </c>
      <c r="G34" s="176">
        <f t="shared" si="2"/>
        <v>2.2750938476212145E-4</v>
      </c>
      <c r="I34" s="176">
        <f>I30</f>
        <v>-3.0235021634917498E-2</v>
      </c>
    </row>
    <row r="35" spans="2:9" x14ac:dyDescent="0.2">
      <c r="B35" s="20" t="s">
        <v>100</v>
      </c>
      <c r="C35" s="176">
        <f>Statement!M140</f>
        <v>0.18030780236190902</v>
      </c>
      <c r="D35" s="176">
        <f>Statement!N140</f>
        <v>2.1010559291366228E-2</v>
      </c>
      <c r="E35" s="176">
        <f>Statement!O140</f>
        <v>7.2447962108936807E-4</v>
      </c>
      <c r="F35" s="176">
        <f>Statement!P140</f>
        <v>-9.1521810686687882E-2</v>
      </c>
      <c r="G35" s="176">
        <f>Statement!Q140</f>
        <v>-1.7430737617799192E-2</v>
      </c>
      <c r="I35" s="176">
        <f>Statement!AC140</f>
        <v>-3.9215533980582522E-2</v>
      </c>
    </row>
    <row r="37" spans="2:9" ht="17" thickBot="1" x14ac:dyDescent="0.25">
      <c r="B37" s="14" t="s">
        <v>252</v>
      </c>
      <c r="C37" s="14"/>
      <c r="D37" s="14"/>
      <c r="E37" s="14"/>
      <c r="F37" s="14"/>
      <c r="G37" s="14"/>
      <c r="I37" s="14"/>
    </row>
    <row r="38" spans="2:9" x14ac:dyDescent="0.2">
      <c r="B38" s="20" t="s">
        <v>134</v>
      </c>
      <c r="C38" s="175">
        <f>Statement!M141</f>
        <v>43.680464162785988</v>
      </c>
      <c r="D38" s="175">
        <f>Statement!N141</f>
        <v>23.924651885685286</v>
      </c>
      <c r="E38" s="175">
        <f>Statement!O141</f>
        <v>22.898318211993807</v>
      </c>
      <c r="F38" s="175">
        <f>Statement!P141</f>
        <v>23.906706088397584</v>
      </c>
      <c r="G38" s="175">
        <f>Statement!Q141</f>
        <v>26.511929313378616</v>
      </c>
      <c r="I38" s="175">
        <f>Statement!AC141</f>
        <v>27.604300355262914</v>
      </c>
    </row>
    <row r="39" spans="2:9" x14ac:dyDescent="0.2">
      <c r="B39" s="20" t="s">
        <v>135</v>
      </c>
      <c r="C39" s="175">
        <f>Statement!M142</f>
        <v>111.71121020193701</v>
      </c>
      <c r="D39" s="175">
        <f>Statement!N142</f>
        <v>133.38012600862163</v>
      </c>
      <c r="E39" s="175">
        <f>Statement!O142</f>
        <v>124.89943721745549</v>
      </c>
      <c r="F39" s="175">
        <f>Statement!P142</f>
        <v>124.51812283253162</v>
      </c>
      <c r="G39" s="175">
        <f>Statement!Q142</f>
        <v>122.99350310342828</v>
      </c>
      <c r="I39" s="175">
        <f>Statement!AC142</f>
        <v>130.6568144499179</v>
      </c>
    </row>
    <row r="40" spans="2:9" x14ac:dyDescent="0.2">
      <c r="B40" s="20" t="s">
        <v>136</v>
      </c>
      <c r="C40" s="175">
        <f>Statement!M143</f>
        <v>59.577238774177054</v>
      </c>
      <c r="D40" s="175">
        <f>Statement!N143</f>
        <v>96.777246601083235</v>
      </c>
      <c r="E40" s="175">
        <f>Statement!O143</f>
        <v>96.219823476950523</v>
      </c>
      <c r="F40" s="175">
        <f>Statement!P143</f>
        <v>128.17261438639667</v>
      </c>
      <c r="G40" s="175">
        <f>Statement!Q143</f>
        <v>104.6154069261558</v>
      </c>
      <c r="I40" s="175">
        <f>Statement!AC143</f>
        <v>75.275401146544525</v>
      </c>
    </row>
    <row r="41" spans="2:9" x14ac:dyDescent="0.2">
      <c r="B41" s="20" t="s">
        <v>137</v>
      </c>
      <c r="C41" s="175">
        <f>Statement!M144</f>
        <v>95.814435590545941</v>
      </c>
      <c r="D41" s="175">
        <f>Statement!N144</f>
        <v>60.527531293223674</v>
      </c>
      <c r="E41" s="175">
        <f>Statement!O144</f>
        <v>51.577931952498773</v>
      </c>
      <c r="F41" s="175">
        <f>Statement!P144</f>
        <v>20.252214534532527</v>
      </c>
      <c r="G41" s="175">
        <f>Statement!Q144</f>
        <v>44.890025490651112</v>
      </c>
      <c r="I41" s="175">
        <f>Statement!AC144</f>
        <v>82.9857136586363</v>
      </c>
    </row>
    <row r="43" spans="2:9" ht="17" thickBot="1" x14ac:dyDescent="0.25">
      <c r="B43" s="14" t="s">
        <v>258</v>
      </c>
      <c r="C43" s="14"/>
      <c r="D43" s="14"/>
      <c r="E43" s="14"/>
      <c r="F43" s="14"/>
      <c r="G43" s="14"/>
      <c r="I43" s="14"/>
    </row>
    <row r="44" spans="2:9" x14ac:dyDescent="0.2">
      <c r="B44" s="20" t="s">
        <v>259</v>
      </c>
      <c r="C44" s="181">
        <f>Statement!M145</f>
        <v>0.39941923242234595</v>
      </c>
      <c r="D44" s="181">
        <f>Statement!N145</f>
        <v>0.41461009830117429</v>
      </c>
      <c r="E44" s="181">
        <f>Statement!O145</f>
        <v>0.46657827445780853</v>
      </c>
      <c r="F44" s="181">
        <f>Statement!P145</f>
        <v>0.50378764984386015</v>
      </c>
      <c r="G44" s="181">
        <f>Statement!Q145</f>
        <v>0.40763556496705489</v>
      </c>
      <c r="I44" s="181">
        <f>Statement!AC145</f>
        <v>0.40424978005996731</v>
      </c>
    </row>
    <row r="45" spans="2:9" x14ac:dyDescent="0.2">
      <c r="B45" s="20" t="s">
        <v>260</v>
      </c>
      <c r="C45" s="181">
        <f>Statement!M146</f>
        <v>3.5537943831179045E-2</v>
      </c>
      <c r="D45" s="181">
        <f>Statement!N146</f>
        <v>7.691549254113958E-2</v>
      </c>
      <c r="E45" s="181">
        <f>Statement!O146</f>
        <v>0.17428733781608108</v>
      </c>
      <c r="F45" s="181">
        <f>Statement!P146</f>
        <v>0.22731943185252343</v>
      </c>
      <c r="G45" s="181">
        <f>Statement!Q146</f>
        <v>5.7489871457197606E-3</v>
      </c>
      <c r="I45" s="181">
        <f>Statement!AC146</f>
        <v>3.3763039301937268E-2</v>
      </c>
    </row>
    <row r="46" spans="2:9" x14ac:dyDescent="0.2">
      <c r="B46" s="20" t="s">
        <v>254</v>
      </c>
      <c r="C46" s="181">
        <f>Statement!M147</f>
        <v>1.6083315126356419</v>
      </c>
      <c r="D46" s="181">
        <f>Statement!N147</f>
        <v>1.1936868294199969</v>
      </c>
      <c r="E46" s="181">
        <f>Statement!O147</f>
        <v>1.2214379923715823</v>
      </c>
      <c r="F46" s="181">
        <f>Statement!P147</f>
        <v>0.86701620591039086</v>
      </c>
      <c r="G46" s="181">
        <f>Statement!Q147</f>
        <v>1.5761520190023752</v>
      </c>
      <c r="I46" s="181">
        <f>Statement!AC147</f>
        <v>1.686293472196392</v>
      </c>
    </row>
    <row r="47" spans="2:9" x14ac:dyDescent="0.2">
      <c r="B47" s="20" t="s">
        <v>255</v>
      </c>
      <c r="C47" s="181">
        <f>Statement!M148</f>
        <v>2.1017405869929355</v>
      </c>
      <c r="D47" s="181">
        <f>Statement!N148</f>
        <v>1.5676255636759446</v>
      </c>
      <c r="E47" s="181">
        <f>Statement!O148</f>
        <v>1.5424018821516416</v>
      </c>
      <c r="F47" s="181">
        <f>Statement!P148</f>
        <v>1.3268659227275277</v>
      </c>
      <c r="G47" s="181">
        <f>Statement!Q148</f>
        <v>2.0170387965162311</v>
      </c>
      <c r="I47" s="181">
        <f>Statement!AC148</f>
        <v>2.3119583410823878</v>
      </c>
    </row>
    <row r="48" spans="2:9" x14ac:dyDescent="0.2">
      <c r="B48" s="20" t="s">
        <v>261</v>
      </c>
      <c r="C48" s="183" t="str">
        <f>Statement!M149</f>
        <v>N/A</v>
      </c>
      <c r="D48" s="183" t="str">
        <f>Statement!N149</f>
        <v>N/A</v>
      </c>
      <c r="E48" s="183" t="str">
        <f>Statement!O149</f>
        <v>N/A</v>
      </c>
      <c r="F48" s="183" t="str">
        <f>Statement!P149</f>
        <v>N/A</v>
      </c>
      <c r="G48" s="183" t="str">
        <f>Statement!Q149</f>
        <v>N/A</v>
      </c>
      <c r="I48" s="183" t="str">
        <f>Statement!AC149</f>
        <v>N/A</v>
      </c>
    </row>
    <row r="50" spans="2:9" ht="17" thickBot="1" x14ac:dyDescent="0.25">
      <c r="B50" s="14" t="s">
        <v>270</v>
      </c>
      <c r="C50" s="14"/>
      <c r="D50" s="14"/>
      <c r="E50" s="14"/>
      <c r="F50" s="14"/>
      <c r="G50" s="14"/>
      <c r="I50" s="14"/>
    </row>
    <row r="51" spans="2:9" x14ac:dyDescent="0.2">
      <c r="B51" s="20" t="s">
        <v>268</v>
      </c>
      <c r="C51" s="176">
        <f>Statement!M162</f>
        <v>9.471837848372637E-2</v>
      </c>
      <c r="D51" s="176">
        <f>Statement!N162</f>
        <v>7.3401437760121077E-2</v>
      </c>
      <c r="E51" s="176">
        <f>Statement!O162</f>
        <v>7.9601990049751256E-3</v>
      </c>
      <c r="F51" s="176">
        <f>Statement!P162</f>
        <v>-0.21576354679802953</v>
      </c>
      <c r="G51" s="176">
        <f>Statement!Q162</f>
        <v>-1.6574585635359114E-3</v>
      </c>
      <c r="I51" s="176">
        <f ca="1">Statement!AC162</f>
        <v>-5.490855953593411E-3</v>
      </c>
    </row>
    <row r="52" spans="2:9" x14ac:dyDescent="0.2">
      <c r="B52" s="20" t="s">
        <v>271</v>
      </c>
      <c r="C52" s="176">
        <f>Statement!M161</f>
        <v>4.1263521617131038E-2</v>
      </c>
      <c r="D52" s="176">
        <f>Statement!N161</f>
        <v>-0.11426372932609277</v>
      </c>
      <c r="E52" s="176">
        <f>Statement!O161</f>
        <v>-8.1980684811237922E-2</v>
      </c>
      <c r="F52" s="176">
        <f>Statement!P161</f>
        <v>-0.21690804218478027</v>
      </c>
      <c r="G52" s="176">
        <f>Statement!Q161</f>
        <v>-4.0830886134753538E-2</v>
      </c>
      <c r="I52" s="176">
        <f ca="1">Statement!AC161</f>
        <v>-9.67382488005206E-3</v>
      </c>
    </row>
    <row r="53" spans="2:9" x14ac:dyDescent="0.2">
      <c r="B53" s="20" t="s">
        <v>269</v>
      </c>
      <c r="C53" s="176">
        <f>Statement!M163</f>
        <v>2.7090235821477293E-2</v>
      </c>
      <c r="D53" s="176">
        <f>Statement!N163</f>
        <v>5.5240257283390083E-2</v>
      </c>
      <c r="E53" s="176">
        <f>Statement!O163</f>
        <v>1.472636815920398E-2</v>
      </c>
      <c r="F53" s="176">
        <f>Statement!P163</f>
        <v>1.8719211822660099E-2</v>
      </c>
      <c r="G53" s="176">
        <f>Statement!Q163</f>
        <v>0</v>
      </c>
      <c r="I53" s="176">
        <f ca="1">Statement!AC163</f>
        <v>0</v>
      </c>
    </row>
    <row r="54" spans="2:9" x14ac:dyDescent="0.2">
      <c r="B54" s="20" t="s">
        <v>294</v>
      </c>
      <c r="C54" s="176">
        <f>Statement!M164</f>
        <v>1.1471325510000168E-2</v>
      </c>
      <c r="D54" s="176">
        <f>Statement!N164</f>
        <v>0</v>
      </c>
      <c r="E54" s="176">
        <f>Statement!O164</f>
        <v>0</v>
      </c>
      <c r="F54" s="176">
        <f>Statement!P164</f>
        <v>0</v>
      </c>
      <c r="G54" s="176">
        <f>Statement!Q164</f>
        <v>0</v>
      </c>
      <c r="I54" s="176">
        <f ca="1">Statement!AC164</f>
        <v>0</v>
      </c>
    </row>
    <row r="55" spans="2:9" x14ac:dyDescent="0.2">
      <c r="B55" s="20" t="s">
        <v>296</v>
      </c>
      <c r="C55" s="176">
        <f>Statement!M165</f>
        <v>3.8280501981404286E-2</v>
      </c>
      <c r="D55" s="176">
        <f>Statement!N165</f>
        <v>5.4648662953072684E-2</v>
      </c>
      <c r="E55" s="176">
        <f>Statement!O165</f>
        <v>1.4459467369037167E-2</v>
      </c>
      <c r="F55" s="176">
        <f>Statement!P165</f>
        <v>1.8191333234735322E-2</v>
      </c>
      <c r="G55" s="176">
        <f>Statement!Q165</f>
        <v>0</v>
      </c>
      <c r="I55" s="176">
        <f ca="1">Statement!AC165</f>
        <v>0</v>
      </c>
    </row>
    <row r="57" spans="2:9" ht="17" thickBot="1" x14ac:dyDescent="0.25">
      <c r="B57" s="14" t="s">
        <v>273</v>
      </c>
      <c r="C57" s="14"/>
      <c r="D57" s="14"/>
      <c r="E57" s="14"/>
      <c r="F57" s="14"/>
      <c r="G57" s="14"/>
      <c r="I57" s="14"/>
    </row>
    <row r="58" spans="2:9" x14ac:dyDescent="0.2">
      <c r="B58" s="20" t="s">
        <v>272</v>
      </c>
      <c r="C58" s="176">
        <f>Statement!M168</f>
        <v>0.64970645792563597</v>
      </c>
      <c r="D58" s="176">
        <f>Statement!N168</f>
        <v>-0.47826780445011563</v>
      </c>
      <c r="E58" s="176">
        <f>Statement!O168</f>
        <v>-0.1763765135937857</v>
      </c>
      <c r="F58" s="176">
        <f>Statement!P168</f>
        <v>-8.3866568761145496E-2</v>
      </c>
      <c r="G58" s="176">
        <f>Statement!Q168</f>
        <v>0</v>
      </c>
      <c r="I58" s="176">
        <f>Statement!AC168</f>
        <v>0</v>
      </c>
    </row>
    <row r="59" spans="2:9" x14ac:dyDescent="0.2">
      <c r="B59" s="20" t="s">
        <v>274</v>
      </c>
      <c r="C59" s="176">
        <f>Statement!M169</f>
        <v>0.27800161160354553</v>
      </c>
      <c r="D59" s="176">
        <f>Statement!N169</f>
        <v>0</v>
      </c>
      <c r="E59" s="176">
        <f>Statement!O169</f>
        <v>0</v>
      </c>
      <c r="F59" s="176">
        <f>Statement!P169</f>
        <v>0</v>
      </c>
      <c r="G59" s="176">
        <f>Statement!Q169</f>
        <v>0</v>
      </c>
      <c r="I59" s="176">
        <f>Statement!AC169</f>
        <v>0</v>
      </c>
    </row>
    <row r="60" spans="2:9" x14ac:dyDescent="0.2">
      <c r="B60" s="20" t="s">
        <v>275</v>
      </c>
      <c r="C60" s="176">
        <f>Statement!M170</f>
        <v>0.9277080695291815</v>
      </c>
      <c r="D60" s="176">
        <f>Statement!N170</f>
        <v>-0.47826780445011563</v>
      </c>
      <c r="E60" s="176">
        <f>Statement!O170</f>
        <v>-0.1763765135937857</v>
      </c>
      <c r="F60" s="176">
        <f>Statement!P170</f>
        <v>-8.3866568761145496E-2</v>
      </c>
      <c r="G60" s="176">
        <f>Statement!Q170</f>
        <v>0</v>
      </c>
      <c r="I60" s="176">
        <f>Statement!AC170</f>
        <v>0</v>
      </c>
    </row>
    <row r="62" spans="2:9" ht="17" thickBot="1" x14ac:dyDescent="0.25">
      <c r="B62" s="14" t="s">
        <v>281</v>
      </c>
      <c r="C62" s="14"/>
      <c r="D62" s="14"/>
      <c r="E62" s="14"/>
      <c r="F62" s="14"/>
      <c r="G62" s="14"/>
      <c r="I62" s="14"/>
    </row>
    <row r="63" spans="2:9" x14ac:dyDescent="0.2">
      <c r="B63" s="20" t="s">
        <v>279</v>
      </c>
      <c r="C63" s="176">
        <f>Statement!M171</f>
        <v>4.874482086278333E-4</v>
      </c>
      <c r="D63" s="176">
        <f>Statement!N171</f>
        <v>4.8169556840077071E-4</v>
      </c>
      <c r="E63" s="176">
        <f>Statement!O171</f>
        <v>4.7058823529411766E-4</v>
      </c>
      <c r="F63" s="176">
        <f>Statement!P171</f>
        <v>4.6189376443418013E-4</v>
      </c>
      <c r="G63" s="176">
        <f>Statement!Q171</f>
        <v>6.0060060060060057E-4</v>
      </c>
      <c r="I63" s="176">
        <f>Statement!AC171</f>
        <v>5.9689614007162755E-4</v>
      </c>
    </row>
    <row r="65" spans="2:9" ht="17" thickBot="1" x14ac:dyDescent="0.25">
      <c r="B65" s="14" t="s">
        <v>287</v>
      </c>
      <c r="C65" s="14"/>
      <c r="D65" s="14"/>
      <c r="E65" s="14"/>
      <c r="F65" s="14"/>
      <c r="G65" s="14"/>
      <c r="I65" s="14"/>
    </row>
    <row r="66" spans="2:9" x14ac:dyDescent="0.2">
      <c r="B66" s="20" t="s">
        <v>280</v>
      </c>
      <c r="C66" s="175">
        <f>Statement!M172</f>
        <v>8.524312377210217</v>
      </c>
      <c r="D66" s="175">
        <f>Statement!N172</f>
        <v>8.2789460962049795</v>
      </c>
      <c r="E66" s="175">
        <f>Statement!O172</f>
        <v>7.2996688741721858</v>
      </c>
      <c r="F66" s="175">
        <f>Statement!P172</f>
        <v>6.3383371824480372</v>
      </c>
      <c r="G66" s="175">
        <f>Statement!Q172</f>
        <v>9.1947947947947952</v>
      </c>
      <c r="I66" s="175">
        <f>Statement!AC172</f>
        <v>8.2113012335853561</v>
      </c>
    </row>
    <row r="67" spans="2:9" x14ac:dyDescent="0.2">
      <c r="B67" s="20" t="s">
        <v>288</v>
      </c>
      <c r="C67" s="175">
        <f>Statement!M175</f>
        <v>-0.83251473477406679</v>
      </c>
      <c r="D67" s="175">
        <f>Statement!N175</f>
        <v>-1.8856659415035049</v>
      </c>
      <c r="E67" s="175">
        <f>Statement!O175</f>
        <v>-4.3526490066225163</v>
      </c>
      <c r="F67" s="175">
        <f>Statement!P175</f>
        <v>-5.2115473441108549</v>
      </c>
      <c r="G67" s="175">
        <f>Statement!Q175</f>
        <v>-0.13153153153153152</v>
      </c>
      <c r="I67" s="175">
        <f>Statement!AC175</f>
        <v>-0.74830879426979702</v>
      </c>
    </row>
    <row r="68" spans="2:9" x14ac:dyDescent="0.2">
      <c r="B68" s="20" t="s">
        <v>293</v>
      </c>
      <c r="C68" s="197">
        <f>Statement!M176</f>
        <v>-1.6102605995403963E-2</v>
      </c>
      <c r="D68" s="197">
        <f>Statement!N176</f>
        <v>-7.1087913906439884E-2</v>
      </c>
      <c r="E68" s="197">
        <f>Statement!O176</f>
        <v>-8.617149546385719E-2</v>
      </c>
      <c r="F68" s="197">
        <f>Statement!P176</f>
        <v>-0.25672647015324407</v>
      </c>
      <c r="G68" s="197">
        <f>Statement!Q176</f>
        <v>-3.6334677218655118E-3</v>
      </c>
      <c r="I68" s="197">
        <f ca="1">Statement!AC176</f>
        <v>-6.6271867711977768E-3</v>
      </c>
    </row>
    <row r="70" spans="2:9" ht="17" thickBot="1" x14ac:dyDescent="0.25">
      <c r="B70" s="14" t="s">
        <v>308</v>
      </c>
      <c r="C70" s="14"/>
      <c r="D70" s="14"/>
      <c r="E70" s="14"/>
      <c r="F70" s="14"/>
      <c r="G70" s="14"/>
      <c r="I70" s="14"/>
    </row>
    <row r="71" spans="2:9" x14ac:dyDescent="0.2">
      <c r="B71" s="20" t="s">
        <v>282</v>
      </c>
      <c r="C71" s="176">
        <f>Statement!M173</f>
        <v>6.9120043454644217E-2</v>
      </c>
      <c r="D71" s="176">
        <f>Statement!N173</f>
        <v>0.20268256333830104</v>
      </c>
      <c r="E71" s="176">
        <f>Statement!O173</f>
        <v>0.28149245924505273</v>
      </c>
      <c r="F71" s="176">
        <f>Statement!P173</f>
        <v>0.41143822393822393</v>
      </c>
      <c r="G71" s="176">
        <f>Statement!Q173</f>
        <v>0.25100546560791998</v>
      </c>
      <c r="I71" s="176">
        <f>Statement!AC173</f>
        <v>0.2375751503006012</v>
      </c>
    </row>
    <row r="72" spans="2:9" x14ac:dyDescent="0.2">
      <c r="B72" s="20" t="s">
        <v>283</v>
      </c>
      <c r="C72" s="176">
        <f>Statement!M174</f>
        <v>2.5764324762097592E-2</v>
      </c>
      <c r="D72" s="176">
        <f>Statement!N174</f>
        <v>4.9608272274558315E-2</v>
      </c>
      <c r="E72" s="176">
        <f>Statement!O174</f>
        <v>5.9544884561481153E-2</v>
      </c>
      <c r="F72" s="176">
        <f>Statement!P174</f>
        <v>6.4217246379540877E-2</v>
      </c>
      <c r="G72" s="176">
        <f>Statement!Q174</f>
        <v>4.6052258149963103E-2</v>
      </c>
      <c r="I72" s="176">
        <f>Statement!AC174</f>
        <v>4.4100961627885349E-2</v>
      </c>
    </row>
    <row r="74" spans="2:9" ht="17" thickBot="1" x14ac:dyDescent="0.25">
      <c r="B74" s="14" t="s">
        <v>309</v>
      </c>
      <c r="C74" s="14"/>
      <c r="D74" s="14"/>
      <c r="E74" s="14"/>
      <c r="F74" s="14"/>
      <c r="G74" s="14"/>
      <c r="I74" s="14"/>
    </row>
    <row r="75" spans="2:9" x14ac:dyDescent="0.2">
      <c r="B75" s="20" t="s">
        <v>306</v>
      </c>
      <c r="C75" s="176">
        <f>Statement!M177</f>
        <v>0.23705456570155903</v>
      </c>
      <c r="D75" s="176">
        <f>Statement!N177</f>
        <v>0.39401148222158783</v>
      </c>
      <c r="E75" s="176">
        <f>Statement!O177</f>
        <v>0.4748469425389098</v>
      </c>
      <c r="F75" s="176">
        <f>Statement!P177</f>
        <v>0.45091429539933336</v>
      </c>
      <c r="G75" s="176">
        <f>Statement!Q177</f>
        <v>0.27710820577829071</v>
      </c>
      <c r="I75" s="176">
        <f>Statement!AC177</f>
        <v>0.24364339787586259</v>
      </c>
    </row>
    <row r="76" spans="2:9" x14ac:dyDescent="0.2">
      <c r="B76" s="20" t="s">
        <v>303</v>
      </c>
      <c r="C76" s="176">
        <f>Statement!M178</f>
        <v>0.63596550787615425</v>
      </c>
      <c r="D76" s="176">
        <f>Statement!N178</f>
        <v>1.6097971878442299</v>
      </c>
      <c r="E76" s="176">
        <f>Statement!O178</f>
        <v>2.2447912126231366</v>
      </c>
      <c r="F76" s="176">
        <f>Statement!P178</f>
        <v>2.8889961389961392</v>
      </c>
      <c r="G76" s="176">
        <f>Statement!Q178</f>
        <v>1.5103640301124059</v>
      </c>
      <c r="I76" s="176">
        <f>Statement!AC178</f>
        <v>1.3125250501002004</v>
      </c>
    </row>
    <row r="77" spans="2:9" x14ac:dyDescent="0.2">
      <c r="B77" s="20" t="s">
        <v>304</v>
      </c>
      <c r="C77" s="176">
        <f>Statement!M179</f>
        <v>1.5886194029850746</v>
      </c>
      <c r="D77" s="176">
        <f>Statement!N179</f>
        <v>1.9059455312619868</v>
      </c>
      <c r="E77" s="176">
        <f>Statement!O179</f>
        <v>2.6817329722974379</v>
      </c>
      <c r="F77" s="176">
        <f>Statement!P179</f>
        <v>2.1042270849811056</v>
      </c>
      <c r="G77" s="176">
        <f>Statement!Q179</f>
        <v>1.2511532547411583</v>
      </c>
      <c r="I77" s="176">
        <f>Statement!AC179</f>
        <v>1.0765121630506247</v>
      </c>
    </row>
    <row r="79" spans="2:9" ht="17" thickBot="1" x14ac:dyDescent="0.25">
      <c r="B79" s="14" t="s">
        <v>117</v>
      </c>
      <c r="C79" s="14"/>
      <c r="D79" s="14"/>
      <c r="E79" s="14"/>
      <c r="F79" s="14"/>
      <c r="G79" s="14"/>
      <c r="I79" s="14"/>
    </row>
    <row r="80" spans="2:9" x14ac:dyDescent="0.2">
      <c r="B80" s="20" t="s">
        <v>19</v>
      </c>
      <c r="C80" s="176">
        <f>Statement!M89</f>
        <v>1</v>
      </c>
      <c r="D80" s="176">
        <f>Statement!N89</f>
        <v>-0.20209050415063778</v>
      </c>
      <c r="E80" s="176">
        <f>Statement!O89</f>
        <v>-0.13997525930155105</v>
      </c>
      <c r="F80" s="176">
        <f>Statement!P89</f>
        <v>-2.0782621523935976E-2</v>
      </c>
      <c r="G80" s="176">
        <f>Statement!Q89</f>
        <v>-4.6703451912393362E-3</v>
      </c>
      <c r="I80" s="198"/>
    </row>
    <row r="81" spans="2:9" x14ac:dyDescent="0.2">
      <c r="B81" s="20" t="s">
        <v>20</v>
      </c>
      <c r="C81" s="176">
        <f>Statement!M90</f>
        <v>1</v>
      </c>
      <c r="D81" s="176">
        <f>Statement!N90</f>
        <v>2.7805390667158966E-2</v>
      </c>
      <c r="E81" s="176">
        <f>Statement!O90</f>
        <v>-0.10144246711617111</v>
      </c>
      <c r="F81" s="176">
        <f>Statement!P90</f>
        <v>9.9609435064735366E-2</v>
      </c>
      <c r="G81" s="176">
        <f>Statement!Q90</f>
        <v>-3.5742253048439421E-2</v>
      </c>
      <c r="I81" s="198"/>
    </row>
    <row r="82" spans="2:9" x14ac:dyDescent="0.2">
      <c r="B82" s="20" t="s">
        <v>21</v>
      </c>
      <c r="C82" s="176">
        <f>Statement!M91</f>
        <v>1</v>
      </c>
      <c r="D82" s="176">
        <f>Statement!N91</f>
        <v>-0.38683099395184295</v>
      </c>
      <c r="E82" s="176">
        <f>Statement!O91</f>
        <v>-0.19187821037742872</v>
      </c>
      <c r="F82" s="176">
        <f>Statement!P91</f>
        <v>-0.20109621850674772</v>
      </c>
      <c r="G82" s="176">
        <f>Statement!Q91</f>
        <v>5.9383107523782071E-2</v>
      </c>
      <c r="I82" s="198"/>
    </row>
    <row r="83" spans="2:9" x14ac:dyDescent="0.2">
      <c r="B83" s="20" t="s">
        <v>23</v>
      </c>
      <c r="C83" s="176">
        <f>Statement!M95</f>
        <v>1</v>
      </c>
      <c r="D83" s="176">
        <f>Statement!N95</f>
        <v>7.1020977872654871E-3</v>
      </c>
      <c r="E83" s="176">
        <f>Statement!O95</f>
        <v>-0.11878362954508397</v>
      </c>
      <c r="F83" s="176">
        <f>Statement!P95</f>
        <v>0.34253862521972428</v>
      </c>
      <c r="G83" s="176">
        <f>Statement!Q95</f>
        <v>-0.29059711263480686</v>
      </c>
      <c r="I83" s="198"/>
    </row>
    <row r="84" spans="2:9" x14ac:dyDescent="0.2">
      <c r="B84" s="20" t="s">
        <v>310</v>
      </c>
      <c r="C84" s="176">
        <f>Statement!M96</f>
        <v>1</v>
      </c>
      <c r="D84" s="176">
        <f>Statement!N96</f>
        <v>-0.88003700657894735</v>
      </c>
      <c r="E84" s="176">
        <f>Statement!O96</f>
        <v>-0.96015424164524421</v>
      </c>
      <c r="F84" s="176">
        <f>Statement!P96</f>
        <v>-126.56989247311827</v>
      </c>
      <c r="G84" s="176">
        <f>Statement!Q96</f>
        <v>0.81041274190786095</v>
      </c>
      <c r="I84" s="198"/>
    </row>
    <row r="85" spans="2:9" x14ac:dyDescent="0.2">
      <c r="B85" s="20" t="s">
        <v>311</v>
      </c>
      <c r="C85" s="176">
        <f>Statement!M98</f>
        <v>1</v>
      </c>
      <c r="D85" s="176">
        <f>Statement!N98</f>
        <v>-0.59663780954298373</v>
      </c>
      <c r="E85" s="176">
        <f>Statement!O98</f>
        <v>-0.78924382330920884</v>
      </c>
      <c r="F85" s="176">
        <f>Statement!P98</f>
        <v>-12.104795737122558</v>
      </c>
      <c r="G85" s="176">
        <f>Statement!Q98</f>
        <v>0.98576455534229046</v>
      </c>
      <c r="I85" s="198"/>
    </row>
    <row r="88" spans="2:9" ht="17" thickBot="1" x14ac:dyDescent="0.25">
      <c r="B88" s="14" t="s">
        <v>312</v>
      </c>
      <c r="C88" s="14"/>
      <c r="D88" s="14"/>
      <c r="E88" s="14"/>
      <c r="F88" s="14"/>
      <c r="G88" s="14"/>
      <c r="I88" s="14"/>
    </row>
    <row r="89" spans="2:9" x14ac:dyDescent="0.2">
      <c r="B89" s="217" t="s">
        <v>360</v>
      </c>
      <c r="C89" s="176">
        <f>Statement!M198</f>
        <v>1</v>
      </c>
      <c r="D89" s="176">
        <f>Statement!N198</f>
        <v>-0.22657676298045326</v>
      </c>
      <c r="E89" s="176">
        <f>Statement!O198</f>
        <v>-7.9155257608661447E-2</v>
      </c>
      <c r="F89" s="176">
        <f>Statement!P198</f>
        <v>0.139722469068289</v>
      </c>
      <c r="G89" s="176">
        <f>Statement!Q198</f>
        <v>-3.3527259641336293E-2</v>
      </c>
      <c r="I89" s="198"/>
    </row>
    <row r="90" spans="2:9" x14ac:dyDescent="0.2">
      <c r="B90" s="217" t="s">
        <v>361</v>
      </c>
      <c r="C90" s="176">
        <f>Statement!M199</f>
        <v>1</v>
      </c>
      <c r="D90" s="176">
        <f>Statement!N199</f>
        <v>-8.4923946253162061E-2</v>
      </c>
      <c r="E90" s="176">
        <f>Statement!O199</f>
        <v>-0.23547784878293962</v>
      </c>
      <c r="F90" s="176">
        <f>Statement!P199</f>
        <v>-0.242779995304062</v>
      </c>
      <c r="G90" s="176">
        <f>Statement!Q199</f>
        <v>4.9240310077519382E-2</v>
      </c>
      <c r="I90" s="198"/>
    </row>
    <row r="91" spans="2:9" x14ac:dyDescent="0.2">
      <c r="B91" s="20" t="s">
        <v>362</v>
      </c>
      <c r="C91" s="176">
        <f>Statement!M200</f>
        <v>1</v>
      </c>
      <c r="D91" s="176">
        <f>Statement!N200</f>
        <v>-0.16628914988814317</v>
      </c>
      <c r="E91" s="176">
        <f>Statement!O200</f>
        <v>-0.1521793818236705</v>
      </c>
      <c r="F91" s="176">
        <f>Statement!P200</f>
        <v>-2.1403279726227919E-2</v>
      </c>
      <c r="G91" s="176">
        <f>Statement!Q200</f>
        <v>-6.5492915041135214E-3</v>
      </c>
      <c r="I91" s="198"/>
    </row>
    <row r="92" spans="2:9" x14ac:dyDescent="0.2">
      <c r="B92" s="20" t="s">
        <v>363</v>
      </c>
      <c r="C92" s="176">
        <f>Statement!M201</f>
        <v>1</v>
      </c>
      <c r="D92" s="176">
        <f>Statement!N201</f>
        <v>0.35158501440922191</v>
      </c>
      <c r="E92" s="176">
        <f>Statement!O201</f>
        <v>1.0298507462686568</v>
      </c>
      <c r="F92" s="176">
        <f>Statement!P201</f>
        <v>17.190126050420169</v>
      </c>
      <c r="G92" s="176">
        <f>Statement!Q201</f>
        <v>2.9393081942599757E-2</v>
      </c>
      <c r="I92" s="198"/>
    </row>
    <row r="93" spans="2:9" x14ac:dyDescent="0.2">
      <c r="B93" s="20" t="s">
        <v>364</v>
      </c>
      <c r="C93" s="176">
        <f>Statement!M202</f>
        <v>1</v>
      </c>
      <c r="D93" s="176">
        <f>Statement!N202</f>
        <v>-0.58669833729216148</v>
      </c>
      <c r="E93" s="176">
        <f>Statement!O202</f>
        <v>-7.9445571331981074E-2</v>
      </c>
      <c r="F93" s="176">
        <f>Statement!P202</f>
        <v>0.32243848696290855</v>
      </c>
      <c r="G93" s="176">
        <f>Statement!Q202</f>
        <v>-1.0552624271035824E-2</v>
      </c>
      <c r="I93" s="198"/>
    </row>
    <row r="95" spans="2:9" ht="17" thickBot="1" x14ac:dyDescent="0.25">
      <c r="B95" s="14" t="s">
        <v>314</v>
      </c>
      <c r="C95" s="14"/>
      <c r="D95" s="14"/>
      <c r="E95" s="14"/>
      <c r="F95" s="14"/>
      <c r="G95" s="14"/>
      <c r="I95" s="14"/>
    </row>
    <row r="96" spans="2:9" x14ac:dyDescent="0.2">
      <c r="B96" s="20" t="s">
        <v>286</v>
      </c>
      <c r="C96" s="176">
        <f>Statement!M206</f>
        <v>-1</v>
      </c>
      <c r="D96" s="176">
        <f>Statement!N206</f>
        <v>6.2544294826364283E-2</v>
      </c>
      <c r="E96" s="176">
        <f>Statement!O206</f>
        <v>-0.48507587126896784</v>
      </c>
      <c r="F96" s="176">
        <f>Statement!P206</f>
        <v>-0.48218911917098445</v>
      </c>
      <c r="G96" s="176">
        <f>Statement!Q206</f>
        <v>-1</v>
      </c>
      <c r="I96"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315</v>
      </c>
      <c r="D3" s="237"/>
      <c r="F3" s="238" t="s">
        <v>316</v>
      </c>
      <c r="G3" s="237"/>
    </row>
    <row r="4" spans="2:7" x14ac:dyDescent="0.2">
      <c r="B4" s="8"/>
      <c r="C4" s="10" t="str">
        <f>Statement!Z2</f>
        <v>27.12.2025</v>
      </c>
      <c r="D4" s="204" t="str">
        <f>Statement!AA2</f>
        <v>28.03.2026</v>
      </c>
      <c r="F4" s="205" t="str">
        <f>Statement!W2</f>
        <v>29.03.2025</v>
      </c>
      <c r="G4" s="204" t="str">
        <f>Statement!AA2</f>
        <v>28.03.2026</v>
      </c>
    </row>
    <row r="5" spans="2:7" x14ac:dyDescent="0.2">
      <c r="B5" s="8" t="s">
        <v>321</v>
      </c>
      <c r="C5" s="10" t="str">
        <f>Statement!Z3</f>
        <v>Q4 2025</v>
      </c>
      <c r="D5" s="204" t="str">
        <f>Statement!AA3</f>
        <v>Q1 2026</v>
      </c>
      <c r="F5" s="205" t="str">
        <f>Statement!W3</f>
        <v>Q1 2025</v>
      </c>
      <c r="G5" s="204" t="str">
        <f>Statement!AA3</f>
        <v>Q1 2026</v>
      </c>
    </row>
    <row r="6" spans="2:7" x14ac:dyDescent="0.2">
      <c r="B6" s="206" t="s">
        <v>19</v>
      </c>
      <c r="C6" s="200">
        <f>Statement!Z5</f>
        <v>13674</v>
      </c>
      <c r="D6" s="199">
        <f>Statement!AA5</f>
        <v>13577</v>
      </c>
      <c r="F6" s="200">
        <f>Statement!W5</f>
        <v>12667</v>
      </c>
      <c r="G6" s="199">
        <f>Statement!AA5</f>
        <v>13577</v>
      </c>
    </row>
    <row r="7" spans="2:7" x14ac:dyDescent="0.2">
      <c r="B7" s="207" t="s">
        <v>317</v>
      </c>
      <c r="C7" s="234">
        <f>Statement!AA89</f>
        <v>-7.0937545707181514E-3</v>
      </c>
      <c r="D7" s="235"/>
      <c r="F7" s="234">
        <f>IF(F6=0,
IF(G6=0,0,IF(G6&gt;0,1,-1)),
(G6-F6)/ABS(F6)
)</f>
        <v>7.1840214731191288E-2</v>
      </c>
      <c r="G7" s="235"/>
    </row>
    <row r="8" spans="2:7" x14ac:dyDescent="0.2">
      <c r="B8" s="208" t="s">
        <v>20</v>
      </c>
      <c r="C8" s="201">
        <f>Statement!Z6</f>
        <v>8731</v>
      </c>
      <c r="D8" s="199">
        <f>Statement!AA6</f>
        <v>8230</v>
      </c>
      <c r="F8" s="201">
        <f>Statement!W6</f>
        <v>7995</v>
      </c>
      <c r="G8" s="199">
        <f>Statement!AA6</f>
        <v>8230</v>
      </c>
    </row>
    <row r="9" spans="2:7" x14ac:dyDescent="0.2">
      <c r="B9" s="207" t="s">
        <v>317</v>
      </c>
      <c r="C9" s="234">
        <f>Statement!AA90</f>
        <v>-5.7381743213835761E-2</v>
      </c>
      <c r="D9" s="235"/>
      <c r="F9" s="234">
        <f>IF(F8=0,
IF(G8=0,0,IF(G8&gt;0,1,-1)),
(G8-F8)/ABS(F8)
)</f>
        <v>2.9393370856785492E-2</v>
      </c>
      <c r="G9" s="235"/>
    </row>
    <row r="10" spans="2:7" x14ac:dyDescent="0.2">
      <c r="B10" s="208" t="s">
        <v>21</v>
      </c>
      <c r="C10" s="201">
        <f>Statement!Z7</f>
        <v>4943</v>
      </c>
      <c r="D10" s="199">
        <f>Statement!AA7</f>
        <v>5347</v>
      </c>
      <c r="F10" s="201">
        <f>Statement!W7</f>
        <v>4672</v>
      </c>
      <c r="G10" s="199">
        <f>Statement!AA7</f>
        <v>5347</v>
      </c>
    </row>
    <row r="11" spans="2:7" x14ac:dyDescent="0.2">
      <c r="B11" s="207" t="s">
        <v>317</v>
      </c>
      <c r="C11" s="234">
        <f>Statement!AA91</f>
        <v>8.1731741857171761E-2</v>
      </c>
      <c r="D11" s="235"/>
      <c r="F11" s="234">
        <f>IF(F10=0,
IF(G10=0,0,IF(G10&gt;0,1,-1)),
(G10-F10)/ABS(F10)
)</f>
        <v>0.1444777397260274</v>
      </c>
      <c r="G11" s="235"/>
    </row>
    <row r="12" spans="2:7" x14ac:dyDescent="0.2">
      <c r="B12" s="208" t="s">
        <v>23</v>
      </c>
      <c r="C12" s="201">
        <f>Statement!Z11</f>
        <v>4363</v>
      </c>
      <c r="D12" s="199">
        <f>Statement!AA11</f>
        <v>8483</v>
      </c>
      <c r="F12" s="201">
        <f>Statement!W11</f>
        <v>4973</v>
      </c>
      <c r="G12" s="199">
        <f>Statement!AA11</f>
        <v>8483</v>
      </c>
    </row>
    <row r="13" spans="2:7" x14ac:dyDescent="0.2">
      <c r="B13" s="207" t="s">
        <v>317</v>
      </c>
      <c r="C13" s="234">
        <f>Statement!AA95</f>
        <v>0.94430437772175113</v>
      </c>
      <c r="D13" s="235"/>
      <c r="F13" s="234">
        <f>IF(F12=0,
IF(G12=0,0,IF(G12&gt;0,1,-1)),
(G12-F12)/ABS(F12)
)</f>
        <v>0.70581138145988342</v>
      </c>
      <c r="G13" s="235"/>
    </row>
    <row r="14" spans="2:7" x14ac:dyDescent="0.2">
      <c r="B14" s="208" t="s">
        <v>318</v>
      </c>
      <c r="C14" s="201">
        <f>Statement!Z12</f>
        <v>580</v>
      </c>
      <c r="D14" s="199">
        <f>Statement!AA12</f>
        <v>-3136</v>
      </c>
      <c r="F14" s="201">
        <f>Statement!W12</f>
        <v>-301</v>
      </c>
      <c r="G14" s="199">
        <f>Statement!AA12</f>
        <v>-3136</v>
      </c>
    </row>
    <row r="15" spans="2:7" x14ac:dyDescent="0.2">
      <c r="B15" s="207" t="s">
        <v>317</v>
      </c>
      <c r="C15" s="234">
        <f>Statement!AA96</f>
        <v>-6.4068965517241381</v>
      </c>
      <c r="D15" s="235"/>
      <c r="F15" s="234">
        <f>IF(F14=0,
IF(G14=0,0,IF(G14&gt;0,1,-1)),
(G14-F14)/ABS(F14)
)</f>
        <v>-9.4186046511627914</v>
      </c>
      <c r="G15" s="235"/>
    </row>
    <row r="16" spans="2:7" x14ac:dyDescent="0.2">
      <c r="B16" s="208" t="s">
        <v>29</v>
      </c>
      <c r="C16" s="201">
        <f>Statement!Z18</f>
        <v>-591</v>
      </c>
      <c r="D16" s="199">
        <f>Statement!AA18</f>
        <v>-3728</v>
      </c>
      <c r="F16" s="201">
        <f>Statement!W18</f>
        <v>-821</v>
      </c>
      <c r="G16" s="199">
        <f>Statement!AA18</f>
        <v>-3728</v>
      </c>
    </row>
    <row r="17" spans="2:7" x14ac:dyDescent="0.2">
      <c r="B17" s="207" t="s">
        <v>317</v>
      </c>
      <c r="C17" s="234">
        <f>Statement!AA98</f>
        <v>-5.3079526226734348</v>
      </c>
      <c r="D17" s="235"/>
      <c r="F17" s="234">
        <f>IF(F16=0,
IF(G16=0,0,IF(G16&gt;0,1,-1)),
(G16-F16)/ABS(F16)
)</f>
        <v>-3.5408038976857492</v>
      </c>
      <c r="G17" s="235"/>
    </row>
    <row r="18" spans="2:7" x14ac:dyDescent="0.2">
      <c r="B18" s="208" t="s">
        <v>319</v>
      </c>
      <c r="C18" s="201">
        <f>Statement!Z22</f>
        <v>4856</v>
      </c>
      <c r="D18" s="199">
        <f>Statement!AA22</f>
        <v>5083</v>
      </c>
      <c r="F18" s="201">
        <f>Statement!W22</f>
        <v>4343</v>
      </c>
      <c r="G18" s="199">
        <f>Statement!AA22</f>
        <v>5083</v>
      </c>
    </row>
    <row r="19" spans="2:7" x14ac:dyDescent="0.2">
      <c r="B19" s="207" t="s">
        <v>317</v>
      </c>
      <c r="C19" s="234">
        <f>IF(C18=0,
IF(D18=0,0,IF(D18&gt;0,1,-1)),
(D18-C18)/ABS(C18)
)</f>
        <v>4.6746293245469521E-2</v>
      </c>
      <c r="D19" s="235"/>
      <c r="F19" s="234">
        <f>IF(F18=0,
IF(G18=0,0,IF(G18&gt;0,1,-1)),
(G18-F18)/ABS(F18)
)</f>
        <v>0.17038913193644947</v>
      </c>
      <c r="G19" s="235"/>
    </row>
    <row r="20" spans="2:7" x14ac:dyDescent="0.2">
      <c r="B20" s="208" t="s">
        <v>36</v>
      </c>
      <c r="C20" s="202">
        <f>Statement!Z26</f>
        <v>-0.12</v>
      </c>
      <c r="D20" s="203">
        <f>Statement!AA26</f>
        <v>-0.73</v>
      </c>
      <c r="F20" s="202">
        <f>Statement!W26</f>
        <v>-0.19</v>
      </c>
      <c r="G20" s="203">
        <f>Statement!AA26</f>
        <v>-0.73</v>
      </c>
    </row>
    <row r="21" spans="2:7" x14ac:dyDescent="0.2">
      <c r="B21" s="207" t="s">
        <v>317</v>
      </c>
      <c r="C21" s="234">
        <f>IF(C20=0,
IF(D20=0,0,IF(D20&gt;0,1,-1)),
(D20-C20)/ABS(C20)
)</f>
        <v>-5.083333333333333</v>
      </c>
      <c r="D21" s="235"/>
      <c r="F21" s="234">
        <f>IF(F20=0,
IF(G20=0,0,IF(G20&gt;0,1,-1)),
(G20-F20)/ABS(F20)
)</f>
        <v>-2.8421052631578947</v>
      </c>
      <c r="G21" s="235"/>
    </row>
    <row r="23" spans="2:7" x14ac:dyDescent="0.2">
      <c r="B23" s="8" t="s">
        <v>320</v>
      </c>
      <c r="C23" s="10" t="str">
        <f>C5</f>
        <v>Q4 2025</v>
      </c>
      <c r="D23" s="204" t="str">
        <f>D5</f>
        <v>Q1 2026</v>
      </c>
      <c r="F23" s="205" t="str">
        <f>F5</f>
        <v>Q1 2025</v>
      </c>
      <c r="G23" s="204" t="str">
        <f>G5</f>
        <v>Q1 2026</v>
      </c>
    </row>
    <row r="24" spans="2:7" x14ac:dyDescent="0.2">
      <c r="B24" s="20" t="s">
        <v>360</v>
      </c>
      <c r="C24" s="201">
        <f>Statement!Z184</f>
        <v>8193</v>
      </c>
      <c r="D24" s="199">
        <f>Statement!AA184</f>
        <v>7727</v>
      </c>
      <c r="F24" s="201">
        <f>Statement!W184</f>
        <v>7629</v>
      </c>
      <c r="G24" s="199">
        <f>Statement!AA184</f>
        <v>7727</v>
      </c>
    </row>
    <row r="25" spans="2:7" x14ac:dyDescent="0.2">
      <c r="B25" s="207" t="s">
        <v>317</v>
      </c>
      <c r="C25" s="234">
        <f>IF(C24=0,
IF(D24=0,0,IF(D24&gt;0,1,-1)),
(D24-C24)/ABS(C24)
)</f>
        <v>-5.687782253142927E-2</v>
      </c>
      <c r="D25" s="235"/>
      <c r="F25" s="234">
        <f>IF(F24=0,
IF(G24=0,0,IF(G24&gt;0,1,-1)),
(G24-F24)/ABS(F24)
)</f>
        <v>1.284572027788701E-2</v>
      </c>
      <c r="G25" s="235"/>
    </row>
    <row r="26" spans="2:7" x14ac:dyDescent="0.2">
      <c r="B26" s="20" t="s">
        <v>361</v>
      </c>
      <c r="C26" s="201">
        <f>Statement!Z185</f>
        <v>4737</v>
      </c>
      <c r="D26" s="199">
        <f>Statement!AA185</f>
        <v>5052</v>
      </c>
      <c r="F26" s="201">
        <f>Statement!W185</f>
        <v>4126</v>
      </c>
      <c r="G26" s="199">
        <f>Statement!AA185</f>
        <v>5052</v>
      </c>
    </row>
    <row r="27" spans="2:7" x14ac:dyDescent="0.2">
      <c r="B27" s="207" t="s">
        <v>317</v>
      </c>
      <c r="C27" s="234">
        <f>IF(C26=0,
IF(D26=0,0,IF(D26&gt;0,1,-1)),
(D26-C26)/ABS(C26)
)</f>
        <v>6.6497783407219763E-2</v>
      </c>
      <c r="D27" s="235"/>
      <c r="F27" s="234">
        <f>IF(F26=0,
IF(G26=0,0,IF(G26&gt;0,1,-1)),
(G26-F26)/ABS(F26)
)</f>
        <v>0.22443044110518662</v>
      </c>
      <c r="G27" s="235"/>
    </row>
    <row r="28" spans="2:7" x14ac:dyDescent="0.2">
      <c r="B28" s="20" t="s">
        <v>362</v>
      </c>
      <c r="C28" s="201">
        <f>Statement!Z186</f>
        <v>12930</v>
      </c>
      <c r="D28" s="199">
        <f>Statement!AA186</f>
        <v>12779</v>
      </c>
      <c r="F28" s="201">
        <f>Statement!W186</f>
        <v>11755</v>
      </c>
      <c r="G28" s="199">
        <f>Statement!AA186</f>
        <v>12779</v>
      </c>
    </row>
    <row r="29" spans="2:7" x14ac:dyDescent="0.2">
      <c r="B29" s="207" t="s">
        <v>317</v>
      </c>
      <c r="C29" s="234">
        <f>IF(C28=0,
IF(D28=0,0,IF(D28&gt;0,1,-1)),
(D28-C28)/ABS(C28)
)</f>
        <v>-1.1678267594740912E-2</v>
      </c>
      <c r="D29" s="235"/>
      <c r="F29" s="234">
        <f>IF(F28=0,
IF(G28=0,0,IF(G28&gt;0,1,-1)),
(G28-F28)/ABS(F28)
)</f>
        <v>8.7111867290514677E-2</v>
      </c>
      <c r="G29" s="235"/>
    </row>
    <row r="30" spans="2:7" x14ac:dyDescent="0.2">
      <c r="B30" s="20" t="s">
        <v>363</v>
      </c>
      <c r="C30" s="201">
        <f>Statement!Z187</f>
        <v>4507</v>
      </c>
      <c r="D30" s="201">
        <f>Statement!AA187</f>
        <v>5421</v>
      </c>
      <c r="F30" s="201">
        <f>Statement!W187</f>
        <v>4667</v>
      </c>
      <c r="G30" s="199">
        <f>Statement!AA187</f>
        <v>5421</v>
      </c>
    </row>
    <row r="31" spans="2:7" x14ac:dyDescent="0.2">
      <c r="B31" s="207" t="s">
        <v>317</v>
      </c>
      <c r="C31" s="234">
        <f>IF(C30=0,
IF(D30=0,0,IF(D30&gt;0,1,-1)),
(D30-C30)/ABS(C30)
)</f>
        <v>0.2027956512092301</v>
      </c>
      <c r="D31" s="235"/>
      <c r="F31" s="234">
        <f>IF(F30=0,
IF(G30=0,0,IF(G30&gt;0,1,-1)),
(G30-F30)/ABS(F30)
)</f>
        <v>0.16155988857938719</v>
      </c>
      <c r="G31" s="235"/>
    </row>
    <row r="32" spans="2:7" x14ac:dyDescent="0.2">
      <c r="B32" s="20" t="s">
        <v>364</v>
      </c>
      <c r="C32" s="201">
        <f>Statement!Z188</f>
        <v>574</v>
      </c>
      <c r="D32" s="199">
        <f>Statement!AA188</f>
        <v>628</v>
      </c>
      <c r="F32" s="201">
        <f>Statement!W188</f>
        <v>943</v>
      </c>
      <c r="G32" s="199">
        <f>Statement!AA188</f>
        <v>628</v>
      </c>
    </row>
    <row r="33" spans="2:7" x14ac:dyDescent="0.2">
      <c r="B33" s="207" t="s">
        <v>317</v>
      </c>
      <c r="C33" s="234">
        <f>IF(C32=0,
IF(D32=0,0,IF(D32&gt;0,1,-1)),
(D32-C32)/ABS(C32)
)</f>
        <v>9.4076655052264813E-2</v>
      </c>
      <c r="D33" s="235"/>
      <c r="F33" s="234">
        <f>IF(F32=0,
IF(G32=0,0,IF(G32&gt;0,1,-1)),
(G32-F32)/ABS(F32)
)</f>
        <v>-0.33404029692470838</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263</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264</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3">
        <f>Statement!H101</f>
        <v>0</v>
      </c>
      <c r="D62" s="223">
        <f>Statement!I101</f>
        <v>0</v>
      </c>
      <c r="E62" s="223">
        <f>Statement!J101</f>
        <v>0</v>
      </c>
      <c r="F62" s="223">
        <f>Statement!K101</f>
        <v>0</v>
      </c>
      <c r="G62" s="223">
        <f>Statement!L101</f>
        <v>0</v>
      </c>
      <c r="H62" s="223">
        <f>Statement!M101</f>
        <v>0.5544518121077141</v>
      </c>
      <c r="I62" s="223">
        <f>Statement!N101</f>
        <v>0.42607923367272499</v>
      </c>
      <c r="J62" s="223">
        <f>Statement!O101</f>
        <v>0.40036512502766097</v>
      </c>
      <c r="K62" s="223">
        <f>Statement!P101</f>
        <v>0.32664168283083184</v>
      </c>
      <c r="L62" s="223">
        <f>Statement!Q101</f>
        <v>0.34766238434904356</v>
      </c>
    </row>
    <row r="63" spans="2:12" x14ac:dyDescent="0.2">
      <c r="B63" s="20" t="s">
        <v>77</v>
      </c>
      <c r="C63" s="223">
        <f>Statement!H102</f>
        <v>0</v>
      </c>
      <c r="D63" s="223">
        <f>Statement!I102</f>
        <v>0</v>
      </c>
      <c r="E63" s="223">
        <f>Statement!J102</f>
        <v>0</v>
      </c>
      <c r="F63" s="223">
        <f>Statement!K102</f>
        <v>0</v>
      </c>
      <c r="G63" s="223">
        <f>Statement!L102</f>
        <v>0</v>
      </c>
      <c r="H63" s="223">
        <f>Statement!M102</f>
        <v>0.24620368495646891</v>
      </c>
      <c r="I63" s="223">
        <f>Statement!N102</f>
        <v>3.7015891140926828E-2</v>
      </c>
      <c r="J63" s="223">
        <f>Statement!O102</f>
        <v>1.714981190528878E-3</v>
      </c>
      <c r="K63" s="223">
        <f>Statement!P102</f>
        <v>-0.21992052880360069</v>
      </c>
      <c r="L63" s="223">
        <f>Statement!Q102</f>
        <v>-4.1889769738709247E-2</v>
      </c>
    </row>
    <row r="64" spans="2:12" x14ac:dyDescent="0.2">
      <c r="B64" s="20" t="s">
        <v>78</v>
      </c>
      <c r="C64" s="223">
        <f>Statement!H103</f>
        <v>0</v>
      </c>
      <c r="D64" s="223">
        <f>Statement!I103</f>
        <v>0</v>
      </c>
      <c r="E64" s="223">
        <f>Statement!J103</f>
        <v>0</v>
      </c>
      <c r="F64" s="223">
        <f>Statement!K103</f>
        <v>0</v>
      </c>
      <c r="G64" s="223">
        <f>Statement!L103</f>
        <v>0</v>
      </c>
      <c r="H64" s="223">
        <f>Statement!M103</f>
        <v>0.25141729094958493</v>
      </c>
      <c r="I64" s="223">
        <f>Statement!N103</f>
        <v>0.12714498683667966</v>
      </c>
      <c r="J64" s="223">
        <f>Statement!O103</f>
        <v>3.088810208748248E-2</v>
      </c>
      <c r="K64" s="223">
        <f>Statement!P103</f>
        <v>-0.3621965688028474</v>
      </c>
      <c r="L64" s="223">
        <f>Statement!Q103</f>
        <v>4.9193044860272833E-4</v>
      </c>
    </row>
    <row r="65" spans="2:12" x14ac:dyDescent="0.2">
      <c r="B65" s="20" t="s">
        <v>362</v>
      </c>
      <c r="C65" s="63">
        <f>Statement!H186</f>
        <v>0</v>
      </c>
      <c r="D65" s="63">
        <f>Statement!I186</f>
        <v>0</v>
      </c>
      <c r="E65" s="63">
        <f>Statement!J186</f>
        <v>0</v>
      </c>
      <c r="F65" s="63">
        <f>Statement!K186</f>
        <v>0</v>
      </c>
      <c r="G65" s="63">
        <f>Statement!L186</f>
        <v>0</v>
      </c>
      <c r="H65" s="63">
        <f>Statement!M186</f>
        <v>71520</v>
      </c>
      <c r="I65" s="63">
        <f>Statement!N186</f>
        <v>59627</v>
      </c>
      <c r="J65" s="63">
        <f>Statement!O186</f>
        <v>50553</v>
      </c>
      <c r="K65" s="63">
        <f>Statement!P186</f>
        <v>49471</v>
      </c>
      <c r="L65" s="63">
        <f>Statement!Q186</f>
        <v>49147</v>
      </c>
    </row>
    <row r="66" spans="2:12" x14ac:dyDescent="0.2">
      <c r="B66" s="20" t="s">
        <v>363</v>
      </c>
      <c r="C66" s="63">
        <f>Statement!H187</f>
        <v>0</v>
      </c>
      <c r="D66" s="63">
        <f>Statement!I187</f>
        <v>0</v>
      </c>
      <c r="E66" s="63">
        <f>Statement!J187</f>
        <v>0</v>
      </c>
      <c r="F66" s="63">
        <f>Statement!K187</f>
        <v>0</v>
      </c>
      <c r="G66" s="63">
        <f>Statement!L187</f>
        <v>0</v>
      </c>
      <c r="H66" s="63">
        <f>Statement!M187</f>
        <v>347</v>
      </c>
      <c r="I66" s="63">
        <f>Statement!N187</f>
        <v>469</v>
      </c>
      <c r="J66" s="63">
        <f>Statement!O187</f>
        <v>952</v>
      </c>
      <c r="K66" s="63">
        <f>Statement!P187</f>
        <v>17317</v>
      </c>
      <c r="L66" s="63">
        <f>Statement!Q187</f>
        <v>17826</v>
      </c>
    </row>
    <row r="67" spans="2:12" x14ac:dyDescent="0.2">
      <c r="B67" s="20" t="s">
        <v>364</v>
      </c>
      <c r="C67" s="63">
        <f>Statement!H188</f>
        <v>0</v>
      </c>
      <c r="D67" s="63">
        <f>Statement!I188</f>
        <v>0</v>
      </c>
      <c r="E67" s="63">
        <f>Statement!J188</f>
        <v>0</v>
      </c>
      <c r="F67" s="63">
        <f>Statement!K188</f>
        <v>0</v>
      </c>
      <c r="G67" s="63">
        <f>Statement!L188</f>
        <v>0</v>
      </c>
      <c r="H67" s="63">
        <f>Statement!M188</f>
        <v>7157</v>
      </c>
      <c r="I67" s="63">
        <f>Statement!N188</f>
        <v>2958</v>
      </c>
      <c r="J67" s="63">
        <f>Statement!O188</f>
        <v>2723</v>
      </c>
      <c r="K67" s="63">
        <f>Statement!P188</f>
        <v>3601</v>
      </c>
      <c r="L67" s="63">
        <f>Statement!Q188</f>
        <v>3563</v>
      </c>
    </row>
    <row r="68" spans="2:12" x14ac:dyDescent="0.2">
      <c r="B68" s="20" t="s">
        <v>97</v>
      </c>
      <c r="C68" s="224">
        <f>Statement!H123</f>
        <v>0</v>
      </c>
      <c r="D68" s="224">
        <f>Statement!I123</f>
        <v>0</v>
      </c>
      <c r="E68" s="224">
        <f>Statement!J123</f>
        <v>0</v>
      </c>
      <c r="F68" s="224">
        <f>Statement!K123</f>
        <v>0</v>
      </c>
      <c r="G68" s="224">
        <f>Statement!L123</f>
        <v>0</v>
      </c>
      <c r="H68" s="224">
        <f>Statement!M123</f>
        <v>0.11797679417597948</v>
      </c>
      <c r="I68" s="224">
        <f>Statement!N123</f>
        <v>4.4024535565037361E-2</v>
      </c>
      <c r="J68" s="224">
        <f>Statement!O123</f>
        <v>8.7434489382581995E-3</v>
      </c>
      <c r="K68" s="224">
        <f>Statement!P123</f>
        <v>-9.7885334758378503E-2</v>
      </c>
      <c r="L68" s="224">
        <f>Statement!Q123</f>
        <v>1.2297272370393844E-4</v>
      </c>
    </row>
    <row r="69" spans="2:12" x14ac:dyDescent="0.2">
      <c r="B69" s="20" t="s">
        <v>99</v>
      </c>
      <c r="C69" s="224">
        <f>Statement!H125</f>
        <v>0</v>
      </c>
      <c r="D69" s="224">
        <f>Statement!I125</f>
        <v>0</v>
      </c>
      <c r="E69" s="224">
        <f>Statement!J125</f>
        <v>0</v>
      </c>
      <c r="F69" s="224">
        <f>Statement!K125</f>
        <v>0</v>
      </c>
      <c r="G69" s="224">
        <f>Statement!L125</f>
        <v>0</v>
      </c>
      <c r="H69" s="224">
        <f>Statement!M125</f>
        <v>0.20827960709081569</v>
      </c>
      <c r="I69" s="224">
        <f>Statement!N125</f>
        <v>7.904518698914445E-2</v>
      </c>
      <c r="J69" s="224">
        <f>Statement!O125</f>
        <v>1.5863244625438012E-2</v>
      </c>
      <c r="K69" s="224">
        <f>Statement!P125</f>
        <v>-0.19374433363553945</v>
      </c>
      <c r="L69" s="224">
        <f>Statement!Q125</f>
        <v>2.2750938476212145E-4</v>
      </c>
    </row>
    <row r="70" spans="2:12" x14ac:dyDescent="0.2">
      <c r="B70" s="20" t="s">
        <v>100</v>
      </c>
      <c r="C70" s="224">
        <f>Statement!H140</f>
        <v>0</v>
      </c>
      <c r="D70" s="224">
        <f>Statement!I140</f>
        <v>0</v>
      </c>
      <c r="E70" s="224">
        <f>Statement!J140</f>
        <v>0</v>
      </c>
      <c r="F70" s="224">
        <f>Statement!K140</f>
        <v>0</v>
      </c>
      <c r="G70" s="224">
        <f>Statement!L140</f>
        <v>0</v>
      </c>
      <c r="H70" s="224">
        <f>Statement!M140</f>
        <v>0.18030780236190902</v>
      </c>
      <c r="I70" s="224">
        <f>Statement!N140</f>
        <v>2.1010559291366228E-2</v>
      </c>
      <c r="J70" s="224">
        <f>Statement!O140</f>
        <v>7.2447962108936807E-4</v>
      </c>
      <c r="K70" s="224">
        <f>Statement!P140</f>
        <v>-9.1521810686687882E-2</v>
      </c>
      <c r="L70" s="224">
        <f>Statement!Q140</f>
        <v>-1.7430737617799192E-2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3">
        <f>Statement!T101</f>
        <v>0.35432089145172602</v>
      </c>
      <c r="D60" s="223">
        <f>Statement!U101</f>
        <v>0.15033122553447756</v>
      </c>
      <c r="E60" s="223">
        <f>Statement!V101</f>
        <v>0.39158485273492288</v>
      </c>
      <c r="F60" s="223">
        <f>Statement!W101</f>
        <v>0.36883239914739085</v>
      </c>
      <c r="G60" s="223">
        <f>Statement!X101</f>
        <v>0.27544910179640719</v>
      </c>
      <c r="H60" s="223">
        <f>Statement!Y101</f>
        <v>0.38218706511389439</v>
      </c>
      <c r="I60" s="223">
        <f>Statement!Z101</f>
        <v>0.36148895714494661</v>
      </c>
      <c r="J60" s="223">
        <f>Statement!AA101</f>
        <v>0.39382779700964865</v>
      </c>
    </row>
    <row r="61" spans="2:10" x14ac:dyDescent="0.2">
      <c r="B61" s="20" t="s">
        <v>77</v>
      </c>
      <c r="C61" s="223">
        <f>Statement!T102</f>
        <v>-0.15304293618016052</v>
      </c>
      <c r="D61" s="223">
        <f>Statement!U102</f>
        <v>-0.68179765130984649</v>
      </c>
      <c r="E61" s="223">
        <f>Statement!V102</f>
        <v>2.8892005610098175E-2</v>
      </c>
      <c r="F61" s="223">
        <f>Statement!W102</f>
        <v>-2.3762532564932503E-2</v>
      </c>
      <c r="G61" s="223">
        <f>Statement!X102</f>
        <v>-0.246986546387744</v>
      </c>
      <c r="H61" s="223">
        <f>Statement!Y102</f>
        <v>5.0025635391489048E-2</v>
      </c>
      <c r="I61" s="223">
        <f>Statement!Z102</f>
        <v>4.2416264443469361E-2</v>
      </c>
      <c r="J61" s="223">
        <f>Statement!AA102</f>
        <v>-0.23097886130956766</v>
      </c>
    </row>
    <row r="62" spans="2:10" x14ac:dyDescent="0.2">
      <c r="B62" s="20" t="s">
        <v>78</v>
      </c>
      <c r="C62" s="223">
        <f>Statement!T103</f>
        <v>-0.12888646458349567</v>
      </c>
      <c r="D62" s="223">
        <f>Statement!U103</f>
        <v>-1.278906955736224</v>
      </c>
      <c r="E62" s="223">
        <f>Statement!V103</f>
        <v>-1.0729312762973352E-2</v>
      </c>
      <c r="F62" s="223">
        <f>Statement!W103</f>
        <v>-7.0024473040183152E-2</v>
      </c>
      <c r="G62" s="223">
        <f>Statement!X103</f>
        <v>-0.23516603157321719</v>
      </c>
      <c r="H62" s="223">
        <f>Statement!Y103</f>
        <v>0.31275177616641031</v>
      </c>
      <c r="I62" s="223">
        <f>Statement!Z103</f>
        <v>-2.4352786309784994E-2</v>
      </c>
      <c r="J62" s="223">
        <f>Statement!AA103</f>
        <v>-0.31531266111806733</v>
      </c>
    </row>
    <row r="63" spans="2:10" x14ac:dyDescent="0.2">
      <c r="B63" s="20" t="s">
        <v>362</v>
      </c>
      <c r="C63" s="63">
        <f>Statement!T186</f>
        <v>11948</v>
      </c>
      <c r="D63" s="63">
        <f>Statement!U186</f>
        <v>12302</v>
      </c>
      <c r="E63" s="63">
        <f>Statement!V186</f>
        <v>13120</v>
      </c>
      <c r="F63" s="63">
        <f>Statement!W186</f>
        <v>11755</v>
      </c>
      <c r="G63" s="63">
        <f>Statement!X186</f>
        <v>11810</v>
      </c>
      <c r="H63" s="63">
        <f>Statement!Y186</f>
        <v>12652</v>
      </c>
      <c r="I63" s="63">
        <f>Statement!Z186</f>
        <v>12930</v>
      </c>
      <c r="J63" s="63">
        <f>Statement!AA186</f>
        <v>12779</v>
      </c>
    </row>
    <row r="64" spans="2:10" x14ac:dyDescent="0.2">
      <c r="B64" s="20" t="s">
        <v>363</v>
      </c>
      <c r="C64" s="63">
        <f>Statement!T187</f>
        <v>4282</v>
      </c>
      <c r="D64" s="63">
        <f>Statement!U187</f>
        <v>4339</v>
      </c>
      <c r="E64" s="63">
        <f>Statement!V187</f>
        <v>4340</v>
      </c>
      <c r="F64" s="63">
        <f>Statement!W187</f>
        <v>4667</v>
      </c>
      <c r="G64" s="63">
        <f>Statement!X187</f>
        <v>4417</v>
      </c>
      <c r="H64" s="63">
        <f>Statement!Y187</f>
        <v>4235</v>
      </c>
      <c r="I64" s="63">
        <f>Statement!Z187</f>
        <v>4507</v>
      </c>
      <c r="J64" s="63">
        <f>Statement!AA187</f>
        <v>5421</v>
      </c>
    </row>
    <row r="65" spans="2:10" x14ac:dyDescent="0.2">
      <c r="B65" s="20" t="s">
        <v>364</v>
      </c>
      <c r="C65" s="63">
        <f>Statement!T188</f>
        <v>881</v>
      </c>
      <c r="D65" s="63">
        <f>Statement!U188</f>
        <v>964</v>
      </c>
      <c r="E65" s="63">
        <f>Statement!V188</f>
        <v>1113</v>
      </c>
      <c r="F65" s="63">
        <f>Statement!W188</f>
        <v>943</v>
      </c>
      <c r="G65" s="63">
        <f>Statement!X188</f>
        <v>1053</v>
      </c>
      <c r="H65" s="63">
        <f>Statement!Y188</f>
        <v>993</v>
      </c>
      <c r="I65" s="63">
        <f>Statement!Z188</f>
        <v>574</v>
      </c>
      <c r="J65" s="63">
        <f>Statement!AA188</f>
        <v>628</v>
      </c>
    </row>
    <row r="66" spans="2:10" x14ac:dyDescent="0.2">
      <c r="B66" s="20" t="s">
        <v>263</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0" t="s">
        <v>108</v>
      </c>
      <c r="D2" s="230"/>
      <c r="E2" s="230"/>
      <c r="F2" s="230"/>
      <c r="G2" s="242"/>
      <c r="H2" s="243" t="s">
        <v>109</v>
      </c>
      <c r="I2" s="230"/>
      <c r="J2" s="230"/>
      <c r="K2" s="230"/>
      <c r="L2" s="230"/>
      <c r="O2" s="5"/>
      <c r="S2" s="230" t="s">
        <v>108</v>
      </c>
      <c r="T2" s="230"/>
      <c r="U2" s="230"/>
      <c r="V2" s="230"/>
      <c r="W2" s="230"/>
      <c r="X2" s="230"/>
      <c r="Y2" s="230"/>
      <c r="Z2" s="230"/>
      <c r="AA2" s="230" t="s">
        <v>109</v>
      </c>
      <c r="AB2" s="230"/>
      <c r="AC2" s="230"/>
      <c r="AE2" s="84" t="s">
        <v>110</v>
      </c>
    </row>
    <row r="3" spans="1:31" ht="10" customHeight="1" x14ac:dyDescent="0.2">
      <c r="O3" s="5"/>
    </row>
    <row r="4" spans="1:31" ht="16" customHeight="1" x14ac:dyDescent="0.2">
      <c r="A4" s="85"/>
      <c r="B4" s="59"/>
      <c r="C4" s="239" t="s">
        <v>111</v>
      </c>
      <c r="D4" s="239"/>
      <c r="E4" s="239"/>
      <c r="F4" s="239"/>
      <c r="G4" s="239"/>
      <c r="H4" s="239"/>
      <c r="I4" s="239"/>
      <c r="J4" s="239"/>
      <c r="K4" s="239"/>
      <c r="L4" s="239"/>
      <c r="O4" s="5"/>
      <c r="S4" s="240" t="s">
        <v>111</v>
      </c>
      <c r="T4" s="241"/>
      <c r="U4" s="241"/>
      <c r="V4" s="241"/>
      <c r="W4" s="241"/>
      <c r="X4" s="241"/>
      <c r="Y4" s="241"/>
      <c r="Z4" s="241"/>
      <c r="AA4" s="241"/>
      <c r="AB4" s="241"/>
      <c r="AC4" s="241"/>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Statement!B184</f>
        <v>Client Computing Group (CCG)</v>
      </c>
      <c r="C6" s="87">
        <f>Statement!M184</f>
        <v>41081</v>
      </c>
      <c r="D6" s="87">
        <f>Statement!N184</f>
        <v>31773</v>
      </c>
      <c r="E6" s="87">
        <f>Statement!O184</f>
        <v>29258</v>
      </c>
      <c r="F6" s="87">
        <f>Statement!P184</f>
        <v>33346</v>
      </c>
      <c r="G6" s="88">
        <f>Statement!Q184</f>
        <v>32228</v>
      </c>
      <c r="H6" s="63">
        <f>G6+G6*H15</f>
        <v>32872.559999999998</v>
      </c>
      <c r="I6" s="63">
        <f t="shared" ref="I6:L6" si="1">H6+H6*I15</f>
        <v>33858.736799999999</v>
      </c>
      <c r="J6" s="63">
        <f t="shared" si="1"/>
        <v>35213.086272</v>
      </c>
      <c r="K6" s="63">
        <f t="shared" si="1"/>
        <v>36621.609722879999</v>
      </c>
      <c r="L6" s="63">
        <f t="shared" si="1"/>
        <v>38452.690209023996</v>
      </c>
      <c r="N6" s="89" t="s">
        <v>377</v>
      </c>
      <c r="O6" s="5"/>
      <c r="Q6" s="89" t="s">
        <v>377</v>
      </c>
      <c r="R6" s="1" t="str">
        <f>B6</f>
        <v>Client Computing Group (CCG)</v>
      </c>
      <c r="S6" s="87">
        <f>Statement!T184</f>
        <v>8143</v>
      </c>
      <c r="T6" s="87">
        <f>Statement!U184</f>
        <v>8161</v>
      </c>
      <c r="U6" s="87">
        <f>Statement!V184</f>
        <v>8769</v>
      </c>
      <c r="V6" s="87">
        <f>Statement!W184</f>
        <v>7629</v>
      </c>
      <c r="W6" s="87">
        <f>Statement!X184</f>
        <v>7871</v>
      </c>
      <c r="X6" s="87">
        <f>Statement!Y184</f>
        <v>8535</v>
      </c>
      <c r="Y6" s="87">
        <f>Statement!Z184</f>
        <v>8193</v>
      </c>
      <c r="Z6" s="88">
        <f>Statement!AA184</f>
        <v>7727</v>
      </c>
      <c r="AA6" s="63">
        <f>Z6+Z6*AA15</f>
        <v>7495.19</v>
      </c>
      <c r="AB6" s="63"/>
      <c r="AC6" s="63"/>
      <c r="AE6" s="63">
        <f>SUM(X6:AA6)</f>
        <v>31950.19</v>
      </c>
    </row>
    <row r="7" spans="1:31" x14ac:dyDescent="0.2">
      <c r="B7" s="1" t="str">
        <f>Statement!B185</f>
        <v>Datacenter and AI (DCAI)</v>
      </c>
      <c r="C7" s="87">
        <f>Statement!M185</f>
        <v>30439</v>
      </c>
      <c r="D7" s="87">
        <f>Statement!N185</f>
        <v>27854</v>
      </c>
      <c r="E7" s="87">
        <f>Statement!O185</f>
        <v>21295</v>
      </c>
      <c r="F7" s="87">
        <f>Statement!P185</f>
        <v>16125</v>
      </c>
      <c r="G7" s="88">
        <f>Statement!Q185</f>
        <v>16919</v>
      </c>
      <c r="H7" s="63">
        <f>G7+G7*H16</f>
        <v>18103.330000000002</v>
      </c>
      <c r="I7" s="63">
        <f t="shared" ref="I7:L7" si="2">H7+H7*I16</f>
        <v>19732.629700000001</v>
      </c>
      <c r="J7" s="63">
        <f t="shared" si="2"/>
        <v>22100.545264</v>
      </c>
      <c r="K7" s="63">
        <f t="shared" si="2"/>
        <v>25415.627053600001</v>
      </c>
      <c r="L7" s="63">
        <f t="shared" si="2"/>
        <v>27957.189758960001</v>
      </c>
      <c r="N7" s="89" t="s">
        <v>378</v>
      </c>
      <c r="O7" s="5"/>
      <c r="Q7" s="89" t="s">
        <v>378</v>
      </c>
      <c r="R7" s="1" t="str">
        <f t="shared" ref="R7:R10" si="3">B7</f>
        <v>Datacenter and AI (DCAI)</v>
      </c>
      <c r="S7" s="87">
        <f>Statement!T185</f>
        <v>3805</v>
      </c>
      <c r="T7" s="87">
        <f>Statement!U185</f>
        <v>4141</v>
      </c>
      <c r="U7" s="87">
        <f>Statement!V185</f>
        <v>4351</v>
      </c>
      <c r="V7" s="87">
        <f>Statement!W185</f>
        <v>4126</v>
      </c>
      <c r="W7" s="87">
        <f>Statement!X185</f>
        <v>3939</v>
      </c>
      <c r="X7" s="87">
        <f>Statement!Y185</f>
        <v>4117</v>
      </c>
      <c r="Y7" s="87">
        <f>Statement!Z185</f>
        <v>4737</v>
      </c>
      <c r="Z7" s="88">
        <f>Statement!AA185</f>
        <v>5052</v>
      </c>
      <c r="AA7" s="63">
        <f>Z7+Z7*AA16</f>
        <v>5456.16</v>
      </c>
      <c r="AB7" s="63"/>
      <c r="AC7" s="63"/>
      <c r="AE7" s="63">
        <f t="shared" ref="AE7:AE8" si="4">SUM(X7:AA7)</f>
        <v>19362.16</v>
      </c>
    </row>
    <row r="8" spans="1:31" x14ac:dyDescent="0.2">
      <c r="B8" s="1" t="str">
        <f>Statement!B186</f>
        <v>Total Intel products</v>
      </c>
      <c r="C8" s="87">
        <f>Statement!M186</f>
        <v>71520</v>
      </c>
      <c r="D8" s="87">
        <f>Statement!N186</f>
        <v>59627</v>
      </c>
      <c r="E8" s="87">
        <f>Statement!O186</f>
        <v>50553</v>
      </c>
      <c r="F8" s="87">
        <f>Statement!P186</f>
        <v>49471</v>
      </c>
      <c r="G8" s="88">
        <f>Statement!Q186</f>
        <v>49147</v>
      </c>
      <c r="H8" s="63">
        <f>SUM(H6:H7)</f>
        <v>50975.89</v>
      </c>
      <c r="I8" s="63">
        <f t="shared" ref="I8:L8" si="5">SUM(I6:I7)</f>
        <v>53591.366500000004</v>
      </c>
      <c r="J8" s="63">
        <f t="shared" si="5"/>
        <v>57313.631536000001</v>
      </c>
      <c r="K8" s="63">
        <f t="shared" si="5"/>
        <v>62037.23677648</v>
      </c>
      <c r="L8" s="63">
        <f t="shared" si="5"/>
        <v>66409.879967984001</v>
      </c>
      <c r="N8" s="89" t="s">
        <v>379</v>
      </c>
      <c r="O8" s="5"/>
      <c r="Q8" s="89" t="s">
        <v>379</v>
      </c>
      <c r="R8" s="1" t="str">
        <f t="shared" si="3"/>
        <v>Total Intel products</v>
      </c>
      <c r="S8" s="87">
        <f>Statement!T186</f>
        <v>11948</v>
      </c>
      <c r="T8" s="87">
        <f>Statement!U186</f>
        <v>12302</v>
      </c>
      <c r="U8" s="87">
        <f>Statement!V186</f>
        <v>13120</v>
      </c>
      <c r="V8" s="87">
        <f>Statement!W186</f>
        <v>11755</v>
      </c>
      <c r="W8" s="87">
        <f>Statement!X186</f>
        <v>11810</v>
      </c>
      <c r="X8" s="87">
        <f>Statement!Y186</f>
        <v>12652</v>
      </c>
      <c r="Y8" s="87">
        <f>Statement!Z186</f>
        <v>12930</v>
      </c>
      <c r="Z8" s="88">
        <f>Statement!AA186</f>
        <v>12779</v>
      </c>
      <c r="AA8" s="63">
        <f>SUM(AA6:AA7)</f>
        <v>12951.349999999999</v>
      </c>
      <c r="AB8" s="63"/>
      <c r="AC8" s="63"/>
      <c r="AE8" s="63">
        <f t="shared" si="4"/>
        <v>51312.35</v>
      </c>
    </row>
    <row r="9" spans="1:31" x14ac:dyDescent="0.2">
      <c r="B9" s="1" t="str">
        <f>Statement!B217</f>
        <v>External Foundry revenue</v>
      </c>
      <c r="C9" s="87">
        <f>Statement!M217</f>
        <v>0</v>
      </c>
      <c r="D9" s="87">
        <f>Statement!N217</f>
        <v>0</v>
      </c>
      <c r="E9" s="87">
        <f>Statement!O217</f>
        <v>0</v>
      </c>
      <c r="F9" s="87">
        <f>Statement!P217</f>
        <v>29</v>
      </c>
      <c r="G9" s="88">
        <f>Statement!Q217</f>
        <v>143</v>
      </c>
      <c r="H9" s="63">
        <f>G9+G9*H18</f>
        <v>572</v>
      </c>
      <c r="I9" s="63">
        <f t="shared" ref="I9:L9" si="6">H9+H9*I18</f>
        <v>1144</v>
      </c>
      <c r="J9" s="63">
        <f t="shared" si="6"/>
        <v>2288</v>
      </c>
      <c r="K9" s="63">
        <f t="shared" si="6"/>
        <v>4118.3999999999996</v>
      </c>
      <c r="L9" s="63">
        <f t="shared" si="6"/>
        <v>6177.5999999999995</v>
      </c>
      <c r="N9" s="89" t="s">
        <v>380</v>
      </c>
      <c r="O9" s="5"/>
      <c r="Q9" s="89" t="s">
        <v>380</v>
      </c>
      <c r="R9" s="1" t="str">
        <f t="shared" si="3"/>
        <v>External Foundry revenue</v>
      </c>
      <c r="S9" s="87">
        <f>Statement!T217</f>
        <v>4</v>
      </c>
      <c r="T9" s="87">
        <f>Statement!U217</f>
        <v>18</v>
      </c>
      <c r="U9" s="87">
        <f>Statement!V217</f>
        <v>27</v>
      </c>
      <c r="V9" s="87">
        <f>Statement!W217</f>
        <v>-31</v>
      </c>
      <c r="W9" s="87">
        <f>Statement!X217</f>
        <v>-4</v>
      </c>
      <c r="X9" s="87">
        <f>Statement!Y217</f>
        <v>8</v>
      </c>
      <c r="Y9" s="87">
        <f>Statement!Z217</f>
        <v>170</v>
      </c>
      <c r="Z9" s="88">
        <f>Statement!AA217</f>
        <v>170</v>
      </c>
      <c r="AA9" s="63">
        <f>Z9+Z9*AA18</f>
        <v>204</v>
      </c>
      <c r="AB9" s="63"/>
      <c r="AC9" s="63"/>
      <c r="AE9" s="63"/>
    </row>
    <row r="10" spans="1:31" x14ac:dyDescent="0.2">
      <c r="B10" s="1" t="str">
        <f>Statement!B188</f>
        <v>Other</v>
      </c>
      <c r="C10" s="87">
        <f>Statement!M188</f>
        <v>7157</v>
      </c>
      <c r="D10" s="87">
        <f>Statement!N188</f>
        <v>2958</v>
      </c>
      <c r="E10" s="87">
        <f>Statement!O188</f>
        <v>2723</v>
      </c>
      <c r="F10" s="87">
        <f>Statement!P188</f>
        <v>3601</v>
      </c>
      <c r="G10" s="88">
        <f>Statement!Q188</f>
        <v>3563</v>
      </c>
      <c r="H10" s="63">
        <f>G10+G10*H19</f>
        <v>3741.15</v>
      </c>
      <c r="I10" s="63">
        <f t="shared" ref="I10:L10" si="7">H10+H10*I19</f>
        <v>3965.6190000000001</v>
      </c>
      <c r="J10" s="63">
        <f t="shared" si="7"/>
        <v>4203.5561400000006</v>
      </c>
      <c r="K10" s="63">
        <f t="shared" si="7"/>
        <v>4455.7695084000006</v>
      </c>
      <c r="L10" s="63">
        <f t="shared" si="7"/>
        <v>4678.557983820001</v>
      </c>
      <c r="N10" s="89" t="s">
        <v>381</v>
      </c>
      <c r="O10" s="5"/>
      <c r="Q10" s="89" t="s">
        <v>381</v>
      </c>
      <c r="R10" s="1" t="str">
        <f t="shared" si="3"/>
        <v>Other</v>
      </c>
      <c r="S10" s="87">
        <f>Statement!T188</f>
        <v>881</v>
      </c>
      <c r="T10" s="87">
        <f>Statement!U188</f>
        <v>964</v>
      </c>
      <c r="U10" s="87">
        <f>Statement!V188</f>
        <v>1113</v>
      </c>
      <c r="V10" s="87">
        <f>Statement!W188</f>
        <v>943</v>
      </c>
      <c r="W10" s="87">
        <f>Statement!X188</f>
        <v>1053</v>
      </c>
      <c r="X10" s="87">
        <f>Statement!Y188</f>
        <v>993</v>
      </c>
      <c r="Y10" s="87">
        <f>Statement!Z188</f>
        <v>574</v>
      </c>
      <c r="Z10" s="88">
        <f>Statement!AA188</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382</v>
      </c>
      <c r="O11" s="5"/>
      <c r="Q11" s="1" t="s">
        <v>382</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9" t="s">
        <v>117</v>
      </c>
      <c r="D13" s="239"/>
      <c r="E13" s="239"/>
      <c r="F13" s="239"/>
      <c r="G13" s="239"/>
      <c r="H13" s="239"/>
      <c r="I13" s="239"/>
      <c r="J13" s="239"/>
      <c r="K13" s="239"/>
      <c r="L13" s="239"/>
      <c r="O13" s="5"/>
      <c r="Q13" s="90"/>
      <c r="S13" s="240" t="s">
        <v>117</v>
      </c>
      <c r="T13" s="241"/>
      <c r="U13" s="241"/>
      <c r="V13" s="241"/>
      <c r="W13" s="241"/>
      <c r="X13" s="241"/>
      <c r="Y13" s="241"/>
      <c r="Z13" s="241"/>
      <c r="AA13" s="241"/>
      <c r="AB13" s="241"/>
      <c r="AC13" s="241"/>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0" t="s">
        <v>108</v>
      </c>
      <c r="D2" s="230"/>
      <c r="E2" s="230"/>
      <c r="F2" s="230"/>
      <c r="G2" s="242"/>
      <c r="H2" s="243" t="s">
        <v>109</v>
      </c>
      <c r="I2" s="230"/>
      <c r="J2" s="230"/>
      <c r="K2" s="230"/>
      <c r="L2" s="230"/>
      <c r="P2" s="230" t="s">
        <v>108</v>
      </c>
      <c r="Q2" s="230"/>
      <c r="R2" s="230"/>
      <c r="S2" s="230"/>
      <c r="T2" s="230"/>
      <c r="U2" s="230"/>
      <c r="V2" s="230"/>
      <c r="W2" s="230"/>
      <c r="X2" s="230" t="s">
        <v>109</v>
      </c>
      <c r="Y2" s="230"/>
      <c r="Z2" s="230"/>
      <c r="AB2" s="84" t="s">
        <v>110</v>
      </c>
    </row>
    <row r="3" spans="1:28" ht="10" customHeight="1" x14ac:dyDescent="0.2"/>
    <row r="4" spans="1:28" ht="16" customHeight="1" x14ac:dyDescent="0.2">
      <c r="A4" s="85"/>
      <c r="B4" s="59"/>
      <c r="C4" s="239" t="s">
        <v>111</v>
      </c>
      <c r="D4" s="239"/>
      <c r="E4" s="239"/>
      <c r="F4" s="239"/>
      <c r="G4" s="239"/>
      <c r="H4" s="239"/>
      <c r="I4" s="239"/>
      <c r="J4" s="239"/>
      <c r="K4" s="239"/>
      <c r="L4" s="239"/>
      <c r="P4" s="241" t="s">
        <v>111</v>
      </c>
      <c r="Q4" s="241"/>
      <c r="R4" s="241"/>
      <c r="S4" s="241"/>
      <c r="T4" s="241"/>
      <c r="U4" s="241"/>
      <c r="V4" s="241"/>
      <c r="W4" s="241"/>
      <c r="X4" s="241"/>
      <c r="Y4" s="241"/>
      <c r="Z4" s="241"/>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9" t="s">
        <v>120</v>
      </c>
      <c r="D9" s="239"/>
      <c r="E9" s="239"/>
      <c r="F9" s="239"/>
      <c r="G9" s="239"/>
      <c r="H9" s="239"/>
      <c r="I9" s="239"/>
      <c r="J9" s="239"/>
      <c r="K9" s="239"/>
      <c r="L9" s="239"/>
      <c r="N9" s="90"/>
      <c r="P9" s="241" t="s">
        <v>121</v>
      </c>
      <c r="Q9" s="241"/>
      <c r="R9" s="241"/>
      <c r="S9" s="241"/>
      <c r="T9" s="241"/>
      <c r="U9" s="241"/>
      <c r="V9" s="241"/>
      <c r="W9" s="241"/>
      <c r="X9" s="241"/>
      <c r="Y9" s="241"/>
      <c r="Z9" s="241"/>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9" t="s">
        <v>123</v>
      </c>
      <c r="D18" s="239"/>
      <c r="E18" s="239"/>
      <c r="F18" s="239"/>
      <c r="G18" s="239"/>
      <c r="H18" s="239"/>
      <c r="I18" s="239"/>
      <c r="J18" s="239"/>
      <c r="K18" s="239"/>
      <c r="L18" s="239"/>
      <c r="P18" s="241" t="s">
        <v>123</v>
      </c>
      <c r="Q18" s="241"/>
      <c r="R18" s="241"/>
      <c r="S18" s="241"/>
      <c r="T18" s="241"/>
      <c r="U18" s="241"/>
      <c r="V18" s="241"/>
      <c r="W18" s="241"/>
      <c r="X18" s="241"/>
      <c r="Y18" s="241"/>
      <c r="Z18" s="241"/>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111</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9" t="s">
        <v>127</v>
      </c>
      <c r="D11" s="239"/>
      <c r="E11" s="239"/>
      <c r="F11" s="239"/>
      <c r="G11" s="239"/>
      <c r="H11" s="239"/>
      <c r="I11" s="239"/>
      <c r="J11" s="239"/>
      <c r="K11" s="239"/>
      <c r="L11" s="239"/>
      <c r="N11" s="90"/>
      <c r="P11" s="244"/>
      <c r="Q11" s="244"/>
      <c r="R11" s="244"/>
      <c r="S11" s="244"/>
      <c r="T11" s="244"/>
      <c r="U11" s="244"/>
      <c r="V11" s="244"/>
      <c r="W11" s="244"/>
      <c r="X11" s="244"/>
      <c r="Y11" s="244"/>
      <c r="Z11" s="24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9" t="s">
        <v>132</v>
      </c>
      <c r="D18" s="239"/>
      <c r="E18" s="239"/>
      <c r="F18" s="239"/>
      <c r="G18" s="239"/>
      <c r="H18" s="239"/>
      <c r="I18" s="239"/>
      <c r="J18" s="239"/>
      <c r="K18" s="239"/>
      <c r="L18" s="239"/>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4"/>
      <c r="C25" s="244"/>
    </row>
    <row r="26" spans="2:12" x14ac:dyDescent="0.2">
      <c r="B26" s="108"/>
      <c r="C26" s="239" t="s">
        <v>138</v>
      </c>
      <c r="D26" s="239"/>
      <c r="E26" s="239"/>
      <c r="F26" s="239"/>
      <c r="G26" s="239"/>
      <c r="H26" s="239"/>
      <c r="I26" s="239"/>
      <c r="J26" s="239"/>
      <c r="K26" s="239"/>
      <c r="L26" s="239"/>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9" t="s">
        <v>142</v>
      </c>
      <c r="D33" s="239"/>
      <c r="E33" s="239"/>
      <c r="F33" s="239"/>
      <c r="G33" s="239"/>
      <c r="H33" s="239"/>
      <c r="I33" s="239"/>
      <c r="J33" s="239"/>
      <c r="K33" s="239"/>
      <c r="L33" s="239"/>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9" t="s">
        <v>145</v>
      </c>
      <c r="D40" s="239"/>
      <c r="E40" s="239"/>
      <c r="F40" s="239"/>
      <c r="G40" s="239"/>
      <c r="H40" s="239"/>
      <c r="I40" s="239"/>
      <c r="J40" s="239"/>
      <c r="K40" s="239"/>
      <c r="L40" s="239"/>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-Statement!M60</f>
        <v>18733</v>
      </c>
      <c r="D45" s="113">
        <f>-Statement!N60</f>
        <v>24844</v>
      </c>
      <c r="E45" s="113">
        <f>-Statement!O60</f>
        <v>25750</v>
      </c>
      <c r="F45" s="113">
        <f>-Statement!P60</f>
        <v>23944</v>
      </c>
      <c r="G45" s="114">
        <f>-Statement!Q60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0" t="s">
        <v>108</v>
      </c>
      <c r="D2" s="230"/>
      <c r="E2" s="230"/>
      <c r="F2" s="230"/>
      <c r="G2" s="242"/>
      <c r="H2" s="243" t="s">
        <v>109</v>
      </c>
      <c r="I2" s="230"/>
      <c r="J2" s="230"/>
      <c r="K2" s="230"/>
      <c r="L2" s="230"/>
      <c r="S2" s="244"/>
      <c r="T2" s="244"/>
      <c r="U2" s="244"/>
      <c r="V2" s="244"/>
      <c r="W2" s="244"/>
      <c r="X2" s="244"/>
      <c r="Y2" s="244"/>
      <c r="Z2" s="244"/>
      <c r="AA2" s="244"/>
      <c r="AB2" s="244"/>
      <c r="AC2" s="244"/>
      <c r="AE2" s="108"/>
    </row>
    <row r="3" spans="1:31" ht="10" customHeight="1" x14ac:dyDescent="0.2"/>
    <row r="4" spans="1:31" ht="16" customHeight="1" x14ac:dyDescent="0.2">
      <c r="A4" s="85"/>
      <c r="B4" s="59"/>
      <c r="C4" s="239" t="s">
        <v>18</v>
      </c>
      <c r="D4" s="239"/>
      <c r="E4" s="239"/>
      <c r="F4" s="239"/>
      <c r="G4" s="239"/>
      <c r="H4" s="239"/>
      <c r="I4" s="239"/>
      <c r="J4" s="239"/>
      <c r="K4" s="239"/>
      <c r="L4" s="239"/>
      <c r="S4" s="244"/>
      <c r="T4" s="244"/>
      <c r="U4" s="244"/>
      <c r="V4" s="244"/>
      <c r="W4" s="244"/>
      <c r="X4" s="244"/>
      <c r="Y4" s="244"/>
      <c r="Z4" s="244"/>
      <c r="AA4" s="244"/>
      <c r="AB4" s="244"/>
      <c r="AC4" s="24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9" t="s">
        <v>153</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9" t="s">
        <v>154</v>
      </c>
      <c r="D18" s="239"/>
      <c r="E18" s="239"/>
      <c r="F18" s="239"/>
      <c r="G18" s="239"/>
      <c r="H18" s="239"/>
      <c r="I18" s="239"/>
      <c r="J18" s="239"/>
      <c r="K18" s="239"/>
      <c r="L18" s="239"/>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9" t="s">
        <v>264</v>
      </c>
      <c r="D25" s="239"/>
      <c r="E25" s="239"/>
      <c r="F25" s="239"/>
      <c r="G25" s="239"/>
      <c r="H25" s="239"/>
      <c r="I25" s="239"/>
      <c r="J25" s="239"/>
      <c r="K25" s="239"/>
      <c r="L25" s="239"/>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264</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9" t="s">
        <v>75</v>
      </c>
      <c r="D31" s="239"/>
      <c r="E31" s="239"/>
      <c r="F31" s="239"/>
      <c r="G31" s="239"/>
      <c r="H31" s="239"/>
      <c r="I31" s="239"/>
      <c r="J31" s="239"/>
      <c r="K31" s="239"/>
      <c r="L31" s="239"/>
    </row>
    <row r="32" spans="2:14" x14ac:dyDescent="0.2">
      <c r="B32" s="16" t="s">
        <v>385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21">
        <f>H8/H6</f>
        <v>0.36</v>
      </c>
      <c r="I33" s="221">
        <f t="shared" ref="I33:L33" si="9">I8/I6</f>
        <v>0.38</v>
      </c>
      <c r="J33" s="221">
        <f t="shared" si="9"/>
        <v>0.4</v>
      </c>
      <c r="K33" s="221">
        <f t="shared" si="9"/>
        <v>0.4</v>
      </c>
      <c r="L33" s="221">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21">
        <f>H10/H6</f>
        <v>1.0000000000000004E-2</v>
      </c>
      <c r="I34" s="221">
        <f t="shared" ref="I34:L34" si="10">I10/I6</f>
        <v>3.0000000000000013E-2</v>
      </c>
      <c r="J34" s="221">
        <f t="shared" si="10"/>
        <v>6.9999999999999951E-2</v>
      </c>
      <c r="K34" s="221">
        <f t="shared" si="10"/>
        <v>7.9999999999999974E-2</v>
      </c>
      <c r="L34" s="221">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0" t="s">
        <v>161</v>
      </c>
      <c r="C4" s="230"/>
    </row>
    <row r="5" spans="1:3" ht="17" customHeight="1" x14ac:dyDescent="0.2">
      <c r="B5" s="1" t="s">
        <v>162</v>
      </c>
      <c r="C5" s="136">
        <f>Statement!AC78</f>
        <v>5026</v>
      </c>
    </row>
    <row r="6" spans="1:3" ht="17" customHeight="1" x14ac:dyDescent="0.2">
      <c r="B6" s="1" t="s">
        <v>1</v>
      </c>
      <c r="C6" s="132">
        <f ca="1">Overview!C5</f>
        <v>112.91500000000001</v>
      </c>
    </row>
    <row r="7" spans="1:3" ht="17" customHeight="1" x14ac:dyDescent="0.2">
      <c r="B7" s="1" t="s">
        <v>163</v>
      </c>
      <c r="C7" s="133">
        <f ca="1">C5*C6</f>
        <v>567510.79</v>
      </c>
    </row>
    <row r="8" spans="1:3" ht="17" customHeight="1" x14ac:dyDescent="0.2">
      <c r="B8" s="1" t="s">
        <v>164</v>
      </c>
      <c r="C8" s="111">
        <f>Statement!AC108</f>
        <v>45031</v>
      </c>
    </row>
    <row r="9" spans="1:3" ht="17" customHeight="1" x14ac:dyDescent="0.2">
      <c r="B9" s="1" t="s">
        <v>165</v>
      </c>
      <c r="C9" s="134">
        <f ca="1">Overview!F27</f>
        <v>4.5420000000000002E-2</v>
      </c>
    </row>
    <row r="10" spans="1:3" ht="17" customHeight="1" x14ac:dyDescent="0.2">
      <c r="B10" s="1" t="s">
        <v>9</v>
      </c>
      <c r="C10" s="132">
        <f ca="1">Overview!C13</f>
        <v>2.2189000000000001</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0" t="s">
        <v>168</v>
      </c>
      <c r="C15" s="230"/>
    </row>
    <row r="16" spans="1:3" ht="17" customHeight="1" x14ac:dyDescent="0.2">
      <c r="B16" s="1" t="s">
        <v>169</v>
      </c>
      <c r="C16" s="46">
        <f ca="1">C8/(C8+C7)</f>
        <v>7.3514984177650955E-2</v>
      </c>
    </row>
    <row r="17" spans="2:3" ht="17" customHeight="1" x14ac:dyDescent="0.2">
      <c r="B17" s="1" t="s">
        <v>170</v>
      </c>
      <c r="C17" s="46">
        <f ca="1">C7/(C8+C7)</f>
        <v>0.92648501582234899</v>
      </c>
    </row>
    <row r="18" spans="2:3" ht="17" customHeight="1" x14ac:dyDescent="0.2">
      <c r="B18" s="1" t="s">
        <v>171</v>
      </c>
      <c r="C18" s="46">
        <f>C13*(1-C12)</f>
        <v>4.2660000000000003E-2</v>
      </c>
    </row>
    <row r="19" spans="2:3" ht="17" customHeight="1" x14ac:dyDescent="0.2">
      <c r="B19" s="1" t="s">
        <v>172</v>
      </c>
      <c r="C19" s="46">
        <f ca="1">C9+C10*C11</f>
        <v>0.1452705</v>
      </c>
    </row>
    <row r="20" spans="2:3" ht="17" customHeight="1" x14ac:dyDescent="0.2">
      <c r="B20" s="1" t="s">
        <v>160</v>
      </c>
      <c r="C20" s="46">
        <f ca="1">(C17*C19)+(C16*C18)</f>
        <v>0.13772709071603914</v>
      </c>
    </row>
    <row r="21" spans="2:3" ht="17" customHeight="1" x14ac:dyDescent="0.2">
      <c r="B21" s="1" t="s">
        <v>229</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H7" sqref="H7"/>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175</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-23218.692702193755</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H7/(1+$C$15)^H9</f>
        <v>-6492.1909154694331</v>
      </c>
      <c r="I10" s="125">
        <f t="shared" ref="I10:L10" ca="1" si="0">I7/(1+$C$15)^I9</f>
        <v>-5054.5783103099566</v>
      </c>
      <c r="J10" s="125">
        <f t="shared" ca="1" si="0"/>
        <v>-3561.6213067076965</v>
      </c>
      <c r="K10" s="125">
        <f t="shared" ca="1" si="0"/>
        <v>-3260.2976567325713</v>
      </c>
      <c r="L10" s="125">
        <f t="shared" ca="1" si="0"/>
        <v>-1405.799897227409</v>
      </c>
      <c r="N10" s="90"/>
    </row>
    <row r="11" spans="1:28" x14ac:dyDescent="0.2">
      <c r="B11" s="1" t="s">
        <v>178</v>
      </c>
      <c r="C11" s="137"/>
      <c r="D11" s="137"/>
      <c r="E11" s="137"/>
      <c r="F11" s="137"/>
      <c r="G11" s="138"/>
      <c r="H11" s="137"/>
      <c r="I11" s="137"/>
      <c r="J11" s="137"/>
      <c r="K11" s="137"/>
      <c r="L11" s="125">
        <f ca="1">L8/(1+C15)^L9</f>
        <v>-12179.999407533141</v>
      </c>
    </row>
    <row r="13" spans="1:28" x14ac:dyDescent="0.2">
      <c r="B13" s="230" t="s">
        <v>179</v>
      </c>
      <c r="C13" s="230"/>
    </row>
    <row r="14" spans="1:28" x14ac:dyDescent="0.2">
      <c r="B14" s="1" t="s">
        <v>180</v>
      </c>
      <c r="C14" s="140">
        <v>0.02</v>
      </c>
    </row>
    <row r="15" spans="1:28" x14ac:dyDescent="0.2">
      <c r="B15" s="1" t="s">
        <v>160</v>
      </c>
      <c r="C15" s="134">
        <f ca="1">IF(Overview!C28&gt;0,Overview!C28,WACC!C20)</f>
        <v>0.13772709071603914</v>
      </c>
    </row>
    <row r="18" spans="2:3" x14ac:dyDescent="0.2">
      <c r="B18" s="230" t="s">
        <v>181</v>
      </c>
      <c r="C18" s="230"/>
    </row>
    <row r="19" spans="2:3" x14ac:dyDescent="0.2">
      <c r="B19" s="1" t="s">
        <v>182</v>
      </c>
      <c r="C19" s="63">
        <f ca="1">SUM(H10:L10)</f>
        <v>-19774.488086447069</v>
      </c>
    </row>
    <row r="20" spans="2:3" x14ac:dyDescent="0.2">
      <c r="B20" s="1" t="s">
        <v>178</v>
      </c>
      <c r="C20" s="63">
        <f ca="1">L11</f>
        <v>-12179.999407533141</v>
      </c>
    </row>
    <row r="21" spans="2:3" x14ac:dyDescent="0.2">
      <c r="B21" s="16" t="s">
        <v>183</v>
      </c>
      <c r="C21" s="93">
        <f ca="1">C19+C20</f>
        <v>-31954.48749398021</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-35715.48749398021</v>
      </c>
    </row>
    <row r="25" spans="2:3" x14ac:dyDescent="0.2">
      <c r="B25" s="1" t="s">
        <v>67</v>
      </c>
      <c r="C25" s="87">
        <f>Statement!AC78</f>
        <v>5026</v>
      </c>
    </row>
    <row r="26" spans="2:3" x14ac:dyDescent="0.2">
      <c r="B26" s="141" t="s">
        <v>187</v>
      </c>
      <c r="C26" s="142">
        <f ca="1">C24/C25</f>
        <v>-7.1061455419777575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5" zoomScale="192" zoomScaleNormal="100" workbookViewId="0">
      <selection activeCell="C43" sqref="C43"/>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0" t="s">
        <v>108</v>
      </c>
      <c r="D2" s="230"/>
      <c r="E2" s="230"/>
      <c r="F2" s="230"/>
      <c r="G2" s="242"/>
      <c r="H2" s="243" t="s">
        <v>109</v>
      </c>
      <c r="I2" s="230"/>
      <c r="J2" s="230"/>
      <c r="K2" s="230"/>
      <c r="L2" s="230"/>
    </row>
    <row r="3" spans="1:14" ht="10" customHeight="1" x14ac:dyDescent="0.2"/>
    <row r="4" spans="1:14" ht="16" customHeight="1" x14ac:dyDescent="0.2">
      <c r="A4" s="85"/>
      <c r="B4" s="59"/>
      <c r="C4" s="239" t="s">
        <v>189</v>
      </c>
      <c r="D4" s="239"/>
      <c r="E4" s="239"/>
      <c r="F4" s="239"/>
      <c r="G4" s="239"/>
      <c r="H4" s="239"/>
      <c r="I4" s="239"/>
      <c r="J4" s="239"/>
      <c r="K4" s="239"/>
      <c r="L4" s="239"/>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264</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9" t="s">
        <v>117</v>
      </c>
      <c r="D10" s="239"/>
      <c r="E10" s="239"/>
      <c r="F10" s="239"/>
      <c r="G10" s="239"/>
      <c r="H10" s="239"/>
      <c r="I10" s="239"/>
      <c r="J10" s="239"/>
      <c r="K10" s="239"/>
      <c r="L10" s="239"/>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264</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9" t="s">
        <v>191</v>
      </c>
      <c r="D16" s="239"/>
      <c r="E16" s="239"/>
      <c r="F16" s="239"/>
      <c r="G16" s="239"/>
      <c r="H16" s="239"/>
      <c r="I16" s="239"/>
      <c r="J16" s="239"/>
      <c r="K16" s="239"/>
      <c r="L16" s="239"/>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193</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9" t="s">
        <v>194</v>
      </c>
      <c r="D21" s="239"/>
      <c r="E21" s="239"/>
      <c r="F21" s="239"/>
      <c r="G21" s="239"/>
      <c r="H21" s="239"/>
      <c r="I21" s="239"/>
      <c r="J21" s="239"/>
      <c r="K21" s="239"/>
      <c r="L21" s="239"/>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9" t="s">
        <v>195</v>
      </c>
      <c r="D26" s="239"/>
      <c r="E26" s="239"/>
      <c r="F26" s="239"/>
      <c r="G26" s="239"/>
      <c r="H26" s="239"/>
      <c r="I26" s="239"/>
      <c r="J26" s="239"/>
      <c r="K26" s="239"/>
      <c r="L26" s="239"/>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197</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164</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173</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198</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199</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323</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30" t="s">
        <v>200</v>
      </c>
      <c r="C37" s="230"/>
      <c r="N37" s="90"/>
    </row>
    <row r="38" spans="2:14" x14ac:dyDescent="0.2">
      <c r="B38" s="1" t="s">
        <v>201</v>
      </c>
      <c r="C38" s="63">
        <f>L7</f>
        <v>10044.584933734524</v>
      </c>
    </row>
    <row r="39" spans="2:14" x14ac:dyDescent="0.2">
      <c r="B39" s="1" t="s">
        <v>160</v>
      </c>
      <c r="C39" s="134">
        <f ca="1">IF(Overview!C28&gt;0,Overview!C28,WACC!C20)</f>
        <v>0.13772709071603914</v>
      </c>
    </row>
    <row r="40" spans="2:14" x14ac:dyDescent="0.2">
      <c r="B40" s="39" t="s">
        <v>202</v>
      </c>
      <c r="C40" s="104">
        <v>35</v>
      </c>
    </row>
    <row r="41" spans="2:14" x14ac:dyDescent="0.2">
      <c r="B41" s="1" t="s">
        <v>198</v>
      </c>
      <c r="C41" s="24">
        <f>(C38*C40)</f>
        <v>351560.47268070834</v>
      </c>
    </row>
    <row r="42" spans="2:14" x14ac:dyDescent="0.2">
      <c r="B42" s="1" t="s">
        <v>395</v>
      </c>
      <c r="C42" s="24">
        <f ca="1">C41/(1+C39)^5-G30+G31</f>
        <v>183763.64778946512</v>
      </c>
    </row>
    <row r="43" spans="2:14" x14ac:dyDescent="0.2">
      <c r="B43" s="1" t="s">
        <v>67</v>
      </c>
      <c r="C43" s="87">
        <f>Statement!AC78</f>
        <v>5026</v>
      </c>
    </row>
    <row r="44" spans="2:14" x14ac:dyDescent="0.2">
      <c r="B44" s="141" t="s">
        <v>204</v>
      </c>
      <c r="C44" s="142">
        <f ca="1">C42/C43</f>
        <v>36.562604017004602</v>
      </c>
    </row>
    <row r="46" spans="2:14" x14ac:dyDescent="0.2">
      <c r="B46" s="230" t="s">
        <v>205</v>
      </c>
      <c r="C46" s="230"/>
    </row>
    <row r="47" spans="2:14" x14ac:dyDescent="0.2">
      <c r="B47" s="1" t="s">
        <v>206</v>
      </c>
      <c r="C47" s="63">
        <f>L6</f>
        <v>77266.037951804014</v>
      </c>
    </row>
    <row r="48" spans="2:14" x14ac:dyDescent="0.2">
      <c r="B48" s="1" t="s">
        <v>393</v>
      </c>
      <c r="C48" s="134">
        <f>Overview!C29</f>
        <v>0.12</v>
      </c>
    </row>
    <row r="49" spans="2:3" x14ac:dyDescent="0.2">
      <c r="B49" s="39" t="s">
        <v>207</v>
      </c>
      <c r="C49" s="104">
        <v>5</v>
      </c>
    </row>
    <row r="50" spans="2:3" x14ac:dyDescent="0.2">
      <c r="B50" s="1" t="s">
        <v>203</v>
      </c>
      <c r="C50" s="24">
        <f>L18</f>
        <v>5563.9177776000006</v>
      </c>
    </row>
    <row r="51" spans="2:3" x14ac:dyDescent="0.2">
      <c r="B51" s="1" t="s">
        <v>187</v>
      </c>
      <c r="C51" s="24">
        <f>(C47*C49)/C50</f>
        <v>69.434920716183527</v>
      </c>
    </row>
    <row r="52" spans="2:3" x14ac:dyDescent="0.2">
      <c r="B52" s="141" t="s">
        <v>204</v>
      </c>
      <c r="C52" s="142">
        <f>C51/(1+C48)^5</f>
        <v>39.399238739054248</v>
      </c>
    </row>
    <row r="54" spans="2:3" x14ac:dyDescent="0.2">
      <c r="B54" s="230" t="s">
        <v>324</v>
      </c>
      <c r="C54" s="230"/>
    </row>
    <row r="55" spans="2:3" x14ac:dyDescent="0.2">
      <c r="B55" s="1" t="s">
        <v>208</v>
      </c>
      <c r="C55" s="63">
        <f>L8</f>
        <v>-2679.8717079009807</v>
      </c>
    </row>
    <row r="56" spans="2:3" x14ac:dyDescent="0.2">
      <c r="B56" s="1" t="s">
        <v>160</v>
      </c>
      <c r="C56" s="134">
        <f ca="1">IF(Overview!C28&gt;0,Overview!C28,WACC!C20)</f>
        <v>0.13772709071603914</v>
      </c>
    </row>
    <row r="57" spans="2:3" x14ac:dyDescent="0.2">
      <c r="B57" s="39" t="s">
        <v>209</v>
      </c>
      <c r="C57" s="104">
        <v>40</v>
      </c>
    </row>
    <row r="58" spans="2:3" x14ac:dyDescent="0.2">
      <c r="B58" s="1" t="s">
        <v>203</v>
      </c>
      <c r="C58" s="24">
        <f>L18</f>
        <v>5563.9177776000006</v>
      </c>
    </row>
    <row r="59" spans="2:3" x14ac:dyDescent="0.2">
      <c r="B59" s="1" t="s">
        <v>198</v>
      </c>
      <c r="C59" s="24">
        <f>(C55*C57)-G30+G31</f>
        <v>-107851.86831603921</v>
      </c>
    </row>
    <row r="60" spans="2:3" x14ac:dyDescent="0.2">
      <c r="B60" s="1" t="s">
        <v>395</v>
      </c>
      <c r="C60" s="24">
        <f ca="1">C59/(1+C56)^5-G30+G31</f>
        <v>-57233.643183127395</v>
      </c>
    </row>
    <row r="61" spans="2:3" x14ac:dyDescent="0.2">
      <c r="B61" s="1" t="s">
        <v>67</v>
      </c>
      <c r="C61" s="87">
        <f>Statement!AC78</f>
        <v>5026</v>
      </c>
    </row>
    <row r="62" spans="2:3" x14ac:dyDescent="0.2">
      <c r="B62" s="141" t="s">
        <v>204</v>
      </c>
      <c r="C62" s="142">
        <f ca="1">C60/C61</f>
        <v>-11.387513566081854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210</v>
      </c>
    </row>
    <row r="2" spans="1:14" x14ac:dyDescent="0.2">
      <c r="N2" s="90"/>
    </row>
    <row r="3" spans="1:14" x14ac:dyDescent="0.2">
      <c r="N3" s="90"/>
    </row>
    <row r="4" spans="1:14" x14ac:dyDescent="0.2">
      <c r="B4" s="230" t="s">
        <v>211</v>
      </c>
      <c r="C4" s="230"/>
      <c r="N4" s="90"/>
    </row>
    <row r="5" spans="1:14" x14ac:dyDescent="0.2">
      <c r="B5" s="1" t="s">
        <v>212</v>
      </c>
      <c r="C5" s="132">
        <f ca="1">DCF!C26</f>
        <v>-7.1061455419777575</v>
      </c>
    </row>
    <row r="6" spans="1:14" x14ac:dyDescent="0.2">
      <c r="B6" s="1" t="s">
        <v>213</v>
      </c>
      <c r="C6" s="132">
        <f ca="1">Multiples!C44</f>
        <v>36.562604017004602</v>
      </c>
    </row>
    <row r="7" spans="1:14" x14ac:dyDescent="0.2">
      <c r="B7" s="1" t="s">
        <v>214</v>
      </c>
      <c r="C7" s="132">
        <f>Multiples!C52</f>
        <v>39.399238739054248</v>
      </c>
    </row>
    <row r="8" spans="1:14" x14ac:dyDescent="0.2">
      <c r="B8" s="1" t="s">
        <v>325</v>
      </c>
      <c r="C8" s="132">
        <f ca="1">Multiples!C62</f>
        <v>-11.387513566081854</v>
      </c>
    </row>
    <row r="9" spans="1:14" x14ac:dyDescent="0.2">
      <c r="B9" s="141" t="s">
        <v>215</v>
      </c>
      <c r="C9" s="142">
        <f ca="1">AVERAGE(C5:C8)</f>
        <v>14.36704591199981</v>
      </c>
    </row>
    <row r="10" spans="1:14" x14ac:dyDescent="0.2">
      <c r="B10" s="1" t="s">
        <v>216</v>
      </c>
      <c r="C10" s="132">
        <f ca="1">Overview!C5</f>
        <v>112.91500000000001</v>
      </c>
    </row>
    <row r="11" spans="1:14" x14ac:dyDescent="0.2">
      <c r="B11" s="1" t="s">
        <v>217</v>
      </c>
      <c r="C11" s="154">
        <f ca="1">(C9-C10)/C10</f>
        <v>-0.87276229099765479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218</v>
      </c>
    </row>
    <row r="2" spans="1:28" s="82" customFormat="1" ht="18" customHeight="1" x14ac:dyDescent="0.2">
      <c r="A2" s="4"/>
      <c r="B2" s="81"/>
    </row>
    <row r="3" spans="1:28" x14ac:dyDescent="0.2">
      <c r="A3" s="4"/>
      <c r="C3" s="230" t="s">
        <v>108</v>
      </c>
      <c r="D3" s="230"/>
      <c r="E3" s="230"/>
      <c r="F3" s="230"/>
      <c r="G3" s="242"/>
      <c r="H3" s="243" t="s">
        <v>109</v>
      </c>
      <c r="I3" s="230"/>
      <c r="J3" s="230"/>
      <c r="K3" s="230"/>
      <c r="L3" s="230"/>
      <c r="P3" s="244"/>
      <c r="Q3" s="244"/>
      <c r="R3" s="244"/>
      <c r="S3" s="244"/>
      <c r="T3" s="244"/>
      <c r="U3" s="244"/>
      <c r="V3" s="244"/>
      <c r="W3" s="244"/>
      <c r="X3" s="244"/>
      <c r="Y3" s="244"/>
      <c r="Z3" s="244"/>
      <c r="AB3" s="108"/>
    </row>
    <row r="4" spans="1:28" ht="10" customHeight="1" x14ac:dyDescent="0.2"/>
    <row r="5" spans="1:28" ht="16" customHeight="1" x14ac:dyDescent="0.2">
      <c r="A5" s="85"/>
      <c r="B5" s="59"/>
      <c r="C5" s="239" t="s">
        <v>175</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7"/>
      <c r="D8" s="137"/>
      <c r="E8" s="137"/>
      <c r="F8" s="137"/>
      <c r="G8" s="138"/>
      <c r="H8" s="137"/>
      <c r="I8" s="137"/>
      <c r="J8" s="137"/>
      <c r="K8" s="137"/>
      <c r="L8" s="125">
        <f ca="1">L7*(1+C20)/(C21-C20)</f>
        <v>-961911.33425982634</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H7/(1+$C$21)^H9</f>
        <v>-13165.501472268064</v>
      </c>
      <c r="I10" s="125">
        <f t="shared" ref="I10:L10" ca="1" si="1">I7/(1+$C$21)^I9</f>
        <v>-19093.399116980407</v>
      </c>
      <c r="J10" s="125">
        <f t="shared" ca="1" si="1"/>
        <v>-27690.391483242496</v>
      </c>
      <c r="K10" s="125">
        <f t="shared" ca="1" si="1"/>
        <v>-40158.264947875359</v>
      </c>
      <c r="L10" s="125">
        <f t="shared" ca="1" si="1"/>
        <v>-58239.922126045429</v>
      </c>
      <c r="N10" s="90"/>
    </row>
    <row r="11" spans="1:28" x14ac:dyDescent="0.2">
      <c r="B11" s="1" t="s">
        <v>178</v>
      </c>
      <c r="C11" s="137"/>
      <c r="D11" s="137"/>
      <c r="E11" s="137"/>
      <c r="F11" s="137"/>
      <c r="G11" s="138"/>
      <c r="H11" s="137"/>
      <c r="I11" s="137"/>
      <c r="J11" s="137"/>
      <c r="K11" s="137"/>
      <c r="L11" s="125">
        <f ca="1">L8/(1+C21)^L9</f>
        <v>-504596.86217722058</v>
      </c>
    </row>
    <row r="13" spans="1:28" ht="17" thickBot="1" x14ac:dyDescent="0.25"/>
    <row r="14" spans="1:28" x14ac:dyDescent="0.2">
      <c r="B14" s="245" t="s">
        <v>219</v>
      </c>
      <c r="C14" s="246"/>
    </row>
    <row r="15" spans="1:28" x14ac:dyDescent="0.2">
      <c r="B15" s="155" t="s">
        <v>220</v>
      </c>
      <c r="C15" s="156">
        <f ca="1">Overview!C5</f>
        <v>112.91500000000001</v>
      </c>
    </row>
    <row r="16" spans="1:28" x14ac:dyDescent="0.2">
      <c r="B16" s="155" t="s">
        <v>221</v>
      </c>
      <c r="C16" s="156">
        <f ca="1">C36</f>
        <v>-132.65128160040436</v>
      </c>
    </row>
    <row r="17" spans="2:9" ht="17" thickBot="1" x14ac:dyDescent="0.25">
      <c r="B17" s="157" t="s">
        <v>326</v>
      </c>
      <c r="C17" s="158">
        <v>0.65</v>
      </c>
      <c r="E17" s="247" t="s">
        <v>222</v>
      </c>
      <c r="F17" s="247"/>
      <c r="G17" s="247"/>
      <c r="H17" s="247"/>
      <c r="I17" s="247"/>
    </row>
    <row r="18" spans="2:9" ht="17" thickBot="1" x14ac:dyDescent="0.25"/>
    <row r="19" spans="2:9" x14ac:dyDescent="0.2">
      <c r="B19" s="245" t="s">
        <v>179</v>
      </c>
      <c r="C19" s="246"/>
    </row>
    <row r="20" spans="2:9" x14ac:dyDescent="0.2">
      <c r="B20" s="159" t="s">
        <v>180</v>
      </c>
      <c r="C20" s="160">
        <v>0.02</v>
      </c>
    </row>
    <row r="21" spans="2:9" x14ac:dyDescent="0.2">
      <c r="B21" s="159" t="s">
        <v>160</v>
      </c>
      <c r="C21" s="228">
        <f ca="1">IF(Overview!C28&gt;0,Overview!C28,WACC!C20)</f>
        <v>0.13772709071603914</v>
      </c>
    </row>
    <row r="22" spans="2:9" x14ac:dyDescent="0.2">
      <c r="B22" s="159" t="s">
        <v>67</v>
      </c>
      <c r="C22" s="229">
        <f>Statement!AC75</f>
        <v>5026</v>
      </c>
    </row>
    <row r="23" spans="2:9" x14ac:dyDescent="0.2">
      <c r="B23" s="159" t="s">
        <v>223</v>
      </c>
      <c r="C23" s="161">
        <f ca="1">C15*C22</f>
        <v>567510.79</v>
      </c>
    </row>
    <row r="24" spans="2:9" x14ac:dyDescent="0.2">
      <c r="B24" s="159" t="s">
        <v>173</v>
      </c>
      <c r="C24" s="229">
        <f>Statement!AC107</f>
        <v>41270</v>
      </c>
    </row>
    <row r="25" spans="2:9" x14ac:dyDescent="0.2">
      <c r="B25" s="159" t="s">
        <v>164</v>
      </c>
      <c r="C25" s="229">
        <f>Statement!AC108</f>
        <v>45031</v>
      </c>
    </row>
    <row r="26" spans="2:9" ht="17" thickBot="1" x14ac:dyDescent="0.25">
      <c r="B26" s="157" t="s">
        <v>224</v>
      </c>
      <c r="C26" s="162">
        <f ca="1">C23+C25-C24</f>
        <v>571271.79</v>
      </c>
    </row>
    <row r="27" spans="2:9" ht="17" thickBot="1" x14ac:dyDescent="0.25"/>
    <row r="28" spans="2:9" x14ac:dyDescent="0.2">
      <c r="B28" s="245" t="s">
        <v>181</v>
      </c>
      <c r="C28" s="246"/>
    </row>
    <row r="29" spans="2:9" x14ac:dyDescent="0.2">
      <c r="B29" s="159" t="s">
        <v>182</v>
      </c>
      <c r="C29" s="161">
        <f ca="1">SUM(H10:L10)</f>
        <v>-158347.47914641176</v>
      </c>
    </row>
    <row r="30" spans="2:9" x14ac:dyDescent="0.2">
      <c r="B30" s="159" t="s">
        <v>178</v>
      </c>
      <c r="C30" s="161">
        <f ca="1">L11</f>
        <v>-504596.86217722058</v>
      </c>
    </row>
    <row r="31" spans="2:9" x14ac:dyDescent="0.2">
      <c r="B31" s="163" t="s">
        <v>183</v>
      </c>
      <c r="C31" s="164">
        <f ca="1">C29+C30</f>
        <v>-662944.34132363228</v>
      </c>
    </row>
    <row r="32" spans="2:9" x14ac:dyDescent="0.2">
      <c r="B32" s="159" t="s">
        <v>184</v>
      </c>
      <c r="C32" s="165">
        <f>C24</f>
        <v>41270</v>
      </c>
    </row>
    <row r="33" spans="2:12" x14ac:dyDescent="0.2">
      <c r="B33" s="159" t="s">
        <v>185</v>
      </c>
      <c r="C33" s="165">
        <f>C25</f>
        <v>45031</v>
      </c>
    </row>
    <row r="34" spans="2:12" x14ac:dyDescent="0.2">
      <c r="B34" s="163" t="s">
        <v>186</v>
      </c>
      <c r="C34" s="164">
        <f ca="1">C31+C32-C33</f>
        <v>-666705.34132363228</v>
      </c>
    </row>
    <row r="35" spans="2:12" x14ac:dyDescent="0.2">
      <c r="B35" s="159" t="s">
        <v>67</v>
      </c>
      <c r="C35" s="161">
        <f>C22</f>
        <v>5026</v>
      </c>
    </row>
    <row r="36" spans="2:12" ht="17" thickBot="1" x14ac:dyDescent="0.25">
      <c r="B36" s="166" t="s">
        <v>187</v>
      </c>
      <c r="C36" s="167">
        <f ca="1">C34/C35</f>
        <v>-132.65128160040436</v>
      </c>
    </row>
    <row r="39" spans="2:12" x14ac:dyDescent="0.2">
      <c r="C39" s="239" t="s">
        <v>225</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264</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327</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328</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329</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226</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227</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228</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2026-06-11T15:49:32Z</dcterms:modified>
</cp:coreProperties>
</file>