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46458A5-898E-8A44-B4BF-C4B914BEC026}"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1" i="3" l="1"/>
  <c r="P181" i="3"/>
  <c r="O181" i="3"/>
  <c r="N181" i="3"/>
  <c r="Q180" i="3"/>
  <c r="P180" i="3"/>
  <c r="O180" i="3"/>
  <c r="N180" i="3"/>
  <c r="M181" i="3"/>
  <c r="M180" i="3"/>
  <c r="Q171" i="3"/>
  <c r="P171" i="3"/>
  <c r="O171" i="3"/>
  <c r="N171" i="3"/>
  <c r="M171" i="3"/>
  <c r="Q170" i="3"/>
  <c r="P170" i="3"/>
  <c r="O170" i="3"/>
  <c r="N170" i="3"/>
  <c r="M170" i="3"/>
  <c r="Q169" i="3"/>
  <c r="P169" i="3"/>
  <c r="O169" i="3"/>
  <c r="N169" i="3"/>
  <c r="M169" i="3"/>
  <c r="Q168" i="3"/>
  <c r="P168" i="3"/>
  <c r="O168" i="3"/>
  <c r="N168" i="3"/>
  <c r="M168" i="3"/>
  <c r="Q130" i="3"/>
  <c r="P130" i="3"/>
  <c r="O130" i="3"/>
  <c r="N130" i="3"/>
  <c r="M130"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143" i="3"/>
  <c r="Z143" i="3"/>
  <c r="Y143" i="3"/>
  <c r="X143" i="3"/>
  <c r="W143" i="3"/>
  <c r="V143" i="3"/>
  <c r="U143" i="3"/>
  <c r="T143" i="3"/>
  <c r="Q143" i="3"/>
  <c r="P143" i="3"/>
  <c r="AC142" i="3"/>
  <c r="Z10" i="5"/>
  <c r="Y10" i="5"/>
  <c r="X10" i="5"/>
  <c r="W10" i="5"/>
  <c r="V10" i="5"/>
  <c r="U10" i="5"/>
  <c r="T10" i="5"/>
  <c r="S10" i="5"/>
  <c r="G10" i="5"/>
  <c r="F10" i="5"/>
  <c r="B10" i="5"/>
  <c r="F7" i="16"/>
  <c r="G7" i="16"/>
  <c r="AA154" i="3"/>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4" i="3"/>
  <c r="Z204" i="3"/>
  <c r="Y204" i="3"/>
  <c r="X204" i="3"/>
  <c r="W204" i="3"/>
  <c r="V204" i="3"/>
  <c r="U204" i="3"/>
  <c r="T204" i="3"/>
  <c r="AA203" i="3"/>
  <c r="Z203" i="3"/>
  <c r="Y203" i="3"/>
  <c r="X203" i="3"/>
  <c r="W203" i="3"/>
  <c r="V203" i="3"/>
  <c r="U203" i="3"/>
  <c r="T203" i="3"/>
  <c r="Q204" i="3"/>
  <c r="Q203" i="3"/>
  <c r="P203" i="3"/>
  <c r="O203" i="3"/>
  <c r="N203" i="3"/>
  <c r="M203" i="3"/>
  <c r="AC115" i="3"/>
  <c r="AC114" i="3"/>
  <c r="AC113" i="3"/>
  <c r="AC112" i="3"/>
  <c r="AC111" i="3"/>
  <c r="AC109" i="3"/>
  <c r="AC108" i="3"/>
  <c r="AC107" i="3"/>
  <c r="AC106" i="3"/>
  <c r="AA153" i="3"/>
  <c r="Q208" i="3"/>
  <c r="P208" i="3"/>
  <c r="O208" i="3"/>
  <c r="N208" i="3"/>
  <c r="M208" i="3"/>
  <c r="W123" i="3"/>
  <c r="W194" i="3"/>
  <c r="W191" i="3"/>
  <c r="W190"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2" i="3"/>
  <c r="Y202" i="3"/>
  <c r="X202" i="3"/>
  <c r="W202" i="3"/>
  <c r="V202" i="3"/>
  <c r="U202" i="3"/>
  <c r="T202" i="3"/>
  <c r="Z201" i="3"/>
  <c r="Y201" i="3"/>
  <c r="X201" i="3"/>
  <c r="W201" i="3"/>
  <c r="V201" i="3"/>
  <c r="U201" i="3"/>
  <c r="T201" i="3"/>
  <c r="Z200" i="3"/>
  <c r="Y200" i="3"/>
  <c r="X200" i="3"/>
  <c r="W200" i="3"/>
  <c r="V200" i="3"/>
  <c r="U200" i="3"/>
  <c r="T200" i="3"/>
  <c r="Z191" i="3"/>
  <c r="V191" i="3"/>
  <c r="U191" i="3"/>
  <c r="T191" i="3"/>
  <c r="Z190" i="3"/>
  <c r="V190" i="3"/>
  <c r="U190" i="3"/>
  <c r="T190" i="3"/>
  <c r="Z167" i="3"/>
  <c r="Y167" i="3"/>
  <c r="X167" i="3"/>
  <c r="W167" i="3"/>
  <c r="V167" i="3"/>
  <c r="U167" i="3"/>
  <c r="T167" i="3"/>
  <c r="Z166" i="3"/>
  <c r="Y166" i="3"/>
  <c r="X166" i="3"/>
  <c r="W166" i="3"/>
  <c r="V166" i="3"/>
  <c r="U166" i="3"/>
  <c r="T166" i="3"/>
  <c r="Z161" i="3"/>
  <c r="Y161" i="3"/>
  <c r="X161" i="3"/>
  <c r="W161" i="3"/>
  <c r="V161" i="3"/>
  <c r="U161" i="3"/>
  <c r="T161" i="3"/>
  <c r="Z160" i="3"/>
  <c r="Y160" i="3"/>
  <c r="X160" i="3"/>
  <c r="W160" i="3"/>
  <c r="V160" i="3"/>
  <c r="U160" i="3"/>
  <c r="T160" i="3"/>
  <c r="Z150" i="3"/>
  <c r="Y150" i="3"/>
  <c r="X150" i="3"/>
  <c r="W150" i="3"/>
  <c r="V150" i="3"/>
  <c r="U150" i="3"/>
  <c r="T150" i="3"/>
  <c r="Z149" i="3"/>
  <c r="Y149" i="3"/>
  <c r="X149" i="3"/>
  <c r="W149" i="3"/>
  <c r="V149" i="3"/>
  <c r="U149" i="3"/>
  <c r="T149"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2" i="3"/>
  <c r="AA201" i="3"/>
  <c r="AA200" i="3"/>
  <c r="G16" i="18"/>
  <c r="F16" i="18"/>
  <c r="D16" i="18"/>
  <c r="C16" i="18"/>
  <c r="G14" i="18"/>
  <c r="F14" i="18"/>
  <c r="D14" i="18"/>
  <c r="C14" i="18"/>
  <c r="G8" i="18"/>
  <c r="F8" i="18"/>
  <c r="D8" i="18"/>
  <c r="C8" i="18"/>
  <c r="G6" i="18"/>
  <c r="F6" i="18"/>
  <c r="D6" i="18"/>
  <c r="C6" i="18"/>
  <c r="G5" i="18"/>
  <c r="G4" i="18"/>
  <c r="F5" i="18"/>
  <c r="F4" i="18"/>
  <c r="D5" i="18"/>
  <c r="D4" i="18"/>
  <c r="C5" i="18"/>
  <c r="C4" i="18"/>
  <c r="Q202" i="3"/>
  <c r="Q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60" i="3"/>
  <c r="Q160" i="3"/>
  <c r="P160" i="3"/>
  <c r="O160" i="3"/>
  <c r="N160" i="3"/>
  <c r="M160" i="3"/>
  <c r="AC31" i="3"/>
  <c r="AA191" i="3"/>
  <c r="Q191" i="3"/>
  <c r="P191" i="3"/>
  <c r="O191" i="3"/>
  <c r="N191" i="3"/>
  <c r="M191" i="3"/>
  <c r="AA190" i="3"/>
  <c r="Q190" i="3"/>
  <c r="P190" i="3"/>
  <c r="O190" i="3"/>
  <c r="N190" i="3"/>
  <c r="M190" i="3"/>
  <c r="AA167" i="3"/>
  <c r="Q167" i="3"/>
  <c r="P167" i="3"/>
  <c r="O167" i="3"/>
  <c r="N167" i="3"/>
  <c r="M167" i="3"/>
  <c r="AA166" i="3"/>
  <c r="Q166" i="3"/>
  <c r="P166" i="3"/>
  <c r="O166" i="3"/>
  <c r="N166" i="3"/>
  <c r="M166" i="3"/>
  <c r="AA161" i="3"/>
  <c r="Q161" i="3"/>
  <c r="P161" i="3"/>
  <c r="O161" i="3"/>
  <c r="N161" i="3"/>
  <c r="M161" i="3"/>
  <c r="F10" i="16"/>
  <c r="G10" i="16"/>
  <c r="G9" i="16"/>
  <c r="F6" i="16"/>
  <c r="G6" i="16"/>
  <c r="AC75" i="3"/>
  <c r="P76" i="3"/>
  <c r="O76" i="3"/>
  <c r="N76" i="3"/>
  <c r="M76" i="3"/>
  <c r="Q76" i="3"/>
  <c r="AA150" i="3"/>
  <c r="AA149"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7" i="3"/>
  <c r="O137" i="3"/>
  <c r="N137" i="3"/>
  <c r="M137" i="3"/>
  <c r="Q137" i="3"/>
  <c r="P135" i="3"/>
  <c r="O135" i="3"/>
  <c r="N135" i="3"/>
  <c r="M135" i="3"/>
  <c r="Q135"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H61" i="20" l="1"/>
  <c r="F61" i="20"/>
  <c r="D61" i="20"/>
  <c r="C61" i="20"/>
  <c r="J67" i="19"/>
  <c r="H67" i="19"/>
  <c r="L63" i="19"/>
  <c r="K63" i="19"/>
  <c r="H63" i="19"/>
  <c r="Z123" i="3"/>
  <c r="AA175" i="3"/>
  <c r="J66" i="20" s="1"/>
  <c r="W175" i="3"/>
  <c r="F66" i="20" s="1"/>
  <c r="V175" i="3"/>
  <c r="E66" i="20" s="1"/>
  <c r="U175" i="3"/>
  <c r="D66" i="20" s="1"/>
  <c r="T175"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Z175" i="3"/>
  <c r="I66" i="20" s="1"/>
  <c r="J10" i="5"/>
  <c r="K10" i="5" s="1"/>
  <c r="L10" i="5" s="1"/>
  <c r="J9" i="5"/>
  <c r="K9" i="5" s="1"/>
  <c r="L9" i="5" s="1"/>
  <c r="J7" i="5"/>
  <c r="K7" i="5" s="1"/>
  <c r="L7" i="5" s="1"/>
  <c r="AC143" i="3"/>
  <c r="M201" i="3"/>
  <c r="C7" i="5"/>
  <c r="E7" i="5"/>
  <c r="D7" i="5"/>
  <c r="AA10" i="5"/>
  <c r="AA9" i="5"/>
  <c r="AA7" i="5"/>
  <c r="AA6" i="5"/>
  <c r="E10" i="5"/>
  <c r="D10" i="5"/>
  <c r="C10" i="5"/>
  <c r="G93" i="17"/>
  <c r="G92" i="17"/>
  <c r="F92" i="17"/>
  <c r="E92" i="17"/>
  <c r="D92" i="17"/>
  <c r="C92" i="17"/>
  <c r="G8" i="16"/>
  <c r="F8" i="16"/>
  <c r="P204" i="3"/>
  <c r="F93" i="17" s="1"/>
  <c r="O204" i="3"/>
  <c r="E93" i="17" s="1"/>
  <c r="N204" i="3"/>
  <c r="D93" i="17" s="1"/>
  <c r="M204"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H65" i="19" s="1"/>
  <c r="N107" i="3"/>
  <c r="O112" i="3"/>
  <c r="O115" i="3"/>
  <c r="O107" i="3"/>
  <c r="AC64" i="3"/>
  <c r="N202" i="3"/>
  <c r="O202" i="3"/>
  <c r="N201" i="3"/>
  <c r="O201" i="3"/>
  <c r="P201" i="3"/>
  <c r="F33" i="18"/>
  <c r="C33" i="18"/>
  <c r="F31" i="18"/>
  <c r="C31" i="18"/>
  <c r="Z52" i="3"/>
  <c r="Z57" i="3"/>
  <c r="AC41" i="3"/>
  <c r="Z42" i="3"/>
  <c r="Z70" i="3" s="1"/>
  <c r="V42" i="3"/>
  <c r="V70" i="3" s="1"/>
  <c r="W196" i="3"/>
  <c r="W195" i="3"/>
  <c r="AC63" i="3"/>
  <c r="AC53" i="3"/>
  <c r="AC60" i="3"/>
  <c r="AC61" i="3"/>
  <c r="Y123" i="3"/>
  <c r="Y175" i="3" s="1"/>
  <c r="H66" i="20" s="1"/>
  <c r="AC59" i="3"/>
  <c r="AC58" i="3"/>
  <c r="AC55" i="3"/>
  <c r="Y191" i="3"/>
  <c r="Y190" i="3"/>
  <c r="X123" i="3"/>
  <c r="X175" i="3" s="1"/>
  <c r="G66" i="20" s="1"/>
  <c r="X190" i="3"/>
  <c r="X191" i="3"/>
  <c r="E42" i="7"/>
  <c r="F42" i="7"/>
  <c r="G42" i="7"/>
  <c r="AC121" i="3"/>
  <c r="D30" i="12"/>
  <c r="E30" i="12"/>
  <c r="Q42" i="3"/>
  <c r="Q70" i="3" s="1"/>
  <c r="F30" i="12"/>
  <c r="P68" i="3"/>
  <c r="O68" i="3"/>
  <c r="N68" i="3"/>
  <c r="M68" i="3"/>
  <c r="L68" i="3"/>
  <c r="K68" i="3"/>
  <c r="J68" i="3"/>
  <c r="I68" i="3"/>
  <c r="H68" i="3"/>
  <c r="G68" i="3"/>
  <c r="F68" i="3"/>
  <c r="E68" i="3"/>
  <c r="D68" i="3"/>
  <c r="C68" i="3"/>
  <c r="Q68" i="3"/>
  <c r="Q175" i="3"/>
  <c r="L60" i="19" s="1"/>
  <c r="P175" i="3"/>
  <c r="K60" i="19" s="1"/>
  <c r="O175" i="3"/>
  <c r="J60" i="19" s="1"/>
  <c r="N175" i="3"/>
  <c r="I60" i="19" s="1"/>
  <c r="M175" i="3"/>
  <c r="H60" i="19" s="1"/>
  <c r="Z163" i="3"/>
  <c r="Y163" i="3"/>
  <c r="X163" i="3"/>
  <c r="W163" i="3"/>
  <c r="V163" i="3"/>
  <c r="U163" i="3"/>
  <c r="T163" i="3"/>
  <c r="AA68" i="3"/>
  <c r="Z68" i="3"/>
  <c r="Y68" i="3"/>
  <c r="X68" i="3"/>
  <c r="W68" i="3"/>
  <c r="V68" i="3"/>
  <c r="U68" i="3"/>
  <c r="T68" i="3"/>
  <c r="AC125" i="3"/>
  <c r="Z90" i="3"/>
  <c r="Q134" i="3"/>
  <c r="P134" i="3"/>
  <c r="O134" i="3"/>
  <c r="N134" i="3"/>
  <c r="M134"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4" i="3"/>
  <c r="G35" i="7"/>
  <c r="AC62" i="3"/>
  <c r="G30" i="12"/>
  <c r="E35" i="7"/>
  <c r="F35" i="7"/>
  <c r="D35" i="7"/>
  <c r="C35" i="7"/>
  <c r="Z196" i="3"/>
  <c r="V196" i="3"/>
  <c r="U196" i="3"/>
  <c r="T196" i="3"/>
  <c r="Z195" i="3"/>
  <c r="V195" i="3"/>
  <c r="U195" i="3"/>
  <c r="T195" i="3"/>
  <c r="Z194" i="3"/>
  <c r="V194" i="3"/>
  <c r="U194" i="3"/>
  <c r="T194" i="3"/>
  <c r="AC82" i="3"/>
  <c r="AC119" i="3" s="1"/>
  <c r="AA163" i="3"/>
  <c r="Q163" i="3"/>
  <c r="N163" i="3"/>
  <c r="P163" i="3"/>
  <c r="O163" i="3"/>
  <c r="M163"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19" i="3"/>
  <c r="C15" i="18"/>
  <c r="G12" i="18"/>
  <c r="D12" i="18"/>
  <c r="C9" i="18"/>
  <c r="G10" i="18"/>
  <c r="C7" i="18"/>
  <c r="D10" i="18"/>
  <c r="G23" i="18"/>
  <c r="Z159" i="3"/>
  <c r="Z162" i="3" s="1"/>
  <c r="Y159" i="3"/>
  <c r="Y162" i="3" s="1"/>
  <c r="X159" i="3"/>
  <c r="X162" i="3" s="1"/>
  <c r="W159" i="3"/>
  <c r="W162" i="3" s="1"/>
  <c r="V159" i="3"/>
  <c r="V162" i="3" s="1"/>
  <c r="U159" i="3"/>
  <c r="U162" i="3" s="1"/>
  <c r="T159" i="3"/>
  <c r="T162" i="3" s="1"/>
  <c r="Z94" i="3"/>
  <c r="Y94" i="3"/>
  <c r="W94" i="3"/>
  <c r="V94" i="3"/>
  <c r="U94" i="3"/>
  <c r="V90" i="3"/>
  <c r="U90" i="3"/>
  <c r="Z120" i="3"/>
  <c r="Y120" i="3"/>
  <c r="X120" i="3"/>
  <c r="W120" i="3"/>
  <c r="V120" i="3"/>
  <c r="U120" i="3"/>
  <c r="T120" i="3"/>
  <c r="Z119" i="3"/>
  <c r="Y119" i="3"/>
  <c r="Z100" i="3"/>
  <c r="I60" i="20" s="1"/>
  <c r="Y100" i="3"/>
  <c r="H60" i="20" s="1"/>
  <c r="X100" i="3"/>
  <c r="G60" i="20" s="1"/>
  <c r="W100" i="3"/>
  <c r="F60" i="20" s="1"/>
  <c r="V100" i="3"/>
  <c r="E60" i="20" s="1"/>
  <c r="U100" i="3"/>
  <c r="D60" i="20" s="1"/>
  <c r="T100" i="3"/>
  <c r="C60" i="20" s="1"/>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6" i="3"/>
  <c r="Q196" i="3"/>
  <c r="G77" i="17" s="1"/>
  <c r="P196" i="3"/>
  <c r="F77" i="17" s="1"/>
  <c r="O196" i="3"/>
  <c r="E77" i="17" s="1"/>
  <c r="N196" i="3"/>
  <c r="D77" i="17" s="1"/>
  <c r="M196" i="3"/>
  <c r="C77" i="17" s="1"/>
  <c r="AA195" i="3"/>
  <c r="Q195" i="3"/>
  <c r="G76" i="17" s="1"/>
  <c r="P195" i="3"/>
  <c r="F76" i="17" s="1"/>
  <c r="O195" i="3"/>
  <c r="E76" i="17" s="1"/>
  <c r="N195" i="3"/>
  <c r="D76" i="17" s="1"/>
  <c r="M195" i="3"/>
  <c r="C76" i="17" s="1"/>
  <c r="AA194" i="3"/>
  <c r="Q194" i="3"/>
  <c r="G75" i="17" s="1"/>
  <c r="P194" i="3"/>
  <c r="F75" i="17" s="1"/>
  <c r="O194" i="3"/>
  <c r="E75" i="17" s="1"/>
  <c r="N194" i="3"/>
  <c r="D75" i="17" s="1"/>
  <c r="M194" i="3"/>
  <c r="C75" i="17" s="1"/>
  <c r="D23" i="17"/>
  <c r="E23" i="17"/>
  <c r="F23" i="17"/>
  <c r="G23" i="17"/>
  <c r="C23" i="17"/>
  <c r="AC160" i="3"/>
  <c r="I39" i="17" s="1"/>
  <c r="AC78" i="3"/>
  <c r="Q79" i="3"/>
  <c r="P79" i="3"/>
  <c r="N79" i="3"/>
  <c r="M79" i="3"/>
  <c r="O79" i="3"/>
  <c r="G53" i="17"/>
  <c r="F53" i="17"/>
  <c r="E53" i="17"/>
  <c r="D53" i="17"/>
  <c r="C53" i="17"/>
  <c r="G51" i="17"/>
  <c r="F51" i="17"/>
  <c r="E51" i="17"/>
  <c r="D51" i="17"/>
  <c r="C51" i="17"/>
  <c r="AC167" i="3"/>
  <c r="AC166" i="3"/>
  <c r="AA159" i="3"/>
  <c r="AC161" i="3"/>
  <c r="AC159" i="3"/>
  <c r="Q159" i="3"/>
  <c r="P159" i="3"/>
  <c r="O159" i="3"/>
  <c r="N159" i="3"/>
  <c r="M159" i="3"/>
  <c r="F9" i="16"/>
  <c r="F16" i="16"/>
  <c r="AC76" i="3"/>
  <c r="O24" i="6"/>
  <c r="O20" i="6"/>
  <c r="AC56" i="3"/>
  <c r="AC54" i="3"/>
  <c r="O119" i="3"/>
  <c r="O122" i="3" s="1"/>
  <c r="O176" i="3" s="1"/>
  <c r="J61" i="19" s="1"/>
  <c r="N119" i="3"/>
  <c r="N122" i="3" s="1"/>
  <c r="N176" i="3" s="1"/>
  <c r="I61" i="19" s="1"/>
  <c r="M119" i="3"/>
  <c r="M122" i="3" s="1"/>
  <c r="M176" i="3" s="1"/>
  <c r="H61" i="19"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C18" i="10"/>
  <c r="AA120" i="3"/>
  <c r="Q120" i="3"/>
  <c r="P120" i="3"/>
  <c r="O120" i="3"/>
  <c r="N120" i="3"/>
  <c r="M120" i="3"/>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D5" i="8"/>
  <c r="D32" i="8" s="1"/>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19" i="3"/>
  <c r="P122" i="3" s="1"/>
  <c r="P176" i="3" s="1"/>
  <c r="K61" i="19" s="1"/>
  <c r="Q119" i="3"/>
  <c r="AC137" i="3"/>
  <c r="AC135" i="3"/>
  <c r="AC101" i="3"/>
  <c r="AA100" i="3"/>
  <c r="J60" i="20" s="1"/>
  <c r="AC81" i="3"/>
  <c r="AC73" i="3"/>
  <c r="AA74" i="3"/>
  <c r="AC74" i="3" s="1"/>
  <c r="M74" i="3"/>
  <c r="N74" i="3"/>
  <c r="O74" i="3"/>
  <c r="P74" i="3"/>
  <c r="Q74"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I6" i="5" l="1"/>
  <c r="H8" i="5"/>
  <c r="H11" i="5" s="1"/>
  <c r="D8" i="5"/>
  <c r="I65" i="19"/>
  <c r="E8" i="5"/>
  <c r="J65" i="19"/>
  <c r="H5" i="8"/>
  <c r="H32" i="8" s="1"/>
  <c r="G32" i="8"/>
  <c r="H6" i="14"/>
  <c r="H40" i="14" s="1"/>
  <c r="H6" i="11"/>
  <c r="H5" i="12"/>
  <c r="M77" i="3"/>
  <c r="N77" i="3"/>
  <c r="O77" i="3"/>
  <c r="P77" i="3"/>
  <c r="Q77" i="3"/>
  <c r="G16" i="17"/>
  <c r="G33" i="8"/>
  <c r="L62" i="19"/>
  <c r="F16" i="17"/>
  <c r="F33" i="8"/>
  <c r="K62" i="19"/>
  <c r="E16" i="17"/>
  <c r="E33" i="8"/>
  <c r="J62" i="19"/>
  <c r="D16" i="17"/>
  <c r="D33" i="8"/>
  <c r="I62" i="19"/>
  <c r="C16" i="17"/>
  <c r="C33" i="8"/>
  <c r="H62" i="19"/>
  <c r="C19" i="10"/>
  <c r="P202" i="3"/>
  <c r="C90" i="17"/>
  <c r="E16" i="5"/>
  <c r="D16" i="5"/>
  <c r="F16" i="5"/>
  <c r="D90" i="17"/>
  <c r="E91" i="17"/>
  <c r="D91" i="17"/>
  <c r="E90" i="17"/>
  <c r="AE8" i="5"/>
  <c r="AA11" i="5"/>
  <c r="Y153" i="3"/>
  <c r="Y154" i="3"/>
  <c r="X153" i="3"/>
  <c r="X154" i="3"/>
  <c r="W153" i="3"/>
  <c r="W154" i="3"/>
  <c r="V153" i="3"/>
  <c r="V154" i="3"/>
  <c r="U153" i="3"/>
  <c r="U154" i="3"/>
  <c r="T153" i="3"/>
  <c r="T154" i="3"/>
  <c r="Z153" i="3"/>
  <c r="Z154" i="3"/>
  <c r="E17" i="5"/>
  <c r="F17" i="5"/>
  <c r="M202" i="3"/>
  <c r="C91" i="17" s="1"/>
  <c r="C8" i="5"/>
  <c r="M113" i="3"/>
  <c r="N113" i="3"/>
  <c r="O113" i="3"/>
  <c r="F90" i="17"/>
  <c r="F91" i="17"/>
  <c r="X195" i="3"/>
  <c r="X194" i="3"/>
  <c r="C23" i="11"/>
  <c r="C8" i="10"/>
  <c r="AC163" i="3"/>
  <c r="AC57" i="3"/>
  <c r="C25" i="14"/>
  <c r="F44" i="7"/>
  <c r="P172" i="3"/>
  <c r="Q172" i="3"/>
  <c r="Q187" i="3"/>
  <c r="Q185" i="3"/>
  <c r="P187" i="3"/>
  <c r="P185" i="3"/>
  <c r="O187" i="3"/>
  <c r="O185" i="3"/>
  <c r="N187" i="3"/>
  <c r="N185" i="3"/>
  <c r="M187" i="3"/>
  <c r="M185" i="3"/>
  <c r="O172" i="3"/>
  <c r="N172" i="3"/>
  <c r="M172" i="3"/>
  <c r="AC191" i="3"/>
  <c r="Y195" i="3"/>
  <c r="Y194" i="3"/>
  <c r="AC123" i="3"/>
  <c r="AC190" i="3"/>
  <c r="I71" i="17" s="1"/>
  <c r="I22" i="17"/>
  <c r="F17" i="16"/>
  <c r="F18" i="16" s="1"/>
  <c r="X196"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6" i="3"/>
  <c r="J68" i="19" s="1"/>
  <c r="M136" i="3"/>
  <c r="H68" i="19" s="1"/>
  <c r="G26" i="17"/>
  <c r="N136" i="3"/>
  <c r="I68" i="19" s="1"/>
  <c r="Q136" i="3"/>
  <c r="L68" i="19" s="1"/>
  <c r="P136" i="3"/>
  <c r="K68" i="19" s="1"/>
  <c r="O184" i="3"/>
  <c r="O158" i="3"/>
  <c r="J70" i="19" s="1"/>
  <c r="N184" i="3"/>
  <c r="N158" i="3"/>
  <c r="I70" i="19" s="1"/>
  <c r="M184" i="3"/>
  <c r="M158" i="3"/>
  <c r="H70" i="19" s="1"/>
  <c r="P158" i="3"/>
  <c r="K70" i="19" s="1"/>
  <c r="C7" i="17"/>
  <c r="D7" i="17"/>
  <c r="E7" i="17"/>
  <c r="F7" i="17"/>
  <c r="G7" i="17"/>
  <c r="AC79" i="3"/>
  <c r="AC102" i="3"/>
  <c r="AC134" i="3"/>
  <c r="I26" i="17" s="1"/>
  <c r="T69" i="3"/>
  <c r="C31" i="16"/>
  <c r="F21" i="18"/>
  <c r="C19" i="18"/>
  <c r="C21" i="18"/>
  <c r="F19" i="18"/>
  <c r="F11" i="18"/>
  <c r="AA17" i="5"/>
  <c r="F13" i="18"/>
  <c r="Z164" i="3"/>
  <c r="Z165" i="3"/>
  <c r="Z189" i="3"/>
  <c r="Z192" i="3"/>
  <c r="Y164" i="3"/>
  <c r="Y165" i="3"/>
  <c r="Y189" i="3"/>
  <c r="Y192" i="3"/>
  <c r="X164" i="3"/>
  <c r="X165" i="3"/>
  <c r="X189" i="3"/>
  <c r="X192" i="3"/>
  <c r="W164" i="3"/>
  <c r="W165" i="3"/>
  <c r="W189" i="3"/>
  <c r="W192" i="3"/>
  <c r="V164" i="3"/>
  <c r="V165" i="3"/>
  <c r="V189" i="3"/>
  <c r="V192" i="3"/>
  <c r="U164" i="3"/>
  <c r="U165" i="3"/>
  <c r="U189" i="3"/>
  <c r="U192" i="3"/>
  <c r="T164" i="3"/>
  <c r="T165" i="3"/>
  <c r="T189" i="3"/>
  <c r="T192" i="3"/>
  <c r="Q186" i="3"/>
  <c r="G59" i="17" s="1"/>
  <c r="P186" i="3"/>
  <c r="F59" i="17" s="1"/>
  <c r="O186" i="3"/>
  <c r="E59" i="17" s="1"/>
  <c r="N186" i="3"/>
  <c r="D59" i="17" s="1"/>
  <c r="M186" i="3"/>
  <c r="C59" i="17" s="1"/>
  <c r="G22" i="7"/>
  <c r="D22" i="7"/>
  <c r="E21" i="7"/>
  <c r="C21" i="7"/>
  <c r="F34" i="16"/>
  <c r="I48" i="17"/>
  <c r="F32" i="16"/>
  <c r="I47" i="17"/>
  <c r="C32" i="16"/>
  <c r="I40" i="17"/>
  <c r="C30" i="16"/>
  <c r="I38" i="17"/>
  <c r="Q162" i="3"/>
  <c r="G41" i="17" s="1"/>
  <c r="G38" i="17"/>
  <c r="P162" i="3"/>
  <c r="F41" i="17" s="1"/>
  <c r="F38" i="17"/>
  <c r="O162" i="3"/>
  <c r="E41" i="17" s="1"/>
  <c r="E38" i="17"/>
  <c r="N162" i="3"/>
  <c r="D41" i="17" s="1"/>
  <c r="D38" i="17"/>
  <c r="M162" i="3"/>
  <c r="C41" i="17" s="1"/>
  <c r="C38" i="17"/>
  <c r="C25" i="16"/>
  <c r="I29" i="17"/>
  <c r="C23" i="16"/>
  <c r="I27" i="17"/>
  <c r="C17" i="16"/>
  <c r="I17" i="17"/>
  <c r="C16" i="16"/>
  <c r="I16" i="17"/>
  <c r="M182" i="3"/>
  <c r="C54" i="17" s="1"/>
  <c r="M183" i="3"/>
  <c r="C55" i="17" s="1"/>
  <c r="N182" i="3"/>
  <c r="D54" i="17" s="1"/>
  <c r="N183" i="3"/>
  <c r="D55" i="17" s="1"/>
  <c r="O182" i="3"/>
  <c r="E54" i="17" s="1"/>
  <c r="O183" i="3"/>
  <c r="E55" i="17" s="1"/>
  <c r="P182" i="3"/>
  <c r="F54" i="17" s="1"/>
  <c r="P183" i="3"/>
  <c r="F55" i="17" s="1"/>
  <c r="Q182" i="3"/>
  <c r="G54" i="17" s="1"/>
  <c r="Q183" i="3"/>
  <c r="G55" i="17" s="1"/>
  <c r="AA192" i="3"/>
  <c r="Q193" i="3"/>
  <c r="G68" i="17" s="1"/>
  <c r="Q192" i="3"/>
  <c r="G67" i="17" s="1"/>
  <c r="P193" i="3"/>
  <c r="F68" i="17" s="1"/>
  <c r="P192" i="3"/>
  <c r="F67" i="17" s="1"/>
  <c r="O193" i="3"/>
  <c r="E68" i="17" s="1"/>
  <c r="O192" i="3"/>
  <c r="E67" i="17" s="1"/>
  <c r="N193" i="3"/>
  <c r="D68" i="17" s="1"/>
  <c r="N192" i="3"/>
  <c r="D67" i="17" s="1"/>
  <c r="M193" i="3"/>
  <c r="C68" i="17" s="1"/>
  <c r="M192" i="3"/>
  <c r="C67" i="17" s="1"/>
  <c r="Q188" i="3"/>
  <c r="G63" i="17" s="1"/>
  <c r="P188" i="3"/>
  <c r="F63" i="17" s="1"/>
  <c r="N188" i="3"/>
  <c r="D63" i="17" s="1"/>
  <c r="M188" i="3"/>
  <c r="C63" i="17" s="1"/>
  <c r="O188" i="3"/>
  <c r="E63" i="17" s="1"/>
  <c r="AA162" i="3"/>
  <c r="F48" i="14"/>
  <c r="D48" i="14"/>
  <c r="E40" i="14"/>
  <c r="G48" i="14"/>
  <c r="F40" i="14"/>
  <c r="E48" i="14"/>
  <c r="G40" i="14"/>
  <c r="D40" i="14"/>
  <c r="C40" i="14"/>
  <c r="D29" i="12"/>
  <c r="F28" i="12"/>
  <c r="E19" i="12"/>
  <c r="H18" i="12"/>
  <c r="I18" i="12" s="1"/>
  <c r="J18" i="12" s="1"/>
  <c r="K18" i="12" s="1"/>
  <c r="L18" i="12" s="1"/>
  <c r="AA164" i="3"/>
  <c r="AA189" i="3"/>
  <c r="Q164" i="3"/>
  <c r="G45" i="17" s="1"/>
  <c r="Q189" i="3"/>
  <c r="G66" i="17" s="1"/>
  <c r="P164" i="3"/>
  <c r="F45" i="17" s="1"/>
  <c r="P189" i="3"/>
  <c r="F66" i="17" s="1"/>
  <c r="O164" i="3"/>
  <c r="E45" i="17" s="1"/>
  <c r="O189" i="3"/>
  <c r="E66" i="17" s="1"/>
  <c r="N164" i="3"/>
  <c r="D45" i="17" s="1"/>
  <c r="N189" i="3"/>
  <c r="D66" i="17" s="1"/>
  <c r="M164" i="3"/>
  <c r="C45" i="17" s="1"/>
  <c r="M189" i="3"/>
  <c r="C66" i="17" s="1"/>
  <c r="AC162" i="3"/>
  <c r="I41" i="17" s="1"/>
  <c r="M179" i="3"/>
  <c r="C52" i="17" s="1"/>
  <c r="M177" i="3"/>
  <c r="N179" i="3"/>
  <c r="D52" i="17" s="1"/>
  <c r="N177" i="3"/>
  <c r="O179" i="3"/>
  <c r="E52" i="17" s="1"/>
  <c r="O177" i="3"/>
  <c r="P179" i="3"/>
  <c r="F52" i="17" s="1"/>
  <c r="P177" i="3"/>
  <c r="Q179" i="3"/>
  <c r="G52" i="17" s="1"/>
  <c r="Q177" i="3"/>
  <c r="C9" i="17"/>
  <c r="D9" i="17"/>
  <c r="E9" i="17"/>
  <c r="G11" i="17"/>
  <c r="F11" i="17"/>
  <c r="E11" i="17"/>
  <c r="D11" i="17"/>
  <c r="C11" i="17"/>
  <c r="G10" i="17"/>
  <c r="F10" i="17"/>
  <c r="E10" i="17"/>
  <c r="D10" i="17"/>
  <c r="C10" i="17"/>
  <c r="G9" i="17"/>
  <c r="F9" i="17"/>
  <c r="C5" i="16"/>
  <c r="H5" i="6"/>
  <c r="G19" i="6"/>
  <c r="G10" i="6"/>
  <c r="T22" i="6"/>
  <c r="T21" i="6"/>
  <c r="G23" i="6"/>
  <c r="G21" i="6"/>
  <c r="AC120" i="3"/>
  <c r="AA165" i="3"/>
  <c r="G31" i="12"/>
  <c r="Q165" i="3"/>
  <c r="G46" i="17" s="1"/>
  <c r="F31" i="12"/>
  <c r="P165" i="3"/>
  <c r="F46" i="17" s="1"/>
  <c r="E31" i="12"/>
  <c r="O165" i="3"/>
  <c r="E46" i="17" s="1"/>
  <c r="D31" i="12"/>
  <c r="N165" i="3"/>
  <c r="D46" i="17" s="1"/>
  <c r="C31" i="12"/>
  <c r="M165" i="3"/>
  <c r="C46" i="17" s="1"/>
  <c r="AC122" i="3"/>
  <c r="Q122" i="3"/>
  <c r="Q176" i="3" s="1"/>
  <c r="L61" i="19" s="1"/>
  <c r="E46" i="7"/>
  <c r="D19" i="6"/>
  <c r="W10" i="6"/>
  <c r="U10" i="6"/>
  <c r="R10" i="6"/>
  <c r="AA77" i="3"/>
  <c r="AC77"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22" i="14"/>
  <c r="C35" i="14" s="1"/>
  <c r="C15" i="14"/>
  <c r="AC129" i="3"/>
  <c r="AC130"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H26" i="8"/>
  <c r="E26" i="8"/>
  <c r="D26" i="8"/>
  <c r="C26" i="8"/>
  <c r="G19" i="8"/>
  <c r="F19" i="8"/>
  <c r="E14" i="8"/>
  <c r="G36" i="7"/>
  <c r="G37" i="7" s="1"/>
  <c r="F20" i="7"/>
  <c r="H12" i="7"/>
  <c r="C12" i="7"/>
  <c r="R16" i="5"/>
  <c r="I5" i="8"/>
  <c r="I32" i="8" s="1"/>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69" i="3"/>
  <c r="P69" i="3"/>
  <c r="M69" i="3"/>
  <c r="L69" i="3"/>
  <c r="O69" i="3"/>
  <c r="N69" i="3"/>
  <c r="K69" i="3"/>
  <c r="J69" i="3"/>
  <c r="I69" i="3"/>
  <c r="H69" i="3"/>
  <c r="G69" i="3"/>
  <c r="F69" i="3"/>
  <c r="E69" i="3"/>
  <c r="D69" i="3"/>
  <c r="C69" i="3"/>
  <c r="AC168" i="3" l="1"/>
  <c r="AC169" i="3"/>
  <c r="AC170" i="3"/>
  <c r="AC171" i="3"/>
  <c r="AC180" i="3"/>
  <c r="AC181" i="3"/>
  <c r="J6" i="5"/>
  <c r="I8" i="5"/>
  <c r="I11" i="5" s="1"/>
  <c r="H6" i="8"/>
  <c r="H7" i="7"/>
  <c r="H6" i="6"/>
  <c r="H6" i="12"/>
  <c r="H12" i="12" s="1"/>
  <c r="AC158" i="3"/>
  <c r="H17" i="5"/>
  <c r="I6" i="14"/>
  <c r="I40" i="14" s="1"/>
  <c r="I5" i="12"/>
  <c r="I6" i="11"/>
  <c r="AE11" i="5"/>
  <c r="AB6" i="6" s="1"/>
  <c r="X6" i="6"/>
  <c r="X11" i="6" s="1"/>
  <c r="AB11" i="6" s="1"/>
  <c r="AC175" i="3"/>
  <c r="X14" i="6"/>
  <c r="AB14" i="6" s="1"/>
  <c r="D17" i="5"/>
  <c r="F30" i="16"/>
  <c r="I44" i="17"/>
  <c r="C33" i="14"/>
  <c r="C52" i="16"/>
  <c r="G58" i="17"/>
  <c r="G60" i="17"/>
  <c r="F58" i="17"/>
  <c r="F60" i="17"/>
  <c r="E58" i="17"/>
  <c r="E60" i="17"/>
  <c r="D58" i="17"/>
  <c r="D60" i="17"/>
  <c r="C58" i="17"/>
  <c r="C60" i="17"/>
  <c r="C53" i="16"/>
  <c r="I72" i="17"/>
  <c r="AC194" i="3"/>
  <c r="AC195" i="3"/>
  <c r="I23" i="17"/>
  <c r="AC188" i="3"/>
  <c r="I63" i="17" s="1"/>
  <c r="G8" i="17"/>
  <c r="F8" i="17"/>
  <c r="D8" i="17"/>
  <c r="E8" i="17"/>
  <c r="C8" i="17"/>
  <c r="AC69" i="3"/>
  <c r="AC136" i="3"/>
  <c r="I28" i="17" s="1"/>
  <c r="I33" i="17" s="1"/>
  <c r="C22" i="16"/>
  <c r="C35" i="17"/>
  <c r="D35" i="17"/>
  <c r="E35" i="17"/>
  <c r="F35" i="17"/>
  <c r="P184" i="3"/>
  <c r="F28" i="17"/>
  <c r="F33" i="17" s="1"/>
  <c r="N138" i="3"/>
  <c r="D28" i="17"/>
  <c r="D33" i="17" s="1"/>
  <c r="C28" i="17"/>
  <c r="C33" i="17" s="1"/>
  <c r="G28" i="17"/>
  <c r="G33" i="17" s="1"/>
  <c r="P138" i="3"/>
  <c r="O138" i="3"/>
  <c r="E28" i="17"/>
  <c r="E33" i="17" s="1"/>
  <c r="M138" i="3"/>
  <c r="Q138" i="3"/>
  <c r="Q158" i="3"/>
  <c r="L70" i="19" s="1"/>
  <c r="C18" i="16"/>
  <c r="I18" i="17"/>
  <c r="I6" i="6"/>
  <c r="I11" i="6" s="1"/>
  <c r="I6" i="8"/>
  <c r="I7" i="7"/>
  <c r="I6" i="12"/>
  <c r="I12" i="12" s="1"/>
  <c r="I6" i="17"/>
  <c r="C23" i="14"/>
  <c r="C58" i="12"/>
  <c r="C41" i="12"/>
  <c r="C50" i="12"/>
  <c r="C33" i="16"/>
  <c r="F18" i="1"/>
  <c r="AC189" i="3"/>
  <c r="AC192" i="3"/>
  <c r="I67" i="17" s="1"/>
  <c r="C32" i="12"/>
  <c r="D32" i="12"/>
  <c r="F32" i="12"/>
  <c r="E32" i="12"/>
  <c r="C24" i="14"/>
  <c r="C32" i="14" s="1"/>
  <c r="C22" i="11"/>
  <c r="G32" i="12"/>
  <c r="I5" i="6"/>
  <c r="H10" i="6"/>
  <c r="H19" i="6"/>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AC165" i="3"/>
  <c r="I46" i="17" s="1"/>
  <c r="AC164"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14" i="8"/>
  <c r="I19" i="8"/>
  <c r="I26" i="8"/>
  <c r="J5" i="8"/>
  <c r="J32" i="8" s="1"/>
  <c r="E23" i="7"/>
  <c r="D23" i="7"/>
  <c r="F23" i="7"/>
  <c r="G23" i="7"/>
  <c r="C23" i="7"/>
  <c r="J5" i="5"/>
  <c r="I14" i="5"/>
  <c r="I10" i="17" l="1"/>
  <c r="I9" i="17"/>
  <c r="I53" i="17"/>
  <c r="AC172" i="3"/>
  <c r="I51" i="17"/>
  <c r="J8" i="5"/>
  <c r="J11" i="5" s="1"/>
  <c r="K6" i="5"/>
  <c r="H36" i="7"/>
  <c r="H45" i="7"/>
  <c r="H21" i="8" s="1"/>
  <c r="H13" i="7"/>
  <c r="H28" i="7" s="1"/>
  <c r="H42" i="7"/>
  <c r="H14" i="6"/>
  <c r="H13" i="6"/>
  <c r="H12" i="6"/>
  <c r="H15" i="6" s="1"/>
  <c r="H11" i="6"/>
  <c r="D30" i="17"/>
  <c r="D34" i="17" s="1"/>
  <c r="I69" i="19"/>
  <c r="F30" i="17"/>
  <c r="F34" i="17" s="1"/>
  <c r="K69" i="19"/>
  <c r="E30" i="17"/>
  <c r="E34" i="17" s="1"/>
  <c r="J69" i="19"/>
  <c r="C30" i="17"/>
  <c r="C34" i="17" s="1"/>
  <c r="H69" i="19"/>
  <c r="G30" i="17"/>
  <c r="G34" i="17" s="1"/>
  <c r="L69" i="19"/>
  <c r="J6" i="14"/>
  <c r="J40" i="14" s="1"/>
  <c r="J5" i="12"/>
  <c r="J6" i="11"/>
  <c r="X12" i="6"/>
  <c r="X13" i="6"/>
  <c r="AB13" i="6" s="1"/>
  <c r="AC185" i="3"/>
  <c r="AC187" i="3"/>
  <c r="AB12" i="6"/>
  <c r="X15" i="6"/>
  <c r="AC186" i="3"/>
  <c r="I17" i="5"/>
  <c r="F52" i="16"/>
  <c r="I75" i="17"/>
  <c r="F53" i="16"/>
  <c r="I76" i="17"/>
  <c r="C46" i="16"/>
  <c r="F17" i="1"/>
  <c r="F12" i="1"/>
  <c r="C24" i="16"/>
  <c r="F22" i="16" s="1"/>
  <c r="AC138" i="3"/>
  <c r="I30" i="17" s="1"/>
  <c r="I34" i="17" s="1"/>
  <c r="I35" i="17"/>
  <c r="G35" i="17"/>
  <c r="Q184" i="3"/>
  <c r="I7" i="17"/>
  <c r="I12" i="6"/>
  <c r="I13" i="6"/>
  <c r="I14" i="6"/>
  <c r="I13" i="7"/>
  <c r="I42" i="7"/>
  <c r="I36" i="7"/>
  <c r="I45" i="7"/>
  <c r="I21" i="8" s="1"/>
  <c r="J6" i="12"/>
  <c r="J12" i="12" s="1"/>
  <c r="J6" i="8"/>
  <c r="J7" i="7"/>
  <c r="J6" i="6"/>
  <c r="J11" i="6" s="1"/>
  <c r="I11" i="17"/>
  <c r="C10" i="16"/>
  <c r="F46" i="16"/>
  <c r="I66" i="17"/>
  <c r="C8" i="16"/>
  <c r="F6" i="1"/>
  <c r="C9" i="16"/>
  <c r="F7" i="1"/>
  <c r="C40" i="16"/>
  <c r="F11" i="1"/>
  <c r="F47" i="16"/>
  <c r="F16" i="1"/>
  <c r="F33" i="16"/>
  <c r="F20" i="1"/>
  <c r="F31" i="16"/>
  <c r="F19" i="1"/>
  <c r="AC182" i="3"/>
  <c r="I54" i="17" s="1"/>
  <c r="AC183" i="3"/>
  <c r="F24" i="16"/>
  <c r="F14" i="1"/>
  <c r="AC193" i="3"/>
  <c r="I68" i="17" s="1"/>
  <c r="F3" i="1"/>
  <c r="C38" i="16"/>
  <c r="F9" i="1"/>
  <c r="C26" i="14"/>
  <c r="J5" i="6"/>
  <c r="I10" i="6"/>
  <c r="I19" i="6"/>
  <c r="Q178" i="3"/>
  <c r="C6" i="16"/>
  <c r="AC179" i="3"/>
  <c r="I52" i="17" s="1"/>
  <c r="AC177" i="3"/>
  <c r="D27" i="8"/>
  <c r="D28" i="8" s="1"/>
  <c r="G27" i="8"/>
  <c r="G28" i="8" s="1"/>
  <c r="G7" i="14" s="1"/>
  <c r="G42" i="14"/>
  <c r="D42" i="14"/>
  <c r="G7" i="12"/>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J26" i="8"/>
  <c r="J19" i="8"/>
  <c r="J14" i="8"/>
  <c r="K5" i="8"/>
  <c r="K32" i="8" s="1"/>
  <c r="K5" i="5"/>
  <c r="J14" i="5"/>
  <c r="AE6" i="5"/>
  <c r="K8" i="5" l="1"/>
  <c r="K11" i="5" s="1"/>
  <c r="L6" i="5"/>
  <c r="L8" i="5" s="1"/>
  <c r="L11" i="5" s="1"/>
  <c r="H44" i="7"/>
  <c r="H20" i="8"/>
  <c r="H8" i="7"/>
  <c r="H7" i="8"/>
  <c r="H8" i="8" s="1"/>
  <c r="H33" i="8" s="1"/>
  <c r="H9" i="8"/>
  <c r="H24" i="6"/>
  <c r="I28" i="7"/>
  <c r="E13" i="12"/>
  <c r="H7" i="14"/>
  <c r="G41" i="14"/>
  <c r="G45" i="14" s="1"/>
  <c r="K6" i="14"/>
  <c r="K40" i="14" s="1"/>
  <c r="K5" i="12"/>
  <c r="K6" i="11"/>
  <c r="C33" i="12"/>
  <c r="D13" i="12"/>
  <c r="AB15" i="6"/>
  <c r="X24" i="6"/>
  <c r="F38" i="16"/>
  <c r="I58" i="17"/>
  <c r="F40" i="16"/>
  <c r="I60" i="17"/>
  <c r="F39" i="16"/>
  <c r="I59" i="17"/>
  <c r="H10" i="8"/>
  <c r="C26" i="16"/>
  <c r="F23" i="16" s="1"/>
  <c r="F13" i="1"/>
  <c r="C15" i="11"/>
  <c r="C56" i="12"/>
  <c r="C48" i="12"/>
  <c r="C39" i="12"/>
  <c r="J17" i="5"/>
  <c r="I44" i="7"/>
  <c r="I20" i="8"/>
  <c r="J13" i="7"/>
  <c r="J28" i="7" s="1"/>
  <c r="J36" i="7"/>
  <c r="J42" i="7"/>
  <c r="J45" i="7"/>
  <c r="J21" i="8" s="1"/>
  <c r="J13" i="6"/>
  <c r="J14" i="6"/>
  <c r="J12" i="6"/>
  <c r="I15" i="6"/>
  <c r="K6" i="12"/>
  <c r="K12" i="12" s="1"/>
  <c r="K7" i="7"/>
  <c r="K6" i="6"/>
  <c r="K11" i="6" s="1"/>
  <c r="K6" i="8"/>
  <c r="C42" i="16"/>
  <c r="I55" i="17"/>
  <c r="F4" i="1"/>
  <c r="I8" i="17"/>
  <c r="F10" i="1"/>
  <c r="C41" i="16"/>
  <c r="F48" i="16"/>
  <c r="F15" i="1"/>
  <c r="C39" i="16"/>
  <c r="F8" i="1"/>
  <c r="D7" i="11"/>
  <c r="D8" i="12"/>
  <c r="G7" i="11"/>
  <c r="G8" i="12"/>
  <c r="G43" i="14"/>
  <c r="G49" i="14"/>
  <c r="K5" i="6"/>
  <c r="J19" i="6"/>
  <c r="J10" i="6"/>
  <c r="G33" i="12"/>
  <c r="AC173" i="3"/>
  <c r="C7" i="16"/>
  <c r="AC174" i="3"/>
  <c r="D7" i="14"/>
  <c r="D41" i="14" s="1"/>
  <c r="D49" i="14"/>
  <c r="D33" i="12"/>
  <c r="K12" i="7"/>
  <c r="K19" i="7"/>
  <c r="K27" i="7"/>
  <c r="K34" i="7"/>
  <c r="K41" i="7"/>
  <c r="L6" i="7"/>
  <c r="C21" i="14"/>
  <c r="D47" i="14"/>
  <c r="C7" i="11"/>
  <c r="C8" i="12"/>
  <c r="C7" i="14"/>
  <c r="C41" i="14" s="1"/>
  <c r="F33" i="12"/>
  <c r="F47" i="14"/>
  <c r="F49" i="14"/>
  <c r="F7" i="11"/>
  <c r="F8" i="12"/>
  <c r="G14" i="12" s="1"/>
  <c r="F7" i="14"/>
  <c r="F41" i="14" s="1"/>
  <c r="E33" i="12"/>
  <c r="E47" i="14"/>
  <c r="E49" i="14"/>
  <c r="E7" i="11"/>
  <c r="E8" i="12"/>
  <c r="F14" i="12" s="1"/>
  <c r="E7" i="14"/>
  <c r="E41" i="14" s="1"/>
  <c r="I17" i="12"/>
  <c r="I11" i="12"/>
  <c r="I27" i="12"/>
  <c r="I22" i="12"/>
  <c r="G47" i="14"/>
  <c r="K26" i="8"/>
  <c r="K19" i="8"/>
  <c r="K14" i="8"/>
  <c r="L5" i="8"/>
  <c r="L32" i="8" s="1"/>
  <c r="L5" i="5"/>
  <c r="K14" i="5"/>
  <c r="AE7" i="5"/>
  <c r="H20" i="5"/>
  <c r="H14" i="7" l="1"/>
  <c r="H29" i="7" s="1"/>
  <c r="H15" i="7"/>
  <c r="H30" i="7" s="1"/>
  <c r="H41" i="14"/>
  <c r="I7" i="14"/>
  <c r="E14" i="12"/>
  <c r="H27" i="8"/>
  <c r="H34" i="8"/>
  <c r="L6" i="14"/>
  <c r="L40" i="14" s="1"/>
  <c r="L5" i="12"/>
  <c r="L6" i="11"/>
  <c r="C34" i="12"/>
  <c r="D14" i="12"/>
  <c r="J15" i="6"/>
  <c r="H7" i="12"/>
  <c r="K17" i="5"/>
  <c r="J44" i="7"/>
  <c r="J20" i="8"/>
  <c r="I7" i="8"/>
  <c r="I8" i="8" s="1"/>
  <c r="I33" i="8" s="1"/>
  <c r="I8" i="7"/>
  <c r="I9" i="8"/>
  <c r="I24" i="6"/>
  <c r="K42" i="7"/>
  <c r="K13" i="7"/>
  <c r="K28" i="7" s="1"/>
  <c r="K36" i="7"/>
  <c r="K45" i="7"/>
  <c r="K21" i="8" s="1"/>
  <c r="K13" i="6"/>
  <c r="K14" i="6"/>
  <c r="K12" i="6"/>
  <c r="L6" i="8"/>
  <c r="L7" i="7"/>
  <c r="L6" i="12"/>
  <c r="L6" i="6"/>
  <c r="L11" i="6" s="1"/>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4" i="8"/>
  <c r="L26" i="8"/>
  <c r="L19" i="8"/>
  <c r="L17" i="5"/>
  <c r="L14" i="5"/>
  <c r="AA20" i="5"/>
  <c r="H44" i="14" l="1"/>
  <c r="H48" i="14" s="1"/>
  <c r="H46" i="14"/>
  <c r="H42" i="14"/>
  <c r="J7" i="14"/>
  <c r="I41" i="14"/>
  <c r="I30" i="7"/>
  <c r="K15" i="6"/>
  <c r="H35" i="7"/>
  <c r="H22" i="8" s="1"/>
  <c r="H28" i="8" s="1"/>
  <c r="I15" i="7"/>
  <c r="I14" i="7"/>
  <c r="I29" i="7" s="1"/>
  <c r="H13" i="12"/>
  <c r="H7" i="11"/>
  <c r="H8" i="12"/>
  <c r="J24" i="6"/>
  <c r="J9" i="8"/>
  <c r="K44" i="7"/>
  <c r="K20" i="8"/>
  <c r="K9" i="8"/>
  <c r="K24" i="6"/>
  <c r="J7" i="8"/>
  <c r="J8" i="8" s="1"/>
  <c r="J33" i="8" s="1"/>
  <c r="J8" i="7"/>
  <c r="L36" i="7"/>
  <c r="L42" i="7"/>
  <c r="L13" i="7"/>
  <c r="L28" i="7" s="1"/>
  <c r="L45" i="7"/>
  <c r="L21" i="8" s="1"/>
  <c r="L12" i="12"/>
  <c r="C47" i="12"/>
  <c r="C51" i="12" s="1"/>
  <c r="C52" i="12" s="1"/>
  <c r="C7" i="13" s="1"/>
  <c r="I5" i="1" s="1"/>
  <c r="L12" i="6"/>
  <c r="L13" i="6"/>
  <c r="L14" i="6"/>
  <c r="I10" i="8"/>
  <c r="I34" i="8" s="1"/>
  <c r="L10" i="6"/>
  <c r="L19" i="6"/>
  <c r="K27" i="12"/>
  <c r="K11" i="12"/>
  <c r="K17" i="12"/>
  <c r="K22" i="12"/>
  <c r="I20" i="5"/>
  <c r="J20" i="5"/>
  <c r="H47" i="14" l="1"/>
  <c r="H49" i="14"/>
  <c r="J10" i="14"/>
  <c r="J41" i="14"/>
  <c r="K7" i="14"/>
  <c r="I44" i="14"/>
  <c r="I48" i="14" s="1"/>
  <c r="I42" i="14"/>
  <c r="I46" i="14"/>
  <c r="I35" i="7"/>
  <c r="I22" i="8" s="1"/>
  <c r="J15" i="7"/>
  <c r="J30" i="7" s="1"/>
  <c r="J14" i="7"/>
  <c r="J29" i="7" s="1"/>
  <c r="J35" i="7" s="1"/>
  <c r="J22" i="8" s="1"/>
  <c r="H14" i="12"/>
  <c r="H10" i="11"/>
  <c r="J10" i="8"/>
  <c r="J34" i="8" s="1"/>
  <c r="K7" i="8"/>
  <c r="K8" i="8" s="1"/>
  <c r="K33" i="8" s="1"/>
  <c r="K8" i="7"/>
  <c r="L44" i="7"/>
  <c r="L20" i="8"/>
  <c r="I7" i="12"/>
  <c r="I27" i="8"/>
  <c r="I28" i="8" s="1"/>
  <c r="L15" i="6"/>
  <c r="L11" i="12"/>
  <c r="L17" i="12"/>
  <c r="L22" i="12"/>
  <c r="L27" i="12"/>
  <c r="J42" i="14" l="1"/>
  <c r="J46" i="14"/>
  <c r="J44" i="14"/>
  <c r="J48" i="14" s="1"/>
  <c r="K10" i="14"/>
  <c r="K41" i="14"/>
  <c r="L7" i="14"/>
  <c r="I47" i="14"/>
  <c r="I49" i="14"/>
  <c r="K15" i="7"/>
  <c r="K14" i="7"/>
  <c r="K29" i="7" s="1"/>
  <c r="I13" i="12"/>
  <c r="J27" i="8"/>
  <c r="J28" i="8" s="1"/>
  <c r="J7" i="12"/>
  <c r="K10" i="8"/>
  <c r="K34" i="8" s="1"/>
  <c r="K30" i="7"/>
  <c r="L7" i="8"/>
  <c r="L8" i="8" s="1"/>
  <c r="L33" i="8" s="1"/>
  <c r="L8" i="7"/>
  <c r="I7" i="11"/>
  <c r="I10" i="11" s="1"/>
  <c r="I8" i="12"/>
  <c r="L9" i="8"/>
  <c r="L24" i="6"/>
  <c r="K20" i="5"/>
  <c r="J47" i="14" l="1"/>
  <c r="J49" i="14"/>
  <c r="K46" i="14"/>
  <c r="K42" i="14"/>
  <c r="K44" i="14"/>
  <c r="K48" i="14" s="1"/>
  <c r="L41" i="14"/>
  <c r="L10" i="14"/>
  <c r="C29" i="14" s="1"/>
  <c r="L8" i="14"/>
  <c r="L11" i="14" s="1"/>
  <c r="C30" i="14" s="1"/>
  <c r="K35" i="7"/>
  <c r="K22" i="8" s="1"/>
  <c r="L15" i="7"/>
  <c r="L30" i="7" s="1"/>
  <c r="L14" i="7"/>
  <c r="L29" i="7" s="1"/>
  <c r="L35" i="7" s="1"/>
  <c r="L22" i="8" s="1"/>
  <c r="J13" i="12"/>
  <c r="I14" i="12"/>
  <c r="K27" i="8"/>
  <c r="J7" i="11"/>
  <c r="J10" i="11" s="1"/>
  <c r="J8" i="12"/>
  <c r="K7" i="12"/>
  <c r="L10" i="8"/>
  <c r="L34" i="8" s="1"/>
  <c r="L20" i="5"/>
  <c r="K49" i="14" l="1"/>
  <c r="K47" i="14"/>
  <c r="L44" i="14"/>
  <c r="L48" i="14" s="1"/>
  <c r="L46" i="14"/>
  <c r="L42" i="14"/>
  <c r="C31" i="14"/>
  <c r="C34" i="14" s="1"/>
  <c r="C36" i="14" s="1"/>
  <c r="C16" i="14" s="1"/>
  <c r="J14" i="12"/>
  <c r="K13" i="12"/>
  <c r="K28" i="8"/>
  <c r="L7" i="12"/>
  <c r="L27" i="8"/>
  <c r="L28" i="8" s="1"/>
  <c r="AC65" i="3"/>
  <c r="L47" i="14" l="1"/>
  <c r="L49" i="14"/>
  <c r="C38" i="12"/>
  <c r="C42" i="12" s="1"/>
  <c r="C43" i="12" s="1"/>
  <c r="C44" i="12" s="1"/>
  <c r="C6" i="13" s="1"/>
  <c r="I4" i="1" s="1"/>
  <c r="L13" i="12"/>
  <c r="K7" i="11"/>
  <c r="K10" i="11" s="1"/>
  <c r="K8" i="12"/>
  <c r="L8" i="12"/>
  <c r="L7" i="11"/>
  <c r="L14" i="12" l="1"/>
  <c r="K14" i="12"/>
  <c r="L8" i="11"/>
  <c r="L11" i="11" s="1"/>
  <c r="C20" i="11" s="1"/>
  <c r="L10" i="11"/>
  <c r="C19" i="11" s="1"/>
  <c r="C55" i="12"/>
  <c r="C59" i="12" s="1"/>
  <c r="C60" i="12" s="1"/>
  <c r="C61"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6" i="3"/>
  <c r="AC176" i="3" l="1"/>
  <c r="AC196" i="3"/>
  <c r="AC184" i="3" l="1"/>
  <c r="AC178" i="3"/>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<sst xmlns="http://schemas.openxmlformats.org/spreadsheetml/2006/main" count="729" uniqueCount="392">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</sst>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0.16950089956234582</c:v>
                </c:pt>
                <c:pt idx="1">
                  <c:v>1.9948888452038051E-2</c:v>
                </c:pt>
                <c:pt idx="2">
                  <c:v>6.9301102111075507E-4</c:v>
                </c:pt>
                <c:pt idx="3">
                  <c:v>-8.7817056571991486E-2</c:v>
                </c:pt>
                <c:pt idx="4">
                  <c:v>-1.6335987131905347E-2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132.75</v>
    <v>18.965</v>
    <v>2.2317999999999998</v>
    <v>3.355</v>
    <v>3.1084999999999998E-2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118.29</v>
    <v>Semiconductors &amp; Semiconductor Equipment</v>
    <v>Stock</v>
    <v>46176.724033205472</v>
    <v>0</v>
    <v>110.86</v>
    <v>559318410000</v>
    <v>INTEL CORPORATION</v>
    <v>INTEL CORPORATION</v>
    <v>116.43</v>
    <v>0</v>
    <v>107.93</v>
    <v>111.285</v>
    <v>5026000000</v>
    <v>INTC</v>
    <v>INTEL CORPORATION (XNAS:INTC)</v>
    <v>84379814</v>
    <v>145048030</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-0.2</v>
    <v>-4.4689999999999999E-3</v>
    <v>US</v>
    <v>44.63</v>
    <v>Index</v>
    <v>6</v>
    <v>44.28</v>
    <v>10 Y TSY YLD NDX</v>
    <v>44.3</v>
    <v>44.75</v>
    <v>44.55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opLeftCell="A13"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9" t="s">
        <v>17</v>
      </c>
      <c r="C2" s="230"/>
      <c r="E2" s="229" t="s">
        <v>291</v>
      </c>
      <c r="F2" s="230"/>
      <c r="H2" s="229" t="s">
        <v>332</v>
      </c>
      <c r="I2" s="230"/>
    </row>
    <row r="3" spans="2:9" x14ac:dyDescent="0.2">
      <c r="B3" s="187" t="s">
        <v>11</v>
      </c>
      <c r="C3" s="223" t="e" vm="1">
        <v>#VALUE!</v>
      </c>
      <c r="D3" s="2"/>
      <c r="E3" s="187" t="s">
        <v>242</v>
      </c>
      <c r="F3" s="189">
        <f ca="1">Statement!AC171</f>
        <v>559318.41</v>
      </c>
      <c r="H3" s="187" t="str">
        <f>'AVG target price'!B5</f>
        <v>DCF price</v>
      </c>
      <c r="I3" s="213">
        <f ca="1">'AVG target price'!C5</f>
        <v>-8.808241809556387</v>
      </c>
    </row>
    <row r="4" spans="2:9" x14ac:dyDescent="0.2">
      <c r="B4" s="187" t="s">
        <v>0</v>
      </c>
      <c r="C4" s="191" t="str" cm="1">
        <f t="array" aca="1" ref="C4" ca="1">_FV(C3,"Ticker symbol",TRUE)</f>
        <v>INTC</v>
      </c>
      <c r="E4" s="188" t="s">
        <v>184</v>
      </c>
      <c r="F4" s="190">
        <f ca="1">Statement!AC172</f>
        <v>585155.41</v>
      </c>
      <c r="H4" s="187" t="str">
        <f>'AVG target price'!B6</f>
        <v>EV/EBIT price</v>
      </c>
      <c r="I4" s="213">
        <f ca="1">'AVG target price'!C6</f>
        <v>32.333922448813013</v>
      </c>
    </row>
    <row r="5" spans="2:9" x14ac:dyDescent="0.2">
      <c r="B5" s="187" t="s">
        <v>1</v>
      </c>
      <c r="C5" s="210" cm="1">
        <f t="array" aca="1" ref="C5" ca="1">_FV(C3,"Price",TRUE)</f>
        <v>111.285</v>
      </c>
      <c r="E5" s="187" t="s">
        <v>246</v>
      </c>
      <c r="F5" s="191">
        <f>Statement!AC26</f>
        <v>-0.62</v>
      </c>
      <c r="H5" s="187" t="str">
        <f>'AVG target price'!B7</f>
        <v>PS price</v>
      </c>
      <c r="I5" s="213">
        <f ca="1">'AVG target price'!C7</f>
        <v>36.483298773483725</v>
      </c>
    </row>
    <row r="6" spans="2:9" x14ac:dyDescent="0.2">
      <c r="B6" s="187" t="s">
        <v>2</v>
      </c>
      <c r="C6" s="210" t="e" cm="1" vm="2">
        <f t="array" ref="C6">_FV(C3,"Price (Extended hours)",TRUE)</f>
        <v>#VALUE!</v>
      </c>
      <c r="E6" s="187" t="s">
        <v>240</v>
      </c>
      <c r="F6" s="192">
        <f ca="1">Statement!AC168</f>
        <v>-179.49193548387098</v>
      </c>
      <c r="H6" s="187" t="str">
        <f>'AVG target price'!B8</f>
        <v>EV/FCFF price</v>
      </c>
      <c r="I6" s="213">
        <f ca="1">'AVG target price'!C8</f>
        <v>-10.988884344918722</v>
      </c>
    </row>
    <row r="7" spans="2:9" x14ac:dyDescent="0.2">
      <c r="B7" s="187" t="s">
        <v>3</v>
      </c>
      <c r="C7" s="6" cm="1">
        <f t="array" aca="1" ref="C7" ca="1">_FV(C3,"Change")</f>
        <v>3.355</v>
      </c>
      <c r="E7" s="188" t="s">
        <v>197</v>
      </c>
      <c r="F7" s="193">
        <f ca="1">Statement!AC169</f>
        <v>9.7399990234919915</v>
      </c>
      <c r="H7" s="186" t="str">
        <f>'AVG target price'!B9</f>
        <v>AVG price</v>
      </c>
      <c r="I7" s="214">
        <f ca="1">'AVG target price'!C9</f>
        <v>12.255023766955407</v>
      </c>
    </row>
    <row r="8" spans="2:9" x14ac:dyDescent="0.2">
      <c r="B8" s="187" t="s">
        <v>4</v>
      </c>
      <c r="C8" s="6" t="e" cm="1" vm="3">
        <f t="array" ref="C8">_FV(C3,"Change (extended hours)",TRUE)</f>
        <v>#VALUE!</v>
      </c>
      <c r="E8" s="187" t="s">
        <v>268</v>
      </c>
      <c r="F8" s="194">
        <f ca="1">Statement!AC179</f>
        <v>-9.8155181410889015E-3</v>
      </c>
      <c r="H8" s="186" t="str">
        <f>'AVG target price'!B11</f>
        <v>Upside/Downside</v>
      </c>
      <c r="I8" s="215">
        <f ca="1">'AVG target price'!C11</f>
        <v>-0.88987712839146871</v>
      </c>
    </row>
    <row r="9" spans="2:9" x14ac:dyDescent="0.2">
      <c r="B9" s="187" t="s">
        <v>5</v>
      </c>
      <c r="C9" s="72" cm="1">
        <f t="array" aca="1" ref="C9" ca="1">_FV(C3,"Change (%)",TRUE)</f>
        <v>3.1084999999999998E-2</v>
      </c>
      <c r="E9" s="187" t="s">
        <v>292</v>
      </c>
      <c r="F9" s="194">
        <f ca="1">Statement!AC180</f>
        <v>-5.5712809453205732E-3</v>
      </c>
    </row>
    <row r="10" spans="2:9" x14ac:dyDescent="0.2">
      <c r="B10" s="187" t="s">
        <v>6</v>
      </c>
      <c r="C10" s="72" t="e" cm="1" vm="4">
        <f t="array" ref="C10">_FV(C3,"Change % (extended hours)",TRUE)</f>
        <v>#VALUE!</v>
      </c>
      <c r="E10" s="187" t="s">
        <v>297</v>
      </c>
      <c r="F10" s="194">
        <f ca="1">Statement!AC182</f>
        <v>0</v>
      </c>
    </row>
    <row r="11" spans="2:9" x14ac:dyDescent="0.2">
      <c r="B11" s="187" t="s">
        <v>7</v>
      </c>
      <c r="C11" s="211" cm="1">
        <f t="array" aca="1" ref="C11" ca="1">_FV(C3,"52 week high",TRUE)</f>
        <v>132.75</v>
      </c>
      <c r="E11" s="188" t="s">
        <v>293</v>
      </c>
      <c r="F11" s="195">
        <f ca="1">Statement!AC181</f>
        <v>0</v>
      </c>
    </row>
    <row r="12" spans="2:9" x14ac:dyDescent="0.2">
      <c r="B12" s="187" t="s">
        <v>8</v>
      </c>
      <c r="C12" s="211" cm="1">
        <f t="array" aca="1" ref="C12" ca="1">_FV(C3,"52 week low",TRUE)</f>
        <v>18.965</v>
      </c>
      <c r="E12" s="187" t="s">
        <v>97</v>
      </c>
      <c r="F12" s="194">
        <f>Statement!AC136</f>
        <v>-1.6402703913661776E-2</v>
      </c>
    </row>
    <row r="13" spans="2:9" x14ac:dyDescent="0.2">
      <c r="B13" s="187" t="s">
        <v>9</v>
      </c>
      <c r="C13" s="211" cm="1">
        <f t="array" aca="1" ref="C13" ca="1">_FV(C3,"Beta")</f>
        <v>2.2317999999999998</v>
      </c>
      <c r="E13" s="187" t="s">
        <v>99</v>
      </c>
      <c r="F13" s="194">
        <f>Statement!AC138</f>
        <v>-3.0235021634917498E-2</v>
      </c>
    </row>
    <row r="14" spans="2:9" x14ac:dyDescent="0.2">
      <c r="B14" s="188" t="s">
        <v>10</v>
      </c>
      <c r="C14" s="212" cm="1">
        <f t="array" aca="1" ref="C14" ca="1">_FV(C3,"Volume average",TRUE)</f>
        <v>145048030</v>
      </c>
      <c r="E14" s="188" t="s">
        <v>100</v>
      </c>
      <c r="F14" s="195">
        <f>Statement!AC158</f>
        <v>-3.6791978488825414E-2</v>
      </c>
    </row>
    <row r="15" spans="2:9" x14ac:dyDescent="0.2">
      <c r="E15" s="187" t="s">
        <v>294</v>
      </c>
      <c r="F15" s="194">
        <f ca="1">Statement!AC193</f>
        <v>-2.1887353931368002E-2</v>
      </c>
    </row>
    <row r="16" spans="2:9" x14ac:dyDescent="0.2">
      <c r="E16" s="188" t="s">
        <v>299</v>
      </c>
      <c r="F16" s="193">
        <f>Statement!AC192</f>
        <v>-2.435734182252288</v>
      </c>
    </row>
    <row r="17" spans="2:9" x14ac:dyDescent="0.2">
      <c r="B17" s="231" t="s">
        <v>87</v>
      </c>
      <c r="C17" s="231"/>
      <c r="E17" s="186" t="s">
        <v>300</v>
      </c>
      <c r="F17" s="196">
        <f>Statement!AC188</f>
        <v>5.9689614007162755E-4</v>
      </c>
    </row>
    <row r="18" spans="2:9" x14ac:dyDescent="0.2">
      <c r="B18" s="186" t="s">
        <v>12</v>
      </c>
      <c r="C18" s="68" t="s">
        <v>337</v>
      </c>
      <c r="E18" s="187" t="s">
        <v>301</v>
      </c>
      <c r="F18" s="192">
        <f>Statement!AC162</f>
        <v>82.9857136586363</v>
      </c>
      <c r="I18" s="50"/>
    </row>
    <row r="19" spans="2:9" x14ac:dyDescent="0.2">
      <c r="B19" s="186" t="s">
        <v>13</v>
      </c>
      <c r="C19" s="69">
        <v>1000000</v>
      </c>
      <c r="E19" s="187" t="s">
        <v>261</v>
      </c>
      <c r="F19" s="192">
        <f>Statement!AC164</f>
        <v>0.10989819918487531</v>
      </c>
    </row>
    <row r="20" spans="2:9" x14ac:dyDescent="0.2">
      <c r="B20" s="186" t="s">
        <v>88</v>
      </c>
      <c r="C20" s="68" t="s">
        <v>378</v>
      </c>
      <c r="E20" s="188" t="s">
        <v>302</v>
      </c>
      <c r="F20" s="193">
        <f>Statement!AC165</f>
        <v>1.3708387576715642</v>
      </c>
    </row>
    <row r="21" spans="2:9" x14ac:dyDescent="0.2">
      <c r="B21" s="186" t="s">
        <v>89</v>
      </c>
      <c r="C21" s="68" t="s">
        <v>378</v>
      </c>
      <c r="I21" s="50"/>
    </row>
    <row r="22" spans="2:9" x14ac:dyDescent="0.2">
      <c r="B22" s="186" t="s">
        <v>90</v>
      </c>
      <c r="C22" s="68" t="s">
        <v>354</v>
      </c>
    </row>
    <row r="25" spans="2:9" x14ac:dyDescent="0.2">
      <c r="B25" s="231" t="s">
        <v>102</v>
      </c>
      <c r="C25" s="231"/>
      <c r="E25" s="229" t="s">
        <v>389</v>
      </c>
      <c r="F25" s="230"/>
    </row>
    <row r="26" spans="2:9" x14ac:dyDescent="0.2">
      <c r="B26" s="186" t="s">
        <v>103</v>
      </c>
      <c r="C26" s="171">
        <v>0.21</v>
      </c>
      <c r="E26" s="187" t="e" vm="5">
        <v>#VALUE!</v>
      </c>
      <c r="F26" s="226" cm="1">
        <f t="array" aca="1" ref="F26" ca="1">_FV(E26,"Price")</f>
        <v>44.55</v>
      </c>
    </row>
    <row r="27" spans="2:9" x14ac:dyDescent="0.2">
      <c r="B27" s="186" t="s">
        <v>168</v>
      </c>
      <c r="C27" s="221">
        <v>5.3999999999999999E-2</v>
      </c>
      <c r="E27" s="188" t="s">
        <v>390</v>
      </c>
      <c r="F27" s="227">
        <f ca="1">F26/1000</f>
        <v>4.4549999999999999E-2</v>
      </c>
    </row>
    <row r="31" spans="2:9" x14ac:dyDescent="0.2">
      <c r="B31" s="228" t="s">
        <v>357</v>
      </c>
      <c r="C31" s="228"/>
      <c r="D31" s="228"/>
      <c r="E31" s="228"/>
      <c r="F31" s="228"/>
      <c r="G31" s="228"/>
      <c r="H31" s="228"/>
    </row>
    <row r="33" spans="2:8" x14ac:dyDescent="0.2">
      <c r="B33" s="16" t="s">
        <v>358</v>
      </c>
      <c r="C33" s="1" t="s">
        <v>371</v>
      </c>
    </row>
    <row r="34" spans="2:8" x14ac:dyDescent="0.2">
      <c r="B34" s="16" t="s">
        <v>359</v>
      </c>
      <c r="C34" s="1" t="s">
        <v>388</v>
      </c>
    </row>
    <row r="37" spans="2:8" ht="8" customHeight="1" x14ac:dyDescent="0.2">
      <c r="B37" s="228"/>
      <c r="C37" s="228"/>
      <c r="D37" s="228"/>
      <c r="E37" s="228"/>
      <c r="F37" s="228"/>
      <c r="G37" s="228"/>
      <c r="H37" s="228"/>
    </row>
    <row r="40" spans="2:8" x14ac:dyDescent="0.2">
      <c r="B40" s="228" t="s">
        <v>360</v>
      </c>
      <c r="C40" s="228"/>
      <c r="D40" s="228"/>
      <c r="E40" s="228"/>
      <c r="F40" s="228"/>
      <c r="G40" s="228"/>
      <c r="H40" s="228"/>
    </row>
    <row r="42" spans="2:8" x14ac:dyDescent="0.2">
      <c r="B42" s="41" t="s">
        <v>361</v>
      </c>
      <c r="C42" s="41" t="s">
        <v>344</v>
      </c>
      <c r="D42" s="41" t="s">
        <v>86</v>
      </c>
      <c r="E42" s="220"/>
    </row>
    <row r="43" spans="2:8" x14ac:dyDescent="0.2">
      <c r="B43" s="1" t="s">
        <v>370</v>
      </c>
    </row>
    <row r="44" spans="2:8" x14ac:dyDescent="0.2">
      <c r="B44" s="1" t="s">
        <v>372</v>
      </c>
    </row>
    <row r="47" spans="2:8" ht="7" customHeight="1" x14ac:dyDescent="0.2">
      <c r="B47" s="228"/>
      <c r="C47" s="228"/>
      <c r="D47" s="228"/>
      <c r="E47" s="228"/>
      <c r="F47" s="228"/>
      <c r="G47" s="228"/>
      <c r="H47" s="228"/>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8"/>
  <sheetViews>
    <sheetView tabSelected="1" zoomScale="160" zoomScaleNormal="150" workbookViewId="0">
      <pane xSplit="2" ySplit="3" topLeftCell="K166" activePane="bottomRight" state="frozen"/>
      <selection pane="topRight" activeCell="C1" sqref="C1"/>
      <selection pane="bottomLeft" activeCell="A4" sqref="A4"/>
      <selection pane="bottomRight" activeCell="M166" sqref="M16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343</v>
      </c>
      <c r="N2" s="10" t="s">
        <v>342</v>
      </c>
      <c r="O2" s="10" t="s">
        <v>340</v>
      </c>
      <c r="P2" s="10" t="s">
        <v>339</v>
      </c>
      <c r="Q2" s="10" t="s">
        <v>338</v>
      </c>
      <c r="R2" s="7"/>
      <c r="S2" s="7"/>
      <c r="T2" s="10" t="s">
        <v>353</v>
      </c>
      <c r="U2" s="10" t="s">
        <v>350</v>
      </c>
      <c r="V2" s="10" t="s">
        <v>339</v>
      </c>
      <c r="W2" s="10" t="s">
        <v>346</v>
      </c>
      <c r="X2" s="10" t="s">
        <v>351</v>
      </c>
      <c r="Y2" s="10" t="s">
        <v>348</v>
      </c>
      <c r="Z2" s="10" t="s">
        <v>338</v>
      </c>
      <c r="AA2" s="10" t="s">
        <v>344</v>
      </c>
      <c r="AB2" s="7"/>
      <c r="AD2" s="7"/>
      <c r="AE2" s="7"/>
    </row>
    <row r="3" spans="1:31" s="13" customFormat="1" x14ac:dyDescent="0.2">
      <c r="A3" s="11"/>
      <c r="B3" s="12" t="s">
        <v>16</v>
      </c>
      <c r="M3" s="13">
        <v>2021</v>
      </c>
      <c r="N3" s="13">
        <v>2022</v>
      </c>
      <c r="O3" s="13">
        <v>2023</v>
      </c>
      <c r="P3" s="13">
        <v>2024</v>
      </c>
      <c r="Q3" s="13">
        <v>2025</v>
      </c>
      <c r="R3" s="11"/>
      <c r="S3" s="11"/>
      <c r="T3" s="10" t="s">
        <v>352</v>
      </c>
      <c r="U3" s="10" t="s">
        <v>349</v>
      </c>
      <c r="V3" s="10" t="s">
        <v>347</v>
      </c>
      <c r="W3" s="10" t="s">
        <v>345</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341</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333</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355</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356</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333</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288</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336</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M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279</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280</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341</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8" t="s">
        <v>362</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8" t="s">
        <v>363</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364</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365</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366</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8" t="s">
        <v>373</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8" t="s">
        <v>374</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375</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376</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377</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303</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Z123" si="72">T59+T60</f>
        <v>0</v>
      </c>
      <c r="U123" s="125">
        <f t="shared" si="72"/>
        <v>0</v>
      </c>
      <c r="V123" s="125">
        <f t="shared" si="72"/>
        <v>0</v>
      </c>
      <c r="W123" s="125">
        <f t="shared" si="72"/>
        <v>-5183</v>
      </c>
      <c r="X123" s="125">
        <f t="shared" si="72"/>
        <v>-3550</v>
      </c>
      <c r="Y123" s="125">
        <f t="shared" si="72"/>
        <v>-2425</v>
      </c>
      <c r="Z123" s="125">
        <f t="shared" si="72"/>
        <v>-3488</v>
      </c>
      <c r="AA123" s="125">
        <f>AA59+AA60</f>
        <v>-3636</v>
      </c>
      <c r="AC123" s="125">
        <f>AC59+AC60</f>
        <v>-13099</v>
      </c>
    </row>
    <row r="124" spans="1:31" x14ac:dyDescent="0.2">
      <c r="B124" s="20" t="s">
        <v>334</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335</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111.285</v>
      </c>
    </row>
    <row r="130" spans="1:31" x14ac:dyDescent="0.2">
      <c r="B130" s="20" t="s">
        <v>391</v>
      </c>
      <c r="C130" s="26"/>
      <c r="D130" s="26"/>
      <c r="E130" s="26"/>
      <c r="F130" s="26"/>
      <c r="G130" s="26"/>
      <c r="H130" s="26"/>
      <c r="I130" s="26"/>
      <c r="J130" s="26"/>
      <c r="K130" s="26"/>
      <c r="L130" s="26"/>
      <c r="M130" s="64">
        <f>M129/M84</f>
        <v>51.31</v>
      </c>
      <c r="N130" s="64">
        <f t="shared" ref="N130:Q130" si="75">N129/N84</f>
        <v>26.43</v>
      </c>
      <c r="O130" s="64">
        <f t="shared" si="75"/>
        <v>50.25</v>
      </c>
      <c r="P130" s="64">
        <f t="shared" si="75"/>
        <v>20.3</v>
      </c>
      <c r="Q130" s="64">
        <f t="shared" si="75"/>
        <v>36.200000000000003</v>
      </c>
      <c r="T130" s="67"/>
      <c r="U130" s="67"/>
      <c r="V130" s="67"/>
      <c r="W130" s="67"/>
      <c r="X130" s="67"/>
      <c r="Y130" s="67"/>
      <c r="Z130" s="67"/>
      <c r="AA130" s="67"/>
      <c r="AC130" s="64">
        <f t="shared" ref="AC130" ca="1" si="76">AC129/AC84</f>
        <v>111.285</v>
      </c>
    </row>
    <row r="132" spans="1:31" x14ac:dyDescent="0.2">
      <c r="B132" s="1"/>
    </row>
    <row r="133" spans="1:31" ht="17" thickBot="1" x14ac:dyDescent="0.25">
      <c r="B133" s="14" t="s">
        <v>101</v>
      </c>
      <c r="C133" s="15"/>
      <c r="D133" s="15"/>
      <c r="E133" s="15"/>
      <c r="F133" s="15"/>
      <c r="G133" s="15"/>
      <c r="H133" s="15"/>
      <c r="I133" s="15"/>
      <c r="J133" s="15"/>
      <c r="K133" s="15"/>
      <c r="L133" s="15"/>
      <c r="M133" s="15"/>
      <c r="N133" s="15"/>
      <c r="O133" s="15"/>
      <c r="P133" s="15"/>
      <c r="Q133" s="15"/>
      <c r="T133" s="15"/>
      <c r="U133" s="15"/>
      <c r="V133" s="15"/>
      <c r="W133" s="15"/>
      <c r="X133" s="15"/>
      <c r="Y133" s="15"/>
      <c r="Z133" s="15"/>
      <c r="AA133" s="15"/>
      <c r="AC133" s="15"/>
    </row>
    <row r="134" spans="1:31" x14ac:dyDescent="0.2">
      <c r="B134" s="20" t="s">
        <v>95</v>
      </c>
      <c r="M134" s="73">
        <f>M124/M5</f>
        <v>0.25141729094958493</v>
      </c>
      <c r="N134" s="73">
        <f>N124/N5</f>
        <v>0.12714498683667966</v>
      </c>
      <c r="O134" s="73">
        <f>O124/O5</f>
        <v>3.088810208748248E-2</v>
      </c>
      <c r="P134" s="73">
        <f>P124/P5</f>
        <v>-0.3621965688028474</v>
      </c>
      <c r="Q134" s="73">
        <f>Q124/Q5</f>
        <v>4.9193044860272833E-4</v>
      </c>
      <c r="T134" s="76"/>
      <c r="U134" s="76"/>
      <c r="V134" s="76"/>
      <c r="W134" s="76"/>
      <c r="X134" s="76"/>
      <c r="Y134" s="76"/>
      <c r="Z134" s="76"/>
      <c r="AA134" s="76"/>
      <c r="AC134" s="73">
        <f>AC124/AC5</f>
        <v>-6.2645313691572266E-2</v>
      </c>
    </row>
    <row r="135" spans="1:31" x14ac:dyDescent="0.2">
      <c r="B135" s="20" t="s">
        <v>96</v>
      </c>
      <c r="M135" s="74">
        <f>M5/M36</f>
        <v>0.46924693894516822</v>
      </c>
      <c r="N135" s="74">
        <f>N5/N36</f>
        <v>0.34625459218134791</v>
      </c>
      <c r="O135" s="74">
        <f>O5/O36</f>
        <v>0.2830685068799198</v>
      </c>
      <c r="P135" s="74">
        <f>P5/P36</f>
        <v>0.27025472682393059</v>
      </c>
      <c r="Q135" s="74">
        <f>Q5/Q36</f>
        <v>0.24997989868939455</v>
      </c>
      <c r="T135" s="77"/>
      <c r="U135" s="77"/>
      <c r="V135" s="77"/>
      <c r="W135" s="77"/>
      <c r="X135" s="77"/>
      <c r="Y135" s="77"/>
      <c r="Z135" s="77"/>
      <c r="AA135" s="77"/>
      <c r="AC135" s="74">
        <f>AC5/AC36</f>
        <v>0.26183449243176904</v>
      </c>
    </row>
    <row r="136" spans="1:31" x14ac:dyDescent="0.2">
      <c r="B136" s="32" t="s">
        <v>97</v>
      </c>
      <c r="M136" s="75">
        <f t="shared" ref="M136:P136" si="77">M134*M135</f>
        <v>0.11797679417597948</v>
      </c>
      <c r="N136" s="75">
        <f t="shared" si="77"/>
        <v>4.4024535565037361E-2</v>
      </c>
      <c r="O136" s="75">
        <f t="shared" si="77"/>
        <v>8.7434489382581995E-3</v>
      </c>
      <c r="P136" s="75">
        <f t="shared" si="77"/>
        <v>-9.7885334758378503E-2</v>
      </c>
      <c r="Q136" s="75">
        <f>Q134*Q135</f>
        <v>1.2297272370393844E-4</v>
      </c>
      <c r="T136" s="78"/>
      <c r="U136" s="78"/>
      <c r="V136" s="78"/>
      <c r="W136" s="78"/>
      <c r="X136" s="78"/>
      <c r="Y136" s="78"/>
      <c r="Z136" s="78"/>
      <c r="AA136" s="78"/>
      <c r="AC136" s="75">
        <f>AC134*AC135</f>
        <v>-1.6402703913661776E-2</v>
      </c>
    </row>
    <row r="137" spans="1:31" x14ac:dyDescent="0.2">
      <c r="B137" s="20" t="s">
        <v>98</v>
      </c>
      <c r="M137" s="74">
        <f>M36/M48</f>
        <v>1.7654286043756748</v>
      </c>
      <c r="N137" s="74">
        <f>N36/N48</f>
        <v>1.7954803151159007</v>
      </c>
      <c r="O137" s="74">
        <f>O36/O48</f>
        <v>1.8143005966474097</v>
      </c>
      <c r="P137" s="74">
        <f>P36/P48</f>
        <v>1.9792988818374131</v>
      </c>
      <c r="Q137" s="74">
        <f>Q36/Q48</f>
        <v>1.8500800658027143</v>
      </c>
      <c r="T137" s="79"/>
      <c r="U137" s="79"/>
      <c r="V137" s="79"/>
      <c r="W137" s="79"/>
      <c r="X137" s="79"/>
      <c r="Y137" s="79"/>
      <c r="Z137" s="79"/>
      <c r="AA137" s="79"/>
      <c r="AC137" s="74">
        <f>AC36/AC48</f>
        <v>1.8432949710038242</v>
      </c>
    </row>
    <row r="138" spans="1:31" x14ac:dyDescent="0.2">
      <c r="B138" s="32" t="s">
        <v>99</v>
      </c>
      <c r="M138" s="75">
        <f t="shared" ref="M138:P138" si="78">M136*M137</f>
        <v>0.20827960709081569</v>
      </c>
      <c r="N138" s="75">
        <f t="shared" si="78"/>
        <v>7.904518698914445E-2</v>
      </c>
      <c r="O138" s="75">
        <f t="shared" si="78"/>
        <v>1.5863244625438012E-2</v>
      </c>
      <c r="P138" s="75">
        <f t="shared" si="78"/>
        <v>-0.19374433363553945</v>
      </c>
      <c r="Q138" s="75">
        <f>Q136*Q137</f>
        <v>2.2750938476212145E-4</v>
      </c>
      <c r="T138" s="78"/>
      <c r="U138" s="78"/>
      <c r="V138" s="78"/>
      <c r="W138" s="78"/>
      <c r="X138" s="78"/>
      <c r="Y138" s="78"/>
      <c r="Z138" s="78"/>
      <c r="AA138" s="78"/>
      <c r="AC138" s="75">
        <f>AC136*AC137</f>
        <v>-3.0235021634917498E-2</v>
      </c>
    </row>
    <row r="140" spans="1:31" x14ac:dyDescent="0.2">
      <c r="B140" s="1"/>
    </row>
    <row r="141" spans="1:31" s="15" customFormat="1" ht="17" thickBot="1" x14ac:dyDescent="0.25">
      <c r="A141" s="11"/>
      <c r="B141" s="14" t="s">
        <v>105</v>
      </c>
      <c r="R141" s="1"/>
      <c r="S141" s="1"/>
      <c r="AB141" s="1"/>
      <c r="AD141" s="1"/>
      <c r="AE141" s="1"/>
    </row>
    <row r="142" spans="1:31" x14ac:dyDescent="0.2">
      <c r="B142" s="20" t="s">
        <v>385</v>
      </c>
      <c r="M142" s="61">
        <v>0</v>
      </c>
      <c r="N142" s="61">
        <v>-27005</v>
      </c>
      <c r="O142" s="61">
        <v>-18024</v>
      </c>
      <c r="P142" s="61">
        <v>-17288</v>
      </c>
      <c r="Q142" s="61">
        <v>-17683</v>
      </c>
      <c r="T142" s="61">
        <v>-4278</v>
      </c>
      <c r="U142" s="61">
        <v>-4321</v>
      </c>
      <c r="V142" s="61">
        <v>-4313</v>
      </c>
      <c r="W142" s="61">
        <v>-4698</v>
      </c>
      <c r="X142" s="61">
        <v>-4421</v>
      </c>
      <c r="Y142" s="61">
        <v>-4227</v>
      </c>
      <c r="Z142" s="61">
        <v>-4337</v>
      </c>
      <c r="AA142" s="61">
        <v>-5251</v>
      </c>
      <c r="AC142" s="63">
        <f>SUM(X142:AA142)</f>
        <v>-18236</v>
      </c>
    </row>
    <row r="143" spans="1:31" x14ac:dyDescent="0.2">
      <c r="B143" s="20" t="s">
        <v>386</v>
      </c>
      <c r="M143" s="61">
        <v>0</v>
      </c>
      <c r="N143" s="61">
        <v>0</v>
      </c>
      <c r="O143" s="61">
        <v>0</v>
      </c>
      <c r="P143" s="61">
        <f>P108+P142</f>
        <v>29</v>
      </c>
      <c r="Q143" s="61">
        <f>Q108+Q142</f>
        <v>143</v>
      </c>
      <c r="T143" s="61">
        <f>T108+T142</f>
        <v>4</v>
      </c>
      <c r="U143" s="61">
        <f t="shared" ref="U143:AA143" si="79">U108+U142</f>
        <v>18</v>
      </c>
      <c r="V143" s="61">
        <f t="shared" si="79"/>
        <v>27</v>
      </c>
      <c r="W143" s="61">
        <f t="shared" si="79"/>
        <v>-31</v>
      </c>
      <c r="X143" s="61">
        <f t="shared" si="79"/>
        <v>-4</v>
      </c>
      <c r="Y143" s="61">
        <f t="shared" si="79"/>
        <v>8</v>
      </c>
      <c r="Z143" s="61">
        <f t="shared" si="79"/>
        <v>170</v>
      </c>
      <c r="AA143" s="61">
        <f t="shared" si="79"/>
        <v>170</v>
      </c>
      <c r="AC143" s="63">
        <f>SUM(X143:AA143)</f>
        <v>344</v>
      </c>
    </row>
    <row r="145" spans="2:29" x14ac:dyDescent="0.2">
      <c r="B145" s="1"/>
    </row>
    <row r="146" spans="2:29" ht="17" thickBot="1" x14ac:dyDescent="0.25">
      <c r="B146" s="14" t="s">
        <v>231</v>
      </c>
      <c r="C146" s="172"/>
      <c r="D146" s="172"/>
      <c r="E146" s="172"/>
      <c r="F146" s="172"/>
      <c r="G146" s="172"/>
      <c r="H146" s="172"/>
      <c r="I146" s="172"/>
      <c r="J146" s="172"/>
      <c r="K146" s="172"/>
      <c r="L146" s="172"/>
      <c r="M146" s="172"/>
      <c r="N146" s="172"/>
      <c r="O146" s="172"/>
      <c r="P146" s="172"/>
      <c r="Q146" s="172"/>
      <c r="T146" s="172"/>
      <c r="U146" s="172"/>
      <c r="V146" s="172"/>
      <c r="W146" s="172"/>
      <c r="X146" s="172"/>
      <c r="Y146" s="172"/>
      <c r="Z146" s="172"/>
      <c r="AA146" s="172"/>
      <c r="AC146" s="172"/>
    </row>
    <row r="147" spans="2:29" x14ac:dyDescent="0.2">
      <c r="B147" s="20" t="s">
        <v>232</v>
      </c>
      <c r="C147" s="49"/>
      <c r="D147" s="49"/>
      <c r="E147" s="49"/>
      <c r="F147" s="49"/>
      <c r="G147" s="49"/>
      <c r="H147" s="49"/>
      <c r="I147" s="49"/>
      <c r="J147" s="49"/>
      <c r="K147" s="49"/>
      <c r="L147" s="49"/>
      <c r="M147" s="49"/>
      <c r="N147" s="49"/>
      <c r="O147" s="49"/>
      <c r="P147" s="49"/>
      <c r="Q147" s="49"/>
      <c r="T147" s="21">
        <v>12500</v>
      </c>
      <c r="U147" s="21">
        <v>13300</v>
      </c>
      <c r="V147" s="21">
        <v>11700</v>
      </c>
      <c r="W147" s="21">
        <v>11200</v>
      </c>
      <c r="X147" s="21">
        <v>12600</v>
      </c>
      <c r="Y147" s="21">
        <v>12800</v>
      </c>
      <c r="Z147" s="21">
        <v>11700</v>
      </c>
      <c r="AA147" s="21">
        <v>13800</v>
      </c>
      <c r="AC147" s="49"/>
    </row>
    <row r="148" spans="2:29" x14ac:dyDescent="0.2">
      <c r="B148" s="20" t="s">
        <v>233</v>
      </c>
      <c r="C148" s="49"/>
      <c r="D148" s="49"/>
      <c r="E148" s="49"/>
      <c r="F148" s="49"/>
      <c r="G148" s="49"/>
      <c r="H148" s="49"/>
      <c r="I148" s="49"/>
      <c r="J148" s="49"/>
      <c r="K148" s="49"/>
      <c r="L148" s="49"/>
      <c r="M148" s="49"/>
      <c r="N148" s="49"/>
      <c r="O148" s="49"/>
      <c r="P148" s="49"/>
      <c r="Q148" s="49"/>
      <c r="T148" s="21">
        <v>13500</v>
      </c>
      <c r="U148" s="21">
        <v>14300</v>
      </c>
      <c r="V148" s="21">
        <v>12700</v>
      </c>
      <c r="W148" s="21">
        <v>12400</v>
      </c>
      <c r="X148" s="21">
        <v>13600</v>
      </c>
      <c r="Y148" s="21">
        <v>13800</v>
      </c>
      <c r="Z148" s="21">
        <v>12700</v>
      </c>
      <c r="AA148" s="21">
        <v>14800</v>
      </c>
      <c r="AC148" s="49"/>
    </row>
    <row r="149" spans="2:29" x14ac:dyDescent="0.2">
      <c r="B149" s="20" t="s">
        <v>234</v>
      </c>
      <c r="C149" s="49"/>
      <c r="D149" s="49"/>
      <c r="E149" s="49"/>
      <c r="F149" s="49"/>
      <c r="G149" s="49"/>
      <c r="H149" s="49"/>
      <c r="I149" s="49"/>
      <c r="J149" s="49"/>
      <c r="K149" s="49"/>
      <c r="L149" s="49"/>
      <c r="M149" s="49"/>
      <c r="N149" s="49"/>
      <c r="O149" s="49"/>
      <c r="P149" s="49"/>
      <c r="Q149" s="49"/>
      <c r="T149" s="25">
        <f t="shared" ref="T149:AA149" si="80">U5</f>
        <v>13284</v>
      </c>
      <c r="U149" s="25">
        <f t="shared" si="80"/>
        <v>14260</v>
      </c>
      <c r="V149" s="25">
        <f t="shared" si="80"/>
        <v>12667</v>
      </c>
      <c r="W149" s="25">
        <f t="shared" si="80"/>
        <v>12859</v>
      </c>
      <c r="X149" s="25">
        <f t="shared" si="80"/>
        <v>13653</v>
      </c>
      <c r="Y149" s="25">
        <f t="shared" si="80"/>
        <v>13674</v>
      </c>
      <c r="Z149" s="25">
        <f t="shared" si="80"/>
        <v>13577</v>
      </c>
      <c r="AA149" s="25">
        <f t="shared" si="80"/>
        <v>0</v>
      </c>
      <c r="AC149" s="49"/>
    </row>
    <row r="150" spans="2:29" x14ac:dyDescent="0.2">
      <c r="B150" s="20" t="s">
        <v>182</v>
      </c>
      <c r="C150" s="49"/>
      <c r="D150" s="49"/>
      <c r="E150" s="49"/>
      <c r="F150" s="49"/>
      <c r="G150" s="49"/>
      <c r="H150" s="49"/>
      <c r="I150" s="49"/>
      <c r="J150" s="49"/>
      <c r="K150" s="49"/>
      <c r="L150" s="49"/>
      <c r="M150" s="49"/>
      <c r="N150" s="49"/>
      <c r="O150" s="49"/>
      <c r="P150" s="49"/>
      <c r="Q150" s="49"/>
      <c r="T150" s="173" t="str">
        <f t="shared" ref="T150:AA150" si="81">IF(U5&gt;T148, "BEAT", IF(U5&lt;T147, "MISSED", "MET"))</f>
        <v>MET</v>
      </c>
      <c r="U150" s="173" t="str">
        <f t="shared" si="81"/>
        <v>MET</v>
      </c>
      <c r="V150" s="173" t="str">
        <f t="shared" si="81"/>
        <v>MET</v>
      </c>
      <c r="W150" s="173" t="str">
        <f t="shared" si="81"/>
        <v>BEAT</v>
      </c>
      <c r="X150" s="173" t="str">
        <f t="shared" si="81"/>
        <v>BEAT</v>
      </c>
      <c r="Y150" s="173" t="str">
        <f t="shared" si="81"/>
        <v>MET</v>
      </c>
      <c r="Z150" s="173" t="str">
        <f t="shared" si="81"/>
        <v>BEAT</v>
      </c>
      <c r="AA150" s="173" t="str">
        <f t="shared" si="81"/>
        <v>MISSED</v>
      </c>
      <c r="AC150" s="49"/>
    </row>
    <row r="151" spans="2:29" x14ac:dyDescent="0.2">
      <c r="B151" s="20" t="s">
        <v>367</v>
      </c>
      <c r="C151" s="49"/>
      <c r="D151" s="49"/>
      <c r="E151" s="49"/>
      <c r="F151" s="49"/>
      <c r="G151" s="49"/>
      <c r="H151" s="49"/>
      <c r="I151" s="49"/>
      <c r="J151" s="49"/>
      <c r="K151" s="49"/>
      <c r="L151" s="49"/>
      <c r="M151" s="49"/>
      <c r="N151" s="49"/>
      <c r="O151" s="49"/>
      <c r="P151" s="49"/>
      <c r="Q151" s="49"/>
      <c r="T151" s="219">
        <v>0.34499999999999997</v>
      </c>
      <c r="U151" s="219">
        <v>0.36499999999999999</v>
      </c>
      <c r="V151" s="219">
        <v>0.33800000000000002</v>
      </c>
      <c r="W151" s="219">
        <v>0.34300000000000003</v>
      </c>
      <c r="X151" s="219">
        <v>0.34100000000000003</v>
      </c>
      <c r="Y151" s="219">
        <v>0.34499999999999997</v>
      </c>
      <c r="Z151" s="219">
        <v>0.32300000000000001</v>
      </c>
      <c r="AA151" s="219">
        <v>0.375</v>
      </c>
      <c r="AC151" s="49"/>
    </row>
    <row r="152" spans="2:29" x14ac:dyDescent="0.2">
      <c r="B152" s="20" t="s">
        <v>368</v>
      </c>
      <c r="C152" s="49"/>
      <c r="D152" s="49"/>
      <c r="E152" s="49"/>
      <c r="F152" s="49"/>
      <c r="G152" s="49"/>
      <c r="H152" s="49"/>
      <c r="I152" s="49"/>
      <c r="J152" s="49"/>
      <c r="K152" s="49"/>
      <c r="L152" s="49"/>
      <c r="M152" s="49"/>
      <c r="N152" s="49"/>
      <c r="O152" s="49"/>
      <c r="P152" s="49"/>
      <c r="Q152" s="49"/>
      <c r="T152" s="219">
        <v>0.34499999999999997</v>
      </c>
      <c r="U152" s="219">
        <v>0.36499999999999999</v>
      </c>
      <c r="V152" s="219">
        <v>0.33800000000000002</v>
      </c>
      <c r="W152" s="219">
        <v>0.34300000000000003</v>
      </c>
      <c r="X152" s="219">
        <v>0.34100000000000003</v>
      </c>
      <c r="Y152" s="219">
        <v>0.34499999999999997</v>
      </c>
      <c r="Z152" s="219">
        <v>0.32300000000000001</v>
      </c>
      <c r="AA152" s="219">
        <v>0.375</v>
      </c>
      <c r="AC152" s="49"/>
    </row>
    <row r="153" spans="2:29" x14ac:dyDescent="0.2">
      <c r="B153" s="20" t="s">
        <v>369</v>
      </c>
      <c r="C153" s="49"/>
      <c r="D153" s="49"/>
      <c r="E153" s="49"/>
      <c r="F153" s="49"/>
      <c r="G153" s="49"/>
      <c r="H153" s="49"/>
      <c r="I153" s="49"/>
      <c r="J153" s="49"/>
      <c r="K153" s="49"/>
      <c r="L153" s="49"/>
      <c r="M153" s="49"/>
      <c r="N153" s="49"/>
      <c r="O153" s="49"/>
      <c r="P153" s="49"/>
      <c r="Q153" s="49"/>
      <c r="T153" s="73">
        <f t="shared" ref="T153:AA153" si="82">U100</f>
        <v>0.15033122553447756</v>
      </c>
      <c r="U153" s="73">
        <f t="shared" si="82"/>
        <v>0.39158485273492288</v>
      </c>
      <c r="V153" s="73">
        <f t="shared" si="82"/>
        <v>0.36883239914739085</v>
      </c>
      <c r="W153" s="73">
        <f t="shared" si="82"/>
        <v>0.27544910179640719</v>
      </c>
      <c r="X153" s="73">
        <f t="shared" si="82"/>
        <v>0.38218706511389439</v>
      </c>
      <c r="Y153" s="73">
        <f t="shared" si="82"/>
        <v>0.36148895714494661</v>
      </c>
      <c r="Z153" s="73">
        <f t="shared" si="82"/>
        <v>0.39382779700964865</v>
      </c>
      <c r="AA153" s="73">
        <f t="shared" si="82"/>
        <v>0</v>
      </c>
      <c r="AC153" s="49"/>
    </row>
    <row r="154" spans="2:29" x14ac:dyDescent="0.2">
      <c r="B154" s="20" t="s">
        <v>182</v>
      </c>
      <c r="C154" s="49"/>
      <c r="D154" s="49"/>
      <c r="E154" s="49"/>
      <c r="F154" s="49"/>
      <c r="G154" s="49"/>
      <c r="H154" s="49"/>
      <c r="I154" s="49"/>
      <c r="J154" s="49"/>
      <c r="K154" s="49"/>
      <c r="L154" s="49"/>
      <c r="M154" s="49"/>
      <c r="N154" s="49"/>
      <c r="O154" s="49"/>
      <c r="P154" s="49"/>
      <c r="Q154" s="49"/>
      <c r="T154" s="173" t="str">
        <f t="shared" ref="T154:AA154" si="83">IF(U100&gt;T152, "BEAT", IF(U100&lt;T151, "MISSED", "MET"))</f>
        <v>MISSED</v>
      </c>
      <c r="U154" s="173" t="str">
        <f t="shared" si="83"/>
        <v>BEAT</v>
      </c>
      <c r="V154" s="173" t="str">
        <f t="shared" si="83"/>
        <v>BEAT</v>
      </c>
      <c r="W154" s="173" t="str">
        <f t="shared" si="83"/>
        <v>MISSED</v>
      </c>
      <c r="X154" s="173" t="str">
        <f t="shared" si="83"/>
        <v>BEAT</v>
      </c>
      <c r="Y154" s="173" t="str">
        <f t="shared" si="83"/>
        <v>BEAT</v>
      </c>
      <c r="Z154" s="173" t="str">
        <f t="shared" si="83"/>
        <v>BEAT</v>
      </c>
      <c r="AA154" s="173" t="str">
        <f t="shared" si="83"/>
        <v>MISSED</v>
      </c>
      <c r="AC154" s="49"/>
    </row>
    <row r="156" spans="2:29" x14ac:dyDescent="0.2">
      <c r="B156" s="1"/>
    </row>
    <row r="157" spans="2:29" ht="17" thickBot="1" x14ac:dyDescent="0.25">
      <c r="B157" s="14" t="s">
        <v>251</v>
      </c>
      <c r="C157" s="172"/>
      <c r="D157" s="172"/>
      <c r="E157" s="172"/>
      <c r="F157" s="172"/>
      <c r="G157" s="172"/>
      <c r="H157" s="172"/>
      <c r="I157" s="172"/>
      <c r="J157" s="172"/>
      <c r="K157" s="172"/>
      <c r="L157" s="172"/>
      <c r="M157" s="172"/>
      <c r="N157" s="172"/>
      <c r="O157" s="172"/>
      <c r="P157" s="172"/>
      <c r="Q157" s="172"/>
      <c r="T157" s="172"/>
      <c r="U157" s="172"/>
      <c r="V157" s="172"/>
      <c r="W157" s="172"/>
      <c r="X157" s="172"/>
      <c r="Y157" s="172"/>
      <c r="Z157" s="172"/>
      <c r="AA157" s="172"/>
      <c r="AC157" s="172"/>
    </row>
    <row r="158" spans="2:29" x14ac:dyDescent="0.2">
      <c r="B158" s="20" t="s">
        <v>100</v>
      </c>
      <c r="C158" s="80"/>
      <c r="D158" s="80"/>
      <c r="E158" s="80"/>
      <c r="F158" s="80"/>
      <c r="G158" s="80"/>
      <c r="H158" s="80"/>
      <c r="I158" s="80"/>
      <c r="J158" s="80"/>
      <c r="K158" s="80"/>
      <c r="L158" s="80"/>
      <c r="M158" s="80">
        <f>M122/(M121+M125-M120)</f>
        <v>0.16950089956234582</v>
      </c>
      <c r="N158" s="80">
        <f>N122/(N121+N125-N120)</f>
        <v>1.9948888452038051E-2</v>
      </c>
      <c r="O158" s="80">
        <f>O122/(O121+O125-O120)</f>
        <v>6.9301102111075507E-4</v>
      </c>
      <c r="P158" s="80">
        <f>P122/(P121+P125-P120)</f>
        <v>-8.7817056571991486E-2</v>
      </c>
      <c r="Q158" s="80">
        <f>Q122/(Q121+Q125-Q120)</f>
        <v>-1.6335987131905347E-2</v>
      </c>
      <c r="T158" s="49"/>
      <c r="U158" s="49"/>
      <c r="V158" s="49"/>
      <c r="W158" s="49"/>
      <c r="X158" s="49"/>
      <c r="Y158" s="49"/>
      <c r="Z158" s="49"/>
      <c r="AA158" s="49"/>
      <c r="AC158" s="80">
        <f>AC122/(AC121+AC125-AC120)</f>
        <v>-3.6791978488825414E-2</v>
      </c>
    </row>
    <row r="159" spans="2:29" x14ac:dyDescent="0.2">
      <c r="B159" s="20" t="s">
        <v>134</v>
      </c>
      <c r="M159" s="117">
        <f>M30/M5*365</f>
        <v>43.680464162785988</v>
      </c>
      <c r="N159" s="117">
        <f>N30/N5*365</f>
        <v>23.924651885685286</v>
      </c>
      <c r="O159" s="117">
        <f>O30/O5*365</f>
        <v>22.898318211993807</v>
      </c>
      <c r="P159" s="117">
        <f>P30/P5*365</f>
        <v>23.906706088397584</v>
      </c>
      <c r="Q159" s="117">
        <f>Q30/Q5*365</f>
        <v>26.511929313378616</v>
      </c>
      <c r="T159" s="117">
        <f t="shared" ref="T159:AA159" si="84">T30/T5*90</f>
        <v>21.958232681368347</v>
      </c>
      <c r="U159" s="117">
        <f t="shared" si="84"/>
        <v>21.144986449864501</v>
      </c>
      <c r="V159" s="117">
        <f t="shared" si="84"/>
        <v>21.950911640953716</v>
      </c>
      <c r="W159" s="117">
        <f t="shared" si="84"/>
        <v>21.769953422278363</v>
      </c>
      <c r="X159" s="117">
        <f t="shared" si="84"/>
        <v>16.517614122404542</v>
      </c>
      <c r="Y159" s="117">
        <f t="shared" si="84"/>
        <v>21.107448912326962</v>
      </c>
      <c r="Z159" s="117">
        <f t="shared" si="84"/>
        <v>25.267661254936375</v>
      </c>
      <c r="AA159" s="117">
        <f t="shared" si="84"/>
        <v>26.952935110849229</v>
      </c>
      <c r="AC159" s="117">
        <f>AC30/AC5*365</f>
        <v>27.604300355262914</v>
      </c>
    </row>
    <row r="160" spans="2:29" x14ac:dyDescent="0.2">
      <c r="B160" s="20" t="s">
        <v>135</v>
      </c>
      <c r="M160" s="117">
        <f>M31/M6*365</f>
        <v>111.71121020193701</v>
      </c>
      <c r="N160" s="117">
        <f>N31/N6*365</f>
        <v>133.38012600862163</v>
      </c>
      <c r="O160" s="117">
        <f>O31/O6*365</f>
        <v>124.89943721745549</v>
      </c>
      <c r="P160" s="117">
        <f>P31/P6*365</f>
        <v>124.51812283253162</v>
      </c>
      <c r="Q160" s="117">
        <f>Q31/Q6*365</f>
        <v>122.99350310342828</v>
      </c>
      <c r="T160" s="117">
        <f t="shared" ref="T160:AA160" si="85">T31/T6*365</f>
        <v>495.30050687907317</v>
      </c>
      <c r="U160" s="117">
        <f t="shared" si="85"/>
        <v>390.06201825108536</v>
      </c>
      <c r="V160" s="117">
        <f t="shared" si="85"/>
        <v>513.17081604425994</v>
      </c>
      <c r="W160" s="117">
        <f t="shared" si="85"/>
        <v>560.6710444027517</v>
      </c>
      <c r="X160" s="117">
        <f t="shared" si="85"/>
        <v>445.70194268541377</v>
      </c>
      <c r="Y160" s="117">
        <f t="shared" si="85"/>
        <v>497.15293420272673</v>
      </c>
      <c r="Z160" s="117">
        <f t="shared" si="85"/>
        <v>485.6912152101707</v>
      </c>
      <c r="AA160" s="117">
        <f t="shared" si="85"/>
        <v>551.09234507897929</v>
      </c>
      <c r="AC160" s="117">
        <f>AC31/AC6*365</f>
        <v>130.6568144499179</v>
      </c>
    </row>
    <row r="161" spans="2:29" x14ac:dyDescent="0.2">
      <c r="B161" s="20" t="s">
        <v>136</v>
      </c>
      <c r="M161" s="117">
        <f>M37/M6*365</f>
        <v>59.577238774177054</v>
      </c>
      <c r="N161" s="117">
        <f>N37/N6*365</f>
        <v>96.777246601083235</v>
      </c>
      <c r="O161" s="117">
        <f>O37/O6*365</f>
        <v>96.219823476950523</v>
      </c>
      <c r="P161" s="117">
        <f>P37/P6*365</f>
        <v>128.17261438639667</v>
      </c>
      <c r="Q161" s="117">
        <f>Q37/Q6*365</f>
        <v>104.6154069261558</v>
      </c>
      <c r="T161" s="117">
        <f t="shared" ref="T161:AA161" si="86">T37/T6*90</f>
        <v>104.46777697320782</v>
      </c>
      <c r="U161" s="117">
        <f t="shared" si="86"/>
        <v>88.301585895277753</v>
      </c>
      <c r="V161" s="117">
        <f t="shared" si="86"/>
        <v>130.24896265560164</v>
      </c>
      <c r="W161" s="117">
        <f t="shared" si="86"/>
        <v>122.65666041275797</v>
      </c>
      <c r="X161" s="117">
        <f t="shared" si="86"/>
        <v>103.03101856820865</v>
      </c>
      <c r="Y161" s="117">
        <f t="shared" si="86"/>
        <v>109.55779490219324</v>
      </c>
      <c r="Z161" s="117">
        <f t="shared" si="86"/>
        <v>101.86462031840568</v>
      </c>
      <c r="AA161" s="117">
        <f t="shared" si="86"/>
        <v>78.287970838396106</v>
      </c>
      <c r="AC161" s="117">
        <f>AC37/AC6*365</f>
        <v>75.275401146544525</v>
      </c>
    </row>
    <row r="162" spans="2:29" x14ac:dyDescent="0.2">
      <c r="B162" s="20" t="s">
        <v>137</v>
      </c>
      <c r="M162" s="117">
        <f>M159+M160-M161</f>
        <v>95.814435590545941</v>
      </c>
      <c r="N162" s="117">
        <f t="shared" ref="N162:Q162" si="87">N159+N160-N161</f>
        <v>60.527531293223674</v>
      </c>
      <c r="O162" s="117">
        <f t="shared" si="87"/>
        <v>51.577931952498773</v>
      </c>
      <c r="P162" s="117">
        <f t="shared" si="87"/>
        <v>20.252214534532527</v>
      </c>
      <c r="Q162" s="117">
        <f t="shared" si="87"/>
        <v>44.890025490651112</v>
      </c>
      <c r="T162" s="117">
        <f t="shared" ref="T162" si="88">T159+T160-T161</f>
        <v>412.79096258723371</v>
      </c>
      <c r="U162" s="117">
        <f t="shared" ref="U162" si="89">U159+U160-U161</f>
        <v>322.90541880567213</v>
      </c>
      <c r="V162" s="117">
        <f t="shared" ref="V162" si="90">V159+V160-V161</f>
        <v>404.87276502961197</v>
      </c>
      <c r="W162" s="117">
        <f t="shared" ref="W162" si="91">W159+W160-W161</f>
        <v>459.78433741227212</v>
      </c>
      <c r="X162" s="117">
        <f t="shared" ref="X162" si="92">X159+X160-X161</f>
        <v>359.18853823960967</v>
      </c>
      <c r="Y162" s="117">
        <f t="shared" ref="Y162" si="93">Y159+Y160-Y161</f>
        <v>408.70258821286052</v>
      </c>
      <c r="Z162" s="117">
        <f t="shared" ref="Z162:AA162" si="94">Z159+Z160-Z161</f>
        <v>409.09425614670141</v>
      </c>
      <c r="AA162" s="117">
        <f t="shared" si="94"/>
        <v>499.75730935143241</v>
      </c>
      <c r="AC162" s="117">
        <f t="shared" ref="AC162" si="95">AC159+AC160-AC161</f>
        <v>82.9857136586363</v>
      </c>
    </row>
    <row r="163" spans="2:29" x14ac:dyDescent="0.2">
      <c r="B163" s="20" t="s">
        <v>254</v>
      </c>
      <c r="M163" s="117">
        <f>M121/M48</f>
        <v>0.39941923242234595</v>
      </c>
      <c r="N163" s="117">
        <f>N121/N48</f>
        <v>0.41461009830117429</v>
      </c>
      <c r="O163" s="117">
        <f>O121/O48</f>
        <v>0.46657827445780853</v>
      </c>
      <c r="P163" s="117">
        <f>P121/P48</f>
        <v>0.50378764984386015</v>
      </c>
      <c r="Q163" s="117">
        <f>Q121/Q48</f>
        <v>0.40763556496705489</v>
      </c>
      <c r="T163" s="117">
        <f t="shared" ref="T163:AA163" si="96">T121/T48</f>
        <v>0.46020533025540444</v>
      </c>
      <c r="U163" s="117">
        <f t="shared" si="96"/>
        <v>0.50472209942531043</v>
      </c>
      <c r="V163" s="117">
        <f t="shared" si="96"/>
        <v>0.50378764984386015</v>
      </c>
      <c r="W163" s="117">
        <f t="shared" si="96"/>
        <v>0.50273667749308315</v>
      </c>
      <c r="X163" s="117">
        <f t="shared" si="96"/>
        <v>0.51854765383161527</v>
      </c>
      <c r="Y163" s="117">
        <f t="shared" si="96"/>
        <v>0.43762690832518614</v>
      </c>
      <c r="Z163" s="117">
        <f t="shared" si="96"/>
        <v>0.40763556496705489</v>
      </c>
      <c r="AA163" s="117">
        <f t="shared" si="96"/>
        <v>0.40424978005996731</v>
      </c>
      <c r="AC163" s="117">
        <f>AC121/AC48</f>
        <v>0.40424978005996731</v>
      </c>
    </row>
    <row r="164" spans="2:29" x14ac:dyDescent="0.2">
      <c r="B164" s="20" t="s">
        <v>258</v>
      </c>
      <c r="M164" s="181">
        <f>(M121-M120)/M48</f>
        <v>0.10156094390456123</v>
      </c>
      <c r="N164" s="181">
        <f>(N121-N120)/N48</f>
        <v>0.13520601835875493</v>
      </c>
      <c r="O164" s="181">
        <f>(O121-O120)/O48</f>
        <v>0.22949142911260537</v>
      </c>
      <c r="P164" s="181">
        <f>(P121-P120)/P48</f>
        <v>0.28154528054800038</v>
      </c>
      <c r="Q164" s="181">
        <f>(Q121-Q120)/Q48</f>
        <v>8.0232059572457368E-2</v>
      </c>
      <c r="T164" s="181">
        <f t="shared" ref="T164:AA164" si="97">(T121-T120)/T48</f>
        <v>0.20616337901049214</v>
      </c>
      <c r="U164" s="181">
        <f t="shared" si="97"/>
        <v>0.26272957440823053</v>
      </c>
      <c r="V164" s="181">
        <f t="shared" si="97"/>
        <v>0.28154528054800038</v>
      </c>
      <c r="W164" s="181">
        <f t="shared" si="97"/>
        <v>0.29174185011427883</v>
      </c>
      <c r="X164" s="181">
        <f t="shared" si="97"/>
        <v>0.30190124945087504</v>
      </c>
      <c r="Y164" s="181">
        <f t="shared" si="97"/>
        <v>0.1468188313153343</v>
      </c>
      <c r="Z164" s="181">
        <f t="shared" si="97"/>
        <v>8.0232059572457368E-2</v>
      </c>
      <c r="AA164" s="181">
        <f t="shared" si="97"/>
        <v>0.10989819918487531</v>
      </c>
      <c r="AC164" s="181">
        <f>(AC121-AC120)/AC48</f>
        <v>0.10989819918487531</v>
      </c>
    </row>
    <row r="165" spans="2:29" x14ac:dyDescent="0.2">
      <c r="B165" s="20" t="s">
        <v>255</v>
      </c>
      <c r="M165" s="117">
        <f>(M120+M30)/M39</f>
        <v>1.3789964314325249</v>
      </c>
      <c r="N165" s="117">
        <f>(N120+N30)/N39</f>
        <v>1.0098273985383299</v>
      </c>
      <c r="O165" s="117">
        <f>(O120+O30)/O39</f>
        <v>1.0136527287634121</v>
      </c>
      <c r="P165" s="117">
        <f>(P120+P30)/P39</f>
        <v>0.71608815118039593</v>
      </c>
      <c r="Q165" s="117">
        <f>(Q120+Q30)/Q39</f>
        <v>1.306571654790182</v>
      </c>
      <c r="T165" s="117">
        <f t="shared" ref="T165:AA165" si="98">(T120+T30)/T39</f>
        <v>1.0117713179504793</v>
      </c>
      <c r="U165" s="117">
        <f t="shared" si="98"/>
        <v>0.77382746949571946</v>
      </c>
      <c r="V165" s="117">
        <f t="shared" si="98"/>
        <v>0.71608815118039593</v>
      </c>
      <c r="W165" s="117">
        <f t="shared" si="98"/>
        <v>0.7494250015540499</v>
      </c>
      <c r="X165" s="117">
        <f t="shared" si="98"/>
        <v>0.67396899845564262</v>
      </c>
      <c r="Y165" s="117">
        <f t="shared" si="98"/>
        <v>1.0569712357184877</v>
      </c>
      <c r="Z165" s="117">
        <f t="shared" si="98"/>
        <v>1.306571654790182</v>
      </c>
      <c r="AA165" s="117">
        <f t="shared" si="98"/>
        <v>1.3708387576715642</v>
      </c>
      <c r="AC165" s="117">
        <f>(AC120+AC30)/AC39</f>
        <v>1.3708387576715642</v>
      </c>
    </row>
    <row r="166" spans="2:29" x14ac:dyDescent="0.2">
      <c r="B166" s="20" t="s">
        <v>256</v>
      </c>
      <c r="M166" s="117">
        <f>M32/M39</f>
        <v>2.1017405869929355</v>
      </c>
      <c r="N166" s="117">
        <f>N32/N39</f>
        <v>1.5676255636759446</v>
      </c>
      <c r="O166" s="117">
        <f>O32/O39</f>
        <v>1.5424018821516416</v>
      </c>
      <c r="P166" s="117">
        <f>P32/P39</f>
        <v>1.3268659227275277</v>
      </c>
      <c r="Q166" s="117">
        <f>Q32/Q39</f>
        <v>2.0170387965162311</v>
      </c>
      <c r="T166" s="117">
        <f t="shared" ref="T166:AA166" si="99">T32/T39</f>
        <v>1.5870671620819934</v>
      </c>
      <c r="U166" s="117">
        <f t="shared" si="99"/>
        <v>1.3122386871071419</v>
      </c>
      <c r="V166" s="117">
        <f t="shared" si="99"/>
        <v>1.3268659227275277</v>
      </c>
      <c r="W166" s="117">
        <f t="shared" si="99"/>
        <v>1.3095667309007273</v>
      </c>
      <c r="X166" s="117">
        <f t="shared" si="99"/>
        <v>1.2404907624549562</v>
      </c>
      <c r="Y166" s="117">
        <f t="shared" si="99"/>
        <v>1.6017277146484195</v>
      </c>
      <c r="Z166" s="117">
        <f t="shared" si="99"/>
        <v>2.0170387965162311</v>
      </c>
      <c r="AA166" s="117">
        <f t="shared" si="99"/>
        <v>2.3119583410823878</v>
      </c>
      <c r="AC166" s="117">
        <f>AC32/AC39</f>
        <v>2.3119583410823878</v>
      </c>
    </row>
    <row r="167" spans="2:29" x14ac:dyDescent="0.2">
      <c r="B167" s="20" t="s">
        <v>262</v>
      </c>
      <c r="M167" s="183" t="str">
        <f>IF(M13&gt;=0,"N/A",IF(M12&lt;=0,"N/A",M12/-M13))</f>
        <v>N/A</v>
      </c>
      <c r="N167" s="183" t="str">
        <f>IF(N13&gt;=0,"N/A",IF(N12&lt;=0,"N/A",N12/-N13))</f>
        <v>N/A</v>
      </c>
      <c r="O167" s="183" t="str">
        <f>IF(O13&gt;=0,"N/A",IF(O12&lt;=0,"N/A",O12/-O13))</f>
        <v>N/A</v>
      </c>
      <c r="P167" s="183" t="str">
        <f>IF(P13&gt;=0,"N/A",IF(P12&lt;=0,"N/A",P12/-P13))</f>
        <v>N/A</v>
      </c>
      <c r="Q167" s="183" t="str">
        <f>IF(Q13&gt;=0,"N/A",IF(Q12&lt;=0,"N/A",Q12/-Q13))</f>
        <v>N/A</v>
      </c>
      <c r="T167" s="183" t="str">
        <f t="shared" ref="T167:AA167" si="100">IF(T13&gt;=0,"N/A",IF(T12&lt;=0,"N/A",T12/-T13))</f>
        <v>N/A</v>
      </c>
      <c r="U167" s="183" t="str">
        <f t="shared" si="100"/>
        <v>N/A</v>
      </c>
      <c r="V167" s="183" t="str">
        <f t="shared" si="100"/>
        <v>N/A</v>
      </c>
      <c r="W167" s="183" t="str">
        <f t="shared" si="100"/>
        <v>N/A</v>
      </c>
      <c r="X167" s="183" t="str">
        <f t="shared" si="100"/>
        <v>N/A</v>
      </c>
      <c r="Y167" s="183" t="str">
        <f t="shared" si="100"/>
        <v>N/A</v>
      </c>
      <c r="Z167" s="183">
        <f t="shared" si="100"/>
        <v>5.9793814432989691</v>
      </c>
      <c r="AA167" s="183" t="str">
        <f t="shared" si="100"/>
        <v>N/A</v>
      </c>
      <c r="AC167" s="183" t="str">
        <f>IF(AC13&gt;=0,"N/A",IF(AC12&lt;=0,"N/A",AC12/-AC13))</f>
        <v>N/A</v>
      </c>
    </row>
    <row r="168" spans="2:29" x14ac:dyDescent="0.2">
      <c r="B168" s="20" t="s">
        <v>240</v>
      </c>
      <c r="M168" s="71">
        <f>M130/Statement!M26</f>
        <v>10.557613168724279</v>
      </c>
      <c r="N168" s="71">
        <f>N130/Statement!N26</f>
        <v>13.623711340206185</v>
      </c>
      <c r="O168" s="71">
        <f>O130/Statement!O26</f>
        <v>125.625</v>
      </c>
      <c r="P168" s="71">
        <f>P130/Statement!P26</f>
        <v>-4.634703196347032</v>
      </c>
      <c r="Q168" s="71">
        <f>Q130/Statement!Q26</f>
        <v>-603.33333333333337</v>
      </c>
      <c r="T168" s="49"/>
      <c r="U168" s="49"/>
      <c r="V168" s="49"/>
      <c r="W168" s="49"/>
      <c r="X168" s="49"/>
      <c r="Y168" s="49"/>
      <c r="Z168" s="49"/>
      <c r="AA168" s="49"/>
      <c r="AC168" s="71">
        <f ca="1">AC130/Statement!AC26</f>
        <v>-179.49193548387098</v>
      </c>
    </row>
    <row r="169" spans="2:29" x14ac:dyDescent="0.2">
      <c r="B169" s="20" t="s">
        <v>197</v>
      </c>
      <c r="M169" s="71">
        <f>M130/(Statement!M5/Statement!M22)</f>
        <v>2.6556223425794698</v>
      </c>
      <c r="N169" s="71">
        <f>N130/(Statement!N5/Statement!N22)</f>
        <v>1.7282153392330384</v>
      </c>
      <c r="O169" s="71">
        <f>O130/(Statement!O5/Statement!O22)</f>
        <v>3.9030205797742865</v>
      </c>
      <c r="P169" s="71">
        <f>P130/(Statement!P5/Statement!P22)</f>
        <v>1.6362027080469295</v>
      </c>
      <c r="Q169" s="71">
        <f>Q130/(Statement!Q5/Statement!Q22)</f>
        <v>3.102681020944885</v>
      </c>
      <c r="T169" s="49"/>
      <c r="U169" s="49"/>
      <c r="V169" s="49"/>
      <c r="W169" s="49"/>
      <c r="X169" s="49"/>
      <c r="Y169" s="49"/>
      <c r="Z169" s="49"/>
      <c r="AA169" s="49"/>
      <c r="AC169" s="71">
        <f ca="1">AC130/(Statement!AC5/Statement!AC22)</f>
        <v>9.7399990234919915</v>
      </c>
    </row>
    <row r="170" spans="2:29" x14ac:dyDescent="0.2">
      <c r="B170" s="20" t="s">
        <v>241</v>
      </c>
      <c r="M170" s="71">
        <f>M130/(Statement!M48/Statement!M74)</f>
        <v>2.190293843234687</v>
      </c>
      <c r="N170" s="71">
        <f>N130/(Statement!N48/Statement!N74)</f>
        <v>1.0780681896611222</v>
      </c>
      <c r="O170" s="71">
        <f>O130/(Statement!O48/Statement!O74)</f>
        <v>2.0120939482905578</v>
      </c>
      <c r="P170" s="71">
        <f>P130/(Statement!P48/Statement!P74)</f>
        <v>0.88545381283368585</v>
      </c>
      <c r="Q170" s="71">
        <f>Q130/(Statement!Q48/Statement!Q74)</f>
        <v>1.5822315170500785</v>
      </c>
      <c r="T170" s="49"/>
      <c r="U170" s="49"/>
      <c r="V170" s="49"/>
      <c r="W170" s="49"/>
      <c r="X170" s="49"/>
      <c r="Y170" s="49"/>
      <c r="Z170" s="49"/>
      <c r="AA170" s="49"/>
      <c r="AC170" s="71">
        <f ca="1">AC130/(Statement!AC48/Statement!AC74)</f>
        <v>5.0210820151893278</v>
      </c>
    </row>
    <row r="171" spans="2:29" x14ac:dyDescent="0.2">
      <c r="B171" s="20" t="s">
        <v>242</v>
      </c>
      <c r="M171" s="143">
        <f>Statement!M130*Statement!M77</f>
        <v>210524.93000000002</v>
      </c>
      <c r="N171" s="143">
        <f>Statement!N130*Statement!N77</f>
        <v>109737.36</v>
      </c>
      <c r="O171" s="143">
        <f>Statement!O130*Statement!O77</f>
        <v>213562.5</v>
      </c>
      <c r="P171" s="143">
        <f>Statement!P130*Statement!P77</f>
        <v>87899</v>
      </c>
      <c r="Q171" s="143">
        <f>Statement!Q130*Statement!Q77</f>
        <v>180819</v>
      </c>
      <c r="T171" s="49"/>
      <c r="U171" s="49"/>
      <c r="V171" s="49"/>
      <c r="W171" s="49"/>
      <c r="X171" s="49"/>
      <c r="Y171" s="49"/>
      <c r="Z171" s="49"/>
      <c r="AA171" s="49"/>
      <c r="AC171" s="143">
        <f ca="1">Statement!AC130*Statement!AC77</f>
        <v>559318.41</v>
      </c>
    </row>
    <row r="172" spans="2:29" x14ac:dyDescent="0.2">
      <c r="B172" s="20" t="s">
        <v>184</v>
      </c>
      <c r="M172" s="143">
        <f>M171+M121-M120+M47+M44</f>
        <v>220212.93000000002</v>
      </c>
      <c r="N172" s="143">
        <f>N171+N121-N120+N47+N44</f>
        <v>125313.35999999999</v>
      </c>
      <c r="O172" s="143">
        <f>O171+O121-O120+O47+O44</f>
        <v>242169.5</v>
      </c>
      <c r="P172" s="143">
        <f>P171+P121-P120+P47+P44</f>
        <v>121610</v>
      </c>
      <c r="Q172" s="143">
        <f>Q171+Q121-Q120+Q47+Q44</f>
        <v>202067</v>
      </c>
      <c r="T172" s="49"/>
      <c r="U172" s="49"/>
      <c r="V172" s="49"/>
      <c r="W172" s="49"/>
      <c r="X172" s="49"/>
      <c r="Y172" s="49"/>
      <c r="Z172" s="49"/>
      <c r="AA172" s="49"/>
      <c r="AC172" s="143">
        <f ca="1">AC171+AC121-AC120+AC47+AC44</f>
        <v>585155.41</v>
      </c>
    </row>
    <row r="173" spans="2:29" x14ac:dyDescent="0.2">
      <c r="B173" s="20" t="s">
        <v>263</v>
      </c>
      <c r="M173" s="185">
        <f>M172/M5</f>
        <v>2.7866588631301887</v>
      </c>
      <c r="N173" s="185">
        <f>N172/N5</f>
        <v>1.9873974688362355</v>
      </c>
      <c r="O173" s="185">
        <f>O172/O5</f>
        <v>4.4657649184922921</v>
      </c>
      <c r="P173" s="185">
        <f>P172/P5</f>
        <v>2.2901640270428052</v>
      </c>
      <c r="Q173" s="185">
        <f>Q172/Q5</f>
        <v>3.823188844531058</v>
      </c>
      <c r="T173" s="49"/>
      <c r="U173" s="49"/>
      <c r="V173" s="49"/>
      <c r="W173" s="49"/>
      <c r="X173" s="49"/>
      <c r="Y173" s="49"/>
      <c r="Z173" s="49"/>
      <c r="AA173" s="49"/>
      <c r="AC173" s="185">
        <f ca="1">AC172/AC5</f>
        <v>10.883979874634973</v>
      </c>
    </row>
    <row r="174" spans="2:29" x14ac:dyDescent="0.2">
      <c r="B174" s="20" t="s">
        <v>200</v>
      </c>
      <c r="M174" s="185">
        <f>M172/M12</f>
        <v>11.318509971217106</v>
      </c>
      <c r="N174" s="185">
        <f>N172/N12</f>
        <v>53.690385604113104</v>
      </c>
      <c r="O174" s="185">
        <f>O172/O12</f>
        <v>2603.9731182795699</v>
      </c>
      <c r="P174" s="185">
        <f>P172/P12</f>
        <v>-10.413598218873094</v>
      </c>
      <c r="Q174" s="185">
        <f>Q172/Q12</f>
        <v>-91.267841011743457</v>
      </c>
      <c r="T174" s="49"/>
      <c r="U174" s="49"/>
      <c r="V174" s="49"/>
      <c r="W174" s="49"/>
      <c r="X174" s="49"/>
      <c r="Y174" s="49"/>
      <c r="Z174" s="49"/>
      <c r="AA174" s="49"/>
      <c r="AC174" s="185">
        <f ca="1">AC172/AC12</f>
        <v>-115.89530798177857</v>
      </c>
    </row>
    <row r="175" spans="2:29" x14ac:dyDescent="0.2">
      <c r="B175" s="20" t="s">
        <v>264</v>
      </c>
      <c r="M175" s="63">
        <f>M58-M53+M123+M64</f>
        <v>8687</v>
      </c>
      <c r="N175" s="63">
        <f>N58-N53+N123+N64</f>
        <v>-12539</v>
      </c>
      <c r="O175" s="63">
        <f>O58-O53+O123+O64</f>
        <v>-17508</v>
      </c>
      <c r="P175" s="63">
        <f>P58-P53+P123+P64</f>
        <v>-19066</v>
      </c>
      <c r="Q175" s="63">
        <f>Q58-Q53+Q123+Q64</f>
        <v>-7383</v>
      </c>
      <c r="T175" s="63">
        <f t="shared" ref="T175:AA175" si="101">T58-T53+T123+T64</f>
        <v>0</v>
      </c>
      <c r="U175" s="63">
        <f t="shared" si="101"/>
        <v>0</v>
      </c>
      <c r="V175" s="63">
        <f t="shared" si="101"/>
        <v>0</v>
      </c>
      <c r="W175" s="63">
        <f t="shared" si="101"/>
        <v>-5054</v>
      </c>
      <c r="X175" s="63">
        <f t="shared" si="101"/>
        <v>-2164</v>
      </c>
      <c r="Y175" s="63">
        <f t="shared" si="101"/>
        <v>-427</v>
      </c>
      <c r="Z175" s="63">
        <f t="shared" si="101"/>
        <v>262</v>
      </c>
      <c r="AA175" s="63">
        <f t="shared" si="101"/>
        <v>-3161</v>
      </c>
      <c r="AC175" s="63">
        <f>AC58-AC53+AC123+AC64</f>
        <v>-5490</v>
      </c>
    </row>
    <row r="176" spans="2:29" x14ac:dyDescent="0.2">
      <c r="B176" s="20" t="s">
        <v>265</v>
      </c>
      <c r="M176" s="63">
        <f>M122+M52+M123+M54+M56+M57+M55</f>
        <v>5461.985025111735</v>
      </c>
      <c r="N176" s="63">
        <f t="shared" ref="N176:Q176" si="102">N122+N52+N123+N54+N56+N57+N55</f>
        <v>-13983</v>
      </c>
      <c r="O176" s="63">
        <f t="shared" si="102"/>
        <v>-16624</v>
      </c>
      <c r="P176" s="63">
        <f t="shared" si="102"/>
        <v>-23140</v>
      </c>
      <c r="Q176" s="63">
        <f t="shared" si="102"/>
        <v>-6901</v>
      </c>
      <c r="T176" s="49"/>
      <c r="U176" s="49"/>
      <c r="V176" s="49"/>
      <c r="W176" s="49"/>
      <c r="X176" s="49"/>
      <c r="Y176" s="49"/>
      <c r="Z176" s="49"/>
      <c r="AA176" s="49"/>
      <c r="AC176" s="63">
        <f>AC122+AC52+AC123+AC54+AC56+AC57</f>
        <v>-8573</v>
      </c>
    </row>
    <row r="177" spans="2:29" x14ac:dyDescent="0.2">
      <c r="B177" s="20" t="s">
        <v>266</v>
      </c>
      <c r="M177" s="71">
        <f>M171/M175</f>
        <v>24.234480257856571</v>
      </c>
      <c r="N177" s="71">
        <f t="shared" ref="N177:Q177" si="103">N171/N175</f>
        <v>-8.7516835473323233</v>
      </c>
      <c r="O177" s="71">
        <f t="shared" si="103"/>
        <v>-12.197995202193283</v>
      </c>
      <c r="P177" s="71">
        <f t="shared" si="103"/>
        <v>-4.6102486100912623</v>
      </c>
      <c r="Q177" s="71">
        <f t="shared" si="103"/>
        <v>-24.491263713937425</v>
      </c>
      <c r="T177" s="49"/>
      <c r="U177" s="49"/>
      <c r="V177" s="49"/>
      <c r="W177" s="49"/>
      <c r="X177" s="49"/>
      <c r="Y177" s="49"/>
      <c r="Z177" s="49"/>
      <c r="AA177" s="49"/>
      <c r="AC177" s="71">
        <f t="shared" ref="AC177:AC178" ca="1" si="104">AC171/AC175</f>
        <v>-101.8794918032787</v>
      </c>
    </row>
    <row r="178" spans="2:29" x14ac:dyDescent="0.2">
      <c r="B178" s="20" t="s">
        <v>267</v>
      </c>
      <c r="M178" s="71">
        <f>M172/M176</f>
        <v>40.317380766801932</v>
      </c>
      <c r="N178" s="71">
        <f t="shared" ref="N178:Q178" si="105">N172/N176</f>
        <v>-8.9618365157691464</v>
      </c>
      <c r="O178" s="71">
        <f t="shared" si="105"/>
        <v>-14.56746270452358</v>
      </c>
      <c r="P178" s="71">
        <f t="shared" si="105"/>
        <v>-5.255401901469317</v>
      </c>
      <c r="Q178" s="71">
        <f t="shared" si="105"/>
        <v>-29.280828865381828</v>
      </c>
      <c r="T178" s="49"/>
      <c r="U178" s="49"/>
      <c r="V178" s="49"/>
      <c r="W178" s="49"/>
      <c r="X178" s="49"/>
      <c r="Y178" s="49"/>
      <c r="Z178" s="49"/>
      <c r="AA178" s="49"/>
      <c r="AC178" s="71">
        <f t="shared" ca="1" si="104"/>
        <v>-68.255617636766601</v>
      </c>
    </row>
    <row r="179" spans="2:29" x14ac:dyDescent="0.2">
      <c r="B179" s="20" t="s">
        <v>268</v>
      </c>
      <c r="M179" s="73">
        <f>M175/M171</f>
        <v>4.1263521617131038E-2</v>
      </c>
      <c r="N179" s="73">
        <f t="shared" ref="N179:Q179" si="106">N175/N171</f>
        <v>-0.11426372932609277</v>
      </c>
      <c r="O179" s="73">
        <f t="shared" si="106"/>
        <v>-8.1980684811237922E-2</v>
      </c>
      <c r="P179" s="73">
        <f t="shared" si="106"/>
        <v>-0.21690804218478027</v>
      </c>
      <c r="Q179" s="73">
        <f t="shared" si="106"/>
        <v>-4.0830886134753538E-2</v>
      </c>
      <c r="T179" s="49"/>
      <c r="U179" s="49"/>
      <c r="V179" s="49"/>
      <c r="W179" s="49"/>
      <c r="X179" s="49"/>
      <c r="Y179" s="49"/>
      <c r="Z179" s="49"/>
      <c r="AA179" s="49"/>
      <c r="AC179" s="73">
        <f t="shared" ref="AC179" ca="1" si="107">AC175/AC171</f>
        <v>-9.8155181410889015E-3</v>
      </c>
    </row>
    <row r="180" spans="2:29" x14ac:dyDescent="0.2">
      <c r="B180" s="20" t="s">
        <v>269</v>
      </c>
      <c r="M180" s="73">
        <f>M26/M130</f>
        <v>9.471837848372637E-2</v>
      </c>
      <c r="N180" s="73">
        <f t="shared" ref="N180:Q180" si="108">N26/N130</f>
        <v>7.3401437760121077E-2</v>
      </c>
      <c r="O180" s="73">
        <f t="shared" si="108"/>
        <v>7.9601990049751256E-3</v>
      </c>
      <c r="P180" s="73">
        <f t="shared" si="108"/>
        <v>-0.21576354679802953</v>
      </c>
      <c r="Q180" s="73">
        <f t="shared" si="108"/>
        <v>-1.6574585635359114E-3</v>
      </c>
      <c r="T180" s="49"/>
      <c r="U180" s="49"/>
      <c r="V180" s="49"/>
      <c r="W180" s="49"/>
      <c r="X180" s="49"/>
      <c r="Y180" s="49"/>
      <c r="Z180" s="49"/>
      <c r="AA180" s="49"/>
      <c r="AC180" s="73">
        <f t="shared" ref="AC180" ca="1" si="109">AC26/AC130</f>
        <v>-5.5712809453205732E-3</v>
      </c>
    </row>
    <row r="181" spans="2:29" x14ac:dyDescent="0.2">
      <c r="B181" s="20" t="s">
        <v>270</v>
      </c>
      <c r="M181" s="154">
        <f>M81/M130</f>
        <v>2.7090235821477293E-2</v>
      </c>
      <c r="N181" s="154">
        <f t="shared" ref="N181:Q181" si="110">N81/N130</f>
        <v>5.5240257283390083E-2</v>
      </c>
      <c r="O181" s="154">
        <f t="shared" si="110"/>
        <v>1.472636815920398E-2</v>
      </c>
      <c r="P181" s="154">
        <f t="shared" si="110"/>
        <v>1.8719211822660099E-2</v>
      </c>
      <c r="Q181" s="154">
        <f t="shared" si="110"/>
        <v>0</v>
      </c>
      <c r="T181" s="49"/>
      <c r="U181" s="49"/>
      <c r="V181" s="49"/>
      <c r="W181" s="49"/>
      <c r="X181" s="49"/>
      <c r="Y181" s="49"/>
      <c r="Z181" s="49"/>
      <c r="AA181" s="49"/>
      <c r="AC181" s="154">
        <f t="shared" ref="AC181" ca="1" si="111">AC81/AC130</f>
        <v>0</v>
      </c>
    </row>
    <row r="182" spans="2:29" x14ac:dyDescent="0.2">
      <c r="B182" s="20" t="s">
        <v>296</v>
      </c>
      <c r="M182" s="154">
        <f>-M62/M171</f>
        <v>1.1471325510000168E-2</v>
      </c>
      <c r="N182" s="154">
        <f>-N62/N171</f>
        <v>0</v>
      </c>
      <c r="O182" s="154">
        <f>-O62/O171</f>
        <v>0</v>
      </c>
      <c r="P182" s="154">
        <f>-P62/P171</f>
        <v>0</v>
      </c>
      <c r="Q182" s="154">
        <f>-Q62/Q171</f>
        <v>0</v>
      </c>
      <c r="T182" s="49"/>
      <c r="U182" s="49"/>
      <c r="V182" s="49"/>
      <c r="W182" s="49"/>
      <c r="X182" s="49"/>
      <c r="Y182" s="49"/>
      <c r="Z182" s="49"/>
      <c r="AA182" s="49"/>
      <c r="AC182" s="154">
        <f ca="1">-AC62/AC171</f>
        <v>0</v>
      </c>
    </row>
    <row r="183" spans="2:29" x14ac:dyDescent="0.2">
      <c r="B183" s="20" t="s">
        <v>298</v>
      </c>
      <c r="M183" s="154">
        <f>-(M62+M63)/M171</f>
        <v>3.8280501981404286E-2</v>
      </c>
      <c r="N183" s="154">
        <f>-(N62+N63)/N171</f>
        <v>5.4648662953072684E-2</v>
      </c>
      <c r="O183" s="154">
        <f>-(O62+O63)/O171</f>
        <v>1.4459467369037167E-2</v>
      </c>
      <c r="P183" s="154">
        <f>-(P62+P63)/P171</f>
        <v>1.8191333234735322E-2</v>
      </c>
      <c r="Q183" s="154">
        <f>-(Q62+Q63)/Q171</f>
        <v>0</v>
      </c>
      <c r="T183" s="49"/>
      <c r="U183" s="49"/>
      <c r="V183" s="49"/>
      <c r="W183" s="49"/>
      <c r="X183" s="49"/>
      <c r="Y183" s="49"/>
      <c r="Z183" s="49"/>
      <c r="AA183" s="49"/>
      <c r="AC183" s="154">
        <f ca="1">-(AC62+AC63)/AC171</f>
        <v>0</v>
      </c>
    </row>
    <row r="184" spans="2:29" x14ac:dyDescent="0.2">
      <c r="B184" s="20" t="s">
        <v>271</v>
      </c>
      <c r="M184" s="71">
        <f>M176/M5</f>
        <v>6.9118053061243856E-2</v>
      </c>
      <c r="N184" s="71">
        <f>N176/N5</f>
        <v>-0.22176229898182509</v>
      </c>
      <c r="O184" s="71">
        <f>O176/O5</f>
        <v>-0.30655749797152765</v>
      </c>
      <c r="P184" s="71">
        <f>P176/P5</f>
        <v>-0.43577333760192838</v>
      </c>
      <c r="Q184" s="71">
        <f>Q176/Q5</f>
        <v>-0.1305696933002857</v>
      </c>
      <c r="T184" s="49"/>
      <c r="U184" s="49"/>
      <c r="V184" s="49"/>
      <c r="W184" s="49"/>
      <c r="X184" s="49"/>
      <c r="Y184" s="49"/>
      <c r="Z184" s="49"/>
      <c r="AA184" s="49"/>
      <c r="AC184" s="71">
        <f>AC176/AC5</f>
        <v>-0.15945910756468204</v>
      </c>
    </row>
    <row r="185" spans="2:29" x14ac:dyDescent="0.2">
      <c r="B185" s="20" t="s">
        <v>274</v>
      </c>
      <c r="M185" s="154">
        <f>-M63/M175</f>
        <v>0.64970645792563597</v>
      </c>
      <c r="N185" s="154">
        <f>-N63/N175</f>
        <v>-0.47826780445011563</v>
      </c>
      <c r="O185" s="154">
        <f>-O63/O175</f>
        <v>-0.1763765135937857</v>
      </c>
      <c r="P185" s="154">
        <f>-P63/P175</f>
        <v>-8.3866568761145496E-2</v>
      </c>
      <c r="Q185" s="154">
        <f>-Q63/Q175</f>
        <v>0</v>
      </c>
      <c r="T185" s="49"/>
      <c r="U185" s="49"/>
      <c r="V185" s="49"/>
      <c r="W185" s="49"/>
      <c r="X185" s="49"/>
      <c r="Y185" s="49"/>
      <c r="Z185" s="49"/>
      <c r="AA185" s="49"/>
      <c r="AC185" s="154">
        <f>-AC63/AC175</f>
        <v>0</v>
      </c>
    </row>
    <row r="186" spans="2:29" x14ac:dyDescent="0.2">
      <c r="B186" s="20" t="s">
        <v>276</v>
      </c>
      <c r="M186" s="154">
        <f>-M62/M175</f>
        <v>0.27800161160354553</v>
      </c>
      <c r="N186" s="154">
        <f>-N62/N175</f>
        <v>0</v>
      </c>
      <c r="O186" s="154">
        <f>-O62/O175</f>
        <v>0</v>
      </c>
      <c r="P186" s="154">
        <f>-P62/P175</f>
        <v>0</v>
      </c>
      <c r="Q186" s="154">
        <f>-Q62/Q175</f>
        <v>0</v>
      </c>
      <c r="T186" s="49"/>
      <c r="U186" s="49"/>
      <c r="V186" s="49"/>
      <c r="W186" s="49"/>
      <c r="X186" s="49"/>
      <c r="Y186" s="49"/>
      <c r="Z186" s="49"/>
      <c r="AA186" s="49"/>
      <c r="AC186" s="154">
        <f>-AC62/AC175</f>
        <v>0</v>
      </c>
    </row>
    <row r="187" spans="2:29" x14ac:dyDescent="0.2">
      <c r="B187" s="20" t="s">
        <v>287</v>
      </c>
      <c r="M187" s="154">
        <f>(-M63-M62)/M175</f>
        <v>0.9277080695291815</v>
      </c>
      <c r="N187" s="154">
        <f>(-N63-N62)/N175</f>
        <v>-0.47826780445011563</v>
      </c>
      <c r="O187" s="154">
        <f>(-O63-O62)/O175</f>
        <v>-0.1763765135937857</v>
      </c>
      <c r="P187" s="154">
        <f>(-P63-P62)/P175</f>
        <v>-8.3866568761145496E-2</v>
      </c>
      <c r="Q187" s="154">
        <f>(-Q63-Q62)/Q175</f>
        <v>0</v>
      </c>
      <c r="T187" s="49"/>
      <c r="U187" s="49"/>
      <c r="V187" s="49"/>
      <c r="W187" s="49"/>
      <c r="X187" s="49"/>
      <c r="Y187" s="49"/>
      <c r="Z187" s="49"/>
      <c r="AA187" s="49"/>
      <c r="AC187" s="154">
        <f>(-AC63-AC62)/AC175</f>
        <v>0</v>
      </c>
    </row>
    <row r="188" spans="2:29" x14ac:dyDescent="0.2">
      <c r="B188" s="20" t="s">
        <v>281</v>
      </c>
      <c r="M188" s="154">
        <f>M79/M77</f>
        <v>4.874482086278333E-4</v>
      </c>
      <c r="N188" s="154">
        <f>N79/N77</f>
        <v>4.8169556840077071E-4</v>
      </c>
      <c r="O188" s="154">
        <f>O79/O77</f>
        <v>4.7058823529411766E-4</v>
      </c>
      <c r="P188" s="154">
        <f>P79/P77</f>
        <v>4.6189376443418013E-4</v>
      </c>
      <c r="Q188" s="154">
        <f>Q79/Q77</f>
        <v>6.0060060060060057E-4</v>
      </c>
      <c r="T188" s="49"/>
      <c r="U188" s="49"/>
      <c r="V188" s="49"/>
      <c r="W188" s="49"/>
      <c r="X188" s="49"/>
      <c r="Y188" s="49"/>
      <c r="Z188" s="49"/>
      <c r="AA188" s="49"/>
      <c r="AC188" s="154">
        <f>AC79/AC77</f>
        <v>5.9689614007162755E-4</v>
      </c>
    </row>
    <row r="189" spans="2:29" x14ac:dyDescent="0.2">
      <c r="B189" s="20" t="s">
        <v>282</v>
      </c>
      <c r="M189" s="71">
        <f>M120/M74</f>
        <v>6.9776522593320234</v>
      </c>
      <c r="N189" s="71">
        <f>N120/N74</f>
        <v>6.8498912255257434</v>
      </c>
      <c r="O189" s="71">
        <f>O120/O74</f>
        <v>5.9210028382213808</v>
      </c>
      <c r="P189" s="71">
        <f>P120/P74</f>
        <v>5.0951501154734409</v>
      </c>
      <c r="Q189" s="71">
        <f>Q120/Q74</f>
        <v>7.4906906906906903</v>
      </c>
      <c r="T189" s="71">
        <f t="shared" ref="T189:AA189" si="112">T120/T74</f>
        <v>6.8458840037418147</v>
      </c>
      <c r="U189" s="71">
        <f t="shared" si="112"/>
        <v>5.5845119406445631</v>
      </c>
      <c r="V189" s="71">
        <f t="shared" si="112"/>
        <v>5.0951501154734409</v>
      </c>
      <c r="W189" s="71">
        <f t="shared" si="112"/>
        <v>4.825309491059147</v>
      </c>
      <c r="X189" s="71">
        <f t="shared" si="112"/>
        <v>4.8448709161526162</v>
      </c>
      <c r="Y189" s="71">
        <f t="shared" si="112"/>
        <v>6.4853249475890982</v>
      </c>
      <c r="Z189" s="71">
        <f t="shared" si="112"/>
        <v>7.4906906906906903</v>
      </c>
      <c r="AA189" s="71">
        <f t="shared" si="112"/>
        <v>6.5238758456028654</v>
      </c>
      <c r="AC189" s="71">
        <f>AC120/AC74</f>
        <v>6.5238758456028654</v>
      </c>
    </row>
    <row r="190" spans="2:29" x14ac:dyDescent="0.2">
      <c r="B190" s="20" t="s">
        <v>284</v>
      </c>
      <c r="M190" s="154">
        <f>M53/M58</f>
        <v>6.9120043454644217E-2</v>
      </c>
      <c r="N190" s="154">
        <f>N53/N58</f>
        <v>0.20268256333830104</v>
      </c>
      <c r="O190" s="154">
        <f>O53/O58</f>
        <v>0.28149245924505273</v>
      </c>
      <c r="P190" s="154">
        <f>P53/P58</f>
        <v>0.41143822393822393</v>
      </c>
      <c r="Q190" s="154">
        <f>Q53/Q58</f>
        <v>0.25100546560791998</v>
      </c>
      <c r="T190" s="154" t="e">
        <f t="shared" ref="T190:Y190" si="113">T53/T58</f>
        <v>#DIV/0!</v>
      </c>
      <c r="U190" s="154" t="e">
        <f t="shared" si="113"/>
        <v>#DIV/0!</v>
      </c>
      <c r="V190" s="154" t="e">
        <f t="shared" si="113"/>
        <v>#DIV/0!</v>
      </c>
      <c r="W190" s="154">
        <f t="shared" si="113"/>
        <v>0.84132841328413288</v>
      </c>
      <c r="X190" s="154">
        <f t="shared" si="113"/>
        <v>0.32390243902439025</v>
      </c>
      <c r="Y190" s="154">
        <f t="shared" si="113"/>
        <v>0.2152395915161037</v>
      </c>
      <c r="Z190" s="154">
        <f>W53/W58</f>
        <v>0.84132841328413288</v>
      </c>
      <c r="AA190" s="154">
        <f>AA53/AA58</f>
        <v>0.56660583941605835</v>
      </c>
      <c r="AC190" s="154">
        <f>AC53/AC58</f>
        <v>0.2375751503006012</v>
      </c>
    </row>
    <row r="191" spans="2:29" x14ac:dyDescent="0.2">
      <c r="B191" s="20" t="s">
        <v>285</v>
      </c>
      <c r="M191" s="154">
        <f>M53/M5</f>
        <v>2.5764324762097592E-2</v>
      </c>
      <c r="N191" s="154">
        <f>N53/N5</f>
        <v>4.9608272274558315E-2</v>
      </c>
      <c r="O191" s="154">
        <f>O53/O5</f>
        <v>5.9544884561481153E-2</v>
      </c>
      <c r="P191" s="154">
        <f>P53/P5</f>
        <v>6.4217246379540877E-2</v>
      </c>
      <c r="Q191" s="154">
        <f>Q53/Q5</f>
        <v>4.6052258149963103E-2</v>
      </c>
      <c r="T191" s="154">
        <f t="shared" ref="T191:Y191" si="114">T53/T5</f>
        <v>0</v>
      </c>
      <c r="U191" s="154">
        <f t="shared" si="114"/>
        <v>0</v>
      </c>
      <c r="V191" s="154">
        <f t="shared" si="114"/>
        <v>0</v>
      </c>
      <c r="W191" s="154">
        <f t="shared" si="114"/>
        <v>5.3998578984763561E-2</v>
      </c>
      <c r="X191" s="154">
        <f t="shared" si="114"/>
        <v>5.1636985768722297E-2</v>
      </c>
      <c r="Y191" s="154">
        <f t="shared" si="114"/>
        <v>4.0137698674284038E-2</v>
      </c>
      <c r="Z191" s="154">
        <f>W53/Z5</f>
        <v>5.0021939447125935E-2</v>
      </c>
      <c r="AA191" s="154">
        <f>AA53/AA5</f>
        <v>4.5739117625395891E-2</v>
      </c>
      <c r="AC191" s="154">
        <f>AC53/AC5</f>
        <v>4.4100961627885349E-2</v>
      </c>
    </row>
    <row r="192" spans="2:29" x14ac:dyDescent="0.2">
      <c r="B192" s="20" t="s">
        <v>290</v>
      </c>
      <c r="M192" s="71">
        <f>(M120-M121)/M74</f>
        <v>-2.3791748526522594</v>
      </c>
      <c r="N192" s="71">
        <f>(N120-N121)/N74</f>
        <v>-3.3147208121827409</v>
      </c>
      <c r="O192" s="71">
        <f>(O120-O121)/O74</f>
        <v>-5.7313150425733204</v>
      </c>
      <c r="P192" s="71">
        <f>(P120-P121)/P74</f>
        <v>-6.4547344110854503</v>
      </c>
      <c r="Q192" s="71">
        <f>(Q120-Q121)/Q74</f>
        <v>-1.8356356356356356</v>
      </c>
      <c r="T192" s="71">
        <f t="shared" ref="T192:AA192" si="115">(T120-T121)/T74</f>
        <v>-5.5556594948550044</v>
      </c>
      <c r="U192" s="71">
        <f t="shared" si="115"/>
        <v>-6.06306515186645</v>
      </c>
      <c r="V192" s="71">
        <f t="shared" si="115"/>
        <v>-6.4547344110854503</v>
      </c>
      <c r="W192" s="71">
        <f t="shared" si="115"/>
        <v>-6.6719394773039893</v>
      </c>
      <c r="X192" s="71">
        <f t="shared" si="115"/>
        <v>-6.7514279186657529</v>
      </c>
      <c r="Y192" s="71">
        <f t="shared" si="115"/>
        <v>-3.2742138364779874</v>
      </c>
      <c r="Z192" s="71">
        <f t="shared" si="115"/>
        <v>-1.8356356356356356</v>
      </c>
      <c r="AA192" s="71">
        <f t="shared" si="115"/>
        <v>-2.435734182252288</v>
      </c>
      <c r="AC192" s="71">
        <f>(AC120-AC121)/AC74</f>
        <v>-2.435734182252288</v>
      </c>
    </row>
    <row r="193" spans="2:29" x14ac:dyDescent="0.2">
      <c r="B193" s="20" t="s">
        <v>295</v>
      </c>
      <c r="M193" s="154">
        <f>(M120-M121)/M171</f>
        <v>-4.601830291547894E-2</v>
      </c>
      <c r="N193" s="154">
        <f>(N120-N121)/N171</f>
        <v>-0.12496200017933728</v>
      </c>
      <c r="O193" s="154">
        <f>(O120-O121)/O171</f>
        <v>-0.11346561311091601</v>
      </c>
      <c r="P193" s="154">
        <f>(P120-P121)/P171</f>
        <v>-0.31796721236874137</v>
      </c>
      <c r="Q193" s="154">
        <f>(Q120-Q121)/Q171</f>
        <v>-5.070816673026618E-2</v>
      </c>
      <c r="T193" s="49"/>
      <c r="U193" s="49"/>
      <c r="V193" s="49"/>
      <c r="W193" s="49"/>
      <c r="X193" s="49"/>
      <c r="Y193" s="49"/>
      <c r="Z193" s="49"/>
      <c r="AA193" s="49"/>
      <c r="AC193" s="154">
        <f ca="1">(AC120-AC121)/AC171</f>
        <v>-2.1887353931368002E-2</v>
      </c>
    </row>
    <row r="194" spans="2:29" x14ac:dyDescent="0.2">
      <c r="B194" s="20" t="s">
        <v>304</v>
      </c>
      <c r="M194" s="154">
        <f>-M123/M5</f>
        <v>0.23705456570155903</v>
      </c>
      <c r="N194" s="154">
        <f>-N123/N5</f>
        <v>0.39401148222158783</v>
      </c>
      <c r="O194" s="154">
        <f>-O123/O5</f>
        <v>0.4748469425389098</v>
      </c>
      <c r="P194" s="154">
        <f>-P123/P5</f>
        <v>0.45091429539933336</v>
      </c>
      <c r="Q194" s="154">
        <f>-Q123/Q5</f>
        <v>0.27710820577829071</v>
      </c>
      <c r="T194" s="154">
        <f t="shared" ref="T194:AA194" si="116">-T123/T5</f>
        <v>0</v>
      </c>
      <c r="U194" s="154">
        <f t="shared" si="116"/>
        <v>0</v>
      </c>
      <c r="V194" s="154">
        <f t="shared" si="116"/>
        <v>0</v>
      </c>
      <c r="W194" s="154">
        <f t="shared" si="116"/>
        <v>0.40917344280413676</v>
      </c>
      <c r="X194" s="154">
        <f t="shared" si="116"/>
        <v>0.27607123415506651</v>
      </c>
      <c r="Y194" s="154">
        <f t="shared" si="116"/>
        <v>0.17761664103127517</v>
      </c>
      <c r="Z194" s="154">
        <f t="shared" si="116"/>
        <v>0.25508263858417435</v>
      </c>
      <c r="AA194" s="154">
        <f t="shared" si="116"/>
        <v>0.2678058481255064</v>
      </c>
      <c r="AC194" s="154">
        <f>-AC123/AC5</f>
        <v>0.24364339787586259</v>
      </c>
    </row>
    <row r="195" spans="2:29" x14ac:dyDescent="0.2">
      <c r="B195" s="20" t="s">
        <v>305</v>
      </c>
      <c r="M195" s="154">
        <f>-(M123/M58)</f>
        <v>0.63596550787615425</v>
      </c>
      <c r="N195" s="154">
        <f>-(N123/N58)</f>
        <v>1.6097971878442299</v>
      </c>
      <c r="O195" s="154">
        <f>-(O123/O58)</f>
        <v>2.2447912126231366</v>
      </c>
      <c r="P195" s="154">
        <f>-(P123/P58)</f>
        <v>2.8889961389961392</v>
      </c>
      <c r="Q195" s="154">
        <f>-(Q123/Q58)</f>
        <v>1.5103640301124059</v>
      </c>
      <c r="T195" s="154" t="e">
        <f t="shared" ref="T195:Y195" si="117">-(T123/T58)</f>
        <v>#DIV/0!</v>
      </c>
      <c r="U195" s="154" t="e">
        <f t="shared" si="117"/>
        <v>#DIV/0!</v>
      </c>
      <c r="V195" s="154" t="e">
        <f t="shared" si="117"/>
        <v>#DIV/0!</v>
      </c>
      <c r="W195" s="154">
        <f t="shared" si="117"/>
        <v>6.375153751537515</v>
      </c>
      <c r="X195" s="154">
        <f t="shared" si="117"/>
        <v>1.7317073170731707</v>
      </c>
      <c r="Y195" s="154">
        <f t="shared" si="117"/>
        <v>0.95247446975648076</v>
      </c>
      <c r="Z195" s="154">
        <f>-(Z123/W58)</f>
        <v>4.2902829028290279</v>
      </c>
      <c r="AA195" s="154">
        <f>-(AA123/AA58)</f>
        <v>3.3175182481751824</v>
      </c>
      <c r="AC195" s="154">
        <f>-(AC123/AC58)</f>
        <v>1.3125250501002004</v>
      </c>
    </row>
    <row r="196" spans="2:29" x14ac:dyDescent="0.2">
      <c r="B196" s="20" t="s">
        <v>306</v>
      </c>
      <c r="M196" s="154">
        <f>-M123/M52</f>
        <v>1.5886194029850746</v>
      </c>
      <c r="N196" s="154">
        <f>-N123/N52</f>
        <v>1.9059455312619868</v>
      </c>
      <c r="O196" s="154">
        <f>-O123/O52</f>
        <v>2.6817329722974379</v>
      </c>
      <c r="P196" s="154">
        <f>-P123/P52</f>
        <v>2.1042270849811056</v>
      </c>
      <c r="Q196" s="154">
        <f>-Q123/Q52</f>
        <v>1.2511532547411583</v>
      </c>
      <c r="T196" s="154" t="e">
        <f t="shared" ref="T196:Y196" si="118">-T123/T52</f>
        <v>#DIV/0!</v>
      </c>
      <c r="U196" s="154" t="e">
        <f t="shared" si="118"/>
        <v>#DIV/0!</v>
      </c>
      <c r="V196" s="154" t="e">
        <f t="shared" si="118"/>
        <v>#DIV/0!</v>
      </c>
      <c r="W196" s="154">
        <f t="shared" si="118"/>
        <v>1.9382946896035902</v>
      </c>
      <c r="X196" s="154">
        <f t="shared" si="118"/>
        <v>1.1782276800531033</v>
      </c>
      <c r="Y196" s="154">
        <f t="shared" si="118"/>
        <v>0.81049465240641716</v>
      </c>
      <c r="Z196" s="154">
        <f>-Z123/W52</f>
        <v>1.3044128646222888</v>
      </c>
      <c r="AA196" s="154">
        <f>-AA123/AA52</f>
        <v>1.159438775510204</v>
      </c>
      <c r="AC196" s="154">
        <f>-AC123/AC52</f>
        <v>1.0765121630506247</v>
      </c>
    </row>
    <row r="198" spans="2:29" x14ac:dyDescent="0.2">
      <c r="B198" s="1"/>
    </row>
    <row r="199" spans="2:29" ht="17" thickBot="1" x14ac:dyDescent="0.25">
      <c r="B199" s="14" t="s">
        <v>315</v>
      </c>
      <c r="C199" s="172"/>
      <c r="D199" s="172"/>
      <c r="E199" s="172"/>
      <c r="F199" s="172"/>
      <c r="G199" s="172"/>
      <c r="H199" s="172"/>
      <c r="I199" s="172"/>
      <c r="J199" s="172"/>
      <c r="K199" s="172"/>
      <c r="L199" s="172"/>
      <c r="M199" s="172"/>
      <c r="N199" s="172"/>
      <c r="O199" s="172"/>
      <c r="P199" s="172"/>
      <c r="Q199" s="172"/>
      <c r="T199" s="172"/>
      <c r="U199" s="172"/>
      <c r="V199" s="172"/>
      <c r="W199" s="172"/>
      <c r="X199" s="172"/>
      <c r="Y199" s="172"/>
      <c r="Z199" s="172"/>
      <c r="AA199" s="172"/>
      <c r="AC199" s="172"/>
    </row>
    <row r="200" spans="2:29" x14ac:dyDescent="0.2">
      <c r="B200" s="218" t="s">
        <v>362</v>
      </c>
      <c r="C200" s="80"/>
      <c r="D200" s="80"/>
      <c r="E200" s="80"/>
      <c r="F200" s="80"/>
      <c r="G200" s="80"/>
      <c r="H200" s="80"/>
      <c r="I200" s="80"/>
      <c r="J200" s="80"/>
      <c r="K200" s="80"/>
      <c r="L200" s="80"/>
      <c r="M200" s="80">
        <f t="shared" ref="M200:Q204" si="119">IF(L105=0,
IF(M105=0,0,IF(M105&gt;0,1,-1)),
(M105-L105)/ABS(L105)
)</f>
        <v>1</v>
      </c>
      <c r="N200" s="80">
        <f t="shared" si="119"/>
        <v>-0.22657676298045326</v>
      </c>
      <c r="O200" s="80">
        <f t="shared" si="119"/>
        <v>-7.9155257608661447E-2</v>
      </c>
      <c r="P200" s="80">
        <f t="shared" si="119"/>
        <v>0.139722469068289</v>
      </c>
      <c r="Q200" s="80">
        <f t="shared" si="119"/>
        <v>-3.3527259641336293E-2</v>
      </c>
      <c r="T200" s="80">
        <f t="shared" ref="T200:AA204" si="120">IF(S105=0,
IF(T105=0,0,IF(T105&gt;0,1,-1)),
(T105-S105)/ABS(S105)
)</f>
        <v>1</v>
      </c>
      <c r="U200" s="80">
        <f t="shared" si="120"/>
        <v>2.2104875353063983E-3</v>
      </c>
      <c r="V200" s="80">
        <f t="shared" si="120"/>
        <v>7.4500673937017522E-2</v>
      </c>
      <c r="W200" s="80">
        <f t="shared" si="120"/>
        <v>-0.13000342114266164</v>
      </c>
      <c r="X200" s="80">
        <f t="shared" si="120"/>
        <v>3.1721064359680168E-2</v>
      </c>
      <c r="Y200" s="80">
        <f t="shared" si="120"/>
        <v>8.436030999872951E-2</v>
      </c>
      <c r="Z200" s="80">
        <f t="shared" si="120"/>
        <v>-4.0070298769771528E-2</v>
      </c>
      <c r="AA200" s="80">
        <f t="shared" si="120"/>
        <v>-5.687782253142927E-2</v>
      </c>
      <c r="AC200" s="49"/>
    </row>
    <row r="201" spans="2:29" x14ac:dyDescent="0.2">
      <c r="B201" s="218" t="s">
        <v>363</v>
      </c>
      <c r="M201" s="80">
        <f t="shared" si="119"/>
        <v>1</v>
      </c>
      <c r="N201" s="80">
        <f t="shared" si="119"/>
        <v>-8.4923946253162061E-2</v>
      </c>
      <c r="O201" s="80">
        <f t="shared" si="119"/>
        <v>-0.23547784878293962</v>
      </c>
      <c r="P201" s="80">
        <f t="shared" si="119"/>
        <v>-0.242779995304062</v>
      </c>
      <c r="Q201" s="80">
        <f t="shared" si="119"/>
        <v>4.9240310077519382E-2</v>
      </c>
      <c r="T201" s="80">
        <f t="shared" si="120"/>
        <v>1</v>
      </c>
      <c r="U201" s="80">
        <f t="shared" si="120"/>
        <v>8.8304862023653091E-2</v>
      </c>
      <c r="V201" s="80">
        <f t="shared" si="120"/>
        <v>5.0712388312001935E-2</v>
      </c>
      <c r="W201" s="80">
        <f t="shared" si="120"/>
        <v>-5.1712250057458053E-2</v>
      </c>
      <c r="X201" s="80">
        <f t="shared" si="120"/>
        <v>-4.5322346097915654E-2</v>
      </c>
      <c r="Y201" s="80">
        <f t="shared" si="120"/>
        <v>4.5189134298045192E-2</v>
      </c>
      <c r="Z201" s="80">
        <f t="shared" si="120"/>
        <v>0.15059509351469516</v>
      </c>
      <c r="AA201" s="80">
        <f t="shared" si="120"/>
        <v>6.6497783407219763E-2</v>
      </c>
      <c r="AC201" s="49"/>
    </row>
    <row r="202" spans="2:29" x14ac:dyDescent="0.2">
      <c r="B202" s="20" t="s">
        <v>364</v>
      </c>
      <c r="M202" s="80">
        <f t="shared" si="119"/>
        <v>1</v>
      </c>
      <c r="N202" s="80">
        <f t="shared" si="119"/>
        <v>-0.16628914988814317</v>
      </c>
      <c r="O202" s="80">
        <f t="shared" si="119"/>
        <v>-0.1521793818236705</v>
      </c>
      <c r="P202" s="80">
        <f t="shared" si="119"/>
        <v>-2.1403279726227919E-2</v>
      </c>
      <c r="Q202" s="80">
        <f t="shared" si="119"/>
        <v>-6.5492915041135214E-3</v>
      </c>
      <c r="T202" s="80">
        <f t="shared" si="120"/>
        <v>1</v>
      </c>
      <c r="U202" s="80">
        <f t="shared" si="120"/>
        <v>2.9628389688650822E-2</v>
      </c>
      <c r="V202" s="80">
        <f t="shared" si="120"/>
        <v>6.6493253129572424E-2</v>
      </c>
      <c r="W202" s="80">
        <f t="shared" si="120"/>
        <v>-0.10403963414634146</v>
      </c>
      <c r="X202" s="80">
        <f t="shared" si="120"/>
        <v>4.6788600595491277E-3</v>
      </c>
      <c r="Y202" s="80">
        <f t="shared" si="120"/>
        <v>7.1295512277730733E-2</v>
      </c>
      <c r="Z202" s="80">
        <f t="shared" si="120"/>
        <v>2.1972810622826432E-2</v>
      </c>
      <c r="AA202" s="80">
        <f t="shared" si="120"/>
        <v>-1.1678267594740912E-2</v>
      </c>
      <c r="AC202" s="49"/>
    </row>
    <row r="203" spans="2:29" x14ac:dyDescent="0.2">
      <c r="B203" s="20" t="s">
        <v>365</v>
      </c>
      <c r="M203" s="80">
        <f t="shared" si="119"/>
        <v>1</v>
      </c>
      <c r="N203" s="80">
        <f t="shared" si="119"/>
        <v>0.35158501440922191</v>
      </c>
      <c r="O203" s="80">
        <f t="shared" si="119"/>
        <v>1.0298507462686568</v>
      </c>
      <c r="P203" s="80">
        <f t="shared" si="119"/>
        <v>17.190126050420169</v>
      </c>
      <c r="Q203" s="80">
        <f t="shared" si="119"/>
        <v>2.9393081942599757E-2</v>
      </c>
      <c r="T203" s="80">
        <f t="shared" si="120"/>
        <v>1</v>
      </c>
      <c r="U203" s="80">
        <f t="shared" si="120"/>
        <v>1.3311536665109761E-2</v>
      </c>
      <c r="V203" s="80">
        <f t="shared" si="120"/>
        <v>2.3046784973496196E-4</v>
      </c>
      <c r="W203" s="80">
        <f t="shared" si="120"/>
        <v>7.5345622119815672E-2</v>
      </c>
      <c r="X203" s="80">
        <f t="shared" si="120"/>
        <v>-5.3567602314120423E-2</v>
      </c>
      <c r="Y203" s="80">
        <f t="shared" si="120"/>
        <v>-4.1204437400950873E-2</v>
      </c>
      <c r="Z203" s="80">
        <f t="shared" si="120"/>
        <v>6.4226682408500588E-2</v>
      </c>
      <c r="AA203" s="80">
        <f t="shared" si="120"/>
        <v>0.2027956512092301</v>
      </c>
      <c r="AC203" s="49"/>
    </row>
    <row r="204" spans="2:29" x14ac:dyDescent="0.2">
      <c r="B204" s="20" t="s">
        <v>366</v>
      </c>
      <c r="M204" s="80">
        <f t="shared" si="119"/>
        <v>1</v>
      </c>
      <c r="N204" s="80">
        <f t="shared" si="119"/>
        <v>-0.58669833729216148</v>
      </c>
      <c r="O204" s="80">
        <f t="shared" si="119"/>
        <v>-7.9445571331981074E-2</v>
      </c>
      <c r="P204" s="80">
        <f t="shared" si="119"/>
        <v>0.32243848696290855</v>
      </c>
      <c r="Q204" s="80">
        <f t="shared" si="119"/>
        <v>-1.0552624271035824E-2</v>
      </c>
      <c r="T204" s="80">
        <f t="shared" si="120"/>
        <v>1</v>
      </c>
      <c r="U204" s="80">
        <f t="shared" si="120"/>
        <v>9.4211123723041995E-2</v>
      </c>
      <c r="V204" s="80">
        <f t="shared" si="120"/>
        <v>0.1545643153526971</v>
      </c>
      <c r="W204" s="80">
        <f t="shared" si="120"/>
        <v>-0.1527403414195867</v>
      </c>
      <c r="X204" s="80">
        <f t="shared" si="120"/>
        <v>0.11664899257688228</v>
      </c>
      <c r="Y204" s="80">
        <f t="shared" si="120"/>
        <v>-5.6980056980056981E-2</v>
      </c>
      <c r="Z204" s="80">
        <f t="shared" si="120"/>
        <v>-0.42195367573011078</v>
      </c>
      <c r="AA204" s="80">
        <f t="shared" si="120"/>
        <v>9.4076655052264813E-2</v>
      </c>
      <c r="AC204" s="49"/>
    </row>
    <row r="206" spans="2:29" x14ac:dyDescent="0.2">
      <c r="B206" s="1"/>
    </row>
    <row r="207" spans="2:29" ht="17" thickBot="1" x14ac:dyDescent="0.25">
      <c r="B207" s="14" t="s">
        <v>316</v>
      </c>
      <c r="C207" s="172"/>
      <c r="D207" s="172"/>
      <c r="E207" s="172"/>
      <c r="F207" s="172"/>
      <c r="G207" s="172"/>
      <c r="H207" s="172"/>
      <c r="I207" s="172"/>
      <c r="J207" s="172"/>
      <c r="K207" s="172"/>
      <c r="L207" s="172"/>
      <c r="M207" s="172"/>
      <c r="N207" s="172"/>
      <c r="O207" s="172"/>
      <c r="P207" s="172"/>
      <c r="Q207" s="172"/>
      <c r="T207" s="172"/>
      <c r="U207" s="172"/>
      <c r="V207" s="172"/>
      <c r="W207" s="172"/>
      <c r="X207" s="172"/>
      <c r="Y207" s="172"/>
      <c r="Z207" s="172"/>
      <c r="AA207" s="172"/>
      <c r="AC207" s="172"/>
    </row>
    <row r="208" spans="2:29" x14ac:dyDescent="0.2">
      <c r="B208" s="20" t="s">
        <v>288</v>
      </c>
      <c r="C208" s="80"/>
      <c r="D208" s="80"/>
      <c r="E208" s="80"/>
      <c r="F208" s="80"/>
      <c r="G208" s="80"/>
      <c r="H208" s="80"/>
      <c r="I208" s="80"/>
      <c r="J208" s="80"/>
      <c r="K208" s="80"/>
      <c r="L208" s="80"/>
      <c r="M208" s="80">
        <f>IF(L63=0,
IF(M63=0,0,IF(M63&gt;0,1,-1)),
(M63-L63)/L63
)</f>
        <v>-1</v>
      </c>
      <c r="N208" s="80">
        <f>IF(M63=0,
IF(N63=0,0,IF(N63&gt;0,1,-1)),
(N63-M63)/M63
)</f>
        <v>6.2544294826364283E-2</v>
      </c>
      <c r="O208" s="80">
        <f>IF(N63=0,
IF(O63=0,0,IF(O63&gt;0,1,-1)),
(O63-N63)/N63
)</f>
        <v>-0.48507587126896784</v>
      </c>
      <c r="P208" s="80">
        <f>IF(O63=0,
IF(P63=0,0,IF(P63&gt;0,1,-1)),
(P63-O63)/O63
)</f>
        <v>-0.48218911917098445</v>
      </c>
      <c r="Q208" s="80">
        <f>IF(P63=0,
IF(Q63=0,0,IF(Q63&gt;0,1,-1)),
(Q63-P63)/P63
)</f>
        <v>-1</v>
      </c>
      <c r="T208" s="49"/>
      <c r="U208" s="49"/>
      <c r="V208" s="49"/>
      <c r="W208" s="49"/>
      <c r="X208" s="49"/>
      <c r="Y208" s="49"/>
      <c r="Z208" s="49"/>
      <c r="AA208" s="49"/>
      <c r="AC208" s="49"/>
    </row>
  </sheetData>
  <pageMargins left="0.7" right="0.7" top="0.75" bottom="0.75" header="0.3" footer="0.3"/>
  <ignoredErrors>
    <ignoredError sqref="AC23 AC80 AC65 AC52:AC56 AC58:AC61 AC5:AC19 AC62:AC64 AC105:AC115 AC142" formulaRange="1"/>
    <ignoredError sqref="AC20:AC21 AC24:AC25" formula="1" formulaRange="1"/>
    <ignoredError sqref="M137:Q137 AC137"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10" sqref="F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278</v>
      </c>
    </row>
    <row r="4" spans="2:7" x14ac:dyDescent="0.2">
      <c r="B4" s="228" t="s">
        <v>236</v>
      </c>
      <c r="C4" s="228"/>
      <c r="E4" s="228" t="s">
        <v>243</v>
      </c>
      <c r="F4" s="228"/>
      <c r="G4" s="228"/>
    </row>
    <row r="5" spans="2:7" x14ac:dyDescent="0.2">
      <c r="B5" s="20" t="s">
        <v>1</v>
      </c>
      <c r="C5" s="174">
        <f ca="1">Overview!C5</f>
        <v>111.285</v>
      </c>
      <c r="E5" s="12"/>
      <c r="F5" s="131" t="s">
        <v>244</v>
      </c>
      <c r="G5" s="131" t="s">
        <v>245</v>
      </c>
    </row>
    <row r="6" spans="2:7" x14ac:dyDescent="0.2">
      <c r="B6" s="20" t="s">
        <v>242</v>
      </c>
      <c r="C6" s="175">
        <f ca="1">Statement!AC171</f>
        <v>559318.41</v>
      </c>
      <c r="E6" s="20" t="s">
        <v>19</v>
      </c>
      <c r="F6" s="180">
        <f>IF(Statement!M5&lt;=0,"N/A",_xlfn.RRI(4,Statement!M5,Statement!Q5))</f>
        <v>-9.5668499906773397E-2</v>
      </c>
      <c r="G6" s="180" t="str">
        <f>IF(Statement!H5&lt;=0,"N/A",_xlfn.RRI(9,Statement!H5,Statement!Q5))</f>
        <v>N/A</v>
      </c>
    </row>
    <row r="7" spans="2:7" x14ac:dyDescent="0.2">
      <c r="B7" s="20" t="s">
        <v>184</v>
      </c>
      <c r="C7" s="175">
        <f ca="1">Statement!AC172</f>
        <v>585155.41</v>
      </c>
      <c r="E7" s="20" t="s">
        <v>29</v>
      </c>
      <c r="F7" s="180" t="str">
        <f>IF(OR(Statement!M18&lt;=0, Statement!Q18&lt;=0), "N/A", _xlfn.RRI(4, Statement!M18, Statement!Q18))</f>
        <v>N/A</v>
      </c>
      <c r="G7" s="180" t="str">
        <f>IF(OR(Statement!H18&lt;=0, Statement!Q18&lt;=0), "N/A", _xlfn.RRI(9, Statement!H18, Statement!Q18))</f>
        <v>N/A</v>
      </c>
    </row>
    <row r="8" spans="2:7" x14ac:dyDescent="0.2">
      <c r="B8" s="20" t="s">
        <v>240</v>
      </c>
      <c r="C8" s="176">
        <f ca="1">Statement!AC168</f>
        <v>-179.49193548387098</v>
      </c>
      <c r="E8" s="20" t="s">
        <v>246</v>
      </c>
      <c r="F8" s="180" t="str">
        <f>IF(OR(Statement!M26&lt;=0, Statement!Q26&lt;=0), "N/A", _xlfn.RRI(4, Statement!M26, Statement!Q26))</f>
        <v>N/A</v>
      </c>
      <c r="G8" s="180" t="str">
        <f>IF(OR(Statement!H26&lt;=0, Statement!Q26&lt;=0), "N/A", _xlfn.RRI(9, Statement!H26, Statement!Q26))</f>
        <v>N/A</v>
      </c>
    </row>
    <row r="9" spans="2:7" x14ac:dyDescent="0.2">
      <c r="B9" s="20" t="s">
        <v>197</v>
      </c>
      <c r="C9" s="176">
        <f ca="1">Statement!AC169</f>
        <v>9.7399990234919915</v>
      </c>
      <c r="E9" s="20" t="s">
        <v>247</v>
      </c>
      <c r="F9" s="180">
        <f>IF(Statement!M81&lt;=0,"N/A",_xlfn.RRI(4,Statement!M81,Statement!Q81))</f>
        <v>-1</v>
      </c>
      <c r="G9" s="180" t="str">
        <f>IF(Statement!H81&lt;=0,"N/A",_xlfn.RRI(9,Statement!H81,Statement!Q81))</f>
        <v>N/A</v>
      </c>
    </row>
    <row r="10" spans="2:7" x14ac:dyDescent="0.2">
      <c r="B10" s="20" t="s">
        <v>241</v>
      </c>
      <c r="C10" s="176">
        <f ca="1">Statement!AC170</f>
        <v>5.0210820151893278</v>
      </c>
      <c r="E10" s="20" t="s">
        <v>1</v>
      </c>
      <c r="F10" s="180">
        <f>IF(Statement!M129&lt;=0,"N/A",_xlfn.RRI(4,Statement!M129,Statement!Q129))</f>
        <v>-8.3512303772420138E-2</v>
      </c>
      <c r="G10" s="180" t="str">
        <f>IF(Statement!H129&lt;=0,"N/A",_xlfn.RRI(9,Statement!H129,Statement!Q129))</f>
        <v>N/A</v>
      </c>
    </row>
    <row r="11" spans="2:7" x14ac:dyDescent="0.2">
      <c r="B11" s="20" t="s">
        <v>263</v>
      </c>
      <c r="C11" s="176">
        <f ca="1">Statement!AC173</f>
        <v>10.883979874634973</v>
      </c>
    </row>
    <row r="12" spans="2:7" x14ac:dyDescent="0.2">
      <c r="B12" s="20" t="s">
        <v>200</v>
      </c>
      <c r="C12" s="176">
        <f ca="1">Statement!AC174</f>
        <v>-115.89530798177857</v>
      </c>
    </row>
    <row r="15" spans="2:7" x14ac:dyDescent="0.2">
      <c r="B15" s="228" t="s">
        <v>75</v>
      </c>
      <c r="C15" s="228"/>
      <c r="E15" s="228" t="s">
        <v>249</v>
      </c>
      <c r="F15" s="228"/>
    </row>
    <row r="16" spans="2:7" x14ac:dyDescent="0.2">
      <c r="B16" s="20" t="s">
        <v>76</v>
      </c>
      <c r="C16" s="177">
        <f>Statement!AC100</f>
        <v>0.35433290552982533</v>
      </c>
      <c r="E16" s="20" t="s">
        <v>29</v>
      </c>
      <c r="F16" s="175">
        <f>Statement!AC18</f>
        <v>-3174</v>
      </c>
    </row>
    <row r="17" spans="2:6" x14ac:dyDescent="0.2">
      <c r="B17" s="20" t="s">
        <v>77</v>
      </c>
      <c r="C17" s="177">
        <f>Statement!AC101</f>
        <v>-9.391217007979466E-2</v>
      </c>
      <c r="E17" s="20" t="s">
        <v>250</v>
      </c>
      <c r="F17" s="175">
        <f>Statement!AC58</f>
        <v>9980</v>
      </c>
    </row>
    <row r="18" spans="2:6" x14ac:dyDescent="0.2">
      <c r="B18" s="20" t="s">
        <v>78</v>
      </c>
      <c r="C18" s="177">
        <f>Statement!AC102</f>
        <v>-6.2645313691572266E-2</v>
      </c>
      <c r="E18" s="20" t="s">
        <v>257</v>
      </c>
      <c r="F18" s="179" t="str">
        <f>IF(OR(F16&lt;=0, F17&lt;=0),"N/A",F16-F17)</f>
        <v>N/A</v>
      </c>
    </row>
    <row r="21" spans="2:6" x14ac:dyDescent="0.2">
      <c r="B21" s="228" t="s">
        <v>248</v>
      </c>
      <c r="C21" s="228"/>
      <c r="E21" s="228" t="s">
        <v>252</v>
      </c>
      <c r="F21" s="228"/>
    </row>
    <row r="22" spans="2:6" x14ac:dyDescent="0.2">
      <c r="B22" s="20" t="s">
        <v>95</v>
      </c>
      <c r="C22" s="177">
        <f>Statement!AC134</f>
        <v>-6.2645313691572266E-2</v>
      </c>
      <c r="E22" s="20" t="s">
        <v>97</v>
      </c>
      <c r="F22" s="177">
        <f>C24</f>
        <v>-1.6402703913661776E-2</v>
      </c>
    </row>
    <row r="23" spans="2:6" x14ac:dyDescent="0.2">
      <c r="B23" s="20" t="s">
        <v>96</v>
      </c>
      <c r="C23" s="176">
        <f>Statement!AC135</f>
        <v>0.26183449243176904</v>
      </c>
      <c r="E23" s="20" t="s">
        <v>99</v>
      </c>
      <c r="F23" s="177">
        <f>C26</f>
        <v>-3.0235021634917498E-2</v>
      </c>
    </row>
    <row r="24" spans="2:6" x14ac:dyDescent="0.2">
      <c r="B24" s="32" t="s">
        <v>97</v>
      </c>
      <c r="C24" s="178">
        <f>Statement!AC136</f>
        <v>-1.6402703913661776E-2</v>
      </c>
      <c r="E24" s="20" t="s">
        <v>100</v>
      </c>
      <c r="F24" s="177">
        <f>Statement!AC158</f>
        <v>-3.6791978488825414E-2</v>
      </c>
    </row>
    <row r="25" spans="2:6" x14ac:dyDescent="0.2">
      <c r="B25" s="20" t="s">
        <v>98</v>
      </c>
      <c r="C25" s="176">
        <f>Statement!AC137</f>
        <v>1.8432949710038242</v>
      </c>
    </row>
    <row r="26" spans="2:6" x14ac:dyDescent="0.2">
      <c r="B26" s="32" t="s">
        <v>99</v>
      </c>
      <c r="C26" s="178">
        <f>Statement!AC138</f>
        <v>-3.0235021634917498E-2</v>
      </c>
    </row>
    <row r="29" spans="2:6" x14ac:dyDescent="0.2">
      <c r="B29" s="228" t="s">
        <v>253</v>
      </c>
      <c r="C29" s="228"/>
      <c r="E29" s="228" t="s">
        <v>259</v>
      </c>
      <c r="F29" s="228"/>
    </row>
    <row r="30" spans="2:6" x14ac:dyDescent="0.2">
      <c r="B30" s="20" t="s">
        <v>134</v>
      </c>
      <c r="C30" s="176">
        <f>Statement!AC159</f>
        <v>27.604300355262914</v>
      </c>
      <c r="E30" s="20" t="s">
        <v>260</v>
      </c>
      <c r="F30" s="182">
        <f>Statement!AC163</f>
        <v>0.40424978005996731</v>
      </c>
    </row>
    <row r="31" spans="2:6" x14ac:dyDescent="0.2">
      <c r="B31" s="20" t="s">
        <v>135</v>
      </c>
      <c r="C31" s="176">
        <f>Statement!AC160</f>
        <v>130.6568144499179</v>
      </c>
      <c r="E31" s="20" t="s">
        <v>261</v>
      </c>
      <c r="F31" s="182">
        <f>Statement!AC164</f>
        <v>0.10989819918487531</v>
      </c>
    </row>
    <row r="32" spans="2:6" x14ac:dyDescent="0.2">
      <c r="B32" s="20" t="s">
        <v>136</v>
      </c>
      <c r="C32" s="176">
        <f>Statement!AC161</f>
        <v>75.275401146544525</v>
      </c>
      <c r="E32" s="20" t="s">
        <v>256</v>
      </c>
      <c r="F32" s="182">
        <f>Statement!AC166</f>
        <v>2.3119583410823878</v>
      </c>
    </row>
    <row r="33" spans="2:6" x14ac:dyDescent="0.2">
      <c r="B33" s="20" t="s">
        <v>137</v>
      </c>
      <c r="C33" s="176">
        <f>Statement!AC162</f>
        <v>82.9857136586363</v>
      </c>
      <c r="E33" s="20" t="s">
        <v>255</v>
      </c>
      <c r="F33" s="182">
        <f>Statement!AC165</f>
        <v>1.3708387576715642</v>
      </c>
    </row>
    <row r="34" spans="2:6" x14ac:dyDescent="0.2">
      <c r="E34" s="20" t="s">
        <v>262</v>
      </c>
      <c r="F34" s="184" t="str">
        <f>Statement!AC167</f>
        <v>N/A</v>
      </c>
    </row>
    <row r="37" spans="2:6" x14ac:dyDescent="0.2">
      <c r="B37" s="228" t="s">
        <v>272</v>
      </c>
      <c r="C37" s="228"/>
      <c r="E37" s="228" t="s">
        <v>275</v>
      </c>
      <c r="F37" s="228"/>
    </row>
    <row r="38" spans="2:6" x14ac:dyDescent="0.2">
      <c r="B38" s="20" t="s">
        <v>269</v>
      </c>
      <c r="C38" s="177">
        <f ca="1">Statement!AC180</f>
        <v>-5.5712809453205732E-3</v>
      </c>
      <c r="E38" s="20" t="s">
        <v>274</v>
      </c>
      <c r="F38" s="177">
        <f>Statement!AC185</f>
        <v>0</v>
      </c>
    </row>
    <row r="39" spans="2:6" x14ac:dyDescent="0.2">
      <c r="B39" s="54" t="s">
        <v>273</v>
      </c>
      <c r="C39" s="217">
        <f ca="1">Statement!AC179</f>
        <v>-9.8155181410889015E-3</v>
      </c>
      <c r="E39" s="20" t="s">
        <v>276</v>
      </c>
      <c r="F39" s="177">
        <f>Statement!AC186</f>
        <v>0</v>
      </c>
    </row>
    <row r="40" spans="2:6" x14ac:dyDescent="0.2">
      <c r="B40" s="20" t="s">
        <v>270</v>
      </c>
      <c r="C40" s="177">
        <f ca="1">Statement!AC181</f>
        <v>0</v>
      </c>
      <c r="E40" s="20" t="s">
        <v>277</v>
      </c>
      <c r="F40" s="177">
        <f>Statement!AC187</f>
        <v>0</v>
      </c>
    </row>
    <row r="41" spans="2:6" x14ac:dyDescent="0.2">
      <c r="B41" s="20" t="s">
        <v>296</v>
      </c>
      <c r="C41" s="177">
        <f ca="1">Statement!AC182</f>
        <v>0</v>
      </c>
    </row>
    <row r="42" spans="2:6" x14ac:dyDescent="0.2">
      <c r="B42" s="20" t="s">
        <v>298</v>
      </c>
      <c r="C42" s="177">
        <f ca="1">Statement!AC183</f>
        <v>0</v>
      </c>
    </row>
    <row r="45" spans="2:6" x14ac:dyDescent="0.2">
      <c r="B45" s="228" t="s">
        <v>283</v>
      </c>
      <c r="C45" s="228"/>
      <c r="E45" s="228" t="s">
        <v>289</v>
      </c>
      <c r="F45" s="228"/>
    </row>
    <row r="46" spans="2:6" x14ac:dyDescent="0.2">
      <c r="B46" s="20" t="s">
        <v>281</v>
      </c>
      <c r="C46" s="177">
        <f>Statement!AC188</f>
        <v>5.9689614007162755E-4</v>
      </c>
      <c r="E46" s="20" t="s">
        <v>282</v>
      </c>
      <c r="F46" s="176">
        <f>Statement!AC189</f>
        <v>6.5238758456028654</v>
      </c>
    </row>
    <row r="47" spans="2:6" x14ac:dyDescent="0.2">
      <c r="E47" s="20" t="s">
        <v>290</v>
      </c>
      <c r="F47" s="176">
        <f>Statement!AC192</f>
        <v>-2.435734182252288</v>
      </c>
    </row>
    <row r="48" spans="2:6" x14ac:dyDescent="0.2">
      <c r="E48" s="20" t="s">
        <v>295</v>
      </c>
      <c r="F48" s="177">
        <f ca="1">Statement!AC193</f>
        <v>-2.1887353931368002E-2</v>
      </c>
    </row>
    <row r="51" spans="2:6" x14ac:dyDescent="0.2">
      <c r="B51" s="228" t="s">
        <v>286</v>
      </c>
      <c r="C51" s="228"/>
      <c r="E51" s="228" t="s">
        <v>307</v>
      </c>
      <c r="F51" s="228"/>
    </row>
    <row r="52" spans="2:6" x14ac:dyDescent="0.2">
      <c r="B52" s="20" t="s">
        <v>284</v>
      </c>
      <c r="C52" s="177">
        <f>Statement!AC190</f>
        <v>0.2375751503006012</v>
      </c>
      <c r="E52" s="20" t="s">
        <v>308</v>
      </c>
      <c r="F52" s="177">
        <f>Statement!AC194</f>
        <v>0.24364339787586259</v>
      </c>
    </row>
    <row r="53" spans="2:6" x14ac:dyDescent="0.2">
      <c r="B53" s="20" t="s">
        <v>285</v>
      </c>
      <c r="C53" s="177">
        <f>Statement!AC191</f>
        <v>4.4100961627885349E-2</v>
      </c>
      <c r="E53" s="20" t="s">
        <v>305</v>
      </c>
      <c r="F53" s="177">
        <f>Statement!AC195</f>
        <v>1.3125250501002004</v>
      </c>
    </row>
    <row r="54" spans="2:6" x14ac:dyDescent="0.2">
      <c r="E54" s="20" t="s">
        <v>306</v>
      </c>
      <c r="F54" s="177">
        <f>Statement!AC196</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4">
        <f>Statement!M129</f>
        <v>51.31</v>
      </c>
      <c r="D6" s="174">
        <f>Statement!N129</f>
        <v>26.43</v>
      </c>
      <c r="E6" s="174">
        <f>Statement!O129</f>
        <v>50.25</v>
      </c>
      <c r="F6" s="174">
        <f>Statement!P129</f>
        <v>20.3</v>
      </c>
      <c r="G6" s="174">
        <f>Statement!Q129</f>
        <v>36.200000000000003</v>
      </c>
      <c r="I6" s="174">
        <f ca="1">Statement!AC129</f>
        <v>111.285</v>
      </c>
    </row>
    <row r="7" spans="2:9" x14ac:dyDescent="0.2">
      <c r="B7" s="20" t="s">
        <v>242</v>
      </c>
      <c r="C7" s="175">
        <f>Statement!M171</f>
        <v>210524.93000000002</v>
      </c>
      <c r="D7" s="175">
        <f>Statement!N171</f>
        <v>109737.36</v>
      </c>
      <c r="E7" s="175">
        <f>Statement!O171</f>
        <v>213562.5</v>
      </c>
      <c r="F7" s="175">
        <f>Statement!P171</f>
        <v>87899</v>
      </c>
      <c r="G7" s="175">
        <f>Statement!Q171</f>
        <v>180819</v>
      </c>
      <c r="I7" s="175">
        <f ca="1">Statement!AC171</f>
        <v>559318.41</v>
      </c>
    </row>
    <row r="8" spans="2:9" x14ac:dyDescent="0.2">
      <c r="B8" s="20" t="s">
        <v>184</v>
      </c>
      <c r="C8" s="175">
        <f>Statement!M172</f>
        <v>220212.93000000002</v>
      </c>
      <c r="D8" s="175">
        <f>Statement!N172</f>
        <v>125313.35999999999</v>
      </c>
      <c r="E8" s="175">
        <f>Statement!O172</f>
        <v>242169.5</v>
      </c>
      <c r="F8" s="175">
        <f>Statement!P172</f>
        <v>121610</v>
      </c>
      <c r="G8" s="175">
        <f>Statement!Q172</f>
        <v>202067</v>
      </c>
      <c r="I8" s="175">
        <f ca="1">Statement!AC172</f>
        <v>585155.41</v>
      </c>
    </row>
    <row r="9" spans="2:9" x14ac:dyDescent="0.2">
      <c r="B9" s="20" t="s">
        <v>240</v>
      </c>
      <c r="C9" s="176">
        <f>Statement!M168</f>
        <v>10.557613168724279</v>
      </c>
      <c r="D9" s="176">
        <f>Statement!N168</f>
        <v>13.623711340206185</v>
      </c>
      <c r="E9" s="176">
        <f>Statement!O168</f>
        <v>125.625</v>
      </c>
      <c r="F9" s="176">
        <f>Statement!P168</f>
        <v>-4.634703196347032</v>
      </c>
      <c r="G9" s="176">
        <f>Statement!Q168</f>
        <v>-603.33333333333337</v>
      </c>
      <c r="I9" s="176">
        <f ca="1">Statement!AC168</f>
        <v>-179.49193548387098</v>
      </c>
    </row>
    <row r="10" spans="2:9" x14ac:dyDescent="0.2">
      <c r="B10" s="20" t="s">
        <v>197</v>
      </c>
      <c r="C10" s="176">
        <f>Statement!M169</f>
        <v>2.6556223425794698</v>
      </c>
      <c r="D10" s="176">
        <f>Statement!N169</f>
        <v>1.7282153392330384</v>
      </c>
      <c r="E10" s="176">
        <f>Statement!O169</f>
        <v>3.9030205797742865</v>
      </c>
      <c r="F10" s="176">
        <f>Statement!P169</f>
        <v>1.6362027080469295</v>
      </c>
      <c r="G10" s="176">
        <f>Statement!Q169</f>
        <v>3.102681020944885</v>
      </c>
      <c r="I10" s="176">
        <f ca="1">Statement!AC169</f>
        <v>9.7399990234919915</v>
      </c>
    </row>
    <row r="11" spans="2:9" x14ac:dyDescent="0.2">
      <c r="B11" s="20" t="s">
        <v>241</v>
      </c>
      <c r="C11" s="176">
        <f>Statement!M170</f>
        <v>2.190293843234687</v>
      </c>
      <c r="D11" s="176">
        <f>Statement!N170</f>
        <v>1.0780681896611222</v>
      </c>
      <c r="E11" s="176">
        <f>Statement!O170</f>
        <v>2.0120939482905578</v>
      </c>
      <c r="F11" s="176">
        <f>Statement!P170</f>
        <v>0.88545381283368585</v>
      </c>
      <c r="G11" s="176">
        <f>Statement!Q170</f>
        <v>1.5822315170500785</v>
      </c>
      <c r="I11" s="176">
        <f ca="1">Statement!AC170</f>
        <v>5.0210820151893278</v>
      </c>
    </row>
    <row r="12" spans="2:9" x14ac:dyDescent="0.2">
      <c r="B12" s="20" t="s">
        <v>263</v>
      </c>
      <c r="C12" s="176">
        <f>Statement!M173</f>
        <v>2.7866588631301887</v>
      </c>
      <c r="D12" s="176">
        <f>Statement!N173</f>
        <v>1.9873974688362355</v>
      </c>
      <c r="E12" s="176">
        <f>Statement!O173</f>
        <v>4.4657649184922921</v>
      </c>
      <c r="F12" s="176">
        <f>Statement!P173</f>
        <v>2.2901640270428052</v>
      </c>
      <c r="G12" s="176">
        <f>Statement!Q173</f>
        <v>3.823188844531058</v>
      </c>
      <c r="I12" s="176">
        <f ca="1">Statement!AC173</f>
        <v>10.883979874634973</v>
      </c>
    </row>
    <row r="13" spans="2:9" x14ac:dyDescent="0.2">
      <c r="B13" s="20" t="s">
        <v>200</v>
      </c>
      <c r="C13" s="176">
        <f>Statement!M174</f>
        <v>11.318509971217106</v>
      </c>
      <c r="D13" s="176">
        <f>Statement!N174</f>
        <v>53.690385604113104</v>
      </c>
      <c r="E13" s="176">
        <f>Statement!O174</f>
        <v>2603.9731182795699</v>
      </c>
      <c r="F13" s="176">
        <f>Statement!P174</f>
        <v>-10.413598218873094</v>
      </c>
      <c r="G13" s="176">
        <f>Statement!Q174</f>
        <v>-91.267841011743457</v>
      </c>
      <c r="I13" s="176">
        <f ca="1">Statement!AC174</f>
        <v>-115.89530798177857</v>
      </c>
    </row>
    <row r="15" spans="2:9" ht="17" thickBot="1" x14ac:dyDescent="0.25">
      <c r="B15" s="14" t="s">
        <v>75</v>
      </c>
      <c r="C15" s="14"/>
      <c r="D15" s="14"/>
      <c r="E15" s="14"/>
      <c r="F15" s="14"/>
      <c r="G15" s="14"/>
      <c r="I15" s="14"/>
    </row>
    <row r="16" spans="2:9" x14ac:dyDescent="0.2">
      <c r="B16" s="20" t="s">
        <v>76</v>
      </c>
      <c r="C16" s="177">
        <f>Statement!M100</f>
        <v>0.5544518121077141</v>
      </c>
      <c r="D16" s="177">
        <f>Statement!N100</f>
        <v>0.42607923367272499</v>
      </c>
      <c r="E16" s="177">
        <f>Statement!O100</f>
        <v>0.40036512502766097</v>
      </c>
      <c r="F16" s="177">
        <f>Statement!P100</f>
        <v>0.32664168283083184</v>
      </c>
      <c r="G16" s="177">
        <f>Statement!Q100</f>
        <v>0.34766238434904356</v>
      </c>
      <c r="I16" s="177">
        <f>Statement!AC100</f>
        <v>0.35433290552982533</v>
      </c>
    </row>
    <row r="17" spans="2:9" x14ac:dyDescent="0.2">
      <c r="B17" s="20" t="s">
        <v>77</v>
      </c>
      <c r="C17" s="177">
        <f>Statement!M101</f>
        <v>0.24620368495646891</v>
      </c>
      <c r="D17" s="177">
        <f>Statement!N101</f>
        <v>3.7015891140926828E-2</v>
      </c>
      <c r="E17" s="177">
        <f>Statement!O101</f>
        <v>1.714981190528878E-3</v>
      </c>
      <c r="F17" s="177">
        <f>Statement!P101</f>
        <v>-0.21992052880360069</v>
      </c>
      <c r="G17" s="177">
        <f>Statement!Q101</f>
        <v>-4.1889769738709247E-2</v>
      </c>
      <c r="I17" s="177">
        <f>Statement!AC101</f>
        <v>-9.391217007979466E-2</v>
      </c>
    </row>
    <row r="18" spans="2:9" x14ac:dyDescent="0.2">
      <c r="B18" s="20" t="s">
        <v>78</v>
      </c>
      <c r="C18" s="177">
        <f>Statement!M102</f>
        <v>0.25141729094958493</v>
      </c>
      <c r="D18" s="177">
        <f>Statement!N102</f>
        <v>0.12714498683667966</v>
      </c>
      <c r="E18" s="177">
        <f>Statement!O102</f>
        <v>3.088810208748248E-2</v>
      </c>
      <c r="F18" s="177">
        <f>Statement!P102</f>
        <v>-0.3621965688028474</v>
      </c>
      <c r="G18" s="177">
        <f>Statement!Q102</f>
        <v>4.9193044860272833E-4</v>
      </c>
      <c r="I18" s="177">
        <f>Statement!AC102</f>
        <v>-6.2645313691572266E-2</v>
      </c>
    </row>
    <row r="20" spans="2:9" ht="17" thickBot="1" x14ac:dyDescent="0.25">
      <c r="B20" s="14" t="s">
        <v>249</v>
      </c>
      <c r="C20" s="14"/>
      <c r="D20" s="14"/>
      <c r="E20" s="14"/>
      <c r="F20" s="14"/>
      <c r="G20" s="14"/>
      <c r="I20" s="14"/>
    </row>
    <row r="21" spans="2:9" x14ac:dyDescent="0.2">
      <c r="B21" s="20" t="s">
        <v>29</v>
      </c>
      <c r="C21" s="179">
        <f>Statement!M18</f>
        <v>19868</v>
      </c>
      <c r="D21" s="179">
        <f>Statement!N18</f>
        <v>8014</v>
      </c>
      <c r="E21" s="179">
        <f>Statement!O18</f>
        <v>1689</v>
      </c>
      <c r="F21" s="179">
        <f>Statement!P18</f>
        <v>-18756</v>
      </c>
      <c r="G21" s="179">
        <f>Statement!Q18</f>
        <v>-267</v>
      </c>
      <c r="I21" s="179">
        <f>Statement!AC18</f>
        <v>-3174</v>
      </c>
    </row>
    <row r="22" spans="2:9" x14ac:dyDescent="0.2">
      <c r="B22" s="20" t="s">
        <v>250</v>
      </c>
      <c r="C22" s="179">
        <f>Statement!M58</f>
        <v>29456</v>
      </c>
      <c r="D22" s="179">
        <f>Statement!N58</f>
        <v>15433</v>
      </c>
      <c r="E22" s="179">
        <f>Statement!O58</f>
        <v>11471</v>
      </c>
      <c r="F22" s="179">
        <f>Statement!P58</f>
        <v>8288</v>
      </c>
      <c r="G22" s="179">
        <f>Statement!Q58</f>
        <v>9697</v>
      </c>
      <c r="I22" s="179">
        <f>Statement!AC58</f>
        <v>9980</v>
      </c>
    </row>
    <row r="23" spans="2:9" x14ac:dyDescent="0.2">
      <c r="B23" s="20" t="s">
        <v>257</v>
      </c>
      <c r="C23" s="197">
        <f>IF(OR(C21&lt;=0, C22&lt;=0),"N/A",C21-C22)</f>
        <v>-9588</v>
      </c>
      <c r="D23" s="197">
        <f t="shared" ref="D23:I23" si="0">IF(OR(D21&lt;=0, D22&lt;=0),"N/A",D21-D22)</f>
        <v>-7419</v>
      </c>
      <c r="E23" s="197">
        <f t="shared" si="0"/>
        <v>-9782</v>
      </c>
      <c r="F23" s="197" t="str">
        <f t="shared" si="0"/>
        <v>N/A</v>
      </c>
      <c r="G23" s="197" t="str">
        <f t="shared" si="0"/>
        <v>N/A</v>
      </c>
      <c r="I23" s="197" t="str">
        <f t="shared" si="0"/>
        <v>N/A</v>
      </c>
    </row>
    <row r="25" spans="2:9" ht="17" thickBot="1" x14ac:dyDescent="0.25">
      <c r="B25" s="14" t="s">
        <v>248</v>
      </c>
      <c r="C25" s="14"/>
      <c r="D25" s="14"/>
      <c r="E25" s="14"/>
      <c r="F25" s="14"/>
      <c r="G25" s="14"/>
      <c r="I25" s="14"/>
    </row>
    <row r="26" spans="2:9" x14ac:dyDescent="0.2">
      <c r="B26" s="20" t="s">
        <v>95</v>
      </c>
      <c r="C26" s="177">
        <f>Statement!M134</f>
        <v>0.25141729094958493</v>
      </c>
      <c r="D26" s="177">
        <f>Statement!N134</f>
        <v>0.12714498683667966</v>
      </c>
      <c r="E26" s="177">
        <f>Statement!O134</f>
        <v>3.088810208748248E-2</v>
      </c>
      <c r="F26" s="177">
        <f>Statement!P134</f>
        <v>-0.3621965688028474</v>
      </c>
      <c r="G26" s="177">
        <f>Statement!Q134</f>
        <v>4.9193044860272833E-4</v>
      </c>
      <c r="I26" s="177">
        <f>Statement!AC134</f>
        <v>-6.2645313691572266E-2</v>
      </c>
    </row>
    <row r="27" spans="2:9" x14ac:dyDescent="0.2">
      <c r="B27" s="20" t="s">
        <v>96</v>
      </c>
      <c r="C27" s="216">
        <f>Statement!M135</f>
        <v>0.46924693894516822</v>
      </c>
      <c r="D27" s="216">
        <f>Statement!N135</f>
        <v>0.34625459218134791</v>
      </c>
      <c r="E27" s="216">
        <f>Statement!O135</f>
        <v>0.2830685068799198</v>
      </c>
      <c r="F27" s="216">
        <f>Statement!P135</f>
        <v>0.27025472682393059</v>
      </c>
      <c r="G27" s="216">
        <f>Statement!Q135</f>
        <v>0.24997989868939455</v>
      </c>
      <c r="I27" s="216">
        <f>Statement!AC135</f>
        <v>0.26183449243176904</v>
      </c>
    </row>
    <row r="28" spans="2:9" x14ac:dyDescent="0.2">
      <c r="B28" s="32" t="s">
        <v>97</v>
      </c>
      <c r="C28" s="178">
        <f>Statement!M136</f>
        <v>0.11797679417597948</v>
      </c>
      <c r="D28" s="178">
        <f>Statement!N136</f>
        <v>4.4024535565037361E-2</v>
      </c>
      <c r="E28" s="178">
        <f>Statement!O136</f>
        <v>8.7434489382581995E-3</v>
      </c>
      <c r="F28" s="178">
        <f>Statement!P136</f>
        <v>-9.7885334758378503E-2</v>
      </c>
      <c r="G28" s="178">
        <f>Statement!Q136</f>
        <v>1.2297272370393844E-4</v>
      </c>
      <c r="I28" s="178">
        <f>Statement!AC136</f>
        <v>-1.6402703913661776E-2</v>
      </c>
    </row>
    <row r="29" spans="2:9" x14ac:dyDescent="0.2">
      <c r="B29" s="20" t="s">
        <v>98</v>
      </c>
      <c r="C29" s="216">
        <f>Statement!M137</f>
        <v>1.7654286043756748</v>
      </c>
      <c r="D29" s="216">
        <f>Statement!N137</f>
        <v>1.7954803151159007</v>
      </c>
      <c r="E29" s="216">
        <f>Statement!O137</f>
        <v>1.8143005966474097</v>
      </c>
      <c r="F29" s="216">
        <f>Statement!P137</f>
        <v>1.9792988818374131</v>
      </c>
      <c r="G29" s="216">
        <f>Statement!Q137</f>
        <v>1.8500800658027143</v>
      </c>
      <c r="I29" s="216">
        <f>Statement!AC137</f>
        <v>1.8432949710038242</v>
      </c>
    </row>
    <row r="30" spans="2:9" x14ac:dyDescent="0.2">
      <c r="B30" s="32" t="s">
        <v>99</v>
      </c>
      <c r="C30" s="178">
        <f>Statement!M138</f>
        <v>0.20827960709081569</v>
      </c>
      <c r="D30" s="178">
        <f>Statement!N138</f>
        <v>7.904518698914445E-2</v>
      </c>
      <c r="E30" s="178">
        <f>Statement!O138</f>
        <v>1.5863244625438012E-2</v>
      </c>
      <c r="F30" s="178">
        <f>Statement!P138</f>
        <v>-0.19374433363553945</v>
      </c>
      <c r="G30" s="178">
        <f>Statement!Q138</f>
        <v>2.2750938476212145E-4</v>
      </c>
      <c r="I30" s="178">
        <f>Statement!AC138</f>
        <v>-3.0235021634917498E-2</v>
      </c>
    </row>
    <row r="32" spans="2:9" ht="17" thickBot="1" x14ac:dyDescent="0.25">
      <c r="B32" s="14" t="s">
        <v>309</v>
      </c>
      <c r="C32" s="14"/>
      <c r="D32" s="14"/>
      <c r="E32" s="14"/>
      <c r="F32" s="14"/>
      <c r="G32" s="14"/>
      <c r="I32" s="14"/>
    </row>
    <row r="33" spans="2:9" x14ac:dyDescent="0.2">
      <c r="B33" s="20" t="s">
        <v>97</v>
      </c>
      <c r="C33" s="177">
        <f>C28</f>
        <v>0.11797679417597948</v>
      </c>
      <c r="D33" s="177">
        <f t="shared" ref="D33:G33" si="1">D28</f>
        <v>4.4024535565037361E-2</v>
      </c>
      <c r="E33" s="177">
        <f t="shared" si="1"/>
        <v>8.7434489382581995E-3</v>
      </c>
      <c r="F33" s="177">
        <f t="shared" si="1"/>
        <v>-9.7885334758378503E-2</v>
      </c>
      <c r="G33" s="177">
        <f t="shared" si="1"/>
        <v>1.2297272370393844E-4</v>
      </c>
      <c r="I33" s="177">
        <f>I28</f>
        <v>-1.6402703913661776E-2</v>
      </c>
    </row>
    <row r="34" spans="2:9" x14ac:dyDescent="0.2">
      <c r="B34" s="20" t="s">
        <v>99</v>
      </c>
      <c r="C34" s="177">
        <f>C30</f>
        <v>0.20827960709081569</v>
      </c>
      <c r="D34" s="177">
        <f t="shared" ref="D34:G34" si="2">D30</f>
        <v>7.904518698914445E-2</v>
      </c>
      <c r="E34" s="177">
        <f t="shared" si="2"/>
        <v>1.5863244625438012E-2</v>
      </c>
      <c r="F34" s="177">
        <f t="shared" si="2"/>
        <v>-0.19374433363553945</v>
      </c>
      <c r="G34" s="177">
        <f t="shared" si="2"/>
        <v>2.2750938476212145E-4</v>
      </c>
      <c r="I34" s="177">
        <f>I30</f>
        <v>-3.0235021634917498E-2</v>
      </c>
    </row>
    <row r="35" spans="2:9" x14ac:dyDescent="0.2">
      <c r="B35" s="20" t="s">
        <v>100</v>
      </c>
      <c r="C35" s="177">
        <f>Statement!M158</f>
        <v>0.16950089956234582</v>
      </c>
      <c r="D35" s="177">
        <f>Statement!N158</f>
        <v>1.9948888452038051E-2</v>
      </c>
      <c r="E35" s="177">
        <f>Statement!O158</f>
        <v>6.9301102111075507E-4</v>
      </c>
      <c r="F35" s="177">
        <f>Statement!P158</f>
        <v>-8.7817056571991486E-2</v>
      </c>
      <c r="G35" s="177">
        <f>Statement!Q158</f>
        <v>-1.6335987131905347E-2</v>
      </c>
      <c r="I35" s="177">
        <f>Statement!AC158</f>
        <v>-3.6791978488825414E-2</v>
      </c>
    </row>
    <row r="37" spans="2:9" ht="17" thickBot="1" x14ac:dyDescent="0.25">
      <c r="B37" s="14" t="s">
        <v>253</v>
      </c>
      <c r="C37" s="14"/>
      <c r="D37" s="14"/>
      <c r="E37" s="14"/>
      <c r="F37" s="14"/>
      <c r="G37" s="14"/>
      <c r="I37" s="14"/>
    </row>
    <row r="38" spans="2:9" x14ac:dyDescent="0.2">
      <c r="B38" s="20" t="s">
        <v>134</v>
      </c>
      <c r="C38" s="176">
        <f>Statement!M159</f>
        <v>43.680464162785988</v>
      </c>
      <c r="D38" s="176">
        <f>Statement!N159</f>
        <v>23.924651885685286</v>
      </c>
      <c r="E38" s="176">
        <f>Statement!O159</f>
        <v>22.898318211993807</v>
      </c>
      <c r="F38" s="176">
        <f>Statement!P159</f>
        <v>23.906706088397584</v>
      </c>
      <c r="G38" s="176">
        <f>Statement!Q159</f>
        <v>26.511929313378616</v>
      </c>
      <c r="I38" s="176">
        <f>Statement!AC159</f>
        <v>27.604300355262914</v>
      </c>
    </row>
    <row r="39" spans="2:9" x14ac:dyDescent="0.2">
      <c r="B39" s="20" t="s">
        <v>135</v>
      </c>
      <c r="C39" s="176">
        <f>Statement!M160</f>
        <v>111.71121020193701</v>
      </c>
      <c r="D39" s="176">
        <f>Statement!N160</f>
        <v>133.38012600862163</v>
      </c>
      <c r="E39" s="176">
        <f>Statement!O160</f>
        <v>124.89943721745549</v>
      </c>
      <c r="F39" s="176">
        <f>Statement!P160</f>
        <v>124.51812283253162</v>
      </c>
      <c r="G39" s="176">
        <f>Statement!Q160</f>
        <v>122.99350310342828</v>
      </c>
      <c r="I39" s="176">
        <f>Statement!AC160</f>
        <v>130.6568144499179</v>
      </c>
    </row>
    <row r="40" spans="2:9" x14ac:dyDescent="0.2">
      <c r="B40" s="20" t="s">
        <v>136</v>
      </c>
      <c r="C40" s="176">
        <f>Statement!M161</f>
        <v>59.577238774177054</v>
      </c>
      <c r="D40" s="176">
        <f>Statement!N161</f>
        <v>96.777246601083235</v>
      </c>
      <c r="E40" s="176">
        <f>Statement!O161</f>
        <v>96.219823476950523</v>
      </c>
      <c r="F40" s="176">
        <f>Statement!P161</f>
        <v>128.17261438639667</v>
      </c>
      <c r="G40" s="176">
        <f>Statement!Q161</f>
        <v>104.6154069261558</v>
      </c>
      <c r="I40" s="176">
        <f>Statement!AC161</f>
        <v>75.275401146544525</v>
      </c>
    </row>
    <row r="41" spans="2:9" x14ac:dyDescent="0.2">
      <c r="B41" s="20" t="s">
        <v>137</v>
      </c>
      <c r="C41" s="176">
        <f>Statement!M162</f>
        <v>95.814435590545941</v>
      </c>
      <c r="D41" s="176">
        <f>Statement!N162</f>
        <v>60.527531293223674</v>
      </c>
      <c r="E41" s="176">
        <f>Statement!O162</f>
        <v>51.577931952498773</v>
      </c>
      <c r="F41" s="176">
        <f>Statement!P162</f>
        <v>20.252214534532527</v>
      </c>
      <c r="G41" s="176">
        <f>Statement!Q162</f>
        <v>44.890025490651112</v>
      </c>
      <c r="I41" s="176">
        <f>Statement!AC162</f>
        <v>82.9857136586363</v>
      </c>
    </row>
    <row r="43" spans="2:9" ht="17" thickBot="1" x14ac:dyDescent="0.25">
      <c r="B43" s="14" t="s">
        <v>259</v>
      </c>
      <c r="C43" s="14"/>
      <c r="D43" s="14"/>
      <c r="E43" s="14"/>
      <c r="F43" s="14"/>
      <c r="G43" s="14"/>
      <c r="I43" s="14"/>
    </row>
    <row r="44" spans="2:9" x14ac:dyDescent="0.2">
      <c r="B44" s="20" t="s">
        <v>260</v>
      </c>
      <c r="C44" s="182">
        <f>Statement!M163</f>
        <v>0.39941923242234595</v>
      </c>
      <c r="D44" s="182">
        <f>Statement!N163</f>
        <v>0.41461009830117429</v>
      </c>
      <c r="E44" s="182">
        <f>Statement!O163</f>
        <v>0.46657827445780853</v>
      </c>
      <c r="F44" s="182">
        <f>Statement!P163</f>
        <v>0.50378764984386015</v>
      </c>
      <c r="G44" s="182">
        <f>Statement!Q163</f>
        <v>0.40763556496705489</v>
      </c>
      <c r="I44" s="182">
        <f>Statement!AC163</f>
        <v>0.40424978005996731</v>
      </c>
    </row>
    <row r="45" spans="2:9" x14ac:dyDescent="0.2">
      <c r="B45" s="20" t="s">
        <v>261</v>
      </c>
      <c r="C45" s="182">
        <f>Statement!M164</f>
        <v>0.10156094390456123</v>
      </c>
      <c r="D45" s="182">
        <f>Statement!N164</f>
        <v>0.13520601835875493</v>
      </c>
      <c r="E45" s="182">
        <f>Statement!O164</f>
        <v>0.22949142911260537</v>
      </c>
      <c r="F45" s="182">
        <f>Statement!P164</f>
        <v>0.28154528054800038</v>
      </c>
      <c r="G45" s="182">
        <f>Statement!Q164</f>
        <v>8.0232059572457368E-2</v>
      </c>
      <c r="I45" s="182">
        <f>Statement!AC164</f>
        <v>0.10989819918487531</v>
      </c>
    </row>
    <row r="46" spans="2:9" x14ac:dyDescent="0.2">
      <c r="B46" s="20" t="s">
        <v>255</v>
      </c>
      <c r="C46" s="182">
        <f>Statement!M165</f>
        <v>1.3789964314325249</v>
      </c>
      <c r="D46" s="182">
        <f>Statement!N165</f>
        <v>1.0098273985383299</v>
      </c>
      <c r="E46" s="182">
        <f>Statement!O165</f>
        <v>1.0136527287634121</v>
      </c>
      <c r="F46" s="182">
        <f>Statement!P165</f>
        <v>0.71608815118039593</v>
      </c>
      <c r="G46" s="182">
        <f>Statement!Q165</f>
        <v>1.306571654790182</v>
      </c>
      <c r="I46" s="182">
        <f>Statement!AC165</f>
        <v>1.3708387576715642</v>
      </c>
    </row>
    <row r="47" spans="2:9" x14ac:dyDescent="0.2">
      <c r="B47" s="20" t="s">
        <v>256</v>
      </c>
      <c r="C47" s="182">
        <f>Statement!M166</f>
        <v>2.1017405869929355</v>
      </c>
      <c r="D47" s="182">
        <f>Statement!N166</f>
        <v>1.5676255636759446</v>
      </c>
      <c r="E47" s="182">
        <f>Statement!O166</f>
        <v>1.5424018821516416</v>
      </c>
      <c r="F47" s="182">
        <f>Statement!P166</f>
        <v>1.3268659227275277</v>
      </c>
      <c r="G47" s="182">
        <f>Statement!Q166</f>
        <v>2.0170387965162311</v>
      </c>
      <c r="I47" s="182">
        <f>Statement!AC166</f>
        <v>2.3119583410823878</v>
      </c>
    </row>
    <row r="48" spans="2:9" x14ac:dyDescent="0.2">
      <c r="B48" s="20" t="s">
        <v>262</v>
      </c>
      <c r="C48" s="184" t="str">
        <f>Statement!M167</f>
        <v>N/A</v>
      </c>
      <c r="D48" s="184" t="str">
        <f>Statement!N167</f>
        <v>N/A</v>
      </c>
      <c r="E48" s="184" t="str">
        <f>Statement!O167</f>
        <v>N/A</v>
      </c>
      <c r="F48" s="184" t="str">
        <f>Statement!P167</f>
        <v>N/A</v>
      </c>
      <c r="G48" s="184" t="str">
        <f>Statement!Q167</f>
        <v>N/A</v>
      </c>
      <c r="I48" s="184" t="str">
        <f>Statement!AC167</f>
        <v>N/A</v>
      </c>
    </row>
    <row r="50" spans="2:9" ht="17" thickBot="1" x14ac:dyDescent="0.25">
      <c r="B50" s="14" t="s">
        <v>272</v>
      </c>
      <c r="C50" s="14"/>
      <c r="D50" s="14"/>
      <c r="E50" s="14"/>
      <c r="F50" s="14"/>
      <c r="G50" s="14"/>
      <c r="I50" s="14"/>
    </row>
    <row r="51" spans="2:9" x14ac:dyDescent="0.2">
      <c r="B51" s="20" t="s">
        <v>269</v>
      </c>
      <c r="C51" s="177">
        <f>Statement!M180</f>
        <v>9.471837848372637E-2</v>
      </c>
      <c r="D51" s="177">
        <f>Statement!N180</f>
        <v>7.3401437760121077E-2</v>
      </c>
      <c r="E51" s="177">
        <f>Statement!O180</f>
        <v>7.9601990049751256E-3</v>
      </c>
      <c r="F51" s="177">
        <f>Statement!P180</f>
        <v>-0.21576354679802953</v>
      </c>
      <c r="G51" s="177">
        <f>Statement!Q180</f>
        <v>-1.6574585635359114E-3</v>
      </c>
      <c r="I51" s="177">
        <f ca="1">Statement!AC180</f>
        <v>-5.5712809453205732E-3</v>
      </c>
    </row>
    <row r="52" spans="2:9" x14ac:dyDescent="0.2">
      <c r="B52" s="20" t="s">
        <v>273</v>
      </c>
      <c r="C52" s="177">
        <f>Statement!M179</f>
        <v>4.1263521617131038E-2</v>
      </c>
      <c r="D52" s="177">
        <f>Statement!N179</f>
        <v>-0.11426372932609277</v>
      </c>
      <c r="E52" s="177">
        <f>Statement!O179</f>
        <v>-8.1980684811237922E-2</v>
      </c>
      <c r="F52" s="177">
        <f>Statement!P179</f>
        <v>-0.21690804218478027</v>
      </c>
      <c r="G52" s="177">
        <f>Statement!Q179</f>
        <v>-4.0830886134753538E-2</v>
      </c>
      <c r="I52" s="177">
        <f ca="1">Statement!AC179</f>
        <v>-9.8155181410889015E-3</v>
      </c>
    </row>
    <row r="53" spans="2:9" x14ac:dyDescent="0.2">
      <c r="B53" s="20" t="s">
        <v>270</v>
      </c>
      <c r="C53" s="177">
        <f>Statement!M181</f>
        <v>2.7090235821477293E-2</v>
      </c>
      <c r="D53" s="177">
        <f>Statement!N181</f>
        <v>5.5240257283390083E-2</v>
      </c>
      <c r="E53" s="177">
        <f>Statement!O181</f>
        <v>1.472636815920398E-2</v>
      </c>
      <c r="F53" s="177">
        <f>Statement!P181</f>
        <v>1.8719211822660099E-2</v>
      </c>
      <c r="G53" s="177">
        <f>Statement!Q181</f>
        <v>0</v>
      </c>
      <c r="I53" s="177">
        <f ca="1">Statement!AC181</f>
        <v>0</v>
      </c>
    </row>
    <row r="54" spans="2:9" x14ac:dyDescent="0.2">
      <c r="B54" s="20" t="s">
        <v>296</v>
      </c>
      <c r="C54" s="177">
        <f>Statement!M182</f>
        <v>1.1471325510000168E-2</v>
      </c>
      <c r="D54" s="177">
        <f>Statement!N182</f>
        <v>0</v>
      </c>
      <c r="E54" s="177">
        <f>Statement!O182</f>
        <v>0</v>
      </c>
      <c r="F54" s="177">
        <f>Statement!P182</f>
        <v>0</v>
      </c>
      <c r="G54" s="177">
        <f>Statement!Q182</f>
        <v>0</v>
      </c>
      <c r="I54" s="177">
        <f ca="1">Statement!AC182</f>
        <v>0</v>
      </c>
    </row>
    <row r="55" spans="2:9" x14ac:dyDescent="0.2">
      <c r="B55" s="20" t="s">
        <v>298</v>
      </c>
      <c r="C55" s="177">
        <f>Statement!M183</f>
        <v>3.8280501981404286E-2</v>
      </c>
      <c r="D55" s="177">
        <f>Statement!N183</f>
        <v>5.4648662953072684E-2</v>
      </c>
      <c r="E55" s="177">
        <f>Statement!O183</f>
        <v>1.4459467369037167E-2</v>
      </c>
      <c r="F55" s="177">
        <f>Statement!P183</f>
        <v>1.8191333234735322E-2</v>
      </c>
      <c r="G55" s="177">
        <f>Statement!Q183</f>
        <v>0</v>
      </c>
      <c r="I55" s="177">
        <f ca="1">Statement!AC183</f>
        <v>0</v>
      </c>
    </row>
    <row r="57" spans="2:9" ht="17" thickBot="1" x14ac:dyDescent="0.25">
      <c r="B57" s="14" t="s">
        <v>275</v>
      </c>
      <c r="C57" s="14"/>
      <c r="D57" s="14"/>
      <c r="E57" s="14"/>
      <c r="F57" s="14"/>
      <c r="G57" s="14"/>
      <c r="I57" s="14"/>
    </row>
    <row r="58" spans="2:9" x14ac:dyDescent="0.2">
      <c r="B58" s="20" t="s">
        <v>274</v>
      </c>
      <c r="C58" s="177">
        <f>Statement!M185</f>
        <v>0.64970645792563597</v>
      </c>
      <c r="D58" s="177">
        <f>Statement!N185</f>
        <v>-0.47826780445011563</v>
      </c>
      <c r="E58" s="177">
        <f>Statement!O185</f>
        <v>-0.1763765135937857</v>
      </c>
      <c r="F58" s="177">
        <f>Statement!P185</f>
        <v>-8.3866568761145496E-2</v>
      </c>
      <c r="G58" s="177">
        <f>Statement!Q185</f>
        <v>0</v>
      </c>
      <c r="I58" s="177">
        <f>Statement!AC185</f>
        <v>0</v>
      </c>
    </row>
    <row r="59" spans="2:9" x14ac:dyDescent="0.2">
      <c r="B59" s="20" t="s">
        <v>276</v>
      </c>
      <c r="C59" s="177">
        <f>Statement!M186</f>
        <v>0.27800161160354553</v>
      </c>
      <c r="D59" s="177">
        <f>Statement!N186</f>
        <v>0</v>
      </c>
      <c r="E59" s="177">
        <f>Statement!O186</f>
        <v>0</v>
      </c>
      <c r="F59" s="177">
        <f>Statement!P186</f>
        <v>0</v>
      </c>
      <c r="G59" s="177">
        <f>Statement!Q186</f>
        <v>0</v>
      </c>
      <c r="I59" s="177">
        <f>Statement!AC186</f>
        <v>0</v>
      </c>
    </row>
    <row r="60" spans="2:9" x14ac:dyDescent="0.2">
      <c r="B60" s="20" t="s">
        <v>277</v>
      </c>
      <c r="C60" s="177">
        <f>Statement!M187</f>
        <v>0.9277080695291815</v>
      </c>
      <c r="D60" s="177">
        <f>Statement!N187</f>
        <v>-0.47826780445011563</v>
      </c>
      <c r="E60" s="177">
        <f>Statement!O187</f>
        <v>-0.1763765135937857</v>
      </c>
      <c r="F60" s="177">
        <f>Statement!P187</f>
        <v>-8.3866568761145496E-2</v>
      </c>
      <c r="G60" s="177">
        <f>Statement!Q187</f>
        <v>0</v>
      </c>
      <c r="I60" s="177">
        <f>Statement!AC187</f>
        <v>0</v>
      </c>
    </row>
    <row r="62" spans="2:9" ht="17" thickBot="1" x14ac:dyDescent="0.25">
      <c r="B62" s="14" t="s">
        <v>283</v>
      </c>
      <c r="C62" s="14"/>
      <c r="D62" s="14"/>
      <c r="E62" s="14"/>
      <c r="F62" s="14"/>
      <c r="G62" s="14"/>
      <c r="I62" s="14"/>
    </row>
    <row r="63" spans="2:9" x14ac:dyDescent="0.2">
      <c r="B63" s="20" t="s">
        <v>281</v>
      </c>
      <c r="C63" s="177">
        <f>Statement!M188</f>
        <v>4.874482086278333E-4</v>
      </c>
      <c r="D63" s="177">
        <f>Statement!N188</f>
        <v>4.8169556840077071E-4</v>
      </c>
      <c r="E63" s="177">
        <f>Statement!O188</f>
        <v>4.7058823529411766E-4</v>
      </c>
      <c r="F63" s="177">
        <f>Statement!P188</f>
        <v>4.6189376443418013E-4</v>
      </c>
      <c r="G63" s="177">
        <f>Statement!Q188</f>
        <v>6.0060060060060057E-4</v>
      </c>
      <c r="I63" s="177">
        <f>Statement!AC188</f>
        <v>5.9689614007162755E-4</v>
      </c>
    </row>
    <row r="65" spans="2:9" ht="17" thickBot="1" x14ac:dyDescent="0.25">
      <c r="B65" s="14" t="s">
        <v>289</v>
      </c>
      <c r="C65" s="14"/>
      <c r="D65" s="14"/>
      <c r="E65" s="14"/>
      <c r="F65" s="14"/>
      <c r="G65" s="14"/>
      <c r="I65" s="14"/>
    </row>
    <row r="66" spans="2:9" x14ac:dyDescent="0.2">
      <c r="B66" s="20" t="s">
        <v>282</v>
      </c>
      <c r="C66" s="176">
        <f>Statement!M189</f>
        <v>6.9776522593320234</v>
      </c>
      <c r="D66" s="176">
        <f>Statement!N189</f>
        <v>6.8498912255257434</v>
      </c>
      <c r="E66" s="176">
        <f>Statement!O189</f>
        <v>5.9210028382213808</v>
      </c>
      <c r="F66" s="176">
        <f>Statement!P189</f>
        <v>5.0951501154734409</v>
      </c>
      <c r="G66" s="176">
        <f>Statement!Q189</f>
        <v>7.4906906906906903</v>
      </c>
      <c r="I66" s="176">
        <f>Statement!AC189</f>
        <v>6.5238758456028654</v>
      </c>
    </row>
    <row r="67" spans="2:9" x14ac:dyDescent="0.2">
      <c r="B67" s="20" t="s">
        <v>290</v>
      </c>
      <c r="C67" s="176">
        <f>Statement!M192</f>
        <v>-2.3791748526522594</v>
      </c>
      <c r="D67" s="176">
        <f>Statement!N192</f>
        <v>-3.3147208121827409</v>
      </c>
      <c r="E67" s="176">
        <f>Statement!O192</f>
        <v>-5.7313150425733204</v>
      </c>
      <c r="F67" s="176">
        <f>Statement!P192</f>
        <v>-6.4547344110854503</v>
      </c>
      <c r="G67" s="176">
        <f>Statement!Q192</f>
        <v>-1.8356356356356356</v>
      </c>
      <c r="I67" s="176">
        <f>Statement!AC192</f>
        <v>-2.435734182252288</v>
      </c>
    </row>
    <row r="68" spans="2:9" x14ac:dyDescent="0.2">
      <c r="B68" s="20" t="s">
        <v>295</v>
      </c>
      <c r="C68" s="198">
        <f>Statement!M193</f>
        <v>-4.601830291547894E-2</v>
      </c>
      <c r="D68" s="198">
        <f>Statement!N193</f>
        <v>-0.12496200017933728</v>
      </c>
      <c r="E68" s="198">
        <f>Statement!O193</f>
        <v>-0.11346561311091601</v>
      </c>
      <c r="F68" s="198">
        <f>Statement!P193</f>
        <v>-0.31796721236874137</v>
      </c>
      <c r="G68" s="198">
        <f>Statement!Q193</f>
        <v>-5.070816673026618E-2</v>
      </c>
      <c r="I68" s="198">
        <f ca="1">Statement!AC193</f>
        <v>-2.1887353931368002E-2</v>
      </c>
    </row>
    <row r="70" spans="2:9" ht="17" thickBot="1" x14ac:dyDescent="0.25">
      <c r="B70" s="14" t="s">
        <v>310</v>
      </c>
      <c r="C70" s="14"/>
      <c r="D70" s="14"/>
      <c r="E70" s="14"/>
      <c r="F70" s="14"/>
      <c r="G70" s="14"/>
      <c r="I70" s="14"/>
    </row>
    <row r="71" spans="2:9" x14ac:dyDescent="0.2">
      <c r="B71" s="20" t="s">
        <v>284</v>
      </c>
      <c r="C71" s="177">
        <f>Statement!M190</f>
        <v>6.9120043454644217E-2</v>
      </c>
      <c r="D71" s="177">
        <f>Statement!N190</f>
        <v>0.20268256333830104</v>
      </c>
      <c r="E71" s="177">
        <f>Statement!O190</f>
        <v>0.28149245924505273</v>
      </c>
      <c r="F71" s="177">
        <f>Statement!P190</f>
        <v>0.41143822393822393</v>
      </c>
      <c r="G71" s="177">
        <f>Statement!Q190</f>
        <v>0.25100546560791998</v>
      </c>
      <c r="I71" s="177">
        <f>Statement!AC190</f>
        <v>0.2375751503006012</v>
      </c>
    </row>
    <row r="72" spans="2:9" x14ac:dyDescent="0.2">
      <c r="B72" s="20" t="s">
        <v>285</v>
      </c>
      <c r="C72" s="177">
        <f>Statement!M191</f>
        <v>2.5764324762097592E-2</v>
      </c>
      <c r="D72" s="177">
        <f>Statement!N191</f>
        <v>4.9608272274558315E-2</v>
      </c>
      <c r="E72" s="177">
        <f>Statement!O191</f>
        <v>5.9544884561481153E-2</v>
      </c>
      <c r="F72" s="177">
        <f>Statement!P191</f>
        <v>6.4217246379540877E-2</v>
      </c>
      <c r="G72" s="177">
        <f>Statement!Q191</f>
        <v>4.6052258149963103E-2</v>
      </c>
      <c r="I72" s="177">
        <f>Statement!AC191</f>
        <v>4.4100961627885349E-2</v>
      </c>
    </row>
    <row r="74" spans="2:9" ht="17" thickBot="1" x14ac:dyDescent="0.25">
      <c r="B74" s="14" t="s">
        <v>311</v>
      </c>
      <c r="C74" s="14"/>
      <c r="D74" s="14"/>
      <c r="E74" s="14"/>
      <c r="F74" s="14"/>
      <c r="G74" s="14"/>
      <c r="I74" s="14"/>
    </row>
    <row r="75" spans="2:9" x14ac:dyDescent="0.2">
      <c r="B75" s="20" t="s">
        <v>308</v>
      </c>
      <c r="C75" s="177">
        <f>Statement!M194</f>
        <v>0.23705456570155903</v>
      </c>
      <c r="D75" s="177">
        <f>Statement!N194</f>
        <v>0.39401148222158783</v>
      </c>
      <c r="E75" s="177">
        <f>Statement!O194</f>
        <v>0.4748469425389098</v>
      </c>
      <c r="F75" s="177">
        <f>Statement!P194</f>
        <v>0.45091429539933336</v>
      </c>
      <c r="G75" s="177">
        <f>Statement!Q194</f>
        <v>0.27710820577829071</v>
      </c>
      <c r="I75" s="177">
        <f>Statement!AC194</f>
        <v>0.24364339787586259</v>
      </c>
    </row>
    <row r="76" spans="2:9" x14ac:dyDescent="0.2">
      <c r="B76" s="20" t="s">
        <v>305</v>
      </c>
      <c r="C76" s="177">
        <f>Statement!M195</f>
        <v>0.63596550787615425</v>
      </c>
      <c r="D76" s="177">
        <f>Statement!N195</f>
        <v>1.6097971878442299</v>
      </c>
      <c r="E76" s="177">
        <f>Statement!O195</f>
        <v>2.2447912126231366</v>
      </c>
      <c r="F76" s="177">
        <f>Statement!P195</f>
        <v>2.8889961389961392</v>
      </c>
      <c r="G76" s="177">
        <f>Statement!Q195</f>
        <v>1.5103640301124059</v>
      </c>
      <c r="I76" s="177">
        <f>Statement!AC195</f>
        <v>1.3125250501002004</v>
      </c>
    </row>
    <row r="77" spans="2:9" x14ac:dyDescent="0.2">
      <c r="B77" s="20" t="s">
        <v>306</v>
      </c>
      <c r="C77" s="177">
        <f>Statement!M196</f>
        <v>1.5886194029850746</v>
      </c>
      <c r="D77" s="177">
        <f>Statement!N196</f>
        <v>1.9059455312619868</v>
      </c>
      <c r="E77" s="177">
        <f>Statement!O196</f>
        <v>2.6817329722974379</v>
      </c>
      <c r="F77" s="177">
        <f>Statement!P196</f>
        <v>2.1042270849811056</v>
      </c>
      <c r="G77" s="177">
        <f>Statement!Q196</f>
        <v>1.2511532547411583</v>
      </c>
      <c r="I77" s="177">
        <f>Statement!AC196</f>
        <v>1.0765121630506247</v>
      </c>
    </row>
    <row r="79" spans="2:9" ht="17" thickBot="1" x14ac:dyDescent="0.25">
      <c r="B79" s="14" t="s">
        <v>117</v>
      </c>
      <c r="C79" s="14"/>
      <c r="D79" s="14"/>
      <c r="E79" s="14"/>
      <c r="F79" s="14"/>
      <c r="G79" s="14"/>
      <c r="I79" s="14"/>
    </row>
    <row r="80" spans="2:9" x14ac:dyDescent="0.2">
      <c r="B80" s="20" t="s">
        <v>19</v>
      </c>
      <c r="C80" s="177">
        <f>Statement!M88</f>
        <v>1</v>
      </c>
      <c r="D80" s="177">
        <f>Statement!N88</f>
        <v>-0.20209050415063778</v>
      </c>
      <c r="E80" s="177">
        <f>Statement!O88</f>
        <v>-0.13997525930155105</v>
      </c>
      <c r="F80" s="177">
        <f>Statement!P88</f>
        <v>-2.0782621523935976E-2</v>
      </c>
      <c r="G80" s="177">
        <f>Statement!Q88</f>
        <v>-4.6703451912393362E-3</v>
      </c>
      <c r="I80" s="199"/>
    </row>
    <row r="81" spans="2:9" x14ac:dyDescent="0.2">
      <c r="B81" s="20" t="s">
        <v>20</v>
      </c>
      <c r="C81" s="177">
        <f>Statement!M89</f>
        <v>1</v>
      </c>
      <c r="D81" s="177">
        <f>Statement!N89</f>
        <v>2.7805390667158966E-2</v>
      </c>
      <c r="E81" s="177">
        <f>Statement!O89</f>
        <v>-0.10144246711617111</v>
      </c>
      <c r="F81" s="177">
        <f>Statement!P89</f>
        <v>9.9609435064735366E-2</v>
      </c>
      <c r="G81" s="177">
        <f>Statement!Q89</f>
        <v>-3.5742253048439421E-2</v>
      </c>
      <c r="I81" s="199"/>
    </row>
    <row r="82" spans="2:9" x14ac:dyDescent="0.2">
      <c r="B82" s="20" t="s">
        <v>21</v>
      </c>
      <c r="C82" s="177">
        <f>Statement!M90</f>
        <v>1</v>
      </c>
      <c r="D82" s="177">
        <f>Statement!N90</f>
        <v>-0.38683099395184295</v>
      </c>
      <c r="E82" s="177">
        <f>Statement!O90</f>
        <v>-0.19187821037742872</v>
      </c>
      <c r="F82" s="177">
        <f>Statement!P90</f>
        <v>-0.20109621850674772</v>
      </c>
      <c r="G82" s="177">
        <f>Statement!Q90</f>
        <v>5.9383107523782071E-2</v>
      </c>
      <c r="I82" s="199"/>
    </row>
    <row r="83" spans="2:9" x14ac:dyDescent="0.2">
      <c r="B83" s="20" t="s">
        <v>23</v>
      </c>
      <c r="C83" s="177">
        <f>Statement!M94</f>
        <v>1</v>
      </c>
      <c r="D83" s="177">
        <f>Statement!N94</f>
        <v>7.1020977872654871E-3</v>
      </c>
      <c r="E83" s="177">
        <f>Statement!O94</f>
        <v>-0.11878362954508397</v>
      </c>
      <c r="F83" s="177">
        <f>Statement!P94</f>
        <v>0.34253862521972428</v>
      </c>
      <c r="G83" s="177">
        <f>Statement!Q94</f>
        <v>-0.29059711263480686</v>
      </c>
      <c r="I83" s="199"/>
    </row>
    <row r="84" spans="2:9" x14ac:dyDescent="0.2">
      <c r="B84" s="20" t="s">
        <v>312</v>
      </c>
      <c r="C84" s="177">
        <f>Statement!M95</f>
        <v>1</v>
      </c>
      <c r="D84" s="177">
        <f>Statement!N95</f>
        <v>-0.88003700657894735</v>
      </c>
      <c r="E84" s="177">
        <f>Statement!O95</f>
        <v>-0.96015424164524421</v>
      </c>
      <c r="F84" s="177">
        <f>Statement!P95</f>
        <v>-126.56989247311827</v>
      </c>
      <c r="G84" s="177">
        <f>Statement!Q95</f>
        <v>0.81041274190786095</v>
      </c>
      <c r="I84" s="199"/>
    </row>
    <row r="85" spans="2:9" x14ac:dyDescent="0.2">
      <c r="B85" s="20" t="s">
        <v>313</v>
      </c>
      <c r="C85" s="177">
        <f>Statement!M97</f>
        <v>1</v>
      </c>
      <c r="D85" s="177">
        <f>Statement!N97</f>
        <v>-0.59663780954298373</v>
      </c>
      <c r="E85" s="177">
        <f>Statement!O97</f>
        <v>-0.78924382330920884</v>
      </c>
      <c r="F85" s="177">
        <f>Statement!P97</f>
        <v>-12.104795737122558</v>
      </c>
      <c r="G85" s="177">
        <f>Statement!Q97</f>
        <v>0.98576455534229046</v>
      </c>
      <c r="I85" s="199"/>
    </row>
    <row r="88" spans="2:9" ht="17" thickBot="1" x14ac:dyDescent="0.25">
      <c r="B88" s="14" t="s">
        <v>314</v>
      </c>
      <c r="C88" s="14"/>
      <c r="D88" s="14"/>
      <c r="E88" s="14"/>
      <c r="F88" s="14"/>
      <c r="G88" s="14"/>
      <c r="I88" s="14"/>
    </row>
    <row r="89" spans="2:9" x14ac:dyDescent="0.2">
      <c r="B89" s="218" t="s">
        <v>362</v>
      </c>
      <c r="C89" s="177">
        <f>Statement!M200</f>
        <v>1</v>
      </c>
      <c r="D89" s="177">
        <f>Statement!N200</f>
        <v>-0.22657676298045326</v>
      </c>
      <c r="E89" s="177">
        <f>Statement!O200</f>
        <v>-7.9155257608661447E-2</v>
      </c>
      <c r="F89" s="177">
        <f>Statement!P200</f>
        <v>0.139722469068289</v>
      </c>
      <c r="G89" s="177">
        <f>Statement!Q200</f>
        <v>-3.3527259641336293E-2</v>
      </c>
      <c r="I89" s="199"/>
    </row>
    <row r="90" spans="2:9" x14ac:dyDescent="0.2">
      <c r="B90" s="218" t="s">
        <v>363</v>
      </c>
      <c r="C90" s="177">
        <f>Statement!M201</f>
        <v>1</v>
      </c>
      <c r="D90" s="177">
        <f>Statement!N201</f>
        <v>-8.4923946253162061E-2</v>
      </c>
      <c r="E90" s="177">
        <f>Statement!O201</f>
        <v>-0.23547784878293962</v>
      </c>
      <c r="F90" s="177">
        <f>Statement!P201</f>
        <v>-0.242779995304062</v>
      </c>
      <c r="G90" s="177">
        <f>Statement!Q201</f>
        <v>4.9240310077519382E-2</v>
      </c>
      <c r="I90" s="199"/>
    </row>
    <row r="91" spans="2:9" x14ac:dyDescent="0.2">
      <c r="B91" s="20" t="s">
        <v>364</v>
      </c>
      <c r="C91" s="177">
        <f>Statement!M202</f>
        <v>1</v>
      </c>
      <c r="D91" s="177">
        <f>Statement!N202</f>
        <v>-0.16628914988814317</v>
      </c>
      <c r="E91" s="177">
        <f>Statement!O202</f>
        <v>-0.1521793818236705</v>
      </c>
      <c r="F91" s="177">
        <f>Statement!P202</f>
        <v>-2.1403279726227919E-2</v>
      </c>
      <c r="G91" s="177">
        <f>Statement!Q202</f>
        <v>-6.5492915041135214E-3</v>
      </c>
      <c r="I91" s="199"/>
    </row>
    <row r="92" spans="2:9" x14ac:dyDescent="0.2">
      <c r="B92" s="20" t="s">
        <v>365</v>
      </c>
      <c r="C92" s="177">
        <f>Statement!M203</f>
        <v>1</v>
      </c>
      <c r="D92" s="177">
        <f>Statement!N203</f>
        <v>0.35158501440922191</v>
      </c>
      <c r="E92" s="177">
        <f>Statement!O203</f>
        <v>1.0298507462686568</v>
      </c>
      <c r="F92" s="177">
        <f>Statement!P203</f>
        <v>17.190126050420169</v>
      </c>
      <c r="G92" s="177">
        <f>Statement!Q203</f>
        <v>2.9393081942599757E-2</v>
      </c>
      <c r="I92" s="199"/>
    </row>
    <row r="93" spans="2:9" x14ac:dyDescent="0.2">
      <c r="B93" s="20" t="s">
        <v>366</v>
      </c>
      <c r="C93" s="177">
        <f>Statement!M204</f>
        <v>1</v>
      </c>
      <c r="D93" s="177">
        <f>Statement!N204</f>
        <v>-0.58669833729216148</v>
      </c>
      <c r="E93" s="177">
        <f>Statement!O204</f>
        <v>-7.9445571331981074E-2</v>
      </c>
      <c r="F93" s="177">
        <f>Statement!P204</f>
        <v>0.32243848696290855</v>
      </c>
      <c r="G93" s="177">
        <f>Statement!Q204</f>
        <v>-1.0552624271035824E-2</v>
      </c>
      <c r="I93" s="199"/>
    </row>
    <row r="95" spans="2:9" ht="17" thickBot="1" x14ac:dyDescent="0.25">
      <c r="B95" s="14" t="s">
        <v>316</v>
      </c>
      <c r="C95" s="14"/>
      <c r="D95" s="14"/>
      <c r="E95" s="14"/>
      <c r="F95" s="14"/>
      <c r="G95" s="14"/>
      <c r="I95" s="14"/>
    </row>
    <row r="96" spans="2:9" x14ac:dyDescent="0.2">
      <c r="B96" s="20" t="s">
        <v>288</v>
      </c>
      <c r="C96" s="177">
        <f>Statement!M208</f>
        <v>-1</v>
      </c>
      <c r="D96" s="177">
        <f>Statement!N208</f>
        <v>6.2544294826364283E-2</v>
      </c>
      <c r="E96" s="177">
        <f>Statement!O208</f>
        <v>-0.48507587126896784</v>
      </c>
      <c r="F96" s="177">
        <f>Statement!P208</f>
        <v>-0.48218911917098445</v>
      </c>
      <c r="G96" s="177">
        <f>Statement!Q208</f>
        <v>-1</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2" t="s">
        <v>317</v>
      </c>
      <c r="D3" s="233"/>
      <c r="F3" s="234" t="s">
        <v>318</v>
      </c>
      <c r="G3" s="233"/>
    </row>
    <row r="4" spans="2:7" x14ac:dyDescent="0.2">
      <c r="B4" s="8"/>
      <c r="C4" s="10" t="str">
        <f>Statement!Z2</f>
        <v>27.12.2025</v>
      </c>
      <c r="D4" s="205" t="str">
        <f>Statement!AA2</f>
        <v>28.03.2026</v>
      </c>
      <c r="F4" s="206" t="str">
        <f>Statement!W2</f>
        <v>29.03.2025</v>
      </c>
      <c r="G4" s="205" t="str">
        <f>Statement!AA2</f>
        <v>28.03.2026</v>
      </c>
    </row>
    <row r="5" spans="2:7" x14ac:dyDescent="0.2">
      <c r="B5" s="8" t="s">
        <v>323</v>
      </c>
      <c r="C5" s="10" t="str">
        <f>Statement!Z3</f>
        <v>Q4 2025</v>
      </c>
      <c r="D5" s="205" t="str">
        <f>Statement!AA3</f>
        <v>Q1 2026</v>
      </c>
      <c r="F5" s="206" t="str">
        <f>Statement!W3</f>
        <v>Q1 2025</v>
      </c>
      <c r="G5" s="205" t="str">
        <f>Statement!AA3</f>
        <v>Q1 2026</v>
      </c>
    </row>
    <row r="6" spans="2:7" x14ac:dyDescent="0.2">
      <c r="B6" s="207" t="s">
        <v>19</v>
      </c>
      <c r="C6" s="201">
        <f>Statement!Z5</f>
        <v>13674</v>
      </c>
      <c r="D6" s="200">
        <f>Statement!AA5</f>
        <v>13577</v>
      </c>
      <c r="F6" s="201">
        <f>Statement!W5</f>
        <v>12667</v>
      </c>
      <c r="G6" s="200">
        <f>Statement!AA5</f>
        <v>13577</v>
      </c>
    </row>
    <row r="7" spans="2:7" x14ac:dyDescent="0.2">
      <c r="B7" s="208" t="s">
        <v>319</v>
      </c>
      <c r="C7" s="235">
        <f>Statement!AA88</f>
        <v>-7.0937545707181514E-3</v>
      </c>
      <c r="D7" s="236"/>
      <c r="F7" s="235">
        <f>IF(F6=0,
IF(G6=0,0,IF(G6&gt;0,1,-1)),
(G6-F6)/ABS(F6)
)</f>
        <v>7.1840214731191288E-2</v>
      </c>
      <c r="G7" s="236"/>
    </row>
    <row r="8" spans="2:7" x14ac:dyDescent="0.2">
      <c r="B8" s="209" t="s">
        <v>20</v>
      </c>
      <c r="C8" s="202">
        <f>Statement!Z6</f>
        <v>8731</v>
      </c>
      <c r="D8" s="200">
        <f>Statement!AA6</f>
        <v>8230</v>
      </c>
      <c r="F8" s="202">
        <f>Statement!W6</f>
        <v>7995</v>
      </c>
      <c r="G8" s="200">
        <f>Statement!AA6</f>
        <v>8230</v>
      </c>
    </row>
    <row r="9" spans="2:7" x14ac:dyDescent="0.2">
      <c r="B9" s="208" t="s">
        <v>319</v>
      </c>
      <c r="C9" s="235">
        <f>Statement!AA89</f>
        <v>-5.7381743213835761E-2</v>
      </c>
      <c r="D9" s="236"/>
      <c r="F9" s="235">
        <f>IF(F8=0,
IF(G8=0,0,IF(G8&gt;0,1,-1)),
(G8-F8)/ABS(F8)
)</f>
        <v>2.9393370856785492E-2</v>
      </c>
      <c r="G9" s="236"/>
    </row>
    <row r="10" spans="2:7" x14ac:dyDescent="0.2">
      <c r="B10" s="209" t="s">
        <v>21</v>
      </c>
      <c r="C10" s="202">
        <f>Statement!Z7</f>
        <v>4943</v>
      </c>
      <c r="D10" s="200">
        <f>Statement!AA7</f>
        <v>5347</v>
      </c>
      <c r="F10" s="202">
        <f>Statement!W7</f>
        <v>4672</v>
      </c>
      <c r="G10" s="200">
        <f>Statement!AA7</f>
        <v>5347</v>
      </c>
    </row>
    <row r="11" spans="2:7" x14ac:dyDescent="0.2">
      <c r="B11" s="208" t="s">
        <v>319</v>
      </c>
      <c r="C11" s="235">
        <f>Statement!AA90</f>
        <v>8.1731741857171761E-2</v>
      </c>
      <c r="D11" s="236"/>
      <c r="F11" s="235">
        <f>IF(F10=0,
IF(G10=0,0,IF(G10&gt;0,1,-1)),
(G10-F10)/ABS(F10)
)</f>
        <v>0.1444777397260274</v>
      </c>
      <c r="G11" s="236"/>
    </row>
    <row r="12" spans="2:7" x14ac:dyDescent="0.2">
      <c r="B12" s="209" t="s">
        <v>23</v>
      </c>
      <c r="C12" s="202">
        <f>Statement!Z11</f>
        <v>4363</v>
      </c>
      <c r="D12" s="200">
        <f>Statement!AA11</f>
        <v>8483</v>
      </c>
      <c r="F12" s="202">
        <f>Statement!W11</f>
        <v>4973</v>
      </c>
      <c r="G12" s="200">
        <f>Statement!AA11</f>
        <v>8483</v>
      </c>
    </row>
    <row r="13" spans="2:7" x14ac:dyDescent="0.2">
      <c r="B13" s="208" t="s">
        <v>319</v>
      </c>
      <c r="C13" s="235">
        <f>Statement!AA94</f>
        <v>0.94430437772175113</v>
      </c>
      <c r="D13" s="236"/>
      <c r="F13" s="235">
        <f>IF(F12=0,
IF(G12=0,0,IF(G12&gt;0,1,-1)),
(G12-F12)/ABS(F12)
)</f>
        <v>0.70581138145988342</v>
      </c>
      <c r="G13" s="236"/>
    </row>
    <row r="14" spans="2:7" x14ac:dyDescent="0.2">
      <c r="B14" s="209" t="s">
        <v>320</v>
      </c>
      <c r="C14" s="202">
        <f>Statement!Z12</f>
        <v>580</v>
      </c>
      <c r="D14" s="200">
        <f>Statement!AA12</f>
        <v>-3136</v>
      </c>
      <c r="F14" s="202">
        <f>Statement!W12</f>
        <v>-301</v>
      </c>
      <c r="G14" s="200">
        <f>Statement!AA12</f>
        <v>-3136</v>
      </c>
    </row>
    <row r="15" spans="2:7" x14ac:dyDescent="0.2">
      <c r="B15" s="208" t="s">
        <v>319</v>
      </c>
      <c r="C15" s="235">
        <f>Statement!AA95</f>
        <v>-6.4068965517241381</v>
      </c>
      <c r="D15" s="236"/>
      <c r="F15" s="235">
        <f>IF(F14=0,
IF(G14=0,0,IF(G14&gt;0,1,-1)),
(G14-F14)/ABS(F14)
)</f>
        <v>-9.4186046511627914</v>
      </c>
      <c r="G15" s="236"/>
    </row>
    <row r="16" spans="2:7" x14ac:dyDescent="0.2">
      <c r="B16" s="209" t="s">
        <v>29</v>
      </c>
      <c r="C16" s="202">
        <f>Statement!Z18</f>
        <v>-591</v>
      </c>
      <c r="D16" s="200">
        <f>Statement!AA18</f>
        <v>-3728</v>
      </c>
      <c r="F16" s="202">
        <f>Statement!W18</f>
        <v>-821</v>
      </c>
      <c r="G16" s="200">
        <f>Statement!AA18</f>
        <v>-3728</v>
      </c>
    </row>
    <row r="17" spans="2:7" x14ac:dyDescent="0.2">
      <c r="B17" s="208" t="s">
        <v>319</v>
      </c>
      <c r="C17" s="235">
        <f>Statement!AA97</f>
        <v>-5.3079526226734348</v>
      </c>
      <c r="D17" s="236"/>
      <c r="F17" s="235">
        <f>IF(F16=0,
IF(G16=0,0,IF(G16&gt;0,1,-1)),
(G16-F16)/ABS(F16)
)</f>
        <v>-3.5408038976857492</v>
      </c>
      <c r="G17" s="236"/>
    </row>
    <row r="18" spans="2:7" x14ac:dyDescent="0.2">
      <c r="B18" s="209" t="s">
        <v>321</v>
      </c>
      <c r="C18" s="202">
        <f>Statement!Z22</f>
        <v>4856</v>
      </c>
      <c r="D18" s="200">
        <f>Statement!AA22</f>
        <v>5083</v>
      </c>
      <c r="F18" s="202">
        <f>Statement!W22</f>
        <v>4343</v>
      </c>
      <c r="G18" s="200">
        <f>Statement!AA22</f>
        <v>5083</v>
      </c>
    </row>
    <row r="19" spans="2:7" x14ac:dyDescent="0.2">
      <c r="B19" s="208" t="s">
        <v>319</v>
      </c>
      <c r="C19" s="235">
        <f>IF(C18=0,
IF(D18=0,0,IF(D18&gt;0,1,-1)),
(D18-C18)/ABS(C18)
)</f>
        <v>4.6746293245469521E-2</v>
      </c>
      <c r="D19" s="236"/>
      <c r="F19" s="235">
        <f>IF(F18=0,
IF(G18=0,0,IF(G18&gt;0,1,-1)),
(G18-F18)/ABS(F18)
)</f>
        <v>0.17038913193644947</v>
      </c>
      <c r="G19" s="236"/>
    </row>
    <row r="20" spans="2:7" x14ac:dyDescent="0.2">
      <c r="B20" s="209" t="s">
        <v>36</v>
      </c>
      <c r="C20" s="203">
        <f>Statement!Z26</f>
        <v>-0.12</v>
      </c>
      <c r="D20" s="204">
        <f>Statement!AA26</f>
        <v>-0.73</v>
      </c>
      <c r="F20" s="203">
        <f>Statement!W26</f>
        <v>-0.19</v>
      </c>
      <c r="G20" s="204">
        <f>Statement!AA26</f>
        <v>-0.73</v>
      </c>
    </row>
    <row r="21" spans="2:7" x14ac:dyDescent="0.2">
      <c r="B21" s="208" t="s">
        <v>319</v>
      </c>
      <c r="C21" s="235">
        <f>IF(C20=0,
IF(D20=0,0,IF(D20&gt;0,1,-1)),
(D20-C20)/ABS(C20)
)</f>
        <v>-5.083333333333333</v>
      </c>
      <c r="D21" s="236"/>
      <c r="F21" s="235">
        <f>IF(F20=0,
IF(G20=0,0,IF(G20&gt;0,1,-1)),
(G20-F20)/ABS(F20)
)</f>
        <v>-2.8421052631578947</v>
      </c>
      <c r="G21" s="236"/>
    </row>
    <row r="23" spans="2:7" x14ac:dyDescent="0.2">
      <c r="B23" s="8" t="s">
        <v>322</v>
      </c>
      <c r="C23" s="10" t="str">
        <f>C5</f>
        <v>Q4 2025</v>
      </c>
      <c r="D23" s="205" t="str">
        <f>D5</f>
        <v>Q1 2026</v>
      </c>
      <c r="F23" s="206" t="str">
        <f>F5</f>
        <v>Q1 2025</v>
      </c>
      <c r="G23" s="205" t="str">
        <f>G5</f>
        <v>Q1 2026</v>
      </c>
    </row>
    <row r="24" spans="2:7" x14ac:dyDescent="0.2">
      <c r="B24" s="20" t="s">
        <v>362</v>
      </c>
      <c r="C24" s="202">
        <f>Statement!Z105</f>
        <v>8193</v>
      </c>
      <c r="D24" s="200">
        <f>Statement!AA105</f>
        <v>7727</v>
      </c>
      <c r="F24" s="202">
        <f>Statement!W105</f>
        <v>7629</v>
      </c>
      <c r="G24" s="200">
        <f>Statement!AA105</f>
        <v>7727</v>
      </c>
    </row>
    <row r="25" spans="2:7" x14ac:dyDescent="0.2">
      <c r="B25" s="208" t="s">
        <v>319</v>
      </c>
      <c r="C25" s="235">
        <f>IF(C24=0,
IF(D24=0,0,IF(D24&gt;0,1,-1)),
(D24-C24)/ABS(C24)
)</f>
        <v>-5.687782253142927E-2</v>
      </c>
      <c r="D25" s="236"/>
      <c r="F25" s="235">
        <f>IF(F24=0,
IF(G24=0,0,IF(G24&gt;0,1,-1)),
(G24-F24)/ABS(F24)
)</f>
        <v>1.284572027788701E-2</v>
      </c>
      <c r="G25" s="236"/>
    </row>
    <row r="26" spans="2:7" x14ac:dyDescent="0.2">
      <c r="B26" s="20" t="s">
        <v>363</v>
      </c>
      <c r="C26" s="202">
        <f>Statement!Z106</f>
        <v>4737</v>
      </c>
      <c r="D26" s="200">
        <f>Statement!AA106</f>
        <v>5052</v>
      </c>
      <c r="F26" s="202">
        <f>Statement!W106</f>
        <v>4126</v>
      </c>
      <c r="G26" s="200">
        <f>Statement!AA106</f>
        <v>5052</v>
      </c>
    </row>
    <row r="27" spans="2:7" x14ac:dyDescent="0.2">
      <c r="B27" s="208" t="s">
        <v>319</v>
      </c>
      <c r="C27" s="235">
        <f>IF(C26=0,
IF(D26=0,0,IF(D26&gt;0,1,-1)),
(D26-C26)/ABS(C26)
)</f>
        <v>6.6497783407219763E-2</v>
      </c>
      <c r="D27" s="236"/>
      <c r="F27" s="235">
        <f>IF(F26=0,
IF(G26=0,0,IF(G26&gt;0,1,-1)),
(G26-F26)/ABS(F26)
)</f>
        <v>0.22443044110518662</v>
      </c>
      <c r="G27" s="236"/>
    </row>
    <row r="28" spans="2:7" x14ac:dyDescent="0.2">
      <c r="B28" s="20" t="s">
        <v>364</v>
      </c>
      <c r="C28" s="202">
        <f>Statement!Z107</f>
        <v>12930</v>
      </c>
      <c r="D28" s="200">
        <f>Statement!AA107</f>
        <v>12779</v>
      </c>
      <c r="F28" s="202">
        <f>Statement!W107</f>
        <v>11755</v>
      </c>
      <c r="G28" s="200">
        <f>Statement!AA107</f>
        <v>12779</v>
      </c>
    </row>
    <row r="29" spans="2:7" x14ac:dyDescent="0.2">
      <c r="B29" s="208" t="s">
        <v>319</v>
      </c>
      <c r="C29" s="235">
        <f>IF(C28=0,
IF(D28=0,0,IF(D28&gt;0,1,-1)),
(D28-C28)/ABS(C28)
)</f>
        <v>-1.1678267594740912E-2</v>
      </c>
      <c r="D29" s="236"/>
      <c r="F29" s="235">
        <f>IF(F28=0,
IF(G28=0,0,IF(G28&gt;0,1,-1)),
(G28-F28)/ABS(F28)
)</f>
        <v>8.7111867290514677E-2</v>
      </c>
      <c r="G29" s="236"/>
    </row>
    <row r="30" spans="2:7" x14ac:dyDescent="0.2">
      <c r="B30" s="20" t="s">
        <v>365</v>
      </c>
      <c r="C30" s="202">
        <f>Statement!Z108</f>
        <v>4507</v>
      </c>
      <c r="D30" s="202">
        <f>Statement!AA108</f>
        <v>5421</v>
      </c>
      <c r="F30" s="202">
        <f>Statement!W108</f>
        <v>4667</v>
      </c>
      <c r="G30" s="200">
        <f>Statement!AA108</f>
        <v>5421</v>
      </c>
    </row>
    <row r="31" spans="2:7" x14ac:dyDescent="0.2">
      <c r="B31" s="208" t="s">
        <v>319</v>
      </c>
      <c r="C31" s="235">
        <f>IF(C30=0,
IF(D30=0,0,IF(D30&gt;0,1,-1)),
(D30-C30)/ABS(C30)
)</f>
        <v>0.2027956512092301</v>
      </c>
      <c r="D31" s="236"/>
      <c r="F31" s="235">
        <f>IF(F30=0,
IF(G30=0,0,IF(G30&gt;0,1,-1)),
(G30-F30)/ABS(F30)
)</f>
        <v>0.16155988857938719</v>
      </c>
      <c r="G31" s="236"/>
    </row>
    <row r="32" spans="2:7" x14ac:dyDescent="0.2">
      <c r="B32" s="20" t="s">
        <v>366</v>
      </c>
      <c r="C32" s="202">
        <f>Statement!Z109</f>
        <v>574</v>
      </c>
      <c r="D32" s="200">
        <f>Statement!AA109</f>
        <v>628</v>
      </c>
      <c r="F32" s="202">
        <f>Statement!W109</f>
        <v>943</v>
      </c>
      <c r="G32" s="200">
        <f>Statement!AA109</f>
        <v>628</v>
      </c>
    </row>
    <row r="33" spans="2:7" x14ac:dyDescent="0.2">
      <c r="B33" s="208" t="s">
        <v>319</v>
      </c>
      <c r="C33" s="235">
        <f>IF(C32=0,
IF(D32=0,0,IF(D32&gt;0,1,-1)),
(D32-C32)/ABS(C32)
)</f>
        <v>9.4076655052264813E-2</v>
      </c>
      <c r="D33" s="236"/>
      <c r="F33" s="235">
        <f>IF(F32=0,
IF(G32=0,0,IF(G32&gt;0,1,-1)),
(G32-F32)/ABS(F32)
)</f>
        <v>-0.33404029692470838</v>
      </c>
      <c r="G33" s="236"/>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Statement!H175</f>
        <v>0</v>
      </c>
      <c r="D60" s="63">
        <f>Statement!I175</f>
        <v>0</v>
      </c>
      <c r="E60" s="63">
        <f>Statement!J175</f>
        <v>0</v>
      </c>
      <c r="F60" s="63">
        <f>Statement!K175</f>
        <v>0</v>
      </c>
      <c r="G60" s="63">
        <f>Statement!L175</f>
        <v>0</v>
      </c>
      <c r="H60" s="63">
        <f>Statement!M175</f>
        <v>8687</v>
      </c>
      <c r="I60" s="63">
        <f>Statement!N175</f>
        <v>-12539</v>
      </c>
      <c r="J60" s="63">
        <f>Statement!O175</f>
        <v>-17508</v>
      </c>
      <c r="K60" s="63">
        <f>Statement!P175</f>
        <v>-19066</v>
      </c>
      <c r="L60" s="63">
        <f>Statement!Q175</f>
        <v>-7383</v>
      </c>
    </row>
    <row r="61" spans="2:12" x14ac:dyDescent="0.2">
      <c r="B61" s="20" t="s">
        <v>265</v>
      </c>
      <c r="C61" s="63">
        <f>Statement!H176</f>
        <v>0</v>
      </c>
      <c r="D61" s="63">
        <f>Statement!I176</f>
        <v>0</v>
      </c>
      <c r="E61" s="63">
        <f>Statement!J176</f>
        <v>0</v>
      </c>
      <c r="F61" s="63">
        <f>Statement!K176</f>
        <v>0</v>
      </c>
      <c r="G61" s="63">
        <f>Statement!L176</f>
        <v>0</v>
      </c>
      <c r="H61" s="63">
        <f>Statement!M176</f>
        <v>5461.985025111735</v>
      </c>
      <c r="I61" s="63">
        <f>Statement!N176</f>
        <v>-13983</v>
      </c>
      <c r="J61" s="63">
        <f>Statement!O176</f>
        <v>-16624</v>
      </c>
      <c r="K61" s="63">
        <f>Statement!P176</f>
        <v>-23140</v>
      </c>
      <c r="L61" s="63">
        <f>Statement!Q176</f>
        <v>-6901</v>
      </c>
    </row>
    <row r="62" spans="2:12" x14ac:dyDescent="0.2">
      <c r="B62" s="20" t="s">
        <v>76</v>
      </c>
      <c r="C62" s="224">
        <f>Statement!H100</f>
        <v>0</v>
      </c>
      <c r="D62" s="224">
        <f>Statement!I100</f>
        <v>0</v>
      </c>
      <c r="E62" s="224">
        <f>Statement!J100</f>
        <v>0</v>
      </c>
      <c r="F62" s="224">
        <f>Statement!K100</f>
        <v>0</v>
      </c>
      <c r="G62" s="224">
        <f>Statement!L100</f>
        <v>0</v>
      </c>
      <c r="H62" s="224">
        <f>Statement!M100</f>
        <v>0.5544518121077141</v>
      </c>
      <c r="I62" s="224">
        <f>Statement!N100</f>
        <v>0.42607923367272499</v>
      </c>
      <c r="J62" s="224">
        <f>Statement!O100</f>
        <v>0.40036512502766097</v>
      </c>
      <c r="K62" s="224">
        <f>Statement!P100</f>
        <v>0.32664168283083184</v>
      </c>
      <c r="L62" s="224">
        <f>Statement!Q100</f>
        <v>0.34766238434904356</v>
      </c>
    </row>
    <row r="63" spans="2:12" x14ac:dyDescent="0.2">
      <c r="B63" s="20" t="s">
        <v>77</v>
      </c>
      <c r="C63" s="224">
        <f>Statement!H101</f>
        <v>0</v>
      </c>
      <c r="D63" s="224">
        <f>Statement!I101</f>
        <v>0</v>
      </c>
      <c r="E63" s="224">
        <f>Statement!J101</f>
        <v>0</v>
      </c>
      <c r="F63" s="224">
        <f>Statement!K101</f>
        <v>0</v>
      </c>
      <c r="G63" s="224">
        <f>Statement!L101</f>
        <v>0</v>
      </c>
      <c r="H63" s="224">
        <f>Statement!M101</f>
        <v>0.24620368495646891</v>
      </c>
      <c r="I63" s="224">
        <f>Statement!N101</f>
        <v>3.7015891140926828E-2</v>
      </c>
      <c r="J63" s="224">
        <f>Statement!O101</f>
        <v>1.714981190528878E-3</v>
      </c>
      <c r="K63" s="224">
        <f>Statement!P101</f>
        <v>-0.21992052880360069</v>
      </c>
      <c r="L63" s="224">
        <f>Statement!Q101</f>
        <v>-4.1889769738709247E-2</v>
      </c>
    </row>
    <row r="64" spans="2:12" x14ac:dyDescent="0.2">
      <c r="B64" s="20" t="s">
        <v>78</v>
      </c>
      <c r="C64" s="224">
        <f>Statement!H102</f>
        <v>0</v>
      </c>
      <c r="D64" s="224">
        <f>Statement!I102</f>
        <v>0</v>
      </c>
      <c r="E64" s="224">
        <f>Statement!J102</f>
        <v>0</v>
      </c>
      <c r="F64" s="224">
        <f>Statement!K102</f>
        <v>0</v>
      </c>
      <c r="G64" s="224">
        <f>Statement!L102</f>
        <v>0</v>
      </c>
      <c r="H64" s="224">
        <f>Statement!M102</f>
        <v>0.25141729094958493</v>
      </c>
      <c r="I64" s="224">
        <f>Statement!N102</f>
        <v>0.12714498683667966</v>
      </c>
      <c r="J64" s="224">
        <f>Statement!O102</f>
        <v>3.088810208748248E-2</v>
      </c>
      <c r="K64" s="224">
        <f>Statement!P102</f>
        <v>-0.3621965688028474</v>
      </c>
      <c r="L64" s="224">
        <f>Statement!Q102</f>
        <v>4.9193044860272833E-4</v>
      </c>
    </row>
    <row r="65" spans="2:12" x14ac:dyDescent="0.2">
      <c r="B65" s="20" t="s">
        <v>364</v>
      </c>
      <c r="C65" s="63">
        <f>Statement!H107</f>
        <v>0</v>
      </c>
      <c r="D65" s="63">
        <f>Statement!I107</f>
        <v>0</v>
      </c>
      <c r="E65" s="63">
        <f>Statement!J107</f>
        <v>0</v>
      </c>
      <c r="F65" s="63">
        <f>Statement!K107</f>
        <v>0</v>
      </c>
      <c r="G65" s="63">
        <f>Statement!L107</f>
        <v>0</v>
      </c>
      <c r="H65" s="63">
        <f>Statement!M107</f>
        <v>71520</v>
      </c>
      <c r="I65" s="63">
        <f>Statement!N107</f>
        <v>59627</v>
      </c>
      <c r="J65" s="63">
        <f>Statement!O107</f>
        <v>50553</v>
      </c>
      <c r="K65" s="63">
        <f>Statement!P107</f>
        <v>49471</v>
      </c>
      <c r="L65" s="63">
        <f>Statement!Q107</f>
        <v>49147</v>
      </c>
    </row>
    <row r="66" spans="2:12" x14ac:dyDescent="0.2">
      <c r="B66" s="20" t="s">
        <v>365</v>
      </c>
      <c r="C66" s="63">
        <f>Statement!H108</f>
        <v>0</v>
      </c>
      <c r="D66" s="63">
        <f>Statement!I108</f>
        <v>0</v>
      </c>
      <c r="E66" s="63">
        <f>Statement!J108</f>
        <v>0</v>
      </c>
      <c r="F66" s="63">
        <f>Statement!K108</f>
        <v>0</v>
      </c>
      <c r="G66" s="63">
        <f>Statement!L108</f>
        <v>0</v>
      </c>
      <c r="H66" s="63">
        <f>Statement!M108</f>
        <v>347</v>
      </c>
      <c r="I66" s="63">
        <f>Statement!N108</f>
        <v>469</v>
      </c>
      <c r="J66" s="63">
        <f>Statement!O108</f>
        <v>952</v>
      </c>
      <c r="K66" s="63">
        <f>Statement!P108</f>
        <v>17317</v>
      </c>
      <c r="L66" s="63">
        <f>Statement!Q108</f>
        <v>17826</v>
      </c>
    </row>
    <row r="67" spans="2:12" x14ac:dyDescent="0.2">
      <c r="B67" s="20" t="s">
        <v>366</v>
      </c>
      <c r="C67" s="63">
        <f>Statement!H109</f>
        <v>0</v>
      </c>
      <c r="D67" s="63">
        <f>Statement!I109</f>
        <v>0</v>
      </c>
      <c r="E67" s="63">
        <f>Statement!J109</f>
        <v>0</v>
      </c>
      <c r="F67" s="63">
        <f>Statement!K109</f>
        <v>0</v>
      </c>
      <c r="G67" s="63">
        <f>Statement!L109</f>
        <v>0</v>
      </c>
      <c r="H67" s="63">
        <f>Statement!M109</f>
        <v>7157</v>
      </c>
      <c r="I67" s="63">
        <f>Statement!N109</f>
        <v>2958</v>
      </c>
      <c r="J67" s="63">
        <f>Statement!O109</f>
        <v>2723</v>
      </c>
      <c r="K67" s="63">
        <f>Statement!P109</f>
        <v>3601</v>
      </c>
      <c r="L67" s="63">
        <f>Statement!Q109</f>
        <v>3563</v>
      </c>
    </row>
    <row r="68" spans="2:12" x14ac:dyDescent="0.2">
      <c r="B68" s="20" t="s">
        <v>97</v>
      </c>
      <c r="C68" s="225">
        <f>Statement!H136</f>
        <v>0</v>
      </c>
      <c r="D68" s="225">
        <f>Statement!I136</f>
        <v>0</v>
      </c>
      <c r="E68" s="225">
        <f>Statement!J136</f>
        <v>0</v>
      </c>
      <c r="F68" s="225">
        <f>Statement!K136</f>
        <v>0</v>
      </c>
      <c r="G68" s="225">
        <f>Statement!L136</f>
        <v>0</v>
      </c>
      <c r="H68" s="225">
        <f>Statement!M136</f>
        <v>0.11797679417597948</v>
      </c>
      <c r="I68" s="225">
        <f>Statement!N136</f>
        <v>4.4024535565037361E-2</v>
      </c>
      <c r="J68" s="225">
        <f>Statement!O136</f>
        <v>8.7434489382581995E-3</v>
      </c>
      <c r="K68" s="225">
        <f>Statement!P136</f>
        <v>-9.7885334758378503E-2</v>
      </c>
      <c r="L68" s="225">
        <f>Statement!Q136</f>
        <v>1.2297272370393844E-4</v>
      </c>
    </row>
    <row r="69" spans="2:12" x14ac:dyDescent="0.2">
      <c r="B69" s="20" t="s">
        <v>99</v>
      </c>
      <c r="C69" s="225">
        <f>Statement!H138</f>
        <v>0</v>
      </c>
      <c r="D69" s="225">
        <f>Statement!I138</f>
        <v>0</v>
      </c>
      <c r="E69" s="225">
        <f>Statement!J138</f>
        <v>0</v>
      </c>
      <c r="F69" s="225">
        <f>Statement!K138</f>
        <v>0</v>
      </c>
      <c r="G69" s="225">
        <f>Statement!L138</f>
        <v>0</v>
      </c>
      <c r="H69" s="225">
        <f>Statement!M138</f>
        <v>0.20827960709081569</v>
      </c>
      <c r="I69" s="225">
        <f>Statement!N138</f>
        <v>7.904518698914445E-2</v>
      </c>
      <c r="J69" s="225">
        <f>Statement!O138</f>
        <v>1.5863244625438012E-2</v>
      </c>
      <c r="K69" s="225">
        <f>Statement!P138</f>
        <v>-0.19374433363553945</v>
      </c>
      <c r="L69" s="225">
        <f>Statement!Q138</f>
        <v>2.2750938476212145E-4</v>
      </c>
    </row>
    <row r="70" spans="2:12" x14ac:dyDescent="0.2">
      <c r="B70" s="20" t="s">
        <v>100</v>
      </c>
      <c r="C70" s="225">
        <f>Statement!H158</f>
        <v>0</v>
      </c>
      <c r="D70" s="225">
        <f>Statement!I158</f>
        <v>0</v>
      </c>
      <c r="E70" s="225">
        <f>Statement!J158</f>
        <v>0</v>
      </c>
      <c r="F70" s="225">
        <f>Statement!K158</f>
        <v>0</v>
      </c>
      <c r="G70" s="225">
        <f>Statement!L158</f>
        <v>0</v>
      </c>
      <c r="H70" s="225">
        <f>Statement!M158</f>
        <v>0.16950089956234582</v>
      </c>
      <c r="I70" s="225">
        <f>Statement!N158</f>
        <v>1.9948888452038051E-2</v>
      </c>
      <c r="J70" s="225">
        <f>Statement!O158</f>
        <v>6.9301102111075507E-4</v>
      </c>
      <c r="K70" s="225">
        <f>Statement!P158</f>
        <v>-8.7817056571991486E-2</v>
      </c>
      <c r="L70" s="225">
        <f>Statement!Q158</f>
        <v>-1.6335987131905347E-2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4">
        <f>Statement!T100</f>
        <v>0.35432089145172602</v>
      </c>
      <c r="D60" s="224">
        <f>Statement!U100</f>
        <v>0.15033122553447756</v>
      </c>
      <c r="E60" s="224">
        <f>Statement!V100</f>
        <v>0.39158485273492288</v>
      </c>
      <c r="F60" s="224">
        <f>Statement!W100</f>
        <v>0.36883239914739085</v>
      </c>
      <c r="G60" s="224">
        <f>Statement!X100</f>
        <v>0.27544910179640719</v>
      </c>
      <c r="H60" s="224">
        <f>Statement!Y100</f>
        <v>0.38218706511389439</v>
      </c>
      <c r="I60" s="224">
        <f>Statement!Z100</f>
        <v>0.36148895714494661</v>
      </c>
      <c r="J60" s="224">
        <f>Statement!AA100</f>
        <v>0.39382779700964865</v>
      </c>
    </row>
    <row r="61" spans="2:10" x14ac:dyDescent="0.2">
      <c r="B61" s="20" t="s">
        <v>77</v>
      </c>
      <c r="C61" s="224">
        <f>Statement!T101</f>
        <v>-0.15304293618016052</v>
      </c>
      <c r="D61" s="224">
        <f>Statement!U101</f>
        <v>-0.68179765130984649</v>
      </c>
      <c r="E61" s="224">
        <f>Statement!V101</f>
        <v>2.8892005610098175E-2</v>
      </c>
      <c r="F61" s="224">
        <f>Statement!W101</f>
        <v>-2.3762532564932503E-2</v>
      </c>
      <c r="G61" s="224">
        <f>Statement!X101</f>
        <v>-0.246986546387744</v>
      </c>
      <c r="H61" s="224">
        <f>Statement!Y101</f>
        <v>5.0025635391489048E-2</v>
      </c>
      <c r="I61" s="224">
        <f>Statement!Z101</f>
        <v>4.2416264443469361E-2</v>
      </c>
      <c r="J61" s="224">
        <f>Statement!AA101</f>
        <v>-0.23097886130956766</v>
      </c>
    </row>
    <row r="62" spans="2:10" x14ac:dyDescent="0.2">
      <c r="B62" s="20" t="s">
        <v>78</v>
      </c>
      <c r="C62" s="224">
        <f>Statement!T102</f>
        <v>-0.12888646458349567</v>
      </c>
      <c r="D62" s="224">
        <f>Statement!U102</f>
        <v>-1.278906955736224</v>
      </c>
      <c r="E62" s="224">
        <f>Statement!V102</f>
        <v>-1.0729312762973352E-2</v>
      </c>
      <c r="F62" s="224">
        <f>Statement!W102</f>
        <v>-7.0024473040183152E-2</v>
      </c>
      <c r="G62" s="224">
        <f>Statement!X102</f>
        <v>-0.23516603157321719</v>
      </c>
      <c r="H62" s="224">
        <f>Statement!Y102</f>
        <v>0.31275177616641031</v>
      </c>
      <c r="I62" s="224">
        <f>Statement!Z102</f>
        <v>-2.4352786309784994E-2</v>
      </c>
      <c r="J62" s="224">
        <f>Statement!AA102</f>
        <v>-0.31531266111806733</v>
      </c>
    </row>
    <row r="63" spans="2:10" x14ac:dyDescent="0.2">
      <c r="B63" s="20" t="s">
        <v>364</v>
      </c>
      <c r="C63" s="63">
        <f>Statement!T107</f>
        <v>11948</v>
      </c>
      <c r="D63" s="63">
        <f>Statement!U107</f>
        <v>12302</v>
      </c>
      <c r="E63" s="63">
        <f>Statement!V107</f>
        <v>13120</v>
      </c>
      <c r="F63" s="63">
        <f>Statement!W107</f>
        <v>11755</v>
      </c>
      <c r="G63" s="63">
        <f>Statement!X107</f>
        <v>11810</v>
      </c>
      <c r="H63" s="63">
        <f>Statement!Y107</f>
        <v>12652</v>
      </c>
      <c r="I63" s="63">
        <f>Statement!Z107</f>
        <v>12930</v>
      </c>
      <c r="J63" s="63">
        <f>Statement!AA107</f>
        <v>12779</v>
      </c>
    </row>
    <row r="64" spans="2:10" x14ac:dyDescent="0.2">
      <c r="B64" s="20" t="s">
        <v>365</v>
      </c>
      <c r="C64" s="63">
        <f>Statement!T108</f>
        <v>4282</v>
      </c>
      <c r="D64" s="63">
        <f>Statement!U108</f>
        <v>4339</v>
      </c>
      <c r="E64" s="63">
        <f>Statement!V108</f>
        <v>4340</v>
      </c>
      <c r="F64" s="63">
        <f>Statement!W108</f>
        <v>4667</v>
      </c>
      <c r="G64" s="63">
        <f>Statement!X108</f>
        <v>4417</v>
      </c>
      <c r="H64" s="63">
        <f>Statement!Y108</f>
        <v>4235</v>
      </c>
      <c r="I64" s="63">
        <f>Statement!Z108</f>
        <v>4507</v>
      </c>
      <c r="J64" s="63">
        <f>Statement!AA108</f>
        <v>5421</v>
      </c>
    </row>
    <row r="65" spans="2:10" x14ac:dyDescent="0.2">
      <c r="B65" s="20" t="s">
        <v>366</v>
      </c>
      <c r="C65" s="63">
        <f>Statement!T109</f>
        <v>881</v>
      </c>
      <c r="D65" s="63">
        <f>Statement!U109</f>
        <v>964</v>
      </c>
      <c r="E65" s="63">
        <f>Statement!V109</f>
        <v>1113</v>
      </c>
      <c r="F65" s="63">
        <f>Statement!W109</f>
        <v>943</v>
      </c>
      <c r="G65" s="63">
        <f>Statement!X109</f>
        <v>1053</v>
      </c>
      <c r="H65" s="63">
        <f>Statement!Y109</f>
        <v>993</v>
      </c>
      <c r="I65" s="63">
        <f>Statement!Z109</f>
        <v>574</v>
      </c>
      <c r="J65" s="63">
        <f>Statement!AA109</f>
        <v>628</v>
      </c>
    </row>
    <row r="66" spans="2:10" x14ac:dyDescent="0.2">
      <c r="B66" s="20" t="s">
        <v>264</v>
      </c>
      <c r="C66" s="63">
        <f>Statement!T175</f>
        <v>0</v>
      </c>
      <c r="D66" s="63">
        <f>Statement!U175</f>
        <v>0</v>
      </c>
      <c r="E66" s="63">
        <f>Statement!V175</f>
        <v>0</v>
      </c>
      <c r="F66" s="63">
        <f>Statement!W175</f>
        <v>-5054</v>
      </c>
      <c r="G66" s="63">
        <f>Statement!X175</f>
        <v>-2164</v>
      </c>
      <c r="H66" s="63">
        <f>Statement!Y175</f>
        <v>-427</v>
      </c>
      <c r="I66" s="63">
        <f>Statement!Z175</f>
        <v>262</v>
      </c>
      <c r="J66" s="63">
        <f>Statement!AA175</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8" t="s">
        <v>108</v>
      </c>
      <c r="D2" s="228"/>
      <c r="E2" s="228"/>
      <c r="F2" s="228"/>
      <c r="G2" s="240"/>
      <c r="H2" s="241" t="s">
        <v>109</v>
      </c>
      <c r="I2" s="228"/>
      <c r="J2" s="228"/>
      <c r="K2" s="228"/>
      <c r="L2" s="228"/>
      <c r="O2" s="5"/>
      <c r="S2" s="228" t="s">
        <v>108</v>
      </c>
      <c r="T2" s="228"/>
      <c r="U2" s="228"/>
      <c r="V2" s="228"/>
      <c r="W2" s="228"/>
      <c r="X2" s="228"/>
      <c r="Y2" s="228"/>
      <c r="Z2" s="228"/>
      <c r="AA2" s="228" t="s">
        <v>109</v>
      </c>
      <c r="AB2" s="228"/>
      <c r="AC2" s="228"/>
      <c r="AE2" s="84" t="s">
        <v>110</v>
      </c>
    </row>
    <row r="3" spans="1:31" ht="10" customHeight="1" x14ac:dyDescent="0.2">
      <c r="O3" s="5"/>
    </row>
    <row r="4" spans="1:31" ht="16" customHeight="1" x14ac:dyDescent="0.2">
      <c r="A4" s="85"/>
      <c r="B4" s="59"/>
      <c r="C4" s="237" t="s">
        <v>111</v>
      </c>
      <c r="D4" s="237"/>
      <c r="E4" s="237"/>
      <c r="F4" s="237"/>
      <c r="G4" s="237"/>
      <c r="H4" s="237"/>
      <c r="I4" s="237"/>
      <c r="J4" s="237"/>
      <c r="K4" s="237"/>
      <c r="L4" s="237"/>
      <c r="O4" s="5"/>
      <c r="S4" s="238" t="s">
        <v>111</v>
      </c>
      <c r="T4" s="239"/>
      <c r="U4" s="239"/>
      <c r="V4" s="239"/>
      <c r="W4" s="239"/>
      <c r="X4" s="239"/>
      <c r="Y4" s="239"/>
      <c r="Z4" s="239"/>
      <c r="AA4" s="239"/>
      <c r="AB4" s="239"/>
      <c r="AC4" s="239"/>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379</v>
      </c>
      <c r="O6" s="5"/>
      <c r="Q6" s="89" t="s">
        <v>379</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380</v>
      </c>
      <c r="O7" s="5"/>
      <c r="Q7" s="89" t="s">
        <v>380</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381</v>
      </c>
      <c r="O8" s="5"/>
      <c r="Q8" s="89" t="s">
        <v>381</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Statement!B143</f>
        <v>External Foundry revenue</v>
      </c>
      <c r="C9" s="87">
        <f>Statement!M143</f>
        <v>0</v>
      </c>
      <c r="D9" s="87">
        <f>Statement!N143</f>
        <v>0</v>
      </c>
      <c r="E9" s="87">
        <f>Statement!O143</f>
        <v>0</v>
      </c>
      <c r="F9" s="87">
        <f>Statement!P143</f>
        <v>29</v>
      </c>
      <c r="G9" s="88">
        <f>Statement!Q143</f>
        <v>143</v>
      </c>
      <c r="H9" s="63">
        <f>G9+G9*H18</f>
        <v>572</v>
      </c>
      <c r="I9" s="63">
        <f t="shared" ref="I9:L9" si="6">H9+H9*I18</f>
        <v>1144</v>
      </c>
      <c r="J9" s="63">
        <f t="shared" si="6"/>
        <v>2288</v>
      </c>
      <c r="K9" s="63">
        <f t="shared" si="6"/>
        <v>4118.3999999999996</v>
      </c>
      <c r="L9" s="63">
        <f t="shared" si="6"/>
        <v>6177.5999999999995</v>
      </c>
      <c r="N9" s="89" t="s">
        <v>382</v>
      </c>
      <c r="O9" s="5"/>
      <c r="Q9" s="89" t="s">
        <v>382</v>
      </c>
      <c r="R9" s="1" t="str">
        <f t="shared" si="3"/>
        <v>External Foundry revenue</v>
      </c>
      <c r="S9" s="87">
        <f>Statement!T143</f>
        <v>4</v>
      </c>
      <c r="T9" s="87">
        <f>Statement!U143</f>
        <v>18</v>
      </c>
      <c r="U9" s="87">
        <f>Statement!V143</f>
        <v>27</v>
      </c>
      <c r="V9" s="87">
        <f>Statement!W143</f>
        <v>-31</v>
      </c>
      <c r="W9" s="87">
        <f>Statement!X143</f>
        <v>-4</v>
      </c>
      <c r="X9" s="87">
        <f>Statement!Y143</f>
        <v>8</v>
      </c>
      <c r="Y9" s="87">
        <f>Statement!Z143</f>
        <v>170</v>
      </c>
      <c r="Z9" s="88">
        <f>Statement!AA143</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383</v>
      </c>
      <c r="O10" s="5"/>
      <c r="Q10" s="89" t="s">
        <v>383</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384</v>
      </c>
      <c r="O11" s="5"/>
      <c r="Q11" s="1" t="s">
        <v>384</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7" t="s">
        <v>117</v>
      </c>
      <c r="D13" s="237"/>
      <c r="E13" s="237"/>
      <c r="F13" s="237"/>
      <c r="G13" s="237"/>
      <c r="H13" s="237"/>
      <c r="I13" s="237"/>
      <c r="J13" s="237"/>
      <c r="K13" s="237"/>
      <c r="L13" s="237"/>
      <c r="O13" s="5"/>
      <c r="Q13" s="90"/>
      <c r="S13" s="238" t="s">
        <v>117</v>
      </c>
      <c r="T13" s="239"/>
      <c r="U13" s="239"/>
      <c r="V13" s="239"/>
      <c r="W13" s="239"/>
      <c r="X13" s="239"/>
      <c r="Y13" s="239"/>
      <c r="Z13" s="239"/>
      <c r="AA13" s="239"/>
      <c r="AB13" s="239"/>
      <c r="AC13" s="239"/>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8" t="s">
        <v>108</v>
      </c>
      <c r="D2" s="228"/>
      <c r="E2" s="228"/>
      <c r="F2" s="228"/>
      <c r="G2" s="240"/>
      <c r="H2" s="241" t="s">
        <v>109</v>
      </c>
      <c r="I2" s="228"/>
      <c r="J2" s="228"/>
      <c r="K2" s="228"/>
      <c r="L2" s="228"/>
      <c r="P2" s="228" t="s">
        <v>108</v>
      </c>
      <c r="Q2" s="228"/>
      <c r="R2" s="228"/>
      <c r="S2" s="228"/>
      <c r="T2" s="228"/>
      <c r="U2" s="228"/>
      <c r="V2" s="228"/>
      <c r="W2" s="228"/>
      <c r="X2" s="228" t="s">
        <v>109</v>
      </c>
      <c r="Y2" s="228"/>
      <c r="Z2" s="228"/>
      <c r="AB2" s="84" t="s">
        <v>110</v>
      </c>
    </row>
    <row r="3" spans="1:28" ht="10" customHeight="1" x14ac:dyDescent="0.2"/>
    <row r="4" spans="1:28" ht="16" customHeight="1" x14ac:dyDescent="0.2">
      <c r="A4" s="85"/>
      <c r="B4" s="59"/>
      <c r="C4" s="237" t="s">
        <v>111</v>
      </c>
      <c r="D4" s="237"/>
      <c r="E4" s="237"/>
      <c r="F4" s="237"/>
      <c r="G4" s="237"/>
      <c r="H4" s="237"/>
      <c r="I4" s="237"/>
      <c r="J4" s="237"/>
      <c r="K4" s="237"/>
      <c r="L4" s="237"/>
      <c r="P4" s="239" t="s">
        <v>111</v>
      </c>
      <c r="Q4" s="239"/>
      <c r="R4" s="239"/>
      <c r="S4" s="239"/>
      <c r="T4" s="239"/>
      <c r="U4" s="239"/>
      <c r="V4" s="239"/>
      <c r="W4" s="239"/>
      <c r="X4" s="239"/>
      <c r="Y4" s="239"/>
      <c r="Z4" s="239"/>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7" t="s">
        <v>120</v>
      </c>
      <c r="D9" s="237"/>
      <c r="E9" s="237"/>
      <c r="F9" s="237"/>
      <c r="G9" s="237"/>
      <c r="H9" s="237"/>
      <c r="I9" s="237"/>
      <c r="J9" s="237"/>
      <c r="K9" s="237"/>
      <c r="L9" s="237"/>
      <c r="N9" s="90"/>
      <c r="P9" s="239" t="s">
        <v>121</v>
      </c>
      <c r="Q9" s="239"/>
      <c r="R9" s="239"/>
      <c r="S9" s="239"/>
      <c r="T9" s="239"/>
      <c r="U9" s="239"/>
      <c r="V9" s="239"/>
      <c r="W9" s="239"/>
      <c r="X9" s="239"/>
      <c r="Y9" s="239"/>
      <c r="Z9" s="239"/>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7" t="s">
        <v>123</v>
      </c>
      <c r="D18" s="237"/>
      <c r="E18" s="237"/>
      <c r="F18" s="237"/>
      <c r="G18" s="237"/>
      <c r="H18" s="237"/>
      <c r="I18" s="237"/>
      <c r="J18" s="237"/>
      <c r="K18" s="237"/>
      <c r="L18" s="237"/>
      <c r="P18" s="239" t="s">
        <v>123</v>
      </c>
      <c r="Q18" s="239"/>
      <c r="R18" s="239"/>
      <c r="S18" s="239"/>
      <c r="T18" s="239"/>
      <c r="U18" s="239"/>
      <c r="V18" s="239"/>
      <c r="W18" s="239"/>
      <c r="X18" s="239"/>
      <c r="Y18" s="239"/>
      <c r="Z18" s="239"/>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111</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7" t="s">
        <v>127</v>
      </c>
      <c r="D11" s="237"/>
      <c r="E11" s="237"/>
      <c r="F11" s="237"/>
      <c r="G11" s="237"/>
      <c r="H11" s="237"/>
      <c r="I11" s="237"/>
      <c r="J11" s="237"/>
      <c r="K11" s="237"/>
      <c r="L11" s="237"/>
      <c r="N11" s="90"/>
      <c r="P11" s="242"/>
      <c r="Q11" s="242"/>
      <c r="R11" s="242"/>
      <c r="S11" s="242"/>
      <c r="T11" s="242"/>
      <c r="U11" s="242"/>
      <c r="V11" s="242"/>
      <c r="W11" s="242"/>
      <c r="X11" s="242"/>
      <c r="Y11" s="242"/>
      <c r="Z11" s="242"/>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7" t="s">
        <v>132</v>
      </c>
      <c r="D18" s="237"/>
      <c r="E18" s="237"/>
      <c r="F18" s="237"/>
      <c r="G18" s="237"/>
      <c r="H18" s="237"/>
      <c r="I18" s="237"/>
      <c r="J18" s="237"/>
      <c r="K18" s="237"/>
      <c r="L18" s="237"/>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2"/>
      <c r="C25" s="242"/>
    </row>
    <row r="26" spans="2:12" x14ac:dyDescent="0.2">
      <c r="B26" s="108"/>
      <c r="C26" s="237" t="s">
        <v>138</v>
      </c>
      <c r="D26" s="237"/>
      <c r="E26" s="237"/>
      <c r="F26" s="237"/>
      <c r="G26" s="237"/>
      <c r="H26" s="237"/>
      <c r="I26" s="237"/>
      <c r="J26" s="237"/>
      <c r="K26" s="237"/>
      <c r="L26" s="237"/>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7" t="s">
        <v>142</v>
      </c>
      <c r="D33" s="237"/>
      <c r="E33" s="237"/>
      <c r="F33" s="237"/>
      <c r="G33" s="237"/>
      <c r="H33" s="237"/>
      <c r="I33" s="237"/>
      <c r="J33" s="237"/>
      <c r="K33" s="237"/>
      <c r="L33" s="237"/>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7" t="s">
        <v>145</v>
      </c>
      <c r="D40" s="237"/>
      <c r="E40" s="237"/>
      <c r="F40" s="237"/>
      <c r="G40" s="237"/>
      <c r="H40" s="237"/>
      <c r="I40" s="237"/>
      <c r="J40" s="237"/>
      <c r="K40" s="237"/>
      <c r="L40" s="237"/>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8" t="s">
        <v>108</v>
      </c>
      <c r="D2" s="228"/>
      <c r="E2" s="228"/>
      <c r="F2" s="228"/>
      <c r="G2" s="240"/>
      <c r="H2" s="241" t="s">
        <v>109</v>
      </c>
      <c r="I2" s="228"/>
      <c r="J2" s="228"/>
      <c r="K2" s="228"/>
      <c r="L2" s="228"/>
      <c r="S2" s="242"/>
      <c r="T2" s="242"/>
      <c r="U2" s="242"/>
      <c r="V2" s="242"/>
      <c r="W2" s="242"/>
      <c r="X2" s="242"/>
      <c r="Y2" s="242"/>
      <c r="Z2" s="242"/>
      <c r="AA2" s="242"/>
      <c r="AB2" s="242"/>
      <c r="AC2" s="242"/>
      <c r="AE2" s="108"/>
    </row>
    <row r="3" spans="1:31" ht="10" customHeight="1" x14ac:dyDescent="0.2"/>
    <row r="4" spans="1:31" ht="16" customHeight="1" x14ac:dyDescent="0.2">
      <c r="A4" s="85"/>
      <c r="B4" s="59"/>
      <c r="C4" s="237" t="s">
        <v>18</v>
      </c>
      <c r="D4" s="237"/>
      <c r="E4" s="237"/>
      <c r="F4" s="237"/>
      <c r="G4" s="237"/>
      <c r="H4" s="237"/>
      <c r="I4" s="237"/>
      <c r="J4" s="237"/>
      <c r="K4" s="237"/>
      <c r="L4" s="237"/>
      <c r="S4" s="242"/>
      <c r="T4" s="242"/>
      <c r="U4" s="242"/>
      <c r="V4" s="242"/>
      <c r="W4" s="242"/>
      <c r="X4" s="242"/>
      <c r="Y4" s="242"/>
      <c r="Z4" s="242"/>
      <c r="AA4" s="242"/>
      <c r="AB4" s="242"/>
      <c r="AC4" s="242"/>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7" t="s">
        <v>153</v>
      </c>
      <c r="D13" s="237"/>
      <c r="E13" s="237"/>
      <c r="F13" s="237"/>
      <c r="G13" s="237"/>
      <c r="H13" s="237"/>
      <c r="I13" s="237"/>
      <c r="J13" s="237"/>
      <c r="K13" s="237"/>
      <c r="L13" s="23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7" t="s">
        <v>154</v>
      </c>
      <c r="D18" s="237"/>
      <c r="E18" s="237"/>
      <c r="F18" s="237"/>
      <c r="G18" s="237"/>
      <c r="H18" s="237"/>
      <c r="I18" s="237"/>
      <c r="J18" s="237"/>
      <c r="K18" s="237"/>
      <c r="L18" s="237"/>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7" t="s">
        <v>157</v>
      </c>
      <c r="D25" s="237"/>
      <c r="E25" s="237"/>
      <c r="F25" s="237"/>
      <c r="G25" s="237"/>
      <c r="H25" s="237"/>
      <c r="I25" s="237"/>
      <c r="J25" s="237"/>
      <c r="K25" s="237"/>
      <c r="L25" s="237"/>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7" t="s">
        <v>75</v>
      </c>
      <c r="D31" s="237"/>
      <c r="E31" s="237"/>
      <c r="F31" s="237"/>
      <c r="G31" s="237"/>
      <c r="H31" s="237"/>
      <c r="I31" s="237"/>
      <c r="J31" s="237"/>
      <c r="K31" s="237"/>
      <c r="L31" s="237"/>
    </row>
    <row r="32" spans="2:14" x14ac:dyDescent="0.2">
      <c r="B32" s="16" t="s">
        <v>387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22">
        <f>H8/H6</f>
        <v>0.36</v>
      </c>
      <c r="I33" s="222">
        <f t="shared" ref="I33:L33" si="9">I8/I6</f>
        <v>0.38</v>
      </c>
      <c r="J33" s="222">
        <f t="shared" si="9"/>
        <v>0.4</v>
      </c>
      <c r="K33" s="222">
        <f t="shared" si="9"/>
        <v>0.4</v>
      </c>
      <c r="L33" s="222">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22">
        <f>H10/H6</f>
        <v>1.0000000000000004E-2</v>
      </c>
      <c r="I34" s="222">
        <f t="shared" ref="I34:L34" si="10">I10/I6</f>
        <v>3.0000000000000013E-2</v>
      </c>
      <c r="J34" s="222">
        <f t="shared" si="10"/>
        <v>6.9999999999999951E-2</v>
      </c>
      <c r="K34" s="222">
        <f t="shared" si="10"/>
        <v>7.9999999999999974E-2</v>
      </c>
      <c r="L34" s="222">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11" sqref="C11"/>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8" t="s">
        <v>162</v>
      </c>
      <c r="C4" s="228"/>
    </row>
    <row r="5" spans="1:3" ht="17" customHeight="1" x14ac:dyDescent="0.2">
      <c r="B5" s="1" t="s">
        <v>163</v>
      </c>
      <c r="C5" s="136">
        <f>Statement!AC77</f>
        <v>5026</v>
      </c>
    </row>
    <row r="6" spans="1:3" ht="17" customHeight="1" x14ac:dyDescent="0.2">
      <c r="B6" s="1" t="s">
        <v>1</v>
      </c>
      <c r="C6" s="132">
        <f ca="1">Overview!C5</f>
        <v>111.285</v>
      </c>
    </row>
    <row r="7" spans="1:3" ht="17" customHeight="1" x14ac:dyDescent="0.2">
      <c r="B7" s="1" t="s">
        <v>164</v>
      </c>
      <c r="C7" s="133">
        <f ca="1">C5*C6</f>
        <v>559318.41</v>
      </c>
    </row>
    <row r="8" spans="1:3" ht="17" customHeight="1" x14ac:dyDescent="0.2">
      <c r="B8" s="1" t="s">
        <v>165</v>
      </c>
      <c r="C8" s="111">
        <f>Statement!AC121</f>
        <v>45031</v>
      </c>
    </row>
    <row r="9" spans="1:3" ht="17" customHeight="1" x14ac:dyDescent="0.2">
      <c r="B9" s="1" t="s">
        <v>166</v>
      </c>
      <c r="C9" s="134">
        <f ca="1">Overview!F27</f>
        <v>4.4549999999999999E-2</v>
      </c>
    </row>
    <row r="10" spans="1:3" ht="17" customHeight="1" x14ac:dyDescent="0.2">
      <c r="B10" s="1" t="s">
        <v>9</v>
      </c>
      <c r="C10" s="132">
        <f ca="1">Overview!C13</f>
        <v>2.2317999999999998</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8" t="s">
        <v>169</v>
      </c>
      <c r="C15" s="228"/>
    </row>
    <row r="16" spans="1:3" ht="17" customHeight="1" x14ac:dyDescent="0.2">
      <c r="B16" s="1" t="s">
        <v>170</v>
      </c>
      <c r="C16" s="46">
        <f ca="1">C8/(C8+C7)</f>
        <v>7.4511531334166436E-2</v>
      </c>
    </row>
    <row r="17" spans="2:3" ht="17" customHeight="1" x14ac:dyDescent="0.2">
      <c r="B17" s="1" t="s">
        <v>171</v>
      </c>
      <c r="C17" s="46">
        <f ca="1">C7/(C8+C7)</f>
        <v>0.92548846866583356</v>
      </c>
    </row>
    <row r="18" spans="2:3" ht="17" customHeight="1" x14ac:dyDescent="0.2">
      <c r="B18" s="1" t="s">
        <v>172</v>
      </c>
      <c r="C18" s="46">
        <f>C13*(1-C12)</f>
        <v>4.2660000000000003E-2</v>
      </c>
    </row>
    <row r="19" spans="2:3" ht="17" customHeight="1" x14ac:dyDescent="0.2">
      <c r="B19" s="1" t="s">
        <v>173</v>
      </c>
      <c r="C19" s="46">
        <f ca="1">C9+C10*C11</f>
        <v>0.144981</v>
      </c>
    </row>
    <row r="20" spans="2:3" ht="17" customHeight="1" x14ac:dyDescent="0.2">
      <c r="B20" s="1" t="s">
        <v>161</v>
      </c>
      <c r="C20" s="46">
        <f ca="1">(C17*C19)+(C16*C18)</f>
        <v>0.13735690560235675</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6" sqref="C6:L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-23291.932656446141</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H7/(1+$C$15)^H9</f>
        <v>-6494.3039834257206</v>
      </c>
      <c r="I10" s="125">
        <f t="shared" ref="I10:L10" ca="1" si="0">I7/(1+$C$15)^I9</f>
        <v>-5057.8691579644583</v>
      </c>
      <c r="J10" s="125">
        <f t="shared" ca="1" si="0"/>
        <v>-3565.1001312306958</v>
      </c>
      <c r="K10" s="125">
        <f t="shared" ca="1" si="0"/>
        <v>-3264.5443554323961</v>
      </c>
      <c r="L10" s="125">
        <f t="shared" ca="1" si="0"/>
        <v>-1408.0891745177687</v>
      </c>
      <c r="N10" s="90"/>
    </row>
    <row r="11" spans="1:28" x14ac:dyDescent="0.2">
      <c r="B11" s="1" t="s">
        <v>179</v>
      </c>
      <c r="C11" s="137"/>
      <c r="D11" s="137"/>
      <c r="E11" s="137"/>
      <c r="F11" s="137"/>
      <c r="G11" s="138"/>
      <c r="H11" s="137"/>
      <c r="I11" s="137"/>
      <c r="J11" s="137"/>
      <c r="K11" s="137"/>
      <c r="L11" s="125">
        <f ca="1">L8/(1+C15)^L9</f>
        <v>-12238.316532259363</v>
      </c>
    </row>
    <row r="13" spans="1:28" x14ac:dyDescent="0.2">
      <c r="B13" s="228" t="s">
        <v>180</v>
      </c>
      <c r="C13" s="228"/>
    </row>
    <row r="14" spans="1:28" x14ac:dyDescent="0.2">
      <c r="B14" s="1" t="s">
        <v>181</v>
      </c>
      <c r="C14" s="140">
        <v>0.02</v>
      </c>
    </row>
    <row r="15" spans="1:28" x14ac:dyDescent="0.2">
      <c r="B15" s="1" t="s">
        <v>161</v>
      </c>
      <c r="C15" s="134">
        <f ca="1">IF(WACC!C21&gt;0,WACC!C21,WACC!C20)</f>
        <v>0.13735690560235675</v>
      </c>
    </row>
    <row r="18" spans="2:3" x14ac:dyDescent="0.2">
      <c r="B18" s="228" t="s">
        <v>182</v>
      </c>
      <c r="C18" s="228"/>
    </row>
    <row r="19" spans="2:3" x14ac:dyDescent="0.2">
      <c r="B19" s="1" t="s">
        <v>183</v>
      </c>
      <c r="C19" s="63">
        <f ca="1">SUM(H10:L10)</f>
        <v>-19789.90680257104</v>
      </c>
    </row>
    <row r="20" spans="2:3" x14ac:dyDescent="0.2">
      <c r="B20" s="1" t="s">
        <v>179</v>
      </c>
      <c r="C20" s="63">
        <f ca="1">L11</f>
        <v>-12238.316532259363</v>
      </c>
    </row>
    <row r="21" spans="2:3" x14ac:dyDescent="0.2">
      <c r="B21" s="16" t="s">
        <v>184</v>
      </c>
      <c r="C21" s="93">
        <f ca="1">C19+C20</f>
        <v>-32028.223334830403</v>
      </c>
    </row>
    <row r="22" spans="2:3" x14ac:dyDescent="0.2">
      <c r="B22" s="1" t="s">
        <v>185</v>
      </c>
      <c r="C22" s="24">
        <f>Statement!AC120</f>
        <v>32789</v>
      </c>
    </row>
    <row r="23" spans="2:3" x14ac:dyDescent="0.2">
      <c r="B23" s="1" t="s">
        <v>186</v>
      </c>
      <c r="C23" s="24">
        <f>Statement!AC121</f>
        <v>45031</v>
      </c>
    </row>
    <row r="24" spans="2:3" x14ac:dyDescent="0.2">
      <c r="B24" s="16" t="s">
        <v>187</v>
      </c>
      <c r="C24" s="93">
        <f ca="1">C21+C22-C23</f>
        <v>-44270.2233348304</v>
      </c>
    </row>
    <row r="25" spans="2:3" x14ac:dyDescent="0.2">
      <c r="B25" s="1" t="s">
        <v>67</v>
      </c>
      <c r="C25" s="63">
        <f>Statement!AC77</f>
        <v>5026</v>
      </c>
    </row>
    <row r="26" spans="2:3" x14ac:dyDescent="0.2">
      <c r="B26" s="141" t="s">
        <v>188</v>
      </c>
      <c r="C26" s="142">
        <f ca="1">C24/C25</f>
        <v>-8.808241809556387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zoomScale="192" zoomScaleNormal="100" workbookViewId="0">
      <selection activeCell="C49" sqref="C4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8" t="s">
        <v>108</v>
      </c>
      <c r="D2" s="228"/>
      <c r="E2" s="228"/>
      <c r="F2" s="228"/>
      <c r="G2" s="240"/>
      <c r="H2" s="241" t="s">
        <v>109</v>
      </c>
      <c r="I2" s="228"/>
      <c r="J2" s="228"/>
      <c r="K2" s="228"/>
      <c r="L2" s="228"/>
    </row>
    <row r="3" spans="1:14" ht="10" customHeight="1" x14ac:dyDescent="0.2"/>
    <row r="4" spans="1:14" ht="16" customHeight="1" x14ac:dyDescent="0.2">
      <c r="A4" s="85"/>
      <c r="B4" s="59"/>
      <c r="C4" s="237" t="s">
        <v>190</v>
      </c>
      <c r="D4" s="237"/>
      <c r="E4" s="237"/>
      <c r="F4" s="237"/>
      <c r="G4" s="237"/>
      <c r="H4" s="237"/>
      <c r="I4" s="237"/>
      <c r="J4" s="237"/>
      <c r="K4" s="237"/>
      <c r="L4" s="237"/>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7" t="s">
        <v>117</v>
      </c>
      <c r="D10" s="237"/>
      <c r="E10" s="237"/>
      <c r="F10" s="237"/>
      <c r="G10" s="237"/>
      <c r="H10" s="237"/>
      <c r="I10" s="237"/>
      <c r="J10" s="237"/>
      <c r="K10" s="237"/>
      <c r="L10" s="237"/>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7" t="s">
        <v>192</v>
      </c>
      <c r="D16" s="237"/>
      <c r="E16" s="237"/>
      <c r="F16" s="237"/>
      <c r="G16" s="237"/>
      <c r="H16" s="237"/>
      <c r="I16" s="237"/>
      <c r="J16" s="237"/>
      <c r="K16" s="237"/>
      <c r="L16" s="237"/>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7" t="s">
        <v>195</v>
      </c>
      <c r="D21" s="237"/>
      <c r="E21" s="237"/>
      <c r="F21" s="237"/>
      <c r="G21" s="237"/>
      <c r="H21" s="237"/>
      <c r="I21" s="237"/>
      <c r="J21" s="237"/>
      <c r="K21" s="237"/>
      <c r="L21" s="237"/>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7" t="s">
        <v>196</v>
      </c>
      <c r="D26" s="237"/>
      <c r="E26" s="237"/>
      <c r="F26" s="237"/>
      <c r="G26" s="237"/>
      <c r="H26" s="237"/>
      <c r="I26" s="237"/>
      <c r="J26" s="237"/>
      <c r="K26" s="237"/>
      <c r="L26" s="237"/>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1">D29+D30-D31</f>
        <v>122683.89000000001</v>
      </c>
      <c r="E32" s="143">
        <f t="shared" si="11"/>
        <v>235885</v>
      </c>
      <c r="F32" s="143">
        <f t="shared" si="11"/>
        <v>114833</v>
      </c>
      <c r="G32" s="151">
        <f t="shared" si="11"/>
        <v>173155</v>
      </c>
      <c r="H32" s="137"/>
      <c r="I32" s="137"/>
      <c r="J32" s="137"/>
      <c r="K32" s="137"/>
      <c r="L32" s="137"/>
      <c r="N32" s="90"/>
    </row>
    <row r="33" spans="2:14" x14ac:dyDescent="0.2">
      <c r="B33" s="16" t="s">
        <v>200</v>
      </c>
      <c r="C33" s="149">
        <f>C32/C7</f>
        <v>11.284225945723685</v>
      </c>
      <c r="D33" s="149">
        <f t="shared" ref="D33:G33" si="12">D32/D7</f>
        <v>52.563791773778924</v>
      </c>
      <c r="E33" s="149">
        <f t="shared" si="12"/>
        <v>2536.3978494623657</v>
      </c>
      <c r="F33" s="149">
        <f t="shared" si="12"/>
        <v>-9.833276245932522</v>
      </c>
      <c r="G33" s="150">
        <f t="shared" si="12"/>
        <v>-78.209123757904251</v>
      </c>
      <c r="H33" s="137"/>
      <c r="I33" s="137"/>
      <c r="J33" s="137"/>
      <c r="K33" s="137"/>
      <c r="L33" s="137"/>
      <c r="N33" s="90"/>
    </row>
    <row r="34" spans="2:14" x14ac:dyDescent="0.2">
      <c r="B34" s="16" t="s">
        <v>325</v>
      </c>
      <c r="C34" s="149">
        <f>C32/C8</f>
        <v>25.085183312635138</v>
      </c>
      <c r="D34" s="149">
        <f t="shared" ref="D34:G34" si="13">D32/D8</f>
        <v>-8.7737888865050433</v>
      </c>
      <c r="E34" s="149">
        <f t="shared" si="13"/>
        <v>-14.189424927815207</v>
      </c>
      <c r="F34" s="149">
        <f t="shared" si="13"/>
        <v>-4.9625324114088158</v>
      </c>
      <c r="G34" s="150">
        <f t="shared" si="13"/>
        <v>-19.074074545733549</v>
      </c>
      <c r="H34" s="137"/>
      <c r="I34" s="137"/>
      <c r="J34" s="137"/>
      <c r="K34" s="137"/>
      <c r="L34" s="137"/>
      <c r="N34" s="90"/>
    </row>
    <row r="35" spans="2:14" x14ac:dyDescent="0.2">
      <c r="N35" s="90"/>
    </row>
    <row r="36" spans="2:14" x14ac:dyDescent="0.2">
      <c r="N36" s="90"/>
    </row>
    <row r="37" spans="2:14" x14ac:dyDescent="0.2">
      <c r="B37" s="228" t="s">
        <v>201</v>
      </c>
      <c r="C37" s="228"/>
      <c r="N37" s="90"/>
    </row>
    <row r="38" spans="2:14" x14ac:dyDescent="0.2">
      <c r="B38" s="1" t="s">
        <v>202</v>
      </c>
      <c r="C38" s="63">
        <f>L7</f>
        <v>10044.584933734524</v>
      </c>
    </row>
    <row r="39" spans="2:14" x14ac:dyDescent="0.2">
      <c r="B39" s="1" t="s">
        <v>161</v>
      </c>
      <c r="C39" s="134">
        <f ca="1">IF(WACC!C21&gt;0,WACC!C21,WACC!C20)</f>
        <v>0.13735690560235675</v>
      </c>
    </row>
    <row r="40" spans="2:14" x14ac:dyDescent="0.2">
      <c r="B40" s="39" t="s">
        <v>203</v>
      </c>
      <c r="C40" s="104">
        <v>35</v>
      </c>
    </row>
    <row r="41" spans="2:14" x14ac:dyDescent="0.2">
      <c r="B41" s="1" t="s">
        <v>204</v>
      </c>
      <c r="C41" s="24">
        <f>L18</f>
        <v>5563.9177776000006</v>
      </c>
    </row>
    <row r="42" spans="2:14" x14ac:dyDescent="0.2">
      <c r="B42" s="1" t="s">
        <v>199</v>
      </c>
      <c r="C42" s="24">
        <f>(C38*C40)-G30+G31</f>
        <v>342391.47268070834</v>
      </c>
    </row>
    <row r="43" spans="2:14" x14ac:dyDescent="0.2">
      <c r="B43" s="1" t="s">
        <v>188</v>
      </c>
      <c r="C43" s="24">
        <f>C42/C41</f>
        <v>61.537838330242025</v>
      </c>
    </row>
    <row r="44" spans="2:14" x14ac:dyDescent="0.2">
      <c r="B44" s="141" t="s">
        <v>205</v>
      </c>
      <c r="C44" s="142">
        <f ca="1">C43/(1+C48)^5</f>
        <v>32.333922448813013</v>
      </c>
    </row>
    <row r="46" spans="2:14" x14ac:dyDescent="0.2">
      <c r="B46" s="228" t="s">
        <v>206</v>
      </c>
      <c r="C46" s="228"/>
    </row>
    <row r="47" spans="2:14" x14ac:dyDescent="0.2">
      <c r="B47" s="1" t="s">
        <v>207</v>
      </c>
      <c r="C47" s="63">
        <f>L6</f>
        <v>77266.037951804014</v>
      </c>
    </row>
    <row r="48" spans="2:14" x14ac:dyDescent="0.2">
      <c r="B48" s="1" t="s">
        <v>161</v>
      </c>
      <c r="C48" s="134">
        <f ca="1">IF(WACC!C21&gt;0,WACC!C21,WACC!C20)</f>
        <v>0.13735690560235675</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 ca="1">C51/(1+C48)^5</f>
        <v>36.483298773483725</v>
      </c>
    </row>
    <row r="54" spans="2:3" x14ac:dyDescent="0.2">
      <c r="B54" s="228" t="s">
        <v>326</v>
      </c>
      <c r="C54" s="228"/>
    </row>
    <row r="55" spans="2:3" x14ac:dyDescent="0.2">
      <c r="B55" s="1" t="s">
        <v>209</v>
      </c>
      <c r="C55" s="63">
        <f>L8</f>
        <v>-2679.8717079009807</v>
      </c>
    </row>
    <row r="56" spans="2:3" x14ac:dyDescent="0.2">
      <c r="B56" s="1" t="s">
        <v>161</v>
      </c>
      <c r="C56" s="134">
        <f ca="1">IF(WACC!C21&gt;0,WACC!C21,WACC!C20)</f>
        <v>0.13735690560235675</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188</v>
      </c>
      <c r="C60" s="24">
        <f>C59/C58</f>
        <v>-20.914016519890566</v>
      </c>
    </row>
    <row r="61" spans="2:3" x14ac:dyDescent="0.2">
      <c r="B61" s="141" t="s">
        <v>205</v>
      </c>
      <c r="C61" s="142">
        <f ca="1">C60/(1+C56)^5</f>
        <v>-10.988884344918722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8" t="s">
        <v>212</v>
      </c>
      <c r="C4" s="228"/>
      <c r="N4" s="90"/>
    </row>
    <row r="5" spans="1:14" x14ac:dyDescent="0.2">
      <c r="B5" s="1" t="s">
        <v>213</v>
      </c>
      <c r="C5" s="132">
        <f ca="1">DCF!C26</f>
        <v>-8.808241809556387</v>
      </c>
    </row>
    <row r="6" spans="1:14" x14ac:dyDescent="0.2">
      <c r="B6" s="1" t="s">
        <v>214</v>
      </c>
      <c r="C6" s="132">
        <f ca="1">Multiples!C44</f>
        <v>32.333922448813013</v>
      </c>
    </row>
    <row r="7" spans="1:14" x14ac:dyDescent="0.2">
      <c r="B7" s="1" t="s">
        <v>215</v>
      </c>
      <c r="C7" s="132">
        <f ca="1">Multiples!C52</f>
        <v>36.483298773483725</v>
      </c>
    </row>
    <row r="8" spans="1:14" x14ac:dyDescent="0.2">
      <c r="B8" s="1" t="s">
        <v>327</v>
      </c>
      <c r="C8" s="132">
        <f ca="1">Multiples!C61</f>
        <v>-10.988884344918722</v>
      </c>
    </row>
    <row r="9" spans="1:14" x14ac:dyDescent="0.2">
      <c r="B9" s="141" t="s">
        <v>216</v>
      </c>
      <c r="C9" s="142">
        <f ca="1">AVERAGE(C5:C8)</f>
        <v>12.255023766955407</v>
      </c>
    </row>
    <row r="10" spans="1:14" x14ac:dyDescent="0.2">
      <c r="B10" s="1" t="s">
        <v>217</v>
      </c>
      <c r="C10" s="132">
        <f ca="1">Overview!C5</f>
        <v>111.285</v>
      </c>
    </row>
    <row r="11" spans="1:14" x14ac:dyDescent="0.2">
      <c r="B11" s="1" t="s">
        <v>218</v>
      </c>
      <c r="C11" s="154">
        <f ca="1">(C9-C10)/C10</f>
        <v>-0.88987712839146871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-964945.54221544415</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H7/(1+$C$21)^H9</f>
        <v>-13169.786558712953</v>
      </c>
      <c r="I10" s="125">
        <f t="shared" ref="I10:L10" ca="1" si="1">I7/(1+$C$21)^I9</f>
        <v>-19105.830117915226</v>
      </c>
      <c r="J10" s="125">
        <f t="shared" ca="1" si="1"/>
        <v>-27717.438157958284</v>
      </c>
      <c r="K10" s="125">
        <f t="shared" ca="1" si="1"/>
        <v>-40210.573071088947</v>
      </c>
      <c r="L10" s="125">
        <f t="shared" ca="1" si="1"/>
        <v>-58334.763028636487</v>
      </c>
      <c r="N10" s="90"/>
    </row>
    <row r="11" spans="1:28" x14ac:dyDescent="0.2">
      <c r="B11" s="1" t="s">
        <v>179</v>
      </c>
      <c r="C11" s="137"/>
      <c r="D11" s="137"/>
      <c r="E11" s="137"/>
      <c r="F11" s="137"/>
      <c r="G11" s="138"/>
      <c r="H11" s="137"/>
      <c r="I11" s="137"/>
      <c r="J11" s="137"/>
      <c r="K11" s="137"/>
      <c r="L11" s="125">
        <f ca="1">L8/(1+C21)^L9</f>
        <v>-507012.84243825806</v>
      </c>
    </row>
    <row r="13" spans="1:28" ht="17" thickBot="1" x14ac:dyDescent="0.25"/>
    <row r="14" spans="1:28" x14ac:dyDescent="0.2">
      <c r="B14" s="243" t="s">
        <v>220</v>
      </c>
      <c r="C14" s="244"/>
    </row>
    <row r="15" spans="1:28" x14ac:dyDescent="0.2">
      <c r="B15" s="155" t="s">
        <v>221</v>
      </c>
      <c r="C15" s="156">
        <f ca="1">Overview!C5</f>
        <v>111.285</v>
      </c>
    </row>
    <row r="16" spans="1:28" x14ac:dyDescent="0.2">
      <c r="B16" s="155" t="s">
        <v>222</v>
      </c>
      <c r="C16" s="156">
        <f ca="1">C36</f>
        <v>-134.85738825558497</v>
      </c>
    </row>
    <row r="17" spans="2:9" ht="17" thickBot="1" x14ac:dyDescent="0.25">
      <c r="B17" s="157" t="s">
        <v>328</v>
      </c>
      <c r="C17" s="158">
        <v>0.65</v>
      </c>
      <c r="E17" s="245" t="s">
        <v>223</v>
      </c>
      <c r="F17" s="245"/>
      <c r="G17" s="245"/>
      <c r="H17" s="245"/>
      <c r="I17" s="245"/>
    </row>
    <row r="18" spans="2:9" ht="17" thickBot="1" x14ac:dyDescent="0.25"/>
    <row r="19" spans="2:9" x14ac:dyDescent="0.2">
      <c r="B19" s="243" t="s">
        <v>180</v>
      </c>
      <c r="C19" s="244"/>
    </row>
    <row r="20" spans="2:9" x14ac:dyDescent="0.2">
      <c r="B20" s="159" t="s">
        <v>181</v>
      </c>
      <c r="C20" s="160">
        <v>0.02</v>
      </c>
    </row>
    <row r="21" spans="2:9" x14ac:dyDescent="0.2">
      <c r="B21" s="159" t="s">
        <v>161</v>
      </c>
      <c r="C21" s="161">
        <f ca="1">IF(WACC!C21&gt;0,WACC!C21,WACC!C20)</f>
        <v>0.13735690560235675</v>
      </c>
    </row>
    <row r="22" spans="2:9" x14ac:dyDescent="0.2">
      <c r="B22" s="159" t="s">
        <v>67</v>
      </c>
      <c r="C22" s="162">
        <f>Statement!AC74</f>
        <v>5026</v>
      </c>
    </row>
    <row r="23" spans="2:9" x14ac:dyDescent="0.2">
      <c r="B23" s="159" t="s">
        <v>224</v>
      </c>
      <c r="C23" s="162">
        <f ca="1">C15*C22</f>
        <v>559318.41</v>
      </c>
    </row>
    <row r="24" spans="2:9" x14ac:dyDescent="0.2">
      <c r="B24" s="159" t="s">
        <v>174</v>
      </c>
      <c r="C24" s="162">
        <f>Statement!AC120</f>
        <v>32789</v>
      </c>
    </row>
    <row r="25" spans="2:9" x14ac:dyDescent="0.2">
      <c r="B25" s="159" t="s">
        <v>165</v>
      </c>
      <c r="C25" s="162">
        <f>Statement!AC121</f>
        <v>45031</v>
      </c>
    </row>
    <row r="26" spans="2:9" ht="17" thickBot="1" x14ac:dyDescent="0.25">
      <c r="B26" s="157" t="s">
        <v>225</v>
      </c>
      <c r="C26" s="163">
        <f ca="1">C23+C25-C24</f>
        <v>571560.41</v>
      </c>
    </row>
    <row r="27" spans="2:9" ht="17" thickBot="1" x14ac:dyDescent="0.25"/>
    <row r="28" spans="2:9" x14ac:dyDescent="0.2">
      <c r="B28" s="243" t="s">
        <v>182</v>
      </c>
      <c r="C28" s="244"/>
    </row>
    <row r="29" spans="2:9" x14ac:dyDescent="0.2">
      <c r="B29" s="159" t="s">
        <v>183</v>
      </c>
      <c r="C29" s="162">
        <f ca="1">SUM(H10:L10)</f>
        <v>-158538.3909343119</v>
      </c>
    </row>
    <row r="30" spans="2:9" x14ac:dyDescent="0.2">
      <c r="B30" s="159" t="s">
        <v>179</v>
      </c>
      <c r="C30" s="162">
        <f ca="1">L11</f>
        <v>-507012.84243825806</v>
      </c>
    </row>
    <row r="31" spans="2:9" x14ac:dyDescent="0.2">
      <c r="B31" s="164" t="s">
        <v>184</v>
      </c>
      <c r="C31" s="165">
        <f ca="1">C29+C30</f>
        <v>-665551.23337257002</v>
      </c>
    </row>
    <row r="32" spans="2:9" x14ac:dyDescent="0.2">
      <c r="B32" s="159" t="s">
        <v>185</v>
      </c>
      <c r="C32" s="166">
        <f>C24</f>
        <v>32789</v>
      </c>
    </row>
    <row r="33" spans="2:12" x14ac:dyDescent="0.2">
      <c r="B33" s="159" t="s">
        <v>186</v>
      </c>
      <c r="C33" s="166">
        <f>C25</f>
        <v>45031</v>
      </c>
    </row>
    <row r="34" spans="2:12" x14ac:dyDescent="0.2">
      <c r="B34" s="164" t="s">
        <v>187</v>
      </c>
      <c r="C34" s="165">
        <f ca="1">C31+C32-C33</f>
        <v>-677793.23337257002</v>
      </c>
    </row>
    <row r="35" spans="2:12" x14ac:dyDescent="0.2">
      <c r="B35" s="159" t="s">
        <v>67</v>
      </c>
      <c r="C35" s="162">
        <f>C22</f>
        <v>5026</v>
      </c>
    </row>
    <row r="36" spans="2:12" ht="17" thickBot="1" x14ac:dyDescent="0.25">
      <c r="B36" s="167" t="s">
        <v>188</v>
      </c>
      <c r="C36" s="168">
        <f ca="1">C34/C35</f>
        <v>-134.85738825558497</v>
      </c>
    </row>
    <row r="39" spans="2:12" x14ac:dyDescent="0.2">
      <c r="C39" s="237" t="s">
        <v>226</v>
      </c>
      <c r="D39" s="237"/>
      <c r="E39" s="237"/>
      <c r="F39" s="237"/>
      <c r="G39" s="237"/>
      <c r="H39" s="237"/>
      <c r="I39" s="237"/>
      <c r="J39" s="237"/>
      <c r="K39" s="237"/>
      <c r="L39" s="23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329</v>
      </c>
      <c r="C43" s="94">
        <f>C41/C42</f>
        <v>0.4498362959954908</v>
      </c>
      <c r="D43" s="94">
        <f t="shared" ref="D43:G43" si="4">D41/D42</f>
        <v>-5.9910025706940875</v>
      </c>
      <c r="E43" s="94">
        <f t="shared" si="4"/>
        <v>-178.75268817204301</v>
      </c>
      <c r="F43" s="94">
        <f t="shared" si="4"/>
        <v>1.9815036821373524</v>
      </c>
      <c r="G43" s="95">
        <f t="shared" si="4"/>
        <v>4.1002840567904721</v>
      </c>
      <c r="H43" s="169">
        <v>1.1000000000000001</v>
      </c>
      <c r="I43" s="169">
        <v>1.1000000000000001</v>
      </c>
      <c r="J43" s="169">
        <v>1.1000000000000001</v>
      </c>
      <c r="K43" s="169">
        <v>1.1000000000000001</v>
      </c>
      <c r="L43" s="169">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330</v>
      </c>
      <c r="C45" s="94">
        <f>C41/C44</f>
        <v>0.11075135370125871</v>
      </c>
      <c r="D45" s="94">
        <f t="shared" ref="D45:G45" si="6">D41/D44</f>
        <v>-0.22176229898182509</v>
      </c>
      <c r="E45" s="94">
        <f t="shared" si="6"/>
        <v>-0.30655749797152765</v>
      </c>
      <c r="F45" s="94">
        <f t="shared" si="6"/>
        <v>-0.43577333760192838</v>
      </c>
      <c r="G45" s="95">
        <f t="shared" si="6"/>
        <v>-0.17175995500225352</v>
      </c>
      <c r="H45" s="169">
        <v>0.01</v>
      </c>
      <c r="I45" s="169">
        <v>0.02</v>
      </c>
      <c r="J45" s="169">
        <v>4.2000000000000003E-2</v>
      </c>
      <c r="K45" s="169">
        <v>7.0000000000000007E-2</v>
      </c>
      <c r="L45" s="169">
        <v>0.15</v>
      </c>
    </row>
    <row r="46" spans="2:12" x14ac:dyDescent="0.2">
      <c r="B46" s="121" t="s">
        <v>331</v>
      </c>
      <c r="C46" s="137"/>
      <c r="D46" s="94">
        <f>D41/C41-1</f>
        <v>-2.597689222438575</v>
      </c>
      <c r="E46" s="94">
        <f t="shared" ref="E46:L47" si="7">E41/D41-1</f>
        <v>0.18887220195952237</v>
      </c>
      <c r="F46" s="94">
        <f t="shared" si="7"/>
        <v>0.39196342637151105</v>
      </c>
      <c r="G46" s="95">
        <f t="shared" si="7"/>
        <v>-0.6076910586977482</v>
      </c>
      <c r="H46" s="170">
        <f t="shared" si="7"/>
        <v>0.64999999999999991</v>
      </c>
      <c r="I46" s="170">
        <f t="shared" si="7"/>
        <v>0.64999999999999991</v>
      </c>
      <c r="J46" s="170">
        <f t="shared" si="7"/>
        <v>0.64999999999999991</v>
      </c>
      <c r="K46" s="170">
        <f t="shared" si="7"/>
        <v>0.65000000000000013</v>
      </c>
      <c r="L46" s="170">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70">
        <f t="shared" si="7"/>
        <v>5.1504260851857078</v>
      </c>
      <c r="I47" s="170">
        <f t="shared" si="7"/>
        <v>0.64999999999999991</v>
      </c>
      <c r="J47" s="170">
        <f t="shared" si="7"/>
        <v>0.64999999999999969</v>
      </c>
      <c r="K47" s="170">
        <f t="shared" si="7"/>
        <v>0.65000000000000013</v>
      </c>
      <c r="L47" s="170">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70">
        <f t="shared" si="8"/>
        <v>-29.340392575371833</v>
      </c>
      <c r="I48" s="170">
        <f t="shared" si="8"/>
        <v>-0.17500000000000016</v>
      </c>
      <c r="J48" s="170">
        <f t="shared" si="8"/>
        <v>-0.2142857142857143</v>
      </c>
      <c r="K48" s="170">
        <f t="shared" si="8"/>
        <v>-1.0000000000000009E-2</v>
      </c>
      <c r="L48" s="170">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70">
        <f t="shared" si="9"/>
        <v>9.0909090909090887E-3</v>
      </c>
      <c r="I49" s="170">
        <f t="shared" si="9"/>
        <v>1.8181818181818181E-2</v>
      </c>
      <c r="J49" s="170">
        <f t="shared" si="9"/>
        <v>3.8181818181818178E-2</v>
      </c>
      <c r="K49" s="170">
        <f t="shared" si="9"/>
        <v>6.363636363636363E-2</v>
      </c>
      <c r="L49" s="17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2026-06-03T17:25:10Z</dcterms:modified>
</cp:coreProperties>
</file>