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Stocks/Data/Stocks/"/>
    </mc:Choice>
  </mc:AlternateContent>
  <xr:revisionPtr revIDLastSave="0" documentId="13_ncr:1_{2ACF1E84-1922-FA42-8641-F97A6963C449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3" i="2"/>
  <c r="J119" i="3"/>
  <c r="J135" i="3"/>
  <c r="J136" i="3" s="1"/>
  <c r="J137" i="3"/>
  <c r="L145" i="1"/>
  <c r="L144" i="1"/>
  <c r="I152" i="3"/>
  <c r="H152" i="3"/>
  <c r="G152" i="3"/>
  <c r="F152" i="3"/>
  <c r="E152" i="3"/>
  <c r="D152" i="3"/>
  <c r="C152" i="3"/>
  <c r="I151" i="3"/>
  <c r="H151" i="3"/>
  <c r="G151" i="3"/>
  <c r="F151" i="3"/>
  <c r="E151" i="3"/>
  <c r="D151" i="3"/>
  <c r="C151" i="3"/>
  <c r="I148" i="3"/>
  <c r="H148" i="3"/>
  <c r="G148" i="3"/>
  <c r="F148" i="3"/>
  <c r="E148" i="3"/>
  <c r="D148" i="3"/>
  <c r="C148" i="3"/>
  <c r="I147" i="3"/>
  <c r="H147" i="3"/>
  <c r="G147" i="3"/>
  <c r="F147" i="3"/>
  <c r="E147" i="3"/>
  <c r="D147" i="3"/>
  <c r="C147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E133" i="3"/>
  <c r="E134" i="3" s="1"/>
  <c r="D133" i="3"/>
  <c r="D134" i="3" s="1"/>
  <c r="C133" i="3"/>
  <c r="C134" i="3" s="1"/>
  <c r="I128" i="3"/>
  <c r="H128" i="3"/>
  <c r="G128" i="3"/>
  <c r="F128" i="3"/>
  <c r="E128" i="3"/>
  <c r="D128" i="3"/>
  <c r="C128" i="3"/>
  <c r="I126" i="3"/>
  <c r="H126" i="3"/>
  <c r="G126" i="3"/>
  <c r="F126" i="3"/>
  <c r="E126" i="3"/>
  <c r="D126" i="3"/>
  <c r="C126" i="3"/>
  <c r="E125" i="3"/>
  <c r="I124" i="3"/>
  <c r="I125" i="3" s="1"/>
  <c r="H124" i="3"/>
  <c r="H125" i="3" s="1"/>
  <c r="G124" i="3"/>
  <c r="G125" i="3" s="1"/>
  <c r="F124" i="3"/>
  <c r="F125" i="3" s="1"/>
  <c r="E124" i="3"/>
  <c r="D124" i="3"/>
  <c r="D125" i="3" s="1"/>
  <c r="C124" i="3"/>
  <c r="C125" i="3" s="1"/>
  <c r="I69" i="3"/>
  <c r="I131" i="3" s="1"/>
  <c r="I132" i="3" s="1"/>
  <c r="H69" i="3"/>
  <c r="H131" i="3" s="1"/>
  <c r="H132" i="3" s="1"/>
  <c r="G69" i="3"/>
  <c r="G131" i="3" s="1"/>
  <c r="G132" i="3" s="1"/>
  <c r="F69" i="3"/>
  <c r="F131" i="3" s="1"/>
  <c r="F132" i="3" s="1"/>
  <c r="E69" i="3"/>
  <c r="E131" i="3" s="1"/>
  <c r="E132" i="3" s="1"/>
  <c r="D69" i="3"/>
  <c r="D131" i="3" s="1"/>
  <c r="D132" i="3" s="1"/>
  <c r="C69" i="3"/>
  <c r="C131" i="3" s="1"/>
  <c r="C132" i="3" s="1"/>
  <c r="I63" i="3"/>
  <c r="I65" i="3" s="1"/>
  <c r="I129" i="3" s="1"/>
  <c r="H63" i="3"/>
  <c r="H65" i="3" s="1"/>
  <c r="H129" i="3" s="1"/>
  <c r="G63" i="3"/>
  <c r="G65" i="3" s="1"/>
  <c r="F63" i="3"/>
  <c r="F65" i="3" s="1"/>
  <c r="E63" i="3"/>
  <c r="E65" i="3" s="1"/>
  <c r="D63" i="3"/>
  <c r="D65" i="3" s="1"/>
  <c r="C63" i="3"/>
  <c r="C65" i="3" s="1"/>
  <c r="D56" i="3"/>
  <c r="I55" i="3"/>
  <c r="I56" i="3" s="1"/>
  <c r="H55" i="3"/>
  <c r="H56" i="3" s="1"/>
  <c r="G55" i="3"/>
  <c r="G56" i="3" s="1"/>
  <c r="F55" i="3"/>
  <c r="F56" i="3" s="1"/>
  <c r="F127" i="3" s="1"/>
  <c r="E55" i="3"/>
  <c r="E56" i="3" s="1"/>
  <c r="D55" i="3"/>
  <c r="C55" i="3"/>
  <c r="C56" i="3" s="1"/>
  <c r="C130" i="3" s="1"/>
  <c r="I40" i="3"/>
  <c r="H40" i="3"/>
  <c r="G40" i="3"/>
  <c r="F40" i="3"/>
  <c r="E40" i="3"/>
  <c r="D40" i="3"/>
  <c r="C40" i="3"/>
  <c r="I11" i="3"/>
  <c r="I122" i="3" s="1"/>
  <c r="I123" i="3" s="1"/>
  <c r="H11" i="3"/>
  <c r="H122" i="3" s="1"/>
  <c r="H123" i="3" s="1"/>
  <c r="G11" i="3"/>
  <c r="G122" i="3" s="1"/>
  <c r="G123" i="3" s="1"/>
  <c r="F11" i="3"/>
  <c r="F122" i="3" s="1"/>
  <c r="F123" i="3" s="1"/>
  <c r="E11" i="3"/>
  <c r="E122" i="3" s="1"/>
  <c r="E123" i="3" s="1"/>
  <c r="D11" i="3"/>
  <c r="D122" i="3" s="1"/>
  <c r="D123" i="3" s="1"/>
  <c r="C11" i="3"/>
  <c r="C122" i="3" s="1"/>
  <c r="C123" i="3" s="1"/>
  <c r="I7" i="3"/>
  <c r="P7" i="3" s="1"/>
  <c r="H7" i="3"/>
  <c r="G7" i="3"/>
  <c r="F7" i="3"/>
  <c r="E7" i="3"/>
  <c r="D7" i="3"/>
  <c r="C7" i="3"/>
  <c r="L138" i="1"/>
  <c r="L139" i="1" s="1"/>
  <c r="L136" i="1"/>
  <c r="L137" i="1" s="1"/>
  <c r="K136" i="1"/>
  <c r="K137" i="1" s="1"/>
  <c r="L134" i="1"/>
  <c r="L135" i="1" s="1"/>
  <c r="K134" i="1"/>
  <c r="L70" i="1"/>
  <c r="L132" i="1" s="1"/>
  <c r="L133" i="1" s="1"/>
  <c r="L129" i="1"/>
  <c r="L127" i="1"/>
  <c r="L125" i="1"/>
  <c r="L126" i="1" s="1"/>
  <c r="L64" i="1"/>
  <c r="L66" i="1" s="1"/>
  <c r="L56" i="1"/>
  <c r="L57" i="1" s="1"/>
  <c r="L41" i="1"/>
  <c r="L146" i="1"/>
  <c r="L159" i="1"/>
  <c r="L158" i="1"/>
  <c r="L157" i="1"/>
  <c r="L155" i="1"/>
  <c r="L154" i="1"/>
  <c r="L152" i="1"/>
  <c r="L151" i="1"/>
  <c r="L164" i="1"/>
  <c r="L163" i="1"/>
  <c r="L12" i="1"/>
  <c r="L123" i="1" s="1"/>
  <c r="L124" i="1" s="1"/>
  <c r="L7" i="1"/>
  <c r="L162" i="1" s="1"/>
  <c r="J128" i="3"/>
  <c r="J63" i="3"/>
  <c r="J65" i="3" s="1"/>
  <c r="D145" i="1"/>
  <c r="E145" i="1"/>
  <c r="F145" i="1"/>
  <c r="G145" i="1"/>
  <c r="H145" i="1"/>
  <c r="I145" i="1"/>
  <c r="J145" i="1"/>
  <c r="K145" i="1"/>
  <c r="D144" i="1"/>
  <c r="E144" i="1"/>
  <c r="F144" i="1"/>
  <c r="G144" i="1"/>
  <c r="H144" i="1"/>
  <c r="I144" i="1"/>
  <c r="J144" i="1"/>
  <c r="K144" i="1"/>
  <c r="C145" i="1"/>
  <c r="C144" i="1"/>
  <c r="C129" i="1"/>
  <c r="D129" i="1"/>
  <c r="E129" i="1"/>
  <c r="F129" i="1"/>
  <c r="G129" i="1"/>
  <c r="H129" i="1"/>
  <c r="J129" i="1"/>
  <c r="K129" i="1"/>
  <c r="I129" i="1"/>
  <c r="D64" i="1"/>
  <c r="D66" i="1" s="1"/>
  <c r="E64" i="1"/>
  <c r="E66" i="1" s="1"/>
  <c r="F64" i="1"/>
  <c r="F66" i="1" s="1"/>
  <c r="G64" i="1"/>
  <c r="G66" i="1" s="1"/>
  <c r="H64" i="1"/>
  <c r="H66" i="1" s="1"/>
  <c r="I64" i="1"/>
  <c r="I66" i="1" s="1"/>
  <c r="J64" i="1"/>
  <c r="J66" i="1" s="1"/>
  <c r="K64" i="1"/>
  <c r="K66" i="1" s="1"/>
  <c r="C64" i="1"/>
  <c r="C66" i="1" s="1"/>
  <c r="E159" i="1"/>
  <c r="F159" i="1"/>
  <c r="G159" i="1"/>
  <c r="H159" i="1"/>
  <c r="I159" i="1"/>
  <c r="J159" i="1"/>
  <c r="K159" i="1"/>
  <c r="D159" i="1"/>
  <c r="D12" i="1"/>
  <c r="D123" i="1" s="1"/>
  <c r="D124" i="1" s="1"/>
  <c r="E12" i="1"/>
  <c r="E123" i="1" s="1"/>
  <c r="E124" i="1" s="1"/>
  <c r="F12" i="1"/>
  <c r="F123" i="1" s="1"/>
  <c r="F124" i="1" s="1"/>
  <c r="G12" i="1"/>
  <c r="G123" i="1" s="1"/>
  <c r="G124" i="1" s="1"/>
  <c r="H12" i="1"/>
  <c r="H123" i="1" s="1"/>
  <c r="H124" i="1" s="1"/>
  <c r="I12" i="1"/>
  <c r="I123" i="1" s="1"/>
  <c r="I124" i="1" s="1"/>
  <c r="J12" i="1"/>
  <c r="J123" i="1" s="1"/>
  <c r="J124" i="1" s="1"/>
  <c r="K12" i="1"/>
  <c r="K123" i="1" s="1"/>
  <c r="K124" i="1" s="1"/>
  <c r="C12" i="1"/>
  <c r="C123" i="1" s="1"/>
  <c r="C124" i="1" s="1"/>
  <c r="D146" i="1"/>
  <c r="E146" i="1"/>
  <c r="F146" i="1"/>
  <c r="G146" i="1"/>
  <c r="H146" i="1"/>
  <c r="I146" i="1"/>
  <c r="J146" i="1"/>
  <c r="K146" i="1"/>
  <c r="C146" i="1"/>
  <c r="D164" i="1"/>
  <c r="E164" i="1"/>
  <c r="F164" i="1"/>
  <c r="G164" i="1"/>
  <c r="H164" i="1"/>
  <c r="I164" i="1"/>
  <c r="J164" i="1"/>
  <c r="K164" i="1"/>
  <c r="C164" i="1"/>
  <c r="D163" i="1"/>
  <c r="E163" i="1"/>
  <c r="F163" i="1"/>
  <c r="G163" i="1"/>
  <c r="H163" i="1"/>
  <c r="I163" i="1"/>
  <c r="J163" i="1"/>
  <c r="K163" i="1"/>
  <c r="C163" i="1"/>
  <c r="E158" i="1"/>
  <c r="F158" i="1"/>
  <c r="G158" i="1"/>
  <c r="H158" i="1"/>
  <c r="I158" i="1"/>
  <c r="J158" i="1"/>
  <c r="K158" i="1"/>
  <c r="D158" i="1"/>
  <c r="E157" i="1"/>
  <c r="F157" i="1"/>
  <c r="G157" i="1"/>
  <c r="H157" i="1"/>
  <c r="I157" i="1"/>
  <c r="J157" i="1"/>
  <c r="K157" i="1"/>
  <c r="D157" i="1"/>
  <c r="E155" i="1"/>
  <c r="F155" i="1"/>
  <c r="G155" i="1"/>
  <c r="H155" i="1"/>
  <c r="I155" i="1"/>
  <c r="J155" i="1"/>
  <c r="K155" i="1"/>
  <c r="E154" i="1"/>
  <c r="F154" i="1"/>
  <c r="G154" i="1"/>
  <c r="H154" i="1"/>
  <c r="I154" i="1"/>
  <c r="J154" i="1"/>
  <c r="K154" i="1"/>
  <c r="D154" i="1"/>
  <c r="D155" i="1"/>
  <c r="E152" i="1"/>
  <c r="F152" i="1"/>
  <c r="G152" i="1"/>
  <c r="H152" i="1"/>
  <c r="I152" i="1"/>
  <c r="J152" i="1"/>
  <c r="K152" i="1"/>
  <c r="D152" i="1"/>
  <c r="E151" i="1"/>
  <c r="F151" i="1"/>
  <c r="G151" i="1"/>
  <c r="H151" i="1"/>
  <c r="I151" i="1"/>
  <c r="J151" i="1"/>
  <c r="K151" i="1"/>
  <c r="D151" i="1"/>
  <c r="P5" i="3"/>
  <c r="P6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3" i="3"/>
  <c r="J151" i="3"/>
  <c r="J152" i="3"/>
  <c r="J147" i="3"/>
  <c r="J148" i="3"/>
  <c r="Q5" i="3"/>
  <c r="Q6" i="3"/>
  <c r="Q8" i="3"/>
  <c r="Q9" i="3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3" i="3"/>
  <c r="N21" i="3"/>
  <c r="N20" i="3"/>
  <c r="N13" i="3"/>
  <c r="N14" i="3"/>
  <c r="N15" i="3"/>
  <c r="N16" i="3"/>
  <c r="N17" i="3"/>
  <c r="N18" i="3"/>
  <c r="N19" i="3"/>
  <c r="N22" i="3" s="1"/>
  <c r="N8" i="3"/>
  <c r="N9" i="3"/>
  <c r="N10" i="3"/>
  <c r="N12" i="3"/>
  <c r="N6" i="3"/>
  <c r="N5" i="3"/>
  <c r="J69" i="3"/>
  <c r="J126" i="3"/>
  <c r="J124" i="3"/>
  <c r="J125" i="3" s="1"/>
  <c r="J55" i="3"/>
  <c r="J56" i="3" s="1"/>
  <c r="J40" i="3"/>
  <c r="J11" i="3"/>
  <c r="J122" i="3" s="1"/>
  <c r="J123" i="3" s="1"/>
  <c r="J7" i="3"/>
  <c r="Q7" i="3" s="1"/>
  <c r="D138" i="1"/>
  <c r="D139" i="1" s="1"/>
  <c r="E138" i="1"/>
  <c r="E139" i="1" s="1"/>
  <c r="F138" i="1"/>
  <c r="F139" i="1" s="1"/>
  <c r="G138" i="1"/>
  <c r="G139" i="1" s="1"/>
  <c r="H138" i="1"/>
  <c r="H139" i="1" s="1"/>
  <c r="I138" i="1"/>
  <c r="I139" i="1" s="1"/>
  <c r="J138" i="1"/>
  <c r="J139" i="1" s="1"/>
  <c r="K138" i="1"/>
  <c r="K139" i="1" s="1"/>
  <c r="C138" i="1"/>
  <c r="C139" i="1" s="1"/>
  <c r="D136" i="1"/>
  <c r="D137" i="1" s="1"/>
  <c r="E136" i="1"/>
  <c r="E137" i="1" s="1"/>
  <c r="F136" i="1"/>
  <c r="F137" i="1" s="1"/>
  <c r="G136" i="1"/>
  <c r="G137" i="1" s="1"/>
  <c r="H136" i="1"/>
  <c r="H137" i="1" s="1"/>
  <c r="I136" i="1"/>
  <c r="I137" i="1" s="1"/>
  <c r="J136" i="1"/>
  <c r="J137" i="1" s="1"/>
  <c r="C136" i="1"/>
  <c r="C137" i="1" s="1"/>
  <c r="J134" i="1"/>
  <c r="J135" i="1" s="1"/>
  <c r="K135" i="1"/>
  <c r="D134" i="1"/>
  <c r="D135" i="1" s="1"/>
  <c r="E134" i="1"/>
  <c r="E135" i="1" s="1"/>
  <c r="F134" i="1"/>
  <c r="F135" i="1" s="1"/>
  <c r="G134" i="1"/>
  <c r="G135" i="1" s="1"/>
  <c r="H134" i="1"/>
  <c r="H135" i="1" s="1"/>
  <c r="I134" i="1"/>
  <c r="I135" i="1" s="1"/>
  <c r="C134" i="1"/>
  <c r="C135" i="1" s="1"/>
  <c r="D127" i="1"/>
  <c r="E127" i="1"/>
  <c r="F127" i="1"/>
  <c r="G127" i="1"/>
  <c r="H127" i="1"/>
  <c r="I127" i="1"/>
  <c r="J127" i="1"/>
  <c r="K127" i="1"/>
  <c r="C127" i="1"/>
  <c r="K125" i="1"/>
  <c r="K126" i="1" s="1"/>
  <c r="D125" i="1"/>
  <c r="D126" i="1" s="1"/>
  <c r="E125" i="1"/>
  <c r="E126" i="1" s="1"/>
  <c r="F125" i="1"/>
  <c r="F126" i="1" s="1"/>
  <c r="G125" i="1"/>
  <c r="G126" i="1" s="1"/>
  <c r="H125" i="1"/>
  <c r="H126" i="1" s="1"/>
  <c r="I125" i="1"/>
  <c r="I126" i="1" s="1"/>
  <c r="J125" i="1"/>
  <c r="J126" i="1" s="1"/>
  <c r="C125" i="1"/>
  <c r="C126" i="1" s="1"/>
  <c r="E7" i="1"/>
  <c r="E162" i="1" s="1"/>
  <c r="D70" i="1"/>
  <c r="D132" i="1" s="1"/>
  <c r="D133" i="1" s="1"/>
  <c r="E70" i="1"/>
  <c r="E132" i="1" s="1"/>
  <c r="E133" i="1" s="1"/>
  <c r="F70" i="1"/>
  <c r="F132" i="1" s="1"/>
  <c r="F133" i="1" s="1"/>
  <c r="G70" i="1"/>
  <c r="G132" i="1" s="1"/>
  <c r="G133" i="1" s="1"/>
  <c r="H70" i="1"/>
  <c r="H132" i="1" s="1"/>
  <c r="H133" i="1" s="1"/>
  <c r="I70" i="1"/>
  <c r="I132" i="1" s="1"/>
  <c r="I133" i="1" s="1"/>
  <c r="J70" i="1"/>
  <c r="J132" i="1" s="1"/>
  <c r="J133" i="1" s="1"/>
  <c r="K70" i="1"/>
  <c r="K132" i="1" s="1"/>
  <c r="K133" i="1" s="1"/>
  <c r="C70" i="1"/>
  <c r="C132" i="1" s="1"/>
  <c r="C133" i="1" s="1"/>
  <c r="K56" i="1"/>
  <c r="K57" i="1" s="1"/>
  <c r="K41" i="1"/>
  <c r="J56" i="1"/>
  <c r="J57" i="1" s="1"/>
  <c r="J41" i="1"/>
  <c r="I56" i="1"/>
  <c r="I57" i="1" s="1"/>
  <c r="I41" i="1"/>
  <c r="G56" i="1"/>
  <c r="G57" i="1" s="1"/>
  <c r="H56" i="1"/>
  <c r="H57" i="1" s="1"/>
  <c r="G41" i="1"/>
  <c r="H41" i="1"/>
  <c r="E56" i="1"/>
  <c r="E57" i="1" s="1"/>
  <c r="F56" i="1"/>
  <c r="F57" i="1" s="1"/>
  <c r="E41" i="1"/>
  <c r="F41" i="1"/>
  <c r="D56" i="1"/>
  <c r="D57" i="1" s="1"/>
  <c r="C56" i="1"/>
  <c r="C57" i="1" s="1"/>
  <c r="D41" i="1"/>
  <c r="C41" i="1"/>
  <c r="K7" i="1"/>
  <c r="L153" i="1" s="1"/>
  <c r="J7" i="1"/>
  <c r="I7" i="1"/>
  <c r="I162" i="1" s="1"/>
  <c r="H7" i="1"/>
  <c r="G7" i="1"/>
  <c r="F7" i="1"/>
  <c r="F162" i="1" s="1"/>
  <c r="D7" i="1"/>
  <c r="D162" i="1" s="1"/>
  <c r="C7" i="1"/>
  <c r="N23" i="3" l="1"/>
  <c r="J138" i="3"/>
  <c r="F129" i="3"/>
  <c r="D127" i="3"/>
  <c r="E129" i="3"/>
  <c r="G129" i="3"/>
  <c r="C129" i="3"/>
  <c r="D129" i="3"/>
  <c r="E130" i="3"/>
  <c r="E127" i="3"/>
  <c r="H127" i="3"/>
  <c r="H130" i="3"/>
  <c r="I130" i="3"/>
  <c r="I127" i="3"/>
  <c r="G130" i="3"/>
  <c r="G127" i="3"/>
  <c r="D130" i="3"/>
  <c r="F130" i="3"/>
  <c r="C127" i="3"/>
  <c r="L131" i="1"/>
  <c r="L130" i="1"/>
  <c r="L128" i="1"/>
  <c r="L156" i="1"/>
  <c r="J129" i="3"/>
  <c r="J130" i="3"/>
  <c r="J127" i="3"/>
  <c r="R15" i="3"/>
  <c r="R6" i="3"/>
  <c r="R21" i="3"/>
  <c r="P11" i="3"/>
  <c r="R22" i="3"/>
  <c r="D130" i="1"/>
  <c r="C130" i="1"/>
  <c r="D131" i="1"/>
  <c r="G131" i="1"/>
  <c r="F131" i="1"/>
  <c r="E131" i="1"/>
  <c r="C131" i="1"/>
  <c r="K131" i="1"/>
  <c r="H131" i="1"/>
  <c r="F130" i="1"/>
  <c r="E130" i="1"/>
  <c r="J130" i="1"/>
  <c r="K130" i="1"/>
  <c r="I131" i="1"/>
  <c r="G130" i="1"/>
  <c r="I130" i="1"/>
  <c r="J131" i="1"/>
  <c r="H130" i="1"/>
  <c r="J128" i="1"/>
  <c r="G128" i="1"/>
  <c r="F128" i="1"/>
  <c r="E128" i="1"/>
  <c r="C128" i="1"/>
  <c r="D128" i="1"/>
  <c r="I128" i="1"/>
  <c r="K128" i="1"/>
  <c r="H128" i="1"/>
  <c r="E156" i="1"/>
  <c r="H153" i="1"/>
  <c r="D153" i="1"/>
  <c r="C162" i="1"/>
  <c r="F156" i="1"/>
  <c r="I153" i="1"/>
  <c r="F153" i="1"/>
  <c r="G162" i="1"/>
  <c r="J153" i="1"/>
  <c r="D156" i="1"/>
  <c r="K162" i="1"/>
  <c r="J162" i="1"/>
  <c r="H162" i="1"/>
  <c r="E153" i="1"/>
  <c r="I156" i="1"/>
  <c r="G153" i="1"/>
  <c r="H156" i="1"/>
  <c r="G156" i="1"/>
  <c r="K153" i="1"/>
  <c r="K156" i="1"/>
  <c r="J156" i="1"/>
  <c r="R13" i="3"/>
  <c r="R16" i="3"/>
  <c r="R19" i="3"/>
  <c r="R12" i="3"/>
  <c r="R18" i="3"/>
  <c r="R23" i="3"/>
  <c r="R17" i="3"/>
  <c r="R10" i="3"/>
  <c r="R9" i="3"/>
  <c r="R5" i="3"/>
  <c r="R20" i="3"/>
  <c r="R14" i="3"/>
  <c r="R8" i="3"/>
  <c r="R7" i="3"/>
  <c r="Q11" i="3"/>
  <c r="N7" i="3"/>
  <c r="N11" i="3"/>
  <c r="J133" i="3"/>
  <c r="J134" i="3" s="1"/>
  <c r="J131" i="3"/>
  <c r="J132" i="3" s="1"/>
  <c r="D3" i="1"/>
  <c r="E3" i="1" s="1"/>
  <c r="F3" i="1" s="1"/>
  <c r="G3" i="1" s="1"/>
  <c r="H3" i="1" s="1"/>
  <c r="I3" i="1" s="1"/>
  <c r="J3" i="1" s="1"/>
  <c r="K3" i="1" s="1"/>
  <c r="R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tc={4D93E015-CA08-BD46-8221-6BA1278944C2}</author>
  </authors>
  <commentList>
    <comment ref="B147" authorId="0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0r employee to find yearly value
Reply:
    Actual number (no zeroes removed)</t>
      </text>
    </comment>
  </commentList>
</comments>
</file>

<file path=xl/sharedStrings.xml><?xml version="1.0" encoding="utf-8"?>
<sst xmlns="http://schemas.openxmlformats.org/spreadsheetml/2006/main" count="337" uniqueCount="184">
  <si>
    <t>Date</t>
  </si>
  <si>
    <t>FY</t>
  </si>
  <si>
    <t>Ticker</t>
  </si>
  <si>
    <t>Units</t>
  </si>
  <si>
    <t>Shares outstanding</t>
  </si>
  <si>
    <t>M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</si>
  <si>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</si>
  <si>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</si>
  <si>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</si>
  <si>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</si>
  <si>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</si>
  <si>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</si>
  <si>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</si>
  <si>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</si>
  <si>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</si>
  <si>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</si>
  <si>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Minority interest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</si>
  <si>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</si>
  <si>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</si>
  <si>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</si>
  <si>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</si>
  <si>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</si>
  <si>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</si>
  <si>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</si>
  <si>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</si>
  <si>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</si>
  <si>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</si>
  <si>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</si>
  <si>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</si>
  <si>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</si>
  <si>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</si>
  <si>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</si>
  <si>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</si>
  <si>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</si>
  <si>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</si>
  <si>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</si>
  <si>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</si>
  <si>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</si>
  <si>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</si>
  <si>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</si>
  <si>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</si>
  <si>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</si>
  <si>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</si>
  <si>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</si>
  <si>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</si>
  <si>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</si>
  <si>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</si>
  <si>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</si>
  <si>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Interest income/expense</t>
  </si>
  <si>
    <t>Held for sale</t>
  </si>
  <si>
    <t>Cashflow statement</t>
  </si>
  <si>
    <t>Gains on marketable securities</t>
  </si>
  <si>
    <t>Other items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</si>
  <si>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</si>
  <si>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</si>
  <si>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</si>
  <si>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</si>
  <si>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</si>
  <si>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</si>
  <si>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Dividends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</si>
  <si>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</si>
  <si>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</si>
  <si>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</si>
  <si>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</si>
  <si>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</si>
  <si>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</si>
  <si>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</si>
  <si>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</si>
  <si>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</si>
  <si>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</si>
  <si>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</si>
  <si>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</si>
  <si>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</si>
  <si>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</si>
  <si>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</si>
  <si>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</si>
  <si>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</si>
  <si>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</si>
  <si>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</si>
  <si>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</si>
  <si>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</si>
  <si>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</si>
  <si>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</si>
  <si>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</si>
  <si>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</si>
  <si>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</si>
  <si>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</si>
  <si>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</si>
  <si>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</si>
  <si>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</si>
  <si>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</si>
  <si>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</si>
  <si>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</si>
  <si>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</si>
  <si>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</si>
  <si>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</si>
  <si>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</si>
  <si>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</si>
  <si>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</si>
  <si>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</si>
  <si>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</si>
  <si>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</si>
  <si>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</si>
  <si>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</si>
  <si>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</si>
  <si>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</si>
  <si>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</si>
  <si>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</si>
  <si>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</si>
  <si>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</si>
  <si>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</si>
  <si>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</si>
  <si>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</si>
  <si>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</si>
  <si>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</si>
  <si>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</si>
  <si>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INTC</t>
  </si>
  <si>
    <t>28.12.2024</t>
  </si>
  <si>
    <t>30.12.2023</t>
  </si>
  <si>
    <t>31.12.2022</t>
  </si>
  <si>
    <t>25.12.2021</t>
  </si>
  <si>
    <t>26.12.2020</t>
  </si>
  <si>
    <t>28.12.2019</t>
  </si>
  <si>
    <t>29.12.2018</t>
  </si>
  <si>
    <t>30.12.2017</t>
  </si>
  <si>
    <t>31.12.2016</t>
  </si>
  <si>
    <t>Restructuring &amp; Other</t>
  </si>
  <si>
    <t>Amortization acquisition intangibles</t>
  </si>
  <si>
    <t>Investments &amp; Other income net</t>
  </si>
  <si>
    <t>Net income with minority interest</t>
  </si>
  <si>
    <t>Short term investments</t>
  </si>
  <si>
    <t>Trading assets</t>
  </si>
  <si>
    <t>Other long term investments</t>
  </si>
  <si>
    <t>Identified intangible assets</t>
  </si>
  <si>
    <t>Accrued compensation &amp; benefits</t>
  </si>
  <si>
    <t>Deferred income</t>
  </si>
  <si>
    <t>Deferred tax liabilities</t>
  </si>
  <si>
    <t>Temporary equity</t>
  </si>
  <si>
    <t>Contract liabilities</t>
  </si>
  <si>
    <t>Income taxes payable</t>
  </si>
  <si>
    <t>Equity with temporary</t>
  </si>
  <si>
    <t>Non-controlling interests</t>
  </si>
  <si>
    <t>Debt conversion &amp; extinguishment</t>
  </si>
  <si>
    <t>Divestitures</t>
  </si>
  <si>
    <t>Deferred taxes</t>
  </si>
  <si>
    <t>Change accrued compensation</t>
  </si>
  <si>
    <t>Change customer deposits &amp; supply</t>
  </si>
  <si>
    <t>Change income taxes payable/recvb</t>
  </si>
  <si>
    <t>Change other current assets &amp; liab</t>
  </si>
  <si>
    <t>Acquisitions net of cash</t>
  </si>
  <si>
    <t>Purchase debt investments</t>
  </si>
  <si>
    <t>Sale debt investments</t>
  </si>
  <si>
    <t>Maturities debt investments</t>
  </si>
  <si>
    <t>Purchase trading assets</t>
  </si>
  <si>
    <t>Maturities trading assets</t>
  </si>
  <si>
    <t>Purchase equity investments</t>
  </si>
  <si>
    <t>Sale equity investments</t>
  </si>
  <si>
    <t>Proceeds divestitures</t>
  </si>
  <si>
    <t>Other investing</t>
  </si>
  <si>
    <t>Increase or decrease short term debt</t>
  </si>
  <si>
    <t>Issuance long term debt</t>
  </si>
  <si>
    <t xml:space="preserve">Repayment debt </t>
  </si>
  <si>
    <t>Proceeds sale common stock</t>
  </si>
  <si>
    <t>Repurchase common stock</t>
  </si>
  <si>
    <t>Impairments</t>
  </si>
  <si>
    <t>Proceeds government incentives</t>
  </si>
  <si>
    <t>Issuance of comercial paper</t>
  </si>
  <si>
    <t>Repayment of comercial paper</t>
  </si>
  <si>
    <t>Partner contributions</t>
  </si>
  <si>
    <t>Sales subsidiary shares</t>
  </si>
  <si>
    <t>Addition PP&amp;E</t>
  </si>
  <si>
    <t>Restricted stock unit withholdings</t>
  </si>
  <si>
    <t>27.09.2025</t>
  </si>
  <si>
    <t>28.09.2024</t>
  </si>
  <si>
    <t>28.06.2025</t>
  </si>
  <si>
    <t>29.06.2024</t>
  </si>
  <si>
    <t>29.03.2025</t>
  </si>
  <si>
    <t>30.03.2024</t>
  </si>
  <si>
    <t>27.12.2025</t>
  </si>
  <si>
    <t>Other charges</t>
  </si>
  <si>
    <t>Market to market escrowed shares</t>
  </si>
  <si>
    <t xml:space="preserve">Proceeds stock warrants escrowed </t>
  </si>
  <si>
    <t>Q4 2025</t>
  </si>
  <si>
    <t>Market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</si>
</sst>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0.00_);[Red]\(0.00\)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D9D9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06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38" fontId="6" fillId="3" borderId="4" xfId="0" applyNumberFormat="1" applyFont="1" applyFill="1" applyBorder="1"/>
    <xf numFmtId="38" fontId="0" fillId="3" borderId="4" xfId="0" applyNumberFormat="1" applyFill="1" applyBorder="1"/>
    <xf numFmtId="38" fontId="6" fillId="3" borderId="5" xfId="0" applyNumberFormat="1" applyFont="1" applyFill="1" applyBorder="1"/>
    <xf numFmtId="164" fontId="6" fillId="3" borderId="4" xfId="0" applyNumberFormat="1" applyFont="1" applyFill="1" applyBorder="1"/>
    <xf numFmtId="164" fontId="6" fillId="3" borderId="3" xfId="0" applyNumberFormat="1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38" fontId="1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0" fontId="2" fillId="9" borderId="1" xfId="0" applyFont="1" applyFill="1" applyBorder="1"/>
    <xf numFmtId="0" fontId="10" fillId="11" borderId="0" xfId="0" applyFont="1" applyFill="1"/>
    <xf numFmtId="38" fontId="2" fillId="3" borderId="8" xfId="0" applyNumberFormat="1" applyFont="1" applyFill="1" applyBorder="1"/>
    <xf numFmtId="0" fontId="0" fillId="7" borderId="0" xfId="0" applyFill="1" applyAlignment="1">
      <alignment horizontal="right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3" fontId="0" fillId="3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Stocks/Data/Stocks/_List_AutomaticData.xlsx" TargetMode="External"/><Relationship Id="rId1" Type="http://schemas.openxmlformats.org/officeDocument/2006/relationships/externalLinkPath" Target="_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5">
          <cell r="C5">
            <v>43.87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7" dT="2025-12-05T20:58:53.49" personId="{C1312E89-78DF-2C41-9F37-0481EBE70D1D}" id="{4D93E015-CA08-BD46-8221-6BA1278944C2}">
    <text>Search for Human Capital 0r employee to find yearly value</text>
  </threadedComment>
  <threadedComment ref="B147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0"/>
  <sheetViews>
    <sheetView tabSelected="1" zoomScale="135" workbookViewId="0">
      <selection activeCell="C10" sqref="C10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9" t="s">
        <v>116</v>
      </c>
    </row>
    <row r="3" spans="2:5" x14ac:dyDescent="0.2">
      <c r="B3" s="1" t="s">
        <v>95</v>
      </c>
      <c r="C3" s="1">
        <f ca="1">[1]Sheet1!$C$5</f>
        <v>43.87</v>
      </c>
    </row>
    <row r="6" spans="2:5" x14ac:dyDescent="0.2">
      <c r="E6" s="38"/>
    </row>
    <row r="7" spans="2:5" x14ac:dyDescent="0.2">
      <c r="B7" s="1" t="s">
        <v>3</v>
      </c>
      <c r="C7" s="1" t="s">
        <v>5</v>
      </c>
    </row>
    <row r="10" spans="2:5" x14ac:dyDescent="0.2">
      <c r="B10" s="1" t="s">
        <v>183</v>
      </c>
      <c r="C10" s="105">
        <f ca="1">C3*'Statement Q'!J141</f>
        <v>219130.65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S165"/>
  <sheetViews>
    <sheetView zoomScale="150" zoomScaleNormal="150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L118" sqref="L118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hidden="1" customWidth="1" outlineLevel="1"/>
    <col min="5" max="5" width="10.83203125" style="1" hidden="1" customWidth="1" outlineLevel="1"/>
    <col min="6" max="6" width="12" style="1" hidden="1" customWidth="1" outlineLevel="1"/>
    <col min="7" max="7" width="10.83203125" style="1" hidden="1" customWidth="1" outlineLevel="1"/>
    <col min="8" max="8" width="10.83203125" style="1" customWidth="1" collapsed="1"/>
    <col min="9" max="10" width="10.83203125" style="1" customWidth="1"/>
    <col min="11" max="16384" width="10.83203125" style="1"/>
  </cols>
  <sheetData>
    <row r="1" spans="1:14" x14ac:dyDescent="0.2">
      <c r="B1" s="1"/>
    </row>
    <row r="2" spans="1:14" s="3" customFormat="1" x14ac:dyDescent="0.2">
      <c r="A2" s="2"/>
      <c r="B2" s="71" t="s">
        <v>0</v>
      </c>
      <c r="C2" s="3" t="s">
        <v>125</v>
      </c>
      <c r="D2" s="3" t="s">
        <v>124</v>
      </c>
      <c r="E2" s="3" t="s">
        <v>123</v>
      </c>
      <c r="F2" s="3" t="s">
        <v>122</v>
      </c>
      <c r="G2" s="3" t="s">
        <v>121</v>
      </c>
      <c r="H2" s="3" t="s">
        <v>120</v>
      </c>
      <c r="I2" s="3" t="s">
        <v>119</v>
      </c>
      <c r="J2" s="3" t="s">
        <v>118</v>
      </c>
      <c r="K2" s="3" t="s">
        <v>117</v>
      </c>
      <c r="L2" s="3" t="s">
        <v>178</v>
      </c>
    </row>
    <row r="3" spans="1:14" s="5" customFormat="1" x14ac:dyDescent="0.2">
      <c r="A3" s="4"/>
      <c r="B3" s="72" t="s">
        <v>1</v>
      </c>
      <c r="C3" s="5">
        <v>2016</v>
      </c>
      <c r="D3" s="5">
        <f>C3+1</f>
        <v>2017</v>
      </c>
      <c r="E3" s="5">
        <f t="shared" ref="E3:K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v>2025</v>
      </c>
    </row>
    <row r="4" spans="1:14" s="14" customFormat="1" ht="17" thickBot="1" x14ac:dyDescent="0.25">
      <c r="A4" s="4"/>
      <c r="B4" s="15" t="s">
        <v>6</v>
      </c>
    </row>
    <row r="5" spans="1:14" s="62" customFormat="1" hidden="1" outlineLevel="1" x14ac:dyDescent="0.2">
      <c r="A5" s="7"/>
      <c r="B5" s="17" t="s">
        <v>7</v>
      </c>
      <c r="C5" s="60">
        <v>59387</v>
      </c>
      <c r="D5" s="60">
        <v>62761</v>
      </c>
      <c r="E5" s="60">
        <v>70848</v>
      </c>
      <c r="F5" s="60">
        <v>71965</v>
      </c>
      <c r="G5" s="60">
        <v>77867</v>
      </c>
      <c r="H5" s="60">
        <v>79024</v>
      </c>
      <c r="I5" s="60">
        <v>63054</v>
      </c>
      <c r="J5" s="60">
        <v>54228</v>
      </c>
      <c r="K5" s="60">
        <v>53101</v>
      </c>
      <c r="L5" s="60">
        <v>52853</v>
      </c>
      <c r="M5" s="60"/>
      <c r="N5" s="60"/>
    </row>
    <row r="6" spans="1:14" hidden="1" outlineLevel="1" x14ac:dyDescent="0.2">
      <c r="B6" s="9" t="s">
        <v>8</v>
      </c>
      <c r="C6" s="27">
        <v>23154</v>
      </c>
      <c r="D6" s="27">
        <v>23663</v>
      </c>
      <c r="E6" s="27">
        <v>27111</v>
      </c>
      <c r="F6" s="27">
        <v>29825</v>
      </c>
      <c r="G6" s="27">
        <v>34255</v>
      </c>
      <c r="H6" s="27">
        <v>35209</v>
      </c>
      <c r="I6" s="27">
        <v>36188</v>
      </c>
      <c r="J6" s="27">
        <v>32517</v>
      </c>
      <c r="K6" s="27">
        <v>35756</v>
      </c>
      <c r="L6" s="27">
        <v>34478</v>
      </c>
      <c r="M6" s="27"/>
      <c r="N6" s="27"/>
    </row>
    <row r="7" spans="1:14" s="62" customFormat="1" hidden="1" outlineLevel="1" x14ac:dyDescent="0.2">
      <c r="A7" s="7"/>
      <c r="B7" s="17" t="s">
        <v>9</v>
      </c>
      <c r="C7" s="63">
        <f t="shared" ref="C7:L7" si="1">C5-C6</f>
        <v>36233</v>
      </c>
      <c r="D7" s="63">
        <f t="shared" si="1"/>
        <v>39098</v>
      </c>
      <c r="E7" s="63">
        <f>E5-E6</f>
        <v>43737</v>
      </c>
      <c r="F7" s="63">
        <f t="shared" si="1"/>
        <v>42140</v>
      </c>
      <c r="G7" s="63">
        <f t="shared" si="1"/>
        <v>43612</v>
      </c>
      <c r="H7" s="63">
        <f t="shared" si="1"/>
        <v>43815</v>
      </c>
      <c r="I7" s="63">
        <f t="shared" si="1"/>
        <v>26866</v>
      </c>
      <c r="J7" s="63">
        <f t="shared" si="1"/>
        <v>21711</v>
      </c>
      <c r="K7" s="63">
        <f t="shared" si="1"/>
        <v>17345</v>
      </c>
      <c r="L7" s="63">
        <f t="shared" si="1"/>
        <v>18375</v>
      </c>
    </row>
    <row r="8" spans="1:14" hidden="1" outlineLevel="1" x14ac:dyDescent="0.2">
      <c r="B8" s="9" t="s">
        <v>10</v>
      </c>
      <c r="C8" s="27">
        <v>12685</v>
      </c>
      <c r="D8" s="27">
        <v>13035</v>
      </c>
      <c r="E8" s="27">
        <v>13543</v>
      </c>
      <c r="F8" s="27">
        <v>13362</v>
      </c>
      <c r="G8" s="27">
        <v>13556</v>
      </c>
      <c r="H8" s="27">
        <v>15190</v>
      </c>
      <c r="I8" s="27">
        <v>17528</v>
      </c>
      <c r="J8" s="27">
        <v>16046</v>
      </c>
      <c r="K8" s="27">
        <v>16546</v>
      </c>
      <c r="L8" s="27">
        <v>13774</v>
      </c>
      <c r="M8" s="27"/>
    </row>
    <row r="9" spans="1:14" s="8" customFormat="1" hidden="1" outlineLevel="1" x14ac:dyDescent="0.2">
      <c r="B9" s="12" t="s">
        <v>11</v>
      </c>
      <c r="C9" s="27">
        <v>8377</v>
      </c>
      <c r="D9" s="27">
        <v>7452</v>
      </c>
      <c r="E9" s="27">
        <v>6750</v>
      </c>
      <c r="F9" s="27">
        <v>6350</v>
      </c>
      <c r="G9" s="27">
        <v>6180</v>
      </c>
      <c r="H9" s="27">
        <v>6543</v>
      </c>
      <c r="I9" s="27">
        <v>7002</v>
      </c>
      <c r="J9" s="27">
        <v>5634</v>
      </c>
      <c r="K9" s="27">
        <v>5507</v>
      </c>
      <c r="L9" s="27">
        <v>4624</v>
      </c>
      <c r="M9" s="27"/>
    </row>
    <row r="10" spans="1:14" hidden="1" outlineLevel="1" x14ac:dyDescent="0.2">
      <c r="B10" s="12" t="s">
        <v>126</v>
      </c>
      <c r="C10" s="27">
        <v>1744</v>
      </c>
      <c r="D10" s="27">
        <v>384</v>
      </c>
      <c r="E10" s="27">
        <v>-72</v>
      </c>
      <c r="F10" s="27">
        <v>393</v>
      </c>
      <c r="G10" s="27">
        <v>198</v>
      </c>
      <c r="H10" s="27">
        <v>2626</v>
      </c>
      <c r="I10" s="27">
        <v>2</v>
      </c>
      <c r="J10" s="27">
        <v>-62</v>
      </c>
      <c r="K10" s="27">
        <v>6970</v>
      </c>
      <c r="L10" s="27">
        <v>2191</v>
      </c>
      <c r="M10" s="27"/>
    </row>
    <row r="11" spans="1:14" hidden="1" outlineLevel="1" x14ac:dyDescent="0.2">
      <c r="B11" s="12" t="s">
        <v>127</v>
      </c>
      <c r="C11" s="27">
        <v>294</v>
      </c>
      <c r="D11" s="27">
        <v>177</v>
      </c>
      <c r="E11" s="27">
        <v>200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/>
    </row>
    <row r="12" spans="1:14" hidden="1" outlineLevel="1" x14ac:dyDescent="0.2">
      <c r="B12" s="12" t="s">
        <v>12</v>
      </c>
      <c r="C12" s="20">
        <f>SUM(C8:C11)</f>
        <v>23100</v>
      </c>
      <c r="D12" s="20">
        <f t="shared" ref="D12:L12" si="2">SUM(D8:D11)</f>
        <v>21048</v>
      </c>
      <c r="E12" s="20">
        <f t="shared" si="2"/>
        <v>20421</v>
      </c>
      <c r="F12" s="20">
        <f t="shared" si="2"/>
        <v>20105</v>
      </c>
      <c r="G12" s="20">
        <f t="shared" si="2"/>
        <v>19934</v>
      </c>
      <c r="H12" s="20">
        <f t="shared" si="2"/>
        <v>24359</v>
      </c>
      <c r="I12" s="20">
        <f t="shared" si="2"/>
        <v>24532</v>
      </c>
      <c r="J12" s="20">
        <f t="shared" si="2"/>
        <v>21618</v>
      </c>
      <c r="K12" s="20">
        <f t="shared" si="2"/>
        <v>29023</v>
      </c>
      <c r="L12" s="20">
        <f t="shared" si="2"/>
        <v>20589</v>
      </c>
    </row>
    <row r="13" spans="1:14" s="62" customFormat="1" hidden="1" outlineLevel="1" x14ac:dyDescent="0.2">
      <c r="A13" s="7"/>
      <c r="B13" s="17" t="s">
        <v>13</v>
      </c>
      <c r="C13" s="60">
        <v>13133</v>
      </c>
      <c r="D13" s="60">
        <v>18050</v>
      </c>
      <c r="E13" s="60">
        <v>23316</v>
      </c>
      <c r="F13" s="60">
        <v>22035</v>
      </c>
      <c r="G13" s="60">
        <v>23678</v>
      </c>
      <c r="H13" s="60">
        <v>19456</v>
      </c>
      <c r="I13" s="60">
        <v>2334</v>
      </c>
      <c r="J13" s="60">
        <v>93</v>
      </c>
      <c r="K13" s="60">
        <v>-11678</v>
      </c>
      <c r="L13" s="60">
        <v>-2214</v>
      </c>
      <c r="M13" s="60"/>
      <c r="N13" s="60"/>
    </row>
    <row r="14" spans="1:14" hidden="1" outlineLevel="1" x14ac:dyDescent="0.2">
      <c r="B14" s="12" t="s">
        <v>128</v>
      </c>
      <c r="C14" s="27">
        <v>506</v>
      </c>
      <c r="D14" s="27">
        <v>2651</v>
      </c>
      <c r="E14" s="27">
        <v>-125</v>
      </c>
      <c r="F14" s="27">
        <v>1539</v>
      </c>
      <c r="G14" s="27">
        <v>1904</v>
      </c>
      <c r="H14" s="27">
        <v>2729</v>
      </c>
      <c r="I14" s="27">
        <v>4268</v>
      </c>
      <c r="J14" s="27">
        <v>40</v>
      </c>
      <c r="K14" s="27">
        <v>242</v>
      </c>
      <c r="L14" s="27">
        <v>514</v>
      </c>
      <c r="M14" s="27"/>
    </row>
    <row r="15" spans="1:14" hidden="1" outlineLevel="1" x14ac:dyDescent="0.2">
      <c r="B15" s="12" t="s">
        <v>48</v>
      </c>
      <c r="C15" s="27">
        <v>-703</v>
      </c>
      <c r="D15" s="27">
        <v>-349</v>
      </c>
      <c r="E15" s="27">
        <v>126</v>
      </c>
      <c r="F15" s="27">
        <v>484</v>
      </c>
      <c r="G15" s="27">
        <v>-504</v>
      </c>
      <c r="H15" s="27">
        <v>-482</v>
      </c>
      <c r="I15" s="27">
        <v>1166</v>
      </c>
      <c r="J15" s="27">
        <v>629</v>
      </c>
      <c r="K15" s="27">
        <v>226</v>
      </c>
      <c r="L15" s="27">
        <v>3257</v>
      </c>
      <c r="M15" s="27"/>
    </row>
    <row r="16" spans="1:14" s="62" customFormat="1" hidden="1" outlineLevel="1" x14ac:dyDescent="0.2">
      <c r="A16" s="7"/>
      <c r="B16" s="17" t="s">
        <v>14</v>
      </c>
      <c r="C16" s="60">
        <v>12936</v>
      </c>
      <c r="D16" s="60">
        <v>20352</v>
      </c>
      <c r="E16" s="60">
        <v>23317</v>
      </c>
      <c r="F16" s="60">
        <v>24058</v>
      </c>
      <c r="G16" s="60">
        <v>25078</v>
      </c>
      <c r="H16" s="60">
        <v>21703</v>
      </c>
      <c r="I16" s="60">
        <v>7768</v>
      </c>
      <c r="J16" s="60">
        <v>762</v>
      </c>
      <c r="K16" s="60">
        <v>-11210</v>
      </c>
      <c r="L16" s="60">
        <v>1557</v>
      </c>
      <c r="M16" s="60"/>
      <c r="N16" s="60"/>
    </row>
    <row r="17" spans="1:19" hidden="1" outlineLevel="1" x14ac:dyDescent="0.2">
      <c r="B17" s="12" t="s">
        <v>93</v>
      </c>
      <c r="C17" s="27">
        <v>-2620</v>
      </c>
      <c r="D17" s="27">
        <v>-10751</v>
      </c>
      <c r="E17" s="27">
        <v>-2264</v>
      </c>
      <c r="F17" s="27">
        <v>-3010</v>
      </c>
      <c r="G17" s="27">
        <v>-4179</v>
      </c>
      <c r="H17" s="27">
        <v>-1835</v>
      </c>
      <c r="I17" s="27">
        <v>249</v>
      </c>
      <c r="J17" s="27">
        <v>913</v>
      </c>
      <c r="K17" s="27">
        <v>-8023</v>
      </c>
      <c r="L17" s="27">
        <v>-1531</v>
      </c>
      <c r="M17" s="27"/>
      <c r="N17" s="27"/>
    </row>
    <row r="18" spans="1:19" s="98" customFormat="1" hidden="1" outlineLevel="1" x14ac:dyDescent="0.2">
      <c r="A18" s="8"/>
      <c r="B18" s="34" t="s">
        <v>129</v>
      </c>
      <c r="C18" s="35">
        <v>10316</v>
      </c>
      <c r="D18" s="35">
        <v>9601</v>
      </c>
      <c r="E18" s="35">
        <v>21053</v>
      </c>
      <c r="F18" s="35">
        <v>21048</v>
      </c>
      <c r="G18" s="35">
        <v>20899</v>
      </c>
      <c r="H18" s="35">
        <v>19868</v>
      </c>
      <c r="I18" s="35">
        <v>8017</v>
      </c>
      <c r="J18" s="35">
        <v>1675</v>
      </c>
      <c r="K18" s="35">
        <v>-19233</v>
      </c>
      <c r="L18" s="35">
        <v>26</v>
      </c>
      <c r="M18" s="35"/>
      <c r="N18" s="37"/>
      <c r="O18" s="37"/>
      <c r="P18" s="37"/>
      <c r="Q18" s="37"/>
      <c r="R18" s="37"/>
      <c r="S18" s="37"/>
    </row>
    <row r="19" spans="1:19" hidden="1" outlineLevel="1" x14ac:dyDescent="0.2">
      <c r="B19" s="12" t="s">
        <v>16</v>
      </c>
      <c r="C19" s="27">
        <v>0</v>
      </c>
      <c r="D19" s="27">
        <v>0</v>
      </c>
      <c r="E19" s="27">
        <v>0</v>
      </c>
      <c r="F19" s="27">
        <v>0</v>
      </c>
      <c r="G19" s="27">
        <v>0</v>
      </c>
      <c r="H19" s="27">
        <v>0</v>
      </c>
      <c r="I19" s="27">
        <v>3</v>
      </c>
      <c r="J19" s="27">
        <v>-14</v>
      </c>
      <c r="K19" s="27">
        <v>-477</v>
      </c>
      <c r="L19" s="27">
        <v>293</v>
      </c>
      <c r="M19" s="27"/>
      <c r="N19" s="27"/>
    </row>
    <row r="20" spans="1:19" s="18" customFormat="1" hidden="1" outlineLevel="1" x14ac:dyDescent="0.2">
      <c r="A20" s="7"/>
      <c r="B20" s="17" t="s">
        <v>15</v>
      </c>
      <c r="C20" s="60">
        <v>10316</v>
      </c>
      <c r="D20" s="60">
        <v>9601</v>
      </c>
      <c r="E20" s="60">
        <v>21053</v>
      </c>
      <c r="F20" s="60">
        <v>21048</v>
      </c>
      <c r="G20" s="60">
        <v>20899</v>
      </c>
      <c r="H20" s="60">
        <v>19868</v>
      </c>
      <c r="I20" s="60">
        <v>8014</v>
      </c>
      <c r="J20" s="60">
        <v>1689</v>
      </c>
      <c r="K20" s="60">
        <v>-18756</v>
      </c>
      <c r="L20" s="60">
        <v>-267</v>
      </c>
      <c r="M20" s="60"/>
      <c r="N20" s="62"/>
      <c r="O20" s="62"/>
      <c r="P20" s="62"/>
    </row>
    <row r="21" spans="1:19" hidden="1" outlineLevel="1" x14ac:dyDescent="0.2">
      <c r="B21" s="12" t="s">
        <v>17</v>
      </c>
      <c r="C21" s="27">
        <v>4730</v>
      </c>
      <c r="D21" s="27">
        <v>4701</v>
      </c>
      <c r="E21" s="27">
        <v>4611</v>
      </c>
      <c r="F21" s="27">
        <v>4417</v>
      </c>
      <c r="G21" s="27">
        <v>4199</v>
      </c>
      <c r="H21" s="27">
        <v>4059</v>
      </c>
      <c r="I21" s="27">
        <v>4108</v>
      </c>
      <c r="J21" s="27">
        <v>4190</v>
      </c>
      <c r="K21" s="27">
        <v>4280</v>
      </c>
      <c r="L21" s="27">
        <v>4530</v>
      </c>
      <c r="M21" s="27"/>
    </row>
    <row r="22" spans="1:19" hidden="1" outlineLevel="1" x14ac:dyDescent="0.2">
      <c r="B22" s="12" t="s">
        <v>18</v>
      </c>
      <c r="C22" s="27">
        <v>4875</v>
      </c>
      <c r="D22" s="27">
        <v>4835</v>
      </c>
      <c r="E22" s="27">
        <v>4701</v>
      </c>
      <c r="F22" s="27">
        <v>4473</v>
      </c>
      <c r="G22" s="27">
        <v>4232</v>
      </c>
      <c r="H22" s="27">
        <v>4090</v>
      </c>
      <c r="I22" s="27">
        <v>4123</v>
      </c>
      <c r="J22" s="27">
        <v>4212</v>
      </c>
      <c r="K22" s="27">
        <v>4280</v>
      </c>
      <c r="L22" s="27">
        <v>4530</v>
      </c>
      <c r="M22" s="27"/>
    </row>
    <row r="23" spans="1:19" hidden="1" outlineLevel="1" x14ac:dyDescent="0.2">
      <c r="B23" s="12" t="s">
        <v>19</v>
      </c>
      <c r="C23" s="31">
        <v>2.1800000000000002</v>
      </c>
      <c r="D23" s="31">
        <v>2.04</v>
      </c>
      <c r="E23" s="31">
        <v>4.57</v>
      </c>
      <c r="F23" s="31">
        <v>4.7699999999999996</v>
      </c>
      <c r="G23" s="31">
        <v>4.9800000000000004</v>
      </c>
      <c r="H23" s="31">
        <v>4.8899999999999997</v>
      </c>
      <c r="I23" s="31">
        <v>1.95</v>
      </c>
      <c r="J23" s="31">
        <v>0.4</v>
      </c>
      <c r="K23" s="31">
        <v>-4.38</v>
      </c>
      <c r="L23" s="31">
        <v>-0.06</v>
      </c>
      <c r="M23" s="31"/>
      <c r="N23" s="31"/>
      <c r="O23" s="31"/>
    </row>
    <row r="24" spans="1:19" s="16" customFormat="1" ht="17" hidden="1" outlineLevel="1" thickBot="1" x14ac:dyDescent="0.25">
      <c r="A24" s="1"/>
      <c r="B24" s="10" t="s">
        <v>20</v>
      </c>
      <c r="C24" s="32">
        <v>2.12</v>
      </c>
      <c r="D24" s="32">
        <v>1.99</v>
      </c>
      <c r="E24" s="32">
        <v>4.4800000000000004</v>
      </c>
      <c r="F24" s="32">
        <v>4.71</v>
      </c>
      <c r="G24" s="32">
        <v>4.9400000000000004</v>
      </c>
      <c r="H24" s="32">
        <v>4.8600000000000003</v>
      </c>
      <c r="I24" s="32">
        <v>1.94</v>
      </c>
      <c r="J24" s="32">
        <v>0.4</v>
      </c>
      <c r="K24" s="32">
        <v>-4.38</v>
      </c>
      <c r="L24" s="32">
        <v>-0.06</v>
      </c>
    </row>
    <row r="25" spans="1:19" s="16" customFormat="1" ht="17" collapsed="1" thickBot="1" x14ac:dyDescent="0.25">
      <c r="A25" s="1"/>
      <c r="B25" s="6"/>
      <c r="F25" s="6"/>
      <c r="G25" s="6"/>
      <c r="H25" s="6"/>
      <c r="I25" s="6"/>
      <c r="J25" s="6"/>
      <c r="K25" s="6"/>
    </row>
    <row r="26" spans="1:19" s="14" customFormat="1" ht="17" thickBot="1" x14ac:dyDescent="0.25">
      <c r="A26" s="4"/>
      <c r="B26" s="15" t="s">
        <v>21</v>
      </c>
    </row>
    <row r="27" spans="1:19" hidden="1" outlineLevel="1" x14ac:dyDescent="0.2">
      <c r="B27" s="9" t="s">
        <v>22</v>
      </c>
      <c r="C27" s="27">
        <v>5560</v>
      </c>
      <c r="D27" s="27">
        <v>3433</v>
      </c>
      <c r="E27" s="27">
        <v>3019</v>
      </c>
      <c r="F27" s="27">
        <v>4194</v>
      </c>
      <c r="G27" s="27">
        <v>5865</v>
      </c>
      <c r="H27" s="27">
        <v>4827</v>
      </c>
      <c r="I27" s="27">
        <v>11144</v>
      </c>
      <c r="J27" s="27">
        <v>7079</v>
      </c>
      <c r="K27" s="27">
        <v>8249</v>
      </c>
      <c r="L27" s="27">
        <v>14265</v>
      </c>
    </row>
    <row r="28" spans="1:19" hidden="1" outlineLevel="1" x14ac:dyDescent="0.2">
      <c r="B28" s="9" t="s">
        <v>130</v>
      </c>
      <c r="C28" s="27">
        <v>3225</v>
      </c>
      <c r="D28" s="27">
        <v>1814</v>
      </c>
      <c r="E28" s="27">
        <v>2788</v>
      </c>
      <c r="F28" s="27">
        <v>1082</v>
      </c>
      <c r="G28" s="27">
        <v>2292</v>
      </c>
      <c r="H28" s="27">
        <v>24426</v>
      </c>
      <c r="I28" s="27">
        <v>17194</v>
      </c>
      <c r="J28" s="27">
        <v>17955</v>
      </c>
      <c r="K28" s="27">
        <v>13813</v>
      </c>
      <c r="L28" s="27">
        <v>23151</v>
      </c>
    </row>
    <row r="29" spans="1:19" hidden="1" outlineLevel="1" x14ac:dyDescent="0.2">
      <c r="B29" s="9" t="s">
        <v>131</v>
      </c>
      <c r="C29" s="27">
        <v>8314</v>
      </c>
      <c r="D29" s="27">
        <v>8755</v>
      </c>
      <c r="E29" s="27">
        <v>5843</v>
      </c>
      <c r="F29" s="27">
        <v>7847</v>
      </c>
      <c r="G29" s="27">
        <v>15738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</row>
    <row r="30" spans="1:19" hidden="1" outlineLevel="1" x14ac:dyDescent="0.2">
      <c r="B30" s="9" t="s">
        <v>24</v>
      </c>
      <c r="C30" s="27">
        <v>4690</v>
      </c>
      <c r="D30" s="27">
        <v>5607</v>
      </c>
      <c r="E30" s="27">
        <v>6722</v>
      </c>
      <c r="F30" s="27">
        <v>7659</v>
      </c>
      <c r="G30" s="27">
        <v>6782</v>
      </c>
      <c r="H30" s="27">
        <v>9457</v>
      </c>
      <c r="I30" s="27">
        <v>4133</v>
      </c>
      <c r="J30" s="27">
        <v>3402</v>
      </c>
      <c r="K30" s="27">
        <v>3478</v>
      </c>
      <c r="L30" s="27">
        <v>3839</v>
      </c>
    </row>
    <row r="31" spans="1:19" hidden="1" outlineLevel="1" x14ac:dyDescent="0.2">
      <c r="B31" s="9" t="s">
        <v>25</v>
      </c>
      <c r="C31" s="27">
        <v>5553</v>
      </c>
      <c r="D31" s="27">
        <v>6983</v>
      </c>
      <c r="E31" s="27">
        <v>7253</v>
      </c>
      <c r="F31" s="27">
        <v>8744</v>
      </c>
      <c r="G31" s="27">
        <v>8427</v>
      </c>
      <c r="H31" s="27">
        <v>10776</v>
      </c>
      <c r="I31" s="27">
        <v>13224</v>
      </c>
      <c r="J31" s="27">
        <v>11127</v>
      </c>
      <c r="K31" s="27">
        <v>12198</v>
      </c>
      <c r="L31" s="27">
        <v>11618</v>
      </c>
    </row>
    <row r="32" spans="1:19" hidden="1" outlineLevel="1" x14ac:dyDescent="0.2">
      <c r="B32" s="9" t="s">
        <v>49</v>
      </c>
      <c r="C32" s="27">
        <v>5210</v>
      </c>
      <c r="D32" s="27">
        <v>0</v>
      </c>
      <c r="E32" s="27">
        <v>0</v>
      </c>
      <c r="F32" s="27">
        <v>0</v>
      </c>
      <c r="G32" s="27">
        <v>5400</v>
      </c>
      <c r="H32" s="27">
        <v>6942</v>
      </c>
      <c r="I32" s="27">
        <v>0</v>
      </c>
      <c r="J32" s="27">
        <v>0</v>
      </c>
      <c r="K32" s="27">
        <v>0</v>
      </c>
      <c r="L32" s="27">
        <v>0</v>
      </c>
    </row>
    <row r="33" spans="1:12" hidden="1" outlineLevel="1" x14ac:dyDescent="0.2">
      <c r="B33" s="9" t="s">
        <v>26</v>
      </c>
      <c r="C33" s="27">
        <v>2956</v>
      </c>
      <c r="D33" s="27">
        <v>2908</v>
      </c>
      <c r="E33" s="27">
        <v>3162</v>
      </c>
      <c r="F33" s="27">
        <v>1713</v>
      </c>
      <c r="G33" s="27">
        <v>2745</v>
      </c>
      <c r="H33" s="27">
        <v>2130</v>
      </c>
      <c r="I33" s="27">
        <v>4712</v>
      </c>
      <c r="J33" s="27">
        <v>3706</v>
      </c>
      <c r="K33" s="27">
        <v>9586</v>
      </c>
      <c r="L33" s="27">
        <v>10815</v>
      </c>
    </row>
    <row r="34" spans="1:12" s="61" customFormat="1" hidden="1" outlineLevel="1" x14ac:dyDescent="0.2">
      <c r="A34" s="7"/>
      <c r="B34" s="11" t="s">
        <v>27</v>
      </c>
      <c r="C34" s="64">
        <v>35508</v>
      </c>
      <c r="D34" s="64">
        <v>29500</v>
      </c>
      <c r="E34" s="64">
        <v>28787</v>
      </c>
      <c r="F34" s="64">
        <v>31239</v>
      </c>
      <c r="G34" s="64">
        <v>47249</v>
      </c>
      <c r="H34" s="64">
        <v>58558</v>
      </c>
      <c r="I34" s="64">
        <v>50407</v>
      </c>
      <c r="J34" s="64">
        <v>43269</v>
      </c>
      <c r="K34" s="64">
        <v>47324</v>
      </c>
      <c r="L34" s="64">
        <v>63688</v>
      </c>
    </row>
    <row r="35" spans="1:12" hidden="1" outlineLevel="1" x14ac:dyDescent="0.2">
      <c r="B35" s="99" t="s">
        <v>28</v>
      </c>
      <c r="C35" s="27">
        <v>36171</v>
      </c>
      <c r="D35" s="27">
        <v>41109</v>
      </c>
      <c r="E35" s="27">
        <v>48976</v>
      </c>
      <c r="F35" s="27">
        <v>55386</v>
      </c>
      <c r="G35" s="27">
        <v>56584</v>
      </c>
      <c r="H35" s="27">
        <v>63245</v>
      </c>
      <c r="I35" s="27">
        <v>80860</v>
      </c>
      <c r="J35" s="27">
        <v>96647</v>
      </c>
      <c r="K35" s="27">
        <v>107919</v>
      </c>
      <c r="L35" s="27">
        <v>105414</v>
      </c>
    </row>
    <row r="36" spans="1:12" hidden="1" outlineLevel="1" x14ac:dyDescent="0.2">
      <c r="B36" s="9" t="s">
        <v>23</v>
      </c>
      <c r="C36" s="27">
        <v>6180</v>
      </c>
      <c r="D36" s="27">
        <v>4192</v>
      </c>
      <c r="E36" s="27">
        <v>6042</v>
      </c>
      <c r="F36" s="27">
        <v>3967</v>
      </c>
      <c r="G36" s="27">
        <v>5152</v>
      </c>
      <c r="H36" s="27">
        <v>6298</v>
      </c>
      <c r="I36" s="27">
        <v>5912</v>
      </c>
      <c r="J36" s="27">
        <v>5829</v>
      </c>
      <c r="K36" s="27">
        <v>5383</v>
      </c>
      <c r="L36" s="27">
        <v>8512</v>
      </c>
    </row>
    <row r="37" spans="1:12" hidden="1" outlineLevel="1" x14ac:dyDescent="0.2">
      <c r="B37" s="9" t="s">
        <v>132</v>
      </c>
      <c r="C37" s="27">
        <v>4716</v>
      </c>
      <c r="D37" s="27">
        <v>3712</v>
      </c>
      <c r="E37" s="27">
        <v>3388</v>
      </c>
      <c r="F37" s="27">
        <v>3276</v>
      </c>
      <c r="G37" s="27">
        <v>2192</v>
      </c>
      <c r="H37" s="27">
        <v>0</v>
      </c>
      <c r="I37" s="27">
        <v>0</v>
      </c>
      <c r="J37" s="27">
        <v>0</v>
      </c>
      <c r="K37" s="27">
        <v>0</v>
      </c>
      <c r="L37" s="27">
        <v>0</v>
      </c>
    </row>
    <row r="38" spans="1:12" hidden="1" outlineLevel="1" x14ac:dyDescent="0.2">
      <c r="B38" s="9" t="s">
        <v>29</v>
      </c>
      <c r="C38" s="27">
        <v>14099</v>
      </c>
      <c r="D38" s="27">
        <v>24389</v>
      </c>
      <c r="E38" s="27">
        <v>24513</v>
      </c>
      <c r="F38" s="27">
        <v>26276</v>
      </c>
      <c r="G38" s="27">
        <v>26971</v>
      </c>
      <c r="H38" s="27">
        <v>26963</v>
      </c>
      <c r="I38" s="27">
        <v>27591</v>
      </c>
      <c r="J38" s="27">
        <v>27591</v>
      </c>
      <c r="K38" s="27">
        <v>24693</v>
      </c>
      <c r="L38" s="27">
        <v>23912</v>
      </c>
    </row>
    <row r="39" spans="1:12" hidden="1" outlineLevel="1" x14ac:dyDescent="0.2">
      <c r="B39" s="9" t="s">
        <v>133</v>
      </c>
      <c r="C39" s="27">
        <v>9494</v>
      </c>
      <c r="D39" s="27">
        <v>12745</v>
      </c>
      <c r="E39" s="27">
        <v>11836</v>
      </c>
      <c r="F39" s="27">
        <v>10827</v>
      </c>
      <c r="G39" s="27">
        <v>9026</v>
      </c>
      <c r="H39" s="27">
        <v>7270</v>
      </c>
      <c r="I39" s="27">
        <v>6018</v>
      </c>
      <c r="J39" s="27">
        <v>4589</v>
      </c>
      <c r="K39" s="27">
        <v>3691</v>
      </c>
      <c r="L39" s="27">
        <v>2772</v>
      </c>
    </row>
    <row r="40" spans="1:12" hidden="1" outlineLevel="1" x14ac:dyDescent="0.2">
      <c r="B40" s="9" t="s">
        <v>30</v>
      </c>
      <c r="C40" s="27">
        <v>7159</v>
      </c>
      <c r="D40" s="27">
        <v>7602</v>
      </c>
      <c r="E40" s="27">
        <v>4421</v>
      </c>
      <c r="F40" s="27">
        <v>5553</v>
      </c>
      <c r="G40" s="27">
        <v>5917</v>
      </c>
      <c r="H40" s="27">
        <v>6072</v>
      </c>
      <c r="I40" s="27">
        <v>11315</v>
      </c>
      <c r="J40" s="27">
        <v>13647</v>
      </c>
      <c r="K40" s="27">
        <v>7475</v>
      </c>
      <c r="L40" s="27">
        <v>7131</v>
      </c>
    </row>
    <row r="41" spans="1:12" s="61" customFormat="1" hidden="1" outlineLevel="1" x14ac:dyDescent="0.2">
      <c r="A41" s="7"/>
      <c r="B41" s="11" t="s">
        <v>31</v>
      </c>
      <c r="C41" s="65">
        <f t="shared" ref="C41:L41" si="3">SUM(C35:C40)</f>
        <v>77819</v>
      </c>
      <c r="D41" s="65">
        <f t="shared" si="3"/>
        <v>93749</v>
      </c>
      <c r="E41" s="65">
        <f t="shared" si="3"/>
        <v>99176</v>
      </c>
      <c r="F41" s="65">
        <f t="shared" si="3"/>
        <v>105285</v>
      </c>
      <c r="G41" s="65">
        <f t="shared" si="3"/>
        <v>105842</v>
      </c>
      <c r="H41" s="65">
        <f t="shared" si="3"/>
        <v>109848</v>
      </c>
      <c r="I41" s="65">
        <f t="shared" si="3"/>
        <v>131696</v>
      </c>
      <c r="J41" s="65">
        <f t="shared" si="3"/>
        <v>148303</v>
      </c>
      <c r="K41" s="65">
        <f t="shared" si="3"/>
        <v>149161</v>
      </c>
      <c r="L41" s="65">
        <f t="shared" si="3"/>
        <v>147741</v>
      </c>
    </row>
    <row r="42" spans="1:12" s="62" customFormat="1" hidden="1" outlineLevel="1" x14ac:dyDescent="0.2">
      <c r="A42" s="7"/>
      <c r="B42" s="17" t="s">
        <v>32</v>
      </c>
      <c r="C42" s="60">
        <v>113327</v>
      </c>
      <c r="D42" s="60">
        <v>123249</v>
      </c>
      <c r="E42" s="60">
        <v>127963</v>
      </c>
      <c r="F42" s="60">
        <v>136524</v>
      </c>
      <c r="G42" s="60">
        <v>153091</v>
      </c>
      <c r="H42" s="60">
        <v>168406</v>
      </c>
      <c r="I42" s="60">
        <v>182103</v>
      </c>
      <c r="J42" s="60">
        <v>191572</v>
      </c>
      <c r="K42" s="60">
        <v>196485</v>
      </c>
      <c r="L42" s="60">
        <v>211429</v>
      </c>
    </row>
    <row r="43" spans="1:12" hidden="1" outlineLevel="1" x14ac:dyDescent="0.2">
      <c r="B43" s="9" t="s">
        <v>34</v>
      </c>
      <c r="C43" s="27">
        <v>4634</v>
      </c>
      <c r="D43" s="27">
        <v>1776</v>
      </c>
      <c r="E43" s="27">
        <v>1261</v>
      </c>
      <c r="F43" s="27">
        <v>3693</v>
      </c>
      <c r="G43" s="27">
        <v>2504</v>
      </c>
      <c r="H43" s="27">
        <v>4591</v>
      </c>
      <c r="I43" s="27">
        <v>4367</v>
      </c>
      <c r="J43" s="27">
        <v>2288</v>
      </c>
      <c r="K43" s="27">
        <v>3729</v>
      </c>
      <c r="L43" s="27">
        <v>2499</v>
      </c>
    </row>
    <row r="44" spans="1:12" hidden="1" outlineLevel="1" x14ac:dyDescent="0.2">
      <c r="B44" s="9" t="s">
        <v>33</v>
      </c>
      <c r="C44" s="27">
        <v>2475</v>
      </c>
      <c r="D44" s="27">
        <v>2928</v>
      </c>
      <c r="E44" s="27">
        <v>3824</v>
      </c>
      <c r="F44" s="27">
        <v>4128</v>
      </c>
      <c r="G44" s="27">
        <v>5581</v>
      </c>
      <c r="H44" s="27">
        <v>5747</v>
      </c>
      <c r="I44" s="27">
        <v>9595</v>
      </c>
      <c r="J44" s="27">
        <v>8578</v>
      </c>
      <c r="K44" s="27">
        <v>12556</v>
      </c>
      <c r="L44" s="27">
        <v>9882</v>
      </c>
    </row>
    <row r="45" spans="1:12" hidden="1" outlineLevel="1" x14ac:dyDescent="0.2">
      <c r="B45" s="9" t="s">
        <v>134</v>
      </c>
      <c r="C45" s="27">
        <v>3465</v>
      </c>
      <c r="D45" s="27">
        <v>3526</v>
      </c>
      <c r="E45" s="27">
        <v>3622</v>
      </c>
      <c r="F45" s="27">
        <v>3853</v>
      </c>
      <c r="G45" s="27">
        <v>3999</v>
      </c>
      <c r="H45" s="27">
        <v>4535</v>
      </c>
      <c r="I45" s="27">
        <v>4084</v>
      </c>
      <c r="J45" s="27">
        <v>3655</v>
      </c>
      <c r="K45" s="27">
        <v>3343</v>
      </c>
      <c r="L45" s="27">
        <v>3990</v>
      </c>
    </row>
    <row r="46" spans="1:12" hidden="1" outlineLevel="1" x14ac:dyDescent="0.2">
      <c r="B46" s="9" t="s">
        <v>139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0</v>
      </c>
      <c r="I46" s="27">
        <v>2251</v>
      </c>
      <c r="J46" s="27">
        <v>1107</v>
      </c>
      <c r="K46" s="27">
        <v>1756</v>
      </c>
      <c r="L46" s="27">
        <v>604</v>
      </c>
    </row>
    <row r="47" spans="1:12" hidden="1" outlineLevel="1" x14ac:dyDescent="0.2">
      <c r="B47" s="9" t="s">
        <v>135</v>
      </c>
      <c r="C47" s="27">
        <v>1718</v>
      </c>
      <c r="D47" s="27">
        <v>1656</v>
      </c>
      <c r="E47" s="27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27">
        <v>0</v>
      </c>
    </row>
    <row r="48" spans="1:12" hidden="1" outlineLevel="1" x14ac:dyDescent="0.2">
      <c r="B48" s="9" t="s">
        <v>49</v>
      </c>
      <c r="C48" s="27">
        <v>1920</v>
      </c>
      <c r="D48" s="27">
        <v>0</v>
      </c>
      <c r="E48" s="27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27">
        <v>0</v>
      </c>
    </row>
    <row r="49" spans="1:12" hidden="1" outlineLevel="1" x14ac:dyDescent="0.2">
      <c r="B49" s="9" t="s">
        <v>35</v>
      </c>
      <c r="C49" s="27">
        <v>6090</v>
      </c>
      <c r="D49" s="27">
        <v>7535</v>
      </c>
      <c r="E49" s="27">
        <v>7919</v>
      </c>
      <c r="F49" s="27">
        <v>10636</v>
      </c>
      <c r="G49" s="27">
        <v>12670</v>
      </c>
      <c r="H49" s="27">
        <v>12589</v>
      </c>
      <c r="I49" s="27">
        <v>11858</v>
      </c>
      <c r="J49" s="27">
        <v>12425</v>
      </c>
      <c r="K49" s="27">
        <v>14282</v>
      </c>
      <c r="L49" s="27">
        <v>14600</v>
      </c>
    </row>
    <row r="50" spans="1:12" s="61" customFormat="1" hidden="1" outlineLevel="1" x14ac:dyDescent="0.2">
      <c r="A50" s="7"/>
      <c r="B50" s="11" t="s">
        <v>40</v>
      </c>
      <c r="C50" s="64">
        <v>20302</v>
      </c>
      <c r="D50" s="64">
        <v>17421</v>
      </c>
      <c r="E50" s="64">
        <v>16626</v>
      </c>
      <c r="F50" s="64">
        <v>22310</v>
      </c>
      <c r="G50" s="64">
        <v>24754</v>
      </c>
      <c r="H50" s="64">
        <v>27462</v>
      </c>
      <c r="I50" s="64">
        <v>32155</v>
      </c>
      <c r="J50" s="64">
        <v>28053</v>
      </c>
      <c r="K50" s="64">
        <v>35666</v>
      </c>
      <c r="L50" s="64">
        <v>31575</v>
      </c>
    </row>
    <row r="51" spans="1:12" hidden="1" outlineLevel="1" x14ac:dyDescent="0.2">
      <c r="B51" s="9" t="s">
        <v>36</v>
      </c>
      <c r="C51" s="27">
        <v>20649</v>
      </c>
      <c r="D51" s="27">
        <v>25037</v>
      </c>
      <c r="E51" s="27">
        <v>25098</v>
      </c>
      <c r="F51" s="27">
        <v>25308</v>
      </c>
      <c r="G51" s="27">
        <v>33897</v>
      </c>
      <c r="H51" s="27">
        <v>33510</v>
      </c>
      <c r="I51" s="27">
        <v>37684</v>
      </c>
      <c r="J51" s="27">
        <v>46978</v>
      </c>
      <c r="K51" s="27">
        <v>46282</v>
      </c>
      <c r="L51" s="27">
        <v>44086</v>
      </c>
    </row>
    <row r="52" spans="1:12" hidden="1" outlineLevel="1" x14ac:dyDescent="0.2">
      <c r="B52" s="9" t="s">
        <v>138</v>
      </c>
      <c r="C52" s="27">
        <v>0</v>
      </c>
      <c r="D52" s="27">
        <v>0</v>
      </c>
      <c r="E52" s="27">
        <v>2049</v>
      </c>
      <c r="F52" s="27">
        <v>1368</v>
      </c>
      <c r="G52" s="27">
        <v>1367</v>
      </c>
      <c r="H52" s="27">
        <v>185</v>
      </c>
      <c r="I52" s="27">
        <v>0</v>
      </c>
      <c r="J52" s="27">
        <v>0</v>
      </c>
      <c r="K52" s="27">
        <v>0</v>
      </c>
      <c r="L52" s="27">
        <v>0</v>
      </c>
    </row>
    <row r="53" spans="1:12" hidden="1" outlineLevel="1" x14ac:dyDescent="0.2">
      <c r="B53" s="9" t="s">
        <v>139</v>
      </c>
      <c r="C53" s="27">
        <v>0</v>
      </c>
      <c r="D53" s="27">
        <v>0</v>
      </c>
      <c r="E53" s="27">
        <v>4897</v>
      </c>
      <c r="F53" s="27">
        <v>4919</v>
      </c>
      <c r="G53" s="27">
        <v>4578</v>
      </c>
      <c r="H53" s="27">
        <v>4305</v>
      </c>
      <c r="I53" s="27">
        <v>0</v>
      </c>
      <c r="J53" s="27">
        <v>0</v>
      </c>
      <c r="K53" s="27">
        <v>0</v>
      </c>
      <c r="L53" s="27">
        <v>0</v>
      </c>
    </row>
    <row r="54" spans="1:12" hidden="1" outlineLevel="1" x14ac:dyDescent="0.2">
      <c r="B54" s="9" t="s">
        <v>136</v>
      </c>
      <c r="C54" s="27">
        <v>1730</v>
      </c>
      <c r="D54" s="27">
        <v>3046</v>
      </c>
      <c r="E54" s="27">
        <v>1665</v>
      </c>
      <c r="F54" s="27">
        <v>2044</v>
      </c>
      <c r="G54" s="27">
        <v>3843</v>
      </c>
      <c r="H54" s="27">
        <v>2667</v>
      </c>
      <c r="I54" s="27">
        <v>0</v>
      </c>
      <c r="J54" s="27">
        <v>0</v>
      </c>
      <c r="K54" s="27">
        <v>0</v>
      </c>
      <c r="L54" s="27">
        <v>0</v>
      </c>
    </row>
    <row r="55" spans="1:12" hidden="1" outlineLevel="1" x14ac:dyDescent="0.2">
      <c r="B55" s="9" t="s">
        <v>37</v>
      </c>
      <c r="C55" s="27">
        <v>3538</v>
      </c>
      <c r="D55" s="27">
        <v>7860</v>
      </c>
      <c r="E55" s="27">
        <v>2646</v>
      </c>
      <c r="F55" s="27">
        <v>2916</v>
      </c>
      <c r="G55" s="27">
        <v>3614</v>
      </c>
      <c r="H55" s="27">
        <v>4886</v>
      </c>
      <c r="I55" s="27">
        <v>8978</v>
      </c>
      <c r="J55" s="27">
        <v>6576</v>
      </c>
      <c r="K55" s="27">
        <v>9505</v>
      </c>
      <c r="L55" s="27">
        <v>9408</v>
      </c>
    </row>
    <row r="56" spans="1:12" s="61" customFormat="1" hidden="1" outlineLevel="1" x14ac:dyDescent="0.2">
      <c r="A56" s="7"/>
      <c r="B56" s="11" t="s">
        <v>38</v>
      </c>
      <c r="C56" s="65">
        <f t="shared" ref="C56:L56" si="4">SUM(C51:C55)</f>
        <v>25917</v>
      </c>
      <c r="D56" s="65">
        <f t="shared" si="4"/>
        <v>35943</v>
      </c>
      <c r="E56" s="65">
        <f t="shared" si="4"/>
        <v>36355</v>
      </c>
      <c r="F56" s="65">
        <f t="shared" si="4"/>
        <v>36555</v>
      </c>
      <c r="G56" s="65">
        <f t="shared" si="4"/>
        <v>47299</v>
      </c>
      <c r="H56" s="65">
        <f t="shared" si="4"/>
        <v>45553</v>
      </c>
      <c r="I56" s="65">
        <f t="shared" si="4"/>
        <v>46662</v>
      </c>
      <c r="J56" s="65">
        <f t="shared" si="4"/>
        <v>53554</v>
      </c>
      <c r="K56" s="65">
        <f t="shared" si="4"/>
        <v>55787</v>
      </c>
      <c r="L56" s="65">
        <f t="shared" si="4"/>
        <v>53494</v>
      </c>
    </row>
    <row r="57" spans="1:12" s="62" customFormat="1" hidden="1" outlineLevel="1" x14ac:dyDescent="0.2">
      <c r="A57" s="7"/>
      <c r="B57" s="17" t="s">
        <v>39</v>
      </c>
      <c r="C57" s="63">
        <f>C50+C56</f>
        <v>46219</v>
      </c>
      <c r="D57" s="63">
        <f t="shared" ref="D57:L57" si="5">D50+D56</f>
        <v>53364</v>
      </c>
      <c r="E57" s="63">
        <f t="shared" si="5"/>
        <v>52981</v>
      </c>
      <c r="F57" s="63">
        <f t="shared" si="5"/>
        <v>58865</v>
      </c>
      <c r="G57" s="63">
        <f t="shared" si="5"/>
        <v>72053</v>
      </c>
      <c r="H57" s="63">
        <f t="shared" si="5"/>
        <v>73015</v>
      </c>
      <c r="I57" s="63">
        <f t="shared" si="5"/>
        <v>78817</v>
      </c>
      <c r="J57" s="63">
        <f t="shared" si="5"/>
        <v>81607</v>
      </c>
      <c r="K57" s="63">
        <f t="shared" si="5"/>
        <v>91453</v>
      </c>
      <c r="L57" s="63">
        <f t="shared" si="5"/>
        <v>85069</v>
      </c>
    </row>
    <row r="58" spans="1:12" hidden="1" outlineLevel="1" x14ac:dyDescent="0.2">
      <c r="B58" s="9" t="s">
        <v>41</v>
      </c>
      <c r="C58" s="27">
        <v>0</v>
      </c>
      <c r="D58" s="27">
        <v>0</v>
      </c>
      <c r="E58" s="27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27">
        <v>0</v>
      </c>
    </row>
    <row r="59" spans="1:12" hidden="1" outlineLevel="1" x14ac:dyDescent="0.2">
      <c r="B59" s="9" t="s">
        <v>42</v>
      </c>
      <c r="C59" s="27">
        <v>25373</v>
      </c>
      <c r="D59" s="27">
        <v>26074</v>
      </c>
      <c r="E59" s="27">
        <v>25365</v>
      </c>
      <c r="F59" s="27">
        <v>25261</v>
      </c>
      <c r="G59" s="27">
        <v>25556</v>
      </c>
      <c r="H59" s="27">
        <v>28006</v>
      </c>
      <c r="I59" s="27">
        <v>31580</v>
      </c>
      <c r="J59" s="27">
        <v>36649</v>
      </c>
      <c r="K59" s="27">
        <v>50949</v>
      </c>
      <c r="L59" s="27">
        <v>65185</v>
      </c>
    </row>
    <row r="60" spans="1:12" hidden="1" outlineLevel="1" x14ac:dyDescent="0.2">
      <c r="B60" s="9" t="s">
        <v>44</v>
      </c>
      <c r="C60" s="27">
        <v>106</v>
      </c>
      <c r="D60" s="27">
        <v>862</v>
      </c>
      <c r="E60" s="27">
        <v>-974</v>
      </c>
      <c r="F60" s="27">
        <v>-1280</v>
      </c>
      <c r="G60" s="27">
        <v>-751</v>
      </c>
      <c r="H60" s="27">
        <v>-880</v>
      </c>
      <c r="I60" s="27">
        <v>-562</v>
      </c>
      <c r="J60" s="27">
        <v>-215</v>
      </c>
      <c r="K60" s="27">
        <v>-711</v>
      </c>
      <c r="L60" s="27">
        <v>113</v>
      </c>
    </row>
    <row r="61" spans="1:12" hidden="1" outlineLevel="1" x14ac:dyDescent="0.2">
      <c r="B61" s="9" t="s">
        <v>43</v>
      </c>
      <c r="C61" s="27">
        <v>40747</v>
      </c>
      <c r="D61" s="27">
        <v>42083</v>
      </c>
      <c r="E61" s="27">
        <v>50172</v>
      </c>
      <c r="F61" s="27">
        <v>53523</v>
      </c>
      <c r="G61" s="27">
        <v>56233</v>
      </c>
      <c r="H61" s="27">
        <v>68265</v>
      </c>
      <c r="I61" s="27">
        <v>70405</v>
      </c>
      <c r="J61" s="27">
        <v>69156</v>
      </c>
      <c r="K61" s="27">
        <v>49032</v>
      </c>
      <c r="L61" s="27">
        <v>48983</v>
      </c>
    </row>
    <row r="62" spans="1:12" s="61" customFormat="1" hidden="1" outlineLevel="1" x14ac:dyDescent="0.2">
      <c r="A62" s="7"/>
      <c r="B62" s="11" t="s">
        <v>45</v>
      </c>
      <c r="C62" s="64">
        <v>66226</v>
      </c>
      <c r="D62" s="64">
        <v>69019</v>
      </c>
      <c r="E62" s="64">
        <v>74563</v>
      </c>
      <c r="F62" s="64">
        <v>77504</v>
      </c>
      <c r="G62" s="64">
        <v>81038</v>
      </c>
      <c r="H62" s="64">
        <v>95391</v>
      </c>
      <c r="I62" s="64">
        <v>101423</v>
      </c>
      <c r="J62" s="64">
        <v>105590</v>
      </c>
      <c r="K62" s="64">
        <v>99270</v>
      </c>
      <c r="L62" s="64">
        <v>114281</v>
      </c>
    </row>
    <row r="63" spans="1:12" hidden="1" outlineLevel="1" x14ac:dyDescent="0.2">
      <c r="B63" s="9" t="s">
        <v>137</v>
      </c>
      <c r="C63" s="27">
        <v>882</v>
      </c>
      <c r="D63" s="27">
        <v>866</v>
      </c>
      <c r="E63" s="27">
        <v>419</v>
      </c>
      <c r="F63" s="27">
        <v>155</v>
      </c>
      <c r="G63" s="27">
        <v>0</v>
      </c>
      <c r="H63" s="27">
        <v>0</v>
      </c>
      <c r="I63" s="27">
        <v>0</v>
      </c>
      <c r="J63" s="27">
        <v>0</v>
      </c>
      <c r="K63" s="27">
        <v>0</v>
      </c>
      <c r="L63" s="27">
        <v>0</v>
      </c>
    </row>
    <row r="64" spans="1:12" hidden="1" outlineLevel="1" x14ac:dyDescent="0.2">
      <c r="B64" s="9" t="s">
        <v>140</v>
      </c>
      <c r="C64" s="36">
        <f>C62+C63</f>
        <v>67108</v>
      </c>
      <c r="D64" s="36">
        <f t="shared" ref="D64:L64" si="6">D62+D63</f>
        <v>69885</v>
      </c>
      <c r="E64" s="36">
        <f t="shared" si="6"/>
        <v>74982</v>
      </c>
      <c r="F64" s="36">
        <f t="shared" si="6"/>
        <v>77659</v>
      </c>
      <c r="G64" s="36">
        <f t="shared" si="6"/>
        <v>81038</v>
      </c>
      <c r="H64" s="36">
        <f t="shared" si="6"/>
        <v>95391</v>
      </c>
      <c r="I64" s="36">
        <f t="shared" si="6"/>
        <v>101423</v>
      </c>
      <c r="J64" s="36">
        <f t="shared" si="6"/>
        <v>105590</v>
      </c>
      <c r="K64" s="36">
        <f t="shared" si="6"/>
        <v>99270</v>
      </c>
      <c r="L64" s="36">
        <f t="shared" si="6"/>
        <v>114281</v>
      </c>
    </row>
    <row r="65" spans="1:12" hidden="1" outlineLevel="1" x14ac:dyDescent="0.2">
      <c r="B65" s="9" t="s">
        <v>141</v>
      </c>
      <c r="C65" s="27">
        <v>0</v>
      </c>
      <c r="D65" s="27">
        <v>0</v>
      </c>
      <c r="E65" s="27">
        <v>0</v>
      </c>
      <c r="F65" s="27">
        <v>0</v>
      </c>
      <c r="G65" s="27">
        <v>0</v>
      </c>
      <c r="H65" s="27">
        <v>0</v>
      </c>
      <c r="I65" s="27">
        <v>1863</v>
      </c>
      <c r="J65" s="27">
        <v>4375</v>
      </c>
      <c r="K65" s="27">
        <v>5762</v>
      </c>
      <c r="L65" s="27">
        <v>12079</v>
      </c>
    </row>
    <row r="66" spans="1:12" s="8" customFormat="1" hidden="1" outlineLevel="1" x14ac:dyDescent="0.2">
      <c r="B66" s="12" t="s">
        <v>46</v>
      </c>
      <c r="C66" s="36">
        <f>C64+C65</f>
        <v>67108</v>
      </c>
      <c r="D66" s="36">
        <f t="shared" ref="D66:L66" si="7">D64+D65</f>
        <v>69885</v>
      </c>
      <c r="E66" s="36">
        <f t="shared" si="7"/>
        <v>74982</v>
      </c>
      <c r="F66" s="36">
        <f t="shared" si="7"/>
        <v>77659</v>
      </c>
      <c r="G66" s="36">
        <f t="shared" si="7"/>
        <v>81038</v>
      </c>
      <c r="H66" s="36">
        <f t="shared" si="7"/>
        <v>95391</v>
      </c>
      <c r="I66" s="36">
        <f t="shared" si="7"/>
        <v>103286</v>
      </c>
      <c r="J66" s="36">
        <f t="shared" si="7"/>
        <v>109965</v>
      </c>
      <c r="K66" s="36">
        <f t="shared" si="7"/>
        <v>105032</v>
      </c>
      <c r="L66" s="36">
        <f t="shared" si="7"/>
        <v>126360</v>
      </c>
    </row>
    <row r="67" spans="1:12" s="66" customFormat="1" ht="17" hidden="1" outlineLevel="1" thickBot="1" x14ac:dyDescent="0.25">
      <c r="A67" s="7"/>
      <c r="B67" s="19" t="s">
        <v>47</v>
      </c>
      <c r="C67" s="67">
        <v>113327</v>
      </c>
      <c r="D67" s="67">
        <v>123249</v>
      </c>
      <c r="E67" s="67">
        <v>127963</v>
      </c>
      <c r="F67" s="67">
        <v>136524</v>
      </c>
      <c r="G67" s="67">
        <v>153091</v>
      </c>
      <c r="H67" s="67">
        <v>168406</v>
      </c>
      <c r="I67" s="67">
        <v>182103</v>
      </c>
      <c r="J67" s="67">
        <v>191572</v>
      </c>
      <c r="K67" s="67">
        <v>196485</v>
      </c>
      <c r="L67" s="67">
        <v>211429</v>
      </c>
    </row>
    <row r="68" spans="1:12" collapsed="1" x14ac:dyDescent="0.2">
      <c r="B68" s="1"/>
    </row>
    <row r="69" spans="1:12" s="14" customFormat="1" ht="17" thickBot="1" x14ac:dyDescent="0.25">
      <c r="A69" s="4"/>
      <c r="B69" s="15" t="s">
        <v>50</v>
      </c>
    </row>
    <row r="70" spans="1:12" hidden="1" outlineLevel="1" x14ac:dyDescent="0.2">
      <c r="B70" s="9" t="s">
        <v>15</v>
      </c>
      <c r="C70" s="20">
        <f t="shared" ref="C70:L70" si="8">C18</f>
        <v>10316</v>
      </c>
      <c r="D70" s="20">
        <f t="shared" si="8"/>
        <v>9601</v>
      </c>
      <c r="E70" s="20">
        <f t="shared" si="8"/>
        <v>21053</v>
      </c>
      <c r="F70" s="20">
        <f t="shared" si="8"/>
        <v>21048</v>
      </c>
      <c r="G70" s="20">
        <f t="shared" si="8"/>
        <v>20899</v>
      </c>
      <c r="H70" s="20">
        <f t="shared" si="8"/>
        <v>19868</v>
      </c>
      <c r="I70" s="20">
        <f t="shared" si="8"/>
        <v>8017</v>
      </c>
      <c r="J70" s="20">
        <f t="shared" si="8"/>
        <v>1675</v>
      </c>
      <c r="K70" s="20">
        <f t="shared" si="8"/>
        <v>-19233</v>
      </c>
      <c r="L70" s="20">
        <f t="shared" si="8"/>
        <v>26</v>
      </c>
    </row>
    <row r="71" spans="1:12" hidden="1" outlineLevel="1" x14ac:dyDescent="0.2">
      <c r="B71" s="9" t="s">
        <v>107</v>
      </c>
      <c r="C71" s="27">
        <v>6266</v>
      </c>
      <c r="D71" s="27">
        <v>6752</v>
      </c>
      <c r="E71" s="27">
        <v>7520</v>
      </c>
      <c r="F71" s="27">
        <v>9204</v>
      </c>
      <c r="G71" s="27">
        <v>10482</v>
      </c>
      <c r="H71" s="27">
        <v>9953</v>
      </c>
      <c r="I71" s="27">
        <v>11128</v>
      </c>
      <c r="J71" s="27">
        <v>7847</v>
      </c>
      <c r="K71" s="27">
        <v>9951</v>
      </c>
      <c r="L71" s="27">
        <v>10757</v>
      </c>
    </row>
    <row r="72" spans="1:12" hidden="1" outlineLevel="1" x14ac:dyDescent="0.2">
      <c r="B72" s="9" t="s">
        <v>65</v>
      </c>
      <c r="C72" s="27">
        <v>1444</v>
      </c>
      <c r="D72" s="27">
        <v>1358</v>
      </c>
      <c r="E72" s="27">
        <v>1546</v>
      </c>
      <c r="F72" s="27">
        <v>1705</v>
      </c>
      <c r="G72" s="27">
        <v>1854</v>
      </c>
      <c r="H72" s="27">
        <v>2036</v>
      </c>
      <c r="I72" s="27">
        <v>3128</v>
      </c>
      <c r="J72" s="27">
        <v>3229</v>
      </c>
      <c r="K72" s="27">
        <v>3410</v>
      </c>
      <c r="L72" s="27">
        <v>2434</v>
      </c>
    </row>
    <row r="73" spans="1:12" hidden="1" outlineLevel="1" x14ac:dyDescent="0.2">
      <c r="B73" s="12" t="s">
        <v>108</v>
      </c>
      <c r="C73" s="27">
        <v>1524</v>
      </c>
      <c r="D73" s="27">
        <v>1377</v>
      </c>
      <c r="E73" s="27">
        <v>1565</v>
      </c>
      <c r="F73" s="27">
        <v>1622</v>
      </c>
      <c r="G73" s="27">
        <v>1757</v>
      </c>
      <c r="H73" s="27">
        <v>1839</v>
      </c>
      <c r="I73" s="27">
        <v>1907</v>
      </c>
      <c r="J73" s="27">
        <v>1755</v>
      </c>
      <c r="K73" s="27">
        <v>1428</v>
      </c>
      <c r="L73" s="27">
        <v>949</v>
      </c>
    </row>
    <row r="74" spans="1:12" hidden="1" outlineLevel="1" x14ac:dyDescent="0.2">
      <c r="B74" s="9" t="s">
        <v>51</v>
      </c>
      <c r="C74" s="27">
        <v>-432</v>
      </c>
      <c r="D74" s="27">
        <v>-2583</v>
      </c>
      <c r="E74" s="27">
        <v>155</v>
      </c>
      <c r="F74" s="27">
        <v>-892</v>
      </c>
      <c r="G74" s="27">
        <v>-1757</v>
      </c>
      <c r="H74" s="27">
        <v>-1458</v>
      </c>
      <c r="I74" s="27">
        <v>-4254</v>
      </c>
      <c r="J74" s="27">
        <v>-42</v>
      </c>
      <c r="K74" s="27">
        <v>-246</v>
      </c>
      <c r="L74" s="27">
        <v>-514</v>
      </c>
    </row>
    <row r="75" spans="1:12" hidden="1" outlineLevel="1" x14ac:dyDescent="0.2">
      <c r="B75" s="9" t="s">
        <v>142</v>
      </c>
      <c r="C75" s="27">
        <v>0</v>
      </c>
      <c r="D75" s="27">
        <v>476</v>
      </c>
      <c r="E75" s="27">
        <v>260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</row>
    <row r="76" spans="1:12" hidden="1" outlineLevel="1" x14ac:dyDescent="0.2">
      <c r="B76" s="9" t="s">
        <v>180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1796</v>
      </c>
    </row>
    <row r="77" spans="1:12" hidden="1" outlineLevel="1" x14ac:dyDescent="0.2">
      <c r="B77" s="9" t="s">
        <v>143</v>
      </c>
      <c r="C77" s="27">
        <v>0</v>
      </c>
      <c r="D77" s="27">
        <v>-387</v>
      </c>
      <c r="E77" s="27">
        <v>-497</v>
      </c>
      <c r="F77" s="27">
        <v>0</v>
      </c>
      <c r="G77" s="27">
        <v>0</v>
      </c>
      <c r="H77" s="27">
        <v>0</v>
      </c>
      <c r="I77" s="27">
        <v>-1059</v>
      </c>
      <c r="J77" s="27">
        <v>0</v>
      </c>
      <c r="K77" s="27">
        <v>0</v>
      </c>
      <c r="L77" s="27">
        <v>-5323</v>
      </c>
    </row>
    <row r="78" spans="1:12" hidden="1" outlineLevel="1" x14ac:dyDescent="0.2">
      <c r="B78" s="9" t="s">
        <v>144</v>
      </c>
      <c r="C78" s="27">
        <v>257</v>
      </c>
      <c r="D78" s="27">
        <v>1548</v>
      </c>
      <c r="E78" s="27">
        <v>-1749</v>
      </c>
      <c r="F78" s="27">
        <v>0</v>
      </c>
      <c r="G78" s="27">
        <v>0</v>
      </c>
      <c r="H78" s="27">
        <v>0</v>
      </c>
      <c r="I78" s="27">
        <v>-5148</v>
      </c>
      <c r="J78" s="27">
        <v>-2033</v>
      </c>
      <c r="K78" s="27">
        <v>6132</v>
      </c>
      <c r="L78" s="27">
        <v>328</v>
      </c>
    </row>
    <row r="79" spans="1:12" hidden="1" outlineLevel="1" x14ac:dyDescent="0.2">
      <c r="B79" s="9" t="s">
        <v>164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301</v>
      </c>
      <c r="J79" s="27">
        <v>33</v>
      </c>
      <c r="K79" s="27">
        <v>2252</v>
      </c>
      <c r="L79" s="27">
        <v>515</v>
      </c>
    </row>
    <row r="80" spans="1:12" hidden="1" outlineLevel="1" x14ac:dyDescent="0.2">
      <c r="B80" s="9" t="s">
        <v>179</v>
      </c>
      <c r="C80" s="27">
        <v>0</v>
      </c>
      <c r="D80" s="27">
        <v>0</v>
      </c>
      <c r="E80" s="27">
        <v>0</v>
      </c>
      <c r="F80" s="27">
        <v>393</v>
      </c>
      <c r="G80" s="27">
        <v>198</v>
      </c>
      <c r="H80" s="27">
        <v>2626</v>
      </c>
      <c r="I80" s="27">
        <v>1074</v>
      </c>
      <c r="J80" s="27">
        <v>-424</v>
      </c>
      <c r="K80" s="27">
        <v>3491</v>
      </c>
      <c r="L80" s="27">
        <v>476</v>
      </c>
    </row>
    <row r="81" spans="1:12" hidden="1" outlineLevel="1" x14ac:dyDescent="0.2">
      <c r="B81" s="9" t="s">
        <v>53</v>
      </c>
      <c r="C81" s="27">
        <v>65</v>
      </c>
      <c r="D81" s="27">
        <v>-781</v>
      </c>
      <c r="E81" s="27">
        <v>-1714</v>
      </c>
      <c r="F81" s="27">
        <v>-935</v>
      </c>
      <c r="G81" s="27">
        <v>883</v>
      </c>
      <c r="H81" s="27">
        <v>-2674</v>
      </c>
      <c r="I81" s="27">
        <v>5327</v>
      </c>
      <c r="J81" s="27">
        <v>731</v>
      </c>
      <c r="K81" s="27">
        <v>-75</v>
      </c>
      <c r="L81" s="27">
        <v>-449</v>
      </c>
    </row>
    <row r="82" spans="1:12" hidden="1" outlineLevel="1" x14ac:dyDescent="0.2">
      <c r="B82" s="9" t="s">
        <v>54</v>
      </c>
      <c r="C82" s="27">
        <v>119</v>
      </c>
      <c r="D82" s="27">
        <v>-1300</v>
      </c>
      <c r="E82" s="27">
        <v>-214</v>
      </c>
      <c r="F82" s="27">
        <v>-1481</v>
      </c>
      <c r="G82" s="27">
        <v>-687</v>
      </c>
      <c r="H82" s="27">
        <v>-2339</v>
      </c>
      <c r="I82" s="27">
        <v>-2436</v>
      </c>
      <c r="J82" s="27">
        <v>2097</v>
      </c>
      <c r="K82" s="27">
        <v>-1105</v>
      </c>
      <c r="L82" s="27">
        <v>-138</v>
      </c>
    </row>
    <row r="83" spans="1:12" hidden="1" outlineLevel="1" x14ac:dyDescent="0.2">
      <c r="B83" s="9" t="s">
        <v>55</v>
      </c>
      <c r="C83" s="27">
        <v>182</v>
      </c>
      <c r="D83" s="27">
        <v>191</v>
      </c>
      <c r="E83" s="27">
        <v>211</v>
      </c>
      <c r="F83" s="27">
        <v>696</v>
      </c>
      <c r="G83" s="27">
        <v>405</v>
      </c>
      <c r="H83" s="27">
        <v>1190</v>
      </c>
      <c r="I83" s="27">
        <v>-29</v>
      </c>
      <c r="J83" s="27">
        <v>-801</v>
      </c>
      <c r="K83" s="27">
        <v>634</v>
      </c>
      <c r="L83" s="27">
        <v>297</v>
      </c>
    </row>
    <row r="84" spans="1:12" hidden="1" outlineLevel="1" x14ac:dyDescent="0.2">
      <c r="B84" s="9" t="s">
        <v>145</v>
      </c>
      <c r="C84" s="27">
        <v>291</v>
      </c>
      <c r="D84" s="27">
        <v>311</v>
      </c>
      <c r="E84" s="27">
        <v>-260</v>
      </c>
      <c r="F84" s="27">
        <v>-260</v>
      </c>
      <c r="G84" s="27">
        <v>348</v>
      </c>
      <c r="H84" s="27">
        <v>515</v>
      </c>
      <c r="I84" s="27">
        <v>-1533</v>
      </c>
      <c r="J84" s="27">
        <v>-614</v>
      </c>
      <c r="K84" s="27">
        <v>-218</v>
      </c>
      <c r="L84" s="27">
        <v>788</v>
      </c>
    </row>
    <row r="85" spans="1:12" hidden="1" outlineLevel="1" x14ac:dyDescent="0.2">
      <c r="B85" s="9" t="s">
        <v>146</v>
      </c>
      <c r="C85" s="27">
        <v>0</v>
      </c>
      <c r="D85" s="27">
        <v>1105</v>
      </c>
      <c r="E85" s="27">
        <v>1367</v>
      </c>
      <c r="F85" s="27">
        <v>-782</v>
      </c>
      <c r="G85" s="27">
        <v>-181</v>
      </c>
      <c r="H85" s="27">
        <v>-1583</v>
      </c>
      <c r="I85" s="27">
        <v>0</v>
      </c>
      <c r="J85" s="27">
        <v>0</v>
      </c>
      <c r="K85" s="27">
        <v>0</v>
      </c>
      <c r="L85" s="27">
        <v>0</v>
      </c>
    </row>
    <row r="86" spans="1:12" hidden="1" outlineLevel="1" x14ac:dyDescent="0.2">
      <c r="B86" s="9" t="s">
        <v>147</v>
      </c>
      <c r="C86" s="27">
        <v>1382</v>
      </c>
      <c r="D86" s="27">
        <v>5230</v>
      </c>
      <c r="E86" s="27">
        <v>148</v>
      </c>
      <c r="F86" s="27">
        <v>885</v>
      </c>
      <c r="G86" s="27">
        <v>1620</v>
      </c>
      <c r="H86" s="27">
        <v>-441</v>
      </c>
      <c r="I86" s="27">
        <v>613</v>
      </c>
      <c r="J86" s="27">
        <v>-1498</v>
      </c>
      <c r="K86" s="27">
        <v>-356</v>
      </c>
      <c r="L86" s="27">
        <v>-995</v>
      </c>
    </row>
    <row r="87" spans="1:12" hidden="1" outlineLevel="1" x14ac:dyDescent="0.2">
      <c r="B87" s="9" t="s">
        <v>148</v>
      </c>
      <c r="C87" s="27">
        <v>394</v>
      </c>
      <c r="D87" s="27">
        <v>-788</v>
      </c>
      <c r="E87" s="27">
        <v>41</v>
      </c>
      <c r="F87" s="27">
        <v>1942</v>
      </c>
      <c r="G87" s="27">
        <v>-437</v>
      </c>
      <c r="H87" s="27">
        <v>459</v>
      </c>
      <c r="I87" s="27">
        <v>-1603</v>
      </c>
      <c r="J87" s="27">
        <v>-484</v>
      </c>
      <c r="K87" s="27">
        <v>2223</v>
      </c>
      <c r="L87" s="27">
        <v>-1250</v>
      </c>
    </row>
    <row r="88" spans="1:12" s="62" customFormat="1" hidden="1" outlineLevel="1" x14ac:dyDescent="0.2">
      <c r="A88" s="7"/>
      <c r="B88" s="17" t="s">
        <v>56</v>
      </c>
      <c r="C88" s="60">
        <v>21808</v>
      </c>
      <c r="D88" s="60">
        <v>22110</v>
      </c>
      <c r="E88" s="60">
        <v>29432</v>
      </c>
      <c r="F88" s="60">
        <v>33145</v>
      </c>
      <c r="G88" s="60">
        <v>35384</v>
      </c>
      <c r="H88" s="60">
        <v>29991</v>
      </c>
      <c r="I88" s="60">
        <v>15433</v>
      </c>
      <c r="J88" s="60">
        <v>11471</v>
      </c>
      <c r="K88" s="60">
        <v>8288</v>
      </c>
      <c r="L88" s="60">
        <v>9697</v>
      </c>
    </row>
    <row r="89" spans="1:12" hidden="1" outlineLevel="1" x14ac:dyDescent="0.2">
      <c r="B89" s="9" t="s">
        <v>57</v>
      </c>
      <c r="C89" s="27">
        <v>-9625</v>
      </c>
      <c r="D89" s="27">
        <v>-11778</v>
      </c>
      <c r="E89" s="27">
        <v>-15181</v>
      </c>
      <c r="F89" s="27">
        <v>-16213</v>
      </c>
      <c r="G89" s="27">
        <v>-14453</v>
      </c>
      <c r="H89" s="27">
        <v>-20329</v>
      </c>
      <c r="I89" s="27">
        <v>-24844</v>
      </c>
      <c r="J89" s="27">
        <v>-25750</v>
      </c>
      <c r="K89" s="27">
        <v>-23944</v>
      </c>
      <c r="L89" s="27">
        <v>-14646</v>
      </c>
    </row>
    <row r="90" spans="1:12" hidden="1" outlineLevel="1" x14ac:dyDescent="0.2">
      <c r="B90" s="9" t="s">
        <v>149</v>
      </c>
      <c r="C90" s="27">
        <v>-15470</v>
      </c>
      <c r="D90" s="27">
        <v>-14499</v>
      </c>
      <c r="E90" s="27">
        <v>-190</v>
      </c>
      <c r="F90" s="27">
        <v>-1958</v>
      </c>
      <c r="G90" s="27">
        <v>-837</v>
      </c>
      <c r="H90" s="27">
        <v>-209</v>
      </c>
      <c r="I90" s="27">
        <v>-681</v>
      </c>
      <c r="J90" s="27">
        <v>-13</v>
      </c>
      <c r="K90" s="27">
        <v>-82</v>
      </c>
      <c r="L90" s="27">
        <v>0</v>
      </c>
    </row>
    <row r="91" spans="1:12" hidden="1" outlineLevel="1" x14ac:dyDescent="0.2">
      <c r="B91" s="9" t="s">
        <v>165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246</v>
      </c>
      <c r="J91" s="27">
        <v>1011</v>
      </c>
      <c r="K91" s="27">
        <v>1936</v>
      </c>
      <c r="L91" s="27">
        <v>1577</v>
      </c>
    </row>
    <row r="92" spans="1:12" hidden="1" outlineLevel="1" x14ac:dyDescent="0.2">
      <c r="B92" s="9" t="s">
        <v>150</v>
      </c>
      <c r="C92" s="27">
        <v>-9269</v>
      </c>
      <c r="D92" s="27">
        <v>-2746</v>
      </c>
      <c r="E92" s="27">
        <v>-3843</v>
      </c>
      <c r="F92" s="27">
        <v>-2268</v>
      </c>
      <c r="G92" s="27">
        <v>-6862</v>
      </c>
      <c r="H92" s="27">
        <v>-5051</v>
      </c>
      <c r="I92" s="27">
        <v>-43647</v>
      </c>
      <c r="J92" s="27">
        <v>-44414</v>
      </c>
      <c r="K92" s="27">
        <v>-37940</v>
      </c>
      <c r="L92" s="27">
        <v>-24319</v>
      </c>
    </row>
    <row r="93" spans="1:12" hidden="1" outlineLevel="1" x14ac:dyDescent="0.2">
      <c r="B93" s="9" t="s">
        <v>151</v>
      </c>
      <c r="C93" s="27">
        <v>2847</v>
      </c>
      <c r="D93" s="27">
        <v>1833</v>
      </c>
      <c r="E93" s="27">
        <v>195</v>
      </c>
      <c r="F93" s="27">
        <v>4226</v>
      </c>
      <c r="G93" s="27">
        <v>6781</v>
      </c>
      <c r="H93" s="27">
        <v>6467</v>
      </c>
      <c r="I93" s="27">
        <v>48730</v>
      </c>
      <c r="J93" s="27">
        <v>44077</v>
      </c>
      <c r="K93" s="27">
        <v>41463</v>
      </c>
      <c r="L93" s="27">
        <v>15387</v>
      </c>
    </row>
    <row r="94" spans="1:12" hidden="1" outlineLevel="1" x14ac:dyDescent="0.2">
      <c r="B94" s="9" t="s">
        <v>152</v>
      </c>
      <c r="C94" s="27">
        <v>5654</v>
      </c>
      <c r="D94" s="27">
        <v>3687</v>
      </c>
      <c r="E94" s="27">
        <v>2968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hidden="1" outlineLevel="1" x14ac:dyDescent="0.2">
      <c r="B95" s="9" t="s">
        <v>153</v>
      </c>
      <c r="C95" s="27">
        <v>-12237</v>
      </c>
      <c r="D95" s="27">
        <v>-13700</v>
      </c>
      <c r="E95" s="27">
        <v>-9503</v>
      </c>
      <c r="F95" s="27">
        <v>-9162</v>
      </c>
      <c r="G95" s="27">
        <v>-22377</v>
      </c>
      <c r="H95" s="27">
        <v>-35503</v>
      </c>
      <c r="I95" s="27">
        <v>0</v>
      </c>
      <c r="J95" s="27">
        <v>0</v>
      </c>
      <c r="K95" s="27">
        <v>0</v>
      </c>
      <c r="L95" s="27">
        <v>0</v>
      </c>
    </row>
    <row r="96" spans="1:12" hidden="1" outlineLevel="1" x14ac:dyDescent="0.2">
      <c r="B96" s="9" t="s">
        <v>154</v>
      </c>
      <c r="C96" s="27">
        <v>10898</v>
      </c>
      <c r="D96" s="27">
        <v>13970</v>
      </c>
      <c r="E96" s="27">
        <v>12111</v>
      </c>
      <c r="F96" s="27">
        <v>7178</v>
      </c>
      <c r="G96" s="27">
        <v>15377</v>
      </c>
      <c r="H96" s="27">
        <v>28832</v>
      </c>
      <c r="I96" s="27">
        <v>0</v>
      </c>
      <c r="J96" s="27">
        <v>0</v>
      </c>
      <c r="K96" s="27">
        <v>0</v>
      </c>
      <c r="L96" s="27">
        <v>0</v>
      </c>
    </row>
    <row r="97" spans="1:12" hidden="1" outlineLevel="1" x14ac:dyDescent="0.2">
      <c r="B97" s="9" t="s">
        <v>155</v>
      </c>
      <c r="C97" s="27">
        <v>-963</v>
      </c>
      <c r="D97" s="27">
        <v>-1619</v>
      </c>
      <c r="E97" s="27">
        <v>-874</v>
      </c>
      <c r="F97" s="27">
        <v>-522</v>
      </c>
      <c r="G97" s="27">
        <v>-720</v>
      </c>
      <c r="H97" s="27">
        <v>-613</v>
      </c>
      <c r="I97" s="27">
        <v>0</v>
      </c>
      <c r="J97" s="27">
        <v>0</v>
      </c>
      <c r="K97" s="27">
        <v>0</v>
      </c>
      <c r="L97" s="27">
        <v>0</v>
      </c>
    </row>
    <row r="98" spans="1:12" hidden="1" outlineLevel="1" x14ac:dyDescent="0.2">
      <c r="B98" s="9" t="s">
        <v>156</v>
      </c>
      <c r="C98" s="27">
        <v>1080</v>
      </c>
      <c r="D98" s="27">
        <v>5236</v>
      </c>
      <c r="E98" s="27">
        <v>2802</v>
      </c>
      <c r="F98" s="27">
        <v>2688</v>
      </c>
      <c r="G98" s="27">
        <v>910</v>
      </c>
      <c r="H98" s="27">
        <v>581</v>
      </c>
      <c r="I98" s="27">
        <v>4961</v>
      </c>
      <c r="J98" s="27">
        <v>472</v>
      </c>
      <c r="K98" s="27">
        <v>1047</v>
      </c>
      <c r="L98" s="27">
        <v>671</v>
      </c>
    </row>
    <row r="99" spans="1:12" hidden="1" outlineLevel="1" x14ac:dyDescent="0.2">
      <c r="B99" s="9" t="s">
        <v>157</v>
      </c>
      <c r="C99" s="27">
        <v>0</v>
      </c>
      <c r="D99" s="27">
        <v>3124</v>
      </c>
      <c r="E99" s="27">
        <v>548</v>
      </c>
      <c r="F99" s="27">
        <v>0</v>
      </c>
      <c r="G99" s="27">
        <v>0</v>
      </c>
      <c r="H99" s="27">
        <v>0</v>
      </c>
      <c r="I99" s="27">
        <v>6579</v>
      </c>
      <c r="J99" s="27">
        <v>0</v>
      </c>
      <c r="K99" s="27">
        <v>0</v>
      </c>
      <c r="L99" s="27">
        <v>6157</v>
      </c>
    </row>
    <row r="100" spans="1:12" hidden="1" outlineLevel="1" x14ac:dyDescent="0.2">
      <c r="B100" s="12" t="s">
        <v>158</v>
      </c>
      <c r="C100" s="27">
        <v>1268</v>
      </c>
      <c r="D100" s="27">
        <v>730</v>
      </c>
      <c r="E100" s="27">
        <v>-272</v>
      </c>
      <c r="F100" s="27">
        <v>1626</v>
      </c>
      <c r="G100" s="27">
        <v>1385</v>
      </c>
      <c r="H100" s="27">
        <v>658</v>
      </c>
      <c r="I100" s="27">
        <v>-1575</v>
      </c>
      <c r="J100" s="27">
        <v>576</v>
      </c>
      <c r="K100" s="27">
        <v>-736</v>
      </c>
      <c r="L100" s="27">
        <v>352</v>
      </c>
    </row>
    <row r="101" spans="1:12" s="62" customFormat="1" hidden="1" outlineLevel="1" x14ac:dyDescent="0.2">
      <c r="A101" s="7"/>
      <c r="B101" s="17" t="s">
        <v>58</v>
      </c>
      <c r="C101" s="60">
        <v>-25817</v>
      </c>
      <c r="D101" s="60">
        <v>-15762</v>
      </c>
      <c r="E101" s="60">
        <v>-11239</v>
      </c>
      <c r="F101" s="60">
        <v>-14405</v>
      </c>
      <c r="G101" s="60">
        <v>-20796</v>
      </c>
      <c r="H101" s="60">
        <v>-25167</v>
      </c>
      <c r="I101" s="60">
        <v>-10231</v>
      </c>
      <c r="J101" s="60">
        <v>-24041</v>
      </c>
      <c r="K101" s="60">
        <v>-18256</v>
      </c>
      <c r="L101" s="60">
        <v>-14821</v>
      </c>
    </row>
    <row r="102" spans="1:12" hidden="1" outlineLevel="1" x14ac:dyDescent="0.2">
      <c r="B102" s="9" t="s">
        <v>159</v>
      </c>
      <c r="C102" s="27">
        <v>-15</v>
      </c>
      <c r="D102" s="27">
        <v>12</v>
      </c>
      <c r="E102" s="27">
        <v>460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27">
        <v>0</v>
      </c>
    </row>
    <row r="103" spans="1:12" hidden="1" outlineLevel="1" x14ac:dyDescent="0.2">
      <c r="B103" s="9" t="s">
        <v>166</v>
      </c>
      <c r="C103" s="27">
        <v>0</v>
      </c>
      <c r="D103" s="27">
        <v>0</v>
      </c>
      <c r="E103" s="27">
        <v>0</v>
      </c>
      <c r="F103" s="27">
        <v>0</v>
      </c>
      <c r="G103" s="27">
        <v>0</v>
      </c>
      <c r="H103" s="27">
        <v>0</v>
      </c>
      <c r="I103" s="27">
        <v>3945</v>
      </c>
      <c r="J103" s="27">
        <v>0</v>
      </c>
      <c r="K103" s="27">
        <v>7349</v>
      </c>
      <c r="L103" s="27">
        <v>3493</v>
      </c>
    </row>
    <row r="104" spans="1:12" hidden="1" outlineLevel="1" x14ac:dyDescent="0.2">
      <c r="B104" s="9" t="s">
        <v>167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0</v>
      </c>
      <c r="I104" s="27">
        <v>0</v>
      </c>
      <c r="J104" s="27">
        <v>-3944</v>
      </c>
      <c r="K104" s="27">
        <v>-7349</v>
      </c>
      <c r="L104" s="27">
        <v>-3493</v>
      </c>
    </row>
    <row r="105" spans="1:12" hidden="1" outlineLevel="1" x14ac:dyDescent="0.2">
      <c r="B105" s="9" t="s">
        <v>168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874</v>
      </c>
      <c r="J105" s="27">
        <v>1511</v>
      </c>
      <c r="K105" s="27">
        <v>12714</v>
      </c>
      <c r="L105" s="27">
        <v>5108</v>
      </c>
    </row>
    <row r="106" spans="1:12" hidden="1" outlineLevel="1" x14ac:dyDescent="0.2">
      <c r="B106" s="9" t="s">
        <v>169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0</v>
      </c>
      <c r="I106" s="27">
        <v>1032</v>
      </c>
      <c r="J106" s="27">
        <v>2959</v>
      </c>
      <c r="K106" s="27">
        <v>0</v>
      </c>
      <c r="L106" s="27">
        <v>921</v>
      </c>
    </row>
    <row r="107" spans="1:12" hidden="1" outlineLevel="1" x14ac:dyDescent="0.2">
      <c r="B107" s="9" t="s">
        <v>170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-1178</v>
      </c>
      <c r="L107" s="27">
        <v>-3026</v>
      </c>
    </row>
    <row r="108" spans="1:12" hidden="1" outlineLevel="1" x14ac:dyDescent="0.2">
      <c r="B108" s="9" t="s">
        <v>160</v>
      </c>
      <c r="C108" s="27">
        <v>2734</v>
      </c>
      <c r="D108" s="27">
        <v>7716</v>
      </c>
      <c r="E108" s="27">
        <v>423</v>
      </c>
      <c r="F108" s="27">
        <v>3392</v>
      </c>
      <c r="G108" s="27">
        <v>10247</v>
      </c>
      <c r="H108" s="27">
        <v>4974</v>
      </c>
      <c r="I108" s="27">
        <v>6548</v>
      </c>
      <c r="J108" s="27">
        <v>11391</v>
      </c>
      <c r="K108" s="27">
        <v>2975</v>
      </c>
      <c r="L108" s="27">
        <v>0</v>
      </c>
    </row>
    <row r="109" spans="1:12" hidden="1" outlineLevel="1" x14ac:dyDescent="0.2">
      <c r="B109" s="9" t="s">
        <v>161</v>
      </c>
      <c r="C109" s="27">
        <v>-1500</v>
      </c>
      <c r="D109" s="27">
        <v>-8080</v>
      </c>
      <c r="E109" s="27">
        <v>-3026</v>
      </c>
      <c r="F109" s="27">
        <v>-2627</v>
      </c>
      <c r="G109" s="27">
        <v>-4525</v>
      </c>
      <c r="H109" s="27">
        <v>-2500</v>
      </c>
      <c r="I109" s="27">
        <v>-4984</v>
      </c>
      <c r="J109" s="27">
        <v>-423</v>
      </c>
      <c r="K109" s="27">
        <v>-2288</v>
      </c>
      <c r="L109" s="27">
        <v>-3750</v>
      </c>
    </row>
    <row r="110" spans="1:12" hidden="1" outlineLevel="1" x14ac:dyDescent="0.2">
      <c r="B110" s="9" t="s">
        <v>162</v>
      </c>
      <c r="C110" s="27">
        <v>1108</v>
      </c>
      <c r="D110" s="27">
        <v>770</v>
      </c>
      <c r="E110" s="27">
        <v>555</v>
      </c>
      <c r="F110" s="27">
        <v>750</v>
      </c>
      <c r="G110" s="27">
        <v>897</v>
      </c>
      <c r="H110" s="27">
        <v>1020</v>
      </c>
      <c r="I110" s="27">
        <v>977</v>
      </c>
      <c r="J110" s="27">
        <v>1042</v>
      </c>
      <c r="K110" s="27">
        <v>987</v>
      </c>
      <c r="L110" s="27">
        <v>771</v>
      </c>
    </row>
    <row r="111" spans="1:12" hidden="1" outlineLevel="1" x14ac:dyDescent="0.2">
      <c r="B111" s="9" t="s">
        <v>171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-486</v>
      </c>
      <c r="J111" s="27">
        <v>-534</v>
      </c>
      <c r="K111" s="27">
        <v>-631</v>
      </c>
      <c r="L111" s="27">
        <v>-423</v>
      </c>
    </row>
    <row r="112" spans="1:12" hidden="1" outlineLevel="1" x14ac:dyDescent="0.2">
      <c r="B112" s="9" t="s">
        <v>181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12706</v>
      </c>
    </row>
    <row r="113" spans="1:12" hidden="1" outlineLevel="1" x14ac:dyDescent="0.2">
      <c r="B113" s="9" t="s">
        <v>163</v>
      </c>
      <c r="C113" s="27">
        <v>-2587</v>
      </c>
      <c r="D113" s="27">
        <v>-3615</v>
      </c>
      <c r="E113" s="27">
        <v>-10730</v>
      </c>
      <c r="F113" s="27">
        <v>-13576</v>
      </c>
      <c r="G113" s="27">
        <v>-14229</v>
      </c>
      <c r="H113" s="27">
        <v>-2415</v>
      </c>
      <c r="I113" s="27">
        <v>0</v>
      </c>
      <c r="J113" s="27">
        <v>0</v>
      </c>
      <c r="K113" s="27">
        <v>0</v>
      </c>
      <c r="L113" s="27">
        <v>0</v>
      </c>
    </row>
    <row r="114" spans="1:12" hidden="1" outlineLevel="1" x14ac:dyDescent="0.2">
      <c r="B114" s="9" t="s">
        <v>59</v>
      </c>
      <c r="C114" s="27">
        <v>-4925</v>
      </c>
      <c r="D114" s="27">
        <v>-5072</v>
      </c>
      <c r="E114" s="27">
        <v>-5541</v>
      </c>
      <c r="F114" s="27">
        <v>-5576</v>
      </c>
      <c r="G114" s="27">
        <v>-5568</v>
      </c>
      <c r="H114" s="27">
        <v>-5644</v>
      </c>
      <c r="I114" s="27">
        <v>-5997</v>
      </c>
      <c r="J114" s="27">
        <v>-3088</v>
      </c>
      <c r="K114" s="27">
        <v>-1599</v>
      </c>
      <c r="L114" s="27">
        <v>0</v>
      </c>
    </row>
    <row r="115" spans="1:12" hidden="1" outlineLevel="1" x14ac:dyDescent="0.2">
      <c r="B115" s="9" t="s">
        <v>52</v>
      </c>
      <c r="C115" s="27">
        <v>-554</v>
      </c>
      <c r="D115" s="27">
        <v>-206</v>
      </c>
      <c r="E115" s="27">
        <v>-748</v>
      </c>
      <c r="F115" s="27">
        <v>72</v>
      </c>
      <c r="G115" s="27">
        <v>261</v>
      </c>
      <c r="H115" s="27">
        <v>-1297</v>
      </c>
      <c r="I115" s="27">
        <v>-794</v>
      </c>
      <c r="J115" s="27">
        <v>-409</v>
      </c>
      <c r="K115" s="27">
        <v>158</v>
      </c>
      <c r="L115" s="27">
        <v>-720</v>
      </c>
    </row>
    <row r="116" spans="1:12" s="62" customFormat="1" hidden="1" outlineLevel="1" x14ac:dyDescent="0.2">
      <c r="A116" s="7"/>
      <c r="B116" s="17" t="s">
        <v>60</v>
      </c>
      <c r="C116" s="60">
        <v>-5739</v>
      </c>
      <c r="D116" s="60">
        <v>-8475</v>
      </c>
      <c r="E116" s="60">
        <v>-18607</v>
      </c>
      <c r="F116" s="60">
        <v>-17565</v>
      </c>
      <c r="G116" s="60">
        <v>-12917</v>
      </c>
      <c r="H116" s="60">
        <v>-5862</v>
      </c>
      <c r="I116" s="60">
        <v>1115</v>
      </c>
      <c r="J116" s="60">
        <v>8505</v>
      </c>
      <c r="K116" s="60">
        <v>11138</v>
      </c>
      <c r="L116" s="60">
        <v>11587</v>
      </c>
    </row>
    <row r="117" spans="1:12" hidden="1" outlineLevel="1" x14ac:dyDescent="0.2">
      <c r="B117" s="9" t="s">
        <v>61</v>
      </c>
      <c r="C117" s="27">
        <v>0</v>
      </c>
      <c r="D117" s="27">
        <v>0</v>
      </c>
      <c r="E117" s="27">
        <v>0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27">
        <v>0</v>
      </c>
    </row>
    <row r="118" spans="1:12" s="61" customFormat="1" hidden="1" outlineLevel="1" x14ac:dyDescent="0.2">
      <c r="A118" s="7"/>
      <c r="B118" s="11" t="s">
        <v>62</v>
      </c>
      <c r="C118" s="64">
        <v>-9748</v>
      </c>
      <c r="D118" s="64">
        <v>-2127</v>
      </c>
      <c r="E118" s="64">
        <v>-414</v>
      </c>
      <c r="F118" s="64">
        <v>1175</v>
      </c>
      <c r="G118" s="64">
        <v>1671</v>
      </c>
      <c r="H118" s="64">
        <v>-1038</v>
      </c>
      <c r="I118" s="64">
        <v>6317</v>
      </c>
      <c r="J118" s="64">
        <v>-4065</v>
      </c>
      <c r="K118" s="64">
        <v>1170</v>
      </c>
      <c r="L118" s="64">
        <v>6463</v>
      </c>
    </row>
    <row r="119" spans="1:12" s="61" customFormat="1" hidden="1" outlineLevel="1" x14ac:dyDescent="0.2">
      <c r="A119" s="7"/>
      <c r="B119" s="11" t="s">
        <v>63</v>
      </c>
      <c r="C119" s="64">
        <v>15308</v>
      </c>
      <c r="D119" s="64">
        <v>5560</v>
      </c>
      <c r="E119" s="64">
        <v>3433</v>
      </c>
      <c r="F119" s="64">
        <v>3019</v>
      </c>
      <c r="G119" s="64">
        <v>4194</v>
      </c>
      <c r="H119" s="64">
        <v>5865</v>
      </c>
      <c r="I119" s="64">
        <v>4827</v>
      </c>
      <c r="J119" s="64">
        <v>11144</v>
      </c>
      <c r="K119" s="64">
        <v>7079</v>
      </c>
      <c r="L119" s="64">
        <v>8249</v>
      </c>
    </row>
    <row r="120" spans="1:12" s="66" customFormat="1" ht="17" hidden="1" outlineLevel="1" thickBot="1" x14ac:dyDescent="0.25">
      <c r="A120" s="7"/>
      <c r="B120" s="19" t="s">
        <v>64</v>
      </c>
      <c r="C120" s="60">
        <v>5560</v>
      </c>
      <c r="D120" s="60">
        <v>3433</v>
      </c>
      <c r="E120" s="60">
        <v>3019</v>
      </c>
      <c r="F120" s="60">
        <v>4194</v>
      </c>
      <c r="G120" s="60">
        <v>5865</v>
      </c>
      <c r="H120" s="60">
        <v>4827</v>
      </c>
      <c r="I120" s="60">
        <v>11144</v>
      </c>
      <c r="J120" s="60">
        <v>7079</v>
      </c>
      <c r="K120" s="60">
        <v>8249</v>
      </c>
      <c r="L120" s="60">
        <v>14712</v>
      </c>
    </row>
    <row r="121" spans="1:12" collapsed="1" x14ac:dyDescent="0.2">
      <c r="B121" s="1"/>
    </row>
    <row r="122" spans="1:12" s="14" customFormat="1" ht="17" thickBot="1" x14ac:dyDescent="0.25">
      <c r="A122" s="4"/>
      <c r="B122" s="15" t="s">
        <v>66</v>
      </c>
    </row>
    <row r="123" spans="1:12" hidden="1" outlineLevel="2" x14ac:dyDescent="0.2">
      <c r="B123" s="9" t="s">
        <v>67</v>
      </c>
      <c r="C123" s="20">
        <f t="shared" ref="C123:L123" si="9">C5-C6-C12+C14+C15+C17-C19</f>
        <v>10316</v>
      </c>
      <c r="D123" s="20">
        <f t="shared" si="9"/>
        <v>9601</v>
      </c>
      <c r="E123" s="20">
        <f t="shared" si="9"/>
        <v>21053</v>
      </c>
      <c r="F123" s="20">
        <f t="shared" si="9"/>
        <v>21048</v>
      </c>
      <c r="G123" s="20">
        <f t="shared" si="9"/>
        <v>20899</v>
      </c>
      <c r="H123" s="20">
        <f t="shared" si="9"/>
        <v>19868</v>
      </c>
      <c r="I123" s="20">
        <f t="shared" si="9"/>
        <v>8014</v>
      </c>
      <c r="J123" s="20">
        <f t="shared" si="9"/>
        <v>1689</v>
      </c>
      <c r="K123" s="20">
        <f t="shared" si="9"/>
        <v>-18756</v>
      </c>
      <c r="L123" s="20">
        <f t="shared" si="9"/>
        <v>-267</v>
      </c>
    </row>
    <row r="124" spans="1:12" s="18" customFormat="1" hidden="1" outlineLevel="1" collapsed="1" x14ac:dyDescent="0.2">
      <c r="A124" s="7"/>
      <c r="B124" s="17" t="s">
        <v>68</v>
      </c>
      <c r="C124" s="24">
        <f t="shared" ref="C124:L124" si="10">C20-C123</f>
        <v>0</v>
      </c>
      <c r="D124" s="24">
        <f t="shared" si="10"/>
        <v>0</v>
      </c>
      <c r="E124" s="24">
        <f t="shared" si="10"/>
        <v>0</v>
      </c>
      <c r="F124" s="24">
        <f t="shared" si="10"/>
        <v>0</v>
      </c>
      <c r="G124" s="24">
        <f t="shared" si="10"/>
        <v>0</v>
      </c>
      <c r="H124" s="24">
        <f t="shared" si="10"/>
        <v>0</v>
      </c>
      <c r="I124" s="24">
        <f t="shared" si="10"/>
        <v>0</v>
      </c>
      <c r="J124" s="24">
        <f t="shared" si="10"/>
        <v>0</v>
      </c>
      <c r="K124" s="24">
        <f t="shared" si="10"/>
        <v>0</v>
      </c>
      <c r="L124" s="24">
        <f t="shared" si="10"/>
        <v>0</v>
      </c>
    </row>
    <row r="125" spans="1:12" hidden="1" outlineLevel="2" x14ac:dyDescent="0.2">
      <c r="B125" s="9" t="s">
        <v>69</v>
      </c>
      <c r="C125" s="20">
        <f t="shared" ref="C125:L125" si="11">SUM(C27:C33)+SUM(C35:C40)</f>
        <v>113327</v>
      </c>
      <c r="D125" s="20">
        <f t="shared" si="11"/>
        <v>123249</v>
      </c>
      <c r="E125" s="20">
        <f t="shared" si="11"/>
        <v>127963</v>
      </c>
      <c r="F125" s="20">
        <f t="shared" si="11"/>
        <v>136524</v>
      </c>
      <c r="G125" s="20">
        <f t="shared" si="11"/>
        <v>153091</v>
      </c>
      <c r="H125" s="20">
        <f t="shared" si="11"/>
        <v>168406</v>
      </c>
      <c r="I125" s="20">
        <f t="shared" si="11"/>
        <v>182103</v>
      </c>
      <c r="J125" s="20">
        <f t="shared" si="11"/>
        <v>191572</v>
      </c>
      <c r="K125" s="20">
        <f t="shared" si="11"/>
        <v>196485</v>
      </c>
      <c r="L125" s="20">
        <f t="shared" si="11"/>
        <v>211429</v>
      </c>
    </row>
    <row r="126" spans="1:12" s="7" customFormat="1" hidden="1" outlineLevel="1" collapsed="1" x14ac:dyDescent="0.2">
      <c r="B126" s="11" t="s">
        <v>70</v>
      </c>
      <c r="C126" s="23">
        <f t="shared" ref="C126:L126" si="12">C42-C125</f>
        <v>0</v>
      </c>
      <c r="D126" s="23">
        <f t="shared" si="12"/>
        <v>0</v>
      </c>
      <c r="E126" s="23">
        <f t="shared" si="12"/>
        <v>0</v>
      </c>
      <c r="F126" s="23">
        <f t="shared" si="12"/>
        <v>0</v>
      </c>
      <c r="G126" s="23">
        <f t="shared" si="12"/>
        <v>0</v>
      </c>
      <c r="H126" s="23">
        <f t="shared" si="12"/>
        <v>0</v>
      </c>
      <c r="I126" s="23">
        <f t="shared" si="12"/>
        <v>0</v>
      </c>
      <c r="J126" s="23">
        <f t="shared" si="12"/>
        <v>0</v>
      </c>
      <c r="K126" s="23">
        <f t="shared" si="12"/>
        <v>0</v>
      </c>
      <c r="L126" s="23">
        <f t="shared" si="12"/>
        <v>0</v>
      </c>
    </row>
    <row r="127" spans="1:12" hidden="1" outlineLevel="2" x14ac:dyDescent="0.2">
      <c r="B127" s="9" t="s">
        <v>71</v>
      </c>
      <c r="C127" s="20">
        <f t="shared" ref="C127:L127" si="13">SUM(C43:C49)+SUM(C51:C55)</f>
        <v>46219</v>
      </c>
      <c r="D127" s="20">
        <f t="shared" si="13"/>
        <v>53364</v>
      </c>
      <c r="E127" s="20">
        <f t="shared" si="13"/>
        <v>52981</v>
      </c>
      <c r="F127" s="20">
        <f t="shared" si="13"/>
        <v>58865</v>
      </c>
      <c r="G127" s="20">
        <f t="shared" si="13"/>
        <v>72053</v>
      </c>
      <c r="H127" s="20">
        <f t="shared" si="13"/>
        <v>73015</v>
      </c>
      <c r="I127" s="20">
        <f t="shared" si="13"/>
        <v>78817</v>
      </c>
      <c r="J127" s="20">
        <f t="shared" si="13"/>
        <v>81607</v>
      </c>
      <c r="K127" s="20">
        <f t="shared" si="13"/>
        <v>91453</v>
      </c>
      <c r="L127" s="20">
        <f t="shared" si="13"/>
        <v>85069</v>
      </c>
    </row>
    <row r="128" spans="1:12" s="7" customFormat="1" hidden="1" outlineLevel="1" collapsed="1" x14ac:dyDescent="0.2">
      <c r="B128" s="11" t="s">
        <v>72</v>
      </c>
      <c r="C128" s="23">
        <f t="shared" ref="C128:L128" si="14">C57-C127</f>
        <v>0</v>
      </c>
      <c r="D128" s="23">
        <f t="shared" si="14"/>
        <v>0</v>
      </c>
      <c r="E128" s="23">
        <f t="shared" si="14"/>
        <v>0</v>
      </c>
      <c r="F128" s="23">
        <f t="shared" si="14"/>
        <v>0</v>
      </c>
      <c r="G128" s="23">
        <f t="shared" si="14"/>
        <v>0</v>
      </c>
      <c r="H128" s="23">
        <f t="shared" si="14"/>
        <v>0</v>
      </c>
      <c r="I128" s="23">
        <f t="shared" si="14"/>
        <v>0</v>
      </c>
      <c r="J128" s="23">
        <f t="shared" si="14"/>
        <v>0</v>
      </c>
      <c r="K128" s="23">
        <f t="shared" si="14"/>
        <v>0</v>
      </c>
      <c r="L128" s="23">
        <f t="shared" si="14"/>
        <v>0</v>
      </c>
    </row>
    <row r="129" spans="1:13" hidden="1" outlineLevel="2" x14ac:dyDescent="0.2">
      <c r="B129" s="9" t="s">
        <v>73</v>
      </c>
      <c r="C129" s="20">
        <f t="shared" ref="C129:L129" si="15">SUM(C58:C61)+C63+C65</f>
        <v>67108</v>
      </c>
      <c r="D129" s="20">
        <f t="shared" si="15"/>
        <v>69885</v>
      </c>
      <c r="E129" s="20">
        <f t="shared" si="15"/>
        <v>74982</v>
      </c>
      <c r="F129" s="20">
        <f t="shared" si="15"/>
        <v>77659</v>
      </c>
      <c r="G129" s="20">
        <f t="shared" si="15"/>
        <v>81038</v>
      </c>
      <c r="H129" s="20">
        <f t="shared" si="15"/>
        <v>95391</v>
      </c>
      <c r="I129" s="20">
        <f t="shared" si="15"/>
        <v>103286</v>
      </c>
      <c r="J129" s="20">
        <f t="shared" si="15"/>
        <v>109965</v>
      </c>
      <c r="K129" s="20">
        <f t="shared" si="15"/>
        <v>105032</v>
      </c>
      <c r="L129" s="20">
        <f t="shared" si="15"/>
        <v>126360</v>
      </c>
    </row>
    <row r="130" spans="1:13" s="7" customFormat="1" hidden="1" outlineLevel="1" collapsed="1" x14ac:dyDescent="0.2">
      <c r="B130" s="11" t="s">
        <v>74</v>
      </c>
      <c r="C130" s="23">
        <f t="shared" ref="C130:L130" si="16">C66-C129</f>
        <v>0</v>
      </c>
      <c r="D130" s="23">
        <f t="shared" si="16"/>
        <v>0</v>
      </c>
      <c r="E130" s="23">
        <f t="shared" si="16"/>
        <v>0</v>
      </c>
      <c r="F130" s="23">
        <f t="shared" si="16"/>
        <v>0</v>
      </c>
      <c r="G130" s="23">
        <f t="shared" si="16"/>
        <v>0</v>
      </c>
      <c r="H130" s="23">
        <f t="shared" si="16"/>
        <v>0</v>
      </c>
      <c r="I130" s="23">
        <f t="shared" si="16"/>
        <v>0</v>
      </c>
      <c r="J130" s="23">
        <f t="shared" si="16"/>
        <v>0</v>
      </c>
      <c r="K130" s="23">
        <f t="shared" si="16"/>
        <v>0</v>
      </c>
      <c r="L130" s="23">
        <f t="shared" si="16"/>
        <v>0</v>
      </c>
    </row>
    <row r="131" spans="1:13" s="18" customFormat="1" hidden="1" outlineLevel="1" x14ac:dyDescent="0.2">
      <c r="A131" s="7"/>
      <c r="B131" s="17" t="s">
        <v>84</v>
      </c>
      <c r="C131" s="22">
        <f t="shared" ref="C131:L131" si="17">C42-(C57+C66)</f>
        <v>0</v>
      </c>
      <c r="D131" s="22">
        <f t="shared" si="17"/>
        <v>0</v>
      </c>
      <c r="E131" s="22">
        <f t="shared" si="17"/>
        <v>0</v>
      </c>
      <c r="F131" s="22">
        <f t="shared" si="17"/>
        <v>0</v>
      </c>
      <c r="G131" s="22">
        <f t="shared" si="17"/>
        <v>0</v>
      </c>
      <c r="H131" s="22">
        <f t="shared" si="17"/>
        <v>0</v>
      </c>
      <c r="I131" s="22">
        <f t="shared" si="17"/>
        <v>0</v>
      </c>
      <c r="J131" s="22">
        <f t="shared" si="17"/>
        <v>0</v>
      </c>
      <c r="K131" s="22">
        <f t="shared" si="17"/>
        <v>0</v>
      </c>
      <c r="L131" s="22">
        <f t="shared" si="17"/>
        <v>0</v>
      </c>
    </row>
    <row r="132" spans="1:13" hidden="1" outlineLevel="2" x14ac:dyDescent="0.2">
      <c r="B132" s="9" t="s">
        <v>75</v>
      </c>
      <c r="C132" s="20">
        <f t="shared" ref="C132:L132" si="18">SUM(C70:C87)</f>
        <v>21808</v>
      </c>
      <c r="D132" s="20">
        <f t="shared" si="18"/>
        <v>22110</v>
      </c>
      <c r="E132" s="20">
        <f t="shared" si="18"/>
        <v>29432</v>
      </c>
      <c r="F132" s="20">
        <f t="shared" si="18"/>
        <v>33145</v>
      </c>
      <c r="G132" s="20">
        <f t="shared" si="18"/>
        <v>35384</v>
      </c>
      <c r="H132" s="20">
        <f t="shared" si="18"/>
        <v>29991</v>
      </c>
      <c r="I132" s="20">
        <f t="shared" si="18"/>
        <v>15433</v>
      </c>
      <c r="J132" s="20">
        <f t="shared" si="18"/>
        <v>11471</v>
      </c>
      <c r="K132" s="20">
        <f t="shared" si="18"/>
        <v>8288</v>
      </c>
      <c r="L132" s="20">
        <f t="shared" si="18"/>
        <v>9697</v>
      </c>
    </row>
    <row r="133" spans="1:13" s="7" customFormat="1" hidden="1" outlineLevel="1" collapsed="1" x14ac:dyDescent="0.2">
      <c r="B133" s="11" t="s">
        <v>76</v>
      </c>
      <c r="C133" s="23">
        <f t="shared" ref="C133:L133" si="19">C88-C132</f>
        <v>0</v>
      </c>
      <c r="D133" s="23">
        <f t="shared" si="19"/>
        <v>0</v>
      </c>
      <c r="E133" s="23">
        <f t="shared" si="19"/>
        <v>0</v>
      </c>
      <c r="F133" s="23">
        <f t="shared" si="19"/>
        <v>0</v>
      </c>
      <c r="G133" s="23">
        <f t="shared" si="19"/>
        <v>0</v>
      </c>
      <c r="H133" s="23">
        <f t="shared" si="19"/>
        <v>0</v>
      </c>
      <c r="I133" s="23">
        <f t="shared" si="19"/>
        <v>0</v>
      </c>
      <c r="J133" s="23">
        <f t="shared" si="19"/>
        <v>0</v>
      </c>
      <c r="K133" s="23">
        <f t="shared" si="19"/>
        <v>0</v>
      </c>
      <c r="L133" s="23">
        <f t="shared" si="19"/>
        <v>0</v>
      </c>
    </row>
    <row r="134" spans="1:13" hidden="1" outlineLevel="2" x14ac:dyDescent="0.2">
      <c r="B134" s="9" t="s">
        <v>77</v>
      </c>
      <c r="C134" s="20">
        <f t="shared" ref="C134:L134" si="20">SUM(C89:C100)</f>
        <v>-25817</v>
      </c>
      <c r="D134" s="20">
        <f t="shared" si="20"/>
        <v>-15762</v>
      </c>
      <c r="E134" s="20">
        <f t="shared" si="20"/>
        <v>-11239</v>
      </c>
      <c r="F134" s="20">
        <f t="shared" si="20"/>
        <v>-14405</v>
      </c>
      <c r="G134" s="20">
        <f t="shared" si="20"/>
        <v>-20796</v>
      </c>
      <c r="H134" s="20">
        <f t="shared" si="20"/>
        <v>-25167</v>
      </c>
      <c r="I134" s="20">
        <f t="shared" si="20"/>
        <v>-10231</v>
      </c>
      <c r="J134" s="20">
        <f t="shared" si="20"/>
        <v>-24041</v>
      </c>
      <c r="K134" s="20">
        <f t="shared" si="20"/>
        <v>-18256</v>
      </c>
      <c r="L134" s="20">
        <f t="shared" si="20"/>
        <v>-14821</v>
      </c>
    </row>
    <row r="135" spans="1:13" s="7" customFormat="1" hidden="1" outlineLevel="1" collapsed="1" x14ac:dyDescent="0.2">
      <c r="B135" s="11" t="s">
        <v>78</v>
      </c>
      <c r="C135" s="23">
        <f t="shared" ref="C135:L135" si="21">C101-C134</f>
        <v>0</v>
      </c>
      <c r="D135" s="23">
        <f t="shared" si="21"/>
        <v>0</v>
      </c>
      <c r="E135" s="23">
        <f t="shared" si="21"/>
        <v>0</v>
      </c>
      <c r="F135" s="23">
        <f t="shared" si="21"/>
        <v>0</v>
      </c>
      <c r="G135" s="23">
        <f t="shared" si="21"/>
        <v>0</v>
      </c>
      <c r="H135" s="23">
        <f t="shared" si="21"/>
        <v>0</v>
      </c>
      <c r="I135" s="23">
        <f t="shared" si="21"/>
        <v>0</v>
      </c>
      <c r="J135" s="23">
        <f t="shared" si="21"/>
        <v>0</v>
      </c>
      <c r="K135" s="23">
        <f t="shared" si="21"/>
        <v>0</v>
      </c>
      <c r="L135" s="23">
        <f t="shared" si="21"/>
        <v>0</v>
      </c>
    </row>
    <row r="136" spans="1:13" hidden="1" outlineLevel="2" x14ac:dyDescent="0.2">
      <c r="B136" s="9" t="s">
        <v>79</v>
      </c>
      <c r="C136" s="20">
        <f t="shared" ref="C136:L136" si="22">SUM(C102:C115)</f>
        <v>-5739</v>
      </c>
      <c r="D136" s="20">
        <f t="shared" si="22"/>
        <v>-8475</v>
      </c>
      <c r="E136" s="20">
        <f t="shared" si="22"/>
        <v>-18607</v>
      </c>
      <c r="F136" s="20">
        <f t="shared" si="22"/>
        <v>-17565</v>
      </c>
      <c r="G136" s="20">
        <f t="shared" si="22"/>
        <v>-12917</v>
      </c>
      <c r="H136" s="20">
        <f t="shared" si="22"/>
        <v>-5862</v>
      </c>
      <c r="I136" s="20">
        <f t="shared" si="22"/>
        <v>1115</v>
      </c>
      <c r="J136" s="20">
        <f t="shared" si="22"/>
        <v>8505</v>
      </c>
      <c r="K136" s="20">
        <f t="shared" si="22"/>
        <v>11138</v>
      </c>
      <c r="L136" s="20">
        <f t="shared" si="22"/>
        <v>11587</v>
      </c>
    </row>
    <row r="137" spans="1:13" s="7" customFormat="1" hidden="1" outlineLevel="1" collapsed="1" x14ac:dyDescent="0.2">
      <c r="B137" s="11" t="s">
        <v>80</v>
      </c>
      <c r="C137" s="23">
        <f t="shared" ref="C137:L137" si="23">C116-C136</f>
        <v>0</v>
      </c>
      <c r="D137" s="23">
        <f t="shared" si="23"/>
        <v>0</v>
      </c>
      <c r="E137" s="23">
        <f t="shared" si="23"/>
        <v>0</v>
      </c>
      <c r="F137" s="23">
        <f t="shared" si="23"/>
        <v>0</v>
      </c>
      <c r="G137" s="23">
        <f t="shared" si="23"/>
        <v>0</v>
      </c>
      <c r="H137" s="23">
        <f t="shared" si="23"/>
        <v>0</v>
      </c>
      <c r="I137" s="23">
        <f t="shared" si="23"/>
        <v>0</v>
      </c>
      <c r="J137" s="23">
        <f t="shared" si="23"/>
        <v>0</v>
      </c>
      <c r="K137" s="23">
        <f t="shared" si="23"/>
        <v>0</v>
      </c>
      <c r="L137" s="23">
        <f t="shared" si="23"/>
        <v>0</v>
      </c>
    </row>
    <row r="138" spans="1:13" hidden="1" outlineLevel="2" x14ac:dyDescent="0.2">
      <c r="B138" s="9" t="s">
        <v>82</v>
      </c>
      <c r="C138" s="20">
        <f t="shared" ref="C138:L138" si="24">C88+C101+C116+C117+C119</f>
        <v>5560</v>
      </c>
      <c r="D138" s="20">
        <f t="shared" si="24"/>
        <v>3433</v>
      </c>
      <c r="E138" s="20">
        <f t="shared" si="24"/>
        <v>3019</v>
      </c>
      <c r="F138" s="20">
        <f t="shared" si="24"/>
        <v>4194</v>
      </c>
      <c r="G138" s="20">
        <f t="shared" si="24"/>
        <v>5865</v>
      </c>
      <c r="H138" s="20">
        <f t="shared" si="24"/>
        <v>4827</v>
      </c>
      <c r="I138" s="20">
        <f t="shared" si="24"/>
        <v>11144</v>
      </c>
      <c r="J138" s="20">
        <f t="shared" si="24"/>
        <v>7079</v>
      </c>
      <c r="K138" s="20">
        <f t="shared" si="24"/>
        <v>8249</v>
      </c>
      <c r="L138" s="20">
        <f t="shared" si="24"/>
        <v>14712</v>
      </c>
    </row>
    <row r="139" spans="1:13" s="18" customFormat="1" hidden="1" outlineLevel="1" collapsed="1" x14ac:dyDescent="0.2">
      <c r="A139" s="7"/>
      <c r="B139" s="17" t="s">
        <v>81</v>
      </c>
      <c r="C139" s="22">
        <f t="shared" ref="C139:L139" si="25">C120-C138</f>
        <v>0</v>
      </c>
      <c r="D139" s="22">
        <f t="shared" si="25"/>
        <v>0</v>
      </c>
      <c r="E139" s="22">
        <f t="shared" si="25"/>
        <v>0</v>
      </c>
      <c r="F139" s="22">
        <f t="shared" si="25"/>
        <v>0</v>
      </c>
      <c r="G139" s="22">
        <f t="shared" si="25"/>
        <v>0</v>
      </c>
      <c r="H139" s="22">
        <f t="shared" si="25"/>
        <v>0</v>
      </c>
      <c r="I139" s="22">
        <f t="shared" si="25"/>
        <v>0</v>
      </c>
      <c r="J139" s="22">
        <f t="shared" si="25"/>
        <v>0</v>
      </c>
      <c r="K139" s="22">
        <f t="shared" si="25"/>
        <v>0</v>
      </c>
      <c r="L139" s="22">
        <f t="shared" si="25"/>
        <v>0</v>
      </c>
    </row>
    <row r="140" spans="1:13" collapsed="1" x14ac:dyDescent="0.2">
      <c r="B140" s="8"/>
      <c r="F140" s="8"/>
      <c r="G140" s="8"/>
      <c r="H140" s="8"/>
      <c r="I140" s="8"/>
      <c r="J140" s="8"/>
      <c r="K140" s="8"/>
    </row>
    <row r="141" spans="1:13" s="14" customFormat="1" ht="17" thickBot="1" x14ac:dyDescent="0.25">
      <c r="A141" s="4"/>
      <c r="B141" s="15" t="s">
        <v>83</v>
      </c>
    </row>
    <row r="142" spans="1:13" hidden="1" outlineLevel="1" x14ac:dyDescent="0.2">
      <c r="B142" s="9" t="s">
        <v>4</v>
      </c>
      <c r="C142" s="29">
        <v>4728</v>
      </c>
      <c r="D142" s="29">
        <v>4668</v>
      </c>
      <c r="E142" s="29">
        <v>4497</v>
      </c>
      <c r="F142" s="27">
        <v>4277</v>
      </c>
      <c r="G142" s="27">
        <v>4063</v>
      </c>
      <c r="H142" s="27">
        <v>4072</v>
      </c>
      <c r="I142" s="27">
        <v>4137</v>
      </c>
      <c r="J142" s="27">
        <v>4228</v>
      </c>
      <c r="K142" s="27">
        <v>4330</v>
      </c>
      <c r="L142" s="27">
        <v>4995</v>
      </c>
      <c r="M142" s="27"/>
    </row>
    <row r="143" spans="1:13" hidden="1" outlineLevel="1" x14ac:dyDescent="0.2">
      <c r="B143" s="12" t="s">
        <v>92</v>
      </c>
      <c r="C143" s="30">
        <v>1.04</v>
      </c>
      <c r="D143" s="30">
        <v>1.08</v>
      </c>
      <c r="E143" s="30">
        <v>1.2</v>
      </c>
      <c r="F143" s="28">
        <v>1.26</v>
      </c>
      <c r="G143" s="28">
        <v>1.32</v>
      </c>
      <c r="H143" s="28">
        <v>1.39</v>
      </c>
      <c r="I143" s="28">
        <v>1.46</v>
      </c>
      <c r="J143" s="28">
        <v>0.74</v>
      </c>
      <c r="K143" s="28">
        <v>0.38</v>
      </c>
      <c r="L143" s="28">
        <v>0</v>
      </c>
      <c r="M143" s="28"/>
    </row>
    <row r="144" spans="1:13" hidden="1" outlineLevel="1" x14ac:dyDescent="0.2">
      <c r="B144" s="9" t="s">
        <v>107</v>
      </c>
      <c r="C144" s="36">
        <f>C71</f>
        <v>6266</v>
      </c>
      <c r="D144" s="36">
        <f t="shared" ref="D144:L144" si="26">D71</f>
        <v>6752</v>
      </c>
      <c r="E144" s="36">
        <f t="shared" si="26"/>
        <v>7520</v>
      </c>
      <c r="F144" s="36">
        <f t="shared" si="26"/>
        <v>9204</v>
      </c>
      <c r="G144" s="36">
        <f t="shared" si="26"/>
        <v>10482</v>
      </c>
      <c r="H144" s="36">
        <f t="shared" si="26"/>
        <v>9953</v>
      </c>
      <c r="I144" s="36">
        <f t="shared" si="26"/>
        <v>11128</v>
      </c>
      <c r="J144" s="36">
        <f t="shared" si="26"/>
        <v>7847</v>
      </c>
      <c r="K144" s="36">
        <f t="shared" si="26"/>
        <v>9951</v>
      </c>
      <c r="L144" s="36">
        <f t="shared" si="26"/>
        <v>10757</v>
      </c>
    </row>
    <row r="145" spans="1:12" hidden="1" outlineLevel="1" x14ac:dyDescent="0.2">
      <c r="B145" s="9" t="s">
        <v>108</v>
      </c>
      <c r="C145" s="36">
        <f>C73</f>
        <v>1524</v>
      </c>
      <c r="D145" s="36">
        <f t="shared" ref="D145:L145" si="27">D73</f>
        <v>1377</v>
      </c>
      <c r="E145" s="36">
        <f t="shared" si="27"/>
        <v>1565</v>
      </c>
      <c r="F145" s="36">
        <f t="shared" si="27"/>
        <v>1622</v>
      </c>
      <c r="G145" s="36">
        <f t="shared" si="27"/>
        <v>1757</v>
      </c>
      <c r="H145" s="36">
        <f t="shared" si="27"/>
        <v>1839</v>
      </c>
      <c r="I145" s="36">
        <f t="shared" si="27"/>
        <v>1907</v>
      </c>
      <c r="J145" s="36">
        <f t="shared" si="27"/>
        <v>1755</v>
      </c>
      <c r="K145" s="36">
        <f t="shared" si="27"/>
        <v>1428</v>
      </c>
      <c r="L145" s="36">
        <f t="shared" si="27"/>
        <v>949</v>
      </c>
    </row>
    <row r="146" spans="1:12" hidden="1" outlineLevel="1" x14ac:dyDescent="0.2">
      <c r="B146" s="9" t="s">
        <v>114</v>
      </c>
      <c r="C146" s="97">
        <f t="shared" ref="C146:L146" si="28">(-1*C17)/C16</f>
        <v>0.20253555967841683</v>
      </c>
      <c r="D146" s="97">
        <f t="shared" si="28"/>
        <v>0.52825275157232709</v>
      </c>
      <c r="E146" s="97">
        <f t="shared" si="28"/>
        <v>9.7096539005875546E-2</v>
      </c>
      <c r="F146" s="97">
        <f t="shared" si="28"/>
        <v>0.12511430709119628</v>
      </c>
      <c r="G146" s="97">
        <f t="shared" si="28"/>
        <v>0.16664008294122337</v>
      </c>
      <c r="H146" s="97">
        <f t="shared" si="28"/>
        <v>8.4550522969174771E-2</v>
      </c>
      <c r="I146" s="97">
        <f t="shared" si="28"/>
        <v>-3.2054582904222452E-2</v>
      </c>
      <c r="J146" s="97">
        <f t="shared" si="28"/>
        <v>-1.1981627296587927</v>
      </c>
      <c r="K146" s="97">
        <f t="shared" si="28"/>
        <v>-0.71570026761819805</v>
      </c>
      <c r="L146" s="97">
        <f t="shared" si="28"/>
        <v>0.98330122029543998</v>
      </c>
    </row>
    <row r="147" spans="1:12" hidden="1" outlineLevel="1" x14ac:dyDescent="0.2">
      <c r="B147" s="9" t="s">
        <v>115</v>
      </c>
      <c r="C147" s="27">
        <v>106000</v>
      </c>
      <c r="D147" s="27">
        <v>102700</v>
      </c>
      <c r="E147" s="27">
        <v>107400</v>
      </c>
      <c r="F147" s="27">
        <v>110800</v>
      </c>
      <c r="G147" s="27">
        <v>110600</v>
      </c>
      <c r="H147" s="27">
        <v>121100</v>
      </c>
      <c r="I147" s="27">
        <v>131900</v>
      </c>
      <c r="J147" s="27">
        <v>124800</v>
      </c>
      <c r="K147" s="27">
        <v>108900</v>
      </c>
      <c r="L147" s="27">
        <v>85100</v>
      </c>
    </row>
    <row r="148" spans="1:12" hidden="1" outlineLevel="1" x14ac:dyDescent="0.2"/>
    <row r="149" spans="1:12" collapsed="1" x14ac:dyDescent="0.2">
      <c r="B149" s="1"/>
    </row>
    <row r="150" spans="1:12" s="14" customFormat="1" ht="17" thickBot="1" x14ac:dyDescent="0.25">
      <c r="A150" s="4"/>
      <c r="B150" s="15" t="s">
        <v>109</v>
      </c>
    </row>
    <row r="151" spans="1:12" s="18" customFormat="1" hidden="1" outlineLevel="1" x14ac:dyDescent="0.2">
      <c r="A151" s="7"/>
      <c r="B151" s="17" t="s">
        <v>7</v>
      </c>
      <c r="C151" s="93"/>
      <c r="D151" s="88">
        <f t="shared" ref="D151:L155" si="29">IF(C5=0,
IF(D5=0,0,IF(D5&gt;0,1,-1)),
(D5-C5)/ABS(C5)
)</f>
        <v>5.6813780793776414E-2</v>
      </c>
      <c r="E151" s="88">
        <f t="shared" si="29"/>
        <v>0.12885390608817579</v>
      </c>
      <c r="F151" s="88">
        <f t="shared" si="29"/>
        <v>1.5766147244805781E-2</v>
      </c>
      <c r="G151" s="88">
        <f t="shared" si="29"/>
        <v>8.2012089210032654E-2</v>
      </c>
      <c r="H151" s="88">
        <f t="shared" si="29"/>
        <v>1.4858669269395251E-2</v>
      </c>
      <c r="I151" s="88">
        <f t="shared" si="29"/>
        <v>-0.20209050415063778</v>
      </c>
      <c r="J151" s="88">
        <f t="shared" si="29"/>
        <v>-0.13997525930155105</v>
      </c>
      <c r="K151" s="88">
        <f t="shared" si="29"/>
        <v>-2.0782621523935976E-2</v>
      </c>
      <c r="L151" s="88">
        <f t="shared" si="29"/>
        <v>-4.6703451912393362E-3</v>
      </c>
    </row>
    <row r="152" spans="1:12" hidden="1" outlineLevel="1" x14ac:dyDescent="0.2">
      <c r="B152" s="9" t="s">
        <v>8</v>
      </c>
      <c r="C152" s="92"/>
      <c r="D152" s="87">
        <f t="shared" si="29"/>
        <v>2.1983242636261554E-2</v>
      </c>
      <c r="E152" s="87">
        <f t="shared" si="29"/>
        <v>0.14571271605460001</v>
      </c>
      <c r="F152" s="87">
        <f t="shared" si="29"/>
        <v>0.10010696765150677</v>
      </c>
      <c r="G152" s="87">
        <f t="shared" si="29"/>
        <v>0.14853310980720871</v>
      </c>
      <c r="H152" s="87">
        <f t="shared" si="29"/>
        <v>2.7849948912567507E-2</v>
      </c>
      <c r="I152" s="87">
        <f t="shared" si="29"/>
        <v>2.7805390667158966E-2</v>
      </c>
      <c r="J152" s="87">
        <f t="shared" si="29"/>
        <v>-0.10144246711617111</v>
      </c>
      <c r="K152" s="87">
        <f t="shared" si="29"/>
        <v>9.9609435064735366E-2</v>
      </c>
      <c r="L152" s="87">
        <f t="shared" si="29"/>
        <v>-3.5742253048439421E-2</v>
      </c>
    </row>
    <row r="153" spans="1:12" s="18" customFormat="1" hidden="1" outlineLevel="1" x14ac:dyDescent="0.2">
      <c r="A153" s="7"/>
      <c r="B153" s="17" t="s">
        <v>9</v>
      </c>
      <c r="C153" s="93"/>
      <c r="D153" s="88">
        <f t="shared" si="29"/>
        <v>7.9071564595810453E-2</v>
      </c>
      <c r="E153" s="88">
        <f t="shared" si="29"/>
        <v>0.11865057036165533</v>
      </c>
      <c r="F153" s="88">
        <f t="shared" si="29"/>
        <v>-3.6513706930059217E-2</v>
      </c>
      <c r="G153" s="88">
        <f t="shared" si="29"/>
        <v>3.4931181775035597E-2</v>
      </c>
      <c r="H153" s="88">
        <f t="shared" si="29"/>
        <v>4.6546821975603043E-3</v>
      </c>
      <c r="I153" s="88">
        <f t="shared" si="29"/>
        <v>-0.38683099395184295</v>
      </c>
      <c r="J153" s="88">
        <f t="shared" si="29"/>
        <v>-0.19187821037742872</v>
      </c>
      <c r="K153" s="88">
        <f t="shared" si="29"/>
        <v>-0.20109621850674772</v>
      </c>
      <c r="L153" s="88">
        <f t="shared" si="29"/>
        <v>5.9383107523782071E-2</v>
      </c>
    </row>
    <row r="154" spans="1:12" hidden="1" outlineLevel="1" x14ac:dyDescent="0.2">
      <c r="B154" s="9" t="s">
        <v>10</v>
      </c>
      <c r="C154" s="92"/>
      <c r="D154" s="87">
        <f t="shared" si="29"/>
        <v>2.7591643673630272E-2</v>
      </c>
      <c r="E154" s="87">
        <f t="shared" si="29"/>
        <v>3.8971998465669351E-2</v>
      </c>
      <c r="F154" s="87">
        <f t="shared" si="29"/>
        <v>-1.3364837923650594E-2</v>
      </c>
      <c r="G154" s="87">
        <f t="shared" si="29"/>
        <v>1.4518784613081873E-2</v>
      </c>
      <c r="H154" s="87">
        <f t="shared" si="29"/>
        <v>0.12053703157273532</v>
      </c>
      <c r="I154" s="87">
        <f t="shared" si="29"/>
        <v>0.15391705069124423</v>
      </c>
      <c r="J154" s="87">
        <f t="shared" si="29"/>
        <v>-8.4550433591967136E-2</v>
      </c>
      <c r="K154" s="87">
        <f t="shared" si="29"/>
        <v>3.1160413810295402E-2</v>
      </c>
      <c r="L154" s="87">
        <f t="shared" si="29"/>
        <v>-0.16753293847455578</v>
      </c>
    </row>
    <row r="155" spans="1:12" hidden="1" outlineLevel="1" x14ac:dyDescent="0.2">
      <c r="B155" s="12" t="s">
        <v>11</v>
      </c>
      <c r="C155" s="92"/>
      <c r="D155" s="87">
        <f t="shared" si="29"/>
        <v>-0.11042139190641041</v>
      </c>
      <c r="E155" s="87">
        <f t="shared" si="29"/>
        <v>-9.420289855072464E-2</v>
      </c>
      <c r="F155" s="87">
        <f t="shared" si="29"/>
        <v>-5.9259259259259262E-2</v>
      </c>
      <c r="G155" s="87">
        <f t="shared" si="29"/>
        <v>-2.6771653543307086E-2</v>
      </c>
      <c r="H155" s="87">
        <f t="shared" si="29"/>
        <v>5.8737864077669906E-2</v>
      </c>
      <c r="I155" s="87">
        <f t="shared" si="29"/>
        <v>7.0151306740027508E-2</v>
      </c>
      <c r="J155" s="87">
        <f t="shared" si="29"/>
        <v>-0.19537275064267351</v>
      </c>
      <c r="K155" s="87">
        <f t="shared" si="29"/>
        <v>-2.2541711040113595E-2</v>
      </c>
      <c r="L155" s="87">
        <f t="shared" si="29"/>
        <v>-0.16034138369348103</v>
      </c>
    </row>
    <row r="156" spans="1:12" hidden="1" outlineLevel="1" x14ac:dyDescent="0.2">
      <c r="B156" s="12" t="s">
        <v>12</v>
      </c>
      <c r="C156" s="92"/>
      <c r="D156" s="87">
        <f t="shared" ref="D156:L157" si="30">IF(C12=0,
IF(D12=0,0,IF(D12&gt;0,1,-1)),
(D12-C12)/ABS(C12)
)</f>
        <v>-8.883116883116883E-2</v>
      </c>
      <c r="E156" s="87">
        <f t="shared" si="30"/>
        <v>-2.9789053591790193E-2</v>
      </c>
      <c r="F156" s="87">
        <f t="shared" si="30"/>
        <v>-1.5474266686254345E-2</v>
      </c>
      <c r="G156" s="87">
        <f t="shared" si="30"/>
        <v>-8.505346928624721E-3</v>
      </c>
      <c r="H156" s="87">
        <f t="shared" si="30"/>
        <v>0.22198254238988663</v>
      </c>
      <c r="I156" s="87">
        <f t="shared" si="30"/>
        <v>7.1020977872654871E-3</v>
      </c>
      <c r="J156" s="87">
        <f t="shared" si="30"/>
        <v>-0.11878362954508397</v>
      </c>
      <c r="K156" s="87">
        <f t="shared" si="30"/>
        <v>0.34253862521972428</v>
      </c>
      <c r="L156" s="87">
        <f t="shared" si="30"/>
        <v>-0.29059711263480686</v>
      </c>
    </row>
    <row r="157" spans="1:12" s="18" customFormat="1" hidden="1" outlineLevel="1" x14ac:dyDescent="0.2">
      <c r="A157" s="7"/>
      <c r="B157" s="17" t="s">
        <v>13</v>
      </c>
      <c r="C157" s="93"/>
      <c r="D157" s="88">
        <f t="shared" si="30"/>
        <v>0.37440036549150996</v>
      </c>
      <c r="E157" s="88">
        <f t="shared" si="30"/>
        <v>0.29174515235457066</v>
      </c>
      <c r="F157" s="88">
        <f t="shared" si="30"/>
        <v>-5.4940813175501799E-2</v>
      </c>
      <c r="G157" s="88">
        <f t="shared" si="30"/>
        <v>7.4563194917177222E-2</v>
      </c>
      <c r="H157" s="88">
        <f t="shared" si="30"/>
        <v>-0.17830897879888505</v>
      </c>
      <c r="I157" s="88">
        <f t="shared" si="30"/>
        <v>-0.88003700657894735</v>
      </c>
      <c r="J157" s="88">
        <f t="shared" si="30"/>
        <v>-0.96015424164524421</v>
      </c>
      <c r="K157" s="88">
        <f t="shared" si="30"/>
        <v>-126.56989247311827</v>
      </c>
      <c r="L157" s="88">
        <f t="shared" si="30"/>
        <v>0.81041274190786095</v>
      </c>
    </row>
    <row r="158" spans="1:12" s="89" customFormat="1" hidden="1" outlineLevel="1" x14ac:dyDescent="0.2">
      <c r="A158" s="7"/>
      <c r="B158" s="90" t="s">
        <v>14</v>
      </c>
      <c r="C158" s="93"/>
      <c r="D158" s="91">
        <f t="shared" ref="D158:L158" si="31">IF(C16=0,
IF(D16=0,0,IF(D16&gt;0,1,-1)),
(D16-C16)/ABS(C16)
)</f>
        <v>0.57328385899814471</v>
      </c>
      <c r="E158" s="91">
        <f t="shared" si="31"/>
        <v>0.14568592767295596</v>
      </c>
      <c r="F158" s="91">
        <f t="shared" si="31"/>
        <v>3.1779388429043189E-2</v>
      </c>
      <c r="G158" s="91">
        <f t="shared" si="31"/>
        <v>4.2397539280073157E-2</v>
      </c>
      <c r="H158" s="91">
        <f t="shared" si="31"/>
        <v>-0.13458011005662335</v>
      </c>
      <c r="I158" s="91">
        <f t="shared" si="31"/>
        <v>-0.64207713219370599</v>
      </c>
      <c r="J158" s="91">
        <f t="shared" si="31"/>
        <v>-0.90190525231719876</v>
      </c>
      <c r="K158" s="91">
        <f t="shared" si="31"/>
        <v>-15.711286089238845</v>
      </c>
      <c r="L158" s="91">
        <f t="shared" si="31"/>
        <v>1.1388938447814452</v>
      </c>
    </row>
    <row r="159" spans="1:12" s="89" customFormat="1" hidden="1" outlineLevel="1" x14ac:dyDescent="0.2">
      <c r="A159" s="7"/>
      <c r="B159" s="90" t="s">
        <v>15</v>
      </c>
      <c r="C159" s="93"/>
      <c r="D159" s="91">
        <f t="shared" ref="D159:L159" si="32">IF(C20=0,
IF(D20=0,0,IF(D20&gt;0,1,-1)),
(D20-C20)/ABS(C20)
)</f>
        <v>-6.9309810003877467E-2</v>
      </c>
      <c r="E159" s="91">
        <f t="shared" si="32"/>
        <v>1.192792417456515</v>
      </c>
      <c r="F159" s="91">
        <f t="shared" si="32"/>
        <v>-2.374958438227331E-4</v>
      </c>
      <c r="G159" s="91">
        <f t="shared" si="32"/>
        <v>-7.0790573926263782E-3</v>
      </c>
      <c r="H159" s="91">
        <f t="shared" si="32"/>
        <v>-4.9332503947557296E-2</v>
      </c>
      <c r="I159" s="91">
        <f t="shared" si="32"/>
        <v>-0.59663780954298373</v>
      </c>
      <c r="J159" s="91">
        <f t="shared" si="32"/>
        <v>-0.78924382330920884</v>
      </c>
      <c r="K159" s="91">
        <f t="shared" si="32"/>
        <v>-12.104795737122558</v>
      </c>
      <c r="L159" s="91">
        <f t="shared" si="32"/>
        <v>0.98576455534229046</v>
      </c>
    </row>
    <row r="160" spans="1:12" collapsed="1" x14ac:dyDescent="0.2">
      <c r="B160" s="1"/>
    </row>
    <row r="161" spans="1:12" s="14" customFormat="1" ht="17" thickBot="1" x14ac:dyDescent="0.25">
      <c r="A161" s="4"/>
      <c r="B161" s="15" t="s">
        <v>110</v>
      </c>
    </row>
    <row r="162" spans="1:12" hidden="1" outlineLevel="1" x14ac:dyDescent="0.2">
      <c r="B162" s="9" t="s">
        <v>111</v>
      </c>
      <c r="C162" s="87">
        <f t="shared" ref="C162:L162" si="33">C7/C5</f>
        <v>0.6101166922053648</v>
      </c>
      <c r="D162" s="87">
        <f t="shared" si="33"/>
        <v>0.62296649192970155</v>
      </c>
      <c r="E162" s="87">
        <f t="shared" si="33"/>
        <v>0.61733570460704612</v>
      </c>
      <c r="F162" s="87">
        <f t="shared" si="33"/>
        <v>0.5855624261793928</v>
      </c>
      <c r="G162" s="87">
        <f t="shared" si="33"/>
        <v>0.5600832188218372</v>
      </c>
      <c r="H162" s="87">
        <f t="shared" si="33"/>
        <v>0.5544518121077141</v>
      </c>
      <c r="I162" s="87">
        <f t="shared" si="33"/>
        <v>0.42607923367272499</v>
      </c>
      <c r="J162" s="87">
        <f t="shared" si="33"/>
        <v>0.40036512502766097</v>
      </c>
      <c r="K162" s="87">
        <f t="shared" si="33"/>
        <v>0.32664168283083184</v>
      </c>
      <c r="L162" s="87">
        <f t="shared" si="33"/>
        <v>0.34766238434904356</v>
      </c>
    </row>
    <row r="163" spans="1:12" hidden="1" outlineLevel="1" x14ac:dyDescent="0.2">
      <c r="B163" s="9" t="s">
        <v>112</v>
      </c>
      <c r="C163" s="87">
        <f t="shared" ref="C163:L163" si="34">C13/C5</f>
        <v>0.22114267432266321</v>
      </c>
      <c r="D163" s="87">
        <f t="shared" si="34"/>
        <v>0.28759898663182548</v>
      </c>
      <c r="E163" s="87">
        <f t="shared" si="34"/>
        <v>0.32909891598915991</v>
      </c>
      <c r="F163" s="87">
        <f t="shared" si="34"/>
        <v>0.30619050927534219</v>
      </c>
      <c r="G163" s="87">
        <f t="shared" si="34"/>
        <v>0.30408260238611995</v>
      </c>
      <c r="H163" s="87">
        <f t="shared" si="34"/>
        <v>0.24620368495646891</v>
      </c>
      <c r="I163" s="87">
        <f t="shared" si="34"/>
        <v>3.7015891140926828E-2</v>
      </c>
      <c r="J163" s="87">
        <f t="shared" si="34"/>
        <v>1.714981190528878E-3</v>
      </c>
      <c r="K163" s="87">
        <f t="shared" si="34"/>
        <v>-0.21992052880360069</v>
      </c>
      <c r="L163" s="87">
        <f t="shared" si="34"/>
        <v>-4.1889769738709247E-2</v>
      </c>
    </row>
    <row r="164" spans="1:12" s="96" customFormat="1" hidden="1" outlineLevel="1" x14ac:dyDescent="0.2">
      <c r="A164" s="1"/>
      <c r="B164" s="94" t="s">
        <v>113</v>
      </c>
      <c r="C164" s="95">
        <f t="shared" ref="C164:L164" si="35">C18/C5</f>
        <v>0.17370805058346103</v>
      </c>
      <c r="D164" s="95">
        <f t="shared" si="35"/>
        <v>0.15297716734914996</v>
      </c>
      <c r="E164" s="95">
        <f t="shared" si="35"/>
        <v>0.29715729448961159</v>
      </c>
      <c r="F164" s="95">
        <f t="shared" si="35"/>
        <v>0.2924755089279511</v>
      </c>
      <c r="G164" s="95">
        <f t="shared" si="35"/>
        <v>0.26839354283586114</v>
      </c>
      <c r="H164" s="95">
        <f t="shared" si="35"/>
        <v>0.25141729094958493</v>
      </c>
      <c r="I164" s="95">
        <f t="shared" si="35"/>
        <v>0.12714498683667966</v>
      </c>
      <c r="J164" s="95">
        <f t="shared" si="35"/>
        <v>3.088810208748248E-2</v>
      </c>
      <c r="K164" s="95">
        <f t="shared" si="35"/>
        <v>-0.3621965688028474</v>
      </c>
      <c r="L164" s="95">
        <f t="shared" si="35"/>
        <v>4.9193044860272833E-4</v>
      </c>
    </row>
    <row r="165" spans="1:12" collapsed="1" x14ac:dyDescent="0.2">
      <c r="B165" s="1"/>
    </row>
  </sheetData>
  <pageMargins left="0.7" right="0.7" top="0.75" bottom="0.75" header="0.3" footer="0.3"/>
  <ignoredErrors>
    <ignoredError sqref="C41:F41 C56:D56 E56:F56 G41:L41 G56:L56 C134 D134:K134 C136:K136 L127 L129" formulaRange="1"/>
    <ignoredError sqref="D156 I12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3"/>
  <sheetViews>
    <sheetView zoomScale="140" zoomScaleNormal="140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J141" sqref="J141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71" t="s">
        <v>0</v>
      </c>
      <c r="C2" s="3" t="s">
        <v>177</v>
      </c>
      <c r="D2" s="3" t="s">
        <v>175</v>
      </c>
      <c r="E2" s="3" t="s">
        <v>173</v>
      </c>
      <c r="F2" s="3" t="s">
        <v>117</v>
      </c>
      <c r="G2" s="3" t="s">
        <v>176</v>
      </c>
      <c r="H2" s="3" t="s">
        <v>174</v>
      </c>
      <c r="I2" s="40" t="s">
        <v>172</v>
      </c>
      <c r="J2" s="40" t="s">
        <v>178</v>
      </c>
      <c r="K2" s="2"/>
      <c r="L2" s="2"/>
      <c r="M2" s="2"/>
      <c r="N2" s="51"/>
      <c r="O2" s="2"/>
      <c r="P2" s="53"/>
      <c r="Q2" s="54"/>
      <c r="R2" s="55"/>
      <c r="S2" s="2"/>
    </row>
    <row r="3" spans="1:19" s="5" customFormat="1" x14ac:dyDescent="0.2">
      <c r="A3" s="4"/>
      <c r="B3" s="72" t="s">
        <v>85</v>
      </c>
      <c r="C3" s="3" t="s">
        <v>86</v>
      </c>
      <c r="D3" s="3" t="s">
        <v>88</v>
      </c>
      <c r="E3" s="3" t="s">
        <v>89</v>
      </c>
      <c r="F3" s="3" t="s">
        <v>94</v>
      </c>
      <c r="G3" s="3" t="s">
        <v>87</v>
      </c>
      <c r="H3" s="3" t="s">
        <v>90</v>
      </c>
      <c r="I3" s="40" t="s">
        <v>91</v>
      </c>
      <c r="J3" s="40" t="s">
        <v>182</v>
      </c>
      <c r="K3" s="4"/>
      <c r="L3" s="4"/>
      <c r="M3" s="4"/>
      <c r="N3" s="52"/>
      <c r="O3" s="4"/>
      <c r="P3" s="56" t="str">
        <f>I3</f>
        <v>Q3 2025</v>
      </c>
      <c r="Q3" s="5" t="str">
        <f>J3</f>
        <v>Q4 2025</v>
      </c>
      <c r="R3" s="57" t="s">
        <v>98</v>
      </c>
      <c r="S3" s="4"/>
    </row>
    <row r="4" spans="1:19" s="14" customFormat="1" ht="17" thickBot="1" x14ac:dyDescent="0.25">
      <c r="A4" s="4"/>
      <c r="B4" s="15" t="s">
        <v>6</v>
      </c>
      <c r="I4" s="41"/>
      <c r="J4" s="41"/>
      <c r="K4" s="4"/>
      <c r="L4" s="4"/>
      <c r="M4" s="4"/>
      <c r="N4" s="47" t="s">
        <v>96</v>
      </c>
      <c r="O4" s="4"/>
      <c r="P4" s="102" t="s">
        <v>97</v>
      </c>
      <c r="Q4" s="103"/>
      <c r="R4" s="104"/>
      <c r="S4" s="4"/>
    </row>
    <row r="5" spans="1:19" s="18" customFormat="1" hidden="1" outlineLevel="1" x14ac:dyDescent="0.2">
      <c r="A5" s="7"/>
      <c r="B5" s="17" t="s">
        <v>7</v>
      </c>
      <c r="C5" s="60">
        <v>12724</v>
      </c>
      <c r="D5" s="60">
        <v>12833</v>
      </c>
      <c r="E5" s="60">
        <v>13284</v>
      </c>
      <c r="F5" s="60">
        <v>14260</v>
      </c>
      <c r="G5" s="60">
        <v>12667</v>
      </c>
      <c r="H5" s="60">
        <v>12859</v>
      </c>
      <c r="I5" s="69">
        <v>13653</v>
      </c>
      <c r="J5" s="69">
        <v>13674</v>
      </c>
      <c r="K5" s="21"/>
      <c r="L5" s="21"/>
      <c r="M5" s="21"/>
      <c r="N5" s="68">
        <f t="shared" ref="N5:N19" si="0">SUM(G5:J5)</f>
        <v>52853</v>
      </c>
      <c r="O5" s="7"/>
      <c r="P5" s="79">
        <f t="shared" ref="P5:P23" si="1">I5</f>
        <v>13653</v>
      </c>
      <c r="Q5" s="63">
        <f t="shared" ref="Q5:Q23" si="2">J5</f>
        <v>13674</v>
      </c>
      <c r="R5" s="75">
        <f t="shared" ref="R5:R23" si="3">IF(P5=0,
IF(Q5=0,0,IF(Q5&gt;0,1,-1)),
(Q5-P5)/ABS(P5)
)</f>
        <v>1.5381234893430016E-3</v>
      </c>
      <c r="S5" s="7"/>
    </row>
    <row r="6" spans="1:19" hidden="1" outlineLevel="1" x14ac:dyDescent="0.2">
      <c r="B6" s="9" t="s">
        <v>8</v>
      </c>
      <c r="C6" s="27">
        <v>7507</v>
      </c>
      <c r="D6" s="27">
        <v>8286</v>
      </c>
      <c r="E6" s="27">
        <v>11287</v>
      </c>
      <c r="F6" s="27">
        <v>8676</v>
      </c>
      <c r="G6" s="27">
        <v>7995</v>
      </c>
      <c r="H6" s="27">
        <v>9317</v>
      </c>
      <c r="I6" s="42">
        <v>8435</v>
      </c>
      <c r="J6" s="42">
        <v>8731</v>
      </c>
      <c r="K6" s="20"/>
      <c r="L6" s="20"/>
      <c r="M6" s="20"/>
      <c r="N6" s="48">
        <f>SUM(G6:J6)</f>
        <v>34478</v>
      </c>
      <c r="P6" s="58">
        <f t="shared" si="1"/>
        <v>8435</v>
      </c>
      <c r="Q6" s="20">
        <f t="shared" si="2"/>
        <v>8731</v>
      </c>
      <c r="R6" s="59">
        <f t="shared" si="3"/>
        <v>3.5091879075281565E-2</v>
      </c>
    </row>
    <row r="7" spans="1:19" s="18" customFormat="1" hidden="1" outlineLevel="1" x14ac:dyDescent="0.2">
      <c r="A7" s="7"/>
      <c r="B7" s="17" t="s">
        <v>9</v>
      </c>
      <c r="C7" s="63">
        <f t="shared" ref="C7" si="4">C5-C6</f>
        <v>5217</v>
      </c>
      <c r="D7" s="63">
        <f>D5-D6</f>
        <v>4547</v>
      </c>
      <c r="E7" s="63">
        <f t="shared" ref="E7:I7" si="5">E5-E6</f>
        <v>1997</v>
      </c>
      <c r="F7" s="63">
        <f t="shared" si="5"/>
        <v>5584</v>
      </c>
      <c r="G7" s="63">
        <f t="shared" si="5"/>
        <v>4672</v>
      </c>
      <c r="H7" s="63">
        <f t="shared" si="5"/>
        <v>3542</v>
      </c>
      <c r="I7" s="70">
        <f t="shared" si="5"/>
        <v>5218</v>
      </c>
      <c r="J7" s="70">
        <f t="shared" ref="J7" si="6">J5-J6</f>
        <v>4943</v>
      </c>
      <c r="K7" s="21"/>
      <c r="L7" s="21"/>
      <c r="M7" s="21"/>
      <c r="N7" s="68">
        <f t="shared" si="0"/>
        <v>18375</v>
      </c>
      <c r="O7" s="7"/>
      <c r="P7" s="79">
        <f t="shared" si="1"/>
        <v>5218</v>
      </c>
      <c r="Q7" s="63">
        <f t="shared" si="2"/>
        <v>4943</v>
      </c>
      <c r="R7" s="75">
        <f t="shared" si="3"/>
        <v>-5.2702184745113068E-2</v>
      </c>
      <c r="S7" s="7"/>
    </row>
    <row r="8" spans="1:19" hidden="1" outlineLevel="1" x14ac:dyDescent="0.2">
      <c r="B8" s="9" t="s">
        <v>10</v>
      </c>
      <c r="C8" s="27">
        <v>4382</v>
      </c>
      <c r="D8" s="27">
        <v>4239</v>
      </c>
      <c r="E8" s="27">
        <v>4049</v>
      </c>
      <c r="F8" s="27">
        <v>3876</v>
      </c>
      <c r="G8" s="27">
        <v>3640</v>
      </c>
      <c r="H8" s="27">
        <v>3684</v>
      </c>
      <c r="I8" s="42">
        <v>3231</v>
      </c>
      <c r="J8" s="42">
        <v>3219</v>
      </c>
      <c r="K8" s="20"/>
      <c r="L8" s="20"/>
      <c r="M8" s="20"/>
      <c r="N8" s="48">
        <f t="shared" si="0"/>
        <v>13774</v>
      </c>
      <c r="P8" s="58">
        <f t="shared" si="1"/>
        <v>3231</v>
      </c>
      <c r="Q8" s="20">
        <f t="shared" si="2"/>
        <v>3219</v>
      </c>
      <c r="R8" s="59">
        <f t="shared" si="3"/>
        <v>-3.7140204271123491E-3</v>
      </c>
    </row>
    <row r="9" spans="1:19" s="8" customFormat="1" hidden="1" outlineLevel="1" x14ac:dyDescent="0.2">
      <c r="B9" s="12" t="s">
        <v>11</v>
      </c>
      <c r="C9" s="27">
        <v>1556</v>
      </c>
      <c r="D9" s="27">
        <v>1329</v>
      </c>
      <c r="E9" s="27">
        <v>1383</v>
      </c>
      <c r="F9" s="27">
        <v>1239</v>
      </c>
      <c r="G9" s="27">
        <v>1177</v>
      </c>
      <c r="H9" s="27">
        <v>1144</v>
      </c>
      <c r="I9" s="42">
        <v>1129</v>
      </c>
      <c r="J9" s="42">
        <v>1174</v>
      </c>
      <c r="K9" s="20"/>
      <c r="L9" s="20"/>
      <c r="M9" s="20"/>
      <c r="N9" s="48">
        <f t="shared" si="0"/>
        <v>4624</v>
      </c>
      <c r="P9" s="80">
        <f t="shared" si="1"/>
        <v>1129</v>
      </c>
      <c r="Q9" s="36">
        <f t="shared" si="2"/>
        <v>1174</v>
      </c>
      <c r="R9" s="76">
        <f t="shared" si="3"/>
        <v>3.9858281665190433E-2</v>
      </c>
    </row>
    <row r="10" spans="1:19" hidden="1" outlineLevel="1" x14ac:dyDescent="0.2">
      <c r="B10" s="12" t="s">
        <v>126</v>
      </c>
      <c r="C10" s="27">
        <v>348</v>
      </c>
      <c r="D10" s="27">
        <v>943</v>
      </c>
      <c r="E10" s="27">
        <v>5622</v>
      </c>
      <c r="F10" s="27">
        <v>57</v>
      </c>
      <c r="G10" s="27">
        <v>156</v>
      </c>
      <c r="H10" s="27">
        <v>1890</v>
      </c>
      <c r="I10" s="42">
        <v>175</v>
      </c>
      <c r="J10" s="42">
        <v>-30</v>
      </c>
      <c r="K10" s="20"/>
      <c r="L10" s="20"/>
      <c r="M10" s="20"/>
      <c r="N10" s="48">
        <f t="shared" si="0"/>
        <v>2191</v>
      </c>
      <c r="P10" s="58">
        <f t="shared" si="1"/>
        <v>175</v>
      </c>
      <c r="Q10" s="20">
        <f t="shared" si="2"/>
        <v>-30</v>
      </c>
      <c r="R10" s="59">
        <f t="shared" si="3"/>
        <v>-1.1714285714285715</v>
      </c>
    </row>
    <row r="11" spans="1:19" hidden="1" outlineLevel="1" x14ac:dyDescent="0.2">
      <c r="B11" s="12" t="s">
        <v>12</v>
      </c>
      <c r="C11" s="20">
        <f t="shared" ref="C11:I11" si="7">SUM(C8:C10)</f>
        <v>6286</v>
      </c>
      <c r="D11" s="20">
        <f t="shared" si="7"/>
        <v>6511</v>
      </c>
      <c r="E11" s="20">
        <f t="shared" si="7"/>
        <v>11054</v>
      </c>
      <c r="F11" s="20">
        <f t="shared" si="7"/>
        <v>5172</v>
      </c>
      <c r="G11" s="20">
        <f t="shared" si="7"/>
        <v>4973</v>
      </c>
      <c r="H11" s="20">
        <f t="shared" si="7"/>
        <v>6718</v>
      </c>
      <c r="I11" s="43">
        <f t="shared" si="7"/>
        <v>4535</v>
      </c>
      <c r="J11" s="43">
        <f t="shared" ref="J11" si="8">SUM(J8:J10)</f>
        <v>4363</v>
      </c>
      <c r="K11" s="20"/>
      <c r="L11" s="20"/>
      <c r="M11" s="20"/>
      <c r="N11" s="48">
        <f t="shared" si="0"/>
        <v>20589</v>
      </c>
      <c r="P11" s="58">
        <f t="shared" si="1"/>
        <v>4535</v>
      </c>
      <c r="Q11" s="20">
        <f>J11</f>
        <v>4363</v>
      </c>
      <c r="R11" s="59">
        <f t="shared" si="3"/>
        <v>-3.7927232635060641E-2</v>
      </c>
    </row>
    <row r="12" spans="1:19" s="18" customFormat="1" hidden="1" outlineLevel="1" x14ac:dyDescent="0.2">
      <c r="A12" s="7"/>
      <c r="B12" s="17" t="s">
        <v>13</v>
      </c>
      <c r="C12" s="60">
        <v>-1069</v>
      </c>
      <c r="D12" s="60">
        <v>-1964</v>
      </c>
      <c r="E12" s="60">
        <v>-9057</v>
      </c>
      <c r="F12" s="60">
        <v>412</v>
      </c>
      <c r="G12" s="60">
        <v>-301</v>
      </c>
      <c r="H12" s="60">
        <v>-3176</v>
      </c>
      <c r="I12" s="69">
        <v>683</v>
      </c>
      <c r="J12" s="69">
        <v>580</v>
      </c>
      <c r="K12" s="21"/>
      <c r="L12" s="21"/>
      <c r="M12" s="21"/>
      <c r="N12" s="68">
        <f t="shared" si="0"/>
        <v>-2214</v>
      </c>
      <c r="O12" s="7"/>
      <c r="P12" s="79">
        <f t="shared" si="1"/>
        <v>683</v>
      </c>
      <c r="Q12" s="63">
        <f t="shared" si="2"/>
        <v>580</v>
      </c>
      <c r="R12" s="75">
        <f t="shared" si="3"/>
        <v>-0.15080527086383602</v>
      </c>
      <c r="S12" s="7"/>
    </row>
    <row r="13" spans="1:19" hidden="1" outlineLevel="1" x14ac:dyDescent="0.2">
      <c r="B13" s="12" t="s">
        <v>128</v>
      </c>
      <c r="C13" s="27">
        <v>205</v>
      </c>
      <c r="D13" s="27">
        <v>-120</v>
      </c>
      <c r="E13" s="27">
        <v>-159</v>
      </c>
      <c r="F13" s="27">
        <v>316</v>
      </c>
      <c r="G13" s="27">
        <v>-112</v>
      </c>
      <c r="H13" s="27">
        <v>502</v>
      </c>
      <c r="I13" s="42">
        <v>221</v>
      </c>
      <c r="J13" s="42">
        <v>-97</v>
      </c>
      <c r="K13" s="20"/>
      <c r="L13" s="20"/>
      <c r="M13" s="20"/>
      <c r="N13" s="48">
        <f t="shared" si="0"/>
        <v>514</v>
      </c>
      <c r="P13" s="58">
        <f t="shared" si="1"/>
        <v>221</v>
      </c>
      <c r="Q13" s="20">
        <f t="shared" si="2"/>
        <v>-97</v>
      </c>
      <c r="R13" s="59">
        <f t="shared" si="3"/>
        <v>-1.4389140271493213</v>
      </c>
    </row>
    <row r="14" spans="1:19" hidden="1" outlineLevel="1" x14ac:dyDescent="0.2">
      <c r="B14" s="12" t="s">
        <v>48</v>
      </c>
      <c r="C14" s="27">
        <v>145</v>
      </c>
      <c r="D14" s="27">
        <v>80</v>
      </c>
      <c r="E14" s="27">
        <v>130</v>
      </c>
      <c r="F14" s="27">
        <v>-129</v>
      </c>
      <c r="G14" s="27">
        <v>-173</v>
      </c>
      <c r="H14" s="27">
        <v>-95</v>
      </c>
      <c r="I14" s="42">
        <v>3670</v>
      </c>
      <c r="J14" s="42">
        <v>-145</v>
      </c>
      <c r="K14" s="20"/>
      <c r="L14" s="20"/>
      <c r="M14" s="20"/>
      <c r="N14" s="48">
        <f t="shared" si="0"/>
        <v>3257</v>
      </c>
      <c r="P14" s="58">
        <f t="shared" si="1"/>
        <v>3670</v>
      </c>
      <c r="Q14" s="20">
        <f t="shared" si="2"/>
        <v>-145</v>
      </c>
      <c r="R14" s="59">
        <f t="shared" si="3"/>
        <v>-1.0395095367847411</v>
      </c>
    </row>
    <row r="15" spans="1:19" s="18" customFormat="1" hidden="1" outlineLevel="1" x14ac:dyDescent="0.2">
      <c r="A15" s="7"/>
      <c r="B15" s="17" t="s">
        <v>14</v>
      </c>
      <c r="C15" s="60">
        <v>-719</v>
      </c>
      <c r="D15" s="60">
        <v>-2004</v>
      </c>
      <c r="E15" s="60">
        <v>-9086</v>
      </c>
      <c r="F15" s="60">
        <v>599</v>
      </c>
      <c r="G15" s="60">
        <v>-586</v>
      </c>
      <c r="H15" s="60">
        <v>-2769</v>
      </c>
      <c r="I15" s="69">
        <v>4574</v>
      </c>
      <c r="J15" s="69">
        <v>338</v>
      </c>
      <c r="K15" s="21"/>
      <c r="L15" s="21"/>
      <c r="M15" s="21"/>
      <c r="N15" s="68">
        <f t="shared" si="0"/>
        <v>1557</v>
      </c>
      <c r="O15" s="7"/>
      <c r="P15" s="79">
        <f t="shared" si="1"/>
        <v>4574</v>
      </c>
      <c r="Q15" s="63">
        <f t="shared" si="2"/>
        <v>338</v>
      </c>
      <c r="R15" s="75">
        <f t="shared" si="3"/>
        <v>-0.92610406646261478</v>
      </c>
      <c r="S15" s="7"/>
    </row>
    <row r="16" spans="1:19" hidden="1" outlineLevel="1" x14ac:dyDescent="0.2">
      <c r="B16" s="12" t="s">
        <v>93</v>
      </c>
      <c r="C16" s="27">
        <v>282</v>
      </c>
      <c r="D16" s="27">
        <v>350</v>
      </c>
      <c r="E16" s="27">
        <v>-7903</v>
      </c>
      <c r="F16" s="27">
        <v>-752</v>
      </c>
      <c r="G16" s="27">
        <v>-301</v>
      </c>
      <c r="H16" s="27">
        <v>-255</v>
      </c>
      <c r="I16" s="42">
        <v>-304</v>
      </c>
      <c r="J16" s="42">
        <v>-671</v>
      </c>
      <c r="K16" s="20"/>
      <c r="L16" s="20"/>
      <c r="M16" s="20"/>
      <c r="N16" s="48">
        <f t="shared" si="0"/>
        <v>-1531</v>
      </c>
      <c r="P16" s="58">
        <f t="shared" si="1"/>
        <v>-304</v>
      </c>
      <c r="Q16" s="20">
        <f t="shared" si="2"/>
        <v>-671</v>
      </c>
      <c r="R16" s="59">
        <f t="shared" si="3"/>
        <v>-1.2072368421052631</v>
      </c>
    </row>
    <row r="17" spans="1:19" s="18" customFormat="1" hidden="1" outlineLevel="1" x14ac:dyDescent="0.2">
      <c r="A17" s="7"/>
      <c r="B17" s="34" t="s">
        <v>129</v>
      </c>
      <c r="C17" s="35">
        <v>-437</v>
      </c>
      <c r="D17" s="35">
        <v>-1654</v>
      </c>
      <c r="E17" s="35">
        <v>-16989</v>
      </c>
      <c r="F17" s="35">
        <v>-153</v>
      </c>
      <c r="G17" s="35">
        <v>-887</v>
      </c>
      <c r="H17" s="35">
        <v>-3024</v>
      </c>
      <c r="I17" s="44">
        <v>4270</v>
      </c>
      <c r="J17" s="44">
        <v>-333</v>
      </c>
      <c r="K17" s="21"/>
      <c r="L17" s="21"/>
      <c r="M17" s="21"/>
      <c r="N17" s="100">
        <f t="shared" si="0"/>
        <v>26</v>
      </c>
      <c r="O17" s="8"/>
      <c r="P17" s="81">
        <f t="shared" si="1"/>
        <v>4270</v>
      </c>
      <c r="Q17" s="82">
        <f t="shared" si="2"/>
        <v>-333</v>
      </c>
      <c r="R17" s="77">
        <f t="shared" si="3"/>
        <v>-1.0779859484777519</v>
      </c>
      <c r="S17" s="7"/>
    </row>
    <row r="18" spans="1:19" hidden="1" outlineLevel="1" x14ac:dyDescent="0.2">
      <c r="B18" s="12" t="s">
        <v>16</v>
      </c>
      <c r="C18" s="27">
        <v>-56</v>
      </c>
      <c r="D18" s="27">
        <v>-44</v>
      </c>
      <c r="E18" s="27">
        <v>-350</v>
      </c>
      <c r="F18" s="27">
        <v>-27</v>
      </c>
      <c r="G18" s="27">
        <v>-66</v>
      </c>
      <c r="H18" s="27">
        <v>-106</v>
      </c>
      <c r="I18" s="42">
        <v>207</v>
      </c>
      <c r="J18" s="42">
        <v>258</v>
      </c>
      <c r="K18" s="20"/>
      <c r="L18" s="20"/>
      <c r="M18" s="20"/>
      <c r="N18" s="48">
        <f t="shared" si="0"/>
        <v>293</v>
      </c>
      <c r="P18" s="58">
        <f t="shared" si="1"/>
        <v>207</v>
      </c>
      <c r="Q18" s="20">
        <f t="shared" si="2"/>
        <v>258</v>
      </c>
      <c r="R18" s="59">
        <f t="shared" si="3"/>
        <v>0.24637681159420291</v>
      </c>
    </row>
    <row r="19" spans="1:19" s="18" customFormat="1" hidden="1" outlineLevel="1" x14ac:dyDescent="0.2">
      <c r="A19" s="7"/>
      <c r="B19" s="17" t="s">
        <v>15</v>
      </c>
      <c r="C19" s="60">
        <v>-381</v>
      </c>
      <c r="D19" s="60">
        <v>-1610</v>
      </c>
      <c r="E19" s="60">
        <v>-16639</v>
      </c>
      <c r="F19" s="60">
        <v>-126</v>
      </c>
      <c r="G19" s="60">
        <v>-821</v>
      </c>
      <c r="H19" s="60">
        <v>-2918</v>
      </c>
      <c r="I19" s="69">
        <v>4063</v>
      </c>
      <c r="J19" s="69">
        <v>-591</v>
      </c>
      <c r="K19" s="21"/>
      <c r="L19" s="21"/>
      <c r="M19" s="21"/>
      <c r="N19" s="68">
        <f t="shared" si="0"/>
        <v>-267</v>
      </c>
      <c r="O19" s="7"/>
      <c r="P19" s="79">
        <f t="shared" si="1"/>
        <v>4063</v>
      </c>
      <c r="Q19" s="63">
        <f t="shared" si="2"/>
        <v>-591</v>
      </c>
      <c r="R19" s="75">
        <f t="shared" si="3"/>
        <v>-1.1454590204282551</v>
      </c>
      <c r="S19" s="7"/>
    </row>
    <row r="20" spans="1:19" hidden="1" outlineLevel="1" x14ac:dyDescent="0.2">
      <c r="B20" s="12" t="s">
        <v>17</v>
      </c>
      <c r="C20" s="27">
        <v>4242</v>
      </c>
      <c r="D20" s="27">
        <v>4267</v>
      </c>
      <c r="E20" s="27">
        <v>4292</v>
      </c>
      <c r="F20" s="27">
        <v>4319</v>
      </c>
      <c r="G20" s="27">
        <v>4343</v>
      </c>
      <c r="H20" s="27">
        <v>4369</v>
      </c>
      <c r="I20" s="42">
        <v>4514</v>
      </c>
      <c r="J20" s="42">
        <v>4856</v>
      </c>
      <c r="K20" s="20"/>
      <c r="L20" s="20"/>
      <c r="M20" s="20"/>
      <c r="N20" s="48">
        <f>AVERAGE(G20:J20)</f>
        <v>4520.5</v>
      </c>
      <c r="P20" s="58">
        <f t="shared" si="1"/>
        <v>4514</v>
      </c>
      <c r="Q20" s="20">
        <f t="shared" si="2"/>
        <v>4856</v>
      </c>
      <c r="R20" s="59">
        <f t="shared" si="3"/>
        <v>7.5764288879042976E-2</v>
      </c>
    </row>
    <row r="21" spans="1:19" hidden="1" outlineLevel="1" x14ac:dyDescent="0.2">
      <c r="B21" s="12" t="s">
        <v>18</v>
      </c>
      <c r="C21" s="27">
        <v>4242</v>
      </c>
      <c r="D21" s="27">
        <v>4267</v>
      </c>
      <c r="E21" s="27">
        <v>4292</v>
      </c>
      <c r="F21" s="27">
        <v>4319</v>
      </c>
      <c r="G21" s="27">
        <v>4343</v>
      </c>
      <c r="H21" s="27">
        <v>4369</v>
      </c>
      <c r="I21" s="42">
        <v>4531</v>
      </c>
      <c r="J21" s="42">
        <v>4856</v>
      </c>
      <c r="K21" s="20"/>
      <c r="L21" s="20"/>
      <c r="M21" s="20"/>
      <c r="N21" s="48">
        <f>AVERAGE((G21:J21))</f>
        <v>4524.75</v>
      </c>
      <c r="P21" s="58">
        <f t="shared" si="1"/>
        <v>4531</v>
      </c>
      <c r="Q21" s="20">
        <f t="shared" si="2"/>
        <v>4856</v>
      </c>
      <c r="R21" s="59">
        <f t="shared" si="3"/>
        <v>7.1728095343191342E-2</v>
      </c>
    </row>
    <row r="22" spans="1:19" hidden="1" outlineLevel="1" x14ac:dyDescent="0.2">
      <c r="B22" s="12" t="s">
        <v>19</v>
      </c>
      <c r="C22" s="31">
        <v>-0.09</v>
      </c>
      <c r="D22" s="31">
        <v>-0.38</v>
      </c>
      <c r="E22" s="31">
        <v>-3.88</v>
      </c>
      <c r="F22" s="31">
        <v>-0.03</v>
      </c>
      <c r="G22" s="31">
        <v>-0.19</v>
      </c>
      <c r="H22" s="31">
        <v>-0.67</v>
      </c>
      <c r="I22" s="45">
        <v>0.9</v>
      </c>
      <c r="J22" s="45">
        <v>-0.12</v>
      </c>
      <c r="K22" s="25"/>
      <c r="L22" s="25"/>
      <c r="M22" s="25"/>
      <c r="N22" s="49">
        <f>N19/N20</f>
        <v>-5.9064262802787301E-2</v>
      </c>
      <c r="P22" s="83">
        <f t="shared" si="1"/>
        <v>0.9</v>
      </c>
      <c r="Q22" s="84">
        <f t="shared" si="2"/>
        <v>-0.12</v>
      </c>
      <c r="R22" s="59">
        <f t="shared" si="3"/>
        <v>-1.1333333333333333</v>
      </c>
    </row>
    <row r="23" spans="1:19" s="16" customFormat="1" ht="17" hidden="1" outlineLevel="1" thickBot="1" x14ac:dyDescent="0.25">
      <c r="A23" s="1"/>
      <c r="B23" s="10" t="s">
        <v>20</v>
      </c>
      <c r="C23" s="32">
        <v>-0.09</v>
      </c>
      <c r="D23" s="32">
        <v>-0.38</v>
      </c>
      <c r="E23" s="32">
        <v>-3.88</v>
      </c>
      <c r="F23" s="32">
        <v>-0.03</v>
      </c>
      <c r="G23" s="32">
        <v>-0.19</v>
      </c>
      <c r="H23" s="32">
        <v>-0.67</v>
      </c>
      <c r="I23" s="46">
        <v>0.9</v>
      </c>
      <c r="J23" s="46">
        <v>-0.12</v>
      </c>
      <c r="K23" s="25"/>
      <c r="L23" s="25"/>
      <c r="M23" s="25"/>
      <c r="N23" s="50">
        <f>N19/N21</f>
        <v>-5.9008785015746724E-2</v>
      </c>
      <c r="O23" s="1"/>
      <c r="P23" s="85">
        <f t="shared" si="1"/>
        <v>0.9</v>
      </c>
      <c r="Q23" s="86">
        <f t="shared" si="2"/>
        <v>-0.12</v>
      </c>
      <c r="R23" s="78">
        <f t="shared" si="3"/>
        <v>-1.1333333333333333</v>
      </c>
      <c r="S23" s="1"/>
    </row>
    <row r="24" spans="1:19" s="16" customFormat="1" ht="17" collapsed="1" thickBot="1" x14ac:dyDescent="0.25">
      <c r="A24" s="1"/>
      <c r="B24" s="6"/>
      <c r="E24" s="6"/>
      <c r="F24" s="6"/>
      <c r="G24" s="6"/>
      <c r="H24" s="6"/>
      <c r="I24" s="6"/>
      <c r="J24" s="6"/>
      <c r="K24" s="8"/>
      <c r="L24" s="8"/>
      <c r="M24" s="8"/>
      <c r="O24" s="1"/>
      <c r="S24" s="1"/>
    </row>
    <row r="25" spans="1:19" s="14" customFormat="1" ht="17" thickBot="1" x14ac:dyDescent="0.25">
      <c r="A25" s="4"/>
      <c r="B25" s="15" t="s">
        <v>21</v>
      </c>
      <c r="K25" s="4"/>
      <c r="L25" s="4"/>
      <c r="M25" s="4"/>
      <c r="O25" s="4"/>
      <c r="S25" s="4"/>
    </row>
    <row r="26" spans="1:19" hidden="1" outlineLevel="1" x14ac:dyDescent="0.2">
      <c r="B26" s="9" t="s">
        <v>22</v>
      </c>
      <c r="C26" s="27">
        <v>6923</v>
      </c>
      <c r="D26" s="27">
        <v>11287</v>
      </c>
      <c r="E26" s="27">
        <v>8785</v>
      </c>
      <c r="F26" s="27">
        <v>8249</v>
      </c>
      <c r="G26" s="27">
        <v>8947</v>
      </c>
      <c r="H26" s="27">
        <v>9643</v>
      </c>
      <c r="I26" s="27">
        <v>11141</v>
      </c>
      <c r="J26" s="27">
        <v>14265</v>
      </c>
      <c r="K26" s="20"/>
      <c r="L26" s="20"/>
      <c r="M26" s="20"/>
    </row>
    <row r="27" spans="1:19" hidden="1" outlineLevel="1" x14ac:dyDescent="0.2">
      <c r="B27" s="9" t="s">
        <v>130</v>
      </c>
      <c r="C27" s="27">
        <v>14388</v>
      </c>
      <c r="D27" s="27">
        <v>17986</v>
      </c>
      <c r="E27" s="27">
        <v>15301</v>
      </c>
      <c r="F27" s="27">
        <v>13813</v>
      </c>
      <c r="G27" s="27">
        <v>12101</v>
      </c>
      <c r="H27" s="27">
        <v>11563</v>
      </c>
      <c r="I27" s="27">
        <v>19794</v>
      </c>
      <c r="J27" s="27">
        <v>23151</v>
      </c>
      <c r="K27" s="20"/>
      <c r="L27" s="20"/>
      <c r="M27" s="20"/>
    </row>
    <row r="28" spans="1:19" hidden="1" outlineLevel="1" x14ac:dyDescent="0.2">
      <c r="B28" s="9" t="s">
        <v>131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0"/>
      <c r="L28" s="20"/>
      <c r="M28" s="20"/>
    </row>
    <row r="29" spans="1:19" hidden="1" outlineLevel="1" x14ac:dyDescent="0.2">
      <c r="B29" s="9" t="s">
        <v>24</v>
      </c>
      <c r="C29" s="27">
        <v>3323</v>
      </c>
      <c r="D29" s="27">
        <v>3131</v>
      </c>
      <c r="E29" s="27">
        <v>3121</v>
      </c>
      <c r="F29" s="27">
        <v>3478</v>
      </c>
      <c r="G29" s="27">
        <v>3064</v>
      </c>
      <c r="H29" s="27">
        <v>2360</v>
      </c>
      <c r="I29" s="27">
        <v>3202</v>
      </c>
      <c r="J29" s="27">
        <v>3839</v>
      </c>
      <c r="K29" s="20"/>
      <c r="L29" s="20"/>
      <c r="M29" s="20"/>
    </row>
    <row r="30" spans="1:19" hidden="1" outlineLevel="1" x14ac:dyDescent="0.2">
      <c r="B30" s="9" t="s">
        <v>25</v>
      </c>
      <c r="C30" s="27">
        <v>11494</v>
      </c>
      <c r="D30" s="27">
        <v>11244</v>
      </c>
      <c r="E30" s="27">
        <v>12062</v>
      </c>
      <c r="F30" s="27">
        <v>12198</v>
      </c>
      <c r="G30" s="27">
        <v>12281</v>
      </c>
      <c r="H30" s="27">
        <v>11377</v>
      </c>
      <c r="I30" s="27">
        <v>11489</v>
      </c>
      <c r="J30" s="27">
        <v>11618</v>
      </c>
      <c r="K30" s="20"/>
      <c r="L30" s="20"/>
      <c r="M30" s="20"/>
    </row>
    <row r="31" spans="1:19" hidden="1" outlineLevel="1" x14ac:dyDescent="0.2">
      <c r="B31" s="9" t="s">
        <v>49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0"/>
      <c r="L31" s="20"/>
      <c r="M31" s="20"/>
    </row>
    <row r="32" spans="1:19" hidden="1" outlineLevel="1" x14ac:dyDescent="0.2">
      <c r="B32" s="9" t="s">
        <v>26</v>
      </c>
      <c r="C32" s="27">
        <v>6480</v>
      </c>
      <c r="D32" s="27">
        <v>7181</v>
      </c>
      <c r="E32" s="27">
        <v>6868</v>
      </c>
      <c r="F32" s="27">
        <v>9586</v>
      </c>
      <c r="G32" s="27">
        <v>5741</v>
      </c>
      <c r="H32" s="27">
        <v>8432</v>
      </c>
      <c r="I32" s="27">
        <v>6105</v>
      </c>
      <c r="J32" s="27">
        <v>10815</v>
      </c>
      <c r="K32" s="20"/>
      <c r="L32" s="20"/>
      <c r="M32" s="20"/>
    </row>
    <row r="33" spans="1:19" s="7" customFormat="1" hidden="1" outlineLevel="1" x14ac:dyDescent="0.2">
      <c r="B33" s="11" t="s">
        <v>27</v>
      </c>
      <c r="C33" s="64">
        <v>42608</v>
      </c>
      <c r="D33" s="64">
        <v>50829</v>
      </c>
      <c r="E33" s="64">
        <v>46137</v>
      </c>
      <c r="F33" s="64">
        <v>47324</v>
      </c>
      <c r="G33" s="64">
        <v>42134</v>
      </c>
      <c r="H33" s="64">
        <v>43375</v>
      </c>
      <c r="I33" s="64">
        <v>51731</v>
      </c>
      <c r="J33" s="64">
        <v>63688</v>
      </c>
      <c r="K33" s="21"/>
      <c r="L33" s="21"/>
      <c r="M33" s="21"/>
    </row>
    <row r="34" spans="1:19" hidden="1" outlineLevel="1" x14ac:dyDescent="0.2">
      <c r="B34" s="99" t="s">
        <v>28</v>
      </c>
      <c r="C34" s="27">
        <v>99924</v>
      </c>
      <c r="D34" s="27">
        <v>103398</v>
      </c>
      <c r="E34" s="27">
        <v>104248</v>
      </c>
      <c r="F34" s="27">
        <v>107919</v>
      </c>
      <c r="G34" s="27">
        <v>109763</v>
      </c>
      <c r="H34" s="27">
        <v>109510</v>
      </c>
      <c r="I34" s="27">
        <v>105047</v>
      </c>
      <c r="J34" s="27">
        <v>105414</v>
      </c>
      <c r="K34" s="20"/>
      <c r="L34" s="20"/>
      <c r="M34" s="20"/>
    </row>
    <row r="35" spans="1:19" hidden="1" outlineLevel="1" x14ac:dyDescent="0.2">
      <c r="B35" s="9" t="s">
        <v>23</v>
      </c>
      <c r="C35" s="27">
        <v>6139</v>
      </c>
      <c r="D35" s="27">
        <v>5824</v>
      </c>
      <c r="E35" s="27">
        <v>5496</v>
      </c>
      <c r="F35" s="27">
        <v>5383</v>
      </c>
      <c r="G35" s="27">
        <v>5027</v>
      </c>
      <c r="H35" s="27">
        <v>5383</v>
      </c>
      <c r="I35" s="27">
        <v>8667</v>
      </c>
      <c r="J35" s="27">
        <v>8512</v>
      </c>
      <c r="K35" s="20"/>
      <c r="L35" s="20"/>
      <c r="M35" s="20"/>
    </row>
    <row r="36" spans="1:19" hidden="1" outlineLevel="1" x14ac:dyDescent="0.2">
      <c r="B36" s="9" t="s">
        <v>132</v>
      </c>
      <c r="C36" s="27">
        <v>0</v>
      </c>
      <c r="D36" s="27">
        <v>0</v>
      </c>
      <c r="E36" s="27">
        <v>0</v>
      </c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0"/>
      <c r="L36" s="20"/>
      <c r="M36" s="20"/>
    </row>
    <row r="37" spans="1:19" hidden="1" outlineLevel="1" x14ac:dyDescent="0.2">
      <c r="B37" s="9" t="s">
        <v>29</v>
      </c>
      <c r="C37" s="27">
        <v>27440</v>
      </c>
      <c r="D37" s="27">
        <v>27442</v>
      </c>
      <c r="E37" s="27">
        <v>24680</v>
      </c>
      <c r="F37" s="27">
        <v>24693</v>
      </c>
      <c r="G37" s="27">
        <v>24693</v>
      </c>
      <c r="H37" s="27">
        <v>23912</v>
      </c>
      <c r="I37" s="27">
        <v>23912</v>
      </c>
      <c r="J37" s="27">
        <v>23912</v>
      </c>
      <c r="K37" s="20"/>
      <c r="L37" s="20"/>
      <c r="M37" s="20"/>
    </row>
    <row r="38" spans="1:19" hidden="1" outlineLevel="1" x14ac:dyDescent="0.2">
      <c r="B38" s="9" t="s">
        <v>133</v>
      </c>
      <c r="C38" s="27">
        <v>4675</v>
      </c>
      <c r="D38" s="27">
        <v>4383</v>
      </c>
      <c r="E38" s="27">
        <v>3975</v>
      </c>
      <c r="F38" s="27">
        <v>3691</v>
      </c>
      <c r="G38" s="27">
        <v>3568</v>
      </c>
      <c r="H38" s="27">
        <v>3057</v>
      </c>
      <c r="I38" s="27">
        <v>2877</v>
      </c>
      <c r="J38" s="27">
        <v>2772</v>
      </c>
      <c r="K38" s="20"/>
      <c r="L38" s="20"/>
      <c r="M38" s="20"/>
    </row>
    <row r="39" spans="1:19" hidden="1" outlineLevel="1" x14ac:dyDescent="0.2">
      <c r="B39" s="9" t="s">
        <v>30</v>
      </c>
      <c r="C39" s="27">
        <v>11947</v>
      </c>
      <c r="D39" s="27">
        <v>14329</v>
      </c>
      <c r="E39" s="27">
        <v>9006</v>
      </c>
      <c r="F39" s="27">
        <v>7475</v>
      </c>
      <c r="G39" s="27">
        <v>7057</v>
      </c>
      <c r="H39" s="27">
        <v>7283</v>
      </c>
      <c r="I39" s="27">
        <v>12280</v>
      </c>
      <c r="J39" s="27">
        <v>7131</v>
      </c>
      <c r="K39" s="20"/>
      <c r="L39" s="20"/>
      <c r="M39" s="20"/>
    </row>
    <row r="40" spans="1:19" s="7" customFormat="1" hidden="1" outlineLevel="1" x14ac:dyDescent="0.2">
      <c r="B40" s="11" t="s">
        <v>31</v>
      </c>
      <c r="C40" s="65">
        <f t="shared" ref="C40:I40" si="9">SUM(C34:C39)</f>
        <v>150125</v>
      </c>
      <c r="D40" s="65">
        <f t="shared" si="9"/>
        <v>155376</v>
      </c>
      <c r="E40" s="65">
        <f t="shared" si="9"/>
        <v>147405</v>
      </c>
      <c r="F40" s="65">
        <f t="shared" si="9"/>
        <v>149161</v>
      </c>
      <c r="G40" s="65">
        <f t="shared" si="9"/>
        <v>150108</v>
      </c>
      <c r="H40" s="65">
        <f t="shared" si="9"/>
        <v>149145</v>
      </c>
      <c r="I40" s="65">
        <f t="shared" si="9"/>
        <v>152783</v>
      </c>
      <c r="J40" s="65">
        <f t="shared" ref="J40" si="10">SUM(J34:J39)</f>
        <v>147741</v>
      </c>
      <c r="K40" s="21"/>
      <c r="L40" s="21"/>
      <c r="M40" s="21"/>
    </row>
    <row r="41" spans="1:19" s="18" customFormat="1" hidden="1" outlineLevel="1" x14ac:dyDescent="0.2">
      <c r="A41" s="7"/>
      <c r="B41" s="17" t="s">
        <v>32</v>
      </c>
      <c r="C41" s="60">
        <v>192733</v>
      </c>
      <c r="D41" s="60">
        <v>206205</v>
      </c>
      <c r="E41" s="60">
        <v>193542</v>
      </c>
      <c r="F41" s="60">
        <v>196485</v>
      </c>
      <c r="G41" s="60">
        <v>192242</v>
      </c>
      <c r="H41" s="60">
        <v>192520</v>
      </c>
      <c r="I41" s="60">
        <v>204514</v>
      </c>
      <c r="J41" s="60">
        <v>211429</v>
      </c>
      <c r="K41" s="21"/>
      <c r="L41" s="21"/>
      <c r="M41" s="21"/>
      <c r="O41" s="7"/>
      <c r="S41" s="7"/>
    </row>
    <row r="42" spans="1:19" hidden="1" outlineLevel="1" x14ac:dyDescent="0.2">
      <c r="B42" s="9" t="s">
        <v>34</v>
      </c>
      <c r="C42" s="27">
        <v>4581</v>
      </c>
      <c r="D42" s="27">
        <v>4695</v>
      </c>
      <c r="E42" s="27">
        <v>3765</v>
      </c>
      <c r="F42" s="27">
        <v>3729</v>
      </c>
      <c r="G42" s="27">
        <v>5240</v>
      </c>
      <c r="H42" s="27">
        <v>6731</v>
      </c>
      <c r="I42" s="27">
        <v>2496</v>
      </c>
      <c r="J42" s="27">
        <v>2499</v>
      </c>
      <c r="K42" s="20"/>
      <c r="L42" s="20"/>
      <c r="M42" s="20"/>
    </row>
    <row r="43" spans="1:19" hidden="1" outlineLevel="1" x14ac:dyDescent="0.2">
      <c r="B43" s="9" t="s">
        <v>33</v>
      </c>
      <c r="C43" s="27">
        <v>8559</v>
      </c>
      <c r="D43" s="27">
        <v>9618</v>
      </c>
      <c r="E43" s="27">
        <v>11074</v>
      </c>
      <c r="F43" s="27">
        <v>12556</v>
      </c>
      <c r="G43" s="27">
        <v>10896</v>
      </c>
      <c r="H43" s="27">
        <v>10666</v>
      </c>
      <c r="I43" s="27">
        <v>10268</v>
      </c>
      <c r="J43" s="27">
        <v>9882</v>
      </c>
      <c r="K43" s="20"/>
      <c r="L43" s="20"/>
      <c r="M43" s="20"/>
    </row>
    <row r="44" spans="1:19" hidden="1" outlineLevel="1" x14ac:dyDescent="0.2">
      <c r="B44" s="9" t="s">
        <v>134</v>
      </c>
      <c r="C44" s="27">
        <v>2506</v>
      </c>
      <c r="D44" s="27">
        <v>2651</v>
      </c>
      <c r="E44" s="27">
        <v>5015</v>
      </c>
      <c r="F44" s="27">
        <v>3343</v>
      </c>
      <c r="G44" s="27">
        <v>2652</v>
      </c>
      <c r="H44" s="27">
        <v>4249</v>
      </c>
      <c r="I44" s="27">
        <v>3756</v>
      </c>
      <c r="J44" s="27">
        <v>3990</v>
      </c>
      <c r="K44" s="20"/>
      <c r="L44" s="20"/>
      <c r="M44" s="20"/>
    </row>
    <row r="45" spans="1:19" hidden="1" outlineLevel="1" x14ac:dyDescent="0.2">
      <c r="B45" s="9" t="s">
        <v>139</v>
      </c>
      <c r="C45" s="27">
        <v>346</v>
      </c>
      <c r="D45" s="27">
        <v>1856</v>
      </c>
      <c r="E45" s="27">
        <v>2440</v>
      </c>
      <c r="F45" s="27">
        <v>1756</v>
      </c>
      <c r="G45" s="27">
        <v>1873</v>
      </c>
      <c r="H45" s="27">
        <v>887</v>
      </c>
      <c r="I45" s="27">
        <v>825</v>
      </c>
      <c r="J45" s="27">
        <v>604</v>
      </c>
      <c r="K45" s="20"/>
      <c r="L45" s="20"/>
      <c r="M45" s="20"/>
    </row>
    <row r="46" spans="1:19" hidden="1" outlineLevel="1" x14ac:dyDescent="0.2">
      <c r="B46" s="9" t="s">
        <v>135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0"/>
      <c r="L46" s="20"/>
      <c r="M46" s="20"/>
    </row>
    <row r="47" spans="1:19" hidden="1" outlineLevel="1" x14ac:dyDescent="0.2">
      <c r="B47" s="9" t="s">
        <v>49</v>
      </c>
      <c r="C47" s="27">
        <v>0</v>
      </c>
      <c r="D47" s="27">
        <v>0</v>
      </c>
      <c r="E47" s="27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0"/>
      <c r="L47" s="20"/>
      <c r="M47" s="20"/>
    </row>
    <row r="48" spans="1:19" hidden="1" outlineLevel="1" x14ac:dyDescent="0.2">
      <c r="B48" s="9" t="s">
        <v>35</v>
      </c>
      <c r="C48" s="27">
        <v>11221</v>
      </c>
      <c r="D48" s="27">
        <v>13207</v>
      </c>
      <c r="E48" s="27">
        <v>12865</v>
      </c>
      <c r="F48" s="27">
        <v>14282</v>
      </c>
      <c r="G48" s="27">
        <v>11513</v>
      </c>
      <c r="H48" s="27">
        <v>12433</v>
      </c>
      <c r="I48" s="27">
        <v>14952</v>
      </c>
      <c r="J48" s="27">
        <v>14600</v>
      </c>
      <c r="K48" s="20"/>
      <c r="L48" s="20"/>
      <c r="M48" s="20"/>
    </row>
    <row r="49" spans="1:19" s="7" customFormat="1" hidden="1" outlineLevel="1" x14ac:dyDescent="0.2">
      <c r="B49" s="11" t="s">
        <v>40</v>
      </c>
      <c r="C49" s="64">
        <v>27213</v>
      </c>
      <c r="D49" s="64">
        <v>32027</v>
      </c>
      <c r="E49" s="64">
        <v>35159</v>
      </c>
      <c r="F49" s="64">
        <v>35666</v>
      </c>
      <c r="G49" s="64">
        <v>32174</v>
      </c>
      <c r="H49" s="64">
        <v>34966</v>
      </c>
      <c r="I49" s="64">
        <v>32297</v>
      </c>
      <c r="J49" s="64">
        <v>31575</v>
      </c>
      <c r="K49" s="21"/>
      <c r="L49" s="21"/>
      <c r="M49" s="21"/>
    </row>
    <row r="50" spans="1:19" hidden="1" outlineLevel="1" x14ac:dyDescent="0.2">
      <c r="B50" s="9" t="s">
        <v>36</v>
      </c>
      <c r="C50" s="27">
        <v>47869</v>
      </c>
      <c r="D50" s="27">
        <v>48334</v>
      </c>
      <c r="E50" s="27">
        <v>46471</v>
      </c>
      <c r="F50" s="27">
        <v>46282</v>
      </c>
      <c r="G50" s="27">
        <v>44911</v>
      </c>
      <c r="H50" s="27">
        <v>44026</v>
      </c>
      <c r="I50" s="27">
        <v>44057</v>
      </c>
      <c r="J50" s="27">
        <v>44086</v>
      </c>
      <c r="K50" s="20"/>
      <c r="L50" s="20"/>
      <c r="M50" s="20"/>
    </row>
    <row r="51" spans="1:19" hidden="1" outlineLevel="1" x14ac:dyDescent="0.2">
      <c r="B51" s="9" t="s">
        <v>138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hidden="1" outlineLevel="1" x14ac:dyDescent="0.2">
      <c r="B52" s="9" t="s">
        <v>139</v>
      </c>
      <c r="C52" s="27">
        <v>0</v>
      </c>
      <c r="D52" s="27">
        <v>0</v>
      </c>
      <c r="E52" s="27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0"/>
      <c r="L52" s="20"/>
      <c r="M52" s="20"/>
    </row>
    <row r="53" spans="1:19" hidden="1" outlineLevel="1" x14ac:dyDescent="0.2">
      <c r="B53" s="9" t="s">
        <v>136</v>
      </c>
      <c r="C53" s="27">
        <v>0</v>
      </c>
      <c r="D53" s="27">
        <v>0</v>
      </c>
      <c r="E53" s="27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hidden="1" outlineLevel="1" x14ac:dyDescent="0.2">
      <c r="B54" s="9" t="s">
        <v>37</v>
      </c>
      <c r="C54" s="27">
        <v>6895</v>
      </c>
      <c r="D54" s="27">
        <v>5410</v>
      </c>
      <c r="E54" s="27">
        <v>7048</v>
      </c>
      <c r="F54" s="27">
        <v>9505</v>
      </c>
      <c r="G54" s="27">
        <v>8744</v>
      </c>
      <c r="H54" s="27">
        <v>7777</v>
      </c>
      <c r="I54" s="27">
        <v>11430</v>
      </c>
      <c r="J54" s="27">
        <v>9408</v>
      </c>
      <c r="K54" s="20"/>
      <c r="L54" s="20"/>
      <c r="M54" s="20"/>
    </row>
    <row r="55" spans="1:19" s="7" customFormat="1" hidden="1" outlineLevel="1" x14ac:dyDescent="0.2">
      <c r="B55" s="11" t="s">
        <v>38</v>
      </c>
      <c r="C55" s="65">
        <f>SUM(C50:C54)</f>
        <v>54764</v>
      </c>
      <c r="D55" s="65">
        <f t="shared" ref="D55:I55" si="11">SUM(D50:D54)</f>
        <v>53744</v>
      </c>
      <c r="E55" s="65">
        <f t="shared" si="11"/>
        <v>53519</v>
      </c>
      <c r="F55" s="65">
        <f t="shared" si="11"/>
        <v>55787</v>
      </c>
      <c r="G55" s="65">
        <f t="shared" si="11"/>
        <v>53655</v>
      </c>
      <c r="H55" s="65">
        <f t="shared" si="11"/>
        <v>51803</v>
      </c>
      <c r="I55" s="65">
        <f t="shared" si="11"/>
        <v>55487</v>
      </c>
      <c r="J55" s="65">
        <f t="shared" ref="J55" si="12">SUM(J50:J54)</f>
        <v>53494</v>
      </c>
      <c r="K55" s="21"/>
      <c r="L55" s="21"/>
      <c r="M55" s="21"/>
    </row>
    <row r="56" spans="1:19" s="18" customFormat="1" hidden="1" outlineLevel="1" x14ac:dyDescent="0.2">
      <c r="A56" s="7"/>
      <c r="B56" s="17" t="s">
        <v>39</v>
      </c>
      <c r="C56" s="63">
        <f t="shared" ref="C56:H56" si="13">C49+C55</f>
        <v>81977</v>
      </c>
      <c r="D56" s="63">
        <f t="shared" si="13"/>
        <v>85771</v>
      </c>
      <c r="E56" s="63">
        <f t="shared" si="13"/>
        <v>88678</v>
      </c>
      <c r="F56" s="63">
        <f t="shared" si="13"/>
        <v>91453</v>
      </c>
      <c r="G56" s="63">
        <f t="shared" si="13"/>
        <v>85829</v>
      </c>
      <c r="H56" s="63">
        <f t="shared" si="13"/>
        <v>86769</v>
      </c>
      <c r="I56" s="63">
        <f>I49+I55</f>
        <v>87784</v>
      </c>
      <c r="J56" s="63">
        <f>J49+J55</f>
        <v>85069</v>
      </c>
      <c r="K56" s="21"/>
      <c r="L56" s="21"/>
      <c r="M56" s="21"/>
      <c r="O56" s="7"/>
      <c r="S56" s="7"/>
    </row>
    <row r="57" spans="1:19" hidden="1" outlineLevel="1" x14ac:dyDescent="0.2">
      <c r="B57" s="9" t="s">
        <v>41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hidden="1" outlineLevel="1" x14ac:dyDescent="0.2">
      <c r="B58" s="9" t="s">
        <v>42</v>
      </c>
      <c r="C58" s="27">
        <v>38291</v>
      </c>
      <c r="D58" s="27">
        <v>49763</v>
      </c>
      <c r="E58" s="27">
        <v>50665</v>
      </c>
      <c r="F58" s="27">
        <v>50949</v>
      </c>
      <c r="G58" s="27">
        <v>51920</v>
      </c>
      <c r="H58" s="27">
        <v>52334</v>
      </c>
      <c r="I58" s="27">
        <v>56755</v>
      </c>
      <c r="J58" s="27">
        <v>65185</v>
      </c>
      <c r="K58" s="20"/>
      <c r="L58" s="20"/>
      <c r="M58" s="20"/>
    </row>
    <row r="59" spans="1:19" hidden="1" outlineLevel="1" x14ac:dyDescent="0.2">
      <c r="B59" s="9" t="s">
        <v>44</v>
      </c>
      <c r="C59" s="27">
        <v>-542</v>
      </c>
      <c r="D59" s="27">
        <v>-696</v>
      </c>
      <c r="E59" s="27">
        <v>-185</v>
      </c>
      <c r="F59" s="27">
        <v>-711</v>
      </c>
      <c r="G59" s="27">
        <v>-486</v>
      </c>
      <c r="H59" s="27">
        <v>65</v>
      </c>
      <c r="I59" s="27">
        <v>19</v>
      </c>
      <c r="J59" s="27">
        <v>113</v>
      </c>
      <c r="K59" s="20"/>
      <c r="L59" s="20"/>
      <c r="M59" s="20"/>
    </row>
    <row r="60" spans="1:19" hidden="1" outlineLevel="1" x14ac:dyDescent="0.2">
      <c r="B60" s="9" t="s">
        <v>43</v>
      </c>
      <c r="C60" s="27">
        <v>68224</v>
      </c>
      <c r="D60" s="27">
        <v>66162</v>
      </c>
      <c r="E60" s="27">
        <v>49052</v>
      </c>
      <c r="F60" s="27">
        <v>49032</v>
      </c>
      <c r="G60" s="27">
        <v>48322</v>
      </c>
      <c r="H60" s="27">
        <v>45484</v>
      </c>
      <c r="I60" s="27">
        <v>49602</v>
      </c>
      <c r="J60" s="27">
        <v>48983</v>
      </c>
      <c r="K60" s="20"/>
      <c r="L60" s="20"/>
      <c r="M60" s="20"/>
    </row>
    <row r="61" spans="1:19" s="7" customFormat="1" hidden="1" outlineLevel="1" x14ac:dyDescent="0.2">
      <c r="B61" s="11" t="s">
        <v>45</v>
      </c>
      <c r="C61" s="64">
        <v>105973</v>
      </c>
      <c r="D61" s="64">
        <v>115229</v>
      </c>
      <c r="E61" s="64">
        <v>99532</v>
      </c>
      <c r="F61" s="64">
        <v>99270</v>
      </c>
      <c r="G61" s="64">
        <v>99756</v>
      </c>
      <c r="H61" s="64">
        <v>97883</v>
      </c>
      <c r="I61" s="64">
        <v>106376</v>
      </c>
      <c r="J61" s="64">
        <v>114281</v>
      </c>
      <c r="K61" s="21"/>
      <c r="L61" s="21"/>
      <c r="M61" s="21"/>
    </row>
    <row r="62" spans="1:19" hidden="1" outlineLevel="1" x14ac:dyDescent="0.2">
      <c r="B62" s="9" t="s">
        <v>137</v>
      </c>
      <c r="C62" s="27">
        <v>0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hidden="1" outlineLevel="1" x14ac:dyDescent="0.2">
      <c r="B63" s="9" t="s">
        <v>140</v>
      </c>
      <c r="C63" s="36">
        <f t="shared" ref="C63:H63" si="14">C61+C62</f>
        <v>105973</v>
      </c>
      <c r="D63" s="36">
        <f t="shared" si="14"/>
        <v>115229</v>
      </c>
      <c r="E63" s="36">
        <f t="shared" si="14"/>
        <v>99532</v>
      </c>
      <c r="F63" s="36">
        <f t="shared" si="14"/>
        <v>99270</v>
      </c>
      <c r="G63" s="36">
        <f t="shared" si="14"/>
        <v>99756</v>
      </c>
      <c r="H63" s="36">
        <f t="shared" si="14"/>
        <v>97883</v>
      </c>
      <c r="I63" s="36">
        <f>I61+I62</f>
        <v>106376</v>
      </c>
      <c r="J63" s="36">
        <f>J61+J62</f>
        <v>114281</v>
      </c>
      <c r="K63" s="20"/>
      <c r="L63" s="20"/>
      <c r="M63" s="20"/>
    </row>
    <row r="64" spans="1:19" hidden="1" outlineLevel="1" x14ac:dyDescent="0.2">
      <c r="B64" s="9" t="s">
        <v>141</v>
      </c>
      <c r="C64" s="27">
        <v>4783</v>
      </c>
      <c r="D64" s="27">
        <v>5205</v>
      </c>
      <c r="E64" s="27">
        <v>5332</v>
      </c>
      <c r="F64" s="27">
        <v>5762</v>
      </c>
      <c r="G64" s="27">
        <v>6657</v>
      </c>
      <c r="H64" s="27">
        <v>7868</v>
      </c>
      <c r="I64" s="27">
        <v>10354</v>
      </c>
      <c r="J64" s="27">
        <v>12079</v>
      </c>
      <c r="K64" s="20"/>
      <c r="L64" s="20"/>
      <c r="M64" s="20"/>
    </row>
    <row r="65" spans="1:19" s="8" customFormat="1" hidden="1" outlineLevel="1" x14ac:dyDescent="0.2">
      <c r="B65" s="12" t="s">
        <v>46</v>
      </c>
      <c r="C65" s="36">
        <f t="shared" ref="C65:H65" si="15">C63+C64</f>
        <v>110756</v>
      </c>
      <c r="D65" s="36">
        <f t="shared" si="15"/>
        <v>120434</v>
      </c>
      <c r="E65" s="36">
        <f t="shared" si="15"/>
        <v>104864</v>
      </c>
      <c r="F65" s="36">
        <f t="shared" si="15"/>
        <v>105032</v>
      </c>
      <c r="G65" s="36">
        <f t="shared" si="15"/>
        <v>106413</v>
      </c>
      <c r="H65" s="36">
        <f t="shared" si="15"/>
        <v>105751</v>
      </c>
      <c r="I65" s="36">
        <f>I63+I64</f>
        <v>116730</v>
      </c>
      <c r="J65" s="36">
        <f>J63+J64</f>
        <v>126360</v>
      </c>
      <c r="K65" s="20"/>
      <c r="L65" s="20"/>
      <c r="M65" s="20"/>
    </row>
    <row r="66" spans="1:19" s="13" customFormat="1" ht="17" hidden="1" outlineLevel="1" thickBot="1" x14ac:dyDescent="0.25">
      <c r="A66" s="7"/>
      <c r="B66" s="19" t="s">
        <v>47</v>
      </c>
      <c r="C66" s="67">
        <v>192733</v>
      </c>
      <c r="D66" s="67">
        <v>206205</v>
      </c>
      <c r="E66" s="67">
        <v>193542</v>
      </c>
      <c r="F66" s="67">
        <v>196485</v>
      </c>
      <c r="G66" s="67">
        <v>192242</v>
      </c>
      <c r="H66" s="67">
        <v>192520</v>
      </c>
      <c r="I66" s="67">
        <v>204514</v>
      </c>
      <c r="J66" s="67">
        <v>211429</v>
      </c>
      <c r="K66" s="21"/>
      <c r="L66" s="21"/>
      <c r="M66" s="21"/>
      <c r="O66" s="7"/>
      <c r="S66" s="7"/>
    </row>
    <row r="67" spans="1:19" collapsed="1" x14ac:dyDescent="0.2">
      <c r="B67" s="1"/>
    </row>
    <row r="68" spans="1:19" s="14" customFormat="1" ht="17" thickBot="1" x14ac:dyDescent="0.25">
      <c r="A68" s="4"/>
      <c r="B68" s="15" t="s">
        <v>50</v>
      </c>
      <c r="K68" s="4"/>
      <c r="L68" s="4"/>
      <c r="M68" s="4"/>
      <c r="O68" s="4"/>
      <c r="S68" s="4"/>
    </row>
    <row r="69" spans="1:19" hidden="1" outlineLevel="1" x14ac:dyDescent="0.2">
      <c r="B69" s="9" t="s">
        <v>15</v>
      </c>
      <c r="C69" s="20">
        <f t="shared" ref="C69:I69" si="16">C17</f>
        <v>-437</v>
      </c>
      <c r="D69" s="20">
        <f t="shared" si="16"/>
        <v>-1654</v>
      </c>
      <c r="E69" s="20">
        <f t="shared" si="16"/>
        <v>-16989</v>
      </c>
      <c r="F69" s="20">
        <f t="shared" si="16"/>
        <v>-153</v>
      </c>
      <c r="G69" s="20">
        <f t="shared" si="16"/>
        <v>-887</v>
      </c>
      <c r="H69" s="20">
        <f t="shared" si="16"/>
        <v>-3024</v>
      </c>
      <c r="I69" s="20">
        <f t="shared" si="16"/>
        <v>4270</v>
      </c>
      <c r="J69" s="20">
        <f t="shared" ref="J69" si="17">J17</f>
        <v>-333</v>
      </c>
      <c r="K69" s="20"/>
      <c r="L69" s="20"/>
      <c r="M69" s="20"/>
    </row>
    <row r="70" spans="1:19" hidden="1" outlineLevel="1" x14ac:dyDescent="0.2">
      <c r="B70" s="9" t="s">
        <v>107</v>
      </c>
      <c r="C70" s="27">
        <v>2200</v>
      </c>
      <c r="D70" s="27">
        <v>2203</v>
      </c>
      <c r="E70" s="27">
        <v>3248</v>
      </c>
      <c r="F70" s="27">
        <v>2300</v>
      </c>
      <c r="G70" s="27">
        <v>2425</v>
      </c>
      <c r="H70" s="27">
        <v>2788</v>
      </c>
      <c r="I70" s="27">
        <v>2758</v>
      </c>
      <c r="J70" s="27">
        <v>2786</v>
      </c>
      <c r="K70" s="20"/>
      <c r="L70" s="27"/>
      <c r="M70" s="20"/>
    </row>
    <row r="71" spans="1:19" hidden="1" outlineLevel="1" x14ac:dyDescent="0.2">
      <c r="B71" s="9" t="s">
        <v>65</v>
      </c>
      <c r="C71" s="27">
        <v>1179</v>
      </c>
      <c r="D71" s="27">
        <v>780</v>
      </c>
      <c r="E71" s="27">
        <v>800</v>
      </c>
      <c r="F71" s="27">
        <v>651</v>
      </c>
      <c r="G71" s="27">
        <v>684</v>
      </c>
      <c r="H71" s="27">
        <v>664</v>
      </c>
      <c r="I71" s="27">
        <v>548</v>
      </c>
      <c r="J71" s="27">
        <v>538</v>
      </c>
      <c r="K71" s="27"/>
      <c r="L71" s="27"/>
      <c r="M71" s="20"/>
    </row>
    <row r="72" spans="1:19" hidden="1" outlineLevel="1" x14ac:dyDescent="0.2">
      <c r="B72" s="12" t="s">
        <v>108</v>
      </c>
      <c r="C72" s="27">
        <v>351</v>
      </c>
      <c r="D72" s="27">
        <v>366</v>
      </c>
      <c r="E72" s="27">
        <v>364</v>
      </c>
      <c r="F72" s="27">
        <v>347</v>
      </c>
      <c r="G72" s="27">
        <v>249</v>
      </c>
      <c r="H72" s="27">
        <v>225</v>
      </c>
      <c r="I72" s="27">
        <v>234</v>
      </c>
      <c r="J72" s="27">
        <v>241</v>
      </c>
      <c r="K72" s="27"/>
      <c r="L72" s="27"/>
      <c r="M72" s="20"/>
    </row>
    <row r="73" spans="1:19" hidden="1" outlineLevel="1" x14ac:dyDescent="0.2">
      <c r="B73" s="9" t="s">
        <v>51</v>
      </c>
      <c r="C73" s="27">
        <v>-208</v>
      </c>
      <c r="D73" s="27">
        <v>124</v>
      </c>
      <c r="E73" s="27">
        <v>159</v>
      </c>
      <c r="F73" s="27">
        <v>-321</v>
      </c>
      <c r="G73" s="27">
        <v>112</v>
      </c>
      <c r="H73" s="27">
        <v>-502</v>
      </c>
      <c r="I73" s="27">
        <v>-221</v>
      </c>
      <c r="J73" s="27">
        <v>97</v>
      </c>
      <c r="K73" s="27"/>
      <c r="L73" s="27"/>
      <c r="M73" s="20"/>
    </row>
    <row r="74" spans="1:19" hidden="1" outlineLevel="1" x14ac:dyDescent="0.2">
      <c r="B74" s="9" t="s">
        <v>142</v>
      </c>
      <c r="C74" s="27">
        <v>0</v>
      </c>
      <c r="D74" s="27">
        <v>0</v>
      </c>
      <c r="E74" s="27">
        <v>0</v>
      </c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/>
      <c r="L74" s="27"/>
      <c r="M74" s="20"/>
    </row>
    <row r="75" spans="1:19" hidden="1" outlineLevel="1" x14ac:dyDescent="0.2">
      <c r="B75" s="9" t="s">
        <v>180</v>
      </c>
      <c r="C75" s="27">
        <v>0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1796</v>
      </c>
      <c r="K75" s="27"/>
      <c r="L75" s="27"/>
      <c r="M75" s="20"/>
    </row>
    <row r="76" spans="1:19" hidden="1" outlineLevel="1" x14ac:dyDescent="0.2">
      <c r="B76" s="9" t="s">
        <v>143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-5355</v>
      </c>
      <c r="J76" s="27">
        <v>32</v>
      </c>
      <c r="K76" s="27"/>
      <c r="L76" s="27"/>
      <c r="M76" s="20"/>
    </row>
    <row r="77" spans="1:19" hidden="1" outlineLevel="1" x14ac:dyDescent="0.2">
      <c r="B77" s="9" t="s">
        <v>144</v>
      </c>
      <c r="C77" s="27">
        <v>-346</v>
      </c>
      <c r="D77" s="27">
        <v>-993</v>
      </c>
      <c r="E77" s="27">
        <v>7707</v>
      </c>
      <c r="F77" s="27">
        <v>-236</v>
      </c>
      <c r="G77" s="27">
        <v>19</v>
      </c>
      <c r="H77" s="27">
        <v>87</v>
      </c>
      <c r="I77" s="27">
        <v>17</v>
      </c>
      <c r="J77" s="27">
        <v>205</v>
      </c>
      <c r="K77" s="27"/>
      <c r="L77" s="27"/>
      <c r="M77" s="20"/>
    </row>
    <row r="78" spans="1:19" hidden="1" outlineLevel="1" x14ac:dyDescent="0.2">
      <c r="B78" s="9" t="s">
        <v>164</v>
      </c>
      <c r="C78" s="27">
        <v>0</v>
      </c>
      <c r="D78" s="27">
        <v>126</v>
      </c>
      <c r="E78" s="27">
        <v>2164</v>
      </c>
      <c r="F78" s="27">
        <v>-38</v>
      </c>
      <c r="G78" s="27">
        <v>0</v>
      </c>
      <c r="H78" s="27">
        <v>482</v>
      </c>
      <c r="I78" s="27">
        <v>-17</v>
      </c>
      <c r="J78" s="27">
        <v>50</v>
      </c>
      <c r="K78" s="27"/>
      <c r="L78" s="27"/>
      <c r="M78" s="20"/>
    </row>
    <row r="79" spans="1:19" hidden="1" outlineLevel="1" x14ac:dyDescent="0.2">
      <c r="B79" s="9" t="s">
        <v>52</v>
      </c>
      <c r="C79" s="27">
        <v>0</v>
      </c>
      <c r="D79" s="27">
        <v>0</v>
      </c>
      <c r="E79" s="27">
        <v>3626</v>
      </c>
      <c r="F79" s="27">
        <v>-135</v>
      </c>
      <c r="G79" s="27">
        <v>0</v>
      </c>
      <c r="H79" s="27">
        <v>0</v>
      </c>
      <c r="I79" s="27">
        <v>2059</v>
      </c>
      <c r="J79" s="27">
        <v>-1583</v>
      </c>
      <c r="K79" s="27"/>
      <c r="L79" s="27"/>
      <c r="M79" s="20"/>
    </row>
    <row r="80" spans="1:19" hidden="1" outlineLevel="1" x14ac:dyDescent="0.2">
      <c r="B80" s="9" t="s">
        <v>53</v>
      </c>
      <c r="C80" s="27">
        <v>80</v>
      </c>
      <c r="D80" s="27">
        <v>192</v>
      </c>
      <c r="E80" s="27">
        <v>10</v>
      </c>
      <c r="F80" s="27">
        <v>-357</v>
      </c>
      <c r="G80" s="27">
        <v>414</v>
      </c>
      <c r="H80" s="27">
        <v>590</v>
      </c>
      <c r="I80" s="27">
        <v>-842</v>
      </c>
      <c r="J80" s="27">
        <v>-611</v>
      </c>
      <c r="K80" s="27"/>
      <c r="L80" s="27"/>
      <c r="M80" s="20"/>
    </row>
    <row r="81" spans="1:19" hidden="1" outlineLevel="1" x14ac:dyDescent="0.2">
      <c r="B81" s="9" t="s">
        <v>54</v>
      </c>
      <c r="C81" s="27">
        <v>-366</v>
      </c>
      <c r="D81" s="27">
        <v>250</v>
      </c>
      <c r="E81" s="27">
        <v>-853</v>
      </c>
      <c r="F81" s="27">
        <v>-136</v>
      </c>
      <c r="G81" s="27">
        <v>-83</v>
      </c>
      <c r="H81" s="27">
        <v>182</v>
      </c>
      <c r="I81" s="27">
        <v>-108</v>
      </c>
      <c r="J81" s="27">
        <v>-129</v>
      </c>
      <c r="K81" s="27"/>
      <c r="L81" s="27"/>
      <c r="M81" s="20"/>
    </row>
    <row r="82" spans="1:19" hidden="1" outlineLevel="1" x14ac:dyDescent="0.2">
      <c r="B82" s="9" t="s">
        <v>55</v>
      </c>
      <c r="C82" s="27">
        <v>-386</v>
      </c>
      <c r="D82" s="27">
        <v>567</v>
      </c>
      <c r="E82" s="27">
        <v>385</v>
      </c>
      <c r="F82" s="27">
        <v>68</v>
      </c>
      <c r="G82" s="27">
        <v>-240</v>
      </c>
      <c r="H82" s="27">
        <v>354</v>
      </c>
      <c r="I82" s="27">
        <v>-395</v>
      </c>
      <c r="J82" s="27">
        <v>578</v>
      </c>
      <c r="K82" s="27"/>
      <c r="L82" s="27"/>
      <c r="M82" s="20"/>
    </row>
    <row r="83" spans="1:19" hidden="1" outlineLevel="1" x14ac:dyDescent="0.2">
      <c r="B83" s="9" t="s">
        <v>145</v>
      </c>
      <c r="C83" s="27">
        <v>-1160</v>
      </c>
      <c r="D83" s="27">
        <v>145</v>
      </c>
      <c r="E83" s="27">
        <v>2399</v>
      </c>
      <c r="F83" s="27">
        <v>-1602</v>
      </c>
      <c r="G83" s="27">
        <v>-741</v>
      </c>
      <c r="H83" s="27">
        <v>1763</v>
      </c>
      <c r="I83" s="27">
        <v>-481</v>
      </c>
      <c r="J83" s="27">
        <v>247</v>
      </c>
      <c r="K83" s="27"/>
      <c r="L83" s="27"/>
      <c r="M83" s="20"/>
    </row>
    <row r="84" spans="1:19" hidden="1" outlineLevel="1" x14ac:dyDescent="0.2">
      <c r="B84" s="9" t="s">
        <v>146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hidden="1" outlineLevel="1" x14ac:dyDescent="0.2">
      <c r="B85" s="9" t="s">
        <v>147</v>
      </c>
      <c r="C85" s="27">
        <v>-245</v>
      </c>
      <c r="D85" s="27">
        <v>-590</v>
      </c>
      <c r="E85" s="27">
        <v>-95</v>
      </c>
      <c r="F85" s="27">
        <v>574</v>
      </c>
      <c r="G85" s="27">
        <v>67</v>
      </c>
      <c r="H85" s="27">
        <v>-1405</v>
      </c>
      <c r="I85" s="27">
        <v>142</v>
      </c>
      <c r="J85" s="27">
        <v>201</v>
      </c>
      <c r="K85" s="27"/>
      <c r="L85" s="27"/>
      <c r="M85" s="20"/>
    </row>
    <row r="86" spans="1:19" hidden="1" outlineLevel="1" x14ac:dyDescent="0.2">
      <c r="B86" s="9" t="s">
        <v>148</v>
      </c>
      <c r="C86" s="27">
        <v>-1885</v>
      </c>
      <c r="D86" s="27">
        <v>776</v>
      </c>
      <c r="E86" s="27">
        <v>1129</v>
      </c>
      <c r="F86" s="27">
        <v>2203</v>
      </c>
      <c r="G86" s="27">
        <v>-1206</v>
      </c>
      <c r="H86" s="27">
        <v>-154</v>
      </c>
      <c r="I86" s="27">
        <v>-63</v>
      </c>
      <c r="J86" s="27">
        <v>173</v>
      </c>
      <c r="K86" s="27"/>
      <c r="L86" s="27"/>
      <c r="M86" s="20"/>
    </row>
    <row r="87" spans="1:19" s="18" customFormat="1" hidden="1" outlineLevel="1" x14ac:dyDescent="0.2">
      <c r="A87" s="7"/>
      <c r="B87" s="17" t="s">
        <v>56</v>
      </c>
      <c r="C87" s="60">
        <v>-1223</v>
      </c>
      <c r="D87" s="60">
        <v>2292</v>
      </c>
      <c r="E87" s="60">
        <v>4054</v>
      </c>
      <c r="F87" s="60">
        <v>3165</v>
      </c>
      <c r="G87" s="60">
        <v>813</v>
      </c>
      <c r="H87" s="60">
        <v>2050</v>
      </c>
      <c r="I87" s="60">
        <v>2546</v>
      </c>
      <c r="J87" s="60">
        <v>4288</v>
      </c>
      <c r="K87" s="33"/>
      <c r="L87" s="33"/>
      <c r="M87" s="21"/>
      <c r="O87" s="7"/>
      <c r="S87" s="7"/>
    </row>
    <row r="88" spans="1:19" hidden="1" outlineLevel="1" x14ac:dyDescent="0.2">
      <c r="B88" s="9" t="s">
        <v>57</v>
      </c>
      <c r="C88" s="27">
        <v>-5970</v>
      </c>
      <c r="D88" s="27">
        <v>-5682</v>
      </c>
      <c r="E88" s="27">
        <v>-6458</v>
      </c>
      <c r="F88" s="27">
        <v>-5834</v>
      </c>
      <c r="G88" s="27">
        <v>-5183</v>
      </c>
      <c r="H88" s="27">
        <v>-3550</v>
      </c>
      <c r="I88" s="27">
        <v>-2425</v>
      </c>
      <c r="J88" s="27">
        <v>-3488</v>
      </c>
      <c r="K88" s="27"/>
      <c r="L88" s="27"/>
      <c r="M88" s="20"/>
    </row>
    <row r="89" spans="1:19" hidden="1" outlineLevel="1" x14ac:dyDescent="0.2">
      <c r="B89" s="9" t="s">
        <v>149</v>
      </c>
      <c r="C89" s="27">
        <v>0</v>
      </c>
      <c r="D89" s="27">
        <v>0</v>
      </c>
      <c r="E89" s="27">
        <v>0</v>
      </c>
      <c r="F89" s="27">
        <v>-82</v>
      </c>
      <c r="G89" s="27">
        <v>0</v>
      </c>
      <c r="H89" s="27">
        <v>0</v>
      </c>
      <c r="I89" s="27">
        <v>0</v>
      </c>
      <c r="J89" s="27">
        <v>0</v>
      </c>
      <c r="K89" s="27"/>
      <c r="L89" s="27"/>
      <c r="M89" s="20"/>
    </row>
    <row r="90" spans="1:19" hidden="1" outlineLevel="1" x14ac:dyDescent="0.2">
      <c r="B90" s="9" t="s">
        <v>165</v>
      </c>
      <c r="C90" s="27">
        <v>592</v>
      </c>
      <c r="D90" s="27">
        <v>107</v>
      </c>
      <c r="E90" s="27">
        <v>26</v>
      </c>
      <c r="F90" s="27">
        <v>1211</v>
      </c>
      <c r="G90" s="27">
        <v>803</v>
      </c>
      <c r="H90" s="27">
        <v>161</v>
      </c>
      <c r="I90" s="27">
        <v>54</v>
      </c>
      <c r="J90" s="27">
        <v>559</v>
      </c>
      <c r="K90" s="27"/>
      <c r="L90" s="27"/>
      <c r="M90" s="20"/>
    </row>
    <row r="91" spans="1:19" hidden="1" outlineLevel="1" x14ac:dyDescent="0.2">
      <c r="B91" s="9" t="s">
        <v>150</v>
      </c>
      <c r="C91" s="27">
        <v>-6460</v>
      </c>
      <c r="D91" s="27">
        <v>-11174</v>
      </c>
      <c r="E91" s="27">
        <v>-13885</v>
      </c>
      <c r="F91" s="27">
        <v>-6421</v>
      </c>
      <c r="G91" s="27">
        <v>-3386</v>
      </c>
      <c r="H91" s="27">
        <v>-2344</v>
      </c>
      <c r="I91" s="27">
        <v>-10671</v>
      </c>
      <c r="J91" s="27">
        <v>-7918</v>
      </c>
      <c r="K91" s="27"/>
      <c r="L91" s="27"/>
      <c r="M91" s="20"/>
    </row>
    <row r="92" spans="1:19" hidden="1" outlineLevel="1" x14ac:dyDescent="0.2">
      <c r="B92" s="9" t="s">
        <v>151</v>
      </c>
      <c r="C92" s="27">
        <v>0</v>
      </c>
      <c r="D92" s="27">
        <v>0</v>
      </c>
      <c r="E92" s="27">
        <v>0</v>
      </c>
      <c r="F92" s="27">
        <v>41463</v>
      </c>
      <c r="G92" s="27">
        <v>0</v>
      </c>
      <c r="H92" s="27">
        <v>0</v>
      </c>
      <c r="I92" s="27">
        <v>0</v>
      </c>
      <c r="J92" s="27">
        <v>15387</v>
      </c>
      <c r="K92" s="27"/>
      <c r="L92" s="27"/>
      <c r="M92" s="20"/>
    </row>
    <row r="93" spans="1:19" hidden="1" outlineLevel="1" x14ac:dyDescent="0.2">
      <c r="B93" s="9" t="s">
        <v>152</v>
      </c>
      <c r="C93" s="27">
        <v>9598</v>
      </c>
      <c r="D93" s="27">
        <v>7616</v>
      </c>
      <c r="E93" s="27">
        <v>17054</v>
      </c>
      <c r="F93" s="27">
        <v>-34268</v>
      </c>
      <c r="G93" s="27">
        <v>5327</v>
      </c>
      <c r="H93" s="27">
        <v>3248</v>
      </c>
      <c r="I93" s="27">
        <v>2389</v>
      </c>
      <c r="J93" s="27">
        <v>-10964</v>
      </c>
      <c r="K93" s="27"/>
      <c r="L93" s="27"/>
      <c r="M93" s="20"/>
    </row>
    <row r="94" spans="1:19" hidden="1" outlineLevel="1" x14ac:dyDescent="0.2">
      <c r="B94" s="9" t="s">
        <v>153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hidden="1" outlineLevel="1" x14ac:dyDescent="0.2">
      <c r="B95" s="9" t="s">
        <v>154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hidden="1" outlineLevel="1" x14ac:dyDescent="0.2">
      <c r="B96" s="9" t="s">
        <v>155</v>
      </c>
      <c r="C96" s="27">
        <v>0</v>
      </c>
      <c r="D96" s="27">
        <v>0</v>
      </c>
      <c r="E96" s="27">
        <v>0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/>
      <c r="L96" s="27"/>
      <c r="M96" s="20"/>
    </row>
    <row r="97" spans="1:19" hidden="1" outlineLevel="1" x14ac:dyDescent="0.2">
      <c r="B97" s="9" t="s">
        <v>156</v>
      </c>
      <c r="C97" s="27">
        <v>0</v>
      </c>
      <c r="D97" s="27">
        <v>0</v>
      </c>
      <c r="E97" s="27">
        <v>503</v>
      </c>
      <c r="F97" s="27">
        <v>544</v>
      </c>
      <c r="G97" s="27">
        <v>0</v>
      </c>
      <c r="H97" s="27">
        <v>0</v>
      </c>
      <c r="I97" s="27">
        <v>642</v>
      </c>
      <c r="J97" s="27">
        <v>29</v>
      </c>
      <c r="K97" s="27"/>
      <c r="L97" s="27"/>
      <c r="M97" s="20"/>
    </row>
    <row r="98" spans="1:19" hidden="1" outlineLevel="1" x14ac:dyDescent="0.2">
      <c r="B98" s="9" t="s">
        <v>157</v>
      </c>
      <c r="C98" s="27">
        <v>0</v>
      </c>
      <c r="D98" s="27">
        <v>0</v>
      </c>
      <c r="E98" s="27">
        <v>0</v>
      </c>
      <c r="F98" s="27">
        <v>0</v>
      </c>
      <c r="G98" s="27">
        <v>1935</v>
      </c>
      <c r="H98" s="27">
        <v>0</v>
      </c>
      <c r="I98" s="27">
        <v>4251</v>
      </c>
      <c r="J98" s="27">
        <v>-29</v>
      </c>
      <c r="K98" s="27"/>
      <c r="L98" s="27"/>
      <c r="M98" s="20"/>
    </row>
    <row r="99" spans="1:19" hidden="1" outlineLevel="1" x14ac:dyDescent="0.2">
      <c r="B99" s="12" t="s">
        <v>158</v>
      </c>
      <c r="C99" s="27">
        <v>-323</v>
      </c>
      <c r="D99" s="27">
        <v>-32</v>
      </c>
      <c r="E99" s="27">
        <v>-4</v>
      </c>
      <c r="F99" s="27">
        <v>-377</v>
      </c>
      <c r="G99" s="27">
        <v>585</v>
      </c>
      <c r="H99" s="27">
        <v>399</v>
      </c>
      <c r="I99" s="27">
        <v>-490</v>
      </c>
      <c r="J99" s="27">
        <v>-142</v>
      </c>
      <c r="K99" s="27"/>
      <c r="L99" s="27"/>
      <c r="M99" s="20"/>
    </row>
    <row r="100" spans="1:19" s="18" customFormat="1" hidden="1" outlineLevel="1" x14ac:dyDescent="0.2">
      <c r="A100" s="7"/>
      <c r="B100" s="17" t="s">
        <v>58</v>
      </c>
      <c r="C100" s="60">
        <v>-2563</v>
      </c>
      <c r="D100" s="60">
        <v>-9165</v>
      </c>
      <c r="E100" s="60">
        <v>-2764</v>
      </c>
      <c r="F100" s="60">
        <v>-3764</v>
      </c>
      <c r="G100" s="60">
        <v>81</v>
      </c>
      <c r="H100" s="60">
        <v>-2086</v>
      </c>
      <c r="I100" s="60">
        <v>-6250</v>
      </c>
      <c r="J100" s="60">
        <v>-6566</v>
      </c>
      <c r="K100" s="33"/>
      <c r="L100" s="33"/>
      <c r="M100" s="21"/>
      <c r="O100" s="7"/>
      <c r="S100" s="7"/>
    </row>
    <row r="101" spans="1:19" hidden="1" outlineLevel="1" x14ac:dyDescent="0.2">
      <c r="B101" s="9" t="s">
        <v>159</v>
      </c>
      <c r="C101" s="27">
        <v>0</v>
      </c>
      <c r="D101" s="27">
        <v>0</v>
      </c>
      <c r="E101" s="27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hidden="1" outlineLevel="1" x14ac:dyDescent="0.2">
      <c r="B102" s="9" t="s">
        <v>166</v>
      </c>
      <c r="C102" s="27">
        <v>793</v>
      </c>
      <c r="D102" s="27">
        <v>5011</v>
      </c>
      <c r="E102" s="27">
        <v>1545</v>
      </c>
      <c r="F102" s="27">
        <v>0</v>
      </c>
      <c r="G102" s="27">
        <v>1496</v>
      </c>
      <c r="H102" s="27">
        <v>1997</v>
      </c>
      <c r="I102" s="27">
        <v>0</v>
      </c>
      <c r="J102" s="27">
        <v>0</v>
      </c>
      <c r="K102" s="27"/>
      <c r="L102" s="27"/>
      <c r="M102" s="20"/>
    </row>
    <row r="103" spans="1:19" hidden="1" outlineLevel="1" x14ac:dyDescent="0.2">
      <c r="B103" s="9" t="s">
        <v>167</v>
      </c>
      <c r="C103" s="27">
        <v>0</v>
      </c>
      <c r="D103" s="27">
        <v>-2609</v>
      </c>
      <c r="E103" s="27">
        <v>-4740</v>
      </c>
      <c r="F103" s="27">
        <v>0</v>
      </c>
      <c r="G103" s="27">
        <v>0</v>
      </c>
      <c r="H103" s="27">
        <v>-1496</v>
      </c>
      <c r="I103" s="27">
        <v>-1997</v>
      </c>
      <c r="J103" s="27">
        <v>0</v>
      </c>
      <c r="K103" s="27"/>
      <c r="L103" s="27"/>
      <c r="M103" s="20"/>
    </row>
    <row r="104" spans="1:19" hidden="1" outlineLevel="1" x14ac:dyDescent="0.2">
      <c r="B104" s="9" t="s">
        <v>168</v>
      </c>
      <c r="C104" s="27">
        <v>423</v>
      </c>
      <c r="D104" s="27">
        <v>11438</v>
      </c>
      <c r="E104" s="27">
        <v>417</v>
      </c>
      <c r="F104" s="27">
        <v>436</v>
      </c>
      <c r="G104" s="27">
        <v>955</v>
      </c>
      <c r="H104" s="27">
        <v>1283</v>
      </c>
      <c r="I104" s="27">
        <v>1414</v>
      </c>
      <c r="J104" s="27">
        <v>1456</v>
      </c>
      <c r="K104" s="27"/>
      <c r="L104" s="27"/>
      <c r="M104" s="20"/>
    </row>
    <row r="105" spans="1:19" hidden="1" outlineLevel="1" x14ac:dyDescent="0.2">
      <c r="B105" s="9" t="s">
        <v>169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922</v>
      </c>
      <c r="J105" s="27">
        <v>-1</v>
      </c>
      <c r="K105" s="27"/>
      <c r="L105" s="27"/>
      <c r="M105" s="20"/>
    </row>
    <row r="106" spans="1:19" hidden="1" outlineLevel="1" x14ac:dyDescent="0.2">
      <c r="B106" s="9" t="s">
        <v>170</v>
      </c>
      <c r="C106" s="27">
        <v>0</v>
      </c>
      <c r="D106" s="27">
        <v>0</v>
      </c>
      <c r="E106" s="27">
        <v>-741</v>
      </c>
      <c r="F106" s="27">
        <v>-437</v>
      </c>
      <c r="G106" s="27">
        <v>-1020</v>
      </c>
      <c r="H106" s="27">
        <v>-942</v>
      </c>
      <c r="I106" s="27">
        <v>-531</v>
      </c>
      <c r="J106" s="27">
        <v>-533</v>
      </c>
      <c r="K106" s="27"/>
      <c r="L106" s="27"/>
      <c r="M106" s="20"/>
    </row>
    <row r="107" spans="1:19" hidden="1" outlineLevel="1" x14ac:dyDescent="0.2">
      <c r="B107" s="9" t="s">
        <v>160</v>
      </c>
      <c r="C107" s="27">
        <v>2537</v>
      </c>
      <c r="D107" s="27">
        <v>438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hidden="1" outlineLevel="1" x14ac:dyDescent="0.2">
      <c r="B108" s="9" t="s">
        <v>161</v>
      </c>
      <c r="C108" s="27">
        <v>0</v>
      </c>
      <c r="D108" s="27">
        <v>-2288</v>
      </c>
      <c r="E108" s="27">
        <v>0</v>
      </c>
      <c r="F108" s="27">
        <v>0</v>
      </c>
      <c r="G108" s="27">
        <v>-1500</v>
      </c>
      <c r="H108" s="27">
        <v>0</v>
      </c>
      <c r="I108" s="27">
        <v>-2250</v>
      </c>
      <c r="J108" s="27">
        <v>0</v>
      </c>
      <c r="K108" s="27"/>
      <c r="L108" s="27"/>
      <c r="M108" s="20"/>
    </row>
    <row r="109" spans="1:19" hidden="1" outlineLevel="1" x14ac:dyDescent="0.2">
      <c r="B109" s="9" t="s">
        <v>162</v>
      </c>
      <c r="C109" s="27">
        <v>626</v>
      </c>
      <c r="D109" s="27">
        <v>5</v>
      </c>
      <c r="E109" s="27">
        <v>355</v>
      </c>
      <c r="F109" s="27">
        <v>1</v>
      </c>
      <c r="G109" s="27">
        <v>491</v>
      </c>
      <c r="H109" s="27">
        <v>0</v>
      </c>
      <c r="I109" s="27">
        <v>286</v>
      </c>
      <c r="J109" s="27">
        <v>-6</v>
      </c>
      <c r="K109" s="27"/>
      <c r="L109" s="27"/>
      <c r="M109" s="20"/>
    </row>
    <row r="110" spans="1:19" hidden="1" outlineLevel="1" x14ac:dyDescent="0.2">
      <c r="B110" s="9" t="s">
        <v>171</v>
      </c>
      <c r="C110" s="27">
        <v>0</v>
      </c>
      <c r="D110" s="27">
        <v>0</v>
      </c>
      <c r="E110" s="27">
        <v>0</v>
      </c>
      <c r="F110" s="27">
        <v>-631</v>
      </c>
      <c r="G110" s="27">
        <v>0</v>
      </c>
      <c r="H110" s="27">
        <v>0</v>
      </c>
      <c r="I110" s="27">
        <v>0</v>
      </c>
      <c r="J110" s="27">
        <v>-423</v>
      </c>
      <c r="K110" s="27"/>
      <c r="L110" s="27"/>
      <c r="M110" s="20"/>
    </row>
    <row r="111" spans="1:19" hidden="1" outlineLevel="1" x14ac:dyDescent="0.2">
      <c r="B111" s="9" t="s">
        <v>181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0</v>
      </c>
      <c r="J111" s="27">
        <v>12706</v>
      </c>
      <c r="K111" s="27"/>
      <c r="L111" s="27"/>
      <c r="M111" s="20"/>
    </row>
    <row r="112" spans="1:19" hidden="1" outlineLevel="1" x14ac:dyDescent="0.2">
      <c r="B112" s="9" t="s">
        <v>163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hidden="1" outlineLevel="1" x14ac:dyDescent="0.2">
      <c r="B113" s="9" t="s">
        <v>59</v>
      </c>
      <c r="C113" s="27">
        <v>-529</v>
      </c>
      <c r="D113" s="27">
        <v>-534</v>
      </c>
      <c r="E113" s="27">
        <v>-536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/>
      <c r="L113" s="27"/>
      <c r="M113" s="20"/>
    </row>
    <row r="114" spans="1:19" hidden="1" outlineLevel="1" x14ac:dyDescent="0.2">
      <c r="B114" s="9" t="s">
        <v>52</v>
      </c>
      <c r="C114" s="27">
        <v>-220</v>
      </c>
      <c r="D114" s="27">
        <v>-224</v>
      </c>
      <c r="E114" s="27">
        <v>-92</v>
      </c>
      <c r="F114" s="27">
        <v>694</v>
      </c>
      <c r="G114" s="27">
        <v>-618</v>
      </c>
      <c r="H114" s="27">
        <v>-60</v>
      </c>
      <c r="I114" s="27">
        <v>7308</v>
      </c>
      <c r="J114" s="27">
        <v>-7350</v>
      </c>
      <c r="K114" s="27"/>
      <c r="L114" s="27"/>
      <c r="M114" s="20"/>
    </row>
    <row r="115" spans="1:19" s="18" customFormat="1" hidden="1" outlineLevel="1" x14ac:dyDescent="0.2">
      <c r="A115" s="7"/>
      <c r="B115" s="17" t="s">
        <v>60</v>
      </c>
      <c r="C115" s="60">
        <v>3630</v>
      </c>
      <c r="D115" s="60">
        <v>11237</v>
      </c>
      <c r="E115" s="60">
        <v>-3792</v>
      </c>
      <c r="F115" s="60">
        <v>63</v>
      </c>
      <c r="G115" s="60">
        <v>-196</v>
      </c>
      <c r="H115" s="60">
        <v>782</v>
      </c>
      <c r="I115" s="60">
        <v>5152</v>
      </c>
      <c r="J115" s="60">
        <v>5849</v>
      </c>
      <c r="K115" s="33"/>
      <c r="L115" s="33"/>
      <c r="M115" s="21"/>
      <c r="O115" s="7"/>
      <c r="S115" s="7"/>
    </row>
    <row r="116" spans="1:19" hidden="1" outlineLevel="1" x14ac:dyDescent="0.2">
      <c r="B116" s="9" t="s">
        <v>61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/>
      <c r="L116" s="27"/>
      <c r="M116" s="20"/>
    </row>
    <row r="117" spans="1:19" s="7" customFormat="1" hidden="1" outlineLevel="1" x14ac:dyDescent="0.2">
      <c r="B117" s="11" t="s">
        <v>62</v>
      </c>
      <c r="C117" s="64">
        <v>-156</v>
      </c>
      <c r="D117" s="64">
        <v>4364</v>
      </c>
      <c r="E117" s="64">
        <v>-3132</v>
      </c>
      <c r="F117" s="64">
        <v>-536</v>
      </c>
      <c r="G117" s="64">
        <v>698</v>
      </c>
      <c r="H117" s="64">
        <v>746</v>
      </c>
      <c r="I117" s="64">
        <v>2892</v>
      </c>
      <c r="J117" s="64">
        <v>3571</v>
      </c>
      <c r="K117" s="33"/>
      <c r="L117" s="33"/>
      <c r="M117" s="21"/>
    </row>
    <row r="118" spans="1:19" s="7" customFormat="1" hidden="1" outlineLevel="1" x14ac:dyDescent="0.2">
      <c r="B118" s="11" t="s">
        <v>63</v>
      </c>
      <c r="C118" s="64">
        <v>7079</v>
      </c>
      <c r="D118" s="64">
        <v>6923</v>
      </c>
      <c r="E118" s="64">
        <v>11287</v>
      </c>
      <c r="F118" s="64">
        <v>8785</v>
      </c>
      <c r="G118" s="64">
        <v>8249</v>
      </c>
      <c r="H118" s="64">
        <v>8947</v>
      </c>
      <c r="I118" s="64">
        <v>9693</v>
      </c>
      <c r="J118" s="64">
        <v>11141</v>
      </c>
      <c r="K118" s="21"/>
      <c r="L118" s="21"/>
      <c r="M118" s="21"/>
    </row>
    <row r="119" spans="1:19" s="13" customFormat="1" ht="17" hidden="1" outlineLevel="1" thickBot="1" x14ac:dyDescent="0.25">
      <c r="A119" s="7"/>
      <c r="B119" s="19" t="s">
        <v>64</v>
      </c>
      <c r="C119" s="60">
        <v>6923</v>
      </c>
      <c r="D119" s="60">
        <v>11287</v>
      </c>
      <c r="E119" s="60">
        <v>8785</v>
      </c>
      <c r="F119" s="60">
        <v>8249</v>
      </c>
      <c r="G119" s="60">
        <v>8947</v>
      </c>
      <c r="H119" s="60">
        <v>9693</v>
      </c>
      <c r="I119" s="60">
        <v>11141</v>
      </c>
      <c r="J119" s="60">
        <f>J118+J117</f>
        <v>14712</v>
      </c>
      <c r="K119" s="21"/>
      <c r="L119" s="21"/>
      <c r="M119" s="21"/>
      <c r="O119" s="7"/>
      <c r="S119" s="7"/>
    </row>
    <row r="120" spans="1:19" collapsed="1" x14ac:dyDescent="0.2">
      <c r="B120" s="1"/>
    </row>
    <row r="121" spans="1:19" s="14" customFormat="1" ht="17" thickBot="1" x14ac:dyDescent="0.25">
      <c r="A121" s="4"/>
      <c r="B121" s="15" t="s">
        <v>66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67</v>
      </c>
      <c r="C122" s="20">
        <f t="shared" ref="C122:I122" si="18">C5-C6-C11+C13+C14+C16-C18</f>
        <v>-381</v>
      </c>
      <c r="D122" s="20">
        <f t="shared" si="18"/>
        <v>-1610</v>
      </c>
      <c r="E122" s="20">
        <f t="shared" si="18"/>
        <v>-16639</v>
      </c>
      <c r="F122" s="20">
        <f t="shared" si="18"/>
        <v>-126</v>
      </c>
      <c r="G122" s="20">
        <f t="shared" si="18"/>
        <v>-821</v>
      </c>
      <c r="H122" s="20">
        <f t="shared" si="18"/>
        <v>-2918</v>
      </c>
      <c r="I122" s="20">
        <f t="shared" si="18"/>
        <v>4063</v>
      </c>
      <c r="J122" s="20">
        <f t="shared" ref="J122" si="19">J5-J6-J11+J13+J14+J16-J18</f>
        <v>-591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68</v>
      </c>
      <c r="C123" s="24">
        <f t="shared" ref="C123:I123" si="20">C19-C122</f>
        <v>0</v>
      </c>
      <c r="D123" s="24">
        <f t="shared" si="20"/>
        <v>0</v>
      </c>
      <c r="E123" s="24">
        <f t="shared" si="20"/>
        <v>0</v>
      </c>
      <c r="F123" s="24">
        <f t="shared" si="20"/>
        <v>0</v>
      </c>
      <c r="G123" s="24">
        <f t="shared" si="20"/>
        <v>0</v>
      </c>
      <c r="H123" s="24">
        <f t="shared" si="20"/>
        <v>0</v>
      </c>
      <c r="I123" s="24">
        <f t="shared" si="20"/>
        <v>0</v>
      </c>
      <c r="J123" s="24">
        <f t="shared" ref="J123" si="21">J19-J122</f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69</v>
      </c>
      <c r="C124" s="20">
        <f t="shared" ref="C124:I124" si="22">SUM(C26:C32)+SUM(C34:C39)</f>
        <v>192733</v>
      </c>
      <c r="D124" s="20">
        <f t="shared" si="22"/>
        <v>206205</v>
      </c>
      <c r="E124" s="20">
        <f t="shared" si="22"/>
        <v>193542</v>
      </c>
      <c r="F124" s="20">
        <f t="shared" si="22"/>
        <v>196485</v>
      </c>
      <c r="G124" s="20">
        <f t="shared" si="22"/>
        <v>192242</v>
      </c>
      <c r="H124" s="20">
        <f t="shared" si="22"/>
        <v>192520</v>
      </c>
      <c r="I124" s="20">
        <f t="shared" si="22"/>
        <v>204514</v>
      </c>
      <c r="J124" s="20">
        <f t="shared" ref="J124" si="23">SUM(J26:J32)+SUM(J34:J39)</f>
        <v>211429</v>
      </c>
      <c r="K124" s="20"/>
      <c r="L124" s="20"/>
      <c r="M124" s="20"/>
    </row>
    <row r="125" spans="1:19" s="7" customFormat="1" hidden="1" outlineLevel="1" collapsed="1" x14ac:dyDescent="0.2">
      <c r="B125" s="11" t="s">
        <v>70</v>
      </c>
      <c r="C125" s="23">
        <f t="shared" ref="C125:I125" si="24">C41-C124</f>
        <v>0</v>
      </c>
      <c r="D125" s="23">
        <f t="shared" si="24"/>
        <v>0</v>
      </c>
      <c r="E125" s="23">
        <f t="shared" si="24"/>
        <v>0</v>
      </c>
      <c r="F125" s="23">
        <f t="shared" si="24"/>
        <v>0</v>
      </c>
      <c r="G125" s="23">
        <f t="shared" si="24"/>
        <v>0</v>
      </c>
      <c r="H125" s="23">
        <f t="shared" si="24"/>
        <v>0</v>
      </c>
      <c r="I125" s="23">
        <f t="shared" si="24"/>
        <v>0</v>
      </c>
      <c r="J125" s="23">
        <f t="shared" ref="J125" si="25">J41-J124</f>
        <v>0</v>
      </c>
      <c r="K125" s="26"/>
      <c r="L125" s="26"/>
      <c r="M125" s="26"/>
    </row>
    <row r="126" spans="1:19" hidden="1" outlineLevel="2" x14ac:dyDescent="0.2">
      <c r="B126" s="9" t="s">
        <v>71</v>
      </c>
      <c r="C126" s="20">
        <f t="shared" ref="C126:I126" si="26">SUM(C42:C48)+SUM(C50:C54)</f>
        <v>81977</v>
      </c>
      <c r="D126" s="20">
        <f t="shared" si="26"/>
        <v>85771</v>
      </c>
      <c r="E126" s="20">
        <f t="shared" si="26"/>
        <v>88678</v>
      </c>
      <c r="F126" s="20">
        <f t="shared" si="26"/>
        <v>91453</v>
      </c>
      <c r="G126" s="20">
        <f t="shared" si="26"/>
        <v>85829</v>
      </c>
      <c r="H126" s="20">
        <f t="shared" si="26"/>
        <v>86769</v>
      </c>
      <c r="I126" s="20">
        <f t="shared" si="26"/>
        <v>87784</v>
      </c>
      <c r="J126" s="20">
        <f t="shared" ref="J126" si="27">SUM(J42:J48)+SUM(J50:J54)</f>
        <v>85069</v>
      </c>
      <c r="K126" s="20"/>
      <c r="L126" s="20"/>
      <c r="M126" s="20"/>
    </row>
    <row r="127" spans="1:19" s="7" customFormat="1" hidden="1" outlineLevel="1" collapsed="1" x14ac:dyDescent="0.2">
      <c r="B127" s="11" t="s">
        <v>72</v>
      </c>
      <c r="C127" s="23">
        <f t="shared" ref="C127:I127" si="28">C56-C126</f>
        <v>0</v>
      </c>
      <c r="D127" s="23">
        <f t="shared" si="28"/>
        <v>0</v>
      </c>
      <c r="E127" s="23">
        <f t="shared" si="28"/>
        <v>0</v>
      </c>
      <c r="F127" s="23">
        <f t="shared" si="28"/>
        <v>0</v>
      </c>
      <c r="G127" s="23">
        <f t="shared" si="28"/>
        <v>0</v>
      </c>
      <c r="H127" s="23">
        <f t="shared" si="28"/>
        <v>0</v>
      </c>
      <c r="I127" s="23">
        <f t="shared" si="28"/>
        <v>0</v>
      </c>
      <c r="J127" s="23">
        <f t="shared" ref="J127" si="29">J56-J126</f>
        <v>0</v>
      </c>
      <c r="K127" s="26"/>
      <c r="L127" s="26"/>
      <c r="M127" s="26"/>
    </row>
    <row r="128" spans="1:19" hidden="1" outlineLevel="2" x14ac:dyDescent="0.2">
      <c r="B128" s="9" t="s">
        <v>73</v>
      </c>
      <c r="C128" s="20">
        <f t="shared" ref="C128:I128" si="30">SUM(C57:C60)+C62+C64</f>
        <v>110756</v>
      </c>
      <c r="D128" s="20">
        <f t="shared" si="30"/>
        <v>120434</v>
      </c>
      <c r="E128" s="20">
        <f t="shared" si="30"/>
        <v>104864</v>
      </c>
      <c r="F128" s="20">
        <f t="shared" si="30"/>
        <v>105032</v>
      </c>
      <c r="G128" s="20">
        <f t="shared" si="30"/>
        <v>106413</v>
      </c>
      <c r="H128" s="20">
        <f t="shared" si="30"/>
        <v>105751</v>
      </c>
      <c r="I128" s="20">
        <f t="shared" si="30"/>
        <v>116730</v>
      </c>
      <c r="J128" s="20">
        <f t="shared" ref="J128" si="31">SUM(J57:J60)+J62+J64</f>
        <v>126360</v>
      </c>
      <c r="K128" s="20"/>
      <c r="L128" s="20"/>
      <c r="M128" s="20"/>
    </row>
    <row r="129" spans="1:19" s="7" customFormat="1" hidden="1" outlineLevel="1" collapsed="1" x14ac:dyDescent="0.2">
      <c r="B129" s="11" t="s">
        <v>74</v>
      </c>
      <c r="C129" s="23">
        <f t="shared" ref="C129:I129" si="32">C65-C128</f>
        <v>0</v>
      </c>
      <c r="D129" s="23">
        <f t="shared" si="32"/>
        <v>0</v>
      </c>
      <c r="E129" s="23">
        <f t="shared" si="32"/>
        <v>0</v>
      </c>
      <c r="F129" s="23">
        <f t="shared" si="32"/>
        <v>0</v>
      </c>
      <c r="G129" s="23">
        <f t="shared" si="32"/>
        <v>0</v>
      </c>
      <c r="H129" s="23">
        <f t="shared" si="32"/>
        <v>0</v>
      </c>
      <c r="I129" s="23">
        <f t="shared" si="32"/>
        <v>0</v>
      </c>
      <c r="J129" s="23">
        <f t="shared" ref="J129" si="33">J65-J128</f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84</v>
      </c>
      <c r="C130" s="22">
        <f t="shared" ref="C130:I130" si="34">C41-(C56+C65)</f>
        <v>0</v>
      </c>
      <c r="D130" s="22">
        <f t="shared" si="34"/>
        <v>0</v>
      </c>
      <c r="E130" s="22">
        <f t="shared" si="34"/>
        <v>0</v>
      </c>
      <c r="F130" s="22">
        <f t="shared" si="34"/>
        <v>0</v>
      </c>
      <c r="G130" s="22">
        <f t="shared" si="34"/>
        <v>0</v>
      </c>
      <c r="H130" s="22">
        <f t="shared" si="34"/>
        <v>0</v>
      </c>
      <c r="I130" s="22">
        <f t="shared" si="34"/>
        <v>0</v>
      </c>
      <c r="J130" s="22">
        <f t="shared" ref="J130" si="35">J41-(J56+J65)</f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75</v>
      </c>
      <c r="C131" s="20">
        <f t="shared" ref="C131:I131" si="36">SUM(C69:C86)</f>
        <v>-1223</v>
      </c>
      <c r="D131" s="20">
        <f t="shared" si="36"/>
        <v>2292</v>
      </c>
      <c r="E131" s="20">
        <f t="shared" si="36"/>
        <v>4054</v>
      </c>
      <c r="F131" s="20">
        <f t="shared" si="36"/>
        <v>3165</v>
      </c>
      <c r="G131" s="20">
        <f t="shared" si="36"/>
        <v>813</v>
      </c>
      <c r="H131" s="20">
        <f t="shared" si="36"/>
        <v>2050</v>
      </c>
      <c r="I131" s="20">
        <f t="shared" si="36"/>
        <v>2546</v>
      </c>
      <c r="J131" s="20">
        <f t="shared" ref="J131" si="37">SUM(J69:J86)</f>
        <v>4288</v>
      </c>
      <c r="K131" s="20"/>
      <c r="L131" s="20"/>
      <c r="M131" s="20"/>
    </row>
    <row r="132" spans="1:19" s="7" customFormat="1" hidden="1" outlineLevel="1" collapsed="1" x14ac:dyDescent="0.2">
      <c r="B132" s="11" t="s">
        <v>76</v>
      </c>
      <c r="C132" s="23">
        <f t="shared" ref="C132:I132" si="38">C87-C131</f>
        <v>0</v>
      </c>
      <c r="D132" s="23">
        <f t="shared" si="38"/>
        <v>0</v>
      </c>
      <c r="E132" s="23">
        <f t="shared" si="38"/>
        <v>0</v>
      </c>
      <c r="F132" s="23">
        <f t="shared" si="38"/>
        <v>0</v>
      </c>
      <c r="G132" s="23">
        <f t="shared" si="38"/>
        <v>0</v>
      </c>
      <c r="H132" s="23">
        <f t="shared" si="38"/>
        <v>0</v>
      </c>
      <c r="I132" s="23">
        <f t="shared" si="38"/>
        <v>0</v>
      </c>
      <c r="J132" s="23">
        <f t="shared" ref="J132" si="39">J87-J131</f>
        <v>0</v>
      </c>
      <c r="K132" s="26"/>
      <c r="L132" s="26"/>
      <c r="M132" s="26"/>
    </row>
    <row r="133" spans="1:19" hidden="1" outlineLevel="2" x14ac:dyDescent="0.2">
      <c r="B133" s="9" t="s">
        <v>77</v>
      </c>
      <c r="C133" s="20">
        <f t="shared" ref="C133:I133" si="40">SUM(C88:C99)</f>
        <v>-2563</v>
      </c>
      <c r="D133" s="20">
        <f t="shared" si="40"/>
        <v>-9165</v>
      </c>
      <c r="E133" s="20">
        <f t="shared" si="40"/>
        <v>-2764</v>
      </c>
      <c r="F133" s="20">
        <f t="shared" si="40"/>
        <v>-3764</v>
      </c>
      <c r="G133" s="20">
        <f t="shared" si="40"/>
        <v>81</v>
      </c>
      <c r="H133" s="20">
        <f t="shared" si="40"/>
        <v>-2086</v>
      </c>
      <c r="I133" s="20">
        <f t="shared" si="40"/>
        <v>-6250</v>
      </c>
      <c r="J133" s="20">
        <f t="shared" ref="J133" si="41">SUM(J88:J99)</f>
        <v>-6566</v>
      </c>
      <c r="K133" s="20"/>
      <c r="L133" s="20"/>
      <c r="M133" s="20"/>
    </row>
    <row r="134" spans="1:19" s="7" customFormat="1" hidden="1" outlineLevel="1" collapsed="1" x14ac:dyDescent="0.2">
      <c r="B134" s="11" t="s">
        <v>78</v>
      </c>
      <c r="C134" s="23">
        <f t="shared" ref="C134:I134" si="42">C100-C133</f>
        <v>0</v>
      </c>
      <c r="D134" s="23">
        <f t="shared" si="42"/>
        <v>0</v>
      </c>
      <c r="E134" s="23">
        <f t="shared" si="42"/>
        <v>0</v>
      </c>
      <c r="F134" s="23">
        <f t="shared" si="42"/>
        <v>0</v>
      </c>
      <c r="G134" s="23">
        <f t="shared" si="42"/>
        <v>0</v>
      </c>
      <c r="H134" s="23">
        <f t="shared" si="42"/>
        <v>0</v>
      </c>
      <c r="I134" s="23">
        <f t="shared" si="42"/>
        <v>0</v>
      </c>
      <c r="J134" s="23">
        <f t="shared" ref="J134" si="43">J100-J133</f>
        <v>0</v>
      </c>
      <c r="K134" s="26"/>
      <c r="L134" s="26"/>
      <c r="M134" s="26"/>
    </row>
    <row r="135" spans="1:19" hidden="1" outlineLevel="2" x14ac:dyDescent="0.2">
      <c r="B135" s="9" t="s">
        <v>79</v>
      </c>
      <c r="C135" s="20">
        <f t="shared" ref="C135:I135" si="44">SUM(C101:C114)</f>
        <v>3630</v>
      </c>
      <c r="D135" s="20">
        <f t="shared" si="44"/>
        <v>11237</v>
      </c>
      <c r="E135" s="20">
        <f t="shared" si="44"/>
        <v>-3792</v>
      </c>
      <c r="F135" s="20">
        <f t="shared" si="44"/>
        <v>63</v>
      </c>
      <c r="G135" s="20">
        <f t="shared" si="44"/>
        <v>-196</v>
      </c>
      <c r="H135" s="20">
        <f t="shared" si="44"/>
        <v>782</v>
      </c>
      <c r="I135" s="20">
        <f t="shared" si="44"/>
        <v>5152</v>
      </c>
      <c r="J135" s="20">
        <f t="shared" ref="J135" si="45">SUM(J101:J114)</f>
        <v>5849</v>
      </c>
      <c r="K135" s="20"/>
      <c r="L135" s="20"/>
      <c r="M135" s="20"/>
    </row>
    <row r="136" spans="1:19" s="7" customFormat="1" hidden="1" outlineLevel="1" collapsed="1" x14ac:dyDescent="0.2">
      <c r="B136" s="11" t="s">
        <v>80</v>
      </c>
      <c r="C136" s="23">
        <f t="shared" ref="C136:I136" si="46">C115-C135</f>
        <v>0</v>
      </c>
      <c r="D136" s="23">
        <f t="shared" si="46"/>
        <v>0</v>
      </c>
      <c r="E136" s="23">
        <f t="shared" si="46"/>
        <v>0</v>
      </c>
      <c r="F136" s="23">
        <f t="shared" si="46"/>
        <v>0</v>
      </c>
      <c r="G136" s="23">
        <f t="shared" si="46"/>
        <v>0</v>
      </c>
      <c r="H136" s="23">
        <f t="shared" si="46"/>
        <v>0</v>
      </c>
      <c r="I136" s="23">
        <f t="shared" si="46"/>
        <v>0</v>
      </c>
      <c r="J136" s="23">
        <f t="shared" ref="J136" si="47">J115-J135</f>
        <v>0</v>
      </c>
      <c r="K136" s="26"/>
      <c r="L136" s="26"/>
      <c r="M136" s="26"/>
    </row>
    <row r="137" spans="1:19" hidden="1" outlineLevel="2" x14ac:dyDescent="0.2">
      <c r="B137" s="9" t="s">
        <v>82</v>
      </c>
      <c r="C137" s="20">
        <f t="shared" ref="C137:I137" si="48">C87+C100+C115+C116+C118</f>
        <v>6923</v>
      </c>
      <c r="D137" s="20">
        <f t="shared" si="48"/>
        <v>11287</v>
      </c>
      <c r="E137" s="20">
        <f t="shared" si="48"/>
        <v>8785</v>
      </c>
      <c r="F137" s="20">
        <f t="shared" si="48"/>
        <v>8249</v>
      </c>
      <c r="G137" s="20">
        <f t="shared" si="48"/>
        <v>8947</v>
      </c>
      <c r="H137" s="20">
        <f t="shared" si="48"/>
        <v>9693</v>
      </c>
      <c r="I137" s="20">
        <f t="shared" si="48"/>
        <v>11141</v>
      </c>
      <c r="J137" s="20">
        <f t="shared" ref="J137" si="49">J87+J100+J115+J116+J118</f>
        <v>14712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81</v>
      </c>
      <c r="C138" s="22">
        <f t="shared" ref="C138:I138" si="50">C119-C137</f>
        <v>0</v>
      </c>
      <c r="D138" s="22">
        <f t="shared" si="50"/>
        <v>0</v>
      </c>
      <c r="E138" s="22">
        <f t="shared" si="50"/>
        <v>0</v>
      </c>
      <c r="F138" s="22">
        <f t="shared" si="50"/>
        <v>0</v>
      </c>
      <c r="G138" s="22">
        <f t="shared" si="50"/>
        <v>0</v>
      </c>
      <c r="H138" s="22">
        <f t="shared" si="50"/>
        <v>0</v>
      </c>
      <c r="I138" s="22">
        <f t="shared" si="50"/>
        <v>0</v>
      </c>
      <c r="J138" s="22">
        <f t="shared" ref="J138" si="51">J119-J137</f>
        <v>0</v>
      </c>
      <c r="K138" s="26"/>
      <c r="L138" s="26"/>
      <c r="M138" s="26"/>
      <c r="O138" s="7"/>
      <c r="S138" s="7"/>
    </row>
    <row r="139" spans="1:19" collapsed="1" x14ac:dyDescent="0.2">
      <c r="B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83</v>
      </c>
      <c r="K140" s="4"/>
      <c r="L140" s="4"/>
      <c r="M140" s="4"/>
      <c r="O140" s="4"/>
      <c r="S140" s="4"/>
    </row>
    <row r="141" spans="1:19" outlineLevel="1" x14ac:dyDescent="0.2">
      <c r="B141" s="9" t="s">
        <v>4</v>
      </c>
      <c r="C141" s="27">
        <v>4257</v>
      </c>
      <c r="D141" s="27">
        <v>4276</v>
      </c>
      <c r="E141" s="27">
        <v>4313</v>
      </c>
      <c r="F141" s="27">
        <v>4330</v>
      </c>
      <c r="G141" s="27">
        <v>4362</v>
      </c>
      <c r="H141" s="27">
        <v>4377</v>
      </c>
      <c r="I141" s="27">
        <v>4770</v>
      </c>
      <c r="J141" s="27">
        <v>4995</v>
      </c>
      <c r="K141" s="20"/>
      <c r="L141" s="20"/>
      <c r="M141" s="20"/>
    </row>
    <row r="142" spans="1:19" outlineLevel="1" x14ac:dyDescent="0.2">
      <c r="B142" s="12" t="s">
        <v>92</v>
      </c>
      <c r="C142" s="28">
        <v>0.125</v>
      </c>
      <c r="D142" s="28">
        <v>0.125</v>
      </c>
      <c r="E142" s="28">
        <v>0.13</v>
      </c>
      <c r="F142" s="28">
        <v>0</v>
      </c>
      <c r="G142" s="28">
        <v>0</v>
      </c>
      <c r="H142" s="28">
        <v>0</v>
      </c>
      <c r="I142" s="28">
        <v>0</v>
      </c>
      <c r="J142" s="28">
        <v>0</v>
      </c>
      <c r="K142" s="8"/>
      <c r="L142" s="8"/>
      <c r="M142" s="8"/>
    </row>
    <row r="143" spans="1:19" x14ac:dyDescent="0.2">
      <c r="B143" s="1"/>
    </row>
    <row r="144" spans="1:19" s="73" customFormat="1" ht="17" thickBot="1" x14ac:dyDescent="0.25">
      <c r="A144" s="1"/>
      <c r="B144" s="15" t="s">
        <v>106</v>
      </c>
      <c r="C144" s="74"/>
      <c r="D144" s="74"/>
      <c r="E144" s="74"/>
      <c r="F144" s="74"/>
      <c r="G144" s="74"/>
      <c r="H144" s="74"/>
      <c r="I144" s="74"/>
      <c r="J144" s="74"/>
      <c r="K144" s="1"/>
      <c r="L144" s="1"/>
      <c r="M144" s="1"/>
      <c r="O144" s="4"/>
      <c r="S144" s="4"/>
    </row>
    <row r="145" spans="2:13" hidden="1" outlineLevel="1" x14ac:dyDescent="0.2">
      <c r="B145" s="9" t="s">
        <v>99</v>
      </c>
      <c r="C145" s="27">
        <v>12500</v>
      </c>
      <c r="D145" s="27">
        <v>12500</v>
      </c>
      <c r="E145" s="27">
        <v>13300</v>
      </c>
      <c r="F145" s="27">
        <v>11700</v>
      </c>
      <c r="G145" s="27">
        <v>11200</v>
      </c>
      <c r="H145" s="27">
        <v>12600</v>
      </c>
      <c r="I145" s="27">
        <v>12800</v>
      </c>
      <c r="J145" s="27">
        <v>11700</v>
      </c>
    </row>
    <row r="146" spans="2:13" hidden="1" outlineLevel="1" x14ac:dyDescent="0.2">
      <c r="B146" s="9" t="s">
        <v>100</v>
      </c>
      <c r="C146" s="27">
        <v>13500</v>
      </c>
      <c r="D146" s="27">
        <v>13500</v>
      </c>
      <c r="E146" s="27">
        <v>14300</v>
      </c>
      <c r="F146" s="27">
        <v>12700</v>
      </c>
      <c r="G146" s="27">
        <v>12400</v>
      </c>
      <c r="H146" s="27">
        <v>13600</v>
      </c>
      <c r="I146" s="27">
        <v>13800</v>
      </c>
      <c r="J146" s="27">
        <v>12700</v>
      </c>
    </row>
    <row r="147" spans="2:13" hidden="1" outlineLevel="1" x14ac:dyDescent="0.2">
      <c r="B147" s="9" t="s">
        <v>104</v>
      </c>
      <c r="C147" s="36">
        <f t="shared" ref="C147" si="52">D5</f>
        <v>12833</v>
      </c>
      <c r="D147" s="36">
        <f t="shared" ref="D147" si="53">E5</f>
        <v>13284</v>
      </c>
      <c r="E147" s="36">
        <f t="shared" ref="E147" si="54">F5</f>
        <v>14260</v>
      </c>
      <c r="F147" s="36">
        <f t="shared" ref="F147" si="55">G5</f>
        <v>12667</v>
      </c>
      <c r="G147" s="36">
        <f t="shared" ref="G147" si="56">H5</f>
        <v>12859</v>
      </c>
      <c r="H147" s="36">
        <f t="shared" ref="H147" si="57">I5</f>
        <v>13653</v>
      </c>
      <c r="I147" s="36">
        <f t="shared" ref="I147" si="58">J5</f>
        <v>13674</v>
      </c>
      <c r="J147" s="36">
        <f t="shared" ref="J147" si="59">K5</f>
        <v>0</v>
      </c>
    </row>
    <row r="148" spans="2:13" hidden="1" outlineLevel="1" x14ac:dyDescent="0.2">
      <c r="B148" s="9" t="s">
        <v>101</v>
      </c>
      <c r="C148" s="101" t="str">
        <f t="shared" ref="C148" si="60">IF(D5&gt;C146, "BEAT", IF(D5&lt;C145, "MISSED", "MET"))</f>
        <v>MET</v>
      </c>
      <c r="D148" s="101" t="str">
        <f t="shared" ref="D148" si="61">IF(E5&gt;D146, "BEAT", IF(E5&lt;D145, "MISSED", "MET"))</f>
        <v>MET</v>
      </c>
      <c r="E148" s="101" t="str">
        <f t="shared" ref="E148" si="62">IF(F5&gt;E146, "BEAT", IF(F5&lt;E145, "MISSED", "MET"))</f>
        <v>MET</v>
      </c>
      <c r="F148" s="101" t="str">
        <f t="shared" ref="F148" si="63">IF(G5&gt;F146, "BEAT", IF(G5&lt;F145, "MISSED", "MET"))</f>
        <v>MET</v>
      </c>
      <c r="G148" s="101" t="str">
        <f t="shared" ref="G148" si="64">IF(H5&gt;G146, "BEAT", IF(H5&lt;G145, "MISSED", "MET"))</f>
        <v>BEAT</v>
      </c>
      <c r="H148" s="101" t="str">
        <f t="shared" ref="H148" si="65">IF(I5&gt;H146, "BEAT", IF(I5&lt;H145, "MISSED", "MET"))</f>
        <v>BEAT</v>
      </c>
      <c r="I148" s="101" t="str">
        <f t="shared" ref="I148" si="66">IF(J5&gt;I146, "BEAT", IF(J5&lt;I145, "MISSED", "MET"))</f>
        <v>MET</v>
      </c>
      <c r="J148" s="101" t="str">
        <f t="shared" ref="J148" si="67">IF(K5&gt;J146, "BEAT", IF(K5&lt;J145, "MISSED", "MET"))</f>
        <v>MISSED</v>
      </c>
    </row>
    <row r="149" spans="2:13" hidden="1" outlineLevel="1" x14ac:dyDescent="0.2">
      <c r="B149" s="9" t="s">
        <v>102</v>
      </c>
      <c r="C149" s="31">
        <v>-0.05</v>
      </c>
      <c r="D149" s="31">
        <v>-0.24</v>
      </c>
      <c r="E149" s="31">
        <v>-0.24</v>
      </c>
      <c r="F149" s="31">
        <v>-0.27</v>
      </c>
      <c r="G149" s="31">
        <v>-0.32</v>
      </c>
      <c r="H149" s="31">
        <v>-0.24</v>
      </c>
      <c r="I149" s="31">
        <v>-0.14000000000000001</v>
      </c>
      <c r="J149" s="31">
        <v>-0.21</v>
      </c>
    </row>
    <row r="150" spans="2:13" hidden="1" outlineLevel="1" x14ac:dyDescent="0.2">
      <c r="B150" s="9" t="s">
        <v>103</v>
      </c>
      <c r="C150" s="31">
        <v>-0.05</v>
      </c>
      <c r="D150" s="31">
        <v>-0.24</v>
      </c>
      <c r="E150" s="31">
        <v>-0.24</v>
      </c>
      <c r="F150" s="31">
        <v>-0.27</v>
      </c>
      <c r="G150" s="31">
        <v>-0.32</v>
      </c>
      <c r="H150" s="31">
        <v>-0.24</v>
      </c>
      <c r="I150" s="31">
        <v>-0.14000000000000001</v>
      </c>
      <c r="J150" s="31">
        <v>-0.21</v>
      </c>
    </row>
    <row r="151" spans="2:13" hidden="1" outlineLevel="1" x14ac:dyDescent="0.2">
      <c r="B151" s="9" t="s">
        <v>105</v>
      </c>
      <c r="C151" s="25">
        <f t="shared" ref="C151" si="68">D23</f>
        <v>-0.38</v>
      </c>
      <c r="D151" s="25">
        <f t="shared" ref="D151" si="69">E23</f>
        <v>-3.88</v>
      </c>
      <c r="E151" s="25">
        <f t="shared" ref="E151" si="70">F23</f>
        <v>-0.03</v>
      </c>
      <c r="F151" s="25">
        <f t="shared" ref="F151" si="71">G23</f>
        <v>-0.19</v>
      </c>
      <c r="G151" s="25">
        <f t="shared" ref="G151" si="72">H23</f>
        <v>-0.67</v>
      </c>
      <c r="H151" s="25">
        <f t="shared" ref="H151" si="73">I23</f>
        <v>0.9</v>
      </c>
      <c r="I151" s="25">
        <f t="shared" ref="I151" si="74">J23</f>
        <v>-0.12</v>
      </c>
      <c r="J151" s="25">
        <f t="shared" ref="J151" si="75">K23</f>
        <v>0</v>
      </c>
      <c r="K151" s="20"/>
      <c r="L151" s="20"/>
      <c r="M151" s="20"/>
    </row>
    <row r="152" spans="2:13" hidden="1" outlineLevel="1" x14ac:dyDescent="0.2">
      <c r="B152" s="12" t="s">
        <v>101</v>
      </c>
      <c r="C152" s="101" t="str">
        <f t="shared" ref="C152" si="76">IF(D23&gt;C150, "BEAT", IF(D23&lt;C149, "MISSED", "MET"))</f>
        <v>MISSED</v>
      </c>
      <c r="D152" s="101" t="str">
        <f t="shared" ref="D152" si="77">IF(E23&gt;D150, "BEAT", IF(E23&lt;D149, "MISSED", "MET"))</f>
        <v>MISSED</v>
      </c>
      <c r="E152" s="101" t="str">
        <f t="shared" ref="E152" si="78">IF(F23&gt;E150, "BEAT", IF(F23&lt;E149, "MISSED", "MET"))</f>
        <v>BEAT</v>
      </c>
      <c r="F152" s="101" t="str">
        <f t="shared" ref="F152" si="79">IF(G23&gt;F150, "BEAT", IF(G23&lt;F149, "MISSED", "MET"))</f>
        <v>BEAT</v>
      </c>
      <c r="G152" s="101" t="str">
        <f t="shared" ref="G152" si="80">IF(H23&gt;G150, "BEAT", IF(H23&lt;G149, "MISSED", "MET"))</f>
        <v>MISSED</v>
      </c>
      <c r="H152" s="101" t="str">
        <f t="shared" ref="H152" si="81">IF(I23&gt;H150, "BEAT", IF(I23&lt;H149, "MISSED", "MET"))</f>
        <v>BEAT</v>
      </c>
      <c r="I152" s="101" t="str">
        <f t="shared" ref="I152" si="82">IF(J23&gt;I150, "BEAT", IF(J23&lt;I149, "MISSED", "MET"))</f>
        <v>BEAT</v>
      </c>
      <c r="J152" s="101" t="str">
        <f t="shared" ref="J152" si="83">IF(K23&gt;J150, "BEAT", IF(K23&lt;J149, "MISSED", "MET"))</f>
        <v>BEAT</v>
      </c>
      <c r="K152" s="8"/>
      <c r="L152" s="8"/>
      <c r="M152" s="8"/>
    </row>
    <row r="153" spans="2:13" collapsed="1" x14ac:dyDescent="0.2"/>
  </sheetData>
  <mergeCells count="1">
    <mergeCell ref="P4:R4"/>
  </mergeCells>
  <phoneticPr fontId="5" type="noConversion"/>
  <pageMargins left="0.7" right="0.7" top="0.75" bottom="0.75" header="0.3" footer="0.3"/>
  <ignoredErrors>
    <ignoredError sqref="J55 J133 J135 J40 N5:N6 N8:N10 N12:N19 N20:N21 C135:I13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2026-03-22T00:07:44Z</dcterms:modified>
</cp:coreProperties>
</file>