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F2B25B5-4A7B-B049-8806-86948AA5971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9" i="1"/>
  <c r="H8"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1" i="1" s="1"/>
  <c r="AC78" i="3" l="1"/>
  <c r="AA153" i="3"/>
  <c r="AA154" i="3" s="1"/>
  <c r="C67" i="12"/>
  <c r="C46" i="12"/>
  <c r="AC183" i="3"/>
  <c r="AA11" i="5"/>
  <c r="E17" i="5"/>
  <c r="F17" i="5"/>
  <c r="H14" i="8"/>
  <c r="I5" i="8"/>
  <c r="I32" i="8" s="1"/>
  <c r="G11" i="17"/>
  <c r="F11" i="17"/>
  <c r="E11" i="17"/>
  <c r="D11" i="17"/>
  <c r="C11" i="17"/>
  <c r="H19" i="8"/>
  <c r="C24" i="14"/>
  <c r="C22" i="11"/>
  <c r="C70" i="12"/>
  <c r="C25" i="11"/>
  <c r="C49"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7" i="1" s="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I14" i="1"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I7" i="1" s="1"/>
  <c r="C45" i="12" l="1"/>
  <c r="C48" i="12" s="1"/>
  <c r="C50" i="12" s="1"/>
  <c r="C6" i="13" s="1"/>
  <c r="I4" i="1" s="1"/>
  <c r="C61" i="12"/>
  <c r="C64" i="12" s="1"/>
  <c r="C65" i="12" s="1"/>
  <c r="C66" i="12" s="1"/>
  <c r="C69" i="12" s="1"/>
  <c r="L10" i="11"/>
  <c r="L9" i="12" s="1"/>
  <c r="L8" i="11"/>
  <c r="L11" i="11" s="1"/>
  <c r="C20" i="11" s="1"/>
  <c r="L15" i="12"/>
  <c r="K15" i="12"/>
  <c r="C71" i="12" l="1"/>
  <c r="C8" i="13" s="1"/>
  <c r="I6" i="1" s="1"/>
  <c r="C19" i="11"/>
  <c r="C21" i="11" l="1"/>
  <c r="C24" i="11" s="1"/>
  <c r="C26" i="11" s="1"/>
  <c r="C5" i="13" s="1"/>
  <c r="C10" i="13" s="1"/>
  <c r="P43" i="3"/>
  <c r="P71" i="3" s="1"/>
  <c r="I3" i="1" l="1"/>
  <c r="M43" i="3"/>
  <c r="M71" i="3" s="1"/>
  <c r="N43" i="3"/>
  <c r="N71" i="3" s="1"/>
  <c r="O43" i="3"/>
  <c r="O71" i="3" s="1"/>
  <c r="I8" i="1" l="1"/>
  <c r="C12" i="13"/>
  <c r="I9" i="1" s="1"/>
  <c r="AA43" i="3"/>
  <c r="AA71" i="3" s="1"/>
  <c r="AC43" i="3" l="1"/>
  <c r="AC71" i="3" s="1"/>
  <c r="AC53" i="3" l="1"/>
  <c r="AC166" i="3" l="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<sst xmlns="http://schemas.openxmlformats.org/spreadsheetml/2006/main" count="823" uniqueCount="428">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</sst>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142.35</v>
    <v>32.89</v>
    <v>2.3437000000000001</v>
    <v>-7.47</v>
    <v>-8.0356999999999998E-2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89.185000000000002</v>
    <v>Semiconductors &amp; Semiconductor Equipment</v>
    <v>Stock</v>
    <v>46317.999979849221</v>
    <v>0</v>
    <v>84.644999999999996</v>
    <v>451820548810</v>
    <v>INTEL CORPORATION</v>
    <v>INTEL CORPORATION</v>
    <v>87.92</v>
    <v>0</v>
    <v>92.96</v>
    <v>85.49</v>
    <v>5285069000</v>
    <v>INTC</v>
    <v>INTEL CORPORATION (XNAS:INTC)</v>
    <v>1265141</v>
    <v>107288207</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-1.93</v>
    <v>-3.7505000000000004E-2</v>
    <v>US</v>
    <v>50.54</v>
    <v>Index</v>
    <v>6</v>
    <v>49.39</v>
    <v>10 Y TSY YLD NDX</v>
    <v>50.4</v>
    <v>51.46</v>
    <v>49.53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2"/>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282</v>
      </c>
      <c r="F2" s="240"/>
      <c r="H2" s="239" t="s">
        <v>320</v>
      </c>
      <c r="I2" s="240"/>
      <c r="K2" s="131" t="s">
        <v>421</v>
      </c>
    </row>
    <row r="3" spans="2:11" x14ac:dyDescent="0.2">
      <c r="B3" s="180" t="s">
        <v>11</v>
      </c>
      <c r="C3" s="215" t="e" vm="1">
        <v>#VALUE!</v>
      </c>
      <c r="D3" s="2"/>
      <c r="E3" s="180" t="s">
        <v>234</v>
      </c>
      <c r="F3" s="182">
        <f ca="1">Statement!AC153</f>
        <v>431211.56</v>
      </c>
      <c r="H3" s="180" t="str">
        <f>'AVG target price'!B5</f>
        <v>DCF price</v>
      </c>
      <c r="I3" s="206">
        <f ca="1">'AVG target price'!C5</f>
        <v>-10.216721006760988</v>
      </c>
      <c r="K3" s="234" t="s">
        <v>422</v>
      </c>
    </row>
    <row r="4" spans="2:11" x14ac:dyDescent="0.2">
      <c r="B4" s="180" t="s">
        <v>0</v>
      </c>
      <c r="C4" s="184" t="str" cm="1">
        <f t="array" aca="1" ref="C4" ca="1">_FV(C3,"Ticker symbol",TRUE)</f>
        <v>INTC</v>
      </c>
      <c r="E4" s="181" t="s">
        <v>183</v>
      </c>
      <c r="F4" s="183">
        <f ca="1">Statement!AC154</f>
        <v>459212.56</v>
      </c>
      <c r="H4" s="180" t="str">
        <f>'AVG target price'!B6</f>
        <v>EV/EBIT price</v>
      </c>
      <c r="I4" s="206">
        <f ca="1">'AVG target price'!C6</f>
        <v>37.300943672630481</v>
      </c>
      <c r="K4" s="234" t="s">
        <v>423</v>
      </c>
    </row>
    <row r="5" spans="2:11" x14ac:dyDescent="0.2">
      <c r="B5" s="180" t="s">
        <v>1</v>
      </c>
      <c r="C5" s="203" cm="1">
        <f t="array" aca="1" ref="C5" ca="1">_FV(C3,"Price",TRUE)</f>
        <v>85.49</v>
      </c>
      <c r="E5" s="180" t="s">
        <v>238</v>
      </c>
      <c r="F5" s="184">
        <f>Statement!AC26</f>
        <v>-2.1100000000000003</v>
      </c>
      <c r="H5" s="180" t="str">
        <f>'AVG target price'!B7</f>
        <v>PS price</v>
      </c>
      <c r="I5" s="206">
        <f ca="1">'AVG target price'!C7</f>
        <v>41.78867320720358</v>
      </c>
      <c r="K5" s="234" t="s">
        <v>424</v>
      </c>
    </row>
    <row r="6" spans="2:11" x14ac:dyDescent="0.2">
      <c r="B6" s="180" t="s">
        <v>2</v>
      </c>
      <c r="C6" s="203" t="e" cm="1" vm="2">
        <f t="array" ref="C6">_FV(C3,"Price (Extended hours)",TRUE)</f>
        <v>#VALUE!</v>
      </c>
      <c r="E6" s="180" t="s">
        <v>232</v>
      </c>
      <c r="F6" s="185">
        <f ca="1">Statement!AC150</f>
        <v>-40.516587677725113</v>
      </c>
      <c r="H6" s="180" t="str">
        <f>'AVG target price'!B8</f>
        <v>EV/FCFF price</v>
      </c>
      <c r="I6" s="206">
        <f ca="1">'AVG target price'!C8</f>
        <v>-21.475926743674265</v>
      </c>
      <c r="K6" s="235" t="s">
        <v>425</v>
      </c>
    </row>
    <row r="7" spans="2:11" x14ac:dyDescent="0.2">
      <c r="B7" s="180" t="s">
        <v>3</v>
      </c>
      <c r="C7" s="6" cm="1">
        <f t="array" aca="1" ref="C7" ca="1">_FV(C3,"Change")</f>
        <v>-7.47</v>
      </c>
      <c r="E7" s="181" t="s">
        <v>196</v>
      </c>
      <c r="F7" s="186">
        <f ca="1">Statement!AC151</f>
        <v>7.3289027651143215</v>
      </c>
      <c r="H7" s="180" t="str">
        <f>'AVG target price'!B9</f>
        <v>EV/Sales price</v>
      </c>
      <c r="I7" s="206">
        <f ca="1">'AVG target price'!C9</f>
        <v>41.66470829100507</v>
      </c>
    </row>
    <row r="8" spans="2:11" x14ac:dyDescent="0.2">
      <c r="B8" s="180" t="s">
        <v>4</v>
      </c>
      <c r="C8" s="6" t="e" cm="1" vm="3">
        <f t="array" ref="C8">_FV(C3,"Change (extended hours)",TRUE)</f>
        <v>#VALUE!</v>
      </c>
      <c r="E8" s="180" t="s">
        <v>260</v>
      </c>
      <c r="F8" s="187">
        <f ca="1">Statement!AC161</f>
        <v>-2.6077686785576898E-2</v>
      </c>
      <c r="H8" s="179" t="str">
        <f>'AVG target price'!B10</f>
        <v>AVG price</v>
      </c>
      <c r="I8" s="207">
        <f ca="1">'AVG target price'!C10</f>
        <v>17.812335484080776</v>
      </c>
    </row>
    <row r="9" spans="2:11" x14ac:dyDescent="0.2">
      <c r="B9" s="180" t="s">
        <v>5</v>
      </c>
      <c r="C9" s="72" cm="1">
        <f t="array" aca="1" ref="C9" ca="1">_FV(C3,"Change (%)",TRUE)</f>
        <v>-8.0356999999999998E-2</v>
      </c>
      <c r="E9" s="180" t="s">
        <v>283</v>
      </c>
      <c r="F9" s="187">
        <f ca="1">Statement!AC162</f>
        <v>-2.4681249268920347E-2</v>
      </c>
      <c r="H9" s="179" t="str">
        <f>'AVG target price'!B12</f>
        <v>Upside/Downside</v>
      </c>
      <c r="I9" s="208">
        <f ca="1">'AVG target price'!C12</f>
        <v>-0.79164422173259119</v>
      </c>
    </row>
    <row r="10" spans="2:11" x14ac:dyDescent="0.2">
      <c r="B10" s="180" t="s">
        <v>6</v>
      </c>
      <c r="C10" s="72" t="e" cm="1" vm="4">
        <f t="array" ref="C10">_FV(C3,"Change % (extended hours)",TRUE)</f>
        <v>#VALUE!</v>
      </c>
      <c r="E10" s="180" t="s">
        <v>288</v>
      </c>
      <c r="F10" s="187">
        <f ca="1">Statement!AC164</f>
        <v>0</v>
      </c>
    </row>
    <row r="11" spans="2:11" x14ac:dyDescent="0.2">
      <c r="B11" s="180" t="s">
        <v>7</v>
      </c>
      <c r="C11" s="204" cm="1">
        <f t="array" aca="1" ref="C11" ca="1">_FV(C3,"52 week high",TRUE)</f>
        <v>142.35</v>
      </c>
      <c r="E11" s="181" t="s">
        <v>284</v>
      </c>
      <c r="F11" s="188">
        <f ca="1">Statement!AC163</f>
        <v>0</v>
      </c>
      <c r="H11" s="179" t="s">
        <v>401</v>
      </c>
      <c r="I11" s="207">
        <f ca="1">DDM!C26</f>
        <v>0</v>
      </c>
    </row>
    <row r="12" spans="2:11" x14ac:dyDescent="0.2">
      <c r="B12" s="180" t="s">
        <v>8</v>
      </c>
      <c r="C12" s="204" cm="1">
        <f t="array" aca="1" ref="C12" ca="1">_FV(C3,"52 week low",TRUE)</f>
        <v>32.89</v>
      </c>
      <c r="E12" s="180" t="s">
        <v>97</v>
      </c>
      <c r="F12" s="187">
        <f>Statement!AC123</f>
        <v>-5.5285789793468654E-2</v>
      </c>
    </row>
    <row r="13" spans="2:11" x14ac:dyDescent="0.2">
      <c r="B13" s="180" t="s">
        <v>9</v>
      </c>
      <c r="C13" s="204" cm="1">
        <f t="array" aca="1" ref="C13" ca="1">_FV(C3,"Beta")</f>
        <v>2.3437000000000001</v>
      </c>
      <c r="E13" s="180" t="s">
        <v>99</v>
      </c>
      <c r="F13" s="187">
        <f>Statement!AC125</f>
        <v>-0.12784720477028169</v>
      </c>
      <c r="H13" s="238" t="s">
        <v>418</v>
      </c>
      <c r="I13" s="236">
        <f>'Reverse DCF'!C17</f>
        <v>0.65</v>
      </c>
    </row>
    <row r="14" spans="2:11" x14ac:dyDescent="0.2">
      <c r="B14" s="181" t="s">
        <v>10</v>
      </c>
      <c r="C14" s="205" cm="1">
        <f t="array" aca="1" ref="C14" ca="1">_FV(C3,"Volume average",TRUE)</f>
        <v>107288207</v>
      </c>
      <c r="E14" s="181" t="s">
        <v>100</v>
      </c>
      <c r="F14" s="188">
        <f>Statement!AC140</f>
        <v>-6.6641856278614885E-4</v>
      </c>
      <c r="H14" s="181" t="s">
        <v>427</v>
      </c>
      <c r="I14" s="237">
        <f ca="1">'Reverse DCF'!C16</f>
        <v>-66.956102438761761</v>
      </c>
    </row>
    <row r="15" spans="2:11" x14ac:dyDescent="0.2">
      <c r="E15" s="180" t="s">
        <v>285</v>
      </c>
      <c r="F15" s="187">
        <f ca="1">Statement!AC176</f>
        <v>-2.875618640650543E-2</v>
      </c>
    </row>
    <row r="16" spans="2:11" x14ac:dyDescent="0.2">
      <c r="E16" s="181" t="s">
        <v>290</v>
      </c>
      <c r="F16" s="186">
        <f>Statement!AC175</f>
        <v>-2.4583663758921492</v>
      </c>
      <c r="H16" s="239" t="s">
        <v>419</v>
      </c>
      <c r="I16" s="240"/>
    </row>
    <row r="17" spans="2:9" x14ac:dyDescent="0.2">
      <c r="B17" s="241" t="s">
        <v>87</v>
      </c>
      <c r="C17" s="241"/>
      <c r="E17" s="179" t="s">
        <v>291</v>
      </c>
      <c r="F17" s="189">
        <f>Statement!AC171</f>
        <v>5.947660586835844E-4</v>
      </c>
      <c r="H17" s="180" t="s">
        <v>160</v>
      </c>
      <c r="I17" s="232">
        <f ca="1">DCF!C15</f>
        <v>0.14337778080652697</v>
      </c>
    </row>
    <row r="18" spans="2:9" x14ac:dyDescent="0.2">
      <c r="B18" s="179" t="s">
        <v>12</v>
      </c>
      <c r="C18" s="68" t="s">
        <v>325</v>
      </c>
      <c r="E18" s="180" t="s">
        <v>292</v>
      </c>
      <c r="F18" s="185">
        <f>Statement!AC144</f>
        <v>64.755312947057305</v>
      </c>
      <c r="H18" s="181" t="s">
        <v>420</v>
      </c>
      <c r="I18" s="233">
        <f ca="1">Multiples!C54</f>
        <v>0.15499650000000001</v>
      </c>
    </row>
    <row r="19" spans="2:9" x14ac:dyDescent="0.2">
      <c r="B19" s="179" t="s">
        <v>13</v>
      </c>
      <c r="C19" s="69">
        <v>1000000</v>
      </c>
      <c r="E19" s="180" t="s">
        <v>253</v>
      </c>
      <c r="F19" s="185">
        <f>Statement!AC146</f>
        <v>0.14164629549244934</v>
      </c>
      <c r="I19" s="50"/>
    </row>
    <row r="20" spans="2:9" x14ac:dyDescent="0.2">
      <c r="B20" s="179" t="s">
        <v>88</v>
      </c>
      <c r="C20" s="68" t="s">
        <v>363</v>
      </c>
      <c r="E20" s="181" t="s">
        <v>293</v>
      </c>
      <c r="F20" s="186">
        <f>Statement!AC147</f>
        <v>1.1822259601906364</v>
      </c>
    </row>
    <row r="21" spans="2:9" x14ac:dyDescent="0.2">
      <c r="B21" s="179" t="s">
        <v>89</v>
      </c>
      <c r="C21" s="68" t="s">
        <v>363</v>
      </c>
    </row>
    <row r="22" spans="2:9" x14ac:dyDescent="0.2">
      <c r="B22" s="179" t="s">
        <v>90</v>
      </c>
      <c r="C22" s="68" t="s">
        <v>340</v>
      </c>
      <c r="I22" s="50"/>
    </row>
    <row r="25" spans="2:9" x14ac:dyDescent="0.2">
      <c r="B25" s="241" t="s">
        <v>102</v>
      </c>
      <c r="C25" s="241"/>
      <c r="E25" s="239" t="s">
        <v>373</v>
      </c>
      <c r="F25" s="240"/>
    </row>
    <row r="26" spans="2:9" x14ac:dyDescent="0.2">
      <c r="B26" s="179" t="s">
        <v>103</v>
      </c>
      <c r="C26" s="165">
        <v>0.21</v>
      </c>
      <c r="E26" s="180" t="e" vm="5">
        <v>#VALUE!</v>
      </c>
      <c r="F26" s="218" cm="1">
        <f t="array" aca="1" ref="F26" ca="1">_FV(E26,"Price")</f>
        <v>49.53</v>
      </c>
    </row>
    <row r="27" spans="2:9" x14ac:dyDescent="0.2">
      <c r="B27" s="179" t="s">
        <v>167</v>
      </c>
      <c r="C27" s="213">
        <v>5.6000000000000001E-2</v>
      </c>
      <c r="E27" s="181" t="s">
        <v>374</v>
      </c>
      <c r="F27" s="219">
        <f ca="1">F26/1000</f>
        <v>4.9530000000000005E-2</v>
      </c>
    </row>
    <row r="28" spans="2:9" x14ac:dyDescent="0.2">
      <c r="B28" s="179" t="s">
        <v>378</v>
      </c>
      <c r="C28" s="213">
        <v>0</v>
      </c>
    </row>
    <row r="29" spans="2:9" x14ac:dyDescent="0.2">
      <c r="B29" s="179" t="s">
        <v>391</v>
      </c>
      <c r="C29" s="213">
        <v>0</v>
      </c>
    </row>
    <row r="33" spans="2:8" x14ac:dyDescent="0.2">
      <c r="B33" s="131" t="s">
        <v>343</v>
      </c>
      <c r="C33" s="131"/>
      <c r="D33" s="131"/>
      <c r="E33" s="131"/>
      <c r="F33" s="131"/>
      <c r="G33" s="131"/>
      <c r="H33" s="131"/>
    </row>
    <row r="35" spans="2:8" x14ac:dyDescent="0.2">
      <c r="B35" s="16" t="s">
        <v>344</v>
      </c>
      <c r="C35" s="1" t="s">
        <v>357</v>
      </c>
    </row>
    <row r="36" spans="2:8" x14ac:dyDescent="0.2">
      <c r="B36" s="16" t="s">
        <v>345</v>
      </c>
      <c r="C36" s="1" t="s">
        <v>372</v>
      </c>
    </row>
    <row r="39" spans="2:8" ht="8" customHeight="1" x14ac:dyDescent="0.2">
      <c r="B39" s="131"/>
      <c r="C39" s="131"/>
      <c r="D39" s="131"/>
      <c r="E39" s="131"/>
      <c r="F39" s="131"/>
      <c r="G39" s="131"/>
      <c r="H39" s="131"/>
    </row>
    <row r="42" spans="2:8" x14ac:dyDescent="0.2">
      <c r="B42" s="131" t="s">
        <v>346</v>
      </c>
      <c r="C42" s="131"/>
      <c r="D42" s="131"/>
      <c r="E42" s="131"/>
      <c r="F42" s="131"/>
      <c r="G42" s="131"/>
      <c r="H42" s="1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131"/>
      <c r="C52" s="131"/>
      <c r="D52" s="131"/>
      <c r="E52" s="131"/>
      <c r="F52" s="131"/>
      <c r="G52" s="131"/>
      <c r="H52" s="131"/>
    </row>
    <row r="55" spans="2:8" x14ac:dyDescent="0.2">
      <c r="B55" s="131" t="s">
        <v>104</v>
      </c>
      <c r="C55" s="131"/>
      <c r="D55" s="131"/>
      <c r="E55" s="131"/>
      <c r="F55" s="131"/>
      <c r="G55" s="131"/>
      <c r="H55" s="131"/>
    </row>
    <row r="57" spans="2:8" x14ac:dyDescent="0.2">
      <c r="B57" s="41" t="s">
        <v>347</v>
      </c>
      <c r="C57" s="41" t="s">
        <v>332</v>
      </c>
      <c r="D57" s="41"/>
      <c r="E57" s="41" t="s">
        <v>86</v>
      </c>
    </row>
    <row r="62" spans="2:8" ht="7" customHeight="1" x14ac:dyDescent="0.2">
      <c r="B62" s="131"/>
      <c r="C62" s="131"/>
      <c r="D62" s="131"/>
      <c r="E62" s="131"/>
      <c r="F62" s="131"/>
      <c r="G62" s="131"/>
      <c r="H62" s="131"/>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99C3821-C030-2047-B823-2BDDC88F64EA}"/>
    <hyperlink ref="K4" location="'Analysis -&gt;'!B13" display="'Analysis -&gt;'!B13" xr:uid="{30EA2D1C-66CA-594E-B123-2EEEF5B0DBA8}"/>
    <hyperlink ref="K5" location="'Forecast -&gt;'!B13" display="'Forecast -&gt;'!B13" xr:uid="{0BF96B4B-5FDB-1542-8DC8-5FA5787C0496}"/>
    <hyperlink ref="K6" location="'Valuation -&gt;'!B13" display="'Valuation -&gt;'!B13" xr:uid="{4DC801DF-81C6-624C-853F-E4066817BC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14</v>
      </c>
    </row>
  </sheetData>
  <hyperlinks>
    <hyperlink ref="H6" location="Overview!B3" display="Overview'!B3" xr:uid="{70104AE7-FBEA-2E4F-A2B6-8CC367FC1CD5}"/>
    <hyperlink ref="H8" location="'Analysis -&gt;'!B13" display="'Analysis -&gt;'!B13" xr:uid="{D9400C1E-21BA-7643-B47C-411621DEEC8B}"/>
    <hyperlink ref="H9" location="'Forecast -&gt;'!B13" display="'Forecast -&gt;'!B13" xr:uid="{7E8D648B-3B86-B94A-8E13-9E07062B8D6E}"/>
    <hyperlink ref="H10" location="'Valuation -&gt;'!B13" display="'Valuation -&gt;'!B13" xr:uid="{32954A4C-9CB8-1142-8495-3DE4B04BEEF7}"/>
    <hyperlink ref="H7" location="'Financials -&gt;'!B13" display="'Financials -&gt;'!B13" xr:uid="{DC12F570-F933-6C45-B8FD-755C80DF2A1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49"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85.49</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85.49</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-40.516587677725113</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7.3289027651143215</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4.9257677457677449</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431211.56</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459212.56</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8.051840370318418</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-5963.7994805194803</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AC109+AC53+AC110+AC55+AC57+AC58+AC56</f>
        <v>-7711</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-38.346959537572253</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-59.552919206328625</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-2.6077686785576898E-2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-2.4681249268920347E-2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3.7081566180646921E-3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-0.13520479730677515</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-2.875618640650543E-2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227</v>
      </c>
    </row>
  </sheetData>
  <hyperlinks>
    <hyperlink ref="H6" location="Overview!B3" display="Overview'!B3" xr:uid="{2D27DE06-8CB2-534D-BA10-29E499730906}"/>
    <hyperlink ref="H8" location="'Analysis -&gt;'!B13" display="'Analysis -&gt;'!B13" xr:uid="{A0508156-8678-DD40-B34B-942B35AFC366}"/>
    <hyperlink ref="H9" location="'Forecast -&gt;'!B13" display="'Forecast -&gt;'!B13" xr:uid="{268ED4EF-1BBB-E84A-A0FC-D2446769C91C}"/>
    <hyperlink ref="H10" location="'Valuation -&gt;'!B13" display="'Valuation -&gt;'!B13" xr:uid="{BD1CC9A3-E228-2B4F-84C4-3CE291267636}"/>
    <hyperlink ref="H7" location="'Financials -&gt;'!B13" display="'Financials -&gt;'!B13" xr:uid="{A6120D08-6B10-3B4B-9F9C-F630879294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42" t="s">
        <v>228</v>
      </c>
      <c r="C4" s="242"/>
      <c r="E4" s="242" t="s">
        <v>235</v>
      </c>
      <c r="F4" s="242"/>
      <c r="G4" s="242"/>
    </row>
    <row r="5" spans="2:7" x14ac:dyDescent="0.2">
      <c r="B5" s="20" t="s">
        <v>1</v>
      </c>
      <c r="C5" s="167">
        <f ca="1">Overview!C5</f>
        <v>85.49</v>
      </c>
      <c r="E5" s="12"/>
      <c r="F5" s="131" t="s">
        <v>236</v>
      </c>
      <c r="G5" s="131" t="s">
        <v>237</v>
      </c>
    </row>
    <row r="6" spans="2:7" x14ac:dyDescent="0.2">
      <c r="B6" s="20" t="s">
        <v>234</v>
      </c>
      <c r="C6" s="168">
        <f ca="1">Statement!AC153</f>
        <v>431211.56</v>
      </c>
      <c r="E6" s="20" t="s">
        <v>19</v>
      </c>
      <c r="F6" s="173">
        <f>IF(Statement!M5&lt;=0,"N/A",_xlfn.RRI(4,Statement!M5,Statement!Q5))</f>
        <v>-9.5668499906773397E-2</v>
      </c>
      <c r="G6" s="173" t="str">
        <f>IF(Statement!H5&lt;=0,"N/A",_xlfn.RRI(9,Statement!H5,Statement!Q5))</f>
        <v>N/A</v>
      </c>
    </row>
    <row r="7" spans="2:7" x14ac:dyDescent="0.2">
      <c r="B7" s="20" t="s">
        <v>183</v>
      </c>
      <c r="C7" s="168">
        <f ca="1">Statement!AC154</f>
        <v>459212.56</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-40.516587677725113</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7.3289027651143215</v>
      </c>
      <c r="E9" s="20" t="s">
        <v>239</v>
      </c>
      <c r="F9" s="173">
        <f>IF(Statement!M82&lt;=0,"N/A",_xlfn.RRI(4,Statement!M82,Statement!Q82))</f>
        <v>-1</v>
      </c>
      <c r="G9" s="173" t="str">
        <f>IF(Statement!H82&lt;=0,"N/A",_xlfn.RRI(9,Statement!H82,Statement!Q82))</f>
        <v>N/A</v>
      </c>
    </row>
    <row r="10" spans="2:7" x14ac:dyDescent="0.2">
      <c r="B10" s="20" t="s">
        <v>233</v>
      </c>
      <c r="C10" s="169">
        <f ca="1">Statement!AC152</f>
        <v>4.9257677457677449</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8.051840370318418</v>
      </c>
    </row>
    <row r="12" spans="2:7" x14ac:dyDescent="0.2">
      <c r="B12" s="20" t="s">
        <v>199</v>
      </c>
      <c r="C12" s="169">
        <f ca="1">Statement!AC156</f>
        <v>-5963.7994805194803</v>
      </c>
    </row>
    <row r="15" spans="2:7" x14ac:dyDescent="0.2">
      <c r="B15" s="242" t="s">
        <v>75</v>
      </c>
      <c r="C15" s="242"/>
      <c r="E15" s="242" t="s">
        <v>241</v>
      </c>
      <c r="F15" s="242"/>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42" t="s">
        <v>240</v>
      </c>
      <c r="C21" s="242"/>
      <c r="E21" s="242" t="s">
        <v>244</v>
      </c>
      <c r="F21" s="242"/>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42" t="s">
        <v>245</v>
      </c>
      <c r="C29" s="242"/>
      <c r="E29" s="242" t="s">
        <v>251</v>
      </c>
      <c r="F29" s="242"/>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42" t="s">
        <v>263</v>
      </c>
      <c r="C37" s="242"/>
      <c r="E37" s="242" t="s">
        <v>266</v>
      </c>
      <c r="F37" s="242"/>
    </row>
    <row r="38" spans="2:6" x14ac:dyDescent="0.2">
      <c r="B38" s="20" t="s">
        <v>261</v>
      </c>
      <c r="C38" s="170">
        <f ca="1">Statement!AC162</f>
        <v>-2.4681249268920347E-2</v>
      </c>
      <c r="E38" s="20" t="s">
        <v>265</v>
      </c>
      <c r="F38" s="170">
        <f>Statement!AC168</f>
        <v>-0.14219653179190753</v>
      </c>
    </row>
    <row r="39" spans="2:6" x14ac:dyDescent="0.2">
      <c r="B39" s="54" t="s">
        <v>264</v>
      </c>
      <c r="C39" s="210">
        <f ca="1">Statement!AC161</f>
        <v>-2.6077686785576898E-2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3.7081566180646921E-3</v>
      </c>
    </row>
    <row r="45" spans="2:6" x14ac:dyDescent="0.2">
      <c r="B45" s="242" t="s">
        <v>274</v>
      </c>
      <c r="C45" s="242"/>
      <c r="E45" s="242" t="s">
        <v>280</v>
      </c>
      <c r="F45" s="242"/>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-2.875618640650543E-2</v>
      </c>
    </row>
    <row r="51" spans="2:6" x14ac:dyDescent="0.2">
      <c r="B51" s="242" t="s">
        <v>277</v>
      </c>
      <c r="C51" s="242"/>
      <c r="E51" s="242" t="s">
        <v>298</v>
      </c>
      <c r="F51" s="242"/>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85.49</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431211.56</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459212.56</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-40.516587677725113</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7.3289027651143215</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4.9257677457677449</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8.051840370318418</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-5963.7994805194803</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-2.4681249268920347E-2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-2.6077686785576898E-2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3.7081566180646921E-3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-2.875618640650543E-2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308</v>
      </c>
      <c r="D3" s="246"/>
      <c r="F3" s="247" t="s">
        <v>309</v>
      </c>
      <c r="G3" s="246"/>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43">
        <f>Statement!AA89</f>
        <v>0.18789128673491934</v>
      </c>
      <c r="D7" s="244"/>
      <c r="F7" s="243">
        <f>IF(F6=0,
IF(G6=0,0,IF(G6&gt;0,1,-1)),
(G6-F6)/ABS(F6)
)</f>
        <v>0.25421883505715842</v>
      </c>
      <c r="G7" s="244"/>
    </row>
    <row r="8" spans="2:7" x14ac:dyDescent="0.2">
      <c r="B8" s="202" t="s">
        <v>20</v>
      </c>
      <c r="C8" s="195">
        <f>Statement!Z6</f>
        <v>8230</v>
      </c>
      <c r="D8" s="193">
        <f>Statement!AA6</f>
        <v>9619</v>
      </c>
      <c r="F8" s="195">
        <f>Statement!W6</f>
        <v>9317</v>
      </c>
      <c r="G8" s="193">
        <f>Statement!AA6</f>
        <v>9619</v>
      </c>
    </row>
    <row r="9" spans="2:7" x14ac:dyDescent="0.2">
      <c r="B9" s="201" t="s">
        <v>310</v>
      </c>
      <c r="C9" s="243">
        <f>Statement!AA90</f>
        <v>0.16877278250303768</v>
      </c>
      <c r="D9" s="244"/>
      <c r="F9" s="243">
        <f>IF(F8=0,
IF(G8=0,0,IF(G8&gt;0,1,-1)),
(G8-F8)/ABS(F8)
)</f>
        <v>3.2413867124610925E-2</v>
      </c>
      <c r="G9" s="244"/>
    </row>
    <row r="10" spans="2:7" x14ac:dyDescent="0.2">
      <c r="B10" s="202" t="s">
        <v>21</v>
      </c>
      <c r="C10" s="195">
        <f>Statement!Z7</f>
        <v>5347</v>
      </c>
      <c r="D10" s="193">
        <f>Statement!AA7</f>
        <v>6509</v>
      </c>
      <c r="F10" s="195">
        <f>Statement!W7</f>
        <v>3542</v>
      </c>
      <c r="G10" s="193">
        <f>Statement!AA7</f>
        <v>6509</v>
      </c>
    </row>
    <row r="11" spans="2:7" x14ac:dyDescent="0.2">
      <c r="B11" s="201" t="s">
        <v>310</v>
      </c>
      <c r="C11" s="243">
        <f>Statement!AA91</f>
        <v>0.21731812231157657</v>
      </c>
      <c r="D11" s="244"/>
      <c r="F11" s="243">
        <f>IF(F10=0,
IF(G10=0,0,IF(G10&gt;0,1,-1)),
(G10-F10)/ABS(F10)
)</f>
        <v>0.83766233766233766</v>
      </c>
      <c r="G11" s="244"/>
    </row>
    <row r="12" spans="2:7" x14ac:dyDescent="0.2">
      <c r="B12" s="202" t="s">
        <v>23</v>
      </c>
      <c r="C12" s="195">
        <f>Statement!Z11</f>
        <v>8483</v>
      </c>
      <c r="D12" s="193">
        <f>Statement!AA11</f>
        <v>4713</v>
      </c>
      <c r="F12" s="195">
        <f>Statement!W11</f>
        <v>6718</v>
      </c>
      <c r="G12" s="193">
        <f>Statement!AA11</f>
        <v>4713</v>
      </c>
    </row>
    <row r="13" spans="2:7" x14ac:dyDescent="0.2">
      <c r="B13" s="201" t="s">
        <v>310</v>
      </c>
      <c r="C13" s="243">
        <f>Statement!AA95</f>
        <v>-0.44441824826122833</v>
      </c>
      <c r="D13" s="244"/>
      <c r="F13" s="243">
        <f>IF(F12=0,
IF(G12=0,0,IF(G12&gt;0,1,-1)),
(G12-F12)/ABS(F12)
)</f>
        <v>-0.29845192021434952</v>
      </c>
      <c r="G13" s="244"/>
    </row>
    <row r="14" spans="2:7" x14ac:dyDescent="0.2">
      <c r="B14" s="202" t="s">
        <v>311</v>
      </c>
      <c r="C14" s="195">
        <f>Statement!Z12</f>
        <v>-3136</v>
      </c>
      <c r="D14" s="193">
        <f>Statement!AA12</f>
        <v>1796</v>
      </c>
      <c r="F14" s="195">
        <f>Statement!W12</f>
        <v>-3176</v>
      </c>
      <c r="G14" s="193">
        <f>Statement!AA12</f>
        <v>1796</v>
      </c>
    </row>
    <row r="15" spans="2:7" x14ac:dyDescent="0.2">
      <c r="B15" s="201" t="s">
        <v>310</v>
      </c>
      <c r="C15" s="243">
        <f>Statement!AA96</f>
        <v>1.572704081632653</v>
      </c>
      <c r="D15" s="244"/>
      <c r="F15" s="243">
        <f>IF(F14=0,
IF(G14=0,0,IF(G14&gt;0,1,-1)),
(G14-F14)/ABS(F14)
)</f>
        <v>1.5654911838790933</v>
      </c>
      <c r="G15" s="244"/>
    </row>
    <row r="16" spans="2:7" x14ac:dyDescent="0.2">
      <c r="B16" s="202" t="s">
        <v>29</v>
      </c>
      <c r="C16" s="195">
        <f>Statement!Z18</f>
        <v>-3728</v>
      </c>
      <c r="D16" s="193">
        <f>Statement!AA18</f>
        <v>-11033</v>
      </c>
      <c r="F16" s="195">
        <f>Statement!W18</f>
        <v>-2918</v>
      </c>
      <c r="G16" s="193">
        <f>Statement!AA18</f>
        <v>-11033</v>
      </c>
    </row>
    <row r="17" spans="2:7" x14ac:dyDescent="0.2">
      <c r="B17" s="201" t="s">
        <v>310</v>
      </c>
      <c r="C17" s="243">
        <f>Statement!AA98</f>
        <v>-1.9594957081545064</v>
      </c>
      <c r="D17" s="244"/>
      <c r="F17" s="243">
        <f>IF(F16=0,
IF(G16=0,0,IF(G16&gt;0,1,-1)),
(G16-F16)/ABS(F16)
)</f>
        <v>-2.781014393420151</v>
      </c>
      <c r="G17" s="244"/>
    </row>
    <row r="18" spans="2:7" x14ac:dyDescent="0.2">
      <c r="B18" s="202" t="s">
        <v>312</v>
      </c>
      <c r="C18" s="195">
        <f>Statement!Z22</f>
        <v>5083</v>
      </c>
      <c r="D18" s="193">
        <f>Statement!AA22</f>
        <v>5104</v>
      </c>
      <c r="F18" s="195">
        <f>Statement!W22</f>
        <v>4369</v>
      </c>
      <c r="G18" s="193">
        <f>Statement!AA22</f>
        <v>5104</v>
      </c>
    </row>
    <row r="19" spans="2:7" x14ac:dyDescent="0.2">
      <c r="B19" s="201" t="s">
        <v>310</v>
      </c>
      <c r="C19" s="243">
        <f>IF(C18=0,
IF(D18=0,0,IF(D18&gt;0,1,-1)),
(D18-C18)/ABS(C18)
)</f>
        <v>4.1314184536690932E-3</v>
      </c>
      <c r="D19" s="244"/>
      <c r="F19" s="243">
        <f>IF(F18=0,
IF(G18=0,0,IF(G18&gt;0,1,-1)),
(G18-F18)/ABS(F18)
)</f>
        <v>0.16823071641107806</v>
      </c>
      <c r="G19" s="244"/>
    </row>
    <row r="20" spans="2:7" x14ac:dyDescent="0.2">
      <c r="B20" s="202" t="s">
        <v>36</v>
      </c>
      <c r="C20" s="196">
        <f>Statement!Z26</f>
        <v>-0.73</v>
      </c>
      <c r="D20" s="197">
        <f>Statement!AA26</f>
        <v>-2.16</v>
      </c>
      <c r="F20" s="196">
        <f>Statement!W26</f>
        <v>-0.67</v>
      </c>
      <c r="G20" s="197">
        <f>Statement!AA26</f>
        <v>-2.16</v>
      </c>
    </row>
    <row r="21" spans="2:7" x14ac:dyDescent="0.2">
      <c r="B21" s="201" t="s">
        <v>310</v>
      </c>
      <c r="C21" s="243">
        <f>IF(C20=0,
IF(D20=0,0,IF(D20&gt;0,1,-1)),
(D20-C20)/ABS(C20)
)</f>
        <v>-1.9589041095890414</v>
      </c>
      <c r="D21" s="244"/>
      <c r="F21" s="243">
        <f>IF(F20=0,
IF(G20=0,0,IF(G20&gt;0,1,-1)),
(G20-F20)/ABS(F20)
)</f>
        <v>-2.2238805970149254</v>
      </c>
      <c r="G21" s="244"/>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43">
        <f>IF(C24=0,
IF(D24=0,0,IF(D24&gt;0,1,-1)),
(D24-C24)/ABS(C24)
)</f>
        <v>0.14882878219231266</v>
      </c>
      <c r="D25" s="244"/>
      <c r="F25" s="243">
        <f>IF(F24=0,
IF(G24=0,0,IF(G24&gt;0,1,-1)),
(G24-F24)/ABS(F24)
)</f>
        <v>0.12781095159446068</v>
      </c>
      <c r="G25" s="244"/>
    </row>
    <row r="26" spans="2:7" x14ac:dyDescent="0.2">
      <c r="B26" s="20" t="s">
        <v>349</v>
      </c>
      <c r="C26" s="195">
        <f>Statement!Z188</f>
        <v>5052</v>
      </c>
      <c r="D26" s="193">
        <f>Statement!AA188</f>
        <v>6262</v>
      </c>
      <c r="F26" s="195">
        <f>Statement!W188</f>
        <v>3939</v>
      </c>
      <c r="G26" s="193">
        <f>Statement!AA188</f>
        <v>6262</v>
      </c>
    </row>
    <row r="27" spans="2:7" x14ac:dyDescent="0.2">
      <c r="B27" s="201" t="s">
        <v>310</v>
      </c>
      <c r="C27" s="243">
        <f>IF(C26=0,
IF(D26=0,0,IF(D26&gt;0,1,-1)),
(D26-C26)/ABS(C26)
)</f>
        <v>0.23950910530482977</v>
      </c>
      <c r="D27" s="244"/>
      <c r="F27" s="243">
        <f>IF(F26=0,
IF(G26=0,0,IF(G26&gt;0,1,-1)),
(G26-F26)/ABS(F26)
)</f>
        <v>0.58974358974358976</v>
      </c>
      <c r="G27" s="244"/>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43">
        <f>IF(C28=0,
IF(D28=0,0,IF(D28&gt;0,1,-1)),
(D28-C28)/ABS(C28)
)</f>
        <v>0.18467798732295171</v>
      </c>
      <c r="D29" s="244"/>
      <c r="F29" s="243">
        <f>IF(F28=0,
IF(G28=0,0,IF(G28&gt;0,1,-1)),
(G28-F28)/ABS(F28)
)</f>
        <v>0.28187976291278577</v>
      </c>
      <c r="G29" s="244"/>
    </row>
    <row r="30" spans="2:7" x14ac:dyDescent="0.2">
      <c r="B30" s="20" t="s">
        <v>351</v>
      </c>
      <c r="C30" s="195">
        <f>Statement!Z190</f>
        <v>5421</v>
      </c>
      <c r="D30" s="195">
        <f>Statement!AA190</f>
        <v>5765</v>
      </c>
      <c r="F30" s="195">
        <f>Statement!W190</f>
        <v>4417</v>
      </c>
      <c r="G30" s="193">
        <f>Statement!AA190</f>
        <v>5765</v>
      </c>
    </row>
    <row r="31" spans="2:7" x14ac:dyDescent="0.2">
      <c r="B31" s="201" t="s">
        <v>310</v>
      </c>
      <c r="C31" s="243">
        <f>IF(C30=0,
IF(D30=0,0,IF(D30&gt;0,1,-1)),
(D30-C30)/ABS(C30)
)</f>
        <v>6.3456926766279287E-2</v>
      </c>
      <c r="D31" s="244"/>
      <c r="F31" s="243">
        <f>IF(F30=0,
IF(G30=0,0,IF(G30&gt;0,1,-1)),
(G30-F30)/ABS(F30)
)</f>
        <v>0.30518451437627347</v>
      </c>
      <c r="G31" s="244"/>
    </row>
    <row r="32" spans="2:7" x14ac:dyDescent="0.2">
      <c r="B32" s="20" t="s">
        <v>352</v>
      </c>
      <c r="C32" s="195">
        <f>Statement!Z191</f>
        <v>628</v>
      </c>
      <c r="D32" s="193">
        <f>Statement!AA191</f>
        <v>701</v>
      </c>
      <c r="F32" s="195">
        <f>Statement!W191</f>
        <v>1053</v>
      </c>
      <c r="G32" s="193">
        <f>Statement!AA191</f>
        <v>701</v>
      </c>
    </row>
    <row r="33" spans="2:7" x14ac:dyDescent="0.2">
      <c r="B33" s="201" t="s">
        <v>310</v>
      </c>
      <c r="C33" s="243">
        <f>IF(C32=0,
IF(D32=0,0,IF(D32&gt;0,1,-1)),
(D32-C32)/ABS(C32)
)</f>
        <v>0.11624203821656051</v>
      </c>
      <c r="D33" s="244"/>
      <c r="F33" s="243">
        <f>IF(F32=0,
IF(G32=0,0,IF(G32&gt;0,1,-1)),
(G32-F32)/ABS(F32)
)</f>
        <v>-0.33428300094966762</v>
      </c>
      <c r="G33" s="244"/>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106</v>
      </c>
    </row>
  </sheetData>
  <hyperlinks>
    <hyperlink ref="H6" location="Overview!B3" display="Overview'!B3" xr:uid="{2FAE08F3-3629-4F42-8CB8-5D64CA33BE2D}"/>
    <hyperlink ref="H8" location="'Analysis -&gt;'!B13" display="'Analysis -&gt;'!B13" xr:uid="{E720CD94-30E1-DC44-99B8-36930AA2606E}"/>
    <hyperlink ref="H9" location="'Forecast -&gt;'!B13" display="'Forecast -&gt;'!B13" xr:uid="{80B04D5C-387D-CD4C-A15B-C920D4AEEB39}"/>
    <hyperlink ref="H10" location="'Valuation -&gt;'!B13" display="'Valuation -&gt;'!B13" xr:uid="{19D37859-49D9-C84F-8095-3F93F53DF271}"/>
    <hyperlink ref="H7" location="'Financials -&gt;'!B13" display="'Financials -&gt;'!B13" xr:uid="{8D9E2D0E-8CBA-914C-BEC1-B8FF8649557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42" t="s">
        <v>108</v>
      </c>
      <c r="D2" s="242"/>
      <c r="E2" s="242"/>
      <c r="F2" s="242"/>
      <c r="G2" s="251"/>
      <c r="H2" s="252" t="s">
        <v>109</v>
      </c>
      <c r="I2" s="242"/>
      <c r="J2" s="242"/>
      <c r="K2" s="242"/>
      <c r="L2" s="242"/>
      <c r="O2" s="5"/>
      <c r="S2" s="242" t="s">
        <v>108</v>
      </c>
      <c r="T2" s="242"/>
      <c r="U2" s="242"/>
      <c r="V2" s="242"/>
      <c r="W2" s="242"/>
      <c r="X2" s="242"/>
      <c r="Y2" s="242"/>
      <c r="Z2" s="242"/>
      <c r="AA2" s="242" t="s">
        <v>109</v>
      </c>
      <c r="AB2" s="242"/>
      <c r="AC2" s="242"/>
      <c r="AE2" s="84" t="s">
        <v>110</v>
      </c>
    </row>
    <row r="3" spans="1:31" ht="10" customHeight="1" x14ac:dyDescent="0.2">
      <c r="O3" s="5"/>
    </row>
    <row r="4" spans="1:31" ht="16" customHeight="1" x14ac:dyDescent="0.2">
      <c r="A4" s="85"/>
      <c r="B4" s="59"/>
      <c r="C4" s="248" t="s">
        <v>111</v>
      </c>
      <c r="D4" s="248"/>
      <c r="E4" s="248"/>
      <c r="F4" s="248"/>
      <c r="G4" s="248"/>
      <c r="H4" s="248"/>
      <c r="I4" s="248"/>
      <c r="J4" s="248"/>
      <c r="K4" s="248"/>
      <c r="L4" s="248"/>
      <c r="O4" s="5"/>
      <c r="S4" s="249" t="s">
        <v>111</v>
      </c>
      <c r="T4" s="250"/>
      <c r="U4" s="250"/>
      <c r="V4" s="250"/>
      <c r="W4" s="250"/>
      <c r="X4" s="250"/>
      <c r="Y4" s="250"/>
      <c r="Z4" s="250"/>
      <c r="AA4" s="250"/>
      <c r="AB4" s="250"/>
      <c r="AC4" s="250"/>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8" t="s">
        <v>117</v>
      </c>
      <c r="D13" s="248"/>
      <c r="E13" s="248"/>
      <c r="F13" s="248"/>
      <c r="G13" s="248"/>
      <c r="H13" s="248"/>
      <c r="I13" s="248"/>
      <c r="J13" s="248"/>
      <c r="K13" s="248"/>
      <c r="L13" s="248"/>
      <c r="O13" s="5"/>
      <c r="Q13" s="90"/>
      <c r="S13" s="249" t="s">
        <v>117</v>
      </c>
      <c r="T13" s="250"/>
      <c r="U13" s="250"/>
      <c r="V13" s="250"/>
      <c r="W13" s="250"/>
      <c r="X13" s="250"/>
      <c r="Y13" s="250"/>
      <c r="Z13" s="250"/>
      <c r="AA13" s="250"/>
      <c r="AB13" s="250"/>
      <c r="AC13" s="250"/>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42" t="s">
        <v>108</v>
      </c>
      <c r="D2" s="242"/>
      <c r="E2" s="242"/>
      <c r="F2" s="242"/>
      <c r="G2" s="251"/>
      <c r="H2" s="252" t="s">
        <v>109</v>
      </c>
      <c r="I2" s="242"/>
      <c r="J2" s="242"/>
      <c r="K2" s="242"/>
      <c r="L2" s="242"/>
      <c r="P2" s="242" t="s">
        <v>108</v>
      </c>
      <c r="Q2" s="242"/>
      <c r="R2" s="242"/>
      <c r="S2" s="242"/>
      <c r="T2" s="242"/>
      <c r="U2" s="242"/>
      <c r="V2" s="242"/>
      <c r="W2" s="242"/>
      <c r="X2" s="242" t="s">
        <v>109</v>
      </c>
      <c r="Y2" s="242"/>
      <c r="Z2" s="242"/>
      <c r="AB2" s="84" t="s">
        <v>110</v>
      </c>
    </row>
    <row r="3" spans="1:28" ht="10" customHeight="1" x14ac:dyDescent="0.2"/>
    <row r="4" spans="1:28" ht="16" customHeight="1" x14ac:dyDescent="0.2">
      <c r="A4" s="85"/>
      <c r="B4" s="59"/>
      <c r="C4" s="248" t="s">
        <v>111</v>
      </c>
      <c r="D4" s="248"/>
      <c r="E4" s="248"/>
      <c r="F4" s="248"/>
      <c r="G4" s="248"/>
      <c r="H4" s="248"/>
      <c r="I4" s="248"/>
      <c r="J4" s="248"/>
      <c r="K4" s="248"/>
      <c r="L4" s="248"/>
      <c r="P4" s="250" t="s">
        <v>111</v>
      </c>
      <c r="Q4" s="250"/>
      <c r="R4" s="250"/>
      <c r="S4" s="250"/>
      <c r="T4" s="250"/>
      <c r="U4" s="250"/>
      <c r="V4" s="250"/>
      <c r="W4" s="250"/>
      <c r="X4" s="250"/>
      <c r="Y4" s="250"/>
      <c r="Z4" s="250"/>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8" t="s">
        <v>120</v>
      </c>
      <c r="D9" s="248"/>
      <c r="E9" s="248"/>
      <c r="F9" s="248"/>
      <c r="G9" s="248"/>
      <c r="H9" s="248"/>
      <c r="I9" s="248"/>
      <c r="J9" s="248"/>
      <c r="K9" s="248"/>
      <c r="L9" s="248"/>
      <c r="N9" s="90"/>
      <c r="P9" s="250" t="s">
        <v>121</v>
      </c>
      <c r="Q9" s="250"/>
      <c r="R9" s="250"/>
      <c r="S9" s="250"/>
      <c r="T9" s="250"/>
      <c r="U9" s="250"/>
      <c r="V9" s="250"/>
      <c r="W9" s="250"/>
      <c r="X9" s="250"/>
      <c r="Y9" s="250"/>
      <c r="Z9" s="250"/>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8" t="s">
        <v>123</v>
      </c>
      <c r="D18" s="248"/>
      <c r="E18" s="248"/>
      <c r="F18" s="248"/>
      <c r="G18" s="248"/>
      <c r="H18" s="248"/>
      <c r="I18" s="248"/>
      <c r="J18" s="248"/>
      <c r="K18" s="248"/>
      <c r="L18" s="248"/>
      <c r="P18" s="250" t="s">
        <v>123</v>
      </c>
      <c r="Q18" s="250"/>
      <c r="R18" s="250"/>
      <c r="S18" s="250"/>
      <c r="T18" s="250"/>
      <c r="U18" s="250"/>
      <c r="V18" s="250"/>
      <c r="W18" s="250"/>
      <c r="X18" s="250"/>
      <c r="Y18" s="250"/>
      <c r="Z18" s="250"/>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111</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8" t="s">
        <v>127</v>
      </c>
      <c r="D11" s="248"/>
      <c r="E11" s="248"/>
      <c r="F11" s="248"/>
      <c r="G11" s="248"/>
      <c r="H11" s="248"/>
      <c r="I11" s="248"/>
      <c r="J11" s="248"/>
      <c r="K11" s="248"/>
      <c r="L11" s="248"/>
      <c r="N11" s="90"/>
      <c r="P11" s="253"/>
      <c r="Q11" s="253"/>
      <c r="R11" s="253"/>
      <c r="S11" s="253"/>
      <c r="T11" s="253"/>
      <c r="U11" s="253"/>
      <c r="V11" s="253"/>
      <c r="W11" s="253"/>
      <c r="X11" s="253"/>
      <c r="Y11" s="253"/>
      <c r="Z11" s="253"/>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8" t="s">
        <v>132</v>
      </c>
      <c r="D18" s="248"/>
      <c r="E18" s="248"/>
      <c r="F18" s="248"/>
      <c r="G18" s="248"/>
      <c r="H18" s="248"/>
      <c r="I18" s="248"/>
      <c r="J18" s="248"/>
      <c r="K18" s="248"/>
      <c r="L18" s="248"/>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53"/>
      <c r="C25" s="253"/>
    </row>
    <row r="26" spans="2:12" x14ac:dyDescent="0.2">
      <c r="B26" s="108"/>
      <c r="C26" s="248" t="s">
        <v>138</v>
      </c>
      <c r="D26" s="248"/>
      <c r="E26" s="248"/>
      <c r="F26" s="248"/>
      <c r="G26" s="248"/>
      <c r="H26" s="248"/>
      <c r="I26" s="248"/>
      <c r="J26" s="248"/>
      <c r="K26" s="248"/>
      <c r="L26" s="248"/>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8" t="s">
        <v>142</v>
      </c>
      <c r="D33" s="248"/>
      <c r="E33" s="248"/>
      <c r="F33" s="248"/>
      <c r="G33" s="248"/>
      <c r="H33" s="248"/>
      <c r="I33" s="248"/>
      <c r="J33" s="248"/>
      <c r="K33" s="248"/>
      <c r="L33" s="248"/>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8" t="s">
        <v>145</v>
      </c>
      <c r="D40" s="248"/>
      <c r="E40" s="248"/>
      <c r="F40" s="248"/>
      <c r="G40" s="248"/>
      <c r="H40" s="248"/>
      <c r="I40" s="248"/>
      <c r="J40" s="248"/>
      <c r="K40" s="248"/>
      <c r="L40" s="248"/>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42" t="s">
        <v>108</v>
      </c>
      <c r="D2" s="242"/>
      <c r="E2" s="242"/>
      <c r="F2" s="242"/>
      <c r="G2" s="251"/>
      <c r="H2" s="252" t="s">
        <v>109</v>
      </c>
      <c r="I2" s="242"/>
      <c r="J2" s="242"/>
      <c r="K2" s="242"/>
      <c r="L2" s="242"/>
      <c r="S2" s="253"/>
      <c r="T2" s="253"/>
      <c r="U2" s="253"/>
      <c r="V2" s="253"/>
      <c r="W2" s="253"/>
      <c r="X2" s="253"/>
      <c r="Y2" s="253"/>
      <c r="Z2" s="253"/>
      <c r="AA2" s="253"/>
      <c r="AB2" s="253"/>
      <c r="AC2" s="253"/>
      <c r="AE2" s="108"/>
    </row>
    <row r="3" spans="1:31" ht="10" customHeight="1" x14ac:dyDescent="0.2"/>
    <row r="4" spans="1:31" ht="16" customHeight="1" x14ac:dyDescent="0.2">
      <c r="A4" s="85"/>
      <c r="B4" s="59"/>
      <c r="C4" s="248" t="s">
        <v>18</v>
      </c>
      <c r="D4" s="248"/>
      <c r="E4" s="248"/>
      <c r="F4" s="248"/>
      <c r="G4" s="248"/>
      <c r="H4" s="248"/>
      <c r="I4" s="248"/>
      <c r="J4" s="248"/>
      <c r="K4" s="248"/>
      <c r="L4" s="248"/>
      <c r="S4" s="253"/>
      <c r="T4" s="253"/>
      <c r="U4" s="253"/>
      <c r="V4" s="253"/>
      <c r="W4" s="253"/>
      <c r="X4" s="253"/>
      <c r="Y4" s="253"/>
      <c r="Z4" s="253"/>
      <c r="AA4" s="253"/>
      <c r="AB4" s="253"/>
      <c r="AC4" s="253"/>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8" t="s">
        <v>153</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8" t="s">
        <v>154</v>
      </c>
      <c r="D18" s="248"/>
      <c r="E18" s="248"/>
      <c r="F18" s="248"/>
      <c r="G18" s="248"/>
      <c r="H18" s="248"/>
      <c r="I18" s="248"/>
      <c r="J18" s="248"/>
      <c r="K18" s="248"/>
      <c r="L18" s="248"/>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8" t="s">
        <v>257</v>
      </c>
      <c r="D25" s="248"/>
      <c r="E25" s="248"/>
      <c r="F25" s="248"/>
      <c r="G25" s="248"/>
      <c r="H25" s="248"/>
      <c r="I25" s="248"/>
      <c r="J25" s="248"/>
      <c r="K25" s="248"/>
      <c r="L25" s="248"/>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8" t="s">
        <v>75</v>
      </c>
      <c r="D31" s="248"/>
      <c r="E31" s="248"/>
      <c r="F31" s="248"/>
      <c r="G31" s="248"/>
      <c r="H31" s="248"/>
      <c r="I31" s="248"/>
      <c r="J31" s="248"/>
      <c r="K31" s="248"/>
      <c r="L31" s="248"/>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159</v>
      </c>
    </row>
  </sheetData>
  <hyperlinks>
    <hyperlink ref="H6" location="Overview!B3" display="Overview'!B3" xr:uid="{31C97374-02FF-8649-AFBE-77050005C08A}"/>
    <hyperlink ref="H8" location="'Analysis -&gt;'!B13" display="'Analysis -&gt;'!B13" xr:uid="{69356680-499D-B149-B169-0DDFF228A9F2}"/>
    <hyperlink ref="H9" location="'Forecast -&gt;'!B13" display="'Forecast -&gt;'!B13" xr:uid="{FA7D09B3-DDFB-9C4A-A884-72B097E683E0}"/>
    <hyperlink ref="H10" location="'Valuation -&gt;'!B13" display="'Valuation -&gt;'!B13" xr:uid="{ADA71856-205A-8446-886B-3A2A502B4298}"/>
    <hyperlink ref="H7" location="'Financials -&gt;'!B13" display="'Financials -&gt;'!B13" xr:uid="{E8D8A197-2855-034F-827F-59357C007C3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42" t="s">
        <v>161</v>
      </c>
      <c r="C4" s="242"/>
    </row>
    <row r="5" spans="1:3" ht="17" customHeight="1" x14ac:dyDescent="0.2">
      <c r="B5" s="1" t="s">
        <v>162</v>
      </c>
      <c r="C5" s="135">
        <f>Statement!AC78</f>
        <v>5044</v>
      </c>
    </row>
    <row r="6" spans="1:3" ht="17" customHeight="1" x14ac:dyDescent="0.2">
      <c r="B6" s="1" t="s">
        <v>1</v>
      </c>
      <c r="C6" s="132">
        <f ca="1">Overview!C5</f>
        <v>85.49</v>
      </c>
    </row>
    <row r="7" spans="1:3" ht="17" customHeight="1" x14ac:dyDescent="0.2">
      <c r="B7" s="1" t="s">
        <v>163</v>
      </c>
      <c r="C7" s="133">
        <f ca="1">C5*C6</f>
        <v>431211.56</v>
      </c>
    </row>
    <row r="8" spans="1:3" ht="17" customHeight="1" x14ac:dyDescent="0.2">
      <c r="B8" s="1" t="s">
        <v>164</v>
      </c>
      <c r="C8" s="111">
        <f>Statement!AC108</f>
        <v>50537</v>
      </c>
    </row>
    <row r="9" spans="1:3" ht="17" customHeight="1" x14ac:dyDescent="0.2">
      <c r="B9" s="1" t="s">
        <v>165</v>
      </c>
      <c r="C9" s="134">
        <f ca="1">Overview!F27</f>
        <v>4.9530000000000005E-2</v>
      </c>
    </row>
    <row r="10" spans="1:3" ht="17" customHeight="1" x14ac:dyDescent="0.2">
      <c r="B10" s="1" t="s">
        <v>9</v>
      </c>
      <c r="C10" s="132">
        <f ca="1">Overview!C13</f>
        <v>2.3437000000000001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42" t="s">
        <v>168</v>
      </c>
      <c r="C15" s="242"/>
    </row>
    <row r="16" spans="1:3" ht="17" customHeight="1" x14ac:dyDescent="0.2">
      <c r="B16" s="1" t="s">
        <v>169</v>
      </c>
      <c r="C16" s="46">
        <f ca="1">C8/(C8+C7)</f>
        <v>0.10490327153235289</v>
      </c>
    </row>
    <row r="17" spans="2:3" ht="17" customHeight="1" x14ac:dyDescent="0.2">
      <c r="B17" s="1" t="s">
        <v>170</v>
      </c>
      <c r="C17" s="46">
        <f ca="1">C7/(C8+C7)</f>
        <v>0.8950967284676471</v>
      </c>
    </row>
    <row r="18" spans="2:3" ht="17" customHeight="1" x14ac:dyDescent="0.2">
      <c r="B18" s="1" t="s">
        <v>171</v>
      </c>
      <c r="C18" s="46">
        <f>C13*(1-C12)</f>
        <v>4.4240000000000002E-2</v>
      </c>
    </row>
    <row r="19" spans="2:3" ht="17" customHeight="1" x14ac:dyDescent="0.2">
      <c r="B19" s="1" t="s">
        <v>172</v>
      </c>
      <c r="C19" s="46">
        <f ca="1">C9+C10*C11</f>
        <v>0.15499650000000001</v>
      </c>
    </row>
    <row r="20" spans="2:3" ht="17" customHeight="1" x14ac:dyDescent="0.2">
      <c r="B20" s="1" t="s">
        <v>160</v>
      </c>
      <c r="C20" s="46">
        <f ca="1">(C17*C19)+(C16*C18)</f>
        <v>0.14337778080652697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175</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-29853.410056166082</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-8092.4554617429258</v>
      </c>
      <c r="I10" s="125">
        <f t="shared" ref="I10:L10" ca="1" si="0">I7/(1+$C$15)^I9</f>
        <v>-5716.2679021507702</v>
      </c>
      <c r="J10" s="125">
        <f t="shared" ca="1" si="0"/>
        <v>-4192.7977087948966</v>
      </c>
      <c r="K10" s="125">
        <f t="shared" ca="1" si="0"/>
        <v>-4006.4540306097533</v>
      </c>
      <c r="L10" s="125">
        <f t="shared" ca="1" si="0"/>
        <v>-1847.9149847948663</v>
      </c>
      <c r="N10" s="90"/>
    </row>
    <row r="11" spans="1:28" x14ac:dyDescent="0.2">
      <c r="B11" s="1" t="s">
        <v>178</v>
      </c>
      <c r="C11" s="136"/>
      <c r="D11" s="136"/>
      <c r="E11" s="136"/>
      <c r="F11" s="136"/>
      <c r="G11" s="137"/>
      <c r="H11" s="136"/>
      <c r="I11" s="136"/>
      <c r="J11" s="136"/>
      <c r="K11" s="136"/>
      <c r="L11" s="125">
        <f ca="1">L8/(1+C15)^L9</f>
        <v>-15277.250670009211</v>
      </c>
    </row>
    <row r="13" spans="1:28" x14ac:dyDescent="0.2">
      <c r="B13" s="242" t="s">
        <v>179</v>
      </c>
      <c r="C13" s="242"/>
    </row>
    <row r="14" spans="1:28" x14ac:dyDescent="0.2">
      <c r="B14" s="1" t="s">
        <v>180</v>
      </c>
      <c r="C14" s="139">
        <v>0.02</v>
      </c>
    </row>
    <row r="15" spans="1:28" x14ac:dyDescent="0.2">
      <c r="B15" s="1" t="s">
        <v>160</v>
      </c>
      <c r="C15" s="134">
        <f ca="1">IF(Overview!C28&gt;0,Overview!C28,WACC!C20)</f>
        <v>0.14337778080652697</v>
      </c>
    </row>
    <row r="18" spans="2:3" x14ac:dyDescent="0.2">
      <c r="B18" s="242" t="s">
        <v>181</v>
      </c>
      <c r="C18" s="242"/>
    </row>
    <row r="19" spans="2:3" x14ac:dyDescent="0.2">
      <c r="B19" s="1" t="s">
        <v>182</v>
      </c>
      <c r="C19" s="63">
        <f ca="1">SUM(H10:L10)</f>
        <v>-23855.890088093212</v>
      </c>
    </row>
    <row r="20" spans="2:3" x14ac:dyDescent="0.2">
      <c r="B20" s="1" t="s">
        <v>178</v>
      </c>
      <c r="C20" s="63">
        <f ca="1">L11</f>
        <v>-15277.250670009211</v>
      </c>
    </row>
    <row r="21" spans="2:3" x14ac:dyDescent="0.2">
      <c r="B21" s="16" t="s">
        <v>183</v>
      </c>
      <c r="C21" s="93">
        <f ca="1">C19+C20</f>
        <v>-39133.140758102425</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-51533.140758102425</v>
      </c>
    </row>
    <row r="25" spans="2:3" x14ac:dyDescent="0.2">
      <c r="B25" s="1" t="s">
        <v>67</v>
      </c>
      <c r="C25" s="87">
        <f>Statement!AC78</f>
        <v>5044</v>
      </c>
    </row>
    <row r="26" spans="2:3" x14ac:dyDescent="0.2">
      <c r="B26" s="230" t="s">
        <v>187</v>
      </c>
      <c r="C26" s="231">
        <f ca="1">C24/C25</f>
        <v>-10.216721006760988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42" t="s">
        <v>108</v>
      </c>
      <c r="D2" s="242"/>
      <c r="E2" s="242"/>
      <c r="F2" s="242"/>
      <c r="G2" s="251"/>
      <c r="H2" s="252" t="s">
        <v>109</v>
      </c>
      <c r="I2" s="242"/>
      <c r="J2" s="242"/>
      <c r="K2" s="242"/>
      <c r="L2" s="242"/>
    </row>
    <row r="3" spans="1:14" ht="10" customHeight="1" x14ac:dyDescent="0.2"/>
    <row r="4" spans="1:14" ht="16" customHeight="1" x14ac:dyDescent="0.2">
      <c r="A4" s="85"/>
      <c r="B4" s="59"/>
      <c r="C4" s="248" t="s">
        <v>189</v>
      </c>
      <c r="D4" s="248"/>
      <c r="E4" s="248"/>
      <c r="F4" s="248"/>
      <c r="G4" s="248"/>
      <c r="H4" s="248"/>
      <c r="I4" s="248"/>
      <c r="J4" s="248"/>
      <c r="K4" s="248"/>
      <c r="L4" s="248"/>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-8092.4554617429258</v>
      </c>
      <c r="I9" s="91">
        <f ca="1">DCF!I10</f>
        <v>-5716.2679021507702</v>
      </c>
      <c r="J9" s="91">
        <f ca="1">DCF!J10</f>
        <v>-4192.7977087948966</v>
      </c>
      <c r="K9" s="91">
        <f ca="1">DCF!K10</f>
        <v>-4006.4540306097533</v>
      </c>
      <c r="L9" s="91">
        <f ca="1">DCF!L10</f>
        <v>-1847.9149847948663</v>
      </c>
      <c r="N9" s="90"/>
    </row>
    <row r="10" spans="1:14" x14ac:dyDescent="0.2">
      <c r="N10" s="90"/>
    </row>
    <row r="11" spans="1:14" x14ac:dyDescent="0.2">
      <c r="C11" s="248" t="s">
        <v>117</v>
      </c>
      <c r="D11" s="248"/>
      <c r="E11" s="248"/>
      <c r="F11" s="248"/>
      <c r="G11" s="248"/>
      <c r="H11" s="248"/>
      <c r="I11" s="248"/>
      <c r="J11" s="248"/>
      <c r="K11" s="248"/>
      <c r="L11" s="248"/>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8" t="s">
        <v>191</v>
      </c>
      <c r="D17" s="248"/>
      <c r="E17" s="248"/>
      <c r="F17" s="248"/>
      <c r="G17" s="248"/>
      <c r="H17" s="248"/>
      <c r="I17" s="248"/>
      <c r="J17" s="248"/>
      <c r="K17" s="248"/>
      <c r="L17" s="248"/>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8" t="s">
        <v>194</v>
      </c>
      <c r="D22" s="248"/>
      <c r="E22" s="248"/>
      <c r="F22" s="248"/>
      <c r="G22" s="248"/>
      <c r="H22" s="248"/>
      <c r="I22" s="248"/>
      <c r="J22" s="248"/>
      <c r="K22" s="248"/>
      <c r="L22" s="248"/>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8" t="s">
        <v>195</v>
      </c>
      <c r="D27" s="248"/>
      <c r="E27" s="248"/>
      <c r="F27" s="248"/>
      <c r="G27" s="248"/>
      <c r="H27" s="248"/>
      <c r="I27" s="248"/>
      <c r="J27" s="248"/>
      <c r="K27" s="248"/>
      <c r="L27" s="248"/>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42" t="s">
        <v>200</v>
      </c>
      <c r="C39" s="242"/>
      <c r="N39" s="90"/>
    </row>
    <row r="40" spans="2:14" x14ac:dyDescent="0.2">
      <c r="B40" s="1" t="s">
        <v>201</v>
      </c>
      <c r="C40" s="63">
        <f>L7</f>
        <v>12425.560115163004</v>
      </c>
    </row>
    <row r="41" spans="2:14" x14ac:dyDescent="0.2">
      <c r="B41" s="1" t="s">
        <v>160</v>
      </c>
      <c r="C41" s="134">
        <f ca="1">IF(Overview!C28&gt;0,Overview!C28,WACC!C20)</f>
        <v>0.14337778080652697</v>
      </c>
    </row>
    <row r="42" spans="2:14" x14ac:dyDescent="0.2">
      <c r="B42" s="39" t="s">
        <v>202</v>
      </c>
      <c r="C42" s="104">
        <v>35</v>
      </c>
    </row>
    <row r="43" spans="2:14" x14ac:dyDescent="0.2">
      <c r="B43" s="1" t="s">
        <v>409</v>
      </c>
      <c r="C43" s="24">
        <f>(C40*C42)</f>
        <v>434894.60403070512</v>
      </c>
    </row>
    <row r="44" spans="2:14" x14ac:dyDescent="0.2">
      <c r="B44" s="1" t="s">
        <v>410</v>
      </c>
      <c r="C44" s="24">
        <f ca="1">C43/(1+C41)^5</f>
        <v>222553.9349880465</v>
      </c>
    </row>
    <row r="45" spans="2:14" x14ac:dyDescent="0.2">
      <c r="B45" s="16" t="s">
        <v>411</v>
      </c>
      <c r="C45" s="93">
        <f ca="1">SUM(H9:K9)+C44</f>
        <v>200545.95988474815</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188145.95988474815</v>
      </c>
    </row>
    <row r="49" spans="2:3" x14ac:dyDescent="0.2">
      <c r="B49" s="1" t="s">
        <v>67</v>
      </c>
      <c r="C49" s="87">
        <f>Statement!AC78</f>
        <v>5044</v>
      </c>
    </row>
    <row r="50" spans="2:3" x14ac:dyDescent="0.2">
      <c r="B50" s="230" t="s">
        <v>204</v>
      </c>
      <c r="C50" s="231">
        <f ca="1">C48/C49</f>
        <v>37.300943672630481</v>
      </c>
    </row>
    <row r="52" spans="2:3" x14ac:dyDescent="0.2">
      <c r="B52" s="242" t="s">
        <v>205</v>
      </c>
      <c r="C52" s="242"/>
    </row>
    <row r="53" spans="2:3" x14ac:dyDescent="0.2">
      <c r="B53" s="1" t="s">
        <v>206</v>
      </c>
      <c r="C53" s="63">
        <f>L6</f>
        <v>95581.231655099982</v>
      </c>
    </row>
    <row r="54" spans="2:3" x14ac:dyDescent="0.2">
      <c r="B54" s="1" t="s">
        <v>379</v>
      </c>
      <c r="C54" s="134">
        <f ca="1">IF(Overview!C29&gt;0,Overview!C29,WACC!C19)</f>
        <v>0.15499650000000001</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 ca="1">C57/(1+C54)^5</f>
        <v>41.78867320720358</v>
      </c>
    </row>
    <row r="60" spans="2:3" x14ac:dyDescent="0.2">
      <c r="B60" s="242" t="s">
        <v>317</v>
      </c>
      <c r="C60" s="242"/>
    </row>
    <row r="61" spans="2:3" x14ac:dyDescent="0.2">
      <c r="B61" s="1" t="s">
        <v>412</v>
      </c>
      <c r="C61" s="63">
        <f>L8</f>
        <v>-3611.026943369634</v>
      </c>
    </row>
    <row r="62" spans="2:3" x14ac:dyDescent="0.2">
      <c r="B62" s="1" t="s">
        <v>160</v>
      </c>
      <c r="C62" s="134">
        <f ca="1">IF(Overview!C28&gt;0,Overview!C28,WACC!C20)</f>
        <v>0.14337778080652697</v>
      </c>
    </row>
    <row r="63" spans="2:3" x14ac:dyDescent="0.2">
      <c r="B63" s="39" t="s">
        <v>390</v>
      </c>
      <c r="C63" s="104">
        <v>40</v>
      </c>
    </row>
    <row r="64" spans="2:3" x14ac:dyDescent="0.2">
      <c r="B64" s="1" t="s">
        <v>409</v>
      </c>
      <c r="C64" s="63">
        <f>(C61*C63)</f>
        <v>-144441.07773478536</v>
      </c>
    </row>
    <row r="65" spans="2:3" x14ac:dyDescent="0.2">
      <c r="B65" s="1" t="s">
        <v>410</v>
      </c>
      <c r="C65" s="63">
        <f ca="1">C64/(1+C62)^5</f>
        <v>-73916.599391794647</v>
      </c>
    </row>
    <row r="66" spans="2:3" x14ac:dyDescent="0.2">
      <c r="B66" s="16" t="s">
        <v>411</v>
      </c>
      <c r="C66" s="93">
        <f ca="1">SUM(H9:K9)+C65</f>
        <v>-95924.574495092995</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-108324.57449509299</v>
      </c>
    </row>
    <row r="70" spans="2:3" x14ac:dyDescent="0.2">
      <c r="B70" s="1" t="s">
        <v>67</v>
      </c>
      <c r="C70" s="87">
        <f>Statement!AC78</f>
        <v>5044</v>
      </c>
    </row>
    <row r="71" spans="2:3" x14ac:dyDescent="0.2">
      <c r="B71" s="230" t="s">
        <v>204</v>
      </c>
      <c r="C71" s="231">
        <f ca="1">C69/C70</f>
        <v>-21.475926743674265</v>
      </c>
    </row>
    <row r="73" spans="2:3" x14ac:dyDescent="0.2">
      <c r="B73" s="242" t="s">
        <v>414</v>
      </c>
      <c r="C73" s="242"/>
    </row>
    <row r="74" spans="2:3" x14ac:dyDescent="0.2">
      <c r="B74" s="1" t="s">
        <v>415</v>
      </c>
      <c r="C74" s="63">
        <f>L6</f>
        <v>95581.231655099982</v>
      </c>
    </row>
    <row r="75" spans="2:3" x14ac:dyDescent="0.2">
      <c r="B75" s="1" t="s">
        <v>160</v>
      </c>
      <c r="C75" s="134">
        <f ca="1">IF(Overview!C28&gt;0,Overview!C28,WACC!C20)</f>
        <v>0.14337778080652697</v>
      </c>
    </row>
    <row r="76" spans="2:3" x14ac:dyDescent="0.2">
      <c r="B76" s="39" t="s">
        <v>416</v>
      </c>
      <c r="C76" s="104">
        <v>5</v>
      </c>
    </row>
    <row r="77" spans="2:3" x14ac:dyDescent="0.2">
      <c r="B77" s="1" t="s">
        <v>409</v>
      </c>
      <c r="C77" s="63">
        <f>(C74*C76)</f>
        <v>477906.15827549994</v>
      </c>
    </row>
    <row r="78" spans="2:3" x14ac:dyDescent="0.2">
      <c r="B78" s="1" t="s">
        <v>410</v>
      </c>
      <c r="C78" s="63">
        <f ca="1">C77/(1+C75)^5</f>
        <v>244564.76372312792</v>
      </c>
    </row>
    <row r="79" spans="2:3" x14ac:dyDescent="0.2">
      <c r="B79" s="16" t="s">
        <v>411</v>
      </c>
      <c r="C79" s="93">
        <f ca="1">SUM(H9:K9)+C78</f>
        <v>222556.78861982957</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210156.78861982957</v>
      </c>
    </row>
    <row r="83" spans="2:3" x14ac:dyDescent="0.2">
      <c r="B83" s="1" t="s">
        <v>67</v>
      </c>
      <c r="C83" s="87">
        <f>Statement!AC78</f>
        <v>5044</v>
      </c>
    </row>
    <row r="84" spans="2:3" x14ac:dyDescent="0.2">
      <c r="B84" s="230" t="s">
        <v>204</v>
      </c>
      <c r="C84" s="231">
        <f ca="1">C82/C83</f>
        <v>41.66470829100507</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42" t="s">
        <v>209</v>
      </c>
      <c r="C4" s="242"/>
      <c r="N4" s="90"/>
    </row>
    <row r="5" spans="1:14" x14ac:dyDescent="0.2">
      <c r="B5" s="1" t="s">
        <v>210</v>
      </c>
      <c r="C5" s="132">
        <f ca="1">DCF!C26</f>
        <v>-10.216721006760988</v>
      </c>
    </row>
    <row r="6" spans="1:14" x14ac:dyDescent="0.2">
      <c r="B6" s="1" t="s">
        <v>211</v>
      </c>
      <c r="C6" s="132">
        <f ca="1">Multiples!C50</f>
        <v>37.300943672630481</v>
      </c>
    </row>
    <row r="7" spans="1:14" x14ac:dyDescent="0.2">
      <c r="B7" s="1" t="s">
        <v>212</v>
      </c>
      <c r="C7" s="132">
        <f ca="1">Multiples!C58</f>
        <v>41.78867320720358</v>
      </c>
    </row>
    <row r="8" spans="1:14" x14ac:dyDescent="0.2">
      <c r="B8" s="1" t="s">
        <v>318</v>
      </c>
      <c r="C8" s="132">
        <f ca="1">Multiples!C71</f>
        <v>-21.475926743674265</v>
      </c>
    </row>
    <row r="9" spans="1:14" x14ac:dyDescent="0.2">
      <c r="B9" s="1" t="s">
        <v>417</v>
      </c>
      <c r="C9" s="132">
        <f ca="1">Multiples!C84</f>
        <v>41.66470829100507</v>
      </c>
    </row>
    <row r="10" spans="1:14" x14ac:dyDescent="0.2">
      <c r="B10" s="230" t="s">
        <v>213</v>
      </c>
      <c r="C10" s="231">
        <f ca="1">AVERAGE(C5:C9)</f>
        <v>17.812335484080776</v>
      </c>
    </row>
    <row r="11" spans="1:14" x14ac:dyDescent="0.2">
      <c r="B11" s="1" t="s">
        <v>214</v>
      </c>
      <c r="C11" s="132">
        <f ca="1">Overview!C5</f>
        <v>85.49</v>
      </c>
    </row>
    <row r="12" spans="1:14" x14ac:dyDescent="0.2">
      <c r="B12" s="1" t="s">
        <v>215</v>
      </c>
      <c r="C12" s="151">
        <f ca="1">(C10-C11)/C11</f>
        <v>-0.79164422173259119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42" t="s">
        <v>108</v>
      </c>
      <c r="D2" s="242"/>
      <c r="E2" s="242"/>
      <c r="F2" s="242"/>
      <c r="G2" s="251"/>
      <c r="H2" s="252" t="s">
        <v>109</v>
      </c>
      <c r="I2" s="242"/>
      <c r="J2" s="242"/>
      <c r="K2" s="242"/>
      <c r="L2" s="242"/>
    </row>
    <row r="3" spans="1:14" ht="10" customHeight="1" x14ac:dyDescent="0.2"/>
    <row r="4" spans="1:14" ht="16" customHeight="1" x14ac:dyDescent="0.2">
      <c r="A4" s="85"/>
      <c r="B4" s="59"/>
      <c r="C4" s="248" t="s">
        <v>189</v>
      </c>
      <c r="D4" s="248"/>
      <c r="E4" s="248"/>
      <c r="F4" s="248"/>
      <c r="G4" s="248"/>
      <c r="H4" s="248"/>
      <c r="I4" s="248"/>
      <c r="J4" s="248"/>
      <c r="K4" s="248"/>
      <c r="L4" s="248"/>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8" t="s">
        <v>117</v>
      </c>
      <c r="D9" s="248"/>
      <c r="E9" s="248"/>
      <c r="F9" s="248"/>
      <c r="G9" s="248"/>
      <c r="H9" s="248"/>
      <c r="I9" s="248"/>
      <c r="J9" s="248"/>
      <c r="K9" s="248"/>
      <c r="L9" s="248"/>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8" t="s">
        <v>394</v>
      </c>
      <c r="D14" s="248"/>
      <c r="E14" s="248"/>
      <c r="F14" s="248"/>
      <c r="G14" s="248"/>
      <c r="H14" s="248"/>
      <c r="I14" s="248"/>
      <c r="J14" s="248"/>
      <c r="K14" s="248"/>
      <c r="L14" s="248"/>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42" t="s">
        <v>396</v>
      </c>
      <c r="C20" s="242"/>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 ca="1">IF(Overview!C29&gt;0,Overview!C29,WACC!C19)</f>
        <v>0.15499650000000001</v>
      </c>
    </row>
    <row r="25" spans="2:14" x14ac:dyDescent="0.2">
      <c r="B25" s="39" t="s">
        <v>400</v>
      </c>
      <c r="C25" s="228">
        <v>0</v>
      </c>
    </row>
    <row r="26" spans="2:14" x14ac:dyDescent="0.2">
      <c r="B26" s="230" t="s">
        <v>204</v>
      </c>
      <c r="C26" s="231">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42" t="s">
        <v>108</v>
      </c>
      <c r="D3" s="242"/>
      <c r="E3" s="242"/>
      <c r="F3" s="242"/>
      <c r="G3" s="251"/>
      <c r="H3" s="252" t="s">
        <v>109</v>
      </c>
      <c r="I3" s="242"/>
      <c r="J3" s="242"/>
      <c r="K3" s="242"/>
      <c r="L3" s="242"/>
      <c r="P3" s="253"/>
      <c r="Q3" s="253"/>
      <c r="R3" s="253"/>
      <c r="S3" s="253"/>
      <c r="T3" s="253"/>
      <c r="U3" s="253"/>
      <c r="V3" s="253"/>
      <c r="W3" s="253"/>
      <c r="X3" s="253"/>
      <c r="Y3" s="253"/>
      <c r="Z3" s="253"/>
      <c r="AB3" s="108"/>
    </row>
    <row r="4" spans="1:28" ht="10" customHeight="1" x14ac:dyDescent="0.2"/>
    <row r="5" spans="1:28" ht="16" customHeight="1" x14ac:dyDescent="0.2">
      <c r="A5" s="85"/>
      <c r="B5" s="59"/>
      <c r="C5" s="248" t="s">
        <v>175</v>
      </c>
      <c r="D5" s="248"/>
      <c r="E5" s="248"/>
      <c r="F5" s="248"/>
      <c r="G5" s="248"/>
      <c r="H5" s="248"/>
      <c r="I5" s="248"/>
      <c r="J5" s="248"/>
      <c r="K5" s="248"/>
      <c r="L5" s="248"/>
      <c r="P5" s="253"/>
      <c r="Q5" s="253"/>
      <c r="R5" s="253"/>
      <c r="S5" s="253"/>
      <c r="T5" s="253"/>
      <c r="U5" s="253"/>
      <c r="V5" s="253"/>
      <c r="W5" s="253"/>
      <c r="X5" s="253"/>
      <c r="Y5" s="253"/>
      <c r="Z5" s="25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-477628.43096523924</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-6817.1276746698113</v>
      </c>
      <c r="I10" s="125">
        <f t="shared" ref="I10:L10" ca="1" si="1">I7/(1+$C$21)^I9</f>
        <v>-9837.7464141998444</v>
      </c>
      <c r="J10" s="125">
        <f t="shared" ca="1" si="1"/>
        <v>-14196.778926366451</v>
      </c>
      <c r="K10" s="125">
        <f t="shared" ca="1" si="1"/>
        <v>-20487.266432605596</v>
      </c>
      <c r="L10" s="125">
        <f t="shared" ca="1" si="1"/>
        <v>-29565.022323552799</v>
      </c>
      <c r="N10" s="90"/>
    </row>
    <row r="11" spans="1:28" x14ac:dyDescent="0.2">
      <c r="B11" s="1" t="s">
        <v>178</v>
      </c>
      <c r="C11" s="136"/>
      <c r="D11" s="136"/>
      <c r="E11" s="136"/>
      <c r="F11" s="136"/>
      <c r="G11" s="137"/>
      <c r="H11" s="136"/>
      <c r="I11" s="136"/>
      <c r="J11" s="136"/>
      <c r="K11" s="136"/>
      <c r="L11" s="125">
        <f ca="1">L8/(1+C21)^L9</f>
        <v>-244422.63892971983</v>
      </c>
    </row>
    <row r="13" spans="1:28" ht="17" thickBot="1" x14ac:dyDescent="0.25"/>
    <row r="14" spans="1:28" x14ac:dyDescent="0.2">
      <c r="B14" s="255" t="s">
        <v>217</v>
      </c>
      <c r="C14" s="256"/>
    </row>
    <row r="15" spans="1:28" x14ac:dyDescent="0.2">
      <c r="B15" s="152" t="s">
        <v>218</v>
      </c>
      <c r="C15" s="153">
        <f ca="1">Overview!C5</f>
        <v>85.49</v>
      </c>
    </row>
    <row r="16" spans="1:28" x14ac:dyDescent="0.2">
      <c r="B16" s="152" t="s">
        <v>219</v>
      </c>
      <c r="C16" s="153">
        <f ca="1">C36</f>
        <v>-66.956102438761761</v>
      </c>
    </row>
    <row r="17" spans="2:9" ht="17" thickBot="1" x14ac:dyDescent="0.25">
      <c r="B17" s="154" t="s">
        <v>319</v>
      </c>
      <c r="C17" s="155">
        <v>0.65</v>
      </c>
      <c r="E17" s="254" t="s">
        <v>220</v>
      </c>
      <c r="F17" s="254"/>
      <c r="G17" s="254"/>
      <c r="H17" s="254"/>
      <c r="I17" s="254"/>
    </row>
    <row r="18" spans="2:9" ht="17" thickBot="1" x14ac:dyDescent="0.25"/>
    <row r="19" spans="2:9" x14ac:dyDescent="0.2">
      <c r="B19" s="255" t="s">
        <v>179</v>
      </c>
      <c r="C19" s="256"/>
    </row>
    <row r="20" spans="2:9" x14ac:dyDescent="0.2">
      <c r="B20" s="156" t="s">
        <v>180</v>
      </c>
      <c r="C20" s="157">
        <v>0.02</v>
      </c>
    </row>
    <row r="21" spans="2:9" x14ac:dyDescent="0.2">
      <c r="B21" s="156" t="s">
        <v>160</v>
      </c>
      <c r="C21" s="221">
        <f ca="1">IF(Overview!C28&gt;0,Overview!C28,WACC!C20)</f>
        <v>0.14337778080652697</v>
      </c>
    </row>
    <row r="22" spans="2:9" x14ac:dyDescent="0.2">
      <c r="B22" s="156" t="s">
        <v>67</v>
      </c>
      <c r="C22" s="222">
        <f>Statement!AC75</f>
        <v>5044</v>
      </c>
    </row>
    <row r="23" spans="2:9" x14ac:dyDescent="0.2">
      <c r="B23" s="156" t="s">
        <v>221</v>
      </c>
      <c r="C23" s="158">
        <f ca="1">C15*C22</f>
        <v>431211.56</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443611.56</v>
      </c>
    </row>
    <row r="27" spans="2:9" ht="17" thickBot="1" x14ac:dyDescent="0.25"/>
    <row r="28" spans="2:9" x14ac:dyDescent="0.2">
      <c r="B28" s="255" t="s">
        <v>181</v>
      </c>
      <c r="C28" s="256"/>
    </row>
    <row r="29" spans="2:9" x14ac:dyDescent="0.2">
      <c r="B29" s="156" t="s">
        <v>182</v>
      </c>
      <c r="C29" s="158">
        <f ca="1">SUM(H10:L10)</f>
        <v>-80903.9417713945</v>
      </c>
    </row>
    <row r="30" spans="2:9" x14ac:dyDescent="0.2">
      <c r="B30" s="156" t="s">
        <v>178</v>
      </c>
      <c r="C30" s="158">
        <f ca="1">L11</f>
        <v>-244422.63892971983</v>
      </c>
    </row>
    <row r="31" spans="2:9" x14ac:dyDescent="0.2">
      <c r="B31" s="160" t="s">
        <v>183</v>
      </c>
      <c r="C31" s="161">
        <f ca="1">C29+C30</f>
        <v>-325326.58070111432</v>
      </c>
    </row>
    <row r="32" spans="2:9" x14ac:dyDescent="0.2">
      <c r="B32" s="156" t="s">
        <v>184</v>
      </c>
      <c r="C32" s="162">
        <f>C24</f>
        <v>38137</v>
      </c>
    </row>
    <row r="33" spans="2:3" x14ac:dyDescent="0.2">
      <c r="B33" s="156" t="s">
        <v>185</v>
      </c>
      <c r="C33" s="162">
        <f>C25</f>
        <v>50537</v>
      </c>
    </row>
    <row r="34" spans="2:3" x14ac:dyDescent="0.2">
      <c r="B34" s="160" t="s">
        <v>186</v>
      </c>
      <c r="C34" s="161">
        <f ca="1">C31+C32-C33</f>
        <v>-337726.58070111432</v>
      </c>
    </row>
    <row r="35" spans="2:3" x14ac:dyDescent="0.2">
      <c r="B35" s="156" t="s">
        <v>67</v>
      </c>
      <c r="C35" s="158">
        <f>C22</f>
        <v>5044</v>
      </c>
    </row>
    <row r="36" spans="2:3" ht="17" thickBot="1" x14ac:dyDescent="0.25">
      <c r="B36" s="163" t="s">
        <v>187</v>
      </c>
      <c r="C36" s="164">
        <f ca="1">C34/C35</f>
        <v>-66.956102438761761</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2026-10-23T08:58:30Z</dcterms:modified>
</cp:coreProperties>
</file>