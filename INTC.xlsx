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Volumes/KINGSTON/MyStockData/Finance-StockLists/"/>
    </mc:Choice>
  </mc:AlternateContent>
  <xr:revisionPtr revIDLastSave="0" documentId="13_ncr:1_{B8647F51-D805-9B42-9ED5-8A00C10CF4A1}" xr6:coauthVersionLast="47" xr6:coauthVersionMax="47" xr10:uidLastSave="{00000000-0000-0000-0000-000000000000}"/>
  <bookViews>
    <workbookView xWindow="0" yWindow="0" windowWidth="25600" windowHeight="14400" xr2:uid="{AEC0C047-6E16-294C-82BD-58123BA913A1}"/>
  </bookViews>
  <sheets>
    <sheet name="Overview" sheetId="1" r:id="rId1"/>
    <sheet name="Financials -&gt;" sheetId="2" r:id="rId2"/>
    <sheet name="Statement" sheetId="3" r:id="rId3"/>
    <sheet name="Analysis -&gt;" sheetId="15" r:id="rId4"/>
    <sheet name="Basic" sheetId="16" r:id="rId5"/>
    <sheet name="Yearly Analysis" sheetId="17" r:id="rId6"/>
    <sheet name="Quarter analysis" sheetId="18" r:id="rId7"/>
    <sheet name="Graphs Year" sheetId="19" r:id="rId8"/>
    <sheet name="Graphs Quarter" sheetId="20" r:id="rId9"/>
    <sheet name="Forecast -&gt;" sheetId="4" r:id="rId10"/>
    <sheet name="Revenue" sheetId="5" r:id="rId11"/>
    <sheet name="COGS &amp; OpEx" sheetId="6" r:id="rId12"/>
    <sheet name="WC &amp; Investments" sheetId="7" r:id="rId13"/>
    <sheet name="FCF &amp; Other" sheetId="8" r:id="rId14"/>
    <sheet name="Valuation -&gt;" sheetId="9" r:id="rId15"/>
    <sheet name="WACC" sheetId="10" r:id="rId16"/>
    <sheet name="DCF" sheetId="11" r:id="rId17"/>
    <sheet name="Multiples" sheetId="12" r:id="rId18"/>
    <sheet name="AVG target price" sheetId="13" r:id="rId19"/>
    <sheet name="DDM" sheetId="21" r:id="rId20"/>
    <sheet name="Reverse DCF" sheetId="14" r:id="rId21"/>
  </sheets>
  <externalReferences>
    <externalReference r:id="rId22"/>
    <externalReference r:id="rId23"/>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58" i="3" l="1"/>
  <c r="I13" i="1"/>
  <c r="H7" i="1"/>
  <c r="H6" i="1"/>
  <c r="C77" i="12"/>
  <c r="C83" i="12"/>
  <c r="C81" i="12"/>
  <c r="C80" i="12"/>
  <c r="C74" i="12"/>
  <c r="G36" i="12"/>
  <c r="F36" i="12"/>
  <c r="E36" i="12"/>
  <c r="D36" i="12"/>
  <c r="C36" i="12"/>
  <c r="G15" i="8"/>
  <c r="F15" i="8"/>
  <c r="E15" i="8"/>
  <c r="D15" i="8"/>
  <c r="C15" i="8"/>
  <c r="AE10" i="5"/>
  <c r="AE9" i="5"/>
  <c r="AA42" i="3"/>
  <c r="AA110" i="3"/>
  <c r="AA29" i="3"/>
  <c r="Z220" i="3"/>
  <c r="Y220" i="3"/>
  <c r="X220" i="3"/>
  <c r="W220" i="3"/>
  <c r="V220" i="3"/>
  <c r="U220" i="3"/>
  <c r="T220" i="3"/>
  <c r="Z205" i="3"/>
  <c r="Y205" i="3"/>
  <c r="X205" i="3"/>
  <c r="W205" i="3"/>
  <c r="V205" i="3"/>
  <c r="U205" i="3"/>
  <c r="T205" i="3"/>
  <c r="Z204" i="3"/>
  <c r="Y204" i="3"/>
  <c r="X204" i="3"/>
  <c r="W204" i="3"/>
  <c r="V204" i="3"/>
  <c r="U204" i="3"/>
  <c r="T204" i="3"/>
  <c r="Z203" i="3"/>
  <c r="Y203" i="3"/>
  <c r="X203" i="3"/>
  <c r="W203" i="3"/>
  <c r="V203" i="3"/>
  <c r="U203" i="3"/>
  <c r="T203" i="3"/>
  <c r="Z202" i="3"/>
  <c r="Y202" i="3"/>
  <c r="X202" i="3"/>
  <c r="W202" i="3"/>
  <c r="V202" i="3"/>
  <c r="U202" i="3"/>
  <c r="T202" i="3"/>
  <c r="Z201" i="3"/>
  <c r="Y201" i="3"/>
  <c r="X201" i="3"/>
  <c r="W201" i="3"/>
  <c r="V201" i="3"/>
  <c r="U201" i="3"/>
  <c r="T201" i="3"/>
  <c r="X179" i="3"/>
  <c r="W179" i="3"/>
  <c r="U179" i="3"/>
  <c r="T179" i="3"/>
  <c r="Z178" i="3"/>
  <c r="X178" i="3"/>
  <c r="W178" i="3"/>
  <c r="V178" i="3"/>
  <c r="U178" i="3"/>
  <c r="T178" i="3"/>
  <c r="Z177" i="3"/>
  <c r="X177" i="3"/>
  <c r="W177" i="3"/>
  <c r="V177" i="3"/>
  <c r="U177" i="3"/>
  <c r="T177" i="3"/>
  <c r="Z174" i="3"/>
  <c r="Y174" i="3"/>
  <c r="X174" i="3"/>
  <c r="W174" i="3"/>
  <c r="V174" i="3"/>
  <c r="U174" i="3"/>
  <c r="T174" i="3"/>
  <c r="Z173" i="3"/>
  <c r="Y173" i="3"/>
  <c r="X173" i="3"/>
  <c r="W173" i="3"/>
  <c r="V173" i="3"/>
  <c r="U173" i="3"/>
  <c r="T173" i="3"/>
  <c r="Z157" i="3"/>
  <c r="X157" i="3"/>
  <c r="W157" i="3"/>
  <c r="V157" i="3"/>
  <c r="U157" i="3"/>
  <c r="T157" i="3"/>
  <c r="Z149" i="3"/>
  <c r="Y149" i="3"/>
  <c r="X149" i="3"/>
  <c r="W149" i="3"/>
  <c r="V149" i="3"/>
  <c r="U149" i="3"/>
  <c r="T149" i="3"/>
  <c r="Z148" i="3"/>
  <c r="Y148" i="3"/>
  <c r="X148" i="3"/>
  <c r="W148" i="3"/>
  <c r="V148" i="3"/>
  <c r="U148" i="3"/>
  <c r="T148" i="3"/>
  <c r="Z143" i="3"/>
  <c r="Y143" i="3"/>
  <c r="X143" i="3"/>
  <c r="W143" i="3"/>
  <c r="V143" i="3"/>
  <c r="U143" i="3"/>
  <c r="T143" i="3"/>
  <c r="Z142" i="3"/>
  <c r="Y142" i="3"/>
  <c r="X142" i="3"/>
  <c r="W142" i="3"/>
  <c r="V142" i="3"/>
  <c r="U142" i="3"/>
  <c r="T142" i="3"/>
  <c r="Z141" i="3"/>
  <c r="Z144" i="3" s="1"/>
  <c r="Y141" i="3"/>
  <c r="Y144" i="3" s="1"/>
  <c r="X141" i="3"/>
  <c r="X144" i="3" s="1"/>
  <c r="W141" i="3"/>
  <c r="W144" i="3" s="1"/>
  <c r="V141" i="3"/>
  <c r="V144" i="3" s="1"/>
  <c r="U141" i="3"/>
  <c r="U144" i="3" s="1"/>
  <c r="T141" i="3"/>
  <c r="T144" i="3" s="1"/>
  <c r="Z131" i="3"/>
  <c r="Z132" i="3" s="1"/>
  <c r="Y131" i="3"/>
  <c r="Y132" i="3" s="1"/>
  <c r="X131" i="3"/>
  <c r="X132" i="3" s="1"/>
  <c r="W131" i="3"/>
  <c r="W132" i="3" s="1"/>
  <c r="V131" i="3"/>
  <c r="V132" i="3" s="1"/>
  <c r="U131" i="3"/>
  <c r="U132" i="3" s="1"/>
  <c r="T131" i="3"/>
  <c r="T132" i="3" s="1"/>
  <c r="Z117" i="3"/>
  <c r="Y117" i="3"/>
  <c r="X117" i="3"/>
  <c r="W117" i="3"/>
  <c r="V117" i="3"/>
  <c r="U117" i="3"/>
  <c r="T117" i="3"/>
  <c r="Z112" i="3"/>
  <c r="Y112" i="3"/>
  <c r="X112" i="3"/>
  <c r="W112" i="3"/>
  <c r="V112" i="3"/>
  <c r="U112" i="3"/>
  <c r="T112" i="3"/>
  <c r="Z111" i="3"/>
  <c r="Y111" i="3"/>
  <c r="X111" i="3"/>
  <c r="W111" i="3"/>
  <c r="V111" i="3"/>
  <c r="U111" i="3"/>
  <c r="T111" i="3"/>
  <c r="Z110" i="3"/>
  <c r="X110" i="3"/>
  <c r="W110" i="3"/>
  <c r="V110" i="3"/>
  <c r="U110" i="3"/>
  <c r="T110" i="3"/>
  <c r="Z108" i="3"/>
  <c r="Y108" i="3"/>
  <c r="X108" i="3"/>
  <c r="W108" i="3"/>
  <c r="V108" i="3"/>
  <c r="U108" i="3"/>
  <c r="T108" i="3"/>
  <c r="Z103" i="3"/>
  <c r="Y103" i="3"/>
  <c r="X103" i="3"/>
  <c r="W103" i="3"/>
  <c r="V103" i="3"/>
  <c r="U103" i="3"/>
  <c r="T103" i="3"/>
  <c r="Z102" i="3"/>
  <c r="Y102" i="3"/>
  <c r="X102" i="3"/>
  <c r="W102" i="3"/>
  <c r="V102" i="3"/>
  <c r="U102" i="3"/>
  <c r="T102" i="3"/>
  <c r="Z98" i="3"/>
  <c r="Y98" i="3"/>
  <c r="X98" i="3"/>
  <c r="W98" i="3"/>
  <c r="V98" i="3"/>
  <c r="U98" i="3"/>
  <c r="T98" i="3"/>
  <c r="Z97" i="3"/>
  <c r="Y97" i="3"/>
  <c r="X97" i="3"/>
  <c r="W97" i="3"/>
  <c r="V97" i="3"/>
  <c r="U97" i="3"/>
  <c r="T97" i="3"/>
  <c r="Z96" i="3"/>
  <c r="Y96" i="3"/>
  <c r="X96" i="3"/>
  <c r="W96" i="3"/>
  <c r="V96" i="3"/>
  <c r="U96" i="3"/>
  <c r="T96" i="3"/>
  <c r="Z94" i="3"/>
  <c r="Y94" i="3"/>
  <c r="X94" i="3"/>
  <c r="W94" i="3"/>
  <c r="V94" i="3"/>
  <c r="U94" i="3"/>
  <c r="T94" i="3"/>
  <c r="Z93" i="3"/>
  <c r="Y93" i="3"/>
  <c r="X93" i="3"/>
  <c r="W93" i="3"/>
  <c r="V93" i="3"/>
  <c r="U93" i="3"/>
  <c r="T93" i="3"/>
  <c r="Z92" i="3"/>
  <c r="Y92" i="3"/>
  <c r="X92" i="3"/>
  <c r="W92" i="3"/>
  <c r="V92" i="3"/>
  <c r="U92" i="3"/>
  <c r="T92" i="3"/>
  <c r="Z90" i="3"/>
  <c r="Y90" i="3"/>
  <c r="X90" i="3"/>
  <c r="W90" i="3"/>
  <c r="V90" i="3"/>
  <c r="U90" i="3"/>
  <c r="T90" i="3"/>
  <c r="Z89" i="3"/>
  <c r="Y89" i="3"/>
  <c r="X89" i="3"/>
  <c r="W89" i="3"/>
  <c r="V89" i="3"/>
  <c r="U89" i="3"/>
  <c r="T89" i="3"/>
  <c r="Z83" i="3"/>
  <c r="Z106" i="3" s="1"/>
  <c r="Y83" i="3"/>
  <c r="Y106" i="3" s="1"/>
  <c r="X83" i="3"/>
  <c r="X106" i="3" s="1"/>
  <c r="W83" i="3"/>
  <c r="W106" i="3" s="1"/>
  <c r="V83" i="3"/>
  <c r="V106" i="3" s="1"/>
  <c r="U83" i="3"/>
  <c r="U106" i="3" s="1"/>
  <c r="T83" i="3"/>
  <c r="T106" i="3" s="1"/>
  <c r="Z82" i="3"/>
  <c r="Y82" i="3"/>
  <c r="X82" i="3"/>
  <c r="W82" i="3"/>
  <c r="V82" i="3"/>
  <c r="U82" i="3"/>
  <c r="T82" i="3"/>
  <c r="Z77" i="3"/>
  <c r="Y77" i="3"/>
  <c r="X77" i="3"/>
  <c r="W77" i="3"/>
  <c r="V77" i="3"/>
  <c r="U77" i="3"/>
  <c r="T77" i="3"/>
  <c r="Z75" i="3"/>
  <c r="Y75" i="3"/>
  <c r="X75" i="3"/>
  <c r="W75" i="3"/>
  <c r="V75" i="3"/>
  <c r="U75" i="3"/>
  <c r="T75" i="3"/>
  <c r="Y66" i="3"/>
  <c r="Y65" i="3"/>
  <c r="Y64" i="3"/>
  <c r="Y63" i="3"/>
  <c r="Y62" i="3"/>
  <c r="Y61" i="3"/>
  <c r="Y60" i="3"/>
  <c r="Y110" i="3" s="1"/>
  <c r="Y59" i="3"/>
  <c r="Y157" i="3" s="1"/>
  <c r="Z58" i="3"/>
  <c r="Y58" i="3"/>
  <c r="V58" i="3"/>
  <c r="Y57" i="3"/>
  <c r="Y56" i="3"/>
  <c r="Y55" i="3"/>
  <c r="Y54" i="3"/>
  <c r="Z53" i="3"/>
  <c r="Z179" i="3" s="1"/>
  <c r="Y53" i="3"/>
  <c r="V53" i="3"/>
  <c r="V179" i="3" s="1"/>
  <c r="Z42" i="3"/>
  <c r="Z43" i="3" s="1"/>
  <c r="Z71" i="3" s="1"/>
  <c r="Y42" i="3"/>
  <c r="Y43" i="3" s="1"/>
  <c r="Y71" i="3" s="1"/>
  <c r="X42" i="3"/>
  <c r="X43" i="3" s="1"/>
  <c r="X71" i="3" s="1"/>
  <c r="W42" i="3"/>
  <c r="W43" i="3" s="1"/>
  <c r="W71" i="3" s="1"/>
  <c r="V42" i="3"/>
  <c r="V43" i="3" s="1"/>
  <c r="V71" i="3" s="1"/>
  <c r="U42" i="3"/>
  <c r="U43" i="3" s="1"/>
  <c r="U71" i="3" s="1"/>
  <c r="T42" i="3"/>
  <c r="T43" i="3" s="1"/>
  <c r="T71" i="3" s="1"/>
  <c r="Z36" i="3"/>
  <c r="Y36" i="3"/>
  <c r="X36" i="3"/>
  <c r="W36" i="3"/>
  <c r="V36" i="3"/>
  <c r="U36" i="3"/>
  <c r="T36" i="3"/>
  <c r="Z29" i="3"/>
  <c r="Z107" i="3" s="1"/>
  <c r="Y29" i="3"/>
  <c r="Y107" i="3" s="1"/>
  <c r="X29" i="3"/>
  <c r="X107" i="3" s="1"/>
  <c r="W29" i="3"/>
  <c r="W107" i="3" s="1"/>
  <c r="V29" i="3"/>
  <c r="V107" i="3" s="1"/>
  <c r="U29" i="3"/>
  <c r="U107" i="3" s="1"/>
  <c r="T29" i="3"/>
  <c r="T107" i="3" s="1"/>
  <c r="Z26" i="3"/>
  <c r="Y26" i="3"/>
  <c r="X26" i="3"/>
  <c r="W26" i="3"/>
  <c r="V26" i="3"/>
  <c r="U26" i="3"/>
  <c r="T26" i="3"/>
  <c r="Z24" i="3"/>
  <c r="Y24" i="3"/>
  <c r="X24" i="3"/>
  <c r="W24" i="3"/>
  <c r="V24" i="3"/>
  <c r="U24" i="3"/>
  <c r="T24" i="3"/>
  <c r="Z22" i="3"/>
  <c r="Y22" i="3"/>
  <c r="X22" i="3"/>
  <c r="W22" i="3"/>
  <c r="V22" i="3"/>
  <c r="U22" i="3"/>
  <c r="T22" i="3"/>
  <c r="Z20" i="3"/>
  <c r="Y20" i="3"/>
  <c r="X20" i="3"/>
  <c r="W20" i="3"/>
  <c r="V20" i="3"/>
  <c r="U20" i="3"/>
  <c r="T20" i="3"/>
  <c r="Z11" i="3"/>
  <c r="Z69" i="3" s="1"/>
  <c r="Z70" i="3" s="1"/>
  <c r="Y11" i="3"/>
  <c r="X11" i="3"/>
  <c r="W11" i="3"/>
  <c r="V11" i="3"/>
  <c r="U11" i="3"/>
  <c r="T11" i="3"/>
  <c r="Z7" i="3"/>
  <c r="Z101" i="3" s="1"/>
  <c r="Y135" i="3" s="1"/>
  <c r="Y136" i="3" s="1"/>
  <c r="Y7" i="3"/>
  <c r="X7" i="3"/>
  <c r="W7" i="3"/>
  <c r="V7" i="3"/>
  <c r="U7" i="3"/>
  <c r="T7" i="3"/>
  <c r="AA117" i="3"/>
  <c r="C24" i="21"/>
  <c r="G7" i="21"/>
  <c r="F7" i="21"/>
  <c r="E7" i="21"/>
  <c r="D7" i="21"/>
  <c r="C7" i="21"/>
  <c r="G6" i="21"/>
  <c r="F6" i="21"/>
  <c r="E6" i="21"/>
  <c r="D6" i="21"/>
  <c r="C6" i="21"/>
  <c r="G11" i="21"/>
  <c r="F11" i="21"/>
  <c r="E11" i="21"/>
  <c r="L5" i="21"/>
  <c r="K5" i="21"/>
  <c r="J5" i="21"/>
  <c r="I5" i="21"/>
  <c r="H5" i="21"/>
  <c r="G5" i="21"/>
  <c r="F5" i="21"/>
  <c r="E5" i="21"/>
  <c r="D5" i="21"/>
  <c r="C5" i="21"/>
  <c r="C54" i="12"/>
  <c r="I18" i="1" s="1"/>
  <c r="G45" i="7"/>
  <c r="F45" i="7"/>
  <c r="E45" i="7"/>
  <c r="D45" i="7"/>
  <c r="C45" i="7"/>
  <c r="L73" i="19"/>
  <c r="K73" i="19"/>
  <c r="J73" i="19"/>
  <c r="I73" i="19"/>
  <c r="H73" i="19"/>
  <c r="G73" i="19"/>
  <c r="F73" i="19"/>
  <c r="E73" i="19"/>
  <c r="D73" i="19"/>
  <c r="L72" i="19"/>
  <c r="K72" i="19"/>
  <c r="J72" i="19"/>
  <c r="I72" i="19"/>
  <c r="H72" i="19"/>
  <c r="G72" i="19"/>
  <c r="F72" i="19"/>
  <c r="E72" i="19"/>
  <c r="D72" i="19"/>
  <c r="L71" i="19"/>
  <c r="K71" i="19"/>
  <c r="J71" i="19"/>
  <c r="I71" i="19"/>
  <c r="H71" i="19"/>
  <c r="G71" i="19"/>
  <c r="F71" i="19"/>
  <c r="E71" i="19"/>
  <c r="D71" i="19"/>
  <c r="C73" i="19"/>
  <c r="C72" i="19"/>
  <c r="C71" i="19"/>
  <c r="Q180" i="3"/>
  <c r="P180" i="3"/>
  <c r="O180" i="3"/>
  <c r="N180" i="3"/>
  <c r="M180" i="3"/>
  <c r="Q183" i="3"/>
  <c r="P183" i="3"/>
  <c r="O183" i="3"/>
  <c r="N183" i="3"/>
  <c r="M183" i="3"/>
  <c r="AC34" i="3"/>
  <c r="Q214" i="3"/>
  <c r="P214" i="3"/>
  <c r="O214" i="3"/>
  <c r="N214" i="3"/>
  <c r="G10" i="16"/>
  <c r="Q117" i="3"/>
  <c r="P117" i="3"/>
  <c r="O117" i="3"/>
  <c r="N117" i="3"/>
  <c r="M117" i="3"/>
  <c r="F26" i="1" a="1"/>
  <c r="J65" i="20"/>
  <c r="I65" i="20"/>
  <c r="H65" i="20"/>
  <c r="G65" i="20"/>
  <c r="F65" i="20"/>
  <c r="E65" i="20"/>
  <c r="D65" i="20"/>
  <c r="J64" i="20"/>
  <c r="I64" i="20"/>
  <c r="H64" i="20"/>
  <c r="G64" i="20"/>
  <c r="F64" i="20"/>
  <c r="E64" i="20"/>
  <c r="D64" i="20"/>
  <c r="J63" i="20"/>
  <c r="I63" i="20"/>
  <c r="H63" i="20"/>
  <c r="G63" i="20"/>
  <c r="F63" i="20"/>
  <c r="E63" i="20"/>
  <c r="D63" i="20"/>
  <c r="C65" i="20"/>
  <c r="C64" i="20"/>
  <c r="C63" i="20"/>
  <c r="J59" i="20"/>
  <c r="I59" i="20"/>
  <c r="H59" i="20"/>
  <c r="G59" i="20"/>
  <c r="F59" i="20"/>
  <c r="E59" i="20"/>
  <c r="D59" i="20"/>
  <c r="C59" i="20"/>
  <c r="J58" i="20"/>
  <c r="I58" i="20"/>
  <c r="H58" i="20"/>
  <c r="G58" i="20"/>
  <c r="F58" i="20"/>
  <c r="E58" i="20"/>
  <c r="D58" i="20"/>
  <c r="C58" i="20"/>
  <c r="J57" i="20"/>
  <c r="I57" i="20"/>
  <c r="H57" i="20"/>
  <c r="G57" i="20"/>
  <c r="F57" i="20"/>
  <c r="E57" i="20"/>
  <c r="D57" i="20"/>
  <c r="C57" i="20"/>
  <c r="J56" i="20"/>
  <c r="I56" i="20"/>
  <c r="H56" i="20"/>
  <c r="G56" i="20"/>
  <c r="F56" i="20"/>
  <c r="E56" i="20"/>
  <c r="D56" i="20"/>
  <c r="J55" i="20"/>
  <c r="I55" i="20"/>
  <c r="H55" i="20"/>
  <c r="G55" i="20"/>
  <c r="F55" i="20"/>
  <c r="E55" i="20"/>
  <c r="D55" i="20"/>
  <c r="C56" i="20"/>
  <c r="C55" i="20"/>
  <c r="G70" i="19"/>
  <c r="F70" i="19"/>
  <c r="E70" i="19"/>
  <c r="D70" i="19"/>
  <c r="C70" i="19"/>
  <c r="G69" i="19"/>
  <c r="F69" i="19"/>
  <c r="E69" i="19"/>
  <c r="D69" i="19"/>
  <c r="G68" i="19"/>
  <c r="F68" i="19"/>
  <c r="E68" i="19"/>
  <c r="D68" i="19"/>
  <c r="C69" i="19"/>
  <c r="C68" i="19"/>
  <c r="L67" i="19"/>
  <c r="K67" i="19"/>
  <c r="G67" i="19"/>
  <c r="F67" i="19"/>
  <c r="E67" i="19"/>
  <c r="D67" i="19"/>
  <c r="L66" i="19"/>
  <c r="K66" i="19"/>
  <c r="J66" i="19"/>
  <c r="I66" i="19"/>
  <c r="H66" i="19"/>
  <c r="G66" i="19"/>
  <c r="F66" i="19"/>
  <c r="E66" i="19"/>
  <c r="D66" i="19"/>
  <c r="L65" i="19"/>
  <c r="K65" i="19"/>
  <c r="G65" i="19"/>
  <c r="F65" i="19"/>
  <c r="E65" i="19"/>
  <c r="D65" i="19"/>
  <c r="C67" i="19"/>
  <c r="C66" i="19"/>
  <c r="C65" i="19"/>
  <c r="G64" i="19"/>
  <c r="F64" i="19"/>
  <c r="E64" i="19"/>
  <c r="D64" i="19"/>
  <c r="G63" i="19"/>
  <c r="F63" i="19"/>
  <c r="E63" i="19"/>
  <c r="D63" i="19"/>
  <c r="G62" i="19"/>
  <c r="F62" i="19"/>
  <c r="E62" i="19"/>
  <c r="D62" i="19"/>
  <c r="C64" i="19"/>
  <c r="C63" i="19"/>
  <c r="C62" i="19"/>
  <c r="G61" i="19"/>
  <c r="F61" i="19"/>
  <c r="E61" i="19"/>
  <c r="D61" i="19"/>
  <c r="G60" i="19"/>
  <c r="F60" i="19"/>
  <c r="E60" i="19"/>
  <c r="D60" i="19"/>
  <c r="C61" i="19"/>
  <c r="C60" i="19"/>
  <c r="L59" i="19"/>
  <c r="K59" i="19"/>
  <c r="J59" i="19"/>
  <c r="I59" i="19"/>
  <c r="H59" i="19"/>
  <c r="G59" i="19"/>
  <c r="F59" i="19"/>
  <c r="E59" i="19"/>
  <c r="D59" i="19"/>
  <c r="C59" i="19"/>
  <c r="L58" i="19"/>
  <c r="K58" i="19"/>
  <c r="J58" i="19"/>
  <c r="I58" i="19"/>
  <c r="H58" i="19"/>
  <c r="G58" i="19"/>
  <c r="F58" i="19"/>
  <c r="E58" i="19"/>
  <c r="D58" i="19"/>
  <c r="C58" i="19"/>
  <c r="L57" i="19"/>
  <c r="K57" i="19"/>
  <c r="J57" i="19"/>
  <c r="I57" i="19"/>
  <c r="H57" i="19"/>
  <c r="G57" i="19"/>
  <c r="F57" i="19"/>
  <c r="E57" i="19"/>
  <c r="D57" i="19"/>
  <c r="C57" i="19"/>
  <c r="L56" i="19"/>
  <c r="K56" i="19"/>
  <c r="J56" i="19"/>
  <c r="I56" i="19"/>
  <c r="H56" i="19"/>
  <c r="G56" i="19"/>
  <c r="F56" i="19"/>
  <c r="E56" i="19"/>
  <c r="D56" i="19"/>
  <c r="L55" i="19"/>
  <c r="K55" i="19"/>
  <c r="J55" i="19"/>
  <c r="I55" i="19"/>
  <c r="H55" i="19"/>
  <c r="G55" i="19"/>
  <c r="F55" i="19"/>
  <c r="E55" i="19"/>
  <c r="D55" i="19"/>
  <c r="C56" i="19"/>
  <c r="C55" i="19"/>
  <c r="E9" i="5"/>
  <c r="D9" i="5"/>
  <c r="C9" i="5"/>
  <c r="B9" i="5"/>
  <c r="AA220" i="3"/>
  <c r="Q220" i="3"/>
  <c r="P220" i="3"/>
  <c r="AC219" i="3"/>
  <c r="Z10" i="5"/>
  <c r="Y10" i="5"/>
  <c r="X10" i="5"/>
  <c r="W10" i="5"/>
  <c r="V10" i="5"/>
  <c r="U10" i="5"/>
  <c r="T10" i="5"/>
  <c r="S10" i="5"/>
  <c r="G10" i="5"/>
  <c r="F10" i="5"/>
  <c r="B10" i="5"/>
  <c r="F7" i="16"/>
  <c r="G7" i="16"/>
  <c r="L71" i="3"/>
  <c r="K71" i="3"/>
  <c r="J71" i="3"/>
  <c r="I71" i="3"/>
  <c r="H71" i="3"/>
  <c r="G71" i="3"/>
  <c r="F71" i="3"/>
  <c r="E71" i="3"/>
  <c r="D71" i="3"/>
  <c r="C71" i="3"/>
  <c r="M196" i="3"/>
  <c r="N196" i="3"/>
  <c r="M193" i="3"/>
  <c r="N193" i="3"/>
  <c r="M191" i="3"/>
  <c r="N191" i="3"/>
  <c r="M188" i="3"/>
  <c r="N188" i="3"/>
  <c r="O196" i="3"/>
  <c r="O193" i="3"/>
  <c r="O188" i="3"/>
  <c r="O191" i="3"/>
  <c r="G32" i="18"/>
  <c r="F32" i="18"/>
  <c r="D32" i="18"/>
  <c r="C32" i="18"/>
  <c r="G30" i="18"/>
  <c r="F30" i="18"/>
  <c r="D30" i="18"/>
  <c r="C30" i="18"/>
  <c r="AA205" i="3"/>
  <c r="AA204" i="3"/>
  <c r="Q205" i="3"/>
  <c r="Q204" i="3"/>
  <c r="P204" i="3"/>
  <c r="O204" i="3"/>
  <c r="N204" i="3"/>
  <c r="M204" i="3"/>
  <c r="AC197" i="3"/>
  <c r="AC196" i="3"/>
  <c r="AC195" i="3"/>
  <c r="AC194" i="3"/>
  <c r="AC193" i="3"/>
  <c r="AC191" i="3"/>
  <c r="AC190" i="3"/>
  <c r="AC189" i="3"/>
  <c r="AC188" i="3"/>
  <c r="AA135" i="3"/>
  <c r="Q209" i="3"/>
  <c r="P209" i="3"/>
  <c r="O209" i="3"/>
  <c r="N209" i="3"/>
  <c r="M209" i="3"/>
  <c r="AC84" i="3"/>
  <c r="M58" i="3"/>
  <c r="N58" i="3"/>
  <c r="M53" i="3"/>
  <c r="N53" i="3"/>
  <c r="O58" i="3"/>
  <c r="P58" i="3"/>
  <c r="Q58" i="3"/>
  <c r="O53" i="3"/>
  <c r="P53" i="3"/>
  <c r="Q53" i="3"/>
  <c r="M42" i="3"/>
  <c r="M29" i="3"/>
  <c r="N42" i="3"/>
  <c r="O42" i="3"/>
  <c r="N29" i="3"/>
  <c r="O29" i="3"/>
  <c r="P42" i="3"/>
  <c r="Q42" i="3"/>
  <c r="P29" i="3"/>
  <c r="Q29" i="3"/>
  <c r="AC25" i="3"/>
  <c r="AA112" i="3"/>
  <c r="Q112" i="3"/>
  <c r="P112" i="3"/>
  <c r="O112" i="3"/>
  <c r="N112" i="3"/>
  <c r="M112" i="3"/>
  <c r="AC48" i="3"/>
  <c r="AA111" i="3"/>
  <c r="Q111" i="3"/>
  <c r="P111" i="3"/>
  <c r="O111" i="3"/>
  <c r="N111" i="3"/>
  <c r="M111" i="3"/>
  <c r="AC17" i="3"/>
  <c r="C13" i="10"/>
  <c r="C12" i="10"/>
  <c r="C11" i="10"/>
  <c r="G29" i="7"/>
  <c r="F29" i="7"/>
  <c r="E29" i="7"/>
  <c r="D29" i="7"/>
  <c r="C29" i="7"/>
  <c r="G14" i="7"/>
  <c r="F14" i="7"/>
  <c r="E14" i="7"/>
  <c r="D14" i="7"/>
  <c r="C14" i="7"/>
  <c r="AA108" i="3"/>
  <c r="Q108" i="3"/>
  <c r="P108" i="3"/>
  <c r="O108" i="3"/>
  <c r="N108" i="3"/>
  <c r="M108" i="3"/>
  <c r="AC39" i="3"/>
  <c r="AA77" i="3"/>
  <c r="H9" i="1"/>
  <c r="H8" i="1"/>
  <c r="H5" i="1"/>
  <c r="H4" i="1"/>
  <c r="H3" i="1"/>
  <c r="G28" i="18"/>
  <c r="F28" i="18"/>
  <c r="D28" i="18"/>
  <c r="C28" i="18"/>
  <c r="G26" i="18"/>
  <c r="F26" i="18"/>
  <c r="D26" i="18"/>
  <c r="C26" i="18"/>
  <c r="G24" i="18"/>
  <c r="F24" i="18"/>
  <c r="D24" i="18"/>
  <c r="C24" i="18"/>
  <c r="AA203" i="3"/>
  <c r="AA202" i="3"/>
  <c r="AA201" i="3"/>
  <c r="G16" i="18"/>
  <c r="F16" i="18"/>
  <c r="D16" i="18"/>
  <c r="C16" i="18"/>
  <c r="G14" i="18"/>
  <c r="F14" i="18"/>
  <c r="D14" i="18"/>
  <c r="C14" i="18"/>
  <c r="G8" i="18"/>
  <c r="F8" i="18"/>
  <c r="D8" i="18"/>
  <c r="C8" i="18"/>
  <c r="G6" i="18"/>
  <c r="F6" i="18"/>
  <c r="D6" i="18"/>
  <c r="C6" i="18"/>
  <c r="G5" i="18"/>
  <c r="G4" i="18"/>
  <c r="F5" i="18"/>
  <c r="F4" i="18"/>
  <c r="D5" i="18"/>
  <c r="D4" i="18"/>
  <c r="C5" i="18"/>
  <c r="C4" i="18"/>
  <c r="Q203" i="3"/>
  <c r="Q202" i="3"/>
  <c r="Q201" i="3"/>
  <c r="P201" i="3"/>
  <c r="O201" i="3"/>
  <c r="N201" i="3"/>
  <c r="M201" i="3"/>
  <c r="G22" i="17"/>
  <c r="F22" i="17"/>
  <c r="E22" i="17"/>
  <c r="D22" i="17"/>
  <c r="C22" i="17"/>
  <c r="G21" i="17"/>
  <c r="F21" i="17"/>
  <c r="E21" i="17"/>
  <c r="D21" i="17"/>
  <c r="C21" i="17"/>
  <c r="G6" i="17"/>
  <c r="F6" i="17"/>
  <c r="E6" i="17"/>
  <c r="D6" i="17"/>
  <c r="C6" i="17"/>
  <c r="I3" i="17"/>
  <c r="G3" i="17"/>
  <c r="F3" i="17"/>
  <c r="E3" i="17"/>
  <c r="D3" i="17"/>
  <c r="C3" i="17"/>
  <c r="G2" i="17"/>
  <c r="F2" i="17"/>
  <c r="E2" i="17"/>
  <c r="D2" i="17"/>
  <c r="C2" i="17"/>
  <c r="Q110" i="3"/>
  <c r="P110" i="3"/>
  <c r="O110" i="3"/>
  <c r="N110" i="3"/>
  <c r="M110" i="3"/>
  <c r="AA142" i="3"/>
  <c r="Q142" i="3"/>
  <c r="P142" i="3"/>
  <c r="O142" i="3"/>
  <c r="N142" i="3"/>
  <c r="M142" i="3"/>
  <c r="AC31" i="3"/>
  <c r="Q174" i="3"/>
  <c r="P174" i="3"/>
  <c r="O174" i="3"/>
  <c r="N174" i="3"/>
  <c r="M174" i="3"/>
  <c r="Q173" i="3"/>
  <c r="P173" i="3"/>
  <c r="O173" i="3"/>
  <c r="N173" i="3"/>
  <c r="M173" i="3"/>
  <c r="AA149" i="3"/>
  <c r="Q149" i="3"/>
  <c r="P149" i="3"/>
  <c r="O149" i="3"/>
  <c r="N149" i="3"/>
  <c r="M149" i="3"/>
  <c r="AA148" i="3"/>
  <c r="Q148" i="3"/>
  <c r="P148" i="3"/>
  <c r="O148" i="3"/>
  <c r="N148" i="3"/>
  <c r="M148" i="3"/>
  <c r="AA143" i="3"/>
  <c r="Q143" i="3"/>
  <c r="P143" i="3"/>
  <c r="O143" i="3"/>
  <c r="N143" i="3"/>
  <c r="M143" i="3"/>
  <c r="G9" i="16"/>
  <c r="F6" i="16"/>
  <c r="G6" i="16"/>
  <c r="AC76" i="3"/>
  <c r="P77" i="3"/>
  <c r="O77" i="3"/>
  <c r="N77" i="3"/>
  <c r="M77" i="3"/>
  <c r="Q77" i="3"/>
  <c r="AA131" i="3"/>
  <c r="G24" i="12"/>
  <c r="F24" i="12"/>
  <c r="E24" i="12"/>
  <c r="D24" i="12"/>
  <c r="C24" i="12"/>
  <c r="L15" i="8"/>
  <c r="K15" i="8"/>
  <c r="J15" i="8"/>
  <c r="I15" i="8"/>
  <c r="H15" i="8"/>
  <c r="G30" i="7"/>
  <c r="F30" i="7"/>
  <c r="E30" i="7"/>
  <c r="D30" i="7"/>
  <c r="C30" i="7"/>
  <c r="G28" i="7"/>
  <c r="F28" i="7"/>
  <c r="E28" i="7"/>
  <c r="D28" i="7"/>
  <c r="C28" i="7"/>
  <c r="G15" i="7"/>
  <c r="F15" i="7"/>
  <c r="E15" i="7"/>
  <c r="D15" i="7"/>
  <c r="C15" i="7"/>
  <c r="L23" i="7"/>
  <c r="K23" i="7"/>
  <c r="J23" i="7"/>
  <c r="I23" i="7"/>
  <c r="H23" i="7"/>
  <c r="AB5" i="6"/>
  <c r="W14" i="6"/>
  <c r="V14" i="6"/>
  <c r="U14" i="6"/>
  <c r="T14" i="6"/>
  <c r="S14" i="6"/>
  <c r="R14" i="6"/>
  <c r="Q14" i="6"/>
  <c r="P14" i="6"/>
  <c r="W13" i="6"/>
  <c r="V13" i="6"/>
  <c r="U13" i="6"/>
  <c r="T13" i="6"/>
  <c r="S13" i="6"/>
  <c r="R13" i="6"/>
  <c r="Q13" i="6"/>
  <c r="P13" i="6"/>
  <c r="W12" i="6"/>
  <c r="V12" i="6"/>
  <c r="U12" i="6"/>
  <c r="T12" i="6"/>
  <c r="S12" i="6"/>
  <c r="R12" i="6"/>
  <c r="Q12" i="6"/>
  <c r="P12" i="6"/>
  <c r="W11" i="6"/>
  <c r="V11" i="6"/>
  <c r="U11" i="6"/>
  <c r="T11" i="6"/>
  <c r="S11" i="6"/>
  <c r="R11" i="6"/>
  <c r="Q11" i="6"/>
  <c r="P11" i="6"/>
  <c r="O15" i="6"/>
  <c r="O11" i="6"/>
  <c r="B24" i="6"/>
  <c r="B20" i="6"/>
  <c r="G14" i="6"/>
  <c r="F14" i="6"/>
  <c r="E14" i="6"/>
  <c r="D14" i="6"/>
  <c r="C14" i="6"/>
  <c r="G13" i="6"/>
  <c r="F13" i="6"/>
  <c r="E13" i="6"/>
  <c r="D13" i="6"/>
  <c r="C13" i="6"/>
  <c r="G12" i="6"/>
  <c r="F12" i="6"/>
  <c r="E12" i="6"/>
  <c r="D12" i="6"/>
  <c r="C12" i="6"/>
  <c r="B14" i="6"/>
  <c r="B13" i="6"/>
  <c r="B12" i="6"/>
  <c r="G11" i="6"/>
  <c r="F11" i="6"/>
  <c r="E11" i="6"/>
  <c r="D11" i="6"/>
  <c r="C11" i="6"/>
  <c r="B5" i="6"/>
  <c r="Z19" i="6"/>
  <c r="Y19" i="6"/>
  <c r="X19" i="6"/>
  <c r="Z10" i="6"/>
  <c r="Y10" i="6"/>
  <c r="X10" i="6"/>
  <c r="Z8" i="5"/>
  <c r="Y8" i="5"/>
  <c r="X8" i="5"/>
  <c r="W8" i="5"/>
  <c r="V8" i="5"/>
  <c r="U8" i="5"/>
  <c r="T8" i="5"/>
  <c r="S8" i="5"/>
  <c r="Z7" i="5"/>
  <c r="Y7" i="5"/>
  <c r="X7" i="5"/>
  <c r="W7" i="5"/>
  <c r="V7" i="5"/>
  <c r="U7" i="5"/>
  <c r="T7" i="5"/>
  <c r="S7" i="5"/>
  <c r="Z6" i="5"/>
  <c r="Y6" i="5"/>
  <c r="X6" i="5"/>
  <c r="W6" i="5"/>
  <c r="V6" i="5"/>
  <c r="U6" i="5"/>
  <c r="T6" i="5"/>
  <c r="S6" i="5"/>
  <c r="Z11" i="5"/>
  <c r="Y11" i="5"/>
  <c r="X11" i="5"/>
  <c r="W11" i="5"/>
  <c r="V11" i="5"/>
  <c r="U11" i="5"/>
  <c r="T11" i="5"/>
  <c r="S11" i="5"/>
  <c r="Z5" i="5"/>
  <c r="Y5" i="5"/>
  <c r="X5" i="5"/>
  <c r="W5" i="5"/>
  <c r="V5" i="5"/>
  <c r="U5" i="5"/>
  <c r="T5" i="5"/>
  <c r="S5" i="5"/>
  <c r="R5" i="5"/>
  <c r="G8" i="5"/>
  <c r="F8" i="5"/>
  <c r="G7" i="5"/>
  <c r="F7" i="5"/>
  <c r="G6" i="5"/>
  <c r="F6" i="5"/>
  <c r="E6" i="5"/>
  <c r="D6" i="5"/>
  <c r="C6" i="5"/>
  <c r="B8" i="5"/>
  <c r="B7" i="5"/>
  <c r="B6" i="5"/>
  <c r="G11" i="5"/>
  <c r="F11" i="5"/>
  <c r="E11" i="5"/>
  <c r="D11" i="5"/>
  <c r="C11" i="5"/>
  <c r="G5" i="5"/>
  <c r="F5" i="5"/>
  <c r="E5" i="5"/>
  <c r="D5" i="5"/>
  <c r="C5" i="5"/>
  <c r="R20" i="5"/>
  <c r="B20" i="5"/>
  <c r="AC14" i="5"/>
  <c r="AB14" i="5"/>
  <c r="AA14" i="5"/>
  <c r="AA83" i="3"/>
  <c r="O83" i="3"/>
  <c r="N83" i="3"/>
  <c r="M83" i="3"/>
  <c r="L83" i="3"/>
  <c r="K83" i="3"/>
  <c r="J83" i="3"/>
  <c r="I83" i="3"/>
  <c r="H83" i="3"/>
  <c r="G83" i="3"/>
  <c r="F83" i="3"/>
  <c r="E83" i="3"/>
  <c r="D83" i="3"/>
  <c r="C83" i="3"/>
  <c r="P83" i="3"/>
  <c r="Q83" i="3"/>
  <c r="P124" i="3"/>
  <c r="O124" i="3"/>
  <c r="N124" i="3"/>
  <c r="M124" i="3"/>
  <c r="Q124" i="3"/>
  <c r="P122" i="3"/>
  <c r="O122" i="3"/>
  <c r="N122" i="3"/>
  <c r="M122" i="3"/>
  <c r="Q122" i="3"/>
  <c r="AC187" i="3"/>
  <c r="AA102" i="3"/>
  <c r="AC81" i="3"/>
  <c r="AA82" i="3"/>
  <c r="Q82" i="3"/>
  <c r="P82" i="3"/>
  <c r="O82" i="3"/>
  <c r="N82" i="3"/>
  <c r="M82" i="3"/>
  <c r="AC50" i="3"/>
  <c r="AC49" i="3"/>
  <c r="AC47" i="3"/>
  <c r="AC46" i="3"/>
  <c r="AC44" i="3"/>
  <c r="AC41" i="3"/>
  <c r="AC40" i="3"/>
  <c r="AC38" i="3"/>
  <c r="AC37" i="3"/>
  <c r="AC35" i="3"/>
  <c r="AC33" i="3"/>
  <c r="AC32" i="3"/>
  <c r="AC30" i="3"/>
  <c r="AA36" i="3"/>
  <c r="M36" i="3"/>
  <c r="O36" i="3"/>
  <c r="N36" i="3"/>
  <c r="P36" i="3"/>
  <c r="Q36" i="3"/>
  <c r="AA98" i="3"/>
  <c r="AA97" i="3"/>
  <c r="AA96" i="3"/>
  <c r="AA94" i="3"/>
  <c r="AA93" i="3"/>
  <c r="AA92" i="3"/>
  <c r="AA90" i="3"/>
  <c r="AA89" i="3"/>
  <c r="AC23" i="3"/>
  <c r="AC21" i="3"/>
  <c r="AC19" i="3"/>
  <c r="AC18" i="3"/>
  <c r="AC16" i="3"/>
  <c r="AC15" i="3"/>
  <c r="AC14" i="3"/>
  <c r="AC13" i="3"/>
  <c r="AC12" i="3"/>
  <c r="AC10" i="3"/>
  <c r="AC9" i="3"/>
  <c r="AC8" i="3"/>
  <c r="AC6" i="3"/>
  <c r="AC5" i="3"/>
  <c r="AA26" i="3"/>
  <c r="AA24" i="3"/>
  <c r="AA22" i="3"/>
  <c r="AA20" i="3"/>
  <c r="AA11" i="3"/>
  <c r="AA7" i="3"/>
  <c r="Q102" i="3"/>
  <c r="P102" i="3"/>
  <c r="O102" i="3"/>
  <c r="N102" i="3"/>
  <c r="M102" i="3"/>
  <c r="Q98" i="3"/>
  <c r="P98" i="3"/>
  <c r="O98" i="3"/>
  <c r="N98" i="3"/>
  <c r="M98" i="3"/>
  <c r="Q97" i="3"/>
  <c r="P97" i="3"/>
  <c r="O97" i="3"/>
  <c r="N97" i="3"/>
  <c r="M97" i="3"/>
  <c r="Q96" i="3"/>
  <c r="P96" i="3"/>
  <c r="O96" i="3"/>
  <c r="N96" i="3"/>
  <c r="M96" i="3"/>
  <c r="Q94" i="3"/>
  <c r="P94" i="3"/>
  <c r="O94" i="3"/>
  <c r="N94" i="3"/>
  <c r="M94" i="3"/>
  <c r="Q93" i="3"/>
  <c r="P93" i="3"/>
  <c r="O93" i="3"/>
  <c r="N93" i="3"/>
  <c r="M93" i="3"/>
  <c r="Q92" i="3"/>
  <c r="P92" i="3"/>
  <c r="O92" i="3"/>
  <c r="N92" i="3"/>
  <c r="M92" i="3"/>
  <c r="Q90" i="3"/>
  <c r="P90" i="3"/>
  <c r="O90" i="3"/>
  <c r="N90" i="3"/>
  <c r="M90" i="3"/>
  <c r="Q89" i="3"/>
  <c r="P89" i="3"/>
  <c r="O89" i="3"/>
  <c r="N89" i="3"/>
  <c r="M89" i="3"/>
  <c r="M26" i="3"/>
  <c r="N26" i="3"/>
  <c r="O26" i="3"/>
  <c r="P26" i="3"/>
  <c r="Q26" i="3"/>
  <c r="Q24" i="3"/>
  <c r="P24" i="3"/>
  <c r="O24" i="3"/>
  <c r="N24" i="3"/>
  <c r="M24" i="3"/>
  <c r="Q22" i="3"/>
  <c r="P22" i="3"/>
  <c r="O22" i="3"/>
  <c r="N22" i="3"/>
  <c r="M22" i="3"/>
  <c r="Q20" i="3"/>
  <c r="P20" i="3"/>
  <c r="O20" i="3"/>
  <c r="N20" i="3"/>
  <c r="M20" i="3"/>
  <c r="Q11" i="3"/>
  <c r="Q7" i="3"/>
  <c r="L22" i="3"/>
  <c r="K22" i="3"/>
  <c r="J22" i="3"/>
  <c r="I22" i="3"/>
  <c r="H22" i="3"/>
  <c r="G22" i="3"/>
  <c r="F22" i="3"/>
  <c r="E22" i="3"/>
  <c r="D22" i="3"/>
  <c r="C22" i="3"/>
  <c r="L20" i="3"/>
  <c r="K20" i="3"/>
  <c r="J20" i="3"/>
  <c r="I20" i="3"/>
  <c r="H20" i="3"/>
  <c r="G20" i="3"/>
  <c r="F20" i="3"/>
  <c r="E20" i="3"/>
  <c r="D20" i="3"/>
  <c r="C20" i="3"/>
  <c r="P11" i="3"/>
  <c r="O11" i="3"/>
  <c r="N11" i="3"/>
  <c r="M11" i="3"/>
  <c r="L11" i="3"/>
  <c r="K11" i="3"/>
  <c r="J11" i="3"/>
  <c r="I11" i="3"/>
  <c r="H11" i="3"/>
  <c r="G11" i="3"/>
  <c r="F11" i="3"/>
  <c r="E11" i="3"/>
  <c r="D11" i="3"/>
  <c r="C11" i="3"/>
  <c r="P7" i="3"/>
  <c r="O7" i="3"/>
  <c r="N7" i="3"/>
  <c r="M7" i="3"/>
  <c r="L7" i="3"/>
  <c r="K7" i="3"/>
  <c r="J7" i="3"/>
  <c r="I7" i="3"/>
  <c r="H7" i="3"/>
  <c r="G7" i="3"/>
  <c r="F7" i="3"/>
  <c r="E7" i="3"/>
  <c r="D7" i="3"/>
  <c r="C7" i="3"/>
  <c r="C8" i="1" a="1"/>
  <c r="C9" i="1" a="1"/>
  <c r="C10" i="1" a="1"/>
  <c r="C14" i="1" a="1"/>
  <c r="C13" i="1" a="1"/>
  <c r="C12" i="1" a="1"/>
  <c r="C11" i="1" a="1"/>
  <c r="C7" i="1" a="1"/>
  <c r="C6" i="1" a="1"/>
  <c r="C5" i="1" a="1"/>
  <c r="C4" i="1" a="1"/>
  <c r="AA174" i="3" l="1"/>
  <c r="AA173" i="3"/>
  <c r="Z145" i="3"/>
  <c r="Z146" i="3"/>
  <c r="Y145" i="3"/>
  <c r="Y146" i="3"/>
  <c r="X146" i="3"/>
  <c r="X145" i="3"/>
  <c r="W146" i="3"/>
  <c r="W145" i="3"/>
  <c r="V145" i="3"/>
  <c r="V146" i="3"/>
  <c r="U145" i="3"/>
  <c r="U146" i="3"/>
  <c r="T146" i="3"/>
  <c r="T145" i="3"/>
  <c r="Z152" i="3"/>
  <c r="Z78" i="3"/>
  <c r="Z153" i="3" s="1"/>
  <c r="Z154" i="3" s="1"/>
  <c r="Y152" i="3"/>
  <c r="Y78" i="3"/>
  <c r="Y153" i="3" s="1"/>
  <c r="Y154" i="3" s="1"/>
  <c r="X78" i="3"/>
  <c r="X153" i="3" s="1"/>
  <c r="X154" i="3" s="1"/>
  <c r="X152" i="3"/>
  <c r="W78" i="3"/>
  <c r="W153" i="3" s="1"/>
  <c r="W154" i="3" s="1"/>
  <c r="W152" i="3"/>
  <c r="V152" i="3"/>
  <c r="V78" i="3"/>
  <c r="V153" i="3" s="1"/>
  <c r="V154" i="3" s="1"/>
  <c r="U152" i="3"/>
  <c r="U78" i="3"/>
  <c r="U153" i="3" s="1"/>
  <c r="U154" i="3" s="1"/>
  <c r="T152" i="3"/>
  <c r="T78" i="3"/>
  <c r="T153" i="3" s="1"/>
  <c r="T154" i="3" s="1"/>
  <c r="Y177" i="3"/>
  <c r="Y178" i="3"/>
  <c r="Y179" i="3"/>
  <c r="Z147" i="3"/>
  <c r="Z172" i="3"/>
  <c r="Z175" i="3"/>
  <c r="Y147" i="3"/>
  <c r="Y172" i="3"/>
  <c r="Y175" i="3"/>
  <c r="X147" i="3"/>
  <c r="X172" i="3"/>
  <c r="X175" i="3"/>
  <c r="W147" i="3"/>
  <c r="W172" i="3"/>
  <c r="W175" i="3"/>
  <c r="V147" i="3"/>
  <c r="V172" i="3"/>
  <c r="V175" i="3"/>
  <c r="U147" i="3"/>
  <c r="U172" i="3"/>
  <c r="U175" i="3"/>
  <c r="T147" i="3"/>
  <c r="T172" i="3"/>
  <c r="T175" i="3"/>
  <c r="Z95" i="3"/>
  <c r="Y69" i="3"/>
  <c r="Y70" i="3" s="1"/>
  <c r="X69" i="3"/>
  <c r="X70" i="3" s="1"/>
  <c r="Y95" i="3"/>
  <c r="X95" i="3"/>
  <c r="W69" i="3"/>
  <c r="W70" i="3" s="1"/>
  <c r="W95" i="3"/>
  <c r="V69" i="3"/>
  <c r="V70" i="3" s="1"/>
  <c r="U69" i="3"/>
  <c r="U70" i="3" s="1"/>
  <c r="V95" i="3"/>
  <c r="T69" i="3"/>
  <c r="T70" i="3" s="1"/>
  <c r="U95" i="3"/>
  <c r="T95" i="3"/>
  <c r="Y101" i="3"/>
  <c r="X135" i="3" s="1"/>
  <c r="X136" i="3" s="1"/>
  <c r="Z91" i="3"/>
  <c r="X101" i="3"/>
  <c r="W135" i="3" s="1"/>
  <c r="W136" i="3" s="1"/>
  <c r="Y91" i="3"/>
  <c r="W101" i="3"/>
  <c r="V135" i="3" s="1"/>
  <c r="V136" i="3" s="1"/>
  <c r="X91" i="3"/>
  <c r="V101" i="3"/>
  <c r="U135" i="3" s="1"/>
  <c r="U136" i="3" s="1"/>
  <c r="W91" i="3"/>
  <c r="V91" i="3"/>
  <c r="U101" i="3"/>
  <c r="T101" i="3"/>
  <c r="T91" i="3"/>
  <c r="U91" i="3"/>
  <c r="AC180" i="3"/>
  <c r="D11" i="21"/>
  <c r="G16" i="21"/>
  <c r="C21" i="21"/>
  <c r="C23" i="21" s="1"/>
  <c r="G12" i="21"/>
  <c r="F16" i="21"/>
  <c r="E16" i="21"/>
  <c r="F12" i="21"/>
  <c r="D16" i="21"/>
  <c r="E12" i="21"/>
  <c r="C16" i="21"/>
  <c r="D12" i="21"/>
  <c r="L15" i="21"/>
  <c r="L10" i="21"/>
  <c r="K15" i="21"/>
  <c r="K10" i="21"/>
  <c r="J15" i="21"/>
  <c r="J10" i="21"/>
  <c r="I10" i="21"/>
  <c r="I15" i="21"/>
  <c r="H10" i="21"/>
  <c r="H15" i="21"/>
  <c r="G10" i="21"/>
  <c r="G15" i="21"/>
  <c r="F15" i="21"/>
  <c r="F10" i="21"/>
  <c r="E15" i="21"/>
  <c r="E10" i="21"/>
  <c r="D15" i="21"/>
  <c r="D10" i="21"/>
  <c r="C10" i="21"/>
  <c r="C15" i="21"/>
  <c r="Q182" i="3"/>
  <c r="P182" i="3"/>
  <c r="Q181" i="3"/>
  <c r="P181" i="3"/>
  <c r="O181" i="3"/>
  <c r="N181" i="3"/>
  <c r="M181" i="3"/>
  <c r="AA107" i="3"/>
  <c r="Q107" i="3"/>
  <c r="P107" i="3"/>
  <c r="O107" i="3"/>
  <c r="N107" i="3"/>
  <c r="M107" i="3"/>
  <c r="D42" i="7"/>
  <c r="C42" i="7"/>
  <c r="Q215" i="3"/>
  <c r="P215" i="3"/>
  <c r="O215" i="3"/>
  <c r="N215" i="3"/>
  <c r="Q213" i="3"/>
  <c r="P213" i="3"/>
  <c r="O213" i="3"/>
  <c r="N213" i="3"/>
  <c r="AA136" i="3"/>
  <c r="AA132" i="3"/>
  <c r="F10" i="16"/>
  <c r="Q163" i="3"/>
  <c r="P163" i="3"/>
  <c r="O163" i="3"/>
  <c r="N163" i="3"/>
  <c r="Q162" i="3"/>
  <c r="P162" i="3"/>
  <c r="O162" i="3"/>
  <c r="N162" i="3"/>
  <c r="M163" i="3"/>
  <c r="M162" i="3"/>
  <c r="Q151" i="3"/>
  <c r="P151" i="3"/>
  <c r="O151" i="3"/>
  <c r="N151" i="3"/>
  <c r="M151" i="3"/>
  <c r="Q150" i="3"/>
  <c r="P150" i="3"/>
  <c r="O150" i="3"/>
  <c r="N150" i="3"/>
  <c r="M150" i="3"/>
  <c r="H61" i="20"/>
  <c r="F61" i="20"/>
  <c r="D61" i="20"/>
  <c r="C61" i="20"/>
  <c r="J67" i="19"/>
  <c r="H67" i="19"/>
  <c r="L63" i="19"/>
  <c r="K63" i="19"/>
  <c r="H63" i="19"/>
  <c r="AA157" i="3"/>
  <c r="J66" i="20" s="1"/>
  <c r="F66" i="20"/>
  <c r="E66" i="20"/>
  <c r="D66" i="20"/>
  <c r="C66" i="20"/>
  <c r="G5" i="12"/>
  <c r="F5" i="12"/>
  <c r="E5" i="12"/>
  <c r="D5" i="12"/>
  <c r="C5" i="12"/>
  <c r="G6" i="11"/>
  <c r="F6" i="11"/>
  <c r="E6" i="11"/>
  <c r="D6" i="11"/>
  <c r="C6" i="11"/>
  <c r="G34" i="8"/>
  <c r="F34" i="8"/>
  <c r="E34" i="8"/>
  <c r="D34" i="8"/>
  <c r="C34" i="8"/>
  <c r="H10" i="5"/>
  <c r="I10" i="5" s="1"/>
  <c r="H7" i="5"/>
  <c r="I7" i="5" s="1"/>
  <c r="H6" i="5"/>
  <c r="Z9" i="5"/>
  <c r="Y9" i="5"/>
  <c r="X9" i="5"/>
  <c r="W9" i="5"/>
  <c r="V9" i="5"/>
  <c r="U9" i="5"/>
  <c r="T9" i="5"/>
  <c r="S9" i="5"/>
  <c r="G9" i="5"/>
  <c r="H9" i="5" s="1"/>
  <c r="I9" i="5" s="1"/>
  <c r="F9" i="5"/>
  <c r="J61" i="20"/>
  <c r="I61" i="20"/>
  <c r="G61" i="20"/>
  <c r="E61" i="20"/>
  <c r="I67" i="19"/>
  <c r="J63" i="19"/>
  <c r="I63" i="19"/>
  <c r="F27" i="1" s="1"/>
  <c r="C9" i="10" s="1"/>
  <c r="AC220" i="3"/>
  <c r="M202" i="3"/>
  <c r="C7" i="5"/>
  <c r="E7" i="5"/>
  <c r="D7" i="5"/>
  <c r="AA10" i="5"/>
  <c r="AA7" i="5"/>
  <c r="AA6" i="5"/>
  <c r="E10" i="5"/>
  <c r="D10" i="5"/>
  <c r="C10" i="5"/>
  <c r="G93" i="17"/>
  <c r="G92" i="17"/>
  <c r="F92" i="17"/>
  <c r="E92" i="17"/>
  <c r="D92" i="17"/>
  <c r="C92" i="17"/>
  <c r="G8" i="16"/>
  <c r="F8" i="16"/>
  <c r="P205" i="3"/>
  <c r="F93" i="17" s="1"/>
  <c r="O205" i="3"/>
  <c r="E93" i="17" s="1"/>
  <c r="N205" i="3"/>
  <c r="D93" i="17" s="1"/>
  <c r="M205" i="3"/>
  <c r="C93" i="17" s="1"/>
  <c r="AA8" i="5"/>
  <c r="Z19" i="5"/>
  <c r="Y19" i="5"/>
  <c r="X19" i="5"/>
  <c r="W19" i="5"/>
  <c r="V19" i="5"/>
  <c r="U19" i="5"/>
  <c r="T19" i="5"/>
  <c r="G19" i="5"/>
  <c r="F19" i="5"/>
  <c r="E19" i="5"/>
  <c r="D19" i="5"/>
  <c r="E18" i="5"/>
  <c r="D18" i="5"/>
  <c r="B19" i="5"/>
  <c r="B18" i="5"/>
  <c r="R10" i="5"/>
  <c r="R19" i="5" s="1"/>
  <c r="R9" i="5"/>
  <c r="R18" i="5" s="1"/>
  <c r="M197" i="3"/>
  <c r="N197" i="3"/>
  <c r="M194" i="3"/>
  <c r="N194" i="3"/>
  <c r="M189" i="3"/>
  <c r="H65" i="19" s="1"/>
  <c r="N189" i="3"/>
  <c r="O194" i="3"/>
  <c r="O197" i="3"/>
  <c r="O189" i="3"/>
  <c r="AC65" i="3"/>
  <c r="N203" i="3"/>
  <c r="O203" i="3"/>
  <c r="N202" i="3"/>
  <c r="O202" i="3"/>
  <c r="P202" i="3"/>
  <c r="F33" i="18"/>
  <c r="C33" i="18"/>
  <c r="F31" i="18"/>
  <c r="C31" i="18"/>
  <c r="AC42" i="3"/>
  <c r="AC64" i="3"/>
  <c r="AC54" i="3"/>
  <c r="AC61" i="3"/>
  <c r="AC62" i="3"/>
  <c r="H66" i="20"/>
  <c r="AC60" i="3"/>
  <c r="AC59" i="3"/>
  <c r="AC56" i="3"/>
  <c r="G66" i="20"/>
  <c r="E42" i="7"/>
  <c r="F42" i="7"/>
  <c r="G42" i="7"/>
  <c r="AC108" i="3"/>
  <c r="D31" i="12"/>
  <c r="E31" i="12"/>
  <c r="Q43" i="3"/>
  <c r="Q71" i="3" s="1"/>
  <c r="F31" i="12"/>
  <c r="P69" i="3"/>
  <c r="O69" i="3"/>
  <c r="N69" i="3"/>
  <c r="M69" i="3"/>
  <c r="L69" i="3"/>
  <c r="K69" i="3"/>
  <c r="J69" i="3"/>
  <c r="I69" i="3"/>
  <c r="H69" i="3"/>
  <c r="G69" i="3"/>
  <c r="F69" i="3"/>
  <c r="E69" i="3"/>
  <c r="D69" i="3"/>
  <c r="C69" i="3"/>
  <c r="Q69" i="3"/>
  <c r="Q157" i="3"/>
  <c r="P157" i="3"/>
  <c r="O157" i="3"/>
  <c r="N157" i="3"/>
  <c r="M157" i="3"/>
  <c r="AA69" i="3"/>
  <c r="AC112" i="3"/>
  <c r="Q121" i="3"/>
  <c r="P121" i="3"/>
  <c r="O121" i="3"/>
  <c r="N121" i="3"/>
  <c r="M121" i="3"/>
  <c r="AA103" i="3"/>
  <c r="J62" i="20" s="1"/>
  <c r="I62" i="20"/>
  <c r="H62" i="20"/>
  <c r="G62" i="20"/>
  <c r="F62" i="20"/>
  <c r="E62" i="20"/>
  <c r="D62" i="20"/>
  <c r="C62" i="20"/>
  <c r="Q103" i="3"/>
  <c r="L64" i="19" s="1"/>
  <c r="P103" i="3"/>
  <c r="K64" i="19" s="1"/>
  <c r="O103" i="3"/>
  <c r="J64" i="19" s="1"/>
  <c r="N103" i="3"/>
  <c r="I64" i="19" s="1"/>
  <c r="M103" i="3"/>
  <c r="H64" i="19" s="1"/>
  <c r="AC111" i="3"/>
  <c r="G35" i="7"/>
  <c r="AC63" i="3"/>
  <c r="G31" i="12"/>
  <c r="E35" i="7"/>
  <c r="F35" i="7"/>
  <c r="D35" i="7"/>
  <c r="C35" i="7"/>
  <c r="AC83" i="3"/>
  <c r="AC106" i="3" s="1"/>
  <c r="AA145" i="3"/>
  <c r="Q145" i="3"/>
  <c r="N145" i="3"/>
  <c r="P145" i="3"/>
  <c r="O145" i="3"/>
  <c r="M145" i="3"/>
  <c r="C31" i="12"/>
  <c r="G91" i="17"/>
  <c r="G90" i="17"/>
  <c r="G89" i="17"/>
  <c r="F20" i="18"/>
  <c r="C20" i="18"/>
  <c r="F18" i="18"/>
  <c r="C18" i="18"/>
  <c r="F12" i="18"/>
  <c r="C12" i="18"/>
  <c r="F10" i="18"/>
  <c r="C10" i="18"/>
  <c r="G96" i="17"/>
  <c r="F96" i="17"/>
  <c r="E96" i="17"/>
  <c r="D96" i="17"/>
  <c r="C96" i="17"/>
  <c r="F89" i="17"/>
  <c r="E89" i="17"/>
  <c r="D89" i="17"/>
  <c r="C89" i="17"/>
  <c r="AC29" i="3"/>
  <c r="G20" i="18"/>
  <c r="D20" i="18"/>
  <c r="G18" i="18"/>
  <c r="D18" i="18"/>
  <c r="C17" i="18"/>
  <c r="AA106" i="3"/>
  <c r="C15" i="18"/>
  <c r="G12" i="18"/>
  <c r="D12" i="18"/>
  <c r="C9" i="18"/>
  <c r="G10" i="18"/>
  <c r="C7" i="18"/>
  <c r="D10" i="18"/>
  <c r="G23" i="18"/>
  <c r="I60" i="20"/>
  <c r="H60" i="20"/>
  <c r="G60" i="20"/>
  <c r="F60" i="20"/>
  <c r="E60" i="20"/>
  <c r="C60" i="20"/>
  <c r="F23" i="18"/>
  <c r="C23" i="18"/>
  <c r="F27" i="18"/>
  <c r="C27" i="18"/>
  <c r="C25" i="18"/>
  <c r="F29" i="18"/>
  <c r="C29" i="18"/>
  <c r="F25" i="18"/>
  <c r="F17" i="18"/>
  <c r="F15" i="18"/>
  <c r="D23" i="18"/>
  <c r="F9" i="18"/>
  <c r="F7" i="18"/>
  <c r="G85" i="17"/>
  <c r="F85" i="17"/>
  <c r="E85" i="17"/>
  <c r="D85" i="17"/>
  <c r="C85" i="17"/>
  <c r="G84" i="17"/>
  <c r="F84" i="17"/>
  <c r="E84" i="17"/>
  <c r="D84" i="17"/>
  <c r="C84" i="17"/>
  <c r="G81" i="17"/>
  <c r="F81" i="17"/>
  <c r="E81" i="17"/>
  <c r="D81" i="17"/>
  <c r="C81" i="17"/>
  <c r="G80" i="17"/>
  <c r="F80" i="17"/>
  <c r="E80" i="17"/>
  <c r="D80" i="17"/>
  <c r="C80" i="17"/>
  <c r="G72" i="17"/>
  <c r="F72" i="17"/>
  <c r="E72" i="17"/>
  <c r="D72" i="17"/>
  <c r="G71" i="17"/>
  <c r="F71" i="17"/>
  <c r="E71" i="17"/>
  <c r="D71" i="17"/>
  <c r="C72" i="17"/>
  <c r="C71" i="17"/>
  <c r="G48" i="17"/>
  <c r="F48" i="17"/>
  <c r="E48" i="17"/>
  <c r="D48" i="17"/>
  <c r="G47" i="17"/>
  <c r="F47" i="17"/>
  <c r="E47" i="17"/>
  <c r="D47" i="17"/>
  <c r="C48" i="17"/>
  <c r="C47" i="17"/>
  <c r="G40" i="17"/>
  <c r="F40" i="17"/>
  <c r="E40" i="17"/>
  <c r="D40" i="17"/>
  <c r="G39" i="17"/>
  <c r="F39" i="17"/>
  <c r="E39" i="17"/>
  <c r="D39" i="17"/>
  <c r="C40" i="17"/>
  <c r="C39" i="17"/>
  <c r="G29" i="17"/>
  <c r="F29" i="17"/>
  <c r="E29" i="17"/>
  <c r="D29" i="17"/>
  <c r="G27" i="17"/>
  <c r="F27" i="17"/>
  <c r="E27" i="17"/>
  <c r="D27" i="17"/>
  <c r="C29" i="17"/>
  <c r="C27" i="17"/>
  <c r="I21" i="17"/>
  <c r="G17" i="17"/>
  <c r="F17" i="17"/>
  <c r="E17" i="17"/>
  <c r="D17" i="17"/>
  <c r="C17" i="17"/>
  <c r="AA179" i="3"/>
  <c r="Q179" i="3"/>
  <c r="G77" i="17" s="1"/>
  <c r="P179" i="3"/>
  <c r="F77" i="17" s="1"/>
  <c r="O179" i="3"/>
  <c r="E77" i="17" s="1"/>
  <c r="N179" i="3"/>
  <c r="D77" i="17" s="1"/>
  <c r="M179" i="3"/>
  <c r="C77" i="17" s="1"/>
  <c r="AA178" i="3"/>
  <c r="Q178" i="3"/>
  <c r="G76" i="17" s="1"/>
  <c r="P178" i="3"/>
  <c r="F76" i="17" s="1"/>
  <c r="O178" i="3"/>
  <c r="E76" i="17" s="1"/>
  <c r="N178" i="3"/>
  <c r="D76" i="17" s="1"/>
  <c r="M178" i="3"/>
  <c r="C76" i="17" s="1"/>
  <c r="AA177" i="3"/>
  <c r="Q177" i="3"/>
  <c r="G75" i="17" s="1"/>
  <c r="P177" i="3"/>
  <c r="F75" i="17" s="1"/>
  <c r="O177" i="3"/>
  <c r="E75" i="17" s="1"/>
  <c r="N177" i="3"/>
  <c r="D75" i="17" s="1"/>
  <c r="M177" i="3"/>
  <c r="C75" i="17" s="1"/>
  <c r="D23" i="17"/>
  <c r="E23" i="17"/>
  <c r="F23" i="17"/>
  <c r="G23" i="17"/>
  <c r="C23" i="17"/>
  <c r="AC142" i="3"/>
  <c r="I39" i="17" s="1"/>
  <c r="AC79" i="3"/>
  <c r="Q80" i="3"/>
  <c r="P80" i="3"/>
  <c r="N80" i="3"/>
  <c r="M80" i="3"/>
  <c r="O80" i="3"/>
  <c r="AC149" i="3"/>
  <c r="AC148" i="3"/>
  <c r="AA141" i="3"/>
  <c r="AC143" i="3"/>
  <c r="AC141" i="3"/>
  <c r="Q141" i="3"/>
  <c r="P141" i="3"/>
  <c r="O141" i="3"/>
  <c r="N141" i="3"/>
  <c r="M141" i="3"/>
  <c r="F9" i="16"/>
  <c r="F16" i="16"/>
  <c r="AC77" i="3"/>
  <c r="O24" i="6"/>
  <c r="O20" i="6"/>
  <c r="AC57" i="3"/>
  <c r="AC55" i="3"/>
  <c r="O106" i="3"/>
  <c r="O109" i="3" s="1"/>
  <c r="O158" i="3" s="1"/>
  <c r="J61" i="19" s="1"/>
  <c r="N106" i="3"/>
  <c r="N109" i="3" s="1"/>
  <c r="N158" i="3" s="1"/>
  <c r="I61" i="19" s="1"/>
  <c r="M106" i="3"/>
  <c r="M109" i="3" s="1"/>
  <c r="M158" i="3" s="1"/>
  <c r="H61" i="19" s="1"/>
  <c r="L106" i="3"/>
  <c r="K106" i="3"/>
  <c r="J106" i="3"/>
  <c r="I106" i="3"/>
  <c r="H106" i="3"/>
  <c r="G106" i="3"/>
  <c r="F106" i="3"/>
  <c r="E106" i="3"/>
  <c r="D106" i="3"/>
  <c r="C106" i="3"/>
  <c r="G6" i="14"/>
  <c r="F6" i="14"/>
  <c r="E6" i="14"/>
  <c r="D6" i="14"/>
  <c r="C6" i="14"/>
  <c r="G19" i="12"/>
  <c r="F19" i="12"/>
  <c r="E19" i="12"/>
  <c r="D19" i="12"/>
  <c r="C19" i="12"/>
  <c r="G6" i="12"/>
  <c r="F6" i="12"/>
  <c r="E6" i="12"/>
  <c r="D6" i="12"/>
  <c r="C6" i="12"/>
  <c r="C18" i="10"/>
  <c r="E7" i="8"/>
  <c r="E6" i="8"/>
  <c r="F5" i="8"/>
  <c r="F32" i="8" s="1"/>
  <c r="E5" i="8"/>
  <c r="E32" i="8" s="1"/>
  <c r="C5" i="8"/>
  <c r="C32" i="8" s="1"/>
  <c r="E13" i="7"/>
  <c r="C13" i="7"/>
  <c r="D7" i="7"/>
  <c r="G6" i="7"/>
  <c r="H6" i="7" s="1"/>
  <c r="E6" i="7"/>
  <c r="U15" i="6"/>
  <c r="T15" i="6"/>
  <c r="P15" i="6"/>
  <c r="O13" i="6"/>
  <c r="O22" i="6" s="1"/>
  <c r="O12" i="6"/>
  <c r="O21" i="6" s="1"/>
  <c r="W6" i="6"/>
  <c r="T6" i="6"/>
  <c r="V5" i="6"/>
  <c r="S5" i="6"/>
  <c r="P5" i="6"/>
  <c r="B23" i="6"/>
  <c r="B21" i="6"/>
  <c r="E15" i="6"/>
  <c r="D15" i="6"/>
  <c r="G6" i="6"/>
  <c r="E6" i="6"/>
  <c r="C6" i="6"/>
  <c r="F5" i="6"/>
  <c r="R6" i="5"/>
  <c r="G21" i="8"/>
  <c r="E21" i="8"/>
  <c r="F7" i="8"/>
  <c r="C7" i="8"/>
  <c r="F6" i="8"/>
  <c r="G5" i="8"/>
  <c r="D5" i="8"/>
  <c r="D32" i="8" s="1"/>
  <c r="F13" i="7"/>
  <c r="D13" i="7"/>
  <c r="F7" i="7"/>
  <c r="C6" i="7"/>
  <c r="V15" i="6"/>
  <c r="R15" i="6"/>
  <c r="U6" i="6"/>
  <c r="R6" i="6"/>
  <c r="P6" i="6"/>
  <c r="Q5" i="6"/>
  <c r="G15" i="6"/>
  <c r="C15" i="6"/>
  <c r="E5" i="6"/>
  <c r="C5" i="6"/>
  <c r="R7" i="5"/>
  <c r="F21" i="8"/>
  <c r="D21" i="8"/>
  <c r="C21" i="8"/>
  <c r="G7" i="8"/>
  <c r="D7" i="8"/>
  <c r="G6" i="8"/>
  <c r="D6" i="8"/>
  <c r="C6" i="8"/>
  <c r="G13" i="7"/>
  <c r="G7" i="7"/>
  <c r="E7" i="7"/>
  <c r="C7" i="7"/>
  <c r="F6" i="7"/>
  <c r="D6" i="7"/>
  <c r="W15" i="6"/>
  <c r="S15" i="6"/>
  <c r="Q15" i="6"/>
  <c r="O14" i="6"/>
  <c r="O23" i="6" s="1"/>
  <c r="V6" i="6"/>
  <c r="S6" i="6"/>
  <c r="Q6" i="6"/>
  <c r="W5" i="6"/>
  <c r="U5" i="6"/>
  <c r="T5" i="6"/>
  <c r="R5" i="6"/>
  <c r="B22" i="6"/>
  <c r="F15" i="6"/>
  <c r="F6" i="6"/>
  <c r="D6" i="6"/>
  <c r="D22" i="6" s="1"/>
  <c r="D5" i="6"/>
  <c r="R8" i="5"/>
  <c r="G5" i="6"/>
  <c r="G8" i="7"/>
  <c r="E8" i="7"/>
  <c r="F8" i="7"/>
  <c r="C8" i="7"/>
  <c r="D8" i="7"/>
  <c r="AB9" i="6"/>
  <c r="AB10" i="6"/>
  <c r="E14" i="5"/>
  <c r="D14" i="5"/>
  <c r="F14" i="5"/>
  <c r="G14" i="5"/>
  <c r="S14" i="5"/>
  <c r="C14" i="5"/>
  <c r="Z20" i="5"/>
  <c r="Y20" i="5"/>
  <c r="X20" i="5"/>
  <c r="W20" i="5"/>
  <c r="V20" i="5"/>
  <c r="U20" i="5"/>
  <c r="T20" i="5"/>
  <c r="G20" i="5"/>
  <c r="F20" i="5"/>
  <c r="E20" i="5"/>
  <c r="D20" i="5"/>
  <c r="Z17" i="5"/>
  <c r="Y17" i="5"/>
  <c r="X17" i="5"/>
  <c r="W17" i="5"/>
  <c r="V17" i="5"/>
  <c r="U17" i="5"/>
  <c r="T17" i="5"/>
  <c r="G17" i="5"/>
  <c r="B17" i="5"/>
  <c r="Z16" i="5"/>
  <c r="Y16" i="5"/>
  <c r="X16" i="5"/>
  <c r="W16" i="5"/>
  <c r="V16" i="5"/>
  <c r="U16" i="5"/>
  <c r="T16" i="5"/>
  <c r="G16" i="5"/>
  <c r="B16" i="5"/>
  <c r="Z15" i="5"/>
  <c r="Y15" i="5"/>
  <c r="X15" i="5"/>
  <c r="W15" i="5"/>
  <c r="V15" i="5"/>
  <c r="U15" i="5"/>
  <c r="T15" i="5"/>
  <c r="G15" i="5"/>
  <c r="F15" i="5"/>
  <c r="E15" i="5"/>
  <c r="D15" i="5"/>
  <c r="B15" i="5"/>
  <c r="Z14" i="5"/>
  <c r="Y14" i="5"/>
  <c r="X14" i="5"/>
  <c r="W14" i="5"/>
  <c r="V14" i="5"/>
  <c r="U14" i="5"/>
  <c r="T14" i="5"/>
  <c r="H5" i="5"/>
  <c r="P106" i="3"/>
  <c r="P109" i="3" s="1"/>
  <c r="P158" i="3" s="1"/>
  <c r="K61" i="19" s="1"/>
  <c r="Q106" i="3"/>
  <c r="AC124" i="3"/>
  <c r="AC122" i="3"/>
  <c r="AC102" i="3"/>
  <c r="AA101" i="3"/>
  <c r="AC82" i="3"/>
  <c r="AC74" i="3"/>
  <c r="AA75" i="3"/>
  <c r="M75" i="3"/>
  <c r="N75" i="3"/>
  <c r="O75" i="3"/>
  <c r="P75" i="3"/>
  <c r="Q75" i="3"/>
  <c r="AC36" i="3"/>
  <c r="AA91" i="3"/>
  <c r="C11" i="18" s="1"/>
  <c r="AA95" i="3"/>
  <c r="C13" i="18" s="1"/>
  <c r="AC11" i="3"/>
  <c r="AC7" i="3"/>
  <c r="AC101" i="3" s="1"/>
  <c r="Q101" i="3"/>
  <c r="P101" i="3"/>
  <c r="O101" i="3"/>
  <c r="N101" i="3"/>
  <c r="M101" i="3"/>
  <c r="Q95" i="3"/>
  <c r="G83" i="17" s="1"/>
  <c r="P95" i="3"/>
  <c r="F83" i="17" s="1"/>
  <c r="O95" i="3"/>
  <c r="E83" i="17" s="1"/>
  <c r="N95" i="3"/>
  <c r="D83" i="17" s="1"/>
  <c r="M95" i="3"/>
  <c r="C83" i="17" s="1"/>
  <c r="AC26" i="3"/>
  <c r="F5" i="1" s="1"/>
  <c r="AC24" i="3"/>
  <c r="AC22" i="3"/>
  <c r="AC20" i="3"/>
  <c r="Q91" i="3"/>
  <c r="G82" i="17" s="1"/>
  <c r="O91" i="3"/>
  <c r="E82" i="17" s="1"/>
  <c r="M91" i="3"/>
  <c r="C82" i="17" s="1"/>
  <c r="P91" i="3"/>
  <c r="F82" i="17" s="1"/>
  <c r="N91" i="3"/>
  <c r="D82" i="17" s="1"/>
  <c r="C10" i="10" s="1"/>
  <c r="C11" i="13" s="1"/>
  <c r="AC75" i="3" l="1"/>
  <c r="C22" i="14" s="1"/>
  <c r="AA152" i="3"/>
  <c r="C68" i="12"/>
  <c r="C47" i="12"/>
  <c r="J60" i="20"/>
  <c r="Z135" i="3"/>
  <c r="Z136" i="3" s="1"/>
  <c r="T135" i="3"/>
  <c r="T136" i="3" s="1"/>
  <c r="D60" i="20"/>
  <c r="AC182" i="3"/>
  <c r="O182" i="3"/>
  <c r="M182" i="3"/>
  <c r="AC181" i="3"/>
  <c r="N182" i="3"/>
  <c r="C20" i="8"/>
  <c r="D20" i="8"/>
  <c r="D44" i="7"/>
  <c r="C44" i="7"/>
  <c r="F53" i="17"/>
  <c r="D53" i="17"/>
  <c r="F51" i="17"/>
  <c r="D51" i="17"/>
  <c r="G53" i="17"/>
  <c r="E53" i="17"/>
  <c r="G51" i="17"/>
  <c r="E51" i="17"/>
  <c r="C51" i="17"/>
  <c r="I66" i="20"/>
  <c r="J10" i="5"/>
  <c r="K10" i="5" s="1"/>
  <c r="L10" i="5" s="1"/>
  <c r="J9" i="5"/>
  <c r="K9" i="5" s="1"/>
  <c r="L9" i="5" s="1"/>
  <c r="J7" i="5"/>
  <c r="K7" i="5" s="1"/>
  <c r="L7" i="5" s="1"/>
  <c r="AA9" i="5"/>
  <c r="Z18" i="5"/>
  <c r="Y18" i="5"/>
  <c r="X18" i="5"/>
  <c r="W18" i="5"/>
  <c r="V18" i="5"/>
  <c r="U18" i="5"/>
  <c r="T18" i="5"/>
  <c r="G18" i="5"/>
  <c r="F18" i="5"/>
  <c r="C53" i="17"/>
  <c r="C25" i="14"/>
  <c r="C23" i="11"/>
  <c r="L60" i="19"/>
  <c r="Q167" i="3"/>
  <c r="K60" i="19"/>
  <c r="P167" i="3"/>
  <c r="J60" i="19"/>
  <c r="O167" i="3"/>
  <c r="I60" i="19"/>
  <c r="N167" i="3"/>
  <c r="H60" i="19"/>
  <c r="M167" i="3"/>
  <c r="Q152" i="3"/>
  <c r="P152" i="3"/>
  <c r="O152" i="3"/>
  <c r="N152" i="3"/>
  <c r="M152" i="3"/>
  <c r="I6" i="5"/>
  <c r="H8" i="5"/>
  <c r="H11" i="5" s="1"/>
  <c r="D8" i="5"/>
  <c r="I65" i="19"/>
  <c r="E8" i="5"/>
  <c r="J65" i="19"/>
  <c r="H5" i="8"/>
  <c r="H32" i="8" s="1"/>
  <c r="G32" i="8"/>
  <c r="H6" i="14"/>
  <c r="H6" i="11"/>
  <c r="H5" i="12"/>
  <c r="M78" i="3"/>
  <c r="M153" i="3" s="1"/>
  <c r="N78" i="3"/>
  <c r="N153" i="3" s="1"/>
  <c r="O78" i="3"/>
  <c r="O153" i="3" s="1"/>
  <c r="P78" i="3"/>
  <c r="P153" i="3" s="1"/>
  <c r="Q78" i="3"/>
  <c r="Q153" i="3" s="1"/>
  <c r="G16" i="17"/>
  <c r="G33" i="8"/>
  <c r="L62" i="19"/>
  <c r="F16" i="17"/>
  <c r="F33" i="8"/>
  <c r="K62" i="19"/>
  <c r="E16" i="17"/>
  <c r="E33" i="8"/>
  <c r="J62" i="19"/>
  <c r="D16" i="17"/>
  <c r="D33" i="8"/>
  <c r="I62" i="19"/>
  <c r="C16" i="17"/>
  <c r="C33" i="8"/>
  <c r="H62" i="19"/>
  <c r="C19" i="10"/>
  <c r="P203" i="3"/>
  <c r="C90" i="17"/>
  <c r="E16" i="5"/>
  <c r="D16" i="5"/>
  <c r="F16" i="5"/>
  <c r="D90" i="17"/>
  <c r="E91" i="17"/>
  <c r="D91" i="17"/>
  <c r="E90" i="17"/>
  <c r="AE8" i="5"/>
  <c r="M203" i="3"/>
  <c r="C91" i="17" s="1"/>
  <c r="C8" i="5"/>
  <c r="M195" i="3"/>
  <c r="N195" i="3"/>
  <c r="O195" i="3"/>
  <c r="F90" i="17"/>
  <c r="C8" i="10"/>
  <c r="AC145" i="3"/>
  <c r="AC58" i="3"/>
  <c r="F44" i="7"/>
  <c r="Q170" i="3"/>
  <c r="Q168" i="3"/>
  <c r="P170" i="3"/>
  <c r="P168" i="3"/>
  <c r="O170" i="3"/>
  <c r="O168" i="3"/>
  <c r="N170" i="3"/>
  <c r="N168" i="3"/>
  <c r="M170" i="3"/>
  <c r="M168" i="3"/>
  <c r="AC174" i="3"/>
  <c r="AC110" i="3"/>
  <c r="AC173" i="3"/>
  <c r="I71" i="17" s="1"/>
  <c r="I22" i="17"/>
  <c r="F17" i="16"/>
  <c r="F18" i="16" s="1"/>
  <c r="E20" i="8"/>
  <c r="E44" i="7"/>
  <c r="F20" i="8"/>
  <c r="G20" i="8"/>
  <c r="G44" i="7"/>
  <c r="D22" i="8"/>
  <c r="E22" i="8"/>
  <c r="F22" i="8"/>
  <c r="G22" i="8"/>
  <c r="C22" i="8"/>
  <c r="Q70" i="3"/>
  <c r="G44" i="17"/>
  <c r="F44" i="17"/>
  <c r="E44" i="17"/>
  <c r="D44" i="17"/>
  <c r="C44" i="17"/>
  <c r="AC69" i="3"/>
  <c r="F26" i="17"/>
  <c r="E26" i="17"/>
  <c r="D26" i="17"/>
  <c r="C26" i="17"/>
  <c r="G18" i="17"/>
  <c r="F18" i="17"/>
  <c r="E18" i="17"/>
  <c r="D18" i="17"/>
  <c r="C18" i="17"/>
  <c r="O123" i="3"/>
  <c r="J68" i="19" s="1"/>
  <c r="M123" i="3"/>
  <c r="H68" i="19" s="1"/>
  <c r="G26" i="17"/>
  <c r="N123" i="3"/>
  <c r="I68" i="19" s="1"/>
  <c r="Q123" i="3"/>
  <c r="L68" i="19" s="1"/>
  <c r="P123" i="3"/>
  <c r="K68" i="19" s="1"/>
  <c r="O166" i="3"/>
  <c r="O140" i="3"/>
  <c r="J70" i="19" s="1"/>
  <c r="N166" i="3"/>
  <c r="N140" i="3"/>
  <c r="I70" i="19" s="1"/>
  <c r="M166" i="3"/>
  <c r="M140" i="3"/>
  <c r="H70" i="19" s="1"/>
  <c r="P140" i="3"/>
  <c r="K70" i="19" s="1"/>
  <c r="AC80" i="3"/>
  <c r="AC103" i="3"/>
  <c r="AC121" i="3"/>
  <c r="I26" i="17" s="1"/>
  <c r="C31" i="16"/>
  <c r="F21" i="18"/>
  <c r="C19" i="18"/>
  <c r="C21" i="18"/>
  <c r="F19" i="18"/>
  <c r="F11" i="18"/>
  <c r="AA17" i="5"/>
  <c r="F13" i="18"/>
  <c r="Q169" i="3"/>
  <c r="G59" i="17" s="1"/>
  <c r="P169" i="3"/>
  <c r="F59" i="17" s="1"/>
  <c r="O169" i="3"/>
  <c r="E59" i="17" s="1"/>
  <c r="N169" i="3"/>
  <c r="D59" i="17" s="1"/>
  <c r="M169" i="3"/>
  <c r="C59" i="17" s="1"/>
  <c r="G22" i="7"/>
  <c r="D22" i="7"/>
  <c r="E21" i="7"/>
  <c r="C21" i="7"/>
  <c r="F34" i="16"/>
  <c r="I48" i="17"/>
  <c r="F32" i="16"/>
  <c r="I47" i="17"/>
  <c r="C32" i="16"/>
  <c r="I40" i="17"/>
  <c r="C30" i="16"/>
  <c r="I38" i="17"/>
  <c r="Q144" i="3"/>
  <c r="G41" i="17" s="1"/>
  <c r="G38" i="17"/>
  <c r="P144" i="3"/>
  <c r="F41" i="17" s="1"/>
  <c r="F38" i="17"/>
  <c r="O144" i="3"/>
  <c r="E41" i="17" s="1"/>
  <c r="E38" i="17"/>
  <c r="N144" i="3"/>
  <c r="D41" i="17" s="1"/>
  <c r="D38" i="17"/>
  <c r="M144" i="3"/>
  <c r="C41" i="17" s="1"/>
  <c r="C38" i="17"/>
  <c r="C25" i="16"/>
  <c r="I29" i="17"/>
  <c r="C23" i="16"/>
  <c r="I27" i="17"/>
  <c r="C17" i="16"/>
  <c r="I17" i="17"/>
  <c r="C16" i="16"/>
  <c r="I16" i="17"/>
  <c r="AA175" i="3"/>
  <c r="Q175" i="3"/>
  <c r="G67" i="17" s="1"/>
  <c r="P175" i="3"/>
  <c r="F67" i="17" s="1"/>
  <c r="O175" i="3"/>
  <c r="E67" i="17" s="1"/>
  <c r="N175" i="3"/>
  <c r="D67" i="17" s="1"/>
  <c r="M175" i="3"/>
  <c r="C67" i="17" s="1"/>
  <c r="AA144" i="3"/>
  <c r="D30" i="12"/>
  <c r="F29" i="12"/>
  <c r="E20" i="12"/>
  <c r="H19" i="12"/>
  <c r="I19" i="12" s="1"/>
  <c r="J19" i="12" s="1"/>
  <c r="K19" i="12" s="1"/>
  <c r="L19" i="12" s="1"/>
  <c r="AA146" i="3"/>
  <c r="AA172" i="3"/>
  <c r="Q146" i="3"/>
  <c r="G45" i="17" s="1"/>
  <c r="Q172" i="3"/>
  <c r="G66" i="17" s="1"/>
  <c r="P146" i="3"/>
  <c r="F45" i="17" s="1"/>
  <c r="P172" i="3"/>
  <c r="F66" i="17" s="1"/>
  <c r="O146" i="3"/>
  <c r="E45" i="17" s="1"/>
  <c r="O172" i="3"/>
  <c r="E66" i="17" s="1"/>
  <c r="N146" i="3"/>
  <c r="D45" i="17" s="1"/>
  <c r="N172" i="3"/>
  <c r="D66" i="17" s="1"/>
  <c r="M146" i="3"/>
  <c r="C45" i="17" s="1"/>
  <c r="M172" i="3"/>
  <c r="C66" i="17" s="1"/>
  <c r="AC144" i="3"/>
  <c r="I41" i="17" s="1"/>
  <c r="C9" i="17"/>
  <c r="D9" i="17"/>
  <c r="E9" i="17"/>
  <c r="G10" i="17"/>
  <c r="F10" i="17"/>
  <c r="E10" i="17"/>
  <c r="D10" i="17"/>
  <c r="C10" i="17"/>
  <c r="G9" i="17"/>
  <c r="F9" i="17"/>
  <c r="C5" i="16"/>
  <c r="H5" i="6"/>
  <c r="G19" i="6"/>
  <c r="G10" i="6"/>
  <c r="T22" i="6"/>
  <c r="T21" i="6"/>
  <c r="G23" i="6"/>
  <c r="G21" i="6"/>
  <c r="AC107" i="3"/>
  <c r="AA147" i="3"/>
  <c r="G32" i="12"/>
  <c r="Q147" i="3"/>
  <c r="G46" i="17" s="1"/>
  <c r="F32" i="12"/>
  <c r="P147" i="3"/>
  <c r="F46" i="17" s="1"/>
  <c r="E32" i="12"/>
  <c r="O147" i="3"/>
  <c r="E46" i="17" s="1"/>
  <c r="D32" i="12"/>
  <c r="N147" i="3"/>
  <c r="D46" i="17" s="1"/>
  <c r="C32" i="12"/>
  <c r="M147" i="3"/>
  <c r="C46" i="17" s="1"/>
  <c r="AC109" i="3"/>
  <c r="Q109" i="3"/>
  <c r="Q158" i="3" s="1"/>
  <c r="L61" i="19" s="1"/>
  <c r="E46" i="7"/>
  <c r="D19" i="6"/>
  <c r="W10" i="6"/>
  <c r="U10" i="6"/>
  <c r="R10" i="6"/>
  <c r="AA78" i="3"/>
  <c r="F20" i="12"/>
  <c r="D20" i="12"/>
  <c r="G13" i="12"/>
  <c r="C30" i="12"/>
  <c r="E29" i="12"/>
  <c r="D29" i="12"/>
  <c r="G20" i="12"/>
  <c r="F13" i="12"/>
  <c r="E13" i="12"/>
  <c r="D13" i="12"/>
  <c r="G30" i="12"/>
  <c r="G8" i="8"/>
  <c r="D8" i="8"/>
  <c r="C46" i="7"/>
  <c r="G43" i="7"/>
  <c r="C43" i="7"/>
  <c r="F27" i="7"/>
  <c r="D12" i="7"/>
  <c r="V23" i="6"/>
  <c r="D20" i="6"/>
  <c r="D36" i="7"/>
  <c r="D37" i="7" s="1"/>
  <c r="E27" i="7"/>
  <c r="S23" i="6"/>
  <c r="Q23" i="6"/>
  <c r="V20" i="6"/>
  <c r="S20" i="6"/>
  <c r="Q20" i="6"/>
  <c r="R17" i="5"/>
  <c r="R15" i="5"/>
  <c r="Q21" i="6"/>
  <c r="F23" i="6"/>
  <c r="F22" i="6"/>
  <c r="F30" i="12"/>
  <c r="E30" i="12"/>
  <c r="G29" i="12"/>
  <c r="C29" i="12"/>
  <c r="D21" i="6"/>
  <c r="I6" i="7"/>
  <c r="S22" i="6"/>
  <c r="Q22" i="6"/>
  <c r="V24" i="6"/>
  <c r="D23" i="6"/>
  <c r="G46" i="7"/>
  <c r="C35" i="14"/>
  <c r="C15" i="14"/>
  <c r="AC116" i="3"/>
  <c r="AC117" i="3" s="1"/>
  <c r="C6" i="10"/>
  <c r="E24" i="6"/>
  <c r="E9" i="8"/>
  <c r="D9" i="8"/>
  <c r="D24" i="6"/>
  <c r="G24" i="6"/>
  <c r="G9" i="8"/>
  <c r="C9" i="8"/>
  <c r="C24" i="6"/>
  <c r="F24" i="6"/>
  <c r="F9" i="8"/>
  <c r="U21" i="6"/>
  <c r="P21" i="6"/>
  <c r="U24" i="6"/>
  <c r="T24" i="6"/>
  <c r="P24" i="6"/>
  <c r="C23" i="6"/>
  <c r="G22" i="6"/>
  <c r="E21" i="6"/>
  <c r="C21" i="6"/>
  <c r="U22" i="6"/>
  <c r="P22" i="6"/>
  <c r="W22" i="6"/>
  <c r="V22" i="6"/>
  <c r="W21" i="6"/>
  <c r="V21" i="6"/>
  <c r="S21" i="6"/>
  <c r="W24" i="6"/>
  <c r="S24" i="6"/>
  <c r="Q24" i="6"/>
  <c r="E23" i="6"/>
  <c r="E22" i="6"/>
  <c r="C22" i="6"/>
  <c r="F21" i="6"/>
  <c r="H19" i="7"/>
  <c r="Q10" i="6"/>
  <c r="F19" i="6"/>
  <c r="G26" i="8"/>
  <c r="C19" i="8"/>
  <c r="F14" i="8"/>
  <c r="G14" i="8"/>
  <c r="C14" i="8"/>
  <c r="C8" i="8"/>
  <c r="F46" i="7"/>
  <c r="G41" i="7"/>
  <c r="H34" i="7"/>
  <c r="E34" i="7"/>
  <c r="S10" i="6"/>
  <c r="P10" i="6"/>
  <c r="F8" i="8"/>
  <c r="E26" i="8"/>
  <c r="D26" i="8"/>
  <c r="C26" i="8"/>
  <c r="G19" i="8"/>
  <c r="F19" i="8"/>
  <c r="E14" i="8"/>
  <c r="G36" i="7"/>
  <c r="G37" i="7" s="1"/>
  <c r="F20" i="7"/>
  <c r="H12" i="7"/>
  <c r="C12" i="7"/>
  <c r="R16" i="5"/>
  <c r="E19" i="8"/>
  <c r="D14" i="8"/>
  <c r="E8" i="8"/>
  <c r="F26" i="8"/>
  <c r="D19" i="8"/>
  <c r="F43" i="7"/>
  <c r="E41" i="7"/>
  <c r="D43" i="7"/>
  <c r="C41" i="7"/>
  <c r="C34" i="7"/>
  <c r="E20" i="6"/>
  <c r="C27" i="7"/>
  <c r="F22" i="7"/>
  <c r="F21" i="7"/>
  <c r="D21" i="7"/>
  <c r="G20" i="7"/>
  <c r="F12" i="7"/>
  <c r="E12" i="7"/>
  <c r="D46" i="7"/>
  <c r="E43" i="7"/>
  <c r="H41" i="7"/>
  <c r="F36" i="7"/>
  <c r="F37" i="7" s="1"/>
  <c r="G34" i="7"/>
  <c r="D34" i="7"/>
  <c r="G27" i="7"/>
  <c r="G21" i="7"/>
  <c r="C20" i="7"/>
  <c r="G19" i="7"/>
  <c r="F19" i="7"/>
  <c r="E19" i="7"/>
  <c r="D19" i="7"/>
  <c r="C19" i="7"/>
  <c r="F41" i="7"/>
  <c r="D41" i="7"/>
  <c r="E36" i="7"/>
  <c r="E37" i="7" s="1"/>
  <c r="C36" i="7"/>
  <c r="C37" i="7" s="1"/>
  <c r="F34" i="7"/>
  <c r="H27" i="7"/>
  <c r="D27" i="7"/>
  <c r="E22" i="7"/>
  <c r="C22" i="7"/>
  <c r="E20" i="7"/>
  <c r="D20" i="7"/>
  <c r="G12" i="7"/>
  <c r="W23" i="6"/>
  <c r="R23" i="6"/>
  <c r="W20" i="6"/>
  <c r="T20" i="6"/>
  <c r="F20" i="6"/>
  <c r="U23" i="6"/>
  <c r="R20" i="6"/>
  <c r="P20" i="6"/>
  <c r="T23" i="6"/>
  <c r="P23" i="6"/>
  <c r="U20" i="6"/>
  <c r="G20" i="6"/>
  <c r="C20" i="6"/>
  <c r="E19" i="6"/>
  <c r="C19" i="6"/>
  <c r="F10" i="6"/>
  <c r="D10" i="6"/>
  <c r="C10" i="6"/>
  <c r="W19" i="6"/>
  <c r="V19" i="6"/>
  <c r="U19" i="6"/>
  <c r="T19" i="6"/>
  <c r="S19" i="6"/>
  <c r="R19" i="6"/>
  <c r="Q19" i="6"/>
  <c r="P19" i="6"/>
  <c r="V10" i="6"/>
  <c r="T10" i="6"/>
  <c r="E10" i="6"/>
  <c r="R22" i="6"/>
  <c r="R21" i="6"/>
  <c r="R24" i="6"/>
  <c r="I5" i="5"/>
  <c r="H14" i="5"/>
  <c r="AA70" i="3"/>
  <c r="P70" i="3"/>
  <c r="M70" i="3"/>
  <c r="L70" i="3"/>
  <c r="O70" i="3"/>
  <c r="N70" i="3"/>
  <c r="K70" i="3"/>
  <c r="J70" i="3"/>
  <c r="I70" i="3"/>
  <c r="H70" i="3"/>
  <c r="G70" i="3"/>
  <c r="F70" i="3"/>
  <c r="E70" i="3"/>
  <c r="D70" i="3"/>
  <c r="C70" i="3"/>
  <c r="C26" i="21"/>
  <c r="I11" i="1" s="1"/>
  <c r="AC78" i="3" l="1"/>
  <c r="AA153" i="3"/>
  <c r="AA154" i="3" s="1"/>
  <c r="C67" i="12"/>
  <c r="C46" i="12"/>
  <c r="AC183" i="3"/>
  <c r="AA11" i="5"/>
  <c r="E17" i="5"/>
  <c r="F17" i="5"/>
  <c r="H14" i="8"/>
  <c r="I5" i="8"/>
  <c r="I32" i="8" s="1"/>
  <c r="G11" i="17"/>
  <c r="F11" i="17"/>
  <c r="E11" i="17"/>
  <c r="D11" i="17"/>
  <c r="C11" i="17"/>
  <c r="H19" i="8"/>
  <c r="C24" i="14"/>
  <c r="C22" i="11"/>
  <c r="C70" i="12"/>
  <c r="C25" i="11"/>
  <c r="C49" i="12"/>
  <c r="F91" i="17"/>
  <c r="Q171" i="3"/>
  <c r="G63" i="17" s="1"/>
  <c r="P171" i="3"/>
  <c r="F63" i="17" s="1"/>
  <c r="N171" i="3"/>
  <c r="D63" i="17" s="1"/>
  <c r="M171" i="3"/>
  <c r="C63" i="17" s="1"/>
  <c r="O171" i="3"/>
  <c r="E63" i="17" s="1"/>
  <c r="H26" i="8"/>
  <c r="M161" i="3"/>
  <c r="C52" i="17" s="1"/>
  <c r="M159" i="3"/>
  <c r="M176" i="3"/>
  <c r="C68" i="17" s="1"/>
  <c r="M165" i="3"/>
  <c r="C55" i="17" s="1"/>
  <c r="M164" i="3"/>
  <c r="C54" i="17" s="1"/>
  <c r="C7" i="17"/>
  <c r="M154" i="3"/>
  <c r="N161" i="3"/>
  <c r="D52" i="17" s="1"/>
  <c r="N159" i="3"/>
  <c r="N176" i="3"/>
  <c r="D68" i="17" s="1"/>
  <c r="N165" i="3"/>
  <c r="D55" i="17" s="1"/>
  <c r="N164" i="3"/>
  <c r="D54" i="17" s="1"/>
  <c r="D7" i="17"/>
  <c r="N154" i="3"/>
  <c r="O161" i="3"/>
  <c r="E52" i="17" s="1"/>
  <c r="O176" i="3"/>
  <c r="E68" i="17" s="1"/>
  <c r="O165" i="3"/>
  <c r="E55" i="17" s="1"/>
  <c r="O164" i="3"/>
  <c r="E54" i="17" s="1"/>
  <c r="O159" i="3"/>
  <c r="E7" i="17"/>
  <c r="O154" i="3"/>
  <c r="P159" i="3"/>
  <c r="P161" i="3"/>
  <c r="F52" i="17" s="1"/>
  <c r="P176" i="3"/>
  <c r="F68" i="17" s="1"/>
  <c r="P165" i="3"/>
  <c r="F55" i="17" s="1"/>
  <c r="P164" i="3"/>
  <c r="F54" i="17" s="1"/>
  <c r="F7" i="17"/>
  <c r="P154" i="3"/>
  <c r="Q159" i="3"/>
  <c r="Q161" i="3"/>
  <c r="G52" i="17" s="1"/>
  <c r="Q176" i="3"/>
  <c r="G68" i="17" s="1"/>
  <c r="Q165" i="3"/>
  <c r="G55" i="17" s="1"/>
  <c r="Q164" i="3"/>
  <c r="G54" i="17" s="1"/>
  <c r="G7" i="17"/>
  <c r="Q154" i="3"/>
  <c r="AC150" i="3"/>
  <c r="AC151" i="3"/>
  <c r="AC152" i="3"/>
  <c r="AC153" i="3"/>
  <c r="AC162" i="3"/>
  <c r="AC163" i="3"/>
  <c r="J6" i="5"/>
  <c r="I8" i="5"/>
  <c r="I11" i="5" s="1"/>
  <c r="H6" i="8"/>
  <c r="H7" i="7"/>
  <c r="H6" i="6"/>
  <c r="H6" i="12"/>
  <c r="H13" i="12" s="1"/>
  <c r="AC140" i="3"/>
  <c r="H17" i="5"/>
  <c r="I6" i="14"/>
  <c r="I5" i="12"/>
  <c r="I6" i="11"/>
  <c r="AC157" i="3"/>
  <c r="AC167" i="3" s="1"/>
  <c r="D17" i="5"/>
  <c r="F30" i="16"/>
  <c r="I44" i="17"/>
  <c r="C33" i="14"/>
  <c r="C52" i="16"/>
  <c r="G58" i="17"/>
  <c r="G60" i="17"/>
  <c r="F58" i="17"/>
  <c r="F60" i="17"/>
  <c r="E58" i="17"/>
  <c r="E60" i="17"/>
  <c r="D58" i="17"/>
  <c r="D60" i="17"/>
  <c r="C58" i="17"/>
  <c r="C60" i="17"/>
  <c r="C53" i="16"/>
  <c r="I72" i="17"/>
  <c r="AC177" i="3"/>
  <c r="AC178" i="3"/>
  <c r="I23" i="17"/>
  <c r="AC171" i="3"/>
  <c r="I63" i="17" s="1"/>
  <c r="AC70" i="3"/>
  <c r="AC123" i="3"/>
  <c r="I28" i="17" s="1"/>
  <c r="I33" i="17" s="1"/>
  <c r="C22" i="16"/>
  <c r="C35" i="17"/>
  <c r="D35" i="17"/>
  <c r="E35" i="17"/>
  <c r="F35" i="17"/>
  <c r="P166" i="3"/>
  <c r="F28" i="17"/>
  <c r="F33" i="17" s="1"/>
  <c r="N125" i="3"/>
  <c r="D28" i="17"/>
  <c r="D33" i="17" s="1"/>
  <c r="C28" i="17"/>
  <c r="C33" i="17" s="1"/>
  <c r="G28" i="17"/>
  <c r="G33" i="17" s="1"/>
  <c r="P125" i="3"/>
  <c r="O125" i="3"/>
  <c r="E28" i="17"/>
  <c r="E33" i="17" s="1"/>
  <c r="M125" i="3"/>
  <c r="Q125" i="3"/>
  <c r="Q140" i="3"/>
  <c r="L70" i="19" s="1"/>
  <c r="C18" i="16"/>
  <c r="I18" i="17"/>
  <c r="I6" i="17"/>
  <c r="C23" i="14"/>
  <c r="C56" i="12"/>
  <c r="C33" i="16"/>
  <c r="F18" i="1"/>
  <c r="AC172" i="3"/>
  <c r="AC175" i="3"/>
  <c r="I67" i="17" s="1"/>
  <c r="C33" i="12"/>
  <c r="D33" i="12"/>
  <c r="F33" i="12"/>
  <c r="E33" i="12"/>
  <c r="G33" i="12"/>
  <c r="I5" i="6"/>
  <c r="H10" i="6"/>
  <c r="H19" i="6"/>
  <c r="AC147" i="3"/>
  <c r="I46" i="17" s="1"/>
  <c r="AC146" i="3"/>
  <c r="I45" i="17" s="1"/>
  <c r="D10" i="8"/>
  <c r="G10" i="8"/>
  <c r="C5" i="10"/>
  <c r="C7" i="10" s="1"/>
  <c r="C17" i="10" s="1"/>
  <c r="J6" i="7"/>
  <c r="I27" i="7"/>
  <c r="I19" i="7"/>
  <c r="I41" i="7"/>
  <c r="I34" i="7"/>
  <c r="G18" i="12"/>
  <c r="G23" i="12"/>
  <c r="G12" i="12"/>
  <c r="G28" i="12"/>
  <c r="F18" i="12"/>
  <c r="F23" i="12"/>
  <c r="F28" i="12"/>
  <c r="F12" i="12"/>
  <c r="E28" i="12"/>
  <c r="E12" i="12"/>
  <c r="E18" i="12"/>
  <c r="E23" i="12"/>
  <c r="D28" i="12"/>
  <c r="D12" i="12"/>
  <c r="D18" i="12"/>
  <c r="D23" i="12"/>
  <c r="C12" i="12"/>
  <c r="C23" i="12"/>
  <c r="C18" i="12"/>
  <c r="C28" i="12"/>
  <c r="C10" i="8"/>
  <c r="F10" i="8"/>
  <c r="E10" i="8"/>
  <c r="I12" i="7"/>
  <c r="E23" i="7"/>
  <c r="D23" i="7"/>
  <c r="F23" i="7"/>
  <c r="G23" i="7"/>
  <c r="C23" i="7"/>
  <c r="J5" i="5"/>
  <c r="I14" i="5"/>
  <c r="E8" i="17" l="1"/>
  <c r="D8" i="17"/>
  <c r="F8" i="17"/>
  <c r="G8" i="17"/>
  <c r="X6" i="6"/>
  <c r="AE11" i="5"/>
  <c r="AB6" i="6" s="1"/>
  <c r="C8" i="17"/>
  <c r="I26" i="8"/>
  <c r="C32" i="14"/>
  <c r="I14" i="8"/>
  <c r="J5" i="8"/>
  <c r="J32" i="8" s="1"/>
  <c r="I19" i="8"/>
  <c r="I6" i="6"/>
  <c r="I11" i="6" s="1"/>
  <c r="I6" i="8"/>
  <c r="I7" i="7"/>
  <c r="I6" i="12"/>
  <c r="I13" i="12" s="1"/>
  <c r="M155" i="3"/>
  <c r="C12" i="17" s="1"/>
  <c r="M156" i="3"/>
  <c r="C13" i="17" s="1"/>
  <c r="M160" i="3"/>
  <c r="N155" i="3"/>
  <c r="D12" i="17" s="1"/>
  <c r="N156" i="3"/>
  <c r="D13" i="17" s="1"/>
  <c r="N160" i="3"/>
  <c r="O155" i="3"/>
  <c r="E12" i="17" s="1"/>
  <c r="O156" i="3"/>
  <c r="E13" i="17" s="1"/>
  <c r="O160" i="3"/>
  <c r="P155" i="3"/>
  <c r="F12" i="17" s="1"/>
  <c r="P156" i="3"/>
  <c r="F13" i="17" s="1"/>
  <c r="P160" i="3"/>
  <c r="Q155" i="3"/>
  <c r="G12" i="17" s="1"/>
  <c r="Q156" i="3"/>
  <c r="G13" i="17" s="1"/>
  <c r="I10" i="17"/>
  <c r="I9" i="17"/>
  <c r="I53" i="17"/>
  <c r="AC154" i="3"/>
  <c r="I51" i="17"/>
  <c r="J8" i="5"/>
  <c r="J11" i="5" s="1"/>
  <c r="K6" i="5"/>
  <c r="H36" i="7"/>
  <c r="H45" i="7"/>
  <c r="H21" i="8" s="1"/>
  <c r="H13" i="7"/>
  <c r="H28" i="7" s="1"/>
  <c r="H42" i="7"/>
  <c r="H14" i="6"/>
  <c r="H13" i="6"/>
  <c r="H12" i="6"/>
  <c r="H11" i="6"/>
  <c r="D30" i="17"/>
  <c r="D34" i="17" s="1"/>
  <c r="I69" i="19"/>
  <c r="F30" i="17"/>
  <c r="F34" i="17" s="1"/>
  <c r="K69" i="19"/>
  <c r="E30" i="17"/>
  <c r="E34" i="17" s="1"/>
  <c r="J69" i="19"/>
  <c r="C30" i="17"/>
  <c r="C34" i="17" s="1"/>
  <c r="H69" i="19"/>
  <c r="G30" i="17"/>
  <c r="G34" i="17" s="1"/>
  <c r="L69" i="19"/>
  <c r="J6" i="14"/>
  <c r="J5" i="12"/>
  <c r="J6" i="11"/>
  <c r="AC168" i="3"/>
  <c r="AC170" i="3"/>
  <c r="AC169" i="3"/>
  <c r="I17" i="5"/>
  <c r="F52" i="16"/>
  <c r="I75" i="17"/>
  <c r="F53" i="16"/>
  <c r="I76" i="17"/>
  <c r="C46" i="16"/>
  <c r="F17" i="1"/>
  <c r="F12" i="1"/>
  <c r="C24" i="16"/>
  <c r="F22" i="16" s="1"/>
  <c r="AC125" i="3"/>
  <c r="I30" i="17" s="1"/>
  <c r="I34" i="17" s="1"/>
  <c r="I35" i="17"/>
  <c r="G35" i="17"/>
  <c r="Q166" i="3"/>
  <c r="I7" i="17"/>
  <c r="I11" i="17"/>
  <c r="C10" i="16"/>
  <c r="F46" i="16"/>
  <c r="I66" i="17"/>
  <c r="C8" i="16"/>
  <c r="F6" i="1"/>
  <c r="C9" i="16"/>
  <c r="F7" i="1"/>
  <c r="C40" i="16"/>
  <c r="F11" i="1"/>
  <c r="F47" i="16"/>
  <c r="F16" i="1"/>
  <c r="F33" i="16"/>
  <c r="F20" i="1"/>
  <c r="F31" i="16"/>
  <c r="F19" i="1"/>
  <c r="AC164" i="3"/>
  <c r="I54" i="17" s="1"/>
  <c r="AC165" i="3"/>
  <c r="F24" i="16"/>
  <c r="F14" i="1"/>
  <c r="AC176" i="3"/>
  <c r="I68" i="17" s="1"/>
  <c r="F3" i="1"/>
  <c r="C38" i="16"/>
  <c r="F9" i="1"/>
  <c r="C26" i="14"/>
  <c r="J5" i="6"/>
  <c r="I10" i="6"/>
  <c r="I19" i="6"/>
  <c r="Q160" i="3"/>
  <c r="C6" i="16"/>
  <c r="AC161" i="3"/>
  <c r="I52" i="17" s="1"/>
  <c r="AC159" i="3"/>
  <c r="D27" i="8"/>
  <c r="D28" i="8" s="1"/>
  <c r="G27" i="8"/>
  <c r="G28" i="8" s="1"/>
  <c r="G7" i="14" s="1"/>
  <c r="G7" i="12"/>
  <c r="D7" i="12"/>
  <c r="C16" i="10"/>
  <c r="C20" i="10" s="1"/>
  <c r="J34" i="7"/>
  <c r="J41" i="7"/>
  <c r="J12" i="7"/>
  <c r="J19" i="7"/>
  <c r="J27" i="7"/>
  <c r="K6" i="7"/>
  <c r="C7" i="12"/>
  <c r="C27" i="8"/>
  <c r="C28" i="8" s="1"/>
  <c r="F7" i="12"/>
  <c r="F27" i="8"/>
  <c r="F28" i="8" s="1"/>
  <c r="E7" i="12"/>
  <c r="E27" i="8"/>
  <c r="E28" i="8" s="1"/>
  <c r="H18" i="12"/>
  <c r="H12" i="12"/>
  <c r="H28" i="12"/>
  <c r="H23" i="12"/>
  <c r="K5" i="5"/>
  <c r="J14" i="5"/>
  <c r="AE6" i="5"/>
  <c r="C21" i="14" l="1"/>
  <c r="C75" i="12"/>
  <c r="C78" i="12" s="1"/>
  <c r="F14" i="12"/>
  <c r="J6" i="12"/>
  <c r="J6" i="8"/>
  <c r="J7" i="7"/>
  <c r="J6" i="6"/>
  <c r="J11" i="6" s="1"/>
  <c r="X14" i="6"/>
  <c r="AB14" i="6" s="1"/>
  <c r="X11" i="6"/>
  <c r="AB11" i="6" s="1"/>
  <c r="X12" i="6"/>
  <c r="X13" i="6"/>
  <c r="AB13" i="6" s="1"/>
  <c r="H15" i="6"/>
  <c r="J19" i="8"/>
  <c r="J26" i="8"/>
  <c r="K5" i="8"/>
  <c r="K32" i="8" s="1"/>
  <c r="J14" i="8"/>
  <c r="G14" i="12"/>
  <c r="C62" i="12"/>
  <c r="C41" i="12"/>
  <c r="C15" i="11"/>
  <c r="I17" i="1" s="1"/>
  <c r="I12" i="6"/>
  <c r="I42" i="7"/>
  <c r="I45" i="7"/>
  <c r="I21" i="8" s="1"/>
  <c r="I13" i="6"/>
  <c r="I14" i="6"/>
  <c r="I13" i="7"/>
  <c r="I36" i="7"/>
  <c r="K8" i="5"/>
  <c r="K11" i="5" s="1"/>
  <c r="L6" i="5"/>
  <c r="L8" i="5" s="1"/>
  <c r="L11" i="5" s="1"/>
  <c r="H44" i="7"/>
  <c r="H20" i="8"/>
  <c r="H8" i="7"/>
  <c r="H7" i="8"/>
  <c r="H8" i="8" s="1"/>
  <c r="H33" i="8" s="1"/>
  <c r="E14" i="12"/>
  <c r="H7" i="14"/>
  <c r="K6" i="14"/>
  <c r="K5" i="12"/>
  <c r="K6" i="11"/>
  <c r="C34" i="12"/>
  <c r="D14" i="12"/>
  <c r="F38" i="16"/>
  <c r="I58" i="17"/>
  <c r="F40" i="16"/>
  <c r="I60" i="17"/>
  <c r="F39" i="16"/>
  <c r="I59" i="17"/>
  <c r="C26" i="16"/>
  <c r="F23" i="16" s="1"/>
  <c r="F13" i="1"/>
  <c r="J17" i="5"/>
  <c r="C42" i="16"/>
  <c r="I55" i="17"/>
  <c r="F4" i="1"/>
  <c r="I8" i="17"/>
  <c r="F10" i="1"/>
  <c r="C41" i="16"/>
  <c r="F48" i="16"/>
  <c r="F15" i="1"/>
  <c r="C39" i="16"/>
  <c r="F8" i="1"/>
  <c r="D7" i="11"/>
  <c r="D8" i="12"/>
  <c r="G7" i="11"/>
  <c r="G8" i="12"/>
  <c r="K5" i="6"/>
  <c r="J19" i="6"/>
  <c r="J10" i="6"/>
  <c r="G34" i="12"/>
  <c r="AC155" i="3"/>
  <c r="C7" i="16"/>
  <c r="AC156" i="3"/>
  <c r="D7" i="14"/>
  <c r="D34" i="12"/>
  <c r="K12" i="7"/>
  <c r="K19" i="7"/>
  <c r="K27" i="7"/>
  <c r="K34" i="7"/>
  <c r="K41" i="7"/>
  <c r="L6" i="7"/>
  <c r="C7" i="11"/>
  <c r="C8" i="12"/>
  <c r="C7" i="14"/>
  <c r="F34" i="12"/>
  <c r="F7" i="11"/>
  <c r="F8" i="12"/>
  <c r="F7" i="14"/>
  <c r="E34" i="12"/>
  <c r="E7" i="11"/>
  <c r="E8" i="12"/>
  <c r="E7" i="14"/>
  <c r="I18" i="12"/>
  <c r="I12" i="12"/>
  <c r="I28" i="12"/>
  <c r="I23" i="12"/>
  <c r="L5" i="5"/>
  <c r="K14" i="5"/>
  <c r="AE7" i="5"/>
  <c r="H20" i="5"/>
  <c r="J13" i="7" l="1"/>
  <c r="J36" i="7"/>
  <c r="J42" i="7"/>
  <c r="J45" i="7"/>
  <c r="J21" i="8" s="1"/>
  <c r="J13" i="6"/>
  <c r="J14" i="6"/>
  <c r="J12" i="6"/>
  <c r="J13" i="12"/>
  <c r="X15" i="6"/>
  <c r="AB12" i="6"/>
  <c r="H9" i="8"/>
  <c r="H10" i="8" s="1"/>
  <c r="H24" i="6"/>
  <c r="I28" i="7"/>
  <c r="F15" i="12"/>
  <c r="I44" i="7"/>
  <c r="I20" i="8"/>
  <c r="I15" i="6"/>
  <c r="K6" i="12"/>
  <c r="K13" i="12" s="1"/>
  <c r="K7" i="7"/>
  <c r="K6" i="6"/>
  <c r="K11" i="6" s="1"/>
  <c r="K6" i="8"/>
  <c r="K26" i="8"/>
  <c r="K14" i="8"/>
  <c r="K19" i="8"/>
  <c r="L5" i="8"/>
  <c r="L32" i="8" s="1"/>
  <c r="G15" i="12"/>
  <c r="H14" i="7"/>
  <c r="H29" i="7" s="1"/>
  <c r="H15" i="7"/>
  <c r="H30" i="7" s="1"/>
  <c r="I7" i="14"/>
  <c r="E15" i="12"/>
  <c r="L6" i="14"/>
  <c r="L5" i="12"/>
  <c r="L6" i="11"/>
  <c r="C35" i="12"/>
  <c r="D15" i="12"/>
  <c r="K17" i="5"/>
  <c r="I7" i="8"/>
  <c r="I8" i="8" s="1"/>
  <c r="I33" i="8" s="1"/>
  <c r="I8" i="7"/>
  <c r="L6" i="8"/>
  <c r="L7" i="7"/>
  <c r="L6" i="12"/>
  <c r="L6" i="6"/>
  <c r="L11" i="6" s="1"/>
  <c r="C11" i="16"/>
  <c r="I12" i="17"/>
  <c r="C12" i="16"/>
  <c r="I13" i="17"/>
  <c r="D35" i="12"/>
  <c r="G35" i="12"/>
  <c r="L5" i="6"/>
  <c r="K19" i="6"/>
  <c r="K10" i="6"/>
  <c r="L12" i="7"/>
  <c r="L27" i="7"/>
  <c r="L19" i="7"/>
  <c r="L41" i="7"/>
  <c r="L34" i="7"/>
  <c r="H10" i="14"/>
  <c r="F35" i="12"/>
  <c r="E35" i="12"/>
  <c r="J18" i="12"/>
  <c r="J23" i="12"/>
  <c r="J28" i="12"/>
  <c r="J12" i="12"/>
  <c r="L17" i="5"/>
  <c r="L14" i="5"/>
  <c r="AA20" i="5"/>
  <c r="J28" i="7" l="1"/>
  <c r="J15" i="6"/>
  <c r="J44" i="7"/>
  <c r="J20" i="8"/>
  <c r="AB15" i="6"/>
  <c r="X24" i="6"/>
  <c r="H27" i="8"/>
  <c r="H34" i="8"/>
  <c r="H7" i="12"/>
  <c r="I9" i="8"/>
  <c r="I24" i="6"/>
  <c r="K42" i="7"/>
  <c r="K13" i="7"/>
  <c r="K28" i="7" s="1"/>
  <c r="K36" i="7"/>
  <c r="L14" i="8"/>
  <c r="K45" i="7"/>
  <c r="K21" i="8" s="1"/>
  <c r="K13" i="6"/>
  <c r="K14" i="6"/>
  <c r="K12" i="6"/>
  <c r="L19" i="8"/>
  <c r="L26" i="8"/>
  <c r="I10" i="14"/>
  <c r="J7" i="14"/>
  <c r="H35" i="7"/>
  <c r="H22" i="8" s="1"/>
  <c r="I15" i="7"/>
  <c r="I14" i="7"/>
  <c r="I29" i="7" s="1"/>
  <c r="J7" i="8"/>
  <c r="J8" i="8" s="1"/>
  <c r="J33" i="8" s="1"/>
  <c r="J8" i="7"/>
  <c r="L36" i="7"/>
  <c r="L42" i="7"/>
  <c r="L13" i="7"/>
  <c r="L45" i="7"/>
  <c r="L21" i="8" s="1"/>
  <c r="L13" i="12"/>
  <c r="C53" i="12"/>
  <c r="C57" i="12" s="1"/>
  <c r="C58" i="12" s="1"/>
  <c r="C7" i="13" s="1"/>
  <c r="I5" i="1" s="1"/>
  <c r="L12" i="6"/>
  <c r="L13" i="6"/>
  <c r="L14" i="6"/>
  <c r="L10" i="6"/>
  <c r="L19" i="6"/>
  <c r="K28" i="12"/>
  <c r="K12" i="12"/>
  <c r="K18" i="12"/>
  <c r="K23" i="12"/>
  <c r="I20" i="5"/>
  <c r="J20" i="5"/>
  <c r="J24" i="6" l="1"/>
  <c r="J9" i="8"/>
  <c r="H28" i="8"/>
  <c r="H14" i="12"/>
  <c r="I10" i="8"/>
  <c r="I34" i="8" s="1"/>
  <c r="K15" i="6"/>
  <c r="K44" i="7"/>
  <c r="K20" i="8"/>
  <c r="L28" i="7"/>
  <c r="I30" i="7"/>
  <c r="J10" i="14"/>
  <c r="K7" i="14"/>
  <c r="J15" i="7"/>
  <c r="J30" i="7" s="1"/>
  <c r="J14" i="7"/>
  <c r="J29" i="7" s="1"/>
  <c r="K7" i="8"/>
  <c r="K8" i="8" s="1"/>
  <c r="K33" i="8" s="1"/>
  <c r="K8" i="7"/>
  <c r="L44" i="7"/>
  <c r="L20" i="8"/>
  <c r="L15" i="6"/>
  <c r="L12" i="12"/>
  <c r="L18" i="12"/>
  <c r="L23" i="12"/>
  <c r="L28" i="12"/>
  <c r="H7" i="11" l="1"/>
  <c r="H8" i="12"/>
  <c r="J10" i="8"/>
  <c r="J34" i="8" s="1"/>
  <c r="I7" i="12"/>
  <c r="I27" i="8"/>
  <c r="K9" i="8"/>
  <c r="K24" i="6"/>
  <c r="J35" i="7"/>
  <c r="J22" i="8" s="1"/>
  <c r="I35" i="7"/>
  <c r="I22" i="8" s="1"/>
  <c r="K10" i="14"/>
  <c r="L7" i="14"/>
  <c r="K15" i="7"/>
  <c r="K14" i="7"/>
  <c r="K29" i="7" s="1"/>
  <c r="L7" i="8"/>
  <c r="L8" i="8" s="1"/>
  <c r="L33" i="8" s="1"/>
  <c r="L8" i="7"/>
  <c r="L9" i="8"/>
  <c r="L24" i="6"/>
  <c r="K20" i="5"/>
  <c r="I28" i="8" l="1"/>
  <c r="H15" i="12"/>
  <c r="H10" i="11"/>
  <c r="H9" i="12" s="1"/>
  <c r="J27" i="8"/>
  <c r="J7" i="12"/>
  <c r="I14" i="12"/>
  <c r="K10" i="8"/>
  <c r="K34" i="8" s="1"/>
  <c r="K30" i="7"/>
  <c r="L10" i="14"/>
  <c r="C29" i="14" s="1"/>
  <c r="L8" i="14"/>
  <c r="L11" i="14" s="1"/>
  <c r="C30" i="14" s="1"/>
  <c r="L15" i="7"/>
  <c r="L30" i="7" s="1"/>
  <c r="L14" i="7"/>
  <c r="L29" i="7" s="1"/>
  <c r="L10" i="8"/>
  <c r="L34" i="8" s="1"/>
  <c r="L20" i="5"/>
  <c r="I8" i="12" l="1"/>
  <c r="I15" i="12" s="1"/>
  <c r="I7" i="11"/>
  <c r="I10" i="11" s="1"/>
  <c r="I9" i="12" s="1"/>
  <c r="J28" i="8"/>
  <c r="J14" i="12"/>
  <c r="L35" i="7"/>
  <c r="L22" i="8" s="1"/>
  <c r="K27" i="8"/>
  <c r="K7" i="12"/>
  <c r="K35" i="7"/>
  <c r="K22" i="8" s="1"/>
  <c r="C31" i="14"/>
  <c r="C34" i="14" s="1"/>
  <c r="C36" i="14" s="1"/>
  <c r="C16" i="14" s="1"/>
  <c r="L7" i="12"/>
  <c r="L27" i="8"/>
  <c r="AC66" i="3"/>
  <c r="J7" i="11" l="1"/>
  <c r="J10" i="11" s="1"/>
  <c r="J9" i="12" s="1"/>
  <c r="J8" i="12"/>
  <c r="K14" i="12"/>
  <c r="L28" i="8"/>
  <c r="K28" i="8"/>
  <c r="C40" i="12"/>
  <c r="C43" i="12" s="1"/>
  <c r="C44" i="12" s="1"/>
  <c r="L14" i="12"/>
  <c r="J15" i="12" l="1"/>
  <c r="L8" i="12"/>
  <c r="L7" i="11"/>
  <c r="K8" i="12"/>
  <c r="K7" i="11"/>
  <c r="K10" i="11" s="1"/>
  <c r="K9" i="12" s="1"/>
  <c r="C79" i="12" s="1"/>
  <c r="C82" i="12" s="1"/>
  <c r="C84" i="12" s="1"/>
  <c r="C9" i="13" s="1"/>
  <c r="I7" i="1" s="1"/>
  <c r="C45" i="12" l="1"/>
  <c r="C48" i="12" s="1"/>
  <c r="C50" i="12" s="1"/>
  <c r="C6" i="13" s="1"/>
  <c r="I4" i="1" s="1"/>
  <c r="C61" i="12"/>
  <c r="C64" i="12" s="1"/>
  <c r="C65" i="12" s="1"/>
  <c r="C66" i="12" s="1"/>
  <c r="C69" i="12" s="1"/>
  <c r="L10" i="11"/>
  <c r="L9" i="12" s="1"/>
  <c r="L8" i="11"/>
  <c r="L11" i="11" s="1"/>
  <c r="C20" i="11" s="1"/>
  <c r="L15" i="12"/>
  <c r="K15" i="12"/>
  <c r="C71" i="12" l="1"/>
  <c r="C8" i="13" s="1"/>
  <c r="I6" i="1" s="1"/>
  <c r="C19" i="11"/>
  <c r="C21" i="11" l="1"/>
  <c r="C24" i="11" s="1"/>
  <c r="C26" i="11" s="1"/>
  <c r="C5" i="13" s="1"/>
  <c r="C10" i="13" s="1"/>
  <c r="P43" i="3"/>
  <c r="P71" i="3" s="1"/>
  <c r="I3" i="1" l="1"/>
  <c r="M43" i="3"/>
  <c r="M71" i="3" s="1"/>
  <c r="N43" i="3"/>
  <c r="N71" i="3" s="1"/>
  <c r="O43" i="3"/>
  <c r="O71" i="3" s="1"/>
  <c r="I8" i="1" l="1"/>
  <c r="C12" i="13"/>
  <c r="I9" i="1" s="1"/>
  <c r="AA43" i="3"/>
  <c r="AA71" i="3" s="1"/>
  <c r="AC43" i="3" l="1"/>
  <c r="AC71" i="3" s="1"/>
  <c r="AC53" i="3" l="1"/>
  <c r="AC166" i="3" l="1"/>
  <c r="AC179" i="3"/>
  <c r="AC160" i="3" l="1"/>
  <c r="F54" i="16"/>
  <c r="I77"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tc={22B2B3EF-EBF6-0D4F-BF74-BA371A77FD6F}</author>
    <author>tc={8A10573A-B1E5-5443-A272-E27CCC9C056F}</author>
  </authors>
  <commentList>
    <comment ref="B84" authorId="0" shapeId="0" xr:uid="{22B2B3EF-EBF6-0D4F-BF74-BA371A77FD6F}">
      <text>
        <t>[Threaded comment]
Your version of Excel allows you to read this threaded comment; however, any edits to it will get removed if the file is opened in a newer version of Excel. Learn more: https://go.microsoft.com/fwlink/?linkid=870924
Comment:
    Actual number
Reply:
    Including subsidiaries</t>
      </text>
    </comment>
    <comment ref="B116" authorId="1" shapeId="0" xr:uid="{8A10573A-B1E5-5443-A272-E27CCC9C056F}">
      <text>
        <t>[Threaded comment]
Your version of Excel allows you to read this threaded comment; however, any edits to it will get removed if the file is opened in a newer version of Excel. Learn more: https://go.microsoft.com/fwlink/?linkid=870924
Comment:
    Take the closing price of the last day of the period. In case the price has seen heavy fluctuations make an average of the last days. Info found at Yahoo Finance in the Historical Data section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tc={87FCD2F5-1815-1140-9144-DCAA38F9CA74}</author>
  </authors>
  <commentList>
    <comment ref="B35" authorId="0" shapeId="0" xr:uid="{87FCD2F5-1815-1140-9144-DCAA38F9CA74}">
      <text>
        <t>[Threaded comment]
Your version of Excel allows you to read this threaded comment; however, any edits to it will get removed if the file is opened in a newer version of Excel. Learn more: https://go.microsoft.com/fwlink/?linkid=870924
Comment:
    We use here the inverted signg as are used in the CashFlow statement which means we will Add the change in NWC to the NOPAT instead of subtracting it</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2"/>
        </ext>
      </extLst>
    </bk>
    <bk>
      <extLst>
        <ext uri="{3e2802c4-a4d2-4d8b-9148-e3be6c30e623}">
          <xlrd:rvb i="5"/>
        </ext>
      </extLst>
    </bk>
  </futureMetadata>
  <cellMetadata count="1">
    <bk>
      <rc t="1" v="0"/>
    </bk>
  </cellMetadata>
  <valueMetadata count="2">
    <bk>
      <rc t="2" v="0"/>
    </bk>
    <bk>
      <rc t="2" v="1"/>
    </bk>
  </valueMetadata>
</metadata>
</file>

<file path=xl/sharedStrings.xml><?xml version="1.0" encoding="utf-8"?>
<sst xmlns="http://schemas.openxmlformats.org/spreadsheetml/2006/main" count="822" uniqueCount="427">
  <si>
    <t>Ticker</t>
  </si>
  <si>
    <t>Price</t>
  </si>
  <si>
    <t>Price Extended Hours</t>
  </si>
  <si>
    <t>Day change</t>
  </si>
  <si>
    <t>Day change extended</t>
  </si>
  <si>
    <t>Day change %</t>
  </si>
  <si>
    <t>Day change extended %</t>
  </si>
  <si>
    <t>52 week high</t>
  </si>
  <si>
    <t>52 week low</t>
  </si>
  <si>
    <t>Beta</t>
  </si>
  <si>
    <t>Avg volume</t>
  </si>
  <si>
    <t>Company</t>
  </si>
  <si>
    <t>Units</t>
  </si>
  <si>
    <t>Units conversion</t>
  </si>
  <si>
    <t>Financials -&gt;</t>
  </si>
  <si>
    <t>Date</t>
  </si>
  <si>
    <t>FY</t>
  </si>
  <si>
    <t>Automatic Data</t>
  </si>
  <si>
    <t>Income statement</t>
  </si>
  <si>
    <t>Revenue</t>
  </si>
  <si>
    <t>COGS</t>
  </si>
  <si>
    <t>Gross Profit</t>
  </si>
  <si>
    <t>R&amp;D</t>
  </si>
  <si>
    <t>OpEx</t>
  </si>
  <si>
    <t>Operating income</t>
  </si>
  <si>
    <t>Interest income/expense</t>
  </si>
  <si>
    <t>Other income/expense</t>
  </si>
  <si>
    <t>Income before taxes</t>
  </si>
  <si>
    <t>Income tax expense/benefit</t>
  </si>
  <si>
    <t>Net income</t>
  </si>
  <si>
    <t>Basic Shares outstanding avg</t>
  </si>
  <si>
    <t>Basic Shares outstanding avg adjusted</t>
  </si>
  <si>
    <t>Diluted Shares outstanding avg</t>
  </si>
  <si>
    <t>Diluted Shares outstanding avg adjusted</t>
  </si>
  <si>
    <t>Basic EPS</t>
  </si>
  <si>
    <t>Basic EPS adjusted</t>
  </si>
  <si>
    <t>Diluted EPS</t>
  </si>
  <si>
    <t>Diluted EPS adjusted</t>
  </si>
  <si>
    <t>Balance sheet</t>
  </si>
  <si>
    <t>Cash and cash equivalents</t>
  </si>
  <si>
    <t>Acc receivable</t>
  </si>
  <si>
    <t>Current assets</t>
  </si>
  <si>
    <t>PP&amp;E</t>
  </si>
  <si>
    <t>Goodwill</t>
  </si>
  <si>
    <t>Long term assets</t>
  </si>
  <si>
    <t>Total assets</t>
  </si>
  <si>
    <t>Acc payable</t>
  </si>
  <si>
    <t>Current liabilities</t>
  </si>
  <si>
    <t>Long term liabilities</t>
  </si>
  <si>
    <t>Total liabilities</t>
  </si>
  <si>
    <t>Paid in capital</t>
  </si>
  <si>
    <t>Treasury stock</t>
  </si>
  <si>
    <t>Stockholder equity</t>
  </si>
  <si>
    <t>Total liabilities and equity</t>
  </si>
  <si>
    <t>Cashflow statement</t>
  </si>
  <si>
    <t>D&amp;A</t>
  </si>
  <si>
    <t>Stock-based compensation</t>
  </si>
  <si>
    <t>Operating cashflow</t>
  </si>
  <si>
    <t>CapEx</t>
  </si>
  <si>
    <t>Investing cashflow</t>
  </si>
  <si>
    <t>Repurchase stock</t>
  </si>
  <si>
    <t>Financing cashflow</t>
  </si>
  <si>
    <t>Sanity checks</t>
  </si>
  <si>
    <t>Calculated Net Income</t>
  </si>
  <si>
    <t>Check Net Income</t>
  </si>
  <si>
    <t>Check balance</t>
  </si>
  <si>
    <t>Other data</t>
  </si>
  <si>
    <t>Shares outstanding</t>
  </si>
  <si>
    <t>Split adjusted shares outstanding</t>
  </si>
  <si>
    <t>Dividends per share</t>
  </si>
  <si>
    <t>Split adjusted dividends per share</t>
  </si>
  <si>
    <t>Tax rate</t>
  </si>
  <si>
    <t>Employees</t>
  </si>
  <si>
    <t>Stock split factor</t>
  </si>
  <si>
    <t>Growth rates Income Statement</t>
  </si>
  <si>
    <t>Margins</t>
  </si>
  <si>
    <t>Gross margin</t>
  </si>
  <si>
    <t>Operating margin</t>
  </si>
  <si>
    <t>Net margin</t>
  </si>
  <si>
    <t>Revenue and Costs breakdown</t>
  </si>
  <si>
    <t>Market data</t>
  </si>
  <si>
    <t>Last market price for period</t>
  </si>
  <si>
    <t>TTM/YTD</t>
  </si>
  <si>
    <t>Q4 2025</t>
  </si>
  <si>
    <t>Q3 2025</t>
  </si>
  <si>
    <t>Q2 2025</t>
  </si>
  <si>
    <t>Q1 2026</t>
  </si>
  <si>
    <t>Unit data and other info</t>
  </si>
  <si>
    <t>Has operating lease</t>
  </si>
  <si>
    <t>Has finance lease</t>
  </si>
  <si>
    <t>Has debt</t>
  </si>
  <si>
    <t>Change in accounts receivable</t>
  </si>
  <si>
    <t>Change in accounts payable</t>
  </si>
  <si>
    <t>Change in other operating NWC</t>
  </si>
  <si>
    <t>Capitalized software</t>
  </si>
  <si>
    <t>Profit Margin (Earnings/Revenue)</t>
  </si>
  <si>
    <t>Asset Turnover (Revenue/Total assets)</t>
  </si>
  <si>
    <t>ROA</t>
  </si>
  <si>
    <t>Equity Multiplier (Total assets/Equity)</t>
  </si>
  <si>
    <t>ROE</t>
  </si>
  <si>
    <t>ROIC</t>
  </si>
  <si>
    <t>DuPont Identity and performance</t>
  </si>
  <si>
    <t>Constants</t>
  </si>
  <si>
    <t>Default tax rate</t>
  </si>
  <si>
    <t>Adjustments</t>
  </si>
  <si>
    <t>Company metrics</t>
  </si>
  <si>
    <t>Forecast -&gt;</t>
  </si>
  <si>
    <t>Revenue forecast</t>
  </si>
  <si>
    <t>History</t>
  </si>
  <si>
    <t>Forecast</t>
  </si>
  <si>
    <t>TTM</t>
  </si>
  <si>
    <t>Revenues</t>
  </si>
  <si>
    <t>Revenues (thousand)</t>
  </si>
  <si>
    <t>FQ1</t>
  </si>
  <si>
    <t>FQ2</t>
  </si>
  <si>
    <t>FQ3</t>
  </si>
  <si>
    <t>Total</t>
  </si>
  <si>
    <t>Growth rates</t>
  </si>
  <si>
    <t>Revenue growth %</t>
  </si>
  <si>
    <t>COGS &amp; OpEx forecast</t>
  </si>
  <si>
    <t>COGS and OpEx</t>
  </si>
  <si>
    <t>COGS &amp; OpEx</t>
  </si>
  <si>
    <t>Expenses (thousand)</t>
  </si>
  <si>
    <t>Expenses % of Revenue</t>
  </si>
  <si>
    <t>% of revenue</t>
  </si>
  <si>
    <t>Expenses (tnousand)</t>
  </si>
  <si>
    <t>Working Capital, Capex, D&amp;A</t>
  </si>
  <si>
    <t>Working Capital</t>
  </si>
  <si>
    <t>$ (thousand)</t>
  </si>
  <si>
    <t>Accounts receivable</t>
  </si>
  <si>
    <t>Inventory</t>
  </si>
  <si>
    <t>Accounts payable</t>
  </si>
  <si>
    <t>WC metrics and drivers</t>
  </si>
  <si>
    <t>Days</t>
  </si>
  <si>
    <t>DSO</t>
  </si>
  <si>
    <t>DIO</t>
  </si>
  <si>
    <t>DPO</t>
  </si>
  <si>
    <t>Net trade cycle</t>
  </si>
  <si>
    <t>Change in SIP NWC</t>
  </si>
  <si>
    <t>Change in acc receivable</t>
  </si>
  <si>
    <t>Change in inventory</t>
  </si>
  <si>
    <t>Change in acc payable</t>
  </si>
  <si>
    <t>Total change in NWC and less SIP</t>
  </si>
  <si>
    <t>Total change in NWC</t>
  </si>
  <si>
    <t>Change in NWC less SIP</t>
  </si>
  <si>
    <t>Investments</t>
  </si>
  <si>
    <t>% of Revenue</t>
  </si>
  <si>
    <t>% of CapEx</t>
  </si>
  <si>
    <t>Results</t>
  </si>
  <si>
    <t>From Revenue Sheet</t>
  </si>
  <si>
    <t>From COGS and OpEx Sheet</t>
  </si>
  <si>
    <t>Gross profit</t>
  </si>
  <si>
    <t>EBIT</t>
  </si>
  <si>
    <t>Drivers</t>
  </si>
  <si>
    <t>Cash Flow Statement</t>
  </si>
  <si>
    <t>From WC &amp; Investments Sheet</t>
  </si>
  <si>
    <t>Change in NWC</t>
  </si>
  <si>
    <t>NOPAT</t>
  </si>
  <si>
    <t>From Statements and Overview sheet</t>
  </si>
  <si>
    <t>Valuation -&gt;</t>
  </si>
  <si>
    <t>WACC</t>
  </si>
  <si>
    <t>Inputs</t>
  </si>
  <si>
    <t>Shares Outstanding</t>
  </si>
  <si>
    <t>Equity</t>
  </si>
  <si>
    <t>Debt</t>
  </si>
  <si>
    <t>Risk free rate</t>
  </si>
  <si>
    <t>Market risk premium</t>
  </si>
  <si>
    <t>Cost of debt</t>
  </si>
  <si>
    <t>Calculations</t>
  </si>
  <si>
    <t>Debt/(Debt+Equity)</t>
  </si>
  <si>
    <t>Equity/(Debt+Equity)</t>
  </si>
  <si>
    <t>Cost of debt with tax</t>
  </si>
  <si>
    <t>Cost of equity</t>
  </si>
  <si>
    <t>Cash</t>
  </si>
  <si>
    <t>DCF</t>
  </si>
  <si>
    <t>PV of FCF</t>
  </si>
  <si>
    <t>Perpetual cashflow</t>
  </si>
  <si>
    <t>Period</t>
  </si>
  <si>
    <t>PV of Perpetual cashflow</t>
  </si>
  <si>
    <t>Input parameters</t>
  </si>
  <si>
    <t>Perpetual growth</t>
  </si>
  <si>
    <t>Result</t>
  </si>
  <si>
    <t>Total PV of Unlevered FCF</t>
  </si>
  <si>
    <t>Enterprise value</t>
  </si>
  <si>
    <t>(+) Cash</t>
  </si>
  <si>
    <t>(-) Debt</t>
  </si>
  <si>
    <t>Equity value</t>
  </si>
  <si>
    <t>Price per share</t>
  </si>
  <si>
    <t>Multiples valuations</t>
  </si>
  <si>
    <t>Revenues, earnings cash</t>
  </si>
  <si>
    <t>% Growth</t>
  </si>
  <si>
    <t>Shares</t>
  </si>
  <si>
    <t>Avg diluted shares</t>
  </si>
  <si>
    <t>Dilution rate</t>
  </si>
  <si>
    <t>Historical price</t>
  </si>
  <si>
    <t>Historical ratios</t>
  </si>
  <si>
    <t>PS</t>
  </si>
  <si>
    <t>Market Cap</t>
  </si>
  <si>
    <t>EV</t>
  </si>
  <si>
    <t>EV/EBIT</t>
  </si>
  <si>
    <t>EV/EBIT valuation</t>
  </si>
  <si>
    <t>Year 5 EBIT</t>
  </si>
  <si>
    <t>Applied EV/EBIT ratio</t>
  </si>
  <si>
    <t>Shares outstanding diluted</t>
  </si>
  <si>
    <t>PV of price per share</t>
  </si>
  <si>
    <t>PS valuation</t>
  </si>
  <si>
    <t>Year 5 sales</t>
  </si>
  <si>
    <t>Applied PS ratio</t>
  </si>
  <si>
    <t>AVG target price</t>
  </si>
  <si>
    <t>AVG  target price</t>
  </si>
  <si>
    <t>DCF price</t>
  </si>
  <si>
    <t>EV/EBIT price</t>
  </si>
  <si>
    <t>PS price</t>
  </si>
  <si>
    <t>AVG price</t>
  </si>
  <si>
    <t>Current price</t>
  </si>
  <si>
    <t>Upside/Downside</t>
  </si>
  <si>
    <t>Reverse DCF</t>
  </si>
  <si>
    <t>Growth adjustment</t>
  </si>
  <si>
    <t>Current Price</t>
  </si>
  <si>
    <t>Calculated Price</t>
  </si>
  <si>
    <t>Modify until Calculated Price is very close to Current Price</t>
  </si>
  <si>
    <t>Market cap</t>
  </si>
  <si>
    <t>Enterprise Value</t>
  </si>
  <si>
    <t>Company guidance next Quarter</t>
  </si>
  <si>
    <t>Revenue Lower</t>
  </si>
  <si>
    <t>Revenue Upper</t>
  </si>
  <si>
    <t>Actual Revenue</t>
  </si>
  <si>
    <t>Analysis -&gt;</t>
  </si>
  <si>
    <t>Overview</t>
  </si>
  <si>
    <t>Dilutive shares</t>
  </si>
  <si>
    <t>Split adjusted dilutive shares</t>
  </si>
  <si>
    <t>Split adjusted diluted shares</t>
  </si>
  <si>
    <t>PE</t>
  </si>
  <si>
    <t>PB</t>
  </si>
  <si>
    <t>Market capitalization</t>
  </si>
  <si>
    <t>CAGR</t>
  </si>
  <si>
    <t>5Y</t>
  </si>
  <si>
    <t>10Y</t>
  </si>
  <si>
    <t>EPS</t>
  </si>
  <si>
    <t>Dividend</t>
  </si>
  <si>
    <t>DuPont Identity</t>
  </si>
  <si>
    <t>Earnings quality</t>
  </si>
  <si>
    <t>Operating cash</t>
  </si>
  <si>
    <t>Metrics and ratios</t>
  </si>
  <si>
    <t>Performance indicators</t>
  </si>
  <si>
    <t>Cash conversion cycle</t>
  </si>
  <si>
    <t>Debt to Equity</t>
  </si>
  <si>
    <t>Quick ratio</t>
  </si>
  <si>
    <t>Current ratio</t>
  </si>
  <si>
    <t>Cash accruals</t>
  </si>
  <si>
    <t>Net debt to equity</t>
  </si>
  <si>
    <t>Liquidity ratios</t>
  </si>
  <si>
    <t>Debt/Equity</t>
  </si>
  <si>
    <t>Net Debt/Equity</t>
  </si>
  <si>
    <t>Interest coverage</t>
  </si>
  <si>
    <t>EV/Revenue</t>
  </si>
  <si>
    <t>FCFE</t>
  </si>
  <si>
    <t>FCFF</t>
  </si>
  <si>
    <t>P/FCF</t>
  </si>
  <si>
    <t>EV/FCF</t>
  </si>
  <si>
    <t>FCF Yield</t>
  </si>
  <si>
    <t>Earnings yield</t>
  </si>
  <si>
    <t>Dividend yield</t>
  </si>
  <si>
    <t>Earnings yields</t>
  </si>
  <si>
    <t>FCF yield</t>
  </si>
  <si>
    <t>Dividend payout ratio</t>
  </si>
  <si>
    <t>Payout ratios</t>
  </si>
  <si>
    <t>Buyback payout ratio</t>
  </si>
  <si>
    <t>Full payout ratio</t>
  </si>
  <si>
    <t>TTM/YTD data</t>
  </si>
  <si>
    <t>Shares held by insiders</t>
  </si>
  <si>
    <t>Split adjusted shares held by insiders</t>
  </si>
  <si>
    <t>Insider ownership</t>
  </si>
  <si>
    <t>Cash per share</t>
  </si>
  <si>
    <t>Ownership</t>
  </si>
  <si>
    <t>Stock based compensation % OCF</t>
  </si>
  <si>
    <t>Stock based compensation % Revenue</t>
  </si>
  <si>
    <t>Stock based compensation</t>
  </si>
  <si>
    <t>Total payout ratio</t>
  </si>
  <si>
    <t>Dividends</t>
  </si>
  <si>
    <t>Cash holdings</t>
  </si>
  <si>
    <t>Net cash per share</t>
  </si>
  <si>
    <t>At a glance</t>
  </si>
  <si>
    <t>Earnings Yield</t>
  </si>
  <si>
    <t>Dividend Yield</t>
  </si>
  <si>
    <t>Net Cash/Market Cap</t>
  </si>
  <si>
    <t>Net cash to market cap</t>
  </si>
  <si>
    <t>Buyback yield</t>
  </si>
  <si>
    <t>Buyback Yield</t>
  </si>
  <si>
    <t>Total shareholder yield</t>
  </si>
  <si>
    <t>Net Cash/Share</t>
  </si>
  <si>
    <t>Insider Ownership</t>
  </si>
  <si>
    <t>Net Trade Cycle</t>
  </si>
  <si>
    <t>Quick Ratio</t>
  </si>
  <si>
    <t>Capex</t>
  </si>
  <si>
    <t>CapEx to Revenue</t>
  </si>
  <si>
    <t>CapEx to OCF</t>
  </si>
  <si>
    <t>CapEx to D&amp;A</t>
  </si>
  <si>
    <t>CapEx usage</t>
  </si>
  <si>
    <t>Capex to Revenue</t>
  </si>
  <si>
    <t>Performance Indicators</t>
  </si>
  <si>
    <t>Stock Based Compensation</t>
  </si>
  <si>
    <t>CapEx Usage</t>
  </si>
  <si>
    <t>Operating Income</t>
  </si>
  <si>
    <t>Net Income</t>
  </si>
  <si>
    <t>Growth rates breakdown</t>
  </si>
  <si>
    <t>Growth rate breakdown</t>
  </si>
  <si>
    <t>Other growth rates</t>
  </si>
  <si>
    <t>Latest 2 quarters</t>
  </si>
  <si>
    <t>YoY</t>
  </si>
  <si>
    <t>Growth</t>
  </si>
  <si>
    <t>Operating profit</t>
  </si>
  <si>
    <t>Diluted shares outstanding</t>
  </si>
  <si>
    <t>Revenue breakdown</t>
  </si>
  <si>
    <t>Income statement growth</t>
  </si>
  <si>
    <t>PV of FCFF</t>
  </si>
  <si>
    <t>EV/FCFF</t>
  </si>
  <si>
    <t>EV/FCFF valuation</t>
  </si>
  <si>
    <t>EV/FCFF price</t>
  </si>
  <si>
    <t>FCFF Growth</t>
  </si>
  <si>
    <t>Valuation</t>
  </si>
  <si>
    <t>Non-controlling interest</t>
  </si>
  <si>
    <t>Net income with non-controlling</t>
  </si>
  <si>
    <t>Equity with non-controlling</t>
  </si>
  <si>
    <t>Dividends to minority interest</t>
  </si>
  <si>
    <t>M</t>
  </si>
  <si>
    <t>27.12.2025</t>
  </si>
  <si>
    <t>28.12.2024</t>
  </si>
  <si>
    <t>30.12.2023</t>
  </si>
  <si>
    <t>SG&amp;A</t>
  </si>
  <si>
    <t>31.12.2022</t>
  </si>
  <si>
    <t>25.12.2021</t>
  </si>
  <si>
    <t>28.03.2026</t>
  </si>
  <si>
    <t>Q1 2025</t>
  </si>
  <si>
    <t>29.03.2025</t>
  </si>
  <si>
    <t>Q4 2024</t>
  </si>
  <si>
    <t>27.09.2025</t>
  </si>
  <si>
    <t>Q3 2024</t>
  </si>
  <si>
    <t>28.09.2024</t>
  </si>
  <si>
    <t>28.06.2025</t>
  </si>
  <si>
    <t>Yes</t>
  </si>
  <si>
    <t>Preferred stock</t>
  </si>
  <si>
    <t>Accumulated income/loss</t>
  </si>
  <si>
    <t>Info</t>
  </si>
  <si>
    <t>Mission:</t>
  </si>
  <si>
    <t>Auditor:</t>
  </si>
  <si>
    <t>Notes</t>
  </si>
  <si>
    <t>Date:</t>
  </si>
  <si>
    <t>Client Computing Group (CCG)</t>
  </si>
  <si>
    <t>Datacenter and AI (DCAI)</t>
  </si>
  <si>
    <t>Total Intel products</t>
  </si>
  <si>
    <t>Intel Foundry</t>
  </si>
  <si>
    <t>Other</t>
  </si>
  <si>
    <t>Gross Margin Lower</t>
  </si>
  <si>
    <t>Gross Margin Upper</t>
  </si>
  <si>
    <t>Actual Gross Margin</t>
  </si>
  <si>
    <t>Intel is forecasting a tax rate of 4% for Q2</t>
  </si>
  <si>
    <t>Intel designs and manufactures advanced semiconductors that connect and power the modern world</t>
  </si>
  <si>
    <t>Semiconductor TAM close to $1T</t>
  </si>
  <si>
    <t>DCAI COGS and OpEx</t>
  </si>
  <si>
    <t>Total Intel products COGS and OpEx</t>
  </si>
  <si>
    <t>Intel Foundry COGS and OpEx</t>
  </si>
  <si>
    <t>Other COGS and OpEx</t>
  </si>
  <si>
    <t>No</t>
  </si>
  <si>
    <t>CCG growth rate</t>
  </si>
  <si>
    <t>DCAI growth rate</t>
  </si>
  <si>
    <t>Foundry growth rate</t>
  </si>
  <si>
    <t>Other growth rate</t>
  </si>
  <si>
    <t>Intel products + Foundry + Other</t>
  </si>
  <si>
    <t>Revenue intersegment eliminations</t>
  </si>
  <si>
    <t>External Foundry revenue</t>
  </si>
  <si>
    <t>%</t>
  </si>
  <si>
    <t>Ernst &amp; Young</t>
  </si>
  <si>
    <t>10 Year Bond Yield</t>
  </si>
  <si>
    <t>Percentage</t>
  </si>
  <si>
    <t>Last market price for period adjusted</t>
  </si>
  <si>
    <t>FCFF/Sales (FCFF Margin)</t>
  </si>
  <si>
    <t>FCFE/Sales (FCFE Margin)</t>
  </si>
  <si>
    <t>Manual WACC</t>
  </si>
  <si>
    <t>Discount rate</t>
  </si>
  <si>
    <t>-</t>
  </si>
  <si>
    <t>Common size growth rates</t>
  </si>
  <si>
    <t>Price 5y</t>
  </si>
  <si>
    <t>Revenue 5y</t>
  </si>
  <si>
    <t>EPS 5y</t>
  </si>
  <si>
    <t>Marketable securities and investments</t>
  </si>
  <si>
    <t>Debt/EBIT</t>
  </si>
  <si>
    <t>Net Debt/EBIT</t>
  </si>
  <si>
    <t>Sales/Invested Capital</t>
  </si>
  <si>
    <t>Sales/Assets</t>
  </si>
  <si>
    <t>Applied EV/FCFF ratio</t>
  </si>
  <si>
    <t>Manual Cost of Equity</t>
  </si>
  <si>
    <t>Dividend discount model</t>
  </si>
  <si>
    <t>Dividend per share</t>
  </si>
  <si>
    <t>Ratios</t>
  </si>
  <si>
    <t>Payout</t>
  </si>
  <si>
    <t>DDM valuation</t>
  </si>
  <si>
    <t>Latest dividend</t>
  </si>
  <si>
    <t>Year 1 growth rate</t>
  </si>
  <si>
    <t>Year 1 dividend</t>
  </si>
  <si>
    <t>Perpetual dividend growth</t>
  </si>
  <si>
    <t>DDM price</t>
  </si>
  <si>
    <t>Q2 2026</t>
  </si>
  <si>
    <t>27.06.2026</t>
  </si>
  <si>
    <t>Client Computing Group (CCPG)</t>
  </si>
  <si>
    <t>CCPG COGS and OpEx</t>
  </si>
  <si>
    <t>17.07.2026</t>
  </si>
  <si>
    <t>Q3 EPS is forecast to be 0.31</t>
  </si>
  <si>
    <t>CCPG + DCAI</t>
  </si>
  <si>
    <t>Terminal EV</t>
  </si>
  <si>
    <t>PV of Terminal EV</t>
  </si>
  <si>
    <t>Total EV</t>
  </si>
  <si>
    <t>Year 5 FCFF</t>
  </si>
  <si>
    <t>EV/Sales</t>
  </si>
  <si>
    <t>EV/Sales valuation</t>
  </si>
  <si>
    <t>Year 5 Sales</t>
  </si>
  <si>
    <t>Applied EV/Sales ratio</t>
  </si>
  <si>
    <t>EV/Sales price</t>
  </si>
  <si>
    <t>Reverse DCF rate</t>
  </si>
  <si>
    <t>Discount rates used</t>
  </si>
  <si>
    <t>Cost of Equity</t>
  </si>
  <si>
    <t>Links</t>
  </si>
  <si>
    <t>Financials -&gt;'!B13</t>
  </si>
  <si>
    <t>Analysis -&gt;'!B13</t>
  </si>
  <si>
    <t>Forecast -&gt;'!B13</t>
  </si>
  <si>
    <t>Valuation -&gt;'!B13</t>
  </si>
  <si>
    <t>Overview'!B3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</si>
</sst>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164" formatCode="_([$$-409]* #,##0.00_);_([$$-409]* \(#,##0.00\);_([$$-409]* &quot;-&quot;??_);_(@_)"/>
    <numFmt numFmtId="165" formatCode="0.00_);[Red]\(0.00\)"/>
    <numFmt numFmtId="166" formatCode="#,##0.0_);[Red]\(#,##0.0\)"/>
    <numFmt numFmtId="167" formatCode="0.00_);\(0.00\)"/>
    <numFmt numFmtId="168" formatCode="0.0%"/>
    <numFmt numFmtId="169" formatCode="#,##0.0_);\(#,##0.0\)"/>
    <numFmt numFmtId="170" formatCode="0.0"/>
  </numFmts>
  <fonts count="25" x14ac:knownFonts="1">
    <font>
      <sz val="12"/>
      <color theme="1"/>
      <name val="Aptos Narrow"/>
      <family val="2"/>
      <scheme val="minor"/>
    </font>
    <font>
      <sz val="12"/>
      <color theme="1"/>
      <name val="Aptos Narrow"/>
      <family val="2"/>
      <scheme val="minor"/>
    </font>
    <font>
      <sz val="12"/>
      <color rgb="FF000000"/>
      <name val="Aptos Narrow"/>
      <family val="2"/>
      <scheme val="minor"/>
    </font>
    <font>
      <b/>
      <sz val="40"/>
      <color rgb="FF002060"/>
      <name val="Arial"/>
      <family val="2"/>
      <charset val="204"/>
    </font>
    <font>
      <b/>
      <sz val="12"/>
      <color theme="0"/>
      <name val="Aptos Narrow"/>
      <scheme val="minor"/>
    </font>
    <font>
      <b/>
      <sz val="12"/>
      <color theme="0" tint="-4.9989318521683403E-2"/>
      <name val="Aptos Narrow"/>
      <scheme val="minor"/>
    </font>
    <font>
      <b/>
      <sz val="12"/>
      <color rgb="FFF2F2F2"/>
      <name val="Aptos Narrow"/>
      <scheme val="minor"/>
    </font>
    <font>
      <b/>
      <sz val="12"/>
      <color theme="1"/>
      <name val="Aptos Narrow"/>
      <scheme val="minor"/>
    </font>
    <font>
      <b/>
      <sz val="12"/>
      <color rgb="FF0070C0"/>
      <name val="Aptos Narrow"/>
      <scheme val="minor"/>
    </font>
    <font>
      <sz val="12"/>
      <color rgb="FF0070C0"/>
      <name val="Aptos Narrow"/>
      <scheme val="minor"/>
    </font>
    <font>
      <sz val="12"/>
      <color theme="1"/>
      <name val="Aptos Narrow"/>
      <scheme val="minor"/>
    </font>
    <font>
      <sz val="12"/>
      <color rgb="FF0070C0"/>
      <name val="Aptos Narrow"/>
      <family val="2"/>
      <scheme val="minor"/>
    </font>
    <font>
      <sz val="12"/>
      <color theme="9"/>
      <name val="Aptos Narrow"/>
      <scheme val="minor"/>
    </font>
    <font>
      <b/>
      <sz val="12"/>
      <color rgb="FF002060"/>
      <name val="Arial"/>
      <family val="2"/>
      <charset val="204"/>
    </font>
    <font>
      <sz val="9"/>
      <name val="Arial"/>
      <family val="2"/>
      <charset val="204"/>
    </font>
    <font>
      <b/>
      <sz val="12"/>
      <color rgb="FFFFFFFF"/>
      <name val="Aptos Narrow"/>
      <scheme val="minor"/>
    </font>
    <font>
      <sz val="12"/>
      <color theme="9"/>
      <name val="Aptos Narrow"/>
      <family val="2"/>
      <scheme val="minor"/>
    </font>
    <font>
      <b/>
      <sz val="12"/>
      <color theme="9"/>
      <name val="Aptos Narrow"/>
      <scheme val="minor"/>
    </font>
    <font>
      <i/>
      <sz val="12"/>
      <color theme="1"/>
      <name val="Aptos Narrow"/>
      <scheme val="minor"/>
    </font>
    <font>
      <sz val="12"/>
      <color rgb="FF4EA72E"/>
      <name val="Aptos Narrow"/>
      <family val="2"/>
      <scheme val="minor"/>
    </font>
    <font>
      <b/>
      <i/>
      <sz val="12"/>
      <color theme="1"/>
      <name val="Aptos Narrow"/>
      <scheme val="minor"/>
    </font>
    <font>
      <b/>
      <sz val="12"/>
      <color rgb="FF4EA72E"/>
      <name val="Aptos Narrow"/>
      <scheme val="minor"/>
    </font>
    <font>
      <b/>
      <sz val="12"/>
      <color rgb="FF000000"/>
      <name val="Aptos Narrow"/>
      <scheme val="minor"/>
    </font>
    <font>
      <i/>
      <sz val="12"/>
      <color rgb="FF000000"/>
      <name val="Aptos Narrow"/>
      <scheme val="minor"/>
    </font>
    <font>
      <u/>
      <sz val="12"/>
      <color theme="10"/>
      <name val="Aptos Narrow"/>
      <family val="2"/>
      <scheme val="minor"/>
    </font>
  </fonts>
  <fills count="19">
    <fill>
      <patternFill patternType="none"/>
    </fill>
    <fill>
      <patternFill patternType="gray125"/>
    </fill>
    <fill>
      <patternFill patternType="solid">
        <fgColor theme="0"/>
        <bgColor indexed="64"/>
      </patternFill>
    </fill>
    <fill>
      <patternFill patternType="solid">
        <fgColor rgb="FFFFFAD5"/>
        <bgColor indexed="64"/>
      </patternFill>
    </fill>
    <fill>
      <patternFill patternType="solid">
        <fgColor rgb="FF002060"/>
        <bgColor indexed="64"/>
      </patternFill>
    </fill>
    <fill>
      <patternFill patternType="solid">
        <fgColor rgb="FF002060"/>
        <bgColor rgb="FF000000"/>
      </patternFill>
    </fill>
    <fill>
      <patternFill patternType="solid">
        <fgColor theme="3" tint="0.49998474074526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rgb="FFFFFFFF"/>
        <bgColor rgb="FF000000"/>
      </patternFill>
    </fill>
    <fill>
      <patternFill patternType="solid">
        <fgColor theme="0" tint="-0.249977111117893"/>
        <bgColor indexed="64"/>
      </patternFill>
    </fill>
    <fill>
      <patternFill patternType="solid">
        <fgColor theme="0"/>
        <bgColor rgb="FF000000"/>
      </patternFill>
    </fill>
    <fill>
      <patternFill patternType="solid">
        <fgColor rgb="FFADADAD"/>
        <bgColor rgb="FF000000"/>
      </patternFill>
    </fill>
    <fill>
      <patternFill patternType="solid">
        <fgColor rgb="FFFFFAD5"/>
        <bgColor rgb="FF000000"/>
      </patternFill>
    </fill>
    <fill>
      <patternFill patternType="solid">
        <fgColor theme="3" tint="0.89999084444715716"/>
        <bgColor indexed="64"/>
      </patternFill>
    </fill>
    <fill>
      <patternFill patternType="solid">
        <fgColor theme="3" tint="0.749992370372631"/>
        <bgColor indexed="64"/>
      </patternFill>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0"/>
      </bottom>
      <diagonal/>
    </border>
    <border>
      <left/>
      <right/>
      <top/>
      <bottom style="thin">
        <color theme="2"/>
      </bottom>
      <diagonal/>
    </border>
    <border>
      <left style="thin">
        <color theme="0"/>
      </left>
      <right/>
      <top/>
      <bottom style="thin">
        <color theme="0"/>
      </bottom>
      <diagonal/>
    </border>
    <border>
      <left/>
      <right style="thick">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1" fillId="0" borderId="0" applyFont="0" applyFill="0" applyBorder="0" applyAlignment="0" applyProtection="0"/>
    <xf numFmtId="0" fontId="24" fillId="0" borderId="0" applyNumberFormat="0" applyFill="0" applyBorder="0" applyAlignment="0" applyProtection="0"/>
  </cellStyleXfs>
  <cellXfs count="254">
    <xf numFmtId="0" fontId="0" fillId="0" borderId="0" xfId="0"/>
    <xf numFmtId="0" fontId="0" fillId="2" borderId="0" xfId="0" applyFill="1"/>
    <xf numFmtId="164" fontId="0" fillId="2" borderId="0" xfId="0" applyNumberFormat="1" applyFill="1"/>
    <xf numFmtId="0" fontId="3" fillId="2" borderId="0" xfId="0" applyFont="1" applyFill="1" applyAlignment="1">
      <alignment vertical="top"/>
    </xf>
    <xf numFmtId="0" fontId="0" fillId="2" borderId="0" xfId="0" applyFill="1" applyAlignment="1">
      <alignment vertical="top"/>
    </xf>
    <xf numFmtId="0" fontId="0" fillId="2" borderId="4" xfId="0" applyFill="1" applyBorder="1"/>
    <xf numFmtId="39" fontId="0" fillId="2" borderId="4" xfId="0" applyNumberFormat="1" applyFill="1" applyBorder="1" applyAlignment="1">
      <alignment horizontal="left"/>
    </xf>
    <xf numFmtId="0" fontId="5" fillId="2" borderId="0" xfId="0" applyFont="1" applyFill="1" applyAlignment="1">
      <alignment horizontal="right"/>
    </xf>
    <xf numFmtId="0" fontId="4" fillId="4" borderId="0" xfId="0" applyFont="1" applyFill="1" applyAlignment="1">
      <alignment horizontal="left"/>
    </xf>
    <xf numFmtId="0" fontId="6" fillId="5" borderId="0" xfId="0" applyFont="1" applyFill="1" applyAlignment="1">
      <alignment horizontal="right"/>
    </xf>
    <xf numFmtId="0" fontId="5" fillId="4" borderId="0" xfId="0" applyFont="1" applyFill="1" applyAlignment="1">
      <alignment horizontal="right"/>
    </xf>
    <xf numFmtId="0" fontId="5" fillId="2" borderId="0" xfId="0" applyFont="1" applyFill="1"/>
    <xf numFmtId="0" fontId="4" fillId="4" borderId="0" xfId="0" applyFont="1" applyFill="1"/>
    <xf numFmtId="0" fontId="5" fillId="4" borderId="0" xfId="0" applyFont="1" applyFill="1"/>
    <xf numFmtId="0" fontId="4" fillId="6" borderId="7" xfId="0" applyFont="1" applyFill="1" applyBorder="1"/>
    <xf numFmtId="0" fontId="5" fillId="6" borderId="7" xfId="0" applyFont="1" applyFill="1" applyBorder="1"/>
    <xf numFmtId="0" fontId="7" fillId="2" borderId="0" xfId="0" applyFont="1" applyFill="1"/>
    <xf numFmtId="0" fontId="7" fillId="7" borderId="8" xfId="0" applyFont="1" applyFill="1" applyBorder="1"/>
    <xf numFmtId="38" fontId="8" fillId="8" borderId="8" xfId="0" applyNumberFormat="1" applyFont="1" applyFill="1" applyBorder="1"/>
    <xf numFmtId="0" fontId="7" fillId="8" borderId="8" xfId="0" applyFont="1" applyFill="1" applyBorder="1"/>
    <xf numFmtId="0" fontId="0" fillId="7" borderId="0" xfId="0" applyFill="1"/>
    <xf numFmtId="38" fontId="9" fillId="2" borderId="0" xfId="0" applyNumberFormat="1" applyFont="1" applyFill="1"/>
    <xf numFmtId="38" fontId="7" fillId="8" borderId="8" xfId="0" applyNumberFormat="1" applyFont="1" applyFill="1" applyBorder="1"/>
    <xf numFmtId="0" fontId="10" fillId="7" borderId="0" xfId="0" applyFont="1" applyFill="1"/>
    <xf numFmtId="38" fontId="0" fillId="2" borderId="0" xfId="0" applyNumberFormat="1" applyFill="1"/>
    <xf numFmtId="38" fontId="10" fillId="2" borderId="0" xfId="0" applyNumberFormat="1" applyFont="1" applyFill="1"/>
    <xf numFmtId="165" fontId="9" fillId="2" borderId="0" xfId="0" applyNumberFormat="1" applyFont="1" applyFill="1"/>
    <xf numFmtId="165" fontId="10" fillId="2" borderId="0" xfId="0" applyNumberFormat="1" applyFont="1" applyFill="1"/>
    <xf numFmtId="0" fontId="10" fillId="7" borderId="7" xfId="0" applyFont="1" applyFill="1" applyBorder="1"/>
    <xf numFmtId="165" fontId="10" fillId="2" borderId="7" xfId="0" applyNumberFormat="1" applyFont="1" applyFill="1" applyBorder="1"/>
    <xf numFmtId="0" fontId="0" fillId="2" borderId="7" xfId="0" applyFill="1" applyBorder="1"/>
    <xf numFmtId="0" fontId="10" fillId="2" borderId="7" xfId="0" applyFont="1" applyFill="1" applyBorder="1"/>
    <xf numFmtId="0" fontId="7" fillId="7" borderId="0" xfId="0" applyFont="1" applyFill="1"/>
    <xf numFmtId="38" fontId="8" fillId="8" borderId="0" xfId="0" applyNumberFormat="1" applyFont="1" applyFill="1"/>
    <xf numFmtId="0" fontId="7" fillId="8" borderId="0" xfId="0" applyFont="1" applyFill="1"/>
    <xf numFmtId="38" fontId="7" fillId="8" borderId="0" xfId="0" applyNumberFormat="1" applyFont="1" applyFill="1"/>
    <xf numFmtId="0" fontId="7" fillId="7" borderId="7" xfId="0" applyFont="1" applyFill="1" applyBorder="1"/>
    <xf numFmtId="38" fontId="8" fillId="8" borderId="7" xfId="0" applyNumberFormat="1" applyFont="1" applyFill="1" applyBorder="1"/>
    <xf numFmtId="0" fontId="7" fillId="8" borderId="7" xfId="0" applyFont="1" applyFill="1" applyBorder="1"/>
    <xf numFmtId="0" fontId="10" fillId="2" borderId="0" xfId="0" applyFont="1" applyFill="1"/>
    <xf numFmtId="41" fontId="7" fillId="9" borderId="8" xfId="0" applyNumberFormat="1" applyFont="1" applyFill="1" applyBorder="1"/>
    <xf numFmtId="0" fontId="7" fillId="2" borderId="8" xfId="0" applyFont="1" applyFill="1" applyBorder="1"/>
    <xf numFmtId="41" fontId="7" fillId="10" borderId="8" xfId="0" applyNumberFormat="1" applyFont="1" applyFill="1" applyBorder="1"/>
    <xf numFmtId="38" fontId="11" fillId="2" borderId="0" xfId="0" applyNumberFormat="1" applyFont="1" applyFill="1"/>
    <xf numFmtId="2" fontId="11" fillId="2" borderId="0" xfId="0" applyNumberFormat="1" applyFont="1" applyFill="1"/>
    <xf numFmtId="2" fontId="10" fillId="2" borderId="0" xfId="0" applyNumberFormat="1" applyFont="1" applyFill="1"/>
    <xf numFmtId="10" fontId="10" fillId="2" borderId="0" xfId="0" applyNumberFormat="1" applyFont="1" applyFill="1"/>
    <xf numFmtId="0" fontId="7" fillId="11" borderId="0" xfId="0" applyFont="1" applyFill="1"/>
    <xf numFmtId="9" fontId="7" fillId="2" borderId="8" xfId="1" applyFont="1" applyFill="1" applyBorder="1"/>
    <xf numFmtId="0" fontId="0" fillId="11" borderId="0" xfId="0" applyFill="1"/>
    <xf numFmtId="9" fontId="0" fillId="2" borderId="0" xfId="1" applyFont="1" applyFill="1"/>
    <xf numFmtId="0" fontId="7" fillId="7" borderId="9" xfId="0" applyFont="1" applyFill="1" applyBorder="1"/>
    <xf numFmtId="9" fontId="7" fillId="2" borderId="9" xfId="1" applyFont="1" applyFill="1" applyBorder="1"/>
    <xf numFmtId="0" fontId="7" fillId="2" borderId="9" xfId="0" applyFont="1" applyFill="1" applyBorder="1"/>
    <xf numFmtId="0" fontId="0" fillId="7" borderId="8" xfId="0" applyFill="1" applyBorder="1"/>
    <xf numFmtId="9" fontId="0" fillId="2" borderId="8" xfId="1" applyFont="1" applyFill="1" applyBorder="1"/>
    <xf numFmtId="0" fontId="0" fillId="2" borderId="8" xfId="0" applyFill="1" applyBorder="1"/>
    <xf numFmtId="166" fontId="10" fillId="2" borderId="0" xfId="0" applyNumberFormat="1" applyFont="1" applyFill="1"/>
    <xf numFmtId="0" fontId="5" fillId="4" borderId="0" xfId="0" applyFont="1" applyFill="1" applyAlignment="1">
      <alignment horizontal="center"/>
    </xf>
    <xf numFmtId="0" fontId="2" fillId="12" borderId="0" xfId="0" applyFont="1" applyFill="1"/>
    <xf numFmtId="37" fontId="8" fillId="8" borderId="8" xfId="0" applyNumberFormat="1" applyFont="1" applyFill="1" applyBorder="1"/>
    <xf numFmtId="37" fontId="9" fillId="2" borderId="0" xfId="0" applyNumberFormat="1" applyFont="1" applyFill="1"/>
    <xf numFmtId="167" fontId="9" fillId="2" borderId="0" xfId="0" applyNumberFormat="1" applyFont="1" applyFill="1"/>
    <xf numFmtId="37" fontId="0" fillId="2" borderId="0" xfId="0" applyNumberFormat="1" applyFill="1"/>
    <xf numFmtId="167" fontId="10" fillId="2" borderId="0" xfId="0" applyNumberFormat="1" applyFont="1" applyFill="1"/>
    <xf numFmtId="167" fontId="10" fillId="2" borderId="7" xfId="0" applyNumberFormat="1" applyFont="1" applyFill="1" applyBorder="1"/>
    <xf numFmtId="0" fontId="7" fillId="13" borderId="0" xfId="0" applyFont="1" applyFill="1"/>
    <xf numFmtId="0" fontId="0" fillId="13" borderId="0" xfId="0" applyFill="1"/>
    <xf numFmtId="0" fontId="0" fillId="3" borderId="10" xfId="0" applyFill="1" applyBorder="1"/>
    <xf numFmtId="3" fontId="0" fillId="3" borderId="10" xfId="0" applyNumberFormat="1" applyFill="1" applyBorder="1" applyAlignment="1">
      <alignment horizontal="left"/>
    </xf>
    <xf numFmtId="37" fontId="8" fillId="8" borderId="7" xfId="0" applyNumberFormat="1" applyFont="1" applyFill="1" applyBorder="1"/>
    <xf numFmtId="2" fontId="0" fillId="2" borderId="0" xfId="0" applyNumberFormat="1" applyFill="1"/>
    <xf numFmtId="168" fontId="0" fillId="2" borderId="4" xfId="1" applyNumberFormat="1" applyFont="1" applyFill="1" applyBorder="1" applyAlignment="1">
      <alignment horizontal="left"/>
    </xf>
    <xf numFmtId="168" fontId="10" fillId="2" borderId="0" xfId="1" applyNumberFormat="1" applyFont="1" applyFill="1"/>
    <xf numFmtId="2" fontId="10" fillId="2" borderId="0" xfId="1" applyNumberFormat="1" applyFont="1" applyFill="1"/>
    <xf numFmtId="168" fontId="7" fillId="2" borderId="0" xfId="1" applyNumberFormat="1" applyFont="1" applyFill="1"/>
    <xf numFmtId="168" fontId="0" fillId="13" borderId="0" xfId="1" applyNumberFormat="1" applyFont="1" applyFill="1"/>
    <xf numFmtId="2" fontId="0" fillId="13" borderId="0" xfId="1" applyNumberFormat="1" applyFont="1" applyFill="1"/>
    <xf numFmtId="168" fontId="7" fillId="13" borderId="0" xfId="1" applyNumberFormat="1" applyFont="1" applyFill="1"/>
    <xf numFmtId="2" fontId="10" fillId="13" borderId="0" xfId="1" applyNumberFormat="1" applyFont="1" applyFill="1"/>
    <xf numFmtId="10" fontId="10" fillId="2" borderId="0" xfId="1" applyNumberFormat="1" applyFont="1" applyFill="1"/>
    <xf numFmtId="0" fontId="13" fillId="2" borderId="0" xfId="0" applyFont="1" applyFill="1" applyAlignment="1">
      <alignment vertical="top"/>
    </xf>
    <xf numFmtId="0" fontId="14" fillId="2" borderId="0" xfId="0" applyFont="1" applyFill="1" applyAlignment="1">
      <alignment vertical="top"/>
    </xf>
    <xf numFmtId="0" fontId="14" fillId="2" borderId="4" xfId="0" applyFont="1" applyFill="1" applyBorder="1" applyAlignment="1">
      <alignment vertical="top"/>
    </xf>
    <xf numFmtId="0" fontId="4" fillId="4" borderId="11" xfId="0" applyFont="1" applyFill="1" applyBorder="1" applyAlignment="1">
      <alignment horizontal="center"/>
    </xf>
    <xf numFmtId="0" fontId="2" fillId="12" borderId="0" xfId="0" applyFont="1" applyFill="1" applyAlignment="1">
      <alignment vertical="top"/>
    </xf>
    <xf numFmtId="0" fontId="4" fillId="4" borderId="11" xfId="0" applyFont="1" applyFill="1" applyBorder="1" applyAlignment="1">
      <alignment horizontal="left"/>
    </xf>
    <xf numFmtId="37" fontId="16" fillId="2" borderId="0" xfId="0" applyNumberFormat="1" applyFont="1" applyFill="1"/>
    <xf numFmtId="37" fontId="16" fillId="2" borderId="14" xfId="0" applyNumberFormat="1" applyFont="1" applyFill="1" applyBorder="1"/>
    <xf numFmtId="0" fontId="0" fillId="2" borderId="0" xfId="0" applyFill="1" applyAlignment="1">
      <alignment horizontal="left"/>
    </xf>
    <xf numFmtId="0" fontId="0" fillId="2" borderId="0" xfId="0" applyFill="1" applyAlignment="1">
      <alignment horizontal="center"/>
    </xf>
    <xf numFmtId="37" fontId="17" fillId="2" borderId="0" xfId="0" applyNumberFormat="1" applyFont="1" applyFill="1"/>
    <xf numFmtId="37" fontId="17" fillId="2" borderId="14" xfId="0" applyNumberFormat="1" applyFont="1" applyFill="1" applyBorder="1"/>
    <xf numFmtId="37" fontId="7" fillId="2" borderId="0" xfId="0" applyNumberFormat="1" applyFont="1" applyFill="1"/>
    <xf numFmtId="168" fontId="18" fillId="2" borderId="0" xfId="1" applyNumberFormat="1" applyFont="1" applyFill="1"/>
    <xf numFmtId="168" fontId="18" fillId="2" borderId="14" xfId="1" applyNumberFormat="1" applyFont="1" applyFill="1" applyBorder="1"/>
    <xf numFmtId="168" fontId="18" fillId="3" borderId="0" xfId="1" applyNumberFormat="1" applyFont="1" applyFill="1"/>
    <xf numFmtId="38" fontId="19" fillId="12" borderId="0" xfId="0" applyNumberFormat="1" applyFont="1" applyFill="1"/>
    <xf numFmtId="38" fontId="19" fillId="12" borderId="14" xfId="0" applyNumberFormat="1" applyFont="1" applyFill="1" applyBorder="1"/>
    <xf numFmtId="38" fontId="16" fillId="2" borderId="0" xfId="0" applyNumberFormat="1" applyFont="1" applyFill="1"/>
    <xf numFmtId="38" fontId="16" fillId="2" borderId="14" xfId="0" applyNumberFormat="1" applyFont="1" applyFill="1" applyBorder="1"/>
    <xf numFmtId="170" fontId="0" fillId="3" borderId="0" xfId="0" applyNumberFormat="1" applyFill="1"/>
    <xf numFmtId="168" fontId="20" fillId="2" borderId="0" xfId="1" applyNumberFormat="1" applyFont="1" applyFill="1"/>
    <xf numFmtId="168" fontId="20" fillId="2" borderId="14" xfId="1" applyNumberFormat="1" applyFont="1" applyFill="1" applyBorder="1"/>
    <xf numFmtId="2" fontId="0" fillId="3" borderId="0" xfId="0" applyNumberFormat="1" applyFill="1"/>
    <xf numFmtId="38" fontId="21" fillId="12" borderId="0" xfId="0" applyNumberFormat="1" applyFont="1" applyFill="1"/>
    <xf numFmtId="38" fontId="21" fillId="12" borderId="14" xfId="0" applyNumberFormat="1" applyFont="1" applyFill="1" applyBorder="1"/>
    <xf numFmtId="38" fontId="7" fillId="2" borderId="0" xfId="0" applyNumberFormat="1" applyFont="1" applyFill="1"/>
    <xf numFmtId="0" fontId="4" fillId="2" borderId="0" xfId="0" applyFont="1" applyFill="1" applyAlignment="1">
      <alignment horizontal="center"/>
    </xf>
    <xf numFmtId="0" fontId="4" fillId="2" borderId="0" xfId="0" applyFont="1" applyFill="1" applyAlignment="1">
      <alignment horizontal="left"/>
    </xf>
    <xf numFmtId="0" fontId="4" fillId="2" borderId="0" xfId="0" applyFont="1" applyFill="1"/>
    <xf numFmtId="37" fontId="12" fillId="2" borderId="0" xfId="0" applyNumberFormat="1" applyFont="1" applyFill="1"/>
    <xf numFmtId="37" fontId="12" fillId="2" borderId="14" xfId="0" applyNumberFormat="1" applyFont="1" applyFill="1" applyBorder="1"/>
    <xf numFmtId="37" fontId="19" fillId="12" borderId="0" xfId="0" applyNumberFormat="1" applyFont="1" applyFill="1"/>
    <xf numFmtId="37" fontId="19" fillId="12" borderId="14" xfId="0" applyNumberFormat="1" applyFont="1" applyFill="1" applyBorder="1"/>
    <xf numFmtId="38" fontId="21" fillId="14" borderId="0" xfId="0" applyNumberFormat="1" applyFont="1" applyFill="1"/>
    <xf numFmtId="38" fontId="19" fillId="14" borderId="0" xfId="0" applyNumberFormat="1" applyFont="1" applyFill="1"/>
    <xf numFmtId="169" fontId="0" fillId="12" borderId="0" xfId="0" applyNumberFormat="1" applyFill="1"/>
    <xf numFmtId="169" fontId="0" fillId="12" borderId="14" xfId="0" applyNumberFormat="1" applyFill="1" applyBorder="1"/>
    <xf numFmtId="37" fontId="0" fillId="12" borderId="0" xfId="0" applyNumberFormat="1" applyFill="1"/>
    <xf numFmtId="37" fontId="0" fillId="12" borderId="14" xfId="0" applyNumberFormat="1" applyFill="1" applyBorder="1"/>
    <xf numFmtId="0" fontId="18" fillId="2" borderId="0" xfId="0" applyFont="1" applyFill="1"/>
    <xf numFmtId="168" fontId="18" fillId="12" borderId="0" xfId="1" applyNumberFormat="1" applyFont="1" applyFill="1"/>
    <xf numFmtId="168" fontId="18" fillId="12" borderId="14" xfId="1" applyNumberFormat="1" applyFont="1" applyFill="1" applyBorder="1"/>
    <xf numFmtId="169" fontId="0" fillId="14" borderId="0" xfId="0" applyNumberFormat="1" applyFill="1"/>
    <xf numFmtId="37" fontId="10" fillId="2" borderId="0" xfId="0" applyNumberFormat="1" applyFont="1" applyFill="1"/>
    <xf numFmtId="37" fontId="7" fillId="2" borderId="14" xfId="0" applyNumberFormat="1" applyFont="1" applyFill="1" applyBorder="1"/>
    <xf numFmtId="0" fontId="2" fillId="12" borderId="0" xfId="0" applyFont="1" applyFill="1" applyAlignment="1">
      <alignment horizontal="left"/>
    </xf>
    <xf numFmtId="10" fontId="16" fillId="2" borderId="0" xfId="0" applyNumberFormat="1" applyFont="1" applyFill="1"/>
    <xf numFmtId="10" fontId="16" fillId="2" borderId="14" xfId="0" applyNumberFormat="1" applyFont="1" applyFill="1" applyBorder="1"/>
    <xf numFmtId="37" fontId="10" fillId="2" borderId="14" xfId="0" applyNumberFormat="1" applyFont="1" applyFill="1" applyBorder="1"/>
    <xf numFmtId="0" fontId="4" fillId="4" borderId="0" xfId="0" applyFont="1" applyFill="1" applyAlignment="1">
      <alignment horizontal="center"/>
    </xf>
    <xf numFmtId="4" fontId="12" fillId="2" borderId="0" xfId="0" applyNumberFormat="1" applyFont="1" applyFill="1"/>
    <xf numFmtId="3" fontId="10" fillId="2" borderId="0" xfId="0" applyNumberFormat="1" applyFont="1" applyFill="1"/>
    <xf numFmtId="10" fontId="12" fillId="2" borderId="0" xfId="1" applyNumberFormat="1" applyFont="1" applyFill="1"/>
    <xf numFmtId="3" fontId="12" fillId="2" borderId="0" xfId="0" applyNumberFormat="1" applyFont="1" applyFill="1"/>
    <xf numFmtId="0" fontId="22" fillId="15" borderId="0" xfId="0" applyFont="1" applyFill="1"/>
    <xf numFmtId="37" fontId="10" fillId="11" borderId="14" xfId="0" applyNumberFormat="1" applyFont="1" applyFill="1" applyBorder="1"/>
    <xf numFmtId="0" fontId="0" fillId="3" borderId="0" xfId="0" applyFill="1"/>
    <xf numFmtId="10" fontId="10" fillId="3" borderId="0" xfId="1" applyNumberFormat="1" applyFont="1" applyFill="1"/>
    <xf numFmtId="3" fontId="0" fillId="2" borderId="0" xfId="0" applyNumberFormat="1" applyFill="1"/>
    <xf numFmtId="168" fontId="23" fillId="12" borderId="0" xfId="0" applyNumberFormat="1" applyFont="1" applyFill="1"/>
    <xf numFmtId="168" fontId="23" fillId="12" borderId="14" xfId="0" applyNumberFormat="1" applyFont="1" applyFill="1" applyBorder="1"/>
    <xf numFmtId="168" fontId="23" fillId="16" borderId="0" xfId="0" applyNumberFormat="1" applyFont="1" applyFill="1"/>
    <xf numFmtId="0" fontId="16" fillId="2" borderId="0" xfId="0" applyFont="1" applyFill="1"/>
    <xf numFmtId="0" fontId="16" fillId="2" borderId="14" xfId="0" applyFont="1" applyFill="1" applyBorder="1"/>
    <xf numFmtId="2" fontId="7" fillId="2" borderId="0" xfId="0" applyNumberFormat="1" applyFont="1" applyFill="1"/>
    <xf numFmtId="2" fontId="7" fillId="2" borderId="14" xfId="0" applyNumberFormat="1" applyFont="1" applyFill="1" applyBorder="1"/>
    <xf numFmtId="3" fontId="0" fillId="2" borderId="14" xfId="0" applyNumberFormat="1" applyFill="1" applyBorder="1"/>
    <xf numFmtId="3" fontId="16" fillId="2" borderId="0" xfId="0" applyNumberFormat="1" applyFont="1" applyFill="1"/>
    <xf numFmtId="3" fontId="16" fillId="2" borderId="14" xfId="0" applyNumberFormat="1" applyFont="1" applyFill="1" applyBorder="1"/>
    <xf numFmtId="168" fontId="0" fillId="2" borderId="0" xfId="1" applyNumberFormat="1" applyFont="1" applyFill="1"/>
    <xf numFmtId="0" fontId="0" fillId="9" borderId="19" xfId="0" applyFill="1" applyBorder="1"/>
    <xf numFmtId="167" fontId="0" fillId="9" borderId="20" xfId="0" applyNumberFormat="1" applyFill="1" applyBorder="1"/>
    <xf numFmtId="0" fontId="0" fillId="2" borderId="21" xfId="0" applyFill="1" applyBorder="1"/>
    <xf numFmtId="10" fontId="10" fillId="3" borderId="22" xfId="1" applyNumberFormat="1" applyFont="1" applyFill="1" applyBorder="1"/>
    <xf numFmtId="0" fontId="0" fillId="2" borderId="19" xfId="0" applyFill="1" applyBorder="1"/>
    <xf numFmtId="10" fontId="10" fillId="3" borderId="20" xfId="1" applyNumberFormat="1" applyFont="1" applyFill="1" applyBorder="1"/>
    <xf numFmtId="37" fontId="0" fillId="2" borderId="20" xfId="0" applyNumberFormat="1" applyFill="1" applyBorder="1"/>
    <xf numFmtId="37" fontId="10" fillId="2" borderId="22" xfId="0" applyNumberFormat="1" applyFont="1" applyFill="1" applyBorder="1"/>
    <xf numFmtId="0" fontId="7" fillId="2" borderId="19" xfId="0" applyFont="1" applyFill="1" applyBorder="1"/>
    <xf numFmtId="37" fontId="7" fillId="2" borderId="20" xfId="0" applyNumberFormat="1" applyFont="1" applyFill="1" applyBorder="1"/>
    <xf numFmtId="38" fontId="0" fillId="2" borderId="20" xfId="0" applyNumberFormat="1" applyFill="1" applyBorder="1"/>
    <xf numFmtId="0" fontId="0" fillId="9" borderId="23" xfId="0" applyFill="1" applyBorder="1"/>
    <xf numFmtId="167" fontId="0" fillId="9" borderId="24" xfId="0" applyNumberFormat="1" applyFill="1" applyBorder="1"/>
    <xf numFmtId="9" fontId="0" fillId="3" borderId="10" xfId="1" applyFont="1" applyFill="1" applyBorder="1" applyAlignment="1">
      <alignment horizontal="left"/>
    </xf>
    <xf numFmtId="0" fontId="0" fillId="6" borderId="7" xfId="0" applyFill="1" applyBorder="1"/>
    <xf numFmtId="2" fontId="10" fillId="17" borderId="0" xfId="0" applyNumberFormat="1" applyFont="1" applyFill="1"/>
    <xf numFmtId="3" fontId="0" fillId="17" borderId="0" xfId="0" applyNumberFormat="1" applyFill="1"/>
    <xf numFmtId="2" fontId="0" fillId="17" borderId="0" xfId="0" applyNumberFormat="1" applyFill="1"/>
    <xf numFmtId="168" fontId="10" fillId="17" borderId="0" xfId="1" applyNumberFormat="1" applyFont="1" applyFill="1"/>
    <xf numFmtId="168" fontId="7" fillId="17" borderId="0" xfId="1" applyNumberFormat="1" applyFont="1" applyFill="1"/>
    <xf numFmtId="37" fontId="0" fillId="17" borderId="0" xfId="0" applyNumberFormat="1" applyFill="1"/>
    <xf numFmtId="168" fontId="10" fillId="17" borderId="0" xfId="1" applyNumberFormat="1" applyFont="1" applyFill="1" applyAlignment="1">
      <alignment horizontal="right"/>
    </xf>
    <xf numFmtId="169" fontId="10" fillId="12" borderId="0" xfId="0" applyNumberFormat="1" applyFont="1" applyFill="1"/>
    <xf numFmtId="167" fontId="0" fillId="17" borderId="0" xfId="0" applyNumberFormat="1" applyFill="1"/>
    <xf numFmtId="2" fontId="0" fillId="2" borderId="0" xfId="0" applyNumberFormat="1" applyFill="1" applyAlignment="1">
      <alignment horizontal="right"/>
    </xf>
    <xf numFmtId="167" fontId="0" fillId="17" borderId="0" xfId="0" applyNumberFormat="1" applyFill="1" applyAlignment="1">
      <alignment horizontal="right"/>
    </xf>
    <xf numFmtId="170" fontId="0" fillId="2" borderId="0" xfId="0" applyNumberFormat="1" applyFill="1"/>
    <xf numFmtId="0" fontId="0" fillId="7" borderId="10" xfId="0" applyFill="1" applyBorder="1"/>
    <xf numFmtId="0" fontId="0" fillId="7" borderId="25" xfId="0" applyFill="1" applyBorder="1"/>
    <xf numFmtId="0" fontId="0" fillId="7" borderId="26" xfId="0" applyFill="1" applyBorder="1"/>
    <xf numFmtId="3" fontId="0" fillId="17" borderId="4" xfId="0" applyNumberFormat="1" applyFill="1" applyBorder="1"/>
    <xf numFmtId="3" fontId="0" fillId="17" borderId="6" xfId="0" applyNumberFormat="1" applyFill="1" applyBorder="1"/>
    <xf numFmtId="0" fontId="0" fillId="17" borderId="4" xfId="0" applyFill="1" applyBorder="1"/>
    <xf numFmtId="2" fontId="0" fillId="17" borderId="4" xfId="0" applyNumberFormat="1" applyFill="1" applyBorder="1"/>
    <xf numFmtId="2" fontId="0" fillId="17" borderId="6" xfId="0" applyNumberFormat="1" applyFill="1" applyBorder="1"/>
    <xf numFmtId="168" fontId="0" fillId="17" borderId="4" xfId="1" applyNumberFormat="1" applyFont="1" applyFill="1" applyBorder="1"/>
    <xf numFmtId="168" fontId="0" fillId="17" borderId="6" xfId="1" applyNumberFormat="1" applyFont="1" applyFill="1" applyBorder="1"/>
    <xf numFmtId="168" fontId="0" fillId="17" borderId="16" xfId="1" applyNumberFormat="1" applyFont="1" applyFill="1" applyBorder="1"/>
    <xf numFmtId="37" fontId="0" fillId="17" borderId="0" xfId="0" applyNumberFormat="1" applyFill="1" applyAlignment="1">
      <alignment horizontal="right"/>
    </xf>
    <xf numFmtId="168" fontId="0" fillId="17" borderId="0" xfId="1" applyNumberFormat="1" applyFont="1" applyFill="1"/>
    <xf numFmtId="0" fontId="2" fillId="15" borderId="0" xfId="0" applyFont="1" applyFill="1"/>
    <xf numFmtId="3" fontId="0" fillId="18" borderId="4" xfId="0" applyNumberFormat="1" applyFill="1" applyBorder="1"/>
    <xf numFmtId="3" fontId="0" fillId="18" borderId="25" xfId="0" applyNumberFormat="1" applyFill="1" applyBorder="1"/>
    <xf numFmtId="3" fontId="0" fillId="18" borderId="27" xfId="0" applyNumberFormat="1" applyFill="1" applyBorder="1"/>
    <xf numFmtId="2" fontId="0" fillId="18" borderId="27" xfId="0" applyNumberFormat="1" applyFill="1" applyBorder="1"/>
    <xf numFmtId="2" fontId="0" fillId="18" borderId="4" xfId="0" applyNumberFormat="1" applyFill="1" applyBorder="1"/>
    <xf numFmtId="0" fontId="5" fillId="4" borderId="4" xfId="0" applyFont="1" applyFill="1" applyBorder="1" applyAlignment="1">
      <alignment horizontal="right"/>
    </xf>
    <xf numFmtId="0" fontId="5" fillId="4" borderId="3" xfId="0" applyFont="1" applyFill="1" applyBorder="1" applyAlignment="1">
      <alignment horizontal="right"/>
    </xf>
    <xf numFmtId="0" fontId="0" fillId="7" borderId="6" xfId="0" applyFill="1" applyBorder="1"/>
    <xf numFmtId="0" fontId="18" fillId="7" borderId="16" xfId="0" applyFont="1" applyFill="1" applyBorder="1" applyAlignment="1">
      <alignment horizontal="left" indent="1"/>
    </xf>
    <xf numFmtId="0" fontId="0" fillId="7" borderId="16" xfId="0" applyFill="1" applyBorder="1"/>
    <xf numFmtId="39" fontId="0" fillId="17" borderId="4" xfId="0" applyNumberFormat="1" applyFill="1" applyBorder="1" applyAlignment="1">
      <alignment horizontal="left"/>
    </xf>
    <xf numFmtId="4" fontId="0" fillId="17" borderId="4" xfId="0" applyNumberFormat="1" applyFill="1" applyBorder="1" applyAlignment="1">
      <alignment horizontal="left"/>
    </xf>
    <xf numFmtId="3" fontId="0" fillId="17" borderId="6" xfId="0" applyNumberFormat="1" applyFill="1" applyBorder="1" applyAlignment="1">
      <alignment horizontal="left"/>
    </xf>
    <xf numFmtId="2" fontId="0" fillId="17" borderId="25" xfId="0" applyNumberFormat="1" applyFill="1" applyBorder="1"/>
    <xf numFmtId="2" fontId="0" fillId="17" borderId="10" xfId="0" applyNumberFormat="1" applyFill="1" applyBorder="1"/>
    <xf numFmtId="168" fontId="0" fillId="17" borderId="10" xfId="1" applyNumberFormat="1" applyFont="1" applyFill="1" applyBorder="1"/>
    <xf numFmtId="2" fontId="10" fillId="17" borderId="0" xfId="1" applyNumberFormat="1" applyFont="1" applyFill="1"/>
    <xf numFmtId="168" fontId="10" fillId="17" borderId="8" xfId="1" applyNumberFormat="1" applyFont="1" applyFill="1" applyBorder="1"/>
    <xf numFmtId="0" fontId="0" fillId="7" borderId="0" xfId="0" applyFill="1" applyAlignment="1">
      <alignment horizontal="left" indent="1"/>
    </xf>
    <xf numFmtId="168" fontId="9" fillId="2" borderId="0" xfId="1" applyNumberFormat="1" applyFont="1" applyFill="1"/>
    <xf numFmtId="10" fontId="0" fillId="3" borderId="10" xfId="1" applyNumberFormat="1" applyFont="1" applyFill="1" applyBorder="1" applyAlignment="1">
      <alignment horizontal="left"/>
    </xf>
    <xf numFmtId="10" fontId="0" fillId="2" borderId="0" xfId="0" applyNumberFormat="1" applyFill="1"/>
    <xf numFmtId="49" fontId="0" fillId="17" borderId="4" xfId="0" applyNumberFormat="1" applyFill="1" applyBorder="1" applyAlignment="1">
      <alignment shrinkToFit="1"/>
    </xf>
    <xf numFmtId="9" fontId="0" fillId="2" borderId="0" xfId="0" applyNumberFormat="1" applyFill="1"/>
    <xf numFmtId="10" fontId="0" fillId="2" borderId="0" xfId="1" applyNumberFormat="1" applyFont="1" applyFill="1"/>
    <xf numFmtId="39" fontId="0" fillId="17" borderId="4" xfId="0" applyNumberFormat="1" applyFill="1" applyBorder="1" applyAlignment="1">
      <alignment horizontal="right"/>
    </xf>
    <xf numFmtId="10" fontId="0" fillId="17" borderId="6" xfId="1" applyNumberFormat="1" applyFont="1" applyFill="1" applyBorder="1"/>
    <xf numFmtId="0" fontId="7" fillId="2" borderId="0" xfId="0" quotePrefix="1" applyFont="1" applyFill="1"/>
    <xf numFmtId="10" fontId="12" fillId="2" borderId="20" xfId="1" applyNumberFormat="1" applyFont="1" applyFill="1" applyBorder="1"/>
    <xf numFmtId="37" fontId="16" fillId="2" borderId="20" xfId="0" applyNumberFormat="1" applyFont="1" applyFill="1" applyBorder="1"/>
    <xf numFmtId="0" fontId="0" fillId="9" borderId="0" xfId="0" applyFill="1" applyAlignment="1">
      <alignment horizontal="right"/>
    </xf>
    <xf numFmtId="1" fontId="0" fillId="2" borderId="0" xfId="0" applyNumberFormat="1" applyFill="1"/>
    <xf numFmtId="39" fontId="17" fillId="2" borderId="0" xfId="0" applyNumberFormat="1" applyFont="1" applyFill="1"/>
    <xf numFmtId="39" fontId="17" fillId="2" borderId="14" xfId="0" applyNumberFormat="1" applyFont="1" applyFill="1" applyBorder="1"/>
    <xf numFmtId="39" fontId="0" fillId="2" borderId="0" xfId="0" applyNumberFormat="1" applyFill="1"/>
    <xf numFmtId="10" fontId="0" fillId="3" borderId="0" xfId="1" applyNumberFormat="1" applyFont="1" applyFill="1"/>
    <xf numFmtId="39" fontId="10" fillId="2" borderId="0" xfId="0" applyNumberFormat="1" applyFont="1" applyFill="1"/>
    <xf numFmtId="0" fontId="7" fillId="9" borderId="15" xfId="0" applyFont="1" applyFill="1" applyBorder="1"/>
    <xf numFmtId="167" fontId="7" fillId="9" borderId="16" xfId="0" applyNumberFormat="1" applyFont="1" applyFill="1" applyBorder="1"/>
    <xf numFmtId="168" fontId="0" fillId="17" borderId="25" xfId="1" applyNumberFormat="1" applyFont="1" applyFill="1" applyBorder="1"/>
    <xf numFmtId="168" fontId="0" fillId="17" borderId="26" xfId="1" applyNumberFormat="1" applyFont="1" applyFill="1" applyBorder="1"/>
    <xf numFmtId="0" fontId="24" fillId="8" borderId="25" xfId="2" quotePrefix="1" applyFill="1" applyBorder="1" applyAlignment="1">
      <alignment horizontal="center"/>
    </xf>
    <xf numFmtId="0" fontId="24" fillId="8" borderId="26" xfId="2" quotePrefix="1" applyFill="1" applyBorder="1" applyAlignment="1">
      <alignment horizontal="center"/>
    </xf>
    <xf numFmtId="0" fontId="4" fillId="4" borderId="1" xfId="0" applyFont="1" applyFill="1" applyBorder="1" applyAlignment="1">
      <alignment horizontal="center"/>
    </xf>
    <xf numFmtId="0" fontId="4" fillId="4" borderId="2" xfId="0" applyFont="1" applyFill="1" applyBorder="1" applyAlignment="1">
      <alignment horizontal="center"/>
    </xf>
    <xf numFmtId="0" fontId="4" fillId="4" borderId="10" xfId="0" applyFont="1" applyFill="1" applyBorder="1" applyAlignment="1">
      <alignment horizontal="center"/>
    </xf>
    <xf numFmtId="0" fontId="4" fillId="4" borderId="0" xfId="0" applyFont="1" applyFill="1" applyAlignment="1">
      <alignment horizontal="center"/>
    </xf>
    <xf numFmtId="0" fontId="5" fillId="4" borderId="0" xfId="0" applyFont="1" applyFill="1" applyAlignment="1">
      <alignment horizontal="center"/>
    </xf>
    <xf numFmtId="0" fontId="5" fillId="4" borderId="4" xfId="0" applyFont="1" applyFill="1" applyBorder="1" applyAlignment="1">
      <alignment horizontal="center"/>
    </xf>
    <xf numFmtId="0" fontId="5" fillId="4" borderId="3" xfId="0" applyFont="1" applyFill="1" applyBorder="1" applyAlignment="1">
      <alignment horizontal="center"/>
    </xf>
    <xf numFmtId="168" fontId="18" fillId="17" borderId="5" xfId="1" applyNumberFormat="1" applyFont="1" applyFill="1" applyBorder="1" applyAlignment="1">
      <alignment horizontal="center"/>
    </xf>
    <xf numFmtId="168" fontId="18" fillId="17" borderId="6" xfId="1" applyNumberFormat="1" applyFont="1" applyFill="1" applyBorder="1" applyAlignment="1">
      <alignment horizontal="center"/>
    </xf>
    <xf numFmtId="0" fontId="15" fillId="5" borderId="12" xfId="0" applyFont="1" applyFill="1" applyBorder="1" applyAlignment="1">
      <alignment horizontal="center"/>
    </xf>
    <xf numFmtId="0" fontId="4" fillId="4" borderId="13" xfId="0" applyFont="1" applyFill="1" applyBorder="1" applyAlignment="1">
      <alignment horizontal="center"/>
    </xf>
    <xf numFmtId="0" fontId="4" fillId="4" borderId="11" xfId="0" applyFont="1" applyFill="1" applyBorder="1" applyAlignment="1">
      <alignment horizontal="center"/>
    </xf>
    <xf numFmtId="0" fontId="4" fillId="4" borderId="4" xfId="0" applyFont="1" applyFill="1" applyBorder="1" applyAlignment="1">
      <alignment horizontal="center"/>
    </xf>
    <xf numFmtId="0" fontId="4" fillId="4" borderId="3" xfId="0" applyFont="1" applyFill="1" applyBorder="1" applyAlignment="1">
      <alignment horizontal="center"/>
    </xf>
    <xf numFmtId="0" fontId="4" fillId="2" borderId="0" xfId="0" applyFont="1" applyFill="1" applyAlignment="1">
      <alignment horizontal="center"/>
    </xf>
    <xf numFmtId="0" fontId="4" fillId="4" borderId="17" xfId="0" applyFont="1" applyFill="1" applyBorder="1" applyAlignment="1">
      <alignment horizontal="center"/>
    </xf>
    <xf numFmtId="0" fontId="4" fillId="4" borderId="18" xfId="0" applyFont="1" applyFill="1" applyBorder="1" applyAlignment="1">
      <alignment horizontal="center"/>
    </xf>
    <xf numFmtId="0" fontId="0" fillId="2" borderId="0" xfId="0" applyFill="1" applyAlignment="1">
      <alignment horizontal="left"/>
    </xf>
  </cellXfs>
  <cellStyles count="3">
    <cellStyle name="Hyperlink" xfId="2" builtinId="8"/>
    <cellStyle name="Normal" xfId="0" builtinId="0"/>
    <cellStyle name="Percent" xfId="1" builtinId="5"/>
  </cellStyles>
  <dxfs count="3">
    <dxf>
      <fill>
        <patternFill>
          <bgColor theme="9" tint="0.59996337778862885"/>
        </patternFill>
      </fill>
    </dxf>
    <dxf>
      <fill>
        <patternFill>
          <bgColor theme="0"/>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 Id="rId30" Type="http://schemas.microsoft.com/office/2017/06/relationships/richStyles" Target="richData/richStyles.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25.12.2021</c:v>
                </c:pt>
                <c:pt idx="1">
                  <c:v>31.12.2022</c:v>
                </c:pt>
                <c:pt idx="2">
                  <c:v>30.12.2023</c:v>
                </c:pt>
                <c:pt idx="3">
                  <c:v>28.12.2024</c:v>
                </c:pt>
                <c:pt idx="4">
                  <c:v>27.12.2025</c:v>
                </c:pt>
              </c:strCache>
            </c:strRef>
          </c:cat>
          <c:val>
            <c:numRef>
              <c:f>'Graphs Year'!$H$57:$L$57</c:f>
              <c:numCache>
                <c:formatCode>#,##0_);\(#,##0\)</c:formatCode>
                <c:ptCount val="5"/>
                <c:pt idx="0">
                  <c:v>79024</c:v>
                </c:pt>
                <c:pt idx="1">
                  <c:v>63054</c:v>
                </c:pt>
                <c:pt idx="2">
                  <c:v>54228</c:v>
                </c:pt>
                <c:pt idx="3">
                  <c:v>53101</c:v>
                </c:pt>
                <c:pt idx="4">
                  <c:v>52853</c:v>
                </c:pt>
              </c:numCache>
            </c:numRef>
          </c:val>
          <c:extLst>
            <c:ext xmlns:c16="http://schemas.microsoft.com/office/drawing/2014/chart" uri="{C3380CC4-5D6E-409C-BE32-E72D297353CC}">
              <c16:uniqueId val="{00000000-4ECD-FD46-A646-741BDFEFF586}"/>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25.12.2021</c:v>
                </c:pt>
                <c:pt idx="1">
                  <c:v>31.12.2022</c:v>
                </c:pt>
                <c:pt idx="2">
                  <c:v>30.12.2023</c:v>
                </c:pt>
                <c:pt idx="3">
                  <c:v>28.12.2024</c:v>
                </c:pt>
                <c:pt idx="4">
                  <c:v>27.12.2025</c:v>
                </c:pt>
              </c:strCache>
            </c:strRef>
          </c:cat>
          <c:val>
            <c:numRef>
              <c:f>'Graphs Year'!$H$58:$L$58</c:f>
              <c:numCache>
                <c:formatCode>#,##0_);\(#,##0\)</c:formatCode>
                <c:ptCount val="5"/>
                <c:pt idx="0">
                  <c:v>19456</c:v>
                </c:pt>
                <c:pt idx="1">
                  <c:v>2334</c:v>
                </c:pt>
                <c:pt idx="2">
                  <c:v>93</c:v>
                </c:pt>
                <c:pt idx="3">
                  <c:v>-11678</c:v>
                </c:pt>
                <c:pt idx="4">
                  <c:v>-2214</c:v>
                </c:pt>
              </c:numCache>
            </c:numRef>
          </c:val>
          <c:extLst>
            <c:ext xmlns:c16="http://schemas.microsoft.com/office/drawing/2014/chart" uri="{C3380CC4-5D6E-409C-BE32-E72D297353CC}">
              <c16:uniqueId val="{00000001-4ECD-FD46-A646-741BDFEFF586}"/>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25.12.2021</c:v>
                </c:pt>
                <c:pt idx="1">
                  <c:v>31.12.2022</c:v>
                </c:pt>
                <c:pt idx="2">
                  <c:v>30.12.2023</c:v>
                </c:pt>
                <c:pt idx="3">
                  <c:v>28.12.2024</c:v>
                </c:pt>
                <c:pt idx="4">
                  <c:v>27.12.2025</c:v>
                </c:pt>
              </c:strCache>
            </c:strRef>
          </c:cat>
          <c:val>
            <c:numRef>
              <c:f>'Graphs Year'!$H$59:$L$59</c:f>
              <c:numCache>
                <c:formatCode>#,##0_);\(#,##0\)</c:formatCode>
                <c:ptCount val="5"/>
                <c:pt idx="0">
                  <c:v>19868</c:v>
                </c:pt>
                <c:pt idx="1">
                  <c:v>8014</c:v>
                </c:pt>
                <c:pt idx="2">
                  <c:v>1689</c:v>
                </c:pt>
                <c:pt idx="3">
                  <c:v>-18756</c:v>
                </c:pt>
                <c:pt idx="4">
                  <c:v>-267</c:v>
                </c:pt>
              </c:numCache>
            </c:numRef>
          </c:val>
          <c:extLst>
            <c:ext xmlns:c16="http://schemas.microsoft.com/office/drawing/2014/chart" uri="{C3380CC4-5D6E-409C-BE32-E72D297353CC}">
              <c16:uniqueId val="{00000002-4ECD-FD46-A646-741BDFEFF586}"/>
            </c:ext>
          </c:extLst>
        </c:ser>
        <c:dLbls>
          <c:showLegendKey val="0"/>
          <c:showVal val="0"/>
          <c:showCatName val="0"/>
          <c:showSerName val="0"/>
          <c:showPercent val="0"/>
          <c:showBubbleSize val="0"/>
        </c:dLbls>
        <c:gapWidth val="75"/>
        <c:overlap val="-25"/>
        <c:axId val="53038591"/>
        <c:axId val="53037247"/>
      </c:barChart>
      <c:catAx>
        <c:axId val="53038591"/>
        <c:scaling>
          <c:orientation val="minMax"/>
        </c:scaling>
        <c:delete val="1"/>
        <c:axPos val="b"/>
        <c:numFmt formatCode="General" sourceLinked="1"/>
        <c:majorTickMark val="none"/>
        <c:minorTickMark val="none"/>
        <c:tickLblPos val="nextTo"/>
        <c:crossAx val="53037247"/>
        <c:crosses val="autoZero"/>
        <c:auto val="1"/>
        <c:lblAlgn val="ctr"/>
        <c:lblOffset val="100"/>
        <c:noMultiLvlLbl val="0"/>
      </c:catAx>
      <c:valAx>
        <c:axId val="53037247"/>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038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FCFE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Year'!$H$60:$L$60</c:f>
              <c:numCache>
                <c:formatCode>#,##0_);\(#,##0\)</c:formatCode>
                <c:ptCount val="5"/>
                <c:pt idx="0">
                  <c:v>8687</c:v>
                </c:pt>
                <c:pt idx="1">
                  <c:v>-12539</c:v>
                </c:pt>
                <c:pt idx="2">
                  <c:v>-17508</c:v>
                </c:pt>
                <c:pt idx="3">
                  <c:v>-19066</c:v>
                </c:pt>
                <c:pt idx="4">
                  <c:v>-7383</c:v>
                </c:pt>
              </c:numCache>
            </c:numRef>
          </c:val>
          <c:extLst>
            <c:ext xmlns:c16="http://schemas.microsoft.com/office/drawing/2014/chart" uri="{C3380CC4-5D6E-409C-BE32-E72D297353CC}">
              <c16:uniqueId val="{00000000-4FCB-DA41-8415-0FF7F254427D}"/>
            </c:ext>
          </c:extLst>
        </c:ser>
        <c:ser>
          <c:idx val="1"/>
          <c:order val="1"/>
          <c:tx>
            <c:v>FCFF</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Year'!$H$61:$L$61</c:f>
              <c:numCache>
                <c:formatCode>#,##0_);\(#,##0\)</c:formatCode>
                <c:ptCount val="5"/>
                <c:pt idx="0">
                  <c:v>5461.985025111735</c:v>
                </c:pt>
                <c:pt idx="1">
                  <c:v>-13983</c:v>
                </c:pt>
                <c:pt idx="2">
                  <c:v>-16624</c:v>
                </c:pt>
                <c:pt idx="3">
                  <c:v>-23140</c:v>
                </c:pt>
                <c:pt idx="4">
                  <c:v>-6901</c:v>
                </c:pt>
              </c:numCache>
            </c:numRef>
          </c:val>
          <c:extLst>
            <c:ext xmlns:c16="http://schemas.microsoft.com/office/drawing/2014/chart" uri="{C3380CC4-5D6E-409C-BE32-E72D297353CC}">
              <c16:uniqueId val="{00000001-4FCB-DA41-8415-0FF7F254427D}"/>
            </c:ext>
          </c:extLst>
        </c:ser>
        <c:dLbls>
          <c:showLegendKey val="0"/>
          <c:showVal val="0"/>
          <c:showCatName val="0"/>
          <c:showSerName val="0"/>
          <c:showPercent val="0"/>
          <c:showBubbleSize val="0"/>
        </c:dLbls>
        <c:gapWidth val="100"/>
        <c:overlap val="-24"/>
        <c:axId val="2187135"/>
        <c:axId val="58967807"/>
      </c:barChart>
      <c:catAx>
        <c:axId val="2187135"/>
        <c:scaling>
          <c:orientation val="minMax"/>
        </c:scaling>
        <c:delete val="1"/>
        <c:axPos val="b"/>
        <c:majorTickMark val="none"/>
        <c:minorTickMark val="none"/>
        <c:tickLblPos val="nextTo"/>
        <c:crossAx val="58967807"/>
        <c:crosses val="autoZero"/>
        <c:auto val="1"/>
        <c:lblAlgn val="ctr"/>
        <c:lblOffset val="100"/>
        <c:noMultiLvlLbl val="0"/>
      </c:catAx>
      <c:valAx>
        <c:axId val="58967807"/>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87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261592300962376E-2"/>
          <c:y val="2.5428331875182269E-2"/>
          <c:w val="0.87129396325459318"/>
          <c:h val="0.79224482356372117"/>
        </c:manualLayout>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Year'!$H$62:$L$62</c:f>
              <c:numCache>
                <c:formatCode>0%</c:formatCode>
                <c:ptCount val="5"/>
                <c:pt idx="0">
                  <c:v>0.5544518121077141</c:v>
                </c:pt>
                <c:pt idx="1">
                  <c:v>0.42607923367272499</c:v>
                </c:pt>
                <c:pt idx="2">
                  <c:v>0.40036512502766097</c:v>
                </c:pt>
                <c:pt idx="3">
                  <c:v>0.32664168283083184</c:v>
                </c:pt>
                <c:pt idx="4">
                  <c:v>0.34766238434904356</c:v>
                </c:pt>
              </c:numCache>
            </c:numRef>
          </c:val>
          <c:extLst>
            <c:ext xmlns:c16="http://schemas.microsoft.com/office/drawing/2014/chart" uri="{C3380CC4-5D6E-409C-BE32-E72D297353CC}">
              <c16:uniqueId val="{00000000-3193-684C-9941-A19C826E0F45}"/>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Year'!$H$63:$L$63</c:f>
              <c:numCache>
                <c:formatCode>0%</c:formatCode>
                <c:ptCount val="5"/>
                <c:pt idx="0">
                  <c:v>0.24620368495646891</c:v>
                </c:pt>
                <c:pt idx="1">
                  <c:v>3.7015891140926828E-2</c:v>
                </c:pt>
                <c:pt idx="2">
                  <c:v>1.714981190528878E-3</c:v>
                </c:pt>
                <c:pt idx="3">
                  <c:v>-0.21992052880360069</c:v>
                </c:pt>
                <c:pt idx="4">
                  <c:v>-4.1889769738709247E-2</c:v>
                </c:pt>
              </c:numCache>
            </c:numRef>
          </c:val>
          <c:extLst>
            <c:ext xmlns:c16="http://schemas.microsoft.com/office/drawing/2014/chart" uri="{C3380CC4-5D6E-409C-BE32-E72D297353CC}">
              <c16:uniqueId val="{00000001-3193-684C-9941-A19C826E0F45}"/>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Year'!$H$64:$L$64</c:f>
              <c:numCache>
                <c:formatCode>0%</c:formatCode>
                <c:ptCount val="5"/>
                <c:pt idx="0">
                  <c:v>0.25141729094958493</c:v>
                </c:pt>
                <c:pt idx="1">
                  <c:v>0.12714498683667966</c:v>
                </c:pt>
                <c:pt idx="2">
                  <c:v>3.088810208748248E-2</c:v>
                </c:pt>
                <c:pt idx="3">
                  <c:v>-0.3621965688028474</c:v>
                </c:pt>
                <c:pt idx="4">
                  <c:v>4.9193044860272833E-4</c:v>
                </c:pt>
              </c:numCache>
            </c:numRef>
          </c:val>
          <c:extLst>
            <c:ext xmlns:c16="http://schemas.microsoft.com/office/drawing/2014/chart" uri="{C3380CC4-5D6E-409C-BE32-E72D297353CC}">
              <c16:uniqueId val="{00000002-3193-684C-9941-A19C826E0F45}"/>
            </c:ext>
          </c:extLst>
        </c:ser>
        <c:dLbls>
          <c:showLegendKey val="0"/>
          <c:showVal val="0"/>
          <c:showCatName val="0"/>
          <c:showSerName val="0"/>
          <c:showPercent val="0"/>
          <c:showBubbleSize val="0"/>
        </c:dLbls>
        <c:gapWidth val="100"/>
        <c:overlap val="-24"/>
        <c:axId val="91790783"/>
        <c:axId val="91797055"/>
      </c:barChart>
      <c:catAx>
        <c:axId val="91790783"/>
        <c:scaling>
          <c:orientation val="minMax"/>
        </c:scaling>
        <c:delete val="1"/>
        <c:axPos val="b"/>
        <c:majorTickMark val="none"/>
        <c:minorTickMark val="none"/>
        <c:tickLblPos val="nextTo"/>
        <c:crossAx val="91797055"/>
        <c:crosses val="autoZero"/>
        <c:auto val="1"/>
        <c:lblAlgn val="ctr"/>
        <c:lblOffset val="100"/>
        <c:noMultiLvlLbl val="0"/>
      </c:catAx>
      <c:valAx>
        <c:axId val="9179705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790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Products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Year'!$H$65:$L$65</c:f>
              <c:numCache>
                <c:formatCode>#,##0_);\(#,##0\)</c:formatCode>
                <c:ptCount val="5"/>
                <c:pt idx="0">
                  <c:v>71520</c:v>
                </c:pt>
                <c:pt idx="1">
                  <c:v>59627</c:v>
                </c:pt>
                <c:pt idx="2">
                  <c:v>50553</c:v>
                </c:pt>
                <c:pt idx="3">
                  <c:v>49471</c:v>
                </c:pt>
                <c:pt idx="4">
                  <c:v>49147</c:v>
                </c:pt>
              </c:numCache>
            </c:numRef>
          </c:val>
          <c:extLst>
            <c:ext xmlns:c16="http://schemas.microsoft.com/office/drawing/2014/chart" uri="{C3380CC4-5D6E-409C-BE32-E72D297353CC}">
              <c16:uniqueId val="{00000000-ECE9-8A41-9F22-D16D64D49A7E}"/>
            </c:ext>
          </c:extLst>
        </c:ser>
        <c:ser>
          <c:idx val="1"/>
          <c:order val="1"/>
          <c:tx>
            <c:v>Foundry</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Year'!$H$66:$L$66</c:f>
              <c:numCache>
                <c:formatCode>#,##0_);\(#,##0\)</c:formatCode>
                <c:ptCount val="5"/>
                <c:pt idx="0">
                  <c:v>347</c:v>
                </c:pt>
                <c:pt idx="1">
                  <c:v>469</c:v>
                </c:pt>
                <c:pt idx="2">
                  <c:v>952</c:v>
                </c:pt>
                <c:pt idx="3">
                  <c:v>17317</c:v>
                </c:pt>
                <c:pt idx="4">
                  <c:v>17826</c:v>
                </c:pt>
              </c:numCache>
            </c:numRef>
          </c:val>
          <c:extLst>
            <c:ext xmlns:c16="http://schemas.microsoft.com/office/drawing/2014/chart" uri="{C3380CC4-5D6E-409C-BE32-E72D297353CC}">
              <c16:uniqueId val="{00000001-ECE9-8A41-9F22-D16D64D49A7E}"/>
            </c:ext>
          </c:extLst>
        </c:ser>
        <c:ser>
          <c:idx val="2"/>
          <c:order val="2"/>
          <c:tx>
            <c:v>Other</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Year'!$H$67:$L$67</c:f>
              <c:numCache>
                <c:formatCode>#,##0_);\(#,##0\)</c:formatCode>
                <c:ptCount val="5"/>
                <c:pt idx="0">
                  <c:v>7157</c:v>
                </c:pt>
                <c:pt idx="1">
                  <c:v>2958</c:v>
                </c:pt>
                <c:pt idx="2">
                  <c:v>2723</c:v>
                </c:pt>
                <c:pt idx="3">
                  <c:v>3601</c:v>
                </c:pt>
                <c:pt idx="4">
                  <c:v>3563</c:v>
                </c:pt>
              </c:numCache>
            </c:numRef>
          </c:val>
          <c:extLst>
            <c:ext xmlns:c16="http://schemas.microsoft.com/office/drawing/2014/chart" uri="{C3380CC4-5D6E-409C-BE32-E72D297353CC}">
              <c16:uniqueId val="{00000002-ECE9-8A41-9F22-D16D64D49A7E}"/>
            </c:ext>
          </c:extLst>
        </c:ser>
        <c:dLbls>
          <c:showLegendKey val="0"/>
          <c:showVal val="0"/>
          <c:showCatName val="0"/>
          <c:showSerName val="0"/>
          <c:showPercent val="0"/>
          <c:showBubbleSize val="0"/>
        </c:dLbls>
        <c:gapWidth val="150"/>
        <c:overlap val="100"/>
        <c:axId val="57928639"/>
        <c:axId val="57930431"/>
      </c:barChart>
      <c:catAx>
        <c:axId val="57928639"/>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930431"/>
        <c:crosses val="autoZero"/>
        <c:auto val="1"/>
        <c:lblAlgn val="ctr"/>
        <c:lblOffset val="100"/>
        <c:noMultiLvlLbl val="0"/>
      </c:catAx>
      <c:valAx>
        <c:axId val="5793043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92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ROA</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Year'!$H$68:$L$68</c:f>
              <c:numCache>
                <c:formatCode>0.00%</c:formatCode>
                <c:ptCount val="5"/>
                <c:pt idx="0">
                  <c:v>0.11797679417597948</c:v>
                </c:pt>
                <c:pt idx="1">
                  <c:v>4.4024535565037361E-2</c:v>
                </c:pt>
                <c:pt idx="2">
                  <c:v>8.7434489382581995E-3</c:v>
                </c:pt>
                <c:pt idx="3">
                  <c:v>-9.7885334758378503E-2</c:v>
                </c:pt>
                <c:pt idx="4">
                  <c:v>1.2297272370393844E-4</c:v>
                </c:pt>
              </c:numCache>
            </c:numRef>
          </c:val>
          <c:extLst>
            <c:ext xmlns:c16="http://schemas.microsoft.com/office/drawing/2014/chart" uri="{C3380CC4-5D6E-409C-BE32-E72D297353CC}">
              <c16:uniqueId val="{00000000-9604-9142-ACFC-71175BE60BAD}"/>
            </c:ext>
          </c:extLst>
        </c:ser>
        <c:ser>
          <c:idx val="1"/>
          <c:order val="1"/>
          <c:tx>
            <c:v>ROE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Year'!$H$69:$L$69</c:f>
              <c:numCache>
                <c:formatCode>0.00%</c:formatCode>
                <c:ptCount val="5"/>
                <c:pt idx="0">
                  <c:v>0.20827960709081569</c:v>
                </c:pt>
                <c:pt idx="1">
                  <c:v>7.904518698914445E-2</c:v>
                </c:pt>
                <c:pt idx="2">
                  <c:v>1.5863244625438012E-2</c:v>
                </c:pt>
                <c:pt idx="3">
                  <c:v>-0.19374433363553945</c:v>
                </c:pt>
                <c:pt idx="4">
                  <c:v>2.2750938476212145E-4</c:v>
                </c:pt>
              </c:numCache>
            </c:numRef>
          </c:val>
          <c:extLst>
            <c:ext xmlns:c16="http://schemas.microsoft.com/office/drawing/2014/chart" uri="{C3380CC4-5D6E-409C-BE32-E72D297353CC}">
              <c16:uniqueId val="{00000001-9604-9142-ACFC-71175BE60BAD}"/>
            </c:ext>
          </c:extLst>
        </c:ser>
        <c:ser>
          <c:idx val="2"/>
          <c:order val="2"/>
          <c:tx>
            <c:v>ROIC</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Year'!$H$70:$L$70</c:f>
              <c:numCache>
                <c:formatCode>0.00%</c:formatCode>
                <c:ptCount val="5"/>
                <c:pt idx="0">
                  <c:v>0.18030780236190902</c:v>
                </c:pt>
                <c:pt idx="1">
                  <c:v>2.1010559291366228E-2</c:v>
                </c:pt>
                <c:pt idx="2">
                  <c:v>7.2447962108936807E-4</c:v>
                </c:pt>
                <c:pt idx="3">
                  <c:v>-9.1521810686687882E-2</c:v>
                </c:pt>
                <c:pt idx="4">
                  <c:v>-1.7430737617799192E-2</c:v>
                </c:pt>
              </c:numCache>
            </c:numRef>
          </c:val>
          <c:extLst>
            <c:ext xmlns:c16="http://schemas.microsoft.com/office/drawing/2014/chart" uri="{C3380CC4-5D6E-409C-BE32-E72D297353CC}">
              <c16:uniqueId val="{00000002-9604-9142-ACFC-71175BE60BAD}"/>
            </c:ext>
          </c:extLst>
        </c:ser>
        <c:dLbls>
          <c:showLegendKey val="0"/>
          <c:showVal val="0"/>
          <c:showCatName val="0"/>
          <c:showSerName val="0"/>
          <c:showPercent val="0"/>
          <c:showBubbleSize val="0"/>
        </c:dLbls>
        <c:gapWidth val="100"/>
        <c:overlap val="-24"/>
        <c:axId val="92276031"/>
        <c:axId val="92282303"/>
      </c:barChart>
      <c:catAx>
        <c:axId val="92276031"/>
        <c:scaling>
          <c:orientation val="minMax"/>
        </c:scaling>
        <c:delete val="1"/>
        <c:axPos val="b"/>
        <c:majorTickMark val="none"/>
        <c:minorTickMark val="none"/>
        <c:tickLblPos val="nextTo"/>
        <c:crossAx val="92282303"/>
        <c:crosses val="autoZero"/>
        <c:auto val="1"/>
        <c:lblAlgn val="ctr"/>
        <c:lblOffset val="100"/>
        <c:noMultiLvlLbl val="0"/>
      </c:catAx>
      <c:valAx>
        <c:axId val="922823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276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Price 5y</c:v>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Year'!$H$71:$L$71</c:f>
              <c:numCache>
                <c:formatCode>0</c:formatCode>
                <c:ptCount val="5"/>
                <c:pt idx="0">
                  <c:v>100</c:v>
                </c:pt>
                <c:pt idx="1">
                  <c:v>51.510426817384527</c:v>
                </c:pt>
                <c:pt idx="2">
                  <c:v>97.934125901383737</c:v>
                </c:pt>
                <c:pt idx="3">
                  <c:v>39.563437926330145</c:v>
                </c:pt>
                <c:pt idx="4">
                  <c:v>70.551549405573965</c:v>
                </c:pt>
              </c:numCache>
            </c:numRef>
          </c:val>
          <c:smooth val="0"/>
          <c:extLst>
            <c:ext xmlns:c16="http://schemas.microsoft.com/office/drawing/2014/chart" uri="{C3380CC4-5D6E-409C-BE32-E72D297353CC}">
              <c16:uniqueId val="{00000000-1CDB-5840-BA36-D267E632E511}"/>
            </c:ext>
          </c:extLst>
        </c:ser>
        <c:ser>
          <c:idx val="1"/>
          <c:order val="1"/>
          <c:tx>
            <c:v>Revenue 5y</c:v>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'Graphs Year'!$H$72:$L$72</c:f>
              <c:numCache>
                <c:formatCode>0</c:formatCode>
                <c:ptCount val="5"/>
                <c:pt idx="0">
                  <c:v>100</c:v>
                </c:pt>
                <c:pt idx="1">
                  <c:v>79.790949584936214</c:v>
                </c:pt>
                <c:pt idx="2">
                  <c:v>68.6221907268678</c:v>
                </c:pt>
                <c:pt idx="3">
                  <c:v>67.196041708847943</c:v>
                </c:pt>
                <c:pt idx="4">
                  <c:v>66.882212998582702</c:v>
                </c:pt>
              </c:numCache>
            </c:numRef>
          </c:val>
          <c:smooth val="0"/>
          <c:extLst>
            <c:ext xmlns:c16="http://schemas.microsoft.com/office/drawing/2014/chart" uri="{C3380CC4-5D6E-409C-BE32-E72D297353CC}">
              <c16:uniqueId val="{00000001-1CDB-5840-BA36-D267E632E511}"/>
            </c:ext>
          </c:extLst>
        </c:ser>
        <c:ser>
          <c:idx val="2"/>
          <c:order val="2"/>
          <c:tx>
            <c:v>EPS 5y</c:v>
          </c:tx>
          <c:spPr>
            <a:ln w="34925" cap="rnd">
              <a:solidFill>
                <a:schemeClr val="accent3"/>
              </a:solidFill>
              <a:round/>
            </a:ln>
            <a:effectLst>
              <a:outerShdw blurRad="57150" dist="19050" dir="5400000" algn="ctr" rotWithShape="0">
                <a:srgbClr val="000000">
                  <a:alpha val="63000"/>
                </a:srgbClr>
              </a:outerShdw>
            </a:effectLst>
          </c:spPr>
          <c:marker>
            <c:symbol val="none"/>
          </c:marker>
          <c:val>
            <c:numRef>
              <c:f>'Graphs Year'!$H$73:$L$73</c:f>
              <c:numCache>
                <c:formatCode>0</c:formatCode>
                <c:ptCount val="5"/>
                <c:pt idx="0">
                  <c:v>100</c:v>
                </c:pt>
                <c:pt idx="1">
                  <c:v>39.917695473251023</c:v>
                </c:pt>
                <c:pt idx="2">
                  <c:v>8.2304526748971263</c:v>
                </c:pt>
                <c:pt idx="3">
                  <c:v>-90.123456790123456</c:v>
                </c:pt>
                <c:pt idx="4">
                  <c:v>-1.2345679012345512</c:v>
                </c:pt>
              </c:numCache>
            </c:numRef>
          </c:val>
          <c:smooth val="0"/>
          <c:extLst>
            <c:ext xmlns:c16="http://schemas.microsoft.com/office/drawing/2014/chart" uri="{C3380CC4-5D6E-409C-BE32-E72D297353CC}">
              <c16:uniqueId val="{00000002-1CDB-5840-BA36-D267E632E511}"/>
            </c:ext>
          </c:extLst>
        </c:ser>
        <c:dLbls>
          <c:showLegendKey val="0"/>
          <c:showVal val="0"/>
          <c:showCatName val="0"/>
          <c:showSerName val="0"/>
          <c:showPercent val="0"/>
          <c:showBubbleSize val="0"/>
        </c:dLbls>
        <c:smooth val="0"/>
        <c:axId val="1848432767"/>
        <c:axId val="1848427391"/>
      </c:lineChart>
      <c:catAx>
        <c:axId val="1848432767"/>
        <c:scaling>
          <c:orientation val="minMax"/>
        </c:scaling>
        <c:delete val="1"/>
        <c:axPos val="b"/>
        <c:majorTickMark val="none"/>
        <c:minorTickMark val="none"/>
        <c:tickLblPos val="nextTo"/>
        <c:crossAx val="1848427391"/>
        <c:crosses val="autoZero"/>
        <c:auto val="1"/>
        <c:lblAlgn val="ctr"/>
        <c:lblOffset val="100"/>
        <c:noMultiLvlLbl val="0"/>
      </c:catAx>
      <c:valAx>
        <c:axId val="184842739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8432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Quarter'!$C$57:$J$57</c:f>
              <c:numCache>
                <c:formatCode>#,##0_);\(#,##0\)</c:formatCode>
                <c:ptCount val="8"/>
                <c:pt idx="0">
                  <c:v>13284</c:v>
                </c:pt>
                <c:pt idx="1">
                  <c:v>14260</c:v>
                </c:pt>
                <c:pt idx="2">
                  <c:v>12667</c:v>
                </c:pt>
                <c:pt idx="3">
                  <c:v>12859</c:v>
                </c:pt>
                <c:pt idx="4">
                  <c:v>13653</c:v>
                </c:pt>
                <c:pt idx="5">
                  <c:v>13674</c:v>
                </c:pt>
                <c:pt idx="6">
                  <c:v>13577</c:v>
                </c:pt>
                <c:pt idx="7">
                  <c:v>16128</c:v>
                </c:pt>
              </c:numCache>
            </c:numRef>
          </c:val>
          <c:extLst>
            <c:ext xmlns:c16="http://schemas.microsoft.com/office/drawing/2014/chart" uri="{C3380CC4-5D6E-409C-BE32-E72D297353CC}">
              <c16:uniqueId val="{00000000-9C27-9A49-B8FE-899BCA0DFD36}"/>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Quarter'!$C$58:$J$58</c:f>
              <c:numCache>
                <c:formatCode>#,##0_);\(#,##0\)</c:formatCode>
                <c:ptCount val="8"/>
                <c:pt idx="0">
                  <c:v>-9057</c:v>
                </c:pt>
                <c:pt idx="1">
                  <c:v>412</c:v>
                </c:pt>
                <c:pt idx="2">
                  <c:v>-301</c:v>
                </c:pt>
                <c:pt idx="3">
                  <c:v>-3176</c:v>
                </c:pt>
                <c:pt idx="4">
                  <c:v>683</c:v>
                </c:pt>
                <c:pt idx="5">
                  <c:v>580</c:v>
                </c:pt>
                <c:pt idx="6">
                  <c:v>-3136</c:v>
                </c:pt>
                <c:pt idx="7">
                  <c:v>1796</c:v>
                </c:pt>
              </c:numCache>
            </c:numRef>
          </c:val>
          <c:extLst>
            <c:ext xmlns:c16="http://schemas.microsoft.com/office/drawing/2014/chart" uri="{C3380CC4-5D6E-409C-BE32-E72D297353CC}">
              <c16:uniqueId val="{00000001-9C27-9A49-B8FE-899BCA0DFD36}"/>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Quarter'!$C$59:$J$59</c:f>
              <c:numCache>
                <c:formatCode>#,##0_);\(#,##0\)</c:formatCode>
                <c:ptCount val="8"/>
                <c:pt idx="0">
                  <c:v>-16639</c:v>
                </c:pt>
                <c:pt idx="1">
                  <c:v>-126</c:v>
                </c:pt>
                <c:pt idx="2">
                  <c:v>-821</c:v>
                </c:pt>
                <c:pt idx="3">
                  <c:v>-2918</c:v>
                </c:pt>
                <c:pt idx="4">
                  <c:v>4063</c:v>
                </c:pt>
                <c:pt idx="5">
                  <c:v>-591</c:v>
                </c:pt>
                <c:pt idx="6">
                  <c:v>-3728</c:v>
                </c:pt>
                <c:pt idx="7">
                  <c:v>-11033</c:v>
                </c:pt>
              </c:numCache>
            </c:numRef>
          </c:val>
          <c:extLst>
            <c:ext xmlns:c16="http://schemas.microsoft.com/office/drawing/2014/chart" uri="{C3380CC4-5D6E-409C-BE32-E72D297353CC}">
              <c16:uniqueId val="{00000002-9C27-9A49-B8FE-899BCA0DFD36}"/>
            </c:ext>
          </c:extLst>
        </c:ser>
        <c:dLbls>
          <c:showLegendKey val="0"/>
          <c:showVal val="0"/>
          <c:showCatName val="0"/>
          <c:showSerName val="0"/>
          <c:showPercent val="0"/>
          <c:showBubbleSize val="0"/>
        </c:dLbls>
        <c:gapWidth val="100"/>
        <c:overlap val="-24"/>
        <c:axId val="1076387263"/>
        <c:axId val="1076391295"/>
      </c:barChart>
      <c:catAx>
        <c:axId val="1076387263"/>
        <c:scaling>
          <c:orientation val="minMax"/>
        </c:scaling>
        <c:delete val="1"/>
        <c:axPos val="b"/>
        <c:majorTickMark val="none"/>
        <c:minorTickMark val="none"/>
        <c:tickLblPos val="nextTo"/>
        <c:crossAx val="1076391295"/>
        <c:crosses val="autoZero"/>
        <c:auto val="1"/>
        <c:lblAlgn val="ctr"/>
        <c:lblOffset val="100"/>
        <c:noMultiLvlLbl val="0"/>
      </c:catAx>
      <c:valAx>
        <c:axId val="107639129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638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Quarter'!$C$60:$J$60</c:f>
              <c:numCache>
                <c:formatCode>0%</c:formatCode>
                <c:ptCount val="8"/>
                <c:pt idx="0">
                  <c:v>0.15033122553447756</c:v>
                </c:pt>
                <c:pt idx="1">
                  <c:v>0.39158485273492288</c:v>
                </c:pt>
                <c:pt idx="2">
                  <c:v>0.36883239914739085</c:v>
                </c:pt>
                <c:pt idx="3">
                  <c:v>0.27544910179640719</c:v>
                </c:pt>
                <c:pt idx="4">
                  <c:v>0.38218706511389439</c:v>
                </c:pt>
                <c:pt idx="5">
                  <c:v>0.36148895714494661</c:v>
                </c:pt>
                <c:pt idx="6">
                  <c:v>0.39382779700964865</c:v>
                </c:pt>
                <c:pt idx="7">
                  <c:v>0.40358382936507936</c:v>
                </c:pt>
              </c:numCache>
            </c:numRef>
          </c:val>
          <c:extLst>
            <c:ext xmlns:c16="http://schemas.microsoft.com/office/drawing/2014/chart" uri="{C3380CC4-5D6E-409C-BE32-E72D297353CC}">
              <c16:uniqueId val="{00000000-4FDD-5743-8017-FF8E7FEDD400}"/>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Quarter'!$C$61:$J$61</c:f>
              <c:numCache>
                <c:formatCode>0%</c:formatCode>
                <c:ptCount val="8"/>
                <c:pt idx="0">
                  <c:v>-0.68179765130984649</c:v>
                </c:pt>
                <c:pt idx="1">
                  <c:v>2.8892005610098175E-2</c:v>
                </c:pt>
                <c:pt idx="2">
                  <c:v>-2.3762532564932503E-2</c:v>
                </c:pt>
                <c:pt idx="3">
                  <c:v>-0.246986546387744</c:v>
                </c:pt>
                <c:pt idx="4">
                  <c:v>5.0025635391489048E-2</c:v>
                </c:pt>
                <c:pt idx="5">
                  <c:v>4.2416264443469361E-2</c:v>
                </c:pt>
                <c:pt idx="6">
                  <c:v>-0.23097886130956766</c:v>
                </c:pt>
                <c:pt idx="7">
                  <c:v>0.11135912698412699</c:v>
                </c:pt>
              </c:numCache>
            </c:numRef>
          </c:val>
          <c:extLst>
            <c:ext xmlns:c16="http://schemas.microsoft.com/office/drawing/2014/chart" uri="{C3380CC4-5D6E-409C-BE32-E72D297353CC}">
              <c16:uniqueId val="{00000001-4FDD-5743-8017-FF8E7FEDD400}"/>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Quarter'!$C$62:$J$62</c:f>
              <c:numCache>
                <c:formatCode>0%</c:formatCode>
                <c:ptCount val="8"/>
                <c:pt idx="0">
                  <c:v>-1.278906955736224</c:v>
                </c:pt>
                <c:pt idx="1">
                  <c:v>-1.0729312762973352E-2</c:v>
                </c:pt>
                <c:pt idx="2">
                  <c:v>-7.0024473040183152E-2</c:v>
                </c:pt>
                <c:pt idx="3">
                  <c:v>-0.23516603157321719</c:v>
                </c:pt>
                <c:pt idx="4">
                  <c:v>0.31275177616641031</c:v>
                </c:pt>
                <c:pt idx="5">
                  <c:v>-2.4352786309784994E-2</c:v>
                </c:pt>
                <c:pt idx="6">
                  <c:v>-0.31531266111806733</c:v>
                </c:pt>
                <c:pt idx="7">
                  <c:v>-0.67261904761904767</c:v>
                </c:pt>
              </c:numCache>
            </c:numRef>
          </c:val>
          <c:extLst>
            <c:ext xmlns:c16="http://schemas.microsoft.com/office/drawing/2014/chart" uri="{C3380CC4-5D6E-409C-BE32-E72D297353CC}">
              <c16:uniqueId val="{00000002-4FDD-5743-8017-FF8E7FEDD400}"/>
            </c:ext>
          </c:extLst>
        </c:ser>
        <c:dLbls>
          <c:showLegendKey val="0"/>
          <c:showVal val="0"/>
          <c:showCatName val="0"/>
          <c:showSerName val="0"/>
          <c:showPercent val="0"/>
          <c:showBubbleSize val="0"/>
        </c:dLbls>
        <c:gapWidth val="100"/>
        <c:overlap val="-24"/>
        <c:axId val="1157457983"/>
        <c:axId val="1157451711"/>
      </c:barChart>
      <c:catAx>
        <c:axId val="1157457983"/>
        <c:scaling>
          <c:orientation val="minMax"/>
        </c:scaling>
        <c:delete val="1"/>
        <c:axPos val="b"/>
        <c:majorTickMark val="none"/>
        <c:minorTickMark val="none"/>
        <c:tickLblPos val="nextTo"/>
        <c:crossAx val="1157451711"/>
        <c:crosses val="autoZero"/>
        <c:auto val="1"/>
        <c:lblAlgn val="ctr"/>
        <c:lblOffset val="100"/>
        <c:noMultiLvlLbl val="0"/>
      </c:catAx>
      <c:valAx>
        <c:axId val="115745171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7457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Products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Quarter'!$C$63:$J$63</c:f>
              <c:numCache>
                <c:formatCode>#,##0_);\(#,##0\)</c:formatCode>
                <c:ptCount val="8"/>
                <c:pt idx="0">
                  <c:v>12302</c:v>
                </c:pt>
                <c:pt idx="1">
                  <c:v>13120</c:v>
                </c:pt>
                <c:pt idx="2">
                  <c:v>11755</c:v>
                </c:pt>
                <c:pt idx="3">
                  <c:v>11810</c:v>
                </c:pt>
                <c:pt idx="4">
                  <c:v>12652</c:v>
                </c:pt>
                <c:pt idx="5">
                  <c:v>12930</c:v>
                </c:pt>
                <c:pt idx="6">
                  <c:v>12779</c:v>
                </c:pt>
                <c:pt idx="7">
                  <c:v>15139</c:v>
                </c:pt>
              </c:numCache>
            </c:numRef>
          </c:val>
          <c:extLst>
            <c:ext xmlns:c16="http://schemas.microsoft.com/office/drawing/2014/chart" uri="{C3380CC4-5D6E-409C-BE32-E72D297353CC}">
              <c16:uniqueId val="{00000000-03B2-D941-8FF0-D9250B644380}"/>
            </c:ext>
          </c:extLst>
        </c:ser>
        <c:ser>
          <c:idx val="1"/>
          <c:order val="1"/>
          <c:tx>
            <c:v>Foundry</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Quarter'!$C$64:$J$64</c:f>
              <c:numCache>
                <c:formatCode>#,##0_);\(#,##0\)</c:formatCode>
                <c:ptCount val="8"/>
                <c:pt idx="0">
                  <c:v>4339</c:v>
                </c:pt>
                <c:pt idx="1">
                  <c:v>4340</c:v>
                </c:pt>
                <c:pt idx="2">
                  <c:v>4667</c:v>
                </c:pt>
                <c:pt idx="3">
                  <c:v>4417</c:v>
                </c:pt>
                <c:pt idx="4">
                  <c:v>4235</c:v>
                </c:pt>
                <c:pt idx="5">
                  <c:v>4507</c:v>
                </c:pt>
                <c:pt idx="6">
                  <c:v>5421</c:v>
                </c:pt>
                <c:pt idx="7">
                  <c:v>5765</c:v>
                </c:pt>
              </c:numCache>
            </c:numRef>
          </c:val>
          <c:extLst>
            <c:ext xmlns:c16="http://schemas.microsoft.com/office/drawing/2014/chart" uri="{C3380CC4-5D6E-409C-BE32-E72D297353CC}">
              <c16:uniqueId val="{00000001-03B2-D941-8FF0-D9250B644380}"/>
            </c:ext>
          </c:extLst>
        </c:ser>
        <c:ser>
          <c:idx val="2"/>
          <c:order val="2"/>
          <c:tx>
            <c:v>Other</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Quarter'!$C$65:$J$65</c:f>
              <c:numCache>
                <c:formatCode>#,##0_);\(#,##0\)</c:formatCode>
                <c:ptCount val="8"/>
                <c:pt idx="0">
                  <c:v>964</c:v>
                </c:pt>
                <c:pt idx="1">
                  <c:v>1113</c:v>
                </c:pt>
                <c:pt idx="2">
                  <c:v>943</c:v>
                </c:pt>
                <c:pt idx="3">
                  <c:v>1053</c:v>
                </c:pt>
                <c:pt idx="4">
                  <c:v>993</c:v>
                </c:pt>
                <c:pt idx="5">
                  <c:v>574</c:v>
                </c:pt>
                <c:pt idx="6">
                  <c:v>628</c:v>
                </c:pt>
                <c:pt idx="7">
                  <c:v>701</c:v>
                </c:pt>
              </c:numCache>
            </c:numRef>
          </c:val>
          <c:extLst>
            <c:ext xmlns:c16="http://schemas.microsoft.com/office/drawing/2014/chart" uri="{C3380CC4-5D6E-409C-BE32-E72D297353CC}">
              <c16:uniqueId val="{00000002-03B2-D941-8FF0-D9250B644380}"/>
            </c:ext>
          </c:extLst>
        </c:ser>
        <c:dLbls>
          <c:showLegendKey val="0"/>
          <c:showVal val="0"/>
          <c:showCatName val="0"/>
          <c:showSerName val="0"/>
          <c:showPercent val="0"/>
          <c:showBubbleSize val="0"/>
        </c:dLbls>
        <c:gapWidth val="100"/>
        <c:overlap val="100"/>
        <c:axId val="1156718463"/>
        <c:axId val="1156723391"/>
      </c:barChart>
      <c:catAx>
        <c:axId val="1156718463"/>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723391"/>
        <c:crosses val="autoZero"/>
        <c:auto val="1"/>
        <c:lblAlgn val="ctr"/>
        <c:lblOffset val="100"/>
        <c:noMultiLvlLbl val="0"/>
      </c:catAx>
      <c:valAx>
        <c:axId val="115672339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718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FCFE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Quarter'!$C$66:$J$66</c:f>
              <c:numCache>
                <c:formatCode>#,##0_);\(#,##0\)</c:formatCode>
                <c:ptCount val="8"/>
                <c:pt idx="0">
                  <c:v>0</c:v>
                </c:pt>
                <c:pt idx="1">
                  <c:v>0</c:v>
                </c:pt>
                <c:pt idx="2">
                  <c:v>-5054</c:v>
                </c:pt>
                <c:pt idx="3">
                  <c:v>-2164</c:v>
                </c:pt>
                <c:pt idx="4">
                  <c:v>-427</c:v>
                </c:pt>
                <c:pt idx="5">
                  <c:v>-11421</c:v>
                </c:pt>
                <c:pt idx="6">
                  <c:v>-3161</c:v>
                </c:pt>
                <c:pt idx="7">
                  <c:v>3764</c:v>
                </c:pt>
              </c:numCache>
            </c:numRef>
          </c:val>
          <c:smooth val="0"/>
          <c:extLst>
            <c:ext xmlns:c16="http://schemas.microsoft.com/office/drawing/2014/chart" uri="{C3380CC4-5D6E-409C-BE32-E72D297353CC}">
              <c16:uniqueId val="{00000000-C6C3-9E46-BD59-26236BD1964D}"/>
            </c:ext>
          </c:extLst>
        </c:ser>
        <c:dLbls>
          <c:showLegendKey val="0"/>
          <c:showVal val="0"/>
          <c:showCatName val="0"/>
          <c:showSerName val="0"/>
          <c:showPercent val="0"/>
          <c:showBubbleSize val="0"/>
        </c:dLbls>
        <c:smooth val="0"/>
        <c:axId val="1163393471"/>
        <c:axId val="1163381375"/>
      </c:lineChart>
      <c:catAx>
        <c:axId val="1163393471"/>
        <c:scaling>
          <c:orientation val="minMax"/>
        </c:scaling>
        <c:delete val="1"/>
        <c:axPos val="b"/>
        <c:majorTickMark val="none"/>
        <c:minorTickMark val="none"/>
        <c:tickLblPos val="nextTo"/>
        <c:crossAx val="1163381375"/>
        <c:crosses val="autoZero"/>
        <c:auto val="1"/>
        <c:lblAlgn val="ctr"/>
        <c:lblOffset val="100"/>
        <c:noMultiLvlLbl val="0"/>
      </c:catAx>
      <c:valAx>
        <c:axId val="116338137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39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22364</xdr:colOff>
      <xdr:row>2</xdr:row>
      <xdr:rowOff>10227</xdr:rowOff>
    </xdr:from>
    <xdr:to>
      <xdr:col>5</xdr:col>
      <xdr:colOff>528767</xdr:colOff>
      <xdr:row>15</xdr:row>
      <xdr:rowOff>157515</xdr:rowOff>
    </xdr:to>
    <xdr:graphicFrame macro="">
      <xdr:nvGraphicFramePr>
        <xdr:cNvPr id="2" name="Chart 1">
          <a:extLst>
            <a:ext uri="{FF2B5EF4-FFF2-40B4-BE49-F238E27FC236}">
              <a16:creationId xmlns:a16="http://schemas.microsoft.com/office/drawing/2014/main" id="{0AE392B7-B6B3-1642-B6BE-CF1126CD6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717270</xdr:colOff>
      <xdr:row>2</xdr:row>
      <xdr:rowOff>10221</xdr:rowOff>
    </xdr:from>
    <xdr:to>
      <xdr:col>11</xdr:col>
      <xdr:colOff>353043</xdr:colOff>
      <xdr:row>15</xdr:row>
      <xdr:rowOff>157509</xdr:rowOff>
    </xdr:to>
    <xdr:graphicFrame macro="">
      <xdr:nvGraphicFramePr>
        <xdr:cNvPr id="3" name="Chart 2">
          <a:extLst>
            <a:ext uri="{FF2B5EF4-FFF2-40B4-BE49-F238E27FC236}">
              <a16:creationId xmlns:a16="http://schemas.microsoft.com/office/drawing/2014/main" id="{59DFE7BC-1A9C-A345-A142-E892051DF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22365</xdr:colOff>
      <xdr:row>16</xdr:row>
      <xdr:rowOff>177959</xdr:rowOff>
    </xdr:from>
    <xdr:to>
      <xdr:col>5</xdr:col>
      <xdr:colOff>528768</xdr:colOff>
      <xdr:row>30</xdr:row>
      <xdr:rowOff>125562</xdr:rowOff>
    </xdr:to>
    <xdr:graphicFrame macro="">
      <xdr:nvGraphicFramePr>
        <xdr:cNvPr id="4" name="Chart 3">
          <a:extLst>
            <a:ext uri="{FF2B5EF4-FFF2-40B4-BE49-F238E27FC236}">
              <a16:creationId xmlns:a16="http://schemas.microsoft.com/office/drawing/2014/main" id="{1B0960BE-F188-F640-9F2C-3A41786DD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725258</xdr:colOff>
      <xdr:row>16</xdr:row>
      <xdr:rowOff>169971</xdr:rowOff>
    </xdr:from>
    <xdr:to>
      <xdr:col>11</xdr:col>
      <xdr:colOff>361031</xdr:colOff>
      <xdr:row>30</xdr:row>
      <xdr:rowOff>117574</xdr:rowOff>
    </xdr:to>
    <xdr:graphicFrame macro="">
      <xdr:nvGraphicFramePr>
        <xdr:cNvPr id="5" name="Chart 4">
          <a:extLst>
            <a:ext uri="{FF2B5EF4-FFF2-40B4-BE49-F238E27FC236}">
              <a16:creationId xmlns:a16="http://schemas.microsoft.com/office/drawing/2014/main" id="{6A6CD865-B299-EF47-AD09-8877DEB9C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14378</xdr:colOff>
      <xdr:row>31</xdr:row>
      <xdr:rowOff>50160</xdr:rowOff>
    </xdr:from>
    <xdr:to>
      <xdr:col>5</xdr:col>
      <xdr:colOff>520781</xdr:colOff>
      <xdr:row>44</xdr:row>
      <xdr:rowOff>197448</xdr:rowOff>
    </xdr:to>
    <xdr:graphicFrame macro="">
      <xdr:nvGraphicFramePr>
        <xdr:cNvPr id="6" name="Chart 5">
          <a:extLst>
            <a:ext uri="{FF2B5EF4-FFF2-40B4-BE49-F238E27FC236}">
              <a16:creationId xmlns:a16="http://schemas.microsoft.com/office/drawing/2014/main" id="{D6E2FA5D-915A-6142-A190-C4FD80200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725258</xdr:colOff>
      <xdr:row>31</xdr:row>
      <xdr:rowOff>62141</xdr:rowOff>
    </xdr:from>
    <xdr:to>
      <xdr:col>11</xdr:col>
      <xdr:colOff>361032</xdr:colOff>
      <xdr:row>45</xdr:row>
      <xdr:rowOff>9744</xdr:rowOff>
    </xdr:to>
    <xdr:graphicFrame macro="">
      <xdr:nvGraphicFramePr>
        <xdr:cNvPr id="7" name="Chart 6">
          <a:extLst>
            <a:ext uri="{FF2B5EF4-FFF2-40B4-BE49-F238E27FC236}">
              <a16:creationId xmlns:a16="http://schemas.microsoft.com/office/drawing/2014/main" id="{81C4FBD6-4E35-86BB-8164-4BD0873A9C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1578</xdr:colOff>
      <xdr:row>1</xdr:row>
      <xdr:rowOff>174488</xdr:rowOff>
    </xdr:from>
    <xdr:to>
      <xdr:col>5</xdr:col>
      <xdr:colOff>629478</xdr:colOff>
      <xdr:row>15</xdr:row>
      <xdr:rowOff>46383</xdr:rowOff>
    </xdr:to>
    <xdr:graphicFrame macro="">
      <xdr:nvGraphicFramePr>
        <xdr:cNvPr id="2" name="Chart 1">
          <a:extLst>
            <a:ext uri="{FF2B5EF4-FFF2-40B4-BE49-F238E27FC236}">
              <a16:creationId xmlns:a16="http://schemas.microsoft.com/office/drawing/2014/main" id="{1A8EB39F-432E-0147-B703-DC55627D5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814063</xdr:colOff>
      <xdr:row>1</xdr:row>
      <xdr:rowOff>174486</xdr:rowOff>
    </xdr:from>
    <xdr:to>
      <xdr:col>11</xdr:col>
      <xdr:colOff>416498</xdr:colOff>
      <xdr:row>15</xdr:row>
      <xdr:rowOff>46381</xdr:rowOff>
    </xdr:to>
    <xdr:graphicFrame macro="">
      <xdr:nvGraphicFramePr>
        <xdr:cNvPr id="3" name="Chart 2">
          <a:extLst>
            <a:ext uri="{FF2B5EF4-FFF2-40B4-BE49-F238E27FC236}">
              <a16:creationId xmlns:a16="http://schemas.microsoft.com/office/drawing/2014/main" id="{99A44AB8-619A-1E4F-8F99-970EF2E12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9465</xdr:colOff>
      <xdr:row>16</xdr:row>
      <xdr:rowOff>947</xdr:rowOff>
    </xdr:from>
    <xdr:to>
      <xdr:col>5</xdr:col>
      <xdr:colOff>646831</xdr:colOff>
      <xdr:row>29</xdr:row>
      <xdr:rowOff>77936</xdr:rowOff>
    </xdr:to>
    <xdr:graphicFrame macro="">
      <xdr:nvGraphicFramePr>
        <xdr:cNvPr id="4" name="Chart 3">
          <a:extLst>
            <a:ext uri="{FF2B5EF4-FFF2-40B4-BE49-F238E27FC236}">
              <a16:creationId xmlns:a16="http://schemas.microsoft.com/office/drawing/2014/main" id="{C17DAA50-C7F7-7044-80D9-DAF14250D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814063</xdr:colOff>
      <xdr:row>16</xdr:row>
      <xdr:rowOff>8838</xdr:rowOff>
    </xdr:from>
    <xdr:to>
      <xdr:col>11</xdr:col>
      <xdr:colOff>416498</xdr:colOff>
      <xdr:row>29</xdr:row>
      <xdr:rowOff>85827</xdr:rowOff>
    </xdr:to>
    <xdr:graphicFrame macro="">
      <xdr:nvGraphicFramePr>
        <xdr:cNvPr id="5" name="Chart 4">
          <a:extLst>
            <a:ext uri="{FF2B5EF4-FFF2-40B4-BE49-F238E27FC236}">
              <a16:creationId xmlns:a16="http://schemas.microsoft.com/office/drawing/2014/main" id="{46C92587-5595-154B-8D57-57BD1B16CA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128348</xdr:colOff>
      <xdr:row>16</xdr:row>
      <xdr:rowOff>20266</xdr:rowOff>
    </xdr:from>
    <xdr:to>
      <xdr:col>3</xdr:col>
      <xdr:colOff>716064</xdr:colOff>
      <xdr:row>16</xdr:row>
      <xdr:rowOff>216170</xdr:rowOff>
    </xdr:to>
    <xdr:sp macro="" textlink="">
      <xdr:nvSpPr>
        <xdr:cNvPr id="2" name="Right Arrow 1">
          <a:extLst>
            <a:ext uri="{FF2B5EF4-FFF2-40B4-BE49-F238E27FC236}">
              <a16:creationId xmlns:a16="http://schemas.microsoft.com/office/drawing/2014/main" id="{02CDC1E2-04C0-0B4F-AADE-DCF6B72A8310}"/>
            </a:ext>
          </a:extLst>
        </xdr:cNvPr>
        <xdr:cNvSpPr/>
      </xdr:nvSpPr>
      <xdr:spPr>
        <a:xfrm rot="10800000">
          <a:off x="3544648" y="3258766"/>
          <a:ext cx="587716" cy="19590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Volumes/KINGSTON/MyStockData/Finance-StockLists/1.%20List_ManualData.xlsx" TargetMode="External"/><Relationship Id="rId1" Type="http://schemas.openxmlformats.org/officeDocument/2006/relationships/externalLinkPath" Target="1.%20List_ManualDat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Volumes/KINGSTON/MyStockData/Finance-StockLists/QCOM.xlsx" TargetMode="External"/><Relationship Id="rId1" Type="http://schemas.openxmlformats.org/officeDocument/2006/relationships/externalLinkPath" Target="QCO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2">
          <cell r="C12">
            <v>4.4999999999999998E-2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Financials -&gt;"/>
      <sheetName val="Statement"/>
      <sheetName val="Analysis -&gt;"/>
      <sheetName val="Basic"/>
      <sheetName val="Yearly Analysis"/>
      <sheetName val="Quarter analysis"/>
      <sheetName val="Graphs Year"/>
      <sheetName val="Graphs Quarter"/>
      <sheetName val="Forecast -&gt;"/>
      <sheetName val="Revenue"/>
      <sheetName val="COGS &amp; OpEx"/>
      <sheetName val="WC &amp; Investments"/>
      <sheetName val="FCF &amp; Other"/>
      <sheetName val="Valuation -&gt;"/>
      <sheetName val="WACC"/>
      <sheetName val="DCF"/>
      <sheetName val="Multiples"/>
      <sheetName val="AVG target price"/>
      <sheetName val="DDM"/>
      <sheetName val="Reverse DCF"/>
    </sheetNames>
    <sheetDataSet>
      <sheetData sheetId="0"/>
      <sheetData sheetId="1"/>
      <sheetData sheetId="2"/>
      <sheetData sheetId="3"/>
      <sheetData sheetId="4"/>
      <sheetData sheetId="5"/>
      <sheetData sheetId="6"/>
      <sheetData sheetId="7"/>
      <sheetData sheetId="8"/>
      <sheetData sheetId="9"/>
      <sheetData sheetId="10">
        <row r="5">
          <cell r="C5">
            <v>2021</v>
          </cell>
          <cell r="D5">
            <v>2022</v>
          </cell>
          <cell r="E5">
            <v>2023</v>
          </cell>
          <cell r="F5">
            <v>2024</v>
          </cell>
          <cell r="G5">
            <v>2025</v>
          </cell>
          <cell r="H5">
            <v>2026</v>
          </cell>
          <cell r="I5">
            <v>2027</v>
          </cell>
          <cell r="J5">
            <v>2028</v>
          </cell>
          <cell r="K5">
            <v>2029</v>
          </cell>
          <cell r="L5">
            <v>2030</v>
          </cell>
        </row>
      </sheetData>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person displayName="adi dumitras" id="{A0F62302-F8D3-B346-B5DF-839B413AE710}" userId="b24535bb88af1c42"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
  <rv s="0">
    <v>https://www.bing.com/financeapi/forcetrigger?t=a1vmf2&amp;q=XNAS%3aINTC&amp;form=skydnc</v>
    <v>Learn more on Bing</v>
  </rv>
  <rv s="1">
    <v>0</v>
    <v>INTEL CORPORATION (XNAS:INTC)</v>
    <v>2</v>
    <v>3</v>
    <v>Finance</v>
    <v>4</v>
    <v>en-US</v>
    <v>a1vmf2</v>
    <v>268435456</v>
    <v>1</v>
    <v>Powered by Refinitiv</v>
    <v>142.35</v>
    <v>32.89</v>
    <v>2.3353000000000002</v>
    <v>-3.35</v>
    <v>-3.1996000000000004E-2</v>
    <v>0.21</v>
    <v>2.0720000000000001E-3</v>
    <v>USD</v>
    <v>Intel Corporation is a global designer and manufacturer of semiconductor products. The Company's segments include Intel Products, Intel Foundry, and All Other. Its Intel Products comprise Client Computing Group (CCG) and Data Center and AI (DCAI). CCG delivers platforms and processors that power PCs and edge devices, enabling enhanced performance, connectivity and user experience for consumer and commercial markets with capabilities that also support retail, industrial robotics and AI ecosystems at the edge. DCAI delivers workload-optimized solutions based upon its x86 architecture for data centers, including CPUs, AI accelerators, NICs, IPUs and custom ASICs, enabling performance and scalability for cloud, enterprise, telecommunication and HPC environments. The Intel Foundry segment comprises technology development, manufacturing and foundry services, developing new semiconductor process technologies and advanced packaging technologies. All Other segments include Mobileye and Other.</v>
    <v>82300</v>
    <v>Nasdaq Stock Market</v>
    <v>XNAS</v>
    <v>XNAS</v>
    <v>2200 Mission College Blvd, Rnb-4-151, SANTA CLARA, CA, 95054 US</v>
    <v>103.19</v>
    <v>Semiconductors &amp; Semiconductor Equipment</v>
    <v>Stock</v>
    <v>46307.860498553127</v>
    <v>0</v>
    <v>100.7103</v>
    <v>535641743150</v>
    <v>INTEL CORPORATION</v>
    <v>INTEL CORPORATION</v>
    <v>102.515</v>
    <v>0</v>
    <v>104.7</v>
    <v>101.35</v>
    <v>101.56</v>
    <v>5285069000</v>
    <v>INTC</v>
    <v>INTEL CORPORATION (XNAS:INTC)</v>
    <v>72339596</v>
    <v>108154739</v>
    <v>1989</v>
  </rv>
  <rv s="2">
    <v>1</v>
  </rv>
  <rv s="0">
    <v>https://www.bing.com/financeapi/forcetrigger?t=a33knm&amp;q=10+Y+TSY+YLD+NDX&amp;form=skydnc</v>
    <v>Learn more on Bing</v>
  </rv>
  <rv s="3">
    <v>5</v>
    <v>10 Y TSY YLD NDX</v>
    <v>6</v>
    <v>7</v>
    <v>Finance</v>
    <v>8</v>
    <v>en-US</v>
    <v>a33knm</v>
    <v>268435456</v>
    <v>1</v>
    <v>Powered by Refinitiv</v>
    <v>53.64</v>
    <v>39.47</v>
    <v>0.13</v>
    <v>2.4849999999999998E-3</v>
    <v>US</v>
    <v>52.8</v>
    <v>Index</v>
    <v>3</v>
    <v>52.34</v>
    <v>10 Y TSY YLD NDX</v>
    <v>52.36</v>
    <v>52.31</v>
    <v>52.44</v>
    <v>TNX</v>
    <v>10 Y TSY YLD NDX</v>
  </rv>
  <rv s="2">
    <v>4</v>
  </rv>
</rvData>
</file>

<file path=xl/richData/rdrichvaluestructure.xml><?xml version="1.0" encoding="utf-8"?>
<rvStructures xmlns="http://schemas.microsoft.com/office/spreadsheetml/2017/richdata" count="4">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52 week high"/>
    <k n="52 week low"/>
    <k n="Change"/>
    <k n="Change (%)"/>
    <k n="Country/region" t="s"/>
    <k n="High"/>
    <k n="Instrument type" t="s"/>
    <k n="LearnMoreOnLink" t="r"/>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2">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spbArrays>
  <spbData count="9">
    <spb s="0">
      <v>0</v>
      <v>Name</v>
      <v>LearnMoreOnLink</v>
    </spb>
    <spb s="1">
      <v>0</v>
      <v>0</v>
      <v>0</v>
    </spb>
    <spb s="2">
      <v>1</v>
      <v>1</v>
      <v>1</v>
      <v>1</v>
    </spb>
    <spb s="3">
      <v>1</v>
      <v>2</v>
      <v>2</v>
      <v>1</v>
      <v>3</v>
      <v>1</v>
      <v>1</v>
      <v>1</v>
      <v>4</v>
      <v>4</v>
      <v>5</v>
      <v>6</v>
      <v>1</v>
      <v>1</v>
      <v>1</v>
      <v>4</v>
      <v>7</v>
      <v>8</v>
      <v>9</v>
      <v>4</v>
      <v>1</v>
      <v>1</v>
      <v>5</v>
    </spb>
    <spb s="4">
      <v>at close</v>
      <v>from previous close</v>
      <v>from previous close</v>
      <v>Source: Nasdaq Last Sale</v>
      <v>GMT</v>
      <v>Real-Time Nasdaq Last Sale</v>
      <v>from close</v>
      <v>from close</v>
    </spb>
    <spb s="0">
      <v>1</v>
      <v>Name</v>
      <v>LearnMoreOnLink</v>
    </spb>
    <spb s="5">
      <v>1</v>
      <v>1</v>
      <v>1</v>
    </spb>
    <spb s="6">
      <v>1</v>
      <v>1</v>
      <v>3</v>
      <v>1</v>
      <v>1</v>
      <v>1</v>
      <v>5</v>
      <v>1</v>
      <v>1</v>
      <v>1</v>
      <v>9</v>
    </spb>
    <spb s="7">
      <v>from previous close</v>
      <v>from previous close</v>
    </spb>
  </spbData>
</supportingPropertyBags>
</file>

<file path=xl/richData/rdsupportingpropertybagstructure.xml><?xml version="1.0" encoding="utf-8"?>
<spbStructures xmlns="http://schemas.microsoft.com/office/spreadsheetml/2017/richdata2" count="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UniqueName" t="spb"/>
    <k n="`%ProviderInfo" t="spb"/>
    <k n="LearnMoreOnLink" t="spb"/>
  </s>
  <s>
    <k n="Low" t="i"/>
    <k n="High" t="i"/>
    <k n="Name" t="i"/>
    <k n="Open" t="i"/>
    <k n="Price" t="i"/>
    <k n="Change" t="i"/>
    <k n="Change (%)" t="i"/>
    <k n="52 week low" t="i"/>
    <k n="52 week high" t="i"/>
    <k n="Previous close" t="i"/>
    <k n="`%EntityServiceId" t="i"/>
  </s>
  <s>
    <k n="Change" t="s"/>
    <k n="Chang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84" dT="2026-02-17T21:45:28.65" personId="{A0F62302-F8D3-B346-B5DF-839B413AE710}" id="{22B2B3EF-EBF6-0D4F-BF74-BA371A77FD6F}">
    <text>Actual number</text>
  </threadedComment>
  <threadedComment ref="B84" dT="2026-06-01T09:48:14.60" personId="{A0F62302-F8D3-B346-B5DF-839B413AE710}" id="{D872EEE1-BAF6-EF45-90F7-1526C7B61302}" parentId="{22B2B3EF-EBF6-0D4F-BF74-BA371A77FD6F}">
    <text>Including subsidiaries</text>
  </threadedComment>
  <threadedComment ref="B116" dT="2026-04-25T21:52:20.00" personId="{A0F62302-F8D3-B346-B5DF-839B413AE710}" id="{8A10573A-B1E5-5443-A272-E27CCC9C056F}">
    <text>Take the closing price of the last day of the period. In case the price has seen heavy fluctuations make an average of the last days. Info found at Yahoo Finance in the Historical Data section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B35" dT="2026-04-25T20:40:52.15" personId="{A0F62302-F8D3-B346-B5DF-839B413AE710}" id="{87FCD2F5-1815-1140-9144-DCAA38F9CA74}">
    <text>We use here the inverted signg as are used in the CashFlow statement which means we will Add the change in NWC to the NOPAT instead of subtracting it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6044FD4-8F6D-C44C-A931-2F82C76276B7}">
  <we:reference id="wa200001365" version="2.5.0.0" store="en-US" storeType="OMEX"/>
  <we:alternateReferences>
    <we:reference id="wa200001365" version="2.5.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_xldudf_ALPHAVANTAGE_EQUITYQUOTE</we:customFunctionIds>
        <we:customFunctionIds>_xldudf_ALPHAVANTAGE_EQUITYTIMESERIES</we:customFunctionIds>
        <we:customFunctionIds>_xldudf_ALPHAVANTAGE_INTRADAYEQUITYSERIESUPDATING</we:customFunctionIds>
        <we:customFunctionIds>_xldudf_ALPHAVANTAGE_EXCHANGERATE</we:customFunctionIds>
        <we:customFunctionIds>_xldudf_ALPHAVANTAGE_EXCHANGERATEUPDATING</we:customFunctionIds>
        <we:customFunctionIds>_xldudf_ALPHAVANTAGE_EXCHANGERATESERIES</we:customFunctionIds>
        <we:customFunctionIds>_xldudf_ALPHAVANTAGE_EXCHANGERATESERIESUPDATING</we:customFunctionIds>
        <we:customFunctionIds>_xldudf_ALPHAVANTAGE_TECHNICALINDICATOR</we:customFunctionIds>
        <we:customFunctionIds>_xldudf_ALPHAVANTAGE_SYMBOLSEARCH</we:customFunctionIds>
        <we:customFunctionIds>_xldudf_ALPHAVANTAGE_COMMODITYTIMESERIES</we:customFunctionIds>
        <we:customFunctionIds>_xldudf_ALPHAVANTAGE_AVAILABLECRYPTOCURRENCIES</we:customFunctionIds>
        <we:customFunctionIds>_xldudf_ALPHAVANTAGE_AVAILABLEPHYSICALCURRENCIES</we:customFunctionIds>
        <we:customFunctionIds>_xldudf_ALPHAVANTAGE_COMPANYOVERVIEW</we:customFunctionIds>
        <we:customFunctionIds>_xldudf_ALPHAVANTAGE_COMPANYEARNINGS</we:customFunctionIds>
        <we:customFunctionIds>_xldudf_ALPHAVANTAGE_COMPANYFILINGS</we:customFunctionIds>
        <we:customFunctionIds>_xldudf_ALPHAVANTAGE_LISTINGSTATUS</we:customFunctionIds>
        <we:customFunctionIds>_xldudf_ALPHAVANTAGE_EARNINGSCALENDAR</we:customFunctionIds>
        <we:customFunctionIds>_xldudf_ALPHAVANTAGE_ECONOMICINDICATOR</we:customFunctionIds>
        <we:customFunctionIds>_xldudf_ALPHAVANTAGE_TREASURYYIELD</we:customFunctionIds>
      </we:customFunctionIdList>
    </a:ext>
  </we:extLst>
</we:webextension>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B172E-7ADE-4B4A-B533-F037BCFCDCB0}">
  <dimension ref="B1:K62"/>
  <sheetViews>
    <sheetView tabSelected="1" topLeftCell="B1" zoomScale="160" zoomScaleNormal="160" workbookViewId="0">
      <selection activeCell="B3" sqref="B3"/>
    </sheetView>
  </sheetViews>
  <sheetFormatPr baseColWidth="10" defaultRowHeight="16" x14ac:dyDescent="0.2"/>
  <cols>
    <col min="1" max="1" width="2" style="1" customWidth="1"/>
    <col min="2" max="2" width="20.6640625" style="1" customWidth="1"/>
    <col min="3" max="3" width="25.83203125" style="1" customWidth="1"/>
    <col min="4" max="4" width="2" style="1" customWidth="1"/>
    <col min="5" max="5" width="19.1640625" style="1" customWidth="1"/>
    <col min="6" max="6" width="14.5" style="1" customWidth="1"/>
    <col min="7" max="7" width="1.6640625" style="1" customWidth="1"/>
    <col min="8" max="8" width="15.1640625" style="1" customWidth="1"/>
    <col min="9" max="9" width="8.6640625" style="1" customWidth="1"/>
    <col min="10" max="10" width="2" style="1" customWidth="1"/>
    <col min="11" max="11" width="16.5" style="1" customWidth="1"/>
    <col min="12" max="16384" width="10.83203125" style="1"/>
  </cols>
  <sheetData>
    <row r="1" spans="2:11" ht="11" customHeight="1" x14ac:dyDescent="0.2"/>
    <row r="2" spans="2:11" x14ac:dyDescent="0.2">
      <c r="B2" s="236" t="s">
        <v>17</v>
      </c>
      <c r="C2" s="237"/>
      <c r="E2" s="236" t="s">
        <v>282</v>
      </c>
      <c r="F2" s="237"/>
      <c r="H2" s="236" t="s">
        <v>320</v>
      </c>
      <c r="I2" s="237"/>
      <c r="K2" s="131" t="s">
        <v>421</v>
      </c>
    </row>
    <row r="3" spans="2:11" x14ac:dyDescent="0.2">
      <c r="B3" s="180" t="s">
        <v>11</v>
      </c>
      <c r="C3" s="215" t="e" vm="1">
        <v>#VALUE!</v>
      </c>
      <c r="D3" s="2"/>
      <c r="E3" s="180" t="s">
        <v>234</v>
      </c>
      <c r="F3" s="182">
        <f ca="1">Statement!AC153</f>
        <v>511209.39999999997</v>
      </c>
      <c r="H3" s="180" t="str">
        <f>'AVG target price'!B5</f>
        <v>DCF price</v>
      </c>
      <c r="I3" s="206">
        <f ca="1">'AVG target price'!C5</f>
        <v>-10.033175639822971</v>
      </c>
      <c r="K3" s="234" t="s">
        <v>422</v>
      </c>
    </row>
    <row r="4" spans="2:11" x14ac:dyDescent="0.2">
      <c r="B4" s="180" t="s">
        <v>0</v>
      </c>
      <c r="C4" s="184" t="str" cm="1">
        <f t="array" aca="1" ref="C4" ca="1">_FV(C3,"Ticker symbol",TRUE)</f>
        <v>INTC</v>
      </c>
      <c r="E4" s="181" t="s">
        <v>183</v>
      </c>
      <c r="F4" s="183">
        <f ca="1">Statement!AC154</f>
        <v>539210.39999999991</v>
      </c>
      <c r="H4" s="180" t="str">
        <f>'AVG target price'!B6</f>
        <v>EV/EBIT price</v>
      </c>
      <c r="I4" s="206">
        <f ca="1">'AVG target price'!C6</f>
        <v>36.577790878205242</v>
      </c>
      <c r="K4" s="234" t="s">
        <v>423</v>
      </c>
    </row>
    <row r="5" spans="2:11" x14ac:dyDescent="0.2">
      <c r="B5" s="180" t="s">
        <v>1</v>
      </c>
      <c r="C5" s="203" cm="1">
        <f t="array" aca="1" ref="C5" ca="1">_FV(C3,"Price",TRUE)</f>
        <v>101.35</v>
      </c>
      <c r="E5" s="180" t="s">
        <v>238</v>
      </c>
      <c r="F5" s="184">
        <f>Statement!AC26</f>
        <v>-2.1100000000000003</v>
      </c>
      <c r="H5" s="180" t="str">
        <f>'AVG target price'!B7</f>
        <v>PS price</v>
      </c>
      <c r="I5" s="206">
        <f>'AVG target price'!C7</f>
        <v>48.738460839691712</v>
      </c>
      <c r="K5" s="234" t="s">
        <v>424</v>
      </c>
    </row>
    <row r="6" spans="2:11" x14ac:dyDescent="0.2">
      <c r="B6" s="180" t="s">
        <v>2</v>
      </c>
      <c r="C6" s="203" cm="1">
        <f t="array" aca="1" ref="C6" ca="1">_FV(C3,"Price (Extended hours)",TRUE)</f>
        <v>101.56</v>
      </c>
      <c r="E6" s="180" t="s">
        <v>232</v>
      </c>
      <c r="F6" s="185">
        <f ca="1">Statement!AC150</f>
        <v>-48.033175355450226</v>
      </c>
      <c r="H6" s="180" t="str">
        <f>'AVG target price'!B8</f>
        <v>EV/FCFF price</v>
      </c>
      <c r="I6" s="206">
        <f ca="1">'AVG target price'!C8</f>
        <v>-21.192021040088761</v>
      </c>
      <c r="K6" s="235" t="s">
        <v>425</v>
      </c>
    </row>
    <row r="7" spans="2:11" x14ac:dyDescent="0.2">
      <c r="B7" s="180" t="s">
        <v>3</v>
      </c>
      <c r="C7" s="6" cm="1">
        <f t="array" aca="1" ref="C7" ca="1">_FV(C3,"Change")</f>
        <v>-3.35</v>
      </c>
      <c r="E7" s="181" t="s">
        <v>196</v>
      </c>
      <c r="F7" s="186">
        <f ca="1">Statement!AC151</f>
        <v>8.6885518217842606</v>
      </c>
      <c r="H7" s="180" t="str">
        <f>'AVG target price'!B9</f>
        <v>EV/Sales price</v>
      </c>
      <c r="I7" s="206">
        <f ca="1">'AVG target price'!C9</f>
        <v>40.866788565112962</v>
      </c>
    </row>
    <row r="8" spans="2:11" x14ac:dyDescent="0.2">
      <c r="B8" s="180" t="s">
        <v>4</v>
      </c>
      <c r="C8" s="6" cm="1">
        <f t="array" aca="1" ref="C8" ca="1">_FV(C3,"Change (extended hours)",TRUE)</f>
        <v>0.21</v>
      </c>
      <c r="E8" s="180" t="s">
        <v>260</v>
      </c>
      <c r="F8" s="187">
        <f ca="1">Statement!AC161</f>
        <v>-2.1996856865308032E-2</v>
      </c>
      <c r="H8" s="179" t="str">
        <f>'AVG target price'!B10</f>
        <v>AVG price</v>
      </c>
      <c r="I8" s="207">
        <f ca="1">'AVG target price'!C10</f>
        <v>18.991568720619636</v>
      </c>
    </row>
    <row r="9" spans="2:11" x14ac:dyDescent="0.2">
      <c r="B9" s="180" t="s">
        <v>5</v>
      </c>
      <c r="C9" s="72" cm="1">
        <f t="array" aca="1" ref="C9" ca="1">_FV(C3,"Change (%)",TRUE)</f>
        <v>-3.1996000000000004E-2</v>
      </c>
      <c r="E9" s="180" t="s">
        <v>283</v>
      </c>
      <c r="F9" s="187">
        <f ca="1">Statement!AC162</f>
        <v>-2.0818944252590038E-2</v>
      </c>
      <c r="H9" s="179" t="str">
        <f>'AVG target price'!B12</f>
        <v>Upside/Downside</v>
      </c>
      <c r="I9" s="208">
        <f ca="1">'AVG target price'!C12</f>
        <v>-0.81261402347686595</v>
      </c>
    </row>
    <row r="10" spans="2:11" x14ac:dyDescent="0.2">
      <c r="B10" s="180" t="s">
        <v>6</v>
      </c>
      <c r="C10" s="72" cm="1">
        <f t="array" aca="1" ref="C10" ca="1">_FV(C3,"Change % (extended hours)",TRUE)</f>
        <v>2.0720000000000001E-3</v>
      </c>
      <c r="E10" s="180" t="s">
        <v>288</v>
      </c>
      <c r="F10" s="187">
        <f ca="1">Statement!AC164</f>
        <v>0</v>
      </c>
    </row>
    <row r="11" spans="2:11" x14ac:dyDescent="0.2">
      <c r="B11" s="180" t="s">
        <v>7</v>
      </c>
      <c r="C11" s="204" cm="1">
        <f t="array" aca="1" ref="C11" ca="1">_FV(C3,"52 week high",TRUE)</f>
        <v>142.35</v>
      </c>
      <c r="E11" s="181" t="s">
        <v>284</v>
      </c>
      <c r="F11" s="188">
        <f ca="1">Statement!AC163</f>
        <v>0</v>
      </c>
      <c r="H11" s="179" t="s">
        <v>401</v>
      </c>
      <c r="I11" s="207">
        <f>DDM!C26</f>
        <v>0</v>
      </c>
    </row>
    <row r="12" spans="2:11" x14ac:dyDescent="0.2">
      <c r="B12" s="180" t="s">
        <v>8</v>
      </c>
      <c r="C12" s="204" cm="1">
        <f t="array" aca="1" ref="C12" ca="1">_FV(C3,"52 week low",TRUE)</f>
        <v>32.89</v>
      </c>
      <c r="E12" s="180" t="s">
        <v>97</v>
      </c>
      <c r="F12" s="187">
        <f>Statement!AC123</f>
        <v>-5.5285789793468654E-2</v>
      </c>
    </row>
    <row r="13" spans="2:11" x14ac:dyDescent="0.2">
      <c r="B13" s="180" t="s">
        <v>9</v>
      </c>
      <c r="C13" s="204" cm="1">
        <f t="array" aca="1" ref="C13" ca="1">_FV(C3,"Beta")</f>
        <v>2.3353000000000002</v>
      </c>
      <c r="E13" s="180" t="s">
        <v>99</v>
      </c>
      <c r="F13" s="187">
        <f>Statement!AC125</f>
        <v>-0.12784720477028169</v>
      </c>
      <c r="H13" s="179" t="s">
        <v>418</v>
      </c>
      <c r="I13" s="208">
        <f>'Reverse DCF'!C17</f>
        <v>0.65</v>
      </c>
    </row>
    <row r="14" spans="2:11" x14ac:dyDescent="0.2">
      <c r="B14" s="181" t="s">
        <v>10</v>
      </c>
      <c r="C14" s="205" cm="1">
        <f t="array" aca="1" ref="C14" ca="1">_FV(C3,"Volume average",TRUE)</f>
        <v>108154739</v>
      </c>
      <c r="E14" s="181" t="s">
        <v>100</v>
      </c>
      <c r="F14" s="188">
        <f>Statement!AC140</f>
        <v>-6.6641856278614885E-4</v>
      </c>
    </row>
    <row r="15" spans="2:11" x14ac:dyDescent="0.2">
      <c r="E15" s="180" t="s">
        <v>285</v>
      </c>
      <c r="F15" s="187">
        <f ca="1">Statement!AC176</f>
        <v>-2.425620499153576E-2</v>
      </c>
    </row>
    <row r="16" spans="2:11" x14ac:dyDescent="0.2">
      <c r="E16" s="181" t="s">
        <v>290</v>
      </c>
      <c r="F16" s="186">
        <f>Statement!AC175</f>
        <v>-2.4583663758921492</v>
      </c>
      <c r="H16" s="236" t="s">
        <v>419</v>
      </c>
      <c r="I16" s="237"/>
    </row>
    <row r="17" spans="2:9" x14ac:dyDescent="0.2">
      <c r="B17" s="238" t="s">
        <v>87</v>
      </c>
      <c r="C17" s="238"/>
      <c r="E17" s="179" t="s">
        <v>291</v>
      </c>
      <c r="F17" s="189">
        <f>Statement!AC171</f>
        <v>5.947660586835844E-4</v>
      </c>
      <c r="H17" s="180" t="s">
        <v>160</v>
      </c>
      <c r="I17" s="232">
        <f ca="1">DCF!C15</f>
        <v>0.14733660393355438</v>
      </c>
    </row>
    <row r="18" spans="2:9" x14ac:dyDescent="0.2">
      <c r="B18" s="179" t="s">
        <v>12</v>
      </c>
      <c r="C18" s="68" t="s">
        <v>325</v>
      </c>
      <c r="E18" s="180" t="s">
        <v>292</v>
      </c>
      <c r="F18" s="185">
        <f>Statement!AC144</f>
        <v>64.755312947057305</v>
      </c>
      <c r="H18" s="181" t="s">
        <v>420</v>
      </c>
      <c r="I18" s="233">
        <f>Multiples!C54</f>
        <v>0.12</v>
      </c>
    </row>
    <row r="19" spans="2:9" x14ac:dyDescent="0.2">
      <c r="B19" s="179" t="s">
        <v>13</v>
      </c>
      <c r="C19" s="69">
        <v>1000000</v>
      </c>
      <c r="E19" s="180" t="s">
        <v>253</v>
      </c>
      <c r="F19" s="185">
        <f>Statement!AC146</f>
        <v>0.14164629549244934</v>
      </c>
      <c r="I19" s="50"/>
    </row>
    <row r="20" spans="2:9" x14ac:dyDescent="0.2">
      <c r="B20" s="179" t="s">
        <v>88</v>
      </c>
      <c r="C20" s="68" t="s">
        <v>363</v>
      </c>
      <c r="E20" s="181" t="s">
        <v>293</v>
      </c>
      <c r="F20" s="186">
        <f>Statement!AC147</f>
        <v>1.1822259601906364</v>
      </c>
    </row>
    <row r="21" spans="2:9" x14ac:dyDescent="0.2">
      <c r="B21" s="179" t="s">
        <v>89</v>
      </c>
      <c r="C21" s="68" t="s">
        <v>363</v>
      </c>
    </row>
    <row r="22" spans="2:9" x14ac:dyDescent="0.2">
      <c r="B22" s="179" t="s">
        <v>90</v>
      </c>
      <c r="C22" s="68" t="s">
        <v>340</v>
      </c>
      <c r="I22" s="50"/>
    </row>
    <row r="25" spans="2:9" x14ac:dyDescent="0.2">
      <c r="B25" s="238" t="s">
        <v>102</v>
      </c>
      <c r="C25" s="238"/>
      <c r="E25" s="236" t="s">
        <v>373</v>
      </c>
      <c r="F25" s="237"/>
    </row>
    <row r="26" spans="2:9" x14ac:dyDescent="0.2">
      <c r="B26" s="179" t="s">
        <v>103</v>
      </c>
      <c r="C26" s="165">
        <v>0.21</v>
      </c>
      <c r="E26" s="180" t="e" vm="2">
        <v>#VALUE!</v>
      </c>
      <c r="F26" s="218" cm="1">
        <f t="array" aca="1" ref="F26" ca="1">_FV(E26,"Price")</f>
        <v>52.44</v>
      </c>
    </row>
    <row r="27" spans="2:9" x14ac:dyDescent="0.2">
      <c r="B27" s="179" t="s">
        <v>167</v>
      </c>
      <c r="C27" s="213">
        <v>5.6000000000000001E-2</v>
      </c>
      <c r="E27" s="181" t="s">
        <v>374</v>
      </c>
      <c r="F27" s="219">
        <f ca="1">F26/1000</f>
        <v>5.2440000000000001E-2</v>
      </c>
    </row>
    <row r="28" spans="2:9" x14ac:dyDescent="0.2">
      <c r="B28" s="179" t="s">
        <v>378</v>
      </c>
      <c r="C28" s="213">
        <v>0</v>
      </c>
    </row>
    <row r="29" spans="2:9" x14ac:dyDescent="0.2">
      <c r="B29" s="179" t="s">
        <v>391</v>
      </c>
      <c r="C29" s="213">
        <v>0.12</v>
      </c>
    </row>
    <row r="33" spans="2:8" x14ac:dyDescent="0.2">
      <c r="B33" s="131" t="s">
        <v>343</v>
      </c>
      <c r="C33" s="131"/>
      <c r="D33" s="131"/>
      <c r="E33" s="131"/>
      <c r="F33" s="131"/>
      <c r="G33" s="131"/>
      <c r="H33" s="131"/>
    </row>
    <row r="35" spans="2:8" x14ac:dyDescent="0.2">
      <c r="B35" s="16" t="s">
        <v>344</v>
      </c>
      <c r="C35" s="1" t="s">
        <v>357</v>
      </c>
    </row>
    <row r="36" spans="2:8" x14ac:dyDescent="0.2">
      <c r="B36" s="16" t="s">
        <v>345</v>
      </c>
      <c r="C36" s="1" t="s">
        <v>372</v>
      </c>
    </row>
    <row r="39" spans="2:8" ht="8" customHeight="1" x14ac:dyDescent="0.2">
      <c r="B39" s="131"/>
      <c r="C39" s="131"/>
      <c r="D39" s="131"/>
      <c r="E39" s="131"/>
      <c r="F39" s="131"/>
      <c r="G39" s="131"/>
      <c r="H39" s="131"/>
    </row>
    <row r="42" spans="2:8" x14ac:dyDescent="0.2">
      <c r="B42" s="131" t="s">
        <v>346</v>
      </c>
      <c r="C42" s="131"/>
      <c r="D42" s="131"/>
      <c r="E42" s="131"/>
      <c r="F42" s="131"/>
      <c r="G42" s="131"/>
      <c r="H42" s="131"/>
    </row>
    <row r="44" spans="2:8" x14ac:dyDescent="0.2">
      <c r="B44" s="41" t="s">
        <v>347</v>
      </c>
      <c r="C44" s="41" t="s">
        <v>406</v>
      </c>
      <c r="D44" s="41"/>
      <c r="E44" s="41" t="s">
        <v>402</v>
      </c>
    </row>
    <row r="45" spans="2:8" x14ac:dyDescent="0.2">
      <c r="B45" s="220" t="s">
        <v>380</v>
      </c>
      <c r="C45" s="1" t="s">
        <v>407</v>
      </c>
    </row>
    <row r="47" spans="2:8" x14ac:dyDescent="0.2">
      <c r="B47" s="41" t="s">
        <v>347</v>
      </c>
      <c r="C47" s="41" t="s">
        <v>332</v>
      </c>
      <c r="D47" s="41"/>
      <c r="E47" s="41" t="s">
        <v>86</v>
      </c>
    </row>
    <row r="48" spans="2:8" x14ac:dyDescent="0.2">
      <c r="B48" s="220" t="s">
        <v>380</v>
      </c>
      <c r="C48" s="1" t="s">
        <v>356</v>
      </c>
    </row>
    <row r="49" spans="2:8" x14ac:dyDescent="0.2">
      <c r="B49" s="220" t="s">
        <v>380</v>
      </c>
      <c r="C49" s="1" t="s">
        <v>358</v>
      </c>
    </row>
    <row r="52" spans="2:8" ht="7" customHeight="1" x14ac:dyDescent="0.2">
      <c r="B52" s="131"/>
      <c r="C52" s="131"/>
      <c r="D52" s="131"/>
      <c r="E52" s="131"/>
      <c r="F52" s="131"/>
      <c r="G52" s="131"/>
      <c r="H52" s="131"/>
    </row>
    <row r="55" spans="2:8" x14ac:dyDescent="0.2">
      <c r="B55" s="131" t="s">
        <v>104</v>
      </c>
      <c r="C55" s="131"/>
      <c r="D55" s="131"/>
      <c r="E55" s="131"/>
      <c r="F55" s="131"/>
      <c r="G55" s="131"/>
      <c r="H55" s="131"/>
    </row>
    <row r="57" spans="2:8" x14ac:dyDescent="0.2">
      <c r="B57" s="41" t="s">
        <v>347</v>
      </c>
      <c r="C57" s="41" t="s">
        <v>332</v>
      </c>
      <c r="D57" s="41"/>
      <c r="E57" s="41" t="s">
        <v>86</v>
      </c>
    </row>
    <row r="62" spans="2:8" ht="7" customHeight="1" x14ac:dyDescent="0.2">
      <c r="B62" s="131"/>
      <c r="C62" s="131"/>
      <c r="D62" s="131"/>
      <c r="E62" s="131"/>
      <c r="F62" s="131"/>
      <c r="G62" s="131"/>
      <c r="H62" s="131"/>
    </row>
  </sheetData>
  <mergeCells count="7">
    <mergeCell ref="B2:C2"/>
    <mergeCell ref="B17:C17"/>
    <mergeCell ref="B25:C25"/>
    <mergeCell ref="E2:F2"/>
    <mergeCell ref="H2:I2"/>
    <mergeCell ref="E25:F25"/>
    <mergeCell ref="H16:I16"/>
  </mergeCells>
  <conditionalFormatting sqref="C7:C10">
    <cfRule type="cellIs" dxfId="2" priority="4" operator="lessThan">
      <formula>0</formula>
    </cfRule>
    <cfRule type="cellIs" dxfId="1" priority="5" operator="equal">
      <formula>0</formula>
    </cfRule>
    <cfRule type="cellIs" dxfId="0" priority="6" operator="greaterThan">
      <formula>0</formula>
    </cfRule>
  </conditionalFormatting>
  <hyperlinks>
    <hyperlink ref="K3" location="'Financials -&gt;'!B13" display="'Financials -&gt;'!B13" xr:uid="{E99C3821-C030-2047-B823-2BDDC88F64EA}"/>
    <hyperlink ref="K4" location="'Analysis -&gt;'!B13" display="'Analysis -&gt;'!B13" xr:uid="{30EA2D1C-66CA-594E-B123-2EEEF5B0DBA8}"/>
    <hyperlink ref="K5" location="'Forecast -&gt;'!B13" display="'Forecast -&gt;'!B13" xr:uid="{0BF96B4B-5FDB-1542-8DC8-5FA5787C0496}"/>
    <hyperlink ref="K6" location="'Valuation -&gt;'!B13" display="'Valuation -&gt;'!B13" xr:uid="{4DC801DF-81C6-624C-853F-E4066817BC6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35612-A5F6-ED42-8E7B-33A97D1D2D90}">
  <sheetPr>
    <tabColor theme="6" tint="0.59999389629810485"/>
  </sheetPr>
  <dimension ref="B5:H13"/>
  <sheetViews>
    <sheetView workbookViewId="0">
      <selection activeCell="H5" sqref="H5:H10"/>
    </sheetView>
  </sheetViews>
  <sheetFormatPr baseColWidth="10" defaultRowHeight="16" x14ac:dyDescent="0.2"/>
  <cols>
    <col min="1" max="7" width="10.83203125" style="1"/>
    <col min="8" max="8" width="17.33203125" style="1" customWidth="1"/>
    <col min="9" max="16384" width="10.83203125" style="1"/>
  </cols>
  <sheetData>
    <row r="5" spans="2:8" x14ac:dyDescent="0.2">
      <c r="H5" s="131" t="s">
        <v>421</v>
      </c>
    </row>
    <row r="6" spans="2:8" x14ac:dyDescent="0.2">
      <c r="H6" s="234" t="s">
        <v>426</v>
      </c>
    </row>
    <row r="7" spans="2:8" x14ac:dyDescent="0.2">
      <c r="H7" s="234" t="s">
        <v>422</v>
      </c>
    </row>
    <row r="8" spans="2:8" x14ac:dyDescent="0.2">
      <c r="H8" s="234" t="s">
        <v>423</v>
      </c>
    </row>
    <row r="9" spans="2:8" x14ac:dyDescent="0.2">
      <c r="H9" s="234" t="s">
        <v>424</v>
      </c>
    </row>
    <row r="10" spans="2:8" x14ac:dyDescent="0.2">
      <c r="H10" s="235" t="s">
        <v>425</v>
      </c>
    </row>
    <row r="13" spans="2:8" s="4" customFormat="1" ht="49" x14ac:dyDescent="0.2">
      <c r="B13" s="3" t="s">
        <v>14</v>
      </c>
    </row>
  </sheetData>
  <hyperlinks>
    <hyperlink ref="H6" location="Overview!B3" display="Overview'!B3" xr:uid="{70104AE7-FBEA-2E4F-A2B6-8CC367FC1CD5}"/>
    <hyperlink ref="H8" location="'Analysis -&gt;'!B13" display="'Analysis -&gt;'!B13" xr:uid="{D9400C1E-21BA-7643-B47C-411621DEEC8B}"/>
    <hyperlink ref="H9" location="'Forecast -&gt;'!B13" display="'Forecast -&gt;'!B13" xr:uid="{7E8D648B-3B86-B94A-8E13-9E07062B8D6E}"/>
    <hyperlink ref="H10" location="'Valuation -&gt;'!B13" display="'Valuation -&gt;'!B13" xr:uid="{32954A4C-9CB8-1142-8495-3DE4B04BEEF7}"/>
    <hyperlink ref="H7" location="'Financials -&gt;'!B13" display="'Financials -&gt;'!B13" xr:uid="{DC12F570-F933-6C45-B8FD-755C80DF2A1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B83C-60BF-4548-84AB-1D4A73B251A4}">
  <dimension ref="A1:AE222"/>
  <sheetViews>
    <sheetView zoomScale="160" zoomScaleNormal="150" workbookViewId="0">
      <pane xSplit="2" ySplit="3" topLeftCell="X149" activePane="bottomRight" state="frozen"/>
      <selection pane="topRight" activeCell="C1" sqref="C1"/>
      <selection pane="bottomLeft" activeCell="A4" sqref="A4"/>
      <selection pane="bottomRight" activeCell="AC158" sqref="AC158"/>
    </sheetView>
  </sheetViews>
  <sheetFormatPr baseColWidth="10" defaultRowHeight="16" x14ac:dyDescent="0.2"/>
  <cols>
    <col min="1" max="1" width="3.6640625" style="1" customWidth="1"/>
    <col min="2" max="2" width="33.83203125" style="20" customWidth="1"/>
    <col min="3" max="8" width="12" style="1" customWidth="1"/>
    <col min="9" max="9" width="10.83203125" style="1" customWidth="1"/>
    <col min="10" max="10" width="12" style="1" customWidth="1"/>
    <col min="11" max="12" width="10.83203125" style="1" customWidth="1"/>
    <col min="13" max="13" width="10.6640625" style="1" customWidth="1"/>
    <col min="14" max="14" width="10.83203125" style="1" customWidth="1"/>
    <col min="15" max="16" width="12" style="1" bestFit="1" customWidth="1"/>
    <col min="17" max="17" width="11.33203125" style="1" bestFit="1" customWidth="1"/>
    <col min="18" max="18" width="2.83203125" style="1" customWidth="1"/>
    <col min="19" max="19" width="3.5" style="1" customWidth="1"/>
    <col min="20" max="25" width="13.1640625" style="1" bestFit="1" customWidth="1"/>
    <col min="26" max="27" width="11.83203125" style="1" bestFit="1" customWidth="1"/>
    <col min="28" max="28" width="9" style="1" customWidth="1"/>
    <col min="29" max="16384" width="10.83203125" style="1"/>
  </cols>
  <sheetData>
    <row r="1" spans="1:31" x14ac:dyDescent="0.2">
      <c r="B1" s="1"/>
    </row>
    <row r="2" spans="1:31" s="10" customFormat="1" x14ac:dyDescent="0.2">
      <c r="A2" s="7"/>
      <c r="B2" s="8" t="s">
        <v>15</v>
      </c>
      <c r="C2" s="9"/>
      <c r="D2" s="9"/>
      <c r="E2" s="9"/>
      <c r="F2" s="9"/>
      <c r="G2" s="9"/>
      <c r="H2" s="9"/>
      <c r="I2" s="9"/>
      <c r="M2" s="10" t="s">
        <v>331</v>
      </c>
      <c r="N2" s="10" t="s">
        <v>330</v>
      </c>
      <c r="O2" s="10" t="s">
        <v>328</v>
      </c>
      <c r="P2" s="10" t="s">
        <v>327</v>
      </c>
      <c r="Q2" s="10" t="s">
        <v>326</v>
      </c>
      <c r="R2" s="7"/>
      <c r="S2" s="7"/>
      <c r="T2" s="10" t="s">
        <v>338</v>
      </c>
      <c r="U2" s="10" t="s">
        <v>327</v>
      </c>
      <c r="V2" s="10" t="s">
        <v>334</v>
      </c>
      <c r="W2" s="10" t="s">
        <v>339</v>
      </c>
      <c r="X2" s="10" t="s">
        <v>336</v>
      </c>
      <c r="Y2" s="10" t="s">
        <v>326</v>
      </c>
      <c r="Z2" s="10" t="s">
        <v>332</v>
      </c>
      <c r="AA2" s="10" t="s">
        <v>403</v>
      </c>
      <c r="AB2" s="7"/>
      <c r="AD2" s="7"/>
      <c r="AE2" s="7"/>
    </row>
    <row r="3" spans="1:31" s="13" customFormat="1" x14ac:dyDescent="0.2">
      <c r="A3" s="11"/>
      <c r="B3" s="12" t="s">
        <v>16</v>
      </c>
      <c r="M3" s="13">
        <v>2021</v>
      </c>
      <c r="N3" s="13">
        <v>2022</v>
      </c>
      <c r="O3" s="13">
        <v>2023</v>
      </c>
      <c r="P3" s="13">
        <v>2024</v>
      </c>
      <c r="Q3" s="13">
        <v>2025</v>
      </c>
      <c r="R3" s="11"/>
      <c r="S3" s="11"/>
      <c r="T3" s="10" t="s">
        <v>337</v>
      </c>
      <c r="U3" s="10" t="s">
        <v>335</v>
      </c>
      <c r="V3" s="10" t="s">
        <v>333</v>
      </c>
      <c r="W3" s="10" t="s">
        <v>85</v>
      </c>
      <c r="X3" s="10" t="s">
        <v>84</v>
      </c>
      <c r="Y3" s="10" t="s">
        <v>83</v>
      </c>
      <c r="Z3" s="10" t="s">
        <v>86</v>
      </c>
      <c r="AA3" s="10" t="s">
        <v>402</v>
      </c>
      <c r="AB3" s="11"/>
      <c r="AC3" s="58" t="s">
        <v>82</v>
      </c>
      <c r="AD3" s="11"/>
      <c r="AE3" s="11"/>
    </row>
    <row r="4" spans="1:31" s="15" customFormat="1" ht="17" thickBot="1" x14ac:dyDescent="0.25">
      <c r="A4" s="11"/>
      <c r="B4" s="14" t="s">
        <v>18</v>
      </c>
      <c r="R4" s="11"/>
      <c r="S4" s="11"/>
      <c r="AB4" s="11"/>
      <c r="AD4" s="11"/>
      <c r="AE4" s="11"/>
    </row>
    <row r="5" spans="1:31" s="19" customFormat="1" x14ac:dyDescent="0.2">
      <c r="A5" s="16"/>
      <c r="B5" s="17" t="s">
        <v>19</v>
      </c>
      <c r="C5" s="18"/>
      <c r="D5" s="18"/>
      <c r="E5" s="18"/>
      <c r="F5" s="18"/>
      <c r="G5" s="18"/>
      <c r="H5" s="18"/>
      <c r="I5" s="18"/>
      <c r="J5" s="18"/>
      <c r="K5" s="18"/>
      <c r="L5" s="18"/>
      <c r="M5" s="18">
        <v>79024</v>
      </c>
      <c r="N5" s="18">
        <v>63054</v>
      </c>
      <c r="O5" s="18">
        <v>54228</v>
      </c>
      <c r="P5" s="18">
        <v>53101</v>
      </c>
      <c r="Q5" s="18">
        <v>52853</v>
      </c>
      <c r="R5" s="16"/>
      <c r="S5" s="16"/>
      <c r="T5" s="18">
        <v>13284</v>
      </c>
      <c r="U5" s="18">
        <v>14260</v>
      </c>
      <c r="V5" s="18">
        <v>12667</v>
      </c>
      <c r="W5" s="18">
        <v>12859</v>
      </c>
      <c r="X5" s="18">
        <v>13653</v>
      </c>
      <c r="Y5" s="18">
        <v>13674</v>
      </c>
      <c r="Z5" s="18">
        <v>13577</v>
      </c>
      <c r="AA5" s="18">
        <v>16128</v>
      </c>
      <c r="AB5" s="16"/>
      <c r="AC5" s="18">
        <f>SUM(X5:AA5)</f>
        <v>57032</v>
      </c>
      <c r="AD5" s="16"/>
      <c r="AE5" s="16"/>
    </row>
    <row r="6" spans="1:31" x14ac:dyDescent="0.2">
      <c r="B6" s="20" t="s">
        <v>20</v>
      </c>
      <c r="C6" s="21"/>
      <c r="D6" s="21"/>
      <c r="E6" s="21"/>
      <c r="F6" s="21"/>
      <c r="G6" s="21"/>
      <c r="H6" s="21"/>
      <c r="I6" s="21"/>
      <c r="J6" s="21"/>
      <c r="K6" s="21"/>
      <c r="L6" s="21"/>
      <c r="M6" s="21">
        <v>35209</v>
      </c>
      <c r="N6" s="21">
        <v>36188</v>
      </c>
      <c r="O6" s="21">
        <v>32517</v>
      </c>
      <c r="P6" s="21">
        <v>35756</v>
      </c>
      <c r="Q6" s="21">
        <v>34478</v>
      </c>
      <c r="T6" s="21">
        <v>11287</v>
      </c>
      <c r="U6" s="21">
        <v>8676</v>
      </c>
      <c r="V6" s="21">
        <v>7995</v>
      </c>
      <c r="W6" s="21">
        <v>9317</v>
      </c>
      <c r="X6" s="21">
        <v>8435</v>
      </c>
      <c r="Y6" s="21">
        <v>8731</v>
      </c>
      <c r="Z6" s="21">
        <v>8230</v>
      </c>
      <c r="AA6" s="21">
        <v>9619</v>
      </c>
      <c r="AC6" s="21">
        <f t="shared" ref="AC6:AC18" si="0">SUM(X6:AA6)</f>
        <v>35015</v>
      </c>
    </row>
    <row r="7" spans="1:31" s="19" customFormat="1" x14ac:dyDescent="0.2">
      <c r="A7" s="16"/>
      <c r="B7" s="17" t="s">
        <v>21</v>
      </c>
      <c r="C7" s="22">
        <f t="shared" ref="C7:Q7" si="1">C5-C6</f>
        <v>0</v>
      </c>
      <c r="D7" s="22">
        <f t="shared" si="1"/>
        <v>0</v>
      </c>
      <c r="E7" s="22">
        <f t="shared" si="1"/>
        <v>0</v>
      </c>
      <c r="F7" s="22">
        <f t="shared" si="1"/>
        <v>0</v>
      </c>
      <c r="G7" s="22">
        <f t="shared" si="1"/>
        <v>0</v>
      </c>
      <c r="H7" s="22">
        <f t="shared" si="1"/>
        <v>0</v>
      </c>
      <c r="I7" s="22">
        <f t="shared" si="1"/>
        <v>0</v>
      </c>
      <c r="J7" s="22">
        <f t="shared" si="1"/>
        <v>0</v>
      </c>
      <c r="K7" s="22">
        <f t="shared" si="1"/>
        <v>0</v>
      </c>
      <c r="L7" s="22">
        <f t="shared" si="1"/>
        <v>0</v>
      </c>
      <c r="M7" s="22">
        <f t="shared" si="1"/>
        <v>43815</v>
      </c>
      <c r="N7" s="22">
        <f t="shared" si="1"/>
        <v>26866</v>
      </c>
      <c r="O7" s="22">
        <f t="shared" si="1"/>
        <v>21711</v>
      </c>
      <c r="P7" s="22">
        <f t="shared" si="1"/>
        <v>17345</v>
      </c>
      <c r="Q7" s="22">
        <f t="shared" si="1"/>
        <v>18375</v>
      </c>
      <c r="R7" s="16"/>
      <c r="S7" s="16"/>
      <c r="T7" s="22">
        <f t="shared" ref="T7:Y7" si="2">T5-T6</f>
        <v>1997</v>
      </c>
      <c r="U7" s="22">
        <f t="shared" si="2"/>
        <v>5584</v>
      </c>
      <c r="V7" s="22">
        <f t="shared" si="2"/>
        <v>4672</v>
      </c>
      <c r="W7" s="22">
        <f t="shared" si="2"/>
        <v>3542</v>
      </c>
      <c r="X7" s="22">
        <f t="shared" si="2"/>
        <v>5218</v>
      </c>
      <c r="Y7" s="22">
        <f t="shared" si="2"/>
        <v>4943</v>
      </c>
      <c r="Z7" s="22">
        <f t="shared" ref="Z7:AA7" si="3">Z5-Z6</f>
        <v>5347</v>
      </c>
      <c r="AA7" s="22">
        <f t="shared" si="3"/>
        <v>6509</v>
      </c>
      <c r="AB7" s="16"/>
      <c r="AC7" s="22">
        <f t="shared" si="0"/>
        <v>22017</v>
      </c>
      <c r="AD7" s="16"/>
      <c r="AE7" s="16"/>
    </row>
    <row r="8" spans="1:31" x14ac:dyDescent="0.2">
      <c r="B8" s="20" t="s">
        <v>22</v>
      </c>
      <c r="C8" s="21"/>
      <c r="D8" s="21"/>
      <c r="E8" s="21"/>
      <c r="F8" s="21"/>
      <c r="G8" s="21"/>
      <c r="H8" s="21"/>
      <c r="I8" s="21"/>
      <c r="J8" s="21"/>
      <c r="K8" s="21"/>
      <c r="L8" s="21"/>
      <c r="M8" s="21">
        <v>15190</v>
      </c>
      <c r="N8" s="21">
        <v>17528</v>
      </c>
      <c r="O8" s="21">
        <v>16046</v>
      </c>
      <c r="P8" s="21">
        <v>16546</v>
      </c>
      <c r="Q8" s="21">
        <v>13774</v>
      </c>
      <c r="T8" s="21">
        <v>4049</v>
      </c>
      <c r="U8" s="21">
        <v>3876</v>
      </c>
      <c r="V8" s="21">
        <v>3640</v>
      </c>
      <c r="W8" s="21">
        <v>3684</v>
      </c>
      <c r="X8" s="21">
        <v>3231</v>
      </c>
      <c r="Y8" s="21">
        <v>3219</v>
      </c>
      <c r="Z8" s="21">
        <v>3375</v>
      </c>
      <c r="AA8" s="21">
        <v>3368</v>
      </c>
      <c r="AC8" s="21">
        <f t="shared" si="0"/>
        <v>13193</v>
      </c>
    </row>
    <row r="9" spans="1:31" x14ac:dyDescent="0.2">
      <c r="B9" s="20" t="s">
        <v>329</v>
      </c>
      <c r="C9" s="21"/>
      <c r="D9" s="21"/>
      <c r="E9" s="21"/>
      <c r="F9" s="21"/>
      <c r="G9" s="21"/>
      <c r="H9" s="21"/>
      <c r="I9" s="21"/>
      <c r="J9" s="21"/>
      <c r="K9" s="21"/>
      <c r="L9" s="21"/>
      <c r="M9" s="21">
        <v>6543</v>
      </c>
      <c r="N9" s="21">
        <v>7002</v>
      </c>
      <c r="O9" s="21">
        <v>5634</v>
      </c>
      <c r="P9" s="21">
        <v>5507</v>
      </c>
      <c r="Q9" s="21">
        <v>4624</v>
      </c>
      <c r="T9" s="21">
        <v>1383</v>
      </c>
      <c r="U9" s="21">
        <v>1239</v>
      </c>
      <c r="V9" s="21">
        <v>1177</v>
      </c>
      <c r="W9" s="21">
        <v>1144</v>
      </c>
      <c r="X9" s="21">
        <v>1129</v>
      </c>
      <c r="Y9" s="21">
        <v>1174</v>
      </c>
      <c r="Z9" s="21">
        <v>1038</v>
      </c>
      <c r="AA9" s="21">
        <v>1175</v>
      </c>
      <c r="AC9" s="21">
        <f t="shared" si="0"/>
        <v>4516</v>
      </c>
    </row>
    <row r="10" spans="1:31" x14ac:dyDescent="0.2">
      <c r="B10" s="23" t="s">
        <v>26</v>
      </c>
      <c r="C10" s="21"/>
      <c r="D10" s="21"/>
      <c r="E10" s="21"/>
      <c r="F10" s="21"/>
      <c r="G10" s="21"/>
      <c r="H10" s="21"/>
      <c r="I10" s="21"/>
      <c r="J10" s="21"/>
      <c r="K10" s="21"/>
      <c r="L10" s="21"/>
      <c r="M10" s="21">
        <v>2626</v>
      </c>
      <c r="N10" s="21">
        <v>2</v>
      </c>
      <c r="O10" s="61">
        <v>-62</v>
      </c>
      <c r="P10" s="21">
        <v>6970</v>
      </c>
      <c r="Q10" s="21">
        <v>2191</v>
      </c>
      <c r="T10" s="21">
        <v>5622</v>
      </c>
      <c r="U10" s="21">
        <v>57</v>
      </c>
      <c r="V10" s="21">
        <v>156</v>
      </c>
      <c r="W10" s="61">
        <v>1890</v>
      </c>
      <c r="X10" s="61">
        <v>175</v>
      </c>
      <c r="Y10" s="61">
        <v>-30</v>
      </c>
      <c r="Z10" s="21">
        <v>4070</v>
      </c>
      <c r="AA10" s="21">
        <v>170</v>
      </c>
      <c r="AC10" s="21">
        <f t="shared" si="0"/>
        <v>4385</v>
      </c>
    </row>
    <row r="11" spans="1:31" x14ac:dyDescent="0.2">
      <c r="B11" s="23" t="s">
        <v>23</v>
      </c>
      <c r="C11" s="24">
        <f t="shared" ref="C11:Q11" si="4">SUM(C8:C10)</f>
        <v>0</v>
      </c>
      <c r="D11" s="24">
        <f t="shared" si="4"/>
        <v>0</v>
      </c>
      <c r="E11" s="24">
        <f t="shared" si="4"/>
        <v>0</v>
      </c>
      <c r="F11" s="24">
        <f t="shared" si="4"/>
        <v>0</v>
      </c>
      <c r="G11" s="24">
        <f t="shared" si="4"/>
        <v>0</v>
      </c>
      <c r="H11" s="24">
        <f t="shared" si="4"/>
        <v>0</v>
      </c>
      <c r="I11" s="24">
        <f t="shared" si="4"/>
        <v>0</v>
      </c>
      <c r="J11" s="24">
        <f t="shared" si="4"/>
        <v>0</v>
      </c>
      <c r="K11" s="24">
        <f t="shared" si="4"/>
        <v>0</v>
      </c>
      <c r="L11" s="24">
        <f t="shared" si="4"/>
        <v>0</v>
      </c>
      <c r="M11" s="24">
        <f t="shared" si="4"/>
        <v>24359</v>
      </c>
      <c r="N11" s="24">
        <f t="shared" si="4"/>
        <v>24532</v>
      </c>
      <c r="O11" s="24">
        <f t="shared" si="4"/>
        <v>21618</v>
      </c>
      <c r="P11" s="24">
        <f t="shared" si="4"/>
        <v>29023</v>
      </c>
      <c r="Q11" s="24">
        <f t="shared" si="4"/>
        <v>20589</v>
      </c>
      <c r="T11" s="24">
        <f t="shared" ref="T11" si="5">SUM(T8:T10)</f>
        <v>11054</v>
      </c>
      <c r="U11" s="24">
        <f t="shared" ref="U11" si="6">SUM(U8:U10)</f>
        <v>5172</v>
      </c>
      <c r="V11" s="24">
        <f t="shared" ref="V11" si="7">SUM(V8:V10)</f>
        <v>4973</v>
      </c>
      <c r="W11" s="24">
        <f t="shared" ref="W11" si="8">SUM(W8:W10)</f>
        <v>6718</v>
      </c>
      <c r="X11" s="24">
        <f t="shared" ref="X11:Z11" si="9">SUM(X8:X10)</f>
        <v>4535</v>
      </c>
      <c r="Y11" s="24">
        <f t="shared" si="9"/>
        <v>4363</v>
      </c>
      <c r="Z11" s="24">
        <f t="shared" si="9"/>
        <v>8483</v>
      </c>
      <c r="AA11" s="24">
        <f t="shared" ref="AA11" si="10">SUM(AA8:AA10)</f>
        <v>4713</v>
      </c>
      <c r="AC11" s="24">
        <f t="shared" si="0"/>
        <v>22094</v>
      </c>
    </row>
    <row r="12" spans="1:31" s="19" customFormat="1" x14ac:dyDescent="0.2">
      <c r="A12" s="16"/>
      <c r="B12" s="17" t="s">
        <v>24</v>
      </c>
      <c r="C12" s="18"/>
      <c r="D12" s="18"/>
      <c r="E12" s="18"/>
      <c r="F12" s="18"/>
      <c r="G12" s="18"/>
      <c r="H12" s="18"/>
      <c r="I12" s="18"/>
      <c r="J12" s="18"/>
      <c r="K12" s="18"/>
      <c r="L12" s="18"/>
      <c r="M12" s="60">
        <v>19456</v>
      </c>
      <c r="N12" s="60">
        <v>2334</v>
      </c>
      <c r="O12" s="60">
        <v>93</v>
      </c>
      <c r="P12" s="60">
        <v>-11678</v>
      </c>
      <c r="Q12" s="60">
        <v>-2214</v>
      </c>
      <c r="R12" s="16"/>
      <c r="S12" s="16"/>
      <c r="T12" s="60">
        <v>-9057</v>
      </c>
      <c r="U12" s="60">
        <v>412</v>
      </c>
      <c r="V12" s="60">
        <v>-301</v>
      </c>
      <c r="W12" s="60">
        <v>-3176</v>
      </c>
      <c r="X12" s="60">
        <v>683</v>
      </c>
      <c r="Y12" s="60">
        <v>580</v>
      </c>
      <c r="Z12" s="60">
        <v>-3136</v>
      </c>
      <c r="AA12" s="60">
        <v>1796</v>
      </c>
      <c r="AB12" s="1"/>
      <c r="AC12" s="60">
        <f t="shared" si="0"/>
        <v>-77</v>
      </c>
      <c r="AD12" s="1"/>
      <c r="AE12" s="1"/>
    </row>
    <row r="13" spans="1:31" x14ac:dyDescent="0.2">
      <c r="B13" s="23" t="s">
        <v>26</v>
      </c>
      <c r="C13" s="21"/>
      <c r="D13" s="21"/>
      <c r="E13" s="21"/>
      <c r="F13" s="21"/>
      <c r="G13" s="21"/>
      <c r="H13" s="21"/>
      <c r="I13" s="21"/>
      <c r="J13" s="21"/>
      <c r="K13" s="21"/>
      <c r="L13" s="21"/>
      <c r="M13" s="21">
        <v>2729</v>
      </c>
      <c r="N13" s="21">
        <v>4268</v>
      </c>
      <c r="O13" s="61">
        <v>40</v>
      </c>
      <c r="P13" s="61">
        <v>242</v>
      </c>
      <c r="Q13" s="61">
        <v>514</v>
      </c>
      <c r="T13" s="61">
        <v>-159</v>
      </c>
      <c r="U13" s="61">
        <v>316</v>
      </c>
      <c r="V13" s="61">
        <v>-112</v>
      </c>
      <c r="W13" s="61">
        <v>502</v>
      </c>
      <c r="X13" s="61">
        <v>221</v>
      </c>
      <c r="Y13" s="61">
        <v>-97</v>
      </c>
      <c r="Z13" s="61">
        <v>-72</v>
      </c>
      <c r="AA13" s="61">
        <v>-39</v>
      </c>
      <c r="AC13" s="61">
        <f t="shared" si="0"/>
        <v>13</v>
      </c>
    </row>
    <row r="14" spans="1:31" x14ac:dyDescent="0.2">
      <c r="B14" s="23" t="s">
        <v>25</v>
      </c>
      <c r="C14" s="21"/>
      <c r="D14" s="21"/>
      <c r="E14" s="21"/>
      <c r="F14" s="21"/>
      <c r="G14" s="21"/>
      <c r="H14" s="21"/>
      <c r="I14" s="21"/>
      <c r="J14" s="21"/>
      <c r="K14" s="21"/>
      <c r="L14" s="21"/>
      <c r="M14" s="61">
        <v>-482</v>
      </c>
      <c r="N14" s="21">
        <v>1166</v>
      </c>
      <c r="O14" s="61">
        <v>629</v>
      </c>
      <c r="P14" s="61">
        <v>226</v>
      </c>
      <c r="Q14" s="61">
        <v>3257</v>
      </c>
      <c r="T14" s="61">
        <v>130</v>
      </c>
      <c r="U14" s="61">
        <v>-129</v>
      </c>
      <c r="V14" s="61">
        <v>-173</v>
      </c>
      <c r="W14" s="61">
        <v>-95</v>
      </c>
      <c r="X14" s="61">
        <v>3670</v>
      </c>
      <c r="Y14" s="61">
        <v>-145</v>
      </c>
      <c r="Z14" s="61">
        <v>-738</v>
      </c>
      <c r="AA14" s="61">
        <v>-12576</v>
      </c>
      <c r="AC14" s="61">
        <f t="shared" si="0"/>
        <v>-9789</v>
      </c>
    </row>
    <row r="15" spans="1:31" s="19" customFormat="1" x14ac:dyDescent="0.2">
      <c r="A15" s="16"/>
      <c r="B15" s="17" t="s">
        <v>27</v>
      </c>
      <c r="C15" s="18"/>
      <c r="D15" s="18"/>
      <c r="E15" s="18"/>
      <c r="F15" s="18"/>
      <c r="G15" s="18"/>
      <c r="H15" s="18"/>
      <c r="I15" s="18"/>
      <c r="J15" s="18"/>
      <c r="K15" s="18"/>
      <c r="L15" s="18"/>
      <c r="M15" s="60">
        <v>21703</v>
      </c>
      <c r="N15" s="60">
        <v>7768</v>
      </c>
      <c r="O15" s="60">
        <v>762</v>
      </c>
      <c r="P15" s="60">
        <v>-11210</v>
      </c>
      <c r="Q15" s="18">
        <v>1557</v>
      </c>
      <c r="R15" s="1"/>
      <c r="S15" s="1"/>
      <c r="T15" s="60">
        <v>-9086</v>
      </c>
      <c r="U15" s="60">
        <v>599</v>
      </c>
      <c r="V15" s="60">
        <v>-586</v>
      </c>
      <c r="W15" s="60">
        <v>-2769</v>
      </c>
      <c r="X15" s="60">
        <v>4574</v>
      </c>
      <c r="Y15" s="60">
        <v>338</v>
      </c>
      <c r="Z15" s="60">
        <v>-3946</v>
      </c>
      <c r="AA15" s="60">
        <v>-10819</v>
      </c>
      <c r="AB15" s="1"/>
      <c r="AC15" s="60">
        <f t="shared" si="0"/>
        <v>-9853</v>
      </c>
      <c r="AD15" s="1"/>
      <c r="AE15" s="1"/>
    </row>
    <row r="16" spans="1:31" x14ac:dyDescent="0.2">
      <c r="B16" s="23" t="s">
        <v>28</v>
      </c>
      <c r="C16" s="21"/>
      <c r="D16" s="21"/>
      <c r="E16" s="21"/>
      <c r="F16" s="21"/>
      <c r="G16" s="21"/>
      <c r="H16" s="21"/>
      <c r="I16" s="21"/>
      <c r="J16" s="21"/>
      <c r="K16" s="21"/>
      <c r="L16" s="21"/>
      <c r="M16" s="61">
        <v>-1835</v>
      </c>
      <c r="N16" s="61">
        <v>249</v>
      </c>
      <c r="O16" s="61">
        <v>913</v>
      </c>
      <c r="P16" s="61">
        <v>-8023</v>
      </c>
      <c r="Q16" s="61">
        <v>-1531</v>
      </c>
      <c r="T16" s="61">
        <v>-7903</v>
      </c>
      <c r="U16" s="61">
        <v>-752</v>
      </c>
      <c r="V16" s="61">
        <v>-301</v>
      </c>
      <c r="W16" s="61">
        <v>-255</v>
      </c>
      <c r="X16" s="61">
        <v>-304</v>
      </c>
      <c r="Y16" s="61">
        <v>-671</v>
      </c>
      <c r="Z16" s="61">
        <v>-335</v>
      </c>
      <c r="AA16" s="61">
        <v>-29</v>
      </c>
      <c r="AC16" s="61">
        <f t="shared" si="0"/>
        <v>-1339</v>
      </c>
    </row>
    <row r="17" spans="1:31" x14ac:dyDescent="0.2">
      <c r="B17" s="23" t="s">
        <v>321</v>
      </c>
      <c r="C17" s="21"/>
      <c r="D17" s="21"/>
      <c r="E17" s="21"/>
      <c r="F17" s="21"/>
      <c r="G17" s="21"/>
      <c r="H17" s="21"/>
      <c r="I17" s="21"/>
      <c r="J17" s="21"/>
      <c r="K17" s="21"/>
      <c r="L17" s="21"/>
      <c r="M17" s="61">
        <v>0</v>
      </c>
      <c r="N17" s="61">
        <v>3</v>
      </c>
      <c r="O17" s="61">
        <v>-14</v>
      </c>
      <c r="P17" s="61">
        <v>-477</v>
      </c>
      <c r="Q17" s="61">
        <v>293</v>
      </c>
      <c r="T17" s="61">
        <v>-350</v>
      </c>
      <c r="U17" s="61">
        <v>-27</v>
      </c>
      <c r="V17" s="61">
        <v>-66</v>
      </c>
      <c r="W17" s="61">
        <v>-106</v>
      </c>
      <c r="X17" s="61">
        <v>207</v>
      </c>
      <c r="Y17" s="61">
        <v>258</v>
      </c>
      <c r="Z17" s="61">
        <v>-553</v>
      </c>
      <c r="AA17" s="61">
        <v>185</v>
      </c>
      <c r="AC17" s="61">
        <f t="shared" si="0"/>
        <v>97</v>
      </c>
    </row>
    <row r="18" spans="1:31" s="19" customFormat="1" x14ac:dyDescent="0.2">
      <c r="A18" s="16"/>
      <c r="B18" s="17" t="s">
        <v>29</v>
      </c>
      <c r="C18" s="18"/>
      <c r="D18" s="18"/>
      <c r="E18" s="18"/>
      <c r="F18" s="18"/>
      <c r="G18" s="18"/>
      <c r="H18" s="18"/>
      <c r="I18" s="18"/>
      <c r="J18" s="18"/>
      <c r="K18" s="18"/>
      <c r="L18" s="18"/>
      <c r="M18" s="60">
        <v>19868</v>
      </c>
      <c r="N18" s="60">
        <v>8014</v>
      </c>
      <c r="O18" s="60">
        <v>1689</v>
      </c>
      <c r="P18" s="60">
        <v>-18756</v>
      </c>
      <c r="Q18" s="60">
        <v>-267</v>
      </c>
      <c r="R18" s="59"/>
      <c r="S18" s="59"/>
      <c r="T18" s="60">
        <v>-16639</v>
      </c>
      <c r="U18" s="60">
        <v>-126</v>
      </c>
      <c r="V18" s="60">
        <v>-821</v>
      </c>
      <c r="W18" s="60">
        <v>-2918</v>
      </c>
      <c r="X18" s="60">
        <v>4063</v>
      </c>
      <c r="Y18" s="60">
        <v>-591</v>
      </c>
      <c r="Z18" s="60">
        <v>-3728</v>
      </c>
      <c r="AA18" s="60">
        <v>-11033</v>
      </c>
      <c r="AB18" s="1"/>
      <c r="AC18" s="60">
        <f t="shared" si="0"/>
        <v>-11289</v>
      </c>
      <c r="AD18" s="1"/>
      <c r="AE18" s="1"/>
    </row>
    <row r="19" spans="1:31" x14ac:dyDescent="0.2">
      <c r="B19" s="23" t="s">
        <v>30</v>
      </c>
      <c r="C19" s="21"/>
      <c r="D19" s="21"/>
      <c r="E19" s="21"/>
      <c r="F19" s="21"/>
      <c r="G19" s="21"/>
      <c r="H19" s="21"/>
      <c r="I19" s="21"/>
      <c r="J19" s="21"/>
      <c r="K19" s="21"/>
      <c r="L19" s="21"/>
      <c r="M19" s="21">
        <v>4059</v>
      </c>
      <c r="N19" s="21">
        <v>4108</v>
      </c>
      <c r="O19" s="61">
        <v>4190</v>
      </c>
      <c r="P19" s="61">
        <v>4280</v>
      </c>
      <c r="Q19" s="61">
        <v>4530</v>
      </c>
      <c r="R19" s="59"/>
      <c r="S19" s="59"/>
      <c r="T19" s="61">
        <v>4292</v>
      </c>
      <c r="U19" s="61">
        <v>4319</v>
      </c>
      <c r="V19" s="61">
        <v>4343</v>
      </c>
      <c r="W19" s="61">
        <v>4369</v>
      </c>
      <c r="X19" s="61">
        <v>4514</v>
      </c>
      <c r="Y19" s="61">
        <v>4856</v>
      </c>
      <c r="Z19" s="61">
        <v>5083</v>
      </c>
      <c r="AA19" s="61">
        <v>5104</v>
      </c>
      <c r="AC19" s="61">
        <f>AVERAGE(X19:AA19)</f>
        <v>4889.25</v>
      </c>
    </row>
    <row r="20" spans="1:31" x14ac:dyDescent="0.2">
      <c r="B20" s="23" t="s">
        <v>31</v>
      </c>
      <c r="C20" s="25">
        <f t="shared" ref="C20:Q20" si="11">C19*C$85</f>
        <v>0</v>
      </c>
      <c r="D20" s="25">
        <f t="shared" si="11"/>
        <v>0</v>
      </c>
      <c r="E20" s="25">
        <f t="shared" si="11"/>
        <v>0</v>
      </c>
      <c r="F20" s="25">
        <f t="shared" si="11"/>
        <v>0</v>
      </c>
      <c r="G20" s="25">
        <f t="shared" si="11"/>
        <v>0</v>
      </c>
      <c r="H20" s="25">
        <f t="shared" si="11"/>
        <v>0</v>
      </c>
      <c r="I20" s="25">
        <f t="shared" si="11"/>
        <v>0</v>
      </c>
      <c r="J20" s="25">
        <f t="shared" si="11"/>
        <v>0</v>
      </c>
      <c r="K20" s="25">
        <f t="shared" si="11"/>
        <v>0</v>
      </c>
      <c r="L20" s="25">
        <f t="shared" si="11"/>
        <v>0</v>
      </c>
      <c r="M20" s="25">
        <f t="shared" si="11"/>
        <v>4059</v>
      </c>
      <c r="N20" s="25">
        <f t="shared" si="11"/>
        <v>4108</v>
      </c>
      <c r="O20" s="25">
        <f t="shared" si="11"/>
        <v>4190</v>
      </c>
      <c r="P20" s="25">
        <f t="shared" si="11"/>
        <v>4280</v>
      </c>
      <c r="Q20" s="25">
        <f t="shared" si="11"/>
        <v>4530</v>
      </c>
      <c r="T20" s="25">
        <f t="shared" ref="T20:Z20" si="12">T19*T$85</f>
        <v>4292</v>
      </c>
      <c r="U20" s="25">
        <f t="shared" si="12"/>
        <v>4319</v>
      </c>
      <c r="V20" s="25">
        <f t="shared" si="12"/>
        <v>4343</v>
      </c>
      <c r="W20" s="25">
        <f t="shared" si="12"/>
        <v>4369</v>
      </c>
      <c r="X20" s="25">
        <f t="shared" si="12"/>
        <v>4514</v>
      </c>
      <c r="Y20" s="25">
        <f t="shared" si="12"/>
        <v>4856</v>
      </c>
      <c r="Z20" s="25">
        <f t="shared" si="12"/>
        <v>5083</v>
      </c>
      <c r="AA20" s="25">
        <f t="shared" ref="AA20" si="13">AA19*AA$85</f>
        <v>5104</v>
      </c>
      <c r="AC20" s="25">
        <f>AC19*AC$85</f>
        <v>4889.25</v>
      </c>
    </row>
    <row r="21" spans="1:31" x14ac:dyDescent="0.2">
      <c r="B21" s="23" t="s">
        <v>32</v>
      </c>
      <c r="C21" s="21"/>
      <c r="D21" s="21"/>
      <c r="E21" s="21"/>
      <c r="F21" s="21"/>
      <c r="G21" s="21"/>
      <c r="H21" s="21"/>
      <c r="I21" s="21"/>
      <c r="J21" s="21"/>
      <c r="K21" s="21"/>
      <c r="L21" s="21"/>
      <c r="M21" s="21">
        <v>4090</v>
      </c>
      <c r="N21" s="21">
        <v>4123</v>
      </c>
      <c r="O21" s="61">
        <v>4212</v>
      </c>
      <c r="P21" s="61">
        <v>4280</v>
      </c>
      <c r="Q21" s="61">
        <v>4530</v>
      </c>
      <c r="T21" s="61">
        <v>4292</v>
      </c>
      <c r="U21" s="61">
        <v>4319</v>
      </c>
      <c r="V21" s="61">
        <v>4343</v>
      </c>
      <c r="W21" s="61">
        <v>4369</v>
      </c>
      <c r="X21" s="61">
        <v>4514</v>
      </c>
      <c r="Y21" s="61">
        <v>4856</v>
      </c>
      <c r="Z21" s="61">
        <v>5083</v>
      </c>
      <c r="AA21" s="61">
        <v>5104</v>
      </c>
      <c r="AC21" s="61">
        <f>AVERAGE(X21:AA21)</f>
        <v>4889.25</v>
      </c>
    </row>
    <row r="22" spans="1:31" x14ac:dyDescent="0.2">
      <c r="B22" s="23" t="s">
        <v>33</v>
      </c>
      <c r="C22" s="25">
        <f t="shared" ref="C22:Q22" si="14">C21*C$85</f>
        <v>0</v>
      </c>
      <c r="D22" s="25">
        <f t="shared" si="14"/>
        <v>0</v>
      </c>
      <c r="E22" s="25">
        <f t="shared" si="14"/>
        <v>0</v>
      </c>
      <c r="F22" s="25">
        <f t="shared" si="14"/>
        <v>0</v>
      </c>
      <c r="G22" s="25">
        <f t="shared" si="14"/>
        <v>0</v>
      </c>
      <c r="H22" s="25">
        <f t="shared" si="14"/>
        <v>0</v>
      </c>
      <c r="I22" s="25">
        <f t="shared" si="14"/>
        <v>0</v>
      </c>
      <c r="J22" s="25">
        <f t="shared" si="14"/>
        <v>0</v>
      </c>
      <c r="K22" s="25">
        <f t="shared" si="14"/>
        <v>0</v>
      </c>
      <c r="L22" s="25">
        <f t="shared" si="14"/>
        <v>0</v>
      </c>
      <c r="M22" s="25">
        <f t="shared" si="14"/>
        <v>4090</v>
      </c>
      <c r="N22" s="25">
        <f t="shared" si="14"/>
        <v>4123</v>
      </c>
      <c r="O22" s="25">
        <f t="shared" si="14"/>
        <v>4212</v>
      </c>
      <c r="P22" s="25">
        <f t="shared" si="14"/>
        <v>4280</v>
      </c>
      <c r="Q22" s="25">
        <f t="shared" si="14"/>
        <v>4530</v>
      </c>
      <c r="T22" s="25">
        <f t="shared" ref="T22:Z22" si="15">T21*T$85</f>
        <v>4292</v>
      </c>
      <c r="U22" s="25">
        <f t="shared" si="15"/>
        <v>4319</v>
      </c>
      <c r="V22" s="25">
        <f t="shared" si="15"/>
        <v>4343</v>
      </c>
      <c r="W22" s="25">
        <f t="shared" si="15"/>
        <v>4369</v>
      </c>
      <c r="X22" s="25">
        <f t="shared" si="15"/>
        <v>4514</v>
      </c>
      <c r="Y22" s="25">
        <f t="shared" si="15"/>
        <v>4856</v>
      </c>
      <c r="Z22" s="25">
        <f t="shared" si="15"/>
        <v>5083</v>
      </c>
      <c r="AA22" s="25">
        <f t="shared" ref="AA22" si="16">AA21*AA$85</f>
        <v>5104</v>
      </c>
      <c r="AC22" s="25">
        <f>AC21*AC$85</f>
        <v>4889.25</v>
      </c>
    </row>
    <row r="23" spans="1:31" x14ac:dyDescent="0.2">
      <c r="B23" s="23" t="s">
        <v>34</v>
      </c>
      <c r="C23" s="26"/>
      <c r="D23" s="26"/>
      <c r="E23" s="26"/>
      <c r="F23" s="26"/>
      <c r="G23" s="26"/>
      <c r="H23" s="26"/>
      <c r="I23" s="26"/>
      <c r="J23" s="26"/>
      <c r="K23" s="26"/>
      <c r="L23" s="26"/>
      <c r="M23" s="62">
        <v>4.8899999999999997</v>
      </c>
      <c r="N23" s="62">
        <v>1.95</v>
      </c>
      <c r="O23" s="62">
        <v>0.4</v>
      </c>
      <c r="P23" s="62">
        <v>-4.38</v>
      </c>
      <c r="Q23" s="62">
        <v>-0.06</v>
      </c>
      <c r="T23" s="62">
        <v>-3.88</v>
      </c>
      <c r="U23" s="62">
        <v>-0.03</v>
      </c>
      <c r="V23" s="62">
        <v>-0.19</v>
      </c>
      <c r="W23" s="62">
        <v>-0.67</v>
      </c>
      <c r="X23" s="62">
        <v>0.9</v>
      </c>
      <c r="Y23" s="62">
        <v>-0.12</v>
      </c>
      <c r="Z23" s="62">
        <v>-0.73</v>
      </c>
      <c r="AA23" s="62">
        <v>-2.16</v>
      </c>
      <c r="AC23" s="62">
        <f>SUM(X23:AA23)</f>
        <v>-2.1100000000000003</v>
      </c>
    </row>
    <row r="24" spans="1:31" x14ac:dyDescent="0.2">
      <c r="B24" s="23" t="s">
        <v>35</v>
      </c>
      <c r="C24" s="27"/>
      <c r="D24" s="27"/>
      <c r="E24" s="27"/>
      <c r="F24" s="27"/>
      <c r="G24" s="27"/>
      <c r="H24" s="27"/>
      <c r="I24" s="27"/>
      <c r="J24" s="27"/>
      <c r="K24" s="27"/>
      <c r="L24" s="27"/>
      <c r="M24" s="64">
        <f>M23/M$85</f>
        <v>4.8899999999999997</v>
      </c>
      <c r="N24" s="64">
        <f>N23/N$85</f>
        <v>1.95</v>
      </c>
      <c r="O24" s="64">
        <f>O23/O$85</f>
        <v>0.4</v>
      </c>
      <c r="P24" s="64">
        <f>P23/P$85</f>
        <v>-4.38</v>
      </c>
      <c r="Q24" s="64">
        <f>Q23/Q$85</f>
        <v>-0.06</v>
      </c>
      <c r="T24" s="64">
        <f t="shared" ref="T24:Z24" si="17">T23/T$85</f>
        <v>-3.88</v>
      </c>
      <c r="U24" s="64">
        <f t="shared" si="17"/>
        <v>-0.03</v>
      </c>
      <c r="V24" s="64">
        <f t="shared" si="17"/>
        <v>-0.19</v>
      </c>
      <c r="W24" s="64">
        <f t="shared" si="17"/>
        <v>-0.67</v>
      </c>
      <c r="X24" s="64">
        <f t="shared" si="17"/>
        <v>0.9</v>
      </c>
      <c r="Y24" s="64">
        <f t="shared" si="17"/>
        <v>-0.12</v>
      </c>
      <c r="Z24" s="64">
        <f t="shared" si="17"/>
        <v>-0.73</v>
      </c>
      <c r="AA24" s="64">
        <f t="shared" ref="AA24" si="18">AA23/AA$85</f>
        <v>-2.16</v>
      </c>
      <c r="AC24" s="64">
        <f>AC23/AC$85</f>
        <v>-2.1100000000000003</v>
      </c>
    </row>
    <row r="25" spans="1:31" x14ac:dyDescent="0.2">
      <c r="B25" s="23" t="s">
        <v>36</v>
      </c>
      <c r="C25" s="26"/>
      <c r="D25" s="26"/>
      <c r="E25" s="26"/>
      <c r="F25" s="26"/>
      <c r="G25" s="26"/>
      <c r="H25" s="26"/>
      <c r="I25" s="26"/>
      <c r="J25" s="26"/>
      <c r="K25" s="26"/>
      <c r="L25" s="26"/>
      <c r="M25" s="62">
        <v>4.8600000000000003</v>
      </c>
      <c r="N25" s="62">
        <v>1.94</v>
      </c>
      <c r="O25" s="62">
        <v>0.4</v>
      </c>
      <c r="P25" s="62">
        <v>-4.38</v>
      </c>
      <c r="Q25" s="62">
        <v>-0.06</v>
      </c>
      <c r="T25" s="62">
        <v>-3.88</v>
      </c>
      <c r="U25" s="62">
        <v>-0.03</v>
      </c>
      <c r="V25" s="62">
        <v>-0.19</v>
      </c>
      <c r="W25" s="62">
        <v>-0.67</v>
      </c>
      <c r="X25" s="62">
        <v>0.9</v>
      </c>
      <c r="Y25" s="62">
        <v>-0.12</v>
      </c>
      <c r="Z25" s="62">
        <v>-0.73</v>
      </c>
      <c r="AA25" s="62">
        <v>-2.16</v>
      </c>
      <c r="AC25" s="62">
        <f>SUM(X25:AA25)</f>
        <v>-2.1100000000000003</v>
      </c>
    </row>
    <row r="26" spans="1:31" s="30" customFormat="1" ht="17" thickBot="1" x14ac:dyDescent="0.25">
      <c r="A26" s="1"/>
      <c r="B26" s="28" t="s">
        <v>37</v>
      </c>
      <c r="C26" s="29"/>
      <c r="D26" s="29"/>
      <c r="E26" s="29"/>
      <c r="F26" s="29"/>
      <c r="G26" s="29"/>
      <c r="H26" s="29"/>
      <c r="I26" s="29"/>
      <c r="J26" s="29"/>
      <c r="K26" s="29"/>
      <c r="L26" s="29"/>
      <c r="M26" s="65">
        <f>M25/M$85</f>
        <v>4.8600000000000003</v>
      </c>
      <c r="N26" s="65">
        <f>N25/N$85</f>
        <v>1.94</v>
      </c>
      <c r="O26" s="65">
        <f>O25/O$85</f>
        <v>0.4</v>
      </c>
      <c r="P26" s="65">
        <f>P25/P$85</f>
        <v>-4.38</v>
      </c>
      <c r="Q26" s="65">
        <f>Q25/Q$85</f>
        <v>-0.06</v>
      </c>
      <c r="R26" s="1"/>
      <c r="S26" s="1"/>
      <c r="T26" s="65">
        <f t="shared" ref="T26:Z26" si="19">T25/T$85</f>
        <v>-3.88</v>
      </c>
      <c r="U26" s="65">
        <f t="shared" si="19"/>
        <v>-0.03</v>
      </c>
      <c r="V26" s="65">
        <f t="shared" si="19"/>
        <v>-0.19</v>
      </c>
      <c r="W26" s="65">
        <f t="shared" si="19"/>
        <v>-0.67</v>
      </c>
      <c r="X26" s="65">
        <f t="shared" si="19"/>
        <v>0.9</v>
      </c>
      <c r="Y26" s="65">
        <f t="shared" si="19"/>
        <v>-0.12</v>
      </c>
      <c r="Z26" s="65">
        <f t="shared" si="19"/>
        <v>-0.73</v>
      </c>
      <c r="AA26" s="65">
        <f t="shared" ref="AA26" si="20">AA25/AA$85</f>
        <v>-2.16</v>
      </c>
      <c r="AB26" s="1"/>
      <c r="AC26" s="65">
        <f>AC25/AC$85</f>
        <v>-2.1100000000000003</v>
      </c>
      <c r="AD26" s="1"/>
      <c r="AE26" s="1"/>
    </row>
    <row r="27" spans="1:31" s="30" customFormat="1" ht="17" thickBot="1" x14ac:dyDescent="0.25">
      <c r="A27" s="1"/>
      <c r="B27" s="31"/>
      <c r="J27" s="31"/>
      <c r="K27" s="31"/>
      <c r="L27" s="31"/>
      <c r="M27" s="31"/>
      <c r="N27" s="31"/>
      <c r="O27" s="31"/>
      <c r="P27" s="31"/>
      <c r="R27" s="1"/>
      <c r="S27" s="1"/>
      <c r="AB27" s="1"/>
      <c r="AD27" s="1"/>
      <c r="AE27" s="1"/>
    </row>
    <row r="28" spans="1:31" s="15" customFormat="1" ht="17" thickBot="1" x14ac:dyDescent="0.25">
      <c r="A28" s="11"/>
      <c r="B28" s="14" t="s">
        <v>38</v>
      </c>
      <c r="R28" s="1"/>
      <c r="S28" s="1"/>
      <c r="AB28" s="1"/>
      <c r="AD28" s="1"/>
      <c r="AE28" s="1"/>
    </row>
    <row r="29" spans="1:31" x14ac:dyDescent="0.2">
      <c r="B29" s="20" t="s">
        <v>39</v>
      </c>
      <c r="C29" s="21"/>
      <c r="D29" s="21"/>
      <c r="E29" s="21"/>
      <c r="F29" s="21"/>
      <c r="G29" s="21"/>
      <c r="H29" s="21"/>
      <c r="I29" s="21"/>
      <c r="J29" s="21"/>
      <c r="K29" s="21"/>
      <c r="L29" s="21"/>
      <c r="M29" s="21">
        <f>4827+2103+21483</f>
        <v>28413</v>
      </c>
      <c r="N29" s="21">
        <f>11144+17194</f>
        <v>28338</v>
      </c>
      <c r="O29" s="21">
        <f>7079+17955</f>
        <v>25034</v>
      </c>
      <c r="P29" s="21">
        <f>8249+13813</f>
        <v>22062</v>
      </c>
      <c r="Q29" s="21">
        <f>14265+23151</f>
        <v>37416</v>
      </c>
      <c r="T29" s="21">
        <f>8785+15301</f>
        <v>24086</v>
      </c>
      <c r="U29" s="21">
        <f>8249+13813</f>
        <v>22062</v>
      </c>
      <c r="V29" s="21">
        <f>8947+12101</f>
        <v>21048</v>
      </c>
      <c r="W29" s="21">
        <f>9643+11563</f>
        <v>21206</v>
      </c>
      <c r="X29" s="21">
        <f>11141+19794</f>
        <v>30935</v>
      </c>
      <c r="Y29" s="21">
        <f>14265+23151</f>
        <v>37416</v>
      </c>
      <c r="Z29" s="21">
        <f>17247+15542</f>
        <v>32789</v>
      </c>
      <c r="AA29" s="21">
        <f>12874+16853</f>
        <v>29727</v>
      </c>
      <c r="AC29" s="21">
        <f>AA29</f>
        <v>29727</v>
      </c>
    </row>
    <row r="30" spans="1:31" x14ac:dyDescent="0.2">
      <c r="B30" s="20" t="s">
        <v>40</v>
      </c>
      <c r="C30" s="21"/>
      <c r="D30" s="21"/>
      <c r="E30" s="21"/>
      <c r="F30" s="21"/>
      <c r="G30" s="21"/>
      <c r="H30" s="21"/>
      <c r="I30" s="21"/>
      <c r="J30" s="21"/>
      <c r="K30" s="21"/>
      <c r="L30" s="21"/>
      <c r="M30" s="21">
        <v>9457</v>
      </c>
      <c r="N30" s="21">
        <v>4133</v>
      </c>
      <c r="O30" s="21">
        <v>3402</v>
      </c>
      <c r="P30" s="21">
        <v>3478</v>
      </c>
      <c r="Q30" s="21">
        <v>3839</v>
      </c>
      <c r="T30" s="21">
        <v>3121</v>
      </c>
      <c r="U30" s="21">
        <v>3478</v>
      </c>
      <c r="V30" s="21">
        <v>3064</v>
      </c>
      <c r="W30" s="21">
        <v>2360</v>
      </c>
      <c r="X30" s="21">
        <v>3202</v>
      </c>
      <c r="Y30" s="21">
        <v>3839</v>
      </c>
      <c r="Z30" s="21">
        <v>4066</v>
      </c>
      <c r="AA30" s="21">
        <v>4033</v>
      </c>
      <c r="AC30" s="21">
        <f t="shared" ref="AC30:AC50" si="21">AA30</f>
        <v>4033</v>
      </c>
    </row>
    <row r="31" spans="1:31" x14ac:dyDescent="0.2">
      <c r="B31" s="20" t="s">
        <v>130</v>
      </c>
      <c r="C31" s="21"/>
      <c r="D31" s="21"/>
      <c r="E31" s="21"/>
      <c r="F31" s="21"/>
      <c r="G31" s="21"/>
      <c r="H31" s="21"/>
      <c r="I31" s="21"/>
      <c r="J31" s="21"/>
      <c r="K31" s="21"/>
      <c r="L31" s="21"/>
      <c r="M31" s="21">
        <v>10776</v>
      </c>
      <c r="N31" s="21">
        <v>13224</v>
      </c>
      <c r="O31" s="21">
        <v>11127</v>
      </c>
      <c r="P31" s="21">
        <v>12198</v>
      </c>
      <c r="Q31" s="21">
        <v>11618</v>
      </c>
      <c r="T31" s="21">
        <v>12062</v>
      </c>
      <c r="U31" s="21">
        <v>12198</v>
      </c>
      <c r="V31" s="21">
        <v>12281</v>
      </c>
      <c r="W31" s="21">
        <v>11377</v>
      </c>
      <c r="X31" s="21">
        <v>11489</v>
      </c>
      <c r="Y31" s="21">
        <v>11618</v>
      </c>
      <c r="Z31" s="21">
        <v>12426</v>
      </c>
      <c r="AA31" s="21">
        <v>12492</v>
      </c>
      <c r="AC31" s="21">
        <f>AA31</f>
        <v>12492</v>
      </c>
    </row>
    <row r="32" spans="1:31" s="34" customFormat="1" x14ac:dyDescent="0.2">
      <c r="A32" s="16"/>
      <c r="B32" s="32" t="s">
        <v>41</v>
      </c>
      <c r="C32" s="33"/>
      <c r="D32" s="33"/>
      <c r="E32" s="33"/>
      <c r="F32" s="33"/>
      <c r="G32" s="33"/>
      <c r="H32" s="33"/>
      <c r="I32" s="33"/>
      <c r="J32" s="33"/>
      <c r="K32" s="33"/>
      <c r="L32" s="33"/>
      <c r="M32" s="33">
        <v>57718</v>
      </c>
      <c r="N32" s="33">
        <v>50407</v>
      </c>
      <c r="O32" s="33">
        <v>43269</v>
      </c>
      <c r="P32" s="33">
        <v>47324</v>
      </c>
      <c r="Q32" s="33">
        <v>63688</v>
      </c>
      <c r="R32" s="1"/>
      <c r="S32" s="1"/>
      <c r="T32" s="33">
        <v>46137</v>
      </c>
      <c r="U32" s="33">
        <v>47324</v>
      </c>
      <c r="V32" s="33">
        <v>42134</v>
      </c>
      <c r="W32" s="33">
        <v>43375</v>
      </c>
      <c r="X32" s="33">
        <v>51731</v>
      </c>
      <c r="Y32" s="33">
        <v>63688</v>
      </c>
      <c r="Z32" s="33">
        <v>62157</v>
      </c>
      <c r="AA32" s="33">
        <v>57213</v>
      </c>
      <c r="AB32" s="1"/>
      <c r="AC32" s="33">
        <f t="shared" si="21"/>
        <v>57213</v>
      </c>
      <c r="AD32" s="1"/>
      <c r="AE32" s="1"/>
    </row>
    <row r="33" spans="1:31" x14ac:dyDescent="0.2">
      <c r="B33" s="20" t="s">
        <v>42</v>
      </c>
      <c r="C33" s="21"/>
      <c r="D33" s="21"/>
      <c r="E33" s="21"/>
      <c r="F33" s="21"/>
      <c r="G33" s="21"/>
      <c r="H33" s="21"/>
      <c r="I33" s="21"/>
      <c r="J33" s="21"/>
      <c r="K33" s="21"/>
      <c r="L33" s="21"/>
      <c r="M33" s="21">
        <v>63245</v>
      </c>
      <c r="N33" s="21">
        <v>80860</v>
      </c>
      <c r="O33" s="21">
        <v>96647</v>
      </c>
      <c r="P33" s="21">
        <v>107919</v>
      </c>
      <c r="Q33" s="21">
        <v>105414</v>
      </c>
      <c r="T33" s="21">
        <v>104248</v>
      </c>
      <c r="U33" s="21">
        <v>107919</v>
      </c>
      <c r="V33" s="21">
        <v>109763</v>
      </c>
      <c r="W33" s="21">
        <v>109510</v>
      </c>
      <c r="X33" s="21">
        <v>105047</v>
      </c>
      <c r="Y33" s="21">
        <v>105414</v>
      </c>
      <c r="Z33" s="21">
        <v>104458</v>
      </c>
      <c r="AA33" s="21">
        <v>105741</v>
      </c>
      <c r="AC33" s="21">
        <f t="shared" si="21"/>
        <v>105741</v>
      </c>
    </row>
    <row r="34" spans="1:31" x14ac:dyDescent="0.2">
      <c r="B34" s="20" t="s">
        <v>385</v>
      </c>
      <c r="C34" s="21"/>
      <c r="D34" s="21"/>
      <c r="E34" s="21"/>
      <c r="F34" s="21"/>
      <c r="G34" s="21"/>
      <c r="H34" s="21"/>
      <c r="I34" s="21"/>
      <c r="J34" s="21"/>
      <c r="K34" s="21"/>
      <c r="L34" s="21"/>
      <c r="M34" s="21">
        <v>6298</v>
      </c>
      <c r="N34" s="21">
        <v>5912</v>
      </c>
      <c r="O34" s="21">
        <v>5829</v>
      </c>
      <c r="P34" s="21">
        <v>5383</v>
      </c>
      <c r="Q34" s="21">
        <v>8512</v>
      </c>
      <c r="T34" s="21">
        <v>5496</v>
      </c>
      <c r="U34" s="21">
        <v>5383</v>
      </c>
      <c r="V34" s="21">
        <v>5027</v>
      </c>
      <c r="W34" s="21">
        <v>5383</v>
      </c>
      <c r="X34" s="21">
        <v>8667</v>
      </c>
      <c r="Y34" s="21">
        <v>8512</v>
      </c>
      <c r="Z34" s="21">
        <v>8481</v>
      </c>
      <c r="AA34" s="21">
        <v>8410</v>
      </c>
      <c r="AC34" s="21">
        <f t="shared" si="21"/>
        <v>8410</v>
      </c>
    </row>
    <row r="35" spans="1:31" x14ac:dyDescent="0.2">
      <c r="B35" s="20" t="s">
        <v>43</v>
      </c>
      <c r="C35" s="21"/>
      <c r="D35" s="21"/>
      <c r="E35" s="21"/>
      <c r="F35" s="21"/>
      <c r="G35" s="21"/>
      <c r="H35" s="21"/>
      <c r="I35" s="21"/>
      <c r="J35" s="21"/>
      <c r="K35" s="21"/>
      <c r="L35" s="21"/>
      <c r="M35" s="21">
        <v>26963</v>
      </c>
      <c r="N35" s="21">
        <v>27591</v>
      </c>
      <c r="O35" s="21">
        <v>27591</v>
      </c>
      <c r="P35" s="21">
        <v>24693</v>
      </c>
      <c r="Q35" s="21">
        <v>23912</v>
      </c>
      <c r="T35" s="21">
        <v>24680</v>
      </c>
      <c r="U35" s="21">
        <v>24693</v>
      </c>
      <c r="V35" s="21">
        <v>24693</v>
      </c>
      <c r="W35" s="21">
        <v>23912</v>
      </c>
      <c r="X35" s="21">
        <v>23912</v>
      </c>
      <c r="Y35" s="21">
        <v>23912</v>
      </c>
      <c r="Z35" s="21">
        <v>20465</v>
      </c>
      <c r="AA35" s="21">
        <v>20465</v>
      </c>
      <c r="AC35" s="21">
        <f t="shared" si="21"/>
        <v>20465</v>
      </c>
    </row>
    <row r="36" spans="1:31" s="34" customFormat="1" x14ac:dyDescent="0.2">
      <c r="A36" s="16"/>
      <c r="B36" s="32" t="s">
        <v>44</v>
      </c>
      <c r="C36" s="35"/>
      <c r="D36" s="35"/>
      <c r="E36" s="35"/>
      <c r="F36" s="35"/>
      <c r="G36" s="35"/>
      <c r="H36" s="35"/>
      <c r="I36" s="35"/>
      <c r="J36" s="35"/>
      <c r="K36" s="35"/>
      <c r="L36" s="35"/>
      <c r="M36" s="35">
        <f t="shared" ref="M36:O36" si="22">M37-M32</f>
        <v>110688</v>
      </c>
      <c r="N36" s="35">
        <f t="shared" si="22"/>
        <v>131696</v>
      </c>
      <c r="O36" s="35">
        <f t="shared" si="22"/>
        <v>148303</v>
      </c>
      <c r="P36" s="35">
        <f>P37-P32</f>
        <v>149161</v>
      </c>
      <c r="Q36" s="35">
        <f>Q37-Q32</f>
        <v>147741</v>
      </c>
      <c r="R36" s="1"/>
      <c r="S36" s="1"/>
      <c r="T36" s="35">
        <f t="shared" ref="T36:Y36" si="23">T37-T32</f>
        <v>147405</v>
      </c>
      <c r="U36" s="35">
        <f t="shared" si="23"/>
        <v>149161</v>
      </c>
      <c r="V36" s="35">
        <f t="shared" si="23"/>
        <v>150108</v>
      </c>
      <c r="W36" s="35">
        <f t="shared" si="23"/>
        <v>149145</v>
      </c>
      <c r="X36" s="35">
        <f t="shared" si="23"/>
        <v>152783</v>
      </c>
      <c r="Y36" s="35">
        <f t="shared" si="23"/>
        <v>147741</v>
      </c>
      <c r="Z36" s="35">
        <f t="shared" ref="Z36:AA36" si="24">Z37-Z32</f>
        <v>143175</v>
      </c>
      <c r="AA36" s="35">
        <f t="shared" si="24"/>
        <v>145226</v>
      </c>
      <c r="AB36" s="1"/>
      <c r="AC36" s="35">
        <f t="shared" si="21"/>
        <v>145226</v>
      </c>
      <c r="AD36" s="1"/>
      <c r="AE36" s="1"/>
    </row>
    <row r="37" spans="1:31" s="19" customFormat="1" x14ac:dyDescent="0.2">
      <c r="A37" s="16"/>
      <c r="B37" s="17" t="s">
        <v>45</v>
      </c>
      <c r="C37" s="18"/>
      <c r="D37" s="18"/>
      <c r="E37" s="18"/>
      <c r="F37" s="18"/>
      <c r="G37" s="18"/>
      <c r="H37" s="18"/>
      <c r="I37" s="18"/>
      <c r="J37" s="18"/>
      <c r="K37" s="18"/>
      <c r="L37" s="18"/>
      <c r="M37" s="18">
        <v>168406</v>
      </c>
      <c r="N37" s="18">
        <v>182103</v>
      </c>
      <c r="O37" s="18">
        <v>191572</v>
      </c>
      <c r="P37" s="18">
        <v>196485</v>
      </c>
      <c r="Q37" s="18">
        <v>211429</v>
      </c>
      <c r="R37" s="1"/>
      <c r="S37" s="1"/>
      <c r="T37" s="18">
        <v>193542</v>
      </c>
      <c r="U37" s="18">
        <v>196485</v>
      </c>
      <c r="V37" s="18">
        <v>192242</v>
      </c>
      <c r="W37" s="18">
        <v>192520</v>
      </c>
      <c r="X37" s="18">
        <v>204514</v>
      </c>
      <c r="Y37" s="18">
        <v>211429</v>
      </c>
      <c r="Z37" s="18">
        <v>205332</v>
      </c>
      <c r="AA37" s="18">
        <v>202439</v>
      </c>
      <c r="AB37" s="1"/>
      <c r="AC37" s="18">
        <f t="shared" si="21"/>
        <v>202439</v>
      </c>
      <c r="AD37" s="1"/>
      <c r="AE37" s="1"/>
    </row>
    <row r="38" spans="1:31" x14ac:dyDescent="0.2">
      <c r="B38" s="20" t="s">
        <v>46</v>
      </c>
      <c r="C38" s="21"/>
      <c r="D38" s="21"/>
      <c r="E38" s="21"/>
      <c r="F38" s="21"/>
      <c r="G38" s="21"/>
      <c r="H38" s="21"/>
      <c r="I38" s="21"/>
      <c r="J38" s="21"/>
      <c r="K38" s="21"/>
      <c r="L38" s="21"/>
      <c r="M38" s="21">
        <v>5747</v>
      </c>
      <c r="N38" s="21">
        <v>9595</v>
      </c>
      <c r="O38" s="21">
        <v>8572</v>
      </c>
      <c r="P38" s="21">
        <v>12556</v>
      </c>
      <c r="Q38" s="21">
        <v>9882</v>
      </c>
      <c r="T38" s="21">
        <v>11074</v>
      </c>
      <c r="U38" s="21">
        <v>12556</v>
      </c>
      <c r="V38" s="21">
        <v>10896</v>
      </c>
      <c r="W38" s="21">
        <v>10666</v>
      </c>
      <c r="X38" s="21">
        <v>10268</v>
      </c>
      <c r="Y38" s="21">
        <v>9882</v>
      </c>
      <c r="Z38" s="21">
        <v>7159</v>
      </c>
      <c r="AA38" s="21">
        <v>8756</v>
      </c>
      <c r="AC38" s="21">
        <f t="shared" si="21"/>
        <v>8756</v>
      </c>
    </row>
    <row r="39" spans="1:31" x14ac:dyDescent="0.2">
      <c r="B39" s="20" t="s">
        <v>164</v>
      </c>
      <c r="C39" s="21"/>
      <c r="D39" s="21"/>
      <c r="E39" s="21"/>
      <c r="F39" s="21"/>
      <c r="G39" s="21"/>
      <c r="H39" s="21"/>
      <c r="I39" s="21"/>
      <c r="J39" s="21"/>
      <c r="K39" s="21"/>
      <c r="L39" s="21"/>
      <c r="M39" s="21">
        <v>4591</v>
      </c>
      <c r="N39" s="21">
        <v>4367</v>
      </c>
      <c r="O39" s="21">
        <v>2288</v>
      </c>
      <c r="P39" s="21">
        <v>3729</v>
      </c>
      <c r="Q39" s="21">
        <v>2499</v>
      </c>
      <c r="T39" s="21">
        <v>3765</v>
      </c>
      <c r="U39" s="21">
        <v>3729</v>
      </c>
      <c r="V39" s="21">
        <v>5240</v>
      </c>
      <c r="W39" s="21">
        <v>6731</v>
      </c>
      <c r="X39" s="21">
        <v>2496</v>
      </c>
      <c r="Y39" s="21">
        <v>2499</v>
      </c>
      <c r="Z39" s="21">
        <v>2004</v>
      </c>
      <c r="AA39" s="21">
        <v>1988</v>
      </c>
      <c r="AC39" s="21">
        <f t="shared" si="21"/>
        <v>1988</v>
      </c>
    </row>
    <row r="40" spans="1:31" s="34" customFormat="1" x14ac:dyDescent="0.2">
      <c r="A40" s="16"/>
      <c r="B40" s="32" t="s">
        <v>47</v>
      </c>
      <c r="C40" s="33"/>
      <c r="D40" s="33"/>
      <c r="E40" s="33"/>
      <c r="F40" s="33"/>
      <c r="G40" s="33"/>
      <c r="H40" s="33"/>
      <c r="I40" s="33"/>
      <c r="J40" s="33"/>
      <c r="K40" s="33"/>
      <c r="L40" s="33"/>
      <c r="M40" s="33">
        <v>27462</v>
      </c>
      <c r="N40" s="33">
        <v>32155</v>
      </c>
      <c r="O40" s="33">
        <v>28053</v>
      </c>
      <c r="P40" s="33">
        <v>35666</v>
      </c>
      <c r="Q40" s="33">
        <v>31575</v>
      </c>
      <c r="R40" s="59"/>
      <c r="S40" s="59"/>
      <c r="T40" s="33">
        <v>35159</v>
      </c>
      <c r="U40" s="33">
        <v>35666</v>
      </c>
      <c r="V40" s="33">
        <v>32174</v>
      </c>
      <c r="W40" s="33">
        <v>34966</v>
      </c>
      <c r="X40" s="33">
        <v>32297</v>
      </c>
      <c r="Y40" s="33">
        <v>31575</v>
      </c>
      <c r="Z40" s="33">
        <v>26885</v>
      </c>
      <c r="AA40" s="33">
        <v>35670</v>
      </c>
      <c r="AB40" s="1"/>
      <c r="AC40" s="33">
        <f t="shared" si="21"/>
        <v>35670</v>
      </c>
      <c r="AD40" s="1"/>
      <c r="AE40" s="1"/>
    </row>
    <row r="41" spans="1:31" x14ac:dyDescent="0.2">
      <c r="B41" s="20" t="s">
        <v>164</v>
      </c>
      <c r="C41" s="21"/>
      <c r="D41" s="21"/>
      <c r="E41" s="21"/>
      <c r="F41" s="21"/>
      <c r="G41" s="21"/>
      <c r="H41" s="21"/>
      <c r="I41" s="21"/>
      <c r="J41" s="21"/>
      <c r="K41" s="21"/>
      <c r="L41" s="21"/>
      <c r="M41" s="21">
        <v>33510</v>
      </c>
      <c r="N41" s="21">
        <v>37684</v>
      </c>
      <c r="O41" s="21">
        <v>46978</v>
      </c>
      <c r="P41" s="21">
        <v>46282</v>
      </c>
      <c r="Q41" s="21">
        <v>44086</v>
      </c>
      <c r="T41" s="21">
        <v>46471</v>
      </c>
      <c r="U41" s="21">
        <v>46282</v>
      </c>
      <c r="V41" s="21">
        <v>44911</v>
      </c>
      <c r="W41" s="21">
        <v>44026</v>
      </c>
      <c r="X41" s="21">
        <v>44057</v>
      </c>
      <c r="Y41" s="21">
        <v>44086</v>
      </c>
      <c r="Z41" s="21">
        <v>43027</v>
      </c>
      <c r="AA41" s="21">
        <v>48549</v>
      </c>
      <c r="AC41" s="21">
        <f t="shared" si="21"/>
        <v>48549</v>
      </c>
    </row>
    <row r="42" spans="1:31" s="34" customFormat="1" x14ac:dyDescent="0.2">
      <c r="A42" s="16"/>
      <c r="B42" s="32" t="s">
        <v>48</v>
      </c>
      <c r="C42" s="35"/>
      <c r="D42" s="35"/>
      <c r="E42" s="35"/>
      <c r="F42" s="35"/>
      <c r="G42" s="35"/>
      <c r="H42" s="35"/>
      <c r="I42" s="35"/>
      <c r="J42" s="35"/>
      <c r="K42" s="35"/>
      <c r="L42" s="35"/>
      <c r="M42" s="35">
        <f>M41+185+4305+2667+4886</f>
        <v>45553</v>
      </c>
      <c r="N42" s="35">
        <f>N41+8978</f>
        <v>46662</v>
      </c>
      <c r="O42" s="35">
        <f>O41+6576</f>
        <v>53554</v>
      </c>
      <c r="P42" s="35">
        <f>P41+9505</f>
        <v>55787</v>
      </c>
      <c r="Q42" s="35">
        <f>Q41+9408</f>
        <v>53494</v>
      </c>
      <c r="R42" s="1"/>
      <c r="S42" s="1"/>
      <c r="T42" s="35">
        <f>T41+7048</f>
        <v>53519</v>
      </c>
      <c r="U42" s="35">
        <f>U41+9505</f>
        <v>55787</v>
      </c>
      <c r="V42" s="35">
        <f>V41+8744</f>
        <v>53655</v>
      </c>
      <c r="W42" s="35">
        <f>W41+7777</f>
        <v>51803</v>
      </c>
      <c r="X42" s="35">
        <f>X41+11430</f>
        <v>55487</v>
      </c>
      <c r="Y42" s="35">
        <f>Y41+9408</f>
        <v>53494</v>
      </c>
      <c r="Z42" s="35">
        <f>Z41+10431</f>
        <v>53458</v>
      </c>
      <c r="AA42" s="35">
        <f>AA41+15077</f>
        <v>63626</v>
      </c>
      <c r="AB42" s="24"/>
      <c r="AC42" s="35">
        <f t="shared" si="21"/>
        <v>63626</v>
      </c>
      <c r="AD42" s="1"/>
      <c r="AE42" s="1"/>
    </row>
    <row r="43" spans="1:31" s="19" customFormat="1" x14ac:dyDescent="0.2">
      <c r="A43" s="16"/>
      <c r="B43" s="17" t="s">
        <v>49</v>
      </c>
      <c r="C43" s="18"/>
      <c r="D43" s="18"/>
      <c r="E43" s="18"/>
      <c r="F43" s="18"/>
      <c r="G43" s="18"/>
      <c r="H43" s="18"/>
      <c r="I43" s="18"/>
      <c r="J43" s="18"/>
      <c r="K43" s="18"/>
      <c r="L43" s="18"/>
      <c r="M43" s="22">
        <f t="shared" ref="M43:P43" si="25">M40+M42</f>
        <v>73015</v>
      </c>
      <c r="N43" s="22">
        <f t="shared" si="25"/>
        <v>78817</v>
      </c>
      <c r="O43" s="22">
        <f t="shared" si="25"/>
        <v>81607</v>
      </c>
      <c r="P43" s="22">
        <f t="shared" si="25"/>
        <v>91453</v>
      </c>
      <c r="Q43" s="22">
        <f>Q40+Q42</f>
        <v>85069</v>
      </c>
      <c r="R43" s="1"/>
      <c r="S43" s="1"/>
      <c r="T43" s="22">
        <f t="shared" ref="T43:Z43" si="26">T40+T42</f>
        <v>88678</v>
      </c>
      <c r="U43" s="22">
        <f t="shared" si="26"/>
        <v>91453</v>
      </c>
      <c r="V43" s="22">
        <f t="shared" si="26"/>
        <v>85829</v>
      </c>
      <c r="W43" s="22">
        <f t="shared" si="26"/>
        <v>86769</v>
      </c>
      <c r="X43" s="22">
        <f t="shared" si="26"/>
        <v>87784</v>
      </c>
      <c r="Y43" s="22">
        <f t="shared" si="26"/>
        <v>85069</v>
      </c>
      <c r="Z43" s="22">
        <f t="shared" si="26"/>
        <v>80343</v>
      </c>
      <c r="AA43" s="22">
        <f t="shared" ref="AA43" si="27">AA40+AA42</f>
        <v>99296</v>
      </c>
      <c r="AB43" s="1"/>
      <c r="AC43" s="18">
        <f t="shared" si="21"/>
        <v>99296</v>
      </c>
      <c r="AD43" s="1"/>
      <c r="AE43" s="1"/>
    </row>
    <row r="44" spans="1:31" x14ac:dyDescent="0.2">
      <c r="B44" s="20" t="s">
        <v>51</v>
      </c>
      <c r="C44" s="21"/>
      <c r="D44" s="21"/>
      <c r="E44" s="21"/>
      <c r="F44" s="21"/>
      <c r="G44" s="21"/>
      <c r="H44" s="21"/>
      <c r="I44" s="21"/>
      <c r="J44" s="21"/>
      <c r="K44" s="21"/>
      <c r="L44" s="21"/>
      <c r="M44" s="61">
        <v>0</v>
      </c>
      <c r="N44" s="61">
        <v>0</v>
      </c>
      <c r="O44" s="61">
        <v>0</v>
      </c>
      <c r="P44" s="61">
        <v>0</v>
      </c>
      <c r="Q44" s="61">
        <v>0</v>
      </c>
      <c r="T44" s="61">
        <v>0</v>
      </c>
      <c r="U44" s="61">
        <v>0</v>
      </c>
      <c r="V44" s="61">
        <v>0</v>
      </c>
      <c r="W44" s="61">
        <v>0</v>
      </c>
      <c r="X44" s="61">
        <v>0</v>
      </c>
      <c r="Y44" s="61">
        <v>0</v>
      </c>
      <c r="Z44" s="61">
        <v>0</v>
      </c>
      <c r="AA44" s="61">
        <v>0</v>
      </c>
      <c r="AC44" s="61">
        <f t="shared" si="21"/>
        <v>0</v>
      </c>
    </row>
    <row r="45" spans="1:31" x14ac:dyDescent="0.2">
      <c r="B45" s="20" t="s">
        <v>341</v>
      </c>
      <c r="C45" s="21"/>
      <c r="D45" s="21"/>
      <c r="E45" s="21"/>
      <c r="F45" s="21"/>
      <c r="G45" s="21"/>
      <c r="H45" s="21"/>
      <c r="I45" s="21"/>
      <c r="J45" s="21"/>
      <c r="K45" s="21"/>
      <c r="L45" s="21"/>
      <c r="M45" s="61">
        <v>0</v>
      </c>
      <c r="N45" s="61">
        <v>0</v>
      </c>
      <c r="O45" s="61">
        <v>0</v>
      </c>
      <c r="P45" s="61">
        <v>0</v>
      </c>
      <c r="Q45" s="61">
        <v>0</v>
      </c>
      <c r="T45" s="61">
        <v>0</v>
      </c>
      <c r="U45" s="61">
        <v>0</v>
      </c>
      <c r="V45" s="61">
        <v>0</v>
      </c>
      <c r="W45" s="61">
        <v>0</v>
      </c>
      <c r="X45" s="61">
        <v>0</v>
      </c>
      <c r="Y45" s="61">
        <v>0</v>
      </c>
      <c r="Z45" s="61">
        <v>0</v>
      </c>
      <c r="AA45" s="61">
        <v>0</v>
      </c>
      <c r="AC45" s="61"/>
    </row>
    <row r="46" spans="1:31" x14ac:dyDescent="0.2">
      <c r="B46" s="20" t="s">
        <v>50</v>
      </c>
      <c r="C46" s="21"/>
      <c r="D46" s="21"/>
      <c r="E46" s="21"/>
      <c r="F46" s="21"/>
      <c r="G46" s="21"/>
      <c r="H46" s="21"/>
      <c r="I46" s="21"/>
      <c r="J46" s="21"/>
      <c r="K46" s="21"/>
      <c r="L46" s="21"/>
      <c r="M46" s="21">
        <v>28006</v>
      </c>
      <c r="N46" s="21">
        <v>31580</v>
      </c>
      <c r="O46" s="21">
        <v>36649</v>
      </c>
      <c r="P46" s="61">
        <v>50949</v>
      </c>
      <c r="Q46" s="61">
        <v>65186</v>
      </c>
      <c r="T46" s="61">
        <v>50665</v>
      </c>
      <c r="U46" s="61">
        <v>50949</v>
      </c>
      <c r="V46" s="61">
        <v>51920</v>
      </c>
      <c r="W46" s="61">
        <v>52334</v>
      </c>
      <c r="X46" s="61">
        <v>56755</v>
      </c>
      <c r="Y46" s="61">
        <v>65186</v>
      </c>
      <c r="Z46" s="61">
        <v>66259</v>
      </c>
      <c r="AA46" s="61">
        <v>53780</v>
      </c>
      <c r="AC46" s="61">
        <f t="shared" si="21"/>
        <v>53780</v>
      </c>
    </row>
    <row r="47" spans="1:31" x14ac:dyDescent="0.2">
      <c r="B47" s="20" t="s">
        <v>342</v>
      </c>
      <c r="C47" s="21"/>
      <c r="D47" s="21"/>
      <c r="E47" s="21"/>
      <c r="F47" s="21"/>
      <c r="G47" s="21"/>
      <c r="H47" s="21"/>
      <c r="I47" s="21"/>
      <c r="J47" s="21"/>
      <c r="K47" s="21"/>
      <c r="L47" s="21"/>
      <c r="M47" s="61">
        <v>68265</v>
      </c>
      <c r="N47" s="61">
        <v>70405</v>
      </c>
      <c r="O47" s="61">
        <v>69156</v>
      </c>
      <c r="P47" s="61">
        <v>49032</v>
      </c>
      <c r="Q47" s="61">
        <v>48983</v>
      </c>
      <c r="T47" s="61">
        <v>49052</v>
      </c>
      <c r="U47" s="61">
        <v>49032</v>
      </c>
      <c r="V47" s="61">
        <v>48322</v>
      </c>
      <c r="W47" s="61">
        <v>45484</v>
      </c>
      <c r="X47" s="61">
        <v>49602</v>
      </c>
      <c r="Y47" s="61">
        <v>48983</v>
      </c>
      <c r="Z47" s="61">
        <v>45179</v>
      </c>
      <c r="AA47" s="61">
        <v>33842</v>
      </c>
      <c r="AC47" s="61">
        <f t="shared" si="21"/>
        <v>33842</v>
      </c>
    </row>
    <row r="48" spans="1:31" x14ac:dyDescent="0.2">
      <c r="B48" s="20" t="s">
        <v>321</v>
      </c>
      <c r="C48" s="21"/>
      <c r="D48" s="21"/>
      <c r="E48" s="21"/>
      <c r="F48" s="21"/>
      <c r="G48" s="21"/>
      <c r="H48" s="21"/>
      <c r="I48" s="21"/>
      <c r="J48" s="21"/>
      <c r="K48" s="21"/>
      <c r="L48" s="21"/>
      <c r="M48" s="61">
        <v>0</v>
      </c>
      <c r="N48" s="61">
        <v>1863</v>
      </c>
      <c r="O48" s="61">
        <v>4375</v>
      </c>
      <c r="P48" s="61">
        <v>5762</v>
      </c>
      <c r="Q48" s="61">
        <v>12079</v>
      </c>
      <c r="T48" s="61">
        <v>5332</v>
      </c>
      <c r="U48" s="61">
        <v>5762</v>
      </c>
      <c r="V48" s="61">
        <v>6657</v>
      </c>
      <c r="W48" s="61">
        <v>7868</v>
      </c>
      <c r="X48" s="61">
        <v>10354</v>
      </c>
      <c r="Y48" s="61">
        <v>12079</v>
      </c>
      <c r="Z48" s="61">
        <v>13595</v>
      </c>
      <c r="AA48" s="61">
        <v>15601</v>
      </c>
      <c r="AC48" s="61">
        <f t="shared" si="21"/>
        <v>15601</v>
      </c>
    </row>
    <row r="49" spans="1:31" s="34" customFormat="1" x14ac:dyDescent="0.2">
      <c r="A49" s="16"/>
      <c r="B49" s="32" t="s">
        <v>52</v>
      </c>
      <c r="C49" s="33"/>
      <c r="D49" s="33"/>
      <c r="E49" s="33"/>
      <c r="F49" s="33"/>
      <c r="G49" s="33"/>
      <c r="H49" s="33"/>
      <c r="I49" s="33"/>
      <c r="J49" s="33"/>
      <c r="K49" s="33"/>
      <c r="L49" s="33"/>
      <c r="M49" s="33">
        <v>95391</v>
      </c>
      <c r="N49" s="33">
        <v>101423</v>
      </c>
      <c r="O49" s="33">
        <v>105590</v>
      </c>
      <c r="P49" s="33">
        <v>99270</v>
      </c>
      <c r="Q49" s="33">
        <v>114281</v>
      </c>
      <c r="R49" s="1"/>
      <c r="S49" s="1"/>
      <c r="T49" s="33">
        <v>99532</v>
      </c>
      <c r="U49" s="33">
        <v>99270</v>
      </c>
      <c r="V49" s="33">
        <v>99756</v>
      </c>
      <c r="W49" s="33">
        <v>97883</v>
      </c>
      <c r="X49" s="33">
        <v>106376</v>
      </c>
      <c r="Y49" s="33">
        <v>114281</v>
      </c>
      <c r="Z49" s="33">
        <v>111394</v>
      </c>
      <c r="AA49" s="33">
        <v>87542</v>
      </c>
      <c r="AB49" s="1"/>
      <c r="AC49" s="33">
        <f t="shared" si="21"/>
        <v>87542</v>
      </c>
      <c r="AD49" s="1"/>
      <c r="AE49" s="1"/>
    </row>
    <row r="50" spans="1:31" s="38" customFormat="1" ht="17" thickBot="1" x14ac:dyDescent="0.25">
      <c r="A50" s="16"/>
      <c r="B50" s="36" t="s">
        <v>53</v>
      </c>
      <c r="C50" s="37"/>
      <c r="D50" s="37"/>
      <c r="E50" s="37"/>
      <c r="F50" s="37"/>
      <c r="G50" s="37"/>
      <c r="H50" s="37"/>
      <c r="I50" s="37"/>
      <c r="J50" s="37"/>
      <c r="K50" s="37"/>
      <c r="L50" s="37"/>
      <c r="M50" s="37">
        <v>168406</v>
      </c>
      <c r="N50" s="37">
        <v>182103</v>
      </c>
      <c r="O50" s="37">
        <v>191572</v>
      </c>
      <c r="P50" s="37">
        <v>196485</v>
      </c>
      <c r="Q50" s="37">
        <v>211429</v>
      </c>
      <c r="R50" s="1"/>
      <c r="S50" s="1"/>
      <c r="T50" s="37">
        <v>193542</v>
      </c>
      <c r="U50" s="37">
        <v>196485</v>
      </c>
      <c r="V50" s="37">
        <v>192242</v>
      </c>
      <c r="W50" s="37">
        <v>192520</v>
      </c>
      <c r="X50" s="37">
        <v>204514</v>
      </c>
      <c r="Y50" s="37">
        <v>211429</v>
      </c>
      <c r="Z50" s="37">
        <v>205332</v>
      </c>
      <c r="AA50" s="37">
        <v>202439</v>
      </c>
      <c r="AB50" s="1"/>
      <c r="AC50" s="37">
        <f t="shared" si="21"/>
        <v>202439</v>
      </c>
      <c r="AD50" s="1"/>
      <c r="AE50" s="1"/>
    </row>
    <row r="51" spans="1:31" x14ac:dyDescent="0.2">
      <c r="B51" s="1"/>
    </row>
    <row r="52" spans="1:31" s="15" customFormat="1" ht="17" thickBot="1" x14ac:dyDescent="0.25">
      <c r="A52" s="11"/>
      <c r="B52" s="14" t="s">
        <v>54</v>
      </c>
      <c r="R52" s="1"/>
      <c r="S52" s="1"/>
      <c r="AB52" s="1"/>
      <c r="AD52" s="1"/>
      <c r="AE52" s="1"/>
    </row>
    <row r="53" spans="1:31" x14ac:dyDescent="0.2">
      <c r="B53" s="20" t="s">
        <v>55</v>
      </c>
      <c r="C53" s="61"/>
      <c r="D53" s="61"/>
      <c r="E53" s="61"/>
      <c r="F53" s="61"/>
      <c r="G53" s="61"/>
      <c r="H53" s="61"/>
      <c r="I53" s="61"/>
      <c r="J53" s="61"/>
      <c r="K53" s="61"/>
      <c r="L53" s="61"/>
      <c r="M53" s="61">
        <f>9953+1839</f>
        <v>11792</v>
      </c>
      <c r="N53" s="61">
        <f>11128+1907</f>
        <v>13035</v>
      </c>
      <c r="O53" s="61">
        <f>7847+1755</f>
        <v>9602</v>
      </c>
      <c r="P53" s="61">
        <f>9951+1428</f>
        <v>11379</v>
      </c>
      <c r="Q53" s="61">
        <f>10757+949</f>
        <v>11706</v>
      </c>
      <c r="T53" s="61"/>
      <c r="U53" s="61"/>
      <c r="V53" s="61">
        <f>2425+249</f>
        <v>2674</v>
      </c>
      <c r="W53" s="61">
        <v>3013</v>
      </c>
      <c r="X53" s="61">
        <v>2992</v>
      </c>
      <c r="Y53" s="61">
        <f>P53-SUM(V53:X53)</f>
        <v>2700</v>
      </c>
      <c r="Z53" s="61">
        <f>2902+234</f>
        <v>3136</v>
      </c>
      <c r="AA53" s="61">
        <v>3224</v>
      </c>
      <c r="AC53" s="61">
        <f>SUM(X53:AA53)</f>
        <v>12052</v>
      </c>
    </row>
    <row r="54" spans="1:31" x14ac:dyDescent="0.2">
      <c r="B54" s="23" t="s">
        <v>56</v>
      </c>
      <c r="C54" s="61"/>
      <c r="D54" s="61"/>
      <c r="E54" s="61"/>
      <c r="F54" s="61"/>
      <c r="G54" s="61"/>
      <c r="H54" s="61"/>
      <c r="I54" s="61"/>
      <c r="J54" s="61"/>
      <c r="K54" s="61"/>
      <c r="L54" s="61"/>
      <c r="M54" s="61">
        <v>2036</v>
      </c>
      <c r="N54" s="61">
        <v>3128</v>
      </c>
      <c r="O54" s="61">
        <v>3229</v>
      </c>
      <c r="P54" s="61">
        <v>3410</v>
      </c>
      <c r="Q54" s="61">
        <v>2434</v>
      </c>
      <c r="T54" s="61"/>
      <c r="U54" s="61"/>
      <c r="V54" s="61">
        <v>684</v>
      </c>
      <c r="W54" s="61">
        <v>664</v>
      </c>
      <c r="X54" s="61">
        <v>548</v>
      </c>
      <c r="Y54" s="61">
        <f t="shared" ref="Y54:Y66" si="28">P54-SUM(V54:X54)</f>
        <v>1514</v>
      </c>
      <c r="Z54" s="61">
        <v>621</v>
      </c>
      <c r="AA54" s="61">
        <v>686</v>
      </c>
      <c r="AC54" s="61">
        <f t="shared" ref="AC54:AC58" si="29">SUM(X54:AA54)</f>
        <v>3369</v>
      </c>
    </row>
    <row r="55" spans="1:31" x14ac:dyDescent="0.2">
      <c r="B55" s="23" t="s">
        <v>91</v>
      </c>
      <c r="C55" s="61"/>
      <c r="D55" s="61"/>
      <c r="E55" s="61"/>
      <c r="F55" s="61"/>
      <c r="G55" s="61"/>
      <c r="H55" s="61"/>
      <c r="I55" s="61"/>
      <c r="J55" s="61"/>
      <c r="K55" s="61"/>
      <c r="L55" s="61"/>
      <c r="M55" s="61">
        <v>-2674</v>
      </c>
      <c r="N55" s="61">
        <v>5327</v>
      </c>
      <c r="O55" s="61">
        <v>731</v>
      </c>
      <c r="P55" s="61">
        <v>-75</v>
      </c>
      <c r="Q55" s="61">
        <v>-449</v>
      </c>
      <c r="T55" s="61"/>
      <c r="U55" s="61"/>
      <c r="V55" s="61">
        <v>414</v>
      </c>
      <c r="W55" s="61">
        <v>590</v>
      </c>
      <c r="X55" s="61">
        <v>-842</v>
      </c>
      <c r="Y55" s="61">
        <f t="shared" si="28"/>
        <v>-237</v>
      </c>
      <c r="Z55" s="61">
        <v>-217</v>
      </c>
      <c r="AA55" s="61">
        <v>-4</v>
      </c>
      <c r="AC55" s="61">
        <f t="shared" si="29"/>
        <v>-1300</v>
      </c>
    </row>
    <row r="56" spans="1:31" x14ac:dyDescent="0.2">
      <c r="B56" s="23" t="s">
        <v>140</v>
      </c>
      <c r="C56" s="61"/>
      <c r="D56" s="61"/>
      <c r="E56" s="61"/>
      <c r="F56" s="61"/>
      <c r="G56" s="61"/>
      <c r="H56" s="61"/>
      <c r="I56" s="61"/>
      <c r="J56" s="61"/>
      <c r="K56" s="61"/>
      <c r="L56" s="61"/>
      <c r="M56" s="61">
        <v>-2339</v>
      </c>
      <c r="N56" s="61">
        <v>-2436</v>
      </c>
      <c r="O56" s="61">
        <v>2097</v>
      </c>
      <c r="P56" s="61">
        <v>-1105</v>
      </c>
      <c r="Q56" s="61">
        <v>-138</v>
      </c>
      <c r="T56" s="61"/>
      <c r="U56" s="61"/>
      <c r="V56" s="61">
        <v>-83</v>
      </c>
      <c r="W56" s="61">
        <v>182</v>
      </c>
      <c r="X56" s="61">
        <v>-108</v>
      </c>
      <c r="Y56" s="61">
        <f t="shared" si="28"/>
        <v>-1096</v>
      </c>
      <c r="Z56" s="61">
        <v>-808</v>
      </c>
      <c r="AA56" s="61">
        <v>-66</v>
      </c>
      <c r="AC56" s="61">
        <f>SUM(X56:AA56)</f>
        <v>-2078</v>
      </c>
    </row>
    <row r="57" spans="1:31" x14ac:dyDescent="0.2">
      <c r="B57" s="23" t="s">
        <v>92</v>
      </c>
      <c r="C57" s="61"/>
      <c r="D57" s="61"/>
      <c r="E57" s="61"/>
      <c r="F57" s="61"/>
      <c r="G57" s="61"/>
      <c r="H57" s="61"/>
      <c r="I57" s="61"/>
      <c r="J57" s="61"/>
      <c r="K57" s="61"/>
      <c r="L57" s="61"/>
      <c r="M57" s="61">
        <v>1190</v>
      </c>
      <c r="N57" s="61">
        <v>-29</v>
      </c>
      <c r="O57" s="61">
        <v>-801</v>
      </c>
      <c r="P57" s="61">
        <v>634</v>
      </c>
      <c r="Q57" s="61">
        <v>297</v>
      </c>
      <c r="T57" s="61"/>
      <c r="U57" s="61"/>
      <c r="V57" s="61">
        <v>-240</v>
      </c>
      <c r="W57" s="61">
        <v>354</v>
      </c>
      <c r="X57" s="61">
        <v>-395</v>
      </c>
      <c r="Y57" s="61">
        <f t="shared" si="28"/>
        <v>915</v>
      </c>
      <c r="Z57" s="61">
        <v>-142</v>
      </c>
      <c r="AA57" s="61">
        <v>452</v>
      </c>
      <c r="AC57" s="61">
        <f t="shared" si="29"/>
        <v>830</v>
      </c>
    </row>
    <row r="58" spans="1:31" x14ac:dyDescent="0.2">
      <c r="B58" s="23" t="s">
        <v>93</v>
      </c>
      <c r="C58" s="61"/>
      <c r="D58" s="61"/>
      <c r="E58" s="61"/>
      <c r="F58" s="61"/>
      <c r="G58" s="61"/>
      <c r="H58" s="61"/>
      <c r="I58" s="61"/>
      <c r="J58" s="61"/>
      <c r="K58" s="61"/>
      <c r="L58" s="61"/>
      <c r="M58" s="61">
        <f>515-1583-441-76</f>
        <v>-1585</v>
      </c>
      <c r="N58" s="61">
        <f>-1533-24-4535-1278</f>
        <v>-7370</v>
      </c>
      <c r="O58" s="61">
        <f>-614-1498-484</f>
        <v>-2596</v>
      </c>
      <c r="P58" s="61">
        <f>2223-218-356</f>
        <v>1649</v>
      </c>
      <c r="Q58" s="61">
        <f>788-995-1250</f>
        <v>-1457</v>
      </c>
      <c r="T58" s="61"/>
      <c r="U58" s="61"/>
      <c r="V58" s="61">
        <f>-741+67-1206</f>
        <v>-1880</v>
      </c>
      <c r="W58" s="61">
        <v>-2222</v>
      </c>
      <c r="X58" s="61">
        <v>2024</v>
      </c>
      <c r="Y58" s="61">
        <f t="shared" si="28"/>
        <v>3727</v>
      </c>
      <c r="Z58" s="61">
        <f>-1175+169-1325</f>
        <v>-2331</v>
      </c>
      <c r="AA58" s="61">
        <v>845</v>
      </c>
      <c r="AC58" s="61">
        <f t="shared" si="29"/>
        <v>4265</v>
      </c>
    </row>
    <row r="59" spans="1:31" s="19" customFormat="1" x14ac:dyDescent="0.2">
      <c r="A59" s="16"/>
      <c r="B59" s="17" t="s">
        <v>57</v>
      </c>
      <c r="C59" s="60"/>
      <c r="D59" s="60"/>
      <c r="E59" s="60"/>
      <c r="F59" s="60"/>
      <c r="G59" s="60"/>
      <c r="H59" s="60"/>
      <c r="I59" s="60"/>
      <c r="J59" s="60"/>
      <c r="K59" s="60"/>
      <c r="L59" s="60"/>
      <c r="M59" s="60">
        <v>29456</v>
      </c>
      <c r="N59" s="60">
        <v>15433</v>
      </c>
      <c r="O59" s="60">
        <v>11471</v>
      </c>
      <c r="P59" s="60">
        <v>8288</v>
      </c>
      <c r="Q59" s="60">
        <v>9697</v>
      </c>
      <c r="R59" s="1"/>
      <c r="S59" s="1"/>
      <c r="T59" s="60"/>
      <c r="U59" s="60"/>
      <c r="V59" s="60">
        <v>813</v>
      </c>
      <c r="W59" s="60">
        <v>2050</v>
      </c>
      <c r="X59" s="60">
        <v>2546</v>
      </c>
      <c r="Y59" s="60">
        <f t="shared" si="28"/>
        <v>2879</v>
      </c>
      <c r="Z59" s="60">
        <v>1096</v>
      </c>
      <c r="AA59" s="60">
        <v>7006</v>
      </c>
      <c r="AB59" s="1"/>
      <c r="AC59" s="60">
        <f>SUM(X59:AA59)</f>
        <v>13527</v>
      </c>
      <c r="AD59" s="1"/>
      <c r="AE59" s="1"/>
    </row>
    <row r="60" spans="1:31" x14ac:dyDescent="0.2">
      <c r="B60" s="20" t="s">
        <v>58</v>
      </c>
      <c r="C60" s="61"/>
      <c r="D60" s="61"/>
      <c r="E60" s="61"/>
      <c r="F60" s="61"/>
      <c r="G60" s="61"/>
      <c r="H60" s="61"/>
      <c r="I60" s="61"/>
      <c r="J60" s="61"/>
      <c r="K60" s="61"/>
      <c r="L60" s="61"/>
      <c r="M60" s="61">
        <v>-18733</v>
      </c>
      <c r="N60" s="61">
        <v>-24844</v>
      </c>
      <c r="O60" s="61">
        <v>-25750</v>
      </c>
      <c r="P60" s="61">
        <v>-23944</v>
      </c>
      <c r="Q60" s="61">
        <v>-14646</v>
      </c>
      <c r="T60" s="61"/>
      <c r="U60" s="61"/>
      <c r="V60" s="61">
        <v>-5183</v>
      </c>
      <c r="W60" s="61">
        <v>-3550</v>
      </c>
      <c r="X60" s="61">
        <v>-2425</v>
      </c>
      <c r="Y60" s="61">
        <f t="shared" si="28"/>
        <v>-12786</v>
      </c>
      <c r="Z60" s="61">
        <v>-3636</v>
      </c>
      <c r="AA60" s="61">
        <v>-2556</v>
      </c>
      <c r="AC60" s="61">
        <f>SUM(X60:AA60)</f>
        <v>-21403</v>
      </c>
    </row>
    <row r="61" spans="1:31" x14ac:dyDescent="0.2">
      <c r="B61" s="20" t="s">
        <v>94</v>
      </c>
      <c r="C61" s="61"/>
      <c r="D61" s="61"/>
      <c r="E61" s="61"/>
      <c r="F61" s="61"/>
      <c r="G61" s="61"/>
      <c r="H61" s="61"/>
      <c r="I61" s="61"/>
      <c r="J61" s="61"/>
      <c r="K61" s="61"/>
      <c r="L61" s="61"/>
      <c r="M61" s="61">
        <v>0</v>
      </c>
      <c r="N61" s="61">
        <v>0</v>
      </c>
      <c r="O61" s="61">
        <v>0</v>
      </c>
      <c r="P61" s="61">
        <v>0</v>
      </c>
      <c r="Q61" s="61">
        <v>0</v>
      </c>
      <c r="T61" s="61"/>
      <c r="U61" s="61"/>
      <c r="V61" s="61">
        <v>0</v>
      </c>
      <c r="W61" s="61">
        <v>0</v>
      </c>
      <c r="X61" s="61">
        <v>0</v>
      </c>
      <c r="Y61" s="61">
        <f t="shared" si="28"/>
        <v>0</v>
      </c>
      <c r="Z61" s="61">
        <v>0</v>
      </c>
      <c r="AA61" s="61">
        <v>0</v>
      </c>
      <c r="AC61" s="61">
        <f t="shared" ref="AC61:AC66" si="30">SUM(X61:AA61)</f>
        <v>0</v>
      </c>
    </row>
    <row r="62" spans="1:31" s="19" customFormat="1" x14ac:dyDescent="0.2">
      <c r="A62" s="16"/>
      <c r="B62" s="17" t="s">
        <v>59</v>
      </c>
      <c r="C62" s="60"/>
      <c r="D62" s="60"/>
      <c r="E62" s="60"/>
      <c r="F62" s="60"/>
      <c r="G62" s="60"/>
      <c r="H62" s="60"/>
      <c r="I62" s="60"/>
      <c r="J62" s="60"/>
      <c r="K62" s="60"/>
      <c r="L62" s="60"/>
      <c r="M62" s="60">
        <v>-24449</v>
      </c>
      <c r="N62" s="60">
        <v>-10477</v>
      </c>
      <c r="O62" s="60">
        <v>-24041</v>
      </c>
      <c r="P62" s="60">
        <v>-18256</v>
      </c>
      <c r="Q62" s="60">
        <v>-14821</v>
      </c>
      <c r="R62" s="1"/>
      <c r="S62" s="1"/>
      <c r="T62" s="60"/>
      <c r="U62" s="60"/>
      <c r="V62" s="60">
        <v>81</v>
      </c>
      <c r="W62" s="60">
        <v>-2086</v>
      </c>
      <c r="X62" s="60">
        <v>-6250</v>
      </c>
      <c r="Y62" s="60">
        <f t="shared" si="28"/>
        <v>-10001</v>
      </c>
      <c r="Z62" s="60">
        <v>3093</v>
      </c>
      <c r="AA62" s="60">
        <v>-3762</v>
      </c>
      <c r="AB62" s="1"/>
      <c r="AC62" s="60">
        <f t="shared" si="30"/>
        <v>-16920</v>
      </c>
      <c r="AD62" s="1"/>
      <c r="AE62" s="1"/>
    </row>
    <row r="63" spans="1:31" x14ac:dyDescent="0.2">
      <c r="B63" s="20" t="s">
        <v>60</v>
      </c>
      <c r="C63" s="61"/>
      <c r="D63" s="61"/>
      <c r="E63" s="61"/>
      <c r="F63" s="61"/>
      <c r="G63" s="61"/>
      <c r="H63" s="61"/>
      <c r="I63" s="61"/>
      <c r="J63" s="61"/>
      <c r="K63" s="61"/>
      <c r="L63" s="61"/>
      <c r="M63" s="61">
        <v>-2415</v>
      </c>
      <c r="N63" s="61">
        <v>0</v>
      </c>
      <c r="O63" s="61">
        <v>0</v>
      </c>
      <c r="P63" s="61">
        <v>0</v>
      </c>
      <c r="Q63" s="61">
        <v>0</v>
      </c>
      <c r="T63" s="61"/>
      <c r="U63" s="61"/>
      <c r="V63" s="61">
        <v>0</v>
      </c>
      <c r="W63" s="61">
        <v>0</v>
      </c>
      <c r="X63" s="61">
        <v>0</v>
      </c>
      <c r="Y63" s="61">
        <f t="shared" si="28"/>
        <v>0</v>
      </c>
      <c r="Z63" s="61">
        <v>0</v>
      </c>
      <c r="AA63" s="61">
        <v>0</v>
      </c>
      <c r="AC63" s="61">
        <f t="shared" si="30"/>
        <v>0</v>
      </c>
    </row>
    <row r="64" spans="1:31" x14ac:dyDescent="0.2">
      <c r="B64" s="20" t="s">
        <v>279</v>
      </c>
      <c r="C64" s="61"/>
      <c r="D64" s="61"/>
      <c r="E64" s="61"/>
      <c r="F64" s="61"/>
      <c r="G64" s="61"/>
      <c r="H64" s="61"/>
      <c r="I64" s="61"/>
      <c r="J64" s="61"/>
      <c r="K64" s="61"/>
      <c r="L64" s="61"/>
      <c r="M64" s="61">
        <v>-5644</v>
      </c>
      <c r="N64" s="61">
        <v>-5997</v>
      </c>
      <c r="O64" s="61">
        <v>-3088</v>
      </c>
      <c r="P64" s="61">
        <v>-1599</v>
      </c>
      <c r="Q64" s="61">
        <v>0</v>
      </c>
      <c r="T64" s="61"/>
      <c r="U64" s="61"/>
      <c r="V64" s="61">
        <v>0</v>
      </c>
      <c r="W64" s="61">
        <v>0</v>
      </c>
      <c r="X64" s="61">
        <v>0</v>
      </c>
      <c r="Y64" s="61">
        <f t="shared" si="28"/>
        <v>-1599</v>
      </c>
      <c r="Z64" s="61">
        <v>0</v>
      </c>
      <c r="AA64" s="61">
        <v>0</v>
      </c>
      <c r="AC64" s="61">
        <f>SUM(X64:AA64)</f>
        <v>-1599</v>
      </c>
    </row>
    <row r="65" spans="1:31" x14ac:dyDescent="0.2">
      <c r="B65" s="20" t="s">
        <v>324</v>
      </c>
      <c r="C65" s="61"/>
      <c r="D65" s="61"/>
      <c r="E65" s="61"/>
      <c r="F65" s="61"/>
      <c r="G65" s="61"/>
      <c r="H65" s="61"/>
      <c r="I65" s="61"/>
      <c r="J65" s="61"/>
      <c r="K65" s="61"/>
      <c r="L65" s="61"/>
      <c r="M65" s="61">
        <v>0</v>
      </c>
      <c r="N65" s="61">
        <v>0</v>
      </c>
      <c r="O65" s="61">
        <v>0</v>
      </c>
      <c r="P65" s="61">
        <v>0</v>
      </c>
      <c r="Q65" s="61">
        <v>0</v>
      </c>
      <c r="T65" s="61"/>
      <c r="U65" s="61"/>
      <c r="V65" s="61">
        <v>0</v>
      </c>
      <c r="W65" s="61">
        <v>0</v>
      </c>
      <c r="X65" s="61">
        <v>0</v>
      </c>
      <c r="Y65" s="61">
        <f t="shared" si="28"/>
        <v>0</v>
      </c>
      <c r="Z65" s="61">
        <v>0</v>
      </c>
      <c r="AA65" s="61">
        <v>0</v>
      </c>
      <c r="AC65" s="61">
        <f>SUM(X65:AA65)</f>
        <v>0</v>
      </c>
    </row>
    <row r="66" spans="1:31" s="19" customFormat="1" ht="17" thickBot="1" x14ac:dyDescent="0.25">
      <c r="A66" s="16"/>
      <c r="B66" s="36" t="s">
        <v>61</v>
      </c>
      <c r="C66" s="70"/>
      <c r="D66" s="70"/>
      <c r="E66" s="70"/>
      <c r="F66" s="70"/>
      <c r="G66" s="70"/>
      <c r="H66" s="70"/>
      <c r="I66" s="70"/>
      <c r="J66" s="70"/>
      <c r="K66" s="70"/>
      <c r="L66" s="70"/>
      <c r="M66" s="70">
        <v>-6045</v>
      </c>
      <c r="N66" s="70">
        <v>1361</v>
      </c>
      <c r="O66" s="70">
        <v>8505</v>
      </c>
      <c r="P66" s="70">
        <v>11138</v>
      </c>
      <c r="Q66" s="70">
        <v>11587</v>
      </c>
      <c r="R66" s="1"/>
      <c r="S66" s="1"/>
      <c r="T66" s="70"/>
      <c r="U66" s="70"/>
      <c r="V66" s="70">
        <v>-196</v>
      </c>
      <c r="W66" s="70">
        <v>782</v>
      </c>
      <c r="X66" s="70">
        <v>5152</v>
      </c>
      <c r="Y66" s="70">
        <f t="shared" si="28"/>
        <v>5400</v>
      </c>
      <c r="Z66" s="70">
        <v>-1206</v>
      </c>
      <c r="AA66" s="70">
        <v>-7342</v>
      </c>
      <c r="AB66" s="1"/>
      <c r="AC66" s="70">
        <f t="shared" si="30"/>
        <v>2004</v>
      </c>
      <c r="AD66" s="1"/>
      <c r="AE66" s="1"/>
    </row>
    <row r="67" spans="1:31" x14ac:dyDescent="0.2">
      <c r="B67" s="1"/>
    </row>
    <row r="68" spans="1:31" s="15" customFormat="1" ht="17" thickBot="1" x14ac:dyDescent="0.25">
      <c r="A68" s="11"/>
      <c r="B68" s="14" t="s">
        <v>62</v>
      </c>
      <c r="R68" s="1"/>
      <c r="S68" s="1"/>
      <c r="AB68" s="1"/>
      <c r="AD68" s="1"/>
      <c r="AE68" s="1"/>
    </row>
    <row r="69" spans="1:31" x14ac:dyDescent="0.2">
      <c r="B69" s="20" t="s">
        <v>63</v>
      </c>
      <c r="C69" s="63">
        <f t="shared" ref="C69:P69" si="31">C5-C6-C11+C13+C14+C16-C17</f>
        <v>0</v>
      </c>
      <c r="D69" s="63">
        <f t="shared" si="31"/>
        <v>0</v>
      </c>
      <c r="E69" s="63">
        <f t="shared" si="31"/>
        <v>0</v>
      </c>
      <c r="F69" s="63">
        <f t="shared" si="31"/>
        <v>0</v>
      </c>
      <c r="G69" s="63">
        <f t="shared" si="31"/>
        <v>0</v>
      </c>
      <c r="H69" s="63">
        <f t="shared" si="31"/>
        <v>0</v>
      </c>
      <c r="I69" s="63">
        <f t="shared" si="31"/>
        <v>0</v>
      </c>
      <c r="J69" s="63">
        <f t="shared" si="31"/>
        <v>0</v>
      </c>
      <c r="K69" s="63">
        <f t="shared" si="31"/>
        <v>0</v>
      </c>
      <c r="L69" s="63">
        <f t="shared" si="31"/>
        <v>0</v>
      </c>
      <c r="M69" s="63">
        <f t="shared" si="31"/>
        <v>19868</v>
      </c>
      <c r="N69" s="63">
        <f t="shared" si="31"/>
        <v>8014</v>
      </c>
      <c r="O69" s="63">
        <f t="shared" si="31"/>
        <v>1689</v>
      </c>
      <c r="P69" s="63">
        <f t="shared" si="31"/>
        <v>-18756</v>
      </c>
      <c r="Q69" s="63">
        <f>Q5-Q6-Q11+Q13+Q14+Q16-Q17</f>
        <v>-267</v>
      </c>
      <c r="T69" s="63">
        <f t="shared" ref="T69:Z69" si="32">T5-T6-T11+T13+T14+T16-T17</f>
        <v>-16639</v>
      </c>
      <c r="U69" s="63">
        <f t="shared" si="32"/>
        <v>-126</v>
      </c>
      <c r="V69" s="63">
        <f t="shared" si="32"/>
        <v>-821</v>
      </c>
      <c r="W69" s="63">
        <f t="shared" si="32"/>
        <v>-2918</v>
      </c>
      <c r="X69" s="63">
        <f t="shared" si="32"/>
        <v>4063</v>
      </c>
      <c r="Y69" s="63">
        <f t="shared" si="32"/>
        <v>-591</v>
      </c>
      <c r="Z69" s="63">
        <f t="shared" si="32"/>
        <v>-3728</v>
      </c>
      <c r="AA69" s="63">
        <f t="shared" ref="AA69:AC69" si="33">AA5-AA6-AA11+AA13+AA14+AA16-AA17</f>
        <v>-11033</v>
      </c>
      <c r="AC69" s="63">
        <f t="shared" si="33"/>
        <v>-11289</v>
      </c>
    </row>
    <row r="70" spans="1:31" s="41" customFormat="1" x14ac:dyDescent="0.2">
      <c r="A70" s="16"/>
      <c r="B70" s="17" t="s">
        <v>64</v>
      </c>
      <c r="C70" s="40">
        <f t="shared" ref="C70:Q70" si="34">C18-C69</f>
        <v>0</v>
      </c>
      <c r="D70" s="40">
        <f t="shared" si="34"/>
        <v>0</v>
      </c>
      <c r="E70" s="40">
        <f t="shared" si="34"/>
        <v>0</v>
      </c>
      <c r="F70" s="40">
        <f t="shared" si="34"/>
        <v>0</v>
      </c>
      <c r="G70" s="40">
        <f t="shared" si="34"/>
        <v>0</v>
      </c>
      <c r="H70" s="40">
        <f t="shared" si="34"/>
        <v>0</v>
      </c>
      <c r="I70" s="40">
        <f t="shared" si="34"/>
        <v>0</v>
      </c>
      <c r="J70" s="40">
        <f t="shared" si="34"/>
        <v>0</v>
      </c>
      <c r="K70" s="40">
        <f t="shared" si="34"/>
        <v>0</v>
      </c>
      <c r="L70" s="40">
        <f t="shared" si="34"/>
        <v>0</v>
      </c>
      <c r="M70" s="40">
        <f t="shared" si="34"/>
        <v>0</v>
      </c>
      <c r="N70" s="40">
        <f t="shared" si="34"/>
        <v>0</v>
      </c>
      <c r="O70" s="40">
        <f t="shared" si="34"/>
        <v>0</v>
      </c>
      <c r="P70" s="40">
        <f t="shared" si="34"/>
        <v>0</v>
      </c>
      <c r="Q70" s="40">
        <f t="shared" si="34"/>
        <v>0</v>
      </c>
      <c r="R70" s="1"/>
      <c r="S70" s="1"/>
      <c r="T70" s="40">
        <f t="shared" ref="T70:Y70" si="35">T18-T69</f>
        <v>0</v>
      </c>
      <c r="U70" s="40">
        <f t="shared" si="35"/>
        <v>0</v>
      </c>
      <c r="V70" s="40">
        <f t="shared" si="35"/>
        <v>0</v>
      </c>
      <c r="W70" s="40">
        <f t="shared" si="35"/>
        <v>0</v>
      </c>
      <c r="X70" s="40">
        <f t="shared" si="35"/>
        <v>0</v>
      </c>
      <c r="Y70" s="40">
        <f t="shared" si="35"/>
        <v>0</v>
      </c>
      <c r="Z70" s="40">
        <f t="shared" ref="Z70:AA70" si="36">Z18-Z69</f>
        <v>0</v>
      </c>
      <c r="AA70" s="40">
        <f t="shared" si="36"/>
        <v>0</v>
      </c>
      <c r="AB70" s="16"/>
      <c r="AC70" s="40">
        <f>AC18-AC69</f>
        <v>0</v>
      </c>
      <c r="AD70" s="1"/>
      <c r="AE70" s="1"/>
    </row>
    <row r="71" spans="1:31" s="41" customFormat="1" x14ac:dyDescent="0.2">
      <c r="A71" s="16"/>
      <c r="B71" s="17" t="s">
        <v>65</v>
      </c>
      <c r="C71" s="42">
        <f t="shared" ref="C71:Q71" si="37">C37-(C43+C112)</f>
        <v>0</v>
      </c>
      <c r="D71" s="42">
        <f t="shared" si="37"/>
        <v>0</v>
      </c>
      <c r="E71" s="42">
        <f t="shared" si="37"/>
        <v>0</v>
      </c>
      <c r="F71" s="42">
        <f t="shared" si="37"/>
        <v>0</v>
      </c>
      <c r="G71" s="42">
        <f t="shared" si="37"/>
        <v>0</v>
      </c>
      <c r="H71" s="42">
        <f t="shared" si="37"/>
        <v>0</v>
      </c>
      <c r="I71" s="42">
        <f t="shared" si="37"/>
        <v>0</v>
      </c>
      <c r="J71" s="42">
        <f t="shared" si="37"/>
        <v>0</v>
      </c>
      <c r="K71" s="42">
        <f t="shared" si="37"/>
        <v>0</v>
      </c>
      <c r="L71" s="42">
        <f t="shared" si="37"/>
        <v>0</v>
      </c>
      <c r="M71" s="42">
        <f t="shared" si="37"/>
        <v>0</v>
      </c>
      <c r="N71" s="42">
        <f t="shared" si="37"/>
        <v>0</v>
      </c>
      <c r="O71" s="42">
        <f t="shared" si="37"/>
        <v>0</v>
      </c>
      <c r="P71" s="42">
        <f t="shared" si="37"/>
        <v>0</v>
      </c>
      <c r="Q71" s="42">
        <f t="shared" si="37"/>
        <v>0</v>
      </c>
      <c r="R71" s="1"/>
      <c r="S71" s="1"/>
      <c r="T71" s="42">
        <f t="shared" ref="T71:Z71" si="38">T37-(T43+T112)</f>
        <v>0</v>
      </c>
      <c r="U71" s="42">
        <f t="shared" si="38"/>
        <v>0</v>
      </c>
      <c r="V71" s="42">
        <f t="shared" si="38"/>
        <v>0</v>
      </c>
      <c r="W71" s="42">
        <f t="shared" si="38"/>
        <v>0</v>
      </c>
      <c r="X71" s="42">
        <f t="shared" si="38"/>
        <v>0</v>
      </c>
      <c r="Y71" s="42">
        <f t="shared" si="38"/>
        <v>0</v>
      </c>
      <c r="Z71" s="42">
        <f t="shared" si="38"/>
        <v>0</v>
      </c>
      <c r="AA71" s="42">
        <f t="shared" ref="AA71" si="39">AA37-(AA43+AA112)</f>
        <v>0</v>
      </c>
      <c r="AB71" s="16"/>
      <c r="AC71" s="42">
        <f>AC37-(AC43+AC112)</f>
        <v>0</v>
      </c>
      <c r="AD71" s="1"/>
      <c r="AE71" s="1"/>
    </row>
    <row r="72" spans="1:31" x14ac:dyDescent="0.2">
      <c r="B72" s="39"/>
      <c r="J72" s="39"/>
      <c r="K72" s="39"/>
      <c r="L72" s="39"/>
      <c r="M72" s="39"/>
      <c r="N72" s="39"/>
      <c r="O72" s="39"/>
      <c r="P72" s="39"/>
    </row>
    <row r="73" spans="1:31" s="15" customFormat="1" ht="17" thickBot="1" x14ac:dyDescent="0.25">
      <c r="A73" s="11"/>
      <c r="B73" s="14" t="s">
        <v>66</v>
      </c>
      <c r="R73" s="1"/>
      <c r="S73" s="1"/>
      <c r="AB73" s="1"/>
      <c r="AD73" s="1"/>
      <c r="AE73" s="1"/>
    </row>
    <row r="74" spans="1:31" x14ac:dyDescent="0.2">
      <c r="B74" s="20" t="s">
        <v>67</v>
      </c>
      <c r="C74" s="43"/>
      <c r="D74" s="43"/>
      <c r="E74" s="43"/>
      <c r="F74" s="43"/>
      <c r="G74" s="43"/>
      <c r="H74" s="43"/>
      <c r="I74" s="43"/>
      <c r="J74" s="21"/>
      <c r="K74" s="21"/>
      <c r="L74" s="21"/>
      <c r="M74" s="21">
        <v>4072</v>
      </c>
      <c r="N74" s="21">
        <v>4137</v>
      </c>
      <c r="O74" s="21">
        <v>4228</v>
      </c>
      <c r="P74" s="21">
        <v>4330</v>
      </c>
      <c r="Q74" s="21">
        <v>4995</v>
      </c>
      <c r="T74" s="21">
        <v>4313</v>
      </c>
      <c r="U74" s="21">
        <v>4330</v>
      </c>
      <c r="V74" s="21">
        <v>4362</v>
      </c>
      <c r="W74" s="21">
        <v>4377</v>
      </c>
      <c r="X74" s="21">
        <v>4770</v>
      </c>
      <c r="Y74" s="21">
        <v>4995</v>
      </c>
      <c r="Z74" s="21">
        <v>5026</v>
      </c>
      <c r="AA74" s="21">
        <v>5044</v>
      </c>
      <c r="AC74" s="24">
        <f>AA74</f>
        <v>5044</v>
      </c>
    </row>
    <row r="75" spans="1:31" x14ac:dyDescent="0.2">
      <c r="B75" s="20" t="s">
        <v>68</v>
      </c>
      <c r="C75" s="25"/>
      <c r="D75" s="25"/>
      <c r="E75" s="25"/>
      <c r="F75" s="25"/>
      <c r="G75" s="25"/>
      <c r="H75" s="25"/>
      <c r="I75" s="25"/>
      <c r="J75" s="25"/>
      <c r="K75" s="25"/>
      <c r="L75" s="25"/>
      <c r="M75" s="25">
        <f t="shared" ref="M75:Q75" si="40">M74*M85</f>
        <v>4072</v>
      </c>
      <c r="N75" s="25">
        <f t="shared" si="40"/>
        <v>4137</v>
      </c>
      <c r="O75" s="25">
        <f t="shared" si="40"/>
        <v>4228</v>
      </c>
      <c r="P75" s="25">
        <f t="shared" si="40"/>
        <v>4330</v>
      </c>
      <c r="Q75" s="25">
        <f t="shared" si="40"/>
        <v>4995</v>
      </c>
      <c r="T75" s="25">
        <f t="shared" ref="T75" si="41">T74*T85</f>
        <v>4313</v>
      </c>
      <c r="U75" s="25">
        <f t="shared" ref="U75" si="42">U74*U85</f>
        <v>4330</v>
      </c>
      <c r="V75" s="25">
        <f t="shared" ref="V75" si="43">V74*V85</f>
        <v>4362</v>
      </c>
      <c r="W75" s="25">
        <f t="shared" ref="W75" si="44">W74*W85</f>
        <v>4377</v>
      </c>
      <c r="X75" s="25">
        <f t="shared" ref="X75:Z75" si="45">X74*X85</f>
        <v>4770</v>
      </c>
      <c r="Y75" s="25">
        <f t="shared" si="45"/>
        <v>4995</v>
      </c>
      <c r="Z75" s="25">
        <f t="shared" si="45"/>
        <v>5026</v>
      </c>
      <c r="AA75" s="25">
        <f t="shared" ref="AA75" si="46">AA74*AA85</f>
        <v>5044</v>
      </c>
      <c r="AC75" s="24">
        <f>AA75</f>
        <v>5044</v>
      </c>
    </row>
    <row r="76" spans="1:31" x14ac:dyDescent="0.2">
      <c r="B76" s="20" t="s">
        <v>229</v>
      </c>
      <c r="C76" s="25"/>
      <c r="D76" s="25"/>
      <c r="E76" s="25"/>
      <c r="F76" s="25"/>
      <c r="G76" s="25"/>
      <c r="H76" s="25"/>
      <c r="I76" s="25"/>
      <c r="J76" s="25"/>
      <c r="K76" s="25"/>
      <c r="L76" s="25"/>
      <c r="M76" s="21">
        <v>31</v>
      </c>
      <c r="N76" s="21">
        <v>15</v>
      </c>
      <c r="O76" s="21">
        <v>22</v>
      </c>
      <c r="P76" s="21">
        <v>0</v>
      </c>
      <c r="Q76" s="21">
        <v>0</v>
      </c>
      <c r="T76" s="21">
        <v>0</v>
      </c>
      <c r="U76" s="21">
        <v>0</v>
      </c>
      <c r="V76" s="21">
        <v>0</v>
      </c>
      <c r="W76" s="21">
        <v>0</v>
      </c>
      <c r="X76" s="21">
        <v>0</v>
      </c>
      <c r="Y76" s="21">
        <v>0</v>
      </c>
      <c r="Z76" s="21">
        <v>0</v>
      </c>
      <c r="AA76" s="21">
        <v>0</v>
      </c>
      <c r="AC76" s="21">
        <f>AA76</f>
        <v>0</v>
      </c>
    </row>
    <row r="77" spans="1:31" x14ac:dyDescent="0.2">
      <c r="B77" s="20" t="s">
        <v>230</v>
      </c>
      <c r="C77" s="25"/>
      <c r="D77" s="25"/>
      <c r="E77" s="25"/>
      <c r="F77" s="25"/>
      <c r="G77" s="25"/>
      <c r="H77" s="25"/>
      <c r="I77" s="25"/>
      <c r="J77" s="25"/>
      <c r="K77" s="25"/>
      <c r="L77" s="25"/>
      <c r="M77" s="25">
        <f t="shared" ref="M77:P77" si="47">M76*M85</f>
        <v>31</v>
      </c>
      <c r="N77" s="25">
        <f t="shared" si="47"/>
        <v>15</v>
      </c>
      <c r="O77" s="25">
        <f t="shared" si="47"/>
        <v>22</v>
      </c>
      <c r="P77" s="25">
        <f t="shared" si="47"/>
        <v>0</v>
      </c>
      <c r="Q77" s="25">
        <f>Q76*Q85</f>
        <v>0</v>
      </c>
      <c r="T77" s="25">
        <f t="shared" ref="T77:Y77" si="48">T76*T85</f>
        <v>0</v>
      </c>
      <c r="U77" s="25">
        <f t="shared" si="48"/>
        <v>0</v>
      </c>
      <c r="V77" s="25">
        <f t="shared" si="48"/>
        <v>0</v>
      </c>
      <c r="W77" s="25">
        <f t="shared" si="48"/>
        <v>0</v>
      </c>
      <c r="X77" s="25">
        <f t="shared" si="48"/>
        <v>0</v>
      </c>
      <c r="Y77" s="25">
        <f t="shared" si="48"/>
        <v>0</v>
      </c>
      <c r="Z77" s="25">
        <f t="shared" ref="Z77:AA77" si="49">Z76*Z85</f>
        <v>0</v>
      </c>
      <c r="AA77" s="25">
        <f t="shared" si="49"/>
        <v>0</v>
      </c>
      <c r="AC77" s="24">
        <f>AA77</f>
        <v>0</v>
      </c>
    </row>
    <row r="78" spans="1:31" x14ac:dyDescent="0.2">
      <c r="B78" s="20" t="s">
        <v>231</v>
      </c>
      <c r="C78" s="25"/>
      <c r="D78" s="25"/>
      <c r="E78" s="25"/>
      <c r="F78" s="25"/>
      <c r="G78" s="25"/>
      <c r="H78" s="25"/>
      <c r="I78" s="25"/>
      <c r="J78" s="25"/>
      <c r="K78" s="25"/>
      <c r="L78" s="25"/>
      <c r="M78" s="25">
        <f t="shared" ref="M78:P78" si="50">M75+M77</f>
        <v>4103</v>
      </c>
      <c r="N78" s="25">
        <f t="shared" si="50"/>
        <v>4152</v>
      </c>
      <c r="O78" s="25">
        <f t="shared" si="50"/>
        <v>4250</v>
      </c>
      <c r="P78" s="25">
        <f t="shared" si="50"/>
        <v>4330</v>
      </c>
      <c r="Q78" s="25">
        <f>Q75+Q77</f>
        <v>4995</v>
      </c>
      <c r="T78" s="25">
        <f t="shared" ref="T78:Y78" si="51">T75+T77</f>
        <v>4313</v>
      </c>
      <c r="U78" s="25">
        <f t="shared" si="51"/>
        <v>4330</v>
      </c>
      <c r="V78" s="25">
        <f t="shared" si="51"/>
        <v>4362</v>
      </c>
      <c r="W78" s="25">
        <f t="shared" si="51"/>
        <v>4377</v>
      </c>
      <c r="X78" s="25">
        <f t="shared" si="51"/>
        <v>4770</v>
      </c>
      <c r="Y78" s="25">
        <f t="shared" si="51"/>
        <v>4995</v>
      </c>
      <c r="Z78" s="25">
        <f t="shared" ref="Z78:AA78" si="52">Z75+Z77</f>
        <v>5026</v>
      </c>
      <c r="AA78" s="25">
        <f t="shared" si="52"/>
        <v>5044</v>
      </c>
      <c r="AC78" s="24">
        <f>AA78</f>
        <v>5044</v>
      </c>
    </row>
    <row r="79" spans="1:31" x14ac:dyDescent="0.2">
      <c r="B79" s="20" t="s">
        <v>270</v>
      </c>
      <c r="C79" s="25"/>
      <c r="D79" s="25"/>
      <c r="E79" s="25"/>
      <c r="F79" s="25"/>
      <c r="G79" s="25"/>
      <c r="H79" s="25"/>
      <c r="I79" s="25"/>
      <c r="J79" s="25"/>
      <c r="K79" s="25"/>
      <c r="L79" s="25"/>
      <c r="M79" s="21">
        <v>2</v>
      </c>
      <c r="N79" s="21">
        <v>2</v>
      </c>
      <c r="O79" s="21">
        <v>2</v>
      </c>
      <c r="P79" s="21">
        <v>2</v>
      </c>
      <c r="Q79" s="21">
        <v>3</v>
      </c>
      <c r="T79" s="67"/>
      <c r="U79" s="67"/>
      <c r="V79" s="67"/>
      <c r="W79" s="67"/>
      <c r="X79" s="67"/>
      <c r="Y79" s="67"/>
      <c r="Z79" s="67"/>
      <c r="AA79" s="67"/>
      <c r="AC79" s="24">
        <f>Q79</f>
        <v>3</v>
      </c>
    </row>
    <row r="80" spans="1:31" x14ac:dyDescent="0.2">
      <c r="B80" s="20" t="s">
        <v>271</v>
      </c>
      <c r="C80" s="25"/>
      <c r="D80" s="25"/>
      <c r="E80" s="25"/>
      <c r="F80" s="25"/>
      <c r="G80" s="25"/>
      <c r="H80" s="25"/>
      <c r="I80" s="25"/>
      <c r="J80" s="25"/>
      <c r="K80" s="25"/>
      <c r="L80" s="25"/>
      <c r="M80" s="25">
        <f t="shared" ref="M80:P80" si="53">M79*M85</f>
        <v>2</v>
      </c>
      <c r="N80" s="25">
        <f t="shared" si="53"/>
        <v>2</v>
      </c>
      <c r="O80" s="25">
        <f t="shared" si="53"/>
        <v>2</v>
      </c>
      <c r="P80" s="25">
        <f t="shared" si="53"/>
        <v>2</v>
      </c>
      <c r="Q80" s="25">
        <f>Q79*Q85</f>
        <v>3</v>
      </c>
      <c r="T80" s="67"/>
      <c r="U80" s="67"/>
      <c r="V80" s="67"/>
      <c r="W80" s="67"/>
      <c r="X80" s="67"/>
      <c r="Y80" s="67"/>
      <c r="Z80" s="67"/>
      <c r="AA80" s="67"/>
      <c r="AC80" s="24">
        <f>Q80</f>
        <v>3</v>
      </c>
    </row>
    <row r="81" spans="1:31" x14ac:dyDescent="0.2">
      <c r="B81" s="23" t="s">
        <v>69</v>
      </c>
      <c r="C81" s="44"/>
      <c r="D81" s="44"/>
      <c r="E81" s="44"/>
      <c r="F81" s="44"/>
      <c r="G81" s="44"/>
      <c r="H81" s="44"/>
      <c r="I81" s="44"/>
      <c r="J81" s="44"/>
      <c r="K81" s="44"/>
      <c r="L81" s="44"/>
      <c r="M81" s="44">
        <v>1.39</v>
      </c>
      <c r="N81" s="44">
        <v>1.46</v>
      </c>
      <c r="O81" s="44">
        <v>0.74</v>
      </c>
      <c r="P81" s="44">
        <v>0.38</v>
      </c>
      <c r="Q81" s="44">
        <v>0</v>
      </c>
      <c r="T81" s="44">
        <v>0.13</v>
      </c>
      <c r="U81" s="44">
        <v>0</v>
      </c>
      <c r="V81" s="44">
        <v>0</v>
      </c>
      <c r="W81" s="44">
        <v>0</v>
      </c>
      <c r="X81" s="44">
        <v>0</v>
      </c>
      <c r="Y81" s="44">
        <v>0</v>
      </c>
      <c r="Z81" s="44">
        <v>0</v>
      </c>
      <c r="AA81" s="44">
        <v>0</v>
      </c>
      <c r="AC81" s="71">
        <f>SUM(X81:AA81)</f>
        <v>0</v>
      </c>
    </row>
    <row r="82" spans="1:31" x14ac:dyDescent="0.2">
      <c r="B82" s="23" t="s">
        <v>70</v>
      </c>
      <c r="C82" s="39"/>
      <c r="D82" s="45"/>
      <c r="E82" s="45"/>
      <c r="F82" s="45"/>
      <c r="G82" s="45"/>
      <c r="H82" s="45"/>
      <c r="I82" s="45"/>
      <c r="J82" s="45"/>
      <c r="K82" s="45"/>
      <c r="L82" s="45"/>
      <c r="M82" s="45">
        <f t="shared" ref="M82:Q82" si="54">M81/M85</f>
        <v>1.39</v>
      </c>
      <c r="N82" s="45">
        <f t="shared" si="54"/>
        <v>1.46</v>
      </c>
      <c r="O82" s="45">
        <f t="shared" si="54"/>
        <v>0.74</v>
      </c>
      <c r="P82" s="45">
        <f t="shared" si="54"/>
        <v>0.38</v>
      </c>
      <c r="Q82" s="45">
        <f t="shared" si="54"/>
        <v>0</v>
      </c>
      <c r="T82" s="45">
        <f t="shared" ref="T82" si="55">T81/T85</f>
        <v>0.13</v>
      </c>
      <c r="U82" s="45">
        <f t="shared" ref="U82" si="56">U81/U85</f>
        <v>0</v>
      </c>
      <c r="V82" s="45">
        <f t="shared" ref="V82" si="57">V81/V85</f>
        <v>0</v>
      </c>
      <c r="W82" s="45">
        <f t="shared" ref="W82" si="58">W81/W85</f>
        <v>0</v>
      </c>
      <c r="X82" s="45">
        <f t="shared" ref="X82:Z82" si="59">X81/X85</f>
        <v>0</v>
      </c>
      <c r="Y82" s="45">
        <f t="shared" si="59"/>
        <v>0</v>
      </c>
      <c r="Z82" s="45">
        <f t="shared" si="59"/>
        <v>0</v>
      </c>
      <c r="AA82" s="45">
        <f t="shared" ref="AA82" si="60">AA81/AA85</f>
        <v>0</v>
      </c>
      <c r="AC82" s="71">
        <f>SUM(X82:AA82)</f>
        <v>0</v>
      </c>
    </row>
    <row r="83" spans="1:31" x14ac:dyDescent="0.2">
      <c r="B83" s="20" t="s">
        <v>71</v>
      </c>
      <c r="C83" s="46">
        <f t="shared" ref="C83:Q83" si="61">IF(AND(C15&gt;0,C16&lt;0),-(C16)/C15,0)</f>
        <v>0</v>
      </c>
      <c r="D83" s="46">
        <f t="shared" si="61"/>
        <v>0</v>
      </c>
      <c r="E83" s="46">
        <f t="shared" si="61"/>
        <v>0</v>
      </c>
      <c r="F83" s="46">
        <f t="shared" si="61"/>
        <v>0</v>
      </c>
      <c r="G83" s="46">
        <f t="shared" si="61"/>
        <v>0</v>
      </c>
      <c r="H83" s="46">
        <f t="shared" si="61"/>
        <v>0</v>
      </c>
      <c r="I83" s="46">
        <f t="shared" si="61"/>
        <v>0</v>
      </c>
      <c r="J83" s="46">
        <f t="shared" si="61"/>
        <v>0</v>
      </c>
      <c r="K83" s="46">
        <f t="shared" si="61"/>
        <v>0</v>
      </c>
      <c r="L83" s="46">
        <f t="shared" si="61"/>
        <v>0</v>
      </c>
      <c r="M83" s="46">
        <f t="shared" si="61"/>
        <v>8.4550522969174771E-2</v>
      </c>
      <c r="N83" s="46">
        <f t="shared" si="61"/>
        <v>0</v>
      </c>
      <c r="O83" s="46">
        <f t="shared" si="61"/>
        <v>0</v>
      </c>
      <c r="P83" s="46">
        <f t="shared" si="61"/>
        <v>0</v>
      </c>
      <c r="Q83" s="46">
        <f t="shared" si="61"/>
        <v>0.98330122029543998</v>
      </c>
      <c r="T83" s="46">
        <f t="shared" ref="T83:Z83" si="62">IF(AND(T15&gt;0,T16&lt;0),-(T16)/T15,0)</f>
        <v>0</v>
      </c>
      <c r="U83" s="46">
        <f t="shared" si="62"/>
        <v>1.2554257095158599</v>
      </c>
      <c r="V83" s="46">
        <f t="shared" si="62"/>
        <v>0</v>
      </c>
      <c r="W83" s="46">
        <f t="shared" si="62"/>
        <v>0</v>
      </c>
      <c r="X83" s="46">
        <f t="shared" si="62"/>
        <v>6.6462614779186704E-2</v>
      </c>
      <c r="Y83" s="46">
        <f t="shared" si="62"/>
        <v>1.985207100591716</v>
      </c>
      <c r="Z83" s="46">
        <f t="shared" si="62"/>
        <v>0</v>
      </c>
      <c r="AA83" s="46">
        <f t="shared" ref="AA83" si="63">IF(AND(AA15&gt;0,AA16&lt;0),-(AA16)/AA15,0)</f>
        <v>0</v>
      </c>
      <c r="AC83" s="46">
        <f>IF(AND(AC15&gt;0,AC16&lt;0),-(AC16)/AC15,0)</f>
        <v>0</v>
      </c>
    </row>
    <row r="84" spans="1:31" x14ac:dyDescent="0.2">
      <c r="B84" s="20" t="s">
        <v>72</v>
      </c>
      <c r="C84" s="21"/>
      <c r="D84" s="21"/>
      <c r="E84" s="21"/>
      <c r="F84" s="21"/>
      <c r="G84" s="21"/>
      <c r="H84" s="21"/>
      <c r="I84" s="21"/>
      <c r="J84" s="21"/>
      <c r="K84" s="21"/>
      <c r="L84" s="21"/>
      <c r="M84" s="21">
        <v>121100</v>
      </c>
      <c r="N84" s="21">
        <v>131900</v>
      </c>
      <c r="O84" s="21">
        <v>124800</v>
      </c>
      <c r="P84" s="21">
        <v>108900</v>
      </c>
      <c r="Q84" s="21">
        <v>85100</v>
      </c>
      <c r="T84" s="67"/>
      <c r="U84" s="67"/>
      <c r="V84" s="67"/>
      <c r="W84" s="67"/>
      <c r="X84" s="67"/>
      <c r="Y84" s="67"/>
      <c r="Z84" s="67"/>
      <c r="AA84" s="67"/>
      <c r="AC84" s="21">
        <f>Q84</f>
        <v>85100</v>
      </c>
    </row>
    <row r="85" spans="1:31" x14ac:dyDescent="0.2">
      <c r="B85" s="20" t="s">
        <v>73</v>
      </c>
      <c r="C85" s="21"/>
      <c r="D85" s="21"/>
      <c r="E85" s="21"/>
      <c r="F85" s="21"/>
      <c r="G85" s="21"/>
      <c r="H85" s="21"/>
      <c r="I85" s="21"/>
      <c r="J85" s="21"/>
      <c r="K85" s="21"/>
      <c r="L85" s="21"/>
      <c r="M85" s="21">
        <v>1</v>
      </c>
      <c r="N85" s="21">
        <v>1</v>
      </c>
      <c r="O85" s="21">
        <v>1</v>
      </c>
      <c r="P85" s="21">
        <v>1</v>
      </c>
      <c r="Q85" s="21">
        <v>1</v>
      </c>
      <c r="T85" s="21">
        <v>1</v>
      </c>
      <c r="U85" s="21">
        <v>1</v>
      </c>
      <c r="V85" s="21">
        <v>1</v>
      </c>
      <c r="W85" s="21">
        <v>1</v>
      </c>
      <c r="X85" s="21">
        <v>1</v>
      </c>
      <c r="Y85" s="21">
        <v>1</v>
      </c>
      <c r="Z85" s="21">
        <v>1</v>
      </c>
      <c r="AA85" s="21">
        <v>1</v>
      </c>
      <c r="AC85" s="21">
        <v>1</v>
      </c>
    </row>
    <row r="87" spans="1:31" x14ac:dyDescent="0.2">
      <c r="B87" s="1"/>
    </row>
    <row r="88" spans="1:31" s="15" customFormat="1" ht="17" thickBot="1" x14ac:dyDescent="0.25">
      <c r="A88" s="11"/>
      <c r="B88" s="14" t="s">
        <v>74</v>
      </c>
      <c r="R88" s="1"/>
      <c r="S88" s="1"/>
      <c r="AB88" s="1"/>
      <c r="AD88" s="1"/>
      <c r="AE88" s="1"/>
    </row>
    <row r="89" spans="1:31" s="41" customFormat="1" x14ac:dyDescent="0.2">
      <c r="A89" s="16"/>
      <c r="B89" s="17" t="s">
        <v>19</v>
      </c>
      <c r="C89" s="47"/>
      <c r="D89" s="48"/>
      <c r="E89" s="48"/>
      <c r="F89" s="48"/>
      <c r="G89" s="48"/>
      <c r="H89" s="48"/>
      <c r="I89" s="48"/>
      <c r="J89" s="48"/>
      <c r="K89" s="48"/>
      <c r="L89" s="48"/>
      <c r="M89" s="48">
        <f t="shared" ref="M89:Q96" si="64">IF(L5=0,
IF(M5=0,0,IF(M5&gt;0,1,-1)),
(M5-L5)/ABS(L5)
)</f>
        <v>1</v>
      </c>
      <c r="N89" s="48">
        <f t="shared" si="64"/>
        <v>-0.20209050415063778</v>
      </c>
      <c r="O89" s="48">
        <f t="shared" si="64"/>
        <v>-0.13997525930155105</v>
      </c>
      <c r="P89" s="48">
        <f t="shared" si="64"/>
        <v>-2.0782621523935976E-2</v>
      </c>
      <c r="Q89" s="48">
        <f t="shared" si="64"/>
        <v>-4.6703451912393362E-3</v>
      </c>
      <c r="R89" s="1"/>
      <c r="S89" s="1"/>
      <c r="T89" s="48">
        <f t="shared" ref="T89:T96" si="65">IF(S5=0,
IF(T5=0,0,IF(T5&gt;0,1,-1)),
(T5-S5)/ABS(S5)
)</f>
        <v>1</v>
      </c>
      <c r="U89" s="48">
        <f t="shared" ref="U89:U96" si="66">IF(T5=0,
IF(U5=0,0,IF(U5&gt;0,1,-1)),
(U5-T5)/ABS(T5)
)</f>
        <v>7.3471845829569407E-2</v>
      </c>
      <c r="V89" s="48">
        <f t="shared" ref="V89:V96" si="67">IF(U5=0,
IF(V5=0,0,IF(V5&gt;0,1,-1)),
(V5-U5)/ABS(U5)
)</f>
        <v>-0.11171107994389902</v>
      </c>
      <c r="W89" s="48">
        <f t="shared" ref="W89:W96" si="68">IF(V5=0,
IF(W5=0,0,IF(W5&gt;0,1,-1)),
(W5-V5)/ABS(V5)
)</f>
        <v>1.5157495855372228E-2</v>
      </c>
      <c r="X89" s="48">
        <f t="shared" ref="X89:X96" si="69">IF(W5=0,
IF(X5=0,0,IF(X5&gt;0,1,-1)),
(X5-W5)/ABS(W5)
)</f>
        <v>6.1746636596936001E-2</v>
      </c>
      <c r="Y89" s="48">
        <f t="shared" ref="Y89:Y96" si="70">IF(X5=0,
IF(Y5=0,0,IF(Y5&gt;0,1,-1)),
(Y5-X5)/ABS(X5)
)</f>
        <v>1.5381234893430016E-3</v>
      </c>
      <c r="Z89" s="48">
        <f t="shared" ref="Z89:Z96" si="71">IF(Y5=0,
IF(Z5=0,0,IF(Z5&gt;0,1,-1)),
(Z5-Y5)/ABS(Y5)
)</f>
        <v>-7.0937545707181514E-3</v>
      </c>
      <c r="AA89" s="48">
        <f t="shared" ref="AA89:AA96" si="72">IF(Z5=0,
IF(AA5=0,0,IF(AA5&gt;0,1,-1)),
(AA5-Z5)/ABS(Z5)
)</f>
        <v>0.18789128673491934</v>
      </c>
      <c r="AB89" s="1"/>
      <c r="AC89" s="66"/>
      <c r="AD89" s="1"/>
      <c r="AE89" s="1"/>
    </row>
    <row r="90" spans="1:31" x14ac:dyDescent="0.2">
      <c r="B90" s="20" t="s">
        <v>20</v>
      </c>
      <c r="C90" s="49"/>
      <c r="D90" s="50"/>
      <c r="E90" s="50"/>
      <c r="F90" s="50"/>
      <c r="G90" s="50"/>
      <c r="H90" s="50"/>
      <c r="I90" s="50"/>
      <c r="J90" s="50"/>
      <c r="K90" s="50"/>
      <c r="L90" s="50"/>
      <c r="M90" s="50">
        <f t="shared" si="64"/>
        <v>1</v>
      </c>
      <c r="N90" s="50">
        <f t="shared" si="64"/>
        <v>2.7805390667158966E-2</v>
      </c>
      <c r="O90" s="50">
        <f t="shared" si="64"/>
        <v>-0.10144246711617111</v>
      </c>
      <c r="P90" s="50">
        <f t="shared" si="64"/>
        <v>9.9609435064735366E-2</v>
      </c>
      <c r="Q90" s="50">
        <f t="shared" si="64"/>
        <v>-3.5742253048439421E-2</v>
      </c>
      <c r="T90" s="50">
        <f t="shared" si="65"/>
        <v>1</v>
      </c>
      <c r="U90" s="50">
        <f t="shared" si="66"/>
        <v>-0.23132807654824133</v>
      </c>
      <c r="V90" s="50">
        <f t="shared" si="67"/>
        <v>-7.8492392807745504E-2</v>
      </c>
      <c r="W90" s="50">
        <f t="shared" si="68"/>
        <v>0.16535334584115072</v>
      </c>
      <c r="X90" s="50">
        <f t="shared" si="69"/>
        <v>-9.4665664913598804E-2</v>
      </c>
      <c r="Y90" s="50">
        <f t="shared" si="70"/>
        <v>3.5091879075281565E-2</v>
      </c>
      <c r="Z90" s="50">
        <f t="shared" si="71"/>
        <v>-5.7381743213835761E-2</v>
      </c>
      <c r="AA90" s="50">
        <f t="shared" si="72"/>
        <v>0.16877278250303768</v>
      </c>
      <c r="AC90" s="67"/>
    </row>
    <row r="91" spans="1:31" s="41" customFormat="1" x14ac:dyDescent="0.2">
      <c r="A91" s="16"/>
      <c r="B91" s="17" t="s">
        <v>21</v>
      </c>
      <c r="C91" s="47"/>
      <c r="D91" s="48"/>
      <c r="E91" s="48"/>
      <c r="F91" s="48"/>
      <c r="G91" s="48"/>
      <c r="H91" s="48"/>
      <c r="I91" s="48"/>
      <c r="J91" s="48"/>
      <c r="K91" s="48"/>
      <c r="L91" s="48"/>
      <c r="M91" s="48">
        <f t="shared" si="64"/>
        <v>1</v>
      </c>
      <c r="N91" s="48">
        <f t="shared" si="64"/>
        <v>-0.38683099395184295</v>
      </c>
      <c r="O91" s="48">
        <f t="shared" si="64"/>
        <v>-0.19187821037742872</v>
      </c>
      <c r="P91" s="48">
        <f t="shared" si="64"/>
        <v>-0.20109621850674772</v>
      </c>
      <c r="Q91" s="48">
        <f t="shared" si="64"/>
        <v>5.9383107523782071E-2</v>
      </c>
      <c r="R91" s="1"/>
      <c r="S91" s="1"/>
      <c r="T91" s="48">
        <f t="shared" si="65"/>
        <v>1</v>
      </c>
      <c r="U91" s="48">
        <f t="shared" si="66"/>
        <v>1.7961942914371558</v>
      </c>
      <c r="V91" s="48">
        <f t="shared" si="67"/>
        <v>-0.16332378223495703</v>
      </c>
      <c r="W91" s="48">
        <f t="shared" si="68"/>
        <v>-0.24186643835616439</v>
      </c>
      <c r="X91" s="48">
        <f t="shared" si="69"/>
        <v>0.47317899491812537</v>
      </c>
      <c r="Y91" s="48">
        <f t="shared" si="70"/>
        <v>-5.2702184745113068E-2</v>
      </c>
      <c r="Z91" s="48">
        <f t="shared" si="71"/>
        <v>8.1731741857171761E-2</v>
      </c>
      <c r="AA91" s="48">
        <f t="shared" si="72"/>
        <v>0.21731812231157657</v>
      </c>
      <c r="AB91" s="1"/>
      <c r="AC91" s="66"/>
      <c r="AD91" s="1"/>
      <c r="AE91" s="1"/>
    </row>
    <row r="92" spans="1:31" x14ac:dyDescent="0.2">
      <c r="B92" s="20" t="s">
        <v>22</v>
      </c>
      <c r="C92" s="49"/>
      <c r="D92" s="50"/>
      <c r="E92" s="50"/>
      <c r="F92" s="50"/>
      <c r="G92" s="50"/>
      <c r="H92" s="50"/>
      <c r="I92" s="50"/>
      <c r="J92" s="50"/>
      <c r="K92" s="50"/>
      <c r="L92" s="50"/>
      <c r="M92" s="50">
        <f t="shared" si="64"/>
        <v>1</v>
      </c>
      <c r="N92" s="50">
        <f t="shared" si="64"/>
        <v>0.15391705069124423</v>
      </c>
      <c r="O92" s="50">
        <f t="shared" si="64"/>
        <v>-8.4550433591967136E-2</v>
      </c>
      <c r="P92" s="50">
        <f t="shared" si="64"/>
        <v>3.1160413810295402E-2</v>
      </c>
      <c r="Q92" s="50">
        <f t="shared" si="64"/>
        <v>-0.16753293847455578</v>
      </c>
      <c r="T92" s="50">
        <f t="shared" si="65"/>
        <v>1</v>
      </c>
      <c r="U92" s="50">
        <f t="shared" si="66"/>
        <v>-4.2726599160286489E-2</v>
      </c>
      <c r="V92" s="50">
        <f t="shared" si="67"/>
        <v>-6.0887512899896801E-2</v>
      </c>
      <c r="W92" s="50">
        <f t="shared" si="68"/>
        <v>1.2087912087912088E-2</v>
      </c>
      <c r="X92" s="50">
        <f t="shared" si="69"/>
        <v>-0.12296416938110749</v>
      </c>
      <c r="Y92" s="50">
        <f t="shared" si="70"/>
        <v>-3.7140204271123491E-3</v>
      </c>
      <c r="Z92" s="50">
        <f t="shared" si="71"/>
        <v>4.8462255358807084E-2</v>
      </c>
      <c r="AA92" s="50">
        <f t="shared" si="72"/>
        <v>-2.0740740740740741E-3</v>
      </c>
      <c r="AC92" s="67"/>
    </row>
    <row r="93" spans="1:31" x14ac:dyDescent="0.2">
      <c r="B93" s="20" t="s">
        <v>329</v>
      </c>
      <c r="C93" s="49"/>
      <c r="D93" s="50"/>
      <c r="E93" s="50"/>
      <c r="F93" s="50"/>
      <c r="G93" s="50"/>
      <c r="H93" s="50"/>
      <c r="I93" s="50"/>
      <c r="J93" s="50"/>
      <c r="K93" s="50"/>
      <c r="L93" s="50"/>
      <c r="M93" s="50">
        <f t="shared" si="64"/>
        <v>1</v>
      </c>
      <c r="N93" s="50">
        <f t="shared" si="64"/>
        <v>7.0151306740027508E-2</v>
      </c>
      <c r="O93" s="50">
        <f t="shared" si="64"/>
        <v>-0.19537275064267351</v>
      </c>
      <c r="P93" s="50">
        <f t="shared" si="64"/>
        <v>-2.2541711040113595E-2</v>
      </c>
      <c r="Q93" s="50">
        <f t="shared" si="64"/>
        <v>-0.16034138369348103</v>
      </c>
      <c r="T93" s="50">
        <f t="shared" si="65"/>
        <v>1</v>
      </c>
      <c r="U93" s="50">
        <f t="shared" si="66"/>
        <v>-0.10412147505422993</v>
      </c>
      <c r="V93" s="50">
        <f t="shared" si="67"/>
        <v>-5.004035512510089E-2</v>
      </c>
      <c r="W93" s="50">
        <f t="shared" si="68"/>
        <v>-2.8037383177570093E-2</v>
      </c>
      <c r="X93" s="50">
        <f t="shared" si="69"/>
        <v>-1.3111888111888112E-2</v>
      </c>
      <c r="Y93" s="50">
        <f t="shared" si="70"/>
        <v>3.9858281665190433E-2</v>
      </c>
      <c r="Z93" s="50">
        <f t="shared" si="71"/>
        <v>-0.11584327086882454</v>
      </c>
      <c r="AA93" s="50">
        <f t="shared" si="72"/>
        <v>0.13198458574181118</v>
      </c>
      <c r="AC93" s="67"/>
    </row>
    <row r="94" spans="1:31" x14ac:dyDescent="0.2">
      <c r="B94" s="23" t="s">
        <v>26</v>
      </c>
      <c r="C94" s="49"/>
      <c r="D94" s="50"/>
      <c r="E94" s="50"/>
      <c r="F94" s="50"/>
      <c r="G94" s="50"/>
      <c r="H94" s="50"/>
      <c r="I94" s="50"/>
      <c r="J94" s="50"/>
      <c r="K94" s="50"/>
      <c r="L94" s="50"/>
      <c r="M94" s="50">
        <f t="shared" si="64"/>
        <v>1</v>
      </c>
      <c r="N94" s="50">
        <f t="shared" si="64"/>
        <v>-0.99923838537699927</v>
      </c>
      <c r="O94" s="50">
        <f t="shared" si="64"/>
        <v>-32</v>
      </c>
      <c r="P94" s="50">
        <f t="shared" si="64"/>
        <v>113.41935483870968</v>
      </c>
      <c r="Q94" s="50">
        <f t="shared" si="64"/>
        <v>-0.68565279770444765</v>
      </c>
      <c r="T94" s="50">
        <f t="shared" si="65"/>
        <v>1</v>
      </c>
      <c r="U94" s="50">
        <f t="shared" si="66"/>
        <v>-0.98986125933831381</v>
      </c>
      <c r="V94" s="50">
        <f t="shared" si="67"/>
        <v>1.736842105263158</v>
      </c>
      <c r="W94" s="50">
        <f t="shared" si="68"/>
        <v>11.115384615384615</v>
      </c>
      <c r="X94" s="50">
        <f t="shared" si="69"/>
        <v>-0.90740740740740744</v>
      </c>
      <c r="Y94" s="50">
        <f t="shared" si="70"/>
        <v>-1.1714285714285715</v>
      </c>
      <c r="Z94" s="50">
        <f t="shared" si="71"/>
        <v>136.66666666666666</v>
      </c>
      <c r="AA94" s="50">
        <f t="shared" si="72"/>
        <v>-0.95823095823095827</v>
      </c>
      <c r="AC94" s="67"/>
    </row>
    <row r="95" spans="1:31" x14ac:dyDescent="0.2">
      <c r="B95" s="23" t="s">
        <v>23</v>
      </c>
      <c r="C95" s="49"/>
      <c r="D95" s="50"/>
      <c r="E95" s="50"/>
      <c r="F95" s="50"/>
      <c r="G95" s="50"/>
      <c r="H95" s="50"/>
      <c r="I95" s="50"/>
      <c r="J95" s="50"/>
      <c r="K95" s="50"/>
      <c r="L95" s="50"/>
      <c r="M95" s="50">
        <f t="shared" si="64"/>
        <v>1</v>
      </c>
      <c r="N95" s="50">
        <f t="shared" si="64"/>
        <v>7.1020977872654871E-3</v>
      </c>
      <c r="O95" s="50">
        <f t="shared" si="64"/>
        <v>-0.11878362954508397</v>
      </c>
      <c r="P95" s="50">
        <f t="shared" si="64"/>
        <v>0.34253862521972428</v>
      </c>
      <c r="Q95" s="50">
        <f t="shared" si="64"/>
        <v>-0.29059711263480686</v>
      </c>
      <c r="T95" s="50">
        <f t="shared" si="65"/>
        <v>1</v>
      </c>
      <c r="U95" s="50">
        <f t="shared" si="66"/>
        <v>-0.53211507146734216</v>
      </c>
      <c r="V95" s="50">
        <f t="shared" si="67"/>
        <v>-3.8476411446249033E-2</v>
      </c>
      <c r="W95" s="50">
        <f t="shared" si="68"/>
        <v>0.35089483209330385</v>
      </c>
      <c r="X95" s="50">
        <f t="shared" si="69"/>
        <v>-0.32494790116105982</v>
      </c>
      <c r="Y95" s="50">
        <f t="shared" si="70"/>
        <v>-3.7927232635060641E-2</v>
      </c>
      <c r="Z95" s="50">
        <f t="shared" si="71"/>
        <v>0.94430437772175113</v>
      </c>
      <c r="AA95" s="50">
        <f t="shared" si="72"/>
        <v>-0.44441824826122833</v>
      </c>
      <c r="AC95" s="67"/>
    </row>
    <row r="96" spans="1:31" s="41" customFormat="1" x14ac:dyDescent="0.2">
      <c r="A96" s="16"/>
      <c r="B96" s="17" t="s">
        <v>24</v>
      </c>
      <c r="C96" s="47"/>
      <c r="D96" s="48"/>
      <c r="E96" s="48"/>
      <c r="F96" s="48"/>
      <c r="G96" s="48"/>
      <c r="H96" s="48"/>
      <c r="I96" s="48"/>
      <c r="J96" s="48"/>
      <c r="K96" s="48"/>
      <c r="L96" s="48"/>
      <c r="M96" s="48">
        <f t="shared" si="64"/>
        <v>1</v>
      </c>
      <c r="N96" s="48">
        <f t="shared" si="64"/>
        <v>-0.88003700657894735</v>
      </c>
      <c r="O96" s="48">
        <f t="shared" si="64"/>
        <v>-0.96015424164524421</v>
      </c>
      <c r="P96" s="48">
        <f t="shared" si="64"/>
        <v>-126.56989247311827</v>
      </c>
      <c r="Q96" s="48">
        <f t="shared" si="64"/>
        <v>0.81041274190786095</v>
      </c>
      <c r="R96" s="1"/>
      <c r="S96" s="1"/>
      <c r="T96" s="48">
        <f t="shared" si="65"/>
        <v>-1</v>
      </c>
      <c r="U96" s="48">
        <f t="shared" si="66"/>
        <v>1.0454896764933201</v>
      </c>
      <c r="V96" s="48">
        <f t="shared" si="67"/>
        <v>-1.7305825242718447</v>
      </c>
      <c r="W96" s="48">
        <f t="shared" si="68"/>
        <v>-9.5514950166112964</v>
      </c>
      <c r="X96" s="48">
        <f t="shared" si="69"/>
        <v>1.2150503778337531</v>
      </c>
      <c r="Y96" s="48">
        <f t="shared" si="70"/>
        <v>-0.15080527086383602</v>
      </c>
      <c r="Z96" s="48">
        <f t="shared" si="71"/>
        <v>-6.4068965517241381</v>
      </c>
      <c r="AA96" s="48">
        <f t="shared" si="72"/>
        <v>1.572704081632653</v>
      </c>
      <c r="AB96" s="1"/>
      <c r="AC96" s="66"/>
      <c r="AD96" s="1"/>
      <c r="AE96" s="1"/>
    </row>
    <row r="97" spans="1:31" s="53" customFormat="1" x14ac:dyDescent="0.2">
      <c r="A97" s="16"/>
      <c r="B97" s="51" t="s">
        <v>27</v>
      </c>
      <c r="C97" s="47"/>
      <c r="D97" s="52"/>
      <c r="E97" s="52"/>
      <c r="F97" s="52"/>
      <c r="G97" s="52"/>
      <c r="H97" s="52"/>
      <c r="I97" s="52"/>
      <c r="J97" s="52"/>
      <c r="K97" s="52"/>
      <c r="L97" s="52"/>
      <c r="M97" s="52">
        <f>IF(L15=0,
IF(M15=0,0,IF(M15&gt;0,1,-1)),
(M15-L15)/ABS(L15)
)</f>
        <v>1</v>
      </c>
      <c r="N97" s="52">
        <f>IF(M15=0,
IF(N15=0,0,IF(N15&gt;0,1,-1)),
(N15-M15)/ABS(M15)
)</f>
        <v>-0.64207713219370599</v>
      </c>
      <c r="O97" s="52">
        <f>IF(N15=0,
IF(O15=0,0,IF(O15&gt;0,1,-1)),
(O15-N15)/ABS(N15)
)</f>
        <v>-0.90190525231719876</v>
      </c>
      <c r="P97" s="52">
        <f>IF(O15=0,
IF(P15=0,0,IF(P15&gt;0,1,-1)),
(P15-O15)/ABS(O15)
)</f>
        <v>-15.711286089238845</v>
      </c>
      <c r="Q97" s="52">
        <f>IF(P15=0,
IF(Q15=0,0,IF(Q15&gt;0,1,-1)),
(Q15-P15)/ABS(P15)
)</f>
        <v>1.1388938447814452</v>
      </c>
      <c r="R97" s="1"/>
      <c r="S97" s="1"/>
      <c r="T97" s="52">
        <f t="shared" ref="T97" si="73">IF(S15=0,
IF(T15=0,0,IF(T15&gt;0,1,-1)),
(T15-S15)/ABS(S15)
)</f>
        <v>-1</v>
      </c>
      <c r="U97" s="52">
        <f t="shared" ref="U97" si="74">IF(T15=0,
IF(U15=0,0,IF(U15&gt;0,1,-1)),
(U15-T15)/ABS(T15)
)</f>
        <v>1.065925599823905</v>
      </c>
      <c r="V97" s="52">
        <f t="shared" ref="V97" si="75">IF(U15=0,
IF(V15=0,0,IF(V15&gt;0,1,-1)),
(V15-U15)/ABS(U15)
)</f>
        <v>-1.978297161936561</v>
      </c>
      <c r="W97" s="52">
        <f t="shared" ref="W97" si="76">IF(V15=0,
IF(W15=0,0,IF(W15&gt;0,1,-1)),
(W15-V15)/ABS(V15)
)</f>
        <v>-3.7252559726962455</v>
      </c>
      <c r="X97" s="52">
        <f t="shared" ref="X97" si="77">IF(W15=0,
IF(X15=0,0,IF(X15&gt;0,1,-1)),
(X15-W15)/ABS(W15)
)</f>
        <v>2.6518598772119897</v>
      </c>
      <c r="Y97" s="52">
        <f t="shared" ref="Y97" si="78">IF(X15=0,
IF(Y15=0,0,IF(Y15&gt;0,1,-1)),
(Y15-X15)/ABS(X15)
)</f>
        <v>-0.92610406646261478</v>
      </c>
      <c r="Z97" s="52">
        <f t="shared" ref="Z97" si="79">IF(Y15=0,
IF(Z15=0,0,IF(Z15&gt;0,1,-1)),
(Z15-Y15)/ABS(Y15)
)</f>
        <v>-12.674556213017752</v>
      </c>
      <c r="AA97" s="52">
        <f t="shared" ref="AA97" si="80">IF(Z15=0,
IF(AA15=0,0,IF(AA15&gt;0,1,-1)),
(AA15-Z15)/ABS(Z15)
)</f>
        <v>-1.7417638114546377</v>
      </c>
      <c r="AB97" s="1"/>
      <c r="AC97" s="66"/>
      <c r="AD97" s="1"/>
      <c r="AE97" s="1"/>
    </row>
    <row r="98" spans="1:31" s="53" customFormat="1" x14ac:dyDescent="0.2">
      <c r="A98" s="16"/>
      <c r="B98" s="51" t="s">
        <v>29</v>
      </c>
      <c r="C98" s="47"/>
      <c r="D98" s="52"/>
      <c r="E98" s="52"/>
      <c r="F98" s="52"/>
      <c r="G98" s="52"/>
      <c r="H98" s="52"/>
      <c r="I98" s="52"/>
      <c r="J98" s="52"/>
      <c r="K98" s="52"/>
      <c r="L98" s="52"/>
      <c r="M98" s="52">
        <f>IF(L18=0,
IF(M18=0,0,IF(M18&gt;0,1,-1)),
(M18-L18)/ABS(L18)
)</f>
        <v>1</v>
      </c>
      <c r="N98" s="52">
        <f>IF(M18=0,
IF(N18=0,0,IF(N18&gt;0,1,-1)),
(N18-M18)/ABS(M18)
)</f>
        <v>-0.59663780954298373</v>
      </c>
      <c r="O98" s="52">
        <f>IF(N18=0,
IF(O18=0,0,IF(O18&gt;0,1,-1)),
(O18-N18)/ABS(N18)
)</f>
        <v>-0.78924382330920884</v>
      </c>
      <c r="P98" s="52">
        <f>IF(O18=0,
IF(P18=0,0,IF(P18&gt;0,1,-1)),
(P18-O18)/ABS(O18)
)</f>
        <v>-12.104795737122558</v>
      </c>
      <c r="Q98" s="52">
        <f>IF(P18=0,
IF(Q18=0,0,IF(Q18&gt;0,1,-1)),
(Q18-P18)/ABS(P18)
)</f>
        <v>0.98576455534229046</v>
      </c>
      <c r="R98" s="1"/>
      <c r="S98" s="1"/>
      <c r="T98" s="52">
        <f t="shared" ref="T98" si="81">IF(S18=0,
IF(T18=0,0,IF(T18&gt;0,1,-1)),
(T18-S18)/ABS(S18)
)</f>
        <v>-1</v>
      </c>
      <c r="U98" s="52">
        <f t="shared" ref="U98" si="82">IF(T18=0,
IF(U18=0,0,IF(U18&gt;0,1,-1)),
(U18-T18)/ABS(T18)
)</f>
        <v>0.99242742953302487</v>
      </c>
      <c r="V98" s="52">
        <f t="shared" ref="V98" si="83">IF(U18=0,
IF(V18=0,0,IF(V18&gt;0,1,-1)),
(V18-U18)/ABS(U18)
)</f>
        <v>-5.5158730158730158</v>
      </c>
      <c r="W98" s="52">
        <f t="shared" ref="W98" si="84">IF(V18=0,
IF(W18=0,0,IF(W18&gt;0,1,-1)),
(W18-V18)/ABS(V18)
)</f>
        <v>-2.5542021924482339</v>
      </c>
      <c r="X98" s="52">
        <f t="shared" ref="X98" si="85">IF(W18=0,
IF(X18=0,0,IF(X18&gt;0,1,-1)),
(X18-W18)/ABS(W18)
)</f>
        <v>2.3923920493488691</v>
      </c>
      <c r="Y98" s="52">
        <f t="shared" ref="Y98" si="86">IF(X18=0,
IF(Y18=0,0,IF(Y18&gt;0,1,-1)),
(Y18-X18)/ABS(X18)
)</f>
        <v>-1.1454590204282551</v>
      </c>
      <c r="Z98" s="52">
        <f t="shared" ref="Z98" si="87">IF(Y18=0,
IF(Z18=0,0,IF(Z18&gt;0,1,-1)),
(Z18-Y18)/ABS(Y18)
)</f>
        <v>-5.3079526226734348</v>
      </c>
      <c r="AA98" s="52">
        <f t="shared" ref="AA98" si="88">IF(Z18=0,
IF(AA18=0,0,IF(AA18&gt;0,1,-1)),
(AA18-Z18)/ABS(Z18)
)</f>
        <v>-1.9594957081545064</v>
      </c>
      <c r="AB98" s="1"/>
      <c r="AC98" s="66"/>
      <c r="AD98" s="1"/>
      <c r="AE98" s="1"/>
    </row>
    <row r="99" spans="1:31" x14ac:dyDescent="0.2">
      <c r="B99" s="1"/>
    </row>
    <row r="100" spans="1:31" s="15" customFormat="1" ht="17" thickBot="1" x14ac:dyDescent="0.25">
      <c r="A100" s="11"/>
      <c r="B100" s="14" t="s">
        <v>75</v>
      </c>
      <c r="R100" s="1"/>
      <c r="S100" s="1"/>
      <c r="AB100" s="1"/>
      <c r="AD100" s="1"/>
      <c r="AE100" s="1"/>
    </row>
    <row r="101" spans="1:31" x14ac:dyDescent="0.2">
      <c r="B101" s="20" t="s">
        <v>76</v>
      </c>
      <c r="C101" s="50"/>
      <c r="D101" s="50"/>
      <c r="E101" s="50"/>
      <c r="F101" s="50"/>
      <c r="G101" s="50"/>
      <c r="H101" s="50"/>
      <c r="I101" s="50"/>
      <c r="J101" s="50"/>
      <c r="K101" s="50"/>
      <c r="L101" s="50"/>
      <c r="M101" s="50">
        <f>M7/M5</f>
        <v>0.5544518121077141</v>
      </c>
      <c r="N101" s="50">
        <f>N7/N5</f>
        <v>0.42607923367272499</v>
      </c>
      <c r="O101" s="50">
        <f>O7/O5</f>
        <v>0.40036512502766097</v>
      </c>
      <c r="P101" s="50">
        <f>P7/P5</f>
        <v>0.32664168283083184</v>
      </c>
      <c r="Q101" s="50">
        <f>Q7/Q5</f>
        <v>0.34766238434904356</v>
      </c>
      <c r="T101" s="50">
        <f t="shared" ref="T101:Z101" si="89">T7/T5</f>
        <v>0.15033122553447756</v>
      </c>
      <c r="U101" s="50">
        <f t="shared" si="89"/>
        <v>0.39158485273492288</v>
      </c>
      <c r="V101" s="50">
        <f t="shared" si="89"/>
        <v>0.36883239914739085</v>
      </c>
      <c r="W101" s="50">
        <f t="shared" si="89"/>
        <v>0.27544910179640719</v>
      </c>
      <c r="X101" s="50">
        <f t="shared" si="89"/>
        <v>0.38218706511389439</v>
      </c>
      <c r="Y101" s="50">
        <f t="shared" si="89"/>
        <v>0.36148895714494661</v>
      </c>
      <c r="Z101" s="50">
        <f t="shared" si="89"/>
        <v>0.39382779700964865</v>
      </c>
      <c r="AA101" s="50">
        <f t="shared" ref="AA101" si="90">AA7/AA5</f>
        <v>0.40358382936507936</v>
      </c>
      <c r="AC101" s="50">
        <f>AC7/AC5</f>
        <v>0.38604643007434425</v>
      </c>
    </row>
    <row r="102" spans="1:31" x14ac:dyDescent="0.2">
      <c r="B102" s="20" t="s">
        <v>77</v>
      </c>
      <c r="C102" s="50"/>
      <c r="D102" s="50"/>
      <c r="E102" s="50"/>
      <c r="F102" s="50"/>
      <c r="G102" s="50"/>
      <c r="H102" s="50"/>
      <c r="I102" s="50"/>
      <c r="J102" s="50"/>
      <c r="K102" s="50"/>
      <c r="L102" s="50"/>
      <c r="M102" s="50">
        <f>M12/M5</f>
        <v>0.24620368495646891</v>
      </c>
      <c r="N102" s="50">
        <f>N12/N5</f>
        <v>3.7015891140926828E-2</v>
      </c>
      <c r="O102" s="50">
        <f>O12/O5</f>
        <v>1.714981190528878E-3</v>
      </c>
      <c r="P102" s="50">
        <f>P12/P5</f>
        <v>-0.21992052880360069</v>
      </c>
      <c r="Q102" s="50">
        <f>Q12/Q5</f>
        <v>-4.1889769738709247E-2</v>
      </c>
      <c r="T102" s="50">
        <f t="shared" ref="T102:Z102" si="91">T12/T5</f>
        <v>-0.68179765130984649</v>
      </c>
      <c r="U102" s="50">
        <f t="shared" si="91"/>
        <v>2.8892005610098175E-2</v>
      </c>
      <c r="V102" s="50">
        <f t="shared" si="91"/>
        <v>-2.3762532564932503E-2</v>
      </c>
      <c r="W102" s="50">
        <f t="shared" si="91"/>
        <v>-0.246986546387744</v>
      </c>
      <c r="X102" s="50">
        <f t="shared" si="91"/>
        <v>5.0025635391489048E-2</v>
      </c>
      <c r="Y102" s="50">
        <f t="shared" si="91"/>
        <v>4.2416264443469361E-2</v>
      </c>
      <c r="Z102" s="50">
        <f t="shared" si="91"/>
        <v>-0.23097886130956766</v>
      </c>
      <c r="AA102" s="50">
        <f t="shared" ref="AA102" si="92">AA12/AA5</f>
        <v>0.11135912698412699</v>
      </c>
      <c r="AC102" s="50">
        <f>AC12/AC5</f>
        <v>-1.350119231308739E-3</v>
      </c>
    </row>
    <row r="103" spans="1:31" s="56" customFormat="1" x14ac:dyDescent="0.2">
      <c r="A103" s="1"/>
      <c r="B103" s="54" t="s">
        <v>78</v>
      </c>
      <c r="C103" s="55"/>
      <c r="D103" s="55"/>
      <c r="E103" s="55"/>
      <c r="F103" s="55"/>
      <c r="G103" s="55"/>
      <c r="H103" s="55"/>
      <c r="I103" s="55"/>
      <c r="J103" s="55"/>
      <c r="K103" s="55"/>
      <c r="L103" s="55"/>
      <c r="M103" s="55">
        <f>M111/M5</f>
        <v>0.25141729094958493</v>
      </c>
      <c r="N103" s="55">
        <f>N111/N5</f>
        <v>0.12714498683667966</v>
      </c>
      <c r="O103" s="55">
        <f>O111/O5</f>
        <v>3.088810208748248E-2</v>
      </c>
      <c r="P103" s="55">
        <f>P111/P5</f>
        <v>-0.3621965688028474</v>
      </c>
      <c r="Q103" s="55">
        <f>Q111/Q5</f>
        <v>4.9193044860272833E-4</v>
      </c>
      <c r="R103" s="1"/>
      <c r="S103" s="1"/>
      <c r="T103" s="55">
        <f t="shared" ref="T103:Z103" si="93">T111/T5</f>
        <v>-1.278906955736224</v>
      </c>
      <c r="U103" s="55">
        <f t="shared" si="93"/>
        <v>-1.0729312762973352E-2</v>
      </c>
      <c r="V103" s="55">
        <f t="shared" si="93"/>
        <v>-7.0024473040183152E-2</v>
      </c>
      <c r="W103" s="55">
        <f t="shared" si="93"/>
        <v>-0.23516603157321719</v>
      </c>
      <c r="X103" s="55">
        <f t="shared" si="93"/>
        <v>0.31275177616641031</v>
      </c>
      <c r="Y103" s="55">
        <f t="shared" si="93"/>
        <v>-2.4352786309784994E-2</v>
      </c>
      <c r="Z103" s="55">
        <f t="shared" si="93"/>
        <v>-0.31531266111806733</v>
      </c>
      <c r="AA103" s="55">
        <f t="shared" ref="AA103" si="94">AA111/AA5</f>
        <v>-0.67261904761904767</v>
      </c>
      <c r="AB103" s="1"/>
      <c r="AC103" s="55">
        <f>AC111/AC5</f>
        <v>-0.19624070697152476</v>
      </c>
      <c r="AD103" s="1"/>
      <c r="AE103" s="1"/>
    </row>
    <row r="104" spans="1:31" x14ac:dyDescent="0.2">
      <c r="B104" s="1"/>
    </row>
    <row r="105" spans="1:31" s="15" customFormat="1" ht="17" thickBot="1" x14ac:dyDescent="0.25">
      <c r="A105" s="11"/>
      <c r="B105" s="14" t="s">
        <v>104</v>
      </c>
      <c r="R105" s="1"/>
      <c r="S105" s="1"/>
      <c r="AB105" s="1"/>
      <c r="AD105" s="1"/>
      <c r="AE105" s="1"/>
    </row>
    <row r="106" spans="1:31" x14ac:dyDescent="0.2">
      <c r="B106" s="20" t="s">
        <v>71</v>
      </c>
      <c r="C106" s="80">
        <f t="shared" ref="C106:Q106" si="95">IF(AND(C83&gt;=0,C12&gt;=0),C83,0)</f>
        <v>0</v>
      </c>
      <c r="D106" s="80">
        <f t="shared" si="95"/>
        <v>0</v>
      </c>
      <c r="E106" s="80">
        <f t="shared" si="95"/>
        <v>0</v>
      </c>
      <c r="F106" s="80">
        <f t="shared" si="95"/>
        <v>0</v>
      </c>
      <c r="G106" s="80">
        <f t="shared" si="95"/>
        <v>0</v>
      </c>
      <c r="H106" s="80">
        <f t="shared" si="95"/>
        <v>0</v>
      </c>
      <c r="I106" s="80">
        <f t="shared" si="95"/>
        <v>0</v>
      </c>
      <c r="J106" s="80">
        <f t="shared" si="95"/>
        <v>0</v>
      </c>
      <c r="K106" s="80">
        <f t="shared" si="95"/>
        <v>0</v>
      </c>
      <c r="L106" s="80">
        <f t="shared" si="95"/>
        <v>0</v>
      </c>
      <c r="M106" s="80">
        <f t="shared" si="95"/>
        <v>8.4550522969174771E-2</v>
      </c>
      <c r="N106" s="80">
        <f t="shared" si="95"/>
        <v>0</v>
      </c>
      <c r="O106" s="80">
        <f t="shared" si="95"/>
        <v>0</v>
      </c>
      <c r="P106" s="80">
        <f t="shared" si="95"/>
        <v>0</v>
      </c>
      <c r="Q106" s="80">
        <f t="shared" si="95"/>
        <v>0</v>
      </c>
      <c r="T106" s="80">
        <f t="shared" ref="T106:Z106" si="96">IF(AND(T83&gt;=0,T12&gt;=0),T83,0)</f>
        <v>0</v>
      </c>
      <c r="U106" s="80">
        <f t="shared" si="96"/>
        <v>1.2554257095158599</v>
      </c>
      <c r="V106" s="80">
        <f t="shared" si="96"/>
        <v>0</v>
      </c>
      <c r="W106" s="80">
        <f t="shared" si="96"/>
        <v>0</v>
      </c>
      <c r="X106" s="80">
        <f t="shared" si="96"/>
        <v>6.6462614779186704E-2</v>
      </c>
      <c r="Y106" s="80">
        <f t="shared" si="96"/>
        <v>1.985207100591716</v>
      </c>
      <c r="Z106" s="80">
        <f t="shared" si="96"/>
        <v>0</v>
      </c>
      <c r="AA106" s="80">
        <f t="shared" ref="AA106" si="97">IF(AND(AA83&gt;=0,AA12&gt;=0),AA83,0)</f>
        <v>0</v>
      </c>
      <c r="AC106" s="80">
        <f>IF(AND(AC83&gt;=0,AC12&gt;=0),AC83,0)</f>
        <v>0</v>
      </c>
    </row>
    <row r="107" spans="1:31" x14ac:dyDescent="0.2">
      <c r="B107" s="20" t="s">
        <v>173</v>
      </c>
      <c r="C107" s="25"/>
      <c r="D107" s="25"/>
      <c r="E107" s="25"/>
      <c r="F107" s="25"/>
      <c r="G107" s="25"/>
      <c r="H107" s="25"/>
      <c r="I107" s="25"/>
      <c r="J107" s="25"/>
      <c r="K107" s="25"/>
      <c r="L107" s="25"/>
      <c r="M107" s="25">
        <f>M29+M34</f>
        <v>34711</v>
      </c>
      <c r="N107" s="25">
        <f t="shared" ref="N107:Q107" si="98">N29+N34</f>
        <v>34250</v>
      </c>
      <c r="O107" s="25">
        <f t="shared" si="98"/>
        <v>30863</v>
      </c>
      <c r="P107" s="25">
        <f t="shared" si="98"/>
        <v>27445</v>
      </c>
      <c r="Q107" s="25">
        <f t="shared" si="98"/>
        <v>45928</v>
      </c>
      <c r="T107" s="25">
        <f t="shared" ref="T107:Z107" si="99">T29+T34</f>
        <v>29582</v>
      </c>
      <c r="U107" s="25">
        <f t="shared" si="99"/>
        <v>27445</v>
      </c>
      <c r="V107" s="25">
        <f t="shared" si="99"/>
        <v>26075</v>
      </c>
      <c r="W107" s="25">
        <f t="shared" si="99"/>
        <v>26589</v>
      </c>
      <c r="X107" s="25">
        <f t="shared" si="99"/>
        <v>39602</v>
      </c>
      <c r="Y107" s="25">
        <f t="shared" si="99"/>
        <v>45928</v>
      </c>
      <c r="Z107" s="25">
        <f t="shared" si="99"/>
        <v>41270</v>
      </c>
      <c r="AA107" s="25">
        <f t="shared" ref="AA107" si="100">AA29+AA34</f>
        <v>38137</v>
      </c>
      <c r="AC107" s="25">
        <f>AA107</f>
        <v>38137</v>
      </c>
    </row>
    <row r="108" spans="1:31" x14ac:dyDescent="0.2">
      <c r="B108" s="20" t="s">
        <v>164</v>
      </c>
      <c r="C108" s="25">
        <v>0</v>
      </c>
      <c r="D108" s="25">
        <v>0</v>
      </c>
      <c r="E108" s="25">
        <v>0</v>
      </c>
      <c r="F108" s="25">
        <v>0</v>
      </c>
      <c r="G108" s="25">
        <v>0</v>
      </c>
      <c r="H108" s="25">
        <v>0</v>
      </c>
      <c r="I108" s="25">
        <v>0</v>
      </c>
      <c r="J108" s="25">
        <v>0</v>
      </c>
      <c r="K108" s="25">
        <v>0</v>
      </c>
      <c r="L108" s="25">
        <v>0</v>
      </c>
      <c r="M108" s="25">
        <f>M39+M41</f>
        <v>38101</v>
      </c>
      <c r="N108" s="25">
        <f>N39+N41</f>
        <v>42051</v>
      </c>
      <c r="O108" s="25">
        <f>O39+O41</f>
        <v>49266</v>
      </c>
      <c r="P108" s="25">
        <f>P39+P41</f>
        <v>50011</v>
      </c>
      <c r="Q108" s="25">
        <f>Q39+Q41</f>
        <v>46585</v>
      </c>
      <c r="T108" s="25">
        <f t="shared" ref="T108:Z108" si="101">T39+T41</f>
        <v>50236</v>
      </c>
      <c r="U108" s="25">
        <f t="shared" si="101"/>
        <v>50011</v>
      </c>
      <c r="V108" s="25">
        <f t="shared" si="101"/>
        <v>50151</v>
      </c>
      <c r="W108" s="25">
        <f t="shared" si="101"/>
        <v>50757</v>
      </c>
      <c r="X108" s="25">
        <f t="shared" si="101"/>
        <v>46553</v>
      </c>
      <c r="Y108" s="25">
        <f t="shared" si="101"/>
        <v>46585</v>
      </c>
      <c r="Z108" s="25">
        <f t="shared" si="101"/>
        <v>45031</v>
      </c>
      <c r="AA108" s="25">
        <f t="shared" ref="AA108" si="102">AA39+AA41</f>
        <v>50537</v>
      </c>
      <c r="AC108" s="25">
        <f>AA108</f>
        <v>50537</v>
      </c>
    </row>
    <row r="109" spans="1:31" x14ac:dyDescent="0.2">
      <c r="B109" s="20" t="s">
        <v>157</v>
      </c>
      <c r="C109" s="25"/>
      <c r="D109" s="25"/>
      <c r="E109" s="25"/>
      <c r="F109" s="25"/>
      <c r="G109" s="25"/>
      <c r="H109" s="25"/>
      <c r="I109" s="25"/>
      <c r="J109" s="25"/>
      <c r="K109" s="25"/>
      <c r="L109" s="25"/>
      <c r="M109" s="125">
        <f>M12*(1-M106)</f>
        <v>17810.985025111735</v>
      </c>
      <c r="N109" s="125">
        <f>N12*(1-N106)</f>
        <v>2334</v>
      </c>
      <c r="O109" s="125">
        <f>O12*(1-O106)</f>
        <v>93</v>
      </c>
      <c r="P109" s="125">
        <f>P12*(1-P106)</f>
        <v>-11678</v>
      </c>
      <c r="Q109" s="125">
        <f>Q12*(1-Q106)</f>
        <v>-2214</v>
      </c>
      <c r="T109" s="66"/>
      <c r="U109" s="66"/>
      <c r="V109" s="66"/>
      <c r="W109" s="66"/>
      <c r="X109" s="66"/>
      <c r="Y109" s="66"/>
      <c r="Z109" s="66"/>
      <c r="AA109" s="66"/>
      <c r="AC109" s="125">
        <f>AC12*(1-AC106)</f>
        <v>-77</v>
      </c>
    </row>
    <row r="110" spans="1:31" x14ac:dyDescent="0.2">
      <c r="B110" s="20" t="s">
        <v>294</v>
      </c>
      <c r="C110" s="25"/>
      <c r="D110" s="25"/>
      <c r="E110" s="25"/>
      <c r="F110" s="25"/>
      <c r="G110" s="25"/>
      <c r="H110" s="25"/>
      <c r="I110" s="25"/>
      <c r="J110" s="25"/>
      <c r="K110" s="25"/>
      <c r="L110" s="25"/>
      <c r="M110" s="125">
        <f>M60+M61</f>
        <v>-18733</v>
      </c>
      <c r="N110" s="125">
        <f>N60+N61</f>
        <v>-24844</v>
      </c>
      <c r="O110" s="125">
        <f>O60+O61</f>
        <v>-25750</v>
      </c>
      <c r="P110" s="125">
        <f>P60+P61</f>
        <v>-23944</v>
      </c>
      <c r="Q110" s="125">
        <f>Q60+Q61</f>
        <v>-14646</v>
      </c>
      <c r="T110" s="125">
        <f t="shared" ref="T110:Z110" si="103">T60+T61</f>
        <v>0</v>
      </c>
      <c r="U110" s="125">
        <f t="shared" si="103"/>
        <v>0</v>
      </c>
      <c r="V110" s="125">
        <f t="shared" si="103"/>
        <v>-5183</v>
      </c>
      <c r="W110" s="125">
        <f t="shared" si="103"/>
        <v>-3550</v>
      </c>
      <c r="X110" s="125">
        <f t="shared" si="103"/>
        <v>-2425</v>
      </c>
      <c r="Y110" s="125">
        <f t="shared" si="103"/>
        <v>-12786</v>
      </c>
      <c r="Z110" s="125">
        <f t="shared" si="103"/>
        <v>-3636</v>
      </c>
      <c r="AA110" s="125">
        <f t="shared" ref="AA110" si="104">AA60+AA61</f>
        <v>-2556</v>
      </c>
      <c r="AC110" s="125">
        <f>AC60+AC61</f>
        <v>-21403</v>
      </c>
    </row>
    <row r="111" spans="1:31" x14ac:dyDescent="0.2">
      <c r="B111" s="20" t="s">
        <v>322</v>
      </c>
      <c r="C111" s="25"/>
      <c r="D111" s="25"/>
      <c r="E111" s="25"/>
      <c r="F111" s="25"/>
      <c r="G111" s="25"/>
      <c r="H111" s="25"/>
      <c r="I111" s="25"/>
      <c r="J111" s="25"/>
      <c r="K111" s="25"/>
      <c r="L111" s="25"/>
      <c r="M111" s="125">
        <f>M17+M18</f>
        <v>19868</v>
      </c>
      <c r="N111" s="125">
        <f>N17+N18</f>
        <v>8017</v>
      </c>
      <c r="O111" s="125">
        <f>O17+O18</f>
        <v>1675</v>
      </c>
      <c r="P111" s="125">
        <f>P17+P18</f>
        <v>-19233</v>
      </c>
      <c r="Q111" s="125">
        <f>Q17+Q18</f>
        <v>26</v>
      </c>
      <c r="T111" s="125">
        <f t="shared" ref="T111:Z111" si="105">T17+T18</f>
        <v>-16989</v>
      </c>
      <c r="U111" s="125">
        <f t="shared" si="105"/>
        <v>-153</v>
      </c>
      <c r="V111" s="125">
        <f t="shared" si="105"/>
        <v>-887</v>
      </c>
      <c r="W111" s="125">
        <f t="shared" si="105"/>
        <v>-3024</v>
      </c>
      <c r="X111" s="125">
        <f t="shared" si="105"/>
        <v>4270</v>
      </c>
      <c r="Y111" s="125">
        <f t="shared" si="105"/>
        <v>-333</v>
      </c>
      <c r="Z111" s="125">
        <f t="shared" si="105"/>
        <v>-4281</v>
      </c>
      <c r="AA111" s="125">
        <f t="shared" ref="AA111" si="106">AA17+AA18</f>
        <v>-10848</v>
      </c>
      <c r="AC111" s="125">
        <f>AC17+AC18</f>
        <v>-11192</v>
      </c>
    </row>
    <row r="112" spans="1:31" x14ac:dyDescent="0.2">
      <c r="B112" s="20" t="s">
        <v>323</v>
      </c>
      <c r="C112" s="25"/>
      <c r="D112" s="25"/>
      <c r="E112" s="25"/>
      <c r="F112" s="25"/>
      <c r="G112" s="25"/>
      <c r="H112" s="25"/>
      <c r="I112" s="25"/>
      <c r="J112" s="25"/>
      <c r="K112" s="25"/>
      <c r="L112" s="25"/>
      <c r="M112" s="125">
        <f>M49+M48</f>
        <v>95391</v>
      </c>
      <c r="N112" s="125">
        <f>N49+N48</f>
        <v>103286</v>
      </c>
      <c r="O112" s="125">
        <f>O49+O48</f>
        <v>109965</v>
      </c>
      <c r="P112" s="125">
        <f>P49+P48</f>
        <v>105032</v>
      </c>
      <c r="Q112" s="125">
        <f>Q49+Q48</f>
        <v>126360</v>
      </c>
      <c r="T112" s="125">
        <f t="shared" ref="T112:Z112" si="107">T49+T48</f>
        <v>104864</v>
      </c>
      <c r="U112" s="125">
        <f t="shared" si="107"/>
        <v>105032</v>
      </c>
      <c r="V112" s="125">
        <f t="shared" si="107"/>
        <v>106413</v>
      </c>
      <c r="W112" s="125">
        <f t="shared" si="107"/>
        <v>105751</v>
      </c>
      <c r="X112" s="125">
        <f t="shared" si="107"/>
        <v>116730</v>
      </c>
      <c r="Y112" s="125">
        <f t="shared" si="107"/>
        <v>126360</v>
      </c>
      <c r="Z112" s="125">
        <f t="shared" si="107"/>
        <v>124989</v>
      </c>
      <c r="AA112" s="125">
        <f t="shared" ref="AA112" si="108">AA49+AA48</f>
        <v>103143</v>
      </c>
      <c r="AC112" s="125">
        <f>AC49+AC48</f>
        <v>103143</v>
      </c>
    </row>
    <row r="113" spans="1:31" x14ac:dyDescent="0.2">
      <c r="C113" s="57"/>
      <c r="D113" s="57"/>
      <c r="E113" s="57"/>
      <c r="F113" s="57"/>
      <c r="G113" s="57"/>
      <c r="H113" s="57"/>
      <c r="I113" s="57"/>
      <c r="J113" s="57"/>
      <c r="K113" s="57"/>
    </row>
    <row r="114" spans="1:31" x14ac:dyDescent="0.2">
      <c r="B114" s="1"/>
    </row>
    <row r="115" spans="1:31" s="15" customFormat="1" ht="17" thickBot="1" x14ac:dyDescent="0.25">
      <c r="A115" s="11"/>
      <c r="B115" s="14" t="s">
        <v>80</v>
      </c>
      <c r="R115" s="1"/>
      <c r="S115" s="1"/>
      <c r="AB115" s="1"/>
      <c r="AD115" s="1"/>
      <c r="AE115" s="1"/>
    </row>
    <row r="116" spans="1:31" x14ac:dyDescent="0.2">
      <c r="B116" s="20" t="s">
        <v>81</v>
      </c>
      <c r="C116" s="26"/>
      <c r="D116" s="26"/>
      <c r="E116" s="26"/>
      <c r="F116" s="26"/>
      <c r="G116" s="26"/>
      <c r="H116" s="26"/>
      <c r="I116" s="26"/>
      <c r="J116" s="26"/>
      <c r="K116" s="26"/>
      <c r="L116" s="26"/>
      <c r="M116" s="62">
        <v>51.31</v>
      </c>
      <c r="N116" s="62">
        <v>26.43</v>
      </c>
      <c r="O116" s="62">
        <v>50.25</v>
      </c>
      <c r="P116" s="62">
        <v>20.3</v>
      </c>
      <c r="Q116" s="62">
        <v>36.200000000000003</v>
      </c>
      <c r="T116" s="62">
        <v>23.91</v>
      </c>
      <c r="U116" s="62">
        <v>20.3</v>
      </c>
      <c r="V116" s="62">
        <v>22.71</v>
      </c>
      <c r="W116" s="62">
        <v>22.69</v>
      </c>
      <c r="X116" s="62">
        <v>35.5</v>
      </c>
      <c r="Y116" s="62">
        <v>36.200000000000003</v>
      </c>
      <c r="Z116" s="62">
        <v>43.23</v>
      </c>
      <c r="AA116" s="62">
        <v>128.32</v>
      </c>
      <c r="AC116" s="62">
        <f ca="1">Overview!C5</f>
        <v>101.35</v>
      </c>
    </row>
    <row r="117" spans="1:31" x14ac:dyDescent="0.2">
      <c r="B117" s="20" t="s">
        <v>375</v>
      </c>
      <c r="C117" s="26"/>
      <c r="D117" s="26"/>
      <c r="E117" s="26"/>
      <c r="F117" s="26"/>
      <c r="G117" s="26"/>
      <c r="H117" s="26"/>
      <c r="I117" s="26"/>
      <c r="J117" s="26"/>
      <c r="K117" s="26"/>
      <c r="L117" s="26"/>
      <c r="M117" s="64">
        <f>M116/M85</f>
        <v>51.31</v>
      </c>
      <c r="N117" s="64">
        <f>N116/N85</f>
        <v>26.43</v>
      </c>
      <c r="O117" s="64">
        <f>O116/O85</f>
        <v>50.25</v>
      </c>
      <c r="P117" s="64">
        <f>P116/P85</f>
        <v>20.3</v>
      </c>
      <c r="Q117" s="64">
        <f>Q116/Q85</f>
        <v>36.200000000000003</v>
      </c>
      <c r="T117" s="64">
        <f t="shared" ref="T117:Z117" si="109">T116/T85</f>
        <v>23.91</v>
      </c>
      <c r="U117" s="64">
        <f t="shared" si="109"/>
        <v>20.3</v>
      </c>
      <c r="V117" s="64">
        <f t="shared" si="109"/>
        <v>22.71</v>
      </c>
      <c r="W117" s="64">
        <f t="shared" si="109"/>
        <v>22.69</v>
      </c>
      <c r="X117" s="64">
        <f t="shared" si="109"/>
        <v>35.5</v>
      </c>
      <c r="Y117" s="64">
        <f t="shared" si="109"/>
        <v>36.200000000000003</v>
      </c>
      <c r="Z117" s="64">
        <f t="shared" si="109"/>
        <v>43.23</v>
      </c>
      <c r="AA117" s="64">
        <f t="shared" ref="AA117" si="110">AA116/AA85</f>
        <v>128.32</v>
      </c>
      <c r="AC117" s="64">
        <f ca="1">AC116/AC85</f>
        <v>101.35</v>
      </c>
    </row>
    <row r="119" spans="1:31" x14ac:dyDescent="0.2">
      <c r="B119" s="1"/>
    </row>
    <row r="120" spans="1:31" ht="17" thickBot="1" x14ac:dyDescent="0.25">
      <c r="B120" s="14" t="s">
        <v>101</v>
      </c>
      <c r="C120" s="15"/>
      <c r="D120" s="15"/>
      <c r="E120" s="15"/>
      <c r="F120" s="15"/>
      <c r="G120" s="15"/>
      <c r="H120" s="15"/>
      <c r="I120" s="15"/>
      <c r="J120" s="15"/>
      <c r="K120" s="15"/>
      <c r="L120" s="15"/>
      <c r="M120" s="15"/>
      <c r="N120" s="15"/>
      <c r="O120" s="15"/>
      <c r="P120" s="15"/>
      <c r="Q120" s="15"/>
      <c r="T120" s="15"/>
      <c r="U120" s="15"/>
      <c r="V120" s="15"/>
      <c r="W120" s="15"/>
      <c r="X120" s="15"/>
      <c r="Y120" s="15"/>
      <c r="Z120" s="15"/>
      <c r="AA120" s="15"/>
      <c r="AC120" s="15"/>
    </row>
    <row r="121" spans="1:31" x14ac:dyDescent="0.2">
      <c r="B121" s="20" t="s">
        <v>95</v>
      </c>
      <c r="M121" s="73">
        <f>M111/M5</f>
        <v>0.25141729094958493</v>
      </c>
      <c r="N121" s="73">
        <f>N111/N5</f>
        <v>0.12714498683667966</v>
      </c>
      <c r="O121" s="73">
        <f>O111/O5</f>
        <v>3.088810208748248E-2</v>
      </c>
      <c r="P121" s="73">
        <f>P111/P5</f>
        <v>-0.3621965688028474</v>
      </c>
      <c r="Q121" s="73">
        <f>Q111/Q5</f>
        <v>4.9193044860272833E-4</v>
      </c>
      <c r="T121" s="76"/>
      <c r="U121" s="76"/>
      <c r="V121" s="76"/>
      <c r="W121" s="76"/>
      <c r="X121" s="76"/>
      <c r="Y121" s="76"/>
      <c r="Z121" s="76"/>
      <c r="AA121" s="76"/>
      <c r="AC121" s="73">
        <f>AC111/AC5</f>
        <v>-0.19624070697152476</v>
      </c>
    </row>
    <row r="122" spans="1:31" x14ac:dyDescent="0.2">
      <c r="B122" s="20" t="s">
        <v>96</v>
      </c>
      <c r="M122" s="74">
        <f>M5/M37</f>
        <v>0.46924693894516822</v>
      </c>
      <c r="N122" s="74">
        <f>N5/N37</f>
        <v>0.34625459218134791</v>
      </c>
      <c r="O122" s="74">
        <f>O5/O37</f>
        <v>0.2830685068799198</v>
      </c>
      <c r="P122" s="74">
        <f>P5/P37</f>
        <v>0.27025472682393059</v>
      </c>
      <c r="Q122" s="74">
        <f>Q5/Q37</f>
        <v>0.24997989868939455</v>
      </c>
      <c r="T122" s="77"/>
      <c r="U122" s="77"/>
      <c r="V122" s="77"/>
      <c r="W122" s="77"/>
      <c r="X122" s="77"/>
      <c r="Y122" s="77"/>
      <c r="Z122" s="77"/>
      <c r="AA122" s="77"/>
      <c r="AC122" s="74">
        <f>AC5/AC37</f>
        <v>0.28172437129209293</v>
      </c>
    </row>
    <row r="123" spans="1:31" x14ac:dyDescent="0.2">
      <c r="B123" s="32" t="s">
        <v>97</v>
      </c>
      <c r="M123" s="75">
        <f t="shared" ref="M123:P123" si="111">M121*M122</f>
        <v>0.11797679417597948</v>
      </c>
      <c r="N123" s="75">
        <f t="shared" si="111"/>
        <v>4.4024535565037361E-2</v>
      </c>
      <c r="O123" s="75">
        <f t="shared" si="111"/>
        <v>8.7434489382581995E-3</v>
      </c>
      <c r="P123" s="75">
        <f t="shared" si="111"/>
        <v>-9.7885334758378503E-2</v>
      </c>
      <c r="Q123" s="75">
        <f>Q121*Q122</f>
        <v>1.2297272370393844E-4</v>
      </c>
      <c r="T123" s="78"/>
      <c r="U123" s="78"/>
      <c r="V123" s="78"/>
      <c r="W123" s="78"/>
      <c r="X123" s="78"/>
      <c r="Y123" s="78"/>
      <c r="Z123" s="78"/>
      <c r="AA123" s="78"/>
      <c r="AC123" s="75">
        <f>AC121*AC122</f>
        <v>-5.5285789793468654E-2</v>
      </c>
    </row>
    <row r="124" spans="1:31" x14ac:dyDescent="0.2">
      <c r="B124" s="20" t="s">
        <v>98</v>
      </c>
      <c r="M124" s="74">
        <f>M37/M49</f>
        <v>1.7654286043756748</v>
      </c>
      <c r="N124" s="74">
        <f>N37/N49</f>
        <v>1.7954803151159007</v>
      </c>
      <c r="O124" s="74">
        <f>O37/O49</f>
        <v>1.8143005966474097</v>
      </c>
      <c r="P124" s="74">
        <f>P37/P49</f>
        <v>1.9792988818374131</v>
      </c>
      <c r="Q124" s="74">
        <f>Q37/Q49</f>
        <v>1.8500800658027143</v>
      </c>
      <c r="T124" s="79"/>
      <c r="U124" s="79"/>
      <c r="V124" s="79"/>
      <c r="W124" s="79"/>
      <c r="X124" s="79"/>
      <c r="Y124" s="79"/>
      <c r="Z124" s="79"/>
      <c r="AA124" s="79"/>
      <c r="AC124" s="74">
        <f>AC37/AC49</f>
        <v>2.3124785817093509</v>
      </c>
    </row>
    <row r="125" spans="1:31" x14ac:dyDescent="0.2">
      <c r="B125" s="32" t="s">
        <v>99</v>
      </c>
      <c r="M125" s="75">
        <f t="shared" ref="M125:P125" si="112">M123*M124</f>
        <v>0.20827960709081569</v>
      </c>
      <c r="N125" s="75">
        <f t="shared" si="112"/>
        <v>7.904518698914445E-2</v>
      </c>
      <c r="O125" s="75">
        <f t="shared" si="112"/>
        <v>1.5863244625438012E-2</v>
      </c>
      <c r="P125" s="75">
        <f t="shared" si="112"/>
        <v>-0.19374433363553945</v>
      </c>
      <c r="Q125" s="75">
        <f>Q123*Q124</f>
        <v>2.2750938476212145E-4</v>
      </c>
      <c r="T125" s="78"/>
      <c r="U125" s="78"/>
      <c r="V125" s="78"/>
      <c r="W125" s="78"/>
      <c r="X125" s="78"/>
      <c r="Y125" s="78"/>
      <c r="Z125" s="78"/>
      <c r="AA125" s="78"/>
      <c r="AC125" s="75">
        <f>AC123*AC124</f>
        <v>-0.12784720477028169</v>
      </c>
    </row>
    <row r="127" spans="1:31" x14ac:dyDescent="0.2">
      <c r="B127" s="1"/>
    </row>
    <row r="128" spans="1:31" ht="17" thickBot="1" x14ac:dyDescent="0.25">
      <c r="B128" s="14" t="s">
        <v>223</v>
      </c>
      <c r="C128" s="166"/>
      <c r="D128" s="166"/>
      <c r="E128" s="166"/>
      <c r="F128" s="166"/>
      <c r="G128" s="166"/>
      <c r="H128" s="166"/>
      <c r="I128" s="166"/>
      <c r="J128" s="166"/>
      <c r="K128" s="166"/>
      <c r="L128" s="166"/>
      <c r="M128" s="166"/>
      <c r="N128" s="166"/>
      <c r="O128" s="166"/>
      <c r="P128" s="166"/>
      <c r="Q128" s="166"/>
      <c r="T128" s="166"/>
      <c r="U128" s="166"/>
      <c r="V128" s="166"/>
      <c r="W128" s="166"/>
      <c r="X128" s="166"/>
      <c r="Y128" s="166"/>
      <c r="Z128" s="166"/>
      <c r="AA128" s="166"/>
      <c r="AC128" s="166"/>
    </row>
    <row r="129" spans="2:29" x14ac:dyDescent="0.2">
      <c r="B129" s="20" t="s">
        <v>224</v>
      </c>
      <c r="C129" s="49"/>
      <c r="D129" s="49"/>
      <c r="E129" s="49"/>
      <c r="F129" s="49"/>
      <c r="G129" s="49"/>
      <c r="H129" s="49"/>
      <c r="I129" s="49"/>
      <c r="J129" s="49"/>
      <c r="K129" s="49"/>
      <c r="L129" s="49"/>
      <c r="M129" s="49"/>
      <c r="N129" s="49"/>
      <c r="O129" s="49"/>
      <c r="P129" s="49"/>
      <c r="Q129" s="49"/>
      <c r="T129" s="21">
        <v>13300</v>
      </c>
      <c r="U129" s="21">
        <v>11700</v>
      </c>
      <c r="V129" s="21">
        <v>11200</v>
      </c>
      <c r="W129" s="21">
        <v>12600</v>
      </c>
      <c r="X129" s="21">
        <v>12800</v>
      </c>
      <c r="Y129" s="21">
        <v>11700</v>
      </c>
      <c r="Z129" s="21">
        <v>13800</v>
      </c>
      <c r="AA129" s="21">
        <v>15800</v>
      </c>
      <c r="AC129" s="49"/>
    </row>
    <row r="130" spans="2:29" x14ac:dyDescent="0.2">
      <c r="B130" s="20" t="s">
        <v>225</v>
      </c>
      <c r="C130" s="49"/>
      <c r="D130" s="49"/>
      <c r="E130" s="49"/>
      <c r="F130" s="49"/>
      <c r="G130" s="49"/>
      <c r="H130" s="49"/>
      <c r="I130" s="49"/>
      <c r="J130" s="49"/>
      <c r="K130" s="49"/>
      <c r="L130" s="49"/>
      <c r="M130" s="49"/>
      <c r="N130" s="49"/>
      <c r="O130" s="49"/>
      <c r="P130" s="49"/>
      <c r="Q130" s="49"/>
      <c r="T130" s="21">
        <v>14300</v>
      </c>
      <c r="U130" s="21">
        <v>12700</v>
      </c>
      <c r="V130" s="21">
        <v>12400</v>
      </c>
      <c r="W130" s="21">
        <v>13600</v>
      </c>
      <c r="X130" s="21">
        <v>13800</v>
      </c>
      <c r="Y130" s="21">
        <v>12700</v>
      </c>
      <c r="Z130" s="21">
        <v>14800</v>
      </c>
      <c r="AA130" s="21">
        <v>16800</v>
      </c>
      <c r="AC130" s="49"/>
    </row>
    <row r="131" spans="2:29" x14ac:dyDescent="0.2">
      <c r="B131" s="20" t="s">
        <v>226</v>
      </c>
      <c r="C131" s="49"/>
      <c r="D131" s="49"/>
      <c r="E131" s="49"/>
      <c r="F131" s="49"/>
      <c r="G131" s="49"/>
      <c r="H131" s="49"/>
      <c r="I131" s="49"/>
      <c r="J131" s="49"/>
      <c r="K131" s="49"/>
      <c r="L131" s="49"/>
      <c r="M131" s="49"/>
      <c r="N131" s="49"/>
      <c r="O131" s="49"/>
      <c r="P131" s="49"/>
      <c r="Q131" s="49"/>
      <c r="T131" s="25">
        <f t="shared" ref="T131" si="113">U5</f>
        <v>14260</v>
      </c>
      <c r="U131" s="25">
        <f t="shared" ref="U131" si="114">V5</f>
        <v>12667</v>
      </c>
      <c r="V131" s="25">
        <f t="shared" ref="V131" si="115">W5</f>
        <v>12859</v>
      </c>
      <c r="W131" s="25">
        <f t="shared" ref="W131" si="116">X5</f>
        <v>13653</v>
      </c>
      <c r="X131" s="25">
        <f t="shared" ref="X131" si="117">Y5</f>
        <v>13674</v>
      </c>
      <c r="Y131" s="25">
        <f t="shared" ref="Y131" si="118">Z5</f>
        <v>13577</v>
      </c>
      <c r="Z131" s="25">
        <f t="shared" ref="Z131" si="119">AA5</f>
        <v>16128</v>
      </c>
      <c r="AA131" s="25">
        <f t="shared" ref="AA131" si="120">AB5</f>
        <v>0</v>
      </c>
      <c r="AC131" s="49"/>
    </row>
    <row r="132" spans="2:29" x14ac:dyDescent="0.2">
      <c r="B132" s="20" t="s">
        <v>181</v>
      </c>
      <c r="C132" s="49"/>
      <c r="D132" s="49"/>
      <c r="E132" s="49"/>
      <c r="F132" s="49"/>
      <c r="G132" s="49"/>
      <c r="H132" s="49"/>
      <c r="I132" s="49"/>
      <c r="J132" s="49"/>
      <c r="K132" s="49"/>
      <c r="L132" s="49"/>
      <c r="M132" s="49"/>
      <c r="N132" s="49"/>
      <c r="O132" s="49"/>
      <c r="P132" s="49"/>
      <c r="Q132" s="49"/>
      <c r="T132" s="223" t="str">
        <f t="shared" ref="T132:Y132" si="121">IF(T131&gt;T130, "BEAT", IF(T131&lt;T129, "MISSED", "MET"))</f>
        <v>MET</v>
      </c>
      <c r="U132" s="223" t="str">
        <f t="shared" si="121"/>
        <v>MET</v>
      </c>
      <c r="V132" s="223" t="str">
        <f t="shared" si="121"/>
        <v>BEAT</v>
      </c>
      <c r="W132" s="223" t="str">
        <f t="shared" si="121"/>
        <v>BEAT</v>
      </c>
      <c r="X132" s="223" t="str">
        <f t="shared" si="121"/>
        <v>MET</v>
      </c>
      <c r="Y132" s="223" t="str">
        <f t="shared" si="121"/>
        <v>BEAT</v>
      </c>
      <c r="Z132" s="223" t="str">
        <f>IF(Z131&gt;Z130, "BEAT", IF(Z131&lt;Z129, "MISSED", "MET"))</f>
        <v>BEAT</v>
      </c>
      <c r="AA132" s="223" t="str">
        <f>IF(AA131&gt;AA130, "BEAT", IF(AA131&lt;AA129, "MISSED", "MET"))</f>
        <v>MISSED</v>
      </c>
      <c r="AC132" s="49"/>
    </row>
    <row r="133" spans="2:29" x14ac:dyDescent="0.2">
      <c r="B133" s="20" t="s">
        <v>353</v>
      </c>
      <c r="C133" s="49"/>
      <c r="D133" s="49"/>
      <c r="E133" s="49"/>
      <c r="F133" s="49"/>
      <c r="G133" s="49"/>
      <c r="H133" s="49"/>
      <c r="I133" s="49"/>
      <c r="J133" s="49"/>
      <c r="K133" s="49"/>
      <c r="L133" s="49"/>
      <c r="M133" s="49"/>
      <c r="N133" s="49"/>
      <c r="O133" s="49"/>
      <c r="P133" s="49"/>
      <c r="Q133" s="49"/>
      <c r="T133" s="212">
        <v>0.36499999999999999</v>
      </c>
      <c r="U133" s="212">
        <v>0.33800000000000002</v>
      </c>
      <c r="V133" s="212">
        <v>0.34300000000000003</v>
      </c>
      <c r="W133" s="212">
        <v>0.34100000000000003</v>
      </c>
      <c r="X133" s="212">
        <v>0.34499999999999997</v>
      </c>
      <c r="Y133" s="212">
        <v>0.32300000000000001</v>
      </c>
      <c r="Z133" s="212">
        <v>0.375</v>
      </c>
      <c r="AA133" s="212">
        <v>0.42</v>
      </c>
      <c r="AC133" s="49"/>
    </row>
    <row r="134" spans="2:29" x14ac:dyDescent="0.2">
      <c r="B134" s="20" t="s">
        <v>354</v>
      </c>
      <c r="C134" s="49"/>
      <c r="D134" s="49"/>
      <c r="E134" s="49"/>
      <c r="F134" s="49"/>
      <c r="G134" s="49"/>
      <c r="H134" s="49"/>
      <c r="I134" s="49"/>
      <c r="J134" s="49"/>
      <c r="K134" s="49"/>
      <c r="L134" s="49"/>
      <c r="M134" s="49"/>
      <c r="N134" s="49"/>
      <c r="O134" s="49"/>
      <c r="P134" s="49"/>
      <c r="Q134" s="49"/>
      <c r="T134" s="212">
        <v>0.36499999999999999</v>
      </c>
      <c r="U134" s="212">
        <v>0.33800000000000002</v>
      </c>
      <c r="V134" s="212">
        <v>0.34300000000000003</v>
      </c>
      <c r="W134" s="212">
        <v>0.34100000000000003</v>
      </c>
      <c r="X134" s="212">
        <v>0.34499999999999997</v>
      </c>
      <c r="Y134" s="212">
        <v>0.32300000000000001</v>
      </c>
      <c r="Z134" s="212">
        <v>0.375</v>
      </c>
      <c r="AA134" s="212">
        <v>0.42</v>
      </c>
      <c r="AC134" s="49"/>
    </row>
    <row r="135" spans="2:29" x14ac:dyDescent="0.2">
      <c r="B135" s="20" t="s">
        <v>355</v>
      </c>
      <c r="C135" s="49"/>
      <c r="D135" s="49"/>
      <c r="E135" s="49"/>
      <c r="F135" s="49"/>
      <c r="G135" s="49"/>
      <c r="H135" s="49"/>
      <c r="I135" s="49"/>
      <c r="J135" s="49"/>
      <c r="K135" s="49"/>
      <c r="L135" s="49"/>
      <c r="M135" s="49"/>
      <c r="N135" s="49"/>
      <c r="O135" s="49"/>
      <c r="P135" s="49"/>
      <c r="Q135" s="49"/>
      <c r="T135" s="73">
        <f t="shared" ref="T135" si="122">U101</f>
        <v>0.39158485273492288</v>
      </c>
      <c r="U135" s="73">
        <f t="shared" ref="U135" si="123">V101</f>
        <v>0.36883239914739085</v>
      </c>
      <c r="V135" s="73">
        <f t="shared" ref="V135" si="124">W101</f>
        <v>0.27544910179640719</v>
      </c>
      <c r="W135" s="73">
        <f t="shared" ref="W135" si="125">X101</f>
        <v>0.38218706511389439</v>
      </c>
      <c r="X135" s="73">
        <f t="shared" ref="X135" si="126">Y101</f>
        <v>0.36148895714494661</v>
      </c>
      <c r="Y135" s="73">
        <f t="shared" ref="Y135" si="127">Z101</f>
        <v>0.39382779700964865</v>
      </c>
      <c r="Z135" s="73">
        <f t="shared" ref="Z135" si="128">AA101</f>
        <v>0.40358382936507936</v>
      </c>
      <c r="AA135" s="73">
        <f t="shared" ref="AA135" si="129">AB101</f>
        <v>0</v>
      </c>
      <c r="AC135" s="49"/>
    </row>
    <row r="136" spans="2:29" x14ac:dyDescent="0.2">
      <c r="B136" s="20" t="s">
        <v>181</v>
      </c>
      <c r="C136" s="49"/>
      <c r="D136" s="49"/>
      <c r="E136" s="49"/>
      <c r="F136" s="49"/>
      <c r="G136" s="49"/>
      <c r="H136" s="49"/>
      <c r="I136" s="49"/>
      <c r="J136" s="49"/>
      <c r="K136" s="49"/>
      <c r="L136" s="49"/>
      <c r="M136" s="49"/>
      <c r="N136" s="49"/>
      <c r="O136" s="49"/>
      <c r="P136" s="49"/>
      <c r="Q136" s="49"/>
      <c r="T136" s="223" t="str">
        <f t="shared" ref="T136:Y136" si="130">IF(T135&gt;T134, "BEAT", IF(T135&lt;T133, "MISSED", "MET"))</f>
        <v>BEAT</v>
      </c>
      <c r="U136" s="223" t="str">
        <f t="shared" si="130"/>
        <v>BEAT</v>
      </c>
      <c r="V136" s="223" t="str">
        <f t="shared" si="130"/>
        <v>MISSED</v>
      </c>
      <c r="W136" s="223" t="str">
        <f t="shared" si="130"/>
        <v>BEAT</v>
      </c>
      <c r="X136" s="223" t="str">
        <f t="shared" si="130"/>
        <v>BEAT</v>
      </c>
      <c r="Y136" s="223" t="str">
        <f t="shared" si="130"/>
        <v>BEAT</v>
      </c>
      <c r="Z136" s="223" t="str">
        <f>IF(Z135&gt;Z134, "BEAT", IF(Z135&lt;Z133, "MISSED", "MET"))</f>
        <v>BEAT</v>
      </c>
      <c r="AA136" s="223" t="str">
        <f>IF(AA135&gt;AA134, "BEAT", IF(AA135&lt;AA133, "MISSED", "MET"))</f>
        <v>MISSED</v>
      </c>
      <c r="AC136" s="49"/>
    </row>
    <row r="138" spans="2:29" x14ac:dyDescent="0.2">
      <c r="B138" s="1"/>
    </row>
    <row r="139" spans="2:29" ht="17" thickBot="1" x14ac:dyDescent="0.25">
      <c r="B139" s="14" t="s">
        <v>243</v>
      </c>
      <c r="C139" s="166"/>
      <c r="D139" s="166"/>
      <c r="E139" s="166"/>
      <c r="F139" s="166"/>
      <c r="G139" s="166"/>
      <c r="H139" s="166"/>
      <c r="I139" s="166"/>
      <c r="J139" s="166"/>
      <c r="K139" s="166"/>
      <c r="L139" s="166"/>
      <c r="M139" s="166"/>
      <c r="N139" s="166"/>
      <c r="O139" s="166"/>
      <c r="P139" s="166"/>
      <c r="Q139" s="166"/>
      <c r="T139" s="166"/>
      <c r="U139" s="166"/>
      <c r="V139" s="166"/>
      <c r="W139" s="166"/>
      <c r="X139" s="166"/>
      <c r="Y139" s="166"/>
      <c r="Z139" s="166"/>
      <c r="AA139" s="166"/>
      <c r="AC139" s="166"/>
    </row>
    <row r="140" spans="2:29" x14ac:dyDescent="0.2">
      <c r="B140" s="20" t="s">
        <v>100</v>
      </c>
      <c r="C140" s="80"/>
      <c r="D140" s="80"/>
      <c r="E140" s="80"/>
      <c r="F140" s="80"/>
      <c r="G140" s="80"/>
      <c r="H140" s="80"/>
      <c r="I140" s="80"/>
      <c r="J140" s="80"/>
      <c r="K140" s="80"/>
      <c r="L140" s="80"/>
      <c r="M140" s="80">
        <f>M109/(M108+M112-M107)</f>
        <v>0.18030780236190902</v>
      </c>
      <c r="N140" s="80">
        <f>N109/(N108+N112-N107)</f>
        <v>2.1010559291366228E-2</v>
      </c>
      <c r="O140" s="80">
        <f>O109/(O108+O112-O107)</f>
        <v>7.2447962108936807E-4</v>
      </c>
      <c r="P140" s="80">
        <f>P109/(P108+P112-P107)</f>
        <v>-9.1521810686687882E-2</v>
      </c>
      <c r="Q140" s="80">
        <f>Q109/(Q108+Q112-Q107)</f>
        <v>-1.7430737617799192E-2</v>
      </c>
      <c r="T140" s="49"/>
      <c r="U140" s="49"/>
      <c r="V140" s="49"/>
      <c r="W140" s="49"/>
      <c r="X140" s="49"/>
      <c r="Y140" s="49"/>
      <c r="Z140" s="49"/>
      <c r="AA140" s="49"/>
      <c r="AC140" s="80">
        <f>AC109/(AC108+AC112-AC107)</f>
        <v>-6.6641856278614885E-4</v>
      </c>
    </row>
    <row r="141" spans="2:29" x14ac:dyDescent="0.2">
      <c r="B141" s="20" t="s">
        <v>134</v>
      </c>
      <c r="M141" s="117">
        <f t="shared" ref="M141:Q142" si="131">M30/M5*365</f>
        <v>43.680464162785988</v>
      </c>
      <c r="N141" s="117">
        <f t="shared" si="131"/>
        <v>23.924651885685286</v>
      </c>
      <c r="O141" s="117">
        <f t="shared" si="131"/>
        <v>22.898318211993807</v>
      </c>
      <c r="P141" s="117">
        <f t="shared" si="131"/>
        <v>23.906706088397584</v>
      </c>
      <c r="Q141" s="117">
        <f t="shared" si="131"/>
        <v>26.511929313378616</v>
      </c>
      <c r="T141" s="117">
        <f t="shared" ref="T141:Z141" si="132">T30/T5*90</f>
        <v>21.144986449864501</v>
      </c>
      <c r="U141" s="117">
        <f t="shared" si="132"/>
        <v>21.950911640953716</v>
      </c>
      <c r="V141" s="117">
        <f t="shared" si="132"/>
        <v>21.769953422278363</v>
      </c>
      <c r="W141" s="117">
        <f t="shared" si="132"/>
        <v>16.517614122404542</v>
      </c>
      <c r="X141" s="117">
        <f t="shared" si="132"/>
        <v>21.107448912326962</v>
      </c>
      <c r="Y141" s="117">
        <f t="shared" si="132"/>
        <v>25.267661254936375</v>
      </c>
      <c r="Z141" s="117">
        <f t="shared" si="132"/>
        <v>26.952935110849229</v>
      </c>
      <c r="AA141" s="117">
        <f t="shared" ref="AA141" si="133">AA30/AA5*90</f>
        <v>22.505580357142854</v>
      </c>
      <c r="AC141" s="117">
        <f>AC30/AC5*365</f>
        <v>25.81086056950484</v>
      </c>
    </row>
    <row r="142" spans="2:29" x14ac:dyDescent="0.2">
      <c r="B142" s="20" t="s">
        <v>135</v>
      </c>
      <c r="M142" s="117">
        <f t="shared" si="131"/>
        <v>111.71121020193701</v>
      </c>
      <c r="N142" s="117">
        <f t="shared" si="131"/>
        <v>133.38012600862163</v>
      </c>
      <c r="O142" s="117">
        <f t="shared" si="131"/>
        <v>124.89943721745549</v>
      </c>
      <c r="P142" s="117">
        <f t="shared" si="131"/>
        <v>124.51812283253162</v>
      </c>
      <c r="Q142" s="117">
        <f t="shared" si="131"/>
        <v>122.99350310342828</v>
      </c>
      <c r="T142" s="117">
        <f t="shared" ref="T142:Z142" si="134">T31/T6*365</f>
        <v>390.06201825108536</v>
      </c>
      <c r="U142" s="117">
        <f t="shared" si="134"/>
        <v>513.17081604425994</v>
      </c>
      <c r="V142" s="117">
        <f t="shared" si="134"/>
        <v>560.6710444027517</v>
      </c>
      <c r="W142" s="117">
        <f t="shared" si="134"/>
        <v>445.70194268541377</v>
      </c>
      <c r="X142" s="117">
        <f t="shared" si="134"/>
        <v>497.15293420272673</v>
      </c>
      <c r="Y142" s="117">
        <f t="shared" si="134"/>
        <v>485.6912152101707</v>
      </c>
      <c r="Z142" s="117">
        <f t="shared" si="134"/>
        <v>551.09234507897929</v>
      </c>
      <c r="AA142" s="117">
        <f t="shared" ref="AA142" si="135">AA31/AA6*365</f>
        <v>474.01808919846138</v>
      </c>
      <c r="AC142" s="117">
        <f>AC31/AC6*365</f>
        <v>130.21790661145224</v>
      </c>
    </row>
    <row r="143" spans="2:29" x14ac:dyDescent="0.2">
      <c r="B143" s="20" t="s">
        <v>136</v>
      </c>
      <c r="M143" s="117">
        <f>M38/M6*365</f>
        <v>59.577238774177054</v>
      </c>
      <c r="N143" s="117">
        <f>N38/N6*365</f>
        <v>96.777246601083235</v>
      </c>
      <c r="O143" s="117">
        <f>O38/O6*365</f>
        <v>96.219823476950523</v>
      </c>
      <c r="P143" s="117">
        <f>P38/P6*365</f>
        <v>128.17261438639667</v>
      </c>
      <c r="Q143" s="117">
        <f>Q38/Q6*365</f>
        <v>104.6154069261558</v>
      </c>
      <c r="T143" s="117">
        <f t="shared" ref="T143:Z143" si="136">T38/T6*90</f>
        <v>88.301585895277753</v>
      </c>
      <c r="U143" s="117">
        <f t="shared" si="136"/>
        <v>130.24896265560164</v>
      </c>
      <c r="V143" s="117">
        <f t="shared" si="136"/>
        <v>122.65666041275797</v>
      </c>
      <c r="W143" s="117">
        <f t="shared" si="136"/>
        <v>103.03101856820865</v>
      </c>
      <c r="X143" s="117">
        <f t="shared" si="136"/>
        <v>109.55779490219324</v>
      </c>
      <c r="Y143" s="117">
        <f t="shared" si="136"/>
        <v>101.86462031840568</v>
      </c>
      <c r="Z143" s="117">
        <f t="shared" si="136"/>
        <v>78.287970838396106</v>
      </c>
      <c r="AA143" s="117">
        <f t="shared" ref="AA143" si="137">AA38/AA6*90</f>
        <v>81.925356066119136</v>
      </c>
      <c r="AC143" s="117">
        <f>AC38/AC6*365</f>
        <v>91.273454233899756</v>
      </c>
    </row>
    <row r="144" spans="2:29" x14ac:dyDescent="0.2">
      <c r="B144" s="20" t="s">
        <v>137</v>
      </c>
      <c r="M144" s="117">
        <f>M141+M142-M143</f>
        <v>95.814435590545941</v>
      </c>
      <c r="N144" s="117">
        <f t="shared" ref="N144:Q144" si="138">N141+N142-N143</f>
        <v>60.527531293223674</v>
      </c>
      <c r="O144" s="117">
        <f t="shared" si="138"/>
        <v>51.577931952498773</v>
      </c>
      <c r="P144" s="117">
        <f t="shared" si="138"/>
        <v>20.252214534532527</v>
      </c>
      <c r="Q144" s="117">
        <f t="shared" si="138"/>
        <v>44.890025490651112</v>
      </c>
      <c r="T144" s="117">
        <f t="shared" ref="T144" si="139">T141+T142-T143</f>
        <v>322.90541880567213</v>
      </c>
      <c r="U144" s="117">
        <f t="shared" ref="U144" si="140">U141+U142-U143</f>
        <v>404.87276502961197</v>
      </c>
      <c r="V144" s="117">
        <f t="shared" ref="V144" si="141">V141+V142-V143</f>
        <v>459.78433741227212</v>
      </c>
      <c r="W144" s="117">
        <f t="shared" ref="W144" si="142">W141+W142-W143</f>
        <v>359.18853823960967</v>
      </c>
      <c r="X144" s="117">
        <f t="shared" ref="X144:Z144" si="143">X141+X142-X143</f>
        <v>408.70258821286052</v>
      </c>
      <c r="Y144" s="117">
        <f t="shared" si="143"/>
        <v>409.09425614670141</v>
      </c>
      <c r="Z144" s="117">
        <f t="shared" si="143"/>
        <v>499.75730935143241</v>
      </c>
      <c r="AA144" s="117">
        <f t="shared" ref="AA144" si="144">AA141+AA142-AA143</f>
        <v>414.59831348948507</v>
      </c>
      <c r="AC144" s="117">
        <f t="shared" ref="AC144" si="145">AC141+AC142-AC143</f>
        <v>64.755312947057305</v>
      </c>
    </row>
    <row r="145" spans="2:29" x14ac:dyDescent="0.2">
      <c r="B145" s="20" t="s">
        <v>246</v>
      </c>
      <c r="M145" s="117">
        <f>M108/M49</f>
        <v>0.39941923242234595</v>
      </c>
      <c r="N145" s="117">
        <f>N108/N49</f>
        <v>0.41461009830117429</v>
      </c>
      <c r="O145" s="117">
        <f>O108/O49</f>
        <v>0.46657827445780853</v>
      </c>
      <c r="P145" s="117">
        <f>P108/P49</f>
        <v>0.50378764984386015</v>
      </c>
      <c r="Q145" s="117">
        <f>Q108/Q49</f>
        <v>0.40763556496705489</v>
      </c>
      <c r="T145" s="117">
        <f t="shared" ref="T145:Z145" si="146">T108/T49</f>
        <v>0.50472209942531043</v>
      </c>
      <c r="U145" s="117">
        <f t="shared" si="146"/>
        <v>0.50378764984386015</v>
      </c>
      <c r="V145" s="117">
        <f t="shared" si="146"/>
        <v>0.50273667749308315</v>
      </c>
      <c r="W145" s="117">
        <f t="shared" si="146"/>
        <v>0.51854765383161527</v>
      </c>
      <c r="X145" s="117">
        <f t="shared" si="146"/>
        <v>0.43762690832518614</v>
      </c>
      <c r="Y145" s="117">
        <f t="shared" si="146"/>
        <v>0.40763556496705489</v>
      </c>
      <c r="Z145" s="117">
        <f t="shared" si="146"/>
        <v>0.40424978005996731</v>
      </c>
      <c r="AA145" s="117">
        <f t="shared" ref="AA145" si="147">AA108/AA49</f>
        <v>0.57728861575015422</v>
      </c>
      <c r="AC145" s="117">
        <f>AC108/AC49</f>
        <v>0.57728861575015422</v>
      </c>
    </row>
    <row r="146" spans="2:29" x14ac:dyDescent="0.2">
      <c r="B146" s="20" t="s">
        <v>250</v>
      </c>
      <c r="M146" s="174">
        <f>(M108-M107)/M49</f>
        <v>3.5537943831179045E-2</v>
      </c>
      <c r="N146" s="174">
        <f>(N108-N107)/N49</f>
        <v>7.691549254113958E-2</v>
      </c>
      <c r="O146" s="174">
        <f>(O108-O107)/O49</f>
        <v>0.17428733781608108</v>
      </c>
      <c r="P146" s="174">
        <f>(P108-P107)/P49</f>
        <v>0.22731943185252343</v>
      </c>
      <c r="Q146" s="174">
        <f>(Q108-Q107)/Q49</f>
        <v>5.7489871457197606E-3</v>
      </c>
      <c r="T146" s="174">
        <f t="shared" ref="T146:Z146" si="148">(T108-T107)/T49</f>
        <v>0.20751115219225977</v>
      </c>
      <c r="U146" s="174">
        <f t="shared" si="148"/>
        <v>0.22731943185252343</v>
      </c>
      <c r="V146" s="174">
        <f t="shared" si="148"/>
        <v>0.2413488912947592</v>
      </c>
      <c r="W146" s="174">
        <f t="shared" si="148"/>
        <v>0.24690702164829439</v>
      </c>
      <c r="X146" s="174">
        <f t="shared" si="148"/>
        <v>6.5343686545837401E-2</v>
      </c>
      <c r="Y146" s="174">
        <f t="shared" si="148"/>
        <v>5.7489871457197606E-3</v>
      </c>
      <c r="Z146" s="174">
        <f t="shared" si="148"/>
        <v>3.3763039301937268E-2</v>
      </c>
      <c r="AA146" s="174">
        <f t="shared" ref="AA146" si="149">(AA108-AA107)/AA49</f>
        <v>0.14164629549244934</v>
      </c>
      <c r="AC146" s="174">
        <f>(AC108-AC107)/AC49</f>
        <v>0.14164629549244934</v>
      </c>
    </row>
    <row r="147" spans="2:29" x14ac:dyDescent="0.2">
      <c r="B147" s="20" t="s">
        <v>247</v>
      </c>
      <c r="M147" s="117">
        <f>(M107+M30)/M40</f>
        <v>1.6083315126356419</v>
      </c>
      <c r="N147" s="117">
        <f>(N107+N30)/N40</f>
        <v>1.1936868294199969</v>
      </c>
      <c r="O147" s="117">
        <f>(O107+O30)/O40</f>
        <v>1.2214379923715823</v>
      </c>
      <c r="P147" s="117">
        <f>(P107+P30)/P40</f>
        <v>0.86701620591039086</v>
      </c>
      <c r="Q147" s="117">
        <f>(Q107+Q30)/Q40</f>
        <v>1.5761520190023752</v>
      </c>
      <c r="T147" s="117">
        <f t="shared" ref="T147:Z147" si="150">(T107+T30)/T40</f>
        <v>0.93014590858670609</v>
      </c>
      <c r="U147" s="117">
        <f t="shared" si="150"/>
        <v>0.86701620591039086</v>
      </c>
      <c r="V147" s="117">
        <f t="shared" si="150"/>
        <v>0.90566917386709767</v>
      </c>
      <c r="W147" s="117">
        <f t="shared" si="150"/>
        <v>0.82791854944803522</v>
      </c>
      <c r="X147" s="117">
        <f t="shared" si="150"/>
        <v>1.32532433352943</v>
      </c>
      <c r="Y147" s="117">
        <f t="shared" si="150"/>
        <v>1.5761520190023752</v>
      </c>
      <c r="Z147" s="117">
        <f t="shared" si="150"/>
        <v>1.686293472196392</v>
      </c>
      <c r="AA147" s="117">
        <f t="shared" ref="AA147" si="151">(AA107+AA30)/AA40</f>
        <v>1.1822259601906364</v>
      </c>
      <c r="AC147" s="117">
        <f>(AC107+AC30)/AC40</f>
        <v>1.1822259601906364</v>
      </c>
    </row>
    <row r="148" spans="2:29" x14ac:dyDescent="0.2">
      <c r="B148" s="20" t="s">
        <v>248</v>
      </c>
      <c r="M148" s="117">
        <f>M32/M40</f>
        <v>2.1017405869929355</v>
      </c>
      <c r="N148" s="117">
        <f>N32/N40</f>
        <v>1.5676255636759446</v>
      </c>
      <c r="O148" s="117">
        <f>O32/O40</f>
        <v>1.5424018821516416</v>
      </c>
      <c r="P148" s="117">
        <f>P32/P40</f>
        <v>1.3268659227275277</v>
      </c>
      <c r="Q148" s="117">
        <f>Q32/Q40</f>
        <v>2.0170387965162311</v>
      </c>
      <c r="T148" s="117">
        <f t="shared" ref="T148:Z148" si="152">T32/T40</f>
        <v>1.3122386871071419</v>
      </c>
      <c r="U148" s="117">
        <f t="shared" si="152"/>
        <v>1.3268659227275277</v>
      </c>
      <c r="V148" s="117">
        <f t="shared" si="152"/>
        <v>1.3095667309007273</v>
      </c>
      <c r="W148" s="117">
        <f t="shared" si="152"/>
        <v>1.2404907624549562</v>
      </c>
      <c r="X148" s="117">
        <f t="shared" si="152"/>
        <v>1.6017277146484195</v>
      </c>
      <c r="Y148" s="117">
        <f t="shared" si="152"/>
        <v>2.0170387965162311</v>
      </c>
      <c r="Z148" s="117">
        <f t="shared" si="152"/>
        <v>2.3119583410823878</v>
      </c>
      <c r="AA148" s="117">
        <f t="shared" ref="AA148" si="153">AA32/AA40</f>
        <v>1.6039529015979814</v>
      </c>
      <c r="AC148" s="117">
        <f>AC32/AC40</f>
        <v>1.6039529015979814</v>
      </c>
    </row>
    <row r="149" spans="2:29" x14ac:dyDescent="0.2">
      <c r="B149" s="20" t="s">
        <v>254</v>
      </c>
      <c r="M149" s="176" t="str">
        <f>IF(M13&gt;=0,"N/A",IF(M12&lt;=0,"N/A",M12/-M13))</f>
        <v>N/A</v>
      </c>
      <c r="N149" s="176" t="str">
        <f>IF(N13&gt;=0,"N/A",IF(N12&lt;=0,"N/A",N12/-N13))</f>
        <v>N/A</v>
      </c>
      <c r="O149" s="176" t="str">
        <f>IF(O13&gt;=0,"N/A",IF(O12&lt;=0,"N/A",O12/-O13))</f>
        <v>N/A</v>
      </c>
      <c r="P149" s="176" t="str">
        <f>IF(P13&gt;=0,"N/A",IF(P12&lt;=0,"N/A",P12/-P13))</f>
        <v>N/A</v>
      </c>
      <c r="Q149" s="176" t="str">
        <f>IF(Q13&gt;=0,"N/A",IF(Q12&lt;=0,"N/A",Q12/-Q13))</f>
        <v>N/A</v>
      </c>
      <c r="T149" s="176" t="str">
        <f t="shared" ref="T149:Z149" si="154">IF(T13&gt;=0,"N/A",IF(T12&lt;=0,"N/A",T12/-T13))</f>
        <v>N/A</v>
      </c>
      <c r="U149" s="176" t="str">
        <f t="shared" si="154"/>
        <v>N/A</v>
      </c>
      <c r="V149" s="176" t="str">
        <f t="shared" si="154"/>
        <v>N/A</v>
      </c>
      <c r="W149" s="176" t="str">
        <f t="shared" si="154"/>
        <v>N/A</v>
      </c>
      <c r="X149" s="176" t="str">
        <f t="shared" si="154"/>
        <v>N/A</v>
      </c>
      <c r="Y149" s="176">
        <f t="shared" si="154"/>
        <v>5.9793814432989691</v>
      </c>
      <c r="Z149" s="176" t="str">
        <f t="shared" si="154"/>
        <v>N/A</v>
      </c>
      <c r="AA149" s="176">
        <f t="shared" ref="AA149" si="155">IF(AA13&gt;=0,"N/A",IF(AA12&lt;=0,"N/A",AA12/-AA13))</f>
        <v>46.051282051282051</v>
      </c>
      <c r="AC149" s="176" t="str">
        <f>IF(AC13&gt;=0,"N/A",IF(AC12&lt;=0,"N/A",AC12/-AC13))</f>
        <v>N/A</v>
      </c>
    </row>
    <row r="150" spans="2:29" x14ac:dyDescent="0.2">
      <c r="B150" s="20" t="s">
        <v>232</v>
      </c>
      <c r="M150" s="71">
        <f>M117/Statement!M26</f>
        <v>10.557613168724279</v>
      </c>
      <c r="N150" s="71">
        <f>N117/Statement!N26</f>
        <v>13.623711340206185</v>
      </c>
      <c r="O150" s="71">
        <f>O117/Statement!O26</f>
        <v>125.625</v>
      </c>
      <c r="P150" s="71">
        <f>P117/Statement!P26</f>
        <v>-4.634703196347032</v>
      </c>
      <c r="Q150" s="71">
        <f>Q117/Statement!Q26</f>
        <v>-603.33333333333337</v>
      </c>
      <c r="T150" s="49"/>
      <c r="U150" s="49"/>
      <c r="V150" s="49"/>
      <c r="W150" s="49"/>
      <c r="X150" s="49"/>
      <c r="Y150" s="49"/>
      <c r="Z150" s="49"/>
      <c r="AA150" s="49"/>
      <c r="AC150" s="71">
        <f ca="1">AC117/Statement!AC26</f>
        <v>-48.033175355450226</v>
      </c>
    </row>
    <row r="151" spans="2:29" x14ac:dyDescent="0.2">
      <c r="B151" s="20" t="s">
        <v>196</v>
      </c>
      <c r="M151" s="71">
        <f>M117/(Statement!M5/Statement!M22)</f>
        <v>2.6556223425794698</v>
      </c>
      <c r="N151" s="71">
        <f>N117/(Statement!N5/Statement!N22)</f>
        <v>1.7282153392330384</v>
      </c>
      <c r="O151" s="71">
        <f>O117/(Statement!O5/Statement!O22)</f>
        <v>3.9030205797742865</v>
      </c>
      <c r="P151" s="71">
        <f>P117/(Statement!P5/Statement!P22)</f>
        <v>1.6362027080469295</v>
      </c>
      <c r="Q151" s="71">
        <f>Q117/(Statement!Q5/Statement!Q22)</f>
        <v>3.102681020944885</v>
      </c>
      <c r="T151" s="49"/>
      <c r="U151" s="49"/>
      <c r="V151" s="49"/>
      <c r="W151" s="49"/>
      <c r="X151" s="49"/>
      <c r="Y151" s="49"/>
      <c r="Z151" s="49"/>
      <c r="AA151" s="49"/>
      <c r="AC151" s="71">
        <f ca="1">AC117/(Statement!AC5/Statement!AC22)</f>
        <v>8.6885518217842606</v>
      </c>
    </row>
    <row r="152" spans="2:29" x14ac:dyDescent="0.2">
      <c r="B152" s="20" t="s">
        <v>233</v>
      </c>
      <c r="M152" s="71">
        <f>M117/(Statement!M49/Statement!M75)</f>
        <v>2.190293843234687</v>
      </c>
      <c r="N152" s="71">
        <f>N117/(Statement!N49/Statement!N75)</f>
        <v>1.0780681896611222</v>
      </c>
      <c r="O152" s="71">
        <f>O117/(Statement!O49/Statement!O75)</f>
        <v>2.0120939482905578</v>
      </c>
      <c r="P152" s="71">
        <f>P117/(Statement!P49/Statement!P75)</f>
        <v>0.88545381283368585</v>
      </c>
      <c r="Q152" s="71">
        <f>Q117/(Statement!Q49/Statement!Q75)</f>
        <v>1.5822315170500785</v>
      </c>
      <c r="T152" s="71">
        <f>T117/(Statement!T49/Statement!T75)</f>
        <v>1.0360871880400273</v>
      </c>
      <c r="U152" s="71">
        <f>U117/(Statement!U49/Statement!U75)</f>
        <v>0.88545381283368585</v>
      </c>
      <c r="V152" s="71">
        <f>V117/(Statement!V49/Statement!V75)</f>
        <v>0.99303320101046555</v>
      </c>
      <c r="W152" s="71">
        <f>W117/(Statement!W49/Statement!W75)</f>
        <v>1.0146208228190801</v>
      </c>
      <c r="X152" s="71">
        <f>X117/(Statement!X49/Statement!X75)</f>
        <v>1.5918534255847183</v>
      </c>
      <c r="Y152" s="71">
        <f>Y117/(Statement!Y49/Statement!Y75)</f>
        <v>1.5822315170500785</v>
      </c>
      <c r="Z152" s="71">
        <f>Z117/(Statement!Z49/Statement!Z75)</f>
        <v>1.9504998473885484</v>
      </c>
      <c r="AA152" s="71">
        <f>AA117/(Statement!AA49/Statement!AA75)</f>
        <v>7.3935491535491531</v>
      </c>
      <c r="AC152" s="71">
        <f ca="1">AC117/(Statement!AC49/Statement!AC75)</f>
        <v>5.8395901395901388</v>
      </c>
    </row>
    <row r="153" spans="2:29" x14ac:dyDescent="0.2">
      <c r="B153" s="20" t="s">
        <v>234</v>
      </c>
      <c r="M153" s="140">
        <f>Statement!M117*Statement!M78</f>
        <v>210524.93000000002</v>
      </c>
      <c r="N153" s="140">
        <f>Statement!N117*Statement!N78</f>
        <v>109737.36</v>
      </c>
      <c r="O153" s="140">
        <f>Statement!O117*Statement!O78</f>
        <v>213562.5</v>
      </c>
      <c r="P153" s="140">
        <f>Statement!P117*Statement!P78</f>
        <v>87899</v>
      </c>
      <c r="Q153" s="140">
        <f>Statement!Q117*Statement!Q78</f>
        <v>180819</v>
      </c>
      <c r="T153" s="140">
        <f>Statement!T117*Statement!T78</f>
        <v>103123.83</v>
      </c>
      <c r="U153" s="140">
        <f>Statement!U117*Statement!U78</f>
        <v>87899</v>
      </c>
      <c r="V153" s="140">
        <f>Statement!V117*Statement!V78</f>
        <v>99061.02</v>
      </c>
      <c r="W153" s="140">
        <f>Statement!W117*Statement!W78</f>
        <v>99314.13</v>
      </c>
      <c r="X153" s="140">
        <f>Statement!X117*Statement!X78</f>
        <v>169335</v>
      </c>
      <c r="Y153" s="140">
        <f>Statement!Y117*Statement!Y78</f>
        <v>180819</v>
      </c>
      <c r="Z153" s="140">
        <f>Statement!Z117*Statement!Z78</f>
        <v>217273.97999999998</v>
      </c>
      <c r="AA153" s="140">
        <f>Statement!AA117*Statement!AA78</f>
        <v>647246.07999999996</v>
      </c>
      <c r="AC153" s="140">
        <f ca="1">Statement!AC117*Statement!AC78</f>
        <v>511209.39999999997</v>
      </c>
    </row>
    <row r="154" spans="2:29" x14ac:dyDescent="0.2">
      <c r="B154" s="20" t="s">
        <v>183</v>
      </c>
      <c r="M154" s="140">
        <f>M153+M108-M107+M48+M45</f>
        <v>213914.93000000002</v>
      </c>
      <c r="N154" s="140">
        <f>N153+N108-N107+N48+N45</f>
        <v>119401.35999999999</v>
      </c>
      <c r="O154" s="140">
        <f>O153+O108-O107+O48+O45</f>
        <v>236340.5</v>
      </c>
      <c r="P154" s="140">
        <f>P153+P108-P107+P48+P45</f>
        <v>116227</v>
      </c>
      <c r="Q154" s="140">
        <f>Q153+Q108-Q107+Q48+Q45</f>
        <v>193555</v>
      </c>
      <c r="T154" s="140">
        <f t="shared" ref="T154:Z154" si="156">T153+T108-T107+T48+T45</f>
        <v>129109.83000000002</v>
      </c>
      <c r="U154" s="140">
        <f t="shared" si="156"/>
        <v>116227</v>
      </c>
      <c r="V154" s="140">
        <f t="shared" si="156"/>
        <v>129794.02000000002</v>
      </c>
      <c r="W154" s="140">
        <f t="shared" si="156"/>
        <v>131350.13</v>
      </c>
      <c r="X154" s="140">
        <f t="shared" si="156"/>
        <v>186640</v>
      </c>
      <c r="Y154" s="140">
        <f t="shared" si="156"/>
        <v>193555</v>
      </c>
      <c r="Z154" s="140">
        <f t="shared" si="156"/>
        <v>234629.97999999998</v>
      </c>
      <c r="AA154" s="140">
        <f t="shared" ref="AA154" si="157">AA153+AA108-AA107+AA48+AA45</f>
        <v>675247.08</v>
      </c>
      <c r="AC154" s="140">
        <f ca="1">AC153+AC108-AC107+AC48+AC45</f>
        <v>539210.39999999991</v>
      </c>
    </row>
    <row r="155" spans="2:29" x14ac:dyDescent="0.2">
      <c r="B155" s="20" t="s">
        <v>255</v>
      </c>
      <c r="M155" s="178">
        <f>M154/M5</f>
        <v>2.7069615559829927</v>
      </c>
      <c r="N155" s="178">
        <f>N154/N5</f>
        <v>1.8936365654835536</v>
      </c>
      <c r="O155" s="178">
        <f>O154/O5</f>
        <v>4.3582743232278531</v>
      </c>
      <c r="P155" s="178">
        <f>P154/P5</f>
        <v>2.1887911715410255</v>
      </c>
      <c r="Q155" s="178">
        <f>Q154/Q5</f>
        <v>3.6621383838192725</v>
      </c>
      <c r="T155" s="49"/>
      <c r="U155" s="49"/>
      <c r="V155" s="49"/>
      <c r="W155" s="49"/>
      <c r="X155" s="49"/>
      <c r="Y155" s="49"/>
      <c r="Z155" s="49"/>
      <c r="AA155" s="49"/>
      <c r="AC155" s="178">
        <f ca="1">AC154/AC5</f>
        <v>9.4545237761256828</v>
      </c>
    </row>
    <row r="156" spans="2:29" x14ac:dyDescent="0.2">
      <c r="B156" s="20" t="s">
        <v>199</v>
      </c>
      <c r="M156" s="178">
        <f>M154/M12</f>
        <v>10.994805201480265</v>
      </c>
      <c r="N156" s="178">
        <f>N154/N12</f>
        <v>51.157395029991427</v>
      </c>
      <c r="O156" s="178">
        <f>O154/O12</f>
        <v>2541.2956989247314</v>
      </c>
      <c r="P156" s="178">
        <f>P154/P12</f>
        <v>-9.9526460010275724</v>
      </c>
      <c r="Q156" s="178">
        <f>Q154/Q12</f>
        <v>-87.42321589882566</v>
      </c>
      <c r="T156" s="49"/>
      <c r="U156" s="49"/>
      <c r="V156" s="49"/>
      <c r="W156" s="49"/>
      <c r="X156" s="49"/>
      <c r="Y156" s="49"/>
      <c r="Z156" s="49"/>
      <c r="AA156" s="49"/>
      <c r="AC156" s="178">
        <f ca="1">AC154/AC12</f>
        <v>-7002.7324675324662</v>
      </c>
    </row>
    <row r="157" spans="2:29" x14ac:dyDescent="0.2">
      <c r="B157" s="20" t="s">
        <v>256</v>
      </c>
      <c r="M157" s="63">
        <f>M59-M54+M110+M65</f>
        <v>8687</v>
      </c>
      <c r="N157" s="63">
        <f>N59-N54+N110+N65</f>
        <v>-12539</v>
      </c>
      <c r="O157" s="63">
        <f>O59-O54+O110+O65</f>
        <v>-17508</v>
      </c>
      <c r="P157" s="63">
        <f>P59-P54+P110+P65</f>
        <v>-19066</v>
      </c>
      <c r="Q157" s="63">
        <f>Q59-Q54+Q110+Q65</f>
        <v>-7383</v>
      </c>
      <c r="T157" s="63">
        <f t="shared" ref="T157:Z157" si="158">T59-T54+T110+T65</f>
        <v>0</v>
      </c>
      <c r="U157" s="63">
        <f t="shared" si="158"/>
        <v>0</v>
      </c>
      <c r="V157" s="63">
        <f t="shared" si="158"/>
        <v>-5054</v>
      </c>
      <c r="W157" s="63">
        <f t="shared" si="158"/>
        <v>-2164</v>
      </c>
      <c r="X157" s="63">
        <f t="shared" si="158"/>
        <v>-427</v>
      </c>
      <c r="Y157" s="63">
        <f t="shared" si="158"/>
        <v>-11421</v>
      </c>
      <c r="Z157" s="63">
        <f t="shared" si="158"/>
        <v>-3161</v>
      </c>
      <c r="AA157" s="63">
        <f t="shared" ref="AA157" si="159">AA59-AA54+AA110+AA65</f>
        <v>3764</v>
      </c>
      <c r="AC157" s="63">
        <f>AC59-AC54+AC110+AC65</f>
        <v>-11245</v>
      </c>
    </row>
    <row r="158" spans="2:29" x14ac:dyDescent="0.2">
      <c r="B158" s="20" t="s">
        <v>257</v>
      </c>
      <c r="M158" s="63">
        <f>M109+M53+M110+M55+M57+M58+M56</f>
        <v>5461.985025111735</v>
      </c>
      <c r="N158" s="63">
        <f>N109+N53+N110+N55+N57+N58+N56</f>
        <v>-13983</v>
      </c>
      <c r="O158" s="63">
        <f>O109+O53+O110+O55+O57+O58+O56</f>
        <v>-16624</v>
      </c>
      <c r="P158" s="63">
        <f>P109+P53+P110+P55+P57+P58+P56</f>
        <v>-23140</v>
      </c>
      <c r="Q158" s="63">
        <f>Q109+Q53+Q110+Q55+Q57+Q58+Q56</f>
        <v>-6901</v>
      </c>
      <c r="T158" s="49"/>
      <c r="U158" s="49"/>
      <c r="V158" s="49"/>
      <c r="W158" s="49"/>
      <c r="X158" s="49"/>
      <c r="Y158" s="49"/>
      <c r="Z158" s="49"/>
      <c r="AA158" s="49"/>
      <c r="AC158" s="63">
        <f>AC109+AC53+AC110+AC55+AC57+AC58+AC56</f>
        <v>-7711</v>
      </c>
    </row>
    <row r="159" spans="2:29" x14ac:dyDescent="0.2">
      <c r="B159" s="20" t="s">
        <v>258</v>
      </c>
      <c r="M159" s="71">
        <f>M153/M157</f>
        <v>24.234480257856571</v>
      </c>
      <c r="N159" s="71">
        <f t="shared" ref="N159:Q159" si="160">N153/N157</f>
        <v>-8.7516835473323233</v>
      </c>
      <c r="O159" s="71">
        <f t="shared" si="160"/>
        <v>-12.197995202193283</v>
      </c>
      <c r="P159" s="71">
        <f t="shared" si="160"/>
        <v>-4.6102486100912623</v>
      </c>
      <c r="Q159" s="71">
        <f t="shared" si="160"/>
        <v>-24.491263713937425</v>
      </c>
      <c r="T159" s="49"/>
      <c r="U159" s="49"/>
      <c r="V159" s="49"/>
      <c r="W159" s="49"/>
      <c r="X159" s="49"/>
      <c r="Y159" s="49"/>
      <c r="Z159" s="49"/>
      <c r="AA159" s="49"/>
      <c r="AC159" s="71">
        <f t="shared" ref="AC159:AC160" ca="1" si="161">AC153/AC157</f>
        <v>-45.461040462427739</v>
      </c>
    </row>
    <row r="160" spans="2:29" x14ac:dyDescent="0.2">
      <c r="B160" s="20" t="s">
        <v>259</v>
      </c>
      <c r="M160" s="71">
        <f>M154/M158</f>
        <v>39.164320117414455</v>
      </c>
      <c r="N160" s="71">
        <f t="shared" ref="N160:Q160" si="162">N154/N158</f>
        <v>-8.5390374025602505</v>
      </c>
      <c r="O160" s="71">
        <f t="shared" si="162"/>
        <v>-14.216825072184793</v>
      </c>
      <c r="P160" s="71">
        <f t="shared" si="162"/>
        <v>-5.0227744165946415</v>
      </c>
      <c r="Q160" s="71">
        <f t="shared" si="162"/>
        <v>-28.047384437038112</v>
      </c>
      <c r="T160" s="49"/>
      <c r="U160" s="49"/>
      <c r="V160" s="49"/>
      <c r="W160" s="49"/>
      <c r="X160" s="49"/>
      <c r="Y160" s="49"/>
      <c r="Z160" s="49"/>
      <c r="AA160" s="49"/>
      <c r="AC160" s="71">
        <f t="shared" ca="1" si="161"/>
        <v>-69.927428349111651</v>
      </c>
    </row>
    <row r="161" spans="2:29" x14ac:dyDescent="0.2">
      <c r="B161" s="20" t="s">
        <v>260</v>
      </c>
      <c r="M161" s="73">
        <f>M157/M153</f>
        <v>4.1263521617131038E-2</v>
      </c>
      <c r="N161" s="73">
        <f t="shared" ref="N161:Q161" si="163">N157/N153</f>
        <v>-0.11426372932609277</v>
      </c>
      <c r="O161" s="73">
        <f t="shared" si="163"/>
        <v>-8.1980684811237922E-2</v>
      </c>
      <c r="P161" s="73">
        <f t="shared" si="163"/>
        <v>-0.21690804218478027</v>
      </c>
      <c r="Q161" s="73">
        <f t="shared" si="163"/>
        <v>-4.0830886134753538E-2</v>
      </c>
      <c r="T161" s="49"/>
      <c r="U161" s="49"/>
      <c r="V161" s="49"/>
      <c r="W161" s="49"/>
      <c r="X161" s="49"/>
      <c r="Y161" s="49"/>
      <c r="Z161" s="49"/>
      <c r="AA161" s="49"/>
      <c r="AC161" s="73">
        <f t="shared" ref="AC161" ca="1" si="164">AC157/AC153</f>
        <v>-2.1996856865308032E-2</v>
      </c>
    </row>
    <row r="162" spans="2:29" x14ac:dyDescent="0.2">
      <c r="B162" s="20" t="s">
        <v>261</v>
      </c>
      <c r="M162" s="73">
        <f>M26/M117</f>
        <v>9.471837848372637E-2</v>
      </c>
      <c r="N162" s="73">
        <f>N26/N117</f>
        <v>7.3401437760121077E-2</v>
      </c>
      <c r="O162" s="73">
        <f>O26/O117</f>
        <v>7.9601990049751256E-3</v>
      </c>
      <c r="P162" s="73">
        <f>P26/P117</f>
        <v>-0.21576354679802953</v>
      </c>
      <c r="Q162" s="73">
        <f>Q26/Q117</f>
        <v>-1.6574585635359114E-3</v>
      </c>
      <c r="T162" s="49"/>
      <c r="U162" s="49"/>
      <c r="V162" s="49"/>
      <c r="W162" s="49"/>
      <c r="X162" s="49"/>
      <c r="Y162" s="49"/>
      <c r="Z162" s="49"/>
      <c r="AA162" s="49"/>
      <c r="AC162" s="73">
        <f ca="1">AC26/AC117</f>
        <v>-2.0818944252590038E-2</v>
      </c>
    </row>
    <row r="163" spans="2:29" x14ac:dyDescent="0.2">
      <c r="B163" s="20" t="s">
        <v>262</v>
      </c>
      <c r="M163" s="151">
        <f>M82/M117</f>
        <v>2.7090235821477293E-2</v>
      </c>
      <c r="N163" s="151">
        <f>N82/N117</f>
        <v>5.5240257283390083E-2</v>
      </c>
      <c r="O163" s="151">
        <f>O82/O117</f>
        <v>1.472636815920398E-2</v>
      </c>
      <c r="P163" s="151">
        <f>P82/P117</f>
        <v>1.8719211822660099E-2</v>
      </c>
      <c r="Q163" s="151">
        <f>Q82/Q117</f>
        <v>0</v>
      </c>
      <c r="T163" s="49"/>
      <c r="U163" s="49"/>
      <c r="V163" s="49"/>
      <c r="W163" s="49"/>
      <c r="X163" s="49"/>
      <c r="Y163" s="49"/>
      <c r="Z163" s="49"/>
      <c r="AA163" s="49"/>
      <c r="AC163" s="151">
        <f ca="1">AC82/AC117</f>
        <v>0</v>
      </c>
    </row>
    <row r="164" spans="2:29" x14ac:dyDescent="0.2">
      <c r="B164" s="20" t="s">
        <v>287</v>
      </c>
      <c r="M164" s="151">
        <f>-M63/M153</f>
        <v>1.1471325510000168E-2</v>
      </c>
      <c r="N164" s="151">
        <f>-N63/N153</f>
        <v>0</v>
      </c>
      <c r="O164" s="151">
        <f>-O63/O153</f>
        <v>0</v>
      </c>
      <c r="P164" s="151">
        <f>-P63/P153</f>
        <v>0</v>
      </c>
      <c r="Q164" s="151">
        <f>-Q63/Q153</f>
        <v>0</v>
      </c>
      <c r="T164" s="49"/>
      <c r="U164" s="49"/>
      <c r="V164" s="49"/>
      <c r="W164" s="49"/>
      <c r="X164" s="49"/>
      <c r="Y164" s="49"/>
      <c r="Z164" s="49"/>
      <c r="AA164" s="49"/>
      <c r="AC164" s="151">
        <f ca="1">-AC63/AC153</f>
        <v>0</v>
      </c>
    </row>
    <row r="165" spans="2:29" x14ac:dyDescent="0.2">
      <c r="B165" s="20" t="s">
        <v>289</v>
      </c>
      <c r="M165" s="151">
        <f>-(M63+M64)/M153</f>
        <v>3.8280501981404286E-2</v>
      </c>
      <c r="N165" s="151">
        <f>-(N63+N64)/N153</f>
        <v>5.4648662953072684E-2</v>
      </c>
      <c r="O165" s="151">
        <f>-(O63+O64)/O153</f>
        <v>1.4459467369037167E-2</v>
      </c>
      <c r="P165" s="151">
        <f>-(P63+P64)/P153</f>
        <v>1.8191333234735322E-2</v>
      </c>
      <c r="Q165" s="151">
        <f>-(Q63+Q64)/Q153</f>
        <v>0</v>
      </c>
      <c r="T165" s="49"/>
      <c r="U165" s="49"/>
      <c r="V165" s="49"/>
      <c r="W165" s="49"/>
      <c r="X165" s="49"/>
      <c r="Y165" s="49"/>
      <c r="Z165" s="49"/>
      <c r="AA165" s="49"/>
      <c r="AC165" s="151">
        <f ca="1">-(AC63+AC64)/AC153</f>
        <v>3.1278767565698128E-3</v>
      </c>
    </row>
    <row r="166" spans="2:29" x14ac:dyDescent="0.2">
      <c r="B166" s="20" t="s">
        <v>376</v>
      </c>
      <c r="M166" s="151">
        <f>M158/M5</f>
        <v>6.9118053061243856E-2</v>
      </c>
      <c r="N166" s="151">
        <f>N158/N5</f>
        <v>-0.22176229898182509</v>
      </c>
      <c r="O166" s="151">
        <f>O158/O5</f>
        <v>-0.30655749797152765</v>
      </c>
      <c r="P166" s="151">
        <f>P158/P5</f>
        <v>-0.43577333760192838</v>
      </c>
      <c r="Q166" s="151">
        <f>Q158/Q5</f>
        <v>-0.1305696933002857</v>
      </c>
      <c r="T166" s="49"/>
      <c r="U166" s="49"/>
      <c r="V166" s="49"/>
      <c r="W166" s="49"/>
      <c r="X166" s="49"/>
      <c r="Y166" s="49"/>
      <c r="Z166" s="49"/>
      <c r="AA166" s="49"/>
      <c r="AC166" s="151">
        <f>AC158/AC5</f>
        <v>-0.13520479730677515</v>
      </c>
    </row>
    <row r="167" spans="2:29" x14ac:dyDescent="0.2">
      <c r="B167" s="20" t="s">
        <v>377</v>
      </c>
      <c r="M167" s="151">
        <f>M157/M5</f>
        <v>0.10992862927718161</v>
      </c>
      <c r="N167" s="151">
        <f>N157/N5</f>
        <v>-0.19886129349446507</v>
      </c>
      <c r="O167" s="151">
        <f>O157/O5</f>
        <v>-0.3228590396105333</v>
      </c>
      <c r="P167" s="151">
        <f>P157/P5</f>
        <v>-0.35905161861358542</v>
      </c>
      <c r="Q167" s="151">
        <f>Q157/Q5</f>
        <v>-0.13968932700130551</v>
      </c>
      <c r="T167" s="49"/>
      <c r="U167" s="49"/>
      <c r="V167" s="49"/>
      <c r="W167" s="49"/>
      <c r="X167" s="49"/>
      <c r="Y167" s="49"/>
      <c r="Z167" s="49"/>
      <c r="AA167" s="49"/>
      <c r="AC167" s="151">
        <f>AC157/AC5</f>
        <v>-0.19717000981904895</v>
      </c>
    </row>
    <row r="168" spans="2:29" x14ac:dyDescent="0.2">
      <c r="B168" s="20" t="s">
        <v>265</v>
      </c>
      <c r="M168" s="151">
        <f>-M64/M157</f>
        <v>0.64970645792563597</v>
      </c>
      <c r="N168" s="151">
        <f>-N64/N157</f>
        <v>-0.47826780445011563</v>
      </c>
      <c r="O168" s="151">
        <f>-O64/O157</f>
        <v>-0.1763765135937857</v>
      </c>
      <c r="P168" s="151">
        <f>-P64/P157</f>
        <v>-8.3866568761145496E-2</v>
      </c>
      <c r="Q168" s="151">
        <f>-Q64/Q157</f>
        <v>0</v>
      </c>
      <c r="T168" s="49"/>
      <c r="U168" s="49"/>
      <c r="V168" s="49"/>
      <c r="W168" s="49"/>
      <c r="X168" s="49"/>
      <c r="Y168" s="49"/>
      <c r="Z168" s="49"/>
      <c r="AA168" s="49"/>
      <c r="AC168" s="151">
        <f>-AC64/AC157</f>
        <v>-0.14219653179190753</v>
      </c>
    </row>
    <row r="169" spans="2:29" x14ac:dyDescent="0.2">
      <c r="B169" s="20" t="s">
        <v>267</v>
      </c>
      <c r="M169" s="151">
        <f>-M63/M157</f>
        <v>0.27800161160354553</v>
      </c>
      <c r="N169" s="151">
        <f>-N63/N157</f>
        <v>0</v>
      </c>
      <c r="O169" s="151">
        <f>-O63/O157</f>
        <v>0</v>
      </c>
      <c r="P169" s="151">
        <f>-P63/P157</f>
        <v>0</v>
      </c>
      <c r="Q169" s="151">
        <f>-Q63/Q157</f>
        <v>0</v>
      </c>
      <c r="T169" s="49"/>
      <c r="U169" s="49"/>
      <c r="V169" s="49"/>
      <c r="W169" s="49"/>
      <c r="X169" s="49"/>
      <c r="Y169" s="49"/>
      <c r="Z169" s="49"/>
      <c r="AA169" s="49"/>
      <c r="AC169" s="151">
        <f>-AC63/AC157</f>
        <v>0</v>
      </c>
    </row>
    <row r="170" spans="2:29" x14ac:dyDescent="0.2">
      <c r="B170" s="20" t="s">
        <v>278</v>
      </c>
      <c r="M170" s="151">
        <f>(-M64-M63)/M157</f>
        <v>0.9277080695291815</v>
      </c>
      <c r="N170" s="151">
        <f>(-N64-N63)/N157</f>
        <v>-0.47826780445011563</v>
      </c>
      <c r="O170" s="151">
        <f>(-O64-O63)/O157</f>
        <v>-0.1763765135937857</v>
      </c>
      <c r="P170" s="151">
        <f>(-P64-P63)/P157</f>
        <v>-8.3866568761145496E-2</v>
      </c>
      <c r="Q170" s="151">
        <f>(-Q64-Q63)/Q157</f>
        <v>0</v>
      </c>
      <c r="T170" s="49"/>
      <c r="U170" s="49"/>
      <c r="V170" s="49"/>
      <c r="W170" s="49"/>
      <c r="X170" s="49"/>
      <c r="Y170" s="49"/>
      <c r="Z170" s="49"/>
      <c r="AA170" s="49"/>
      <c r="AC170" s="151">
        <f>(-AC64-AC63)/AC157</f>
        <v>-0.14219653179190753</v>
      </c>
    </row>
    <row r="171" spans="2:29" x14ac:dyDescent="0.2">
      <c r="B171" s="20" t="s">
        <v>272</v>
      </c>
      <c r="M171" s="151">
        <f>M80/M78</f>
        <v>4.874482086278333E-4</v>
      </c>
      <c r="N171" s="151">
        <f>N80/N78</f>
        <v>4.8169556840077071E-4</v>
      </c>
      <c r="O171" s="151">
        <f>O80/O78</f>
        <v>4.7058823529411766E-4</v>
      </c>
      <c r="P171" s="151">
        <f>P80/P78</f>
        <v>4.6189376443418013E-4</v>
      </c>
      <c r="Q171" s="151">
        <f>Q80/Q78</f>
        <v>6.0060060060060057E-4</v>
      </c>
      <c r="T171" s="49"/>
      <c r="U171" s="49"/>
      <c r="V171" s="49"/>
      <c r="W171" s="49"/>
      <c r="X171" s="49"/>
      <c r="Y171" s="49"/>
      <c r="Z171" s="49"/>
      <c r="AA171" s="49"/>
      <c r="AC171" s="151">
        <f>AC80/AC78</f>
        <v>5.947660586835844E-4</v>
      </c>
    </row>
    <row r="172" spans="2:29" x14ac:dyDescent="0.2">
      <c r="B172" s="20" t="s">
        <v>273</v>
      </c>
      <c r="M172" s="71">
        <f>M107/M75</f>
        <v>8.524312377210217</v>
      </c>
      <c r="N172" s="71">
        <f>N107/N75</f>
        <v>8.2789460962049795</v>
      </c>
      <c r="O172" s="71">
        <f>O107/O75</f>
        <v>7.2996688741721858</v>
      </c>
      <c r="P172" s="71">
        <f>P107/P75</f>
        <v>6.3383371824480372</v>
      </c>
      <c r="Q172" s="71">
        <f>Q107/Q75</f>
        <v>9.1947947947947952</v>
      </c>
      <c r="T172" s="71">
        <f t="shared" ref="T172:Z172" si="165">T107/T75</f>
        <v>6.8587989798284257</v>
      </c>
      <c r="U172" s="71">
        <f t="shared" si="165"/>
        <v>6.3383371824480372</v>
      </c>
      <c r="V172" s="71">
        <f t="shared" si="165"/>
        <v>5.977762494268684</v>
      </c>
      <c r="W172" s="71">
        <f t="shared" si="165"/>
        <v>6.0747087045921866</v>
      </c>
      <c r="X172" s="71">
        <f t="shared" si="165"/>
        <v>8.3023060796645698</v>
      </c>
      <c r="Y172" s="71">
        <f t="shared" si="165"/>
        <v>9.1947947947947952</v>
      </c>
      <c r="Z172" s="71">
        <f t="shared" si="165"/>
        <v>8.2113012335853561</v>
      </c>
      <c r="AA172" s="71">
        <f t="shared" ref="AA172" si="166">AA107/AA75</f>
        <v>7.5608643933386199</v>
      </c>
      <c r="AC172" s="71">
        <f>AC107/AC75</f>
        <v>7.5608643933386199</v>
      </c>
    </row>
    <row r="173" spans="2:29" x14ac:dyDescent="0.2">
      <c r="B173" s="20" t="s">
        <v>275</v>
      </c>
      <c r="M173" s="151">
        <f>M54/M59</f>
        <v>6.9120043454644217E-2</v>
      </c>
      <c r="N173" s="151">
        <f>N54/N59</f>
        <v>0.20268256333830104</v>
      </c>
      <c r="O173" s="151">
        <f>O54/O59</f>
        <v>0.28149245924505273</v>
      </c>
      <c r="P173" s="151">
        <f>P54/P59</f>
        <v>0.41143822393822393</v>
      </c>
      <c r="Q173" s="151">
        <f>Q54/Q59</f>
        <v>0.25100546560791998</v>
      </c>
      <c r="T173" s="151" t="e">
        <f t="shared" ref="T173:X173" si="167">T54/T59</f>
        <v>#DIV/0!</v>
      </c>
      <c r="U173" s="151" t="e">
        <f t="shared" si="167"/>
        <v>#DIV/0!</v>
      </c>
      <c r="V173" s="151">
        <f t="shared" si="167"/>
        <v>0.84132841328413288</v>
      </c>
      <c r="W173" s="151">
        <f t="shared" si="167"/>
        <v>0.32390243902439025</v>
      </c>
      <c r="X173" s="151">
        <f t="shared" si="167"/>
        <v>0.2152395915161037</v>
      </c>
      <c r="Y173" s="151">
        <f>V54/V59</f>
        <v>0.84132841328413288</v>
      </c>
      <c r="Z173" s="151">
        <f>Z54/Z59</f>
        <v>0.56660583941605835</v>
      </c>
      <c r="AA173" s="151">
        <f>AA54/AA59</f>
        <v>9.7916071938338567E-2</v>
      </c>
      <c r="AC173" s="151">
        <f>AC54/AC59</f>
        <v>0.24905744067420715</v>
      </c>
    </row>
    <row r="174" spans="2:29" x14ac:dyDescent="0.2">
      <c r="B174" s="20" t="s">
        <v>276</v>
      </c>
      <c r="M174" s="151">
        <f>M54/M5</f>
        <v>2.5764324762097592E-2</v>
      </c>
      <c r="N174" s="151">
        <f>N54/N5</f>
        <v>4.9608272274558315E-2</v>
      </c>
      <c r="O174" s="151">
        <f>O54/O5</f>
        <v>5.9544884561481153E-2</v>
      </c>
      <c r="P174" s="151">
        <f>P54/P5</f>
        <v>6.4217246379540877E-2</v>
      </c>
      <c r="Q174" s="151">
        <f>Q54/Q5</f>
        <v>4.6052258149963103E-2</v>
      </c>
      <c r="T174" s="151">
        <f t="shared" ref="T174:X174" si="168">T54/T5</f>
        <v>0</v>
      </c>
      <c r="U174" s="151">
        <f t="shared" si="168"/>
        <v>0</v>
      </c>
      <c r="V174" s="151">
        <f t="shared" si="168"/>
        <v>5.3998578984763561E-2</v>
      </c>
      <c r="W174" s="151">
        <f t="shared" si="168"/>
        <v>5.1636985768722297E-2</v>
      </c>
      <c r="X174" s="151">
        <f t="shared" si="168"/>
        <v>4.0137698674284038E-2</v>
      </c>
      <c r="Y174" s="151">
        <f>V54/Y5</f>
        <v>5.0021939447125935E-2</v>
      </c>
      <c r="Z174" s="151">
        <f>Z54/Z5</f>
        <v>4.5739117625395891E-2</v>
      </c>
      <c r="AA174" s="151">
        <f>AA54/AA5</f>
        <v>4.2534722222222224E-2</v>
      </c>
      <c r="AC174" s="151">
        <f>AC54/AC5</f>
        <v>5.9072099873755085E-2</v>
      </c>
    </row>
    <row r="175" spans="2:29" x14ac:dyDescent="0.2">
      <c r="B175" s="20" t="s">
        <v>281</v>
      </c>
      <c r="M175" s="71">
        <f>(M107-M108)/M75</f>
        <v>-0.83251473477406679</v>
      </c>
      <c r="N175" s="71">
        <f>(N107-N108)/N75</f>
        <v>-1.8856659415035049</v>
      </c>
      <c r="O175" s="71">
        <f>(O107-O108)/O75</f>
        <v>-4.3526490066225163</v>
      </c>
      <c r="P175" s="71">
        <f>(P107-P108)/P75</f>
        <v>-5.2115473441108549</v>
      </c>
      <c r="Q175" s="71">
        <f>(Q107-Q108)/Q75</f>
        <v>-0.13153153153153152</v>
      </c>
      <c r="T175" s="71">
        <f t="shared" ref="T175:Z175" si="169">(T107-T108)/T75</f>
        <v>-4.7887781126825875</v>
      </c>
      <c r="U175" s="71">
        <f t="shared" si="169"/>
        <v>-5.2115473441108549</v>
      </c>
      <c r="V175" s="71">
        <f t="shared" si="169"/>
        <v>-5.5194864740944523</v>
      </c>
      <c r="W175" s="71">
        <f t="shared" si="169"/>
        <v>-5.5215901302261825</v>
      </c>
      <c r="X175" s="71">
        <f t="shared" si="169"/>
        <v>-1.4572327044025157</v>
      </c>
      <c r="Y175" s="71">
        <f t="shared" si="169"/>
        <v>-0.13153153153153152</v>
      </c>
      <c r="Z175" s="71">
        <f t="shared" si="169"/>
        <v>-0.74830879426979702</v>
      </c>
      <c r="AA175" s="71">
        <f t="shared" ref="AA175" si="170">(AA107-AA108)/AA75</f>
        <v>-2.4583663758921492</v>
      </c>
      <c r="AC175" s="71">
        <f>(AC107-AC108)/AC75</f>
        <v>-2.4583663758921492</v>
      </c>
    </row>
    <row r="176" spans="2:29" x14ac:dyDescent="0.2">
      <c r="B176" s="20" t="s">
        <v>286</v>
      </c>
      <c r="M176" s="151">
        <f>(M107-M108)/M153</f>
        <v>-1.6102605995403963E-2</v>
      </c>
      <c r="N176" s="151">
        <f>(N107-N108)/N153</f>
        <v>-7.1087913906439884E-2</v>
      </c>
      <c r="O176" s="151">
        <f>(O107-O108)/O153</f>
        <v>-8.617149546385719E-2</v>
      </c>
      <c r="P176" s="151">
        <f>(P107-P108)/P153</f>
        <v>-0.25672647015324407</v>
      </c>
      <c r="Q176" s="151">
        <f>(Q107-Q108)/Q153</f>
        <v>-3.6334677218655118E-3</v>
      </c>
      <c r="T176" s="49"/>
      <c r="U176" s="49"/>
      <c r="V176" s="49"/>
      <c r="W176" s="49"/>
      <c r="X176" s="49"/>
      <c r="Y176" s="49"/>
      <c r="Z176" s="49"/>
      <c r="AA176" s="49"/>
      <c r="AC176" s="151">
        <f ca="1">(AC107-AC108)/AC153</f>
        <v>-2.425620499153576E-2</v>
      </c>
    </row>
    <row r="177" spans="1:31" x14ac:dyDescent="0.2">
      <c r="B177" s="20" t="s">
        <v>295</v>
      </c>
      <c r="M177" s="151">
        <f>-M110/M5</f>
        <v>0.23705456570155903</v>
      </c>
      <c r="N177" s="151">
        <f>-N110/N5</f>
        <v>0.39401148222158783</v>
      </c>
      <c r="O177" s="151">
        <f>-O110/O5</f>
        <v>0.4748469425389098</v>
      </c>
      <c r="P177" s="151">
        <f>-P110/P5</f>
        <v>0.45091429539933336</v>
      </c>
      <c r="Q177" s="151">
        <f>-Q110/Q5</f>
        <v>0.27710820577829071</v>
      </c>
      <c r="T177" s="151">
        <f t="shared" ref="T177:Z177" si="171">-T110/T5</f>
        <v>0</v>
      </c>
      <c r="U177" s="151">
        <f t="shared" si="171"/>
        <v>0</v>
      </c>
      <c r="V177" s="151">
        <f t="shared" si="171"/>
        <v>0.40917344280413676</v>
      </c>
      <c r="W177" s="151">
        <f t="shared" si="171"/>
        <v>0.27607123415506651</v>
      </c>
      <c r="X177" s="151">
        <f t="shared" si="171"/>
        <v>0.17761664103127517</v>
      </c>
      <c r="Y177" s="151">
        <f t="shared" si="171"/>
        <v>0.93505923650723999</v>
      </c>
      <c r="Z177" s="151">
        <f t="shared" si="171"/>
        <v>0.2678058481255064</v>
      </c>
      <c r="AA177" s="151">
        <f t="shared" ref="AA177" si="172">-AA110/AA5</f>
        <v>0.15848214285714285</v>
      </c>
      <c r="AC177" s="151">
        <f>-AC110/AC5</f>
        <v>0.37528054425585639</v>
      </c>
    </row>
    <row r="178" spans="1:31" x14ac:dyDescent="0.2">
      <c r="B178" s="20" t="s">
        <v>296</v>
      </c>
      <c r="M178" s="151">
        <f>-(M110/M59)</f>
        <v>0.63596550787615425</v>
      </c>
      <c r="N178" s="151">
        <f>-(N110/N59)</f>
        <v>1.6097971878442299</v>
      </c>
      <c r="O178" s="151">
        <f>-(O110/O59)</f>
        <v>2.2447912126231366</v>
      </c>
      <c r="P178" s="151">
        <f>-(P110/P59)</f>
        <v>2.8889961389961392</v>
      </c>
      <c r="Q178" s="151">
        <f>-(Q110/Q59)</f>
        <v>1.5103640301124059</v>
      </c>
      <c r="T178" s="151" t="e">
        <f t="shared" ref="T178:X178" si="173">-(T110/T59)</f>
        <v>#DIV/0!</v>
      </c>
      <c r="U178" s="151" t="e">
        <f t="shared" si="173"/>
        <v>#DIV/0!</v>
      </c>
      <c r="V178" s="151">
        <f t="shared" si="173"/>
        <v>6.375153751537515</v>
      </c>
      <c r="W178" s="151">
        <f t="shared" si="173"/>
        <v>1.7317073170731707</v>
      </c>
      <c r="X178" s="151">
        <f t="shared" si="173"/>
        <v>0.95247446975648076</v>
      </c>
      <c r="Y178" s="151">
        <f>-(Y110/V59)</f>
        <v>15.726937269372694</v>
      </c>
      <c r="Z178" s="151">
        <f>-(Z110/Z59)</f>
        <v>3.3175182481751824</v>
      </c>
      <c r="AA178" s="151">
        <f>-(AA110/AA59)</f>
        <v>0.36483014558949473</v>
      </c>
      <c r="AC178" s="151">
        <f>-(AC110/AC59)</f>
        <v>1.5822429215642788</v>
      </c>
    </row>
    <row r="179" spans="1:31" x14ac:dyDescent="0.2">
      <c r="B179" s="20" t="s">
        <v>297</v>
      </c>
      <c r="M179" s="151">
        <f>-M110/M53</f>
        <v>1.5886194029850746</v>
      </c>
      <c r="N179" s="151">
        <f>-N110/N53</f>
        <v>1.9059455312619868</v>
      </c>
      <c r="O179" s="151">
        <f>-O110/O53</f>
        <v>2.6817329722974379</v>
      </c>
      <c r="P179" s="151">
        <f>-P110/P53</f>
        <v>2.1042270849811056</v>
      </c>
      <c r="Q179" s="151">
        <f>-Q110/Q53</f>
        <v>1.2511532547411583</v>
      </c>
      <c r="T179" s="151" t="e">
        <f t="shared" ref="T179:X179" si="174">-T110/T53</f>
        <v>#DIV/0!</v>
      </c>
      <c r="U179" s="151" t="e">
        <f t="shared" si="174"/>
        <v>#DIV/0!</v>
      </c>
      <c r="V179" s="151">
        <f t="shared" si="174"/>
        <v>1.9382946896035902</v>
      </c>
      <c r="W179" s="151">
        <f t="shared" si="174"/>
        <v>1.1782276800531033</v>
      </c>
      <c r="X179" s="151">
        <f t="shared" si="174"/>
        <v>0.81049465240641716</v>
      </c>
      <c r="Y179" s="151">
        <f>-Y110/V53</f>
        <v>4.7816005983545251</v>
      </c>
      <c r="Z179" s="151">
        <f>-Z110/Z53</f>
        <v>1.159438775510204</v>
      </c>
      <c r="AA179" s="151">
        <f>-AA110/AA53</f>
        <v>0.79280397022332505</v>
      </c>
      <c r="AC179" s="151">
        <f>-AC110/AC53</f>
        <v>1.7758878194490542</v>
      </c>
    </row>
    <row r="180" spans="1:31" x14ac:dyDescent="0.2">
      <c r="B180" s="20" t="s">
        <v>389</v>
      </c>
      <c r="M180" s="71">
        <f>M5/M37</f>
        <v>0.46924693894516822</v>
      </c>
      <c r="N180" s="71">
        <f t="shared" ref="N180:Q180" si="175">N5/N37</f>
        <v>0.34625459218134791</v>
      </c>
      <c r="O180" s="71">
        <f t="shared" si="175"/>
        <v>0.2830685068799198</v>
      </c>
      <c r="P180" s="71">
        <f t="shared" si="175"/>
        <v>0.27025472682393059</v>
      </c>
      <c r="Q180" s="71">
        <f t="shared" si="175"/>
        <v>0.24997989868939455</v>
      </c>
      <c r="T180" s="49"/>
      <c r="U180" s="49"/>
      <c r="V180" s="49"/>
      <c r="W180" s="49"/>
      <c r="X180" s="49"/>
      <c r="Y180" s="49"/>
      <c r="Z180" s="49"/>
      <c r="AA180" s="49"/>
      <c r="AC180" s="71">
        <f t="shared" ref="AC180" si="176">AC5/AC37</f>
        <v>0.28172437129209293</v>
      </c>
    </row>
    <row r="181" spans="1:31" x14ac:dyDescent="0.2">
      <c r="B181" s="20" t="s">
        <v>386</v>
      </c>
      <c r="M181" s="71">
        <f>IF(AND(M12&gt;0,M108&gt;0),M108/M12,"N/A")</f>
        <v>1.9583162006578947</v>
      </c>
      <c r="N181" s="71">
        <f t="shared" ref="N181:Q181" si="177">IF(AND(N12&gt;0,N108&gt;0),N108/N12,"N/A")</f>
        <v>18.016709511568124</v>
      </c>
      <c r="O181" s="71">
        <f t="shared" si="177"/>
        <v>529.74193548387098</v>
      </c>
      <c r="P181" s="176" t="str">
        <f t="shared" si="177"/>
        <v>N/A</v>
      </c>
      <c r="Q181" s="176" t="str">
        <f t="shared" si="177"/>
        <v>N/A</v>
      </c>
      <c r="T181" s="49"/>
      <c r="U181" s="49"/>
      <c r="V181" s="49"/>
      <c r="W181" s="49"/>
      <c r="X181" s="49"/>
      <c r="Y181" s="49"/>
      <c r="Z181" s="49"/>
      <c r="AA181" s="49"/>
      <c r="AC181" s="176" t="str">
        <f t="shared" ref="AC181" si="178">IF(AND(AC12&gt;0,AC108&gt;0),AC108/AC12,"N/A")</f>
        <v>N/A</v>
      </c>
    </row>
    <row r="182" spans="1:31" x14ac:dyDescent="0.2">
      <c r="B182" s="20" t="s">
        <v>387</v>
      </c>
      <c r="M182" s="71">
        <f>IF(AND(M12&gt;0,M108&gt;0),(M108-M107)/M12,"N/A")</f>
        <v>0.17423930921052633</v>
      </c>
      <c r="N182" s="71">
        <f t="shared" ref="N182:Q182" si="179">IF(AND(N12&gt;0,N108&gt;0),(N108-N107)/N12,"N/A")</f>
        <v>3.342330762639246</v>
      </c>
      <c r="O182" s="71">
        <f t="shared" si="179"/>
        <v>197.88172043010752</v>
      </c>
      <c r="P182" s="176" t="str">
        <f t="shared" si="179"/>
        <v>N/A</v>
      </c>
      <c r="Q182" s="176" t="str">
        <f t="shared" si="179"/>
        <v>N/A</v>
      </c>
      <c r="T182" s="49"/>
      <c r="U182" s="49"/>
      <c r="V182" s="49"/>
      <c r="W182" s="49"/>
      <c r="X182" s="49"/>
      <c r="Y182" s="49"/>
      <c r="Z182" s="49"/>
      <c r="AA182" s="49"/>
      <c r="AC182" s="176" t="str">
        <f t="shared" ref="AC182" si="180">IF(AND(AC12&gt;0,AC108&gt;0),(AC108-AC107)/AC12,"N/A")</f>
        <v>N/A</v>
      </c>
    </row>
    <row r="183" spans="1:31" x14ac:dyDescent="0.2">
      <c r="B183" s="20" t="s">
        <v>388</v>
      </c>
      <c r="M183" s="71">
        <f>M5/(M108+M112-M107)</f>
        <v>0.79999190127656128</v>
      </c>
      <c r="N183" s="71">
        <f t="shared" ref="N183:Q183" si="181">N5/(N108+N112-N107)</f>
        <v>0.56760917119014831</v>
      </c>
      <c r="O183" s="71">
        <f t="shared" si="181"/>
        <v>0.42244173002617474</v>
      </c>
      <c r="P183" s="71">
        <f t="shared" si="181"/>
        <v>0.41615856047900435</v>
      </c>
      <c r="Q183" s="71">
        <f t="shared" si="181"/>
        <v>0.41610965461316202</v>
      </c>
      <c r="T183" s="49"/>
      <c r="U183" s="49"/>
      <c r="V183" s="49"/>
      <c r="W183" s="49"/>
      <c r="X183" s="49"/>
      <c r="Y183" s="49"/>
      <c r="Z183" s="49"/>
      <c r="AA183" s="49"/>
      <c r="AC183" s="71">
        <f t="shared" ref="AC183" si="182">AC5/(AC108+AC112-AC107)</f>
        <v>0.49359978536129406</v>
      </c>
    </row>
    <row r="185" spans="1:31" x14ac:dyDescent="0.2">
      <c r="B185" s="1"/>
    </row>
    <row r="186" spans="1:31" s="15" customFormat="1" ht="17" thickBot="1" x14ac:dyDescent="0.25">
      <c r="A186" s="11"/>
      <c r="B186" s="14" t="s">
        <v>79</v>
      </c>
      <c r="R186" s="1"/>
      <c r="S186" s="1"/>
      <c r="AB186" s="1"/>
      <c r="AD186" s="1"/>
      <c r="AE186" s="1"/>
    </row>
    <row r="187" spans="1:31" x14ac:dyDescent="0.2">
      <c r="B187" s="211" t="s">
        <v>404</v>
      </c>
      <c r="C187" s="61"/>
      <c r="D187" s="61"/>
      <c r="E187" s="61"/>
      <c r="F187" s="61"/>
      <c r="G187" s="61"/>
      <c r="H187" s="61"/>
      <c r="I187" s="61"/>
      <c r="J187" s="61"/>
      <c r="K187" s="61"/>
      <c r="L187" s="61"/>
      <c r="M187" s="61">
        <v>41081</v>
      </c>
      <c r="N187" s="61">
        <v>31773</v>
      </c>
      <c r="O187" s="61">
        <v>29258</v>
      </c>
      <c r="P187" s="61">
        <v>33346</v>
      </c>
      <c r="Q187" s="61">
        <v>32228</v>
      </c>
      <c r="T187" s="61">
        <v>8161</v>
      </c>
      <c r="U187" s="61">
        <v>8769</v>
      </c>
      <c r="V187" s="61">
        <v>7629</v>
      </c>
      <c r="W187" s="61">
        <v>7871</v>
      </c>
      <c r="X187" s="61">
        <v>8535</v>
      </c>
      <c r="Y187" s="61">
        <v>8193</v>
      </c>
      <c r="Z187" s="61">
        <v>7727</v>
      </c>
      <c r="AA187" s="61">
        <v>8877</v>
      </c>
      <c r="AC187" s="61">
        <f>SUM(X187:AA187)</f>
        <v>33332</v>
      </c>
    </row>
    <row r="188" spans="1:31" x14ac:dyDescent="0.2">
      <c r="B188" s="211" t="s">
        <v>349</v>
      </c>
      <c r="C188" s="61"/>
      <c r="D188" s="61"/>
      <c r="E188" s="61"/>
      <c r="F188" s="61"/>
      <c r="G188" s="61"/>
      <c r="H188" s="61"/>
      <c r="I188" s="61"/>
      <c r="J188" s="61"/>
      <c r="K188" s="61"/>
      <c r="L188" s="61"/>
      <c r="M188" s="61">
        <f>22774+7665</f>
        <v>30439</v>
      </c>
      <c r="N188" s="61">
        <f>19445+8409</f>
        <v>27854</v>
      </c>
      <c r="O188" s="61">
        <f>15521+5774</f>
        <v>21295</v>
      </c>
      <c r="P188" s="61">
        <v>16125</v>
      </c>
      <c r="Q188" s="61">
        <v>16919</v>
      </c>
      <c r="T188" s="61">
        <v>4141</v>
      </c>
      <c r="U188" s="61">
        <v>4351</v>
      </c>
      <c r="V188" s="61">
        <v>4126</v>
      </c>
      <c r="W188" s="61">
        <v>3939</v>
      </c>
      <c r="X188" s="61">
        <v>4117</v>
      </c>
      <c r="Y188" s="61">
        <v>4737</v>
      </c>
      <c r="Z188" s="61">
        <v>5052</v>
      </c>
      <c r="AA188" s="61">
        <v>6262</v>
      </c>
      <c r="AC188" s="61">
        <f t="shared" ref="AC188:AC197" si="183">SUM(X188:AA188)</f>
        <v>20168</v>
      </c>
    </row>
    <row r="189" spans="1:31" x14ac:dyDescent="0.2">
      <c r="B189" s="20" t="s">
        <v>350</v>
      </c>
      <c r="C189" s="61"/>
      <c r="D189" s="61"/>
      <c r="E189" s="61"/>
      <c r="F189" s="61"/>
      <c r="G189" s="61"/>
      <c r="H189" s="61"/>
      <c r="I189" s="61"/>
      <c r="J189" s="61"/>
      <c r="K189" s="61"/>
      <c r="L189" s="61"/>
      <c r="M189" s="61">
        <f>M188+M187</f>
        <v>71520</v>
      </c>
      <c r="N189" s="61">
        <f>N187+N188</f>
        <v>59627</v>
      </c>
      <c r="O189" s="61">
        <f>O187+O188</f>
        <v>50553</v>
      </c>
      <c r="P189" s="61">
        <v>49471</v>
      </c>
      <c r="Q189" s="61">
        <v>49147</v>
      </c>
      <c r="T189" s="61">
        <v>12302</v>
      </c>
      <c r="U189" s="61">
        <v>13120</v>
      </c>
      <c r="V189" s="61">
        <v>11755</v>
      </c>
      <c r="W189" s="61">
        <v>11810</v>
      </c>
      <c r="X189" s="61">
        <v>12652</v>
      </c>
      <c r="Y189" s="61">
        <v>12930</v>
      </c>
      <c r="Z189" s="61">
        <v>12779</v>
      </c>
      <c r="AA189" s="61">
        <v>15139</v>
      </c>
      <c r="AC189" s="61">
        <f t="shared" si="183"/>
        <v>53500</v>
      </c>
    </row>
    <row r="190" spans="1:31" x14ac:dyDescent="0.2">
      <c r="B190" s="20" t="s">
        <v>351</v>
      </c>
      <c r="C190" s="21"/>
      <c r="D190" s="21"/>
      <c r="E190" s="21"/>
      <c r="F190" s="21"/>
      <c r="G190" s="21"/>
      <c r="H190" s="21"/>
      <c r="I190" s="21"/>
      <c r="J190" s="21"/>
      <c r="K190" s="21"/>
      <c r="L190" s="21"/>
      <c r="M190" s="61">
        <v>347</v>
      </c>
      <c r="N190" s="61">
        <v>469</v>
      </c>
      <c r="O190" s="61">
        <v>952</v>
      </c>
      <c r="P190" s="61">
        <v>17317</v>
      </c>
      <c r="Q190" s="61">
        <v>17826</v>
      </c>
      <c r="T190" s="61">
        <v>4339</v>
      </c>
      <c r="U190" s="61">
        <v>4340</v>
      </c>
      <c r="V190" s="61">
        <v>4667</v>
      </c>
      <c r="W190" s="61">
        <v>4417</v>
      </c>
      <c r="X190" s="61">
        <v>4235</v>
      </c>
      <c r="Y190" s="61">
        <v>4507</v>
      </c>
      <c r="Z190" s="61">
        <v>5421</v>
      </c>
      <c r="AA190" s="61">
        <v>5765</v>
      </c>
      <c r="AC190" s="61">
        <f t="shared" si="183"/>
        <v>19928</v>
      </c>
    </row>
    <row r="191" spans="1:31" x14ac:dyDescent="0.2">
      <c r="B191" s="20" t="s">
        <v>352</v>
      </c>
      <c r="C191" s="61"/>
      <c r="D191" s="61"/>
      <c r="E191" s="61"/>
      <c r="F191" s="61"/>
      <c r="G191" s="61"/>
      <c r="H191" s="61"/>
      <c r="I191" s="61"/>
      <c r="J191" s="61"/>
      <c r="K191" s="61"/>
      <c r="L191" s="61"/>
      <c r="M191" s="61">
        <f>1386+5771</f>
        <v>7157</v>
      </c>
      <c r="N191" s="61">
        <f>1869+1089</f>
        <v>2958</v>
      </c>
      <c r="O191" s="61">
        <f>644+2079</f>
        <v>2723</v>
      </c>
      <c r="P191" s="61">
        <v>3601</v>
      </c>
      <c r="Q191" s="61">
        <v>3563</v>
      </c>
      <c r="T191" s="61">
        <v>964</v>
      </c>
      <c r="U191" s="61">
        <v>1113</v>
      </c>
      <c r="V191" s="61">
        <v>943</v>
      </c>
      <c r="W191" s="61">
        <v>1053</v>
      </c>
      <c r="X191" s="61">
        <v>993</v>
      </c>
      <c r="Y191" s="61">
        <v>574</v>
      </c>
      <c r="Z191" s="61">
        <v>628</v>
      </c>
      <c r="AA191" s="61">
        <v>701</v>
      </c>
      <c r="AC191" s="61">
        <f t="shared" si="183"/>
        <v>2896</v>
      </c>
    </row>
    <row r="192" spans="1:31" x14ac:dyDescent="0.2">
      <c r="C192" s="61"/>
      <c r="D192" s="61"/>
      <c r="E192" s="61"/>
      <c r="F192" s="61"/>
      <c r="G192" s="61"/>
      <c r="H192" s="61"/>
      <c r="I192" s="61"/>
      <c r="J192" s="61"/>
      <c r="K192" s="61"/>
      <c r="L192" s="61"/>
      <c r="M192" s="61"/>
      <c r="N192" s="61"/>
      <c r="O192" s="61"/>
      <c r="P192" s="61"/>
      <c r="Q192" s="61"/>
      <c r="T192" s="61"/>
      <c r="U192" s="61"/>
      <c r="V192" s="61"/>
      <c r="W192" s="61"/>
      <c r="X192" s="61"/>
      <c r="Y192" s="61"/>
      <c r="Z192" s="61"/>
      <c r="AA192" s="61"/>
      <c r="AC192" s="61"/>
    </row>
    <row r="193" spans="2:29" x14ac:dyDescent="0.2">
      <c r="B193" s="211" t="s">
        <v>405</v>
      </c>
      <c r="C193" s="61"/>
      <c r="D193" s="61"/>
      <c r="E193" s="61"/>
      <c r="F193" s="61"/>
      <c r="G193" s="61"/>
      <c r="H193" s="61"/>
      <c r="I193" s="61"/>
      <c r="J193" s="61"/>
      <c r="K193" s="61"/>
      <c r="L193" s="61"/>
      <c r="M193" s="61">
        <f>M187-15523</f>
        <v>25558</v>
      </c>
      <c r="N193" s="61">
        <f>N187-5569</f>
        <v>26204</v>
      </c>
      <c r="O193" s="61">
        <f>O187-6520</f>
        <v>22738</v>
      </c>
      <c r="P193" s="61">
        <v>21752</v>
      </c>
      <c r="Q193" s="61">
        <v>22911</v>
      </c>
      <c r="T193" s="61">
        <v>5224</v>
      </c>
      <c r="U193" s="61">
        <v>5575</v>
      </c>
      <c r="V193" s="61">
        <v>5268</v>
      </c>
      <c r="W193" s="61">
        <v>5818</v>
      </c>
      <c r="X193" s="61">
        <v>5841</v>
      </c>
      <c r="Y193" s="61">
        <v>5984</v>
      </c>
      <c r="Z193" s="61">
        <v>2516</v>
      </c>
      <c r="AA193" s="61">
        <v>6534</v>
      </c>
      <c r="AC193" s="61">
        <f t="shared" si="183"/>
        <v>20875</v>
      </c>
    </row>
    <row r="194" spans="2:29" x14ac:dyDescent="0.2">
      <c r="B194" s="211" t="s">
        <v>359</v>
      </c>
      <c r="C194" s="61"/>
      <c r="D194" s="61"/>
      <c r="E194" s="61"/>
      <c r="F194" s="61"/>
      <c r="G194" s="61"/>
      <c r="H194" s="61"/>
      <c r="I194" s="61"/>
      <c r="J194" s="61"/>
      <c r="K194" s="61"/>
      <c r="L194" s="61"/>
      <c r="M194" s="61">
        <f>M188-7376-1935</f>
        <v>21128</v>
      </c>
      <c r="N194" s="61">
        <f>N188-1300-1033</f>
        <v>25521</v>
      </c>
      <c r="O194" s="61">
        <f>O188+530+482</f>
        <v>22307</v>
      </c>
      <c r="P194" s="61">
        <v>14711</v>
      </c>
      <c r="Q194" s="61">
        <v>13497</v>
      </c>
      <c r="T194" s="61">
        <v>3760</v>
      </c>
      <c r="U194" s="61">
        <v>3977</v>
      </c>
      <c r="V194" s="61">
        <v>3551</v>
      </c>
      <c r="W194" s="61">
        <v>3306</v>
      </c>
      <c r="X194" s="61">
        <v>3153</v>
      </c>
      <c r="Y194" s="61">
        <v>3487</v>
      </c>
      <c r="Z194" s="61">
        <v>3510</v>
      </c>
      <c r="AA194" s="61">
        <v>3788</v>
      </c>
      <c r="AC194" s="61">
        <f t="shared" si="183"/>
        <v>13938</v>
      </c>
    </row>
    <row r="195" spans="2:29" x14ac:dyDescent="0.2">
      <c r="B195" s="20" t="s">
        <v>360</v>
      </c>
      <c r="C195" s="61"/>
      <c r="D195" s="61"/>
      <c r="E195" s="61"/>
      <c r="F195" s="61"/>
      <c r="G195" s="61"/>
      <c r="H195" s="61"/>
      <c r="I195" s="61"/>
      <c r="J195" s="61"/>
      <c r="K195" s="61"/>
      <c r="L195" s="61"/>
      <c r="M195" s="61">
        <f>M193+M194</f>
        <v>46686</v>
      </c>
      <c r="N195" s="61">
        <f>N193+N194</f>
        <v>51725</v>
      </c>
      <c r="O195" s="61">
        <f>O193+O194</f>
        <v>45045</v>
      </c>
      <c r="P195" s="61">
        <v>36463</v>
      </c>
      <c r="Q195" s="61">
        <v>36408</v>
      </c>
      <c r="T195" s="61">
        <v>8984</v>
      </c>
      <c r="U195" s="61">
        <v>9552</v>
      </c>
      <c r="V195" s="61">
        <v>8819</v>
      </c>
      <c r="W195" s="61">
        <v>9124</v>
      </c>
      <c r="X195" s="61">
        <v>8994</v>
      </c>
      <c r="Y195" s="61">
        <v>9471</v>
      </c>
      <c r="Z195" s="61">
        <v>8721</v>
      </c>
      <c r="AA195" s="61">
        <v>10322</v>
      </c>
      <c r="AC195" s="61">
        <f t="shared" si="183"/>
        <v>37508</v>
      </c>
    </row>
    <row r="196" spans="2:29" x14ac:dyDescent="0.2">
      <c r="B196" s="20" t="s">
        <v>361</v>
      </c>
      <c r="C196" s="61"/>
      <c r="D196" s="61"/>
      <c r="E196" s="61"/>
      <c r="F196" s="61"/>
      <c r="G196" s="61"/>
      <c r="H196" s="61"/>
      <c r="I196" s="61"/>
      <c r="J196" s="61"/>
      <c r="K196" s="61"/>
      <c r="L196" s="61"/>
      <c r="M196" s="61">
        <f>M190-76</f>
        <v>271</v>
      </c>
      <c r="N196" s="61">
        <f>N190+281</f>
        <v>750</v>
      </c>
      <c r="O196" s="61">
        <f>O190+482</f>
        <v>1434</v>
      </c>
      <c r="P196" s="61">
        <v>30608</v>
      </c>
      <c r="Q196" s="61">
        <v>28144</v>
      </c>
      <c r="T196" s="61">
        <v>10138</v>
      </c>
      <c r="U196" s="61">
        <v>6589</v>
      </c>
      <c r="V196" s="61">
        <v>6987</v>
      </c>
      <c r="W196" s="61">
        <v>7585</v>
      </c>
      <c r="X196" s="61">
        <v>6556</v>
      </c>
      <c r="Y196" s="61">
        <v>7016</v>
      </c>
      <c r="Z196" s="61">
        <v>7858</v>
      </c>
      <c r="AA196" s="61">
        <v>7854</v>
      </c>
      <c r="AC196" s="61">
        <f t="shared" si="183"/>
        <v>29284</v>
      </c>
    </row>
    <row r="197" spans="2:29" x14ac:dyDescent="0.2">
      <c r="B197" s="20" t="s">
        <v>362</v>
      </c>
      <c r="C197" s="61"/>
      <c r="D197" s="61"/>
      <c r="E197" s="61"/>
      <c r="F197" s="61"/>
      <c r="G197" s="61"/>
      <c r="H197" s="61"/>
      <c r="I197" s="61"/>
      <c r="J197" s="61"/>
      <c r="K197" s="61"/>
      <c r="L197" s="61"/>
      <c r="M197" s="61">
        <f>M191+6008-554</f>
        <v>12611</v>
      </c>
      <c r="N197" s="61">
        <f>N191+5977-690</f>
        <v>8245</v>
      </c>
      <c r="O197" s="61">
        <f>O191+5597-664</f>
        <v>7656</v>
      </c>
      <c r="P197" s="61">
        <v>3658</v>
      </c>
      <c r="Q197" s="61">
        <v>3299</v>
      </c>
      <c r="T197" s="61">
        <v>959</v>
      </c>
      <c r="U197" s="61">
        <v>959</v>
      </c>
      <c r="V197" s="61">
        <v>840</v>
      </c>
      <c r="W197" s="61">
        <v>984</v>
      </c>
      <c r="X197" s="61">
        <v>893</v>
      </c>
      <c r="Y197" s="61">
        <v>582</v>
      </c>
      <c r="Z197" s="61">
        <v>526</v>
      </c>
      <c r="AA197" s="61">
        <v>471</v>
      </c>
      <c r="AC197" s="61">
        <f t="shared" si="183"/>
        <v>2472</v>
      </c>
    </row>
    <row r="198" spans="2:29" x14ac:dyDescent="0.2">
      <c r="C198" s="21"/>
      <c r="D198" s="21"/>
      <c r="E198" s="21"/>
      <c r="F198" s="21"/>
      <c r="G198" s="21"/>
      <c r="H198" s="21"/>
      <c r="I198" s="21"/>
      <c r="J198" s="21"/>
      <c r="K198" s="21"/>
      <c r="L198" s="21"/>
      <c r="M198" s="21"/>
    </row>
    <row r="199" spans="2:29" x14ac:dyDescent="0.2">
      <c r="B199" s="1"/>
    </row>
    <row r="200" spans="2:29" ht="17" thickBot="1" x14ac:dyDescent="0.25">
      <c r="B200" s="14" t="s">
        <v>306</v>
      </c>
      <c r="C200" s="166"/>
      <c r="D200" s="166"/>
      <c r="E200" s="166"/>
      <c r="F200" s="166"/>
      <c r="G200" s="166"/>
      <c r="H200" s="166"/>
      <c r="I200" s="166"/>
      <c r="J200" s="166"/>
      <c r="K200" s="166"/>
      <c r="L200" s="166"/>
      <c r="M200" s="166"/>
      <c r="N200" s="166"/>
      <c r="O200" s="166"/>
      <c r="P200" s="166"/>
      <c r="Q200" s="166"/>
      <c r="T200" s="166"/>
      <c r="U200" s="166"/>
      <c r="V200" s="166"/>
      <c r="W200" s="166"/>
      <c r="X200" s="166"/>
      <c r="Y200" s="166"/>
      <c r="Z200" s="166"/>
      <c r="AA200" s="166"/>
      <c r="AC200" s="166"/>
    </row>
    <row r="201" spans="2:29" x14ac:dyDescent="0.2">
      <c r="B201" s="211" t="s">
        <v>404</v>
      </c>
      <c r="C201" s="80"/>
      <c r="D201" s="80"/>
      <c r="E201" s="80"/>
      <c r="F201" s="80"/>
      <c r="G201" s="80"/>
      <c r="H201" s="80"/>
      <c r="I201" s="80"/>
      <c r="J201" s="80"/>
      <c r="K201" s="80"/>
      <c r="L201" s="80"/>
      <c r="M201" s="80">
        <f t="shared" ref="M201:Q205" si="184">IF(L187=0,
IF(M187=0,0,IF(M187&gt;0,1,-1)),
(M187-L187)/ABS(L187)
)</f>
        <v>1</v>
      </c>
      <c r="N201" s="80">
        <f t="shared" si="184"/>
        <v>-0.22657676298045326</v>
      </c>
      <c r="O201" s="80">
        <f t="shared" si="184"/>
        <v>-7.9155257608661447E-2</v>
      </c>
      <c r="P201" s="80">
        <f t="shared" si="184"/>
        <v>0.139722469068289</v>
      </c>
      <c r="Q201" s="80">
        <f t="shared" si="184"/>
        <v>-3.3527259641336293E-2</v>
      </c>
      <c r="T201" s="80">
        <f t="shared" ref="T201:T205" si="185">IF(S187=0,
IF(T187=0,0,IF(T187&gt;0,1,-1)),
(T187-S187)/ABS(S187)
)</f>
        <v>1</v>
      </c>
      <c r="U201" s="80">
        <f t="shared" ref="U201:U205" si="186">IF(T187=0,
IF(U187=0,0,IF(U187&gt;0,1,-1)),
(U187-T187)/ABS(T187)
)</f>
        <v>7.4500673937017522E-2</v>
      </c>
      <c r="V201" s="80">
        <f t="shared" ref="V201:V205" si="187">IF(U187=0,
IF(V187=0,0,IF(V187&gt;0,1,-1)),
(V187-U187)/ABS(U187)
)</f>
        <v>-0.13000342114266164</v>
      </c>
      <c r="W201" s="80">
        <f t="shared" ref="W201:W205" si="188">IF(V187=0,
IF(W187=0,0,IF(W187&gt;0,1,-1)),
(W187-V187)/ABS(V187)
)</f>
        <v>3.1721064359680168E-2</v>
      </c>
      <c r="X201" s="80">
        <f t="shared" ref="X201:X205" si="189">IF(W187=0,
IF(X187=0,0,IF(X187&gt;0,1,-1)),
(X187-W187)/ABS(W187)
)</f>
        <v>8.436030999872951E-2</v>
      </c>
      <c r="Y201" s="80">
        <f t="shared" ref="Y201:Y205" si="190">IF(X187=0,
IF(Y187=0,0,IF(Y187&gt;0,1,-1)),
(Y187-X187)/ABS(X187)
)</f>
        <v>-4.0070298769771528E-2</v>
      </c>
      <c r="Z201" s="80">
        <f t="shared" ref="Z201:Z205" si="191">IF(Y187=0,
IF(Z187=0,0,IF(Z187&gt;0,1,-1)),
(Z187-Y187)/ABS(Y187)
)</f>
        <v>-5.687782253142927E-2</v>
      </c>
      <c r="AA201" s="80">
        <f t="shared" ref="AA201:AA205" si="192">IF(Z187=0,
IF(AA187=0,0,IF(AA187&gt;0,1,-1)),
(AA187-Z187)/ABS(Z187)
)</f>
        <v>0.14882878219231266</v>
      </c>
      <c r="AC201" s="49"/>
    </row>
    <row r="202" spans="2:29" x14ac:dyDescent="0.2">
      <c r="B202" s="211" t="s">
        <v>349</v>
      </c>
      <c r="M202" s="80">
        <f t="shared" si="184"/>
        <v>1</v>
      </c>
      <c r="N202" s="80">
        <f t="shared" si="184"/>
        <v>-8.4923946253162061E-2</v>
      </c>
      <c r="O202" s="80">
        <f t="shared" si="184"/>
        <v>-0.23547784878293962</v>
      </c>
      <c r="P202" s="80">
        <f t="shared" si="184"/>
        <v>-0.242779995304062</v>
      </c>
      <c r="Q202" s="80">
        <f t="shared" si="184"/>
        <v>4.9240310077519382E-2</v>
      </c>
      <c r="T202" s="80">
        <f t="shared" si="185"/>
        <v>1</v>
      </c>
      <c r="U202" s="80">
        <f t="shared" si="186"/>
        <v>5.0712388312001935E-2</v>
      </c>
      <c r="V202" s="80">
        <f t="shared" si="187"/>
        <v>-5.1712250057458053E-2</v>
      </c>
      <c r="W202" s="80">
        <f t="shared" si="188"/>
        <v>-4.5322346097915654E-2</v>
      </c>
      <c r="X202" s="80">
        <f t="shared" si="189"/>
        <v>4.5189134298045192E-2</v>
      </c>
      <c r="Y202" s="80">
        <f t="shared" si="190"/>
        <v>0.15059509351469516</v>
      </c>
      <c r="Z202" s="80">
        <f t="shared" si="191"/>
        <v>6.6497783407219763E-2</v>
      </c>
      <c r="AA202" s="80">
        <f t="shared" si="192"/>
        <v>0.23950910530482977</v>
      </c>
      <c r="AC202" s="49"/>
    </row>
    <row r="203" spans="2:29" x14ac:dyDescent="0.2">
      <c r="B203" s="20" t="s">
        <v>350</v>
      </c>
      <c r="M203" s="80">
        <f t="shared" si="184"/>
        <v>1</v>
      </c>
      <c r="N203" s="80">
        <f t="shared" si="184"/>
        <v>-0.16628914988814317</v>
      </c>
      <c r="O203" s="80">
        <f t="shared" si="184"/>
        <v>-0.1521793818236705</v>
      </c>
      <c r="P203" s="80">
        <f t="shared" si="184"/>
        <v>-2.1403279726227919E-2</v>
      </c>
      <c r="Q203" s="80">
        <f t="shared" si="184"/>
        <v>-6.5492915041135214E-3</v>
      </c>
      <c r="T203" s="80">
        <f t="shared" si="185"/>
        <v>1</v>
      </c>
      <c r="U203" s="80">
        <f t="shared" si="186"/>
        <v>6.6493253129572424E-2</v>
      </c>
      <c r="V203" s="80">
        <f t="shared" si="187"/>
        <v>-0.10403963414634146</v>
      </c>
      <c r="W203" s="80">
        <f t="shared" si="188"/>
        <v>4.6788600595491277E-3</v>
      </c>
      <c r="X203" s="80">
        <f t="shared" si="189"/>
        <v>7.1295512277730733E-2</v>
      </c>
      <c r="Y203" s="80">
        <f t="shared" si="190"/>
        <v>2.1972810622826432E-2</v>
      </c>
      <c r="Z203" s="80">
        <f t="shared" si="191"/>
        <v>-1.1678267594740912E-2</v>
      </c>
      <c r="AA203" s="80">
        <f t="shared" si="192"/>
        <v>0.18467798732295171</v>
      </c>
      <c r="AC203" s="49"/>
    </row>
    <row r="204" spans="2:29" x14ac:dyDescent="0.2">
      <c r="B204" s="20" t="s">
        <v>351</v>
      </c>
      <c r="M204" s="80">
        <f t="shared" si="184"/>
        <v>1</v>
      </c>
      <c r="N204" s="80">
        <f t="shared" si="184"/>
        <v>0.35158501440922191</v>
      </c>
      <c r="O204" s="80">
        <f t="shared" si="184"/>
        <v>1.0298507462686568</v>
      </c>
      <c r="P204" s="80">
        <f t="shared" si="184"/>
        <v>17.190126050420169</v>
      </c>
      <c r="Q204" s="80">
        <f t="shared" si="184"/>
        <v>2.9393081942599757E-2</v>
      </c>
      <c r="T204" s="80">
        <f t="shared" si="185"/>
        <v>1</v>
      </c>
      <c r="U204" s="80">
        <f t="shared" si="186"/>
        <v>2.3046784973496196E-4</v>
      </c>
      <c r="V204" s="80">
        <f t="shared" si="187"/>
        <v>7.5345622119815672E-2</v>
      </c>
      <c r="W204" s="80">
        <f t="shared" si="188"/>
        <v>-5.3567602314120423E-2</v>
      </c>
      <c r="X204" s="80">
        <f t="shared" si="189"/>
        <v>-4.1204437400950873E-2</v>
      </c>
      <c r="Y204" s="80">
        <f t="shared" si="190"/>
        <v>6.4226682408500588E-2</v>
      </c>
      <c r="Z204" s="80">
        <f t="shared" si="191"/>
        <v>0.2027956512092301</v>
      </c>
      <c r="AA204" s="80">
        <f t="shared" si="192"/>
        <v>6.3456926766279287E-2</v>
      </c>
      <c r="AC204" s="49"/>
    </row>
    <row r="205" spans="2:29" x14ac:dyDescent="0.2">
      <c r="B205" s="20" t="s">
        <v>352</v>
      </c>
      <c r="M205" s="80">
        <f t="shared" si="184"/>
        <v>1</v>
      </c>
      <c r="N205" s="80">
        <f t="shared" si="184"/>
        <v>-0.58669833729216148</v>
      </c>
      <c r="O205" s="80">
        <f t="shared" si="184"/>
        <v>-7.9445571331981074E-2</v>
      </c>
      <c r="P205" s="80">
        <f t="shared" si="184"/>
        <v>0.32243848696290855</v>
      </c>
      <c r="Q205" s="80">
        <f t="shared" si="184"/>
        <v>-1.0552624271035824E-2</v>
      </c>
      <c r="T205" s="80">
        <f t="shared" si="185"/>
        <v>1</v>
      </c>
      <c r="U205" s="80">
        <f t="shared" si="186"/>
        <v>0.1545643153526971</v>
      </c>
      <c r="V205" s="80">
        <f t="shared" si="187"/>
        <v>-0.1527403414195867</v>
      </c>
      <c r="W205" s="80">
        <f t="shared" si="188"/>
        <v>0.11664899257688228</v>
      </c>
      <c r="X205" s="80">
        <f t="shared" si="189"/>
        <v>-5.6980056980056981E-2</v>
      </c>
      <c r="Y205" s="80">
        <f t="shared" si="190"/>
        <v>-0.42195367573011078</v>
      </c>
      <c r="Z205" s="80">
        <f t="shared" si="191"/>
        <v>9.4076655052264813E-2</v>
      </c>
      <c r="AA205" s="80">
        <f t="shared" si="192"/>
        <v>0.11624203821656051</v>
      </c>
      <c r="AC205" s="49"/>
    </row>
    <row r="207" spans="2:29" x14ac:dyDescent="0.2">
      <c r="B207" s="1"/>
    </row>
    <row r="208" spans="2:29" ht="17" thickBot="1" x14ac:dyDescent="0.25">
      <c r="B208" s="14" t="s">
        <v>307</v>
      </c>
      <c r="C208" s="166"/>
      <c r="D208" s="166"/>
      <c r="E208" s="166"/>
      <c r="F208" s="166"/>
      <c r="G208" s="166"/>
      <c r="H208" s="166"/>
      <c r="I208" s="166"/>
      <c r="J208" s="166"/>
      <c r="K208" s="166"/>
      <c r="L208" s="166"/>
      <c r="M208" s="166"/>
      <c r="N208" s="166"/>
      <c r="O208" s="166"/>
      <c r="P208" s="166"/>
      <c r="Q208" s="166"/>
      <c r="T208" s="166"/>
      <c r="U208" s="166"/>
      <c r="V208" s="166"/>
      <c r="W208" s="166"/>
      <c r="X208" s="166"/>
      <c r="Y208" s="166"/>
      <c r="Z208" s="166"/>
      <c r="AA208" s="166"/>
      <c r="AC208" s="166"/>
    </row>
    <row r="209" spans="1:31" x14ac:dyDescent="0.2">
      <c r="B209" s="20" t="s">
        <v>279</v>
      </c>
      <c r="C209" s="80"/>
      <c r="D209" s="80"/>
      <c r="E209" s="80"/>
      <c r="F209" s="80"/>
      <c r="G209" s="80"/>
      <c r="H209" s="80"/>
      <c r="I209" s="80"/>
      <c r="J209" s="80"/>
      <c r="K209" s="80"/>
      <c r="L209" s="80"/>
      <c r="M209" s="80">
        <f>IF(L64=0,
IF(M64=0,0,IF(M64&gt;0,1,-1)),
(M64-L64)/L64
)</f>
        <v>-1</v>
      </c>
      <c r="N209" s="80">
        <f>IF(M64=0,
IF(N64=0,0,IF(N64&gt;0,1,-1)),
(N64-M64)/M64
)</f>
        <v>6.2544294826364283E-2</v>
      </c>
      <c r="O209" s="80">
        <f>IF(N64=0,
IF(O64=0,0,IF(O64&gt;0,1,-1)),
(O64-N64)/N64
)</f>
        <v>-0.48507587126896784</v>
      </c>
      <c r="P209" s="80">
        <f>IF(O64=0,
IF(P64=0,0,IF(P64&gt;0,1,-1)),
(P64-O64)/O64
)</f>
        <v>-0.48218911917098445</v>
      </c>
      <c r="Q209" s="80">
        <f>IF(P64=0,
IF(Q64=0,0,IF(Q64&gt;0,1,-1)),
(Q64-P64)/P64
)</f>
        <v>-1</v>
      </c>
      <c r="T209" s="49"/>
      <c r="U209" s="49"/>
      <c r="V209" s="49"/>
      <c r="W209" s="49"/>
      <c r="X209" s="49"/>
      <c r="Y209" s="49"/>
      <c r="Z209" s="49"/>
      <c r="AA209" s="49"/>
      <c r="AC209" s="49"/>
    </row>
    <row r="211" spans="1:31" x14ac:dyDescent="0.2">
      <c r="B211" s="1"/>
    </row>
    <row r="212" spans="1:31" ht="17" thickBot="1" x14ac:dyDescent="0.25">
      <c r="B212" s="14" t="s">
        <v>381</v>
      </c>
      <c r="C212" s="166"/>
      <c r="D212" s="166"/>
      <c r="E212" s="166"/>
      <c r="F212" s="166"/>
      <c r="G212" s="166"/>
      <c r="H212" s="166"/>
      <c r="I212" s="166"/>
      <c r="J212" s="166"/>
      <c r="K212" s="166"/>
      <c r="L212" s="166"/>
      <c r="M212" s="166"/>
      <c r="N212" s="166"/>
      <c r="O212" s="166"/>
      <c r="P212" s="166"/>
      <c r="Q212" s="166"/>
      <c r="T212" s="166"/>
      <c r="U212" s="166"/>
      <c r="V212" s="166"/>
      <c r="W212" s="166"/>
      <c r="X212" s="166"/>
      <c r="Y212" s="166"/>
      <c r="Z212" s="166"/>
      <c r="AA212" s="166"/>
      <c r="AC212" s="166"/>
    </row>
    <row r="213" spans="1:31" x14ac:dyDescent="0.2">
      <c r="B213" s="20" t="s">
        <v>382</v>
      </c>
      <c r="M213" s="140">
        <v>100</v>
      </c>
      <c r="N213" s="140">
        <f>100*(1+((N117-$M117)/ABS($M117)))</f>
        <v>51.510426817384527</v>
      </c>
      <c r="O213" s="140">
        <f t="shared" ref="O213:Q213" si="193">100*(1+((O117-$M117)/ABS($M117)))</f>
        <v>97.934125901383737</v>
      </c>
      <c r="P213" s="140">
        <f t="shared" si="193"/>
        <v>39.563437926330145</v>
      </c>
      <c r="Q213" s="140">
        <f t="shared" si="193"/>
        <v>70.551549405573965</v>
      </c>
      <c r="T213" s="49"/>
      <c r="U213" s="49"/>
      <c r="V213" s="49"/>
      <c r="W213" s="49"/>
      <c r="X213" s="49"/>
      <c r="Y213" s="49"/>
      <c r="Z213" s="49"/>
      <c r="AA213" s="49"/>
      <c r="AC213" s="49"/>
    </row>
    <row r="214" spans="1:31" x14ac:dyDescent="0.2">
      <c r="B214" s="20" t="s">
        <v>383</v>
      </c>
      <c r="M214" s="140">
        <v>100</v>
      </c>
      <c r="N214" s="140">
        <f>100*(1+((N5-$M5)/ABS($M5)))</f>
        <v>79.790949584936214</v>
      </c>
      <c r="O214" s="140">
        <f t="shared" ref="O214:Q214" si="194">100*(1+((O5-$M5)/ABS($M5)))</f>
        <v>68.6221907268678</v>
      </c>
      <c r="P214" s="140">
        <f t="shared" si="194"/>
        <v>67.196041708847943</v>
      </c>
      <c r="Q214" s="140">
        <f t="shared" si="194"/>
        <v>66.882212998582702</v>
      </c>
      <c r="T214" s="49"/>
      <c r="U214" s="49"/>
      <c r="V214" s="49"/>
      <c r="W214" s="49"/>
      <c r="X214" s="49"/>
      <c r="Y214" s="49"/>
      <c r="Z214" s="49"/>
      <c r="AA214" s="49"/>
      <c r="AC214" s="49"/>
    </row>
    <row r="215" spans="1:31" x14ac:dyDescent="0.2">
      <c r="B215" s="20" t="s">
        <v>384</v>
      </c>
      <c r="M215" s="140">
        <v>100</v>
      </c>
      <c r="N215" s="140">
        <f>100*(1+((N26-$M26)/ABS($M26)))</f>
        <v>39.917695473251023</v>
      </c>
      <c r="O215" s="140">
        <f t="shared" ref="O215:Q215" si="195">100*(1+((O26-$M26)/ABS($M26)))</f>
        <v>8.2304526748971263</v>
      </c>
      <c r="P215" s="140">
        <f t="shared" si="195"/>
        <v>-90.123456790123456</v>
      </c>
      <c r="Q215" s="140">
        <f t="shared" si="195"/>
        <v>-1.2345679012345512</v>
      </c>
      <c r="T215" s="49"/>
      <c r="U215" s="49"/>
      <c r="V215" s="49"/>
      <c r="W215" s="49"/>
      <c r="X215" s="49"/>
      <c r="Y215" s="49"/>
      <c r="Z215" s="49"/>
      <c r="AA215" s="49"/>
      <c r="AC215" s="49"/>
    </row>
    <row r="217" spans="1:31" x14ac:dyDescent="0.2">
      <c r="B217" s="1"/>
    </row>
    <row r="218" spans="1:31" s="15" customFormat="1" ht="17" thickBot="1" x14ac:dyDescent="0.25">
      <c r="A218" s="11"/>
      <c r="B218" s="14" t="s">
        <v>105</v>
      </c>
      <c r="R218" s="1"/>
      <c r="S218" s="1"/>
      <c r="AB218" s="1"/>
      <c r="AD218" s="1"/>
      <c r="AE218" s="1"/>
    </row>
    <row r="219" spans="1:31" x14ac:dyDescent="0.2">
      <c r="B219" s="20" t="s">
        <v>369</v>
      </c>
      <c r="M219" s="61">
        <v>0</v>
      </c>
      <c r="N219" s="61">
        <v>-27005</v>
      </c>
      <c r="O219" s="61">
        <v>-18024</v>
      </c>
      <c r="P219" s="61">
        <v>-17288</v>
      </c>
      <c r="Q219" s="61">
        <v>-17683</v>
      </c>
      <c r="T219" s="61">
        <v>-4321</v>
      </c>
      <c r="U219" s="61">
        <v>-4313</v>
      </c>
      <c r="V219" s="61">
        <v>-4698</v>
      </c>
      <c r="W219" s="61">
        <v>-4421</v>
      </c>
      <c r="X219" s="61">
        <v>-4227</v>
      </c>
      <c r="Y219" s="61">
        <v>-4337</v>
      </c>
      <c r="Z219" s="61">
        <v>-5251</v>
      </c>
      <c r="AA219" s="61">
        <v>-4421</v>
      </c>
      <c r="AC219" s="63">
        <f>SUM(X219:AA219)</f>
        <v>-18236</v>
      </c>
    </row>
    <row r="220" spans="1:31" x14ac:dyDescent="0.2">
      <c r="B220" s="20" t="s">
        <v>370</v>
      </c>
      <c r="M220" s="61">
        <v>0</v>
      </c>
      <c r="N220" s="61">
        <v>0</v>
      </c>
      <c r="O220" s="61">
        <v>0</v>
      </c>
      <c r="P220" s="61">
        <f>P190+P219</f>
        <v>29</v>
      </c>
      <c r="Q220" s="61">
        <f>Q190+Q219</f>
        <v>143</v>
      </c>
      <c r="T220" s="61">
        <f t="shared" ref="T220:Z220" si="196">T190+T219</f>
        <v>18</v>
      </c>
      <c r="U220" s="61">
        <f t="shared" si="196"/>
        <v>27</v>
      </c>
      <c r="V220" s="61">
        <f t="shared" si="196"/>
        <v>-31</v>
      </c>
      <c r="W220" s="61">
        <f t="shared" si="196"/>
        <v>-4</v>
      </c>
      <c r="X220" s="61">
        <f t="shared" si="196"/>
        <v>8</v>
      </c>
      <c r="Y220" s="61">
        <f t="shared" si="196"/>
        <v>170</v>
      </c>
      <c r="Z220" s="61">
        <f t="shared" si="196"/>
        <v>170</v>
      </c>
      <c r="AA220" s="61">
        <f t="shared" ref="AA220" si="197">AA190+AA219</f>
        <v>1344</v>
      </c>
      <c r="AC220" s="63">
        <f>SUM(X220:AA220)</f>
        <v>1692</v>
      </c>
    </row>
    <row r="222" spans="1:31" x14ac:dyDescent="0.2">
      <c r="B222" s="1"/>
    </row>
  </sheetData>
  <pageMargins left="0.7" right="0.7" top="0.75" bottom="0.75" header="0.3" footer="0.3"/>
  <ignoredErrors>
    <ignoredError sqref="AC23 AC81 AC66 AC53:AC57 AC59:AC62 AC5:AC19 AC63:AC65" formulaRange="1"/>
    <ignoredError sqref="AC20:AC21 AC24:AC25" formula="1" formulaRange="1"/>
    <ignoredError sqref="M124:Q124 AC124" formula="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210FB-34E3-D04A-8896-321D81878D88}">
  <sheetPr>
    <tabColor theme="6" tint="0.59999389629810485"/>
  </sheetPr>
  <dimension ref="B5:H13"/>
  <sheetViews>
    <sheetView workbookViewId="0">
      <selection activeCell="H5" sqref="H5:H10"/>
    </sheetView>
  </sheetViews>
  <sheetFormatPr baseColWidth="10" defaultRowHeight="16" x14ac:dyDescent="0.2"/>
  <cols>
    <col min="1" max="7" width="10.83203125" style="1"/>
    <col min="8" max="8" width="15.83203125" style="1" customWidth="1"/>
    <col min="9" max="16384" width="10.83203125" style="1"/>
  </cols>
  <sheetData>
    <row r="5" spans="2:8" x14ac:dyDescent="0.2">
      <c r="H5" s="131" t="s">
        <v>421</v>
      </c>
    </row>
    <row r="6" spans="2:8" x14ac:dyDescent="0.2">
      <c r="H6" s="234" t="s">
        <v>426</v>
      </c>
    </row>
    <row r="7" spans="2:8" x14ac:dyDescent="0.2">
      <c r="H7" s="234" t="s">
        <v>422</v>
      </c>
    </row>
    <row r="8" spans="2:8" x14ac:dyDescent="0.2">
      <c r="H8" s="234" t="s">
        <v>423</v>
      </c>
    </row>
    <row r="9" spans="2:8" x14ac:dyDescent="0.2">
      <c r="H9" s="234" t="s">
        <v>424</v>
      </c>
    </row>
    <row r="10" spans="2:8" x14ac:dyDescent="0.2">
      <c r="H10" s="235" t="s">
        <v>425</v>
      </c>
    </row>
    <row r="13" spans="2:8" s="4" customFormat="1" ht="49" x14ac:dyDescent="0.2">
      <c r="B13" s="3" t="s">
        <v>227</v>
      </c>
    </row>
  </sheetData>
  <hyperlinks>
    <hyperlink ref="H6" location="Overview!B3" display="Overview'!B3" xr:uid="{2D27DE06-8CB2-534D-BA10-29E499730906}"/>
    <hyperlink ref="H8" location="'Analysis -&gt;'!B13" display="'Analysis -&gt;'!B13" xr:uid="{A0508156-8678-DD40-B34B-942B35AFC366}"/>
    <hyperlink ref="H9" location="'Forecast -&gt;'!B13" display="'Forecast -&gt;'!B13" xr:uid="{268ED4EF-1BBB-E84A-A0FC-D2446769C91C}"/>
    <hyperlink ref="H10" location="'Valuation -&gt;'!B13" display="'Valuation -&gt;'!B13" xr:uid="{BD1CC9A3-E228-2B4F-84C4-3CE291267636}"/>
    <hyperlink ref="H7" location="'Financials -&gt;'!B13" display="'Financials -&gt;'!B13" xr:uid="{A6120D08-6B10-3B4B-9F9C-F630879294C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0C07F-23F5-F443-9A67-3073516055F8}">
  <dimension ref="B1:G54"/>
  <sheetViews>
    <sheetView zoomScale="173" workbookViewId="0">
      <selection activeCell="G10" sqref="G10"/>
    </sheetView>
  </sheetViews>
  <sheetFormatPr baseColWidth="10" defaultRowHeight="16" x14ac:dyDescent="0.2"/>
  <cols>
    <col min="1" max="1" width="3.1640625" style="1" customWidth="1"/>
    <col min="2" max="2" width="32.5" style="1" customWidth="1"/>
    <col min="3" max="3" width="10.83203125" style="1"/>
    <col min="4" max="4" width="5" style="1" customWidth="1"/>
    <col min="5" max="5" width="22.83203125" style="1" customWidth="1"/>
    <col min="6" max="16384" width="10.83203125" style="1"/>
  </cols>
  <sheetData>
    <row r="1" spans="2:7" x14ac:dyDescent="0.2">
      <c r="B1" s="81" t="s">
        <v>269</v>
      </c>
    </row>
    <row r="4" spans="2:7" x14ac:dyDescent="0.2">
      <c r="B4" s="239" t="s">
        <v>228</v>
      </c>
      <c r="C4" s="239"/>
      <c r="E4" s="239" t="s">
        <v>235</v>
      </c>
      <c r="F4" s="239"/>
      <c r="G4" s="239"/>
    </row>
    <row r="5" spans="2:7" x14ac:dyDescent="0.2">
      <c r="B5" s="20" t="s">
        <v>1</v>
      </c>
      <c r="C5" s="167">
        <f ca="1">Overview!C5</f>
        <v>101.35</v>
      </c>
      <c r="E5" s="12"/>
      <c r="F5" s="131" t="s">
        <v>236</v>
      </c>
      <c r="G5" s="131" t="s">
        <v>237</v>
      </c>
    </row>
    <row r="6" spans="2:7" x14ac:dyDescent="0.2">
      <c r="B6" s="20" t="s">
        <v>234</v>
      </c>
      <c r="C6" s="168">
        <f ca="1">Statement!AC153</f>
        <v>511209.39999999997</v>
      </c>
      <c r="E6" s="20" t="s">
        <v>19</v>
      </c>
      <c r="F6" s="173">
        <f>IF(Statement!M5&lt;=0,"N/A",_xlfn.RRI(4,Statement!M5,Statement!Q5))</f>
        <v>-9.5668499906773397E-2</v>
      </c>
      <c r="G6" s="173" t="str">
        <f>IF(Statement!H5&lt;=0,"N/A",_xlfn.RRI(9,Statement!H5,Statement!Q5))</f>
        <v>N/A</v>
      </c>
    </row>
    <row r="7" spans="2:7" x14ac:dyDescent="0.2">
      <c r="B7" s="20" t="s">
        <v>183</v>
      </c>
      <c r="C7" s="168">
        <f ca="1">Statement!AC154</f>
        <v>539210.39999999991</v>
      </c>
      <c r="E7" s="20" t="s">
        <v>29</v>
      </c>
      <c r="F7" s="173" t="str">
        <f>IF(OR(Statement!M18&lt;=0, Statement!Q18&lt;=0), "N/A", _xlfn.RRI(4, Statement!M18, Statement!Q18))</f>
        <v>N/A</v>
      </c>
      <c r="G7" s="173" t="str">
        <f>IF(OR(Statement!H18&lt;=0, Statement!Q18&lt;=0), "N/A", _xlfn.RRI(9, Statement!H18, Statement!Q18))</f>
        <v>N/A</v>
      </c>
    </row>
    <row r="8" spans="2:7" x14ac:dyDescent="0.2">
      <c r="B8" s="20" t="s">
        <v>232</v>
      </c>
      <c r="C8" s="169">
        <f ca="1">Statement!AC150</f>
        <v>-48.033175355450226</v>
      </c>
      <c r="E8" s="20" t="s">
        <v>238</v>
      </c>
      <c r="F8" s="173" t="str">
        <f>IF(OR(Statement!M26&lt;=0, Statement!Q26&lt;=0), "N/A", _xlfn.RRI(4, Statement!M26, Statement!Q26))</f>
        <v>N/A</v>
      </c>
      <c r="G8" s="173" t="str">
        <f>IF(OR(Statement!H26&lt;=0, Statement!Q26&lt;=0), "N/A", _xlfn.RRI(9, Statement!H26, Statement!Q26))</f>
        <v>N/A</v>
      </c>
    </row>
    <row r="9" spans="2:7" x14ac:dyDescent="0.2">
      <c r="B9" s="20" t="s">
        <v>196</v>
      </c>
      <c r="C9" s="169">
        <f ca="1">Statement!AC151</f>
        <v>8.6885518217842606</v>
      </c>
      <c r="E9" s="20" t="s">
        <v>239</v>
      </c>
      <c r="F9" s="173">
        <f>IF(Statement!M82&lt;=0,"N/A",_xlfn.RRI(4,Statement!M82,Statement!Q82))</f>
        <v>-1</v>
      </c>
      <c r="G9" s="173" t="str">
        <f>IF(Statement!H82&lt;=0,"N/A",_xlfn.RRI(9,Statement!H82,Statement!Q82))</f>
        <v>N/A</v>
      </c>
    </row>
    <row r="10" spans="2:7" x14ac:dyDescent="0.2">
      <c r="B10" s="20" t="s">
        <v>233</v>
      </c>
      <c r="C10" s="169">
        <f ca="1">Statement!AC152</f>
        <v>5.8395901395901388</v>
      </c>
      <c r="E10" s="20" t="s">
        <v>1</v>
      </c>
      <c r="F10" s="173">
        <f>IF(Statement!M117&lt;=0,"N/A",_xlfn.RRI(4,Statement!M117,Statement!Q117))</f>
        <v>-8.3512303772420138E-2</v>
      </c>
      <c r="G10" s="173" t="str">
        <f>IF(Statement!H117&lt;=0,"N/A",_xlfn.RRI(9,Statement!H117,Statement!Q117))</f>
        <v>N/A</v>
      </c>
    </row>
    <row r="11" spans="2:7" x14ac:dyDescent="0.2">
      <c r="B11" s="20" t="s">
        <v>255</v>
      </c>
      <c r="C11" s="169">
        <f ca="1">Statement!AC155</f>
        <v>9.4545237761256828</v>
      </c>
    </row>
    <row r="12" spans="2:7" x14ac:dyDescent="0.2">
      <c r="B12" s="20" t="s">
        <v>199</v>
      </c>
      <c r="C12" s="169">
        <f ca="1">Statement!AC156</f>
        <v>-7002.7324675324662</v>
      </c>
    </row>
    <row r="15" spans="2:7" x14ac:dyDescent="0.2">
      <c r="B15" s="239" t="s">
        <v>75</v>
      </c>
      <c r="C15" s="239"/>
      <c r="E15" s="239" t="s">
        <v>241</v>
      </c>
      <c r="F15" s="239"/>
    </row>
    <row r="16" spans="2:7" x14ac:dyDescent="0.2">
      <c r="B16" s="20" t="s">
        <v>76</v>
      </c>
      <c r="C16" s="170">
        <f>Statement!AC101</f>
        <v>0.38604643007434425</v>
      </c>
      <c r="E16" s="20" t="s">
        <v>29</v>
      </c>
      <c r="F16" s="168">
        <f>Statement!AC18</f>
        <v>-11289</v>
      </c>
    </row>
    <row r="17" spans="2:6" x14ac:dyDescent="0.2">
      <c r="B17" s="20" t="s">
        <v>77</v>
      </c>
      <c r="C17" s="170">
        <f>Statement!AC102</f>
        <v>-1.350119231308739E-3</v>
      </c>
      <c r="E17" s="20" t="s">
        <v>242</v>
      </c>
      <c r="F17" s="168">
        <f>Statement!AC59</f>
        <v>13527</v>
      </c>
    </row>
    <row r="18" spans="2:6" x14ac:dyDescent="0.2">
      <c r="B18" s="20" t="s">
        <v>78</v>
      </c>
      <c r="C18" s="170">
        <f>Statement!AC103</f>
        <v>-0.19624070697152476</v>
      </c>
      <c r="E18" s="20" t="s">
        <v>249</v>
      </c>
      <c r="F18" s="172" t="str">
        <f>IF(OR(F16&lt;=0, F17&lt;=0),"N/A",F16-F17)</f>
        <v>N/A</v>
      </c>
    </row>
    <row r="21" spans="2:6" x14ac:dyDescent="0.2">
      <c r="B21" s="239" t="s">
        <v>240</v>
      </c>
      <c r="C21" s="239"/>
      <c r="E21" s="239" t="s">
        <v>244</v>
      </c>
      <c r="F21" s="239"/>
    </row>
    <row r="22" spans="2:6" x14ac:dyDescent="0.2">
      <c r="B22" s="20" t="s">
        <v>95</v>
      </c>
      <c r="C22" s="170">
        <f>Statement!AC121</f>
        <v>-0.19624070697152476</v>
      </c>
      <c r="E22" s="20" t="s">
        <v>97</v>
      </c>
      <c r="F22" s="170">
        <f>C24</f>
        <v>-5.5285789793468654E-2</v>
      </c>
    </row>
    <row r="23" spans="2:6" x14ac:dyDescent="0.2">
      <c r="B23" s="20" t="s">
        <v>96</v>
      </c>
      <c r="C23" s="169">
        <f>Statement!AC122</f>
        <v>0.28172437129209293</v>
      </c>
      <c r="E23" s="20" t="s">
        <v>99</v>
      </c>
      <c r="F23" s="170">
        <f>C26</f>
        <v>-0.12784720477028169</v>
      </c>
    </row>
    <row r="24" spans="2:6" x14ac:dyDescent="0.2">
      <c r="B24" s="32" t="s">
        <v>97</v>
      </c>
      <c r="C24" s="171">
        <f>Statement!AC123</f>
        <v>-5.5285789793468654E-2</v>
      </c>
      <c r="E24" s="20" t="s">
        <v>100</v>
      </c>
      <c r="F24" s="170">
        <f>Statement!AC140</f>
        <v>-6.6641856278614885E-4</v>
      </c>
    </row>
    <row r="25" spans="2:6" x14ac:dyDescent="0.2">
      <c r="B25" s="20" t="s">
        <v>98</v>
      </c>
      <c r="C25" s="169">
        <f>Statement!AC124</f>
        <v>2.3124785817093509</v>
      </c>
    </row>
    <row r="26" spans="2:6" x14ac:dyDescent="0.2">
      <c r="B26" s="32" t="s">
        <v>99</v>
      </c>
      <c r="C26" s="171">
        <f>Statement!AC125</f>
        <v>-0.12784720477028169</v>
      </c>
    </row>
    <row r="29" spans="2:6" x14ac:dyDescent="0.2">
      <c r="B29" s="239" t="s">
        <v>245</v>
      </c>
      <c r="C29" s="239"/>
      <c r="E29" s="239" t="s">
        <v>251</v>
      </c>
      <c r="F29" s="239"/>
    </row>
    <row r="30" spans="2:6" x14ac:dyDescent="0.2">
      <c r="B30" s="20" t="s">
        <v>134</v>
      </c>
      <c r="C30" s="169">
        <f>Statement!AC141</f>
        <v>25.81086056950484</v>
      </c>
      <c r="E30" s="20" t="s">
        <v>252</v>
      </c>
      <c r="F30" s="175">
        <f>Statement!AC145</f>
        <v>0.57728861575015422</v>
      </c>
    </row>
    <row r="31" spans="2:6" x14ac:dyDescent="0.2">
      <c r="B31" s="20" t="s">
        <v>135</v>
      </c>
      <c r="C31" s="169">
        <f>Statement!AC142</f>
        <v>130.21790661145224</v>
      </c>
      <c r="E31" s="20" t="s">
        <v>253</v>
      </c>
      <c r="F31" s="175">
        <f>Statement!AC146</f>
        <v>0.14164629549244934</v>
      </c>
    </row>
    <row r="32" spans="2:6" x14ac:dyDescent="0.2">
      <c r="B32" s="20" t="s">
        <v>136</v>
      </c>
      <c r="C32" s="169">
        <f>Statement!AC143</f>
        <v>91.273454233899756</v>
      </c>
      <c r="E32" s="20" t="s">
        <v>248</v>
      </c>
      <c r="F32" s="175">
        <f>Statement!AC148</f>
        <v>1.6039529015979814</v>
      </c>
    </row>
    <row r="33" spans="2:6" x14ac:dyDescent="0.2">
      <c r="B33" s="20" t="s">
        <v>137</v>
      </c>
      <c r="C33" s="169">
        <f>Statement!AC144</f>
        <v>64.755312947057305</v>
      </c>
      <c r="E33" s="20" t="s">
        <v>247</v>
      </c>
      <c r="F33" s="175">
        <f>Statement!AC147</f>
        <v>1.1822259601906364</v>
      </c>
    </row>
    <row r="34" spans="2:6" x14ac:dyDescent="0.2">
      <c r="E34" s="20" t="s">
        <v>254</v>
      </c>
      <c r="F34" s="177" t="str">
        <f>Statement!AC149</f>
        <v>N/A</v>
      </c>
    </row>
    <row r="37" spans="2:6" x14ac:dyDescent="0.2">
      <c r="B37" s="239" t="s">
        <v>263</v>
      </c>
      <c r="C37" s="239"/>
      <c r="E37" s="239" t="s">
        <v>266</v>
      </c>
      <c r="F37" s="239"/>
    </row>
    <row r="38" spans="2:6" x14ac:dyDescent="0.2">
      <c r="B38" s="20" t="s">
        <v>261</v>
      </c>
      <c r="C38" s="170">
        <f ca="1">Statement!AC162</f>
        <v>-2.0818944252590038E-2</v>
      </c>
      <c r="E38" s="20" t="s">
        <v>265</v>
      </c>
      <c r="F38" s="170">
        <f>Statement!AC168</f>
        <v>-0.14219653179190753</v>
      </c>
    </row>
    <row r="39" spans="2:6" x14ac:dyDescent="0.2">
      <c r="B39" s="54" t="s">
        <v>264</v>
      </c>
      <c r="C39" s="210">
        <f ca="1">Statement!AC161</f>
        <v>-2.1996856865308032E-2</v>
      </c>
      <c r="E39" s="20" t="s">
        <v>267</v>
      </c>
      <c r="F39" s="170">
        <f>Statement!AC169</f>
        <v>0</v>
      </c>
    </row>
    <row r="40" spans="2:6" x14ac:dyDescent="0.2">
      <c r="B40" s="20" t="s">
        <v>262</v>
      </c>
      <c r="C40" s="170">
        <f ca="1">Statement!AC163</f>
        <v>0</v>
      </c>
      <c r="E40" s="20" t="s">
        <v>268</v>
      </c>
      <c r="F40" s="170">
        <f>Statement!AC170</f>
        <v>-0.14219653179190753</v>
      </c>
    </row>
    <row r="41" spans="2:6" x14ac:dyDescent="0.2">
      <c r="B41" s="20" t="s">
        <v>287</v>
      </c>
      <c r="C41" s="170">
        <f ca="1">Statement!AC164</f>
        <v>0</v>
      </c>
    </row>
    <row r="42" spans="2:6" x14ac:dyDescent="0.2">
      <c r="B42" s="20" t="s">
        <v>289</v>
      </c>
      <c r="C42" s="170">
        <f ca="1">Statement!AC165</f>
        <v>3.1278767565698128E-3</v>
      </c>
    </row>
    <row r="45" spans="2:6" x14ac:dyDescent="0.2">
      <c r="B45" s="239" t="s">
        <v>274</v>
      </c>
      <c r="C45" s="239"/>
      <c r="E45" s="239" t="s">
        <v>280</v>
      </c>
      <c r="F45" s="239"/>
    </row>
    <row r="46" spans="2:6" x14ac:dyDescent="0.2">
      <c r="B46" s="20" t="s">
        <v>272</v>
      </c>
      <c r="C46" s="170">
        <f>Statement!AC171</f>
        <v>5.947660586835844E-4</v>
      </c>
      <c r="E46" s="20" t="s">
        <v>273</v>
      </c>
      <c r="F46" s="169">
        <f>Statement!AC172</f>
        <v>7.5608643933386199</v>
      </c>
    </row>
    <row r="47" spans="2:6" x14ac:dyDescent="0.2">
      <c r="E47" s="20" t="s">
        <v>281</v>
      </c>
      <c r="F47" s="169">
        <f>Statement!AC175</f>
        <v>-2.4583663758921492</v>
      </c>
    </row>
    <row r="48" spans="2:6" x14ac:dyDescent="0.2">
      <c r="E48" s="20" t="s">
        <v>286</v>
      </c>
      <c r="F48" s="170">
        <f ca="1">Statement!AC176</f>
        <v>-2.425620499153576E-2</v>
      </c>
    </row>
    <row r="51" spans="2:6" x14ac:dyDescent="0.2">
      <c r="B51" s="239" t="s">
        <v>277</v>
      </c>
      <c r="C51" s="239"/>
      <c r="E51" s="239" t="s">
        <v>298</v>
      </c>
      <c r="F51" s="239"/>
    </row>
    <row r="52" spans="2:6" x14ac:dyDescent="0.2">
      <c r="B52" s="20" t="s">
        <v>275</v>
      </c>
      <c r="C52" s="170">
        <f>Statement!AC173</f>
        <v>0.24905744067420715</v>
      </c>
      <c r="E52" s="20" t="s">
        <v>299</v>
      </c>
      <c r="F52" s="170">
        <f>Statement!AC177</f>
        <v>0.37528054425585639</v>
      </c>
    </row>
    <row r="53" spans="2:6" x14ac:dyDescent="0.2">
      <c r="B53" s="20" t="s">
        <v>276</v>
      </c>
      <c r="C53" s="170">
        <f>Statement!AC174</f>
        <v>5.9072099873755085E-2</v>
      </c>
      <c r="E53" s="20" t="s">
        <v>296</v>
      </c>
      <c r="F53" s="170">
        <f>Statement!AC178</f>
        <v>1.5822429215642788</v>
      </c>
    </row>
    <row r="54" spans="2:6" x14ac:dyDescent="0.2">
      <c r="E54" s="20" t="s">
        <v>297</v>
      </c>
      <c r="F54" s="170">
        <f>Statement!AC179</f>
        <v>1.7758878194490542</v>
      </c>
    </row>
  </sheetData>
  <mergeCells count="14">
    <mergeCell ref="B51:C51"/>
    <mergeCell ref="B4:C4"/>
    <mergeCell ref="E4:G4"/>
    <mergeCell ref="B15:C15"/>
    <mergeCell ref="B21:C21"/>
    <mergeCell ref="E15:F15"/>
    <mergeCell ref="E21:F21"/>
    <mergeCell ref="B37:C37"/>
    <mergeCell ref="E37:F37"/>
    <mergeCell ref="B45:C45"/>
    <mergeCell ref="E45:F45"/>
    <mergeCell ref="B29:C29"/>
    <mergeCell ref="E29:F29"/>
    <mergeCell ref="E51:F51"/>
  </mergeCells>
  <pageMargins left="0.7" right="0.7" top="0.75" bottom="0.75" header="0.3" footer="0.3"/>
  <ignoredErrors>
    <ignoredError sqref="F3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EC990-97E1-EA42-B427-9F214546EBED}">
  <dimension ref="B1:I96"/>
  <sheetViews>
    <sheetView zoomScale="159" zoomScaleNormal="230" workbookViewId="0">
      <pane xSplit="2" ySplit="3" topLeftCell="C7" activePane="bottomRight" state="frozen"/>
      <selection pane="topRight" activeCell="C1" sqref="C1"/>
      <selection pane="bottomLeft" activeCell="A4" sqref="A4"/>
      <selection pane="bottomRight" activeCell="G93" sqref="G93"/>
    </sheetView>
  </sheetViews>
  <sheetFormatPr baseColWidth="10" defaultRowHeight="16" x14ac:dyDescent="0.2"/>
  <cols>
    <col min="1" max="1" width="3.33203125" style="1" customWidth="1"/>
    <col min="2" max="2" width="31.1640625" style="1" customWidth="1"/>
    <col min="3" max="7" width="10.83203125" style="1"/>
    <col min="8" max="8" width="2.5" style="1" customWidth="1"/>
    <col min="9" max="16384" width="10.83203125" style="1"/>
  </cols>
  <sheetData>
    <row r="1" spans="2:9" ht="11" customHeight="1" x14ac:dyDescent="0.2"/>
    <row r="2" spans="2:9" x14ac:dyDescent="0.2">
      <c r="B2" s="10"/>
      <c r="C2" s="10" t="str">
        <f>Statement!M2</f>
        <v>25.12.2021</v>
      </c>
      <c r="D2" s="10" t="str">
        <f>Statement!N2</f>
        <v>31.12.2022</v>
      </c>
      <c r="E2" s="10" t="str">
        <f>Statement!O2</f>
        <v>30.12.2023</v>
      </c>
      <c r="F2" s="10" t="str">
        <f>Statement!P2</f>
        <v>28.12.2024</v>
      </c>
      <c r="G2" s="10" t="str">
        <f>Statement!Q2</f>
        <v>27.12.2025</v>
      </c>
      <c r="I2" s="10"/>
    </row>
    <row r="3" spans="2:9" x14ac:dyDescent="0.2">
      <c r="B3" s="10"/>
      <c r="C3" s="10">
        <f>Statement!M3</f>
        <v>2021</v>
      </c>
      <c r="D3" s="10">
        <f>Statement!N3</f>
        <v>2022</v>
      </c>
      <c r="E3" s="10">
        <f>Statement!O3</f>
        <v>2023</v>
      </c>
      <c r="F3" s="10">
        <f>Statement!P3</f>
        <v>2024</v>
      </c>
      <c r="G3" s="10">
        <f>Statement!Q3</f>
        <v>2025</v>
      </c>
      <c r="I3" s="10" t="str">
        <f>Statement!AC3</f>
        <v>TTM/YTD</v>
      </c>
    </row>
    <row r="5" spans="2:9" ht="17" thickBot="1" x14ac:dyDescent="0.25">
      <c r="B5" s="14" t="s">
        <v>228</v>
      </c>
      <c r="C5" s="14"/>
      <c r="D5" s="14"/>
      <c r="E5" s="14"/>
      <c r="F5" s="14"/>
      <c r="G5" s="14"/>
      <c r="I5" s="14"/>
    </row>
    <row r="6" spans="2:9" x14ac:dyDescent="0.2">
      <c r="B6" s="20" t="s">
        <v>1</v>
      </c>
      <c r="C6" s="167">
        <f>Statement!M116</f>
        <v>51.31</v>
      </c>
      <c r="D6" s="167">
        <f>Statement!N116</f>
        <v>26.43</v>
      </c>
      <c r="E6" s="167">
        <f>Statement!O116</f>
        <v>50.25</v>
      </c>
      <c r="F6" s="167">
        <f>Statement!P116</f>
        <v>20.3</v>
      </c>
      <c r="G6" s="167">
        <f>Statement!Q116</f>
        <v>36.200000000000003</v>
      </c>
      <c r="I6" s="167">
        <f ca="1">Statement!AC116</f>
        <v>101.35</v>
      </c>
    </row>
    <row r="7" spans="2:9" x14ac:dyDescent="0.2">
      <c r="B7" s="20" t="s">
        <v>234</v>
      </c>
      <c r="C7" s="168">
        <f>Statement!M153</f>
        <v>210524.93000000002</v>
      </c>
      <c r="D7" s="168">
        <f>Statement!N153</f>
        <v>109737.36</v>
      </c>
      <c r="E7" s="168">
        <f>Statement!O153</f>
        <v>213562.5</v>
      </c>
      <c r="F7" s="168">
        <f>Statement!P153</f>
        <v>87899</v>
      </c>
      <c r="G7" s="168">
        <f>Statement!Q153</f>
        <v>180819</v>
      </c>
      <c r="I7" s="168">
        <f ca="1">Statement!AC153</f>
        <v>511209.39999999997</v>
      </c>
    </row>
    <row r="8" spans="2:9" x14ac:dyDescent="0.2">
      <c r="B8" s="20" t="s">
        <v>183</v>
      </c>
      <c r="C8" s="168">
        <f>Statement!M154</f>
        <v>213914.93000000002</v>
      </c>
      <c r="D8" s="168">
        <f>Statement!N154</f>
        <v>119401.35999999999</v>
      </c>
      <c r="E8" s="168">
        <f>Statement!O154</f>
        <v>236340.5</v>
      </c>
      <c r="F8" s="168">
        <f>Statement!P154</f>
        <v>116227</v>
      </c>
      <c r="G8" s="168">
        <f>Statement!Q154</f>
        <v>193555</v>
      </c>
      <c r="I8" s="168">
        <f ca="1">Statement!AC154</f>
        <v>539210.39999999991</v>
      </c>
    </row>
    <row r="9" spans="2:9" x14ac:dyDescent="0.2">
      <c r="B9" s="20" t="s">
        <v>232</v>
      </c>
      <c r="C9" s="169">
        <f>Statement!M150</f>
        <v>10.557613168724279</v>
      </c>
      <c r="D9" s="169">
        <f>Statement!N150</f>
        <v>13.623711340206185</v>
      </c>
      <c r="E9" s="169">
        <f>Statement!O150</f>
        <v>125.625</v>
      </c>
      <c r="F9" s="169">
        <f>Statement!P150</f>
        <v>-4.634703196347032</v>
      </c>
      <c r="G9" s="169">
        <f>Statement!Q150</f>
        <v>-603.33333333333337</v>
      </c>
      <c r="I9" s="169">
        <f ca="1">Statement!AC150</f>
        <v>-48.033175355450226</v>
      </c>
    </row>
    <row r="10" spans="2:9" x14ac:dyDescent="0.2">
      <c r="B10" s="20" t="s">
        <v>196</v>
      </c>
      <c r="C10" s="169">
        <f>Statement!M151</f>
        <v>2.6556223425794698</v>
      </c>
      <c r="D10" s="169">
        <f>Statement!N151</f>
        <v>1.7282153392330384</v>
      </c>
      <c r="E10" s="169">
        <f>Statement!O151</f>
        <v>3.9030205797742865</v>
      </c>
      <c r="F10" s="169">
        <f>Statement!P151</f>
        <v>1.6362027080469295</v>
      </c>
      <c r="G10" s="169">
        <f>Statement!Q151</f>
        <v>3.102681020944885</v>
      </c>
      <c r="I10" s="169">
        <f ca="1">Statement!AC151</f>
        <v>8.6885518217842606</v>
      </c>
    </row>
    <row r="11" spans="2:9" x14ac:dyDescent="0.2">
      <c r="B11" s="20" t="s">
        <v>233</v>
      </c>
      <c r="C11" s="169">
        <f>Statement!M152</f>
        <v>2.190293843234687</v>
      </c>
      <c r="D11" s="169">
        <f>Statement!N152</f>
        <v>1.0780681896611222</v>
      </c>
      <c r="E11" s="169">
        <f>Statement!O152</f>
        <v>2.0120939482905578</v>
      </c>
      <c r="F11" s="169">
        <f>Statement!P152</f>
        <v>0.88545381283368585</v>
      </c>
      <c r="G11" s="169">
        <f>Statement!Q152</f>
        <v>1.5822315170500785</v>
      </c>
      <c r="I11" s="169">
        <f ca="1">Statement!AC152</f>
        <v>5.8395901395901388</v>
      </c>
    </row>
    <row r="12" spans="2:9" x14ac:dyDescent="0.2">
      <c r="B12" s="20" t="s">
        <v>255</v>
      </c>
      <c r="C12" s="169">
        <f>Statement!M155</f>
        <v>2.7069615559829927</v>
      </c>
      <c r="D12" s="169">
        <f>Statement!N155</f>
        <v>1.8936365654835536</v>
      </c>
      <c r="E12" s="169">
        <f>Statement!O155</f>
        <v>4.3582743232278531</v>
      </c>
      <c r="F12" s="169">
        <f>Statement!P155</f>
        <v>2.1887911715410255</v>
      </c>
      <c r="G12" s="169">
        <f>Statement!Q155</f>
        <v>3.6621383838192725</v>
      </c>
      <c r="I12" s="169">
        <f ca="1">Statement!AC155</f>
        <v>9.4545237761256828</v>
      </c>
    </row>
    <row r="13" spans="2:9" x14ac:dyDescent="0.2">
      <c r="B13" s="20" t="s">
        <v>199</v>
      </c>
      <c r="C13" s="169">
        <f>Statement!M156</f>
        <v>10.994805201480265</v>
      </c>
      <c r="D13" s="169">
        <f>Statement!N156</f>
        <v>51.157395029991427</v>
      </c>
      <c r="E13" s="169">
        <f>Statement!O156</f>
        <v>2541.2956989247314</v>
      </c>
      <c r="F13" s="169">
        <f>Statement!P156</f>
        <v>-9.9526460010275724</v>
      </c>
      <c r="G13" s="169">
        <f>Statement!Q156</f>
        <v>-87.42321589882566</v>
      </c>
      <c r="I13" s="169">
        <f ca="1">Statement!AC156</f>
        <v>-7002.7324675324662</v>
      </c>
    </row>
    <row r="15" spans="2:9" ht="17" thickBot="1" x14ac:dyDescent="0.25">
      <c r="B15" s="14" t="s">
        <v>75</v>
      </c>
      <c r="C15" s="14"/>
      <c r="D15" s="14"/>
      <c r="E15" s="14"/>
      <c r="F15" s="14"/>
      <c r="G15" s="14"/>
      <c r="I15" s="14"/>
    </row>
    <row r="16" spans="2:9" x14ac:dyDescent="0.2">
      <c r="B16" s="20" t="s">
        <v>76</v>
      </c>
      <c r="C16" s="170">
        <f>Statement!M101</f>
        <v>0.5544518121077141</v>
      </c>
      <c r="D16" s="170">
        <f>Statement!N101</f>
        <v>0.42607923367272499</v>
      </c>
      <c r="E16" s="170">
        <f>Statement!O101</f>
        <v>0.40036512502766097</v>
      </c>
      <c r="F16" s="170">
        <f>Statement!P101</f>
        <v>0.32664168283083184</v>
      </c>
      <c r="G16" s="170">
        <f>Statement!Q101</f>
        <v>0.34766238434904356</v>
      </c>
      <c r="I16" s="170">
        <f>Statement!AC101</f>
        <v>0.38604643007434425</v>
      </c>
    </row>
    <row r="17" spans="2:9" x14ac:dyDescent="0.2">
      <c r="B17" s="20" t="s">
        <v>77</v>
      </c>
      <c r="C17" s="170">
        <f>Statement!M102</f>
        <v>0.24620368495646891</v>
      </c>
      <c r="D17" s="170">
        <f>Statement!N102</f>
        <v>3.7015891140926828E-2</v>
      </c>
      <c r="E17" s="170">
        <f>Statement!O102</f>
        <v>1.714981190528878E-3</v>
      </c>
      <c r="F17" s="170">
        <f>Statement!P102</f>
        <v>-0.21992052880360069</v>
      </c>
      <c r="G17" s="170">
        <f>Statement!Q102</f>
        <v>-4.1889769738709247E-2</v>
      </c>
      <c r="I17" s="170">
        <f>Statement!AC102</f>
        <v>-1.350119231308739E-3</v>
      </c>
    </row>
    <row r="18" spans="2:9" x14ac:dyDescent="0.2">
      <c r="B18" s="20" t="s">
        <v>78</v>
      </c>
      <c r="C18" s="170">
        <f>Statement!M103</f>
        <v>0.25141729094958493</v>
      </c>
      <c r="D18" s="170">
        <f>Statement!N103</f>
        <v>0.12714498683667966</v>
      </c>
      <c r="E18" s="170">
        <f>Statement!O103</f>
        <v>3.088810208748248E-2</v>
      </c>
      <c r="F18" s="170">
        <f>Statement!P103</f>
        <v>-0.3621965688028474</v>
      </c>
      <c r="G18" s="170">
        <f>Statement!Q103</f>
        <v>4.9193044860272833E-4</v>
      </c>
      <c r="I18" s="170">
        <f>Statement!AC103</f>
        <v>-0.19624070697152476</v>
      </c>
    </row>
    <row r="20" spans="2:9" ht="17" thickBot="1" x14ac:dyDescent="0.25">
      <c r="B20" s="14" t="s">
        <v>241</v>
      </c>
      <c r="C20" s="14"/>
      <c r="D20" s="14"/>
      <c r="E20" s="14"/>
      <c r="F20" s="14"/>
      <c r="G20" s="14"/>
      <c r="I20" s="14"/>
    </row>
    <row r="21" spans="2:9" x14ac:dyDescent="0.2">
      <c r="B21" s="20" t="s">
        <v>29</v>
      </c>
      <c r="C21" s="172">
        <f>Statement!M18</f>
        <v>19868</v>
      </c>
      <c r="D21" s="172">
        <f>Statement!N18</f>
        <v>8014</v>
      </c>
      <c r="E21" s="172">
        <f>Statement!O18</f>
        <v>1689</v>
      </c>
      <c r="F21" s="172">
        <f>Statement!P18</f>
        <v>-18756</v>
      </c>
      <c r="G21" s="172">
        <f>Statement!Q18</f>
        <v>-267</v>
      </c>
      <c r="I21" s="172">
        <f>Statement!AC18</f>
        <v>-11289</v>
      </c>
    </row>
    <row r="22" spans="2:9" x14ac:dyDescent="0.2">
      <c r="B22" s="20" t="s">
        <v>242</v>
      </c>
      <c r="C22" s="172">
        <f>Statement!M59</f>
        <v>29456</v>
      </c>
      <c r="D22" s="172">
        <f>Statement!N59</f>
        <v>15433</v>
      </c>
      <c r="E22" s="172">
        <f>Statement!O59</f>
        <v>11471</v>
      </c>
      <c r="F22" s="172">
        <f>Statement!P59</f>
        <v>8288</v>
      </c>
      <c r="G22" s="172">
        <f>Statement!Q59</f>
        <v>9697</v>
      </c>
      <c r="I22" s="172">
        <f>Statement!AC59</f>
        <v>13527</v>
      </c>
    </row>
    <row r="23" spans="2:9" x14ac:dyDescent="0.2">
      <c r="B23" s="20" t="s">
        <v>249</v>
      </c>
      <c r="C23" s="190">
        <f>IF(OR(C21&lt;=0, C22&lt;=0),"N/A",C21-C22)</f>
        <v>-9588</v>
      </c>
      <c r="D23" s="190">
        <f t="shared" ref="D23:I23" si="0">IF(OR(D21&lt;=0, D22&lt;=0),"N/A",D21-D22)</f>
        <v>-7419</v>
      </c>
      <c r="E23" s="190">
        <f t="shared" si="0"/>
        <v>-9782</v>
      </c>
      <c r="F23" s="190" t="str">
        <f t="shared" si="0"/>
        <v>N/A</v>
      </c>
      <c r="G23" s="190" t="str">
        <f t="shared" si="0"/>
        <v>N/A</v>
      </c>
      <c r="I23" s="190" t="str">
        <f t="shared" si="0"/>
        <v>N/A</v>
      </c>
    </row>
    <row r="25" spans="2:9" ht="17" thickBot="1" x14ac:dyDescent="0.25">
      <c r="B25" s="14" t="s">
        <v>240</v>
      </c>
      <c r="C25" s="14"/>
      <c r="D25" s="14"/>
      <c r="E25" s="14"/>
      <c r="F25" s="14"/>
      <c r="G25" s="14"/>
      <c r="I25" s="14"/>
    </row>
    <row r="26" spans="2:9" x14ac:dyDescent="0.2">
      <c r="B26" s="20" t="s">
        <v>95</v>
      </c>
      <c r="C26" s="170">
        <f>Statement!M121</f>
        <v>0.25141729094958493</v>
      </c>
      <c r="D26" s="170">
        <f>Statement!N121</f>
        <v>0.12714498683667966</v>
      </c>
      <c r="E26" s="170">
        <f>Statement!O121</f>
        <v>3.088810208748248E-2</v>
      </c>
      <c r="F26" s="170">
        <f>Statement!P121</f>
        <v>-0.3621965688028474</v>
      </c>
      <c r="G26" s="170">
        <f>Statement!Q121</f>
        <v>4.9193044860272833E-4</v>
      </c>
      <c r="I26" s="170">
        <f>Statement!AC121</f>
        <v>-0.19624070697152476</v>
      </c>
    </row>
    <row r="27" spans="2:9" x14ac:dyDescent="0.2">
      <c r="B27" s="20" t="s">
        <v>96</v>
      </c>
      <c r="C27" s="209">
        <f>Statement!M122</f>
        <v>0.46924693894516822</v>
      </c>
      <c r="D27" s="209">
        <f>Statement!N122</f>
        <v>0.34625459218134791</v>
      </c>
      <c r="E27" s="209">
        <f>Statement!O122</f>
        <v>0.2830685068799198</v>
      </c>
      <c r="F27" s="209">
        <f>Statement!P122</f>
        <v>0.27025472682393059</v>
      </c>
      <c r="G27" s="209">
        <f>Statement!Q122</f>
        <v>0.24997989868939455</v>
      </c>
      <c r="I27" s="209">
        <f>Statement!AC122</f>
        <v>0.28172437129209293</v>
      </c>
    </row>
    <row r="28" spans="2:9" x14ac:dyDescent="0.2">
      <c r="B28" s="32" t="s">
        <v>97</v>
      </c>
      <c r="C28" s="171">
        <f>Statement!M123</f>
        <v>0.11797679417597948</v>
      </c>
      <c r="D28" s="171">
        <f>Statement!N123</f>
        <v>4.4024535565037361E-2</v>
      </c>
      <c r="E28" s="171">
        <f>Statement!O123</f>
        <v>8.7434489382581995E-3</v>
      </c>
      <c r="F28" s="171">
        <f>Statement!P123</f>
        <v>-9.7885334758378503E-2</v>
      </c>
      <c r="G28" s="171">
        <f>Statement!Q123</f>
        <v>1.2297272370393844E-4</v>
      </c>
      <c r="I28" s="171">
        <f>Statement!AC123</f>
        <v>-5.5285789793468654E-2</v>
      </c>
    </row>
    <row r="29" spans="2:9" x14ac:dyDescent="0.2">
      <c r="B29" s="20" t="s">
        <v>98</v>
      </c>
      <c r="C29" s="209">
        <f>Statement!M124</f>
        <v>1.7654286043756748</v>
      </c>
      <c r="D29" s="209">
        <f>Statement!N124</f>
        <v>1.7954803151159007</v>
      </c>
      <c r="E29" s="209">
        <f>Statement!O124</f>
        <v>1.8143005966474097</v>
      </c>
      <c r="F29" s="209">
        <f>Statement!P124</f>
        <v>1.9792988818374131</v>
      </c>
      <c r="G29" s="209">
        <f>Statement!Q124</f>
        <v>1.8500800658027143</v>
      </c>
      <c r="I29" s="209">
        <f>Statement!AC124</f>
        <v>2.3124785817093509</v>
      </c>
    </row>
    <row r="30" spans="2:9" x14ac:dyDescent="0.2">
      <c r="B30" s="32" t="s">
        <v>99</v>
      </c>
      <c r="C30" s="171">
        <f>Statement!M125</f>
        <v>0.20827960709081569</v>
      </c>
      <c r="D30" s="171">
        <f>Statement!N125</f>
        <v>7.904518698914445E-2</v>
      </c>
      <c r="E30" s="171">
        <f>Statement!O125</f>
        <v>1.5863244625438012E-2</v>
      </c>
      <c r="F30" s="171">
        <f>Statement!P125</f>
        <v>-0.19374433363553945</v>
      </c>
      <c r="G30" s="171">
        <f>Statement!Q125</f>
        <v>2.2750938476212145E-4</v>
      </c>
      <c r="I30" s="171">
        <f>Statement!AC125</f>
        <v>-0.12784720477028169</v>
      </c>
    </row>
    <row r="32" spans="2:9" ht="17" thickBot="1" x14ac:dyDescent="0.25">
      <c r="B32" s="14" t="s">
        <v>300</v>
      </c>
      <c r="C32" s="14"/>
      <c r="D32" s="14"/>
      <c r="E32" s="14"/>
      <c r="F32" s="14"/>
      <c r="G32" s="14"/>
      <c r="I32" s="14"/>
    </row>
    <row r="33" spans="2:9" x14ac:dyDescent="0.2">
      <c r="B33" s="20" t="s">
        <v>97</v>
      </c>
      <c r="C33" s="170">
        <f>C28</f>
        <v>0.11797679417597948</v>
      </c>
      <c r="D33" s="170">
        <f t="shared" ref="D33:G33" si="1">D28</f>
        <v>4.4024535565037361E-2</v>
      </c>
      <c r="E33" s="170">
        <f t="shared" si="1"/>
        <v>8.7434489382581995E-3</v>
      </c>
      <c r="F33" s="170">
        <f t="shared" si="1"/>
        <v>-9.7885334758378503E-2</v>
      </c>
      <c r="G33" s="170">
        <f t="shared" si="1"/>
        <v>1.2297272370393844E-4</v>
      </c>
      <c r="I33" s="170">
        <f>I28</f>
        <v>-5.5285789793468654E-2</v>
      </c>
    </row>
    <row r="34" spans="2:9" x14ac:dyDescent="0.2">
      <c r="B34" s="20" t="s">
        <v>99</v>
      </c>
      <c r="C34" s="170">
        <f>C30</f>
        <v>0.20827960709081569</v>
      </c>
      <c r="D34" s="170">
        <f t="shared" ref="D34:G34" si="2">D30</f>
        <v>7.904518698914445E-2</v>
      </c>
      <c r="E34" s="170">
        <f t="shared" si="2"/>
        <v>1.5863244625438012E-2</v>
      </c>
      <c r="F34" s="170">
        <f t="shared" si="2"/>
        <v>-0.19374433363553945</v>
      </c>
      <c r="G34" s="170">
        <f t="shared" si="2"/>
        <v>2.2750938476212145E-4</v>
      </c>
      <c r="I34" s="170">
        <f>I30</f>
        <v>-0.12784720477028169</v>
      </c>
    </row>
    <row r="35" spans="2:9" x14ac:dyDescent="0.2">
      <c r="B35" s="20" t="s">
        <v>100</v>
      </c>
      <c r="C35" s="170">
        <f>Statement!M140</f>
        <v>0.18030780236190902</v>
      </c>
      <c r="D35" s="170">
        <f>Statement!N140</f>
        <v>2.1010559291366228E-2</v>
      </c>
      <c r="E35" s="170">
        <f>Statement!O140</f>
        <v>7.2447962108936807E-4</v>
      </c>
      <c r="F35" s="170">
        <f>Statement!P140</f>
        <v>-9.1521810686687882E-2</v>
      </c>
      <c r="G35" s="170">
        <f>Statement!Q140</f>
        <v>-1.7430737617799192E-2</v>
      </c>
      <c r="I35" s="170">
        <f>Statement!AC140</f>
        <v>-6.6641856278614885E-4</v>
      </c>
    </row>
    <row r="37" spans="2:9" ht="17" thickBot="1" x14ac:dyDescent="0.25">
      <c r="B37" s="14" t="s">
        <v>245</v>
      </c>
      <c r="C37" s="14"/>
      <c r="D37" s="14"/>
      <c r="E37" s="14"/>
      <c r="F37" s="14"/>
      <c r="G37" s="14"/>
      <c r="I37" s="14"/>
    </row>
    <row r="38" spans="2:9" x14ac:dyDescent="0.2">
      <c r="B38" s="20" t="s">
        <v>134</v>
      </c>
      <c r="C38" s="169">
        <f>Statement!M141</f>
        <v>43.680464162785988</v>
      </c>
      <c r="D38" s="169">
        <f>Statement!N141</f>
        <v>23.924651885685286</v>
      </c>
      <c r="E38" s="169">
        <f>Statement!O141</f>
        <v>22.898318211993807</v>
      </c>
      <c r="F38" s="169">
        <f>Statement!P141</f>
        <v>23.906706088397584</v>
      </c>
      <c r="G38" s="169">
        <f>Statement!Q141</f>
        <v>26.511929313378616</v>
      </c>
      <c r="I38" s="169">
        <f>Statement!AC141</f>
        <v>25.81086056950484</v>
      </c>
    </row>
    <row r="39" spans="2:9" x14ac:dyDescent="0.2">
      <c r="B39" s="20" t="s">
        <v>135</v>
      </c>
      <c r="C39" s="169">
        <f>Statement!M142</f>
        <v>111.71121020193701</v>
      </c>
      <c r="D39" s="169">
        <f>Statement!N142</f>
        <v>133.38012600862163</v>
      </c>
      <c r="E39" s="169">
        <f>Statement!O142</f>
        <v>124.89943721745549</v>
      </c>
      <c r="F39" s="169">
        <f>Statement!P142</f>
        <v>124.51812283253162</v>
      </c>
      <c r="G39" s="169">
        <f>Statement!Q142</f>
        <v>122.99350310342828</v>
      </c>
      <c r="I39" s="169">
        <f>Statement!AC142</f>
        <v>130.21790661145224</v>
      </c>
    </row>
    <row r="40" spans="2:9" x14ac:dyDescent="0.2">
      <c r="B40" s="20" t="s">
        <v>136</v>
      </c>
      <c r="C40" s="169">
        <f>Statement!M143</f>
        <v>59.577238774177054</v>
      </c>
      <c r="D40" s="169">
        <f>Statement!N143</f>
        <v>96.777246601083235</v>
      </c>
      <c r="E40" s="169">
        <f>Statement!O143</f>
        <v>96.219823476950523</v>
      </c>
      <c r="F40" s="169">
        <f>Statement!P143</f>
        <v>128.17261438639667</v>
      </c>
      <c r="G40" s="169">
        <f>Statement!Q143</f>
        <v>104.6154069261558</v>
      </c>
      <c r="I40" s="169">
        <f>Statement!AC143</f>
        <v>91.273454233899756</v>
      </c>
    </row>
    <row r="41" spans="2:9" x14ac:dyDescent="0.2">
      <c r="B41" s="20" t="s">
        <v>137</v>
      </c>
      <c r="C41" s="169">
        <f>Statement!M144</f>
        <v>95.814435590545941</v>
      </c>
      <c r="D41" s="169">
        <f>Statement!N144</f>
        <v>60.527531293223674</v>
      </c>
      <c r="E41" s="169">
        <f>Statement!O144</f>
        <v>51.577931952498773</v>
      </c>
      <c r="F41" s="169">
        <f>Statement!P144</f>
        <v>20.252214534532527</v>
      </c>
      <c r="G41" s="169">
        <f>Statement!Q144</f>
        <v>44.890025490651112</v>
      </c>
      <c r="I41" s="169">
        <f>Statement!AC144</f>
        <v>64.755312947057305</v>
      </c>
    </row>
    <row r="43" spans="2:9" ht="17" thickBot="1" x14ac:dyDescent="0.25">
      <c r="B43" s="14" t="s">
        <v>251</v>
      </c>
      <c r="C43" s="14"/>
      <c r="D43" s="14"/>
      <c r="E43" s="14"/>
      <c r="F43" s="14"/>
      <c r="G43" s="14"/>
      <c r="I43" s="14"/>
    </row>
    <row r="44" spans="2:9" x14ac:dyDescent="0.2">
      <c r="B44" s="20" t="s">
        <v>252</v>
      </c>
      <c r="C44" s="175">
        <f>Statement!M145</f>
        <v>0.39941923242234595</v>
      </c>
      <c r="D44" s="175">
        <f>Statement!N145</f>
        <v>0.41461009830117429</v>
      </c>
      <c r="E44" s="175">
        <f>Statement!O145</f>
        <v>0.46657827445780853</v>
      </c>
      <c r="F44" s="175">
        <f>Statement!P145</f>
        <v>0.50378764984386015</v>
      </c>
      <c r="G44" s="175">
        <f>Statement!Q145</f>
        <v>0.40763556496705489</v>
      </c>
      <c r="I44" s="175">
        <f>Statement!AC145</f>
        <v>0.57728861575015422</v>
      </c>
    </row>
    <row r="45" spans="2:9" x14ac:dyDescent="0.2">
      <c r="B45" s="20" t="s">
        <v>253</v>
      </c>
      <c r="C45" s="175">
        <f>Statement!M146</f>
        <v>3.5537943831179045E-2</v>
      </c>
      <c r="D45" s="175">
        <f>Statement!N146</f>
        <v>7.691549254113958E-2</v>
      </c>
      <c r="E45" s="175">
        <f>Statement!O146</f>
        <v>0.17428733781608108</v>
      </c>
      <c r="F45" s="175">
        <f>Statement!P146</f>
        <v>0.22731943185252343</v>
      </c>
      <c r="G45" s="175">
        <f>Statement!Q146</f>
        <v>5.7489871457197606E-3</v>
      </c>
      <c r="I45" s="175">
        <f>Statement!AC146</f>
        <v>0.14164629549244934</v>
      </c>
    </row>
    <row r="46" spans="2:9" x14ac:dyDescent="0.2">
      <c r="B46" s="20" t="s">
        <v>247</v>
      </c>
      <c r="C46" s="175">
        <f>Statement!M147</f>
        <v>1.6083315126356419</v>
      </c>
      <c r="D46" s="175">
        <f>Statement!N147</f>
        <v>1.1936868294199969</v>
      </c>
      <c r="E46" s="175">
        <f>Statement!O147</f>
        <v>1.2214379923715823</v>
      </c>
      <c r="F46" s="175">
        <f>Statement!P147</f>
        <v>0.86701620591039086</v>
      </c>
      <c r="G46" s="175">
        <f>Statement!Q147</f>
        <v>1.5761520190023752</v>
      </c>
      <c r="I46" s="175">
        <f>Statement!AC147</f>
        <v>1.1822259601906364</v>
      </c>
    </row>
    <row r="47" spans="2:9" x14ac:dyDescent="0.2">
      <c r="B47" s="20" t="s">
        <v>248</v>
      </c>
      <c r="C47" s="175">
        <f>Statement!M148</f>
        <v>2.1017405869929355</v>
      </c>
      <c r="D47" s="175">
        <f>Statement!N148</f>
        <v>1.5676255636759446</v>
      </c>
      <c r="E47" s="175">
        <f>Statement!O148</f>
        <v>1.5424018821516416</v>
      </c>
      <c r="F47" s="175">
        <f>Statement!P148</f>
        <v>1.3268659227275277</v>
      </c>
      <c r="G47" s="175">
        <f>Statement!Q148</f>
        <v>2.0170387965162311</v>
      </c>
      <c r="I47" s="175">
        <f>Statement!AC148</f>
        <v>1.6039529015979814</v>
      </c>
    </row>
    <row r="48" spans="2:9" x14ac:dyDescent="0.2">
      <c r="B48" s="20" t="s">
        <v>254</v>
      </c>
      <c r="C48" s="177" t="str">
        <f>Statement!M149</f>
        <v>N/A</v>
      </c>
      <c r="D48" s="177" t="str">
        <f>Statement!N149</f>
        <v>N/A</v>
      </c>
      <c r="E48" s="177" t="str">
        <f>Statement!O149</f>
        <v>N/A</v>
      </c>
      <c r="F48" s="177" t="str">
        <f>Statement!P149</f>
        <v>N/A</v>
      </c>
      <c r="G48" s="177" t="str">
        <f>Statement!Q149</f>
        <v>N/A</v>
      </c>
      <c r="I48" s="177" t="str">
        <f>Statement!AC149</f>
        <v>N/A</v>
      </c>
    </row>
    <row r="50" spans="2:9" ht="17" thickBot="1" x14ac:dyDescent="0.25">
      <c r="B50" s="14" t="s">
        <v>263</v>
      </c>
      <c r="C50" s="14"/>
      <c r="D50" s="14"/>
      <c r="E50" s="14"/>
      <c r="F50" s="14"/>
      <c r="G50" s="14"/>
      <c r="I50" s="14"/>
    </row>
    <row r="51" spans="2:9" x14ac:dyDescent="0.2">
      <c r="B51" s="20" t="s">
        <v>261</v>
      </c>
      <c r="C51" s="170">
        <f>Statement!M162</f>
        <v>9.471837848372637E-2</v>
      </c>
      <c r="D51" s="170">
        <f>Statement!N162</f>
        <v>7.3401437760121077E-2</v>
      </c>
      <c r="E51" s="170">
        <f>Statement!O162</f>
        <v>7.9601990049751256E-3</v>
      </c>
      <c r="F51" s="170">
        <f>Statement!P162</f>
        <v>-0.21576354679802953</v>
      </c>
      <c r="G51" s="170">
        <f>Statement!Q162</f>
        <v>-1.6574585635359114E-3</v>
      </c>
      <c r="I51" s="170">
        <f ca="1">Statement!AC162</f>
        <v>-2.0818944252590038E-2</v>
      </c>
    </row>
    <row r="52" spans="2:9" x14ac:dyDescent="0.2">
      <c r="B52" s="20" t="s">
        <v>264</v>
      </c>
      <c r="C52" s="170">
        <f>Statement!M161</f>
        <v>4.1263521617131038E-2</v>
      </c>
      <c r="D52" s="170">
        <f>Statement!N161</f>
        <v>-0.11426372932609277</v>
      </c>
      <c r="E52" s="170">
        <f>Statement!O161</f>
        <v>-8.1980684811237922E-2</v>
      </c>
      <c r="F52" s="170">
        <f>Statement!P161</f>
        <v>-0.21690804218478027</v>
      </c>
      <c r="G52" s="170">
        <f>Statement!Q161</f>
        <v>-4.0830886134753538E-2</v>
      </c>
      <c r="I52" s="170">
        <f ca="1">Statement!AC161</f>
        <v>-2.1996856865308032E-2</v>
      </c>
    </row>
    <row r="53" spans="2:9" x14ac:dyDescent="0.2">
      <c r="B53" s="20" t="s">
        <v>262</v>
      </c>
      <c r="C53" s="170">
        <f>Statement!M163</f>
        <v>2.7090235821477293E-2</v>
      </c>
      <c r="D53" s="170">
        <f>Statement!N163</f>
        <v>5.5240257283390083E-2</v>
      </c>
      <c r="E53" s="170">
        <f>Statement!O163</f>
        <v>1.472636815920398E-2</v>
      </c>
      <c r="F53" s="170">
        <f>Statement!P163</f>
        <v>1.8719211822660099E-2</v>
      </c>
      <c r="G53" s="170">
        <f>Statement!Q163</f>
        <v>0</v>
      </c>
      <c r="I53" s="170">
        <f ca="1">Statement!AC163</f>
        <v>0</v>
      </c>
    </row>
    <row r="54" spans="2:9" x14ac:dyDescent="0.2">
      <c r="B54" s="20" t="s">
        <v>287</v>
      </c>
      <c r="C54" s="170">
        <f>Statement!M164</f>
        <v>1.1471325510000168E-2</v>
      </c>
      <c r="D54" s="170">
        <f>Statement!N164</f>
        <v>0</v>
      </c>
      <c r="E54" s="170">
        <f>Statement!O164</f>
        <v>0</v>
      </c>
      <c r="F54" s="170">
        <f>Statement!P164</f>
        <v>0</v>
      </c>
      <c r="G54" s="170">
        <f>Statement!Q164</f>
        <v>0</v>
      </c>
      <c r="I54" s="170">
        <f ca="1">Statement!AC164</f>
        <v>0</v>
      </c>
    </row>
    <row r="55" spans="2:9" x14ac:dyDescent="0.2">
      <c r="B55" s="20" t="s">
        <v>289</v>
      </c>
      <c r="C55" s="170">
        <f>Statement!M165</f>
        <v>3.8280501981404286E-2</v>
      </c>
      <c r="D55" s="170">
        <f>Statement!N165</f>
        <v>5.4648662953072684E-2</v>
      </c>
      <c r="E55" s="170">
        <f>Statement!O165</f>
        <v>1.4459467369037167E-2</v>
      </c>
      <c r="F55" s="170">
        <f>Statement!P165</f>
        <v>1.8191333234735322E-2</v>
      </c>
      <c r="G55" s="170">
        <f>Statement!Q165</f>
        <v>0</v>
      </c>
      <c r="I55" s="170">
        <f ca="1">Statement!AC165</f>
        <v>3.1278767565698128E-3</v>
      </c>
    </row>
    <row r="57" spans="2:9" ht="17" thickBot="1" x14ac:dyDescent="0.25">
      <c r="B57" s="14" t="s">
        <v>266</v>
      </c>
      <c r="C57" s="14"/>
      <c r="D57" s="14"/>
      <c r="E57" s="14"/>
      <c r="F57" s="14"/>
      <c r="G57" s="14"/>
      <c r="I57" s="14"/>
    </row>
    <row r="58" spans="2:9" x14ac:dyDescent="0.2">
      <c r="B58" s="20" t="s">
        <v>265</v>
      </c>
      <c r="C58" s="170">
        <f>Statement!M168</f>
        <v>0.64970645792563597</v>
      </c>
      <c r="D58" s="170">
        <f>Statement!N168</f>
        <v>-0.47826780445011563</v>
      </c>
      <c r="E58" s="170">
        <f>Statement!O168</f>
        <v>-0.1763765135937857</v>
      </c>
      <c r="F58" s="170">
        <f>Statement!P168</f>
        <v>-8.3866568761145496E-2</v>
      </c>
      <c r="G58" s="170">
        <f>Statement!Q168</f>
        <v>0</v>
      </c>
      <c r="I58" s="170">
        <f>Statement!AC168</f>
        <v>-0.14219653179190753</v>
      </c>
    </row>
    <row r="59" spans="2:9" x14ac:dyDescent="0.2">
      <c r="B59" s="20" t="s">
        <v>267</v>
      </c>
      <c r="C59" s="170">
        <f>Statement!M169</f>
        <v>0.27800161160354553</v>
      </c>
      <c r="D59" s="170">
        <f>Statement!N169</f>
        <v>0</v>
      </c>
      <c r="E59" s="170">
        <f>Statement!O169</f>
        <v>0</v>
      </c>
      <c r="F59" s="170">
        <f>Statement!P169</f>
        <v>0</v>
      </c>
      <c r="G59" s="170">
        <f>Statement!Q169</f>
        <v>0</v>
      </c>
      <c r="I59" s="170">
        <f>Statement!AC169</f>
        <v>0</v>
      </c>
    </row>
    <row r="60" spans="2:9" x14ac:dyDescent="0.2">
      <c r="B60" s="20" t="s">
        <v>268</v>
      </c>
      <c r="C60" s="170">
        <f>Statement!M170</f>
        <v>0.9277080695291815</v>
      </c>
      <c r="D60" s="170">
        <f>Statement!N170</f>
        <v>-0.47826780445011563</v>
      </c>
      <c r="E60" s="170">
        <f>Statement!O170</f>
        <v>-0.1763765135937857</v>
      </c>
      <c r="F60" s="170">
        <f>Statement!P170</f>
        <v>-8.3866568761145496E-2</v>
      </c>
      <c r="G60" s="170">
        <f>Statement!Q170</f>
        <v>0</v>
      </c>
      <c r="I60" s="170">
        <f>Statement!AC170</f>
        <v>-0.14219653179190753</v>
      </c>
    </row>
    <row r="62" spans="2:9" ht="17" thickBot="1" x14ac:dyDescent="0.25">
      <c r="B62" s="14" t="s">
        <v>274</v>
      </c>
      <c r="C62" s="14"/>
      <c r="D62" s="14"/>
      <c r="E62" s="14"/>
      <c r="F62" s="14"/>
      <c r="G62" s="14"/>
      <c r="I62" s="14"/>
    </row>
    <row r="63" spans="2:9" x14ac:dyDescent="0.2">
      <c r="B63" s="20" t="s">
        <v>272</v>
      </c>
      <c r="C63" s="170">
        <f>Statement!M171</f>
        <v>4.874482086278333E-4</v>
      </c>
      <c r="D63" s="170">
        <f>Statement!N171</f>
        <v>4.8169556840077071E-4</v>
      </c>
      <c r="E63" s="170">
        <f>Statement!O171</f>
        <v>4.7058823529411766E-4</v>
      </c>
      <c r="F63" s="170">
        <f>Statement!P171</f>
        <v>4.6189376443418013E-4</v>
      </c>
      <c r="G63" s="170">
        <f>Statement!Q171</f>
        <v>6.0060060060060057E-4</v>
      </c>
      <c r="I63" s="170">
        <f>Statement!AC171</f>
        <v>5.947660586835844E-4</v>
      </c>
    </row>
    <row r="65" spans="2:9" ht="17" thickBot="1" x14ac:dyDescent="0.25">
      <c r="B65" s="14" t="s">
        <v>280</v>
      </c>
      <c r="C65" s="14"/>
      <c r="D65" s="14"/>
      <c r="E65" s="14"/>
      <c r="F65" s="14"/>
      <c r="G65" s="14"/>
      <c r="I65" s="14"/>
    </row>
    <row r="66" spans="2:9" x14ac:dyDescent="0.2">
      <c r="B66" s="20" t="s">
        <v>273</v>
      </c>
      <c r="C66" s="169">
        <f>Statement!M172</f>
        <v>8.524312377210217</v>
      </c>
      <c r="D66" s="169">
        <f>Statement!N172</f>
        <v>8.2789460962049795</v>
      </c>
      <c r="E66" s="169">
        <f>Statement!O172</f>
        <v>7.2996688741721858</v>
      </c>
      <c r="F66" s="169">
        <f>Statement!P172</f>
        <v>6.3383371824480372</v>
      </c>
      <c r="G66" s="169">
        <f>Statement!Q172</f>
        <v>9.1947947947947952</v>
      </c>
      <c r="I66" s="169">
        <f>Statement!AC172</f>
        <v>7.5608643933386199</v>
      </c>
    </row>
    <row r="67" spans="2:9" x14ac:dyDescent="0.2">
      <c r="B67" s="20" t="s">
        <v>281</v>
      </c>
      <c r="C67" s="169">
        <f>Statement!M175</f>
        <v>-0.83251473477406679</v>
      </c>
      <c r="D67" s="169">
        <f>Statement!N175</f>
        <v>-1.8856659415035049</v>
      </c>
      <c r="E67" s="169">
        <f>Statement!O175</f>
        <v>-4.3526490066225163</v>
      </c>
      <c r="F67" s="169">
        <f>Statement!P175</f>
        <v>-5.2115473441108549</v>
      </c>
      <c r="G67" s="169">
        <f>Statement!Q175</f>
        <v>-0.13153153153153152</v>
      </c>
      <c r="I67" s="169">
        <f>Statement!AC175</f>
        <v>-2.4583663758921492</v>
      </c>
    </row>
    <row r="68" spans="2:9" x14ac:dyDescent="0.2">
      <c r="B68" s="20" t="s">
        <v>286</v>
      </c>
      <c r="C68" s="191">
        <f>Statement!M176</f>
        <v>-1.6102605995403963E-2</v>
      </c>
      <c r="D68" s="191">
        <f>Statement!N176</f>
        <v>-7.1087913906439884E-2</v>
      </c>
      <c r="E68" s="191">
        <f>Statement!O176</f>
        <v>-8.617149546385719E-2</v>
      </c>
      <c r="F68" s="191">
        <f>Statement!P176</f>
        <v>-0.25672647015324407</v>
      </c>
      <c r="G68" s="191">
        <f>Statement!Q176</f>
        <v>-3.6334677218655118E-3</v>
      </c>
      <c r="I68" s="191">
        <f ca="1">Statement!AC176</f>
        <v>-2.425620499153576E-2</v>
      </c>
    </row>
    <row r="70" spans="2:9" ht="17" thickBot="1" x14ac:dyDescent="0.25">
      <c r="B70" s="14" t="s">
        <v>301</v>
      </c>
      <c r="C70" s="14"/>
      <c r="D70" s="14"/>
      <c r="E70" s="14"/>
      <c r="F70" s="14"/>
      <c r="G70" s="14"/>
      <c r="I70" s="14"/>
    </row>
    <row r="71" spans="2:9" x14ac:dyDescent="0.2">
      <c r="B71" s="20" t="s">
        <v>275</v>
      </c>
      <c r="C71" s="170">
        <f>Statement!M173</f>
        <v>6.9120043454644217E-2</v>
      </c>
      <c r="D71" s="170">
        <f>Statement!N173</f>
        <v>0.20268256333830104</v>
      </c>
      <c r="E71" s="170">
        <f>Statement!O173</f>
        <v>0.28149245924505273</v>
      </c>
      <c r="F71" s="170">
        <f>Statement!P173</f>
        <v>0.41143822393822393</v>
      </c>
      <c r="G71" s="170">
        <f>Statement!Q173</f>
        <v>0.25100546560791998</v>
      </c>
      <c r="I71" s="170">
        <f>Statement!AC173</f>
        <v>0.24905744067420715</v>
      </c>
    </row>
    <row r="72" spans="2:9" x14ac:dyDescent="0.2">
      <c r="B72" s="20" t="s">
        <v>276</v>
      </c>
      <c r="C72" s="170">
        <f>Statement!M174</f>
        <v>2.5764324762097592E-2</v>
      </c>
      <c r="D72" s="170">
        <f>Statement!N174</f>
        <v>4.9608272274558315E-2</v>
      </c>
      <c r="E72" s="170">
        <f>Statement!O174</f>
        <v>5.9544884561481153E-2</v>
      </c>
      <c r="F72" s="170">
        <f>Statement!P174</f>
        <v>6.4217246379540877E-2</v>
      </c>
      <c r="G72" s="170">
        <f>Statement!Q174</f>
        <v>4.6052258149963103E-2</v>
      </c>
      <c r="I72" s="170">
        <f>Statement!AC174</f>
        <v>5.9072099873755085E-2</v>
      </c>
    </row>
    <row r="74" spans="2:9" ht="17" thickBot="1" x14ac:dyDescent="0.25">
      <c r="B74" s="14" t="s">
        <v>302</v>
      </c>
      <c r="C74" s="14"/>
      <c r="D74" s="14"/>
      <c r="E74" s="14"/>
      <c r="F74" s="14"/>
      <c r="G74" s="14"/>
      <c r="I74" s="14"/>
    </row>
    <row r="75" spans="2:9" x14ac:dyDescent="0.2">
      <c r="B75" s="20" t="s">
        <v>299</v>
      </c>
      <c r="C75" s="170">
        <f>Statement!M177</f>
        <v>0.23705456570155903</v>
      </c>
      <c r="D75" s="170">
        <f>Statement!N177</f>
        <v>0.39401148222158783</v>
      </c>
      <c r="E75" s="170">
        <f>Statement!O177</f>
        <v>0.4748469425389098</v>
      </c>
      <c r="F75" s="170">
        <f>Statement!P177</f>
        <v>0.45091429539933336</v>
      </c>
      <c r="G75" s="170">
        <f>Statement!Q177</f>
        <v>0.27710820577829071</v>
      </c>
      <c r="I75" s="170">
        <f>Statement!AC177</f>
        <v>0.37528054425585639</v>
      </c>
    </row>
    <row r="76" spans="2:9" x14ac:dyDescent="0.2">
      <c r="B76" s="20" t="s">
        <v>296</v>
      </c>
      <c r="C76" s="170">
        <f>Statement!M178</f>
        <v>0.63596550787615425</v>
      </c>
      <c r="D76" s="170">
        <f>Statement!N178</f>
        <v>1.6097971878442299</v>
      </c>
      <c r="E76" s="170">
        <f>Statement!O178</f>
        <v>2.2447912126231366</v>
      </c>
      <c r="F76" s="170">
        <f>Statement!P178</f>
        <v>2.8889961389961392</v>
      </c>
      <c r="G76" s="170">
        <f>Statement!Q178</f>
        <v>1.5103640301124059</v>
      </c>
      <c r="I76" s="170">
        <f>Statement!AC178</f>
        <v>1.5822429215642788</v>
      </c>
    </row>
    <row r="77" spans="2:9" x14ac:dyDescent="0.2">
      <c r="B77" s="20" t="s">
        <v>297</v>
      </c>
      <c r="C77" s="170">
        <f>Statement!M179</f>
        <v>1.5886194029850746</v>
      </c>
      <c r="D77" s="170">
        <f>Statement!N179</f>
        <v>1.9059455312619868</v>
      </c>
      <c r="E77" s="170">
        <f>Statement!O179</f>
        <v>2.6817329722974379</v>
      </c>
      <c r="F77" s="170">
        <f>Statement!P179</f>
        <v>2.1042270849811056</v>
      </c>
      <c r="G77" s="170">
        <f>Statement!Q179</f>
        <v>1.2511532547411583</v>
      </c>
      <c r="I77" s="170">
        <f>Statement!AC179</f>
        <v>1.7758878194490542</v>
      </c>
    </row>
    <row r="79" spans="2:9" ht="17" thickBot="1" x14ac:dyDescent="0.25">
      <c r="B79" s="14" t="s">
        <v>117</v>
      </c>
      <c r="C79" s="14"/>
      <c r="D79" s="14"/>
      <c r="E79" s="14"/>
      <c r="F79" s="14"/>
      <c r="G79" s="14"/>
      <c r="I79" s="14"/>
    </row>
    <row r="80" spans="2:9" x14ac:dyDescent="0.2">
      <c r="B80" s="20" t="s">
        <v>19</v>
      </c>
      <c r="C80" s="170">
        <f>Statement!M89</f>
        <v>1</v>
      </c>
      <c r="D80" s="170">
        <f>Statement!N89</f>
        <v>-0.20209050415063778</v>
      </c>
      <c r="E80" s="170">
        <f>Statement!O89</f>
        <v>-0.13997525930155105</v>
      </c>
      <c r="F80" s="170">
        <f>Statement!P89</f>
        <v>-2.0782621523935976E-2</v>
      </c>
      <c r="G80" s="170">
        <f>Statement!Q89</f>
        <v>-4.6703451912393362E-3</v>
      </c>
      <c r="I80" s="192"/>
    </row>
    <row r="81" spans="2:9" x14ac:dyDescent="0.2">
      <c r="B81" s="20" t="s">
        <v>20</v>
      </c>
      <c r="C81" s="170">
        <f>Statement!M90</f>
        <v>1</v>
      </c>
      <c r="D81" s="170">
        <f>Statement!N90</f>
        <v>2.7805390667158966E-2</v>
      </c>
      <c r="E81" s="170">
        <f>Statement!O90</f>
        <v>-0.10144246711617111</v>
      </c>
      <c r="F81" s="170">
        <f>Statement!P90</f>
        <v>9.9609435064735366E-2</v>
      </c>
      <c r="G81" s="170">
        <f>Statement!Q90</f>
        <v>-3.5742253048439421E-2</v>
      </c>
      <c r="I81" s="192"/>
    </row>
    <row r="82" spans="2:9" x14ac:dyDescent="0.2">
      <c r="B82" s="20" t="s">
        <v>21</v>
      </c>
      <c r="C82" s="170">
        <f>Statement!M91</f>
        <v>1</v>
      </c>
      <c r="D82" s="170">
        <f>Statement!N91</f>
        <v>-0.38683099395184295</v>
      </c>
      <c r="E82" s="170">
        <f>Statement!O91</f>
        <v>-0.19187821037742872</v>
      </c>
      <c r="F82" s="170">
        <f>Statement!P91</f>
        <v>-0.20109621850674772</v>
      </c>
      <c r="G82" s="170">
        <f>Statement!Q91</f>
        <v>5.9383107523782071E-2</v>
      </c>
      <c r="I82" s="192"/>
    </row>
    <row r="83" spans="2:9" x14ac:dyDescent="0.2">
      <c r="B83" s="20" t="s">
        <v>23</v>
      </c>
      <c r="C83" s="170">
        <f>Statement!M95</f>
        <v>1</v>
      </c>
      <c r="D83" s="170">
        <f>Statement!N95</f>
        <v>7.1020977872654871E-3</v>
      </c>
      <c r="E83" s="170">
        <f>Statement!O95</f>
        <v>-0.11878362954508397</v>
      </c>
      <c r="F83" s="170">
        <f>Statement!P95</f>
        <v>0.34253862521972428</v>
      </c>
      <c r="G83" s="170">
        <f>Statement!Q95</f>
        <v>-0.29059711263480686</v>
      </c>
      <c r="I83" s="192"/>
    </row>
    <row r="84" spans="2:9" x14ac:dyDescent="0.2">
      <c r="B84" s="20" t="s">
        <v>303</v>
      </c>
      <c r="C84" s="170">
        <f>Statement!M96</f>
        <v>1</v>
      </c>
      <c r="D84" s="170">
        <f>Statement!N96</f>
        <v>-0.88003700657894735</v>
      </c>
      <c r="E84" s="170">
        <f>Statement!O96</f>
        <v>-0.96015424164524421</v>
      </c>
      <c r="F84" s="170">
        <f>Statement!P96</f>
        <v>-126.56989247311827</v>
      </c>
      <c r="G84" s="170">
        <f>Statement!Q96</f>
        <v>0.81041274190786095</v>
      </c>
      <c r="I84" s="192"/>
    </row>
    <row r="85" spans="2:9" x14ac:dyDescent="0.2">
      <c r="B85" s="20" t="s">
        <v>304</v>
      </c>
      <c r="C85" s="170">
        <f>Statement!M98</f>
        <v>1</v>
      </c>
      <c r="D85" s="170">
        <f>Statement!N98</f>
        <v>-0.59663780954298373</v>
      </c>
      <c r="E85" s="170">
        <f>Statement!O98</f>
        <v>-0.78924382330920884</v>
      </c>
      <c r="F85" s="170">
        <f>Statement!P98</f>
        <v>-12.104795737122558</v>
      </c>
      <c r="G85" s="170">
        <f>Statement!Q98</f>
        <v>0.98576455534229046</v>
      </c>
      <c r="I85" s="192"/>
    </row>
    <row r="88" spans="2:9" ht="17" thickBot="1" x14ac:dyDescent="0.25">
      <c r="B88" s="14" t="s">
        <v>305</v>
      </c>
      <c r="C88" s="14"/>
      <c r="D88" s="14"/>
      <c r="E88" s="14"/>
      <c r="F88" s="14"/>
      <c r="G88" s="14"/>
      <c r="I88" s="14"/>
    </row>
    <row r="89" spans="2:9" x14ac:dyDescent="0.2">
      <c r="B89" s="211" t="s">
        <v>348</v>
      </c>
      <c r="C89" s="170">
        <f>Statement!M201</f>
        <v>1</v>
      </c>
      <c r="D89" s="170">
        <f>Statement!N201</f>
        <v>-0.22657676298045326</v>
      </c>
      <c r="E89" s="170">
        <f>Statement!O201</f>
        <v>-7.9155257608661447E-2</v>
      </c>
      <c r="F89" s="170">
        <f>Statement!P201</f>
        <v>0.139722469068289</v>
      </c>
      <c r="G89" s="170">
        <f>Statement!Q201</f>
        <v>-3.3527259641336293E-2</v>
      </c>
      <c r="I89" s="192"/>
    </row>
    <row r="90" spans="2:9" x14ac:dyDescent="0.2">
      <c r="B90" s="211" t="s">
        <v>349</v>
      </c>
      <c r="C90" s="170">
        <f>Statement!M202</f>
        <v>1</v>
      </c>
      <c r="D90" s="170">
        <f>Statement!N202</f>
        <v>-8.4923946253162061E-2</v>
      </c>
      <c r="E90" s="170">
        <f>Statement!O202</f>
        <v>-0.23547784878293962</v>
      </c>
      <c r="F90" s="170">
        <f>Statement!P202</f>
        <v>-0.242779995304062</v>
      </c>
      <c r="G90" s="170">
        <f>Statement!Q202</f>
        <v>4.9240310077519382E-2</v>
      </c>
      <c r="I90" s="192"/>
    </row>
    <row r="91" spans="2:9" x14ac:dyDescent="0.2">
      <c r="B91" s="20" t="s">
        <v>350</v>
      </c>
      <c r="C91" s="170">
        <f>Statement!M203</f>
        <v>1</v>
      </c>
      <c r="D91" s="170">
        <f>Statement!N203</f>
        <v>-0.16628914988814317</v>
      </c>
      <c r="E91" s="170">
        <f>Statement!O203</f>
        <v>-0.1521793818236705</v>
      </c>
      <c r="F91" s="170">
        <f>Statement!P203</f>
        <v>-2.1403279726227919E-2</v>
      </c>
      <c r="G91" s="170">
        <f>Statement!Q203</f>
        <v>-6.5492915041135214E-3</v>
      </c>
      <c r="I91" s="192"/>
    </row>
    <row r="92" spans="2:9" x14ac:dyDescent="0.2">
      <c r="B92" s="20" t="s">
        <v>351</v>
      </c>
      <c r="C92" s="170">
        <f>Statement!M204</f>
        <v>1</v>
      </c>
      <c r="D92" s="170">
        <f>Statement!N204</f>
        <v>0.35158501440922191</v>
      </c>
      <c r="E92" s="170">
        <f>Statement!O204</f>
        <v>1.0298507462686568</v>
      </c>
      <c r="F92" s="170">
        <f>Statement!P204</f>
        <v>17.190126050420169</v>
      </c>
      <c r="G92" s="170">
        <f>Statement!Q204</f>
        <v>2.9393081942599757E-2</v>
      </c>
      <c r="I92" s="192"/>
    </row>
    <row r="93" spans="2:9" x14ac:dyDescent="0.2">
      <c r="B93" s="20" t="s">
        <v>352</v>
      </c>
      <c r="C93" s="170">
        <f>Statement!M205</f>
        <v>1</v>
      </c>
      <c r="D93" s="170">
        <f>Statement!N205</f>
        <v>-0.58669833729216148</v>
      </c>
      <c r="E93" s="170">
        <f>Statement!O205</f>
        <v>-7.9445571331981074E-2</v>
      </c>
      <c r="F93" s="170">
        <f>Statement!P205</f>
        <v>0.32243848696290855</v>
      </c>
      <c r="G93" s="170">
        <f>Statement!Q205</f>
        <v>-1.0552624271035824E-2</v>
      </c>
      <c r="I93" s="192"/>
    </row>
    <row r="95" spans="2:9" ht="17" thickBot="1" x14ac:dyDescent="0.25">
      <c r="B95" s="14" t="s">
        <v>307</v>
      </c>
      <c r="C95" s="14"/>
      <c r="D95" s="14"/>
      <c r="E95" s="14"/>
      <c r="F95" s="14"/>
      <c r="G95" s="14"/>
      <c r="I95" s="14"/>
    </row>
    <row r="96" spans="2:9" x14ac:dyDescent="0.2">
      <c r="B96" s="20" t="s">
        <v>279</v>
      </c>
      <c r="C96" s="170">
        <f>Statement!M209</f>
        <v>-1</v>
      </c>
      <c r="D96" s="170">
        <f>Statement!N209</f>
        <v>6.2544294826364283E-2</v>
      </c>
      <c r="E96" s="170">
        <f>Statement!O209</f>
        <v>-0.48507587126896784</v>
      </c>
      <c r="F96" s="170">
        <f>Statement!P209</f>
        <v>-0.48218911917098445</v>
      </c>
      <c r="G96" s="170">
        <f>Statement!Q209</f>
        <v>-1</v>
      </c>
      <c r="I96" s="19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3F86-70CC-F54A-91FC-45975067BFCE}">
  <dimension ref="B1:G33"/>
  <sheetViews>
    <sheetView topLeftCell="A20" zoomScale="180" workbookViewId="0">
      <selection activeCell="F26" sqref="F26"/>
    </sheetView>
  </sheetViews>
  <sheetFormatPr baseColWidth="10" defaultRowHeight="16" x14ac:dyDescent="0.2"/>
  <cols>
    <col min="1" max="1" width="3.6640625" style="1" customWidth="1"/>
    <col min="2" max="2" width="25.83203125" style="1" customWidth="1"/>
    <col min="3" max="3" width="11.33203125" style="1" customWidth="1"/>
    <col min="4" max="4" width="11.83203125" style="1" customWidth="1"/>
    <col min="5" max="5" width="2.83203125" style="1" customWidth="1"/>
    <col min="6" max="6" width="11.6640625" style="1" customWidth="1"/>
    <col min="7" max="7" width="11.83203125" style="1" customWidth="1"/>
    <col min="8" max="16384" width="10.83203125" style="1"/>
  </cols>
  <sheetData>
    <row r="1" spans="2:7" ht="12" customHeight="1" x14ac:dyDescent="0.2"/>
    <row r="3" spans="2:7" x14ac:dyDescent="0.2">
      <c r="B3" s="8"/>
      <c r="C3" s="240" t="s">
        <v>308</v>
      </c>
      <c r="D3" s="241"/>
      <c r="F3" s="242" t="s">
        <v>309</v>
      </c>
      <c r="G3" s="241"/>
    </row>
    <row r="4" spans="2:7" x14ac:dyDescent="0.2">
      <c r="B4" s="8"/>
      <c r="C4" s="10" t="str">
        <f>Statement!Z2</f>
        <v>28.03.2026</v>
      </c>
      <c r="D4" s="198" t="str">
        <f>Statement!AA2</f>
        <v>27.06.2026</v>
      </c>
      <c r="F4" s="199" t="str">
        <f>Statement!W2</f>
        <v>28.06.2025</v>
      </c>
      <c r="G4" s="198" t="str">
        <f>Statement!AA2</f>
        <v>27.06.2026</v>
      </c>
    </row>
    <row r="5" spans="2:7" x14ac:dyDescent="0.2">
      <c r="B5" s="8" t="s">
        <v>314</v>
      </c>
      <c r="C5" s="10" t="str">
        <f>Statement!Z3</f>
        <v>Q1 2026</v>
      </c>
      <c r="D5" s="198" t="str">
        <f>Statement!AA3</f>
        <v>Q2 2026</v>
      </c>
      <c r="F5" s="199" t="str">
        <f>Statement!W3</f>
        <v>Q2 2025</v>
      </c>
      <c r="G5" s="198" t="str">
        <f>Statement!AA3</f>
        <v>Q2 2026</v>
      </c>
    </row>
    <row r="6" spans="2:7" x14ac:dyDescent="0.2">
      <c r="B6" s="200" t="s">
        <v>19</v>
      </c>
      <c r="C6" s="194">
        <f>Statement!Z5</f>
        <v>13577</v>
      </c>
      <c r="D6" s="193">
        <f>Statement!AA5</f>
        <v>16128</v>
      </c>
      <c r="F6" s="194">
        <f>Statement!W5</f>
        <v>12859</v>
      </c>
      <c r="G6" s="193">
        <f>Statement!AA5</f>
        <v>16128</v>
      </c>
    </row>
    <row r="7" spans="2:7" x14ac:dyDescent="0.2">
      <c r="B7" s="201" t="s">
        <v>310</v>
      </c>
      <c r="C7" s="243">
        <f>Statement!AA89</f>
        <v>0.18789128673491934</v>
      </c>
      <c r="D7" s="244"/>
      <c r="F7" s="243">
        <f>IF(F6=0,
IF(G6=0,0,IF(G6&gt;0,1,-1)),
(G6-F6)/ABS(F6)
)</f>
        <v>0.25421883505715842</v>
      </c>
      <c r="G7" s="244"/>
    </row>
    <row r="8" spans="2:7" x14ac:dyDescent="0.2">
      <c r="B8" s="202" t="s">
        <v>20</v>
      </c>
      <c r="C8" s="195">
        <f>Statement!Z6</f>
        <v>8230</v>
      </c>
      <c r="D8" s="193">
        <f>Statement!AA6</f>
        <v>9619</v>
      </c>
      <c r="F8" s="195">
        <f>Statement!W6</f>
        <v>9317</v>
      </c>
      <c r="G8" s="193">
        <f>Statement!AA6</f>
        <v>9619</v>
      </c>
    </row>
    <row r="9" spans="2:7" x14ac:dyDescent="0.2">
      <c r="B9" s="201" t="s">
        <v>310</v>
      </c>
      <c r="C9" s="243">
        <f>Statement!AA90</f>
        <v>0.16877278250303768</v>
      </c>
      <c r="D9" s="244"/>
      <c r="F9" s="243">
        <f>IF(F8=0,
IF(G8=0,0,IF(G8&gt;0,1,-1)),
(G8-F8)/ABS(F8)
)</f>
        <v>3.2413867124610925E-2</v>
      </c>
      <c r="G9" s="244"/>
    </row>
    <row r="10" spans="2:7" x14ac:dyDescent="0.2">
      <c r="B10" s="202" t="s">
        <v>21</v>
      </c>
      <c r="C10" s="195">
        <f>Statement!Z7</f>
        <v>5347</v>
      </c>
      <c r="D10" s="193">
        <f>Statement!AA7</f>
        <v>6509</v>
      </c>
      <c r="F10" s="195">
        <f>Statement!W7</f>
        <v>3542</v>
      </c>
      <c r="G10" s="193">
        <f>Statement!AA7</f>
        <v>6509</v>
      </c>
    </row>
    <row r="11" spans="2:7" x14ac:dyDescent="0.2">
      <c r="B11" s="201" t="s">
        <v>310</v>
      </c>
      <c r="C11" s="243">
        <f>Statement!AA91</f>
        <v>0.21731812231157657</v>
      </c>
      <c r="D11" s="244"/>
      <c r="F11" s="243">
        <f>IF(F10=0,
IF(G10=0,0,IF(G10&gt;0,1,-1)),
(G10-F10)/ABS(F10)
)</f>
        <v>0.83766233766233766</v>
      </c>
      <c r="G11" s="244"/>
    </row>
    <row r="12" spans="2:7" x14ac:dyDescent="0.2">
      <c r="B12" s="202" t="s">
        <v>23</v>
      </c>
      <c r="C12" s="195">
        <f>Statement!Z11</f>
        <v>8483</v>
      </c>
      <c r="D12" s="193">
        <f>Statement!AA11</f>
        <v>4713</v>
      </c>
      <c r="F12" s="195">
        <f>Statement!W11</f>
        <v>6718</v>
      </c>
      <c r="G12" s="193">
        <f>Statement!AA11</f>
        <v>4713</v>
      </c>
    </row>
    <row r="13" spans="2:7" x14ac:dyDescent="0.2">
      <c r="B13" s="201" t="s">
        <v>310</v>
      </c>
      <c r="C13" s="243">
        <f>Statement!AA95</f>
        <v>-0.44441824826122833</v>
      </c>
      <c r="D13" s="244"/>
      <c r="F13" s="243">
        <f>IF(F12=0,
IF(G12=0,0,IF(G12&gt;0,1,-1)),
(G12-F12)/ABS(F12)
)</f>
        <v>-0.29845192021434952</v>
      </c>
      <c r="G13" s="244"/>
    </row>
    <row r="14" spans="2:7" x14ac:dyDescent="0.2">
      <c r="B14" s="202" t="s">
        <v>311</v>
      </c>
      <c r="C14" s="195">
        <f>Statement!Z12</f>
        <v>-3136</v>
      </c>
      <c r="D14" s="193">
        <f>Statement!AA12</f>
        <v>1796</v>
      </c>
      <c r="F14" s="195">
        <f>Statement!W12</f>
        <v>-3176</v>
      </c>
      <c r="G14" s="193">
        <f>Statement!AA12</f>
        <v>1796</v>
      </c>
    </row>
    <row r="15" spans="2:7" x14ac:dyDescent="0.2">
      <c r="B15" s="201" t="s">
        <v>310</v>
      </c>
      <c r="C15" s="243">
        <f>Statement!AA96</f>
        <v>1.572704081632653</v>
      </c>
      <c r="D15" s="244"/>
      <c r="F15" s="243">
        <f>IF(F14=0,
IF(G14=0,0,IF(G14&gt;0,1,-1)),
(G14-F14)/ABS(F14)
)</f>
        <v>1.5654911838790933</v>
      </c>
      <c r="G15" s="244"/>
    </row>
    <row r="16" spans="2:7" x14ac:dyDescent="0.2">
      <c r="B16" s="202" t="s">
        <v>29</v>
      </c>
      <c r="C16" s="195">
        <f>Statement!Z18</f>
        <v>-3728</v>
      </c>
      <c r="D16" s="193">
        <f>Statement!AA18</f>
        <v>-11033</v>
      </c>
      <c r="F16" s="195">
        <f>Statement!W18</f>
        <v>-2918</v>
      </c>
      <c r="G16" s="193">
        <f>Statement!AA18</f>
        <v>-11033</v>
      </c>
    </row>
    <row r="17" spans="2:7" x14ac:dyDescent="0.2">
      <c r="B17" s="201" t="s">
        <v>310</v>
      </c>
      <c r="C17" s="243">
        <f>Statement!AA98</f>
        <v>-1.9594957081545064</v>
      </c>
      <c r="D17" s="244"/>
      <c r="F17" s="243">
        <f>IF(F16=0,
IF(G16=0,0,IF(G16&gt;0,1,-1)),
(G16-F16)/ABS(F16)
)</f>
        <v>-2.781014393420151</v>
      </c>
      <c r="G17" s="244"/>
    </row>
    <row r="18" spans="2:7" x14ac:dyDescent="0.2">
      <c r="B18" s="202" t="s">
        <v>312</v>
      </c>
      <c r="C18" s="195">
        <f>Statement!Z22</f>
        <v>5083</v>
      </c>
      <c r="D18" s="193">
        <f>Statement!AA22</f>
        <v>5104</v>
      </c>
      <c r="F18" s="195">
        <f>Statement!W22</f>
        <v>4369</v>
      </c>
      <c r="G18" s="193">
        <f>Statement!AA22</f>
        <v>5104</v>
      </c>
    </row>
    <row r="19" spans="2:7" x14ac:dyDescent="0.2">
      <c r="B19" s="201" t="s">
        <v>310</v>
      </c>
      <c r="C19" s="243">
        <f>IF(C18=0,
IF(D18=0,0,IF(D18&gt;0,1,-1)),
(D18-C18)/ABS(C18)
)</f>
        <v>4.1314184536690932E-3</v>
      </c>
      <c r="D19" s="244"/>
      <c r="F19" s="243">
        <f>IF(F18=0,
IF(G18=0,0,IF(G18&gt;0,1,-1)),
(G18-F18)/ABS(F18)
)</f>
        <v>0.16823071641107806</v>
      </c>
      <c r="G19" s="244"/>
    </row>
    <row r="20" spans="2:7" x14ac:dyDescent="0.2">
      <c r="B20" s="202" t="s">
        <v>36</v>
      </c>
      <c r="C20" s="196">
        <f>Statement!Z26</f>
        <v>-0.73</v>
      </c>
      <c r="D20" s="197">
        <f>Statement!AA26</f>
        <v>-2.16</v>
      </c>
      <c r="F20" s="196">
        <f>Statement!W26</f>
        <v>-0.67</v>
      </c>
      <c r="G20" s="197">
        <f>Statement!AA26</f>
        <v>-2.16</v>
      </c>
    </row>
    <row r="21" spans="2:7" x14ac:dyDescent="0.2">
      <c r="B21" s="201" t="s">
        <v>310</v>
      </c>
      <c r="C21" s="243">
        <f>IF(C20=0,
IF(D20=0,0,IF(D20&gt;0,1,-1)),
(D20-C20)/ABS(C20)
)</f>
        <v>-1.9589041095890414</v>
      </c>
      <c r="D21" s="244"/>
      <c r="F21" s="243">
        <f>IF(F20=0,
IF(G20=0,0,IF(G20&gt;0,1,-1)),
(G20-F20)/ABS(F20)
)</f>
        <v>-2.2238805970149254</v>
      </c>
      <c r="G21" s="244"/>
    </row>
    <row r="23" spans="2:7" x14ac:dyDescent="0.2">
      <c r="B23" s="8" t="s">
        <v>313</v>
      </c>
      <c r="C23" s="10" t="str">
        <f>C5</f>
        <v>Q1 2026</v>
      </c>
      <c r="D23" s="198" t="str">
        <f>D5</f>
        <v>Q2 2026</v>
      </c>
      <c r="F23" s="199" t="str">
        <f>F5</f>
        <v>Q2 2025</v>
      </c>
      <c r="G23" s="198" t="str">
        <f>G5</f>
        <v>Q2 2026</v>
      </c>
    </row>
    <row r="24" spans="2:7" x14ac:dyDescent="0.2">
      <c r="B24" s="20" t="s">
        <v>348</v>
      </c>
      <c r="C24" s="195">
        <f>Statement!Z187</f>
        <v>7727</v>
      </c>
      <c r="D24" s="193">
        <f>Statement!AA187</f>
        <v>8877</v>
      </c>
      <c r="F24" s="195">
        <f>Statement!W187</f>
        <v>7871</v>
      </c>
      <c r="G24" s="193">
        <f>Statement!AA187</f>
        <v>8877</v>
      </c>
    </row>
    <row r="25" spans="2:7" x14ac:dyDescent="0.2">
      <c r="B25" s="201" t="s">
        <v>310</v>
      </c>
      <c r="C25" s="243">
        <f>IF(C24=0,
IF(D24=0,0,IF(D24&gt;0,1,-1)),
(D24-C24)/ABS(C24)
)</f>
        <v>0.14882878219231266</v>
      </c>
      <c r="D25" s="244"/>
      <c r="F25" s="243">
        <f>IF(F24=0,
IF(G24=0,0,IF(G24&gt;0,1,-1)),
(G24-F24)/ABS(F24)
)</f>
        <v>0.12781095159446068</v>
      </c>
      <c r="G25" s="244"/>
    </row>
    <row r="26" spans="2:7" x14ac:dyDescent="0.2">
      <c r="B26" s="20" t="s">
        <v>349</v>
      </c>
      <c r="C26" s="195">
        <f>Statement!Z188</f>
        <v>5052</v>
      </c>
      <c r="D26" s="193">
        <f>Statement!AA188</f>
        <v>6262</v>
      </c>
      <c r="F26" s="195">
        <f>Statement!W188</f>
        <v>3939</v>
      </c>
      <c r="G26" s="193">
        <f>Statement!AA188</f>
        <v>6262</v>
      </c>
    </row>
    <row r="27" spans="2:7" x14ac:dyDescent="0.2">
      <c r="B27" s="201" t="s">
        <v>310</v>
      </c>
      <c r="C27" s="243">
        <f>IF(C26=0,
IF(D26=0,0,IF(D26&gt;0,1,-1)),
(D26-C26)/ABS(C26)
)</f>
        <v>0.23950910530482977</v>
      </c>
      <c r="D27" s="244"/>
      <c r="F27" s="243">
        <f>IF(F26=0,
IF(G26=0,0,IF(G26&gt;0,1,-1)),
(G26-F26)/ABS(F26)
)</f>
        <v>0.58974358974358976</v>
      </c>
      <c r="G27" s="244"/>
    </row>
    <row r="28" spans="2:7" x14ac:dyDescent="0.2">
      <c r="B28" s="20" t="s">
        <v>350</v>
      </c>
      <c r="C28" s="195">
        <f>Statement!Z189</f>
        <v>12779</v>
      </c>
      <c r="D28" s="193">
        <f>Statement!AA189</f>
        <v>15139</v>
      </c>
      <c r="F28" s="195">
        <f>Statement!W189</f>
        <v>11810</v>
      </c>
      <c r="G28" s="193">
        <f>Statement!AA189</f>
        <v>15139</v>
      </c>
    </row>
    <row r="29" spans="2:7" x14ac:dyDescent="0.2">
      <c r="B29" s="201" t="s">
        <v>310</v>
      </c>
      <c r="C29" s="243">
        <f>IF(C28=0,
IF(D28=0,0,IF(D28&gt;0,1,-1)),
(D28-C28)/ABS(C28)
)</f>
        <v>0.18467798732295171</v>
      </c>
      <c r="D29" s="244"/>
      <c r="F29" s="243">
        <f>IF(F28=0,
IF(G28=0,0,IF(G28&gt;0,1,-1)),
(G28-F28)/ABS(F28)
)</f>
        <v>0.28187976291278577</v>
      </c>
      <c r="G29" s="244"/>
    </row>
    <row r="30" spans="2:7" x14ac:dyDescent="0.2">
      <c r="B30" s="20" t="s">
        <v>351</v>
      </c>
      <c r="C30" s="195">
        <f>Statement!Z190</f>
        <v>5421</v>
      </c>
      <c r="D30" s="195">
        <f>Statement!AA190</f>
        <v>5765</v>
      </c>
      <c r="F30" s="195">
        <f>Statement!W190</f>
        <v>4417</v>
      </c>
      <c r="G30" s="193">
        <f>Statement!AA190</f>
        <v>5765</v>
      </c>
    </row>
    <row r="31" spans="2:7" x14ac:dyDescent="0.2">
      <c r="B31" s="201" t="s">
        <v>310</v>
      </c>
      <c r="C31" s="243">
        <f>IF(C30=0,
IF(D30=0,0,IF(D30&gt;0,1,-1)),
(D30-C30)/ABS(C30)
)</f>
        <v>6.3456926766279287E-2</v>
      </c>
      <c r="D31" s="244"/>
      <c r="F31" s="243">
        <f>IF(F30=0,
IF(G30=0,0,IF(G30&gt;0,1,-1)),
(G30-F30)/ABS(F30)
)</f>
        <v>0.30518451437627347</v>
      </c>
      <c r="G31" s="244"/>
    </row>
    <row r="32" spans="2:7" x14ac:dyDescent="0.2">
      <c r="B32" s="20" t="s">
        <v>352</v>
      </c>
      <c r="C32" s="195">
        <f>Statement!Z191</f>
        <v>628</v>
      </c>
      <c r="D32" s="193">
        <f>Statement!AA191</f>
        <v>701</v>
      </c>
      <c r="F32" s="195">
        <f>Statement!W191</f>
        <v>1053</v>
      </c>
      <c r="G32" s="193">
        <f>Statement!AA191</f>
        <v>701</v>
      </c>
    </row>
    <row r="33" spans="2:7" x14ac:dyDescent="0.2">
      <c r="B33" s="201" t="s">
        <v>310</v>
      </c>
      <c r="C33" s="243">
        <f>IF(C32=0,
IF(D32=0,0,IF(D32&gt;0,1,-1)),
(D32-C32)/ABS(C32)
)</f>
        <v>0.11624203821656051</v>
      </c>
      <c r="D33" s="244"/>
      <c r="F33" s="243">
        <f>IF(F32=0,
IF(G32=0,0,IF(G32&gt;0,1,-1)),
(G32-F32)/ABS(F32)
)</f>
        <v>-0.33428300094966762</v>
      </c>
      <c r="G33" s="244"/>
    </row>
  </sheetData>
  <mergeCells count="28">
    <mergeCell ref="C31:D31"/>
    <mergeCell ref="F31:G31"/>
    <mergeCell ref="C33:D33"/>
    <mergeCell ref="F33:G33"/>
    <mergeCell ref="C17:D17"/>
    <mergeCell ref="F17:G17"/>
    <mergeCell ref="F19:G19"/>
    <mergeCell ref="C19:D19"/>
    <mergeCell ref="C21:D21"/>
    <mergeCell ref="F21:G21"/>
    <mergeCell ref="C25:D25"/>
    <mergeCell ref="F25:G25"/>
    <mergeCell ref="C27:D27"/>
    <mergeCell ref="F27:G27"/>
    <mergeCell ref="C29:D29"/>
    <mergeCell ref="F29:G29"/>
    <mergeCell ref="C11:D11"/>
    <mergeCell ref="F11:G11"/>
    <mergeCell ref="C13:D13"/>
    <mergeCell ref="F13:G13"/>
    <mergeCell ref="C15:D15"/>
    <mergeCell ref="F15:G15"/>
    <mergeCell ref="C3:D3"/>
    <mergeCell ref="F3:G3"/>
    <mergeCell ref="C7:D7"/>
    <mergeCell ref="F7:G7"/>
    <mergeCell ref="C9:D9"/>
    <mergeCell ref="F9:G9"/>
  </mergeCells>
  <pageMargins left="0.7" right="0.7" top="0.75" bottom="0.75" header="0.3" footer="0.3"/>
  <ignoredErrors>
    <ignoredError sqref="F8 F10 F12 F14 F16 F18 C20 F20 C26 F26 C28 F28 C30:D30 C32 F30 F32"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C1714-C888-F946-B58E-37A028776C2A}">
  <dimension ref="B55:L73"/>
  <sheetViews>
    <sheetView topLeftCell="B31" zoomScale="159" workbookViewId="0">
      <selection activeCell="H71" sqref="H71:L73"/>
    </sheetView>
  </sheetViews>
  <sheetFormatPr baseColWidth="10" defaultRowHeight="16" x14ac:dyDescent="0.2"/>
  <cols>
    <col min="1" max="1" width="2.6640625" style="1" customWidth="1"/>
    <col min="2" max="2" width="21" style="1" customWidth="1"/>
    <col min="3" max="16384" width="10.83203125" style="1"/>
  </cols>
  <sheetData>
    <row r="55" spans="2:12" x14ac:dyDescent="0.2">
      <c r="B55" s="10"/>
      <c r="C55" s="10">
        <f>Statement!H2</f>
        <v>0</v>
      </c>
      <c r="D55" s="10">
        <f>Statement!I2</f>
        <v>0</v>
      </c>
      <c r="E55" s="10">
        <f>Statement!J2</f>
        <v>0</v>
      </c>
      <c r="F55" s="10">
        <f>Statement!K2</f>
        <v>0</v>
      </c>
      <c r="G55" s="10">
        <f>Statement!L2</f>
        <v>0</v>
      </c>
      <c r="H55" s="10" t="str">
        <f>Statement!M2</f>
        <v>25.12.2021</v>
      </c>
      <c r="I55" s="10" t="str">
        <f>Statement!N2</f>
        <v>31.12.2022</v>
      </c>
      <c r="J55" s="10" t="str">
        <f>Statement!O2</f>
        <v>30.12.2023</v>
      </c>
      <c r="K55" s="10" t="str">
        <f>Statement!P2</f>
        <v>28.12.2024</v>
      </c>
      <c r="L55" s="10" t="str">
        <f>Statement!Q2</f>
        <v>27.12.2025</v>
      </c>
    </row>
    <row r="56" spans="2:12" x14ac:dyDescent="0.2">
      <c r="B56" s="10"/>
      <c r="C56" s="10">
        <f>Statement!H3</f>
        <v>0</v>
      </c>
      <c r="D56" s="10">
        <f>Statement!I3</f>
        <v>0</v>
      </c>
      <c r="E56" s="10">
        <f>Statement!J3</f>
        <v>0</v>
      </c>
      <c r="F56" s="10">
        <f>Statement!K3</f>
        <v>0</v>
      </c>
      <c r="G56" s="10">
        <f>Statement!L3</f>
        <v>0</v>
      </c>
      <c r="H56" s="10">
        <f>Statement!M3</f>
        <v>2021</v>
      </c>
      <c r="I56" s="10">
        <f>Statement!N3</f>
        <v>2022</v>
      </c>
      <c r="J56" s="10">
        <f>Statement!O3</f>
        <v>2023</v>
      </c>
      <c r="K56" s="10">
        <f>Statement!P3</f>
        <v>2024</v>
      </c>
      <c r="L56" s="10">
        <f>Statement!Q3</f>
        <v>2025</v>
      </c>
    </row>
    <row r="57" spans="2:12" x14ac:dyDescent="0.2">
      <c r="B57" s="20" t="s">
        <v>19</v>
      </c>
      <c r="C57" s="63">
        <f>Statement!H5</f>
        <v>0</v>
      </c>
      <c r="D57" s="63">
        <f>Statement!I5</f>
        <v>0</v>
      </c>
      <c r="E57" s="63">
        <f>Statement!J5</f>
        <v>0</v>
      </c>
      <c r="F57" s="63">
        <f>Statement!K5</f>
        <v>0</v>
      </c>
      <c r="G57" s="63">
        <f>Statement!L5</f>
        <v>0</v>
      </c>
      <c r="H57" s="63">
        <f>Statement!M5</f>
        <v>79024</v>
      </c>
      <c r="I57" s="63">
        <f>Statement!N5</f>
        <v>63054</v>
      </c>
      <c r="J57" s="63">
        <f>Statement!O5</f>
        <v>54228</v>
      </c>
      <c r="K57" s="63">
        <f>Statement!P5</f>
        <v>53101</v>
      </c>
      <c r="L57" s="63">
        <f>Statement!Q5</f>
        <v>52853</v>
      </c>
    </row>
    <row r="58" spans="2:12" x14ac:dyDescent="0.2">
      <c r="B58" s="20" t="s">
        <v>24</v>
      </c>
      <c r="C58" s="63">
        <f>Statement!H12</f>
        <v>0</v>
      </c>
      <c r="D58" s="63">
        <f>Statement!I12</f>
        <v>0</v>
      </c>
      <c r="E58" s="63">
        <f>Statement!J12</f>
        <v>0</v>
      </c>
      <c r="F58" s="63">
        <f>Statement!K12</f>
        <v>0</v>
      </c>
      <c r="G58" s="63">
        <f>Statement!L12</f>
        <v>0</v>
      </c>
      <c r="H58" s="63">
        <f>Statement!M12</f>
        <v>19456</v>
      </c>
      <c r="I58" s="63">
        <f>Statement!N12</f>
        <v>2334</v>
      </c>
      <c r="J58" s="63">
        <f>Statement!O12</f>
        <v>93</v>
      </c>
      <c r="K58" s="63">
        <f>Statement!P12</f>
        <v>-11678</v>
      </c>
      <c r="L58" s="63">
        <f>Statement!Q12</f>
        <v>-2214</v>
      </c>
    </row>
    <row r="59" spans="2:12" x14ac:dyDescent="0.2">
      <c r="B59" s="20" t="s">
        <v>29</v>
      </c>
      <c r="C59" s="63">
        <f>Statement!H18</f>
        <v>0</v>
      </c>
      <c r="D59" s="63">
        <f>Statement!I18</f>
        <v>0</v>
      </c>
      <c r="E59" s="63">
        <f>Statement!J18</f>
        <v>0</v>
      </c>
      <c r="F59" s="63">
        <f>Statement!K18</f>
        <v>0</v>
      </c>
      <c r="G59" s="63">
        <f>Statement!L18</f>
        <v>0</v>
      </c>
      <c r="H59" s="63">
        <f>Statement!M18</f>
        <v>19868</v>
      </c>
      <c r="I59" s="63">
        <f>Statement!N18</f>
        <v>8014</v>
      </c>
      <c r="J59" s="63">
        <f>Statement!O18</f>
        <v>1689</v>
      </c>
      <c r="K59" s="63">
        <f>Statement!P18</f>
        <v>-18756</v>
      </c>
      <c r="L59" s="63">
        <f>Statement!Q18</f>
        <v>-267</v>
      </c>
    </row>
    <row r="60" spans="2:12" x14ac:dyDescent="0.2">
      <c r="B60" s="20" t="s">
        <v>256</v>
      </c>
      <c r="C60" s="63">
        <f>Statement!H157</f>
        <v>0</v>
      </c>
      <c r="D60" s="63">
        <f>Statement!I157</f>
        <v>0</v>
      </c>
      <c r="E60" s="63">
        <f>Statement!J157</f>
        <v>0</v>
      </c>
      <c r="F60" s="63">
        <f>Statement!K157</f>
        <v>0</v>
      </c>
      <c r="G60" s="63">
        <f>Statement!L157</f>
        <v>0</v>
      </c>
      <c r="H60" s="63">
        <f>Statement!M157</f>
        <v>8687</v>
      </c>
      <c r="I60" s="63">
        <f>Statement!N157</f>
        <v>-12539</v>
      </c>
      <c r="J60" s="63">
        <f>Statement!O157</f>
        <v>-17508</v>
      </c>
      <c r="K60" s="63">
        <f>Statement!P157</f>
        <v>-19066</v>
      </c>
      <c r="L60" s="63">
        <f>Statement!Q157</f>
        <v>-7383</v>
      </c>
    </row>
    <row r="61" spans="2:12" x14ac:dyDescent="0.2">
      <c r="B61" s="20" t="s">
        <v>257</v>
      </c>
      <c r="C61" s="63">
        <f>Statement!H158</f>
        <v>0</v>
      </c>
      <c r="D61" s="63">
        <f>Statement!I158</f>
        <v>0</v>
      </c>
      <c r="E61" s="63">
        <f>Statement!J158</f>
        <v>0</v>
      </c>
      <c r="F61" s="63">
        <f>Statement!K158</f>
        <v>0</v>
      </c>
      <c r="G61" s="63">
        <f>Statement!L158</f>
        <v>0</v>
      </c>
      <c r="H61" s="63">
        <f>Statement!M158</f>
        <v>5461.985025111735</v>
      </c>
      <c r="I61" s="63">
        <f>Statement!N158</f>
        <v>-13983</v>
      </c>
      <c r="J61" s="63">
        <f>Statement!O158</f>
        <v>-16624</v>
      </c>
      <c r="K61" s="63">
        <f>Statement!P158</f>
        <v>-23140</v>
      </c>
      <c r="L61" s="63">
        <f>Statement!Q158</f>
        <v>-6901</v>
      </c>
    </row>
    <row r="62" spans="2:12" x14ac:dyDescent="0.2">
      <c r="B62" s="20" t="s">
        <v>76</v>
      </c>
      <c r="C62" s="216">
        <f>Statement!H101</f>
        <v>0</v>
      </c>
      <c r="D62" s="216">
        <f>Statement!I101</f>
        <v>0</v>
      </c>
      <c r="E62" s="216">
        <f>Statement!J101</f>
        <v>0</v>
      </c>
      <c r="F62" s="216">
        <f>Statement!K101</f>
        <v>0</v>
      </c>
      <c r="G62" s="216">
        <f>Statement!L101</f>
        <v>0</v>
      </c>
      <c r="H62" s="216">
        <f>Statement!M101</f>
        <v>0.5544518121077141</v>
      </c>
      <c r="I62" s="216">
        <f>Statement!N101</f>
        <v>0.42607923367272499</v>
      </c>
      <c r="J62" s="216">
        <f>Statement!O101</f>
        <v>0.40036512502766097</v>
      </c>
      <c r="K62" s="216">
        <f>Statement!P101</f>
        <v>0.32664168283083184</v>
      </c>
      <c r="L62" s="216">
        <f>Statement!Q101</f>
        <v>0.34766238434904356</v>
      </c>
    </row>
    <row r="63" spans="2:12" x14ac:dyDescent="0.2">
      <c r="B63" s="20" t="s">
        <v>77</v>
      </c>
      <c r="C63" s="216">
        <f>Statement!H102</f>
        <v>0</v>
      </c>
      <c r="D63" s="216">
        <f>Statement!I102</f>
        <v>0</v>
      </c>
      <c r="E63" s="216">
        <f>Statement!J102</f>
        <v>0</v>
      </c>
      <c r="F63" s="216">
        <f>Statement!K102</f>
        <v>0</v>
      </c>
      <c r="G63" s="216">
        <f>Statement!L102</f>
        <v>0</v>
      </c>
      <c r="H63" s="216">
        <f>Statement!M102</f>
        <v>0.24620368495646891</v>
      </c>
      <c r="I63" s="216">
        <f>Statement!N102</f>
        <v>3.7015891140926828E-2</v>
      </c>
      <c r="J63" s="216">
        <f>Statement!O102</f>
        <v>1.714981190528878E-3</v>
      </c>
      <c r="K63" s="216">
        <f>Statement!P102</f>
        <v>-0.21992052880360069</v>
      </c>
      <c r="L63" s="216">
        <f>Statement!Q102</f>
        <v>-4.1889769738709247E-2</v>
      </c>
    </row>
    <row r="64" spans="2:12" x14ac:dyDescent="0.2">
      <c r="B64" s="20" t="s">
        <v>78</v>
      </c>
      <c r="C64" s="216">
        <f>Statement!H103</f>
        <v>0</v>
      </c>
      <c r="D64" s="216">
        <f>Statement!I103</f>
        <v>0</v>
      </c>
      <c r="E64" s="216">
        <f>Statement!J103</f>
        <v>0</v>
      </c>
      <c r="F64" s="216">
        <f>Statement!K103</f>
        <v>0</v>
      </c>
      <c r="G64" s="216">
        <f>Statement!L103</f>
        <v>0</v>
      </c>
      <c r="H64" s="216">
        <f>Statement!M103</f>
        <v>0.25141729094958493</v>
      </c>
      <c r="I64" s="216">
        <f>Statement!N103</f>
        <v>0.12714498683667966</v>
      </c>
      <c r="J64" s="216">
        <f>Statement!O103</f>
        <v>3.088810208748248E-2</v>
      </c>
      <c r="K64" s="216">
        <f>Statement!P103</f>
        <v>-0.3621965688028474</v>
      </c>
      <c r="L64" s="216">
        <f>Statement!Q103</f>
        <v>4.9193044860272833E-4</v>
      </c>
    </row>
    <row r="65" spans="2:12" x14ac:dyDescent="0.2">
      <c r="B65" s="20" t="s">
        <v>350</v>
      </c>
      <c r="C65" s="63">
        <f>Statement!H189</f>
        <v>0</v>
      </c>
      <c r="D65" s="63">
        <f>Statement!I189</f>
        <v>0</v>
      </c>
      <c r="E65" s="63">
        <f>Statement!J189</f>
        <v>0</v>
      </c>
      <c r="F65" s="63">
        <f>Statement!K189</f>
        <v>0</v>
      </c>
      <c r="G65" s="63">
        <f>Statement!L189</f>
        <v>0</v>
      </c>
      <c r="H65" s="63">
        <f>Statement!M189</f>
        <v>71520</v>
      </c>
      <c r="I65" s="63">
        <f>Statement!N189</f>
        <v>59627</v>
      </c>
      <c r="J65" s="63">
        <f>Statement!O189</f>
        <v>50553</v>
      </c>
      <c r="K65" s="63">
        <f>Statement!P189</f>
        <v>49471</v>
      </c>
      <c r="L65" s="63">
        <f>Statement!Q189</f>
        <v>49147</v>
      </c>
    </row>
    <row r="66" spans="2:12" x14ac:dyDescent="0.2">
      <c r="B66" s="20" t="s">
        <v>351</v>
      </c>
      <c r="C66" s="63">
        <f>Statement!H190</f>
        <v>0</v>
      </c>
      <c r="D66" s="63">
        <f>Statement!I190</f>
        <v>0</v>
      </c>
      <c r="E66" s="63">
        <f>Statement!J190</f>
        <v>0</v>
      </c>
      <c r="F66" s="63">
        <f>Statement!K190</f>
        <v>0</v>
      </c>
      <c r="G66" s="63">
        <f>Statement!L190</f>
        <v>0</v>
      </c>
      <c r="H66" s="63">
        <f>Statement!M190</f>
        <v>347</v>
      </c>
      <c r="I66" s="63">
        <f>Statement!N190</f>
        <v>469</v>
      </c>
      <c r="J66" s="63">
        <f>Statement!O190</f>
        <v>952</v>
      </c>
      <c r="K66" s="63">
        <f>Statement!P190</f>
        <v>17317</v>
      </c>
      <c r="L66" s="63">
        <f>Statement!Q190</f>
        <v>17826</v>
      </c>
    </row>
    <row r="67" spans="2:12" x14ac:dyDescent="0.2">
      <c r="B67" s="20" t="s">
        <v>352</v>
      </c>
      <c r="C67" s="63">
        <f>Statement!H191</f>
        <v>0</v>
      </c>
      <c r="D67" s="63">
        <f>Statement!I191</f>
        <v>0</v>
      </c>
      <c r="E67" s="63">
        <f>Statement!J191</f>
        <v>0</v>
      </c>
      <c r="F67" s="63">
        <f>Statement!K191</f>
        <v>0</v>
      </c>
      <c r="G67" s="63">
        <f>Statement!L191</f>
        <v>0</v>
      </c>
      <c r="H67" s="63">
        <f>Statement!M191</f>
        <v>7157</v>
      </c>
      <c r="I67" s="63">
        <f>Statement!N191</f>
        <v>2958</v>
      </c>
      <c r="J67" s="63">
        <f>Statement!O191</f>
        <v>2723</v>
      </c>
      <c r="K67" s="63">
        <f>Statement!P191</f>
        <v>3601</v>
      </c>
      <c r="L67" s="63">
        <f>Statement!Q191</f>
        <v>3563</v>
      </c>
    </row>
    <row r="68" spans="2:12" x14ac:dyDescent="0.2">
      <c r="B68" s="20" t="s">
        <v>97</v>
      </c>
      <c r="C68" s="217">
        <f>Statement!H123</f>
        <v>0</v>
      </c>
      <c r="D68" s="217">
        <f>Statement!I123</f>
        <v>0</v>
      </c>
      <c r="E68" s="217">
        <f>Statement!J123</f>
        <v>0</v>
      </c>
      <c r="F68" s="217">
        <f>Statement!K123</f>
        <v>0</v>
      </c>
      <c r="G68" s="217">
        <f>Statement!L123</f>
        <v>0</v>
      </c>
      <c r="H68" s="217">
        <f>Statement!M123</f>
        <v>0.11797679417597948</v>
      </c>
      <c r="I68" s="217">
        <f>Statement!N123</f>
        <v>4.4024535565037361E-2</v>
      </c>
      <c r="J68" s="217">
        <f>Statement!O123</f>
        <v>8.7434489382581995E-3</v>
      </c>
      <c r="K68" s="217">
        <f>Statement!P123</f>
        <v>-9.7885334758378503E-2</v>
      </c>
      <c r="L68" s="217">
        <f>Statement!Q123</f>
        <v>1.2297272370393844E-4</v>
      </c>
    </row>
    <row r="69" spans="2:12" x14ac:dyDescent="0.2">
      <c r="B69" s="20" t="s">
        <v>99</v>
      </c>
      <c r="C69" s="217">
        <f>Statement!H125</f>
        <v>0</v>
      </c>
      <c r="D69" s="217">
        <f>Statement!I125</f>
        <v>0</v>
      </c>
      <c r="E69" s="217">
        <f>Statement!J125</f>
        <v>0</v>
      </c>
      <c r="F69" s="217">
        <f>Statement!K125</f>
        <v>0</v>
      </c>
      <c r="G69" s="217">
        <f>Statement!L125</f>
        <v>0</v>
      </c>
      <c r="H69" s="217">
        <f>Statement!M125</f>
        <v>0.20827960709081569</v>
      </c>
      <c r="I69" s="217">
        <f>Statement!N125</f>
        <v>7.904518698914445E-2</v>
      </c>
      <c r="J69" s="217">
        <f>Statement!O125</f>
        <v>1.5863244625438012E-2</v>
      </c>
      <c r="K69" s="217">
        <f>Statement!P125</f>
        <v>-0.19374433363553945</v>
      </c>
      <c r="L69" s="217">
        <f>Statement!Q125</f>
        <v>2.2750938476212145E-4</v>
      </c>
    </row>
    <row r="70" spans="2:12" x14ac:dyDescent="0.2">
      <c r="B70" s="20" t="s">
        <v>100</v>
      </c>
      <c r="C70" s="217">
        <f>Statement!H140</f>
        <v>0</v>
      </c>
      <c r="D70" s="217">
        <f>Statement!I140</f>
        <v>0</v>
      </c>
      <c r="E70" s="217">
        <f>Statement!J140</f>
        <v>0</v>
      </c>
      <c r="F70" s="217">
        <f>Statement!K140</f>
        <v>0</v>
      </c>
      <c r="G70" s="217">
        <f>Statement!L140</f>
        <v>0</v>
      </c>
      <c r="H70" s="217">
        <f>Statement!M140</f>
        <v>0.18030780236190902</v>
      </c>
      <c r="I70" s="217">
        <f>Statement!N140</f>
        <v>2.1010559291366228E-2</v>
      </c>
      <c r="J70" s="217">
        <f>Statement!O140</f>
        <v>7.2447962108936807E-4</v>
      </c>
      <c r="K70" s="217">
        <f>Statement!P140</f>
        <v>-9.1521810686687882E-2</v>
      </c>
      <c r="L70" s="217">
        <f>Statement!Q140</f>
        <v>-1.7430737617799192E-2</v>
      </c>
    </row>
    <row r="71" spans="2:12" x14ac:dyDescent="0.2">
      <c r="B71" s="20" t="s">
        <v>382</v>
      </c>
      <c r="C71" s="224">
        <f>Statement!H213</f>
        <v>0</v>
      </c>
      <c r="D71" s="224">
        <f>Statement!I213</f>
        <v>0</v>
      </c>
      <c r="E71" s="224">
        <f>Statement!J213</f>
        <v>0</v>
      </c>
      <c r="F71" s="224">
        <f>Statement!K213</f>
        <v>0</v>
      </c>
      <c r="G71" s="224">
        <f>Statement!L213</f>
        <v>0</v>
      </c>
      <c r="H71" s="224">
        <f>Statement!M213</f>
        <v>100</v>
      </c>
      <c r="I71" s="224">
        <f>Statement!N213</f>
        <v>51.510426817384527</v>
      </c>
      <c r="J71" s="224">
        <f>Statement!O213</f>
        <v>97.934125901383737</v>
      </c>
      <c r="K71" s="224">
        <f>Statement!P213</f>
        <v>39.563437926330145</v>
      </c>
      <c r="L71" s="224">
        <f>Statement!Q213</f>
        <v>70.551549405573965</v>
      </c>
    </row>
    <row r="72" spans="2:12" x14ac:dyDescent="0.2">
      <c r="B72" s="20" t="s">
        <v>383</v>
      </c>
      <c r="C72" s="224">
        <f>Statement!H214</f>
        <v>0</v>
      </c>
      <c r="D72" s="224">
        <f>Statement!I214</f>
        <v>0</v>
      </c>
      <c r="E72" s="224">
        <f>Statement!J214</f>
        <v>0</v>
      </c>
      <c r="F72" s="224">
        <f>Statement!K214</f>
        <v>0</v>
      </c>
      <c r="G72" s="224">
        <f>Statement!L214</f>
        <v>0</v>
      </c>
      <c r="H72" s="224">
        <f>Statement!M214</f>
        <v>100</v>
      </c>
      <c r="I72" s="224">
        <f>Statement!N214</f>
        <v>79.790949584936214</v>
      </c>
      <c r="J72" s="224">
        <f>Statement!O214</f>
        <v>68.6221907268678</v>
      </c>
      <c r="K72" s="224">
        <f>Statement!P214</f>
        <v>67.196041708847943</v>
      </c>
      <c r="L72" s="224">
        <f>Statement!Q214</f>
        <v>66.882212998582702</v>
      </c>
    </row>
    <row r="73" spans="2:12" x14ac:dyDescent="0.2">
      <c r="B73" s="20" t="s">
        <v>384</v>
      </c>
      <c r="C73" s="224">
        <f>Statement!H215</f>
        <v>0</v>
      </c>
      <c r="D73" s="224">
        <f>Statement!I215</f>
        <v>0</v>
      </c>
      <c r="E73" s="224">
        <f>Statement!J215</f>
        <v>0</v>
      </c>
      <c r="F73" s="224">
        <f>Statement!K215</f>
        <v>0</v>
      </c>
      <c r="G73" s="224">
        <f>Statement!L215</f>
        <v>0</v>
      </c>
      <c r="H73" s="224">
        <f>Statement!M215</f>
        <v>100</v>
      </c>
      <c r="I73" s="224">
        <f>Statement!N215</f>
        <v>39.917695473251023</v>
      </c>
      <c r="J73" s="224">
        <f>Statement!O215</f>
        <v>8.2304526748971263</v>
      </c>
      <c r="K73" s="224">
        <f>Statement!P215</f>
        <v>-90.123456790123456</v>
      </c>
      <c r="L73" s="224">
        <f>Statement!Q215</f>
        <v>-1.2345679012345512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23865-E7B5-F949-82B6-DA69E017CB08}">
  <dimension ref="B55:J66"/>
  <sheetViews>
    <sheetView zoomScale="161" workbookViewId="0">
      <selection activeCell="C66" sqref="C66:J66"/>
    </sheetView>
  </sheetViews>
  <sheetFormatPr baseColWidth="10" defaultRowHeight="16" x14ac:dyDescent="0.2"/>
  <cols>
    <col min="1" max="1" width="2.6640625" style="1" customWidth="1"/>
    <col min="2" max="2" width="20" style="1" customWidth="1"/>
    <col min="3" max="16384" width="10.83203125" style="1"/>
  </cols>
  <sheetData>
    <row r="55" spans="2:10" x14ac:dyDescent="0.2">
      <c r="B55" s="10"/>
      <c r="C55" s="10" t="str">
        <f>Statement!T2</f>
        <v>28.09.2024</v>
      </c>
      <c r="D55" s="10" t="str">
        <f>Statement!U2</f>
        <v>28.12.2024</v>
      </c>
      <c r="E55" s="10" t="str">
        <f>Statement!V2</f>
        <v>29.03.2025</v>
      </c>
      <c r="F55" s="10" t="str">
        <f>Statement!W2</f>
        <v>28.06.2025</v>
      </c>
      <c r="G55" s="10" t="str">
        <f>Statement!X2</f>
        <v>27.09.2025</v>
      </c>
      <c r="H55" s="10" t="str">
        <f>Statement!Y2</f>
        <v>27.12.2025</v>
      </c>
      <c r="I55" s="10" t="str">
        <f>Statement!Z2</f>
        <v>28.03.2026</v>
      </c>
      <c r="J55" s="10" t="str">
        <f>Statement!AA2</f>
        <v>27.06.2026</v>
      </c>
    </row>
    <row r="56" spans="2:10" x14ac:dyDescent="0.2">
      <c r="B56" s="10"/>
      <c r="C56" s="10" t="str">
        <f>Statement!T3</f>
        <v>Q3 2024</v>
      </c>
      <c r="D56" s="10" t="str">
        <f>Statement!U3</f>
        <v>Q4 2024</v>
      </c>
      <c r="E56" s="10" t="str">
        <f>Statement!V3</f>
        <v>Q1 2025</v>
      </c>
      <c r="F56" s="10" t="str">
        <f>Statement!W3</f>
        <v>Q2 2025</v>
      </c>
      <c r="G56" s="10" t="str">
        <f>Statement!X3</f>
        <v>Q3 2025</v>
      </c>
      <c r="H56" s="10" t="str">
        <f>Statement!Y3</f>
        <v>Q4 2025</v>
      </c>
      <c r="I56" s="10" t="str">
        <f>Statement!Z3</f>
        <v>Q1 2026</v>
      </c>
      <c r="J56" s="10" t="str">
        <f>Statement!AA3</f>
        <v>Q2 2026</v>
      </c>
    </row>
    <row r="57" spans="2:10" x14ac:dyDescent="0.2">
      <c r="B57" s="20" t="s">
        <v>19</v>
      </c>
      <c r="C57" s="63">
        <f>Statement!T5</f>
        <v>13284</v>
      </c>
      <c r="D57" s="63">
        <f>Statement!U5</f>
        <v>14260</v>
      </c>
      <c r="E57" s="63">
        <f>Statement!V5</f>
        <v>12667</v>
      </c>
      <c r="F57" s="63">
        <f>Statement!W5</f>
        <v>12859</v>
      </c>
      <c r="G57" s="63">
        <f>Statement!X5</f>
        <v>13653</v>
      </c>
      <c r="H57" s="63">
        <f>Statement!Y5</f>
        <v>13674</v>
      </c>
      <c r="I57" s="63">
        <f>Statement!Z5</f>
        <v>13577</v>
      </c>
      <c r="J57" s="63">
        <f>Statement!AA5</f>
        <v>16128</v>
      </c>
    </row>
    <row r="58" spans="2:10" x14ac:dyDescent="0.2">
      <c r="B58" s="20" t="s">
        <v>24</v>
      </c>
      <c r="C58" s="63">
        <f>Statement!T12</f>
        <v>-9057</v>
      </c>
      <c r="D58" s="63">
        <f>Statement!U12</f>
        <v>412</v>
      </c>
      <c r="E58" s="63">
        <f>Statement!V12</f>
        <v>-301</v>
      </c>
      <c r="F58" s="63">
        <f>Statement!W12</f>
        <v>-3176</v>
      </c>
      <c r="G58" s="63">
        <f>Statement!X12</f>
        <v>683</v>
      </c>
      <c r="H58" s="63">
        <f>Statement!Y12</f>
        <v>580</v>
      </c>
      <c r="I58" s="63">
        <f>Statement!Z12</f>
        <v>-3136</v>
      </c>
      <c r="J58" s="63">
        <f>Statement!AA12</f>
        <v>1796</v>
      </c>
    </row>
    <row r="59" spans="2:10" x14ac:dyDescent="0.2">
      <c r="B59" s="20" t="s">
        <v>29</v>
      </c>
      <c r="C59" s="63">
        <f>Statement!T18</f>
        <v>-16639</v>
      </c>
      <c r="D59" s="63">
        <f>Statement!U18</f>
        <v>-126</v>
      </c>
      <c r="E59" s="63">
        <f>Statement!V18</f>
        <v>-821</v>
      </c>
      <c r="F59" s="63">
        <f>Statement!W18</f>
        <v>-2918</v>
      </c>
      <c r="G59" s="63">
        <f>Statement!X18</f>
        <v>4063</v>
      </c>
      <c r="H59" s="63">
        <f>Statement!Y18</f>
        <v>-591</v>
      </c>
      <c r="I59" s="63">
        <f>Statement!Z18</f>
        <v>-3728</v>
      </c>
      <c r="J59" s="63">
        <f>Statement!AA18</f>
        <v>-11033</v>
      </c>
    </row>
    <row r="60" spans="2:10" x14ac:dyDescent="0.2">
      <c r="B60" s="20" t="s">
        <v>76</v>
      </c>
      <c r="C60" s="216">
        <f>Statement!T101</f>
        <v>0.15033122553447756</v>
      </c>
      <c r="D60" s="216">
        <f>Statement!U101</f>
        <v>0.39158485273492288</v>
      </c>
      <c r="E60" s="216">
        <f>Statement!V101</f>
        <v>0.36883239914739085</v>
      </c>
      <c r="F60" s="216">
        <f>Statement!W101</f>
        <v>0.27544910179640719</v>
      </c>
      <c r="G60" s="216">
        <f>Statement!X101</f>
        <v>0.38218706511389439</v>
      </c>
      <c r="H60" s="216">
        <f>Statement!Y101</f>
        <v>0.36148895714494661</v>
      </c>
      <c r="I60" s="216">
        <f>Statement!Z101</f>
        <v>0.39382779700964865</v>
      </c>
      <c r="J60" s="216">
        <f>Statement!AA101</f>
        <v>0.40358382936507936</v>
      </c>
    </row>
    <row r="61" spans="2:10" x14ac:dyDescent="0.2">
      <c r="B61" s="20" t="s">
        <v>77</v>
      </c>
      <c r="C61" s="216">
        <f>Statement!T102</f>
        <v>-0.68179765130984649</v>
      </c>
      <c r="D61" s="216">
        <f>Statement!U102</f>
        <v>2.8892005610098175E-2</v>
      </c>
      <c r="E61" s="216">
        <f>Statement!V102</f>
        <v>-2.3762532564932503E-2</v>
      </c>
      <c r="F61" s="216">
        <f>Statement!W102</f>
        <v>-0.246986546387744</v>
      </c>
      <c r="G61" s="216">
        <f>Statement!X102</f>
        <v>5.0025635391489048E-2</v>
      </c>
      <c r="H61" s="216">
        <f>Statement!Y102</f>
        <v>4.2416264443469361E-2</v>
      </c>
      <c r="I61" s="216">
        <f>Statement!Z102</f>
        <v>-0.23097886130956766</v>
      </c>
      <c r="J61" s="216">
        <f>Statement!AA102</f>
        <v>0.11135912698412699</v>
      </c>
    </row>
    <row r="62" spans="2:10" x14ac:dyDescent="0.2">
      <c r="B62" s="20" t="s">
        <v>78</v>
      </c>
      <c r="C62" s="216">
        <f>Statement!T103</f>
        <v>-1.278906955736224</v>
      </c>
      <c r="D62" s="216">
        <f>Statement!U103</f>
        <v>-1.0729312762973352E-2</v>
      </c>
      <c r="E62" s="216">
        <f>Statement!V103</f>
        <v>-7.0024473040183152E-2</v>
      </c>
      <c r="F62" s="216">
        <f>Statement!W103</f>
        <v>-0.23516603157321719</v>
      </c>
      <c r="G62" s="216">
        <f>Statement!X103</f>
        <v>0.31275177616641031</v>
      </c>
      <c r="H62" s="216">
        <f>Statement!Y103</f>
        <v>-2.4352786309784994E-2</v>
      </c>
      <c r="I62" s="216">
        <f>Statement!Z103</f>
        <v>-0.31531266111806733</v>
      </c>
      <c r="J62" s="216">
        <f>Statement!AA103</f>
        <v>-0.67261904761904767</v>
      </c>
    </row>
    <row r="63" spans="2:10" x14ac:dyDescent="0.2">
      <c r="B63" s="20" t="s">
        <v>350</v>
      </c>
      <c r="C63" s="63">
        <f>Statement!T189</f>
        <v>12302</v>
      </c>
      <c r="D63" s="63">
        <f>Statement!U189</f>
        <v>13120</v>
      </c>
      <c r="E63" s="63">
        <f>Statement!V189</f>
        <v>11755</v>
      </c>
      <c r="F63" s="63">
        <f>Statement!W189</f>
        <v>11810</v>
      </c>
      <c r="G63" s="63">
        <f>Statement!X189</f>
        <v>12652</v>
      </c>
      <c r="H63" s="63">
        <f>Statement!Y189</f>
        <v>12930</v>
      </c>
      <c r="I63" s="63">
        <f>Statement!Z189</f>
        <v>12779</v>
      </c>
      <c r="J63" s="63">
        <f>Statement!AA189</f>
        <v>15139</v>
      </c>
    </row>
    <row r="64" spans="2:10" x14ac:dyDescent="0.2">
      <c r="B64" s="20" t="s">
        <v>351</v>
      </c>
      <c r="C64" s="63">
        <f>Statement!T190</f>
        <v>4339</v>
      </c>
      <c r="D64" s="63">
        <f>Statement!U190</f>
        <v>4340</v>
      </c>
      <c r="E64" s="63">
        <f>Statement!V190</f>
        <v>4667</v>
      </c>
      <c r="F64" s="63">
        <f>Statement!W190</f>
        <v>4417</v>
      </c>
      <c r="G64" s="63">
        <f>Statement!X190</f>
        <v>4235</v>
      </c>
      <c r="H64" s="63">
        <f>Statement!Y190</f>
        <v>4507</v>
      </c>
      <c r="I64" s="63">
        <f>Statement!Z190</f>
        <v>5421</v>
      </c>
      <c r="J64" s="63">
        <f>Statement!AA190</f>
        <v>5765</v>
      </c>
    </row>
    <row r="65" spans="2:10" x14ac:dyDescent="0.2">
      <c r="B65" s="20" t="s">
        <v>352</v>
      </c>
      <c r="C65" s="63">
        <f>Statement!T191</f>
        <v>964</v>
      </c>
      <c r="D65" s="63">
        <f>Statement!U191</f>
        <v>1113</v>
      </c>
      <c r="E65" s="63">
        <f>Statement!V191</f>
        <v>943</v>
      </c>
      <c r="F65" s="63">
        <f>Statement!W191</f>
        <v>1053</v>
      </c>
      <c r="G65" s="63">
        <f>Statement!X191</f>
        <v>993</v>
      </c>
      <c r="H65" s="63">
        <f>Statement!Y191</f>
        <v>574</v>
      </c>
      <c r="I65" s="63">
        <f>Statement!Z191</f>
        <v>628</v>
      </c>
      <c r="J65" s="63">
        <f>Statement!AA191</f>
        <v>701</v>
      </c>
    </row>
    <row r="66" spans="2:10" x14ac:dyDescent="0.2">
      <c r="B66" s="20" t="s">
        <v>256</v>
      </c>
      <c r="C66" s="63">
        <f>Statement!T157</f>
        <v>0</v>
      </c>
      <c r="D66" s="63">
        <f>Statement!U157</f>
        <v>0</v>
      </c>
      <c r="E66" s="63">
        <f>Statement!V157</f>
        <v>-5054</v>
      </c>
      <c r="F66" s="63">
        <f>Statement!W157</f>
        <v>-2164</v>
      </c>
      <c r="G66" s="63">
        <f>Statement!X157</f>
        <v>-427</v>
      </c>
      <c r="H66" s="63">
        <f>Statement!Y157</f>
        <v>-11421</v>
      </c>
      <c r="I66" s="63">
        <f>Statement!Z157</f>
        <v>-3161</v>
      </c>
      <c r="J66" s="63">
        <f>Statement!AA157</f>
        <v>3764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4B610-4F16-C34E-B8D9-992F7812B5AD}">
  <sheetPr>
    <tabColor theme="6" tint="0.59999389629810485"/>
  </sheetPr>
  <dimension ref="B5:H13"/>
  <sheetViews>
    <sheetView workbookViewId="0">
      <selection activeCell="H5" sqref="H5:H10"/>
    </sheetView>
  </sheetViews>
  <sheetFormatPr baseColWidth="10" defaultRowHeight="16" x14ac:dyDescent="0.2"/>
  <cols>
    <col min="1" max="7" width="10.83203125" style="1"/>
    <col min="8" max="8" width="16.5" style="1" customWidth="1"/>
    <col min="9" max="16384" width="10.83203125" style="1"/>
  </cols>
  <sheetData>
    <row r="5" spans="2:8" x14ac:dyDescent="0.2">
      <c r="H5" s="131" t="s">
        <v>421</v>
      </c>
    </row>
    <row r="6" spans="2:8" x14ac:dyDescent="0.2">
      <c r="H6" s="234" t="s">
        <v>426</v>
      </c>
    </row>
    <row r="7" spans="2:8" x14ac:dyDescent="0.2">
      <c r="H7" s="234" t="s">
        <v>422</v>
      </c>
    </row>
    <row r="8" spans="2:8" x14ac:dyDescent="0.2">
      <c r="H8" s="234" t="s">
        <v>423</v>
      </c>
    </row>
    <row r="9" spans="2:8" x14ac:dyDescent="0.2">
      <c r="H9" s="234" t="s">
        <v>424</v>
      </c>
    </row>
    <row r="10" spans="2:8" x14ac:dyDescent="0.2">
      <c r="H10" s="235" t="s">
        <v>425</v>
      </c>
    </row>
    <row r="13" spans="2:8" s="4" customFormat="1" ht="49" x14ac:dyDescent="0.2">
      <c r="B13" s="3" t="s">
        <v>106</v>
      </c>
    </row>
  </sheetData>
  <hyperlinks>
    <hyperlink ref="H6" location="Overview!B3" display="Overview'!B3" xr:uid="{2FAE08F3-3629-4F42-8CB8-5D64CA33BE2D}"/>
    <hyperlink ref="H8" location="'Analysis -&gt;'!B13" display="'Analysis -&gt;'!B13" xr:uid="{E720CD94-30E1-DC44-99B8-36930AA2606E}"/>
    <hyperlink ref="H9" location="'Forecast -&gt;'!B13" display="'Forecast -&gt;'!B13" xr:uid="{80B04D5C-387D-CD4C-A15B-C920D4AEEB39}"/>
    <hyperlink ref="H10" location="'Valuation -&gt;'!B13" display="'Valuation -&gt;'!B13" xr:uid="{19D37859-49D9-C84F-8095-3F93F53DF271}"/>
    <hyperlink ref="H7" location="'Financials -&gt;'!B13" display="'Financials -&gt;'!B13" xr:uid="{8D9E2D0E-8CBA-914C-BEC1-B8FF8649557A}"/>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282D1-ADA2-D843-8696-3FC058E17FA6}">
  <dimension ref="A1:AE24"/>
  <sheetViews>
    <sheetView topLeftCell="A3" zoomScale="184" zoomScaleNormal="75" workbookViewId="0">
      <selection activeCell="Q8" sqref="Q8"/>
    </sheetView>
  </sheetViews>
  <sheetFormatPr baseColWidth="10" defaultRowHeight="16" x14ac:dyDescent="0.2"/>
  <cols>
    <col min="1" max="1" width="2" style="82" customWidth="1"/>
    <col min="2" max="2" width="29"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7.6640625" style="1" customWidth="1"/>
    <col min="19" max="29" width="10.83203125" style="1"/>
    <col min="30" max="30" width="2" style="1" customWidth="1"/>
    <col min="31" max="31" width="12.33203125" style="1" customWidth="1"/>
    <col min="32" max="16384" width="10.83203125" style="1"/>
  </cols>
  <sheetData>
    <row r="1" spans="1:31" s="82" customFormat="1" ht="18" customHeight="1" x14ac:dyDescent="0.2">
      <c r="A1" s="4"/>
      <c r="B1" s="81" t="s">
        <v>107</v>
      </c>
      <c r="O1" s="83"/>
    </row>
    <row r="2" spans="1:31" x14ac:dyDescent="0.2">
      <c r="A2" s="4"/>
      <c r="C2" s="239" t="s">
        <v>108</v>
      </c>
      <c r="D2" s="239"/>
      <c r="E2" s="239"/>
      <c r="F2" s="239"/>
      <c r="G2" s="248"/>
      <c r="H2" s="249" t="s">
        <v>109</v>
      </c>
      <c r="I2" s="239"/>
      <c r="J2" s="239"/>
      <c r="K2" s="239"/>
      <c r="L2" s="239"/>
      <c r="O2" s="5"/>
      <c r="S2" s="239" t="s">
        <v>108</v>
      </c>
      <c r="T2" s="239"/>
      <c r="U2" s="239"/>
      <c r="V2" s="239"/>
      <c r="W2" s="239"/>
      <c r="X2" s="239"/>
      <c r="Y2" s="239"/>
      <c r="Z2" s="239"/>
      <c r="AA2" s="239" t="s">
        <v>109</v>
      </c>
      <c r="AB2" s="239"/>
      <c r="AC2" s="239"/>
      <c r="AE2" s="84" t="s">
        <v>110</v>
      </c>
    </row>
    <row r="3" spans="1:31" ht="10" customHeight="1" x14ac:dyDescent="0.2">
      <c r="O3" s="5"/>
    </row>
    <row r="4" spans="1:31" ht="16" customHeight="1" x14ac:dyDescent="0.2">
      <c r="A4" s="85"/>
      <c r="B4" s="59"/>
      <c r="C4" s="245" t="s">
        <v>111</v>
      </c>
      <c r="D4" s="245"/>
      <c r="E4" s="245"/>
      <c r="F4" s="245"/>
      <c r="G4" s="245"/>
      <c r="H4" s="245"/>
      <c r="I4" s="245"/>
      <c r="J4" s="245"/>
      <c r="K4" s="245"/>
      <c r="L4" s="245"/>
      <c r="O4" s="5"/>
      <c r="S4" s="246" t="s">
        <v>111</v>
      </c>
      <c r="T4" s="247"/>
      <c r="U4" s="247"/>
      <c r="V4" s="247"/>
      <c r="W4" s="247"/>
      <c r="X4" s="247"/>
      <c r="Y4" s="247"/>
      <c r="Z4" s="247"/>
      <c r="AA4" s="247"/>
      <c r="AB4" s="247"/>
      <c r="AC4" s="247"/>
      <c r="AE4" s="86"/>
    </row>
    <row r="5" spans="1:31" x14ac:dyDescent="0.2">
      <c r="B5" s="16" t="s">
        <v>112</v>
      </c>
      <c r="C5" s="12">
        <f>Statement!M3</f>
        <v>2021</v>
      </c>
      <c r="D5" s="12">
        <f>Statement!N3</f>
        <v>2022</v>
      </c>
      <c r="E5" s="12">
        <f>Statement!O3</f>
        <v>2023</v>
      </c>
      <c r="F5" s="12">
        <f>Statement!P3</f>
        <v>2024</v>
      </c>
      <c r="G5" s="12">
        <f>Statement!Q3</f>
        <v>2025</v>
      </c>
      <c r="H5" s="12">
        <f>G5+1</f>
        <v>2026</v>
      </c>
      <c r="I5" s="12">
        <f t="shared" ref="I5:L5" si="0">H5+1</f>
        <v>2027</v>
      </c>
      <c r="J5" s="12">
        <f t="shared" si="0"/>
        <v>2028</v>
      </c>
      <c r="K5" s="12">
        <f t="shared" si="0"/>
        <v>2029</v>
      </c>
      <c r="L5" s="12">
        <f t="shared" si="0"/>
        <v>2030</v>
      </c>
      <c r="O5" s="5"/>
      <c r="R5" s="16" t="str">
        <f>B5</f>
        <v>Revenues (thousand)</v>
      </c>
      <c r="S5" s="12" t="str">
        <f>Statement!T3</f>
        <v>Q3 2024</v>
      </c>
      <c r="T5" s="12" t="str">
        <f>Statement!U3</f>
        <v>Q4 2024</v>
      </c>
      <c r="U5" s="12" t="str">
        <f>Statement!V3</f>
        <v>Q1 2025</v>
      </c>
      <c r="V5" s="12" t="str">
        <f>Statement!W3</f>
        <v>Q2 2025</v>
      </c>
      <c r="W5" s="12" t="str">
        <f>Statement!X3</f>
        <v>Q3 2025</v>
      </c>
      <c r="X5" s="12" t="str">
        <f>Statement!Y3</f>
        <v>Q4 2025</v>
      </c>
      <c r="Y5" s="12" t="str">
        <f>Statement!Z3</f>
        <v>Q1 2026</v>
      </c>
      <c r="Z5" s="12" t="str">
        <f>Statement!AA3</f>
        <v>Q2 2026</v>
      </c>
      <c r="AA5" s="12" t="s">
        <v>113</v>
      </c>
      <c r="AB5" s="12" t="s">
        <v>114</v>
      </c>
      <c r="AC5" s="12" t="s">
        <v>115</v>
      </c>
      <c r="AE5" s="8" t="s">
        <v>113</v>
      </c>
    </row>
    <row r="6" spans="1:31" x14ac:dyDescent="0.2">
      <c r="B6" s="1" t="str">
        <f>Statement!B187</f>
        <v>Client Computing Group (CCPG)</v>
      </c>
      <c r="C6" s="87">
        <f>Statement!M187</f>
        <v>41081</v>
      </c>
      <c r="D6" s="87">
        <f>Statement!N187</f>
        <v>31773</v>
      </c>
      <c r="E6" s="87">
        <f>Statement!O187</f>
        <v>29258</v>
      </c>
      <c r="F6" s="87">
        <f>Statement!P187</f>
        <v>33346</v>
      </c>
      <c r="G6" s="88">
        <f>Statement!Q187</f>
        <v>32228</v>
      </c>
      <c r="H6" s="63">
        <f>G6+G6*H15</f>
        <v>33033.699999999997</v>
      </c>
      <c r="I6" s="63">
        <f t="shared" ref="I6:L6" si="1">H6+H6*I15</f>
        <v>34024.710999999996</v>
      </c>
      <c r="J6" s="63">
        <f t="shared" si="1"/>
        <v>35385.699439999997</v>
      </c>
      <c r="K6" s="63">
        <f t="shared" si="1"/>
        <v>36801.127417599993</v>
      </c>
      <c r="L6" s="63">
        <f t="shared" si="1"/>
        <v>38641.18378847999</v>
      </c>
      <c r="N6" s="89" t="s">
        <v>364</v>
      </c>
      <c r="O6" s="5"/>
      <c r="Q6" s="89" t="s">
        <v>364</v>
      </c>
      <c r="R6" s="1" t="str">
        <f>B6</f>
        <v>Client Computing Group (CCPG)</v>
      </c>
      <c r="S6" s="87">
        <f>Statement!T187</f>
        <v>8161</v>
      </c>
      <c r="T6" s="87">
        <f>Statement!U187</f>
        <v>8769</v>
      </c>
      <c r="U6" s="87">
        <f>Statement!V187</f>
        <v>7629</v>
      </c>
      <c r="V6" s="87">
        <f>Statement!W187</f>
        <v>7871</v>
      </c>
      <c r="W6" s="87">
        <f>Statement!X187</f>
        <v>8535</v>
      </c>
      <c r="X6" s="87">
        <f>Statement!Y187</f>
        <v>8193</v>
      </c>
      <c r="Y6" s="87">
        <f>Statement!Z187</f>
        <v>7727</v>
      </c>
      <c r="Z6" s="88">
        <f>Statement!AA187</f>
        <v>8877</v>
      </c>
      <c r="AA6" s="63">
        <f>Z6+Z6*AA15</f>
        <v>8699.4599999999991</v>
      </c>
      <c r="AB6" s="63"/>
      <c r="AC6" s="63"/>
      <c r="AE6" s="63">
        <f>SUM(X6:AA6)</f>
        <v>33496.46</v>
      </c>
    </row>
    <row r="7" spans="1:31" x14ac:dyDescent="0.2">
      <c r="B7" s="1" t="str">
        <f>Statement!B188</f>
        <v>Datacenter and AI (DCAI)</v>
      </c>
      <c r="C7" s="87">
        <f>Statement!M188</f>
        <v>30439</v>
      </c>
      <c r="D7" s="87">
        <f>Statement!N188</f>
        <v>27854</v>
      </c>
      <c r="E7" s="87">
        <f>Statement!O188</f>
        <v>21295</v>
      </c>
      <c r="F7" s="87">
        <f>Statement!P188</f>
        <v>16125</v>
      </c>
      <c r="G7" s="88">
        <f>Statement!Q188</f>
        <v>16919</v>
      </c>
      <c r="H7" s="63">
        <f>G7+G7*H16</f>
        <v>22840.65</v>
      </c>
      <c r="I7" s="63">
        <f t="shared" ref="I7:L7" si="2">H7+H7*I16</f>
        <v>24896.308500000003</v>
      </c>
      <c r="J7" s="63">
        <f t="shared" si="2"/>
        <v>27883.865520000003</v>
      </c>
      <c r="K7" s="63">
        <f t="shared" si="2"/>
        <v>32066.445348000001</v>
      </c>
      <c r="L7" s="63">
        <f t="shared" si="2"/>
        <v>35273.089882799999</v>
      </c>
      <c r="N7" s="89" t="s">
        <v>365</v>
      </c>
      <c r="O7" s="5"/>
      <c r="Q7" s="89" t="s">
        <v>365</v>
      </c>
      <c r="R7" s="1" t="str">
        <f t="shared" ref="R7:R10" si="3">B7</f>
        <v>Datacenter and AI (DCAI)</v>
      </c>
      <c r="S7" s="87">
        <f>Statement!T188</f>
        <v>4141</v>
      </c>
      <c r="T7" s="87">
        <f>Statement!U188</f>
        <v>4351</v>
      </c>
      <c r="U7" s="87">
        <f>Statement!V188</f>
        <v>4126</v>
      </c>
      <c r="V7" s="87">
        <f>Statement!W188</f>
        <v>3939</v>
      </c>
      <c r="W7" s="87">
        <f>Statement!X188</f>
        <v>4117</v>
      </c>
      <c r="X7" s="87">
        <f>Statement!Y188</f>
        <v>4737</v>
      </c>
      <c r="Y7" s="87">
        <f>Statement!Z188</f>
        <v>5052</v>
      </c>
      <c r="Z7" s="88">
        <f>Statement!AA188</f>
        <v>6262</v>
      </c>
      <c r="AA7" s="63">
        <f>Z7+Z7*AA16</f>
        <v>6136.76</v>
      </c>
      <c r="AB7" s="63"/>
      <c r="AC7" s="63"/>
      <c r="AE7" s="63">
        <f t="shared" ref="AE7:AE10" si="4">SUM(X7:AA7)</f>
        <v>22187.760000000002</v>
      </c>
    </row>
    <row r="8" spans="1:31" x14ac:dyDescent="0.2">
      <c r="B8" s="1" t="str">
        <f>Statement!B189</f>
        <v>Total Intel products</v>
      </c>
      <c r="C8" s="87">
        <f>Statement!M189</f>
        <v>71520</v>
      </c>
      <c r="D8" s="87">
        <f>Statement!N189</f>
        <v>59627</v>
      </c>
      <c r="E8" s="87">
        <f>Statement!O189</f>
        <v>50553</v>
      </c>
      <c r="F8" s="87">
        <f>Statement!P189</f>
        <v>49471</v>
      </c>
      <c r="G8" s="88">
        <f>Statement!Q189</f>
        <v>49147</v>
      </c>
      <c r="H8" s="63">
        <f>SUM(H6:H7)</f>
        <v>55874.35</v>
      </c>
      <c r="I8" s="63">
        <f t="shared" ref="I8:L8" si="5">SUM(I6:I7)</f>
        <v>58921.019499999995</v>
      </c>
      <c r="J8" s="63">
        <f t="shared" si="5"/>
        <v>63269.564960000003</v>
      </c>
      <c r="K8" s="63">
        <f t="shared" si="5"/>
        <v>68867.572765599994</v>
      </c>
      <c r="L8" s="63">
        <f t="shared" si="5"/>
        <v>73914.273671279981</v>
      </c>
      <c r="N8" s="89" t="s">
        <v>408</v>
      </c>
      <c r="O8" s="5"/>
      <c r="Q8" s="89" t="s">
        <v>408</v>
      </c>
      <c r="R8" s="1" t="str">
        <f t="shared" si="3"/>
        <v>Total Intel products</v>
      </c>
      <c r="S8" s="87">
        <f>Statement!T189</f>
        <v>12302</v>
      </c>
      <c r="T8" s="87">
        <f>Statement!U189</f>
        <v>13120</v>
      </c>
      <c r="U8" s="87">
        <f>Statement!V189</f>
        <v>11755</v>
      </c>
      <c r="V8" s="87">
        <f>Statement!W189</f>
        <v>11810</v>
      </c>
      <c r="W8" s="87">
        <f>Statement!X189</f>
        <v>12652</v>
      </c>
      <c r="X8" s="87">
        <f>Statement!Y189</f>
        <v>12930</v>
      </c>
      <c r="Y8" s="87">
        <f>Statement!Z189</f>
        <v>12779</v>
      </c>
      <c r="Z8" s="88">
        <f>Statement!AA189</f>
        <v>15139</v>
      </c>
      <c r="AA8" s="63">
        <f>SUM(AA6:AA7)</f>
        <v>14836.22</v>
      </c>
      <c r="AB8" s="63"/>
      <c r="AC8" s="63"/>
      <c r="AE8" s="63">
        <f t="shared" si="4"/>
        <v>55684.22</v>
      </c>
    </row>
    <row r="9" spans="1:31" x14ac:dyDescent="0.2">
      <c r="B9" s="1" t="str">
        <f>Statement!B220</f>
        <v>External Foundry revenue</v>
      </c>
      <c r="C9" s="87">
        <f>Statement!M220</f>
        <v>0</v>
      </c>
      <c r="D9" s="87">
        <f>Statement!N220</f>
        <v>0</v>
      </c>
      <c r="E9" s="87">
        <f>Statement!O220</f>
        <v>0</v>
      </c>
      <c r="F9" s="87">
        <f>Statement!P220</f>
        <v>29</v>
      </c>
      <c r="G9" s="88">
        <f>Statement!Q220</f>
        <v>143</v>
      </c>
      <c r="H9" s="63">
        <f>G9+G9*H18</f>
        <v>1573</v>
      </c>
      <c r="I9" s="63">
        <f t="shared" ref="I9:L9" si="6">H9+H9*I18</f>
        <v>3146</v>
      </c>
      <c r="J9" s="63">
        <f t="shared" si="6"/>
        <v>6292</v>
      </c>
      <c r="K9" s="63">
        <f t="shared" si="6"/>
        <v>11325.6</v>
      </c>
      <c r="L9" s="63">
        <f t="shared" si="6"/>
        <v>16988.400000000001</v>
      </c>
      <c r="N9" s="89" t="s">
        <v>366</v>
      </c>
      <c r="O9" s="5"/>
      <c r="Q9" s="89" t="s">
        <v>366</v>
      </c>
      <c r="R9" s="1" t="str">
        <f t="shared" si="3"/>
        <v>External Foundry revenue</v>
      </c>
      <c r="S9" s="87">
        <f>Statement!T220</f>
        <v>18</v>
      </c>
      <c r="T9" s="87">
        <f>Statement!U220</f>
        <v>27</v>
      </c>
      <c r="U9" s="87">
        <f>Statement!V220</f>
        <v>-31</v>
      </c>
      <c r="V9" s="87">
        <f>Statement!W220</f>
        <v>-4</v>
      </c>
      <c r="W9" s="87">
        <f>Statement!X220</f>
        <v>8</v>
      </c>
      <c r="X9" s="87">
        <f>Statement!Y220</f>
        <v>170</v>
      </c>
      <c r="Y9" s="87">
        <f>Statement!Z220</f>
        <v>170</v>
      </c>
      <c r="Z9" s="88">
        <f>Statement!AA220</f>
        <v>1344</v>
      </c>
      <c r="AA9" s="63">
        <f>Z9+Z9*AA18</f>
        <v>1344</v>
      </c>
      <c r="AB9" s="63"/>
      <c r="AC9" s="63"/>
      <c r="AE9" s="63">
        <f t="shared" si="4"/>
        <v>3028</v>
      </c>
    </row>
    <row r="10" spans="1:31" x14ac:dyDescent="0.2">
      <c r="B10" s="1" t="str">
        <f>Statement!B191</f>
        <v>Other</v>
      </c>
      <c r="C10" s="87">
        <f>Statement!M191</f>
        <v>7157</v>
      </c>
      <c r="D10" s="87">
        <f>Statement!N191</f>
        <v>2958</v>
      </c>
      <c r="E10" s="87">
        <f>Statement!O191</f>
        <v>2723</v>
      </c>
      <c r="F10" s="87">
        <f>Statement!P191</f>
        <v>3601</v>
      </c>
      <c r="G10" s="88">
        <f>Statement!Q191</f>
        <v>3563</v>
      </c>
      <c r="H10" s="63">
        <f>G10+G10*H19</f>
        <v>3741.15</v>
      </c>
      <c r="I10" s="63">
        <f t="shared" ref="I10:L10" si="7">H10+H10*I19</f>
        <v>3965.6190000000001</v>
      </c>
      <c r="J10" s="63">
        <f t="shared" si="7"/>
        <v>4203.5561400000006</v>
      </c>
      <c r="K10" s="63">
        <f t="shared" si="7"/>
        <v>4455.7695084000006</v>
      </c>
      <c r="L10" s="63">
        <f t="shared" si="7"/>
        <v>4678.557983820001</v>
      </c>
      <c r="N10" s="89" t="s">
        <v>367</v>
      </c>
      <c r="O10" s="5"/>
      <c r="Q10" s="89" t="s">
        <v>367</v>
      </c>
      <c r="R10" s="1" t="str">
        <f t="shared" si="3"/>
        <v>Other</v>
      </c>
      <c r="S10" s="87">
        <f>Statement!T191</f>
        <v>964</v>
      </c>
      <c r="T10" s="87">
        <f>Statement!U191</f>
        <v>1113</v>
      </c>
      <c r="U10" s="87">
        <f>Statement!V191</f>
        <v>943</v>
      </c>
      <c r="V10" s="87">
        <f>Statement!W191</f>
        <v>1053</v>
      </c>
      <c r="W10" s="87">
        <f>Statement!X191</f>
        <v>993</v>
      </c>
      <c r="X10" s="87">
        <f>Statement!Y191</f>
        <v>574</v>
      </c>
      <c r="Y10" s="87">
        <f>Statement!Z191</f>
        <v>628</v>
      </c>
      <c r="Z10" s="88">
        <f>Statement!AA191</f>
        <v>701</v>
      </c>
      <c r="AA10" s="63">
        <f>Z10+Z10*AA19</f>
        <v>701</v>
      </c>
      <c r="AB10" s="63"/>
      <c r="AC10" s="63"/>
      <c r="AE10" s="63">
        <f t="shared" si="4"/>
        <v>2604</v>
      </c>
    </row>
    <row r="11" spans="1:31" x14ac:dyDescent="0.2">
      <c r="B11" s="16" t="s">
        <v>116</v>
      </c>
      <c r="C11" s="91">
        <f>Statement!M5</f>
        <v>79024</v>
      </c>
      <c r="D11" s="91">
        <f>Statement!N5</f>
        <v>63054</v>
      </c>
      <c r="E11" s="91">
        <f>Statement!O5</f>
        <v>54228</v>
      </c>
      <c r="F11" s="91">
        <f>Statement!P5</f>
        <v>53101</v>
      </c>
      <c r="G11" s="92">
        <f>Statement!Q5</f>
        <v>52853</v>
      </c>
      <c r="H11" s="93">
        <f>SUM(H8:H10)</f>
        <v>61188.5</v>
      </c>
      <c r="I11" s="93">
        <f t="shared" ref="I11:L11" si="8">SUM(I8:I10)</f>
        <v>66032.638500000001</v>
      </c>
      <c r="J11" s="93">
        <f t="shared" si="8"/>
        <v>73765.121100000004</v>
      </c>
      <c r="K11" s="93">
        <f t="shared" si="8"/>
        <v>84648.942274000001</v>
      </c>
      <c r="L11" s="93">
        <f t="shared" si="8"/>
        <v>95581.231655099982</v>
      </c>
      <c r="N11" s="1" t="s">
        <v>368</v>
      </c>
      <c r="O11" s="5"/>
      <c r="Q11" s="1" t="s">
        <v>368</v>
      </c>
      <c r="R11" s="16" t="s">
        <v>116</v>
      </c>
      <c r="S11" s="91">
        <f>Statement!T5</f>
        <v>13284</v>
      </c>
      <c r="T11" s="91">
        <f>Statement!U5</f>
        <v>14260</v>
      </c>
      <c r="U11" s="91">
        <f>Statement!V5</f>
        <v>12667</v>
      </c>
      <c r="V11" s="91">
        <f>Statement!W5</f>
        <v>12859</v>
      </c>
      <c r="W11" s="91">
        <f>Statement!X5</f>
        <v>13653</v>
      </c>
      <c r="X11" s="91">
        <f>Statement!Y5</f>
        <v>13674</v>
      </c>
      <c r="Y11" s="91">
        <f>Statement!Z5</f>
        <v>13577</v>
      </c>
      <c r="Z11" s="92">
        <f>Statement!AA5</f>
        <v>16128</v>
      </c>
      <c r="AA11" s="93">
        <f>SUM(AA8:AA10)</f>
        <v>16881.22</v>
      </c>
      <c r="AB11" s="93"/>
      <c r="AC11" s="93"/>
      <c r="AE11" s="93">
        <f>SUM(X11:AA11)</f>
        <v>60260.22</v>
      </c>
    </row>
    <row r="12" spans="1:31" x14ac:dyDescent="0.2">
      <c r="O12" s="5"/>
      <c r="Q12" s="90"/>
    </row>
    <row r="13" spans="1:31" x14ac:dyDescent="0.2">
      <c r="C13" s="245" t="s">
        <v>117</v>
      </c>
      <c r="D13" s="245"/>
      <c r="E13" s="245"/>
      <c r="F13" s="245"/>
      <c r="G13" s="245"/>
      <c r="H13" s="245"/>
      <c r="I13" s="245"/>
      <c r="J13" s="245"/>
      <c r="K13" s="245"/>
      <c r="L13" s="245"/>
      <c r="O13" s="5"/>
      <c r="Q13" s="90"/>
      <c r="S13" s="246" t="s">
        <v>117</v>
      </c>
      <c r="T13" s="247"/>
      <c r="U13" s="247"/>
      <c r="V13" s="247"/>
      <c r="W13" s="247"/>
      <c r="X13" s="247"/>
      <c r="Y13" s="247"/>
      <c r="Z13" s="247"/>
      <c r="AA13" s="247"/>
      <c r="AB13" s="247"/>
      <c r="AC13" s="247"/>
    </row>
    <row r="14" spans="1:31" x14ac:dyDescent="0.2">
      <c r="B14" s="16" t="s">
        <v>118</v>
      </c>
      <c r="C14" s="12">
        <f t="shared" ref="C14:L14" si="9">C5</f>
        <v>2021</v>
      </c>
      <c r="D14" s="12">
        <f t="shared" si="9"/>
        <v>2022</v>
      </c>
      <c r="E14" s="12">
        <f t="shared" si="9"/>
        <v>2023</v>
      </c>
      <c r="F14" s="12">
        <f t="shared" si="9"/>
        <v>2024</v>
      </c>
      <c r="G14" s="12">
        <f t="shared" si="9"/>
        <v>2025</v>
      </c>
      <c r="H14" s="12">
        <f t="shared" si="9"/>
        <v>2026</v>
      </c>
      <c r="I14" s="12">
        <f t="shared" si="9"/>
        <v>2027</v>
      </c>
      <c r="J14" s="12">
        <f t="shared" si="9"/>
        <v>2028</v>
      </c>
      <c r="K14" s="12">
        <f t="shared" si="9"/>
        <v>2029</v>
      </c>
      <c r="L14" s="12">
        <f t="shared" si="9"/>
        <v>2030</v>
      </c>
      <c r="O14" s="5"/>
      <c r="Q14" s="90"/>
      <c r="R14" s="16" t="s">
        <v>118</v>
      </c>
      <c r="S14" s="12" t="str">
        <f t="shared" ref="S14:AC14" si="10">S5</f>
        <v>Q3 2024</v>
      </c>
      <c r="T14" s="12" t="str">
        <f t="shared" si="10"/>
        <v>Q4 2024</v>
      </c>
      <c r="U14" s="12" t="str">
        <f t="shared" si="10"/>
        <v>Q1 2025</v>
      </c>
      <c r="V14" s="12" t="str">
        <f t="shared" si="10"/>
        <v>Q2 2025</v>
      </c>
      <c r="W14" s="12" t="str">
        <f t="shared" si="10"/>
        <v>Q3 2025</v>
      </c>
      <c r="X14" s="12" t="str">
        <f t="shared" si="10"/>
        <v>Q4 2025</v>
      </c>
      <c r="Y14" s="12" t="str">
        <f t="shared" si="10"/>
        <v>Q1 2026</v>
      </c>
      <c r="Z14" s="12" t="str">
        <f t="shared" si="10"/>
        <v>Q2 2026</v>
      </c>
      <c r="AA14" s="12" t="str">
        <f t="shared" si="10"/>
        <v>FQ1</v>
      </c>
      <c r="AB14" s="12" t="str">
        <f t="shared" si="10"/>
        <v>FQ2</v>
      </c>
      <c r="AC14" s="12" t="str">
        <f t="shared" si="10"/>
        <v>FQ3</v>
      </c>
    </row>
    <row r="15" spans="1:31" x14ac:dyDescent="0.2">
      <c r="B15" s="1" t="str">
        <f>B6</f>
        <v>Client Computing Group (CCPG)</v>
      </c>
      <c r="C15" s="47"/>
      <c r="D15" s="94">
        <f t="shared" ref="D15:G15" si="11">D6/C6-1</f>
        <v>-0.22657676298045326</v>
      </c>
      <c r="E15" s="94">
        <f t="shared" si="11"/>
        <v>-7.9155257608661489E-2</v>
      </c>
      <c r="F15" s="94">
        <f t="shared" si="11"/>
        <v>0.139722469068289</v>
      </c>
      <c r="G15" s="95">
        <f t="shared" si="11"/>
        <v>-3.3527259641336293E-2</v>
      </c>
      <c r="H15" s="96">
        <v>2.5000000000000001E-2</v>
      </c>
      <c r="I15" s="96">
        <v>0.03</v>
      </c>
      <c r="J15" s="96">
        <v>0.04</v>
      </c>
      <c r="K15" s="96">
        <v>0.04</v>
      </c>
      <c r="L15" s="96">
        <v>0.05</v>
      </c>
      <c r="O15" s="5"/>
      <c r="Q15" s="90"/>
      <c r="R15" s="1" t="str">
        <f>R6</f>
        <v>Client Computing Group (CCPG)</v>
      </c>
      <c r="S15" s="47"/>
      <c r="T15" s="94">
        <f t="shared" ref="T15:Z17" si="12">T6/S6-1</f>
        <v>7.4500673937017536E-2</v>
      </c>
      <c r="U15" s="94">
        <f t="shared" si="12"/>
        <v>-0.13000342114266161</v>
      </c>
      <c r="V15" s="94">
        <f t="shared" si="12"/>
        <v>3.172106435968014E-2</v>
      </c>
      <c r="W15" s="94">
        <f t="shared" si="12"/>
        <v>8.4360309998729566E-2</v>
      </c>
      <c r="X15" s="94">
        <f t="shared" si="12"/>
        <v>-4.0070298769771528E-2</v>
      </c>
      <c r="Y15" s="94">
        <f t="shared" si="12"/>
        <v>-5.6877822531429256E-2</v>
      </c>
      <c r="Z15" s="95">
        <f t="shared" si="12"/>
        <v>0.14882878219231266</v>
      </c>
      <c r="AA15" s="96">
        <v>-0.02</v>
      </c>
      <c r="AB15" s="94"/>
      <c r="AC15" s="94"/>
    </row>
    <row r="16" spans="1:31" x14ac:dyDescent="0.2">
      <c r="B16" s="1" t="str">
        <f>B7</f>
        <v>Datacenter and AI (DCAI)</v>
      </c>
      <c r="C16" s="47"/>
      <c r="D16" s="94">
        <f t="shared" ref="D16:G16" si="13">D7/C7-1</f>
        <v>-8.4923946253162019E-2</v>
      </c>
      <c r="E16" s="94">
        <f t="shared" si="13"/>
        <v>-0.23547784878293965</v>
      </c>
      <c r="F16" s="94">
        <f t="shared" si="13"/>
        <v>-0.24277999530406202</v>
      </c>
      <c r="G16" s="95">
        <f t="shared" si="13"/>
        <v>4.9240310077519389E-2</v>
      </c>
      <c r="H16" s="96">
        <v>0.35</v>
      </c>
      <c r="I16" s="96">
        <v>0.09</v>
      </c>
      <c r="J16" s="96">
        <v>0.12</v>
      </c>
      <c r="K16" s="96">
        <v>0.15</v>
      </c>
      <c r="L16" s="96">
        <v>0.1</v>
      </c>
      <c r="O16" s="5"/>
      <c r="Q16" s="90"/>
      <c r="R16" s="1" t="str">
        <f>R7</f>
        <v>Datacenter and AI (DCAI)</v>
      </c>
      <c r="S16" s="47"/>
      <c r="T16" s="94">
        <f t="shared" si="12"/>
        <v>5.0712388312001977E-2</v>
      </c>
      <c r="U16" s="94">
        <f t="shared" si="12"/>
        <v>-5.1712250057458053E-2</v>
      </c>
      <c r="V16" s="94">
        <f t="shared" si="12"/>
        <v>-4.5322346097915633E-2</v>
      </c>
      <c r="W16" s="94">
        <f t="shared" si="12"/>
        <v>4.5189134298045275E-2</v>
      </c>
      <c r="X16" s="94">
        <f t="shared" si="12"/>
        <v>0.15059509351469513</v>
      </c>
      <c r="Y16" s="94">
        <f t="shared" si="12"/>
        <v>6.649778340721979E-2</v>
      </c>
      <c r="Z16" s="95">
        <f t="shared" si="12"/>
        <v>0.23950910530482972</v>
      </c>
      <c r="AA16" s="96">
        <v>-0.02</v>
      </c>
      <c r="AB16" s="94"/>
      <c r="AC16" s="94"/>
    </row>
    <row r="17" spans="2:29" x14ac:dyDescent="0.2">
      <c r="B17" s="1" t="str">
        <f>B8</f>
        <v>Total Intel products</v>
      </c>
      <c r="C17" s="47"/>
      <c r="D17" s="94">
        <f t="shared" ref="D17:L17" si="14">D8/C8-1</f>
        <v>-0.16628914988814314</v>
      </c>
      <c r="E17" s="94">
        <f t="shared" si="14"/>
        <v>-0.15217938182367052</v>
      </c>
      <c r="F17" s="94">
        <f t="shared" si="14"/>
        <v>-2.1403279726227908E-2</v>
      </c>
      <c r="G17" s="95">
        <f t="shared" si="14"/>
        <v>-6.5492915041135413E-3</v>
      </c>
      <c r="H17" s="94">
        <f t="shared" si="14"/>
        <v>0.13688221051132321</v>
      </c>
      <c r="I17" s="94">
        <f t="shared" si="14"/>
        <v>5.452715781033679E-2</v>
      </c>
      <c r="J17" s="94">
        <f t="shared" si="14"/>
        <v>7.380295685481153E-2</v>
      </c>
      <c r="K17" s="94">
        <f t="shared" si="14"/>
        <v>8.8478683378637735E-2</v>
      </c>
      <c r="L17" s="94">
        <f t="shared" si="14"/>
        <v>7.3281236770999847E-2</v>
      </c>
      <c r="O17" s="5"/>
      <c r="Q17" s="90"/>
      <c r="R17" s="1" t="str">
        <f>R8</f>
        <v>Total Intel products</v>
      </c>
      <c r="S17" s="47"/>
      <c r="T17" s="94">
        <f t="shared" si="12"/>
        <v>6.6493253129572327E-2</v>
      </c>
      <c r="U17" s="94">
        <f t="shared" si="12"/>
        <v>-0.10403963414634143</v>
      </c>
      <c r="V17" s="94">
        <f t="shared" si="12"/>
        <v>4.6788600595490948E-3</v>
      </c>
      <c r="W17" s="94">
        <f t="shared" si="12"/>
        <v>7.1295512277730788E-2</v>
      </c>
      <c r="X17" s="94">
        <f t="shared" si="12"/>
        <v>2.1972810622826522E-2</v>
      </c>
      <c r="Y17" s="94">
        <f t="shared" si="12"/>
        <v>-1.1678267594740888E-2</v>
      </c>
      <c r="Z17" s="95">
        <f t="shared" si="12"/>
        <v>0.18467798732295182</v>
      </c>
      <c r="AA17" s="94">
        <f>AA8/Z8-1</f>
        <v>-2.0000000000000018E-2</v>
      </c>
      <c r="AB17" s="94"/>
      <c r="AC17" s="94"/>
    </row>
    <row r="18" spans="2:29" x14ac:dyDescent="0.2">
      <c r="B18" s="1" t="str">
        <f t="shared" ref="B18:B19" si="15">B9</f>
        <v>External Foundry revenue</v>
      </c>
      <c r="C18" s="47"/>
      <c r="D18" s="94" t="e">
        <f t="shared" ref="D18:D19" si="16">D9/C9-1</f>
        <v>#DIV/0!</v>
      </c>
      <c r="E18" s="94" t="e">
        <f t="shared" ref="E18:E19" si="17">E9/D9-1</f>
        <v>#DIV/0!</v>
      </c>
      <c r="F18" s="94" t="e">
        <f t="shared" ref="F18:F19" si="18">F9/E9-1</f>
        <v>#DIV/0!</v>
      </c>
      <c r="G18" s="95">
        <f t="shared" ref="G18:G19" si="19">G9/F9-1</f>
        <v>3.931034482758621</v>
      </c>
      <c r="H18" s="96">
        <v>10</v>
      </c>
      <c r="I18" s="96">
        <v>1</v>
      </c>
      <c r="J18" s="96">
        <v>1</v>
      </c>
      <c r="K18" s="96">
        <v>0.8</v>
      </c>
      <c r="L18" s="96">
        <v>0.5</v>
      </c>
      <c r="O18" s="5"/>
      <c r="Q18" s="90"/>
      <c r="R18" s="1" t="str">
        <f t="shared" ref="R18:R19" si="20">R9</f>
        <v>External Foundry revenue</v>
      </c>
      <c r="S18" s="47"/>
      <c r="T18" s="94">
        <f t="shared" ref="T18:Z18" si="21">T9/S9-1</f>
        <v>0.5</v>
      </c>
      <c r="U18" s="94">
        <f t="shared" si="21"/>
        <v>-2.1481481481481479</v>
      </c>
      <c r="V18" s="94">
        <f t="shared" si="21"/>
        <v>-0.87096774193548387</v>
      </c>
      <c r="W18" s="94">
        <f t="shared" si="21"/>
        <v>-3</v>
      </c>
      <c r="X18" s="94">
        <f t="shared" si="21"/>
        <v>20.25</v>
      </c>
      <c r="Y18" s="94">
        <f t="shared" si="21"/>
        <v>0</v>
      </c>
      <c r="Z18" s="95">
        <f t="shared" si="21"/>
        <v>6.9058823529411768</v>
      </c>
      <c r="AA18" s="96">
        <v>0</v>
      </c>
      <c r="AB18" s="94"/>
      <c r="AC18" s="94"/>
    </row>
    <row r="19" spans="2:29" x14ac:dyDescent="0.2">
      <c r="B19" s="1" t="str">
        <f t="shared" si="15"/>
        <v>Other</v>
      </c>
      <c r="C19" s="47"/>
      <c r="D19" s="94">
        <f t="shared" si="16"/>
        <v>-0.58669833729216148</v>
      </c>
      <c r="E19" s="94">
        <f t="shared" si="17"/>
        <v>-7.9445571331981046E-2</v>
      </c>
      <c r="F19" s="94">
        <f t="shared" si="18"/>
        <v>0.32243848696290867</v>
      </c>
      <c r="G19" s="95">
        <f t="shared" si="19"/>
        <v>-1.0552624271035871E-2</v>
      </c>
      <c r="H19" s="96">
        <v>0.05</v>
      </c>
      <c r="I19" s="96">
        <v>0.06</v>
      </c>
      <c r="J19" s="96">
        <v>0.06</v>
      </c>
      <c r="K19" s="96">
        <v>0.06</v>
      </c>
      <c r="L19" s="96">
        <v>0.05</v>
      </c>
      <c r="O19" s="5"/>
      <c r="Q19" s="90"/>
      <c r="R19" s="1" t="str">
        <f t="shared" si="20"/>
        <v>Other</v>
      </c>
      <c r="S19" s="47"/>
      <c r="T19" s="94">
        <f t="shared" ref="T19:Z19" si="22">T10/S10-1</f>
        <v>0.15456431535269699</v>
      </c>
      <c r="U19" s="94">
        <f t="shared" si="22"/>
        <v>-0.1527403414195867</v>
      </c>
      <c r="V19" s="94">
        <f t="shared" si="22"/>
        <v>0.11664899257688233</v>
      </c>
      <c r="W19" s="94">
        <f t="shared" si="22"/>
        <v>-5.6980056980056926E-2</v>
      </c>
      <c r="X19" s="94">
        <f t="shared" si="22"/>
        <v>-0.42195367573011078</v>
      </c>
      <c r="Y19" s="94">
        <f t="shared" si="22"/>
        <v>9.4076655052264702E-2</v>
      </c>
      <c r="Z19" s="95">
        <f t="shared" si="22"/>
        <v>0.11624203821656054</v>
      </c>
      <c r="AA19" s="96">
        <v>0</v>
      </c>
      <c r="AB19" s="94"/>
      <c r="AC19" s="94"/>
    </row>
    <row r="20" spans="2:29" x14ac:dyDescent="0.2">
      <c r="B20" s="16" t="str">
        <f>B11</f>
        <v>Total</v>
      </c>
      <c r="C20" s="47"/>
      <c r="D20" s="102">
        <f t="shared" ref="D20:L20" si="23">D11/C11-1</f>
        <v>-0.20209050415063778</v>
      </c>
      <c r="E20" s="102">
        <f t="shared" si="23"/>
        <v>-0.13997525930155108</v>
      </c>
      <c r="F20" s="102">
        <f t="shared" si="23"/>
        <v>-2.0782621523935951E-2</v>
      </c>
      <c r="G20" s="103">
        <f t="shared" si="23"/>
        <v>-4.6703451912393223E-3</v>
      </c>
      <c r="H20" s="102">
        <f t="shared" si="23"/>
        <v>0.15771100978184771</v>
      </c>
      <c r="I20" s="102">
        <f t="shared" si="23"/>
        <v>7.9167466108827744E-2</v>
      </c>
      <c r="J20" s="102">
        <f t="shared" si="23"/>
        <v>0.1171009182072893</v>
      </c>
      <c r="K20" s="102">
        <f t="shared" si="23"/>
        <v>0.1475469844243229</v>
      </c>
      <c r="L20" s="102">
        <f t="shared" si="23"/>
        <v>0.12914856449963996</v>
      </c>
      <c r="O20" s="5"/>
      <c r="Q20" s="90"/>
      <c r="R20" s="16" t="str">
        <f>R11</f>
        <v>Total</v>
      </c>
      <c r="S20" s="47"/>
      <c r="T20" s="102">
        <f t="shared" ref="T20:AA20" si="24">T11/S11-1</f>
        <v>7.3471845829569338E-2</v>
      </c>
      <c r="U20" s="102">
        <f t="shared" si="24"/>
        <v>-0.11171107994389906</v>
      </c>
      <c r="V20" s="102">
        <f t="shared" si="24"/>
        <v>1.5157495855372183E-2</v>
      </c>
      <c r="W20" s="102">
        <f t="shared" si="24"/>
        <v>6.1746636596935911E-2</v>
      </c>
      <c r="X20" s="102">
        <f t="shared" si="24"/>
        <v>1.5381234893430129E-3</v>
      </c>
      <c r="Y20" s="102">
        <f t="shared" si="24"/>
        <v>-7.0937545707181471E-3</v>
      </c>
      <c r="Z20" s="103">
        <f t="shared" si="24"/>
        <v>0.18789128673491939</v>
      </c>
      <c r="AA20" s="102">
        <f t="shared" si="24"/>
        <v>4.6702628968253945E-2</v>
      </c>
      <c r="AB20" s="102"/>
      <c r="AC20" s="102"/>
    </row>
    <row r="21" spans="2:29" x14ac:dyDescent="0.2">
      <c r="O21" s="5"/>
      <c r="Q21" s="90"/>
    </row>
    <row r="22" spans="2:29" x14ac:dyDescent="0.2">
      <c r="O22" s="5"/>
      <c r="Q22" s="90"/>
    </row>
    <row r="23" spans="2:29" x14ac:dyDescent="0.2">
      <c r="O23" s="5"/>
    </row>
    <row r="24" spans="2:29" x14ac:dyDescent="0.2">
      <c r="O24" s="5"/>
    </row>
  </sheetData>
  <mergeCells count="8">
    <mergeCell ref="C13:L13"/>
    <mergeCell ref="S13:AC13"/>
    <mergeCell ref="C2:G2"/>
    <mergeCell ref="H2:L2"/>
    <mergeCell ref="S2:Z2"/>
    <mergeCell ref="AA2:AC2"/>
    <mergeCell ref="C4:L4"/>
    <mergeCell ref="S4:AC4"/>
  </mergeCells>
  <pageMargins left="0.7" right="0.7" top="0.75" bottom="0.75" header="0.3" footer="0.3"/>
  <ignoredErrors>
    <ignoredError sqref="H20:L20" evalError="1"/>
    <ignoredError sqref="AA8 H8:L8"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DC400-6556-6848-BEEB-E2541EF30223}">
  <dimension ref="A1:AB24"/>
  <sheetViews>
    <sheetView topLeftCell="C11" zoomScale="178" zoomScaleNormal="100" workbookViewId="0">
      <selection activeCell="H23" sqref="H23"/>
    </sheetView>
  </sheetViews>
  <sheetFormatPr baseColWidth="10" defaultRowHeight="16" x14ac:dyDescent="0.2"/>
  <cols>
    <col min="1" max="1" width="2" style="82"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2" customFormat="1" ht="18" customHeight="1" x14ac:dyDescent="0.2">
      <c r="A1" s="4"/>
      <c r="B1" s="81" t="s">
        <v>119</v>
      </c>
    </row>
    <row r="2" spans="1:28" x14ac:dyDescent="0.2">
      <c r="A2" s="4"/>
      <c r="C2" s="239" t="s">
        <v>108</v>
      </c>
      <c r="D2" s="239"/>
      <c r="E2" s="239"/>
      <c r="F2" s="239"/>
      <c r="G2" s="248"/>
      <c r="H2" s="249" t="s">
        <v>109</v>
      </c>
      <c r="I2" s="239"/>
      <c r="J2" s="239"/>
      <c r="K2" s="239"/>
      <c r="L2" s="239"/>
      <c r="P2" s="239" t="s">
        <v>108</v>
      </c>
      <c r="Q2" s="239"/>
      <c r="R2" s="239"/>
      <c r="S2" s="239"/>
      <c r="T2" s="239"/>
      <c r="U2" s="239"/>
      <c r="V2" s="239"/>
      <c r="W2" s="239"/>
      <c r="X2" s="239" t="s">
        <v>109</v>
      </c>
      <c r="Y2" s="239"/>
      <c r="Z2" s="239"/>
      <c r="AB2" s="84" t="s">
        <v>110</v>
      </c>
    </row>
    <row r="3" spans="1:28" ht="10" customHeight="1" x14ac:dyDescent="0.2"/>
    <row r="4" spans="1:28" ht="16" customHeight="1" x14ac:dyDescent="0.2">
      <c r="A4" s="85"/>
      <c r="B4" s="59"/>
      <c r="C4" s="245" t="s">
        <v>111</v>
      </c>
      <c r="D4" s="245"/>
      <c r="E4" s="245"/>
      <c r="F4" s="245"/>
      <c r="G4" s="245"/>
      <c r="H4" s="245"/>
      <c r="I4" s="245"/>
      <c r="J4" s="245"/>
      <c r="K4" s="245"/>
      <c r="L4" s="245"/>
      <c r="P4" s="247" t="s">
        <v>111</v>
      </c>
      <c r="Q4" s="247"/>
      <c r="R4" s="247"/>
      <c r="S4" s="247"/>
      <c r="T4" s="247"/>
      <c r="U4" s="247"/>
      <c r="V4" s="247"/>
      <c r="W4" s="247"/>
      <c r="X4" s="247"/>
      <c r="Y4" s="247"/>
      <c r="Z4" s="247"/>
      <c r="AB4" s="86"/>
    </row>
    <row r="5" spans="1:28" x14ac:dyDescent="0.2">
      <c r="B5" s="16" t="str">
        <f>Revenue!B5</f>
        <v>Revenues (thousand)</v>
      </c>
      <c r="C5" s="12">
        <f>Revenue!C5</f>
        <v>2021</v>
      </c>
      <c r="D5" s="12">
        <f>Revenue!D5</f>
        <v>2022</v>
      </c>
      <c r="E5" s="12">
        <f>Revenue!E5</f>
        <v>2023</v>
      </c>
      <c r="F5" s="12">
        <f>Revenue!F5</f>
        <v>2024</v>
      </c>
      <c r="G5" s="12">
        <f>Revenue!G5</f>
        <v>2025</v>
      </c>
      <c r="H5" s="12">
        <f>G5+1</f>
        <v>2026</v>
      </c>
      <c r="I5" s="12">
        <f t="shared" ref="I5:L5" si="0">H5+1</f>
        <v>2027</v>
      </c>
      <c r="J5" s="12">
        <f t="shared" si="0"/>
        <v>2028</v>
      </c>
      <c r="K5" s="12">
        <f t="shared" si="0"/>
        <v>2029</v>
      </c>
      <c r="L5" s="12">
        <f t="shared" si="0"/>
        <v>2030</v>
      </c>
      <c r="O5" s="16" t="s">
        <v>112</v>
      </c>
      <c r="P5" s="12" t="str">
        <f>Revenue!S5</f>
        <v>Q3 2024</v>
      </c>
      <c r="Q5" s="12" t="str">
        <f>Revenue!T5</f>
        <v>Q4 2024</v>
      </c>
      <c r="R5" s="12" t="str">
        <f>Revenue!U5</f>
        <v>Q1 2025</v>
      </c>
      <c r="S5" s="12" t="str">
        <f>Revenue!V5</f>
        <v>Q2 2025</v>
      </c>
      <c r="T5" s="12" t="str">
        <f>Revenue!W5</f>
        <v>Q3 2025</v>
      </c>
      <c r="U5" s="12" t="str">
        <f>Revenue!X5</f>
        <v>Q4 2025</v>
      </c>
      <c r="V5" s="12" t="str">
        <f>Revenue!Y5</f>
        <v>Q1 2026</v>
      </c>
      <c r="W5" s="12" t="str">
        <f>Revenue!Z5</f>
        <v>Q2 2026</v>
      </c>
      <c r="X5" s="12" t="s">
        <v>113</v>
      </c>
      <c r="Y5" s="12" t="s">
        <v>114</v>
      </c>
      <c r="Z5" s="12" t="s">
        <v>115</v>
      </c>
      <c r="AB5" s="86" t="str">
        <f>Revenue!AE5</f>
        <v>FQ1</v>
      </c>
    </row>
    <row r="6" spans="1:28" x14ac:dyDescent="0.2">
      <c r="B6" s="16" t="s">
        <v>19</v>
      </c>
      <c r="C6" s="91">
        <f>Revenue!C11</f>
        <v>79024</v>
      </c>
      <c r="D6" s="91">
        <f>Revenue!D11</f>
        <v>63054</v>
      </c>
      <c r="E6" s="91">
        <f>Revenue!E11</f>
        <v>54228</v>
      </c>
      <c r="F6" s="91">
        <f>Revenue!F11</f>
        <v>53101</v>
      </c>
      <c r="G6" s="92">
        <f>Revenue!G11</f>
        <v>52853</v>
      </c>
      <c r="H6" s="91">
        <f>Revenue!H11</f>
        <v>61188.5</v>
      </c>
      <c r="I6" s="91">
        <f>Revenue!I11</f>
        <v>66032.638500000001</v>
      </c>
      <c r="J6" s="91">
        <f>Revenue!J11</f>
        <v>73765.121100000004</v>
      </c>
      <c r="K6" s="91">
        <f>Revenue!K11</f>
        <v>84648.942274000001</v>
      </c>
      <c r="L6" s="91">
        <f>Revenue!L11</f>
        <v>95581.231655099982</v>
      </c>
      <c r="N6" s="90"/>
      <c r="O6" s="16" t="s">
        <v>19</v>
      </c>
      <c r="P6" s="91">
        <f>Revenue!S11</f>
        <v>13284</v>
      </c>
      <c r="Q6" s="91">
        <f>Revenue!T11</f>
        <v>14260</v>
      </c>
      <c r="R6" s="91">
        <f>Revenue!U11</f>
        <v>12667</v>
      </c>
      <c r="S6" s="91">
        <f>Revenue!V11</f>
        <v>12859</v>
      </c>
      <c r="T6" s="91">
        <f>Revenue!W11</f>
        <v>13653</v>
      </c>
      <c r="U6" s="91">
        <f>Revenue!X11</f>
        <v>13674</v>
      </c>
      <c r="V6" s="91">
        <f>Revenue!Y11</f>
        <v>13577</v>
      </c>
      <c r="W6" s="92">
        <f>Revenue!Z11</f>
        <v>16128</v>
      </c>
      <c r="X6" s="91">
        <f>Revenue!AA11</f>
        <v>16881.22</v>
      </c>
      <c r="Y6" s="93"/>
      <c r="Z6" s="93"/>
      <c r="AB6" s="91">
        <f>Revenue!AE11</f>
        <v>60260.22</v>
      </c>
    </row>
    <row r="7" spans="1:28" x14ac:dyDescent="0.2">
      <c r="N7" s="90"/>
    </row>
    <row r="8" spans="1:28" x14ac:dyDescent="0.2">
      <c r="N8" s="90"/>
    </row>
    <row r="9" spans="1:28" x14ac:dyDescent="0.2">
      <c r="C9" s="245" t="s">
        <v>120</v>
      </c>
      <c r="D9" s="245"/>
      <c r="E9" s="245"/>
      <c r="F9" s="245"/>
      <c r="G9" s="245"/>
      <c r="H9" s="245"/>
      <c r="I9" s="245"/>
      <c r="J9" s="245"/>
      <c r="K9" s="245"/>
      <c r="L9" s="245"/>
      <c r="N9" s="90"/>
      <c r="P9" s="247" t="s">
        <v>121</v>
      </c>
      <c r="Q9" s="247"/>
      <c r="R9" s="247"/>
      <c r="S9" s="247"/>
      <c r="T9" s="247"/>
      <c r="U9" s="247"/>
      <c r="V9" s="247"/>
      <c r="W9" s="247"/>
      <c r="X9" s="247"/>
      <c r="Y9" s="247"/>
      <c r="Z9" s="247"/>
      <c r="AB9" s="86">
        <f>AB4</f>
        <v>0</v>
      </c>
    </row>
    <row r="10" spans="1:28" x14ac:dyDescent="0.2">
      <c r="B10" s="16" t="s">
        <v>125</v>
      </c>
      <c r="C10" s="12">
        <f t="shared" ref="C10:L10" si="1">C5</f>
        <v>2021</v>
      </c>
      <c r="D10" s="12">
        <f t="shared" si="1"/>
        <v>2022</v>
      </c>
      <c r="E10" s="12">
        <f t="shared" si="1"/>
        <v>2023</v>
      </c>
      <c r="F10" s="12">
        <f t="shared" si="1"/>
        <v>2024</v>
      </c>
      <c r="G10" s="12">
        <f t="shared" si="1"/>
        <v>2025</v>
      </c>
      <c r="H10" s="12">
        <f t="shared" si="1"/>
        <v>2026</v>
      </c>
      <c r="I10" s="12">
        <f t="shared" si="1"/>
        <v>2027</v>
      </c>
      <c r="J10" s="12">
        <f t="shared" si="1"/>
        <v>2028</v>
      </c>
      <c r="K10" s="12">
        <f t="shared" si="1"/>
        <v>2029</v>
      </c>
      <c r="L10" s="12">
        <f t="shared" si="1"/>
        <v>2030</v>
      </c>
      <c r="N10" s="90"/>
      <c r="O10" s="16" t="s">
        <v>122</v>
      </c>
      <c r="P10" s="12" t="str">
        <f t="shared" ref="P10:Z10" si="2">P5</f>
        <v>Q3 2024</v>
      </c>
      <c r="Q10" s="12" t="str">
        <f t="shared" si="2"/>
        <v>Q4 2024</v>
      </c>
      <c r="R10" s="12" t="str">
        <f t="shared" si="2"/>
        <v>Q1 2025</v>
      </c>
      <c r="S10" s="12" t="str">
        <f t="shared" si="2"/>
        <v>Q2 2025</v>
      </c>
      <c r="T10" s="12" t="str">
        <f t="shared" si="2"/>
        <v>Q3 2025</v>
      </c>
      <c r="U10" s="12" t="str">
        <f t="shared" si="2"/>
        <v>Q4 2025</v>
      </c>
      <c r="V10" s="12" t="str">
        <f t="shared" si="2"/>
        <v>Q1 2026</v>
      </c>
      <c r="W10" s="12" t="str">
        <f t="shared" si="2"/>
        <v>Q2 2026</v>
      </c>
      <c r="X10" s="12" t="str">
        <f t="shared" si="2"/>
        <v>FQ1</v>
      </c>
      <c r="Y10" s="12" t="str">
        <f t="shared" si="2"/>
        <v>FQ2</v>
      </c>
      <c r="Z10" s="12" t="str">
        <f t="shared" si="2"/>
        <v>FQ3</v>
      </c>
      <c r="AB10" s="8" t="str">
        <f>AB5</f>
        <v>FQ1</v>
      </c>
    </row>
    <row r="11" spans="1:28" x14ac:dyDescent="0.2">
      <c r="B11" s="16" t="s">
        <v>20</v>
      </c>
      <c r="C11" s="105">
        <f>Statement!M6</f>
        <v>35209</v>
      </c>
      <c r="D11" s="105">
        <f>Statement!N6</f>
        <v>36188</v>
      </c>
      <c r="E11" s="105">
        <f>Statement!O6</f>
        <v>32517</v>
      </c>
      <c r="F11" s="105">
        <f>Statement!P6</f>
        <v>35756</v>
      </c>
      <c r="G11" s="106">
        <f>Statement!Q6</f>
        <v>34478</v>
      </c>
      <c r="H11" s="107">
        <f>H6*H20</f>
        <v>39160.639999999999</v>
      </c>
      <c r="I11" s="107">
        <f t="shared" ref="I11:L11" si="3">I6*I20</f>
        <v>40940.235869999997</v>
      </c>
      <c r="J11" s="107">
        <f t="shared" si="3"/>
        <v>44259.072659999998</v>
      </c>
      <c r="K11" s="107">
        <f t="shared" si="3"/>
        <v>50789.365364400001</v>
      </c>
      <c r="L11" s="107">
        <f t="shared" si="3"/>
        <v>54481.302043406984</v>
      </c>
      <c r="N11" s="90"/>
      <c r="O11" s="16" t="str">
        <f t="shared" ref="O11:O15" si="4">B11</f>
        <v>COGS</v>
      </c>
      <c r="P11" s="105">
        <f>Statement!T6</f>
        <v>11287</v>
      </c>
      <c r="Q11" s="105">
        <f>Statement!U6</f>
        <v>8676</v>
      </c>
      <c r="R11" s="105">
        <f>Statement!V6</f>
        <v>7995</v>
      </c>
      <c r="S11" s="105">
        <f>Statement!W6</f>
        <v>9317</v>
      </c>
      <c r="T11" s="105">
        <f>Statement!X6</f>
        <v>8435</v>
      </c>
      <c r="U11" s="105">
        <f>Statement!Y6</f>
        <v>8731</v>
      </c>
      <c r="V11" s="105">
        <f>Statement!Z6</f>
        <v>8230</v>
      </c>
      <c r="W11" s="106">
        <f>Statement!AA6</f>
        <v>9619</v>
      </c>
      <c r="X11" s="107">
        <f>X6*X20</f>
        <v>10128.732</v>
      </c>
      <c r="Y11" s="107"/>
      <c r="Z11" s="107"/>
      <c r="AB11" s="107">
        <f t="shared" ref="AB11:AB15" si="5">SUM(U11:X11)</f>
        <v>36708.732000000004</v>
      </c>
    </row>
    <row r="12" spans="1:28" x14ac:dyDescent="0.2">
      <c r="B12" s="1" t="str">
        <f>Statement!B8</f>
        <v>R&amp;D</v>
      </c>
      <c r="C12" s="97">
        <f>Statement!M8</f>
        <v>15190</v>
      </c>
      <c r="D12" s="97">
        <f>Statement!N8</f>
        <v>17528</v>
      </c>
      <c r="E12" s="97">
        <f>Statement!O8</f>
        <v>16046</v>
      </c>
      <c r="F12" s="97">
        <f>Statement!P8</f>
        <v>16546</v>
      </c>
      <c r="G12" s="98">
        <f>Statement!Q8</f>
        <v>13774</v>
      </c>
      <c r="H12" s="24">
        <f>H6*H21</f>
        <v>15297.125</v>
      </c>
      <c r="I12" s="24">
        <f>I6*I21</f>
        <v>16508.159625</v>
      </c>
      <c r="J12" s="24">
        <f>J6*J21</f>
        <v>16965.977853</v>
      </c>
      <c r="K12" s="24">
        <f>K6*K21</f>
        <v>18622.76730028</v>
      </c>
      <c r="L12" s="24">
        <f>L6*L21</f>
        <v>19116.246331019996</v>
      </c>
      <c r="N12" s="90"/>
      <c r="O12" s="39" t="str">
        <f t="shared" si="4"/>
        <v>R&amp;D</v>
      </c>
      <c r="P12" s="97">
        <f>Statement!T8</f>
        <v>4049</v>
      </c>
      <c r="Q12" s="97">
        <f>Statement!U8</f>
        <v>3876</v>
      </c>
      <c r="R12" s="97">
        <f>Statement!V8</f>
        <v>3640</v>
      </c>
      <c r="S12" s="97">
        <f>Statement!W8</f>
        <v>3684</v>
      </c>
      <c r="T12" s="97">
        <f>Statement!X8</f>
        <v>3231</v>
      </c>
      <c r="U12" s="97">
        <f>Statement!Y8</f>
        <v>3219</v>
      </c>
      <c r="V12" s="97">
        <f>Statement!Z8</f>
        <v>3375</v>
      </c>
      <c r="W12" s="98">
        <f>Statement!AA8</f>
        <v>3368</v>
      </c>
      <c r="X12" s="25">
        <f>X21*X$6</f>
        <v>4051.4928</v>
      </c>
      <c r="Y12" s="24"/>
      <c r="Z12" s="24"/>
      <c r="AB12" s="24">
        <f t="shared" si="5"/>
        <v>14013.4928</v>
      </c>
    </row>
    <row r="13" spans="1:28" x14ac:dyDescent="0.2">
      <c r="B13" s="1" t="str">
        <f>Statement!B9</f>
        <v>SG&amp;A</v>
      </c>
      <c r="C13" s="97">
        <f>Statement!M9</f>
        <v>6543</v>
      </c>
      <c r="D13" s="97">
        <f>Statement!N9</f>
        <v>7002</v>
      </c>
      <c r="E13" s="97">
        <f>Statement!O9</f>
        <v>5634</v>
      </c>
      <c r="F13" s="97">
        <f>Statement!P9</f>
        <v>5507</v>
      </c>
      <c r="G13" s="98">
        <f>Statement!Q9</f>
        <v>4624</v>
      </c>
      <c r="H13" s="24">
        <f>H6*H22</f>
        <v>4283.1950000000006</v>
      </c>
      <c r="I13" s="24">
        <f>I6*I22</f>
        <v>4622.2846950000003</v>
      </c>
      <c r="J13" s="24">
        <f>J6*J22</f>
        <v>5163.5584770000005</v>
      </c>
      <c r="K13" s="24">
        <f>K6*K22</f>
        <v>5925.425959180001</v>
      </c>
      <c r="L13" s="24">
        <f>L6*L22</f>
        <v>6690.6862158569993</v>
      </c>
      <c r="M13" s="89"/>
      <c r="N13" s="89"/>
      <c r="O13" s="39" t="str">
        <f t="shared" si="4"/>
        <v>SG&amp;A</v>
      </c>
      <c r="P13" s="97">
        <f>Statement!T9</f>
        <v>1383</v>
      </c>
      <c r="Q13" s="97">
        <f>Statement!U9</f>
        <v>1239</v>
      </c>
      <c r="R13" s="97">
        <f>Statement!V9</f>
        <v>1177</v>
      </c>
      <c r="S13" s="97">
        <f>Statement!W9</f>
        <v>1144</v>
      </c>
      <c r="T13" s="97">
        <f>Statement!X9</f>
        <v>1129</v>
      </c>
      <c r="U13" s="97">
        <f>Statement!Y9</f>
        <v>1174</v>
      </c>
      <c r="V13" s="97">
        <f>Statement!Z9</f>
        <v>1038</v>
      </c>
      <c r="W13" s="98">
        <f>Statement!AA9</f>
        <v>1175</v>
      </c>
      <c r="X13" s="25">
        <f>X22*X$6</f>
        <v>1181.6854000000003</v>
      </c>
      <c r="Y13" s="24"/>
      <c r="Z13" s="24"/>
      <c r="AB13" s="24">
        <f t="shared" si="5"/>
        <v>4568.6854000000003</v>
      </c>
    </row>
    <row r="14" spans="1:28" x14ac:dyDescent="0.2">
      <c r="B14" s="1" t="str">
        <f>Statement!B10</f>
        <v>Other income/expense</v>
      </c>
      <c r="C14" s="97">
        <f>Statement!M10</f>
        <v>2626</v>
      </c>
      <c r="D14" s="97">
        <f>Statement!N10</f>
        <v>2</v>
      </c>
      <c r="E14" s="97">
        <f>Statement!O10</f>
        <v>-62</v>
      </c>
      <c r="F14" s="97">
        <f>Statement!P10</f>
        <v>6970</v>
      </c>
      <c r="G14" s="98">
        <f>Statement!Q10</f>
        <v>2191</v>
      </c>
      <c r="H14" s="24">
        <f>H6*H23</f>
        <v>2447.54</v>
      </c>
      <c r="I14" s="24">
        <f>I6*I23</f>
        <v>1980.979155</v>
      </c>
      <c r="J14" s="24">
        <f>J6*J23</f>
        <v>2212.9536330000001</v>
      </c>
      <c r="K14" s="24">
        <f>K6*K23</f>
        <v>2539.46826822</v>
      </c>
      <c r="L14" s="24">
        <f>L6*L23</f>
        <v>2867.4369496529994</v>
      </c>
      <c r="M14" s="89"/>
      <c r="N14" s="89"/>
      <c r="O14" s="39" t="str">
        <f t="shared" si="4"/>
        <v>Other income/expense</v>
      </c>
      <c r="P14" s="97">
        <f>Statement!T10</f>
        <v>5622</v>
      </c>
      <c r="Q14" s="97">
        <f>Statement!U10</f>
        <v>57</v>
      </c>
      <c r="R14" s="97">
        <f>Statement!V10</f>
        <v>156</v>
      </c>
      <c r="S14" s="97">
        <f>Statement!W10</f>
        <v>1890</v>
      </c>
      <c r="T14" s="97">
        <f>Statement!X10</f>
        <v>175</v>
      </c>
      <c r="U14" s="97">
        <f>Statement!Y10</f>
        <v>-30</v>
      </c>
      <c r="V14" s="97">
        <f>Statement!Z10</f>
        <v>4070</v>
      </c>
      <c r="W14" s="98">
        <f>Statement!AA10</f>
        <v>170</v>
      </c>
      <c r="X14" s="25">
        <f>X23*X$6</f>
        <v>844.06100000000015</v>
      </c>
      <c r="Y14" s="24"/>
      <c r="Z14" s="24"/>
      <c r="AB14" s="24">
        <f t="shared" si="5"/>
        <v>5054.0609999999997</v>
      </c>
    </row>
    <row r="15" spans="1:28" x14ac:dyDescent="0.2">
      <c r="B15" s="16" t="s">
        <v>23</v>
      </c>
      <c r="C15" s="105">
        <f>Statement!M11</f>
        <v>24359</v>
      </c>
      <c r="D15" s="105">
        <f>Statement!N11</f>
        <v>24532</v>
      </c>
      <c r="E15" s="105">
        <f>Statement!O11</f>
        <v>21618</v>
      </c>
      <c r="F15" s="105">
        <f>Statement!P11</f>
        <v>29023</v>
      </c>
      <c r="G15" s="106">
        <f>Statement!Q11</f>
        <v>20589</v>
      </c>
      <c r="H15" s="107">
        <f>SUM(H12:H14)</f>
        <v>22027.86</v>
      </c>
      <c r="I15" s="107">
        <f>SUM(I12:I14)</f>
        <v>23111.423475000003</v>
      </c>
      <c r="J15" s="107">
        <f>SUM(J12:J14)</f>
        <v>24342.489963000004</v>
      </c>
      <c r="K15" s="107">
        <f>SUM(K12:K14)</f>
        <v>27087.66152768</v>
      </c>
      <c r="L15" s="107">
        <f>SUM(L12:L14)</f>
        <v>28674.369496529995</v>
      </c>
      <c r="M15" s="89"/>
      <c r="N15" s="89"/>
      <c r="O15" s="16" t="str">
        <f t="shared" si="4"/>
        <v>OpEx</v>
      </c>
      <c r="P15" s="105">
        <f>Statement!T11</f>
        <v>11054</v>
      </c>
      <c r="Q15" s="105">
        <f>Statement!U11</f>
        <v>5172</v>
      </c>
      <c r="R15" s="105">
        <f>Statement!V11</f>
        <v>4973</v>
      </c>
      <c r="S15" s="105">
        <f>Statement!W11</f>
        <v>6718</v>
      </c>
      <c r="T15" s="105">
        <f>Statement!X11</f>
        <v>4535</v>
      </c>
      <c r="U15" s="105">
        <f>Statement!Y11</f>
        <v>4363</v>
      </c>
      <c r="V15" s="105">
        <f>Statement!Z11</f>
        <v>8483</v>
      </c>
      <c r="W15" s="106">
        <f>Statement!AA11</f>
        <v>4713</v>
      </c>
      <c r="X15" s="107">
        <f>SUM(X12:X14)</f>
        <v>6077.2392</v>
      </c>
      <c r="Y15" s="107"/>
      <c r="Z15" s="107"/>
      <c r="AB15" s="107">
        <f t="shared" si="5"/>
        <v>23636.2392</v>
      </c>
    </row>
    <row r="18" spans="2:26" x14ac:dyDescent="0.2">
      <c r="C18" s="245" t="s">
        <v>123</v>
      </c>
      <c r="D18" s="245"/>
      <c r="E18" s="245"/>
      <c r="F18" s="245"/>
      <c r="G18" s="245"/>
      <c r="H18" s="245"/>
      <c r="I18" s="245"/>
      <c r="J18" s="245"/>
      <c r="K18" s="245"/>
      <c r="L18" s="245"/>
      <c r="P18" s="247" t="s">
        <v>123</v>
      </c>
      <c r="Q18" s="247"/>
      <c r="R18" s="247"/>
      <c r="S18" s="247"/>
      <c r="T18" s="247"/>
      <c r="U18" s="247"/>
      <c r="V18" s="247"/>
      <c r="W18" s="247"/>
      <c r="X18" s="247"/>
      <c r="Y18" s="247"/>
      <c r="Z18" s="247"/>
    </row>
    <row r="19" spans="2:26" x14ac:dyDescent="0.2">
      <c r="B19" s="16" t="s">
        <v>124</v>
      </c>
      <c r="C19" s="12">
        <f t="shared" ref="C19:L19" si="6">C5</f>
        <v>2021</v>
      </c>
      <c r="D19" s="12">
        <f t="shared" si="6"/>
        <v>2022</v>
      </c>
      <c r="E19" s="12">
        <f t="shared" si="6"/>
        <v>2023</v>
      </c>
      <c r="F19" s="12">
        <f t="shared" si="6"/>
        <v>2024</v>
      </c>
      <c r="G19" s="12">
        <f t="shared" si="6"/>
        <v>2025</v>
      </c>
      <c r="H19" s="12">
        <f t="shared" si="6"/>
        <v>2026</v>
      </c>
      <c r="I19" s="12">
        <f t="shared" si="6"/>
        <v>2027</v>
      </c>
      <c r="J19" s="12">
        <f t="shared" si="6"/>
        <v>2028</v>
      </c>
      <c r="K19" s="12">
        <f t="shared" si="6"/>
        <v>2029</v>
      </c>
      <c r="L19" s="12">
        <f t="shared" si="6"/>
        <v>2030</v>
      </c>
      <c r="O19" s="16" t="s">
        <v>124</v>
      </c>
      <c r="P19" s="12" t="str">
        <f t="shared" ref="P19:Z19" si="7">P5</f>
        <v>Q3 2024</v>
      </c>
      <c r="Q19" s="12" t="str">
        <f t="shared" si="7"/>
        <v>Q4 2024</v>
      </c>
      <c r="R19" s="12" t="str">
        <f t="shared" si="7"/>
        <v>Q1 2025</v>
      </c>
      <c r="S19" s="12" t="str">
        <f t="shared" si="7"/>
        <v>Q2 2025</v>
      </c>
      <c r="T19" s="12" t="str">
        <f t="shared" si="7"/>
        <v>Q3 2025</v>
      </c>
      <c r="U19" s="12" t="str">
        <f t="shared" si="7"/>
        <v>Q4 2025</v>
      </c>
      <c r="V19" s="12" t="str">
        <f t="shared" si="7"/>
        <v>Q1 2026</v>
      </c>
      <c r="W19" s="12" t="str">
        <f t="shared" si="7"/>
        <v>Q2 2026</v>
      </c>
      <c r="X19" s="12" t="str">
        <f t="shared" si="7"/>
        <v>FQ1</v>
      </c>
      <c r="Y19" s="12" t="str">
        <f t="shared" si="7"/>
        <v>FQ2</v>
      </c>
      <c r="Z19" s="12" t="str">
        <f t="shared" si="7"/>
        <v>FQ3</v>
      </c>
    </row>
    <row r="20" spans="2:26" x14ac:dyDescent="0.2">
      <c r="B20" s="16" t="str">
        <f t="shared" ref="B20" si="8">B11</f>
        <v>COGS</v>
      </c>
      <c r="C20" s="102">
        <f>C11/C$6</f>
        <v>0.4455481878922859</v>
      </c>
      <c r="D20" s="102">
        <f t="shared" ref="D20:G20" si="9">D11/D$6</f>
        <v>0.57392076632727507</v>
      </c>
      <c r="E20" s="102">
        <f t="shared" si="9"/>
        <v>0.59963487497233903</v>
      </c>
      <c r="F20" s="102">
        <f t="shared" si="9"/>
        <v>0.67335831716916816</v>
      </c>
      <c r="G20" s="103">
        <f t="shared" si="9"/>
        <v>0.65233761565095638</v>
      </c>
      <c r="H20" s="96">
        <v>0.64</v>
      </c>
      <c r="I20" s="96">
        <v>0.62</v>
      </c>
      <c r="J20" s="96">
        <v>0.6</v>
      </c>
      <c r="K20" s="96">
        <v>0.6</v>
      </c>
      <c r="L20" s="96">
        <v>0.56999999999999995</v>
      </c>
      <c r="O20" s="16" t="str">
        <f t="shared" ref="O20:O24" si="10">O11</f>
        <v>COGS</v>
      </c>
      <c r="P20" s="102">
        <f>P11/P$6</f>
        <v>0.84966877446552247</v>
      </c>
      <c r="Q20" s="102">
        <f t="shared" ref="Q20:V20" si="11">Q11/Q$6</f>
        <v>0.60841514726507717</v>
      </c>
      <c r="R20" s="102">
        <f t="shared" si="11"/>
        <v>0.63116760085260915</v>
      </c>
      <c r="S20" s="102">
        <f t="shared" si="11"/>
        <v>0.72455089820359286</v>
      </c>
      <c r="T20" s="102">
        <f t="shared" si="11"/>
        <v>0.61781293488610567</v>
      </c>
      <c r="U20" s="102">
        <f t="shared" si="11"/>
        <v>0.63851104285505333</v>
      </c>
      <c r="V20" s="102">
        <f t="shared" si="11"/>
        <v>0.60617220299035135</v>
      </c>
      <c r="W20" s="103">
        <f t="shared" ref="W20:X24" si="12">W11/W$6</f>
        <v>0.59641617063492058</v>
      </c>
      <c r="X20" s="96">
        <v>0.6</v>
      </c>
      <c r="Y20" s="96"/>
      <c r="Z20" s="96"/>
    </row>
    <row r="21" spans="2:26" x14ac:dyDescent="0.2">
      <c r="B21" s="1" t="str">
        <f>B12</f>
        <v>R&amp;D</v>
      </c>
      <c r="C21" s="94">
        <f t="shared" ref="C21:G21" si="13">C12/C$6</f>
        <v>0.19222008503745697</v>
      </c>
      <c r="D21" s="94">
        <f t="shared" si="13"/>
        <v>0.27798395026485234</v>
      </c>
      <c r="E21" s="94">
        <f t="shared" si="13"/>
        <v>0.29589879766910082</v>
      </c>
      <c r="F21" s="94">
        <f t="shared" si="13"/>
        <v>0.31159488521873413</v>
      </c>
      <c r="G21" s="95">
        <f t="shared" si="13"/>
        <v>0.26060961534823002</v>
      </c>
      <c r="H21" s="96">
        <v>0.25</v>
      </c>
      <c r="I21" s="96">
        <v>0.25</v>
      </c>
      <c r="J21" s="96">
        <v>0.23</v>
      </c>
      <c r="K21" s="96">
        <v>0.22</v>
      </c>
      <c r="L21" s="96">
        <v>0.2</v>
      </c>
      <c r="O21" s="1" t="str">
        <f t="shared" si="10"/>
        <v>R&amp;D</v>
      </c>
      <c r="P21" s="94">
        <f>P12/P$6</f>
        <v>0.30480277024992475</v>
      </c>
      <c r="Q21" s="94">
        <f t="shared" ref="Q21:V21" si="14">Q12/Q$6</f>
        <v>0.27180925666199157</v>
      </c>
      <c r="R21" s="94">
        <f t="shared" si="14"/>
        <v>0.28736085892476515</v>
      </c>
      <c r="S21" s="94">
        <f t="shared" si="14"/>
        <v>0.28649195116260984</v>
      </c>
      <c r="T21" s="94">
        <f t="shared" si="14"/>
        <v>0.23665128543177325</v>
      </c>
      <c r="U21" s="94">
        <f t="shared" si="14"/>
        <v>0.23541026766125495</v>
      </c>
      <c r="V21" s="94">
        <f t="shared" si="14"/>
        <v>0.24858216100758637</v>
      </c>
      <c r="W21" s="95">
        <f t="shared" si="12"/>
        <v>0.20882936507936509</v>
      </c>
      <c r="X21" s="96">
        <v>0.24</v>
      </c>
      <c r="Y21" s="96"/>
      <c r="Z21" s="96"/>
    </row>
    <row r="22" spans="2:26" x14ac:dyDescent="0.2">
      <c r="B22" s="1" t="str">
        <f t="shared" ref="B22:B24" si="15">B13</f>
        <v>SG&amp;A</v>
      </c>
      <c r="C22" s="94">
        <f t="shared" ref="C22:G22" si="16">C13/C$6</f>
        <v>8.2797631099412836E-2</v>
      </c>
      <c r="D22" s="94">
        <f t="shared" si="16"/>
        <v>0.11104767342278048</v>
      </c>
      <c r="E22" s="94">
        <f t="shared" si="16"/>
        <v>0.10389466696171719</v>
      </c>
      <c r="F22" s="94">
        <f t="shared" si="16"/>
        <v>0.10370802809739929</v>
      </c>
      <c r="G22" s="95">
        <f t="shared" si="16"/>
        <v>8.7487938243808294E-2</v>
      </c>
      <c r="H22" s="96">
        <v>7.0000000000000007E-2</v>
      </c>
      <c r="I22" s="96">
        <v>7.0000000000000007E-2</v>
      </c>
      <c r="J22" s="96">
        <v>7.0000000000000007E-2</v>
      </c>
      <c r="K22" s="96">
        <v>7.0000000000000007E-2</v>
      </c>
      <c r="L22" s="96">
        <v>7.0000000000000007E-2</v>
      </c>
      <c r="O22" s="1" t="str">
        <f t="shared" si="10"/>
        <v>SG&amp;A</v>
      </c>
      <c r="P22" s="94">
        <f t="shared" ref="P22:V24" si="17">P13/P$6</f>
        <v>0.10411020776874436</v>
      </c>
      <c r="Q22" s="94">
        <f t="shared" si="17"/>
        <v>8.6886395511921455E-2</v>
      </c>
      <c r="R22" s="94">
        <f t="shared" si="17"/>
        <v>9.2918607405068285E-2</v>
      </c>
      <c r="S22" s="94">
        <f t="shared" si="17"/>
        <v>8.8964927288280579E-2</v>
      </c>
      <c r="T22" s="94">
        <f t="shared" si="17"/>
        <v>8.2692448546107078E-2</v>
      </c>
      <c r="U22" s="94">
        <f t="shared" si="17"/>
        <v>8.5856369752815562E-2</v>
      </c>
      <c r="V22" s="94">
        <f t="shared" si="17"/>
        <v>7.6452824629888783E-2</v>
      </c>
      <c r="W22" s="95">
        <f t="shared" si="12"/>
        <v>7.2854662698412703E-2</v>
      </c>
      <c r="X22" s="96">
        <v>7.0000000000000007E-2</v>
      </c>
      <c r="Y22" s="96"/>
      <c r="Z22" s="96"/>
    </row>
    <row r="23" spans="2:26" x14ac:dyDescent="0.2">
      <c r="B23" s="1" t="str">
        <f t="shared" si="15"/>
        <v>Other income/expense</v>
      </c>
      <c r="C23" s="94">
        <f t="shared" ref="C23:G23" si="18">C14/C$6</f>
        <v>3.3230411014375377E-2</v>
      </c>
      <c r="D23" s="94">
        <f t="shared" si="18"/>
        <v>3.1718844165318618E-5</v>
      </c>
      <c r="E23" s="94">
        <f t="shared" si="18"/>
        <v>-1.1433207936859186E-3</v>
      </c>
      <c r="F23" s="94">
        <f t="shared" si="18"/>
        <v>0.13125929831829908</v>
      </c>
      <c r="G23" s="95">
        <f t="shared" si="18"/>
        <v>4.1454600495714526E-2</v>
      </c>
      <c r="H23" s="96">
        <v>0.04</v>
      </c>
      <c r="I23" s="96">
        <v>0.03</v>
      </c>
      <c r="J23" s="96">
        <v>0.03</v>
      </c>
      <c r="K23" s="96">
        <v>0.03</v>
      </c>
      <c r="L23" s="96">
        <v>0.03</v>
      </c>
      <c r="O23" s="1" t="str">
        <f t="shared" si="10"/>
        <v>Other income/expense</v>
      </c>
      <c r="P23" s="94">
        <f t="shared" si="17"/>
        <v>0.42321589882565491</v>
      </c>
      <c r="Q23" s="94">
        <f t="shared" si="17"/>
        <v>3.997194950911641E-3</v>
      </c>
      <c r="R23" s="94">
        <f t="shared" si="17"/>
        <v>1.2315465382489935E-2</v>
      </c>
      <c r="S23" s="94">
        <f t="shared" si="17"/>
        <v>0.14697876973326074</v>
      </c>
      <c r="T23" s="94">
        <f t="shared" si="17"/>
        <v>1.2817695744525013E-2</v>
      </c>
      <c r="U23" s="94">
        <f t="shared" si="17"/>
        <v>-2.1939447125932428E-3</v>
      </c>
      <c r="V23" s="94">
        <f t="shared" si="17"/>
        <v>0.29977167268174115</v>
      </c>
      <c r="W23" s="95">
        <f t="shared" si="12"/>
        <v>1.0540674603174604E-2</v>
      </c>
      <c r="X23" s="96">
        <v>0.05</v>
      </c>
      <c r="Y23" s="96"/>
      <c r="Z23" s="96"/>
    </row>
    <row r="24" spans="2:26" x14ac:dyDescent="0.2">
      <c r="B24" s="16" t="str">
        <f t="shared" si="15"/>
        <v>OpEx</v>
      </c>
      <c r="C24" s="102">
        <f>C15/C$6</f>
        <v>0.30824812715124517</v>
      </c>
      <c r="D24" s="102">
        <f t="shared" ref="D24:L24" si="19">D15/D$6</f>
        <v>0.38906334253179814</v>
      </c>
      <c r="E24" s="102">
        <f t="shared" si="19"/>
        <v>0.3986501438371321</v>
      </c>
      <c r="F24" s="102">
        <f t="shared" si="19"/>
        <v>0.54656221163443253</v>
      </c>
      <c r="G24" s="103">
        <f t="shared" si="19"/>
        <v>0.38955215408775284</v>
      </c>
      <c r="H24" s="102">
        <f t="shared" si="19"/>
        <v>0.36</v>
      </c>
      <c r="I24" s="102">
        <f t="shared" si="19"/>
        <v>0.35000000000000003</v>
      </c>
      <c r="J24" s="102">
        <f t="shared" si="19"/>
        <v>0.33</v>
      </c>
      <c r="K24" s="102">
        <f t="shared" si="19"/>
        <v>0.32</v>
      </c>
      <c r="L24" s="102">
        <f t="shared" si="19"/>
        <v>0.3</v>
      </c>
      <c r="O24" s="16" t="str">
        <f t="shared" si="10"/>
        <v>OpEx</v>
      </c>
      <c r="P24" s="102">
        <f t="shared" si="17"/>
        <v>0.83212887684432402</v>
      </c>
      <c r="Q24" s="102">
        <f t="shared" si="17"/>
        <v>0.36269284712482469</v>
      </c>
      <c r="R24" s="102">
        <f t="shared" si="17"/>
        <v>0.39259493171232335</v>
      </c>
      <c r="S24" s="102">
        <f t="shared" si="17"/>
        <v>0.52243564818415122</v>
      </c>
      <c r="T24" s="102">
        <f t="shared" si="17"/>
        <v>0.33216142972240531</v>
      </c>
      <c r="U24" s="102">
        <f t="shared" si="17"/>
        <v>0.31907269270147726</v>
      </c>
      <c r="V24" s="102">
        <f t="shared" si="17"/>
        <v>0.62480665831921633</v>
      </c>
      <c r="W24" s="103">
        <f t="shared" si="12"/>
        <v>0.29222470238095238</v>
      </c>
      <c r="X24" s="102">
        <f t="shared" si="12"/>
        <v>0.36</v>
      </c>
      <c r="Y24" s="16"/>
      <c r="Z24" s="16"/>
    </row>
  </sheetData>
  <mergeCells count="10">
    <mergeCell ref="C9:L9"/>
    <mergeCell ref="P9:Z9"/>
    <mergeCell ref="C18:L18"/>
    <mergeCell ref="P18:Z18"/>
    <mergeCell ref="C2:G2"/>
    <mergeCell ref="H2:L2"/>
    <mergeCell ref="P2:W2"/>
    <mergeCell ref="X2:Z2"/>
    <mergeCell ref="C4:L4"/>
    <mergeCell ref="P4:Z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A4AF9-34CA-DC41-86C9-B346AEC194A1}">
  <dimension ref="A1:AB46"/>
  <sheetViews>
    <sheetView topLeftCell="B29" zoomScale="189" zoomScaleNormal="100" workbookViewId="0">
      <selection activeCell="C45" sqref="C45"/>
    </sheetView>
  </sheetViews>
  <sheetFormatPr baseColWidth="10" defaultRowHeight="16" x14ac:dyDescent="0.2"/>
  <cols>
    <col min="1" max="1" width="2" style="82"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2" customFormat="1" ht="18" customHeight="1" x14ac:dyDescent="0.2">
      <c r="A1" s="4"/>
      <c r="B1" s="81" t="s">
        <v>126</v>
      </c>
    </row>
    <row r="2" spans="1:28" s="82" customFormat="1" ht="18" customHeight="1" x14ac:dyDescent="0.2">
      <c r="A2" s="4"/>
      <c r="B2" s="81"/>
    </row>
    <row r="3" spans="1:28" x14ac:dyDescent="0.2">
      <c r="A3" s="4"/>
      <c r="C3" s="239" t="s">
        <v>108</v>
      </c>
      <c r="D3" s="239"/>
      <c r="E3" s="239"/>
      <c r="F3" s="239"/>
      <c r="G3" s="248"/>
      <c r="H3" s="249" t="s">
        <v>109</v>
      </c>
      <c r="I3" s="239"/>
      <c r="J3" s="239"/>
      <c r="K3" s="239"/>
      <c r="L3" s="239"/>
      <c r="P3" s="250"/>
      <c r="Q3" s="250"/>
      <c r="R3" s="250"/>
      <c r="S3" s="250"/>
      <c r="T3" s="250"/>
      <c r="U3" s="250"/>
      <c r="V3" s="250"/>
      <c r="W3" s="250"/>
      <c r="X3" s="250"/>
      <c r="Y3" s="250"/>
      <c r="Z3" s="250"/>
      <c r="AB3" s="108"/>
    </row>
    <row r="4" spans="1:28" ht="10" customHeight="1" x14ac:dyDescent="0.2"/>
    <row r="5" spans="1:28" ht="16" customHeight="1" x14ac:dyDescent="0.2">
      <c r="A5" s="85"/>
      <c r="B5" s="59"/>
      <c r="C5" s="245" t="s">
        <v>111</v>
      </c>
      <c r="D5" s="245"/>
      <c r="E5" s="245"/>
      <c r="F5" s="245"/>
      <c r="G5" s="245"/>
      <c r="H5" s="245"/>
      <c r="I5" s="245"/>
      <c r="J5" s="245"/>
      <c r="K5" s="245"/>
      <c r="L5" s="245"/>
      <c r="P5" s="250"/>
      <c r="Q5" s="250"/>
      <c r="R5" s="250"/>
      <c r="S5" s="250"/>
      <c r="T5" s="250"/>
      <c r="U5" s="250"/>
      <c r="V5" s="250"/>
      <c r="W5" s="250"/>
      <c r="X5" s="250"/>
      <c r="Y5" s="250"/>
      <c r="Z5" s="250"/>
      <c r="AB5" s="109"/>
    </row>
    <row r="6" spans="1:28" x14ac:dyDescent="0.2">
      <c r="B6" s="16" t="s">
        <v>112</v>
      </c>
      <c r="C6" s="12">
        <f>Revenue!C5</f>
        <v>2021</v>
      </c>
      <c r="D6" s="12">
        <f>Revenue!D5</f>
        <v>2022</v>
      </c>
      <c r="E6" s="12">
        <f>Revenue!E5</f>
        <v>2023</v>
      </c>
      <c r="F6" s="12">
        <f>Revenue!F5</f>
        <v>2024</v>
      </c>
      <c r="G6" s="12">
        <f>Revenue!G5</f>
        <v>2025</v>
      </c>
      <c r="H6" s="12">
        <f>G6+1</f>
        <v>2026</v>
      </c>
      <c r="I6" s="12">
        <f t="shared" ref="I6:L6" si="0">H6+1</f>
        <v>2027</v>
      </c>
      <c r="J6" s="12">
        <f t="shared" si="0"/>
        <v>2028</v>
      </c>
      <c r="K6" s="12">
        <f t="shared" si="0"/>
        <v>2029</v>
      </c>
      <c r="L6" s="12">
        <f t="shared" si="0"/>
        <v>2030</v>
      </c>
      <c r="O6" s="16"/>
      <c r="P6" s="110"/>
      <c r="Q6" s="110"/>
      <c r="R6" s="110"/>
      <c r="S6" s="110"/>
      <c r="T6" s="110"/>
      <c r="U6" s="110"/>
      <c r="V6" s="110"/>
      <c r="W6" s="110"/>
      <c r="X6" s="110"/>
      <c r="Y6" s="110"/>
      <c r="Z6" s="110"/>
      <c r="AB6" s="109"/>
    </row>
    <row r="7" spans="1:28" x14ac:dyDescent="0.2">
      <c r="B7" s="16" t="s">
        <v>19</v>
      </c>
      <c r="C7" s="91">
        <f>Revenue!C11</f>
        <v>79024</v>
      </c>
      <c r="D7" s="91">
        <f>Revenue!D11</f>
        <v>63054</v>
      </c>
      <c r="E7" s="91">
        <f>Revenue!E11</f>
        <v>54228</v>
      </c>
      <c r="F7" s="91">
        <f>Revenue!F11</f>
        <v>53101</v>
      </c>
      <c r="G7" s="92">
        <f>Revenue!G11</f>
        <v>52853</v>
      </c>
      <c r="H7" s="91">
        <f>Revenue!H11</f>
        <v>61188.5</v>
      </c>
      <c r="I7" s="91">
        <f>Revenue!I11</f>
        <v>66032.638500000001</v>
      </c>
      <c r="J7" s="91">
        <f>Revenue!J11</f>
        <v>73765.121100000004</v>
      </c>
      <c r="K7" s="91">
        <f>Revenue!K11</f>
        <v>84648.942274000001</v>
      </c>
      <c r="L7" s="91">
        <f>Revenue!L11</f>
        <v>95581.231655099982</v>
      </c>
      <c r="N7" s="90"/>
      <c r="O7" s="16"/>
      <c r="P7" s="91"/>
      <c r="Q7" s="91"/>
      <c r="R7" s="91"/>
      <c r="S7" s="91"/>
      <c r="T7" s="91"/>
      <c r="U7" s="91"/>
      <c r="V7" s="91"/>
      <c r="W7" s="91"/>
      <c r="X7" s="93"/>
      <c r="Y7" s="93"/>
      <c r="Z7" s="93"/>
      <c r="AB7" s="93"/>
    </row>
    <row r="8" spans="1:28" x14ac:dyDescent="0.2">
      <c r="B8" s="39" t="s">
        <v>20</v>
      </c>
      <c r="C8" s="111">
        <f>'COGS &amp; OpEx'!C11</f>
        <v>35209</v>
      </c>
      <c r="D8" s="111">
        <f>'COGS &amp; OpEx'!D11</f>
        <v>36188</v>
      </c>
      <c r="E8" s="111">
        <f>'COGS &amp; OpEx'!E11</f>
        <v>32517</v>
      </c>
      <c r="F8" s="111">
        <f>'COGS &amp; OpEx'!F11</f>
        <v>35756</v>
      </c>
      <c r="G8" s="112">
        <f>'COGS &amp; OpEx'!G11</f>
        <v>34478</v>
      </c>
      <c r="H8" s="111">
        <f>'COGS &amp; OpEx'!H11</f>
        <v>39160.639999999999</v>
      </c>
      <c r="I8" s="111">
        <f>'COGS &amp; OpEx'!I11</f>
        <v>40940.235869999997</v>
      </c>
      <c r="J8" s="111">
        <f>'COGS &amp; OpEx'!J11</f>
        <v>44259.072659999998</v>
      </c>
      <c r="K8" s="111">
        <f>'COGS &amp; OpEx'!K11</f>
        <v>50789.365364400001</v>
      </c>
      <c r="L8" s="111">
        <f>'COGS &amp; OpEx'!L11</f>
        <v>54481.302043406984</v>
      </c>
      <c r="N8" s="90"/>
      <c r="O8" s="16"/>
      <c r="P8" s="91"/>
      <c r="Q8" s="91"/>
      <c r="R8" s="91"/>
      <c r="S8" s="91"/>
      <c r="T8" s="91"/>
      <c r="U8" s="91"/>
      <c r="V8" s="91"/>
      <c r="W8" s="91"/>
      <c r="X8" s="93"/>
      <c r="Y8" s="93"/>
      <c r="Z8" s="93"/>
      <c r="AB8" s="93"/>
    </row>
    <row r="9" spans="1:28" x14ac:dyDescent="0.2">
      <c r="N9" s="90"/>
    </row>
    <row r="10" spans="1:28" x14ac:dyDescent="0.2">
      <c r="N10" s="90"/>
    </row>
    <row r="11" spans="1:28" x14ac:dyDescent="0.2">
      <c r="C11" s="245" t="s">
        <v>127</v>
      </c>
      <c r="D11" s="245"/>
      <c r="E11" s="245"/>
      <c r="F11" s="245"/>
      <c r="G11" s="245"/>
      <c r="H11" s="245"/>
      <c r="I11" s="245"/>
      <c r="J11" s="245"/>
      <c r="K11" s="245"/>
      <c r="L11" s="245"/>
      <c r="N11" s="90"/>
      <c r="P11" s="250"/>
      <c r="Q11" s="250"/>
      <c r="R11" s="250"/>
      <c r="S11" s="250"/>
      <c r="T11" s="250"/>
      <c r="U11" s="250"/>
      <c r="V11" s="250"/>
      <c r="W11" s="250"/>
      <c r="X11" s="250"/>
      <c r="Y11" s="250"/>
      <c r="Z11" s="250"/>
      <c r="AB11" s="109"/>
    </row>
    <row r="12" spans="1:28" x14ac:dyDescent="0.2">
      <c r="B12" s="16" t="s">
        <v>128</v>
      </c>
      <c r="C12" s="12">
        <f t="shared" ref="C12:L12" si="1">C6</f>
        <v>2021</v>
      </c>
      <c r="D12" s="12">
        <f t="shared" si="1"/>
        <v>2022</v>
      </c>
      <c r="E12" s="12">
        <f t="shared" si="1"/>
        <v>2023</v>
      </c>
      <c r="F12" s="12">
        <f t="shared" si="1"/>
        <v>2024</v>
      </c>
      <c r="G12" s="12">
        <f t="shared" si="1"/>
        <v>2025</v>
      </c>
      <c r="H12" s="12">
        <f t="shared" si="1"/>
        <v>2026</v>
      </c>
      <c r="I12" s="12">
        <f t="shared" si="1"/>
        <v>2027</v>
      </c>
      <c r="J12" s="12">
        <f t="shared" si="1"/>
        <v>2028</v>
      </c>
      <c r="K12" s="12">
        <f t="shared" si="1"/>
        <v>2029</v>
      </c>
      <c r="L12" s="12">
        <f t="shared" si="1"/>
        <v>2030</v>
      </c>
      <c r="N12" s="90"/>
      <c r="O12" s="16"/>
      <c r="P12" s="110"/>
      <c r="Q12" s="110"/>
      <c r="R12" s="110"/>
      <c r="S12" s="110"/>
      <c r="T12" s="110"/>
      <c r="U12" s="110"/>
      <c r="V12" s="110"/>
      <c r="W12" s="110"/>
      <c r="X12" s="110"/>
      <c r="Y12" s="110"/>
      <c r="Z12" s="110"/>
      <c r="AB12" s="109"/>
    </row>
    <row r="13" spans="1:28" x14ac:dyDescent="0.2">
      <c r="B13" s="39" t="s">
        <v>129</v>
      </c>
      <c r="C13" s="113">
        <f>Statement!M30</f>
        <v>9457</v>
      </c>
      <c r="D13" s="113">
        <f>Statement!N30</f>
        <v>4133</v>
      </c>
      <c r="E13" s="113">
        <f>Statement!O30</f>
        <v>3402</v>
      </c>
      <c r="F13" s="113">
        <f>Statement!P30</f>
        <v>3478</v>
      </c>
      <c r="G13" s="114">
        <f>Statement!Q30</f>
        <v>3839</v>
      </c>
      <c r="H13" s="25">
        <f>H20*H7/365</f>
        <v>4190.9931506849316</v>
      </c>
      <c r="I13" s="25">
        <f>I20*I7/365</f>
        <v>4522.7834589041095</v>
      </c>
      <c r="J13" s="25">
        <f>J20*J7/365</f>
        <v>5052.4055547945209</v>
      </c>
      <c r="K13" s="25">
        <f>K20*K7/365</f>
        <v>5797.8727584931503</v>
      </c>
      <c r="L13" s="25">
        <f>L20*L7/365</f>
        <v>6546.6597024041084</v>
      </c>
      <c r="N13" s="90"/>
      <c r="O13" s="16"/>
      <c r="P13" s="115"/>
      <c r="Q13" s="115"/>
      <c r="R13" s="115"/>
      <c r="S13" s="115"/>
      <c r="T13" s="115"/>
      <c r="U13" s="115"/>
      <c r="V13" s="115"/>
      <c r="W13" s="115"/>
      <c r="X13" s="107"/>
      <c r="Y13" s="107"/>
      <c r="Z13" s="107"/>
      <c r="AB13" s="24"/>
    </row>
    <row r="14" spans="1:28" x14ac:dyDescent="0.2">
      <c r="B14" s="39" t="s">
        <v>130</v>
      </c>
      <c r="C14" s="113">
        <f>Statement!M31</f>
        <v>10776</v>
      </c>
      <c r="D14" s="113">
        <f>Statement!N31</f>
        <v>13224</v>
      </c>
      <c r="E14" s="113">
        <f>Statement!O31</f>
        <v>11127</v>
      </c>
      <c r="F14" s="113">
        <f>Statement!P31</f>
        <v>12198</v>
      </c>
      <c r="G14" s="114">
        <f>Statement!Q31</f>
        <v>11618</v>
      </c>
      <c r="H14" s="25">
        <f>H21*H8/365</f>
        <v>13411.17808219178</v>
      </c>
      <c r="I14" s="25">
        <f t="shared" ref="I14:L14" si="2">I21*I8/365</f>
        <v>14020.628722602738</v>
      </c>
      <c r="J14" s="25">
        <f t="shared" si="2"/>
        <v>15157.216664383561</v>
      </c>
      <c r="K14" s="25">
        <f t="shared" si="2"/>
        <v>17393.618275479454</v>
      </c>
      <c r="L14" s="25">
        <f t="shared" si="2"/>
        <v>18657.980151851709</v>
      </c>
      <c r="N14" s="90"/>
      <c r="O14" s="16"/>
      <c r="P14" s="115"/>
      <c r="Q14" s="115"/>
      <c r="R14" s="115"/>
      <c r="S14" s="115"/>
      <c r="T14" s="115"/>
      <c r="U14" s="115"/>
      <c r="V14" s="115"/>
      <c r="W14" s="115"/>
      <c r="X14" s="107"/>
      <c r="Y14" s="107"/>
      <c r="Z14" s="107"/>
      <c r="AB14" s="24"/>
    </row>
    <row r="15" spans="1:28" x14ac:dyDescent="0.2">
      <c r="B15" s="1" t="s">
        <v>131</v>
      </c>
      <c r="C15" s="113">
        <f>Statement!M38</f>
        <v>5747</v>
      </c>
      <c r="D15" s="113">
        <f>Statement!N38</f>
        <v>9595</v>
      </c>
      <c r="E15" s="113">
        <f>Statement!O38</f>
        <v>8572</v>
      </c>
      <c r="F15" s="113">
        <f>Statement!P38</f>
        <v>12556</v>
      </c>
      <c r="G15" s="114">
        <f>Statement!Q38</f>
        <v>9882</v>
      </c>
      <c r="H15" s="24">
        <f>H22*H8/365</f>
        <v>10728.942465753425</v>
      </c>
      <c r="I15" s="24">
        <f>I22*I8/365</f>
        <v>11216.502978082191</v>
      </c>
      <c r="J15" s="24">
        <f>J22*J8/365</f>
        <v>12125.773331506849</v>
      </c>
      <c r="K15" s="24">
        <f>K22*K8/365</f>
        <v>13914.894620383562</v>
      </c>
      <c r="L15" s="24">
        <f>L22*L8/365</f>
        <v>14926.384121481366</v>
      </c>
      <c r="N15" s="90"/>
      <c r="P15" s="116"/>
      <c r="Q15" s="116"/>
      <c r="R15" s="116"/>
      <c r="S15" s="116"/>
      <c r="T15" s="116"/>
      <c r="U15" s="116"/>
      <c r="V15" s="116"/>
      <c r="W15" s="116"/>
      <c r="X15" s="25"/>
      <c r="Y15" s="24"/>
      <c r="Z15" s="24"/>
      <c r="AB15" s="24"/>
    </row>
    <row r="16" spans="1:28" x14ac:dyDescent="0.2">
      <c r="D16" s="24"/>
    </row>
    <row r="18" spans="2:12" x14ac:dyDescent="0.2">
      <c r="C18" s="245" t="s">
        <v>132</v>
      </c>
      <c r="D18" s="245"/>
      <c r="E18" s="245"/>
      <c r="F18" s="245"/>
      <c r="G18" s="245"/>
      <c r="H18" s="245"/>
      <c r="I18" s="245"/>
      <c r="J18" s="245"/>
      <c r="K18" s="245"/>
      <c r="L18" s="245"/>
    </row>
    <row r="19" spans="2:12" x14ac:dyDescent="0.2">
      <c r="B19" s="16" t="s">
        <v>133</v>
      </c>
      <c r="C19" s="12">
        <f t="shared" ref="C19:L19" si="3">C6</f>
        <v>2021</v>
      </c>
      <c r="D19" s="12">
        <f t="shared" si="3"/>
        <v>2022</v>
      </c>
      <c r="E19" s="12">
        <f t="shared" si="3"/>
        <v>2023</v>
      </c>
      <c r="F19" s="12">
        <f t="shared" si="3"/>
        <v>2024</v>
      </c>
      <c r="G19" s="12">
        <f t="shared" si="3"/>
        <v>2025</v>
      </c>
      <c r="H19" s="12">
        <f t="shared" si="3"/>
        <v>2026</v>
      </c>
      <c r="I19" s="12">
        <f t="shared" si="3"/>
        <v>2027</v>
      </c>
      <c r="J19" s="12">
        <f t="shared" si="3"/>
        <v>2028</v>
      </c>
      <c r="K19" s="12">
        <f t="shared" si="3"/>
        <v>2029</v>
      </c>
      <c r="L19" s="12">
        <f t="shared" si="3"/>
        <v>2030</v>
      </c>
    </row>
    <row r="20" spans="2:12" x14ac:dyDescent="0.2">
      <c r="B20" s="1" t="s">
        <v>134</v>
      </c>
      <c r="C20" s="117">
        <f>C13/C7*365</f>
        <v>43.680464162785988</v>
      </c>
      <c r="D20" s="117">
        <f>D13/D7*365</f>
        <v>23.924651885685286</v>
      </c>
      <c r="E20" s="117">
        <f>E13/E7*365</f>
        <v>22.898318211993807</v>
      </c>
      <c r="F20" s="117">
        <f>F13/F7*365</f>
        <v>23.906706088397584</v>
      </c>
      <c r="G20" s="118">
        <f>G13/G7*365</f>
        <v>26.511929313378616</v>
      </c>
      <c r="H20" s="101">
        <v>25</v>
      </c>
      <c r="I20" s="101">
        <v>25</v>
      </c>
      <c r="J20" s="101">
        <v>25</v>
      </c>
      <c r="K20" s="101">
        <v>25</v>
      </c>
      <c r="L20" s="101">
        <v>25</v>
      </c>
    </row>
    <row r="21" spans="2:12" x14ac:dyDescent="0.2">
      <c r="B21" s="1" t="s">
        <v>135</v>
      </c>
      <c r="C21" s="117">
        <f>C14/C8*365</f>
        <v>111.71121020193701</v>
      </c>
      <c r="D21" s="117">
        <f t="shared" ref="D21:G21" si="4">D14/D8*365</f>
        <v>133.38012600862163</v>
      </c>
      <c r="E21" s="117">
        <f t="shared" si="4"/>
        <v>124.89943721745549</v>
      </c>
      <c r="F21" s="117">
        <f t="shared" si="4"/>
        <v>124.51812283253162</v>
      </c>
      <c r="G21" s="118">
        <f t="shared" si="4"/>
        <v>122.99350310342828</v>
      </c>
      <c r="H21" s="101">
        <v>125</v>
      </c>
      <c r="I21" s="101">
        <v>125</v>
      </c>
      <c r="J21" s="101">
        <v>125</v>
      </c>
      <c r="K21" s="101">
        <v>125</v>
      </c>
      <c r="L21" s="101">
        <v>125</v>
      </c>
    </row>
    <row r="22" spans="2:12" x14ac:dyDescent="0.2">
      <c r="B22" s="1" t="s">
        <v>136</v>
      </c>
      <c r="C22" s="117">
        <f>C15/C8*365</f>
        <v>59.577238774177054</v>
      </c>
      <c r="D22" s="117">
        <f>D15/D8*365</f>
        <v>96.777246601083235</v>
      </c>
      <c r="E22" s="117">
        <f>E15/E8*365</f>
        <v>96.219823476950523</v>
      </c>
      <c r="F22" s="117">
        <f>F15/F8*365</f>
        <v>128.17261438639667</v>
      </c>
      <c r="G22" s="118">
        <f>G15/G8*365</f>
        <v>104.6154069261558</v>
      </c>
      <c r="H22" s="101">
        <v>100</v>
      </c>
      <c r="I22" s="101">
        <v>100</v>
      </c>
      <c r="J22" s="101">
        <v>100</v>
      </c>
      <c r="K22" s="101">
        <v>100</v>
      </c>
      <c r="L22" s="101">
        <v>100</v>
      </c>
    </row>
    <row r="23" spans="2:12" x14ac:dyDescent="0.2">
      <c r="B23" s="1" t="s">
        <v>137</v>
      </c>
      <c r="C23" s="117">
        <f>C20+C21-C22</f>
        <v>95.814435590545941</v>
      </c>
      <c r="D23" s="117">
        <f t="shared" ref="D23:L23" si="5">D20+D21-D22</f>
        <v>60.527531293223674</v>
      </c>
      <c r="E23" s="117">
        <f t="shared" si="5"/>
        <v>51.577931952498773</v>
      </c>
      <c r="F23" s="117">
        <f t="shared" si="5"/>
        <v>20.252214534532527</v>
      </c>
      <c r="G23" s="118">
        <f t="shared" si="5"/>
        <v>44.890025490651112</v>
      </c>
      <c r="H23" s="117">
        <f t="shared" si="5"/>
        <v>50</v>
      </c>
      <c r="I23" s="117">
        <f t="shared" si="5"/>
        <v>50</v>
      </c>
      <c r="J23" s="117">
        <f t="shared" si="5"/>
        <v>50</v>
      </c>
      <c r="K23" s="117">
        <f t="shared" si="5"/>
        <v>50</v>
      </c>
      <c r="L23" s="117">
        <f t="shared" si="5"/>
        <v>50</v>
      </c>
    </row>
    <row r="25" spans="2:12" x14ac:dyDescent="0.2">
      <c r="B25" s="250"/>
      <c r="C25" s="250"/>
    </row>
    <row r="26" spans="2:12" x14ac:dyDescent="0.2">
      <c r="B26" s="108"/>
      <c r="C26" s="245" t="s">
        <v>138</v>
      </c>
      <c r="D26" s="245"/>
      <c r="E26" s="245"/>
      <c r="F26" s="245"/>
      <c r="G26" s="245"/>
      <c r="H26" s="245"/>
      <c r="I26" s="245"/>
      <c r="J26" s="245"/>
      <c r="K26" s="245"/>
      <c r="L26" s="245"/>
    </row>
    <row r="27" spans="2:12" x14ac:dyDescent="0.2">
      <c r="B27" s="16" t="s">
        <v>128</v>
      </c>
      <c r="C27" s="12">
        <f t="shared" ref="C27:L27" si="6">C6</f>
        <v>2021</v>
      </c>
      <c r="D27" s="12">
        <f t="shared" si="6"/>
        <v>2022</v>
      </c>
      <c r="E27" s="12">
        <f t="shared" si="6"/>
        <v>2023</v>
      </c>
      <c r="F27" s="12">
        <f t="shared" si="6"/>
        <v>2024</v>
      </c>
      <c r="G27" s="12">
        <f t="shared" si="6"/>
        <v>2025</v>
      </c>
      <c r="H27" s="12">
        <f t="shared" si="6"/>
        <v>2026</v>
      </c>
      <c r="I27" s="12">
        <f t="shared" si="6"/>
        <v>2027</v>
      </c>
      <c r="J27" s="12">
        <f t="shared" si="6"/>
        <v>2028</v>
      </c>
      <c r="K27" s="12">
        <f t="shared" si="6"/>
        <v>2029</v>
      </c>
      <c r="L27" s="12">
        <f t="shared" si="6"/>
        <v>2030</v>
      </c>
    </row>
    <row r="28" spans="2:12" x14ac:dyDescent="0.2">
      <c r="B28" s="1" t="s">
        <v>139</v>
      </c>
      <c r="C28" s="113">
        <f>Statement!M55</f>
        <v>-2674</v>
      </c>
      <c r="D28" s="113">
        <f>Statement!N55</f>
        <v>5327</v>
      </c>
      <c r="E28" s="113">
        <f>Statement!O55</f>
        <v>731</v>
      </c>
      <c r="F28" s="113">
        <f>Statement!P55</f>
        <v>-75</v>
      </c>
      <c r="G28" s="114">
        <f>Statement!Q55</f>
        <v>-449</v>
      </c>
      <c r="H28" s="125">
        <f>-(H13-G13)</f>
        <v>-351.99315068493161</v>
      </c>
      <c r="I28" s="125">
        <f t="shared" ref="I28:L29" si="7">-(I13-H13)</f>
        <v>-331.79030821917786</v>
      </c>
      <c r="J28" s="125">
        <f t="shared" si="7"/>
        <v>-529.6220958904114</v>
      </c>
      <c r="K28" s="125">
        <f t="shared" si="7"/>
        <v>-745.46720369862942</v>
      </c>
      <c r="L28" s="125">
        <f t="shared" si="7"/>
        <v>-748.78694391095814</v>
      </c>
    </row>
    <row r="29" spans="2:12" x14ac:dyDescent="0.2">
      <c r="B29" s="1" t="s">
        <v>140</v>
      </c>
      <c r="C29" s="113">
        <f>Statement!M56</f>
        <v>-2339</v>
      </c>
      <c r="D29" s="113">
        <f>Statement!N56</f>
        <v>-2436</v>
      </c>
      <c r="E29" s="113">
        <f>Statement!O56</f>
        <v>2097</v>
      </c>
      <c r="F29" s="113">
        <f>Statement!P56</f>
        <v>-1105</v>
      </c>
      <c r="G29" s="114">
        <f>Statement!Q56</f>
        <v>-138</v>
      </c>
      <c r="H29" s="125">
        <f>-(H14-G14)</f>
        <v>-1793.17808219178</v>
      </c>
      <c r="I29" s="125">
        <f t="shared" si="7"/>
        <v>-609.45064041095793</v>
      </c>
      <c r="J29" s="125">
        <f t="shared" si="7"/>
        <v>-1136.5879417808228</v>
      </c>
      <c r="K29" s="125">
        <f t="shared" si="7"/>
        <v>-2236.4016110958928</v>
      </c>
      <c r="L29" s="125">
        <f t="shared" si="7"/>
        <v>-1264.3618763722552</v>
      </c>
    </row>
    <row r="30" spans="2:12" x14ac:dyDescent="0.2">
      <c r="B30" s="1" t="s">
        <v>141</v>
      </c>
      <c r="C30" s="113">
        <f>Statement!M57</f>
        <v>1190</v>
      </c>
      <c r="D30" s="113">
        <f>Statement!N57</f>
        <v>-29</v>
      </c>
      <c r="E30" s="113">
        <f>Statement!O57</f>
        <v>-801</v>
      </c>
      <c r="F30" s="113">
        <f>Statement!P57</f>
        <v>634</v>
      </c>
      <c r="G30" s="114">
        <f>Statement!Q57</f>
        <v>297</v>
      </c>
      <c r="H30" s="63">
        <f>H15-G15</f>
        <v>846.94246575342549</v>
      </c>
      <c r="I30" s="63">
        <f t="shared" ref="I30:L30" si="8">I15-H15</f>
        <v>487.56051232876598</v>
      </c>
      <c r="J30" s="63">
        <f t="shared" si="8"/>
        <v>909.27035342465751</v>
      </c>
      <c r="K30" s="63">
        <f t="shared" si="8"/>
        <v>1789.1212888767132</v>
      </c>
      <c r="L30" s="63">
        <f t="shared" si="8"/>
        <v>1011.4895010978034</v>
      </c>
    </row>
    <row r="31" spans="2:12" x14ac:dyDescent="0.2">
      <c r="B31" s="108"/>
      <c r="C31" s="108"/>
    </row>
    <row r="32" spans="2:12" x14ac:dyDescent="0.2">
      <c r="B32" s="108"/>
      <c r="C32" s="108"/>
    </row>
    <row r="33" spans="2:12" x14ac:dyDescent="0.2">
      <c r="B33" s="108"/>
      <c r="C33" s="245" t="s">
        <v>142</v>
      </c>
      <c r="D33" s="245"/>
      <c r="E33" s="245"/>
      <c r="F33" s="245"/>
      <c r="G33" s="245"/>
      <c r="H33" s="245"/>
      <c r="I33" s="245"/>
      <c r="J33" s="245"/>
      <c r="K33" s="245"/>
      <c r="L33" s="245"/>
    </row>
    <row r="34" spans="2:12" x14ac:dyDescent="0.2">
      <c r="B34" s="16" t="s">
        <v>128</v>
      </c>
      <c r="C34" s="12">
        <f t="shared" ref="C34:L34" si="9">C6</f>
        <v>2021</v>
      </c>
      <c r="D34" s="12">
        <f t="shared" si="9"/>
        <v>2022</v>
      </c>
      <c r="E34" s="12">
        <f t="shared" si="9"/>
        <v>2023</v>
      </c>
      <c r="F34" s="12">
        <f t="shared" si="9"/>
        <v>2024</v>
      </c>
      <c r="G34" s="12">
        <f t="shared" si="9"/>
        <v>2025</v>
      </c>
      <c r="H34" s="12">
        <f t="shared" si="9"/>
        <v>2026</v>
      </c>
      <c r="I34" s="12">
        <f t="shared" si="9"/>
        <v>2027</v>
      </c>
      <c r="J34" s="12">
        <f t="shared" si="9"/>
        <v>2028</v>
      </c>
      <c r="K34" s="12">
        <f t="shared" si="9"/>
        <v>2029</v>
      </c>
      <c r="L34" s="12">
        <f t="shared" si="9"/>
        <v>2030</v>
      </c>
    </row>
    <row r="35" spans="2:12" x14ac:dyDescent="0.2">
      <c r="B35" s="1" t="s">
        <v>143</v>
      </c>
      <c r="C35" s="113">
        <f>Statement!M55+Statement!M56+Statement!M57+Statement!M58</f>
        <v>-5408</v>
      </c>
      <c r="D35" s="113">
        <f>Statement!N55+Statement!N56+Statement!N57+Statement!N58</f>
        <v>-4508</v>
      </c>
      <c r="E35" s="113">
        <f>Statement!O55+Statement!O56+Statement!O57+Statement!O58</f>
        <v>-569</v>
      </c>
      <c r="F35" s="113">
        <f>Statement!P55+Statement!P56+Statement!P57+Statement!P58</f>
        <v>1103</v>
      </c>
      <c r="G35" s="114">
        <f>Statement!Q55+Statement!Q56+Statement!Q57+Statement!Q58</f>
        <v>-1747</v>
      </c>
      <c r="H35" s="125">
        <f>H36+H28+H29+H30</f>
        <v>-3133.8837671232859</v>
      </c>
      <c r="I35" s="125">
        <f t="shared" ref="I35:L35" si="10">I36+I28+I29+I30</f>
        <v>-2434.6595913013698</v>
      </c>
      <c r="J35" s="125">
        <f t="shared" si="10"/>
        <v>-2969.8933172465768</v>
      </c>
      <c r="K35" s="125">
        <f t="shared" si="10"/>
        <v>-3732.2157941378091</v>
      </c>
      <c r="L35" s="125">
        <f t="shared" si="10"/>
        <v>-3869.0962688384097</v>
      </c>
    </row>
    <row r="36" spans="2:12" x14ac:dyDescent="0.2">
      <c r="B36" s="1" t="s">
        <v>144</v>
      </c>
      <c r="C36" s="119">
        <f>C35-C28-C29-C30</f>
        <v>-1585</v>
      </c>
      <c r="D36" s="119">
        <f t="shared" ref="D36:G36" si="11">D35-D28-D29-D30</f>
        <v>-7370</v>
      </c>
      <c r="E36" s="119">
        <f t="shared" si="11"/>
        <v>-2596</v>
      </c>
      <c r="F36" s="119">
        <f t="shared" si="11"/>
        <v>1649</v>
      </c>
      <c r="G36" s="120">
        <f t="shared" si="11"/>
        <v>-1457</v>
      </c>
      <c r="H36" s="63">
        <f>H7*H37</f>
        <v>-1835.655</v>
      </c>
      <c r="I36" s="63">
        <f>I7*I37</f>
        <v>-1980.979155</v>
      </c>
      <c r="J36" s="63">
        <f>J7*J37</f>
        <v>-2212.9536330000001</v>
      </c>
      <c r="K36" s="63">
        <f>K7*K37</f>
        <v>-2539.46826822</v>
      </c>
      <c r="L36" s="63">
        <f>L7*L37</f>
        <v>-2867.4369496529994</v>
      </c>
    </row>
    <row r="37" spans="2:12" x14ac:dyDescent="0.2">
      <c r="B37" s="121" t="s">
        <v>124</v>
      </c>
      <c r="C37" s="122">
        <f>C36/C7</f>
        <v>-2.0057197813322537E-2</v>
      </c>
      <c r="D37" s="122">
        <f>D36/D7</f>
        <v>-0.1168839407491991</v>
      </c>
      <c r="E37" s="122">
        <f>E36/E7</f>
        <v>-4.787194807110718E-2</v>
      </c>
      <c r="F37" s="122">
        <f>F36/F7</f>
        <v>3.1054029114329296E-2</v>
      </c>
      <c r="G37" s="123">
        <f>G36/G7</f>
        <v>-2.7567025523622123E-2</v>
      </c>
      <c r="H37" s="96">
        <v>-0.03</v>
      </c>
      <c r="I37" s="96">
        <v>-0.03</v>
      </c>
      <c r="J37" s="96">
        <v>-0.03</v>
      </c>
      <c r="K37" s="96">
        <v>-0.03</v>
      </c>
      <c r="L37" s="96">
        <v>-0.03</v>
      </c>
    </row>
    <row r="38" spans="2:12" x14ac:dyDescent="0.2">
      <c r="C38" s="63"/>
    </row>
    <row r="39" spans="2:12" x14ac:dyDescent="0.2">
      <c r="C39" s="124"/>
    </row>
    <row r="40" spans="2:12" x14ac:dyDescent="0.2">
      <c r="C40" s="245" t="s">
        <v>145</v>
      </c>
      <c r="D40" s="245"/>
      <c r="E40" s="245"/>
      <c r="F40" s="245"/>
      <c r="G40" s="245"/>
      <c r="H40" s="245"/>
      <c r="I40" s="245"/>
      <c r="J40" s="245"/>
      <c r="K40" s="245"/>
      <c r="L40" s="245"/>
    </row>
    <row r="41" spans="2:12" x14ac:dyDescent="0.2">
      <c r="B41" s="16" t="s">
        <v>128</v>
      </c>
      <c r="C41" s="12">
        <f t="shared" ref="C41:L41" si="12">C6</f>
        <v>2021</v>
      </c>
      <c r="D41" s="12">
        <f t="shared" si="12"/>
        <v>2022</v>
      </c>
      <c r="E41" s="12">
        <f t="shared" si="12"/>
        <v>2023</v>
      </c>
      <c r="F41" s="12">
        <f t="shared" si="12"/>
        <v>2024</v>
      </c>
      <c r="G41" s="12">
        <f t="shared" si="12"/>
        <v>2025</v>
      </c>
      <c r="H41" s="12">
        <f t="shared" si="12"/>
        <v>2026</v>
      </c>
      <c r="I41" s="12">
        <f t="shared" si="12"/>
        <v>2027</v>
      </c>
      <c r="J41" s="12">
        <f t="shared" si="12"/>
        <v>2028</v>
      </c>
      <c r="K41" s="12">
        <f t="shared" si="12"/>
        <v>2029</v>
      </c>
      <c r="L41" s="12">
        <f t="shared" si="12"/>
        <v>2030</v>
      </c>
    </row>
    <row r="42" spans="2:12" x14ac:dyDescent="0.2">
      <c r="B42" s="1" t="s">
        <v>55</v>
      </c>
      <c r="C42" s="113">
        <f>Statement!M53</f>
        <v>11792</v>
      </c>
      <c r="D42" s="113">
        <f>Statement!N53</f>
        <v>13035</v>
      </c>
      <c r="E42" s="113">
        <f>Statement!O53</f>
        <v>9602</v>
      </c>
      <c r="F42" s="113">
        <f>Statement!P53</f>
        <v>11379</v>
      </c>
      <c r="G42" s="114">
        <f>Statement!Q53</f>
        <v>11706</v>
      </c>
      <c r="H42" s="25">
        <f>H7*H43</f>
        <v>12237.7</v>
      </c>
      <c r="I42" s="25">
        <f>I7*I43</f>
        <v>13206.527700000001</v>
      </c>
      <c r="J42" s="25">
        <f>J7*J43</f>
        <v>14753.024220000001</v>
      </c>
      <c r="K42" s="25">
        <f>K7*K43</f>
        <v>16929.7884548</v>
      </c>
      <c r="L42" s="25">
        <f>L7*L43</f>
        <v>19116.246331019996</v>
      </c>
    </row>
    <row r="43" spans="2:12" x14ac:dyDescent="0.2">
      <c r="B43" s="121" t="s">
        <v>146</v>
      </c>
      <c r="C43" s="122">
        <f>C42/C7</f>
        <v>0.1492204899777283</v>
      </c>
      <c r="D43" s="122">
        <f>D42/D7</f>
        <v>0.20672756684746407</v>
      </c>
      <c r="E43" s="122">
        <f>E42/E7</f>
        <v>0.17706719775761598</v>
      </c>
      <c r="F43" s="122">
        <f>F42/F7</f>
        <v>0.21428974972222745</v>
      </c>
      <c r="G43" s="123">
        <f>G42/G7</f>
        <v>0.22148222428244377</v>
      </c>
      <c r="H43" s="96">
        <v>0.2</v>
      </c>
      <c r="I43" s="96">
        <v>0.2</v>
      </c>
      <c r="J43" s="96">
        <v>0.2</v>
      </c>
      <c r="K43" s="96">
        <v>0.2</v>
      </c>
      <c r="L43" s="96">
        <v>0.2</v>
      </c>
    </row>
    <row r="44" spans="2:12" x14ac:dyDescent="0.2">
      <c r="B44" s="121" t="s">
        <v>147</v>
      </c>
      <c r="C44" s="122">
        <f>C42/C45</f>
        <v>0.62947739283617143</v>
      </c>
      <c r="D44" s="122">
        <f t="shared" ref="D44:L44" si="13">D42/D45</f>
        <v>0.52467396554500079</v>
      </c>
      <c r="E44" s="122">
        <f t="shared" si="13"/>
        <v>0.37289320388349517</v>
      </c>
      <c r="F44" s="122">
        <f t="shared" si="13"/>
        <v>0.4752338790511193</v>
      </c>
      <c r="G44" s="123">
        <f t="shared" si="13"/>
        <v>0.79926259729619009</v>
      </c>
      <c r="H44" s="122">
        <f t="shared" si="13"/>
        <v>0.66666666666666674</v>
      </c>
      <c r="I44" s="122">
        <f t="shared" si="13"/>
        <v>0.66666666666666674</v>
      </c>
      <c r="J44" s="122">
        <f t="shared" si="13"/>
        <v>0.66666666666666674</v>
      </c>
      <c r="K44" s="122">
        <f t="shared" si="13"/>
        <v>0.66666666666666663</v>
      </c>
      <c r="L44" s="122">
        <f t="shared" si="13"/>
        <v>0.66666666666666663</v>
      </c>
    </row>
    <row r="45" spans="2:12" x14ac:dyDescent="0.2">
      <c r="B45" s="1" t="s">
        <v>58</v>
      </c>
      <c r="C45" s="113">
        <f>-Statement!M110</f>
        <v>18733</v>
      </c>
      <c r="D45" s="113">
        <f>-Statement!N110</f>
        <v>24844</v>
      </c>
      <c r="E45" s="113">
        <f>-Statement!O110</f>
        <v>25750</v>
      </c>
      <c r="F45" s="113">
        <f>-Statement!P110</f>
        <v>23944</v>
      </c>
      <c r="G45" s="114">
        <f>-Statement!Q110</f>
        <v>14646</v>
      </c>
      <c r="H45" s="25">
        <f>H7*H46</f>
        <v>18356.55</v>
      </c>
      <c r="I45" s="25">
        <f>I7*I46</f>
        <v>19809.791549999998</v>
      </c>
      <c r="J45" s="25">
        <f>J7*J46</f>
        <v>22129.536329999999</v>
      </c>
      <c r="K45" s="25">
        <f>K7*K46</f>
        <v>25394.6826822</v>
      </c>
      <c r="L45" s="25">
        <f>L7*L46</f>
        <v>28674.369496529995</v>
      </c>
    </row>
    <row r="46" spans="2:12" x14ac:dyDescent="0.2">
      <c r="B46" s="121" t="s">
        <v>146</v>
      </c>
      <c r="C46" s="122">
        <f>C45/C7</f>
        <v>0.23705456570155903</v>
      </c>
      <c r="D46" s="122">
        <f>D45/D7</f>
        <v>0.39401148222158783</v>
      </c>
      <c r="E46" s="122">
        <f>E45/E7</f>
        <v>0.4748469425389098</v>
      </c>
      <c r="F46" s="122">
        <f>F45/F7</f>
        <v>0.45091429539933336</v>
      </c>
      <c r="G46" s="123">
        <f>G45/G7</f>
        <v>0.27710820577829071</v>
      </c>
      <c r="H46" s="96">
        <v>0.3</v>
      </c>
      <c r="I46" s="96">
        <v>0.3</v>
      </c>
      <c r="J46" s="96">
        <v>0.3</v>
      </c>
      <c r="K46" s="96">
        <v>0.3</v>
      </c>
      <c r="L46" s="96">
        <v>0.3</v>
      </c>
    </row>
  </sheetData>
  <mergeCells count="13">
    <mergeCell ref="C40:L40"/>
    <mergeCell ref="C11:L11"/>
    <mergeCell ref="P11:Z11"/>
    <mergeCell ref="C18:L18"/>
    <mergeCell ref="B25:C25"/>
    <mergeCell ref="C26:L26"/>
    <mergeCell ref="C33:L33"/>
    <mergeCell ref="C3:G3"/>
    <mergeCell ref="H3:L3"/>
    <mergeCell ref="P3:W3"/>
    <mergeCell ref="X3:Z3"/>
    <mergeCell ref="C5:L5"/>
    <mergeCell ref="P5:Z5"/>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D0CC1-03C8-8940-8079-159588699646}">
  <dimension ref="A1:AE34"/>
  <sheetViews>
    <sheetView topLeftCell="A5" zoomScale="183" workbookViewId="0">
      <selection activeCell="H16" sqref="H16"/>
    </sheetView>
  </sheetViews>
  <sheetFormatPr baseColWidth="10" defaultRowHeight="16" x14ac:dyDescent="0.2"/>
  <cols>
    <col min="1" max="1" width="2" style="82"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4.6640625" style="1" customWidth="1"/>
    <col min="19" max="29" width="10.83203125" style="1"/>
    <col min="30" max="30" width="2" style="1" customWidth="1"/>
    <col min="31" max="31" width="12.33203125" style="1" customWidth="1"/>
    <col min="32" max="16384" width="10.83203125" style="1"/>
  </cols>
  <sheetData>
    <row r="1" spans="1:31" s="82" customFormat="1" ht="18" customHeight="1" x14ac:dyDescent="0.2">
      <c r="A1" s="4"/>
      <c r="B1" s="81" t="s">
        <v>148</v>
      </c>
    </row>
    <row r="2" spans="1:31" x14ac:dyDescent="0.2">
      <c r="A2" s="4"/>
      <c r="C2" s="239" t="s">
        <v>108</v>
      </c>
      <c r="D2" s="239"/>
      <c r="E2" s="239"/>
      <c r="F2" s="239"/>
      <c r="G2" s="248"/>
      <c r="H2" s="249" t="s">
        <v>109</v>
      </c>
      <c r="I2" s="239"/>
      <c r="J2" s="239"/>
      <c r="K2" s="239"/>
      <c r="L2" s="239"/>
      <c r="S2" s="250"/>
      <c r="T2" s="250"/>
      <c r="U2" s="250"/>
      <c r="V2" s="250"/>
      <c r="W2" s="250"/>
      <c r="X2" s="250"/>
      <c r="Y2" s="250"/>
      <c r="Z2" s="250"/>
      <c r="AA2" s="250"/>
      <c r="AB2" s="250"/>
      <c r="AC2" s="250"/>
      <c r="AE2" s="108"/>
    </row>
    <row r="3" spans="1:31" ht="10" customHeight="1" x14ac:dyDescent="0.2"/>
    <row r="4" spans="1:31" ht="16" customHeight="1" x14ac:dyDescent="0.2">
      <c r="A4" s="85"/>
      <c r="B4" s="59"/>
      <c r="C4" s="245" t="s">
        <v>18</v>
      </c>
      <c r="D4" s="245"/>
      <c r="E4" s="245"/>
      <c r="F4" s="245"/>
      <c r="G4" s="245"/>
      <c r="H4" s="245"/>
      <c r="I4" s="245"/>
      <c r="J4" s="245"/>
      <c r="K4" s="245"/>
      <c r="L4" s="245"/>
      <c r="S4" s="250"/>
      <c r="T4" s="250"/>
      <c r="U4" s="250"/>
      <c r="V4" s="250"/>
      <c r="W4" s="250"/>
      <c r="X4" s="250"/>
      <c r="Y4" s="250"/>
      <c r="Z4" s="250"/>
      <c r="AA4" s="250"/>
      <c r="AB4" s="250"/>
      <c r="AC4" s="250"/>
      <c r="AE4" s="109"/>
    </row>
    <row r="5" spans="1:31" x14ac:dyDescent="0.2">
      <c r="B5" s="16" t="s">
        <v>128</v>
      </c>
      <c r="C5" s="12">
        <f>Revenue!C5</f>
        <v>2021</v>
      </c>
      <c r="D5" s="12">
        <f>Revenue!D5</f>
        <v>2022</v>
      </c>
      <c r="E5" s="12">
        <f>Revenue!E5</f>
        <v>2023</v>
      </c>
      <c r="F5" s="12">
        <f>Revenue!F5</f>
        <v>2024</v>
      </c>
      <c r="G5" s="12">
        <f>Revenue!G5</f>
        <v>2025</v>
      </c>
      <c r="H5" s="12">
        <f>G5+1</f>
        <v>2026</v>
      </c>
      <c r="I5" s="12">
        <f t="shared" ref="I5:L5" si="0">H5+1</f>
        <v>2027</v>
      </c>
      <c r="J5" s="12">
        <f t="shared" si="0"/>
        <v>2028</v>
      </c>
      <c r="K5" s="12">
        <f t="shared" si="0"/>
        <v>2029</v>
      </c>
      <c r="L5" s="12">
        <f t="shared" si="0"/>
        <v>2030</v>
      </c>
      <c r="R5" s="16"/>
      <c r="S5" s="110"/>
      <c r="T5" s="110"/>
      <c r="U5" s="110"/>
      <c r="V5" s="110"/>
      <c r="W5" s="110"/>
      <c r="X5" s="110"/>
      <c r="Y5" s="110"/>
      <c r="Z5" s="110"/>
      <c r="AA5" s="110"/>
      <c r="AB5" s="110"/>
      <c r="AC5" s="110"/>
      <c r="AE5" s="109"/>
    </row>
    <row r="6" spans="1:31" x14ac:dyDescent="0.2">
      <c r="B6" s="16" t="s">
        <v>19</v>
      </c>
      <c r="C6" s="91">
        <f>Revenue!C11</f>
        <v>79024</v>
      </c>
      <c r="D6" s="91">
        <f>Revenue!D11</f>
        <v>63054</v>
      </c>
      <c r="E6" s="91">
        <f>Revenue!E11</f>
        <v>54228</v>
      </c>
      <c r="F6" s="91">
        <f>Revenue!F11</f>
        <v>53101</v>
      </c>
      <c r="G6" s="92">
        <f>Revenue!G11</f>
        <v>52853</v>
      </c>
      <c r="H6" s="91">
        <f>Revenue!H11</f>
        <v>61188.5</v>
      </c>
      <c r="I6" s="91">
        <f>Revenue!I11</f>
        <v>66032.638500000001</v>
      </c>
      <c r="J6" s="91">
        <f>Revenue!J11</f>
        <v>73765.121100000004</v>
      </c>
      <c r="K6" s="91">
        <f>Revenue!K11</f>
        <v>84648.942274000001</v>
      </c>
      <c r="L6" s="91">
        <f>Revenue!L11</f>
        <v>95581.231655099982</v>
      </c>
      <c r="N6" s="89" t="s">
        <v>149</v>
      </c>
      <c r="Q6" s="89"/>
      <c r="S6" s="87"/>
      <c r="T6" s="87"/>
      <c r="U6" s="87"/>
      <c r="V6" s="87"/>
      <c r="W6" s="87"/>
      <c r="X6" s="87"/>
      <c r="Y6" s="87"/>
      <c r="Z6" s="87"/>
      <c r="AA6" s="63"/>
      <c r="AB6" s="63"/>
      <c r="AC6" s="63"/>
      <c r="AE6" s="63"/>
    </row>
    <row r="7" spans="1:31" x14ac:dyDescent="0.2">
      <c r="B7" s="1" t="s">
        <v>20</v>
      </c>
      <c r="C7" s="87">
        <f>'COGS &amp; OpEx'!C11</f>
        <v>35209</v>
      </c>
      <c r="D7" s="87">
        <f>'COGS &amp; OpEx'!D11</f>
        <v>36188</v>
      </c>
      <c r="E7" s="87">
        <f>'COGS &amp; OpEx'!E11</f>
        <v>32517</v>
      </c>
      <c r="F7" s="87">
        <f>'COGS &amp; OpEx'!F11</f>
        <v>35756</v>
      </c>
      <c r="G7" s="88">
        <f>'COGS &amp; OpEx'!G11</f>
        <v>34478</v>
      </c>
      <c r="H7" s="111">
        <f>'COGS &amp; OpEx'!H11</f>
        <v>39160.639999999999</v>
      </c>
      <c r="I7" s="111">
        <f>'COGS &amp; OpEx'!I11</f>
        <v>40940.235869999997</v>
      </c>
      <c r="J7" s="111">
        <f>'COGS &amp; OpEx'!J11</f>
        <v>44259.072659999998</v>
      </c>
      <c r="K7" s="111">
        <f>'COGS &amp; OpEx'!K11</f>
        <v>50789.365364400001</v>
      </c>
      <c r="L7" s="111">
        <f>'COGS &amp; OpEx'!L11</f>
        <v>54481.302043406984</v>
      </c>
      <c r="N7" s="89" t="s">
        <v>150</v>
      </c>
      <c r="Q7" s="89"/>
      <c r="S7" s="87"/>
      <c r="T7" s="87"/>
      <c r="U7" s="87"/>
      <c r="V7" s="87"/>
      <c r="W7" s="87"/>
      <c r="X7" s="87"/>
      <c r="Y7" s="87"/>
      <c r="Z7" s="87"/>
      <c r="AA7" s="63"/>
      <c r="AB7" s="63"/>
      <c r="AC7" s="63"/>
      <c r="AE7" s="63"/>
    </row>
    <row r="8" spans="1:31" x14ac:dyDescent="0.2">
      <c r="B8" s="16" t="s">
        <v>151</v>
      </c>
      <c r="C8" s="93">
        <f>C6-C7</f>
        <v>43815</v>
      </c>
      <c r="D8" s="93">
        <f t="shared" ref="D8:L8" si="1">D6-D7</f>
        <v>26866</v>
      </c>
      <c r="E8" s="93">
        <f t="shared" si="1"/>
        <v>21711</v>
      </c>
      <c r="F8" s="93">
        <f t="shared" si="1"/>
        <v>17345</v>
      </c>
      <c r="G8" s="126">
        <f t="shared" si="1"/>
        <v>18375</v>
      </c>
      <c r="H8" s="93">
        <f t="shared" si="1"/>
        <v>22027.86</v>
      </c>
      <c r="I8" s="93">
        <f t="shared" si="1"/>
        <v>25092.402630000004</v>
      </c>
      <c r="J8" s="93">
        <f t="shared" si="1"/>
        <v>29506.048440000006</v>
      </c>
      <c r="K8" s="93">
        <f t="shared" si="1"/>
        <v>33859.5769096</v>
      </c>
      <c r="L8" s="93">
        <f t="shared" si="1"/>
        <v>41099.929611692998</v>
      </c>
      <c r="N8" s="89"/>
      <c r="Q8" s="89"/>
      <c r="S8" s="87"/>
      <c r="T8" s="87"/>
      <c r="U8" s="87"/>
      <c r="V8" s="87"/>
      <c r="W8" s="87"/>
      <c r="X8" s="87"/>
      <c r="Y8" s="87"/>
      <c r="Z8" s="87"/>
      <c r="AA8" s="63"/>
      <c r="AB8" s="63"/>
      <c r="AC8" s="63"/>
      <c r="AE8" s="63"/>
    </row>
    <row r="9" spans="1:31" x14ac:dyDescent="0.2">
      <c r="B9" s="1" t="s">
        <v>23</v>
      </c>
      <c r="C9" s="87">
        <f>'COGS &amp; OpEx'!C15</f>
        <v>24359</v>
      </c>
      <c r="D9" s="87">
        <f>'COGS &amp; OpEx'!D15</f>
        <v>24532</v>
      </c>
      <c r="E9" s="87">
        <f>'COGS &amp; OpEx'!E15</f>
        <v>21618</v>
      </c>
      <c r="F9" s="87">
        <f>'COGS &amp; OpEx'!F15</f>
        <v>29023</v>
      </c>
      <c r="G9" s="88">
        <f>'COGS &amp; OpEx'!G15</f>
        <v>20589</v>
      </c>
      <c r="H9" s="111">
        <f>'COGS &amp; OpEx'!H15</f>
        <v>22027.86</v>
      </c>
      <c r="I9" s="111">
        <f>'COGS &amp; OpEx'!I15</f>
        <v>23111.423475000003</v>
      </c>
      <c r="J9" s="111">
        <f>'COGS &amp; OpEx'!J15</f>
        <v>24342.489963000004</v>
      </c>
      <c r="K9" s="111">
        <f>'COGS &amp; OpEx'!K15</f>
        <v>27087.66152768</v>
      </c>
      <c r="L9" s="111">
        <f>'COGS &amp; OpEx'!L15</f>
        <v>28674.369496529995</v>
      </c>
      <c r="N9" s="127" t="s">
        <v>150</v>
      </c>
      <c r="Q9" s="89"/>
      <c r="S9" s="87"/>
      <c r="T9" s="87"/>
      <c r="U9" s="87"/>
      <c r="V9" s="87"/>
      <c r="W9" s="87"/>
      <c r="X9" s="87"/>
      <c r="Y9" s="87"/>
      <c r="Z9" s="87"/>
      <c r="AA9" s="63"/>
      <c r="AB9" s="63"/>
      <c r="AC9" s="63"/>
      <c r="AE9" s="63"/>
    </row>
    <row r="10" spans="1:31" x14ac:dyDescent="0.2">
      <c r="B10" s="16" t="s">
        <v>152</v>
      </c>
      <c r="C10" s="93">
        <f t="shared" ref="C10:L10" si="2">C8-C9</f>
        <v>19456</v>
      </c>
      <c r="D10" s="93">
        <f t="shared" si="2"/>
        <v>2334</v>
      </c>
      <c r="E10" s="93">
        <f t="shared" si="2"/>
        <v>93</v>
      </c>
      <c r="F10" s="93">
        <f t="shared" si="2"/>
        <v>-11678</v>
      </c>
      <c r="G10" s="126">
        <f t="shared" si="2"/>
        <v>-2214</v>
      </c>
      <c r="H10" s="93">
        <f t="shared" si="2"/>
        <v>0</v>
      </c>
      <c r="I10" s="93">
        <f t="shared" si="2"/>
        <v>1980.9791550000009</v>
      </c>
      <c r="J10" s="93">
        <f t="shared" si="2"/>
        <v>5163.5584770000023</v>
      </c>
      <c r="K10" s="93">
        <f t="shared" si="2"/>
        <v>6771.9153819200001</v>
      </c>
      <c r="L10" s="93">
        <f t="shared" si="2"/>
        <v>12425.560115163004</v>
      </c>
      <c r="N10" s="89"/>
      <c r="Q10" s="89"/>
      <c r="S10" s="87"/>
      <c r="T10" s="87"/>
      <c r="U10" s="87"/>
      <c r="V10" s="87"/>
      <c r="W10" s="87"/>
      <c r="X10" s="87"/>
      <c r="Y10" s="87"/>
      <c r="Z10" s="87"/>
      <c r="AA10" s="63"/>
      <c r="AB10" s="63"/>
      <c r="AC10" s="63"/>
      <c r="AE10" s="63"/>
    </row>
    <row r="13" spans="1:31" x14ac:dyDescent="0.2">
      <c r="C13" s="245" t="s">
        <v>153</v>
      </c>
      <c r="D13" s="245"/>
      <c r="E13" s="245"/>
      <c r="F13" s="245"/>
      <c r="G13" s="245"/>
      <c r="H13" s="245"/>
      <c r="I13" s="245"/>
      <c r="J13" s="245"/>
      <c r="K13" s="245"/>
      <c r="L13" s="245"/>
    </row>
    <row r="14" spans="1:31" x14ac:dyDescent="0.2">
      <c r="C14" s="12">
        <f t="shared" ref="C14:L14" si="3">C5</f>
        <v>2021</v>
      </c>
      <c r="D14" s="12">
        <f t="shared" si="3"/>
        <v>2022</v>
      </c>
      <c r="E14" s="12">
        <f t="shared" si="3"/>
        <v>2023</v>
      </c>
      <c r="F14" s="12">
        <f t="shared" si="3"/>
        <v>2024</v>
      </c>
      <c r="G14" s="12">
        <f t="shared" si="3"/>
        <v>2025</v>
      </c>
      <c r="H14" s="12">
        <f t="shared" si="3"/>
        <v>2026</v>
      </c>
      <c r="I14" s="12">
        <f t="shared" si="3"/>
        <v>2027</v>
      </c>
      <c r="J14" s="12">
        <f t="shared" si="3"/>
        <v>2028</v>
      </c>
      <c r="K14" s="12">
        <f t="shared" si="3"/>
        <v>2029</v>
      </c>
      <c r="L14" s="12">
        <f t="shared" si="3"/>
        <v>2030</v>
      </c>
    </row>
    <row r="15" spans="1:31" x14ac:dyDescent="0.2">
      <c r="B15" s="1" t="s">
        <v>71</v>
      </c>
      <c r="C15" s="128">
        <f>Statement!M83</f>
        <v>8.4550522969174771E-2</v>
      </c>
      <c r="D15" s="128">
        <f>Statement!N83</f>
        <v>0</v>
      </c>
      <c r="E15" s="128">
        <f>Statement!O83</f>
        <v>0</v>
      </c>
      <c r="F15" s="128">
        <f>Statement!P83</f>
        <v>0</v>
      </c>
      <c r="G15" s="129">
        <f>Statement!Q83</f>
        <v>0.98330122029543998</v>
      </c>
      <c r="H15" s="128">
        <f>Overview!$C$26</f>
        <v>0.21</v>
      </c>
      <c r="I15" s="128">
        <f>Overview!$C$26</f>
        <v>0.21</v>
      </c>
      <c r="J15" s="128">
        <f>Overview!$C$26</f>
        <v>0.21</v>
      </c>
      <c r="K15" s="128">
        <f>Overview!$C$26</f>
        <v>0.21</v>
      </c>
      <c r="L15" s="128">
        <f>Overview!$C$26</f>
        <v>0.21</v>
      </c>
      <c r="N15" s="1" t="s">
        <v>158</v>
      </c>
    </row>
    <row r="18" spans="2:14" x14ac:dyDescent="0.2">
      <c r="C18" s="245" t="s">
        <v>154</v>
      </c>
      <c r="D18" s="245"/>
      <c r="E18" s="245"/>
      <c r="F18" s="245"/>
      <c r="G18" s="245"/>
      <c r="H18" s="245"/>
      <c r="I18" s="245"/>
      <c r="J18" s="245"/>
      <c r="K18" s="245"/>
      <c r="L18" s="245"/>
    </row>
    <row r="19" spans="2:14" x14ac:dyDescent="0.2">
      <c r="B19" s="16" t="s">
        <v>128</v>
      </c>
      <c r="C19" s="12">
        <f t="shared" ref="C19:L19" si="4">C5</f>
        <v>2021</v>
      </c>
      <c r="D19" s="12">
        <f t="shared" si="4"/>
        <v>2022</v>
      </c>
      <c r="E19" s="12">
        <f t="shared" si="4"/>
        <v>2023</v>
      </c>
      <c r="F19" s="12">
        <f t="shared" si="4"/>
        <v>2024</v>
      </c>
      <c r="G19" s="12">
        <f t="shared" si="4"/>
        <v>2025</v>
      </c>
      <c r="H19" s="12">
        <f t="shared" si="4"/>
        <v>2026</v>
      </c>
      <c r="I19" s="12">
        <f t="shared" si="4"/>
        <v>2027</v>
      </c>
      <c r="J19" s="12">
        <f t="shared" si="4"/>
        <v>2028</v>
      </c>
      <c r="K19" s="12">
        <f t="shared" si="4"/>
        <v>2029</v>
      </c>
      <c r="L19" s="12">
        <f t="shared" si="4"/>
        <v>2030</v>
      </c>
    </row>
    <row r="20" spans="2:14" x14ac:dyDescent="0.2">
      <c r="B20" s="1" t="s">
        <v>55</v>
      </c>
      <c r="C20" s="87">
        <f>'WC &amp; Investments'!C42</f>
        <v>11792</v>
      </c>
      <c r="D20" s="87">
        <f>'WC &amp; Investments'!D42</f>
        <v>13035</v>
      </c>
      <c r="E20" s="87">
        <f>'WC &amp; Investments'!E42</f>
        <v>9602</v>
      </c>
      <c r="F20" s="87">
        <f>'WC &amp; Investments'!F42</f>
        <v>11379</v>
      </c>
      <c r="G20" s="88">
        <f>'WC &amp; Investments'!G42</f>
        <v>11706</v>
      </c>
      <c r="H20" s="87">
        <f>'WC &amp; Investments'!H42</f>
        <v>12237.7</v>
      </c>
      <c r="I20" s="87">
        <f>'WC &amp; Investments'!I42</f>
        <v>13206.527700000001</v>
      </c>
      <c r="J20" s="87">
        <f>'WC &amp; Investments'!J42</f>
        <v>14753.024220000001</v>
      </c>
      <c r="K20" s="87">
        <f>'WC &amp; Investments'!K42</f>
        <v>16929.7884548</v>
      </c>
      <c r="L20" s="87">
        <f>'WC &amp; Investments'!L42</f>
        <v>19116.246331019996</v>
      </c>
      <c r="N20" s="1" t="s">
        <v>155</v>
      </c>
    </row>
    <row r="21" spans="2:14" x14ac:dyDescent="0.2">
      <c r="B21" s="1" t="s">
        <v>58</v>
      </c>
      <c r="C21" s="87">
        <f>'WC &amp; Investments'!C45</f>
        <v>18733</v>
      </c>
      <c r="D21" s="87">
        <f>'WC &amp; Investments'!D45</f>
        <v>24844</v>
      </c>
      <c r="E21" s="87">
        <f>'WC &amp; Investments'!E45</f>
        <v>25750</v>
      </c>
      <c r="F21" s="87">
        <f>'WC &amp; Investments'!F45</f>
        <v>23944</v>
      </c>
      <c r="G21" s="88">
        <f>'WC &amp; Investments'!G45</f>
        <v>14646</v>
      </c>
      <c r="H21" s="87">
        <f>'WC &amp; Investments'!H45</f>
        <v>18356.55</v>
      </c>
      <c r="I21" s="87">
        <f>'WC &amp; Investments'!I45</f>
        <v>19809.791549999998</v>
      </c>
      <c r="J21" s="87">
        <f>'WC &amp; Investments'!J45</f>
        <v>22129.536329999999</v>
      </c>
      <c r="K21" s="87">
        <f>'WC &amp; Investments'!K45</f>
        <v>25394.6826822</v>
      </c>
      <c r="L21" s="87">
        <f>'WC &amp; Investments'!L45</f>
        <v>28674.369496529995</v>
      </c>
      <c r="N21" s="1" t="s">
        <v>155</v>
      </c>
    </row>
    <row r="22" spans="2:14" x14ac:dyDescent="0.2">
      <c r="B22" s="1" t="s">
        <v>156</v>
      </c>
      <c r="C22" s="87">
        <f>'WC &amp; Investments'!C35</f>
        <v>-5408</v>
      </c>
      <c r="D22" s="87">
        <f>'WC &amp; Investments'!D35</f>
        <v>-4508</v>
      </c>
      <c r="E22" s="87">
        <f>'WC &amp; Investments'!E35</f>
        <v>-569</v>
      </c>
      <c r="F22" s="87">
        <f>'WC &amp; Investments'!F35</f>
        <v>1103</v>
      </c>
      <c r="G22" s="88">
        <f>'WC &amp; Investments'!G35</f>
        <v>-1747</v>
      </c>
      <c r="H22" s="87">
        <f>'WC &amp; Investments'!H35</f>
        <v>-3133.8837671232859</v>
      </c>
      <c r="I22" s="87">
        <f>'WC &amp; Investments'!I35</f>
        <v>-2434.6595913013698</v>
      </c>
      <c r="J22" s="87">
        <f>'WC &amp; Investments'!J35</f>
        <v>-2969.8933172465768</v>
      </c>
      <c r="K22" s="87">
        <f>'WC &amp; Investments'!K35</f>
        <v>-3732.2157941378091</v>
      </c>
      <c r="L22" s="87">
        <f>'WC &amp; Investments'!L35</f>
        <v>-3869.0962688384097</v>
      </c>
      <c r="N22" s="1" t="s">
        <v>155</v>
      </c>
    </row>
    <row r="25" spans="2:14" x14ac:dyDescent="0.2">
      <c r="C25" s="245" t="s">
        <v>257</v>
      </c>
      <c r="D25" s="245"/>
      <c r="E25" s="245"/>
      <c r="F25" s="245"/>
      <c r="G25" s="245"/>
      <c r="H25" s="245"/>
      <c r="I25" s="245"/>
      <c r="J25" s="245"/>
      <c r="K25" s="245"/>
      <c r="L25" s="245"/>
    </row>
    <row r="26" spans="2:14" x14ac:dyDescent="0.2">
      <c r="B26" s="16" t="s">
        <v>128</v>
      </c>
      <c r="C26" s="12">
        <f t="shared" ref="C26:L26" si="5">C5</f>
        <v>2021</v>
      </c>
      <c r="D26" s="12">
        <f t="shared" si="5"/>
        <v>2022</v>
      </c>
      <c r="E26" s="12">
        <f t="shared" si="5"/>
        <v>2023</v>
      </c>
      <c r="F26" s="12">
        <f t="shared" si="5"/>
        <v>2024</v>
      </c>
      <c r="G26" s="12">
        <f t="shared" si="5"/>
        <v>2025</v>
      </c>
      <c r="H26" s="12">
        <f t="shared" si="5"/>
        <v>2026</v>
      </c>
      <c r="I26" s="12">
        <f t="shared" si="5"/>
        <v>2027</v>
      </c>
      <c r="J26" s="12">
        <f t="shared" si="5"/>
        <v>2028</v>
      </c>
      <c r="K26" s="12">
        <f t="shared" si="5"/>
        <v>2029</v>
      </c>
      <c r="L26" s="12">
        <f t="shared" si="5"/>
        <v>2030</v>
      </c>
    </row>
    <row r="27" spans="2:14" x14ac:dyDescent="0.2">
      <c r="B27" s="1" t="s">
        <v>157</v>
      </c>
      <c r="C27" s="125">
        <f>C10*(1-C15)</f>
        <v>17810.985025111735</v>
      </c>
      <c r="D27" s="125">
        <f t="shared" ref="D27:L27" si="6">D10*(1-D15)</f>
        <v>2334</v>
      </c>
      <c r="E27" s="125">
        <f t="shared" si="6"/>
        <v>93</v>
      </c>
      <c r="F27" s="125">
        <f t="shared" si="6"/>
        <v>-11678</v>
      </c>
      <c r="G27" s="130">
        <f t="shared" si="6"/>
        <v>-36.971098265895883</v>
      </c>
      <c r="H27" s="125">
        <f t="shared" si="6"/>
        <v>0</v>
      </c>
      <c r="I27" s="125">
        <f t="shared" si="6"/>
        <v>1564.9735324500007</v>
      </c>
      <c r="J27" s="125">
        <f t="shared" si="6"/>
        <v>4079.2111968300019</v>
      </c>
      <c r="K27" s="125">
        <f t="shared" si="6"/>
        <v>5349.8131517168003</v>
      </c>
      <c r="L27" s="125">
        <f t="shared" si="6"/>
        <v>9816.192490978774</v>
      </c>
    </row>
    <row r="28" spans="2:14" x14ac:dyDescent="0.2">
      <c r="B28" s="16" t="s">
        <v>257</v>
      </c>
      <c r="C28" s="93">
        <f>C27+C20-C21+C22</f>
        <v>5461.985025111735</v>
      </c>
      <c r="D28" s="93">
        <f t="shared" ref="D28:L28" si="7">D27+D20-D21+D22</f>
        <v>-13983</v>
      </c>
      <c r="E28" s="93">
        <f t="shared" si="7"/>
        <v>-16624</v>
      </c>
      <c r="F28" s="93">
        <f t="shared" si="7"/>
        <v>-23140</v>
      </c>
      <c r="G28" s="126">
        <f t="shared" si="7"/>
        <v>-4723.9710982658962</v>
      </c>
      <c r="H28" s="93">
        <f t="shared" si="7"/>
        <v>-9252.7337671232854</v>
      </c>
      <c r="I28" s="93">
        <f t="shared" si="7"/>
        <v>-7472.9499088513658</v>
      </c>
      <c r="J28" s="93">
        <f t="shared" si="7"/>
        <v>-6267.1942304165714</v>
      </c>
      <c r="K28" s="93">
        <f t="shared" si="7"/>
        <v>-6847.2968698210088</v>
      </c>
      <c r="L28" s="93">
        <f t="shared" si="7"/>
        <v>-3611.026943369634</v>
      </c>
    </row>
    <row r="31" spans="2:14" x14ac:dyDescent="0.2">
      <c r="C31" s="245" t="s">
        <v>75</v>
      </c>
      <c r="D31" s="245"/>
      <c r="E31" s="245"/>
      <c r="F31" s="245"/>
      <c r="G31" s="245"/>
      <c r="H31" s="245"/>
      <c r="I31" s="245"/>
      <c r="J31" s="245"/>
      <c r="K31" s="245"/>
      <c r="L31" s="245"/>
    </row>
    <row r="32" spans="2:14" x14ac:dyDescent="0.2">
      <c r="B32" s="16" t="s">
        <v>371</v>
      </c>
      <c r="C32" s="12">
        <f>C5</f>
        <v>2021</v>
      </c>
      <c r="D32" s="12">
        <f t="shared" ref="D32:L32" si="8">D5</f>
        <v>2022</v>
      </c>
      <c r="E32" s="12">
        <f t="shared" si="8"/>
        <v>2023</v>
      </c>
      <c r="F32" s="12">
        <f t="shared" si="8"/>
        <v>2024</v>
      </c>
      <c r="G32" s="12">
        <f t="shared" si="8"/>
        <v>2025</v>
      </c>
      <c r="H32" s="12">
        <f t="shared" si="8"/>
        <v>2026</v>
      </c>
      <c r="I32" s="12">
        <f t="shared" si="8"/>
        <v>2027</v>
      </c>
      <c r="J32" s="12">
        <f t="shared" si="8"/>
        <v>2028</v>
      </c>
      <c r="K32" s="12">
        <f t="shared" si="8"/>
        <v>2029</v>
      </c>
      <c r="L32" s="12">
        <f t="shared" si="8"/>
        <v>2030</v>
      </c>
    </row>
    <row r="33" spans="2:12" x14ac:dyDescent="0.2">
      <c r="B33" s="1" t="s">
        <v>76</v>
      </c>
      <c r="C33" s="128">
        <f>Statement!M101</f>
        <v>0.5544518121077141</v>
      </c>
      <c r="D33" s="128">
        <f>Statement!N101</f>
        <v>0.42607923367272499</v>
      </c>
      <c r="E33" s="128">
        <f>Statement!O101</f>
        <v>0.40036512502766097</v>
      </c>
      <c r="F33" s="128">
        <f>Statement!P101</f>
        <v>0.32664168283083184</v>
      </c>
      <c r="G33" s="129">
        <f>Statement!Q101</f>
        <v>0.34766238434904356</v>
      </c>
      <c r="H33" s="214">
        <f>H8/H6</f>
        <v>0.36</v>
      </c>
      <c r="I33" s="214">
        <f t="shared" ref="I33:L33" si="9">I8/I6</f>
        <v>0.38000000000000006</v>
      </c>
      <c r="J33" s="214">
        <f t="shared" si="9"/>
        <v>0.40000000000000008</v>
      </c>
      <c r="K33" s="214">
        <f t="shared" si="9"/>
        <v>0.4</v>
      </c>
      <c r="L33" s="214">
        <f t="shared" si="9"/>
        <v>0.43000000000000005</v>
      </c>
    </row>
    <row r="34" spans="2:12" x14ac:dyDescent="0.2">
      <c r="B34" s="1" t="s">
        <v>77</v>
      </c>
      <c r="C34" s="128">
        <f>Statement!M102</f>
        <v>0.24620368495646891</v>
      </c>
      <c r="D34" s="128">
        <f>Statement!N102</f>
        <v>3.7015891140926828E-2</v>
      </c>
      <c r="E34" s="128">
        <f>Statement!O102</f>
        <v>1.714981190528878E-3</v>
      </c>
      <c r="F34" s="128">
        <f>Statement!P102</f>
        <v>-0.21992052880360069</v>
      </c>
      <c r="G34" s="129">
        <f>Statement!Q102</f>
        <v>-4.1889769738709247E-2</v>
      </c>
      <c r="H34" s="214">
        <f>H10/H6</f>
        <v>0</v>
      </c>
      <c r="I34" s="214">
        <f t="shared" ref="I34:L34" si="10">I10/I6</f>
        <v>3.0000000000000013E-2</v>
      </c>
      <c r="J34" s="214">
        <f t="shared" si="10"/>
        <v>7.0000000000000034E-2</v>
      </c>
      <c r="K34" s="214">
        <f t="shared" si="10"/>
        <v>0.08</v>
      </c>
      <c r="L34" s="214">
        <f t="shared" si="10"/>
        <v>0.13000000000000006</v>
      </c>
    </row>
  </sheetData>
  <mergeCells count="10">
    <mergeCell ref="C31:L31"/>
    <mergeCell ref="C25:L25"/>
    <mergeCell ref="C2:G2"/>
    <mergeCell ref="H2:L2"/>
    <mergeCell ref="S2:Z2"/>
    <mergeCell ref="AA2:AC2"/>
    <mergeCell ref="C4:L4"/>
    <mergeCell ref="S4:AC4"/>
    <mergeCell ref="C13:L13"/>
    <mergeCell ref="C18:L18"/>
  </mergeCells>
  <pageMargins left="0.7" right="0.7" top="0.75" bottom="0.75" header="0.3" footer="0.3"/>
  <ignoredErrors>
    <ignoredError sqref="C9:L9"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FB80D-D3C0-DD46-8304-4441946EF9E3}">
  <sheetPr>
    <tabColor theme="6" tint="0.59999389629810485"/>
  </sheetPr>
  <dimension ref="B5:H13"/>
  <sheetViews>
    <sheetView workbookViewId="0">
      <selection activeCell="H6" sqref="H6"/>
    </sheetView>
  </sheetViews>
  <sheetFormatPr baseColWidth="10" defaultRowHeight="16" x14ac:dyDescent="0.2"/>
  <cols>
    <col min="1" max="7" width="10.83203125" style="1"/>
    <col min="8" max="8" width="16.6640625" style="1" customWidth="1"/>
    <col min="9" max="16384" width="10.83203125" style="1"/>
  </cols>
  <sheetData>
    <row r="5" spans="2:8" x14ac:dyDescent="0.2">
      <c r="H5" s="131" t="s">
        <v>421</v>
      </c>
    </row>
    <row r="6" spans="2:8" x14ac:dyDescent="0.2">
      <c r="H6" s="234" t="s">
        <v>426</v>
      </c>
    </row>
    <row r="7" spans="2:8" x14ac:dyDescent="0.2">
      <c r="H7" s="234" t="s">
        <v>422</v>
      </c>
    </row>
    <row r="8" spans="2:8" x14ac:dyDescent="0.2">
      <c r="H8" s="234" t="s">
        <v>423</v>
      </c>
    </row>
    <row r="9" spans="2:8" x14ac:dyDescent="0.2">
      <c r="H9" s="234" t="s">
        <v>424</v>
      </c>
    </row>
    <row r="10" spans="2:8" x14ac:dyDescent="0.2">
      <c r="H10" s="235" t="s">
        <v>425</v>
      </c>
    </row>
    <row r="13" spans="2:8" s="4" customFormat="1" ht="49" x14ac:dyDescent="0.2">
      <c r="B13" s="3" t="s">
        <v>159</v>
      </c>
    </row>
  </sheetData>
  <hyperlinks>
    <hyperlink ref="H6" location="Overview!B3" display="Overview'!B3" xr:uid="{31C97374-02FF-8649-AFBE-77050005C08A}"/>
    <hyperlink ref="H8" location="'Analysis -&gt;'!B13" display="'Analysis -&gt;'!B13" xr:uid="{69356680-499D-B149-B169-0DDFF228A9F2}"/>
    <hyperlink ref="H9" location="'Forecast -&gt;'!B13" display="'Forecast -&gt;'!B13" xr:uid="{FA7D09B3-DDFB-9C4A-A884-72B097E683E0}"/>
    <hyperlink ref="H10" location="'Valuation -&gt;'!B13" display="'Valuation -&gt;'!B13" xr:uid="{ADA71856-205A-8446-886B-3A2A502B4298}"/>
    <hyperlink ref="H7" location="'Financials -&gt;'!B13" display="'Financials -&gt;'!B13" xr:uid="{E8D8A197-2855-034F-827F-59357C007C31}"/>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6FE7C-2B1B-7C49-B055-001352253955}">
  <dimension ref="A1:C20"/>
  <sheetViews>
    <sheetView topLeftCell="A13" zoomScale="187" zoomScaleNormal="100" workbookViewId="0">
      <selection activeCell="B20" sqref="B20"/>
    </sheetView>
  </sheetViews>
  <sheetFormatPr baseColWidth="10" defaultRowHeight="16" x14ac:dyDescent="0.2"/>
  <cols>
    <col min="1" max="1" width="2" style="82" customWidth="1"/>
    <col min="2" max="2" width="34.6640625" style="1" customWidth="1"/>
    <col min="3" max="3" width="11.6640625" style="1" bestFit="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3" s="82" customFormat="1" ht="18" customHeight="1" x14ac:dyDescent="0.2">
      <c r="A1" s="4"/>
      <c r="B1" s="81" t="s">
        <v>160</v>
      </c>
    </row>
    <row r="2" spans="1:3" s="82" customFormat="1" ht="18" customHeight="1" x14ac:dyDescent="0.2">
      <c r="A2" s="4"/>
      <c r="B2" s="81"/>
    </row>
    <row r="3" spans="1:3" ht="17" customHeight="1" x14ac:dyDescent="0.2"/>
    <row r="4" spans="1:3" ht="17" customHeight="1" x14ac:dyDescent="0.2">
      <c r="B4" s="239" t="s">
        <v>161</v>
      </c>
      <c r="C4" s="239"/>
    </row>
    <row r="5" spans="1:3" ht="17" customHeight="1" x14ac:dyDescent="0.2">
      <c r="B5" s="1" t="s">
        <v>162</v>
      </c>
      <c r="C5" s="135">
        <f>Statement!AC78</f>
        <v>5044</v>
      </c>
    </row>
    <row r="6" spans="1:3" ht="17" customHeight="1" x14ac:dyDescent="0.2">
      <c r="B6" s="1" t="s">
        <v>1</v>
      </c>
      <c r="C6" s="132">
        <f ca="1">Overview!C5</f>
        <v>101.35</v>
      </c>
    </row>
    <row r="7" spans="1:3" ht="17" customHeight="1" x14ac:dyDescent="0.2">
      <c r="B7" s="1" t="s">
        <v>163</v>
      </c>
      <c r="C7" s="133">
        <f ca="1">C5*C6</f>
        <v>511209.39999999997</v>
      </c>
    </row>
    <row r="8" spans="1:3" ht="17" customHeight="1" x14ac:dyDescent="0.2">
      <c r="B8" s="1" t="s">
        <v>164</v>
      </c>
      <c r="C8" s="111">
        <f>Statement!AC108</f>
        <v>50537</v>
      </c>
    </row>
    <row r="9" spans="1:3" ht="17" customHeight="1" x14ac:dyDescent="0.2">
      <c r="B9" s="1" t="s">
        <v>165</v>
      </c>
      <c r="C9" s="134">
        <f ca="1">Overview!F27</f>
        <v>5.2440000000000001E-2</v>
      </c>
    </row>
    <row r="10" spans="1:3" ht="17" customHeight="1" x14ac:dyDescent="0.2">
      <c r="B10" s="1" t="s">
        <v>9</v>
      </c>
      <c r="C10" s="132">
        <f ca="1">Overview!C13</f>
        <v>2.3353000000000002</v>
      </c>
    </row>
    <row r="11" spans="1:3" ht="17" customHeight="1" x14ac:dyDescent="0.2">
      <c r="B11" s="1" t="s">
        <v>166</v>
      </c>
      <c r="C11" s="134">
        <f>[1]Sheet1!$C$12</f>
        <v>4.4999999999999998E-2</v>
      </c>
    </row>
    <row r="12" spans="1:3" ht="17" customHeight="1" x14ac:dyDescent="0.2">
      <c r="B12" s="1" t="s">
        <v>71</v>
      </c>
      <c r="C12" s="134">
        <f>Overview!C26</f>
        <v>0.21</v>
      </c>
    </row>
    <row r="13" spans="1:3" ht="17" customHeight="1" x14ac:dyDescent="0.2">
      <c r="B13" s="1" t="s">
        <v>167</v>
      </c>
      <c r="C13" s="134">
        <f>Overview!C27</f>
        <v>5.6000000000000001E-2</v>
      </c>
    </row>
    <row r="14" spans="1:3" ht="17" customHeight="1" x14ac:dyDescent="0.2"/>
    <row r="15" spans="1:3" ht="17" customHeight="1" x14ac:dyDescent="0.2">
      <c r="B15" s="239" t="s">
        <v>168</v>
      </c>
      <c r="C15" s="239"/>
    </row>
    <row r="16" spans="1:3" ht="17" customHeight="1" x14ac:dyDescent="0.2">
      <c r="B16" s="1" t="s">
        <v>169</v>
      </c>
      <c r="C16" s="46">
        <f ca="1">C8/(C8+C7)</f>
        <v>8.9964083436938819E-2</v>
      </c>
    </row>
    <row r="17" spans="2:3" ht="17" customHeight="1" x14ac:dyDescent="0.2">
      <c r="B17" s="1" t="s">
        <v>170</v>
      </c>
      <c r="C17" s="46">
        <f ca="1">C7/(C8+C7)</f>
        <v>0.91003591656306126</v>
      </c>
    </row>
    <row r="18" spans="2:3" ht="17" customHeight="1" x14ac:dyDescent="0.2">
      <c r="B18" s="1" t="s">
        <v>171</v>
      </c>
      <c r="C18" s="46">
        <f>C13*(1-C12)</f>
        <v>4.4240000000000002E-2</v>
      </c>
    </row>
    <row r="19" spans="2:3" ht="17" customHeight="1" x14ac:dyDescent="0.2">
      <c r="B19" s="1" t="s">
        <v>172</v>
      </c>
      <c r="C19" s="46">
        <f ca="1">C9+C10*C11</f>
        <v>0.15752850000000002</v>
      </c>
    </row>
    <row r="20" spans="2:3" ht="17" customHeight="1" x14ac:dyDescent="0.2">
      <c r="B20" s="1" t="s">
        <v>160</v>
      </c>
      <c r="C20" s="46">
        <f ca="1">(C17*C19)+(C16*C18)</f>
        <v>0.14733660393355438</v>
      </c>
    </row>
  </sheetData>
  <mergeCells count="2">
    <mergeCell ref="B4:C4"/>
    <mergeCell ref="B15:C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76C87-6799-634E-8DEB-EF0E693AF74F}">
  <dimension ref="A1:AB26"/>
  <sheetViews>
    <sheetView topLeftCell="F1" zoomScale="188" zoomScaleNormal="100" workbookViewId="0">
      <selection activeCell="B20" sqref="B20"/>
    </sheetView>
  </sheetViews>
  <sheetFormatPr baseColWidth="10" defaultRowHeight="16" x14ac:dyDescent="0.2"/>
  <cols>
    <col min="1" max="1" width="2" style="82"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2" customFormat="1" ht="18" customHeight="1" x14ac:dyDescent="0.2">
      <c r="A1" s="4"/>
      <c r="B1" s="81" t="s">
        <v>174</v>
      </c>
    </row>
    <row r="2" spans="1:28" s="82" customFormat="1" ht="18" customHeight="1" x14ac:dyDescent="0.2">
      <c r="A2" s="4"/>
      <c r="B2" s="81"/>
    </row>
    <row r="3" spans="1:28" x14ac:dyDescent="0.2">
      <c r="A3" s="4"/>
      <c r="C3" s="239" t="s">
        <v>108</v>
      </c>
      <c r="D3" s="239"/>
      <c r="E3" s="239"/>
      <c r="F3" s="239"/>
      <c r="G3" s="248"/>
      <c r="H3" s="249" t="s">
        <v>109</v>
      </c>
      <c r="I3" s="239"/>
      <c r="J3" s="239"/>
      <c r="K3" s="239"/>
      <c r="L3" s="239"/>
      <c r="P3" s="250"/>
      <c r="Q3" s="250"/>
      <c r="R3" s="250"/>
      <c r="S3" s="250"/>
      <c r="T3" s="250"/>
      <c r="U3" s="250"/>
      <c r="V3" s="250"/>
      <c r="W3" s="250"/>
      <c r="X3" s="250"/>
      <c r="Y3" s="250"/>
      <c r="Z3" s="250"/>
      <c r="AB3" s="108"/>
    </row>
    <row r="4" spans="1:28" ht="10" customHeight="1" x14ac:dyDescent="0.2"/>
    <row r="5" spans="1:28" ht="16" customHeight="1" x14ac:dyDescent="0.2">
      <c r="A5" s="85"/>
      <c r="B5" s="59"/>
      <c r="C5" s="245" t="s">
        <v>175</v>
      </c>
      <c r="D5" s="245"/>
      <c r="E5" s="245"/>
      <c r="F5" s="245"/>
      <c r="G5" s="245"/>
      <c r="H5" s="245"/>
      <c r="I5" s="245"/>
      <c r="J5" s="245"/>
      <c r="K5" s="245"/>
      <c r="L5" s="245"/>
      <c r="P5" s="250"/>
      <c r="Q5" s="250"/>
      <c r="R5" s="250"/>
      <c r="S5" s="250"/>
      <c r="T5" s="250"/>
      <c r="U5" s="250"/>
      <c r="V5" s="250"/>
      <c r="W5" s="250"/>
      <c r="X5" s="250"/>
      <c r="Y5" s="250"/>
      <c r="Z5" s="250"/>
      <c r="AB5" s="109"/>
    </row>
    <row r="6" spans="1:28" x14ac:dyDescent="0.2">
      <c r="B6" s="16" t="s">
        <v>128</v>
      </c>
      <c r="C6" s="12">
        <f>Revenue!C5</f>
        <v>2021</v>
      </c>
      <c r="D6" s="12">
        <f>Revenue!D5</f>
        <v>2022</v>
      </c>
      <c r="E6" s="12">
        <f>Revenue!E5</f>
        <v>2023</v>
      </c>
      <c r="F6" s="12">
        <f>Revenue!F5</f>
        <v>2024</v>
      </c>
      <c r="G6" s="12">
        <f>Revenue!G5</f>
        <v>2025</v>
      </c>
      <c r="H6" s="12">
        <f>Revenue!H5</f>
        <v>2026</v>
      </c>
      <c r="I6" s="12">
        <f>Revenue!I5</f>
        <v>2027</v>
      </c>
      <c r="J6" s="12">
        <f>Revenue!J5</f>
        <v>2028</v>
      </c>
      <c r="K6" s="12">
        <f>Revenue!K5</f>
        <v>2029</v>
      </c>
      <c r="L6" s="12">
        <f>Revenue!L5</f>
        <v>2030</v>
      </c>
      <c r="O6" s="16"/>
      <c r="P6" s="110"/>
      <c r="Q6" s="110"/>
      <c r="R6" s="110"/>
      <c r="S6" s="110"/>
      <c r="T6" s="110"/>
      <c r="U6" s="110"/>
      <c r="V6" s="110"/>
      <c r="W6" s="110"/>
      <c r="X6" s="110"/>
      <c r="Y6" s="110"/>
      <c r="Z6" s="110"/>
      <c r="AB6" s="109"/>
    </row>
    <row r="7" spans="1:28" x14ac:dyDescent="0.2">
      <c r="B7" s="39" t="s">
        <v>257</v>
      </c>
      <c r="C7" s="111">
        <f>'FCF &amp; Other'!C28</f>
        <v>5461.985025111735</v>
      </c>
      <c r="D7" s="111">
        <f>'FCF &amp; Other'!D28</f>
        <v>-13983</v>
      </c>
      <c r="E7" s="111">
        <f>'FCF &amp; Other'!E28</f>
        <v>-16624</v>
      </c>
      <c r="F7" s="111">
        <f>'FCF &amp; Other'!F28</f>
        <v>-23140</v>
      </c>
      <c r="G7" s="112">
        <f>'FCF &amp; Other'!G28</f>
        <v>-4723.9710982658962</v>
      </c>
      <c r="H7" s="111">
        <f>'FCF &amp; Other'!H28</f>
        <v>-9252.7337671232854</v>
      </c>
      <c r="I7" s="111">
        <f>'FCF &amp; Other'!I28</f>
        <v>-7472.9499088513658</v>
      </c>
      <c r="J7" s="111">
        <f>'FCF &amp; Other'!J28</f>
        <v>-6267.1942304165714</v>
      </c>
      <c r="K7" s="111">
        <f>'FCF &amp; Other'!K28</f>
        <v>-6847.2968698210088</v>
      </c>
      <c r="L7" s="111">
        <f>'FCF &amp; Other'!L28</f>
        <v>-3611.026943369634</v>
      </c>
      <c r="N7" s="90"/>
      <c r="O7" s="16"/>
      <c r="P7" s="91"/>
      <c r="Q7" s="91"/>
      <c r="R7" s="91"/>
      <c r="S7" s="91"/>
      <c r="T7" s="91"/>
      <c r="U7" s="91"/>
      <c r="V7" s="91"/>
      <c r="W7" s="91"/>
      <c r="X7" s="93"/>
      <c r="Y7" s="93"/>
      <c r="Z7" s="93"/>
      <c r="AB7" s="93"/>
    </row>
    <row r="8" spans="1:28" x14ac:dyDescent="0.2">
      <c r="B8" s="39" t="s">
        <v>176</v>
      </c>
      <c r="C8" s="125">
        <v>0</v>
      </c>
      <c r="D8" s="125">
        <v>0</v>
      </c>
      <c r="E8" s="125">
        <v>0</v>
      </c>
      <c r="F8" s="125">
        <v>0</v>
      </c>
      <c r="G8" s="130">
        <v>0</v>
      </c>
      <c r="H8" s="125">
        <v>0</v>
      </c>
      <c r="I8" s="125">
        <v>0</v>
      </c>
      <c r="J8" s="125">
        <v>0</v>
      </c>
      <c r="K8" s="125">
        <v>0</v>
      </c>
      <c r="L8" s="125">
        <f ca="1">L7*(1+C14)/(C15-C14)</f>
        <v>-28925.284391587709</v>
      </c>
      <c r="N8" s="90"/>
      <c r="O8" s="16"/>
      <c r="P8" s="91"/>
      <c r="Q8" s="91"/>
      <c r="R8" s="91"/>
      <c r="S8" s="91"/>
      <c r="T8" s="91"/>
      <c r="U8" s="91"/>
      <c r="V8" s="91"/>
      <c r="W8" s="91"/>
      <c r="X8" s="93"/>
      <c r="Y8" s="93"/>
      <c r="Z8" s="93"/>
      <c r="AB8" s="93"/>
    </row>
    <row r="9" spans="1:28" x14ac:dyDescent="0.2">
      <c r="B9" s="1" t="s">
        <v>177</v>
      </c>
      <c r="C9" s="136"/>
      <c r="D9" s="136"/>
      <c r="E9" s="136"/>
      <c r="F9" s="136"/>
      <c r="G9" s="137"/>
      <c r="H9" s="138">
        <v>1</v>
      </c>
      <c r="I9" s="138">
        <v>2</v>
      </c>
      <c r="J9" s="138">
        <v>3</v>
      </c>
      <c r="K9" s="138">
        <v>4</v>
      </c>
      <c r="L9" s="138">
        <v>5</v>
      </c>
      <c r="N9" s="90"/>
    </row>
    <row r="10" spans="1:28" x14ac:dyDescent="0.2">
      <c r="B10" s="1" t="s">
        <v>315</v>
      </c>
      <c r="C10" s="136"/>
      <c r="D10" s="136"/>
      <c r="E10" s="136"/>
      <c r="F10" s="136"/>
      <c r="G10" s="137"/>
      <c r="H10" s="125">
        <f ca="1">H7/(1+$C$15)^H9</f>
        <v>-8064.5328802384638</v>
      </c>
      <c r="I10" s="125">
        <f t="shared" ref="I10:L10" ca="1" si="0">I7/(1+$C$15)^I9</f>
        <v>-5676.8886088819236</v>
      </c>
      <c r="J10" s="125">
        <f t="shared" ca="1" si="0"/>
        <v>-4149.5462219128358</v>
      </c>
      <c r="K10" s="125">
        <f t="shared" ca="1" si="0"/>
        <v>-3951.4433527885344</v>
      </c>
      <c r="L10" s="125">
        <f t="shared" ca="1" si="0"/>
        <v>-1816.2535765596492</v>
      </c>
      <c r="N10" s="90"/>
    </row>
    <row r="11" spans="1:28" x14ac:dyDescent="0.2">
      <c r="B11" s="1" t="s">
        <v>178</v>
      </c>
      <c r="C11" s="136"/>
      <c r="D11" s="136"/>
      <c r="E11" s="136"/>
      <c r="F11" s="136"/>
      <c r="G11" s="137"/>
      <c r="H11" s="136"/>
      <c r="I11" s="136"/>
      <c r="J11" s="136"/>
      <c r="K11" s="136"/>
      <c r="L11" s="125">
        <f ca="1">L8/(1+C15)^L9</f>
        <v>-14548.673286885662</v>
      </c>
    </row>
    <row r="13" spans="1:28" x14ac:dyDescent="0.2">
      <c r="B13" s="239" t="s">
        <v>179</v>
      </c>
      <c r="C13" s="239"/>
    </row>
    <row r="14" spans="1:28" x14ac:dyDescent="0.2">
      <c r="B14" s="1" t="s">
        <v>180</v>
      </c>
      <c r="C14" s="139">
        <v>0.02</v>
      </c>
    </row>
    <row r="15" spans="1:28" x14ac:dyDescent="0.2">
      <c r="B15" s="1" t="s">
        <v>160</v>
      </c>
      <c r="C15" s="134">
        <f ca="1">IF(Overview!C28&gt;0,Overview!C28,WACC!C20)</f>
        <v>0.14733660393355438</v>
      </c>
    </row>
    <row r="18" spans="2:3" x14ac:dyDescent="0.2">
      <c r="B18" s="239" t="s">
        <v>181</v>
      </c>
      <c r="C18" s="239"/>
    </row>
    <row r="19" spans="2:3" x14ac:dyDescent="0.2">
      <c r="B19" s="1" t="s">
        <v>182</v>
      </c>
      <c r="C19" s="63">
        <f ca="1">SUM(H10:L10)</f>
        <v>-23658.664640381405</v>
      </c>
    </row>
    <row r="20" spans="2:3" x14ac:dyDescent="0.2">
      <c r="B20" s="1" t="s">
        <v>178</v>
      </c>
      <c r="C20" s="63">
        <f ca="1">L11</f>
        <v>-14548.673286885662</v>
      </c>
    </row>
    <row r="21" spans="2:3" x14ac:dyDescent="0.2">
      <c r="B21" s="16" t="s">
        <v>183</v>
      </c>
      <c r="C21" s="93">
        <f ca="1">C19+C20</f>
        <v>-38207.337927267065</v>
      </c>
    </row>
    <row r="22" spans="2:3" x14ac:dyDescent="0.2">
      <c r="B22" s="1" t="s">
        <v>184</v>
      </c>
      <c r="C22" s="87">
        <f>Statement!AC107</f>
        <v>38137</v>
      </c>
    </row>
    <row r="23" spans="2:3" x14ac:dyDescent="0.2">
      <c r="B23" s="1" t="s">
        <v>185</v>
      </c>
      <c r="C23" s="87">
        <f>Statement!AC108</f>
        <v>50537</v>
      </c>
    </row>
    <row r="24" spans="2:3" x14ac:dyDescent="0.2">
      <c r="B24" s="16" t="s">
        <v>186</v>
      </c>
      <c r="C24" s="93">
        <f ca="1">C21+C22-C23</f>
        <v>-50607.337927267065</v>
      </c>
    </row>
    <row r="25" spans="2:3" x14ac:dyDescent="0.2">
      <c r="B25" s="1" t="s">
        <v>67</v>
      </c>
      <c r="C25" s="87">
        <f>Statement!AC78</f>
        <v>5044</v>
      </c>
    </row>
    <row r="26" spans="2:3" x14ac:dyDescent="0.2">
      <c r="B26" s="230" t="s">
        <v>187</v>
      </c>
      <c r="C26" s="231">
        <f ca="1">C24/C25</f>
        <v>-10.033175639822971</v>
      </c>
    </row>
  </sheetData>
  <mergeCells count="8">
    <mergeCell ref="X3:Z3"/>
    <mergeCell ref="C5:L5"/>
    <mergeCell ref="P5:Z5"/>
    <mergeCell ref="B13:C13"/>
    <mergeCell ref="B18:C18"/>
    <mergeCell ref="C3:G3"/>
    <mergeCell ref="H3:L3"/>
    <mergeCell ref="P3:W3"/>
  </mergeCells>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33819-10E3-B843-9B8A-30FFCAB234A7}">
  <dimension ref="A1:N84"/>
  <sheetViews>
    <sheetView topLeftCell="A59" zoomScale="192" zoomScaleNormal="100" workbookViewId="0">
      <selection activeCell="C64" sqref="C64"/>
    </sheetView>
  </sheetViews>
  <sheetFormatPr baseColWidth="10" defaultRowHeight="16" x14ac:dyDescent="0.2"/>
  <cols>
    <col min="1" max="1" width="2" style="82"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2" customFormat="1" ht="18" customHeight="1" x14ac:dyDescent="0.2">
      <c r="A1" s="4"/>
      <c r="B1" s="81" t="s">
        <v>188</v>
      </c>
    </row>
    <row r="2" spans="1:14" x14ac:dyDescent="0.2">
      <c r="A2" s="4"/>
      <c r="C2" s="239" t="s">
        <v>108</v>
      </c>
      <c r="D2" s="239"/>
      <c r="E2" s="239"/>
      <c r="F2" s="239"/>
      <c r="G2" s="248"/>
      <c r="H2" s="249" t="s">
        <v>109</v>
      </c>
      <c r="I2" s="239"/>
      <c r="J2" s="239"/>
      <c r="K2" s="239"/>
      <c r="L2" s="239"/>
    </row>
    <row r="3" spans="1:14" ht="10" customHeight="1" x14ac:dyDescent="0.2"/>
    <row r="4" spans="1:14" ht="16" customHeight="1" x14ac:dyDescent="0.2">
      <c r="A4" s="85"/>
      <c r="B4" s="59"/>
      <c r="C4" s="245" t="s">
        <v>189</v>
      </c>
      <c r="D4" s="245"/>
      <c r="E4" s="245"/>
      <c r="F4" s="245"/>
      <c r="G4" s="245"/>
      <c r="H4" s="245"/>
      <c r="I4" s="245"/>
      <c r="J4" s="245"/>
      <c r="K4" s="245"/>
      <c r="L4" s="245"/>
    </row>
    <row r="5" spans="1:14" x14ac:dyDescent="0.2">
      <c r="B5" s="16" t="s">
        <v>112</v>
      </c>
      <c r="C5" s="12">
        <f>Revenue!C5</f>
        <v>2021</v>
      </c>
      <c r="D5" s="12">
        <f>Revenue!D5</f>
        <v>2022</v>
      </c>
      <c r="E5" s="12">
        <f>Revenue!E5</f>
        <v>2023</v>
      </c>
      <c r="F5" s="12">
        <f>Revenue!F5</f>
        <v>2024</v>
      </c>
      <c r="G5" s="12">
        <f>Revenue!G5</f>
        <v>2025</v>
      </c>
      <c r="H5" s="12">
        <f>Revenue!H5</f>
        <v>2026</v>
      </c>
      <c r="I5" s="12">
        <f>Revenue!I5</f>
        <v>2027</v>
      </c>
      <c r="J5" s="12">
        <f>Revenue!J5</f>
        <v>2028</v>
      </c>
      <c r="K5" s="12">
        <f>Revenue!K5</f>
        <v>2029</v>
      </c>
      <c r="L5" s="12">
        <f>Revenue!L5</f>
        <v>2030</v>
      </c>
    </row>
    <row r="6" spans="1:14" x14ac:dyDescent="0.2">
      <c r="B6" s="16" t="s">
        <v>19</v>
      </c>
      <c r="C6" s="91">
        <f>Revenue!C11</f>
        <v>79024</v>
      </c>
      <c r="D6" s="91">
        <f>Revenue!D11</f>
        <v>63054</v>
      </c>
      <c r="E6" s="91">
        <f>Revenue!E11</f>
        <v>54228</v>
      </c>
      <c r="F6" s="91">
        <f>Revenue!F11</f>
        <v>53101</v>
      </c>
      <c r="G6" s="92">
        <f>Revenue!G11</f>
        <v>52853</v>
      </c>
      <c r="H6" s="91">
        <f>Revenue!H11</f>
        <v>61188.5</v>
      </c>
      <c r="I6" s="91">
        <f>Revenue!I11</f>
        <v>66032.638500000001</v>
      </c>
      <c r="J6" s="91">
        <f>Revenue!J11</f>
        <v>73765.121100000004</v>
      </c>
      <c r="K6" s="91">
        <f>Revenue!K11</f>
        <v>84648.942274000001</v>
      </c>
      <c r="L6" s="91">
        <f>Revenue!L11</f>
        <v>95581.231655099982</v>
      </c>
      <c r="N6" s="90"/>
    </row>
    <row r="7" spans="1:14" x14ac:dyDescent="0.2">
      <c r="B7" s="16" t="s">
        <v>152</v>
      </c>
      <c r="C7" s="91">
        <f>'FCF &amp; Other'!C10</f>
        <v>19456</v>
      </c>
      <c r="D7" s="91">
        <f>'FCF &amp; Other'!D10</f>
        <v>2334</v>
      </c>
      <c r="E7" s="91">
        <f>'FCF &amp; Other'!E10</f>
        <v>93</v>
      </c>
      <c r="F7" s="91">
        <f>'FCF &amp; Other'!F10</f>
        <v>-11678</v>
      </c>
      <c r="G7" s="92">
        <f>'FCF &amp; Other'!G10</f>
        <v>-2214</v>
      </c>
      <c r="H7" s="91">
        <f>'FCF &amp; Other'!H10</f>
        <v>0</v>
      </c>
      <c r="I7" s="91">
        <f>'FCF &amp; Other'!I10</f>
        <v>1980.9791550000009</v>
      </c>
      <c r="J7" s="91">
        <f>'FCF &amp; Other'!J10</f>
        <v>5163.5584770000023</v>
      </c>
      <c r="K7" s="91">
        <f>'FCF &amp; Other'!K10</f>
        <v>6771.9153819200001</v>
      </c>
      <c r="L7" s="91">
        <f>'FCF &amp; Other'!L10</f>
        <v>12425.560115163004</v>
      </c>
      <c r="N7" s="90"/>
    </row>
    <row r="8" spans="1:14" x14ac:dyDescent="0.2">
      <c r="B8" s="16" t="s">
        <v>257</v>
      </c>
      <c r="C8" s="91">
        <f>'FCF &amp; Other'!C28</f>
        <v>5461.985025111735</v>
      </c>
      <c r="D8" s="91">
        <f>'FCF &amp; Other'!D28</f>
        <v>-13983</v>
      </c>
      <c r="E8" s="91">
        <f>'FCF &amp; Other'!E28</f>
        <v>-16624</v>
      </c>
      <c r="F8" s="91">
        <f>'FCF &amp; Other'!F28</f>
        <v>-23140</v>
      </c>
      <c r="G8" s="92">
        <f>'FCF &amp; Other'!G28</f>
        <v>-4723.9710982658962</v>
      </c>
      <c r="H8" s="91">
        <f>'FCF &amp; Other'!H28</f>
        <v>-9252.7337671232854</v>
      </c>
      <c r="I8" s="91">
        <f>'FCF &amp; Other'!I28</f>
        <v>-7472.9499088513658</v>
      </c>
      <c r="J8" s="91">
        <f>'FCF &amp; Other'!J28</f>
        <v>-6267.1942304165714</v>
      </c>
      <c r="K8" s="91">
        <f>'FCF &amp; Other'!K28</f>
        <v>-6847.2968698210088</v>
      </c>
      <c r="L8" s="91">
        <f>'FCF &amp; Other'!L28</f>
        <v>-3611.026943369634</v>
      </c>
      <c r="N8" s="90"/>
    </row>
    <row r="9" spans="1:14" x14ac:dyDescent="0.2">
      <c r="B9" s="16" t="s">
        <v>315</v>
      </c>
      <c r="C9" s="136"/>
      <c r="D9" s="136"/>
      <c r="E9" s="136"/>
      <c r="F9" s="136"/>
      <c r="G9" s="137"/>
      <c r="H9" s="91">
        <f ca="1">DCF!H10</f>
        <v>-8064.5328802384638</v>
      </c>
      <c r="I9" s="91">
        <f ca="1">DCF!I10</f>
        <v>-5676.8886088819236</v>
      </c>
      <c r="J9" s="91">
        <f ca="1">DCF!J10</f>
        <v>-4149.5462219128358</v>
      </c>
      <c r="K9" s="91">
        <f ca="1">DCF!K10</f>
        <v>-3951.4433527885344</v>
      </c>
      <c r="L9" s="91">
        <f ca="1">DCF!L10</f>
        <v>-1816.2535765596492</v>
      </c>
      <c r="N9" s="90"/>
    </row>
    <row r="10" spans="1:14" x14ac:dyDescent="0.2">
      <c r="N10" s="90"/>
    </row>
    <row r="11" spans="1:14" x14ac:dyDescent="0.2">
      <c r="C11" s="245" t="s">
        <v>117</v>
      </c>
      <c r="D11" s="245"/>
      <c r="E11" s="245"/>
      <c r="F11" s="245"/>
      <c r="G11" s="245"/>
      <c r="H11" s="245"/>
      <c r="I11" s="245"/>
      <c r="J11" s="245"/>
      <c r="K11" s="245"/>
      <c r="L11" s="245"/>
      <c r="N11" s="90"/>
    </row>
    <row r="12" spans="1:14" x14ac:dyDescent="0.2">
      <c r="B12" s="16" t="s">
        <v>190</v>
      </c>
      <c r="C12" s="12">
        <f>C5</f>
        <v>2021</v>
      </c>
      <c r="D12" s="12">
        <f t="shared" ref="D12:L12" si="0">D5</f>
        <v>2022</v>
      </c>
      <c r="E12" s="12">
        <f t="shared" si="0"/>
        <v>2023</v>
      </c>
      <c r="F12" s="12">
        <f t="shared" si="0"/>
        <v>2024</v>
      </c>
      <c r="G12" s="12">
        <f t="shared" si="0"/>
        <v>2025</v>
      </c>
      <c r="H12" s="12">
        <f t="shared" si="0"/>
        <v>2026</v>
      </c>
      <c r="I12" s="12">
        <f t="shared" si="0"/>
        <v>2027</v>
      </c>
      <c r="J12" s="12">
        <f t="shared" si="0"/>
        <v>2028</v>
      </c>
      <c r="K12" s="12">
        <f t="shared" si="0"/>
        <v>2029</v>
      </c>
      <c r="L12" s="12">
        <f t="shared" si="0"/>
        <v>2030</v>
      </c>
      <c r="N12" s="90"/>
    </row>
    <row r="13" spans="1:14" x14ac:dyDescent="0.2">
      <c r="B13" s="1" t="s">
        <v>19</v>
      </c>
      <c r="C13" s="136"/>
      <c r="D13" s="94">
        <f>(D6-C6)/C6</f>
        <v>-0.20209050415063778</v>
      </c>
      <c r="E13" s="94">
        <f t="shared" ref="E13:L13" si="1">(E6-D6)/D6</f>
        <v>-0.13997525930155105</v>
      </c>
      <c r="F13" s="94">
        <f t="shared" si="1"/>
        <v>-2.0782621523935976E-2</v>
      </c>
      <c r="G13" s="95">
        <f t="shared" si="1"/>
        <v>-4.6703451912393362E-3</v>
      </c>
      <c r="H13" s="94">
        <f t="shared" si="1"/>
        <v>0.15771100978184777</v>
      </c>
      <c r="I13" s="94">
        <f t="shared" si="1"/>
        <v>7.9167466108827661E-2</v>
      </c>
      <c r="J13" s="94">
        <f t="shared" si="1"/>
        <v>0.11710091820728931</v>
      </c>
      <c r="K13" s="94">
        <f t="shared" si="1"/>
        <v>0.14754698442432296</v>
      </c>
      <c r="L13" s="94">
        <f t="shared" si="1"/>
        <v>0.12914856449963988</v>
      </c>
      <c r="N13" s="90"/>
    </row>
    <row r="14" spans="1:14" x14ac:dyDescent="0.2">
      <c r="B14" s="1" t="s">
        <v>152</v>
      </c>
      <c r="C14" s="136"/>
      <c r="D14" s="94">
        <f>IF(C7=0,
IF(D7=0,0,IF(D7&gt;0,1,-1)),
(D7-C7)/ABS(C7)
)</f>
        <v>-0.88003700657894735</v>
      </c>
      <c r="E14" s="94">
        <f t="shared" ref="E14:L14" si="2">IF(D7=0,
IF(E7=0,0,IF(E7&gt;0,1,-1)),
(E7-D7)/ABS(D7)
)</f>
        <v>-0.96015424164524421</v>
      </c>
      <c r="F14" s="94">
        <f t="shared" si="2"/>
        <v>-126.56989247311827</v>
      </c>
      <c r="G14" s="95">
        <f t="shared" si="2"/>
        <v>0.81041274190786095</v>
      </c>
      <c r="H14" s="94">
        <f t="shared" si="2"/>
        <v>1</v>
      </c>
      <c r="I14" s="94">
        <f t="shared" si="2"/>
        <v>1</v>
      </c>
      <c r="J14" s="94">
        <f t="shared" si="2"/>
        <v>1.6065688091503416</v>
      </c>
      <c r="K14" s="94">
        <f t="shared" si="2"/>
        <v>0.31148226791351141</v>
      </c>
      <c r="L14" s="94">
        <f t="shared" si="2"/>
        <v>0.83486641731191569</v>
      </c>
      <c r="N14" s="90"/>
    </row>
    <row r="15" spans="1:14" x14ac:dyDescent="0.2">
      <c r="B15" s="1" t="s">
        <v>257</v>
      </c>
      <c r="C15" s="136"/>
      <c r="D15" s="94">
        <f>IF(C8=0,
IF(D8=0,0,IF(D8&gt;0,1,-1)),
(D8-C8)/ABS(C8)
)</f>
        <v>-3.5600582820554241</v>
      </c>
      <c r="E15" s="94">
        <f t="shared" ref="E15:L15" si="3">IF(D8=0,
IF(E8=0,0,IF(E8&gt;0,1,-1)),
(E8-D8)/ABS(D8)
)</f>
        <v>-0.18887220195952228</v>
      </c>
      <c r="F15" s="94">
        <f t="shared" si="3"/>
        <v>-0.39196342637151105</v>
      </c>
      <c r="G15" s="95">
        <f t="shared" si="3"/>
        <v>0.79585258866612385</v>
      </c>
      <c r="H15" s="94">
        <f t="shared" si="3"/>
        <v>-0.95867704832483724</v>
      </c>
      <c r="I15" s="94">
        <f t="shared" si="3"/>
        <v>0.19235221752470913</v>
      </c>
      <c r="J15" s="94">
        <f t="shared" si="3"/>
        <v>0.16134935910738973</v>
      </c>
      <c r="K15" s="94">
        <f t="shared" si="3"/>
        <v>-9.2561777739235448E-2</v>
      </c>
      <c r="L15" s="94">
        <f t="shared" si="3"/>
        <v>0.47263467438004808</v>
      </c>
      <c r="N15" s="90"/>
    </row>
    <row r="16" spans="1:14" x14ac:dyDescent="0.2">
      <c r="N16" s="90"/>
    </row>
    <row r="17" spans="2:14" x14ac:dyDescent="0.2">
      <c r="C17" s="245" t="s">
        <v>191</v>
      </c>
      <c r="D17" s="245"/>
      <c r="E17" s="245"/>
      <c r="F17" s="245"/>
      <c r="G17" s="245"/>
      <c r="H17" s="245"/>
      <c r="I17" s="245"/>
      <c r="J17" s="245"/>
      <c r="K17" s="245"/>
      <c r="L17" s="245"/>
      <c r="N17" s="90"/>
    </row>
    <row r="18" spans="2:14" x14ac:dyDescent="0.2">
      <c r="C18" s="12">
        <f t="shared" ref="C18:L18" si="4">C5</f>
        <v>2021</v>
      </c>
      <c r="D18" s="12">
        <f t="shared" si="4"/>
        <v>2022</v>
      </c>
      <c r="E18" s="12">
        <f t="shared" si="4"/>
        <v>2023</v>
      </c>
      <c r="F18" s="12">
        <f t="shared" si="4"/>
        <v>2024</v>
      </c>
      <c r="G18" s="12">
        <f t="shared" si="4"/>
        <v>2025</v>
      </c>
      <c r="H18" s="12">
        <f t="shared" si="4"/>
        <v>2026</v>
      </c>
      <c r="I18" s="12">
        <f t="shared" si="4"/>
        <v>2027</v>
      </c>
      <c r="J18" s="12">
        <f t="shared" si="4"/>
        <v>2028</v>
      </c>
      <c r="K18" s="12">
        <f t="shared" si="4"/>
        <v>2029</v>
      </c>
      <c r="L18" s="12">
        <f t="shared" si="4"/>
        <v>2030</v>
      </c>
      <c r="N18" s="90"/>
    </row>
    <row r="19" spans="2:14" x14ac:dyDescent="0.2">
      <c r="B19" s="1" t="s">
        <v>192</v>
      </c>
      <c r="C19" s="99">
        <f>Statement!M22</f>
        <v>4090</v>
      </c>
      <c r="D19" s="99">
        <f>Statement!N22</f>
        <v>4123</v>
      </c>
      <c r="E19" s="99">
        <f>Statement!O22</f>
        <v>4212</v>
      </c>
      <c r="F19" s="99">
        <f>Statement!P22</f>
        <v>4280</v>
      </c>
      <c r="G19" s="100">
        <f>Statement!Q22</f>
        <v>4530</v>
      </c>
      <c r="H19" s="140">
        <f>G19*(1+H20)</f>
        <v>4756.5</v>
      </c>
      <c r="I19" s="140">
        <f t="shared" ref="I19:L19" si="5">H19*(1+I20)</f>
        <v>4994.3249999999998</v>
      </c>
      <c r="J19" s="140">
        <f t="shared" si="5"/>
        <v>5194.098</v>
      </c>
      <c r="K19" s="140">
        <f t="shared" si="5"/>
        <v>5401.8619200000003</v>
      </c>
      <c r="L19" s="140">
        <f t="shared" si="5"/>
        <v>5563.9177776000006</v>
      </c>
      <c r="N19" s="90"/>
    </row>
    <row r="20" spans="2:14" x14ac:dyDescent="0.2">
      <c r="B20" s="1" t="s">
        <v>193</v>
      </c>
      <c r="C20" s="136"/>
      <c r="D20" s="141">
        <f>D19/C19-1</f>
        <v>8.0684596577016432E-3</v>
      </c>
      <c r="E20" s="141">
        <f t="shared" ref="E20:G20" si="6">E19/D19-1</f>
        <v>2.1586223623575096E-2</v>
      </c>
      <c r="F20" s="141">
        <f t="shared" si="6"/>
        <v>1.6144349477682729E-2</v>
      </c>
      <c r="G20" s="142">
        <f t="shared" si="6"/>
        <v>5.8411214953270951E-2</v>
      </c>
      <c r="H20" s="143">
        <v>0.05</v>
      </c>
      <c r="I20" s="96">
        <v>0.05</v>
      </c>
      <c r="J20" s="96">
        <v>0.04</v>
      </c>
      <c r="K20" s="96">
        <v>0.04</v>
      </c>
      <c r="L20" s="96">
        <v>0.03</v>
      </c>
      <c r="N20" s="90"/>
    </row>
    <row r="21" spans="2:14" x14ac:dyDescent="0.2">
      <c r="N21" s="90"/>
    </row>
    <row r="22" spans="2:14" x14ac:dyDescent="0.2">
      <c r="C22" s="245" t="s">
        <v>194</v>
      </c>
      <c r="D22" s="245"/>
      <c r="E22" s="245"/>
      <c r="F22" s="245"/>
      <c r="G22" s="245"/>
      <c r="H22" s="245"/>
      <c r="I22" s="245"/>
      <c r="J22" s="245"/>
      <c r="K22" s="245"/>
      <c r="L22" s="245"/>
      <c r="N22" s="90"/>
    </row>
    <row r="23" spans="2:14" x14ac:dyDescent="0.2">
      <c r="C23" s="12">
        <f>C5</f>
        <v>2021</v>
      </c>
      <c r="D23" s="12">
        <f t="shared" ref="D23:L23" si="7">D5</f>
        <v>2022</v>
      </c>
      <c r="E23" s="12">
        <f t="shared" si="7"/>
        <v>2023</v>
      </c>
      <c r="F23" s="12">
        <f t="shared" si="7"/>
        <v>2024</v>
      </c>
      <c r="G23" s="12">
        <f t="shared" si="7"/>
        <v>2025</v>
      </c>
      <c r="H23" s="12">
        <f t="shared" si="7"/>
        <v>2026</v>
      </c>
      <c r="I23" s="12">
        <f t="shared" si="7"/>
        <v>2027</v>
      </c>
      <c r="J23" s="12">
        <f t="shared" si="7"/>
        <v>2028</v>
      </c>
      <c r="K23" s="12">
        <f t="shared" si="7"/>
        <v>2029</v>
      </c>
      <c r="L23" s="12">
        <f t="shared" si="7"/>
        <v>2030</v>
      </c>
      <c r="N23" s="90"/>
    </row>
    <row r="24" spans="2:14" x14ac:dyDescent="0.2">
      <c r="B24" s="1" t="s">
        <v>1</v>
      </c>
      <c r="C24" s="144">
        <f>Statement!M116</f>
        <v>51.31</v>
      </c>
      <c r="D24" s="144">
        <f>Statement!N116</f>
        <v>26.43</v>
      </c>
      <c r="E24" s="144">
        <f>Statement!O116</f>
        <v>50.25</v>
      </c>
      <c r="F24" s="144">
        <f>Statement!P116</f>
        <v>20.3</v>
      </c>
      <c r="G24" s="145">
        <f>Statement!Q116</f>
        <v>36.200000000000003</v>
      </c>
      <c r="H24" s="136"/>
      <c r="I24" s="136"/>
      <c r="J24" s="136"/>
      <c r="K24" s="136"/>
      <c r="L24" s="136"/>
      <c r="N24" s="90"/>
    </row>
    <row r="25" spans="2:14" x14ac:dyDescent="0.2">
      <c r="N25" s="90"/>
    </row>
    <row r="26" spans="2:14" x14ac:dyDescent="0.2">
      <c r="N26" s="90"/>
    </row>
    <row r="27" spans="2:14" x14ac:dyDescent="0.2">
      <c r="C27" s="245" t="s">
        <v>195</v>
      </c>
      <c r="D27" s="245"/>
      <c r="E27" s="245"/>
      <c r="F27" s="245"/>
      <c r="G27" s="245"/>
      <c r="H27" s="245"/>
      <c r="I27" s="245"/>
      <c r="J27" s="245"/>
      <c r="K27" s="245"/>
      <c r="L27" s="245"/>
      <c r="N27" s="90"/>
    </row>
    <row r="28" spans="2:14" x14ac:dyDescent="0.2">
      <c r="C28" s="12">
        <f>C5</f>
        <v>2021</v>
      </c>
      <c r="D28" s="12">
        <f t="shared" ref="D28:L28" si="8">D5</f>
        <v>2022</v>
      </c>
      <c r="E28" s="12">
        <f t="shared" si="8"/>
        <v>2023</v>
      </c>
      <c r="F28" s="12">
        <f t="shared" si="8"/>
        <v>2024</v>
      </c>
      <c r="G28" s="12">
        <f t="shared" si="8"/>
        <v>2025</v>
      </c>
      <c r="H28" s="12">
        <f t="shared" si="8"/>
        <v>2026</v>
      </c>
      <c r="I28" s="12">
        <f t="shared" si="8"/>
        <v>2027</v>
      </c>
      <c r="J28" s="12">
        <f t="shared" si="8"/>
        <v>2028</v>
      </c>
      <c r="K28" s="12">
        <f t="shared" si="8"/>
        <v>2029</v>
      </c>
      <c r="L28" s="12">
        <f t="shared" si="8"/>
        <v>2030</v>
      </c>
      <c r="N28" s="90"/>
    </row>
    <row r="29" spans="2:14" x14ac:dyDescent="0.2">
      <c r="B29" s="16" t="s">
        <v>196</v>
      </c>
      <c r="C29" s="146">
        <f>C24/(C6/C19)</f>
        <v>2.6556223425794698</v>
      </c>
      <c r="D29" s="146">
        <f t="shared" ref="D29:G29" si="9">D24/(D6/D19)</f>
        <v>1.7282153392330384</v>
      </c>
      <c r="E29" s="146">
        <f t="shared" si="9"/>
        <v>3.9030205797742865</v>
      </c>
      <c r="F29" s="146">
        <f t="shared" si="9"/>
        <v>1.6362027080469295</v>
      </c>
      <c r="G29" s="147">
        <f t="shared" si="9"/>
        <v>3.102681020944885</v>
      </c>
      <c r="H29" s="136"/>
      <c r="I29" s="136"/>
      <c r="J29" s="136"/>
      <c r="K29" s="136"/>
      <c r="L29" s="136"/>
      <c r="N29" s="90"/>
    </row>
    <row r="30" spans="2:14" x14ac:dyDescent="0.2">
      <c r="B30" s="1" t="s">
        <v>197</v>
      </c>
      <c r="C30" s="140">
        <f>C24*C19</f>
        <v>209857.90000000002</v>
      </c>
      <c r="D30" s="140">
        <f t="shared" ref="D30:G30" si="10">D24*D19</f>
        <v>108970.89</v>
      </c>
      <c r="E30" s="140">
        <f t="shared" si="10"/>
        <v>211653</v>
      </c>
      <c r="F30" s="140">
        <f t="shared" si="10"/>
        <v>86884</v>
      </c>
      <c r="G30" s="148">
        <f t="shared" si="10"/>
        <v>163986</v>
      </c>
      <c r="H30" s="136"/>
      <c r="I30" s="136"/>
      <c r="J30" s="136"/>
      <c r="K30" s="136"/>
      <c r="L30" s="136"/>
      <c r="N30" s="90"/>
    </row>
    <row r="31" spans="2:14" x14ac:dyDescent="0.2">
      <c r="B31" s="1" t="s">
        <v>164</v>
      </c>
      <c r="C31" s="87">
        <f>Statement!M108</f>
        <v>38101</v>
      </c>
      <c r="D31" s="149">
        <f>Statement!N108</f>
        <v>42051</v>
      </c>
      <c r="E31" s="149">
        <f>Statement!O108</f>
        <v>49266</v>
      </c>
      <c r="F31" s="149">
        <f>Statement!P108</f>
        <v>50011</v>
      </c>
      <c r="G31" s="150">
        <f>Statement!Q108</f>
        <v>46585</v>
      </c>
      <c r="H31" s="136"/>
      <c r="I31" s="136"/>
      <c r="J31" s="136"/>
      <c r="K31" s="136"/>
      <c r="L31" s="136"/>
      <c r="N31" s="90"/>
    </row>
    <row r="32" spans="2:14" x14ac:dyDescent="0.2">
      <c r="B32" s="1" t="s">
        <v>173</v>
      </c>
      <c r="C32" s="149">
        <f>Statement!M107</f>
        <v>34711</v>
      </c>
      <c r="D32" s="149">
        <f>Statement!N107</f>
        <v>34250</v>
      </c>
      <c r="E32" s="149">
        <f>Statement!O107</f>
        <v>30863</v>
      </c>
      <c r="F32" s="149">
        <f>Statement!P107</f>
        <v>27445</v>
      </c>
      <c r="G32" s="150">
        <f>Statement!Q107</f>
        <v>45928</v>
      </c>
      <c r="H32" s="136"/>
      <c r="I32" s="136"/>
      <c r="J32" s="136"/>
      <c r="K32" s="136"/>
      <c r="L32" s="136"/>
      <c r="N32" s="90"/>
    </row>
    <row r="33" spans="2:14" x14ac:dyDescent="0.2">
      <c r="B33" s="1" t="s">
        <v>198</v>
      </c>
      <c r="C33" s="140">
        <f>C30+C31-C32</f>
        <v>213247.90000000002</v>
      </c>
      <c r="D33" s="140">
        <f t="shared" ref="D33:G33" si="11">D30+D31-D32</f>
        <v>116771.89000000001</v>
      </c>
      <c r="E33" s="140">
        <f t="shared" si="11"/>
        <v>230056</v>
      </c>
      <c r="F33" s="140">
        <f t="shared" si="11"/>
        <v>109450</v>
      </c>
      <c r="G33" s="148">
        <f t="shared" si="11"/>
        <v>164643</v>
      </c>
      <c r="H33" s="136"/>
      <c r="I33" s="136"/>
      <c r="J33" s="136"/>
      <c r="K33" s="136"/>
      <c r="L33" s="136"/>
      <c r="N33" s="90"/>
    </row>
    <row r="34" spans="2:14" x14ac:dyDescent="0.2">
      <c r="B34" s="16" t="s">
        <v>199</v>
      </c>
      <c r="C34" s="146">
        <f>C33/C7</f>
        <v>10.960521175986843</v>
      </c>
      <c r="D34" s="146">
        <f t="shared" ref="D34:G34" si="12">D33/D7</f>
        <v>50.030801199657247</v>
      </c>
      <c r="E34" s="146">
        <f t="shared" si="12"/>
        <v>2473.7204301075267</v>
      </c>
      <c r="F34" s="146">
        <f t="shared" si="12"/>
        <v>-9.3723240280870019</v>
      </c>
      <c r="G34" s="147">
        <f t="shared" si="12"/>
        <v>-74.364498644986455</v>
      </c>
      <c r="H34" s="136"/>
      <c r="I34" s="136"/>
      <c r="J34" s="136"/>
      <c r="K34" s="136"/>
      <c r="L34" s="136"/>
      <c r="N34" s="90"/>
    </row>
    <row r="35" spans="2:14" x14ac:dyDescent="0.2">
      <c r="B35" s="16" t="s">
        <v>316</v>
      </c>
      <c r="C35" s="146">
        <f>C33/C8</f>
        <v>39.042197849240281</v>
      </c>
      <c r="D35" s="146">
        <f t="shared" ref="D35:G35" si="13">D33/D8</f>
        <v>-8.3509897732961456</v>
      </c>
      <c r="E35" s="146">
        <f t="shared" si="13"/>
        <v>-13.83878729547642</v>
      </c>
      <c r="F35" s="146">
        <f t="shared" si="13"/>
        <v>-4.7299049265341404</v>
      </c>
      <c r="G35" s="147">
        <f t="shared" si="13"/>
        <v>-34.852668777003771</v>
      </c>
      <c r="H35" s="136"/>
      <c r="I35" s="136"/>
      <c r="J35" s="136"/>
      <c r="K35" s="136"/>
      <c r="L35" s="136"/>
      <c r="N35" s="90"/>
    </row>
    <row r="36" spans="2:14" x14ac:dyDescent="0.2">
      <c r="B36" s="16" t="s">
        <v>413</v>
      </c>
      <c r="C36" s="146">
        <f>C33/C6</f>
        <v>2.6985207025713711</v>
      </c>
      <c r="D36" s="146">
        <f t="shared" ref="D36:G36" si="14">D33/D6</f>
        <v>1.8519346908998637</v>
      </c>
      <c r="E36" s="146">
        <f t="shared" si="14"/>
        <v>4.242384008261415</v>
      </c>
      <c r="F36" s="146">
        <f t="shared" si="14"/>
        <v>2.0611664563755863</v>
      </c>
      <c r="G36" s="147">
        <f t="shared" si="14"/>
        <v>3.1151117249730382</v>
      </c>
      <c r="H36" s="136"/>
      <c r="I36" s="136"/>
      <c r="J36" s="136"/>
      <c r="K36" s="136"/>
      <c r="L36" s="136"/>
      <c r="N36" s="90"/>
    </row>
    <row r="37" spans="2:14" x14ac:dyDescent="0.2">
      <c r="N37" s="90"/>
    </row>
    <row r="38" spans="2:14" x14ac:dyDescent="0.2">
      <c r="N38" s="90"/>
    </row>
    <row r="39" spans="2:14" x14ac:dyDescent="0.2">
      <c r="B39" s="239" t="s">
        <v>200</v>
      </c>
      <c r="C39" s="239"/>
      <c r="N39" s="90"/>
    </row>
    <row r="40" spans="2:14" x14ac:dyDescent="0.2">
      <c r="B40" s="1" t="s">
        <v>201</v>
      </c>
      <c r="C40" s="63">
        <f>L7</f>
        <v>12425.560115163004</v>
      </c>
    </row>
    <row r="41" spans="2:14" x14ac:dyDescent="0.2">
      <c r="B41" s="1" t="s">
        <v>160</v>
      </c>
      <c r="C41" s="134">
        <f ca="1">IF(Overview!C28&gt;0,Overview!C28,WACC!C20)</f>
        <v>0.14733660393355438</v>
      </c>
    </row>
    <row r="42" spans="2:14" x14ac:dyDescent="0.2">
      <c r="B42" s="39" t="s">
        <v>202</v>
      </c>
      <c r="C42" s="104">
        <v>35</v>
      </c>
    </row>
    <row r="43" spans="2:14" x14ac:dyDescent="0.2">
      <c r="B43" s="1" t="s">
        <v>409</v>
      </c>
      <c r="C43" s="24">
        <f>(C40*C42)</f>
        <v>434894.60403070512</v>
      </c>
    </row>
    <row r="44" spans="2:14" x14ac:dyDescent="0.2">
      <c r="B44" s="1" t="s">
        <v>410</v>
      </c>
      <c r="C44" s="24">
        <f ca="1">C43/(1+C41)^5</f>
        <v>218740.78825348898</v>
      </c>
    </row>
    <row r="45" spans="2:14" x14ac:dyDescent="0.2">
      <c r="B45" s="16" t="s">
        <v>411</v>
      </c>
      <c r="C45" s="93">
        <f ca="1">SUM(H9:K9)+C44</f>
        <v>196898.37718966723</v>
      </c>
    </row>
    <row r="46" spans="2:14" x14ac:dyDescent="0.2">
      <c r="B46" s="1" t="s">
        <v>184</v>
      </c>
      <c r="C46" s="87">
        <f>Statement!AC107</f>
        <v>38137</v>
      </c>
    </row>
    <row r="47" spans="2:14" x14ac:dyDescent="0.2">
      <c r="B47" s="1" t="s">
        <v>185</v>
      </c>
      <c r="C47" s="87">
        <f>Statement!AC108</f>
        <v>50537</v>
      </c>
    </row>
    <row r="48" spans="2:14" x14ac:dyDescent="0.2">
      <c r="B48" s="16" t="s">
        <v>186</v>
      </c>
      <c r="C48" s="107">
        <f ca="1">C45+C46-C47</f>
        <v>184498.37718966723</v>
      </c>
    </row>
    <row r="49" spans="2:3" x14ac:dyDescent="0.2">
      <c r="B49" s="1" t="s">
        <v>67</v>
      </c>
      <c r="C49" s="87">
        <f>Statement!AC78</f>
        <v>5044</v>
      </c>
    </row>
    <row r="50" spans="2:3" x14ac:dyDescent="0.2">
      <c r="B50" s="230" t="s">
        <v>204</v>
      </c>
      <c r="C50" s="231">
        <f ca="1">C48/C49</f>
        <v>36.577790878205242</v>
      </c>
    </row>
    <row r="52" spans="2:3" x14ac:dyDescent="0.2">
      <c r="B52" s="239" t="s">
        <v>205</v>
      </c>
      <c r="C52" s="239"/>
    </row>
    <row r="53" spans="2:3" x14ac:dyDescent="0.2">
      <c r="B53" s="1" t="s">
        <v>206</v>
      </c>
      <c r="C53" s="63">
        <f>L6</f>
        <v>95581.231655099982</v>
      </c>
    </row>
    <row r="54" spans="2:3" x14ac:dyDescent="0.2">
      <c r="B54" s="1" t="s">
        <v>379</v>
      </c>
      <c r="C54" s="134">
        <f>IF(Overview!C29&gt;0,Overview!C29,WACC!C19)</f>
        <v>0.12</v>
      </c>
    </row>
    <row r="55" spans="2:3" x14ac:dyDescent="0.2">
      <c r="B55" s="39" t="s">
        <v>207</v>
      </c>
      <c r="C55" s="104">
        <v>5</v>
      </c>
    </row>
    <row r="56" spans="2:3" x14ac:dyDescent="0.2">
      <c r="B56" s="1" t="s">
        <v>203</v>
      </c>
      <c r="C56" s="24">
        <f>L19</f>
        <v>5563.9177776000006</v>
      </c>
    </row>
    <row r="57" spans="2:3" x14ac:dyDescent="0.2">
      <c r="B57" s="1" t="s">
        <v>187</v>
      </c>
      <c r="C57" s="24">
        <f>(C53*C55)/C56</f>
        <v>85.8938211127996</v>
      </c>
    </row>
    <row r="58" spans="2:3" x14ac:dyDescent="0.2">
      <c r="B58" s="230" t="s">
        <v>204</v>
      </c>
      <c r="C58" s="231">
        <f>C57/(1+C54)^5</f>
        <v>48.738460839691712</v>
      </c>
    </row>
    <row r="60" spans="2:3" x14ac:dyDescent="0.2">
      <c r="B60" s="239" t="s">
        <v>317</v>
      </c>
      <c r="C60" s="239"/>
    </row>
    <row r="61" spans="2:3" x14ac:dyDescent="0.2">
      <c r="B61" s="1" t="s">
        <v>412</v>
      </c>
      <c r="C61" s="63">
        <f>L8</f>
        <v>-3611.026943369634</v>
      </c>
    </row>
    <row r="62" spans="2:3" x14ac:dyDescent="0.2">
      <c r="B62" s="1" t="s">
        <v>160</v>
      </c>
      <c r="C62" s="134">
        <f ca="1">IF(Overview!C28&gt;0,Overview!C28,WACC!C20)</f>
        <v>0.14733660393355438</v>
      </c>
    </row>
    <row r="63" spans="2:3" x14ac:dyDescent="0.2">
      <c r="B63" s="39" t="s">
        <v>390</v>
      </c>
      <c r="C63" s="104">
        <v>40</v>
      </c>
    </row>
    <row r="64" spans="2:3" x14ac:dyDescent="0.2">
      <c r="B64" s="1" t="s">
        <v>409</v>
      </c>
      <c r="C64" s="63">
        <f>(C61*C63)</f>
        <v>-144441.07773478536</v>
      </c>
    </row>
    <row r="65" spans="2:3" x14ac:dyDescent="0.2">
      <c r="B65" s="1" t="s">
        <v>410</v>
      </c>
      <c r="C65" s="63">
        <f ca="1">C64/(1+C62)^5</f>
        <v>-72650.143062385963</v>
      </c>
    </row>
    <row r="66" spans="2:3" x14ac:dyDescent="0.2">
      <c r="B66" s="16" t="s">
        <v>411</v>
      </c>
      <c r="C66" s="93">
        <f ca="1">SUM(H9:K9)+C65</f>
        <v>-94492.554126207717</v>
      </c>
    </row>
    <row r="67" spans="2:3" x14ac:dyDescent="0.2">
      <c r="B67" s="1" t="s">
        <v>184</v>
      </c>
      <c r="C67" s="87">
        <f>Statement!AC107</f>
        <v>38137</v>
      </c>
    </row>
    <row r="68" spans="2:3" x14ac:dyDescent="0.2">
      <c r="B68" s="1" t="s">
        <v>185</v>
      </c>
      <c r="C68" s="87">
        <f>Statement!AC108</f>
        <v>50537</v>
      </c>
    </row>
    <row r="69" spans="2:3" x14ac:dyDescent="0.2">
      <c r="B69" s="16" t="s">
        <v>186</v>
      </c>
      <c r="C69" s="93">
        <f ca="1">C66+C67-C68</f>
        <v>-106892.55412620772</v>
      </c>
    </row>
    <row r="70" spans="2:3" x14ac:dyDescent="0.2">
      <c r="B70" s="1" t="s">
        <v>67</v>
      </c>
      <c r="C70" s="87">
        <f>Statement!AC78</f>
        <v>5044</v>
      </c>
    </row>
    <row r="71" spans="2:3" x14ac:dyDescent="0.2">
      <c r="B71" s="230" t="s">
        <v>204</v>
      </c>
      <c r="C71" s="231">
        <f ca="1">C69/C70</f>
        <v>-21.192021040088761</v>
      </c>
    </row>
    <row r="73" spans="2:3" x14ac:dyDescent="0.2">
      <c r="B73" s="239" t="s">
        <v>414</v>
      </c>
      <c r="C73" s="239"/>
    </row>
    <row r="74" spans="2:3" x14ac:dyDescent="0.2">
      <c r="B74" s="1" t="s">
        <v>415</v>
      </c>
      <c r="C74" s="63">
        <f>L6</f>
        <v>95581.231655099982</v>
      </c>
    </row>
    <row r="75" spans="2:3" x14ac:dyDescent="0.2">
      <c r="B75" s="1" t="s">
        <v>160</v>
      </c>
      <c r="C75" s="134">
        <f ca="1">IF(Overview!C28&gt;0,Overview!C28,WACC!C20)</f>
        <v>0.14733660393355438</v>
      </c>
    </row>
    <row r="76" spans="2:3" x14ac:dyDescent="0.2">
      <c r="B76" s="39" t="s">
        <v>416</v>
      </c>
      <c r="C76" s="104">
        <v>5</v>
      </c>
    </row>
    <row r="77" spans="2:3" x14ac:dyDescent="0.2">
      <c r="B77" s="1" t="s">
        <v>409</v>
      </c>
      <c r="C77" s="63">
        <f>(C74*C76)</f>
        <v>477906.15827549994</v>
      </c>
    </row>
    <row r="78" spans="2:3" x14ac:dyDescent="0.2">
      <c r="B78" s="1" t="s">
        <v>410</v>
      </c>
      <c r="C78" s="63">
        <f ca="1">C77/(1+C75)^5</f>
        <v>240374.49258625152</v>
      </c>
    </row>
    <row r="79" spans="2:3" x14ac:dyDescent="0.2">
      <c r="B79" s="16" t="s">
        <v>411</v>
      </c>
      <c r="C79" s="93">
        <f ca="1">SUM(H9:K9)+C78</f>
        <v>218532.08152242977</v>
      </c>
    </row>
    <row r="80" spans="2:3" x14ac:dyDescent="0.2">
      <c r="B80" s="1" t="s">
        <v>184</v>
      </c>
      <c r="C80" s="87">
        <f>Statement!AC107</f>
        <v>38137</v>
      </c>
    </row>
    <row r="81" spans="2:3" x14ac:dyDescent="0.2">
      <c r="B81" s="1" t="s">
        <v>185</v>
      </c>
      <c r="C81" s="87">
        <f>Statement!AC108</f>
        <v>50537</v>
      </c>
    </row>
    <row r="82" spans="2:3" x14ac:dyDescent="0.2">
      <c r="B82" s="16" t="s">
        <v>186</v>
      </c>
      <c r="C82" s="93">
        <f ca="1">C79+C80-C81</f>
        <v>206132.08152242977</v>
      </c>
    </row>
    <row r="83" spans="2:3" x14ac:dyDescent="0.2">
      <c r="B83" s="1" t="s">
        <v>67</v>
      </c>
      <c r="C83" s="87">
        <f>Statement!AC78</f>
        <v>5044</v>
      </c>
    </row>
    <row r="84" spans="2:3" x14ac:dyDescent="0.2">
      <c r="B84" s="230" t="s">
        <v>204</v>
      </c>
      <c r="C84" s="231">
        <f ca="1">C82/C83</f>
        <v>40.866788565112962</v>
      </c>
    </row>
  </sheetData>
  <mergeCells count="11">
    <mergeCell ref="C22:L22"/>
    <mergeCell ref="C2:G2"/>
    <mergeCell ref="H2:L2"/>
    <mergeCell ref="C4:L4"/>
    <mergeCell ref="C11:L11"/>
    <mergeCell ref="C17:L17"/>
    <mergeCell ref="B73:C73"/>
    <mergeCell ref="C27:L27"/>
    <mergeCell ref="B39:C39"/>
    <mergeCell ref="B52:C52"/>
    <mergeCell ref="B60:C60"/>
  </mergeCells>
  <pageMargins left="0.7" right="0.7" top="0.75" bottom="0.75" header="0.3" footer="0.3"/>
  <ignoredErrors>
    <ignoredError sqref="D14:L14"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06138-34BE-DB43-85EE-BFBB58F201B2}">
  <dimension ref="A1:N12"/>
  <sheetViews>
    <sheetView zoomScale="168" zoomScaleNormal="100" workbookViewId="0">
      <selection activeCell="C10" sqref="C10"/>
    </sheetView>
  </sheetViews>
  <sheetFormatPr baseColWidth="10" defaultRowHeight="16" x14ac:dyDescent="0.2"/>
  <cols>
    <col min="1" max="1" width="2" style="82"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2" customFormat="1" ht="18" customHeight="1" x14ac:dyDescent="0.2">
      <c r="A1" s="4"/>
      <c r="B1" s="81" t="s">
        <v>208</v>
      </c>
    </row>
    <row r="2" spans="1:14" x14ac:dyDescent="0.2">
      <c r="N2" s="90"/>
    </row>
    <row r="3" spans="1:14" x14ac:dyDescent="0.2">
      <c r="N3" s="90"/>
    </row>
    <row r="4" spans="1:14" x14ac:dyDescent="0.2">
      <c r="B4" s="239" t="s">
        <v>209</v>
      </c>
      <c r="C4" s="239"/>
      <c r="N4" s="90"/>
    </row>
    <row r="5" spans="1:14" x14ac:dyDescent="0.2">
      <c r="B5" s="1" t="s">
        <v>210</v>
      </c>
      <c r="C5" s="132">
        <f ca="1">DCF!C26</f>
        <v>-10.033175639822971</v>
      </c>
    </row>
    <row r="6" spans="1:14" x14ac:dyDescent="0.2">
      <c r="B6" s="1" t="s">
        <v>211</v>
      </c>
      <c r="C6" s="132">
        <f ca="1">Multiples!C50</f>
        <v>36.577790878205242</v>
      </c>
    </row>
    <row r="7" spans="1:14" x14ac:dyDescent="0.2">
      <c r="B7" s="1" t="s">
        <v>212</v>
      </c>
      <c r="C7" s="132">
        <f>Multiples!C58</f>
        <v>48.738460839691712</v>
      </c>
    </row>
    <row r="8" spans="1:14" x14ac:dyDescent="0.2">
      <c r="B8" s="1" t="s">
        <v>318</v>
      </c>
      <c r="C8" s="132">
        <f ca="1">Multiples!C71</f>
        <v>-21.192021040088761</v>
      </c>
    </row>
    <row r="9" spans="1:14" x14ac:dyDescent="0.2">
      <c r="B9" s="1" t="s">
        <v>417</v>
      </c>
      <c r="C9" s="132">
        <f ca="1">Multiples!C84</f>
        <v>40.866788565112962</v>
      </c>
    </row>
    <row r="10" spans="1:14" x14ac:dyDescent="0.2">
      <c r="B10" s="230" t="s">
        <v>213</v>
      </c>
      <c r="C10" s="231">
        <f ca="1">AVERAGE(C5:C9)</f>
        <v>18.991568720619636</v>
      </c>
    </row>
    <row r="11" spans="1:14" x14ac:dyDescent="0.2">
      <c r="B11" s="1" t="s">
        <v>214</v>
      </c>
      <c r="C11" s="132">
        <f ca="1">Overview!C5</f>
        <v>101.35</v>
      </c>
    </row>
    <row r="12" spans="1:14" x14ac:dyDescent="0.2">
      <c r="B12" s="1" t="s">
        <v>215</v>
      </c>
      <c r="C12" s="151">
        <f ca="1">(C10-C11)/C11</f>
        <v>-0.81261402347686595</v>
      </c>
    </row>
  </sheetData>
  <mergeCells count="1">
    <mergeCell ref="B4:C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5390B-347F-D14B-A892-3791C6E6C893}">
  <dimension ref="A1:N26"/>
  <sheetViews>
    <sheetView topLeftCell="A17" zoomScale="192" zoomScaleNormal="100" workbookViewId="0">
      <selection activeCell="D26" sqref="D26"/>
    </sheetView>
  </sheetViews>
  <sheetFormatPr baseColWidth="10" defaultRowHeight="16" x14ac:dyDescent="0.2"/>
  <cols>
    <col min="1" max="1" width="2" style="82"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2" customFormat="1" ht="18" customHeight="1" x14ac:dyDescent="0.2">
      <c r="A1" s="4"/>
      <c r="B1" s="81" t="s">
        <v>392</v>
      </c>
    </row>
    <row r="2" spans="1:14" x14ac:dyDescent="0.2">
      <c r="A2" s="4"/>
      <c r="C2" s="239" t="s">
        <v>108</v>
      </c>
      <c r="D2" s="239"/>
      <c r="E2" s="239"/>
      <c r="F2" s="239"/>
      <c r="G2" s="248"/>
      <c r="H2" s="249" t="s">
        <v>109</v>
      </c>
      <c r="I2" s="239"/>
      <c r="J2" s="239"/>
      <c r="K2" s="239"/>
      <c r="L2" s="239"/>
    </row>
    <row r="3" spans="1:14" ht="10" customHeight="1" x14ac:dyDescent="0.2"/>
    <row r="4" spans="1:14" ht="16" customHeight="1" x14ac:dyDescent="0.2">
      <c r="A4" s="85"/>
      <c r="B4" s="59"/>
      <c r="C4" s="245" t="s">
        <v>189</v>
      </c>
      <c r="D4" s="245"/>
      <c r="E4" s="245"/>
      <c r="F4" s="245"/>
      <c r="G4" s="245"/>
      <c r="H4" s="245"/>
      <c r="I4" s="245"/>
      <c r="J4" s="245"/>
      <c r="K4" s="245"/>
      <c r="L4" s="245"/>
    </row>
    <row r="5" spans="1:14" x14ac:dyDescent="0.2">
      <c r="B5" s="16" t="s">
        <v>112</v>
      </c>
      <c r="C5" s="12">
        <f>[2]Revenue!C5</f>
        <v>2021</v>
      </c>
      <c r="D5" s="12">
        <f>[2]Revenue!D5</f>
        <v>2022</v>
      </c>
      <c r="E5" s="12">
        <f>[2]Revenue!E5</f>
        <v>2023</v>
      </c>
      <c r="F5" s="12">
        <f>[2]Revenue!F5</f>
        <v>2024</v>
      </c>
      <c r="G5" s="12">
        <f>[2]Revenue!G5</f>
        <v>2025</v>
      </c>
      <c r="H5" s="12">
        <f>[2]Revenue!H5</f>
        <v>2026</v>
      </c>
      <c r="I5" s="12">
        <f>[2]Revenue!I5</f>
        <v>2027</v>
      </c>
      <c r="J5" s="12">
        <f>[2]Revenue!J5</f>
        <v>2028</v>
      </c>
      <c r="K5" s="12">
        <f>[2]Revenue!K5</f>
        <v>2029</v>
      </c>
      <c r="L5" s="12">
        <f>[2]Revenue!L5</f>
        <v>2030</v>
      </c>
    </row>
    <row r="6" spans="1:14" x14ac:dyDescent="0.2">
      <c r="B6" s="16" t="s">
        <v>238</v>
      </c>
      <c r="C6" s="225">
        <f>Statement!M26</f>
        <v>4.8600000000000003</v>
      </c>
      <c r="D6" s="225">
        <f>Statement!N26</f>
        <v>1.94</v>
      </c>
      <c r="E6" s="225">
        <f>Statement!O26</f>
        <v>0.4</v>
      </c>
      <c r="F6" s="225">
        <f>Statement!P26</f>
        <v>-4.38</v>
      </c>
      <c r="G6" s="226">
        <f>Statement!Q26</f>
        <v>-0.06</v>
      </c>
      <c r="H6" s="136"/>
      <c r="I6" s="136"/>
      <c r="J6" s="136"/>
      <c r="K6" s="136"/>
      <c r="L6" s="136"/>
      <c r="N6" s="90"/>
    </row>
    <row r="7" spans="1:14" x14ac:dyDescent="0.2">
      <c r="B7" s="16" t="s">
        <v>393</v>
      </c>
      <c r="C7" s="225">
        <f>Statement!M82</f>
        <v>1.39</v>
      </c>
      <c r="D7" s="225">
        <f>Statement!N82</f>
        <v>1.46</v>
      </c>
      <c r="E7" s="225">
        <f>Statement!O82</f>
        <v>0.74</v>
      </c>
      <c r="F7" s="225">
        <f>Statement!P82</f>
        <v>0.38</v>
      </c>
      <c r="G7" s="226">
        <f>Statement!Q82</f>
        <v>0</v>
      </c>
      <c r="H7" s="136"/>
      <c r="I7" s="136"/>
      <c r="J7" s="136"/>
      <c r="K7" s="136"/>
      <c r="L7" s="136"/>
      <c r="N7" s="90"/>
    </row>
    <row r="8" spans="1:14" x14ac:dyDescent="0.2">
      <c r="N8" s="90"/>
    </row>
    <row r="9" spans="1:14" x14ac:dyDescent="0.2">
      <c r="C9" s="245" t="s">
        <v>117</v>
      </c>
      <c r="D9" s="245"/>
      <c r="E9" s="245"/>
      <c r="F9" s="245"/>
      <c r="G9" s="245"/>
      <c r="H9" s="245"/>
      <c r="I9" s="245"/>
      <c r="J9" s="245"/>
      <c r="K9" s="245"/>
      <c r="L9" s="245"/>
      <c r="N9" s="90"/>
    </row>
    <row r="10" spans="1:14" x14ac:dyDescent="0.2">
      <c r="B10" s="16" t="s">
        <v>190</v>
      </c>
      <c r="C10" s="12">
        <f t="shared" ref="C10:L10" si="0">C5</f>
        <v>2021</v>
      </c>
      <c r="D10" s="12">
        <f t="shared" si="0"/>
        <v>2022</v>
      </c>
      <c r="E10" s="12">
        <f t="shared" si="0"/>
        <v>2023</v>
      </c>
      <c r="F10" s="12">
        <f t="shared" si="0"/>
        <v>2024</v>
      </c>
      <c r="G10" s="12">
        <f t="shared" si="0"/>
        <v>2025</v>
      </c>
      <c r="H10" s="12">
        <f t="shared" si="0"/>
        <v>2026</v>
      </c>
      <c r="I10" s="12">
        <f t="shared" si="0"/>
        <v>2027</v>
      </c>
      <c r="J10" s="12">
        <f t="shared" si="0"/>
        <v>2028</v>
      </c>
      <c r="K10" s="12">
        <f t="shared" si="0"/>
        <v>2029</v>
      </c>
      <c r="L10" s="12">
        <f t="shared" si="0"/>
        <v>2030</v>
      </c>
      <c r="N10" s="90"/>
    </row>
    <row r="11" spans="1:14" x14ac:dyDescent="0.2">
      <c r="B11" s="1" t="s">
        <v>238</v>
      </c>
      <c r="C11" s="136"/>
      <c r="D11" s="94">
        <f>(D6-C6)/C6</f>
        <v>-0.60082304526748975</v>
      </c>
      <c r="E11" s="94">
        <f>(E6-D6)/D6</f>
        <v>-0.79381443298969079</v>
      </c>
      <c r="F11" s="94">
        <f>(F6-E6)/E6</f>
        <v>-11.95</v>
      </c>
      <c r="G11" s="95">
        <f>(G6-F6)/F6</f>
        <v>-0.98630136986301375</v>
      </c>
      <c r="H11" s="136"/>
      <c r="I11" s="136"/>
      <c r="J11" s="136"/>
      <c r="K11" s="136"/>
      <c r="L11" s="136"/>
      <c r="N11" s="90"/>
    </row>
    <row r="12" spans="1:14" x14ac:dyDescent="0.2">
      <c r="B12" s="1" t="s">
        <v>239</v>
      </c>
      <c r="C12" s="136"/>
      <c r="D12" s="94">
        <f>IF(C7=0,
IF(D7=0,0,IF(D7&gt;0,1,-1)),
(D7-C7)/ABS(C7)
)</f>
        <v>5.0359712230215875E-2</v>
      </c>
      <c r="E12" s="94">
        <f>IF(D7=0,
IF(E7=0,0,IF(E7&gt;0,1,-1)),
(E7-D7)/ABS(D7)
)</f>
        <v>-0.49315068493150682</v>
      </c>
      <c r="F12" s="94">
        <f>IF(E7=0,
IF(F7=0,0,IF(F7&gt;0,1,-1)),
(F7-E7)/ABS(E7)
)</f>
        <v>-0.48648648648648646</v>
      </c>
      <c r="G12" s="95">
        <f>IF(F7=0,
IF(G7=0,0,IF(G7&gt;0,1,-1)),
(G7-F7)/ABS(F7)
)</f>
        <v>-1</v>
      </c>
      <c r="H12" s="136"/>
      <c r="I12" s="136"/>
      <c r="J12" s="136"/>
      <c r="K12" s="136"/>
      <c r="L12" s="136"/>
      <c r="N12" s="90"/>
    </row>
    <row r="13" spans="1:14" x14ac:dyDescent="0.2">
      <c r="N13" s="90"/>
    </row>
    <row r="14" spans="1:14" x14ac:dyDescent="0.2">
      <c r="C14" s="245" t="s">
        <v>394</v>
      </c>
      <c r="D14" s="245"/>
      <c r="E14" s="245"/>
      <c r="F14" s="245"/>
      <c r="G14" s="245"/>
      <c r="H14" s="245"/>
      <c r="I14" s="245"/>
      <c r="J14" s="245"/>
      <c r="K14" s="245"/>
      <c r="L14" s="245"/>
      <c r="N14" s="90"/>
    </row>
    <row r="15" spans="1:14" x14ac:dyDescent="0.2">
      <c r="B15" s="16" t="s">
        <v>371</v>
      </c>
      <c r="C15" s="12">
        <f>C5</f>
        <v>2021</v>
      </c>
      <c r="D15" s="12">
        <f t="shared" ref="D15:L15" si="1">D5</f>
        <v>2022</v>
      </c>
      <c r="E15" s="12">
        <f t="shared" si="1"/>
        <v>2023</v>
      </c>
      <c r="F15" s="12">
        <f t="shared" si="1"/>
        <v>2024</v>
      </c>
      <c r="G15" s="12">
        <f t="shared" si="1"/>
        <v>2025</v>
      </c>
      <c r="H15" s="12">
        <f t="shared" si="1"/>
        <v>2026</v>
      </c>
      <c r="I15" s="12">
        <f t="shared" si="1"/>
        <v>2027</v>
      </c>
      <c r="J15" s="12">
        <f t="shared" si="1"/>
        <v>2028</v>
      </c>
      <c r="K15" s="12">
        <f t="shared" si="1"/>
        <v>2029</v>
      </c>
      <c r="L15" s="12">
        <f t="shared" si="1"/>
        <v>2030</v>
      </c>
      <c r="N15" s="90"/>
    </row>
    <row r="16" spans="1:14" x14ac:dyDescent="0.2">
      <c r="B16" s="1" t="s">
        <v>395</v>
      </c>
      <c r="C16" s="94">
        <f>C7/C6</f>
        <v>0.28600823045267487</v>
      </c>
      <c r="D16" s="94">
        <f t="shared" ref="D16:G16" si="2">D7/D6</f>
        <v>0.75257731958762886</v>
      </c>
      <c r="E16" s="94">
        <f t="shared" si="2"/>
        <v>1.8499999999999999</v>
      </c>
      <c r="F16" s="94">
        <f t="shared" si="2"/>
        <v>-8.6757990867579918E-2</v>
      </c>
      <c r="G16" s="95">
        <f t="shared" si="2"/>
        <v>0</v>
      </c>
      <c r="H16" s="136"/>
      <c r="I16" s="136"/>
      <c r="J16" s="136"/>
      <c r="K16" s="136"/>
      <c r="L16" s="136"/>
      <c r="N16" s="90"/>
    </row>
    <row r="17" spans="2:14" x14ac:dyDescent="0.2">
      <c r="N17" s="90"/>
    </row>
    <row r="18" spans="2:14" x14ac:dyDescent="0.2">
      <c r="N18" s="90"/>
    </row>
    <row r="19" spans="2:14" x14ac:dyDescent="0.2">
      <c r="N19" s="90"/>
    </row>
    <row r="20" spans="2:14" x14ac:dyDescent="0.2">
      <c r="B20" s="239" t="s">
        <v>396</v>
      </c>
      <c r="C20" s="239"/>
      <c r="N20" s="90"/>
    </row>
    <row r="21" spans="2:14" x14ac:dyDescent="0.2">
      <c r="B21" s="1" t="s">
        <v>397</v>
      </c>
      <c r="C21" s="227">
        <f>G7</f>
        <v>0</v>
      </c>
    </row>
    <row r="22" spans="2:14" x14ac:dyDescent="0.2">
      <c r="B22" s="1" t="s">
        <v>398</v>
      </c>
      <c r="C22" s="228">
        <v>0</v>
      </c>
    </row>
    <row r="23" spans="2:14" x14ac:dyDescent="0.2">
      <c r="B23" s="39" t="s">
        <v>399</v>
      </c>
      <c r="C23" s="229">
        <f>C21*(1+C22)</f>
        <v>0</v>
      </c>
    </row>
    <row r="24" spans="2:14" x14ac:dyDescent="0.2">
      <c r="B24" s="1" t="s">
        <v>379</v>
      </c>
      <c r="C24" s="134">
        <f>IF(Overview!C29&gt;0,Overview!C29,WACC!C19)</f>
        <v>0.12</v>
      </c>
    </row>
    <row r="25" spans="2:14" x14ac:dyDescent="0.2">
      <c r="B25" s="39" t="s">
        <v>400</v>
      </c>
      <c r="C25" s="228">
        <v>0</v>
      </c>
    </row>
    <row r="26" spans="2:14" x14ac:dyDescent="0.2">
      <c r="B26" s="230" t="s">
        <v>204</v>
      </c>
      <c r="C26" s="231">
        <f>C23/(C24-C25)</f>
        <v>0</v>
      </c>
    </row>
  </sheetData>
  <mergeCells count="6">
    <mergeCell ref="B20:C20"/>
    <mergeCell ref="C2:G2"/>
    <mergeCell ref="H2:L2"/>
    <mergeCell ref="C4:L4"/>
    <mergeCell ref="C9:L9"/>
    <mergeCell ref="C14:L1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6CE1A-CCEC-514B-9208-A0DCC7740441}">
  <dimension ref="A1:AB36"/>
  <sheetViews>
    <sheetView zoomScale="209" zoomScaleNormal="100" workbookViewId="0">
      <selection activeCell="B47" sqref="B47"/>
    </sheetView>
  </sheetViews>
  <sheetFormatPr baseColWidth="10" defaultRowHeight="16" x14ac:dyDescent="0.2"/>
  <cols>
    <col min="1" max="1" width="2" style="82" customWidth="1"/>
    <col min="2" max="2" width="32" style="1" customWidth="1"/>
    <col min="3" max="3" width="12.6640625" style="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2" customFormat="1" ht="18" customHeight="1" x14ac:dyDescent="0.2">
      <c r="A1" s="4"/>
      <c r="B1" s="81" t="s">
        <v>216</v>
      </c>
    </row>
    <row r="2" spans="1:28" s="82" customFormat="1" ht="18" customHeight="1" x14ac:dyDescent="0.2">
      <c r="A2" s="4"/>
      <c r="B2" s="81"/>
    </row>
    <row r="3" spans="1:28" x14ac:dyDescent="0.2">
      <c r="A3" s="4"/>
      <c r="C3" s="239" t="s">
        <v>108</v>
      </c>
      <c r="D3" s="239"/>
      <c r="E3" s="239"/>
      <c r="F3" s="239"/>
      <c r="G3" s="248"/>
      <c r="H3" s="249" t="s">
        <v>109</v>
      </c>
      <c r="I3" s="239"/>
      <c r="J3" s="239"/>
      <c r="K3" s="239"/>
      <c r="L3" s="239"/>
      <c r="P3" s="250"/>
      <c r="Q3" s="250"/>
      <c r="R3" s="250"/>
      <c r="S3" s="250"/>
      <c r="T3" s="250"/>
      <c r="U3" s="250"/>
      <c r="V3" s="250"/>
      <c r="W3" s="250"/>
      <c r="X3" s="250"/>
      <c r="Y3" s="250"/>
      <c r="Z3" s="250"/>
      <c r="AB3" s="108"/>
    </row>
    <row r="4" spans="1:28" ht="10" customHeight="1" x14ac:dyDescent="0.2"/>
    <row r="5" spans="1:28" ht="16" customHeight="1" x14ac:dyDescent="0.2">
      <c r="A5" s="85"/>
      <c r="B5" s="59"/>
      <c r="C5" s="245" t="s">
        <v>175</v>
      </c>
      <c r="D5" s="245"/>
      <c r="E5" s="245"/>
      <c r="F5" s="245"/>
      <c r="G5" s="245"/>
      <c r="H5" s="245"/>
      <c r="I5" s="245"/>
      <c r="J5" s="245"/>
      <c r="K5" s="245"/>
      <c r="L5" s="245"/>
      <c r="P5" s="250"/>
      <c r="Q5" s="250"/>
      <c r="R5" s="250"/>
      <c r="S5" s="250"/>
      <c r="T5" s="250"/>
      <c r="U5" s="250"/>
      <c r="V5" s="250"/>
      <c r="W5" s="250"/>
      <c r="X5" s="250"/>
      <c r="Y5" s="250"/>
      <c r="Z5" s="250"/>
      <c r="AB5" s="109"/>
    </row>
    <row r="6" spans="1:28" x14ac:dyDescent="0.2">
      <c r="B6" s="16" t="s">
        <v>128</v>
      </c>
      <c r="C6" s="12">
        <f>Revenue!C5</f>
        <v>2021</v>
      </c>
      <c r="D6" s="12">
        <f>Revenue!D5</f>
        <v>2022</v>
      </c>
      <c r="E6" s="12">
        <f>Revenue!E5</f>
        <v>2023</v>
      </c>
      <c r="F6" s="12">
        <f>Revenue!F5</f>
        <v>2024</v>
      </c>
      <c r="G6" s="12">
        <f>Revenue!G5</f>
        <v>2025</v>
      </c>
      <c r="H6" s="12">
        <f>Revenue!H5</f>
        <v>2026</v>
      </c>
      <c r="I6" s="12">
        <f>Revenue!I5</f>
        <v>2027</v>
      </c>
      <c r="J6" s="12">
        <f>Revenue!J5</f>
        <v>2028</v>
      </c>
      <c r="K6" s="12">
        <f>Revenue!K5</f>
        <v>2029</v>
      </c>
      <c r="L6" s="12">
        <f>Revenue!L5</f>
        <v>2030</v>
      </c>
      <c r="O6" s="16"/>
      <c r="P6" s="110"/>
      <c r="Q6" s="110"/>
      <c r="R6" s="110"/>
      <c r="S6" s="110"/>
      <c r="T6" s="110"/>
      <c r="U6" s="110"/>
      <c r="V6" s="110"/>
      <c r="W6" s="110"/>
      <c r="X6" s="110"/>
      <c r="Y6" s="110"/>
      <c r="Z6" s="110"/>
      <c r="AB6" s="109"/>
    </row>
    <row r="7" spans="1:28" x14ac:dyDescent="0.2">
      <c r="B7" s="39" t="s">
        <v>257</v>
      </c>
      <c r="C7" s="111">
        <f>'FCF &amp; Other'!C28</f>
        <v>5461.985025111735</v>
      </c>
      <c r="D7" s="111">
        <f>'FCF &amp; Other'!D28</f>
        <v>-13983</v>
      </c>
      <c r="E7" s="111">
        <f>'FCF &amp; Other'!E28</f>
        <v>-16624</v>
      </c>
      <c r="F7" s="111">
        <f>'FCF &amp; Other'!F28</f>
        <v>-23140</v>
      </c>
      <c r="G7" s="112">
        <f>'FCF &amp; Other'!G28</f>
        <v>-4723.9710982658962</v>
      </c>
      <c r="H7" s="125">
        <f>G7*(1+$C$17)</f>
        <v>-7794.5523121387287</v>
      </c>
      <c r="I7" s="125">
        <f t="shared" ref="I7:L7" si="0">H7*(1+$C$17)</f>
        <v>-12861.011315028902</v>
      </c>
      <c r="J7" s="125">
        <f t="shared" si="0"/>
        <v>-21220.668669797687</v>
      </c>
      <c r="K7" s="125">
        <f t="shared" si="0"/>
        <v>-35014.10330516618</v>
      </c>
      <c r="L7" s="125">
        <f t="shared" si="0"/>
        <v>-57773.270453524194</v>
      </c>
      <c r="N7" s="90"/>
      <c r="O7" s="16"/>
      <c r="P7" s="91"/>
      <c r="Q7" s="91"/>
      <c r="R7" s="91"/>
      <c r="S7" s="91"/>
      <c r="T7" s="91"/>
      <c r="U7" s="91"/>
      <c r="V7" s="91"/>
      <c r="W7" s="91"/>
      <c r="X7" s="93"/>
      <c r="Y7" s="93"/>
      <c r="Z7" s="93"/>
      <c r="AB7" s="93"/>
    </row>
    <row r="8" spans="1:28" x14ac:dyDescent="0.2">
      <c r="B8" s="39" t="s">
        <v>176</v>
      </c>
      <c r="C8" s="136"/>
      <c r="D8" s="136"/>
      <c r="E8" s="136"/>
      <c r="F8" s="136"/>
      <c r="G8" s="137"/>
      <c r="H8" s="136"/>
      <c r="I8" s="136"/>
      <c r="J8" s="136"/>
      <c r="K8" s="136"/>
      <c r="L8" s="125">
        <f ca="1">L7*(1+C20)/(C21-C20)</f>
        <v>-462779.23269686324</v>
      </c>
      <c r="N8" s="90"/>
      <c r="O8" s="16"/>
      <c r="P8" s="91"/>
      <c r="Q8" s="91"/>
      <c r="R8" s="91"/>
      <c r="S8" s="91"/>
      <c r="T8" s="91"/>
      <c r="U8" s="91"/>
      <c r="V8" s="91"/>
      <c r="W8" s="91"/>
      <c r="X8" s="93"/>
      <c r="Y8" s="93"/>
      <c r="Z8" s="93"/>
      <c r="AB8" s="93"/>
    </row>
    <row r="9" spans="1:28" x14ac:dyDescent="0.2">
      <c r="B9" s="1" t="s">
        <v>177</v>
      </c>
      <c r="C9" s="136"/>
      <c r="D9" s="136"/>
      <c r="E9" s="136"/>
      <c r="F9" s="136"/>
      <c r="G9" s="137"/>
      <c r="H9" s="138">
        <v>1</v>
      </c>
      <c r="I9" s="138">
        <v>2</v>
      </c>
      <c r="J9" s="138">
        <v>3</v>
      </c>
      <c r="K9" s="138">
        <v>4</v>
      </c>
      <c r="L9" s="138">
        <v>5</v>
      </c>
      <c r="N9" s="90"/>
    </row>
    <row r="10" spans="1:28" x14ac:dyDescent="0.2">
      <c r="B10" s="1" t="s">
        <v>315</v>
      </c>
      <c r="C10" s="136"/>
      <c r="D10" s="136"/>
      <c r="E10" s="136"/>
      <c r="F10" s="136"/>
      <c r="G10" s="137"/>
      <c r="H10" s="125">
        <f ca="1">H7/(1+$C$21)^H9</f>
        <v>-6793.6055429729267</v>
      </c>
      <c r="I10" s="125">
        <f t="shared" ref="I10:L10" ca="1" si="1">I7/(1+$C$21)^I9</f>
        <v>-9769.9743104809895</v>
      </c>
      <c r="J10" s="125">
        <f t="shared" ca="1" si="1"/>
        <v>-14050.32974370895</v>
      </c>
      <c r="K10" s="125">
        <f t="shared" ca="1" si="1"/>
        <v>-20205.965710183475</v>
      </c>
      <c r="L10" s="125">
        <f t="shared" ca="1" si="1"/>
        <v>-29058.46750421774</v>
      </c>
      <c r="N10" s="90"/>
    </row>
    <row r="11" spans="1:28" x14ac:dyDescent="0.2">
      <c r="B11" s="1" t="s">
        <v>178</v>
      </c>
      <c r="C11" s="136"/>
      <c r="D11" s="136"/>
      <c r="E11" s="136"/>
      <c r="F11" s="136"/>
      <c r="G11" s="137"/>
      <c r="H11" s="136"/>
      <c r="I11" s="136"/>
      <c r="J11" s="136"/>
      <c r="K11" s="136"/>
      <c r="L11" s="125">
        <f ca="1">L8/(1+C21)^L9</f>
        <v>-232766.03850506627</v>
      </c>
    </row>
    <row r="13" spans="1:28" ht="17" thickBot="1" x14ac:dyDescent="0.25"/>
    <row r="14" spans="1:28" x14ac:dyDescent="0.2">
      <c r="B14" s="251" t="s">
        <v>217</v>
      </c>
      <c r="C14" s="252"/>
    </row>
    <row r="15" spans="1:28" x14ac:dyDescent="0.2">
      <c r="B15" s="152" t="s">
        <v>218</v>
      </c>
      <c r="C15" s="153">
        <f ca="1">Overview!C5</f>
        <v>101.35</v>
      </c>
    </row>
    <row r="16" spans="1:28" x14ac:dyDescent="0.2">
      <c r="B16" s="152" t="s">
        <v>219</v>
      </c>
      <c r="C16" s="153">
        <f ca="1">C36</f>
        <v>-64.441788524312116</v>
      </c>
    </row>
    <row r="17" spans="2:9" ht="17" thickBot="1" x14ac:dyDescent="0.25">
      <c r="B17" s="154" t="s">
        <v>319</v>
      </c>
      <c r="C17" s="155">
        <v>0.65</v>
      </c>
      <c r="E17" s="253" t="s">
        <v>220</v>
      </c>
      <c r="F17" s="253"/>
      <c r="G17" s="253"/>
      <c r="H17" s="253"/>
      <c r="I17" s="253"/>
    </row>
    <row r="18" spans="2:9" ht="17" thickBot="1" x14ac:dyDescent="0.25"/>
    <row r="19" spans="2:9" x14ac:dyDescent="0.2">
      <c r="B19" s="251" t="s">
        <v>179</v>
      </c>
      <c r="C19" s="252"/>
    </row>
    <row r="20" spans="2:9" x14ac:dyDescent="0.2">
      <c r="B20" s="156" t="s">
        <v>180</v>
      </c>
      <c r="C20" s="157">
        <v>0.02</v>
      </c>
    </row>
    <row r="21" spans="2:9" x14ac:dyDescent="0.2">
      <c r="B21" s="156" t="s">
        <v>160</v>
      </c>
      <c r="C21" s="221">
        <f ca="1">IF(Overview!C28&gt;0,Overview!C28,WACC!C20)</f>
        <v>0.14733660393355438</v>
      </c>
    </row>
    <row r="22" spans="2:9" x14ac:dyDescent="0.2">
      <c r="B22" s="156" t="s">
        <v>67</v>
      </c>
      <c r="C22" s="222">
        <f>Statement!AC75</f>
        <v>5044</v>
      </c>
    </row>
    <row r="23" spans="2:9" x14ac:dyDescent="0.2">
      <c r="B23" s="156" t="s">
        <v>221</v>
      </c>
      <c r="C23" s="158">
        <f ca="1">C15*C22</f>
        <v>511209.39999999997</v>
      </c>
    </row>
    <row r="24" spans="2:9" x14ac:dyDescent="0.2">
      <c r="B24" s="156" t="s">
        <v>173</v>
      </c>
      <c r="C24" s="222">
        <f>Statement!AC107</f>
        <v>38137</v>
      </c>
    </row>
    <row r="25" spans="2:9" x14ac:dyDescent="0.2">
      <c r="B25" s="156" t="s">
        <v>164</v>
      </c>
      <c r="C25" s="222">
        <f>Statement!AC108</f>
        <v>50537</v>
      </c>
    </row>
    <row r="26" spans="2:9" ht="17" thickBot="1" x14ac:dyDescent="0.25">
      <c r="B26" s="154" t="s">
        <v>222</v>
      </c>
      <c r="C26" s="159">
        <f ca="1">C23+C25-C24</f>
        <v>523609.39999999991</v>
      </c>
    </row>
    <row r="27" spans="2:9" ht="17" thickBot="1" x14ac:dyDescent="0.25"/>
    <row r="28" spans="2:9" x14ac:dyDescent="0.2">
      <c r="B28" s="251" t="s">
        <v>181</v>
      </c>
      <c r="C28" s="252"/>
    </row>
    <row r="29" spans="2:9" x14ac:dyDescent="0.2">
      <c r="B29" s="156" t="s">
        <v>182</v>
      </c>
      <c r="C29" s="158">
        <f ca="1">SUM(H10:L10)</f>
        <v>-79878.342811564085</v>
      </c>
    </row>
    <row r="30" spans="2:9" x14ac:dyDescent="0.2">
      <c r="B30" s="156" t="s">
        <v>178</v>
      </c>
      <c r="C30" s="158">
        <f ca="1">L11</f>
        <v>-232766.03850506627</v>
      </c>
    </row>
    <row r="31" spans="2:9" x14ac:dyDescent="0.2">
      <c r="B31" s="160" t="s">
        <v>183</v>
      </c>
      <c r="C31" s="161">
        <f ca="1">C29+C30</f>
        <v>-312644.38131663034</v>
      </c>
    </row>
    <row r="32" spans="2:9" x14ac:dyDescent="0.2">
      <c r="B32" s="156" t="s">
        <v>184</v>
      </c>
      <c r="C32" s="162">
        <f>C24</f>
        <v>38137</v>
      </c>
    </row>
    <row r="33" spans="2:3" x14ac:dyDescent="0.2">
      <c r="B33" s="156" t="s">
        <v>185</v>
      </c>
      <c r="C33" s="162">
        <f>C25</f>
        <v>50537</v>
      </c>
    </row>
    <row r="34" spans="2:3" x14ac:dyDescent="0.2">
      <c r="B34" s="160" t="s">
        <v>186</v>
      </c>
      <c r="C34" s="161">
        <f ca="1">C31+C32-C33</f>
        <v>-325044.38131663034</v>
      </c>
    </row>
    <row r="35" spans="2:3" x14ac:dyDescent="0.2">
      <c r="B35" s="156" t="s">
        <v>67</v>
      </c>
      <c r="C35" s="158">
        <f>C22</f>
        <v>5044</v>
      </c>
    </row>
    <row r="36" spans="2:3" ht="17" thickBot="1" x14ac:dyDescent="0.25">
      <c r="B36" s="163" t="s">
        <v>187</v>
      </c>
      <c r="C36" s="164">
        <f ca="1">C34/C35</f>
        <v>-64.441788524312116</v>
      </c>
    </row>
  </sheetData>
  <mergeCells count="10">
    <mergeCell ref="E17:I17"/>
    <mergeCell ref="B19:C19"/>
    <mergeCell ref="B28:C28"/>
    <mergeCell ref="C3:G3"/>
    <mergeCell ref="H3:L3"/>
    <mergeCell ref="P3:W3"/>
    <mergeCell ref="X3:Z3"/>
    <mergeCell ref="C5:L5"/>
    <mergeCell ref="P5:Z5"/>
    <mergeCell ref="B14:C14"/>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Overview</vt:lpstr>
      <vt:lpstr>Financials -&gt;</vt:lpstr>
      <vt:lpstr>Statement</vt:lpstr>
      <vt:lpstr>Analysis -&gt;</vt:lpstr>
      <vt:lpstr>Basic</vt:lpstr>
      <vt:lpstr>Yearly Analysis</vt:lpstr>
      <vt:lpstr>Quarter analysis</vt:lpstr>
      <vt:lpstr>Graphs Year</vt:lpstr>
      <vt:lpstr>Graphs Quarter</vt:lpstr>
      <vt:lpstr>Forecast -&gt;</vt:lpstr>
      <vt:lpstr>Revenue</vt:lpstr>
      <vt:lpstr>COGS &amp; OpEx</vt:lpstr>
      <vt:lpstr>WC &amp; Investments</vt:lpstr>
      <vt:lpstr>FCF &amp; Other</vt:lpstr>
      <vt:lpstr>Valuation -&gt;</vt:lpstr>
      <vt:lpstr>WACC</vt:lpstr>
      <vt:lpstr>DCF</vt:lpstr>
      <vt:lpstr>Multiples</vt:lpstr>
      <vt:lpstr>AVG target price</vt:lpstr>
      <vt:lpstr>DDM</vt:lpstr>
      <vt:lpstr>Reverse 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 dumitras</dc:creator>
  <cp:lastModifiedBy>adi dumitras</cp:lastModifiedBy>
  <dcterms:created xsi:type="dcterms:W3CDTF">2025-11-16T22:36:04Z</dcterms:created>
  <dcterms:modified xsi:type="dcterms:W3CDTF">2026-10-12T20:39:58Z</dcterms:modified>
</cp:coreProperties>
</file>