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D0C5DD0-201A-2046-AF3D-82FBC6794BEA}"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60" i="3" l="1"/>
  <c r="I13" i="1"/>
  <c r="H7" i="1"/>
  <c r="H6" i="1"/>
  <c r="C83" i="12"/>
  <c r="C81" i="12"/>
  <c r="C80" i="12"/>
  <c r="C75" i="12"/>
  <c r="C74" i="12"/>
  <c r="C77" i="12" s="1"/>
  <c r="G36" i="12"/>
  <c r="F36" i="12"/>
  <c r="E36" i="12"/>
  <c r="D36" i="12"/>
  <c r="C36" i="12"/>
  <c r="AA28" i="3"/>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4" i="12"/>
  <c r="I18" i="1" s="1"/>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9" i="1"/>
  <c r="H8"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AA108" i="3"/>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1"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1"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92" i="17"/>
  <c r="F92" i="17"/>
  <c r="E92" i="17"/>
  <c r="D92" i="17"/>
  <c r="C92"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1" i="12"/>
  <c r="F31"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1" i="12"/>
  <c r="E35" i="7"/>
  <c r="F35" i="7"/>
  <c r="D35" i="7"/>
  <c r="C35" i="7"/>
  <c r="AC82" i="3"/>
  <c r="AC104" i="3" s="1"/>
  <c r="AA147" i="3"/>
  <c r="Q147" i="3"/>
  <c r="N147" i="3"/>
  <c r="P147" i="3"/>
  <c r="O147" i="3"/>
  <c r="M147" i="3"/>
  <c r="C31" i="12"/>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C35" i="14" s="1"/>
  <c r="AA154" i="3"/>
  <c r="AA159" i="3"/>
  <c r="J66" i="20" s="1"/>
  <c r="AA179" i="3"/>
  <c r="AA181" i="3"/>
  <c r="AA180" i="3"/>
  <c r="C68" i="12"/>
  <c r="C47" i="12"/>
  <c r="Q184" i="3"/>
  <c r="P184" i="3"/>
  <c r="O184" i="3"/>
  <c r="N184" i="3"/>
  <c r="M184" i="3"/>
  <c r="AC183" i="3"/>
  <c r="E48" i="17"/>
  <c r="C23" i="11"/>
  <c r="C25" i="14"/>
  <c r="H8" i="5"/>
  <c r="H10" i="5" s="1"/>
  <c r="H7" i="7" s="1"/>
  <c r="I6" i="5"/>
  <c r="H6" i="14"/>
  <c r="H5" i="12"/>
  <c r="H6" i="11"/>
  <c r="AE10" i="5"/>
  <c r="AB6" i="6" s="1"/>
  <c r="AE8" i="5"/>
  <c r="X6" i="6"/>
  <c r="X11" i="6" s="1"/>
  <c r="AB11" i="6" s="1"/>
  <c r="F91" i="17"/>
  <c r="F16" i="5"/>
  <c r="F90" i="17"/>
  <c r="F15" i="5"/>
  <c r="F89" i="17"/>
  <c r="F14" i="5"/>
  <c r="G91" i="17"/>
  <c r="G16" i="5"/>
  <c r="G90" i="17"/>
  <c r="G15" i="5"/>
  <c r="G89"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D30" i="12"/>
  <c r="F29" i="12"/>
  <c r="E20" i="12"/>
  <c r="H19" i="12"/>
  <c r="I19" i="12" s="1"/>
  <c r="J19" i="12" s="1"/>
  <c r="K19" i="12" s="1"/>
  <c r="L19"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2" i="12"/>
  <c r="Q149" i="3"/>
  <c r="G46" i="17" s="1"/>
  <c r="F32" i="12"/>
  <c r="P149" i="3"/>
  <c r="F46" i="17" s="1"/>
  <c r="E32" i="12"/>
  <c r="O149" i="3"/>
  <c r="E46" i="17" s="1"/>
  <c r="D32" i="12"/>
  <c r="N149" i="3"/>
  <c r="D46" i="17" s="1"/>
  <c r="C32" i="12"/>
  <c r="M149" i="3"/>
  <c r="C46" i="17" s="1"/>
  <c r="AC107" i="3"/>
  <c r="Q107" i="3"/>
  <c r="Q160" i="3" s="1"/>
  <c r="E46" i="7"/>
  <c r="D18" i="6"/>
  <c r="W10" i="6"/>
  <c r="U10" i="6"/>
  <c r="R10" i="6"/>
  <c r="AA77" i="3"/>
  <c r="F20" i="12"/>
  <c r="D20" i="12"/>
  <c r="G13" i="12"/>
  <c r="C30" i="12"/>
  <c r="E29" i="12"/>
  <c r="D29" i="12"/>
  <c r="G20" i="12"/>
  <c r="F13" i="12"/>
  <c r="E13" i="12"/>
  <c r="D13" i="12"/>
  <c r="G30" i="12"/>
  <c r="G8" i="8"/>
  <c r="D8" i="8"/>
  <c r="C46" i="7"/>
  <c r="G43" i="7"/>
  <c r="C43" i="7"/>
  <c r="F27" i="7"/>
  <c r="D12" i="7"/>
  <c r="D19" i="6"/>
  <c r="D36" i="7"/>
  <c r="D37" i="7" s="1"/>
  <c r="E27" i="7"/>
  <c r="V19" i="6"/>
  <c r="S19" i="6"/>
  <c r="Q19" i="6"/>
  <c r="R16" i="5"/>
  <c r="R14" i="5"/>
  <c r="Q20" i="6"/>
  <c r="F21" i="6"/>
  <c r="F30" i="12"/>
  <c r="E30" i="12"/>
  <c r="G29" i="12"/>
  <c r="C29" i="12"/>
  <c r="D20" i="6"/>
  <c r="I6" i="7"/>
  <c r="S21" i="6"/>
  <c r="Q21" i="6"/>
  <c r="V22" i="6"/>
  <c r="G46" i="7"/>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6" i="12"/>
  <c r="C67" i="12"/>
  <c r="AC185" i="3"/>
  <c r="AC184" i="3"/>
  <c r="H6" i="12"/>
  <c r="H6" i="8"/>
  <c r="H6" i="6"/>
  <c r="C22" i="11"/>
  <c r="C24" i="14"/>
  <c r="C25" i="11"/>
  <c r="C49" i="12"/>
  <c r="C70" i="12"/>
  <c r="I8" i="5"/>
  <c r="J6" i="5"/>
  <c r="H16" i="5"/>
  <c r="I6" i="14"/>
  <c r="I5" i="12"/>
  <c r="I6" i="11"/>
  <c r="H13"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42" i="3"/>
  <c r="L61" i="19"/>
  <c r="Q142" i="3"/>
  <c r="L70" i="19" s="1"/>
  <c r="C18" i="16"/>
  <c r="I18" i="17"/>
  <c r="F52" i="16"/>
  <c r="I75" i="17"/>
  <c r="F53" i="16"/>
  <c r="I76" i="17"/>
  <c r="F54" i="16"/>
  <c r="I77" i="17"/>
  <c r="AC171" i="3"/>
  <c r="I6" i="17"/>
  <c r="C23" i="14"/>
  <c r="C56" i="12"/>
  <c r="C33" i="16"/>
  <c r="F18" i="1"/>
  <c r="AC174" i="3"/>
  <c r="AC177" i="3"/>
  <c r="I67" i="17" s="1"/>
  <c r="C33" i="12"/>
  <c r="D33" i="12"/>
  <c r="F33" i="12"/>
  <c r="E33" i="12"/>
  <c r="G33" i="12"/>
  <c r="I5" i="6"/>
  <c r="H10" i="6"/>
  <c r="H18" i="6"/>
  <c r="AC149" i="3"/>
  <c r="I46" i="17" s="1"/>
  <c r="AC148" i="3"/>
  <c r="I45" i="17" s="1"/>
  <c r="D10" i="8"/>
  <c r="G10" i="8"/>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H11" i="6" l="1"/>
  <c r="H12" i="6"/>
  <c r="H13" i="6"/>
  <c r="C5" i="10"/>
  <c r="C7" i="10" s="1"/>
  <c r="AC155" i="3"/>
  <c r="AC173" i="3"/>
  <c r="H28" i="7"/>
  <c r="C32" i="14"/>
  <c r="I16" i="5"/>
  <c r="I10" i="5"/>
  <c r="J8" i="5"/>
  <c r="K6" i="5"/>
  <c r="J6" i="14"/>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7" i="12"/>
  <c r="D7" i="12"/>
  <c r="J34" i="7"/>
  <c r="J41" i="7"/>
  <c r="J12" i="7"/>
  <c r="J19" i="7"/>
  <c r="J27" i="7"/>
  <c r="K6" i="7"/>
  <c r="C7" i="12"/>
  <c r="C27" i="8"/>
  <c r="C28" i="8" s="1"/>
  <c r="F7" i="12"/>
  <c r="F27" i="8"/>
  <c r="F28" i="8" s="1"/>
  <c r="E7" i="12"/>
  <c r="E27" i="8"/>
  <c r="E28" i="8" s="1"/>
  <c r="H18" i="12"/>
  <c r="H12" i="12"/>
  <c r="H28" i="12"/>
  <c r="H23" i="12"/>
  <c r="K5" i="5"/>
  <c r="J13" i="5"/>
  <c r="AE6" i="5"/>
  <c r="H7" i="8" l="1"/>
  <c r="H8" i="8" s="1"/>
  <c r="H33" i="8" s="1"/>
  <c r="H8" i="7"/>
  <c r="H14" i="6"/>
  <c r="C17" i="10"/>
  <c r="C16" i="10"/>
  <c r="AC156" i="3"/>
  <c r="I7" i="17"/>
  <c r="AC166" i="3"/>
  <c r="AC167" i="3"/>
  <c r="AC178" i="3"/>
  <c r="F3" i="1"/>
  <c r="C6" i="16"/>
  <c r="AC163" i="3"/>
  <c r="AC161" i="3"/>
  <c r="I63" i="17"/>
  <c r="C46" i="16"/>
  <c r="F17" i="1"/>
  <c r="C15" i="11"/>
  <c r="I17" i="1" s="1"/>
  <c r="C62" i="12"/>
  <c r="C41" i="12"/>
  <c r="I7" i="7"/>
  <c r="I6" i="6"/>
  <c r="I6" i="12"/>
  <c r="I13" i="12" s="1"/>
  <c r="I6" i="8"/>
  <c r="J16" i="5"/>
  <c r="J10" i="5"/>
  <c r="K8" i="5"/>
  <c r="L6" i="5"/>
  <c r="L8" i="5" s="1"/>
  <c r="H7" i="14"/>
  <c r="K6" i="14"/>
  <c r="K5" i="12"/>
  <c r="K6" i="11"/>
  <c r="AB14" i="6"/>
  <c r="X22" i="6"/>
  <c r="F14" i="12"/>
  <c r="J26" i="8"/>
  <c r="F13" i="1"/>
  <c r="C26" i="16"/>
  <c r="F23" i="16" s="1"/>
  <c r="J19" i="8"/>
  <c r="J14" i="8"/>
  <c r="K5" i="8"/>
  <c r="K32" i="8" s="1"/>
  <c r="G14" i="12"/>
  <c r="E14" i="12"/>
  <c r="C34" i="12"/>
  <c r="D14" i="12"/>
  <c r="D7" i="11"/>
  <c r="D8" i="12"/>
  <c r="G7" i="11"/>
  <c r="G8" i="12"/>
  <c r="K5" i="6"/>
  <c r="J18" i="6"/>
  <c r="J10" i="6"/>
  <c r="G34" i="12"/>
  <c r="D7" i="14"/>
  <c r="D34" i="12"/>
  <c r="K12" i="7"/>
  <c r="K19" i="7"/>
  <c r="K27" i="7"/>
  <c r="K34" i="7"/>
  <c r="K41" i="7"/>
  <c r="L6" i="7"/>
  <c r="C7" i="11"/>
  <c r="C8" i="12"/>
  <c r="C7" i="14"/>
  <c r="F34" i="12"/>
  <c r="F7" i="11"/>
  <c r="F8" i="12"/>
  <c r="F7" i="14"/>
  <c r="E34" i="12"/>
  <c r="E7" i="11"/>
  <c r="E8" i="12"/>
  <c r="E7" i="14"/>
  <c r="I18" i="12"/>
  <c r="I12" i="12"/>
  <c r="I28" i="12"/>
  <c r="I23" i="12"/>
  <c r="L5" i="5"/>
  <c r="K13" i="5"/>
  <c r="AE7" i="5"/>
  <c r="H18" i="5"/>
  <c r="C20" i="10" l="1"/>
  <c r="C21" i="14" s="1"/>
  <c r="H10" i="14" s="1"/>
  <c r="H14" i="7"/>
  <c r="H29" i="7" s="1"/>
  <c r="H15" i="7"/>
  <c r="H30" i="7" s="1"/>
  <c r="H22" i="6"/>
  <c r="H9" i="8"/>
  <c r="H10" i="8" s="1"/>
  <c r="H34" i="8" s="1"/>
  <c r="F4" i="1"/>
  <c r="I8" i="17"/>
  <c r="C7" i="16"/>
  <c r="AC158" i="3"/>
  <c r="AC157" i="3"/>
  <c r="AC162" i="3"/>
  <c r="I54" i="17"/>
  <c r="F10" i="1"/>
  <c r="C41" i="16"/>
  <c r="C42" i="16"/>
  <c r="I55" i="17"/>
  <c r="I68" i="17"/>
  <c r="F48" i="16"/>
  <c r="F15" i="1"/>
  <c r="I52" i="17"/>
  <c r="C39" i="16"/>
  <c r="F8" i="1"/>
  <c r="I45" i="7"/>
  <c r="I21" i="8" s="1"/>
  <c r="I36" i="7"/>
  <c r="I42" i="7"/>
  <c r="I13" i="7"/>
  <c r="I28" i="7" s="1"/>
  <c r="I13" i="6"/>
  <c r="I12" i="6"/>
  <c r="I11" i="6"/>
  <c r="J6" i="6"/>
  <c r="J7" i="7"/>
  <c r="J6" i="8"/>
  <c r="J6" i="12"/>
  <c r="J13" i="12" s="1"/>
  <c r="J18" i="5"/>
  <c r="K10" i="5"/>
  <c r="K16" i="5"/>
  <c r="L10" i="5"/>
  <c r="L16" i="5"/>
  <c r="I7" i="14"/>
  <c r="L6" i="14"/>
  <c r="L5" i="12"/>
  <c r="L6" i="11"/>
  <c r="F15" i="12"/>
  <c r="K26" i="8"/>
  <c r="K19" i="8"/>
  <c r="K14" i="8"/>
  <c r="L5" i="8"/>
  <c r="L32" i="8" s="1"/>
  <c r="E15" i="12"/>
  <c r="G15" i="12"/>
  <c r="C35" i="12"/>
  <c r="D15" i="12"/>
  <c r="D35" i="12"/>
  <c r="G35" i="12"/>
  <c r="L5" i="6"/>
  <c r="K18" i="6"/>
  <c r="K10" i="6"/>
  <c r="L12" i="7"/>
  <c r="L27" i="7"/>
  <c r="L19" i="7"/>
  <c r="L41" i="7"/>
  <c r="L34" i="7"/>
  <c r="F35" i="12"/>
  <c r="E35" i="12"/>
  <c r="J18" i="12"/>
  <c r="J23" i="12"/>
  <c r="J28" i="12"/>
  <c r="J12" i="12"/>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3" i="12" s="1"/>
  <c r="K18" i="5"/>
  <c r="J7" i="14"/>
  <c r="I7" i="8"/>
  <c r="I8" i="8" s="1"/>
  <c r="I33" i="8" s="1"/>
  <c r="I8" i="7"/>
  <c r="L6" i="8"/>
  <c r="L7" i="7"/>
  <c r="L6" i="12"/>
  <c r="L6" i="6"/>
  <c r="L11" i="6" s="1"/>
  <c r="I10" i="14"/>
  <c r="L14" i="8"/>
  <c r="L26" i="8"/>
  <c r="L19" i="8"/>
  <c r="L10" i="6"/>
  <c r="L18" i="6"/>
  <c r="K28" i="12"/>
  <c r="K12" i="12"/>
  <c r="K18" i="12"/>
  <c r="K23" i="12"/>
  <c r="I18" i="5"/>
  <c r="H28" i="8" l="1"/>
  <c r="H14" i="12"/>
  <c r="I14" i="7"/>
  <c r="I29" i="7" s="1"/>
  <c r="I15" i="7"/>
  <c r="I30" i="7" s="1"/>
  <c r="I9" i="8"/>
  <c r="I22" i="6"/>
  <c r="L36" i="7"/>
  <c r="L42" i="7"/>
  <c r="L13" i="7"/>
  <c r="J7" i="8"/>
  <c r="J8" i="8" s="1"/>
  <c r="J8" i="7"/>
  <c r="J20" i="8"/>
  <c r="J44" i="7"/>
  <c r="K12" i="6"/>
  <c r="K13" i="6"/>
  <c r="K11" i="6"/>
  <c r="K7" i="8" s="1"/>
  <c r="K8" i="8" s="1"/>
  <c r="K33" i="8" s="1"/>
  <c r="K45" i="7"/>
  <c r="K21" i="8" s="1"/>
  <c r="K36" i="7"/>
  <c r="K13" i="7"/>
  <c r="K42" i="7"/>
  <c r="J10" i="14"/>
  <c r="K7" i="14"/>
  <c r="L45" i="7"/>
  <c r="L21" i="8" s="1"/>
  <c r="L13" i="12"/>
  <c r="C53" i="12"/>
  <c r="C57" i="12" s="1"/>
  <c r="C58" i="12" s="1"/>
  <c r="C7" i="13" s="1"/>
  <c r="I5" i="1" s="1"/>
  <c r="L12" i="6"/>
  <c r="L13" i="6"/>
  <c r="J14" i="6"/>
  <c r="L12" i="12"/>
  <c r="L18" i="12"/>
  <c r="L23" i="12"/>
  <c r="L28" i="12"/>
  <c r="H7" i="11" l="1"/>
  <c r="H8" i="12"/>
  <c r="H15" i="12" s="1"/>
  <c r="I10" i="8"/>
  <c r="I34" i="8" s="1"/>
  <c r="I35" i="7"/>
  <c r="I22" i="8" s="1"/>
  <c r="K8" i="7"/>
  <c r="L20" i="8"/>
  <c r="J33" i="8"/>
  <c r="J15" i="7"/>
  <c r="J30" i="7" s="1"/>
  <c r="J14" i="7"/>
  <c r="J29" i="7" s="1"/>
  <c r="L28" i="7"/>
  <c r="K28" i="7"/>
  <c r="K20" i="8"/>
  <c r="K44" i="7"/>
  <c r="K10" i="14"/>
  <c r="L7" i="14"/>
  <c r="J22" i="6"/>
  <c r="J9" i="8"/>
  <c r="J10" i="8" s="1"/>
  <c r="J34" i="8" s="1"/>
  <c r="L44" i="7"/>
  <c r="L14" i="6"/>
  <c r="K14" i="6"/>
  <c r="L8" i="7"/>
  <c r="L7" i="8"/>
  <c r="L8" i="8" s="1"/>
  <c r="L33" i="8" s="1"/>
  <c r="K15" i="7" l="1"/>
  <c r="H10" i="11"/>
  <c r="H9" i="12" s="1"/>
  <c r="I27" i="8"/>
  <c r="I7" i="12"/>
  <c r="J27" i="8"/>
  <c r="J35" i="7"/>
  <c r="J22" i="8" s="1"/>
  <c r="K14" i="7"/>
  <c r="J7" i="12"/>
  <c r="L9" i="8"/>
  <c r="L22" i="6"/>
  <c r="L10" i="14"/>
  <c r="C29" i="14" s="1"/>
  <c r="L8" i="14"/>
  <c r="L11" i="14" s="1"/>
  <c r="C30" i="14" s="1"/>
  <c r="K9" i="8"/>
  <c r="K10" i="8" s="1"/>
  <c r="K22" i="6"/>
  <c r="L14" i="7"/>
  <c r="L15" i="7"/>
  <c r="K30" i="7" l="1"/>
  <c r="L30" i="7"/>
  <c r="K29" i="7"/>
  <c r="I28" i="8"/>
  <c r="I14" i="12"/>
  <c r="J28" i="8"/>
  <c r="L29" i="7"/>
  <c r="J14" i="12"/>
  <c r="L10" i="8"/>
  <c r="L34" i="8" s="1"/>
  <c r="K27" i="8"/>
  <c r="K7" i="12"/>
  <c r="K14" i="12" s="1"/>
  <c r="K34" i="8"/>
  <c r="C31" i="14"/>
  <c r="C34" i="14" s="1"/>
  <c r="C36" i="14" s="1"/>
  <c r="C16" i="14" s="1"/>
  <c r="I14" i="1" s="1"/>
  <c r="AC65" i="3"/>
  <c r="K35" i="7" l="1"/>
  <c r="K22" i="8" s="1"/>
  <c r="L35" i="7"/>
  <c r="L22" i="8" s="1"/>
  <c r="I7" i="11"/>
  <c r="I10" i="11" s="1"/>
  <c r="I9" i="12" s="1"/>
  <c r="I8" i="12"/>
  <c r="J8" i="12"/>
  <c r="J7" i="11"/>
  <c r="J10" i="11" s="1"/>
  <c r="J9" i="12" s="1"/>
  <c r="L7" i="12"/>
  <c r="L27" i="8"/>
  <c r="K28" i="8" l="1"/>
  <c r="K7" i="11" s="1"/>
  <c r="K10" i="11" s="1"/>
  <c r="K9" i="12" s="1"/>
  <c r="C79" i="12" s="1"/>
  <c r="C82" i="12" s="1"/>
  <c r="C84" i="12" s="1"/>
  <c r="C9" i="13" s="1"/>
  <c r="I7" i="1" s="1"/>
  <c r="I15" i="12"/>
  <c r="J15" i="12"/>
  <c r="L14" i="12"/>
  <c r="L28" i="8"/>
  <c r="C40" i="12"/>
  <c r="K8" i="12" l="1"/>
  <c r="L8" i="12"/>
  <c r="C43" i="12"/>
  <c r="C44" i="12" s="1"/>
  <c r="C45" i="12" s="1"/>
  <c r="C48" i="12" s="1"/>
  <c r="L7" i="11"/>
  <c r="C50" i="12" l="1"/>
  <c r="C6" i="13" s="1"/>
  <c r="I4" i="1" s="1"/>
  <c r="K15" i="12"/>
  <c r="L8" i="11"/>
  <c r="L11" i="11" s="1"/>
  <c r="C20" i="11" s="1"/>
  <c r="L10" i="11"/>
  <c r="L15" i="12"/>
  <c r="C61" i="12"/>
  <c r="C64" i="12" s="1"/>
  <c r="C65" i="12" s="1"/>
  <c r="C66" i="12" s="1"/>
  <c r="C69" i="12" s="1"/>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<sst xmlns="http://schemas.openxmlformats.org/spreadsheetml/2006/main" count="806" uniqueCount="425">
  <si>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</si>
  <si>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</si>
  <si>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</si>
  <si>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</si>
  <si>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</si>
  <si>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</si>
  <si>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</si>
  <si>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</si>
  <si>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</si>
  <si>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</si>
  <si>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</si>
  <si>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</si>
  <si>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</si>
  <si>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</si>
  <si>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</si>
  <si>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</si>
  <si>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</si>
  <si>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</si>
  <si>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</si>
  <si>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</si>
  <si>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</si>
  <si>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</si>
  <si>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</si>
  <si>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</si>
  <si>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</si>
  <si>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</si>
  <si>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</si>
  <si>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</si>
  <si>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</si>
  <si>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</si>
  <si>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</si>
  <si>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</si>
  <si>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</si>
  <si>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</si>
  <si>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</si>
  <si>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</si>
  <si>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</si>
  <si>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</si>
  <si>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</si>
  <si>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</si>
  <si>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</si>
  <si>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</si>
  <si>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</si>
  <si>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</si>
  <si>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</si>
  <si>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</si>
  <si>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</si>
  <si>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</si>
  <si>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</si>
  <si>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</si>
  <si>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</si>
  <si>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</si>
  <si>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</si>
  <si>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</si>
  <si>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</si>
  <si>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</si>
  <si>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</si>
  <si>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</si>
  <si>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</si>
  <si>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</si>
  <si>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</si>
  <si>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</si>
  <si>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</si>
  <si>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</si>
  <si>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</si>
  <si>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</si>
  <si>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</si>
  <si>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</si>
  <si>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</si>
  <si>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</si>
  <si>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</si>
  <si>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</si>
  <si>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</si>
  <si>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</si>
  <si>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</si>
  <si>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</si>
  <si>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</si>
  <si>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</si>
  <si>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</si>
  <si>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</si>
  <si>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</si>
  <si>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</si>
  <si>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</si>
  <si>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</si>
  <si>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</si>
  <si>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</si>
  <si>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</si>
  <si>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</si>
  <si>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</si>
  <si>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</si>
  <si>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</si>
  <si>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</si>
  <si>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</si>
  <si>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</si>
  <si>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</si>
  <si>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</si>
  <si>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</si>
  <si>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</si>
  <si>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</si>
  <si>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</si>
  <si>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</si>
  <si>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</si>
  <si>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</si>
  <si>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</si>
  <si>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</si>
  <si>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</si>
  <si>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</si>
  <si>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</si>
  <si>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</si>
  <si>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</si>
  <si>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</si>
  <si>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</si>
  <si>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</si>
  <si>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</si>
  <si>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</si>
  <si>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</si>
  <si>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</si>
  <si>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</si>
  <si>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</si>
  <si>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</si>
  <si>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</si>
  <si>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</si>
  <si>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</si>
  <si>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</si>
  <si>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</si>
  <si>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</si>
  <si>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</si>
  <si>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</si>
  <si>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</si>
  <si>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</si>
  <si>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</si>
  <si>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</si>
  <si>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</si>
  <si>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</si>
  <si>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</si>
  <si>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</si>
  <si>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</si>
  <si>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</si>
  <si>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</si>
  <si>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</si>
  <si>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</si>
  <si>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</si>
  <si>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</si>
  <si>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</si>
  <si>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</si>
  <si>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</si>
  <si>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</si>
  <si>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</si>
  <si>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</si>
  <si>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</si>
  <si>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</si>
  <si>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</si>
  <si>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</si>
  <si>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</si>
  <si>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</si>
  <si>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</si>
  <si>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</si>
  <si>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</si>
  <si>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</si>
  <si>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</si>
  <si>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</si>
  <si>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</si>
  <si>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</si>
  <si>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</si>
  <si>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</si>
  <si>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</si>
  <si>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</si>
  <si>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</si>
  <si>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</si>
  <si>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</si>
  <si>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</si>
  <si>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</si>
  <si>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</si>
  <si>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</si>
  <si>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</si>
  <si>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</si>
  <si>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</si>
  <si>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</si>
  <si>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</si>
  <si>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</si>
  <si>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</si>
  <si>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</si>
  <si>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</si>
  <si>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</si>
  <si>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</si>
  <si>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</si>
  <si>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</si>
  <si>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</si>
  <si>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</si>
  <si>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</si>
  <si>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</si>
  <si>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</si>
  <si>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</si>
  <si>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</si>
  <si>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</si>
  <si>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</si>
  <si>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</si>
  <si>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</si>
  <si>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</si>
  <si>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</si>
  <si>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</si>
  <si>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</si>
  <si>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</si>
  <si>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</si>
  <si>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</si>
  <si>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</si>
  <si>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</si>
  <si>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</si>
  <si>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</si>
  <si>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</si>
  <si>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</si>
  <si>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</si>
  <si>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</si>
  <si>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</si>
  <si>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</si>
  <si>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</si>
  <si>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</si>
  <si>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</si>
  <si>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</si>
  <si>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</si>
  <si>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</si>
  <si>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</si>
  <si>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</si>
  <si>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</si>
  <si>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</si>
  <si>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</si>
  <si>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</si>
  <si>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</si>
  <si>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</si>
  <si>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</si>
  <si>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</si>
  <si>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</si>
  <si>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</si>
  <si>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</si>
  <si>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</si>
  <si>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</si>
  <si>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</si>
  <si>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</si>
  <si>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</si>
  <si>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</si>
  <si>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</si>
  <si>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</si>
  <si>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</si>
  <si>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</si>
  <si>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</si>
  <si>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</si>
  <si>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</si>
  <si>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</si>
  <si>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</si>
  <si>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</si>
  <si>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</si>
  <si>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</si>
  <si>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</si>
  <si>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</si>
  <si>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</si>
  <si>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</si>
  <si>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</si>
  <si>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</si>
  <si>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</si>
  <si>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</si>
  <si>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</si>
  <si>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</si>
  <si>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</si>
  <si>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</si>
  <si>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</si>
  <si>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</si>
  <si>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</si>
  <si>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</si>
  <si>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</si>
  <si>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</si>
  <si>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</si>
  <si>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</si>
  <si>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</si>
  <si>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</si>
  <si>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</si>
  <si>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</si>
  <si>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</si>
  <si>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</si>
  <si>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</si>
  <si>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</si>
  <si>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</si>
  <si>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</si>
  <si>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</si>
  <si>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</si>
  <si>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</si>
  <si>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</si>
  <si>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</si>
  <si>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</si>
  <si>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</si>
  <si>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</si>
  <si>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</si>
  <si>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</si>
  <si>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</si>
  <si>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</si>
  <si>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</si>
  <si>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</si>
  <si>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</si>
  <si>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</si>
  <si>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</si>
  <si>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</si>
  <si>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</si>
  <si>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</si>
  <si>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</si>
  <si>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</si>
  <si>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</si>
  <si>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</si>
  <si>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</si>
  <si>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</si>
  <si>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</si>
  <si>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</si>
  <si>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</si>
  <si>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</si>
  <si>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</si>
  <si>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</si>
  <si>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</si>
  <si>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</si>
  <si>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</si>
  <si>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</si>
  <si>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</si>
  <si>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</si>
  <si>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</si>
  <si>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</si>
  <si>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</si>
  <si>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</si>
  <si>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</si>
  <si>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</si>
  <si>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</si>
  <si>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</si>
  <si>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</si>
  <si>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</si>
  <si>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</si>
  <si>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</si>
  <si>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</si>
  <si>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</si>
  <si>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</si>
  <si>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</si>
  <si>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</si>
  <si>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</si>
  <si>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</si>
  <si>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</si>
  <si>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</si>
  <si>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</si>
  <si>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</si>
  <si>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</si>
  <si>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</si>
  <si>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</si>
  <si>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</si>
  <si>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</si>
  <si>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</si>
  <si>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</si>
  <si>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</si>
  <si>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</si>
  <si>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</si>
  <si>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</si>
  <si>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</si>
  <si>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</si>
  <si>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</si>
  <si>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</si>
  <si>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</si>
  <si>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</si>
  <si>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</si>
  <si>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</si>
  <si>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</si>
  <si>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</si>
  <si>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</si>
  <si>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</si>
  <si>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</si>
  <si>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</si>
  <si>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</si>
  <si>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</si>
  <si>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</si>
  <si>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</si>
  <si>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</si>
  <si>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</si>
  <si>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</si>
  <si>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</si>
  <si>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</si>
  <si>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</si>
  <si>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</si>
  <si>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</si>
  <si>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</si>
  <si>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</si>
  <si>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</si>
  <si>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</si>
  <si>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</si>
  <si>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</si>
  <si>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</si>
  <si>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</si>
  <si>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</si>
  <si>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</si>
  <si>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</si>
  <si>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</si>
  <si>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</si>
  <si>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</si>
  <si>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</si>
  <si>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</si>
  <si>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</si>
  <si>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</si>
  <si>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</si>
  <si>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</si>
  <si>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</si>
  <si>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</si>
  <si>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</si>
  <si>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</si>
  <si>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</si>
  <si>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</si>
  <si>
    <t>Terminal EV</t>
  </si>
  <si>
    <t>PV of Terminal EV</t>
  </si>
  <si>
    <t>Total EV</t>
  </si>
  <si>
    <t>Year 5 FCFF</t>
  </si>
  <si>
    <t>EV/Sales</t>
  </si>
  <si>
    <t>EV/Sales valuation</t>
  </si>
  <si>
    <t>Year 5 Sales</t>
  </si>
  <si>
    <t>EV/Sales price</t>
  </si>
  <si>
    <t>Applied EV/Sales ratio</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</si>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</sst>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243.37</v>
    <v>164.27</v>
    <v>2.1993999999999998</v>
    <v>5.04</v>
    <v>2.3890999999999999E-2</v>
    <v>0.14000000000000001</v>
    <v>6.4810000000000009E-4</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217.75</v>
    <v>Semiconductors &amp; Semiconductor Equipment</v>
    <v>Stock</v>
    <v>46321.85384879609</v>
    <v>0</v>
    <v>212.61</v>
    <v>5205600000000</v>
    <v>NVIDIA CORPORATION</v>
    <v>NVIDIA CORPORATION</v>
    <v>213.10499999999999</v>
    <v>27.3048</v>
    <v>210.96</v>
    <v>216</v>
    <v>216.14</v>
    <v>24100000000</v>
    <v>NVDA</v>
    <v>NVIDIA CORPORATION (XNAS:NVDA)</v>
    <v>89951744</v>
    <v>102744467</v>
    <v>1998</v>
  </rv>
  <rv s="2">
    <v>1</v>
  </rv>
  <rv s="0">
    <v>https://www.bing.com/financeapi/forcetrigger?t=a33knm&amp;q=10+Y+TSY+YLD+NDX&amp;form=skydnc</v>
    <v>Learn more on Bing</v>
  </rv>
  <rv s="3">
    <v>5</v>
    <v>10 Y TSY YLD NDX</v>
    <v>6</v>
    <v>7</v>
    <v>Finance</v>
    <v>8</v>
    <v>en-US</v>
    <v>a33knm</v>
    <v>268435456</v>
    <v>1</v>
    <v>Powered by Refinitiv</v>
    <v>53.64</v>
    <v>39.47</v>
    <v>0.35</v>
    <v>7.0660000000000002E-3</v>
    <v>US</v>
    <v>50.03</v>
    <v>Index</v>
    <v>3</v>
    <v>49.55</v>
    <v>10 Y TSY YLD NDX</v>
    <v>49.92</v>
    <v>49.53</v>
    <v>49.88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61"/>
  <sheetViews>
    <sheetView tabSelected="1" zoomScale="160" zoomScaleNormal="160" workbookViewId="0">
      <selection activeCell="I11" sqref="I11"/>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2" t="s">
        <v>17</v>
      </c>
      <c r="C2" s="243"/>
      <c r="E2" s="242" t="s">
        <v>279</v>
      </c>
      <c r="F2" s="243"/>
      <c r="H2" s="242" t="s">
        <v>317</v>
      </c>
      <c r="I2" s="243"/>
      <c r="K2" s="133" t="s">
        <v>418</v>
      </c>
    </row>
    <row r="3" spans="2:11" x14ac:dyDescent="0.2">
      <c r="B3" s="182" t="s">
        <v>11</v>
      </c>
      <c r="C3" s="214" t="e" vm="1">
        <v>#VALUE!</v>
      </c>
      <c r="D3" s="2"/>
      <c r="E3" s="182" t="s">
        <v>231</v>
      </c>
      <c r="F3" s="184">
        <f ca="1">Statement!AC155</f>
        <v>5226120</v>
      </c>
      <c r="H3" s="182" t="str">
        <f>'AVG target price'!B5</f>
        <v>DCF price</v>
      </c>
      <c r="I3" s="208">
        <f>'AVG target price'!C5</f>
        <v>205.87576455664953</v>
      </c>
      <c r="K3" s="237" t="s">
        <v>419</v>
      </c>
    </row>
    <row r="4" spans="2:11" x14ac:dyDescent="0.2">
      <c r="B4" s="182" t="s">
        <v>0</v>
      </c>
      <c r="C4" s="186" t="str" cm="1">
        <f t="array" aca="1" ref="C4" ca="1">_FV(C3,"Ticker symbol",TRUE)</f>
        <v>NVDA</v>
      </c>
      <c r="E4" s="183" t="s">
        <v>180</v>
      </c>
      <c r="F4" s="185">
        <f ca="1">Statement!AC156</f>
        <v>5160017</v>
      </c>
      <c r="H4" s="182" t="str">
        <f>'AVG target price'!B6</f>
        <v>EV/EBIT price</v>
      </c>
      <c r="I4" s="208">
        <f>'AVG target price'!C6</f>
        <v>439.18110219686605</v>
      </c>
      <c r="K4" s="237" t="s">
        <v>420</v>
      </c>
    </row>
    <row r="5" spans="2:11" x14ac:dyDescent="0.2">
      <c r="B5" s="182" t="s">
        <v>1</v>
      </c>
      <c r="C5" s="205" cm="1">
        <f t="array" aca="1" ref="C5" ca="1">_FV(C3,"Price",TRUE)</f>
        <v>216</v>
      </c>
      <c r="E5" s="182" t="s">
        <v>235</v>
      </c>
      <c r="F5" s="186">
        <f>Statement!AC25</f>
        <v>7.91</v>
      </c>
      <c r="H5" s="182" t="str">
        <f>'AVG target price'!B7</f>
        <v>PS price</v>
      </c>
      <c r="I5" s="208">
        <f>'AVG target price'!C7</f>
        <v>372.92428626108091</v>
      </c>
      <c r="K5" s="237" t="s">
        <v>421</v>
      </c>
    </row>
    <row r="6" spans="2:11" x14ac:dyDescent="0.2">
      <c r="B6" s="182" t="s">
        <v>2</v>
      </c>
      <c r="C6" s="205" cm="1">
        <f t="array" aca="1" ref="C6" ca="1">_FV(C3,"Price (Extended hours)",TRUE)</f>
        <v>216.14</v>
      </c>
      <c r="E6" s="182" t="s">
        <v>229</v>
      </c>
      <c r="F6" s="187">
        <f ca="1">Statement!AC152</f>
        <v>27.307206068268016</v>
      </c>
      <c r="H6" s="182" t="str">
        <f>'AVG target price'!B8</f>
        <v>EV/FCFF price</v>
      </c>
      <c r="I6" s="208">
        <f>'AVG target price'!C8</f>
        <v>456.30961943941008</v>
      </c>
      <c r="K6" s="238" t="s">
        <v>422</v>
      </c>
    </row>
    <row r="7" spans="2:11" x14ac:dyDescent="0.2">
      <c r="B7" s="182" t="s">
        <v>3</v>
      </c>
      <c r="C7" s="6" cm="1">
        <f t="array" aca="1" ref="C7" ca="1">_FV(C3,"Change")</f>
        <v>5.04</v>
      </c>
      <c r="E7" s="183" t="s">
        <v>193</v>
      </c>
      <c r="F7" s="188">
        <f ca="1">Statement!AC153</f>
        <v>17.394235053751373</v>
      </c>
      <c r="H7" s="182" t="str">
        <f>'AVG target price'!B9</f>
        <v>EV/Sales price</v>
      </c>
      <c r="I7" s="208">
        <f>'AVG target price'!C9</f>
        <v>404.87387575999048</v>
      </c>
    </row>
    <row r="8" spans="2:11" x14ac:dyDescent="0.2">
      <c r="B8" s="182" t="s">
        <v>4</v>
      </c>
      <c r="C8" s="6" cm="1">
        <f t="array" aca="1" ref="C8" ca="1">_FV(C3,"Change (extended hours)",TRUE)</f>
        <v>0.14000000000000001</v>
      </c>
      <c r="E8" s="182" t="s">
        <v>257</v>
      </c>
      <c r="F8" s="189">
        <f ca="1">Statement!AC163</f>
        <v>2.2916427483486792E-2</v>
      </c>
      <c r="H8" s="181" t="str">
        <f>'AVG target price'!B10</f>
        <v>AVG price</v>
      </c>
      <c r="I8" s="209">
        <f>'AVG target price'!C10</f>
        <v>375.83292964279934</v>
      </c>
    </row>
    <row r="9" spans="2:11" x14ac:dyDescent="0.2">
      <c r="B9" s="182" t="s">
        <v>5</v>
      </c>
      <c r="C9" s="73" cm="1">
        <f t="array" aca="1" ref="C9" ca="1">_FV(C3,"Change (%)",TRUE)</f>
        <v>2.3890999999999999E-2</v>
      </c>
      <c r="E9" s="182" t="s">
        <v>280</v>
      </c>
      <c r="F9" s="189">
        <f ca="1">Statement!AC164</f>
        <v>3.6620370370370373E-2</v>
      </c>
      <c r="H9" s="181" t="str">
        <f>'AVG target price'!B12</f>
        <v>Upside/Downside</v>
      </c>
      <c r="I9" s="210">
        <f ca="1">'AVG target price'!C12</f>
        <v>0.73996726686481173</v>
      </c>
    </row>
    <row r="10" spans="2:11" x14ac:dyDescent="0.2">
      <c r="B10" s="182" t="s">
        <v>6</v>
      </c>
      <c r="C10" s="73" cm="1">
        <f t="array" aca="1" ref="C10" ca="1">_FV(C3,"Change % (extended hours)",TRUE)</f>
        <v>6.4810000000000009E-4</v>
      </c>
      <c r="E10" s="182" t="s">
        <v>285</v>
      </c>
      <c r="F10" s="189">
        <f ca="1">Statement!AC166</f>
        <v>1.0584334075757923E-2</v>
      </c>
    </row>
    <row r="11" spans="2:11" x14ac:dyDescent="0.2">
      <c r="B11" s="182" t="s">
        <v>7</v>
      </c>
      <c r="C11" s="206" cm="1">
        <f t="array" aca="1" ref="C11" ca="1">_FV(C3,"52 week high",TRUE)</f>
        <v>243.37</v>
      </c>
      <c r="E11" s="183" t="s">
        <v>281</v>
      </c>
      <c r="F11" s="190">
        <f ca="1">Statement!AC165</f>
        <v>1.2962962962962965E-3</v>
      </c>
      <c r="H11" s="181" t="s">
        <v>397</v>
      </c>
      <c r="I11" s="209">
        <f>DDM!C26</f>
        <v>1.6842105263157894</v>
      </c>
    </row>
    <row r="12" spans="2:11" x14ac:dyDescent="0.2">
      <c r="B12" s="182" t="s">
        <v>8</v>
      </c>
      <c r="C12" s="206" cm="1">
        <f t="array" aca="1" ref="C12" ca="1">_FV(C3,"52 week low",TRUE)</f>
        <v>164.27</v>
      </c>
      <c r="E12" s="182" t="s">
        <v>94</v>
      </c>
      <c r="F12" s="189">
        <f>Statement!AC121</f>
        <v>0.60223497527101955</v>
      </c>
    </row>
    <row r="13" spans="2:11" x14ac:dyDescent="0.2">
      <c r="B13" s="182" t="s">
        <v>9</v>
      </c>
      <c r="C13" s="206" cm="1">
        <f t="array" aca="1" ref="C13" ca="1">_FV(C3,"Beta")</f>
        <v>2.1993999999999998</v>
      </c>
      <c r="E13" s="182" t="s">
        <v>96</v>
      </c>
      <c r="F13" s="189">
        <f>Statement!AC123</f>
        <v>0.84232522796352571</v>
      </c>
      <c r="H13" s="241" t="s">
        <v>415</v>
      </c>
      <c r="I13" s="239">
        <f>'Reverse DCF'!C17</f>
        <v>0.5</v>
      </c>
    </row>
    <row r="14" spans="2:11" x14ac:dyDescent="0.2">
      <c r="B14" s="183" t="s">
        <v>10</v>
      </c>
      <c r="C14" s="207" cm="1">
        <f t="array" aca="1" ref="C14" ca="1">_FV(C3,"Volume average",TRUE)</f>
        <v>102744467</v>
      </c>
      <c r="E14" s="183" t="s">
        <v>97</v>
      </c>
      <c r="F14" s="190">
        <f>Statement!AC142</f>
        <v>1.0183873919662139</v>
      </c>
      <c r="H14" s="183" t="s">
        <v>424</v>
      </c>
      <c r="I14" s="240">
        <f>'Reverse DCF'!C16</f>
        <v>228.84689448777979</v>
      </c>
    </row>
    <row r="15" spans="2:11" x14ac:dyDescent="0.2">
      <c r="E15" s="182" t="s">
        <v>282</v>
      </c>
      <c r="F15" s="189">
        <f ca="1">Statement!AC178</f>
        <v>1.2648580591337359E-2</v>
      </c>
    </row>
    <row r="16" spans="2:11" x14ac:dyDescent="0.2">
      <c r="E16" s="183" t="s">
        <v>287</v>
      </c>
      <c r="F16" s="188">
        <f>Statement!AC177</f>
        <v>2.742863070539419</v>
      </c>
      <c r="H16" s="242" t="s">
        <v>416</v>
      </c>
      <c r="I16" s="243"/>
    </row>
    <row r="17" spans="2:9" x14ac:dyDescent="0.2">
      <c r="B17" s="244" t="s">
        <v>83</v>
      </c>
      <c r="C17" s="244"/>
      <c r="E17" s="181" t="s">
        <v>288</v>
      </c>
      <c r="F17" s="191">
        <f>Statement!AC173</f>
        <v>3.9553626782393055E-2</v>
      </c>
      <c r="H17" s="182" t="s">
        <v>157</v>
      </c>
      <c r="I17" s="235">
        <f>DCF!C15</f>
        <v>0.12</v>
      </c>
    </row>
    <row r="18" spans="2:9" x14ac:dyDescent="0.2">
      <c r="B18" s="181" t="s">
        <v>12</v>
      </c>
      <c r="C18" s="69" t="s">
        <v>334</v>
      </c>
      <c r="E18" s="182" t="s">
        <v>289</v>
      </c>
      <c r="F18" s="187">
        <f>Statement!AC146</f>
        <v>154.53760182273862</v>
      </c>
      <c r="H18" s="183" t="s">
        <v>417</v>
      </c>
      <c r="I18" s="236">
        <f>Multiples!C54</f>
        <v>0.12</v>
      </c>
    </row>
    <row r="19" spans="2:9" x14ac:dyDescent="0.2">
      <c r="B19" s="181" t="s">
        <v>13</v>
      </c>
      <c r="C19" s="70">
        <v>1000000</v>
      </c>
      <c r="E19" s="182" t="s">
        <v>250</v>
      </c>
      <c r="F19" s="187">
        <f>Statement!AC148</f>
        <v>-0.28867955839709325</v>
      </c>
    </row>
    <row r="20" spans="2:9" x14ac:dyDescent="0.2">
      <c r="B20" s="181" t="s">
        <v>84</v>
      </c>
      <c r="C20" s="69" t="s">
        <v>341</v>
      </c>
      <c r="E20" s="183" t="s">
        <v>290</v>
      </c>
      <c r="F20" s="188">
        <f>Statement!AC149</f>
        <v>3.7757270043469164</v>
      </c>
    </row>
    <row r="21" spans="2:9" x14ac:dyDescent="0.2">
      <c r="B21" s="181" t="s">
        <v>85</v>
      </c>
      <c r="C21" s="69" t="s">
        <v>86</v>
      </c>
      <c r="I21" s="50"/>
    </row>
    <row r="22" spans="2:9" x14ac:dyDescent="0.2">
      <c r="B22" s="181" t="s">
        <v>87</v>
      </c>
      <c r="C22" s="69" t="s">
        <v>341</v>
      </c>
    </row>
    <row r="25" spans="2:9" x14ac:dyDescent="0.2">
      <c r="B25" s="244" t="s">
        <v>99</v>
      </c>
      <c r="C25" s="244"/>
      <c r="E25" s="242" t="s">
        <v>331</v>
      </c>
      <c r="F25" s="243"/>
    </row>
    <row r="26" spans="2:9" x14ac:dyDescent="0.2">
      <c r="B26" s="181" t="s">
        <v>100</v>
      </c>
      <c r="C26" s="167">
        <v>0.21</v>
      </c>
      <c r="E26" s="182" t="e" vm="2">
        <v>#VALUE!</v>
      </c>
      <c r="F26" s="216" cm="1">
        <f t="array" aca="1" ref="F26" ca="1">_FV(E26,"Price")</f>
        <v>49.88</v>
      </c>
    </row>
    <row r="27" spans="2:9" x14ac:dyDescent="0.2">
      <c r="B27" s="181" t="s">
        <v>164</v>
      </c>
      <c r="C27" s="218">
        <v>0.05</v>
      </c>
      <c r="E27" s="183" t="s">
        <v>332</v>
      </c>
      <c r="F27" s="217">
        <f ca="1">F26/1000</f>
        <v>4.9880000000000001E-2</v>
      </c>
    </row>
    <row r="28" spans="2:9" x14ac:dyDescent="0.2">
      <c r="B28" s="181" t="s">
        <v>377</v>
      </c>
      <c r="C28" s="218">
        <v>0.12</v>
      </c>
    </row>
    <row r="29" spans="2:9" x14ac:dyDescent="0.2">
      <c r="B29" s="181" t="s">
        <v>387</v>
      </c>
      <c r="C29" s="218">
        <v>0.12</v>
      </c>
    </row>
    <row r="33" spans="2:8" x14ac:dyDescent="0.2">
      <c r="B33" s="133" t="s">
        <v>326</v>
      </c>
      <c r="C33" s="133"/>
      <c r="D33" s="133"/>
      <c r="E33" s="133"/>
      <c r="F33" s="133"/>
      <c r="G33" s="133"/>
      <c r="H33" s="133"/>
    </row>
    <row r="35" spans="2:8" x14ac:dyDescent="0.2">
      <c r="B35" s="16" t="s">
        <v>327</v>
      </c>
      <c r="C35" s="1" t="s">
        <v>369</v>
      </c>
    </row>
    <row r="36" spans="2:8" x14ac:dyDescent="0.2">
      <c r="B36" s="16" t="s">
        <v>328</v>
      </c>
      <c r="C36" s="1" t="s">
        <v>368</v>
      </c>
    </row>
    <row r="39" spans="2:8" ht="6" customHeight="1" x14ac:dyDescent="0.2">
      <c r="B39" s="133"/>
      <c r="C39" s="133"/>
      <c r="D39" s="133"/>
      <c r="E39" s="133"/>
      <c r="F39" s="133"/>
      <c r="G39" s="133"/>
      <c r="H39" s="133"/>
    </row>
    <row r="42" spans="2:8" x14ac:dyDescent="0.2">
      <c r="B42" s="133" t="s">
        <v>329</v>
      </c>
      <c r="C42" s="133"/>
      <c r="D42" s="133"/>
      <c r="E42" s="133"/>
      <c r="F42" s="133"/>
      <c r="G42" s="133"/>
      <c r="H42" s="133"/>
    </row>
    <row r="44" spans="2:8" x14ac:dyDescent="0.2">
      <c r="B44" s="41" t="s">
        <v>330</v>
      </c>
      <c r="C44" s="41" t="s">
        <v>400</v>
      </c>
      <c r="D44" s="41"/>
      <c r="E44" s="41" t="s">
        <v>398</v>
      </c>
    </row>
    <row r="45" spans="2:8" x14ac:dyDescent="0.2">
      <c r="B45" s="1" t="s">
        <v>401</v>
      </c>
      <c r="C45" s="1" t="s">
        <v>402</v>
      </c>
    </row>
    <row r="46" spans="2:8" x14ac:dyDescent="0.2">
      <c r="B46" s="1" t="s">
        <v>401</v>
      </c>
      <c r="C46" s="1" t="s">
        <v>403</v>
      </c>
    </row>
    <row r="47" spans="2:8" x14ac:dyDescent="0.2">
      <c r="B47" s="1" t="s">
        <v>401</v>
      </c>
      <c r="C47" s="1" t="s">
        <v>404</v>
      </c>
    </row>
    <row r="48" spans="2:8" x14ac:dyDescent="0.2">
      <c r="B48" s="1" t="s">
        <v>401</v>
      </c>
      <c r="C48" s="1" t="s">
        <v>405</v>
      </c>
    </row>
    <row r="51" spans="2:8" ht="5" customHeight="1" x14ac:dyDescent="0.2">
      <c r="B51" s="133"/>
      <c r="C51" s="133"/>
      <c r="D51" s="133"/>
      <c r="E51" s="133"/>
      <c r="F51" s="133"/>
      <c r="G51" s="133"/>
      <c r="H51" s="133"/>
    </row>
    <row r="54" spans="2:8" x14ac:dyDescent="0.2">
      <c r="B54" s="133" t="s">
        <v>101</v>
      </c>
      <c r="C54" s="133"/>
      <c r="D54" s="133"/>
      <c r="E54" s="133"/>
      <c r="F54" s="133"/>
      <c r="G54" s="133"/>
      <c r="H54" s="133"/>
    </row>
    <row r="56" spans="2:8" x14ac:dyDescent="0.2">
      <c r="B56" s="41" t="s">
        <v>330</v>
      </c>
      <c r="C56" s="41" t="s">
        <v>400</v>
      </c>
      <c r="D56" s="41"/>
      <c r="E56" s="41" t="s">
        <v>398</v>
      </c>
    </row>
    <row r="61" spans="2:8" ht="5" customHeight="1" x14ac:dyDescent="0.2">
      <c r="B61" s="133"/>
      <c r="C61" s="133"/>
      <c r="D61" s="133"/>
      <c r="E61" s="133"/>
      <c r="F61" s="133"/>
      <c r="G61" s="133"/>
      <c r="H61" s="133"/>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10489DD8-00F1-4B4C-88E5-8DC4CFDEF80F}"/>
    <hyperlink ref="K4" location="'Analysis -&gt;'!B13" display="'Analysis -&gt;'!B13" xr:uid="{B6EFC4C8-9B6F-6946-AC56-6D30B37EC39E}"/>
    <hyperlink ref="K5" location="'Forecast -&gt;'!B13" display="'Forecast -&gt;'!B13" xr:uid="{D64C6099-5F2B-E843-99EC-F53B32B11DC6}"/>
    <hyperlink ref="K6" location="'Valuation -&gt;'!B13" display="'Valuation -&gt;'!B13" xr:uid="{74B4AB1E-2742-2441-B9AD-D802B27B47C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8.8320312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14</v>
      </c>
    </row>
  </sheetData>
  <hyperlinks>
    <hyperlink ref="H6" location="Overview!B3" display="Overview'!B3" xr:uid="{1A710FAA-9B12-454D-95BA-030D666701CD}"/>
    <hyperlink ref="H8" location="'Analysis -&gt;'!B13" display="'Analysis -&gt;'!B13" xr:uid="{790DB574-6F94-C941-8EC7-3F7F3C78D4D5}"/>
    <hyperlink ref="H9" location="'Forecast -&gt;'!B13" display="'Forecast -&gt;'!B13" xr:uid="{6737C960-2701-B84D-B6E8-1D3D3189B23C}"/>
    <hyperlink ref="H10" location="'Valuation -&gt;'!B13" display="'Valuation -&gt;'!B13" xr:uid="{6168D43E-330E-D84F-8381-FF98592C62D3}"/>
    <hyperlink ref="H7" location="'Financials -&gt;'!B13" display="'Financials -&gt;'!B13" xr:uid="{28FBCAAD-1B8D-9B4A-8CBF-65FB96D9E7B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Y190" activePane="bottomRight" state="frozen"/>
      <selection pane="topRight" activeCell="C1" sqref="C1"/>
      <selection pane="bottomLeft" activeCell="A4" sqref="A4"/>
      <selection pane="bottomRight" activeCell="AC160" sqref="AC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340</v>
      </c>
      <c r="N2" s="10" t="s">
        <v>339</v>
      </c>
      <c r="O2" s="10" t="s">
        <v>337</v>
      </c>
      <c r="P2" s="10" t="s">
        <v>336</v>
      </c>
      <c r="Q2" s="10" t="s">
        <v>335</v>
      </c>
      <c r="R2" s="7"/>
      <c r="S2" s="7"/>
      <c r="T2" s="10" t="s">
        <v>349</v>
      </c>
      <c r="U2" s="10" t="s">
        <v>336</v>
      </c>
      <c r="V2" s="10" t="s">
        <v>343</v>
      </c>
      <c r="W2" s="10" t="s">
        <v>351</v>
      </c>
      <c r="X2" s="10" t="s">
        <v>347</v>
      </c>
      <c r="Y2" s="10" t="s">
        <v>335</v>
      </c>
      <c r="Z2" s="10" t="s">
        <v>342</v>
      </c>
      <c r="AA2" s="10" t="s">
        <v>399</v>
      </c>
      <c r="AB2" s="7"/>
      <c r="AD2" s="7"/>
      <c r="AE2" s="7"/>
    </row>
    <row r="3" spans="1:31" s="13" customFormat="1" x14ac:dyDescent="0.2">
      <c r="A3" s="11"/>
      <c r="B3" s="12" t="s">
        <v>16</v>
      </c>
      <c r="M3" s="13">
        <v>2022</v>
      </c>
      <c r="N3" s="13">
        <v>2023</v>
      </c>
      <c r="O3" s="13">
        <v>2024</v>
      </c>
      <c r="P3" s="13">
        <v>2025</v>
      </c>
      <c r="Q3" s="13">
        <v>2026</v>
      </c>
      <c r="R3" s="11"/>
      <c r="S3" s="11"/>
      <c r="T3" s="10" t="s">
        <v>350</v>
      </c>
      <c r="U3" s="10" t="s">
        <v>346</v>
      </c>
      <c r="V3" s="10" t="s">
        <v>344</v>
      </c>
      <c r="W3" s="10" t="s">
        <v>352</v>
      </c>
      <c r="X3" s="10" t="s">
        <v>348</v>
      </c>
      <c r="Y3" s="10" t="s">
        <v>345</v>
      </c>
      <c r="Z3" s="10" t="s">
        <v>318</v>
      </c>
      <c r="AA3" s="10" t="s">
        <v>398</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338</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382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324</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276</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226</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227</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228</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267</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268</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338</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291</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320</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321</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216</v>
      </c>
    </row>
    <row r="115" spans="1:31" x14ac:dyDescent="0.2">
      <c r="B115" s="20" t="s">
        <v>333</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216</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7" spans="1:31" x14ac:dyDescent="0.2">
      <c r="B127" s="20" t="s">
        <v>221</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222</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223</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5" t="str">
        <f t="shared" ref="T130:Z130" si="116">IF(T129&gt;T128, "BEAT", IF(T129&lt;T127, "MISSED", "MET"))</f>
        <v>BEAT</v>
      </c>
      <c r="U130" s="225" t="str">
        <f t="shared" si="116"/>
        <v>BEAT</v>
      </c>
      <c r="V130" s="225" t="str">
        <f t="shared" si="116"/>
        <v>BEAT</v>
      </c>
      <c r="W130" s="225" t="str">
        <f t="shared" si="116"/>
        <v>BEAT</v>
      </c>
      <c r="X130" s="225" t="str">
        <f t="shared" si="116"/>
        <v>BEAT</v>
      </c>
      <c r="Y130" s="225" t="str">
        <f t="shared" si="116"/>
        <v>BEAT</v>
      </c>
      <c r="Z130" s="225" t="str">
        <f t="shared" si="116"/>
        <v>BEAT</v>
      </c>
      <c r="AA130" s="225" t="str">
        <f t="shared" ref="AA130" si="117">IF(AA129&gt;AA128, "BEAT", IF(AA129&lt;AA127, "MISSED", "MET"))</f>
        <v>MISSED</v>
      </c>
      <c r="AC130" s="49"/>
    </row>
    <row r="131" spans="2:29" x14ac:dyDescent="0.2">
      <c r="B131" s="20" t="s">
        <v>353</v>
      </c>
      <c r="C131" s="49"/>
      <c r="D131" s="49"/>
      <c r="E131" s="49"/>
      <c r="F131" s="49"/>
      <c r="G131" s="49"/>
      <c r="H131" s="49"/>
      <c r="I131" s="49"/>
      <c r="J131" s="49"/>
      <c r="K131" s="49"/>
      <c r="L131" s="49"/>
      <c r="M131" s="49"/>
      <c r="N131" s="49"/>
      <c r="O131" s="49"/>
      <c r="P131" s="49"/>
      <c r="Q131" s="49"/>
      <c r="T131" s="219">
        <v>0.72499999999999998</v>
      </c>
      <c r="U131" s="219">
        <v>0.70099999999999996</v>
      </c>
      <c r="V131" s="219">
        <v>0.71299999999999997</v>
      </c>
      <c r="W131" s="219">
        <v>0.72799999999999998</v>
      </c>
      <c r="X131" s="219">
        <v>0.74299999999999999</v>
      </c>
      <c r="Y131" s="219">
        <v>0.745</v>
      </c>
      <c r="Z131" s="219">
        <v>0.745</v>
      </c>
      <c r="AA131" s="219">
        <v>0.73499999999999999</v>
      </c>
      <c r="AC131" s="49"/>
    </row>
    <row r="132" spans="2:29" x14ac:dyDescent="0.2">
      <c r="B132" s="20" t="s">
        <v>354</v>
      </c>
      <c r="C132" s="49"/>
      <c r="D132" s="49"/>
      <c r="E132" s="49"/>
      <c r="F132" s="49"/>
      <c r="G132" s="49"/>
      <c r="H132" s="49"/>
      <c r="I132" s="49"/>
      <c r="J132" s="49"/>
      <c r="K132" s="49"/>
      <c r="L132" s="49"/>
      <c r="M132" s="49"/>
      <c r="N132" s="49"/>
      <c r="O132" s="49"/>
      <c r="P132" s="49"/>
      <c r="Q132" s="49"/>
      <c r="T132" s="219">
        <v>0.73499999999999999</v>
      </c>
      <c r="U132" s="219">
        <v>0.71099999999999997</v>
      </c>
      <c r="V132" s="219">
        <v>0.72299999999999998</v>
      </c>
      <c r="W132" s="219">
        <v>0.73799999999999999</v>
      </c>
      <c r="X132" s="219">
        <v>0.754</v>
      </c>
      <c r="Y132" s="219">
        <v>0.754</v>
      </c>
      <c r="Z132" s="219">
        <v>0.754</v>
      </c>
      <c r="AA132" s="219">
        <v>0.745</v>
      </c>
      <c r="AC132" s="49"/>
    </row>
    <row r="133" spans="2:29" x14ac:dyDescent="0.2">
      <c r="B133" s="20" t="s">
        <v>355</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5" t="str">
        <f t="shared" ref="T134:Z134" si="126">IF(T133&gt;T132, "BEAT", IF(T133&lt;T131, "MISSED", "MET"))</f>
        <v>MET</v>
      </c>
      <c r="U134" s="225" t="str">
        <f t="shared" si="126"/>
        <v>MISSED</v>
      </c>
      <c r="V134" s="225" t="str">
        <f t="shared" si="126"/>
        <v>BEAT</v>
      </c>
      <c r="W134" s="225" t="str">
        <f t="shared" si="126"/>
        <v>MET</v>
      </c>
      <c r="X134" s="225" t="str">
        <f t="shared" si="126"/>
        <v>MET</v>
      </c>
      <c r="Y134" s="225" t="str">
        <f t="shared" si="126"/>
        <v>MET</v>
      </c>
      <c r="Z134" s="225" t="str">
        <f t="shared" si="126"/>
        <v>MET</v>
      </c>
      <c r="AA134" s="225" t="str">
        <f t="shared" ref="AA134" si="127">IF(AA133&gt;AA132, "BEAT", IF(AA133&lt;AA131, "MISSED", "MET"))</f>
        <v>MISSED</v>
      </c>
      <c r="AC134" s="49"/>
    </row>
    <row r="135" spans="2:29" x14ac:dyDescent="0.2">
      <c r="B135" s="20" t="s">
        <v>356</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357</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358</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5" t="str">
        <f t="shared" ref="T138:Z138" si="136">IF(T137&gt;T136, "BEAT", IF(T137&lt;T135, "MISSED", "MET"))</f>
        <v>MISSED</v>
      </c>
      <c r="U138" s="225" t="str">
        <f t="shared" si="136"/>
        <v>MISSED</v>
      </c>
      <c r="V138" s="225" t="str">
        <f t="shared" si="136"/>
        <v>MISSED</v>
      </c>
      <c r="W138" s="225" t="str">
        <f t="shared" si="136"/>
        <v>MISSED</v>
      </c>
      <c r="X138" s="225" t="str">
        <f t="shared" si="136"/>
        <v>BEAT</v>
      </c>
      <c r="Y138" s="225" t="str">
        <f t="shared" si="136"/>
        <v>MISSED</v>
      </c>
      <c r="Z138" s="225" t="str">
        <f t="shared" si="136"/>
        <v>MISSED</v>
      </c>
      <c r="AA138" s="225" t="str">
        <f t="shared" ref="AA138" si="137">IF(AA137&gt;AA136, "BEAT", IF(AA137&lt;AA135, "MISSED", "MET"))</f>
        <v>MISSED</v>
      </c>
      <c r="AC138" s="49"/>
    </row>
    <row r="140" spans="2:29" x14ac:dyDescent="0.2">
      <c r="B140" s="1"/>
    </row>
    <row r="141" spans="2:29" ht="17" thickBot="1" x14ac:dyDescent="0.25">
      <c r="B141" s="14" t="s">
        <v>240</v>
      </c>
      <c r="C141" s="168"/>
      <c r="D141" s="168"/>
      <c r="E141" s="168"/>
      <c r="F141" s="168"/>
      <c r="G141" s="168"/>
      <c r="H141" s="168"/>
      <c r="I141" s="168"/>
      <c r="J141" s="168"/>
      <c r="K141" s="168"/>
      <c r="L141" s="168"/>
      <c r="M141" s="168"/>
      <c r="N141" s="168"/>
      <c r="O141" s="168"/>
      <c r="P141" s="168"/>
      <c r="Q141" s="168"/>
      <c r="T141" s="168"/>
      <c r="U141" s="168"/>
      <c r="V141" s="168"/>
      <c r="W141" s="168"/>
      <c r="X141" s="168"/>
      <c r="Y141" s="168"/>
      <c r="Z141" s="168"/>
      <c r="AA141" s="168"/>
      <c r="AC141" s="168"/>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243</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247</v>
      </c>
      <c r="M148" s="176">
        <f>(M106-M105)/M48</f>
        <v>-0.38561551179918835</v>
      </c>
      <c r="N148" s="176">
        <f>(N106-N105)/N48</f>
        <v>-0.10601330256549478</v>
      </c>
      <c r="O148" s="176">
        <f>(O106-O105)/O48</f>
        <v>-0.37868211643166272</v>
      </c>
      <c r="P148" s="176">
        <f>(P106-P105)/P48</f>
        <v>-0.43802236312982967</v>
      </c>
      <c r="Q148" s="176">
        <f>(Q106-Q105)/Q48</f>
        <v>-0.34386781357085183</v>
      </c>
      <c r="T148" s="176">
        <f t="shared" ref="T148:Z148" si="155">(T106-T105)/T48</f>
        <v>-0.45562148135783548</v>
      </c>
      <c r="U148" s="176">
        <f t="shared" si="155"/>
        <v>-0.43802236312982967</v>
      </c>
      <c r="V148" s="176">
        <f t="shared" si="155"/>
        <v>-0.53942487744951872</v>
      </c>
      <c r="W148" s="176">
        <f t="shared" si="155"/>
        <v>-0.48261777072035633</v>
      </c>
      <c r="X148" s="176">
        <f t="shared" si="155"/>
        <v>-0.43853923984625348</v>
      </c>
      <c r="Y148" s="176">
        <f t="shared" si="155"/>
        <v>-0.3432320573706395</v>
      </c>
      <c r="Z148" s="176">
        <f t="shared" si="155"/>
        <v>-0.36885723932594616</v>
      </c>
      <c r="AA148" s="176">
        <f t="shared" ref="AA148" si="156">(AA106-AA105)/AA48</f>
        <v>-0.28867955839709325</v>
      </c>
      <c r="AC148" s="176">
        <f>(AC106-AC105)/AC48</f>
        <v>-0.28867955839709325</v>
      </c>
    </row>
    <row r="149" spans="2:29" x14ac:dyDescent="0.2">
      <c r="B149" s="20" t="s">
        <v>244</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245</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251</v>
      </c>
      <c r="M151" s="178">
        <f>IF(M12&gt;=0,"N/A",IF(M11&lt;=0,"N/A",M11/-M12))</f>
        <v>48.507246376811594</v>
      </c>
      <c r="N151" s="178" t="str">
        <f>IF(N12&gt;=0,"N/A",IF(N11&lt;=0,"N/A",N11/-N12))</f>
        <v>N/A</v>
      </c>
      <c r="O151" s="178" t="str">
        <f>IF(O12&gt;=0,"N/A",IF(O11&lt;=0,"N/A",O11/-O12))</f>
        <v>N/A</v>
      </c>
      <c r="P151" s="178" t="str">
        <f>IF(P12&gt;=0,"N/A",IF(P11&lt;=0,"N/A",P11/-P12))</f>
        <v>N/A</v>
      </c>
      <c r="Q151" s="178" t="str">
        <f>IF(Q12&gt;=0,"N/A",IF(Q11&lt;=0,"N/A",Q11/-Q12))</f>
        <v>N/A</v>
      </c>
      <c r="T151" s="178" t="str">
        <f t="shared" ref="T151:Z151" si="161">IF(T12&gt;=0,"N/A",IF(T11&lt;=0,"N/A",T11/-T12))</f>
        <v>N/A</v>
      </c>
      <c r="U151" s="178" t="str">
        <f t="shared" si="161"/>
        <v>N/A</v>
      </c>
      <c r="V151" s="178" t="str">
        <f t="shared" si="161"/>
        <v>N/A</v>
      </c>
      <c r="W151" s="178" t="str">
        <f t="shared" si="161"/>
        <v>N/A</v>
      </c>
      <c r="X151" s="178" t="str">
        <f t="shared" si="161"/>
        <v>N/A</v>
      </c>
      <c r="Y151" s="178" t="str">
        <f t="shared" si="161"/>
        <v>N/A</v>
      </c>
      <c r="Z151" s="178" t="str">
        <f t="shared" si="161"/>
        <v>N/A</v>
      </c>
      <c r="AA151" s="178" t="str">
        <f t="shared" ref="AA151" si="162">IF(AA12&gt;=0,"N/A",IF(AA11&lt;=0,"N/A",AA11/-AA12))</f>
        <v>N/A</v>
      </c>
      <c r="AC151" s="178" t="str">
        <f>IF(AC12&gt;=0,"N/A",IF(AC11&lt;=0,"N/A",AC11/-AC12))</f>
        <v>N/A</v>
      </c>
    </row>
    <row r="152" spans="2:29" x14ac:dyDescent="0.2">
      <c r="B152" s="20" t="s">
        <v>229</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27.307206068268016</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17.394235053751373</v>
      </c>
    </row>
    <row r="154" spans="2:29" x14ac:dyDescent="0.2">
      <c r="B154" s="20" t="s">
        <v>230</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22.733466093700873</v>
      </c>
    </row>
    <row r="155" spans="2:29" x14ac:dyDescent="0.2">
      <c r="B155" s="20" t="s">
        <v>231</v>
      </c>
      <c r="M155" s="142">
        <f>Statement!M115*Statement!M77</f>
        <v>582191.6</v>
      </c>
      <c r="N155" s="142">
        <f>Statement!N115*Statement!N77</f>
        <v>506964</v>
      </c>
      <c r="O155" s="142">
        <f>Statement!O115*Statement!O77</f>
        <v>1541007.4999999998</v>
      </c>
      <c r="P155" s="142">
        <f>Statement!P115*Statement!P77</f>
        <v>3515440.38</v>
      </c>
      <c r="Q155" s="142">
        <f>Statement!Q115*Statement!Q77</f>
        <v>4589469.8499999996</v>
      </c>
      <c r="T155" s="142">
        <f>Statement!T115*Statement!T77</f>
        <v>3494984.92</v>
      </c>
      <c r="U155" s="142">
        <f>Statement!U115*Statement!U77</f>
        <v>3515440.38</v>
      </c>
      <c r="V155" s="142">
        <f>Statement!V115*Statement!V77</f>
        <v>2723584.5</v>
      </c>
      <c r="W155" s="142">
        <f>Statement!W115*Statement!W77</f>
        <v>4239223.82</v>
      </c>
      <c r="X155" s="142">
        <f>Statement!X115*Statement!X77</f>
        <v>4549305.12</v>
      </c>
      <c r="Y155" s="142">
        <f>Statement!Y115*Statement!Y77</f>
        <v>4589469.8499999996</v>
      </c>
      <c r="Z155" s="142">
        <f>Statement!Z115*Statement!Z77</f>
        <v>5062002.3500000006</v>
      </c>
      <c r="AA155" s="142">
        <f>Statement!AA115*Statement!AA77</f>
        <v>5004493.8</v>
      </c>
      <c r="AC155" s="142">
        <f ca="1">Statement!AC115*Statement!AC77</f>
        <v>5226120</v>
      </c>
    </row>
    <row r="156" spans="2:29" x14ac:dyDescent="0.2">
      <c r="B156" s="20" t="s">
        <v>180</v>
      </c>
      <c r="M156" s="142">
        <f>M155+M106-M105+M47+M44</f>
        <v>571929.59999999998</v>
      </c>
      <c r="N156" s="142">
        <f>N155+N106-N105+N47+N44</f>
        <v>504621</v>
      </c>
      <c r="O156" s="142">
        <f>O155+O106-O105+O47+O44</f>
        <v>1524732.4999999998</v>
      </c>
      <c r="P156" s="142">
        <f>P155+P106-P105+P47+P44</f>
        <v>3480693.38</v>
      </c>
      <c r="Q156" s="142">
        <f>Q155+Q106-Q105+Q47+Q44</f>
        <v>4535381.8499999996</v>
      </c>
      <c r="T156" s="142">
        <f t="shared" ref="T156:Z156" si="163">T155+T106-T105+T47+T44</f>
        <v>3464959.92</v>
      </c>
      <c r="U156" s="142">
        <f t="shared" si="163"/>
        <v>3480693.38</v>
      </c>
      <c r="V156" s="142">
        <f t="shared" si="163"/>
        <v>2678357.5</v>
      </c>
      <c r="W156" s="142">
        <f t="shared" si="163"/>
        <v>4190898.8200000003</v>
      </c>
      <c r="X156" s="142">
        <f t="shared" si="163"/>
        <v>4497164.12</v>
      </c>
      <c r="Y156" s="142">
        <f t="shared" si="163"/>
        <v>4535481.8499999996</v>
      </c>
      <c r="Z156" s="142">
        <f t="shared" si="163"/>
        <v>4989900.3500000006</v>
      </c>
      <c r="AA156" s="142">
        <f t="shared" ref="AA156" si="164">AA155+AA106-AA105+AA47+AA44</f>
        <v>4938390.8</v>
      </c>
      <c r="AC156" s="142">
        <f ca="1">AC155+AC106-AC105+AC47+AC44</f>
        <v>5160017</v>
      </c>
    </row>
    <row r="157" spans="2:29" x14ac:dyDescent="0.2">
      <c r="B157" s="20" t="s">
        <v>252</v>
      </c>
      <c r="M157" s="180">
        <f>M156/M5</f>
        <v>21.250263803225085</v>
      </c>
      <c r="N157" s="180">
        <f>N156/N5</f>
        <v>18.707681471046193</v>
      </c>
      <c r="O157" s="180">
        <f>O156/O5</f>
        <v>25.02761728111355</v>
      </c>
      <c r="P157" s="180">
        <f>P156/P5</f>
        <v>26.672593086431103</v>
      </c>
      <c r="Q157" s="180">
        <f>Q156/Q5</f>
        <v>21.003166881234428</v>
      </c>
      <c r="T157" s="49"/>
      <c r="U157" s="49"/>
      <c r="V157" s="49"/>
      <c r="W157" s="49"/>
      <c r="X157" s="49"/>
      <c r="Y157" s="49"/>
      <c r="Z157" s="49"/>
      <c r="AA157" s="49"/>
      <c r="AC157" s="180">
        <f ca="1">AC156/AC5</f>
        <v>17.031501572768171</v>
      </c>
    </row>
    <row r="158" spans="2:29" x14ac:dyDescent="0.2">
      <c r="B158" s="20" t="s">
        <v>196</v>
      </c>
      <c r="M158" s="180">
        <f>M156/M11</f>
        <v>56.959426351956971</v>
      </c>
      <c r="N158" s="180">
        <f>N156/N11</f>
        <v>119.46519886363636</v>
      </c>
      <c r="O158" s="180">
        <f>O156/O11</f>
        <v>46.243251850054584</v>
      </c>
      <c r="P158" s="180">
        <f>P156/P11</f>
        <v>42.732537536984516</v>
      </c>
      <c r="Q158" s="180">
        <f>Q156/Q11</f>
        <v>34.784003389908499</v>
      </c>
      <c r="T158" s="49"/>
      <c r="U158" s="49"/>
      <c r="V158" s="49"/>
      <c r="W158" s="49"/>
      <c r="X158" s="49"/>
      <c r="Y158" s="49"/>
      <c r="Z158" s="49"/>
      <c r="AA158" s="49"/>
      <c r="AC158" s="180">
        <f ca="1">AC156/AC11</f>
        <v>26.116221865684107</v>
      </c>
    </row>
    <row r="159" spans="2:29" x14ac:dyDescent="0.2">
      <c r="B159" s="20" t="s">
        <v>253</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254</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AC107+AC52+AC108+AC54+AC56+AC57+AC55</f>
        <v>121461.9567908489</v>
      </c>
    </row>
    <row r="161" spans="2:29" x14ac:dyDescent="0.2">
      <c r="B161" s="20" t="s">
        <v>255</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43.636819077519121</v>
      </c>
    </row>
    <row r="162" spans="2:29" x14ac:dyDescent="0.2">
      <c r="B162" s="20" t="s">
        <v>256</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42.482577560357257</v>
      </c>
    </row>
    <row r="163" spans="2:29" x14ac:dyDescent="0.2">
      <c r="B163" s="20" t="s">
        <v>257</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2.2916427483486792E-2</v>
      </c>
    </row>
    <row r="164" spans="2:29" x14ac:dyDescent="0.2">
      <c r="B164" s="20" t="s">
        <v>258</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3.6620370370370373E-2</v>
      </c>
    </row>
    <row r="165" spans="2:29" x14ac:dyDescent="0.2">
      <c r="B165" s="20" t="s">
        <v>259</v>
      </c>
      <c r="M165" s="153">
        <f>M81/M115</f>
        <v>7.0052539404553418E-4</v>
      </c>
      <c r="N165" s="153">
        <f>N81/N115</f>
        <v>7.8585461689587434E-4</v>
      </c>
      <c r="O165" s="153">
        <f>O81/O115</f>
        <v>2.6216614779616586E-4</v>
      </c>
      <c r="P165" s="153">
        <f>P81/P115</f>
        <v>2.3839573692329268E-4</v>
      </c>
      <c r="Q165" s="153">
        <f>Q81/Q115</f>
        <v>2.1314008632173498E-4</v>
      </c>
      <c r="T165" s="49"/>
      <c r="U165" s="49"/>
      <c r="V165" s="49"/>
      <c r="W165" s="49"/>
      <c r="X165" s="49"/>
      <c r="Y165" s="49"/>
      <c r="Z165" s="49"/>
      <c r="AA165" s="49"/>
      <c r="AC165" s="153">
        <f ca="1">AC81/AC115</f>
        <v>1.2962962962962965E-3</v>
      </c>
    </row>
    <row r="166" spans="2:29" x14ac:dyDescent="0.2">
      <c r="B166" s="20" t="s">
        <v>284</v>
      </c>
      <c r="M166" s="153">
        <f>-M62/M155</f>
        <v>0</v>
      </c>
      <c r="N166" s="153">
        <f>-N62/N155</f>
        <v>1.9802195027654824E-2</v>
      </c>
      <c r="O166" s="153">
        <f>-O62/O155</f>
        <v>6.1862125914377451E-3</v>
      </c>
      <c r="P166" s="153">
        <f>-P62/P155</f>
        <v>9.5879879493220143E-3</v>
      </c>
      <c r="Q166" s="153">
        <f>-Q62/Q155</f>
        <v>8.7343421593672754E-3</v>
      </c>
      <c r="T166" s="49"/>
      <c r="U166" s="49"/>
      <c r="V166" s="49"/>
      <c r="W166" s="49"/>
      <c r="X166" s="49"/>
      <c r="Y166" s="49"/>
      <c r="Z166" s="49"/>
      <c r="AA166" s="49"/>
      <c r="AC166" s="153">
        <f ca="1">-AC62/AC155</f>
        <v>1.0584334075757923E-2</v>
      </c>
    </row>
    <row r="167" spans="2:29" x14ac:dyDescent="0.2">
      <c r="B167" s="20" t="s">
        <v>286</v>
      </c>
      <c r="M167" s="153">
        <f>-(M62+M63)/M155</f>
        <v>6.853413893295609E-4</v>
      </c>
      <c r="N167" s="153">
        <f>-(N62+N63)/N155</f>
        <v>2.0587260633891165E-2</v>
      </c>
      <c r="O167" s="153">
        <f>-(O62+O63)/O155</f>
        <v>6.4425384042582539E-3</v>
      </c>
      <c r="P167" s="153">
        <f>-(P62+P63)/P155</f>
        <v>9.8252270743957263E-3</v>
      </c>
      <c r="Q167" s="153">
        <f>-(Q62+Q63)/Q155</f>
        <v>8.946567107309792E-3</v>
      </c>
      <c r="T167" s="49"/>
      <c r="U167" s="49"/>
      <c r="V167" s="49"/>
      <c r="W167" s="49"/>
      <c r="X167" s="49"/>
      <c r="Y167" s="49"/>
      <c r="Z167" s="49"/>
      <c r="AA167" s="49"/>
      <c r="AC167" s="153">
        <f ca="1">-(AC62+AC63)/AC155</f>
        <v>1.1880898257215678E-2</v>
      </c>
    </row>
    <row r="168" spans="2:29" x14ac:dyDescent="0.2">
      <c r="B168" s="20" t="s">
        <v>373</v>
      </c>
      <c r="M168" s="222">
        <f>M160/M5</f>
        <v>0.24838741111758303</v>
      </c>
      <c r="N168" s="222">
        <f>N160/N5</f>
        <v>6.4061689033884484E-2</v>
      </c>
      <c r="O168" s="222">
        <f>O160/O5</f>
        <v>0.42238462291779383</v>
      </c>
      <c r="P168" s="222">
        <f>P160/P5</f>
        <v>0.45896309457389761</v>
      </c>
      <c r="Q168" s="222">
        <f>Q160/Q5</f>
        <v>0.42373919358213857</v>
      </c>
      <c r="T168" s="49"/>
      <c r="U168" s="49"/>
      <c r="V168" s="49"/>
      <c r="W168" s="49"/>
      <c r="X168" s="49"/>
      <c r="Y168" s="49"/>
      <c r="Z168" s="49"/>
      <c r="AA168" s="49"/>
      <c r="AC168" s="153">
        <f>AC160/AC5</f>
        <v>0.40090556060471172</v>
      </c>
    </row>
    <row r="169" spans="2:29" x14ac:dyDescent="0.2">
      <c r="B169" s="20" t="s">
        <v>374</v>
      </c>
      <c r="M169" s="222">
        <f>M159/M5</f>
        <v>0.22768819201902354</v>
      </c>
      <c r="N169" s="222">
        <f>N159/N5</f>
        <v>4.0742937643656857E-2</v>
      </c>
      <c r="O169" s="222">
        <f>O159/O5</f>
        <v>0.38527953776960705</v>
      </c>
      <c r="P169" s="222">
        <f>P159/P5</f>
        <v>0.43001754829612943</v>
      </c>
      <c r="Q169" s="222">
        <f>Q159/Q5</f>
        <v>0.41812927784827125</v>
      </c>
      <c r="T169" s="49"/>
      <c r="U169" s="49"/>
      <c r="V169" s="49"/>
      <c r="W169" s="49"/>
      <c r="X169" s="49"/>
      <c r="Y169" s="49"/>
      <c r="Z169" s="49"/>
      <c r="AA169" s="49"/>
      <c r="AC169" s="153">
        <f>AC159/AC5</f>
        <v>0.39530116942657501</v>
      </c>
    </row>
    <row r="170" spans="2:29" x14ac:dyDescent="0.2">
      <c r="B170" s="20" t="s">
        <v>262</v>
      </c>
      <c r="M170" s="153">
        <f>-M63/M159</f>
        <v>6.5110966057441252E-2</v>
      </c>
      <c r="N170" s="153">
        <f>-N63/N159</f>
        <v>0.36214740673339402</v>
      </c>
      <c r="O170" s="153">
        <f>-O63/O159</f>
        <v>1.6828561690524879E-2</v>
      </c>
      <c r="P170" s="153">
        <f>-P63/P159</f>
        <v>1.4862071423479934E-2</v>
      </c>
      <c r="Q170" s="153">
        <f>-Q63/Q159</f>
        <v>1.0787462620445233E-2</v>
      </c>
      <c r="T170" s="49"/>
      <c r="U170" s="49"/>
      <c r="V170" s="49"/>
      <c r="W170" s="49"/>
      <c r="X170" s="49"/>
      <c r="Y170" s="49"/>
      <c r="Z170" s="49"/>
      <c r="AA170" s="49"/>
      <c r="AC170" s="153">
        <f>-AC63/AC159</f>
        <v>5.6577936608663705E-2</v>
      </c>
    </row>
    <row r="171" spans="2:29" x14ac:dyDescent="0.2">
      <c r="B171" s="20" t="s">
        <v>264</v>
      </c>
      <c r="M171" s="153">
        <f>-M62/M159</f>
        <v>0</v>
      </c>
      <c r="N171" s="153">
        <f>-N62/N159</f>
        <v>9.1346678798908094</v>
      </c>
      <c r="O171" s="153">
        <f>-O62/O159</f>
        <v>0.40614349011588274</v>
      </c>
      <c r="P171" s="153">
        <f>-P62/P159</f>
        <v>0.60064865635469389</v>
      </c>
      <c r="Q171" s="153">
        <f>-Q62/Q159</f>
        <v>0.44396943183076754</v>
      </c>
      <c r="T171" s="49"/>
      <c r="U171" s="49"/>
      <c r="V171" s="49"/>
      <c r="W171" s="49"/>
      <c r="X171" s="49"/>
      <c r="Y171" s="49"/>
      <c r="Z171" s="49"/>
      <c r="AA171" s="49"/>
      <c r="AC171" s="153">
        <f>-AC62/AC159</f>
        <v>0.46186667111986907</v>
      </c>
    </row>
    <row r="172" spans="2:29" x14ac:dyDescent="0.2">
      <c r="B172" s="20" t="s">
        <v>275</v>
      </c>
      <c r="M172" s="153">
        <f>(-M63-M62)/M159</f>
        <v>6.5110966057441252E-2</v>
      </c>
      <c r="N172" s="153">
        <f>(-N63-N62)/N159</f>
        <v>9.4968152866242033</v>
      </c>
      <c r="O172" s="153">
        <f>(-O63-O62)/O159</f>
        <v>0.42297205180640762</v>
      </c>
      <c r="P172" s="153">
        <f>(-P63-P62)/P159</f>
        <v>0.61551072777817373</v>
      </c>
      <c r="Q172" s="153">
        <f>(-Q63-Q62)/Q159</f>
        <v>0.45475689445121276</v>
      </c>
      <c r="T172" s="49"/>
      <c r="U172" s="49"/>
      <c r="V172" s="49"/>
      <c r="W172" s="49"/>
      <c r="X172" s="49"/>
      <c r="Y172" s="49"/>
      <c r="Z172" s="49"/>
      <c r="AA172" s="49"/>
      <c r="AC172" s="153">
        <f>(-AC63-AC62)/AC159</f>
        <v>0.51844460772853274</v>
      </c>
    </row>
    <row r="173" spans="2:29" x14ac:dyDescent="0.2">
      <c r="B173" s="20" t="s">
        <v>269</v>
      </c>
      <c r="M173" s="153">
        <f>M79/M77</f>
        <v>3.9623381718320909E-2</v>
      </c>
      <c r="N173" s="153">
        <f>N79/N77</f>
        <v>3.9759036144578312E-2</v>
      </c>
      <c r="O173" s="153">
        <f>O79/O77</f>
        <v>4.118811881188119E-2</v>
      </c>
      <c r="P173" s="153">
        <f>P79/P77</f>
        <v>4.1380989086778369E-2</v>
      </c>
      <c r="Q173" s="153">
        <f>Q79/Q77</f>
        <v>3.9133101615211614E-2</v>
      </c>
      <c r="T173" s="49"/>
      <c r="U173" s="49"/>
      <c r="V173" s="49"/>
      <c r="W173" s="49"/>
      <c r="X173" s="49"/>
      <c r="Y173" s="49"/>
      <c r="Z173" s="49"/>
      <c r="AA173" s="49"/>
      <c r="AC173" s="153">
        <f>AC79/AC77</f>
        <v>3.9553626782393055E-2</v>
      </c>
    </row>
    <row r="174" spans="2:29" x14ac:dyDescent="0.2">
      <c r="B174" s="20" t="s">
        <v>270</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272</v>
      </c>
      <c r="M175" s="153">
        <f>M53/M58</f>
        <v>0.22002635046113306</v>
      </c>
      <c r="N175" s="153">
        <f>N53/N58</f>
        <v>0.48023400106364122</v>
      </c>
      <c r="O175" s="153">
        <f>O53/O58</f>
        <v>0.1263438946244215</v>
      </c>
      <c r="P175" s="153">
        <f>P53/P58</f>
        <v>7.3912839956934887E-2</v>
      </c>
      <c r="Q175" s="153">
        <f>Q53/Q58</f>
        <v>6.217021359450145E-2</v>
      </c>
      <c r="T175" s="153">
        <f t="shared" ref="T175:Z175" si="174">T53/T58</f>
        <v>7.1019343127800783E-2</v>
      </c>
      <c r="U175" s="153">
        <f t="shared" si="174"/>
        <v>7.944431080105846E-2</v>
      </c>
      <c r="V175" s="153">
        <f t="shared" si="174"/>
        <v>5.3768147661778655E-2</v>
      </c>
      <c r="W175" s="153">
        <f t="shared" si="174"/>
        <v>0.10569476082004556</v>
      </c>
      <c r="X175" s="153">
        <f t="shared" si="174"/>
        <v>6.9684210526315793E-2</v>
      </c>
      <c r="Y175" s="153">
        <f t="shared" si="174"/>
        <v>4.5122962144238742E-2</v>
      </c>
      <c r="Z175" s="153">
        <f t="shared" si="174"/>
        <v>3.829651994279358E-2</v>
      </c>
      <c r="AA175" s="153">
        <f t="shared" ref="AA175" si="175">AA53/AA58</f>
        <v>8.4146696016945632E-2</v>
      </c>
      <c r="AC175" s="153">
        <f>AC53/AC58</f>
        <v>5.3899569071382318E-2</v>
      </c>
    </row>
    <row r="176" spans="2:29" x14ac:dyDescent="0.2">
      <c r="B176" s="20" t="s">
        <v>273</v>
      </c>
      <c r="M176" s="153">
        <f>M53/M5</f>
        <v>7.4459389165490081E-2</v>
      </c>
      <c r="N176" s="153">
        <f>N53/N5</f>
        <v>0.10043004374582931</v>
      </c>
      <c r="O176" s="153">
        <f>O53/O5</f>
        <v>5.8254817635665278E-2</v>
      </c>
      <c r="P176" s="153">
        <f>P53/P5</f>
        <v>3.629968505023104E-2</v>
      </c>
      <c r="Q176" s="153">
        <f>Q53/Q5</f>
        <v>2.9573303448211987E-2</v>
      </c>
      <c r="T176" s="153">
        <f t="shared" ref="T176:Z176" si="176">T53/T5</f>
        <v>3.5687817114189613E-2</v>
      </c>
      <c r="U176" s="153">
        <f t="shared" si="176"/>
        <v>3.3586738196333683E-2</v>
      </c>
      <c r="V176" s="153">
        <f t="shared" si="176"/>
        <v>3.3452861876446825E-2</v>
      </c>
      <c r="W176" s="153">
        <f t="shared" si="176"/>
        <v>3.4743170100335882E-2</v>
      </c>
      <c r="X176" s="153">
        <f t="shared" si="176"/>
        <v>2.9032031715959722E-2</v>
      </c>
      <c r="Y176" s="153">
        <f t="shared" si="176"/>
        <v>2.3969938497218429E-2</v>
      </c>
      <c r="Z176" s="153">
        <f t="shared" si="176"/>
        <v>2.3623108497212521E-2</v>
      </c>
      <c r="AA176" s="153">
        <f t="shared" ref="AA176" si="177">AA53/AA5</f>
        <v>2.1055694702819552E-2</v>
      </c>
      <c r="AC176" s="153">
        <f>AC53/AC5</f>
        <v>2.3903435665035038E-2</v>
      </c>
    </row>
    <row r="177" spans="1:31" x14ac:dyDescent="0.2">
      <c r="B177" s="20" t="s">
        <v>278</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283</v>
      </c>
      <c r="M178" s="153">
        <f>(M105-M106)/M155</f>
        <v>1.7626499592230463E-2</v>
      </c>
      <c r="N178" s="153">
        <f>(N105-N106)/N155</f>
        <v>4.6216299382204652E-3</v>
      </c>
      <c r="O178" s="153">
        <f>(O105-O106)/O155</f>
        <v>1.0561272414313365E-2</v>
      </c>
      <c r="P178" s="153">
        <f>(P105-P106)/P155</f>
        <v>9.8841101665902813E-3</v>
      </c>
      <c r="Q178" s="153">
        <f>(Q105-Q106)/Q155</f>
        <v>1.1785239203608671E-2</v>
      </c>
      <c r="T178" s="49"/>
      <c r="U178" s="49"/>
      <c r="V178" s="49"/>
      <c r="W178" s="49"/>
      <c r="X178" s="49"/>
      <c r="Y178" s="49"/>
      <c r="Z178" s="49"/>
      <c r="AA178" s="49"/>
      <c r="AC178" s="153">
        <f ca="1">(AC105-AC106)/AC155</f>
        <v>1.2648580591337359E-2</v>
      </c>
    </row>
    <row r="179" spans="1:31" x14ac:dyDescent="0.2">
      <c r="B179" s="20" t="s">
        <v>292</v>
      </c>
      <c r="M179" s="153">
        <f>-M108/M5</f>
        <v>3.6263654603552055E-2</v>
      </c>
      <c r="N179" s="153">
        <f>-N108/N5</f>
        <v>6.7954326388373995E-2</v>
      </c>
      <c r="O179" s="153">
        <f>-O108/O5</f>
        <v>1.7547027346442992E-2</v>
      </c>
      <c r="P179" s="153">
        <f>-P108/P5</f>
        <v>2.4797504923484832E-2</v>
      </c>
      <c r="Q179" s="153">
        <f>-Q108/Q5</f>
        <v>2.7980253591308617E-2</v>
      </c>
      <c r="T179" s="153">
        <f t="shared" ref="T179:Z179" si="180">-T108/T5</f>
        <v>2.3174277407217378E-2</v>
      </c>
      <c r="U179" s="153">
        <f t="shared" si="180"/>
        <v>2.7382980346291729E-2</v>
      </c>
      <c r="V179" s="153">
        <f t="shared" si="180"/>
        <v>2.7847124506377378E-2</v>
      </c>
      <c r="W179" s="153">
        <f t="shared" si="180"/>
        <v>4.05194360652932E-2</v>
      </c>
      <c r="X179" s="153">
        <f t="shared" si="180"/>
        <v>2.871627547977406E-2</v>
      </c>
      <c r="Y179" s="153">
        <f t="shared" si="180"/>
        <v>1.8847153111101324E-2</v>
      </c>
      <c r="Z179" s="153">
        <f t="shared" si="180"/>
        <v>2.1527905409544815E-2</v>
      </c>
      <c r="AA179" s="153">
        <f t="shared" ref="AA179" si="181">-AA108/AA5</f>
        <v>2.7821369555502438E-2</v>
      </c>
      <c r="AC179" s="153">
        <f>-AC108/AC5</f>
        <v>2.4276411117969163E-2</v>
      </c>
    </row>
    <row r="180" spans="1:31" x14ac:dyDescent="0.2">
      <c r="B180" s="20" t="s">
        <v>293</v>
      </c>
      <c r="M180" s="153">
        <f>-(M108/M58)</f>
        <v>0.10715854194115064</v>
      </c>
      <c r="N180" s="153">
        <f>-(N108/N58)</f>
        <v>0.32494238610175502</v>
      </c>
      <c r="O180" s="153">
        <f>-(O108/O58)</f>
        <v>3.8056247775008899E-2</v>
      </c>
      <c r="P180" s="153">
        <f>-(P108/P58)</f>
        <v>5.0492284167329808E-2</v>
      </c>
      <c r="Q180" s="153">
        <f>-(Q108/Q58)</f>
        <v>5.8821238731283712E-2</v>
      </c>
      <c r="T180" s="153">
        <f t="shared" ref="T180:Z180" si="182">-(T108/T58)</f>
        <v>4.6117193261103862E-2</v>
      </c>
      <c r="U180" s="153">
        <f t="shared" si="182"/>
        <v>6.4770267019485211E-2</v>
      </c>
      <c r="V180" s="153">
        <f t="shared" si="182"/>
        <v>4.4758152768658348E-2</v>
      </c>
      <c r="W180" s="153">
        <f t="shared" si="182"/>
        <v>0.12326716563618614</v>
      </c>
      <c r="X180" s="153">
        <f t="shared" si="182"/>
        <v>6.8926315789473683E-2</v>
      </c>
      <c r="Y180" s="153">
        <f t="shared" si="182"/>
        <v>3.5479414202818457E-2</v>
      </c>
      <c r="Z180" s="153">
        <f t="shared" si="182"/>
        <v>3.4899888765294769E-2</v>
      </c>
      <c r="AA180" s="153">
        <f t="shared" ref="AA180" si="183">-(AA108/AA58)</f>
        <v>0.11118494829090003</v>
      </c>
      <c r="AC180" s="153">
        <f>-(AC108/AC58)</f>
        <v>5.4740586926265808E-2</v>
      </c>
    </row>
    <row r="181" spans="1:31" x14ac:dyDescent="0.2">
      <c r="B181" s="20" t="s">
        <v>294</v>
      </c>
      <c r="M181" s="153">
        <f>-M108/M52</f>
        <v>0.83134582623509368</v>
      </c>
      <c r="N181" s="153">
        <f>-N108/N52</f>
        <v>1.1871761658031088</v>
      </c>
      <c r="O181" s="153">
        <f>-O108/O52</f>
        <v>0.70888594164456231</v>
      </c>
      <c r="P181" s="153">
        <f>-P108/P52</f>
        <v>1.7360515021459229</v>
      </c>
      <c r="Q181" s="153">
        <f>-Q108/Q52</f>
        <v>2.1252198381990857</v>
      </c>
      <c r="T181" s="153">
        <f t="shared" ref="T181:Z181" si="184">-T108/T52</f>
        <v>1.7008368200836821</v>
      </c>
      <c r="U181" s="153">
        <f t="shared" si="184"/>
        <v>1.9834254143646408</v>
      </c>
      <c r="V181" s="153">
        <f t="shared" si="184"/>
        <v>2.0081833060556464</v>
      </c>
      <c r="W181" s="153">
        <f t="shared" si="184"/>
        <v>2.8353293413173652</v>
      </c>
      <c r="X181" s="153">
        <f t="shared" si="184"/>
        <v>2.1768617021276597</v>
      </c>
      <c r="Y181" s="153">
        <f t="shared" si="184"/>
        <v>1.5832305795314427</v>
      </c>
      <c r="Z181" s="153">
        <f t="shared" si="184"/>
        <v>1.7622868605817452</v>
      </c>
      <c r="AA181" s="153">
        <f t="shared" ref="AA181" si="185">-AA108/AA52</f>
        <v>2.3753327417923691</v>
      </c>
      <c r="AC181" s="153">
        <f>-AC108/AC52</f>
        <v>1.9948467588825602</v>
      </c>
    </row>
    <row r="182" spans="1:31" x14ac:dyDescent="0.2">
      <c r="B182" s="20" t="s">
        <v>386</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383</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384</v>
      </c>
      <c r="M184" s="226">
        <f>IF(AND(M11&gt;0,M106&gt;0),(M106-M105)/M11,"N/A")</f>
        <v>-1.0220097599840654</v>
      </c>
      <c r="N184" s="226">
        <f t="shared" ref="N184:Q184" si="190">IF(AND(N11&gt;0,N106&gt;0),(N106-N105)/N11,"N/A")</f>
        <v>-0.5546875</v>
      </c>
      <c r="O184" s="226">
        <f t="shared" si="190"/>
        <v>-0.49360063083828704</v>
      </c>
      <c r="P184" s="226">
        <f t="shared" si="190"/>
        <v>-0.42658956698955225</v>
      </c>
      <c r="Q184" s="226">
        <f t="shared" si="190"/>
        <v>-0.41482663148933557</v>
      </c>
      <c r="T184" s="49"/>
      <c r="U184" s="49"/>
      <c r="V184" s="49"/>
      <c r="W184" s="49"/>
      <c r="X184" s="49"/>
      <c r="Y184" s="49"/>
      <c r="Z184" s="49"/>
      <c r="AA184" s="49"/>
      <c r="AC184" s="226">
        <f t="shared" ref="AC184" si="191">IF(AND(AC11&gt;0,AC106&gt;0),(AC106-AC105)/AC11,"N/A")</f>
        <v>-0.33456490821392959</v>
      </c>
    </row>
    <row r="185" spans="1:31" x14ac:dyDescent="0.2">
      <c r="B185" s="20" t="s">
        <v>385</v>
      </c>
      <c r="M185" s="226">
        <f>M5/(M106+M110-M105)</f>
        <v>1.6461162079510703</v>
      </c>
      <c r="N185" s="226">
        <f t="shared" ref="N185:Q185" si="192">N5/(N106+N110-N105)</f>
        <v>1.3652191517360057</v>
      </c>
      <c r="O185" s="226">
        <f t="shared" si="192"/>
        <v>2.2814665018911731</v>
      </c>
      <c r="P185" s="226">
        <f t="shared" si="192"/>
        <v>2.9272543741588155</v>
      </c>
      <c r="Q185" s="226">
        <f t="shared" si="192"/>
        <v>2.0923211084734268</v>
      </c>
      <c r="T185" s="49"/>
      <c r="U185" s="49"/>
      <c r="V185" s="49"/>
      <c r="W185" s="49"/>
      <c r="X185" s="49"/>
      <c r="Y185" s="49"/>
      <c r="Z185" s="49"/>
      <c r="AA185" s="49"/>
      <c r="AC185" s="226">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0" t="s">
        <v>359</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0" t="s">
        <v>360</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361</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362</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303</v>
      </c>
      <c r="C195" s="168"/>
      <c r="D195" s="168"/>
      <c r="E195" s="168"/>
      <c r="F195" s="168"/>
      <c r="G195" s="168"/>
      <c r="H195" s="168"/>
      <c r="I195" s="168"/>
      <c r="J195" s="168"/>
      <c r="K195" s="168"/>
      <c r="L195" s="168"/>
      <c r="M195" s="168"/>
      <c r="N195" s="168"/>
      <c r="O195" s="168"/>
      <c r="P195" s="168"/>
      <c r="Q195" s="168"/>
      <c r="T195" s="168"/>
      <c r="U195" s="168"/>
      <c r="V195" s="168"/>
      <c r="W195" s="168"/>
      <c r="X195" s="168"/>
      <c r="Y195" s="168"/>
      <c r="Z195" s="168"/>
      <c r="AA195" s="168"/>
      <c r="AC195" s="168"/>
    </row>
    <row r="196" spans="2:29" x14ac:dyDescent="0.2">
      <c r="B196" s="220" t="s">
        <v>359</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0" t="s">
        <v>360</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361</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362</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304</v>
      </c>
      <c r="C202" s="168"/>
      <c r="D202" s="168"/>
      <c r="E202" s="168"/>
      <c r="F202" s="168"/>
      <c r="G202" s="168"/>
      <c r="H202" s="168"/>
      <c r="I202" s="168"/>
      <c r="J202" s="168"/>
      <c r="K202" s="168"/>
      <c r="L202" s="168"/>
      <c r="M202" s="168"/>
      <c r="N202" s="168"/>
      <c r="O202" s="168"/>
      <c r="P202" s="168"/>
      <c r="Q202" s="168"/>
      <c r="T202" s="168"/>
      <c r="U202" s="168"/>
      <c r="V202" s="168"/>
      <c r="W202" s="168"/>
      <c r="X202" s="168"/>
      <c r="Y202" s="168"/>
      <c r="Z202" s="168"/>
      <c r="AA202" s="168"/>
      <c r="AC202" s="168"/>
    </row>
    <row r="203" spans="2:29" x14ac:dyDescent="0.2">
      <c r="B203" s="20" t="s">
        <v>276</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378</v>
      </c>
      <c r="C206" s="168"/>
      <c r="D206" s="168"/>
      <c r="E206" s="168"/>
      <c r="F206" s="168"/>
      <c r="G206" s="168"/>
      <c r="H206" s="168"/>
      <c r="I206" s="168"/>
      <c r="J206" s="168"/>
      <c r="K206" s="168"/>
      <c r="L206" s="168"/>
      <c r="M206" s="168"/>
      <c r="N206" s="168"/>
      <c r="O206" s="168"/>
      <c r="P206" s="168"/>
      <c r="Q206" s="168"/>
      <c r="T206" s="168"/>
      <c r="U206" s="168"/>
      <c r="V206" s="168"/>
      <c r="W206" s="168"/>
      <c r="X206" s="168"/>
      <c r="Y206" s="168"/>
      <c r="Z206" s="168"/>
      <c r="AA206" s="168"/>
      <c r="AC206" s="168"/>
    </row>
    <row r="207" spans="2:29" x14ac:dyDescent="0.2">
      <c r="B207" s="20" t="s">
        <v>379</v>
      </c>
      <c r="M207" s="142">
        <v>100</v>
      </c>
      <c r="N207" s="142">
        <f>100*(1+((N115-$M115)/ABS($M115)))</f>
        <v>89.141856392294216</v>
      </c>
      <c r="O207" s="142">
        <f t="shared" ref="O207:Q207" si="204">100*(1+((O115-$M115)/ABS($M115)))</f>
        <v>267.20665499124345</v>
      </c>
      <c r="P207" s="142">
        <f t="shared" si="204"/>
        <v>624.43082311733804</v>
      </c>
      <c r="Q207" s="142">
        <f t="shared" si="204"/>
        <v>821.67250437828375</v>
      </c>
      <c r="T207" s="49"/>
      <c r="U207" s="49"/>
      <c r="V207" s="49"/>
      <c r="W207" s="49"/>
      <c r="X207" s="49"/>
      <c r="Y207" s="49"/>
      <c r="Z207" s="49"/>
      <c r="AA207" s="49"/>
      <c r="AC207" s="49"/>
    </row>
    <row r="208" spans="2:29" x14ac:dyDescent="0.2">
      <c r="B208" s="20" t="s">
        <v>380</v>
      </c>
      <c r="M208" s="142">
        <v>100</v>
      </c>
      <c r="N208" s="142">
        <f>100*(1+((N5-$M5)/ABS($M5)))</f>
        <v>100.2229323028907</v>
      </c>
      <c r="O208" s="142">
        <f t="shared" ref="O208:Q208" si="205">100*(1+((O5-$M5)/ABS($M5)))</f>
        <v>226.35802927844244</v>
      </c>
      <c r="P208" s="142">
        <f t="shared" si="205"/>
        <v>484.86661217210371</v>
      </c>
      <c r="Q208" s="142">
        <f t="shared" si="205"/>
        <v>802.32592702682621</v>
      </c>
      <c r="T208" s="49"/>
      <c r="U208" s="49"/>
      <c r="V208" s="49"/>
      <c r="W208" s="49"/>
      <c r="X208" s="49"/>
      <c r="Y208" s="49"/>
      <c r="Z208" s="49"/>
      <c r="AA208" s="49"/>
      <c r="AC208" s="49"/>
    </row>
    <row r="209" spans="1:31" x14ac:dyDescent="0.2">
      <c r="B209" s="20" t="s">
        <v>381</v>
      </c>
      <c r="M209" s="142">
        <v>100</v>
      </c>
      <c r="N209" s="142">
        <f>100*(1+((N25-$M25)/ABS($M25)))</f>
        <v>45.194805194805184</v>
      </c>
      <c r="O209" s="142">
        <f t="shared" ref="O209:Q209" si="206">100*(1+((O25-$M25)/ABS($M25)))</f>
        <v>309.87012987012992</v>
      </c>
      <c r="P209" s="142">
        <f t="shared" si="206"/>
        <v>763.63636363636363</v>
      </c>
      <c r="Q209" s="142">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6.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224</v>
      </c>
    </row>
  </sheetData>
  <hyperlinks>
    <hyperlink ref="H6" location="Overview!B3" display="Overview'!B3" xr:uid="{69D6E76D-7A34-E44C-8C04-715DC0C65111}"/>
    <hyperlink ref="H8" location="'Analysis -&gt;'!B13" display="'Analysis -&gt;'!B13" xr:uid="{E80532D9-627B-024C-B694-F903E60B2428}"/>
    <hyperlink ref="H9" location="'Forecast -&gt;'!B13" display="'Forecast -&gt;'!B13" xr:uid="{8DF49614-04B4-EF4D-9C99-832506CCA3F7}"/>
    <hyperlink ref="H10" location="'Valuation -&gt;'!B13" display="'Valuation -&gt;'!B13" xr:uid="{4A98CDA9-19D6-9047-964C-AE40FE137305}"/>
    <hyperlink ref="H7" location="'Financials -&gt;'!B13" display="'Financials -&gt;'!B13" xr:uid="{2F72496E-E032-D544-9FC9-4FC0E19A0D9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9"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45" t="s">
        <v>225</v>
      </c>
      <c r="C4" s="245"/>
      <c r="E4" s="245" t="s">
        <v>232</v>
      </c>
      <c r="F4" s="245"/>
      <c r="G4" s="245"/>
    </row>
    <row r="5" spans="2:7" x14ac:dyDescent="0.2">
      <c r="B5" s="20" t="s">
        <v>1</v>
      </c>
      <c r="C5" s="169">
        <f ca="1">Overview!C5</f>
        <v>216</v>
      </c>
      <c r="E5" s="12"/>
      <c r="F5" s="133" t="s">
        <v>233</v>
      </c>
      <c r="G5" s="133" t="s">
        <v>234</v>
      </c>
    </row>
    <row r="6" spans="2:7" x14ac:dyDescent="0.2">
      <c r="B6" s="20" t="s">
        <v>231</v>
      </c>
      <c r="C6" s="170">
        <f ca="1">Statement!AC155</f>
        <v>5226120</v>
      </c>
      <c r="E6" s="20" t="s">
        <v>19</v>
      </c>
      <c r="F6" s="175">
        <f>IF(Statement!M5&lt;=0,"N/A",_xlfn.RRI(4,Statement!M5,Statement!Q5))</f>
        <v>0.68301391480282692</v>
      </c>
      <c r="G6" s="175" t="str">
        <f>IF(Statement!H5&lt;=0,"N/A",_xlfn.RRI(9,Statement!H5,Statement!Q5))</f>
        <v>N/A</v>
      </c>
    </row>
    <row r="7" spans="2:7" x14ac:dyDescent="0.2">
      <c r="B7" s="20" t="s">
        <v>180</v>
      </c>
      <c r="C7" s="170">
        <f ca="1">Statement!AC156</f>
        <v>5160017</v>
      </c>
      <c r="E7" s="20" t="s">
        <v>29</v>
      </c>
      <c r="F7" s="175">
        <f>IF(OR(Statement!M17&lt;=0, Statement!Q17&lt;=0), "N/A", _xlfn.RRI(4, Statement!M17, Statement!Q17))</f>
        <v>0.87319285132860491</v>
      </c>
      <c r="G7" s="175" t="str">
        <f>IF(OR(Statement!H17&lt;=0, Statement!Q17&lt;=0), "N/A", _xlfn.RRI(9, Statement!H17, Statement!Q17))</f>
        <v>N/A</v>
      </c>
    </row>
    <row r="8" spans="2:7" x14ac:dyDescent="0.2">
      <c r="B8" s="20" t="s">
        <v>229</v>
      </c>
      <c r="C8" s="171">
        <f ca="1">Statement!AC152</f>
        <v>27.307206068268016</v>
      </c>
      <c r="E8" s="20" t="s">
        <v>235</v>
      </c>
      <c r="F8" s="175">
        <f>IF(OR(Statement!M25&lt;=0, Statement!Q25&lt;=0), "N/A", _xlfn.RRI(4, Statement!M25, Statement!Q25))</f>
        <v>0.88879070838020025</v>
      </c>
      <c r="G8" s="175" t="str">
        <f>IF(OR(Statement!H25&lt;=0, Statement!Q25&lt;=0), "N/A", _xlfn.RRI(9, Statement!H25, Statement!Q25))</f>
        <v>N/A</v>
      </c>
    </row>
    <row r="9" spans="2:7" x14ac:dyDescent="0.2">
      <c r="B9" s="20" t="s">
        <v>193</v>
      </c>
      <c r="C9" s="171">
        <f ca="1">Statement!AC153</f>
        <v>17.394235053751373</v>
      </c>
      <c r="E9" s="20" t="s">
        <v>236</v>
      </c>
      <c r="F9" s="175">
        <f>IF(Statement!M81&lt;=0,"N/A",_xlfn.RRI(4,Statement!M81,Statement!Q81))</f>
        <v>0.25743342968293548</v>
      </c>
      <c r="G9" s="175" t="str">
        <f>IF(Statement!H81&lt;=0,"N/A",_xlfn.RRI(9,Statement!H81,Statement!Q81))</f>
        <v>N/A</v>
      </c>
    </row>
    <row r="10" spans="2:7" x14ac:dyDescent="0.2">
      <c r="B10" s="20" t="s">
        <v>230</v>
      </c>
      <c r="C10" s="171">
        <f ca="1">Statement!AC154</f>
        <v>22.733466093700873</v>
      </c>
      <c r="E10" s="20" t="s">
        <v>1</v>
      </c>
      <c r="F10" s="175">
        <f>IF(Statement!M115&lt;=0,"N/A",_xlfn.RRI(4,Statement!M115,Statement!Q115))</f>
        <v>0.69306911979142294</v>
      </c>
      <c r="G10" s="175" t="str">
        <f>IF(Statement!H115&lt;=0,"N/A",_xlfn.RRI(9,Statement!H115,Statement!Q115))</f>
        <v>N/A</v>
      </c>
    </row>
    <row r="11" spans="2:7" x14ac:dyDescent="0.2">
      <c r="B11" s="20" t="s">
        <v>252</v>
      </c>
      <c r="C11" s="171">
        <f ca="1">Statement!AC157</f>
        <v>17.031501572768171</v>
      </c>
    </row>
    <row r="12" spans="2:7" x14ac:dyDescent="0.2">
      <c r="B12" s="20" t="s">
        <v>196</v>
      </c>
      <c r="C12" s="171">
        <f ca="1">Statement!AC158</f>
        <v>26.116221865684107</v>
      </c>
    </row>
    <row r="15" spans="2:7" x14ac:dyDescent="0.2">
      <c r="B15" s="245" t="s">
        <v>75</v>
      </c>
      <c r="C15" s="245"/>
      <c r="E15" s="245" t="s">
        <v>238</v>
      </c>
      <c r="F15" s="245"/>
    </row>
    <row r="16" spans="2:7" x14ac:dyDescent="0.2">
      <c r="B16" s="20" t="s">
        <v>76</v>
      </c>
      <c r="C16" s="172">
        <f>Statement!AC99</f>
        <v>0.74674636679000161</v>
      </c>
      <c r="E16" s="20" t="s">
        <v>29</v>
      </c>
      <c r="F16" s="170">
        <f>Statement!AC17</f>
        <v>192879</v>
      </c>
    </row>
    <row r="17" spans="2:6" x14ac:dyDescent="0.2">
      <c r="B17" s="20" t="s">
        <v>77</v>
      </c>
      <c r="C17" s="172">
        <f>Statement!AC100</f>
        <v>0.65214262845373616</v>
      </c>
      <c r="E17" s="20" t="s">
        <v>239</v>
      </c>
      <c r="F17" s="170">
        <f>Statement!AC58</f>
        <v>134361</v>
      </c>
    </row>
    <row r="18" spans="2:6" x14ac:dyDescent="0.2">
      <c r="B18" s="20" t="s">
        <v>78</v>
      </c>
      <c r="C18" s="172">
        <f>Statement!AC101</f>
        <v>0.63662949014585646</v>
      </c>
      <c r="E18" s="20" t="s">
        <v>246</v>
      </c>
      <c r="F18" s="174">
        <f>IF(OR(F16&lt;=0, F17&lt;=0),"N/A",F16-F17)</f>
        <v>58518</v>
      </c>
    </row>
    <row r="21" spans="2:6" x14ac:dyDescent="0.2">
      <c r="B21" s="245" t="s">
        <v>237</v>
      </c>
      <c r="C21" s="245"/>
      <c r="E21" s="245" t="s">
        <v>241</v>
      </c>
      <c r="F21" s="245"/>
    </row>
    <row r="22" spans="2:6" x14ac:dyDescent="0.2">
      <c r="B22" s="20" t="s">
        <v>92</v>
      </c>
      <c r="C22" s="172">
        <f>Statement!AC119</f>
        <v>0.63662949014585646</v>
      </c>
      <c r="E22" s="20" t="s">
        <v>94</v>
      </c>
      <c r="F22" s="172">
        <f>C24</f>
        <v>0.60223497527101955</v>
      </c>
    </row>
    <row r="23" spans="2:6" x14ac:dyDescent="0.2">
      <c r="B23" s="20" t="s">
        <v>93</v>
      </c>
      <c r="C23" s="171">
        <f>Statement!AC120</f>
        <v>0.94597404705999899</v>
      </c>
      <c r="E23" s="20" t="s">
        <v>96</v>
      </c>
      <c r="F23" s="172">
        <f>C26</f>
        <v>0.84232522796352571</v>
      </c>
    </row>
    <row r="24" spans="2:6" x14ac:dyDescent="0.2">
      <c r="B24" s="32" t="s">
        <v>94</v>
      </c>
      <c r="C24" s="173">
        <f>Statement!AC121</f>
        <v>0.60223497527101955</v>
      </c>
      <c r="E24" s="20" t="s">
        <v>97</v>
      </c>
      <c r="F24" s="172">
        <f>Statement!AC142</f>
        <v>1.0183873919662139</v>
      </c>
    </row>
    <row r="25" spans="2:6" x14ac:dyDescent="0.2">
      <c r="B25" s="20" t="s">
        <v>95</v>
      </c>
      <c r="C25" s="171">
        <f>Statement!AC122</f>
        <v>1.3986654089368689</v>
      </c>
    </row>
    <row r="26" spans="2:6" x14ac:dyDescent="0.2">
      <c r="B26" s="32" t="s">
        <v>96</v>
      </c>
      <c r="C26" s="173">
        <f>Statement!AC123</f>
        <v>0.84232522796352571</v>
      </c>
    </row>
    <row r="29" spans="2:6" x14ac:dyDescent="0.2">
      <c r="B29" s="245" t="s">
        <v>242</v>
      </c>
      <c r="C29" s="245"/>
      <c r="E29" s="245" t="s">
        <v>248</v>
      </c>
      <c r="F29" s="245"/>
    </row>
    <row r="30" spans="2:6" x14ac:dyDescent="0.2">
      <c r="B30" s="20" t="s">
        <v>131</v>
      </c>
      <c r="C30" s="171">
        <f>Statement!AC143</f>
        <v>75.969934217692241</v>
      </c>
      <c r="E30" s="20" t="s">
        <v>249</v>
      </c>
      <c r="F30" s="177">
        <f>Statement!AC147</f>
        <v>0.1452765258708032</v>
      </c>
    </row>
    <row r="31" spans="2:6" x14ac:dyDescent="0.2">
      <c r="B31" s="20" t="s">
        <v>132</v>
      </c>
      <c r="C31" s="171">
        <f>Statement!AC144</f>
        <v>150.20429308726929</v>
      </c>
      <c r="E31" s="20" t="s">
        <v>250</v>
      </c>
      <c r="F31" s="177">
        <f>Statement!AC148</f>
        <v>-0.28867955839709325</v>
      </c>
    </row>
    <row r="32" spans="2:6" x14ac:dyDescent="0.2">
      <c r="B32" s="20" t="s">
        <v>133</v>
      </c>
      <c r="C32" s="171">
        <f>Statement!AC145</f>
        <v>71.636625482222911</v>
      </c>
      <c r="E32" s="20" t="s">
        <v>245</v>
      </c>
      <c r="F32" s="177">
        <f>Statement!AC150</f>
        <v>4.5889490690160164</v>
      </c>
    </row>
    <row r="33" spans="2:6" x14ac:dyDescent="0.2">
      <c r="B33" s="20" t="s">
        <v>134</v>
      </c>
      <c r="C33" s="171">
        <f>Statement!AC146</f>
        <v>154.53760182273862</v>
      </c>
      <c r="E33" s="20" t="s">
        <v>244</v>
      </c>
      <c r="F33" s="177">
        <f>Statement!AC149</f>
        <v>3.7757270043469164</v>
      </c>
    </row>
    <row r="34" spans="2:6" x14ac:dyDescent="0.2">
      <c r="E34" s="20" t="s">
        <v>251</v>
      </c>
      <c r="F34" s="179" t="str">
        <f>Statement!AC151</f>
        <v>N/A</v>
      </c>
    </row>
    <row r="37" spans="2:6" x14ac:dyDescent="0.2">
      <c r="B37" s="245" t="s">
        <v>260</v>
      </c>
      <c r="C37" s="245"/>
      <c r="E37" s="245" t="s">
        <v>263</v>
      </c>
      <c r="F37" s="245"/>
    </row>
    <row r="38" spans="2:6" x14ac:dyDescent="0.2">
      <c r="B38" s="20" t="s">
        <v>258</v>
      </c>
      <c r="C38" s="172">
        <f ca="1">Statement!AC164</f>
        <v>3.6620370370370373E-2</v>
      </c>
      <c r="E38" s="20" t="s">
        <v>262</v>
      </c>
      <c r="F38" s="172">
        <f>Statement!AC170</f>
        <v>5.6577936608663705E-2</v>
      </c>
    </row>
    <row r="39" spans="2:6" x14ac:dyDescent="0.2">
      <c r="B39" s="54" t="s">
        <v>261</v>
      </c>
      <c r="C39" s="212">
        <f ca="1">Statement!AC163</f>
        <v>2.2916427483486792E-2</v>
      </c>
      <c r="E39" s="20" t="s">
        <v>264</v>
      </c>
      <c r="F39" s="172">
        <f>Statement!AC171</f>
        <v>0.46186667111986907</v>
      </c>
    </row>
    <row r="40" spans="2:6" x14ac:dyDescent="0.2">
      <c r="B40" s="20" t="s">
        <v>259</v>
      </c>
      <c r="C40" s="172">
        <f ca="1">Statement!AC165</f>
        <v>1.2962962962962965E-3</v>
      </c>
      <c r="E40" s="20" t="s">
        <v>265</v>
      </c>
      <c r="F40" s="172">
        <f>Statement!AC172</f>
        <v>0.51844460772853274</v>
      </c>
    </row>
    <row r="41" spans="2:6" x14ac:dyDescent="0.2">
      <c r="B41" s="20" t="s">
        <v>284</v>
      </c>
      <c r="C41" s="172">
        <f ca="1">Statement!AC166</f>
        <v>1.0584334075757923E-2</v>
      </c>
    </row>
    <row r="42" spans="2:6" x14ac:dyDescent="0.2">
      <c r="B42" s="20" t="s">
        <v>286</v>
      </c>
      <c r="C42" s="172">
        <f ca="1">Statement!AC167</f>
        <v>1.1880898257215678E-2</v>
      </c>
    </row>
    <row r="45" spans="2:6" x14ac:dyDescent="0.2">
      <c r="B45" s="245" t="s">
        <v>271</v>
      </c>
      <c r="C45" s="245"/>
      <c r="E45" s="245" t="s">
        <v>277</v>
      </c>
      <c r="F45" s="245"/>
    </row>
    <row r="46" spans="2:6" x14ac:dyDescent="0.2">
      <c r="B46" s="20" t="s">
        <v>269</v>
      </c>
      <c r="C46" s="172">
        <f>Statement!AC173</f>
        <v>3.9553626782393055E-2</v>
      </c>
      <c r="E46" s="20" t="s">
        <v>270</v>
      </c>
      <c r="F46" s="171">
        <f>Statement!AC174</f>
        <v>4.1231950207468877</v>
      </c>
    </row>
    <row r="47" spans="2:6" x14ac:dyDescent="0.2">
      <c r="E47" s="20" t="s">
        <v>278</v>
      </c>
      <c r="F47" s="171">
        <f>Statement!AC177</f>
        <v>2.742863070539419</v>
      </c>
    </row>
    <row r="48" spans="2:6" x14ac:dyDescent="0.2">
      <c r="E48" s="20" t="s">
        <v>283</v>
      </c>
      <c r="F48" s="172">
        <f ca="1">Statement!AC178</f>
        <v>1.2648580591337359E-2</v>
      </c>
    </row>
    <row r="51" spans="2:6" x14ac:dyDescent="0.2">
      <c r="B51" s="245" t="s">
        <v>274</v>
      </c>
      <c r="C51" s="245"/>
      <c r="E51" s="245" t="s">
        <v>295</v>
      </c>
      <c r="F51" s="245"/>
    </row>
    <row r="52" spans="2:6" x14ac:dyDescent="0.2">
      <c r="B52" s="20" t="s">
        <v>272</v>
      </c>
      <c r="C52" s="172">
        <f>Statement!AC175</f>
        <v>5.3899569071382318E-2</v>
      </c>
      <c r="E52" s="20" t="s">
        <v>296</v>
      </c>
      <c r="F52" s="172">
        <f>Statement!AC179</f>
        <v>2.4276411117969163E-2</v>
      </c>
    </row>
    <row r="53" spans="2:6" x14ac:dyDescent="0.2">
      <c r="B53" s="20" t="s">
        <v>273</v>
      </c>
      <c r="C53" s="172">
        <f>Statement!AC176</f>
        <v>2.3903435665035038E-2</v>
      </c>
      <c r="E53" s="20" t="s">
        <v>293</v>
      </c>
      <c r="F53" s="172">
        <f>Statement!AC180</f>
        <v>5.4740586926265808E-2</v>
      </c>
    </row>
    <row r="54" spans="2:6" x14ac:dyDescent="0.2">
      <c r="E54" s="20" t="s">
        <v>294</v>
      </c>
      <c r="F54" s="172">
        <f>Statement!AC181</f>
        <v>1.9948467588825602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225</v>
      </c>
      <c r="C5" s="14"/>
      <c r="D5" s="14"/>
      <c r="E5" s="14"/>
      <c r="F5" s="14"/>
      <c r="G5" s="14"/>
      <c r="I5" s="14"/>
    </row>
    <row r="6" spans="2:9" x14ac:dyDescent="0.2">
      <c r="B6" s="20" t="s">
        <v>1</v>
      </c>
      <c r="C6" s="169">
        <f>Statement!M114</f>
        <v>228.4</v>
      </c>
      <c r="D6" s="169">
        <f>Statement!N114</f>
        <v>203.6</v>
      </c>
      <c r="E6" s="169">
        <f>Statement!O114</f>
        <v>610.29999999999995</v>
      </c>
      <c r="F6" s="169">
        <f>Statement!P114</f>
        <v>142.62</v>
      </c>
      <c r="G6" s="169">
        <f>Statement!Q114</f>
        <v>187.67</v>
      </c>
      <c r="I6" s="169">
        <f ca="1">Statement!AC114</f>
        <v>216</v>
      </c>
    </row>
    <row r="7" spans="2:9" x14ac:dyDescent="0.2">
      <c r="B7" s="20" t="s">
        <v>231</v>
      </c>
      <c r="C7" s="170">
        <f>Statement!M155</f>
        <v>582191.6</v>
      </c>
      <c r="D7" s="170">
        <f>Statement!N155</f>
        <v>506964</v>
      </c>
      <c r="E7" s="170">
        <f>Statement!O155</f>
        <v>1541007.4999999998</v>
      </c>
      <c r="F7" s="170">
        <f>Statement!P155</f>
        <v>3515440.38</v>
      </c>
      <c r="G7" s="170">
        <f>Statement!Q155</f>
        <v>4589469.8499999996</v>
      </c>
      <c r="I7" s="170">
        <f ca="1">Statement!AC155</f>
        <v>5226120</v>
      </c>
    </row>
    <row r="8" spans="2:9" x14ac:dyDescent="0.2">
      <c r="B8" s="20" t="s">
        <v>180</v>
      </c>
      <c r="C8" s="170">
        <f>Statement!M156</f>
        <v>571929.59999999998</v>
      </c>
      <c r="D8" s="170">
        <f>Statement!N156</f>
        <v>504621</v>
      </c>
      <c r="E8" s="170">
        <f>Statement!O156</f>
        <v>1524732.4999999998</v>
      </c>
      <c r="F8" s="170">
        <f>Statement!P156</f>
        <v>3480693.38</v>
      </c>
      <c r="G8" s="170">
        <f>Statement!Q156</f>
        <v>4535381.8499999996</v>
      </c>
      <c r="I8" s="170">
        <f ca="1">Statement!AC156</f>
        <v>5160017</v>
      </c>
    </row>
    <row r="9" spans="2:9" x14ac:dyDescent="0.2">
      <c r="B9" s="20" t="s">
        <v>229</v>
      </c>
      <c r="C9" s="171">
        <f>Statement!M152</f>
        <v>59.324675324675326</v>
      </c>
      <c r="D9" s="171">
        <f>Statement!N152</f>
        <v>117.01149425287356</v>
      </c>
      <c r="E9" s="171">
        <f>Statement!O152</f>
        <v>51.156747694886832</v>
      </c>
      <c r="F9" s="171">
        <f>Statement!P152</f>
        <v>48.510204081632658</v>
      </c>
      <c r="G9" s="171">
        <f>Statement!Q152</f>
        <v>38.299999999999997</v>
      </c>
      <c r="I9" s="171">
        <f ca="1">Statement!AC152</f>
        <v>27.307206068268016</v>
      </c>
    </row>
    <row r="10" spans="2:9" x14ac:dyDescent="0.2">
      <c r="B10" s="20" t="s">
        <v>193</v>
      </c>
      <c r="C10" s="171">
        <f>Statement!M153</f>
        <v>21.512744296648584</v>
      </c>
      <c r="D10" s="171">
        <f>Statement!N153</f>
        <v>18.922859049455031</v>
      </c>
      <c r="E10" s="171">
        <f>Statement!O153</f>
        <v>24.984212599717669</v>
      </c>
      <c r="F10" s="171">
        <f>Statement!P153</f>
        <v>27.108259040437712</v>
      </c>
      <c r="G10" s="171">
        <f>Statement!Q153</f>
        <v>21.304922616677011</v>
      </c>
      <c r="I10" s="171">
        <f ca="1">Statement!AC153</f>
        <v>17.394235053751373</v>
      </c>
    </row>
    <row r="11" spans="2:9" x14ac:dyDescent="0.2">
      <c r="B11" s="20" t="s">
        <v>230</v>
      </c>
      <c r="C11" s="171">
        <f>Statement!M154</f>
        <v>21.542311739065084</v>
      </c>
      <c r="D11" s="171">
        <f>Statement!N154</f>
        <v>22.754264512917967</v>
      </c>
      <c r="E11" s="171">
        <f>Statement!O154</f>
        <v>35.500721299269394</v>
      </c>
      <c r="F11" s="171">
        <f>Statement!P154</f>
        <v>43.868140733924143</v>
      </c>
      <c r="G11" s="171">
        <f>Statement!Q154</f>
        <v>28.992904960805632</v>
      </c>
      <c r="I11" s="171">
        <f ca="1">Statement!AC154</f>
        <v>22.733466093700873</v>
      </c>
    </row>
    <row r="12" spans="2:9" x14ac:dyDescent="0.2">
      <c r="B12" s="20" t="s">
        <v>252</v>
      </c>
      <c r="C12" s="171">
        <f>Statement!M157</f>
        <v>21.250263803225085</v>
      </c>
      <c r="D12" s="171">
        <f>Statement!N157</f>
        <v>18.707681471046193</v>
      </c>
      <c r="E12" s="171">
        <f>Statement!O157</f>
        <v>25.02761728111355</v>
      </c>
      <c r="F12" s="171">
        <f>Statement!P157</f>
        <v>26.672593086431103</v>
      </c>
      <c r="G12" s="171">
        <f>Statement!Q157</f>
        <v>21.003166881234428</v>
      </c>
      <c r="I12" s="171">
        <f ca="1">Statement!AC157</f>
        <v>17.031501572768171</v>
      </c>
    </row>
    <row r="13" spans="2:9" x14ac:dyDescent="0.2">
      <c r="B13" s="20" t="s">
        <v>196</v>
      </c>
      <c r="C13" s="171">
        <f>Statement!M158</f>
        <v>56.959426351956971</v>
      </c>
      <c r="D13" s="171">
        <f>Statement!N158</f>
        <v>119.46519886363636</v>
      </c>
      <c r="E13" s="171">
        <f>Statement!O158</f>
        <v>46.243251850054584</v>
      </c>
      <c r="F13" s="171">
        <f>Statement!P158</f>
        <v>42.732537536984516</v>
      </c>
      <c r="G13" s="171">
        <f>Statement!Q158</f>
        <v>34.784003389908499</v>
      </c>
      <c r="I13" s="171">
        <f ca="1">Statement!AC158</f>
        <v>26.116221865684107</v>
      </c>
    </row>
    <row r="15" spans="2:9" ht="17" thickBot="1" x14ac:dyDescent="0.25">
      <c r="B15" s="14" t="s">
        <v>75</v>
      </c>
      <c r="C15" s="14"/>
      <c r="D15" s="14"/>
      <c r="E15" s="14"/>
      <c r="F15" s="14"/>
      <c r="G15" s="14"/>
      <c r="I15" s="14"/>
    </row>
    <row r="16" spans="2:9" x14ac:dyDescent="0.2">
      <c r="B16" s="20" t="s">
        <v>76</v>
      </c>
      <c r="C16" s="172">
        <f>Statement!M99</f>
        <v>0.64929033216913135</v>
      </c>
      <c r="D16" s="172">
        <f>Statement!N99</f>
        <v>0.56928894490991322</v>
      </c>
      <c r="E16" s="172">
        <f>Statement!O99</f>
        <v>0.72717573290436954</v>
      </c>
      <c r="F16" s="172">
        <f>Statement!P99</f>
        <v>0.74988697058169917</v>
      </c>
      <c r="G16" s="172">
        <f>Statement!Q99</f>
        <v>0.71068084357547079</v>
      </c>
      <c r="I16" s="172">
        <f>Statement!AC99</f>
        <v>0.74674636679000161</v>
      </c>
    </row>
    <row r="17" spans="2:9" x14ac:dyDescent="0.2">
      <c r="B17" s="20" t="s">
        <v>77</v>
      </c>
      <c r="C17" s="172">
        <f>Statement!M100</f>
        <v>0.37307720888756779</v>
      </c>
      <c r="D17" s="172">
        <f>Statement!N100</f>
        <v>0.1565952398606065</v>
      </c>
      <c r="E17" s="172">
        <f>Statement!O100</f>
        <v>0.54121663766783756</v>
      </c>
      <c r="F17" s="172">
        <f>Statement!P100</f>
        <v>0.62417526839697468</v>
      </c>
      <c r="G17" s="172">
        <f>Statement!Q100</f>
        <v>0.60381683631412719</v>
      </c>
      <c r="I17" s="172">
        <f>Statement!AC100</f>
        <v>0.65214262845373616</v>
      </c>
    </row>
    <row r="18" spans="2:9" x14ac:dyDescent="0.2">
      <c r="B18" s="20" t="s">
        <v>78</v>
      </c>
      <c r="C18" s="172">
        <f>Statement!M101</f>
        <v>0.36233930296499961</v>
      </c>
      <c r="D18" s="172">
        <f>Statement!N101</f>
        <v>0.16193371394676356</v>
      </c>
      <c r="E18" s="172">
        <f>Statement!O101</f>
        <v>0.4884934834706674</v>
      </c>
      <c r="F18" s="172">
        <f>Statement!P101</f>
        <v>0.55848027157712443</v>
      </c>
      <c r="G18" s="172">
        <f>Statement!Q101</f>
        <v>0.55602534060702613</v>
      </c>
      <c r="I18" s="172">
        <f>Statement!AC101</f>
        <v>0.63662949014585646</v>
      </c>
    </row>
    <row r="20" spans="2:9" ht="17" thickBot="1" x14ac:dyDescent="0.25">
      <c r="B20" s="14" t="s">
        <v>238</v>
      </c>
      <c r="C20" s="14"/>
      <c r="D20" s="14"/>
      <c r="E20" s="14"/>
      <c r="F20" s="14"/>
      <c r="G20" s="14"/>
      <c r="I20" s="14"/>
    </row>
    <row r="21" spans="2:9" x14ac:dyDescent="0.2">
      <c r="B21" s="20" t="s">
        <v>29</v>
      </c>
      <c r="C21" s="174">
        <f>Statement!M17</f>
        <v>9752</v>
      </c>
      <c r="D21" s="174">
        <f>Statement!N17</f>
        <v>4368</v>
      </c>
      <c r="E21" s="174">
        <f>Statement!O17</f>
        <v>29760</v>
      </c>
      <c r="F21" s="174">
        <f>Statement!P17</f>
        <v>72880</v>
      </c>
      <c r="G21" s="174">
        <f>Statement!Q17</f>
        <v>120067</v>
      </c>
      <c r="I21" s="174">
        <f>Statement!AC17</f>
        <v>192879</v>
      </c>
    </row>
    <row r="22" spans="2:9" x14ac:dyDescent="0.2">
      <c r="B22" s="20" t="s">
        <v>239</v>
      </c>
      <c r="C22" s="174">
        <f>Statement!M58</f>
        <v>9108</v>
      </c>
      <c r="D22" s="174">
        <f>Statement!N58</f>
        <v>5641</v>
      </c>
      <c r="E22" s="174">
        <f>Statement!O58</f>
        <v>28090</v>
      </c>
      <c r="F22" s="174">
        <f>Statement!P58</f>
        <v>64089</v>
      </c>
      <c r="G22" s="174">
        <f>Statement!Q58</f>
        <v>102718</v>
      </c>
      <c r="I22" s="174">
        <f>Statement!AC58</f>
        <v>134361</v>
      </c>
    </row>
    <row r="23" spans="2:9" x14ac:dyDescent="0.2">
      <c r="B23" s="20" t="s">
        <v>246</v>
      </c>
      <c r="C23" s="192">
        <f>IF(OR(C21&lt;=0, C22&lt;=0),"N/A",C21-C22)</f>
        <v>644</v>
      </c>
      <c r="D23" s="192">
        <f t="shared" ref="D23:I23" si="0">IF(OR(D21&lt;=0, D22&lt;=0),"N/A",D21-D22)</f>
        <v>-1273</v>
      </c>
      <c r="E23" s="192">
        <f t="shared" si="0"/>
        <v>1670</v>
      </c>
      <c r="F23" s="192">
        <f t="shared" si="0"/>
        <v>8791</v>
      </c>
      <c r="G23" s="192">
        <f t="shared" si="0"/>
        <v>17349</v>
      </c>
      <c r="I23" s="192">
        <f t="shared" si="0"/>
        <v>58518</v>
      </c>
    </row>
    <row r="25" spans="2:9" ht="17" thickBot="1" x14ac:dyDescent="0.25">
      <c r="B25" s="14" t="s">
        <v>237</v>
      </c>
      <c r="C25" s="14"/>
      <c r="D25" s="14"/>
      <c r="E25" s="14"/>
      <c r="F25" s="14"/>
      <c r="G25" s="14"/>
      <c r="I25" s="14"/>
    </row>
    <row r="26" spans="2:9" x14ac:dyDescent="0.2">
      <c r="B26" s="20" t="s">
        <v>92</v>
      </c>
      <c r="C26" s="172">
        <f>Statement!M119</f>
        <v>0.36233930296499961</v>
      </c>
      <c r="D26" s="172">
        <f>Statement!N119</f>
        <v>0.16193371394676356</v>
      </c>
      <c r="E26" s="172">
        <f>Statement!O119</f>
        <v>0.4884934834706674</v>
      </c>
      <c r="F26" s="172">
        <f>Statement!P119</f>
        <v>0.55848027157712443</v>
      </c>
      <c r="G26" s="172">
        <f>Statement!Q119</f>
        <v>0.55602534060702613</v>
      </c>
      <c r="I26" s="172">
        <f>Statement!AC119</f>
        <v>0.63662949014585646</v>
      </c>
    </row>
    <row r="27" spans="2:9" x14ac:dyDescent="0.2">
      <c r="B27" s="20" t="s">
        <v>93</v>
      </c>
      <c r="C27" s="211">
        <f>Statement!M120</f>
        <v>0.60909317219996828</v>
      </c>
      <c r="D27" s="211">
        <f>Statement!N120</f>
        <v>0.65499490068476518</v>
      </c>
      <c r="E27" s="211">
        <f>Statement!O120</f>
        <v>0.92688047711781885</v>
      </c>
      <c r="F27" s="211">
        <f>Statement!P120</f>
        <v>1.169317479234057</v>
      </c>
      <c r="G27" s="211">
        <f>Statement!Q120</f>
        <v>1.0441724733200195</v>
      </c>
      <c r="I27" s="211">
        <f>Statement!AC120</f>
        <v>0.94597404705999899</v>
      </c>
    </row>
    <row r="28" spans="2:9" x14ac:dyDescent="0.2">
      <c r="B28" s="32" t="s">
        <v>94</v>
      </c>
      <c r="C28" s="173">
        <f>Statement!M121</f>
        <v>0.22069839545567699</v>
      </c>
      <c r="D28" s="173">
        <f>Statement!N121</f>
        <v>0.10606575688407557</v>
      </c>
      <c r="E28" s="173">
        <f>Statement!O121</f>
        <v>0.45277507302823755</v>
      </c>
      <c r="F28" s="173">
        <f>Statement!P121</f>
        <v>0.65304074336251472</v>
      </c>
      <c r="G28" s="173">
        <f>Statement!Q121</f>
        <v>0.5805863551302447</v>
      </c>
      <c r="I28" s="173">
        <f>Statement!AC121</f>
        <v>0.60223497527101955</v>
      </c>
    </row>
    <row r="29" spans="2:9" x14ac:dyDescent="0.2">
      <c r="B29" s="20" t="s">
        <v>95</v>
      </c>
      <c r="C29" s="211">
        <f>Statement!M122</f>
        <v>1.6604163535247256</v>
      </c>
      <c r="D29" s="211">
        <f>Statement!N122</f>
        <v>1.8633545993393965</v>
      </c>
      <c r="E29" s="211">
        <f>Statement!O122</f>
        <v>1.5293405928614641</v>
      </c>
      <c r="F29" s="211">
        <f>Statement!P122</f>
        <v>1.4068476054811099</v>
      </c>
      <c r="G29" s="211">
        <f>Statement!Q122</f>
        <v>1.3147628947251309</v>
      </c>
      <c r="I29" s="211">
        <f>Statement!AC122</f>
        <v>1.3986654089368689</v>
      </c>
    </row>
    <row r="30" spans="2:9" x14ac:dyDescent="0.2">
      <c r="B30" s="32" t="s">
        <v>96</v>
      </c>
      <c r="C30" s="173">
        <f>Statement!M123</f>
        <v>0.36645122501127303</v>
      </c>
      <c r="D30" s="173">
        <f>Statement!N123</f>
        <v>0.19763811592235647</v>
      </c>
      <c r="E30" s="173">
        <f>Statement!O123</f>
        <v>0.69244729861789756</v>
      </c>
      <c r="F30" s="173">
        <f>Statement!P123</f>
        <v>0.91872880608115781</v>
      </c>
      <c r="G30" s="173">
        <f>Statement!Q123</f>
        <v>0.76333339690895341</v>
      </c>
      <c r="I30" s="173">
        <f>Statement!AC123</f>
        <v>0.84232522796352571</v>
      </c>
    </row>
    <row r="32" spans="2:9" ht="17" thickBot="1" x14ac:dyDescent="0.25">
      <c r="B32" s="14" t="s">
        <v>297</v>
      </c>
      <c r="C32" s="14"/>
      <c r="D32" s="14"/>
      <c r="E32" s="14"/>
      <c r="F32" s="14"/>
      <c r="G32" s="14"/>
      <c r="I32" s="14"/>
    </row>
    <row r="33" spans="2:9" x14ac:dyDescent="0.2">
      <c r="B33" s="20" t="s">
        <v>94</v>
      </c>
      <c r="C33" s="172">
        <f>C28</f>
        <v>0.22069839545567699</v>
      </c>
      <c r="D33" s="172">
        <f t="shared" ref="D33:G33" si="1">D28</f>
        <v>0.10606575688407557</v>
      </c>
      <c r="E33" s="172">
        <f t="shared" si="1"/>
        <v>0.45277507302823755</v>
      </c>
      <c r="F33" s="172">
        <f t="shared" si="1"/>
        <v>0.65304074336251472</v>
      </c>
      <c r="G33" s="172">
        <f t="shared" si="1"/>
        <v>0.5805863551302447</v>
      </c>
      <c r="I33" s="172">
        <f>I28</f>
        <v>0.60223497527101955</v>
      </c>
    </row>
    <row r="34" spans="2:9" x14ac:dyDescent="0.2">
      <c r="B34" s="20" t="s">
        <v>96</v>
      </c>
      <c r="C34" s="172">
        <f>C30</f>
        <v>0.36645122501127303</v>
      </c>
      <c r="D34" s="172">
        <f t="shared" ref="D34:G34" si="2">D30</f>
        <v>0.19763811592235647</v>
      </c>
      <c r="E34" s="172">
        <f t="shared" si="2"/>
        <v>0.69244729861789756</v>
      </c>
      <c r="F34" s="172">
        <f t="shared" si="2"/>
        <v>0.91872880608115781</v>
      </c>
      <c r="G34" s="172">
        <f t="shared" si="2"/>
        <v>0.76333339690895341</v>
      </c>
      <c r="I34" s="172">
        <f>I30</f>
        <v>0.84232522796352571</v>
      </c>
    </row>
    <row r="35" spans="2:9" x14ac:dyDescent="0.2">
      <c r="B35" s="20" t="s">
        <v>97</v>
      </c>
      <c r="C35" s="172">
        <f>Statement!M142</f>
        <v>0.60245252494303547</v>
      </c>
      <c r="D35" s="172">
        <f>Statement!N142</f>
        <v>0.21378682052839357</v>
      </c>
      <c r="E35" s="172">
        <f>Statement!O142</f>
        <v>1.0866013555554745</v>
      </c>
      <c r="F35" s="172">
        <f>Statement!P142</f>
        <v>1.5847534085376831</v>
      </c>
      <c r="G35" s="172">
        <f>Statement!Q142</f>
        <v>1.0723937210768841</v>
      </c>
      <c r="I35" s="172">
        <f>Statement!AC142</f>
        <v>1.0183873919662139</v>
      </c>
    </row>
    <row r="37" spans="2:9" ht="17" thickBot="1" x14ac:dyDescent="0.25">
      <c r="B37" s="14" t="s">
        <v>242</v>
      </c>
      <c r="C37" s="14"/>
      <c r="D37" s="14"/>
      <c r="E37" s="14"/>
      <c r="F37" s="14"/>
      <c r="G37" s="14"/>
      <c r="I37" s="14"/>
    </row>
    <row r="38" spans="2:9" x14ac:dyDescent="0.2">
      <c r="B38" s="20" t="s">
        <v>131</v>
      </c>
      <c r="C38" s="171">
        <f>Statement!M143</f>
        <v>63.061975180203611</v>
      </c>
      <c r="D38" s="171">
        <f>Statement!N143</f>
        <v>51.785237636242307</v>
      </c>
      <c r="E38" s="171">
        <f>Statement!O143</f>
        <v>59.906683956534586</v>
      </c>
      <c r="F38" s="171">
        <f>Statement!P143</f>
        <v>64.512785734537957</v>
      </c>
      <c r="G38" s="171">
        <f>Statement!Q143</f>
        <v>65.01907955061175</v>
      </c>
      <c r="I38" s="171">
        <f>Statement!AC143</f>
        <v>75.969934217692241</v>
      </c>
    </row>
    <row r="39" spans="2:9" x14ac:dyDescent="0.2">
      <c r="B39" s="20" t="s">
        <v>132</v>
      </c>
      <c r="C39" s="171">
        <f>Statement!M144</f>
        <v>100.73365822650703</v>
      </c>
      <c r="D39" s="171">
        <f>Statement!N144</f>
        <v>162.079101394388</v>
      </c>
      <c r="E39" s="171">
        <f>Statement!O144</f>
        <v>115.99362252572048</v>
      </c>
      <c r="F39" s="171">
        <f>Statement!P144</f>
        <v>112.72404179049603</v>
      </c>
      <c r="G39" s="171">
        <f>Statement!Q144</f>
        <v>125.043537414966</v>
      </c>
      <c r="I39" s="171">
        <f>Statement!AC144</f>
        <v>150.20429308726929</v>
      </c>
    </row>
    <row r="40" spans="2:9" x14ac:dyDescent="0.2">
      <c r="B40" s="20" t="s">
        <v>133</v>
      </c>
      <c r="C40" s="171">
        <f>Statement!M145</f>
        <v>68.947452060599645</v>
      </c>
      <c r="D40" s="171">
        <f>Statement!N145</f>
        <v>37.480203133069374</v>
      </c>
      <c r="E40" s="171">
        <f>Statement!O145</f>
        <v>59.270501173214605</v>
      </c>
      <c r="F40" s="171">
        <f>Statement!P145</f>
        <v>70.564355525598216</v>
      </c>
      <c r="G40" s="171">
        <f>Statement!Q145</f>
        <v>57.325010004001605</v>
      </c>
      <c r="I40" s="171">
        <f>Statement!AC145</f>
        <v>71.636625482222911</v>
      </c>
    </row>
    <row r="41" spans="2:9" x14ac:dyDescent="0.2">
      <c r="B41" s="20" t="s">
        <v>134</v>
      </c>
      <c r="C41" s="171">
        <f>Statement!M146</f>
        <v>94.848181346110991</v>
      </c>
      <c r="D41" s="171">
        <f>Statement!N146</f>
        <v>176.38413589756092</v>
      </c>
      <c r="E41" s="171">
        <f>Statement!O146</f>
        <v>116.62980530904048</v>
      </c>
      <c r="F41" s="171">
        <f>Statement!P146</f>
        <v>106.67247199943577</v>
      </c>
      <c r="G41" s="171">
        <f>Statement!Q146</f>
        <v>132.73760696157615</v>
      </c>
      <c r="I41" s="171">
        <f>Statement!AC146</f>
        <v>154.53760182273862</v>
      </c>
    </row>
    <row r="43" spans="2:9" ht="17" thickBot="1" x14ac:dyDescent="0.25">
      <c r="B43" s="14" t="s">
        <v>248</v>
      </c>
      <c r="C43" s="14"/>
      <c r="D43" s="14"/>
      <c r="E43" s="14"/>
      <c r="F43" s="14"/>
      <c r="G43" s="14"/>
      <c r="I43" s="14"/>
    </row>
    <row r="44" spans="2:9" x14ac:dyDescent="0.2">
      <c r="B44" s="20" t="s">
        <v>249</v>
      </c>
      <c r="C44" s="177">
        <f>Statement!M147</f>
        <v>0.41131820231474525</v>
      </c>
      <c r="D44" s="177">
        <f>Statement!N147</f>
        <v>0.49558843491244742</v>
      </c>
      <c r="E44" s="177">
        <f>Statement!O147</f>
        <v>0.22590627763041557</v>
      </c>
      <c r="F44" s="177">
        <f>Statement!P147</f>
        <v>0.10668498745698186</v>
      </c>
      <c r="G44" s="177">
        <f>Statement!Q147</f>
        <v>5.3835835033981171E-2</v>
      </c>
      <c r="I44" s="177">
        <f>Statement!AC147</f>
        <v>0.1452765258708032</v>
      </c>
    </row>
    <row r="45" spans="2:9" x14ac:dyDescent="0.2">
      <c r="B45" s="20" t="s">
        <v>250</v>
      </c>
      <c r="C45" s="177">
        <f>Statement!M148</f>
        <v>-0.38561551179918835</v>
      </c>
      <c r="D45" s="177">
        <f>Statement!N148</f>
        <v>-0.10601330256549478</v>
      </c>
      <c r="E45" s="177">
        <f>Statement!O148</f>
        <v>-0.37868211643166272</v>
      </c>
      <c r="F45" s="177">
        <f>Statement!P148</f>
        <v>-0.43802236312982967</v>
      </c>
      <c r="G45" s="177">
        <f>Statement!Q148</f>
        <v>-0.34386781357085183</v>
      </c>
      <c r="I45" s="177">
        <f>Statement!AC148</f>
        <v>-0.28867955839709325</v>
      </c>
    </row>
    <row r="46" spans="2:9" x14ac:dyDescent="0.2">
      <c r="B46" s="20" t="s">
        <v>244</v>
      </c>
      <c r="C46" s="177">
        <f>Statement!M149</f>
        <v>5.9649365628604381</v>
      </c>
      <c r="D46" s="177">
        <f>Statement!N149</f>
        <v>2.6090202651226573</v>
      </c>
      <c r="E46" s="177">
        <f>Statement!O149</f>
        <v>3.3847239206095381</v>
      </c>
      <c r="F46" s="177">
        <f>Statement!P149</f>
        <v>3.672355516152269</v>
      </c>
      <c r="G46" s="177">
        <f>Statement!Q149</f>
        <v>3.1409383453036099</v>
      </c>
      <c r="I46" s="177">
        <f>Statement!AC149</f>
        <v>3.7757270043469164</v>
      </c>
    </row>
    <row r="47" spans="2:9" x14ac:dyDescent="0.2">
      <c r="B47" s="20" t="s">
        <v>245</v>
      </c>
      <c r="C47" s="177">
        <f>Statement!M150</f>
        <v>6.6502883506343711</v>
      </c>
      <c r="D47" s="177">
        <f>Statement!N150</f>
        <v>3.5156178576870332</v>
      </c>
      <c r="E47" s="177">
        <f>Statement!O150</f>
        <v>4.1712915059730973</v>
      </c>
      <c r="F47" s="177">
        <f>Statement!P150</f>
        <v>4.4398514988640772</v>
      </c>
      <c r="G47" s="177">
        <f>Statement!Q150</f>
        <v>3.9052638124553058</v>
      </c>
      <c r="I47" s="177">
        <f>Statement!AC150</f>
        <v>4.5889490690160164</v>
      </c>
    </row>
    <row r="48" spans="2:9" x14ac:dyDescent="0.2">
      <c r="B48" s="20" t="s">
        <v>251</v>
      </c>
      <c r="C48" s="179">
        <f>Statement!M151</f>
        <v>48.507246376811594</v>
      </c>
      <c r="D48" s="179" t="str">
        <f>Statement!N151</f>
        <v>N/A</v>
      </c>
      <c r="E48" s="179" t="str">
        <f>Statement!O151</f>
        <v>N/A</v>
      </c>
      <c r="F48" s="179" t="str">
        <f>Statement!P151</f>
        <v>N/A</v>
      </c>
      <c r="G48" s="179" t="str">
        <f>Statement!Q151</f>
        <v>N/A</v>
      </c>
      <c r="I48" s="179" t="str">
        <f>Statement!AC151</f>
        <v>N/A</v>
      </c>
    </row>
    <row r="50" spans="2:9" ht="17" thickBot="1" x14ac:dyDescent="0.25">
      <c r="B50" s="14" t="s">
        <v>260</v>
      </c>
      <c r="C50" s="14"/>
      <c r="D50" s="14"/>
      <c r="E50" s="14"/>
      <c r="F50" s="14"/>
      <c r="G50" s="14"/>
      <c r="I50" s="14"/>
    </row>
    <row r="51" spans="2:9" x14ac:dyDescent="0.2">
      <c r="B51" s="20" t="s">
        <v>258</v>
      </c>
      <c r="C51" s="172">
        <f>Statement!M164</f>
        <v>1.6856392294220666E-2</v>
      </c>
      <c r="D51" s="172">
        <f>Statement!N164</f>
        <v>8.546168958742632E-3</v>
      </c>
      <c r="E51" s="172">
        <f>Statement!O164</f>
        <v>1.9547763395051616E-2</v>
      </c>
      <c r="F51" s="172">
        <f>Statement!P164</f>
        <v>2.061421960454354E-2</v>
      </c>
      <c r="G51" s="172">
        <f>Statement!Q164</f>
        <v>2.6109660574412535E-2</v>
      </c>
      <c r="I51" s="172">
        <f ca="1">Statement!AC164</f>
        <v>3.6620370370370373E-2</v>
      </c>
    </row>
    <row r="52" spans="2:9" x14ac:dyDescent="0.2">
      <c r="B52" s="20" t="s">
        <v>261</v>
      </c>
      <c r="C52" s="172">
        <f>Statement!M163</f>
        <v>1.0525744445642981E-2</v>
      </c>
      <c r="D52" s="172">
        <f>Statement!N163</f>
        <v>2.1678067870696933E-3</v>
      </c>
      <c r="E52" s="172">
        <f>Statement!O163</f>
        <v>1.5231593616513875E-2</v>
      </c>
      <c r="F52" s="172">
        <f>Statement!P163</f>
        <v>1.5962722712993357E-2</v>
      </c>
      <c r="G52" s="172">
        <f>Statement!Q163</f>
        <v>1.9673296252289359E-2</v>
      </c>
      <c r="I52" s="172">
        <f ca="1">Statement!AC163</f>
        <v>2.2916427483486792E-2</v>
      </c>
    </row>
    <row r="53" spans="2:9" x14ac:dyDescent="0.2">
      <c r="B53" s="20" t="s">
        <v>259</v>
      </c>
      <c r="C53" s="172">
        <f>Statement!M165</f>
        <v>7.0052539404553418E-4</v>
      </c>
      <c r="D53" s="172">
        <f>Statement!N165</f>
        <v>7.8585461689587434E-4</v>
      </c>
      <c r="E53" s="172">
        <f>Statement!O165</f>
        <v>2.6216614779616586E-4</v>
      </c>
      <c r="F53" s="172">
        <f>Statement!P165</f>
        <v>2.3839573692329268E-4</v>
      </c>
      <c r="G53" s="172">
        <f>Statement!Q165</f>
        <v>2.1314008632173498E-4</v>
      </c>
      <c r="I53" s="172">
        <f ca="1">Statement!AC165</f>
        <v>1.2962962962962965E-3</v>
      </c>
    </row>
    <row r="54" spans="2:9" x14ac:dyDescent="0.2">
      <c r="B54" s="20" t="s">
        <v>284</v>
      </c>
      <c r="C54" s="172">
        <f>Statement!M166</f>
        <v>0</v>
      </c>
      <c r="D54" s="172">
        <f>Statement!N166</f>
        <v>1.9802195027654824E-2</v>
      </c>
      <c r="E54" s="172">
        <f>Statement!O166</f>
        <v>6.1862125914377451E-3</v>
      </c>
      <c r="F54" s="172">
        <f>Statement!P166</f>
        <v>9.5879879493220143E-3</v>
      </c>
      <c r="G54" s="172">
        <f>Statement!Q166</f>
        <v>8.7343421593672754E-3</v>
      </c>
      <c r="I54" s="172">
        <f ca="1">Statement!AC166</f>
        <v>1.0584334075757923E-2</v>
      </c>
    </row>
    <row r="55" spans="2:9" x14ac:dyDescent="0.2">
      <c r="B55" s="20" t="s">
        <v>286</v>
      </c>
      <c r="C55" s="172">
        <f>Statement!M167</f>
        <v>6.853413893295609E-4</v>
      </c>
      <c r="D55" s="172">
        <f>Statement!N167</f>
        <v>2.0587260633891165E-2</v>
      </c>
      <c r="E55" s="172">
        <f>Statement!O167</f>
        <v>6.4425384042582539E-3</v>
      </c>
      <c r="F55" s="172">
        <f>Statement!P167</f>
        <v>9.8252270743957263E-3</v>
      </c>
      <c r="G55" s="172">
        <f>Statement!Q167</f>
        <v>8.946567107309792E-3</v>
      </c>
      <c r="I55" s="172">
        <f ca="1">Statement!AC167</f>
        <v>1.1880898257215678E-2</v>
      </c>
    </row>
    <row r="57" spans="2:9" ht="17" thickBot="1" x14ac:dyDescent="0.25">
      <c r="B57" s="14" t="s">
        <v>263</v>
      </c>
      <c r="C57" s="14"/>
      <c r="D57" s="14"/>
      <c r="E57" s="14"/>
      <c r="F57" s="14"/>
      <c r="G57" s="14"/>
      <c r="I57" s="14"/>
    </row>
    <row r="58" spans="2:9" x14ac:dyDescent="0.2">
      <c r="B58" s="20" t="s">
        <v>262</v>
      </c>
      <c r="C58" s="172">
        <f>Statement!M170</f>
        <v>6.5110966057441252E-2</v>
      </c>
      <c r="D58" s="172">
        <f>Statement!N170</f>
        <v>0.36214740673339402</v>
      </c>
      <c r="E58" s="172">
        <f>Statement!O170</f>
        <v>1.6828561690524879E-2</v>
      </c>
      <c r="F58" s="172">
        <f>Statement!P170</f>
        <v>1.4862071423479934E-2</v>
      </c>
      <c r="G58" s="172">
        <f>Statement!Q170</f>
        <v>1.0787462620445233E-2</v>
      </c>
      <c r="I58" s="172">
        <f>Statement!AC170</f>
        <v>5.6577936608663705E-2</v>
      </c>
    </row>
    <row r="59" spans="2:9" x14ac:dyDescent="0.2">
      <c r="B59" s="20" t="s">
        <v>264</v>
      </c>
      <c r="C59" s="172">
        <f>Statement!M171</f>
        <v>0</v>
      </c>
      <c r="D59" s="172">
        <f>Statement!N171</f>
        <v>9.1346678798908094</v>
      </c>
      <c r="E59" s="172">
        <f>Statement!O171</f>
        <v>0.40614349011588274</v>
      </c>
      <c r="F59" s="172">
        <f>Statement!P171</f>
        <v>0.60064865635469389</v>
      </c>
      <c r="G59" s="172">
        <f>Statement!Q171</f>
        <v>0.44396943183076754</v>
      </c>
      <c r="I59" s="172">
        <f>Statement!AC171</f>
        <v>0.46186667111986907</v>
      </c>
    </row>
    <row r="60" spans="2:9" x14ac:dyDescent="0.2">
      <c r="B60" s="20" t="s">
        <v>265</v>
      </c>
      <c r="C60" s="172">
        <f>Statement!M172</f>
        <v>6.5110966057441252E-2</v>
      </c>
      <c r="D60" s="172">
        <f>Statement!N172</f>
        <v>9.4968152866242033</v>
      </c>
      <c r="E60" s="172">
        <f>Statement!O172</f>
        <v>0.42297205180640762</v>
      </c>
      <c r="F60" s="172">
        <f>Statement!P172</f>
        <v>0.61551072777817373</v>
      </c>
      <c r="G60" s="172">
        <f>Statement!Q172</f>
        <v>0.45475689445121276</v>
      </c>
      <c r="I60" s="172">
        <f>Statement!AC172</f>
        <v>0.51844460772853274</v>
      </c>
    </row>
    <row r="62" spans="2:9" ht="17" thickBot="1" x14ac:dyDescent="0.25">
      <c r="B62" s="14" t="s">
        <v>271</v>
      </c>
      <c r="C62" s="14"/>
      <c r="D62" s="14"/>
      <c r="E62" s="14"/>
      <c r="F62" s="14"/>
      <c r="G62" s="14"/>
      <c r="I62" s="14"/>
    </row>
    <row r="63" spans="2:9" x14ac:dyDescent="0.2">
      <c r="B63" s="20" t="s">
        <v>269</v>
      </c>
      <c r="C63" s="172">
        <f>Statement!M173</f>
        <v>3.9623381718320909E-2</v>
      </c>
      <c r="D63" s="172">
        <f>Statement!N173</f>
        <v>3.9759036144578312E-2</v>
      </c>
      <c r="E63" s="172">
        <f>Statement!O173</f>
        <v>4.118811881188119E-2</v>
      </c>
      <c r="F63" s="172">
        <f>Statement!P173</f>
        <v>4.1380989086778369E-2</v>
      </c>
      <c r="G63" s="172">
        <f>Statement!Q173</f>
        <v>3.9133101615211614E-2</v>
      </c>
      <c r="I63" s="172">
        <f>Statement!AC173</f>
        <v>3.9553626782393055E-2</v>
      </c>
    </row>
    <row r="65" spans="2:9" ht="17" thickBot="1" x14ac:dyDescent="0.25">
      <c r="B65" s="14" t="s">
        <v>277</v>
      </c>
      <c r="C65" s="14"/>
      <c r="D65" s="14"/>
      <c r="E65" s="14"/>
      <c r="F65" s="14"/>
      <c r="G65" s="14"/>
      <c r="I65" s="14"/>
    </row>
    <row r="66" spans="2:9" x14ac:dyDescent="0.2">
      <c r="B66" s="20" t="s">
        <v>270</v>
      </c>
      <c r="C66" s="171">
        <f>Statement!M174</f>
        <v>0.84494023904382465</v>
      </c>
      <c r="D66" s="171">
        <f>Statement!N174</f>
        <v>0.53829959514170045</v>
      </c>
      <c r="E66" s="171">
        <f>Statement!O174</f>
        <v>1.0393600000000001</v>
      </c>
      <c r="F66" s="171">
        <f>Statement!P174</f>
        <v>1.7709016393442623</v>
      </c>
      <c r="G66" s="171">
        <f>Statement!Q174</f>
        <v>2.5743209876543212</v>
      </c>
      <c r="I66" s="171">
        <f>Statement!AC174</f>
        <v>4.1231950207468877</v>
      </c>
    </row>
    <row r="67" spans="2:9" x14ac:dyDescent="0.2">
      <c r="B67" s="20" t="s">
        <v>278</v>
      </c>
      <c r="C67" s="171">
        <f>Statement!M177</f>
        <v>0.40884462151394424</v>
      </c>
      <c r="D67" s="171">
        <f>Statement!N177</f>
        <v>9.4858299595141707E-2</v>
      </c>
      <c r="E67" s="171">
        <f>Statement!O177</f>
        <v>0.65100000000000002</v>
      </c>
      <c r="F67" s="171">
        <f>Statement!P177</f>
        <v>1.4240573770491802</v>
      </c>
      <c r="G67" s="171">
        <f>Statement!Q177</f>
        <v>2.2258436213991768</v>
      </c>
      <c r="I67" s="171">
        <f>Statement!AC177</f>
        <v>2.742863070539419</v>
      </c>
    </row>
    <row r="68" spans="2:9" x14ac:dyDescent="0.2">
      <c r="B68" s="20" t="s">
        <v>283</v>
      </c>
      <c r="C68" s="193">
        <f>Statement!M178</f>
        <v>1.7626499592230463E-2</v>
      </c>
      <c r="D68" s="193">
        <f>Statement!N178</f>
        <v>4.6216299382204652E-3</v>
      </c>
      <c r="E68" s="193">
        <f>Statement!O178</f>
        <v>1.0561272414313365E-2</v>
      </c>
      <c r="F68" s="193">
        <f>Statement!P178</f>
        <v>9.8841101665902813E-3</v>
      </c>
      <c r="G68" s="193">
        <f>Statement!Q178</f>
        <v>1.1785239203608671E-2</v>
      </c>
      <c r="I68" s="193">
        <f ca="1">Statement!AC178</f>
        <v>1.2648580591337359E-2</v>
      </c>
    </row>
    <row r="70" spans="2:9" ht="17" thickBot="1" x14ac:dyDescent="0.25">
      <c r="B70" s="14" t="s">
        <v>298</v>
      </c>
      <c r="C70" s="14"/>
      <c r="D70" s="14"/>
      <c r="E70" s="14"/>
      <c r="F70" s="14"/>
      <c r="G70" s="14"/>
      <c r="I70" s="14"/>
    </row>
    <row r="71" spans="2:9" x14ac:dyDescent="0.2">
      <c r="B71" s="20" t="s">
        <v>272</v>
      </c>
      <c r="C71" s="172">
        <f>Statement!M175</f>
        <v>0.22002635046113306</v>
      </c>
      <c r="D71" s="172">
        <f>Statement!N175</f>
        <v>0.48023400106364122</v>
      </c>
      <c r="E71" s="172">
        <f>Statement!O175</f>
        <v>0.1263438946244215</v>
      </c>
      <c r="F71" s="172">
        <f>Statement!P175</f>
        <v>7.3912839956934887E-2</v>
      </c>
      <c r="G71" s="172">
        <f>Statement!Q175</f>
        <v>6.217021359450145E-2</v>
      </c>
      <c r="I71" s="172">
        <f>Statement!AC175</f>
        <v>5.3899569071382318E-2</v>
      </c>
    </row>
    <row r="72" spans="2:9" x14ac:dyDescent="0.2">
      <c r="B72" s="20" t="s">
        <v>273</v>
      </c>
      <c r="C72" s="172">
        <f>Statement!M176</f>
        <v>7.4459389165490081E-2</v>
      </c>
      <c r="D72" s="172">
        <f>Statement!N176</f>
        <v>0.10043004374582931</v>
      </c>
      <c r="E72" s="172">
        <f>Statement!O176</f>
        <v>5.8254817635665278E-2</v>
      </c>
      <c r="F72" s="172">
        <f>Statement!P176</f>
        <v>3.629968505023104E-2</v>
      </c>
      <c r="G72" s="172">
        <f>Statement!Q176</f>
        <v>2.9573303448211987E-2</v>
      </c>
      <c r="I72" s="172">
        <f>Statement!AC176</f>
        <v>2.3903435665035038E-2</v>
      </c>
    </row>
    <row r="74" spans="2:9" ht="17" thickBot="1" x14ac:dyDescent="0.25">
      <c r="B74" s="14" t="s">
        <v>299</v>
      </c>
      <c r="C74" s="14"/>
      <c r="D74" s="14"/>
      <c r="E74" s="14"/>
      <c r="F74" s="14"/>
      <c r="G74" s="14"/>
      <c r="I74" s="14"/>
    </row>
    <row r="75" spans="2:9" x14ac:dyDescent="0.2">
      <c r="B75" s="20" t="s">
        <v>296</v>
      </c>
      <c r="C75" s="172">
        <f>Statement!M179</f>
        <v>3.6263654603552055E-2</v>
      </c>
      <c r="D75" s="172">
        <f>Statement!N179</f>
        <v>6.7954326388373995E-2</v>
      </c>
      <c r="E75" s="172">
        <f>Statement!O179</f>
        <v>1.7547027346442992E-2</v>
      </c>
      <c r="F75" s="172">
        <f>Statement!P179</f>
        <v>2.4797504923484832E-2</v>
      </c>
      <c r="G75" s="172">
        <f>Statement!Q179</f>
        <v>2.7980253591308617E-2</v>
      </c>
      <c r="I75" s="172">
        <f>Statement!AC179</f>
        <v>2.4276411117969163E-2</v>
      </c>
    </row>
    <row r="76" spans="2:9" x14ac:dyDescent="0.2">
      <c r="B76" s="20" t="s">
        <v>293</v>
      </c>
      <c r="C76" s="172">
        <f>Statement!M180</f>
        <v>0.10715854194115064</v>
      </c>
      <c r="D76" s="172">
        <f>Statement!N180</f>
        <v>0.32494238610175502</v>
      </c>
      <c r="E76" s="172">
        <f>Statement!O180</f>
        <v>3.8056247775008899E-2</v>
      </c>
      <c r="F76" s="172">
        <f>Statement!P180</f>
        <v>5.0492284167329808E-2</v>
      </c>
      <c r="G76" s="172">
        <f>Statement!Q180</f>
        <v>5.8821238731283712E-2</v>
      </c>
      <c r="I76" s="172">
        <f>Statement!AC180</f>
        <v>5.4740586926265808E-2</v>
      </c>
    </row>
    <row r="77" spans="2:9" x14ac:dyDescent="0.2">
      <c r="B77" s="20" t="s">
        <v>294</v>
      </c>
      <c r="C77" s="172">
        <f>Statement!M181</f>
        <v>0.83134582623509368</v>
      </c>
      <c r="D77" s="172">
        <f>Statement!N181</f>
        <v>1.1871761658031088</v>
      </c>
      <c r="E77" s="172">
        <f>Statement!O181</f>
        <v>0.70888594164456231</v>
      </c>
      <c r="F77" s="172">
        <f>Statement!P181</f>
        <v>1.7360515021459229</v>
      </c>
      <c r="G77" s="172">
        <f>Statement!Q181</f>
        <v>2.1252198381990857</v>
      </c>
      <c r="I77" s="172">
        <f>Statement!AC181</f>
        <v>1.9948467588825602</v>
      </c>
    </row>
    <row r="79" spans="2:9" ht="17" thickBot="1" x14ac:dyDescent="0.25">
      <c r="B79" s="14" t="s">
        <v>114</v>
      </c>
      <c r="C79" s="14"/>
      <c r="D79" s="14"/>
      <c r="E79" s="14"/>
      <c r="F79" s="14"/>
      <c r="G79" s="14"/>
      <c r="I79" s="14"/>
    </row>
    <row r="80" spans="2:9" x14ac:dyDescent="0.2">
      <c r="B80" s="20" t="s">
        <v>19</v>
      </c>
      <c r="C80" s="172">
        <f>Statement!M88</f>
        <v>1</v>
      </c>
      <c r="D80" s="172">
        <f>Statement!N88</f>
        <v>2.2293230289068887E-3</v>
      </c>
      <c r="E80" s="172">
        <f>Statement!O88</f>
        <v>1.2585452658115222</v>
      </c>
      <c r="F80" s="172">
        <f>Statement!P88</f>
        <v>1.1420340763599357</v>
      </c>
      <c r="G80" s="172">
        <f>Statement!Q88</f>
        <v>0.65473535790094795</v>
      </c>
      <c r="I80" s="194"/>
    </row>
    <row r="81" spans="2:9" x14ac:dyDescent="0.2">
      <c r="B81" s="20" t="s">
        <v>20</v>
      </c>
      <c r="C81" s="172">
        <f>Statement!M89</f>
        <v>1</v>
      </c>
      <c r="D81" s="172">
        <f>Statement!N89</f>
        <v>0.23085072571246953</v>
      </c>
      <c r="E81" s="172">
        <f>Statement!O89</f>
        <v>0.43062489240833191</v>
      </c>
      <c r="F81" s="172">
        <f>Statement!P89</f>
        <v>0.9637205944287347</v>
      </c>
      <c r="G81" s="172">
        <f>Statement!Q89</f>
        <v>0.91412114341738415</v>
      </c>
      <c r="I81" s="194"/>
    </row>
    <row r="82" spans="2:9" x14ac:dyDescent="0.2">
      <c r="B82" s="20" t="s">
        <v>21</v>
      </c>
      <c r="C82" s="172">
        <f>Statement!M90</f>
        <v>1</v>
      </c>
      <c r="D82" s="172">
        <f>Statement!N90</f>
        <v>-0.12125894134477826</v>
      </c>
      <c r="E82" s="172">
        <f>Statement!O90</f>
        <v>1.8849309716071894</v>
      </c>
      <c r="F82" s="172">
        <f>Statement!P90</f>
        <v>1.208934335568046</v>
      </c>
      <c r="G82" s="172">
        <f>Statement!Q90</f>
        <v>0.56822130025138462</v>
      </c>
      <c r="I82" s="194"/>
    </row>
    <row r="83" spans="2:9" x14ac:dyDescent="0.2">
      <c r="B83" s="20" t="s">
        <v>23</v>
      </c>
      <c r="C83" s="172">
        <f>Statement!M93</f>
        <v>1</v>
      </c>
      <c r="D83" s="172">
        <f>Statement!N93</f>
        <v>0.49744417541027708</v>
      </c>
      <c r="E83" s="172">
        <f>Statement!O93</f>
        <v>1.7696730147323033E-2</v>
      </c>
      <c r="F83" s="172">
        <f>Statement!P93</f>
        <v>0.44805366757878012</v>
      </c>
      <c r="G83" s="172">
        <f>Statement!Q93</f>
        <v>0.40664431575739102</v>
      </c>
      <c r="I83" s="194"/>
    </row>
    <row r="84" spans="2:9" x14ac:dyDescent="0.2">
      <c r="B84" s="20" t="s">
        <v>300</v>
      </c>
      <c r="C84" s="172">
        <f>Statement!M94</f>
        <v>1</v>
      </c>
      <c r="D84" s="172">
        <f>Statement!N94</f>
        <v>-0.57932476844935765</v>
      </c>
      <c r="E84" s="172">
        <f>Statement!O94</f>
        <v>6.8058712121212119</v>
      </c>
      <c r="F84" s="172">
        <f>Statement!P94</f>
        <v>1.470368797767803</v>
      </c>
      <c r="G84" s="172">
        <f>Statement!Q94</f>
        <v>0.60076363055995485</v>
      </c>
      <c r="I84" s="194"/>
    </row>
    <row r="85" spans="2:9" x14ac:dyDescent="0.2">
      <c r="B85" s="20" t="s">
        <v>301</v>
      </c>
      <c r="C85" s="172">
        <f>Statement!M96</f>
        <v>1</v>
      </c>
      <c r="D85" s="172">
        <f>Statement!N96</f>
        <v>-0.55209187858900743</v>
      </c>
      <c r="E85" s="172">
        <f>Statement!O96</f>
        <v>5.813186813186813</v>
      </c>
      <c r="F85" s="172">
        <f>Statement!P96</f>
        <v>1.4489247311827957</v>
      </c>
      <c r="G85" s="172">
        <f>Statement!Q96</f>
        <v>0.6474615806805708</v>
      </c>
      <c r="I85" s="194"/>
    </row>
    <row r="88" spans="2:9" ht="17" thickBot="1" x14ac:dyDescent="0.25">
      <c r="B88" s="14" t="s">
        <v>302</v>
      </c>
      <c r="C88" s="14"/>
      <c r="D88" s="14"/>
      <c r="E88" s="14"/>
      <c r="F88" s="14"/>
      <c r="G88" s="14"/>
      <c r="I88" s="14"/>
    </row>
    <row r="89" spans="2:9" x14ac:dyDescent="0.2">
      <c r="B89" s="220" t="s">
        <v>359</v>
      </c>
      <c r="C89" s="172">
        <f>Statement!M196</f>
        <v>0</v>
      </c>
      <c r="D89" s="172">
        <f>Statement!N196</f>
        <v>0</v>
      </c>
      <c r="E89" s="172">
        <f>Statement!O196</f>
        <v>0</v>
      </c>
      <c r="F89" s="172">
        <f>Statement!P196</f>
        <v>1</v>
      </c>
      <c r="G89" s="172">
        <f>Statement!Q196</f>
        <v>0.96364041936203437</v>
      </c>
      <c r="I89" s="194"/>
    </row>
    <row r="90" spans="2:9" x14ac:dyDescent="0.2">
      <c r="B90" s="220" t="s">
        <v>360</v>
      </c>
      <c r="C90" s="172">
        <f>Statement!M197</f>
        <v>0</v>
      </c>
      <c r="D90" s="172">
        <f>Statement!N197</f>
        <v>0</v>
      </c>
      <c r="E90" s="172">
        <f>Statement!O197</f>
        <v>0</v>
      </c>
      <c r="F90" s="172">
        <f>Statement!P197</f>
        <v>1</v>
      </c>
      <c r="G90" s="172">
        <f>Statement!Q197</f>
        <v>0.43510343704186349</v>
      </c>
      <c r="I90" s="194"/>
    </row>
    <row r="91" spans="2:9" x14ac:dyDescent="0.2">
      <c r="B91" s="20" t="s">
        <v>361</v>
      </c>
      <c r="C91" s="172">
        <f>Statement!M198</f>
        <v>0</v>
      </c>
      <c r="D91" s="172">
        <f>Statement!N198</f>
        <v>0</v>
      </c>
      <c r="E91" s="172">
        <f>Statement!O198</f>
        <v>0</v>
      </c>
      <c r="F91" s="172">
        <f>Statement!P198</f>
        <v>1</v>
      </c>
      <c r="G91" s="172">
        <f>Statement!Q198</f>
        <v>0.68194919521469621</v>
      </c>
      <c r="I91" s="194"/>
    </row>
    <row r="92" spans="2:9" x14ac:dyDescent="0.2">
      <c r="B92" s="20" t="s">
        <v>362</v>
      </c>
      <c r="C92" s="172">
        <f>Statement!M199</f>
        <v>0</v>
      </c>
      <c r="D92" s="172">
        <f>Statement!N199</f>
        <v>0</v>
      </c>
      <c r="E92" s="172">
        <f>Statement!O199</f>
        <v>0</v>
      </c>
      <c r="F92" s="172">
        <f>Statement!P199</f>
        <v>1</v>
      </c>
      <c r="G92" s="172">
        <f>Statement!Q199</f>
        <v>0.4500032656260205</v>
      </c>
      <c r="I92" s="194"/>
    </row>
    <row r="94" spans="2:9" ht="17" thickBot="1" x14ac:dyDescent="0.25">
      <c r="B94" s="14" t="s">
        <v>304</v>
      </c>
      <c r="C94" s="14"/>
      <c r="D94" s="14"/>
      <c r="E94" s="14"/>
      <c r="F94" s="14"/>
      <c r="G94" s="14"/>
      <c r="I94" s="14"/>
    </row>
    <row r="95" spans="2:9" x14ac:dyDescent="0.2">
      <c r="B95" s="20" t="s">
        <v>276</v>
      </c>
      <c r="C95" s="172">
        <f>Statement!M202</f>
        <v>0</v>
      </c>
      <c r="D95" s="172">
        <f>Statement!N203</f>
        <v>-2.5062656641604009E-3</v>
      </c>
      <c r="E95" s="172">
        <f>Statement!O203</f>
        <v>-7.537688442211055E-3</v>
      </c>
      <c r="F95" s="172">
        <f>Statement!P203</f>
        <v>1.1113924050632911</v>
      </c>
      <c r="G95" s="172">
        <f>Statement!Q203</f>
        <v>0.16786570743405277</v>
      </c>
      <c r="I95"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305</v>
      </c>
      <c r="D3" s="247"/>
      <c r="F3" s="248" t="s">
        <v>306</v>
      </c>
      <c r="G3" s="247"/>
    </row>
    <row r="4" spans="2:7" x14ac:dyDescent="0.2">
      <c r="B4" s="8"/>
      <c r="C4" s="10" t="str">
        <f>Statement!Z2</f>
        <v>26.04.2026</v>
      </c>
      <c r="D4" s="200" t="str">
        <f>Statement!AA2</f>
        <v>26.07.2026</v>
      </c>
      <c r="F4" s="201" t="str">
        <f>Statement!W2</f>
        <v>27.07.2025</v>
      </c>
      <c r="G4" s="200" t="str">
        <f>Statement!AA2</f>
        <v>26.07.2026</v>
      </c>
    </row>
    <row r="5" spans="2:7" x14ac:dyDescent="0.2">
      <c r="B5" s="8" t="s">
        <v>311</v>
      </c>
      <c r="C5" s="10" t="str">
        <f>Statement!Z3</f>
        <v>Q1 2027</v>
      </c>
      <c r="D5" s="200" t="str">
        <f>Statement!AA3</f>
        <v>Q2 2027</v>
      </c>
      <c r="F5" s="201" t="str">
        <f>Statement!W3</f>
        <v>Q2 2026</v>
      </c>
      <c r="G5" s="200" t="str">
        <f>Statement!AA3</f>
        <v>Q2 2027</v>
      </c>
    </row>
    <row r="6" spans="2:7" x14ac:dyDescent="0.2">
      <c r="B6" s="202" t="s">
        <v>19</v>
      </c>
      <c r="C6" s="196">
        <f>Statement!Z5</f>
        <v>81615</v>
      </c>
      <c r="D6" s="195">
        <f>Statement!AA5</f>
        <v>96221</v>
      </c>
      <c r="F6" s="196">
        <f>Statement!W5</f>
        <v>46743</v>
      </c>
      <c r="G6" s="195">
        <f>Statement!AA5</f>
        <v>96221</v>
      </c>
    </row>
    <row r="7" spans="2:7" x14ac:dyDescent="0.2">
      <c r="B7" s="203" t="s">
        <v>307</v>
      </c>
      <c r="C7" s="249">
        <f>Statement!AA88</f>
        <v>0.17896220057587453</v>
      </c>
      <c r="D7" s="250"/>
      <c r="F7" s="249">
        <f>IF(F6=0,
IF(G6=0,0,IF(G6&gt;0,1,-1)),
(G6-F6)/ABS(F6)
)</f>
        <v>1.0585114348672529</v>
      </c>
      <c r="G7" s="250"/>
    </row>
    <row r="8" spans="2:7" x14ac:dyDescent="0.2">
      <c r="B8" s="204" t="s">
        <v>20</v>
      </c>
      <c r="C8" s="197">
        <f>Statement!Z6</f>
        <v>20458</v>
      </c>
      <c r="D8" s="195">
        <f>Statement!AA6</f>
        <v>24079</v>
      </c>
      <c r="F8" s="197">
        <f>Statement!W6</f>
        <v>12890</v>
      </c>
      <c r="G8" s="195">
        <f>Statement!AA6</f>
        <v>24079</v>
      </c>
    </row>
    <row r="9" spans="2:7" x14ac:dyDescent="0.2">
      <c r="B9" s="203" t="s">
        <v>307</v>
      </c>
      <c r="C9" s="249">
        <f>Statement!AA89</f>
        <v>0.17699677387818946</v>
      </c>
      <c r="D9" s="250"/>
      <c r="F9" s="249">
        <f>IF(F8=0,
IF(G8=0,0,IF(G8&gt;0,1,-1)),
(G8-F8)/ABS(F8)
)</f>
        <v>0.86803723816912337</v>
      </c>
      <c r="G9" s="250"/>
    </row>
    <row r="10" spans="2:7" x14ac:dyDescent="0.2">
      <c r="B10" s="204" t="s">
        <v>21</v>
      </c>
      <c r="C10" s="197">
        <f>Statement!Z7</f>
        <v>61157</v>
      </c>
      <c r="D10" s="195">
        <f>Statement!AA7</f>
        <v>72142</v>
      </c>
      <c r="F10" s="197">
        <f>Statement!W7</f>
        <v>33853</v>
      </c>
      <c r="G10" s="195">
        <f>Statement!AA7</f>
        <v>72142</v>
      </c>
    </row>
    <row r="11" spans="2:7" x14ac:dyDescent="0.2">
      <c r="B11" s="203" t="s">
        <v>307</v>
      </c>
      <c r="C11" s="249">
        <f>Statement!AA90</f>
        <v>0.17961966741337868</v>
      </c>
      <c r="D11" s="250"/>
      <c r="F11" s="249">
        <f>IF(F10=0,
IF(G10=0,0,IF(G10&gt;0,1,-1)),
(G10-F10)/ABS(F10)
)</f>
        <v>1.1310371311257497</v>
      </c>
      <c r="G11" s="250"/>
    </row>
    <row r="12" spans="2:7" x14ac:dyDescent="0.2">
      <c r="B12" s="204" t="s">
        <v>23</v>
      </c>
      <c r="C12" s="197">
        <f>Statement!Z10</f>
        <v>7621</v>
      </c>
      <c r="D12" s="195">
        <f>Statement!AA10</f>
        <v>8408</v>
      </c>
      <c r="F12" s="197">
        <f>Statement!W10</f>
        <v>5413</v>
      </c>
      <c r="G12" s="195">
        <f>Statement!AA10</f>
        <v>8408</v>
      </c>
    </row>
    <row r="13" spans="2:7" x14ac:dyDescent="0.2">
      <c r="B13" s="203" t="s">
        <v>307</v>
      </c>
      <c r="C13" s="249">
        <f>Statement!AA93</f>
        <v>0.10326728775751214</v>
      </c>
      <c r="D13" s="250"/>
      <c r="F13" s="249">
        <f>IF(F12=0,
IF(G12=0,0,IF(G12&gt;0,1,-1)),
(G12-F12)/ABS(F12)
)</f>
        <v>0.55329761684832812</v>
      </c>
      <c r="G13" s="250"/>
    </row>
    <row r="14" spans="2:7" x14ac:dyDescent="0.2">
      <c r="B14" s="204" t="s">
        <v>308</v>
      </c>
      <c r="C14" s="197">
        <f>Statement!Z11</f>
        <v>53536</v>
      </c>
      <c r="D14" s="195">
        <f>Statement!AA11</f>
        <v>63734</v>
      </c>
      <c r="F14" s="197">
        <f>Statement!W11</f>
        <v>28440</v>
      </c>
      <c r="G14" s="195">
        <f>Statement!AA11</f>
        <v>63734</v>
      </c>
    </row>
    <row r="15" spans="2:7" x14ac:dyDescent="0.2">
      <c r="B15" s="203" t="s">
        <v>307</v>
      </c>
      <c r="C15" s="249">
        <f>Statement!AA94</f>
        <v>0.19048864315600716</v>
      </c>
      <c r="D15" s="250"/>
      <c r="F15" s="249">
        <f>IF(F14=0,
IF(G14=0,0,IF(G14&gt;0,1,-1)),
(G14-F14)/ABS(F14)
)</f>
        <v>1.240998593530239</v>
      </c>
      <c r="G15" s="250"/>
    </row>
    <row r="16" spans="2:7" x14ac:dyDescent="0.2">
      <c r="B16" s="204" t="s">
        <v>29</v>
      </c>
      <c r="C16" s="197">
        <f>Statement!Z17</f>
        <v>58321</v>
      </c>
      <c r="D16" s="195">
        <f>Statement!AA17</f>
        <v>59688</v>
      </c>
      <c r="F16" s="197">
        <f>Statement!W17</f>
        <v>26422</v>
      </c>
      <c r="G16" s="195">
        <f>Statement!AA17</f>
        <v>59688</v>
      </c>
    </row>
    <row r="17" spans="2:7" x14ac:dyDescent="0.2">
      <c r="B17" s="203" t="s">
        <v>307</v>
      </c>
      <c r="C17" s="249">
        <f>Statement!AA96</f>
        <v>2.3439241439618664E-2</v>
      </c>
      <c r="D17" s="250"/>
      <c r="F17" s="249">
        <f>IF(F16=0,
IF(G16=0,0,IF(G16&gt;0,1,-1)),
(G16-F16)/ABS(F16)
)</f>
        <v>1.2590265687684505</v>
      </c>
      <c r="G17" s="250"/>
    </row>
    <row r="18" spans="2:7" x14ac:dyDescent="0.2">
      <c r="B18" s="204" t="s">
        <v>309</v>
      </c>
      <c r="C18" s="197">
        <f>Statement!Z21</f>
        <v>24391</v>
      </c>
      <c r="D18" s="195">
        <f>Statement!AA21</f>
        <v>24285</v>
      </c>
      <c r="F18" s="197">
        <f>Statement!W21</f>
        <v>24532</v>
      </c>
      <c r="G18" s="195">
        <f>Statement!AA21</f>
        <v>24285</v>
      </c>
    </row>
    <row r="19" spans="2:7" x14ac:dyDescent="0.2">
      <c r="B19" s="203" t="s">
        <v>307</v>
      </c>
      <c r="C19" s="249">
        <f>IF(C18=0,
IF(D18=0,0,IF(D18&gt;0,1,-1)),
(D18-C18)/ABS(C18)
)</f>
        <v>-4.3458652781763769E-3</v>
      </c>
      <c r="D19" s="250"/>
      <c r="F19" s="249">
        <f>IF(F18=0,
IF(G18=0,0,IF(G18&gt;0,1,-1)),
(G18-F18)/ABS(F18)
)</f>
        <v>-1.0068481982716452E-2</v>
      </c>
      <c r="G19" s="250"/>
    </row>
    <row r="20" spans="2:7" x14ac:dyDescent="0.2">
      <c r="B20" s="204" t="s">
        <v>36</v>
      </c>
      <c r="C20" s="198">
        <f>Statement!Z25</f>
        <v>2.39</v>
      </c>
      <c r="D20" s="199">
        <f>Statement!AA25</f>
        <v>2.46</v>
      </c>
      <c r="F20" s="198">
        <f>Statement!W25</f>
        <v>1.08</v>
      </c>
      <c r="G20" s="199">
        <f>Statement!AA25</f>
        <v>2.46</v>
      </c>
    </row>
    <row r="21" spans="2:7" x14ac:dyDescent="0.2">
      <c r="B21" s="203" t="s">
        <v>307</v>
      </c>
      <c r="C21" s="249">
        <f>IF(C20=0,
IF(D20=0,0,IF(D20&gt;0,1,-1)),
(D20-C20)/ABS(C20)
)</f>
        <v>2.9288702928870224E-2</v>
      </c>
      <c r="D21" s="250"/>
      <c r="F21" s="249">
        <f>IF(F20=0,
IF(G20=0,0,IF(G20&gt;0,1,-1)),
(G20-F20)/ABS(F20)
)</f>
        <v>1.2777777777777777</v>
      </c>
      <c r="G21" s="250"/>
    </row>
    <row r="23" spans="2:7" x14ac:dyDescent="0.2">
      <c r="B23" s="8" t="s">
        <v>310</v>
      </c>
      <c r="C23" s="10" t="str">
        <f>C5</f>
        <v>Q1 2027</v>
      </c>
      <c r="D23" s="200" t="str">
        <f>D5</f>
        <v>Q2 2027</v>
      </c>
      <c r="F23" s="201" t="str">
        <f>F5</f>
        <v>Q2 2026</v>
      </c>
      <c r="G23" s="200" t="str">
        <f>G5</f>
        <v>Q2 2027</v>
      </c>
    </row>
    <row r="24" spans="2:7" x14ac:dyDescent="0.2">
      <c r="B24" s="220" t="s">
        <v>359</v>
      </c>
      <c r="C24" s="197">
        <f>Statement!Z189</f>
        <v>37869</v>
      </c>
      <c r="D24" s="195">
        <f>Statement!AA189</f>
        <v>48710</v>
      </c>
      <c r="F24" s="197">
        <f>Statement!W189</f>
        <v>23883</v>
      </c>
      <c r="G24" s="195">
        <f>Statement!AA189</f>
        <v>48710</v>
      </c>
    </row>
    <row r="25" spans="2:7" x14ac:dyDescent="0.2">
      <c r="B25" s="203" t="s">
        <v>307</v>
      </c>
      <c r="C25" s="249">
        <f>IF(C24=0,
IF(D24=0,0,IF(D24&gt;0,1,-1)),
(D24-C24)/ABS(C24)
)</f>
        <v>0.28627637381499377</v>
      </c>
      <c r="D25" s="250"/>
      <c r="F25" s="249">
        <f>IF(F24=0,
IF(G24=0,0,IF(G24&gt;0,1,-1)),
(G24-F24)/ABS(F24)
)</f>
        <v>1.0395260226939664</v>
      </c>
      <c r="G25" s="250"/>
    </row>
    <row r="26" spans="2:7" x14ac:dyDescent="0.2">
      <c r="B26" s="220" t="s">
        <v>360</v>
      </c>
      <c r="C26" s="197">
        <f>Statement!Z190</f>
        <v>37377</v>
      </c>
      <c r="D26" s="195">
        <f>Statement!AA190</f>
        <v>40313</v>
      </c>
      <c r="F26" s="197">
        <f>Statement!W190</f>
        <v>17213</v>
      </c>
      <c r="G26" s="195">
        <f>Statement!AA190</f>
        <v>40313</v>
      </c>
    </row>
    <row r="27" spans="2:7" x14ac:dyDescent="0.2">
      <c r="B27" s="203" t="s">
        <v>307</v>
      </c>
      <c r="C27" s="249">
        <f>IF(C26=0,
IF(D26=0,0,IF(D26&gt;0,1,-1)),
(D26-C26)/ABS(C26)
)</f>
        <v>7.8550980549535812E-2</v>
      </c>
      <c r="D27" s="250"/>
      <c r="F27" s="249">
        <f>IF(F26=0,
IF(G26=0,0,IF(G26&gt;0,1,-1)),
(G26-F26)/ABS(F26)
)</f>
        <v>1.3420089467263114</v>
      </c>
      <c r="G27" s="250"/>
    </row>
    <row r="28" spans="2:7" x14ac:dyDescent="0.2">
      <c r="B28" s="20" t="s">
        <v>361</v>
      </c>
      <c r="C28" s="197">
        <f>Statement!Z191</f>
        <v>75246</v>
      </c>
      <c r="D28" s="195">
        <f>Statement!AA191</f>
        <v>89023</v>
      </c>
      <c r="F28" s="197">
        <f>Statement!W191</f>
        <v>41096</v>
      </c>
      <c r="G28" s="195">
        <f>Statement!AA191</f>
        <v>89023</v>
      </c>
    </row>
    <row r="29" spans="2:7" x14ac:dyDescent="0.2">
      <c r="B29" s="203" t="s">
        <v>307</v>
      </c>
      <c r="C29" s="249">
        <f>IF(C28=0,
IF(D28=0,0,IF(D28&gt;0,1,-1)),
(D28-C28)/ABS(C28)
)</f>
        <v>0.18309278898546102</v>
      </c>
      <c r="D29" s="250"/>
      <c r="F29" s="249">
        <f>IF(F28=0,
IF(G28=0,0,IF(G28&gt;0,1,-1)),
(G28-F28)/ABS(F28)
)</f>
        <v>1.166220556745182</v>
      </c>
      <c r="G29" s="250"/>
    </row>
    <row r="30" spans="2:7" x14ac:dyDescent="0.2">
      <c r="B30" s="20" t="s">
        <v>362</v>
      </c>
      <c r="C30" s="197">
        <f>Statement!Z192</f>
        <v>6369</v>
      </c>
      <c r="D30" s="197">
        <f>Statement!AA192</f>
        <v>7198</v>
      </c>
      <c r="F30" s="197">
        <f>Statement!W192</f>
        <v>5647</v>
      </c>
      <c r="G30" s="197">
        <f>Statement!AA192</f>
        <v>7198</v>
      </c>
    </row>
    <row r="31" spans="2:7" x14ac:dyDescent="0.2">
      <c r="B31" s="203" t="s">
        <v>307</v>
      </c>
      <c r="C31" s="249">
        <f>IF(C30=0,
IF(D30=0,0,IF(D30&gt;0,1,-1)),
(D30-C30)/ABS(C30)
)</f>
        <v>0.13016172083529595</v>
      </c>
      <c r="D31" s="250"/>
      <c r="F31" s="249">
        <f>IF(F30=0,
IF(G30=0,0,IF(G30&gt;0,1,-1)),
(G30-F30)/ABS(F30)
)</f>
        <v>0.27465911103240659</v>
      </c>
      <c r="G31" s="250"/>
    </row>
  </sheetData>
  <mergeCells count="26">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44"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253</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254</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363</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364</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365</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5">
        <f>Statement!H121</f>
        <v>0</v>
      </c>
      <c r="D68" s="215">
        <f>Statement!I121</f>
        <v>0</v>
      </c>
      <c r="E68" s="215">
        <f>Statement!J121</f>
        <v>0</v>
      </c>
      <c r="F68" s="215">
        <f>Statement!K121</f>
        <v>0</v>
      </c>
      <c r="G68" s="215">
        <f>Statement!L121</f>
        <v>0</v>
      </c>
      <c r="H68" s="215">
        <f>Statement!M121</f>
        <v>0.22069839545567699</v>
      </c>
      <c r="I68" s="215">
        <f>Statement!N121</f>
        <v>0.10606575688407557</v>
      </c>
      <c r="J68" s="215">
        <f>Statement!O121</f>
        <v>0.45277507302823755</v>
      </c>
      <c r="K68" s="215">
        <f>Statement!P121</f>
        <v>0.65304074336251472</v>
      </c>
      <c r="L68" s="215">
        <f>Statement!Q121</f>
        <v>0.5805863551302447</v>
      </c>
    </row>
    <row r="69" spans="2:12" x14ac:dyDescent="0.2">
      <c r="B69" s="20" t="s">
        <v>96</v>
      </c>
      <c r="C69" s="215">
        <f>Statement!H123</f>
        <v>0</v>
      </c>
      <c r="D69" s="215">
        <f>Statement!I123</f>
        <v>0</v>
      </c>
      <c r="E69" s="215">
        <f>Statement!J123</f>
        <v>0</v>
      </c>
      <c r="F69" s="215">
        <f>Statement!K123</f>
        <v>0</v>
      </c>
      <c r="G69" s="215">
        <f>Statement!L123</f>
        <v>0</v>
      </c>
      <c r="H69" s="215">
        <f>Statement!M123</f>
        <v>0.36645122501127303</v>
      </c>
      <c r="I69" s="215">
        <f>Statement!N123</f>
        <v>0.19763811592235647</v>
      </c>
      <c r="J69" s="215">
        <f>Statement!O123</f>
        <v>0.69244729861789756</v>
      </c>
      <c r="K69" s="215">
        <f>Statement!P123</f>
        <v>0.91872880608115781</v>
      </c>
      <c r="L69" s="215">
        <f>Statement!Q123</f>
        <v>0.76333339690895341</v>
      </c>
    </row>
    <row r="70" spans="2:12" x14ac:dyDescent="0.2">
      <c r="B70" s="20" t="s">
        <v>97</v>
      </c>
      <c r="C70" s="215">
        <f>Statement!H142</f>
        <v>0</v>
      </c>
      <c r="D70" s="215">
        <f>Statement!I142</f>
        <v>0</v>
      </c>
      <c r="E70" s="215">
        <f>Statement!J142</f>
        <v>0</v>
      </c>
      <c r="F70" s="215">
        <f>Statement!K142</f>
        <v>0</v>
      </c>
      <c r="G70" s="215">
        <f>Statement!L142</f>
        <v>0</v>
      </c>
      <c r="H70" s="215">
        <f>Statement!M142</f>
        <v>0.60245252494303547</v>
      </c>
      <c r="I70" s="215">
        <f>Statement!N142</f>
        <v>0.21378682052839357</v>
      </c>
      <c r="J70" s="215">
        <f>Statement!O142</f>
        <v>1.0866013555554745</v>
      </c>
      <c r="K70" s="215">
        <f>Statement!P142</f>
        <v>1.5847534085376831</v>
      </c>
      <c r="L70" s="215">
        <f>Statement!Q142</f>
        <v>1.0723937210768841</v>
      </c>
    </row>
    <row r="71" spans="2:12" x14ac:dyDescent="0.2">
      <c r="B71" s="20" t="s">
        <v>379</v>
      </c>
      <c r="C71" s="227">
        <f>Statement!H207</f>
        <v>0</v>
      </c>
      <c r="D71" s="227">
        <f>Statement!I207</f>
        <v>0</v>
      </c>
      <c r="E71" s="227">
        <f>Statement!J207</f>
        <v>0</v>
      </c>
      <c r="F71" s="227">
        <f>Statement!K207</f>
        <v>0</v>
      </c>
      <c r="G71" s="227">
        <f>Statement!L207</f>
        <v>0</v>
      </c>
      <c r="H71" s="227">
        <f>Statement!M207</f>
        <v>100</v>
      </c>
      <c r="I71" s="227">
        <f>Statement!N207</f>
        <v>89.141856392294216</v>
      </c>
      <c r="J71" s="227">
        <f>Statement!O207</f>
        <v>267.20665499124345</v>
      </c>
      <c r="K71" s="227">
        <f>Statement!P207</f>
        <v>624.43082311733804</v>
      </c>
      <c r="L71" s="227">
        <f>Statement!Q207</f>
        <v>821.67250437828375</v>
      </c>
    </row>
    <row r="72" spans="2:12" x14ac:dyDescent="0.2">
      <c r="B72" s="20" t="s">
        <v>380</v>
      </c>
      <c r="C72" s="227">
        <f>Statement!H208</f>
        <v>0</v>
      </c>
      <c r="D72" s="227">
        <f>Statement!I208</f>
        <v>0</v>
      </c>
      <c r="E72" s="227">
        <f>Statement!J208</f>
        <v>0</v>
      </c>
      <c r="F72" s="227">
        <f>Statement!K208</f>
        <v>0</v>
      </c>
      <c r="G72" s="227">
        <f>Statement!L208</f>
        <v>0</v>
      </c>
      <c r="H72" s="227">
        <f>Statement!M208</f>
        <v>100</v>
      </c>
      <c r="I72" s="227">
        <f>Statement!N208</f>
        <v>100.2229323028907</v>
      </c>
      <c r="J72" s="227">
        <f>Statement!O208</f>
        <v>226.35802927844244</v>
      </c>
      <c r="K72" s="227">
        <f>Statement!P208</f>
        <v>484.86661217210371</v>
      </c>
      <c r="L72" s="227">
        <f>Statement!Q208</f>
        <v>802.32592702682621</v>
      </c>
    </row>
    <row r="73" spans="2:12" x14ac:dyDescent="0.2">
      <c r="B73" s="20" t="s">
        <v>381</v>
      </c>
      <c r="C73" s="227">
        <f>Statement!H209</f>
        <v>0</v>
      </c>
      <c r="D73" s="227">
        <f>Statement!I209</f>
        <v>0</v>
      </c>
      <c r="E73" s="227">
        <f>Statement!J209</f>
        <v>0</v>
      </c>
      <c r="F73" s="227">
        <f>Statement!K209</f>
        <v>0</v>
      </c>
      <c r="G73" s="227">
        <f>Statement!L209</f>
        <v>0</v>
      </c>
      <c r="H73" s="227">
        <f>Statement!M209</f>
        <v>100</v>
      </c>
      <c r="I73" s="227">
        <f>Statement!N209</f>
        <v>45.194805194805184</v>
      </c>
      <c r="J73" s="227">
        <f>Statement!O209</f>
        <v>309.87012987012992</v>
      </c>
      <c r="K73" s="227">
        <f>Statement!P209</f>
        <v>763.63636363636363</v>
      </c>
      <c r="L73" s="227">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363</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366</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367</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253</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9"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103</v>
      </c>
    </row>
  </sheetData>
  <hyperlinks>
    <hyperlink ref="H6" location="Overview!B3" display="Overview'!B3" xr:uid="{2887DF58-DFFB-114A-8990-41F77DA26F54}"/>
    <hyperlink ref="H8" location="'Analysis -&gt;'!B13" display="'Analysis -&gt;'!B13" xr:uid="{0AD1E0BC-6275-0D4A-8036-A67BC50CAD73}"/>
    <hyperlink ref="H9" location="'Forecast -&gt;'!B13" display="'Forecast -&gt;'!B13" xr:uid="{C57FB289-D17F-D34E-8088-5B146C03C9F9}"/>
    <hyperlink ref="H10" location="'Valuation -&gt;'!B13" display="'Valuation -&gt;'!B13" xr:uid="{731F71B8-75A4-BD4C-95AB-3063A9FCA837}"/>
    <hyperlink ref="H7" location="'Financials -&gt;'!B13" display="'Financials -&gt;'!B13" xr:uid="{CFE7E2D2-F819-0448-8CA3-51B7B205F47B}"/>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A3"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45" t="s">
        <v>105</v>
      </c>
      <c r="D2" s="245"/>
      <c r="E2" s="245"/>
      <c r="F2" s="245"/>
      <c r="G2" s="254"/>
      <c r="H2" s="255" t="s">
        <v>106</v>
      </c>
      <c r="I2" s="245"/>
      <c r="J2" s="245"/>
      <c r="K2" s="245"/>
      <c r="L2" s="245"/>
      <c r="O2" s="5"/>
      <c r="S2" s="245" t="s">
        <v>105</v>
      </c>
      <c r="T2" s="245"/>
      <c r="U2" s="245"/>
      <c r="V2" s="245"/>
      <c r="W2" s="245"/>
      <c r="X2" s="245"/>
      <c r="Y2" s="245"/>
      <c r="Z2" s="245"/>
      <c r="AA2" s="245" t="s">
        <v>106</v>
      </c>
      <c r="AB2" s="245"/>
      <c r="AC2" s="245"/>
      <c r="AE2" s="85" t="s">
        <v>107</v>
      </c>
    </row>
    <row r="3" spans="1:31" ht="10" customHeight="1" x14ac:dyDescent="0.2">
      <c r="O3" s="5"/>
    </row>
    <row r="4" spans="1:31" ht="16" customHeight="1" x14ac:dyDescent="0.2">
      <c r="A4" s="86"/>
      <c r="B4" s="60"/>
      <c r="C4" s="251" t="s">
        <v>108</v>
      </c>
      <c r="D4" s="251"/>
      <c r="E4" s="251"/>
      <c r="F4" s="251"/>
      <c r="G4" s="251"/>
      <c r="H4" s="251"/>
      <c r="I4" s="251"/>
      <c r="J4" s="251"/>
      <c r="K4" s="251"/>
      <c r="L4" s="251"/>
      <c r="O4" s="5"/>
      <c r="S4" s="252" t="s">
        <v>108</v>
      </c>
      <c r="T4" s="253"/>
      <c r="U4" s="253"/>
      <c r="V4" s="253"/>
      <c r="W4" s="253"/>
      <c r="X4" s="253"/>
      <c r="Y4" s="253"/>
      <c r="Z4" s="253"/>
      <c r="AA4" s="253"/>
      <c r="AB4" s="253"/>
      <c r="AC4" s="253"/>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1"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370</v>
      </c>
      <c r="O6" s="5"/>
      <c r="Q6" s="90" t="s">
        <v>370</v>
      </c>
      <c r="R6" s="221"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1"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371</v>
      </c>
      <c r="O7" s="5"/>
      <c r="Q7" s="90" t="s">
        <v>371</v>
      </c>
      <c r="R7" s="221"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372</v>
      </c>
      <c r="O9" s="5"/>
      <c r="Q9" s="90" t="s">
        <v>372</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51" t="s">
        <v>114</v>
      </c>
      <c r="D12" s="251"/>
      <c r="E12" s="251"/>
      <c r="F12" s="251"/>
      <c r="G12" s="251"/>
      <c r="H12" s="251"/>
      <c r="I12" s="251"/>
      <c r="J12" s="251"/>
      <c r="K12" s="251"/>
      <c r="L12" s="251"/>
      <c r="O12" s="5"/>
      <c r="Q12" s="91"/>
      <c r="S12" s="252" t="s">
        <v>114</v>
      </c>
      <c r="T12" s="253"/>
      <c r="U12" s="253"/>
      <c r="V12" s="253"/>
      <c r="W12" s="253"/>
      <c r="X12" s="253"/>
      <c r="Y12" s="253"/>
      <c r="Z12" s="253"/>
      <c r="AA12" s="253"/>
      <c r="AB12" s="253"/>
      <c r="AC12" s="253"/>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1"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1"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1"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1"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45" t="s">
        <v>105</v>
      </c>
      <c r="D2" s="245"/>
      <c r="E2" s="245"/>
      <c r="F2" s="245"/>
      <c r="G2" s="254"/>
      <c r="H2" s="255" t="s">
        <v>106</v>
      </c>
      <c r="I2" s="245"/>
      <c r="J2" s="245"/>
      <c r="K2" s="245"/>
      <c r="L2" s="245"/>
      <c r="P2" s="245" t="s">
        <v>105</v>
      </c>
      <c r="Q2" s="245"/>
      <c r="R2" s="245"/>
      <c r="S2" s="245"/>
      <c r="T2" s="245"/>
      <c r="U2" s="245"/>
      <c r="V2" s="245"/>
      <c r="W2" s="245"/>
      <c r="X2" s="245" t="s">
        <v>106</v>
      </c>
      <c r="Y2" s="245"/>
      <c r="Z2" s="245"/>
      <c r="AB2" s="85" t="s">
        <v>107</v>
      </c>
    </row>
    <row r="3" spans="1:28" ht="10" customHeight="1" x14ac:dyDescent="0.2"/>
    <row r="4" spans="1:28" ht="16" customHeight="1" x14ac:dyDescent="0.2">
      <c r="A4" s="86"/>
      <c r="B4" s="60"/>
      <c r="C4" s="251" t="s">
        <v>108</v>
      </c>
      <c r="D4" s="251"/>
      <c r="E4" s="251"/>
      <c r="F4" s="251"/>
      <c r="G4" s="251"/>
      <c r="H4" s="251"/>
      <c r="I4" s="251"/>
      <c r="J4" s="251"/>
      <c r="K4" s="251"/>
      <c r="L4" s="251"/>
      <c r="P4" s="253" t="s">
        <v>108</v>
      </c>
      <c r="Q4" s="253"/>
      <c r="R4" s="253"/>
      <c r="S4" s="253"/>
      <c r="T4" s="253"/>
      <c r="U4" s="253"/>
      <c r="V4" s="253"/>
      <c r="W4" s="253"/>
      <c r="X4" s="253"/>
      <c r="Y4" s="253"/>
      <c r="Z4" s="253"/>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51" t="s">
        <v>117</v>
      </c>
      <c r="D9" s="251"/>
      <c r="E9" s="251"/>
      <c r="F9" s="251"/>
      <c r="G9" s="251"/>
      <c r="H9" s="251"/>
      <c r="I9" s="251"/>
      <c r="J9" s="251"/>
      <c r="K9" s="251"/>
      <c r="L9" s="251"/>
      <c r="N9" s="91"/>
      <c r="P9" s="253" t="s">
        <v>118</v>
      </c>
      <c r="Q9" s="253"/>
      <c r="R9" s="253"/>
      <c r="S9" s="253"/>
      <c r="T9" s="253"/>
      <c r="U9" s="253"/>
      <c r="V9" s="253"/>
      <c r="W9" s="253"/>
      <c r="X9" s="253"/>
      <c r="Y9" s="253"/>
      <c r="Z9" s="253"/>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51" t="s">
        <v>120</v>
      </c>
      <c r="D17" s="251"/>
      <c r="E17" s="251"/>
      <c r="F17" s="251"/>
      <c r="G17" s="251"/>
      <c r="H17" s="251"/>
      <c r="I17" s="251"/>
      <c r="J17" s="251"/>
      <c r="K17" s="251"/>
      <c r="L17" s="251"/>
      <c r="P17" s="253" t="s">
        <v>120</v>
      </c>
      <c r="Q17" s="253"/>
      <c r="R17" s="253"/>
      <c r="S17" s="253"/>
      <c r="T17" s="253"/>
      <c r="U17" s="253"/>
      <c r="V17" s="253"/>
      <c r="W17" s="253"/>
      <c r="X17" s="253"/>
      <c r="Y17" s="253"/>
      <c r="Z17" s="253"/>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45" t="s">
        <v>105</v>
      </c>
      <c r="D3" s="245"/>
      <c r="E3" s="245"/>
      <c r="F3" s="245"/>
      <c r="G3" s="254"/>
      <c r="H3" s="255" t="s">
        <v>106</v>
      </c>
      <c r="I3" s="245"/>
      <c r="J3" s="245"/>
      <c r="K3" s="245"/>
      <c r="L3" s="245"/>
      <c r="P3" s="256"/>
      <c r="Q3" s="256"/>
      <c r="R3" s="256"/>
      <c r="S3" s="256"/>
      <c r="T3" s="256"/>
      <c r="U3" s="256"/>
      <c r="V3" s="256"/>
      <c r="W3" s="256"/>
      <c r="X3" s="256"/>
      <c r="Y3" s="256"/>
      <c r="Z3" s="256"/>
      <c r="AB3" s="110"/>
    </row>
    <row r="4" spans="1:28" ht="10" customHeight="1" x14ac:dyDescent="0.2"/>
    <row r="5" spans="1:28" ht="16" customHeight="1" x14ac:dyDescent="0.2">
      <c r="A5" s="86"/>
      <c r="B5" s="60"/>
      <c r="C5" s="251" t="s">
        <v>108</v>
      </c>
      <c r="D5" s="251"/>
      <c r="E5" s="251"/>
      <c r="F5" s="251"/>
      <c r="G5" s="251"/>
      <c r="H5" s="251"/>
      <c r="I5" s="251"/>
      <c r="J5" s="251"/>
      <c r="K5" s="251"/>
      <c r="L5" s="251"/>
      <c r="P5" s="256"/>
      <c r="Q5" s="256"/>
      <c r="R5" s="256"/>
      <c r="S5" s="256"/>
      <c r="T5" s="256"/>
      <c r="U5" s="256"/>
      <c r="V5" s="256"/>
      <c r="W5" s="256"/>
      <c r="X5" s="256"/>
      <c r="Y5" s="256"/>
      <c r="Z5" s="256"/>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124</v>
      </c>
      <c r="D11" s="251"/>
      <c r="E11" s="251"/>
      <c r="F11" s="251"/>
      <c r="G11" s="251"/>
      <c r="H11" s="251"/>
      <c r="I11" s="251"/>
      <c r="J11" s="251"/>
      <c r="K11" s="251"/>
      <c r="L11" s="251"/>
      <c r="N11" s="91"/>
      <c r="P11" s="256"/>
      <c r="Q11" s="256"/>
      <c r="R11" s="256"/>
      <c r="S11" s="256"/>
      <c r="T11" s="256"/>
      <c r="U11" s="256"/>
      <c r="V11" s="256"/>
      <c r="W11" s="256"/>
      <c r="X11" s="256"/>
      <c r="Y11" s="256"/>
      <c r="Z11" s="256"/>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51" t="s">
        <v>129</v>
      </c>
      <c r="D18" s="251"/>
      <c r="E18" s="251"/>
      <c r="F18" s="251"/>
      <c r="G18" s="251"/>
      <c r="H18" s="251"/>
      <c r="I18" s="251"/>
      <c r="J18" s="251"/>
      <c r="K18" s="251"/>
      <c r="L18" s="251"/>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56"/>
      <c r="C25" s="256"/>
    </row>
    <row r="26" spans="2:12" x14ac:dyDescent="0.2">
      <c r="B26" s="110"/>
      <c r="C26" s="251" t="s">
        <v>135</v>
      </c>
      <c r="D26" s="251"/>
      <c r="E26" s="251"/>
      <c r="F26" s="251"/>
      <c r="G26" s="251"/>
      <c r="H26" s="251"/>
      <c r="I26" s="251"/>
      <c r="J26" s="251"/>
      <c r="K26" s="251"/>
      <c r="L26" s="251"/>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51" t="s">
        <v>139</v>
      </c>
      <c r="D33" s="251"/>
      <c r="E33" s="251"/>
      <c r="F33" s="251"/>
      <c r="G33" s="251"/>
      <c r="H33" s="251"/>
      <c r="I33" s="251"/>
      <c r="J33" s="251"/>
      <c r="K33" s="251"/>
      <c r="L33" s="251"/>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51" t="s">
        <v>142</v>
      </c>
      <c r="D40" s="251"/>
      <c r="E40" s="251"/>
      <c r="F40" s="251"/>
      <c r="G40" s="251"/>
      <c r="H40" s="251"/>
      <c r="I40" s="251"/>
      <c r="J40" s="251"/>
      <c r="K40" s="251"/>
      <c r="L40" s="251"/>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3"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45" t="s">
        <v>105</v>
      </c>
      <c r="D2" s="245"/>
      <c r="E2" s="245"/>
      <c r="F2" s="245"/>
      <c r="G2" s="254"/>
      <c r="H2" s="255" t="s">
        <v>106</v>
      </c>
      <c r="I2" s="245"/>
      <c r="J2" s="245"/>
      <c r="K2" s="245"/>
      <c r="L2" s="245"/>
      <c r="S2" s="256"/>
      <c r="T2" s="256"/>
      <c r="U2" s="256"/>
      <c r="V2" s="256"/>
      <c r="W2" s="256"/>
      <c r="X2" s="256"/>
      <c r="Y2" s="256"/>
      <c r="Z2" s="256"/>
      <c r="AA2" s="256"/>
      <c r="AB2" s="256"/>
      <c r="AC2" s="256"/>
      <c r="AE2" s="110"/>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51" t="s">
        <v>150</v>
      </c>
      <c r="D13" s="251"/>
      <c r="E13" s="251"/>
      <c r="F13" s="251"/>
      <c r="G13" s="251"/>
      <c r="H13" s="251"/>
      <c r="I13" s="251"/>
      <c r="J13" s="251"/>
      <c r="K13" s="251"/>
      <c r="L13" s="25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51" t="s">
        <v>151</v>
      </c>
      <c r="D18" s="251"/>
      <c r="E18" s="251"/>
      <c r="F18" s="251"/>
      <c r="G18" s="251"/>
      <c r="H18" s="251"/>
      <c r="I18" s="251"/>
      <c r="J18" s="251"/>
      <c r="K18" s="251"/>
      <c r="L18" s="251"/>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51" t="s">
        <v>254</v>
      </c>
      <c r="D25" s="251"/>
      <c r="E25" s="251"/>
      <c r="F25" s="251"/>
      <c r="G25" s="251"/>
      <c r="H25" s="251"/>
      <c r="I25" s="251"/>
      <c r="J25" s="251"/>
      <c r="K25" s="251"/>
      <c r="L25" s="251"/>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254</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51" t="s">
        <v>75</v>
      </c>
      <c r="D31" s="251"/>
      <c r="E31" s="251"/>
      <c r="F31" s="251"/>
      <c r="G31" s="251"/>
      <c r="H31" s="251"/>
      <c r="I31" s="251"/>
      <c r="J31" s="251"/>
      <c r="K31" s="251"/>
      <c r="L31" s="251"/>
    </row>
    <row r="32" spans="2:14" x14ac:dyDescent="0.2">
      <c r="B32" s="16" t="s">
        <v>325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3">
        <f>H8/H6</f>
        <v>0.72</v>
      </c>
      <c r="I33" s="213">
        <f t="shared" ref="I33:L33" si="9">I8/I6</f>
        <v>0.72999999999999987</v>
      </c>
      <c r="J33" s="213">
        <f t="shared" si="9"/>
        <v>0.73</v>
      </c>
      <c r="K33" s="213">
        <f t="shared" si="9"/>
        <v>0.75</v>
      </c>
      <c r="L33" s="213">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3">
        <f>H10/H6</f>
        <v>0.59</v>
      </c>
      <c r="I34" s="213">
        <f t="shared" ref="I34:L34" si="10">I10/I6</f>
        <v>0.61499999999999999</v>
      </c>
      <c r="J34" s="213">
        <f t="shared" si="10"/>
        <v>0.61499999999999999</v>
      </c>
      <c r="K34" s="213">
        <f t="shared" si="10"/>
        <v>0.64700000000000002</v>
      </c>
      <c r="L34" s="213">
        <f t="shared" si="10"/>
        <v>0.65700000000000003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6.5" style="1" customWidth="1"/>
    <col min="9" max="16384" width="10.83203125" style="1"/>
  </cols>
  <sheetData>
    <row r="5" spans="2:8" x14ac:dyDescent="0.2">
      <c r="H5" s="133" t="s">
        <v>418</v>
      </c>
    </row>
    <row r="6" spans="2:8" x14ac:dyDescent="0.2">
      <c r="H6" s="237" t="s">
        <v>423</v>
      </c>
    </row>
    <row r="7" spans="2:8" x14ac:dyDescent="0.2">
      <c r="H7" s="237" t="s">
        <v>419</v>
      </c>
    </row>
    <row r="8" spans="2:8" x14ac:dyDescent="0.2">
      <c r="H8" s="237" t="s">
        <v>420</v>
      </c>
    </row>
    <row r="9" spans="2:8" x14ac:dyDescent="0.2">
      <c r="H9" s="237" t="s">
        <v>421</v>
      </c>
    </row>
    <row r="10" spans="2:8" x14ac:dyDescent="0.2">
      <c r="H10" s="238" t="s">
        <v>422</v>
      </c>
    </row>
    <row r="13" spans="2:8" s="4" customFormat="1" ht="49" x14ac:dyDescent="0.2">
      <c r="B13" s="3" t="s">
        <v>156</v>
      </c>
    </row>
  </sheetData>
  <hyperlinks>
    <hyperlink ref="H6" location="Overview!B3" display="Overview'!B3" xr:uid="{3DB6C82D-D023-5C41-84B0-D0C0BFB77DAE}"/>
    <hyperlink ref="H8" location="'Analysis -&gt;'!B13" display="'Analysis -&gt;'!B13" xr:uid="{C51B6CDC-BAD8-E74E-815A-542865D3D37E}"/>
    <hyperlink ref="H9" location="'Forecast -&gt;'!B13" display="'Forecast -&gt;'!B13" xr:uid="{F55B46DC-4611-F143-96F9-CD1D252B05B5}"/>
    <hyperlink ref="H10" location="'Valuation -&gt;'!B13" display="'Valuation -&gt;'!B13" xr:uid="{28737E29-2602-0445-963A-C4E24F8943AB}"/>
    <hyperlink ref="H7" location="'Financials -&gt;'!B13" display="'Financials -&gt;'!B13" xr:uid="{6BEC8394-147C-6142-9C26-606A441DF628}"/>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45" t="s">
        <v>158</v>
      </c>
      <c r="C4" s="245"/>
    </row>
    <row r="5" spans="1:3" ht="17" customHeight="1" x14ac:dyDescent="0.2">
      <c r="B5" s="1" t="s">
        <v>159</v>
      </c>
      <c r="C5" s="137">
        <f>Statement!AC77</f>
        <v>24195</v>
      </c>
    </row>
    <row r="6" spans="1:3" ht="17" customHeight="1" x14ac:dyDescent="0.2">
      <c r="B6" s="1" t="s">
        <v>1</v>
      </c>
      <c r="C6" s="134">
        <f ca="1">Overview!C5</f>
        <v>216</v>
      </c>
    </row>
    <row r="7" spans="1:3" ht="17" customHeight="1" x14ac:dyDescent="0.2">
      <c r="B7" s="1" t="s">
        <v>160</v>
      </c>
      <c r="C7" s="135">
        <f ca="1">C5*C6</f>
        <v>5226120</v>
      </c>
    </row>
    <row r="8" spans="1:3" ht="17" customHeight="1" x14ac:dyDescent="0.2">
      <c r="B8" s="1" t="s">
        <v>161</v>
      </c>
      <c r="C8" s="113">
        <f>Statement!AC106</f>
        <v>33266</v>
      </c>
    </row>
    <row r="9" spans="1:3" ht="17" customHeight="1" x14ac:dyDescent="0.2">
      <c r="B9" s="1" t="s">
        <v>162</v>
      </c>
      <c r="C9" s="136">
        <f ca="1">Overview!F27</f>
        <v>4.9880000000000001E-2</v>
      </c>
    </row>
    <row r="10" spans="1:3" ht="17" customHeight="1" x14ac:dyDescent="0.2">
      <c r="B10" s="1" t="s">
        <v>9</v>
      </c>
      <c r="C10" s="134">
        <f ca="1">Overview!C13</f>
        <v>2.1993999999999998</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45" t="s">
        <v>165</v>
      </c>
      <c r="C15" s="245"/>
    </row>
    <row r="16" spans="1:3" ht="17" customHeight="1" x14ac:dyDescent="0.2">
      <c r="B16" s="1" t="s">
        <v>166</v>
      </c>
      <c r="C16" s="46">
        <f ca="1">C8/(C8+C7)</f>
        <v>6.3250729267636946E-3</v>
      </c>
    </row>
    <row r="17" spans="2:3" ht="17" customHeight="1" x14ac:dyDescent="0.2">
      <c r="B17" s="1" t="s">
        <v>167</v>
      </c>
      <c r="C17" s="46">
        <f ca="1">C7/(C8+C7)</f>
        <v>0.99367492707323635</v>
      </c>
    </row>
    <row r="18" spans="2:3" ht="17" customHeight="1" x14ac:dyDescent="0.2">
      <c r="B18" s="1" t="s">
        <v>168</v>
      </c>
      <c r="C18" s="46">
        <f>C13*(1-C12)</f>
        <v>3.9500000000000007E-2</v>
      </c>
    </row>
    <row r="19" spans="2:3" ht="17" customHeight="1" x14ac:dyDescent="0.2">
      <c r="B19" s="1" t="s">
        <v>169</v>
      </c>
      <c r="C19" s="46">
        <f ca="1">C9+C10*C11</f>
        <v>0.14885299999999999</v>
      </c>
    </row>
    <row r="20" spans="2:3" ht="17" customHeight="1" x14ac:dyDescent="0.2">
      <c r="B20" s="1" t="s">
        <v>157</v>
      </c>
      <c r="C20" s="46">
        <f ca="1">(C17*C19)+(C16*C18)</f>
        <v>0.14816133430023959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D26" sqref="D2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45" t="s">
        <v>105</v>
      </c>
      <c r="D3" s="245"/>
      <c r="E3" s="245"/>
      <c r="F3" s="245"/>
      <c r="G3" s="254"/>
      <c r="H3" s="255" t="s">
        <v>106</v>
      </c>
      <c r="I3" s="245"/>
      <c r="J3" s="245"/>
      <c r="K3" s="245"/>
      <c r="L3" s="245"/>
      <c r="P3" s="256"/>
      <c r="Q3" s="256"/>
      <c r="R3" s="256"/>
      <c r="S3" s="256"/>
      <c r="T3" s="256"/>
      <c r="U3" s="256"/>
      <c r="V3" s="256"/>
      <c r="W3" s="256"/>
      <c r="X3" s="256"/>
      <c r="Y3" s="256"/>
      <c r="Z3" s="256"/>
      <c r="AB3" s="110"/>
    </row>
    <row r="4" spans="1:28" ht="10" customHeight="1" x14ac:dyDescent="0.2"/>
    <row r="5" spans="1:28" ht="16" customHeight="1" x14ac:dyDescent="0.2">
      <c r="A5" s="86"/>
      <c r="B5" s="60"/>
      <c r="C5" s="251" t="s">
        <v>172</v>
      </c>
      <c r="D5" s="251"/>
      <c r="E5" s="251"/>
      <c r="F5" s="251"/>
      <c r="G5" s="251"/>
      <c r="H5" s="251"/>
      <c r="I5" s="251"/>
      <c r="J5" s="251"/>
      <c r="K5" s="251"/>
      <c r="L5" s="251"/>
      <c r="P5" s="256"/>
      <c r="Q5" s="256"/>
      <c r="R5" s="256"/>
      <c r="S5" s="256"/>
      <c r="T5" s="256"/>
      <c r="U5" s="256"/>
      <c r="V5" s="256"/>
      <c r="W5" s="256"/>
      <c r="X5" s="256"/>
      <c r="Y5" s="256"/>
      <c r="Z5" s="25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45" t="s">
        <v>176</v>
      </c>
      <c r="C13" s="245"/>
    </row>
    <row r="14" spans="1:28" x14ac:dyDescent="0.2">
      <c r="B14" s="1" t="s">
        <v>177</v>
      </c>
      <c r="C14" s="141">
        <v>2.5000000000000001E-2</v>
      </c>
    </row>
    <row r="15" spans="1:28" x14ac:dyDescent="0.2">
      <c r="B15" s="1" t="s">
        <v>157</v>
      </c>
      <c r="C15" s="136">
        <f>IF(Overview!C28&gt;0,Overview!C28,WACC!C20)</f>
        <v>0.12</v>
      </c>
    </row>
    <row r="18" spans="2:3" x14ac:dyDescent="0.2">
      <c r="B18" s="245" t="s">
        <v>178</v>
      </c>
      <c r="C18" s="245"/>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233" t="s">
        <v>184</v>
      </c>
      <c r="C26" s="234">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45" t="s">
        <v>105</v>
      </c>
      <c r="D2" s="245"/>
      <c r="E2" s="245"/>
      <c r="F2" s="245"/>
      <c r="G2" s="254"/>
      <c r="H2" s="255" t="s">
        <v>106</v>
      </c>
      <c r="I2" s="245"/>
      <c r="J2" s="245"/>
      <c r="K2" s="245"/>
      <c r="L2" s="245"/>
    </row>
    <row r="3" spans="1:14" ht="10" customHeight="1" x14ac:dyDescent="0.2"/>
    <row r="4" spans="1:14" ht="16" customHeight="1" x14ac:dyDescent="0.2">
      <c r="A4" s="86"/>
      <c r="B4" s="60"/>
      <c r="C4" s="251" t="s">
        <v>186</v>
      </c>
      <c r="D4" s="251"/>
      <c r="E4" s="251"/>
      <c r="F4" s="251"/>
      <c r="G4" s="251"/>
      <c r="H4" s="251"/>
      <c r="I4" s="251"/>
      <c r="J4" s="251"/>
      <c r="K4" s="251"/>
      <c r="L4" s="251"/>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254</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B9" s="16" t="s">
        <v>312</v>
      </c>
      <c r="C9" s="138"/>
      <c r="D9" s="138"/>
      <c r="E9" s="138"/>
      <c r="F9" s="138"/>
      <c r="G9" s="139"/>
      <c r="H9" s="92">
        <f>DCF!H10</f>
        <v>127821.1787840631</v>
      </c>
      <c r="I9" s="92">
        <f>DCF!I10</f>
        <v>217579.63184439397</v>
      </c>
      <c r="J9" s="92">
        <f>DCF!J10</f>
        <v>314204.2975336758</v>
      </c>
      <c r="K9" s="92">
        <f>DCF!K10</f>
        <v>332706.43542762211</v>
      </c>
      <c r="L9" s="92">
        <f>DCF!L10</f>
        <v>332733.22329155909</v>
      </c>
      <c r="N9" s="91"/>
    </row>
    <row r="10" spans="1:14" x14ac:dyDescent="0.2">
      <c r="N10" s="91"/>
    </row>
    <row r="11" spans="1:14" x14ac:dyDescent="0.2">
      <c r="C11" s="251" t="s">
        <v>114</v>
      </c>
      <c r="D11" s="251"/>
      <c r="E11" s="251"/>
      <c r="F11" s="251"/>
      <c r="G11" s="251"/>
      <c r="H11" s="251"/>
      <c r="I11" s="251"/>
      <c r="J11" s="251"/>
      <c r="K11" s="251"/>
      <c r="L11" s="251"/>
      <c r="N11" s="91"/>
    </row>
    <row r="12" spans="1:14" x14ac:dyDescent="0.2">
      <c r="B12" s="16" t="s">
        <v>187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8"/>
      <c r="D13" s="95">
        <f>(D6-C6)/C6</f>
        <v>2.2293230289068887E-3</v>
      </c>
      <c r="E13" s="95">
        <f t="shared" ref="E13:L13" si="1">(E6-D6)/D6</f>
        <v>1.2585452658115222</v>
      </c>
      <c r="F13" s="95">
        <f t="shared" si="1"/>
        <v>1.1420340763599357</v>
      </c>
      <c r="G13" s="96">
        <f t="shared" si="1"/>
        <v>0.65473535790094795</v>
      </c>
      <c r="H13" s="95">
        <f t="shared" si="1"/>
        <v>0.82213621502468304</v>
      </c>
      <c r="I13" s="95">
        <f t="shared" si="1"/>
        <v>0.68965704238802383</v>
      </c>
      <c r="J13" s="95">
        <f t="shared" si="1"/>
        <v>0.48508989908066097</v>
      </c>
      <c r="K13" s="95">
        <f t="shared" si="1"/>
        <v>0.19956009314326034</v>
      </c>
      <c r="L13" s="95">
        <f t="shared" si="1"/>
        <v>8.3460958943768593E-2</v>
      </c>
      <c r="N13" s="91"/>
    </row>
    <row r="14" spans="1:14" x14ac:dyDescent="0.2">
      <c r="B14" s="1" t="s">
        <v>149</v>
      </c>
      <c r="C14" s="138"/>
      <c r="D14" s="95">
        <f>IF(C7=0,
IF(D7=0,0,IF(D7&gt;0,1,-1)),
(D7-C7)/ABS(C7)
)</f>
        <v>-0.57932476844935765</v>
      </c>
      <c r="E14" s="95">
        <f t="shared" ref="E14:L14" si="2">IF(D7=0,
IF(E7=0,0,IF(E7&gt;0,1,-1)),
(E7-D7)/ABS(D7)
)</f>
        <v>6.8058712121212119</v>
      </c>
      <c r="F14" s="95">
        <f t="shared" si="2"/>
        <v>1.470368797767803</v>
      </c>
      <c r="G14" s="96">
        <f t="shared" si="2"/>
        <v>0.60076363055995485</v>
      </c>
      <c r="H14" s="95">
        <f t="shared" si="2"/>
        <v>0.78044119045610361</v>
      </c>
      <c r="I14" s="95">
        <f t="shared" si="2"/>
        <v>0.76125267977734701</v>
      </c>
      <c r="J14" s="95">
        <f t="shared" si="2"/>
        <v>0.48508989908066102</v>
      </c>
      <c r="K14" s="95">
        <f t="shared" si="2"/>
        <v>0.26197622807103976</v>
      </c>
      <c r="L14" s="95">
        <f t="shared" si="2"/>
        <v>0.10020687793826268</v>
      </c>
      <c r="N14" s="91"/>
    </row>
    <row r="15" spans="1:14" x14ac:dyDescent="0.2">
      <c r="B15" s="1" t="s">
        <v>254</v>
      </c>
      <c r="C15" s="138"/>
      <c r="D15" s="95">
        <f>IF(C8=0,
IF(D8=0,0,IF(D8&gt;0,1,-1)),
(D8-C8)/ABS(C8)
)</f>
        <v>-0.74151466475841277</v>
      </c>
      <c r="E15" s="95">
        <f t="shared" ref="E15:L15" si="3">IF(D8=0,
IF(E8=0,0,IF(E8&gt;0,1,-1)),
(E8-D8)/ABS(D8)
)</f>
        <v>13.891502313308933</v>
      </c>
      <c r="F15" s="95">
        <f t="shared" si="3"/>
        <v>1.3275340413143641</v>
      </c>
      <c r="G15" s="96">
        <f t="shared" si="3"/>
        <v>0.52773988679802841</v>
      </c>
      <c r="H15" s="95">
        <f t="shared" si="3"/>
        <v>0.56456327062722933</v>
      </c>
      <c r="I15" s="95">
        <f t="shared" si="3"/>
        <v>0.90648521617377487</v>
      </c>
      <c r="J15" s="95">
        <f t="shared" si="3"/>
        <v>0.61737939463649294</v>
      </c>
      <c r="K15" s="95">
        <f t="shared" si="3"/>
        <v>0.18595197648115833</v>
      </c>
      <c r="L15" s="95">
        <f t="shared" si="3"/>
        <v>0.12009017681780296</v>
      </c>
      <c r="N15" s="91"/>
    </row>
    <row r="16" spans="1:14" x14ac:dyDescent="0.2">
      <c r="N16" s="91"/>
    </row>
    <row r="17" spans="2:14" x14ac:dyDescent="0.2">
      <c r="C17" s="251" t="s">
        <v>188</v>
      </c>
      <c r="D17" s="251"/>
      <c r="E17" s="251"/>
      <c r="F17" s="251"/>
      <c r="G17" s="251"/>
      <c r="H17" s="251"/>
      <c r="I17" s="251"/>
      <c r="J17" s="251"/>
      <c r="K17" s="251"/>
      <c r="L17" s="251"/>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189</v>
      </c>
      <c r="C19" s="100">
        <f>Statement!M21</f>
        <v>25350</v>
      </c>
      <c r="D19" s="100">
        <f>Statement!N21</f>
        <v>25070</v>
      </c>
      <c r="E19" s="100">
        <f>Statement!O21</f>
        <v>24940</v>
      </c>
      <c r="F19" s="100">
        <f>Statement!P21</f>
        <v>24804</v>
      </c>
      <c r="G19" s="101">
        <f>Statement!Q21</f>
        <v>24514</v>
      </c>
      <c r="H19" s="142">
        <f>G19*(1+H20)</f>
        <v>24146.29</v>
      </c>
      <c r="I19" s="142">
        <f t="shared" ref="I19:L19" si="5">H19*(1+I20)</f>
        <v>23904.827100000002</v>
      </c>
      <c r="J19" s="142">
        <f t="shared" si="5"/>
        <v>23665.778829000003</v>
      </c>
      <c r="K19" s="142">
        <f t="shared" si="5"/>
        <v>23547.449934855002</v>
      </c>
      <c r="L19" s="142">
        <f t="shared" si="5"/>
        <v>23429.712685180726</v>
      </c>
      <c r="N19" s="91"/>
    </row>
    <row r="20" spans="2:14" x14ac:dyDescent="0.2">
      <c r="B20" s="1" t="s">
        <v>190</v>
      </c>
      <c r="C20" s="138"/>
      <c r="D20" s="143">
        <f>D19/C19-1</f>
        <v>-1.104536489151875E-2</v>
      </c>
      <c r="E20" s="143">
        <f t="shared" ref="E20:G20" si="6">E19/D19-1</f>
        <v>-5.1854806541683507E-3</v>
      </c>
      <c r="F20" s="143">
        <f t="shared" si="6"/>
        <v>-5.4530874097834525E-3</v>
      </c>
      <c r="G20" s="144">
        <f t="shared" si="6"/>
        <v>-1.169166263505883E-2</v>
      </c>
      <c r="H20" s="145">
        <v>-1.4999999999999999E-2</v>
      </c>
      <c r="I20" s="97">
        <v>-0.01</v>
      </c>
      <c r="J20" s="97">
        <v>-0.01</v>
      </c>
      <c r="K20" s="97">
        <v>-5.0000000000000001E-3</v>
      </c>
      <c r="L20" s="97">
        <v>-5.0000000000000001E-3</v>
      </c>
      <c r="N20" s="91"/>
    </row>
    <row r="21" spans="2:14" x14ac:dyDescent="0.2">
      <c r="N21" s="91"/>
    </row>
    <row r="22" spans="2:14" x14ac:dyDescent="0.2">
      <c r="C22" s="251" t="s">
        <v>191</v>
      </c>
      <c r="D22" s="251"/>
      <c r="E22" s="251"/>
      <c r="F22" s="251"/>
      <c r="G22" s="251"/>
      <c r="H22" s="251"/>
      <c r="I22" s="251"/>
      <c r="J22" s="251"/>
      <c r="K22" s="251"/>
      <c r="L22" s="251"/>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6">
        <f>Statement!M114</f>
        <v>228.4</v>
      </c>
      <c r="D24" s="146">
        <f>Statement!N114</f>
        <v>203.6</v>
      </c>
      <c r="E24" s="146">
        <f>Statement!O114</f>
        <v>610.29999999999995</v>
      </c>
      <c r="F24" s="146">
        <f>Statement!P114</f>
        <v>142.62</v>
      </c>
      <c r="G24" s="147">
        <f>Statement!Q114</f>
        <v>187.67</v>
      </c>
      <c r="H24" s="138"/>
      <c r="I24" s="138"/>
      <c r="J24" s="138"/>
      <c r="K24" s="138"/>
      <c r="L24" s="138"/>
      <c r="N24" s="91"/>
    </row>
    <row r="25" spans="2:14" x14ac:dyDescent="0.2">
      <c r="N25" s="91"/>
    </row>
    <row r="26" spans="2:14" x14ac:dyDescent="0.2">
      <c r="N26" s="91"/>
    </row>
    <row r="27" spans="2:14" x14ac:dyDescent="0.2">
      <c r="C27" s="251" t="s">
        <v>192</v>
      </c>
      <c r="D27" s="251"/>
      <c r="E27" s="251"/>
      <c r="F27" s="251"/>
      <c r="G27" s="251"/>
      <c r="H27" s="251"/>
      <c r="I27" s="251"/>
      <c r="J27" s="251"/>
      <c r="K27" s="251"/>
      <c r="L27" s="251"/>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193</v>
      </c>
      <c r="C29" s="148">
        <f>C24/(C6/C19)</f>
        <v>215.12744296648586</v>
      </c>
      <c r="D29" s="148">
        <f t="shared" ref="D29:G29" si="9">D24/(D6/D19)</f>
        <v>189.2285904945503</v>
      </c>
      <c r="E29" s="148">
        <f t="shared" si="9"/>
        <v>249.84212599717671</v>
      </c>
      <c r="F29" s="148">
        <f t="shared" si="9"/>
        <v>27.108259040437712</v>
      </c>
      <c r="G29" s="149">
        <f t="shared" si="9"/>
        <v>21.304922616677011</v>
      </c>
      <c r="H29" s="138"/>
      <c r="I29" s="138"/>
      <c r="J29" s="138"/>
      <c r="K29" s="138"/>
      <c r="L29" s="138"/>
      <c r="N29" s="91"/>
    </row>
    <row r="30" spans="2:14" x14ac:dyDescent="0.2">
      <c r="B30" s="1" t="s">
        <v>194</v>
      </c>
      <c r="C30" s="142">
        <f>C24*C19</f>
        <v>5789940</v>
      </c>
      <c r="D30" s="142">
        <f t="shared" ref="D30:G30" si="10">D24*D19</f>
        <v>5104252</v>
      </c>
      <c r="E30" s="142">
        <f t="shared" si="10"/>
        <v>15220881.999999998</v>
      </c>
      <c r="F30" s="142">
        <f t="shared" si="10"/>
        <v>3537546.48</v>
      </c>
      <c r="G30" s="150">
        <f t="shared" si="10"/>
        <v>4600542.38</v>
      </c>
      <c r="H30" s="138"/>
      <c r="I30" s="138"/>
      <c r="J30" s="138"/>
      <c r="K30" s="138"/>
      <c r="L30" s="138"/>
      <c r="N30" s="91"/>
    </row>
    <row r="31" spans="2:14" x14ac:dyDescent="0.2">
      <c r="B31" s="1" t="s">
        <v>161</v>
      </c>
      <c r="C31" s="88">
        <f>Statement!M106</f>
        <v>10946</v>
      </c>
      <c r="D31" s="151">
        <f>Statement!N106</f>
        <v>10953</v>
      </c>
      <c r="E31" s="151">
        <f>Statement!O106</f>
        <v>9709</v>
      </c>
      <c r="F31" s="151">
        <f>Statement!P106</f>
        <v>8463</v>
      </c>
      <c r="G31" s="152">
        <f>Statement!Q106</f>
        <v>8468</v>
      </c>
      <c r="H31" s="138"/>
      <c r="I31" s="138"/>
      <c r="J31" s="138"/>
      <c r="K31" s="138"/>
      <c r="L31" s="138"/>
      <c r="N31" s="91"/>
    </row>
    <row r="32" spans="2:14" x14ac:dyDescent="0.2">
      <c r="B32" s="1" t="s">
        <v>170</v>
      </c>
      <c r="C32" s="151">
        <f>Statement!M105</f>
        <v>21208</v>
      </c>
      <c r="D32" s="151">
        <f>Statement!N105</f>
        <v>13296</v>
      </c>
      <c r="E32" s="151">
        <f>Statement!O105</f>
        <v>25984</v>
      </c>
      <c r="F32" s="151">
        <f>Statement!P105</f>
        <v>43210</v>
      </c>
      <c r="G32" s="152">
        <f>Statement!Q105</f>
        <v>62556</v>
      </c>
      <c r="H32" s="138"/>
      <c r="I32" s="138"/>
      <c r="J32" s="138"/>
      <c r="K32" s="138"/>
      <c r="L32" s="138"/>
      <c r="N32" s="91"/>
    </row>
    <row r="33" spans="2:14" x14ac:dyDescent="0.2">
      <c r="B33" s="1" t="s">
        <v>195</v>
      </c>
      <c r="C33" s="142">
        <f>C30+C31-C32</f>
        <v>5779678</v>
      </c>
      <c r="D33" s="142">
        <f t="shared" ref="D33:G33" si="11">D30+D31-D32</f>
        <v>5101909</v>
      </c>
      <c r="E33" s="142">
        <f t="shared" si="11"/>
        <v>15204606.999999998</v>
      </c>
      <c r="F33" s="142">
        <f t="shared" si="11"/>
        <v>3502799.48</v>
      </c>
      <c r="G33" s="150">
        <f t="shared" si="11"/>
        <v>4546454.38</v>
      </c>
      <c r="H33" s="138"/>
      <c r="I33" s="138"/>
      <c r="J33" s="138"/>
      <c r="K33" s="138"/>
      <c r="L33" s="138"/>
      <c r="N33" s="91"/>
    </row>
    <row r="34" spans="2:14" x14ac:dyDescent="0.2">
      <c r="B34" s="16" t="s">
        <v>196</v>
      </c>
      <c r="C34" s="148">
        <f>C33/C7</f>
        <v>575.60780798725227</v>
      </c>
      <c r="D34" s="148">
        <f t="shared" ref="D34:G34" si="12">D33/D7</f>
        <v>1207.8383049242425</v>
      </c>
      <c r="E34" s="148">
        <f t="shared" si="12"/>
        <v>461.1369343685551</v>
      </c>
      <c r="F34" s="148">
        <f t="shared" si="12"/>
        <v>43.003934538936562</v>
      </c>
      <c r="G34" s="149">
        <f t="shared" si="12"/>
        <v>34.868923895787155</v>
      </c>
      <c r="H34" s="138"/>
      <c r="I34" s="138"/>
      <c r="J34" s="138"/>
      <c r="K34" s="138"/>
      <c r="L34" s="138"/>
      <c r="N34" s="91"/>
    </row>
    <row r="35" spans="2:14" x14ac:dyDescent="0.2">
      <c r="B35" s="16" t="s">
        <v>313</v>
      </c>
      <c r="C35" s="148">
        <f>C33/C8</f>
        <v>864.5613457282559</v>
      </c>
      <c r="D35" s="148">
        <f t="shared" ref="D35:G35" si="13">D33/D8</f>
        <v>2952.4936342592591</v>
      </c>
      <c r="E35" s="148">
        <f t="shared" si="13"/>
        <v>590.8713707411099</v>
      </c>
      <c r="F35" s="148">
        <f t="shared" si="13"/>
        <v>58.483988582757021</v>
      </c>
      <c r="G35" s="149">
        <f t="shared" si="13"/>
        <v>49.687269035572541</v>
      </c>
      <c r="H35" s="138"/>
      <c r="I35" s="138"/>
      <c r="J35" s="138"/>
      <c r="K35" s="138"/>
      <c r="L35" s="138"/>
      <c r="N35" s="91"/>
    </row>
    <row r="36" spans="2:14" x14ac:dyDescent="0.2">
      <c r="B36" s="16" t="s">
        <v>410</v>
      </c>
      <c r="C36" s="148">
        <f>C33/C6</f>
        <v>214.74615441777513</v>
      </c>
      <c r="D36" s="148">
        <f t="shared" ref="D36:G36" si="14">D33/D6</f>
        <v>189.14172907244011</v>
      </c>
      <c r="E36" s="148">
        <f t="shared" si="14"/>
        <v>249.57498112340366</v>
      </c>
      <c r="F36" s="148">
        <f t="shared" si="14"/>
        <v>26.841992382966659</v>
      </c>
      <c r="G36" s="149">
        <f t="shared" si="14"/>
        <v>21.054443312432273</v>
      </c>
      <c r="H36" s="138"/>
      <c r="I36" s="138"/>
      <c r="J36" s="138"/>
      <c r="K36" s="138"/>
      <c r="L36" s="138"/>
      <c r="N36" s="91"/>
    </row>
    <row r="37" spans="2:14" x14ac:dyDescent="0.2">
      <c r="N37" s="91"/>
    </row>
    <row r="38" spans="2:14" x14ac:dyDescent="0.2">
      <c r="N38" s="91"/>
    </row>
    <row r="39" spans="2:14" x14ac:dyDescent="0.2">
      <c r="B39" s="245" t="s">
        <v>197</v>
      </c>
      <c r="C39" s="245"/>
      <c r="N39" s="91"/>
    </row>
    <row r="40" spans="2:14" x14ac:dyDescent="0.2">
      <c r="B40" s="1" t="s">
        <v>198</v>
      </c>
      <c r="C40" s="64">
        <f>L7</f>
        <v>843066.5668746751</v>
      </c>
    </row>
    <row r="41" spans="2:14" x14ac:dyDescent="0.2">
      <c r="B41" s="1" t="s">
        <v>157</v>
      </c>
      <c r="C41" s="136">
        <f>IF(Overview!C28&gt;0,Overview!C28,WACC!C20)</f>
        <v>0.12</v>
      </c>
    </row>
    <row r="42" spans="2:14" x14ac:dyDescent="0.2">
      <c r="B42" s="39" t="s">
        <v>199</v>
      </c>
      <c r="C42" s="105">
        <v>20</v>
      </c>
    </row>
    <row r="43" spans="2:14" x14ac:dyDescent="0.2">
      <c r="B43" s="1" t="s">
        <v>406</v>
      </c>
      <c r="C43" s="24">
        <f>(C40*C42)</f>
        <v>16861331.337493502</v>
      </c>
    </row>
    <row r="44" spans="2:14" x14ac:dyDescent="0.2">
      <c r="B44" s="1" t="s">
        <v>407</v>
      </c>
      <c r="C44" s="24">
        <f>C43/(1+C41)^5</f>
        <v>9567572.2240634207</v>
      </c>
    </row>
    <row r="45" spans="2:14" x14ac:dyDescent="0.2">
      <c r="B45" s="16" t="s">
        <v>408</v>
      </c>
      <c r="C45" s="109">
        <f>SUM(H9:K9)+C44</f>
        <v>10559883.767653175</v>
      </c>
    </row>
    <row r="46" spans="2:14" x14ac:dyDescent="0.2">
      <c r="B46" s="1" t="s">
        <v>181</v>
      </c>
      <c r="C46" s="137">
        <f>Statement!AC105</f>
        <v>99369</v>
      </c>
    </row>
    <row r="47" spans="2:14" x14ac:dyDescent="0.2">
      <c r="B47" s="1" t="s">
        <v>182</v>
      </c>
      <c r="C47" s="137">
        <f>Statement!AC106</f>
        <v>33266</v>
      </c>
    </row>
    <row r="48" spans="2:14" x14ac:dyDescent="0.2">
      <c r="B48" s="16" t="s">
        <v>183</v>
      </c>
      <c r="C48" s="109">
        <f>C45+C46-C47</f>
        <v>10625986.767653175</v>
      </c>
    </row>
    <row r="49" spans="2:3" x14ac:dyDescent="0.2">
      <c r="B49" s="1" t="s">
        <v>67</v>
      </c>
      <c r="C49" s="88">
        <f>Statement!AC77</f>
        <v>24195</v>
      </c>
    </row>
    <row r="50" spans="2:3" x14ac:dyDescent="0.2">
      <c r="B50" s="233" t="s">
        <v>201</v>
      </c>
      <c r="C50" s="234">
        <f>C48/C49</f>
        <v>439.18110219686605</v>
      </c>
    </row>
    <row r="52" spans="2:3" x14ac:dyDescent="0.2">
      <c r="B52" s="245" t="s">
        <v>202</v>
      </c>
      <c r="C52" s="245"/>
    </row>
    <row r="53" spans="2:3" x14ac:dyDescent="0.2">
      <c r="B53" s="1" t="s">
        <v>203</v>
      </c>
      <c r="C53" s="64">
        <f>L6</f>
        <v>1283206.3422750002</v>
      </c>
    </row>
    <row r="54" spans="2:3" x14ac:dyDescent="0.2">
      <c r="B54" s="1" t="s">
        <v>376</v>
      </c>
      <c r="C54" s="136">
        <f>IF(Overview!C29&gt;0,Overview!C29,WACC!C19)</f>
        <v>0.12</v>
      </c>
    </row>
    <row r="55" spans="2:3" x14ac:dyDescent="0.2">
      <c r="B55" s="39" t="s">
        <v>204</v>
      </c>
      <c r="C55" s="105">
        <v>12</v>
      </c>
    </row>
    <row r="56" spans="2:3" x14ac:dyDescent="0.2">
      <c r="B56" s="1" t="s">
        <v>200</v>
      </c>
      <c r="C56" s="24">
        <f>L19</f>
        <v>23429.712685180726</v>
      </c>
    </row>
    <row r="57" spans="2:3" x14ac:dyDescent="0.2">
      <c r="B57" s="1" t="s">
        <v>184</v>
      </c>
      <c r="C57" s="24">
        <f>(C53*C55)/C56</f>
        <v>657.22001435551215</v>
      </c>
    </row>
    <row r="58" spans="2:3" x14ac:dyDescent="0.2">
      <c r="B58" s="233" t="s">
        <v>201</v>
      </c>
      <c r="C58" s="234">
        <f>C57/(1+C54)^5</f>
        <v>372.92428626108091</v>
      </c>
    </row>
    <row r="60" spans="2:3" x14ac:dyDescent="0.2">
      <c r="B60" s="245" t="s">
        <v>314</v>
      </c>
      <c r="C60" s="245"/>
    </row>
    <row r="61" spans="2:3" x14ac:dyDescent="0.2">
      <c r="B61" s="1" t="s">
        <v>409</v>
      </c>
      <c r="C61" s="64">
        <f>L8</f>
        <v>586389.6287922078</v>
      </c>
    </row>
    <row r="62" spans="2:3" x14ac:dyDescent="0.2">
      <c r="B62" s="1" t="s">
        <v>157</v>
      </c>
      <c r="C62" s="136">
        <f>IF(Overview!C28&gt;0,Overview!C28,WACC!C20)</f>
        <v>0.12</v>
      </c>
    </row>
    <row r="63" spans="2:3" x14ac:dyDescent="0.2">
      <c r="B63" s="39" t="s">
        <v>375</v>
      </c>
      <c r="C63" s="105">
        <v>30</v>
      </c>
    </row>
    <row r="64" spans="2:3" x14ac:dyDescent="0.2">
      <c r="B64" s="1" t="s">
        <v>406</v>
      </c>
      <c r="C64" s="24">
        <f>(C61*C63)</f>
        <v>17591688.863766234</v>
      </c>
    </row>
    <row r="65" spans="2:3" x14ac:dyDescent="0.2">
      <c r="B65" s="1" t="s">
        <v>407</v>
      </c>
      <c r="C65" s="24">
        <f>C64/(1+C62)^5</f>
        <v>9981996.6987467725</v>
      </c>
    </row>
    <row r="66" spans="2:3" x14ac:dyDescent="0.2">
      <c r="B66" s="16" t="s">
        <v>408</v>
      </c>
      <c r="C66" s="109">
        <f>SUM(H9:K9)+C65</f>
        <v>10974308.242336527</v>
      </c>
    </row>
    <row r="67" spans="2:3" x14ac:dyDescent="0.2">
      <c r="B67" s="1" t="s">
        <v>181</v>
      </c>
      <c r="C67" s="137">
        <f>Statement!AC105</f>
        <v>99369</v>
      </c>
    </row>
    <row r="68" spans="2:3" x14ac:dyDescent="0.2">
      <c r="B68" s="1" t="s">
        <v>182</v>
      </c>
      <c r="C68" s="137">
        <f>Statement!AC106</f>
        <v>33266</v>
      </c>
    </row>
    <row r="69" spans="2:3" x14ac:dyDescent="0.2">
      <c r="B69" s="16" t="s">
        <v>183</v>
      </c>
      <c r="C69" s="109">
        <f>C66+C67-C68</f>
        <v>11040411.242336527</v>
      </c>
    </row>
    <row r="70" spans="2:3" x14ac:dyDescent="0.2">
      <c r="B70" s="1" t="s">
        <v>67</v>
      </c>
      <c r="C70" s="88">
        <f>Statement!AC77</f>
        <v>24195</v>
      </c>
    </row>
    <row r="71" spans="2:3" x14ac:dyDescent="0.2">
      <c r="B71" s="233" t="s">
        <v>201</v>
      </c>
      <c r="C71" s="234">
        <f>C69/C70</f>
        <v>456.30961943941008</v>
      </c>
    </row>
    <row r="73" spans="2:3" x14ac:dyDescent="0.2">
      <c r="B73" s="245" t="s">
        <v>411</v>
      </c>
      <c r="C73" s="245"/>
    </row>
    <row r="74" spans="2:3" x14ac:dyDescent="0.2">
      <c r="B74" s="1" t="s">
        <v>412</v>
      </c>
      <c r="C74" s="64">
        <f>L6</f>
        <v>1283206.3422750002</v>
      </c>
    </row>
    <row r="75" spans="2:3" x14ac:dyDescent="0.2">
      <c r="B75" s="1" t="s">
        <v>157</v>
      </c>
      <c r="C75" s="136">
        <f>IF(Overview!C28&gt;0,Overview!C28,WACC!C20)</f>
        <v>0.12</v>
      </c>
    </row>
    <row r="76" spans="2:3" x14ac:dyDescent="0.2">
      <c r="B76" s="39" t="s">
        <v>414</v>
      </c>
      <c r="C76" s="105">
        <v>12</v>
      </c>
    </row>
    <row r="77" spans="2:3" x14ac:dyDescent="0.2">
      <c r="B77" s="1" t="s">
        <v>406</v>
      </c>
      <c r="C77" s="24">
        <f>(C74*C76)</f>
        <v>15398476.107300002</v>
      </c>
    </row>
    <row r="78" spans="2:3" x14ac:dyDescent="0.2">
      <c r="B78" s="1" t="s">
        <v>407</v>
      </c>
      <c r="C78" s="24">
        <f>C77/(1+C75)^5</f>
        <v>8737508.8804232161</v>
      </c>
    </row>
    <row r="79" spans="2:3" x14ac:dyDescent="0.2">
      <c r="B79" s="16" t="s">
        <v>408</v>
      </c>
      <c r="C79" s="109">
        <f>SUM(H9:K9)+C78</f>
        <v>9729820.4240129702</v>
      </c>
    </row>
    <row r="80" spans="2:3" x14ac:dyDescent="0.2">
      <c r="B80" s="1" t="s">
        <v>181</v>
      </c>
      <c r="C80" s="137">
        <f>Statement!AC105</f>
        <v>99369</v>
      </c>
    </row>
    <row r="81" spans="2:3" x14ac:dyDescent="0.2">
      <c r="B81" s="1" t="s">
        <v>182</v>
      </c>
      <c r="C81" s="137">
        <f>Statement!AC106</f>
        <v>33266</v>
      </c>
    </row>
    <row r="82" spans="2:3" x14ac:dyDescent="0.2">
      <c r="B82" s="16" t="s">
        <v>183</v>
      </c>
      <c r="C82" s="109">
        <f>C79+C80-C81</f>
        <v>9795923.4240129702</v>
      </c>
    </row>
    <row r="83" spans="2:3" x14ac:dyDescent="0.2">
      <c r="B83" s="1" t="s">
        <v>67</v>
      </c>
      <c r="C83" s="88">
        <f>Statement!AC77</f>
        <v>24195</v>
      </c>
    </row>
    <row r="84" spans="2:3" x14ac:dyDescent="0.2">
      <c r="B84" s="233" t="s">
        <v>201</v>
      </c>
      <c r="C84" s="234">
        <f>C82/C83</f>
        <v>404.87387575999048</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45" t="s">
        <v>206</v>
      </c>
      <c r="C4" s="245"/>
      <c r="N4" s="91"/>
    </row>
    <row r="5" spans="1:14" x14ac:dyDescent="0.2">
      <c r="B5" s="1" t="s">
        <v>207</v>
      </c>
      <c r="C5" s="134">
        <f>DCF!C26</f>
        <v>205.87576455664953</v>
      </c>
    </row>
    <row r="6" spans="1:14" x14ac:dyDescent="0.2">
      <c r="B6" s="1" t="s">
        <v>208</v>
      </c>
      <c r="C6" s="134">
        <f>Multiples!C50</f>
        <v>439.18110219686605</v>
      </c>
    </row>
    <row r="7" spans="1:14" x14ac:dyDescent="0.2">
      <c r="B7" s="1" t="s">
        <v>209</v>
      </c>
      <c r="C7" s="134">
        <f>Multiples!C58</f>
        <v>372.92428626108091</v>
      </c>
    </row>
    <row r="8" spans="1:14" x14ac:dyDescent="0.2">
      <c r="B8" s="1" t="s">
        <v>315</v>
      </c>
      <c r="C8" s="134">
        <f>Multiples!C71</f>
        <v>456.30961943941008</v>
      </c>
    </row>
    <row r="9" spans="1:14" x14ac:dyDescent="0.2">
      <c r="B9" s="1" t="s">
        <v>413</v>
      </c>
      <c r="C9" s="134">
        <f>Multiples!C84</f>
        <v>404.87387575999048</v>
      </c>
    </row>
    <row r="10" spans="1:14" x14ac:dyDescent="0.2">
      <c r="B10" s="233" t="s">
        <v>210</v>
      </c>
      <c r="C10" s="234">
        <f>AVERAGE(C5:C9)</f>
        <v>375.83292964279934</v>
      </c>
    </row>
    <row r="11" spans="1:14" x14ac:dyDescent="0.2">
      <c r="B11" s="1" t="s">
        <v>211</v>
      </c>
      <c r="C11" s="134">
        <f ca="1">Overview!C5</f>
        <v>216</v>
      </c>
    </row>
    <row r="12" spans="1:14" x14ac:dyDescent="0.2">
      <c r="B12" s="1" t="s">
        <v>212</v>
      </c>
      <c r="C12" s="153">
        <f ca="1">(C10-C11)/C11</f>
        <v>0.73996726686481173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8" zoomScale="192" zoomScaleNormal="100" workbookViewId="0">
      <selection activeCell="C23" sqref="C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388</v>
      </c>
    </row>
    <row r="2" spans="1:14" x14ac:dyDescent="0.2">
      <c r="A2" s="4"/>
      <c r="C2" s="245" t="s">
        <v>105</v>
      </c>
      <c r="D2" s="245"/>
      <c r="E2" s="245"/>
      <c r="F2" s="245"/>
      <c r="G2" s="254"/>
      <c r="H2" s="255" t="s">
        <v>106</v>
      </c>
      <c r="I2" s="245"/>
      <c r="J2" s="245"/>
      <c r="K2" s="245"/>
      <c r="L2" s="245"/>
    </row>
    <row r="3" spans="1:14" ht="10" customHeight="1" x14ac:dyDescent="0.2"/>
    <row r="4" spans="1:14" ht="16" customHeight="1" x14ac:dyDescent="0.2">
      <c r="A4" s="86"/>
      <c r="B4" s="60"/>
      <c r="C4" s="251" t="s">
        <v>186</v>
      </c>
      <c r="D4" s="251"/>
      <c r="E4" s="251"/>
      <c r="F4" s="251"/>
      <c r="G4" s="251"/>
      <c r="H4" s="251"/>
      <c r="I4" s="251"/>
      <c r="J4" s="251"/>
      <c r="K4" s="251"/>
      <c r="L4" s="251"/>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235</v>
      </c>
      <c r="C6" s="228">
        <f>Statement!M25</f>
        <v>0.38500000000000001</v>
      </c>
      <c r="D6" s="228">
        <f>Statement!N25</f>
        <v>0.17399999999999999</v>
      </c>
      <c r="E6" s="228">
        <f>Statement!O25</f>
        <v>1.1930000000000001</v>
      </c>
      <c r="F6" s="228">
        <f>Statement!P25</f>
        <v>2.94</v>
      </c>
      <c r="G6" s="229">
        <f>Statement!Q25</f>
        <v>4.9000000000000004</v>
      </c>
      <c r="H6" s="138"/>
      <c r="I6" s="138"/>
      <c r="J6" s="138"/>
      <c r="K6" s="138"/>
      <c r="L6" s="138"/>
      <c r="N6" s="91"/>
    </row>
    <row r="7" spans="1:14" x14ac:dyDescent="0.2">
      <c r="B7" s="16" t="s">
        <v>389</v>
      </c>
      <c r="C7" s="228">
        <f>Statement!M81</f>
        <v>1.6E-2</v>
      </c>
      <c r="D7" s="228">
        <f>Statement!N81</f>
        <v>1.6E-2</v>
      </c>
      <c r="E7" s="228">
        <f>Statement!O81</f>
        <v>1.6E-2</v>
      </c>
      <c r="F7" s="228">
        <f>Statement!P81</f>
        <v>3.4000000000000002E-2</v>
      </c>
      <c r="G7" s="229">
        <f>Statement!Q81</f>
        <v>0.04</v>
      </c>
      <c r="H7" s="138"/>
      <c r="I7" s="138"/>
      <c r="J7" s="138"/>
      <c r="K7" s="138"/>
      <c r="L7" s="138"/>
      <c r="N7" s="91"/>
    </row>
    <row r="8" spans="1:14" x14ac:dyDescent="0.2">
      <c r="N8" s="91"/>
    </row>
    <row r="9" spans="1:14" x14ac:dyDescent="0.2">
      <c r="C9" s="251" t="s">
        <v>114</v>
      </c>
      <c r="D9" s="251"/>
      <c r="E9" s="251"/>
      <c r="F9" s="251"/>
      <c r="G9" s="251"/>
      <c r="H9" s="251"/>
      <c r="I9" s="251"/>
      <c r="J9" s="251"/>
      <c r="K9" s="251"/>
      <c r="L9" s="251"/>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236</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51" t="s">
        <v>390</v>
      </c>
      <c r="D14" s="251"/>
      <c r="E14" s="251"/>
      <c r="F14" s="251"/>
      <c r="G14" s="251"/>
      <c r="H14" s="251"/>
      <c r="I14" s="251"/>
      <c r="J14" s="251"/>
      <c r="K14" s="251"/>
      <c r="L14" s="251"/>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391</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45" t="s">
        <v>392</v>
      </c>
      <c r="C20" s="245"/>
      <c r="N20" s="91"/>
    </row>
    <row r="21" spans="2:14" x14ac:dyDescent="0.2">
      <c r="B21" s="1" t="s">
        <v>393</v>
      </c>
      <c r="C21" s="230">
        <f>G7</f>
        <v>0.04</v>
      </c>
    </row>
    <row r="22" spans="2:14" x14ac:dyDescent="0.2">
      <c r="B22" s="1" t="s">
        <v>394</v>
      </c>
      <c r="C22" s="231">
        <v>3</v>
      </c>
    </row>
    <row r="23" spans="2:14" x14ac:dyDescent="0.2">
      <c r="B23" s="39" t="s">
        <v>395</v>
      </c>
      <c r="C23" s="232">
        <f>C21*(1+C22)</f>
        <v>0.16</v>
      </c>
    </row>
    <row r="24" spans="2:14" x14ac:dyDescent="0.2">
      <c r="B24" s="1" t="s">
        <v>376</v>
      </c>
      <c r="C24" s="136">
        <f>IF(Overview!C29&gt;0,Overview!C29,WACC!C19)</f>
        <v>0.12</v>
      </c>
    </row>
    <row r="25" spans="2:14" x14ac:dyDescent="0.2">
      <c r="B25" s="39" t="s">
        <v>396</v>
      </c>
      <c r="C25" s="231">
        <v>2.5000000000000001E-2</v>
      </c>
    </row>
    <row r="26" spans="2:14" x14ac:dyDescent="0.2">
      <c r="B26" s="233" t="s">
        <v>201</v>
      </c>
      <c r="C26" s="234">
        <f>C23/(C24-C25)</f>
        <v>1.6842105263157894</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45" t="s">
        <v>105</v>
      </c>
      <c r="D3" s="245"/>
      <c r="E3" s="245"/>
      <c r="F3" s="245"/>
      <c r="G3" s="254"/>
      <c r="H3" s="255" t="s">
        <v>106</v>
      </c>
      <c r="I3" s="245"/>
      <c r="J3" s="245"/>
      <c r="K3" s="245"/>
      <c r="L3" s="245"/>
      <c r="P3" s="256"/>
      <c r="Q3" s="256"/>
      <c r="R3" s="256"/>
      <c r="S3" s="256"/>
      <c r="T3" s="256"/>
      <c r="U3" s="256"/>
      <c r="V3" s="256"/>
      <c r="W3" s="256"/>
      <c r="X3" s="256"/>
      <c r="Y3" s="256"/>
      <c r="Z3" s="256"/>
      <c r="AB3" s="110"/>
    </row>
    <row r="4" spans="1:28" ht="10" customHeight="1" x14ac:dyDescent="0.2"/>
    <row r="5" spans="1:28" ht="16" customHeight="1" x14ac:dyDescent="0.2">
      <c r="A5" s="86"/>
      <c r="B5" s="60"/>
      <c r="C5" s="251" t="s">
        <v>172</v>
      </c>
      <c r="D5" s="251"/>
      <c r="E5" s="251"/>
      <c r="F5" s="251"/>
      <c r="G5" s="251"/>
      <c r="H5" s="251"/>
      <c r="I5" s="251"/>
      <c r="J5" s="251"/>
      <c r="K5" s="251"/>
      <c r="L5" s="251"/>
      <c r="P5" s="256"/>
      <c r="Q5" s="256"/>
      <c r="R5" s="256"/>
      <c r="S5" s="256"/>
      <c r="T5" s="256"/>
      <c r="U5" s="256"/>
      <c r="V5" s="256"/>
      <c r="W5" s="256"/>
      <c r="X5" s="256"/>
      <c r="Y5" s="256"/>
      <c r="Z5" s="25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27">
        <f>G7*(1+$C$17)</f>
        <v>137252.09097560975</v>
      </c>
      <c r="I7" s="127">
        <f t="shared" ref="I7:L7" si="0">H7*(1+$C$17)</f>
        <v>205878.13646341464</v>
      </c>
      <c r="J7" s="127">
        <f t="shared" si="0"/>
        <v>308817.20469512197</v>
      </c>
      <c r="K7" s="127">
        <f t="shared" si="0"/>
        <v>463225.80704268295</v>
      </c>
      <c r="L7" s="127">
        <f t="shared" si="0"/>
        <v>694838.7105640244</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7496943.9824013151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H7/(1+$C$21)^H9</f>
        <v>122546.50979965155</v>
      </c>
      <c r="I10" s="127">
        <f t="shared" ref="I10:L10" si="1">I7/(1+$C$21)^I9</f>
        <v>164124.78991024761</v>
      </c>
      <c r="J10" s="127">
        <f t="shared" si="1"/>
        <v>219809.98648693875</v>
      </c>
      <c r="K10" s="127">
        <f t="shared" si="1"/>
        <v>294388.37475929299</v>
      </c>
      <c r="L10" s="127">
        <f t="shared" si="1"/>
        <v>394270.14476691018</v>
      </c>
      <c r="N10" s="91"/>
    </row>
    <row r="11" spans="1:28" x14ac:dyDescent="0.2">
      <c r="B11" s="1" t="s">
        <v>175</v>
      </c>
      <c r="C11" s="138"/>
      <c r="D11" s="138"/>
      <c r="E11" s="138"/>
      <c r="F11" s="138"/>
      <c r="G11" s="139"/>
      <c r="H11" s="138"/>
      <c r="I11" s="138"/>
      <c r="J11" s="138"/>
      <c r="K11" s="138"/>
      <c r="L11" s="127">
        <f>L8/(1+C21)^L9</f>
        <v>4253967.351432452</v>
      </c>
    </row>
    <row r="13" spans="1:28" ht="17" thickBot="1" x14ac:dyDescent="0.25"/>
    <row r="14" spans="1:28" x14ac:dyDescent="0.2">
      <c r="B14" s="257" t="s">
        <v>214</v>
      </c>
      <c r="C14" s="258"/>
    </row>
    <row r="15" spans="1:28" x14ac:dyDescent="0.2">
      <c r="B15" s="154" t="s">
        <v>215</v>
      </c>
      <c r="C15" s="155">
        <f ca="1">Overview!C5</f>
        <v>216</v>
      </c>
    </row>
    <row r="16" spans="1:28" x14ac:dyDescent="0.2">
      <c r="B16" s="154" t="s">
        <v>216</v>
      </c>
      <c r="C16" s="155">
        <f>C36</f>
        <v>228.84689448777979</v>
      </c>
    </row>
    <row r="17" spans="2:9" ht="17" thickBot="1" x14ac:dyDescent="0.25">
      <c r="B17" s="156" t="s">
        <v>316</v>
      </c>
      <c r="C17" s="157">
        <v>0.5</v>
      </c>
      <c r="E17" s="259" t="s">
        <v>217</v>
      </c>
      <c r="F17" s="259"/>
      <c r="G17" s="259"/>
      <c r="H17" s="259"/>
      <c r="I17" s="259"/>
    </row>
    <row r="18" spans="2:9" ht="17" thickBot="1" x14ac:dyDescent="0.25"/>
    <row r="19" spans="2:9" x14ac:dyDescent="0.2">
      <c r="B19" s="257" t="s">
        <v>176</v>
      </c>
      <c r="C19" s="258"/>
    </row>
    <row r="20" spans="2:9" x14ac:dyDescent="0.2">
      <c r="B20" s="158" t="s">
        <v>177</v>
      </c>
      <c r="C20" s="159">
        <v>2.5000000000000001E-2</v>
      </c>
    </row>
    <row r="21" spans="2:9" x14ac:dyDescent="0.2">
      <c r="B21" s="158" t="s">
        <v>157</v>
      </c>
      <c r="C21" s="223">
        <f>IF(Overview!C28&gt;0,Overview!C28,WACC!C20)</f>
        <v>0.12</v>
      </c>
    </row>
    <row r="22" spans="2:9" x14ac:dyDescent="0.2">
      <c r="B22" s="158" t="s">
        <v>67</v>
      </c>
      <c r="C22" s="224">
        <f>Statement!AC74</f>
        <v>24100</v>
      </c>
    </row>
    <row r="23" spans="2:9" x14ac:dyDescent="0.2">
      <c r="B23" s="158" t="s">
        <v>218</v>
      </c>
      <c r="C23" s="160">
        <f ca="1">C15*C22</f>
        <v>5205600</v>
      </c>
    </row>
    <row r="24" spans="2:9" x14ac:dyDescent="0.2">
      <c r="B24" s="158" t="s">
        <v>170</v>
      </c>
      <c r="C24" s="224">
        <f>Statement!AC105</f>
        <v>99369</v>
      </c>
    </row>
    <row r="25" spans="2:9" x14ac:dyDescent="0.2">
      <c r="B25" s="158" t="s">
        <v>161</v>
      </c>
      <c r="C25" s="224">
        <f>Statement!AC106</f>
        <v>33266</v>
      </c>
    </row>
    <row r="26" spans="2:9" ht="17" thickBot="1" x14ac:dyDescent="0.25">
      <c r="B26" s="156" t="s">
        <v>219</v>
      </c>
      <c r="C26" s="161">
        <f ca="1">C23+C25-C24</f>
        <v>5139497</v>
      </c>
    </row>
    <row r="27" spans="2:9" ht="17" thickBot="1" x14ac:dyDescent="0.25"/>
    <row r="28" spans="2:9" x14ac:dyDescent="0.2">
      <c r="B28" s="257" t="s">
        <v>178</v>
      </c>
      <c r="C28" s="258"/>
    </row>
    <row r="29" spans="2:9" x14ac:dyDescent="0.2">
      <c r="B29" s="158" t="s">
        <v>179</v>
      </c>
      <c r="C29" s="160">
        <f>SUM(H10:L10)</f>
        <v>1195139.8057230411</v>
      </c>
    </row>
    <row r="30" spans="2:9" x14ac:dyDescent="0.2">
      <c r="B30" s="158" t="s">
        <v>175</v>
      </c>
      <c r="C30" s="160">
        <f>L11</f>
        <v>4253967.351432452</v>
      </c>
    </row>
    <row r="31" spans="2:9" x14ac:dyDescent="0.2">
      <c r="B31" s="162" t="s">
        <v>180</v>
      </c>
      <c r="C31" s="163">
        <f>C29+C30</f>
        <v>5449107.1571554933</v>
      </c>
    </row>
    <row r="32" spans="2:9" x14ac:dyDescent="0.2">
      <c r="B32" s="158" t="s">
        <v>181</v>
      </c>
      <c r="C32" s="164">
        <f>C24</f>
        <v>99369</v>
      </c>
    </row>
    <row r="33" spans="2:3" x14ac:dyDescent="0.2">
      <c r="B33" s="158" t="s">
        <v>182</v>
      </c>
      <c r="C33" s="164">
        <f>C25</f>
        <v>33266</v>
      </c>
    </row>
    <row r="34" spans="2:3" x14ac:dyDescent="0.2">
      <c r="B34" s="162" t="s">
        <v>183</v>
      </c>
      <c r="C34" s="163">
        <f>C31+C32-C33</f>
        <v>5515210.1571554933</v>
      </c>
    </row>
    <row r="35" spans="2:3" x14ac:dyDescent="0.2">
      <c r="B35" s="158" t="s">
        <v>67</v>
      </c>
      <c r="C35" s="160">
        <f>C22</f>
        <v>24100</v>
      </c>
    </row>
    <row r="36" spans="2:3" ht="17" thickBot="1" x14ac:dyDescent="0.25">
      <c r="B36" s="165" t="s">
        <v>184</v>
      </c>
      <c r="C36" s="166">
        <f>C34/C35</f>
        <v>228.84689448777979</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2026-10-26T20:29:37Z</dcterms:modified>
</cp:coreProperties>
</file>