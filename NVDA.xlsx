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E058C913-AE1A-6548-84C7-3504687AB4F9}"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2" i="3" l="1"/>
  <c r="N10" i="3"/>
  <c r="O12" i="3"/>
  <c r="P12" i="3"/>
  <c r="Q12" i="3"/>
  <c r="Q125" i="3"/>
  <c r="P125" i="3"/>
  <c r="O125" i="3"/>
  <c r="N125" i="3"/>
  <c r="M125"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L14" i="12"/>
  <c r="K14" i="12"/>
  <c r="J14" i="12"/>
  <c r="L13" i="12"/>
  <c r="K13" i="12"/>
  <c r="J13" i="12"/>
  <c r="I13" i="12"/>
  <c r="L34" i="8"/>
  <c r="K34" i="8"/>
  <c r="J34" i="8"/>
  <c r="I34" i="8"/>
  <c r="H34" i="8"/>
  <c r="L33" i="8"/>
  <c r="K33" i="8"/>
  <c r="J33" i="8"/>
  <c r="I33" i="8"/>
  <c r="H33" i="8"/>
  <c r="L14" i="7"/>
  <c r="K14" i="7"/>
  <c r="J14" i="7"/>
  <c r="I14" i="7"/>
  <c r="H14" i="7"/>
  <c r="G7" i="16"/>
  <c r="F7" i="16"/>
  <c r="L69" i="3"/>
  <c r="K69" i="3"/>
  <c r="J69" i="3"/>
  <c r="I69" i="3"/>
  <c r="H69" i="3"/>
  <c r="G69" i="3"/>
  <c r="F69" i="3"/>
  <c r="E69" i="3"/>
  <c r="D69" i="3"/>
  <c r="C69" i="3"/>
  <c r="Q204" i="3"/>
  <c r="P204" i="3"/>
  <c r="O204" i="3"/>
  <c r="N204" i="3"/>
  <c r="M204" i="3"/>
  <c r="AC82" i="3"/>
  <c r="AC43" i="3"/>
  <c r="AC63" i="3"/>
  <c r="AA120" i="3"/>
  <c r="Z120" i="3"/>
  <c r="Y120" i="3"/>
  <c r="X120" i="3"/>
  <c r="W120" i="3"/>
  <c r="V120" i="3"/>
  <c r="U120" i="3"/>
  <c r="T120" i="3"/>
  <c r="Q120" i="3"/>
  <c r="P120" i="3"/>
  <c r="O120" i="3"/>
  <c r="N120" i="3"/>
  <c r="M120" i="3"/>
  <c r="AC46" i="3"/>
  <c r="AA119" i="3"/>
  <c r="Z119" i="3"/>
  <c r="Y119" i="3"/>
  <c r="X119" i="3"/>
  <c r="W119" i="3"/>
  <c r="V119" i="3"/>
  <c r="U119" i="3"/>
  <c r="T119" i="3"/>
  <c r="Q119" i="3"/>
  <c r="P119" i="3"/>
  <c r="O119" i="3"/>
  <c r="N119" i="3"/>
  <c r="M119" i="3"/>
  <c r="AC16" i="3"/>
  <c r="C13" i="10"/>
  <c r="C12" i="10"/>
  <c r="C11" i="10"/>
  <c r="G29" i="7"/>
  <c r="F29" i="7"/>
  <c r="E29" i="7"/>
  <c r="D29" i="7"/>
  <c r="C29" i="7"/>
  <c r="AC54" i="3"/>
  <c r="G14" i="7"/>
  <c r="F14" i="7"/>
  <c r="E14" i="7"/>
  <c r="D14" i="7"/>
  <c r="C14" i="7"/>
  <c r="AA116" i="3"/>
  <c r="Z116" i="3"/>
  <c r="Y116" i="3"/>
  <c r="X116" i="3"/>
  <c r="W116" i="3"/>
  <c r="V116" i="3"/>
  <c r="U116" i="3"/>
  <c r="T116" i="3"/>
  <c r="Q116" i="3"/>
  <c r="P116" i="3"/>
  <c r="O116" i="3"/>
  <c r="N116" i="3"/>
  <c r="M116" i="3"/>
  <c r="AC37" i="3"/>
  <c r="AA75" i="3"/>
  <c r="AA61" i="3"/>
  <c r="AA56" i="3"/>
  <c r="AA28" i="3"/>
  <c r="Z200" i="3"/>
  <c r="Y200" i="3"/>
  <c r="X200" i="3"/>
  <c r="W200" i="3"/>
  <c r="V200" i="3"/>
  <c r="U200" i="3"/>
  <c r="T200" i="3"/>
  <c r="Z199" i="3"/>
  <c r="Y199" i="3"/>
  <c r="X199" i="3"/>
  <c r="W199" i="3"/>
  <c r="V199" i="3"/>
  <c r="U199" i="3"/>
  <c r="T199" i="3"/>
  <c r="Z198" i="3"/>
  <c r="Y198" i="3"/>
  <c r="X198" i="3"/>
  <c r="W198" i="3"/>
  <c r="V198" i="3"/>
  <c r="U198" i="3"/>
  <c r="T198" i="3"/>
  <c r="Z189" i="3"/>
  <c r="Y189" i="3"/>
  <c r="X189" i="3"/>
  <c r="W189" i="3"/>
  <c r="V189" i="3"/>
  <c r="U189" i="3"/>
  <c r="T189" i="3"/>
  <c r="Z188" i="3"/>
  <c r="Y188" i="3"/>
  <c r="X188" i="3"/>
  <c r="W188" i="3"/>
  <c r="V188" i="3"/>
  <c r="U188" i="3"/>
  <c r="T188" i="3"/>
  <c r="Z165" i="3"/>
  <c r="Y165" i="3"/>
  <c r="X165" i="3"/>
  <c r="W165" i="3"/>
  <c r="V165" i="3"/>
  <c r="U165" i="3"/>
  <c r="T165" i="3"/>
  <c r="Z164" i="3"/>
  <c r="Y164" i="3"/>
  <c r="X164" i="3"/>
  <c r="W164" i="3"/>
  <c r="V164" i="3"/>
  <c r="U164" i="3"/>
  <c r="T164" i="3"/>
  <c r="Z161" i="3"/>
  <c r="Y161" i="3"/>
  <c r="X161" i="3"/>
  <c r="W161" i="3"/>
  <c r="V161" i="3"/>
  <c r="U161" i="3"/>
  <c r="T161" i="3"/>
  <c r="Z159" i="3"/>
  <c r="Y159" i="3"/>
  <c r="X159" i="3"/>
  <c r="W159" i="3"/>
  <c r="V159" i="3"/>
  <c r="U159" i="3"/>
  <c r="T159" i="3"/>
  <c r="Z158" i="3"/>
  <c r="Y158" i="3"/>
  <c r="X158" i="3"/>
  <c r="W158" i="3"/>
  <c r="V158" i="3"/>
  <c r="U158" i="3"/>
  <c r="T158" i="3"/>
  <c r="Z152" i="3"/>
  <c r="Y152" i="3"/>
  <c r="X152" i="3"/>
  <c r="W152" i="3"/>
  <c r="V152" i="3"/>
  <c r="U152" i="3"/>
  <c r="T152" i="3"/>
  <c r="Z151" i="3"/>
  <c r="Y151" i="3"/>
  <c r="X151" i="3"/>
  <c r="W151" i="3"/>
  <c r="V151" i="3"/>
  <c r="U151" i="3"/>
  <c r="T151" i="3"/>
  <c r="Z148" i="3"/>
  <c r="Y148" i="3"/>
  <c r="X148" i="3"/>
  <c r="W148" i="3"/>
  <c r="V148" i="3"/>
  <c r="U148" i="3"/>
  <c r="T148" i="3"/>
  <c r="Z147" i="3"/>
  <c r="Y147" i="3"/>
  <c r="X147" i="3"/>
  <c r="W147" i="3"/>
  <c r="V147" i="3"/>
  <c r="U147" i="3"/>
  <c r="T147" i="3"/>
  <c r="Z118" i="3"/>
  <c r="Y118" i="3"/>
  <c r="X118" i="3"/>
  <c r="W118" i="3"/>
  <c r="V118" i="3"/>
  <c r="U118" i="3"/>
  <c r="T11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90" i="3"/>
  <c r="Y90" i="3"/>
  <c r="X90" i="3"/>
  <c r="W90" i="3"/>
  <c r="V90" i="3"/>
  <c r="U90" i="3"/>
  <c r="T90" i="3"/>
  <c r="Z88" i="3"/>
  <c r="Y88" i="3"/>
  <c r="X88" i="3"/>
  <c r="W88" i="3"/>
  <c r="V88" i="3"/>
  <c r="U88" i="3"/>
  <c r="T88" i="3"/>
  <c r="Z87" i="3"/>
  <c r="Y87" i="3"/>
  <c r="X87" i="3"/>
  <c r="W87" i="3"/>
  <c r="V87" i="3"/>
  <c r="U87" i="3"/>
  <c r="T87" i="3"/>
  <c r="Z81" i="3"/>
  <c r="Y81" i="3"/>
  <c r="X81" i="3"/>
  <c r="W81" i="3"/>
  <c r="V81" i="3"/>
  <c r="U81" i="3"/>
  <c r="T81" i="3"/>
  <c r="Z80" i="3"/>
  <c r="Y80" i="3"/>
  <c r="X80" i="3"/>
  <c r="W80" i="3"/>
  <c r="V80" i="3"/>
  <c r="U80" i="3"/>
  <c r="T80" i="3"/>
  <c r="Z75" i="3"/>
  <c r="Y75" i="3"/>
  <c r="X75" i="3"/>
  <c r="W75" i="3"/>
  <c r="V75" i="3"/>
  <c r="U75" i="3"/>
  <c r="T75" i="3"/>
  <c r="Z72" i="3"/>
  <c r="Y72" i="3"/>
  <c r="X72" i="3"/>
  <c r="W72" i="3"/>
  <c r="V72" i="3"/>
  <c r="U72" i="3"/>
  <c r="T72" i="3"/>
  <c r="W56" i="3"/>
  <c r="Z40" i="3"/>
  <c r="Y40" i="3"/>
  <c r="X40" i="3"/>
  <c r="W40" i="3"/>
  <c r="V40" i="3"/>
  <c r="U40" i="3"/>
  <c r="T40" i="3"/>
  <c r="Z34" i="3"/>
  <c r="Y34" i="3"/>
  <c r="X34" i="3"/>
  <c r="W34" i="3"/>
  <c r="V34" i="3"/>
  <c r="U34" i="3"/>
  <c r="T34" i="3"/>
  <c r="Z29" i="3"/>
  <c r="Y29" i="3"/>
  <c r="X29" i="3"/>
  <c r="W29" i="3"/>
  <c r="V29" i="3"/>
  <c r="U29" i="3"/>
  <c r="T29" i="3"/>
  <c r="Z28" i="3"/>
  <c r="Y28" i="3"/>
  <c r="X28" i="3"/>
  <c r="W28" i="3"/>
  <c r="V28" i="3"/>
  <c r="U28" i="3"/>
  <c r="T28"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X7" i="3"/>
  <c r="W7" i="3"/>
  <c r="V7" i="3"/>
  <c r="U7" i="3"/>
  <c r="T7" i="3"/>
  <c r="H8" i="1"/>
  <c r="H7" i="1"/>
  <c r="H6" i="1"/>
  <c r="H5" i="1"/>
  <c r="H4" i="1"/>
  <c r="H3" i="1"/>
  <c r="G34" i="18"/>
  <c r="F34" i="18"/>
  <c r="D34" i="18"/>
  <c r="C34" i="18"/>
  <c r="G32" i="18"/>
  <c r="F32" i="18"/>
  <c r="D32" i="18"/>
  <c r="C32" i="18"/>
  <c r="G28" i="18"/>
  <c r="F28" i="18"/>
  <c r="D28" i="18"/>
  <c r="C28" i="18"/>
  <c r="G26" i="18"/>
  <c r="F26" i="18"/>
  <c r="D26" i="18"/>
  <c r="C26" i="18"/>
  <c r="G24" i="18"/>
  <c r="F24" i="18"/>
  <c r="D24" i="18"/>
  <c r="C24" i="18"/>
  <c r="AA200" i="3"/>
  <c r="AA199" i="3"/>
  <c r="AA198" i="3"/>
  <c r="G16" i="18"/>
  <c r="F16" i="18"/>
  <c r="D16" i="18"/>
  <c r="C16" i="18"/>
  <c r="G14" i="18"/>
  <c r="F14" i="18"/>
  <c r="D14" i="18"/>
  <c r="C14" i="18"/>
  <c r="G8" i="18"/>
  <c r="F8" i="18"/>
  <c r="D8" i="18"/>
  <c r="C8" i="18"/>
  <c r="G6" i="18"/>
  <c r="F6" i="18"/>
  <c r="D6" i="18"/>
  <c r="C6" i="18"/>
  <c r="G5" i="18"/>
  <c r="G4" i="18"/>
  <c r="F5" i="18"/>
  <c r="F4" i="18"/>
  <c r="D5" i="18"/>
  <c r="D4" i="18"/>
  <c r="C5" i="18"/>
  <c r="C4" i="18"/>
  <c r="Q200" i="3"/>
  <c r="P200" i="3"/>
  <c r="O200" i="3"/>
  <c r="N200" i="3"/>
  <c r="M200" i="3"/>
  <c r="Q199" i="3"/>
  <c r="P199" i="3"/>
  <c r="O199" i="3"/>
  <c r="N199" i="3"/>
  <c r="M199" i="3"/>
  <c r="Q198" i="3"/>
  <c r="P198" i="3"/>
  <c r="O198" i="3"/>
  <c r="N198" i="3"/>
  <c r="M198"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8" i="3"/>
  <c r="Q118" i="3"/>
  <c r="P118" i="3"/>
  <c r="O118" i="3"/>
  <c r="N118" i="3"/>
  <c r="M118" i="3"/>
  <c r="AA158" i="3"/>
  <c r="Q158" i="3"/>
  <c r="P158" i="3"/>
  <c r="O158" i="3"/>
  <c r="N158" i="3"/>
  <c r="M158" i="3"/>
  <c r="AC30" i="3"/>
  <c r="AC62" i="3"/>
  <c r="AA189" i="3"/>
  <c r="Q189" i="3"/>
  <c r="P189" i="3"/>
  <c r="O189" i="3"/>
  <c r="N189" i="3"/>
  <c r="M189" i="3"/>
  <c r="AA188" i="3"/>
  <c r="Q188" i="3"/>
  <c r="P188" i="3"/>
  <c r="O188" i="3"/>
  <c r="N188" i="3"/>
  <c r="M188" i="3"/>
  <c r="M77" i="3"/>
  <c r="N77" i="3"/>
  <c r="O77" i="3"/>
  <c r="P77" i="3"/>
  <c r="Q77" i="3"/>
  <c r="AA165" i="3"/>
  <c r="O165" i="3"/>
  <c r="N165" i="3"/>
  <c r="AA164" i="3"/>
  <c r="Q164" i="3"/>
  <c r="P164" i="3"/>
  <c r="O164" i="3"/>
  <c r="N164" i="3"/>
  <c r="M164" i="3"/>
  <c r="AA159" i="3"/>
  <c r="Q159" i="3"/>
  <c r="P159" i="3"/>
  <c r="O159" i="3"/>
  <c r="N159" i="3"/>
  <c r="M159" i="3"/>
  <c r="F10" i="16"/>
  <c r="G10" i="16"/>
  <c r="G9" i="16"/>
  <c r="F6" i="16"/>
  <c r="G6" i="16"/>
  <c r="AC60" i="3"/>
  <c r="AC59" i="3"/>
  <c r="AC58" i="3"/>
  <c r="AC57" i="3"/>
  <c r="AC52" i="3"/>
  <c r="AC51" i="3"/>
  <c r="AC74" i="3"/>
  <c r="P75" i="3"/>
  <c r="O75" i="3"/>
  <c r="N75" i="3"/>
  <c r="M75" i="3"/>
  <c r="Q75" i="3"/>
  <c r="AA151" i="3"/>
  <c r="AA152" i="3"/>
  <c r="AA148" i="3"/>
  <c r="AA147" i="3"/>
  <c r="F30" i="12"/>
  <c r="E30" i="12"/>
  <c r="D30" i="12"/>
  <c r="G23" i="12"/>
  <c r="F23" i="12"/>
  <c r="E23" i="12"/>
  <c r="D23" i="12"/>
  <c r="C23" i="12"/>
  <c r="AC116" i="3"/>
  <c r="L15" i="8"/>
  <c r="K15" i="8"/>
  <c r="J15" i="8"/>
  <c r="I15" i="8"/>
  <c r="H15" i="8"/>
  <c r="G45" i="7"/>
  <c r="F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138" i="3"/>
  <c r="AC141" i="3"/>
  <c r="AC140" i="3"/>
  <c r="AC139" i="3"/>
  <c r="AC137" i="3"/>
  <c r="AA81" i="3"/>
  <c r="O81" i="3"/>
  <c r="N81" i="3"/>
  <c r="M81" i="3"/>
  <c r="L81" i="3"/>
  <c r="K81" i="3"/>
  <c r="J81" i="3"/>
  <c r="I81" i="3"/>
  <c r="H81" i="3"/>
  <c r="G81" i="3"/>
  <c r="F81" i="3"/>
  <c r="E81" i="3"/>
  <c r="D81" i="3"/>
  <c r="C81" i="3"/>
  <c r="P81" i="3"/>
  <c r="Q81" i="3"/>
  <c r="P132" i="3"/>
  <c r="O132" i="3"/>
  <c r="N132" i="3"/>
  <c r="M132" i="3"/>
  <c r="Q132" i="3"/>
  <c r="P130" i="3"/>
  <c r="O130" i="3"/>
  <c r="N130" i="3"/>
  <c r="M130" i="3"/>
  <c r="Q130" i="3"/>
  <c r="AC110" i="3"/>
  <c r="AC109" i="3"/>
  <c r="AC108" i="3"/>
  <c r="AC106" i="3"/>
  <c r="AC105" i="3"/>
  <c r="AC104" i="3"/>
  <c r="AA100" i="3"/>
  <c r="AC79" i="3"/>
  <c r="AA80" i="3"/>
  <c r="AA72" i="3"/>
  <c r="M72" i="3"/>
  <c r="N72" i="3"/>
  <c r="O72" i="3"/>
  <c r="P72" i="3"/>
  <c r="Q72" i="3"/>
  <c r="Q80" i="3"/>
  <c r="P80" i="3"/>
  <c r="O80" i="3"/>
  <c r="N80" i="3"/>
  <c r="M80" i="3"/>
  <c r="M56" i="3"/>
  <c r="N56" i="3"/>
  <c r="O56" i="3"/>
  <c r="P56" i="3"/>
  <c r="Q56" i="3"/>
  <c r="AC48" i="3"/>
  <c r="AC47" i="3"/>
  <c r="AC45" i="3"/>
  <c r="AC44" i="3"/>
  <c r="AC42" i="3"/>
  <c r="AC41" i="3"/>
  <c r="AC39" i="3"/>
  <c r="AC38" i="3"/>
  <c r="AC36" i="3"/>
  <c r="AC35" i="3"/>
  <c r="AC33" i="3"/>
  <c r="AC32" i="3"/>
  <c r="AC31" i="3"/>
  <c r="AC29" i="3"/>
  <c r="AA40" i="3"/>
  <c r="AA34" i="3"/>
  <c r="O40" i="3"/>
  <c r="N40" i="3"/>
  <c r="M40" i="3"/>
  <c r="M29" i="3"/>
  <c r="M28" i="3"/>
  <c r="M34" i="3"/>
  <c r="O34" i="3"/>
  <c r="N34" i="3"/>
  <c r="N29" i="3"/>
  <c r="O29" i="3"/>
  <c r="N28" i="3"/>
  <c r="O28" i="3"/>
  <c r="P40" i="3"/>
  <c r="Q40" i="3"/>
  <c r="P34" i="3"/>
  <c r="Q34" i="3"/>
  <c r="P29" i="3"/>
  <c r="Q29" i="3"/>
  <c r="P28" i="3"/>
  <c r="Q28" i="3"/>
  <c r="AA96" i="3"/>
  <c r="AA95" i="3"/>
  <c r="AA94" i="3"/>
  <c r="AA92" i="3"/>
  <c r="AA91" i="3"/>
  <c r="AA90" i="3"/>
  <c r="AA88" i="3"/>
  <c r="AA87" i="3"/>
  <c r="AC24" i="3"/>
  <c r="AC22" i="3"/>
  <c r="AC20" i="3"/>
  <c r="AC18" i="3"/>
  <c r="AC17" i="3"/>
  <c r="AC15" i="3"/>
  <c r="AC14" i="3"/>
  <c r="AC13" i="3"/>
  <c r="AC12" i="3"/>
  <c r="AC11" i="3"/>
  <c r="AC9" i="3"/>
  <c r="AC8" i="3"/>
  <c r="AC6" i="3"/>
  <c r="AC5" i="3"/>
  <c r="AA25" i="3"/>
  <c r="AA23" i="3"/>
  <c r="AA21" i="3"/>
  <c r="AA19" i="3"/>
  <c r="AA10"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90" i="3"/>
  <c r="P90" i="3"/>
  <c r="O90" i="3"/>
  <c r="N90" i="3"/>
  <c r="M90" i="3"/>
  <c r="Q88" i="3"/>
  <c r="P88" i="3"/>
  <c r="O88" i="3"/>
  <c r="N88" i="3"/>
  <c r="M88" i="3"/>
  <c r="Q87" i="3"/>
  <c r="P87" i="3"/>
  <c r="O87" i="3"/>
  <c r="N87" i="3"/>
  <c r="M87"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M165" i="3" l="1"/>
  <c r="P165" i="3"/>
  <c r="Q165" i="3"/>
  <c r="Q179" i="3"/>
  <c r="P179" i="3"/>
  <c r="O179" i="3"/>
  <c r="N179" i="3"/>
  <c r="M179" i="3"/>
  <c r="P167" i="3"/>
  <c r="N167" i="3"/>
  <c r="M167" i="3"/>
  <c r="Q178" i="3"/>
  <c r="P178" i="3"/>
  <c r="O178" i="3"/>
  <c r="N178" i="3"/>
  <c r="M178" i="3"/>
  <c r="Q166" i="3"/>
  <c r="P166" i="3"/>
  <c r="O166" i="3"/>
  <c r="N166" i="3"/>
  <c r="M166" i="3"/>
  <c r="Q167" i="3"/>
  <c r="O167" i="3"/>
  <c r="AA173" i="3"/>
  <c r="J66" i="20" s="1"/>
  <c r="Z173" i="3"/>
  <c r="I66" i="20" s="1"/>
  <c r="Y173" i="3"/>
  <c r="H66" i="20" s="1"/>
  <c r="X173" i="3"/>
  <c r="G66" i="20" s="1"/>
  <c r="W173" i="3"/>
  <c r="F66" i="20" s="1"/>
  <c r="V173" i="3"/>
  <c r="E66" i="20" s="1"/>
  <c r="U173" i="3"/>
  <c r="D66" i="20" s="1"/>
  <c r="T173" i="3"/>
  <c r="C66" i="20" s="1"/>
  <c r="J61" i="20"/>
  <c r="I61" i="20"/>
  <c r="H61" i="20"/>
  <c r="G61" i="20"/>
  <c r="F61" i="20"/>
  <c r="E61" i="20"/>
  <c r="D61" i="20"/>
  <c r="C61" i="20"/>
  <c r="F26" i="1"/>
  <c r="F27" i="1" s="1"/>
  <c r="C9" i="10" s="1"/>
  <c r="L63" i="19"/>
  <c r="K63" i="19"/>
  <c r="J63" i="19"/>
  <c r="I63" i="19"/>
  <c r="H63" i="19"/>
  <c r="G34" i="8"/>
  <c r="F34" i="8"/>
  <c r="E34" i="8"/>
  <c r="D34" i="8"/>
  <c r="C34" i="8"/>
  <c r="G8" i="16"/>
  <c r="F8" i="16"/>
  <c r="AA69" i="3"/>
  <c r="Z69" i="3"/>
  <c r="Y69" i="3"/>
  <c r="X69" i="3"/>
  <c r="W69" i="3"/>
  <c r="V69" i="3"/>
  <c r="U69" i="3"/>
  <c r="T69" i="3"/>
  <c r="O69" i="3"/>
  <c r="N69" i="3"/>
  <c r="M69" i="3"/>
  <c r="P69" i="3"/>
  <c r="Q69" i="3"/>
  <c r="K29" i="7"/>
  <c r="I29" i="7"/>
  <c r="L29" i="7"/>
  <c r="J29" i="7"/>
  <c r="Q67" i="3"/>
  <c r="P67" i="3"/>
  <c r="O67" i="3"/>
  <c r="N67" i="3"/>
  <c r="M67" i="3"/>
  <c r="L67" i="3"/>
  <c r="K67" i="3"/>
  <c r="J67" i="3"/>
  <c r="I67" i="3"/>
  <c r="H67" i="3"/>
  <c r="G67" i="3"/>
  <c r="F67" i="3"/>
  <c r="E67" i="3"/>
  <c r="D67" i="3"/>
  <c r="C67" i="3"/>
  <c r="AA67" i="3"/>
  <c r="Z67" i="3"/>
  <c r="Y67" i="3"/>
  <c r="X67" i="3"/>
  <c r="W67" i="3"/>
  <c r="V67" i="3"/>
  <c r="U67" i="3"/>
  <c r="T67" i="3"/>
  <c r="Q173" i="3"/>
  <c r="P173" i="3"/>
  <c r="O173" i="3"/>
  <c r="N173" i="3"/>
  <c r="M173" i="3"/>
  <c r="AC120" i="3"/>
  <c r="Z89" i="3"/>
  <c r="Q129" i="3"/>
  <c r="P129" i="3"/>
  <c r="O129" i="3"/>
  <c r="N129" i="3"/>
  <c r="M129" i="3"/>
  <c r="AA101" i="3"/>
  <c r="J62" i="20" s="1"/>
  <c r="Z101" i="3"/>
  <c r="I62" i="20" s="1"/>
  <c r="Y101" i="3"/>
  <c r="H62" i="20" s="1"/>
  <c r="X101" i="3"/>
  <c r="G62" i="20" s="1"/>
  <c r="W101" i="3"/>
  <c r="F62" i="20" s="1"/>
  <c r="V101" i="3"/>
  <c r="E62" i="20" s="1"/>
  <c r="U101" i="3"/>
  <c r="D62" i="20" s="1"/>
  <c r="T101" i="3"/>
  <c r="C62" i="20" s="1"/>
  <c r="Q101" i="3"/>
  <c r="L64" i="19" s="1"/>
  <c r="P101" i="3"/>
  <c r="K64" i="19" s="1"/>
  <c r="O101" i="3"/>
  <c r="J64" i="19" s="1"/>
  <c r="N101" i="3"/>
  <c r="I64" i="19" s="1"/>
  <c r="M101" i="3"/>
  <c r="H64" i="19" s="1"/>
  <c r="AC119" i="3"/>
  <c r="G35" i="7"/>
  <c r="AC61" i="3"/>
  <c r="G30" i="12"/>
  <c r="E35" i="7"/>
  <c r="F35" i="7"/>
  <c r="D35" i="7"/>
  <c r="C35" i="7"/>
  <c r="Z194" i="3"/>
  <c r="Y194" i="3"/>
  <c r="X194" i="3"/>
  <c r="W194" i="3"/>
  <c r="V194" i="3"/>
  <c r="U194" i="3"/>
  <c r="T194" i="3"/>
  <c r="Z193" i="3"/>
  <c r="Y193" i="3"/>
  <c r="X193" i="3"/>
  <c r="W193" i="3"/>
  <c r="V193" i="3"/>
  <c r="U193" i="3"/>
  <c r="T193" i="3"/>
  <c r="Z192" i="3"/>
  <c r="Y192" i="3"/>
  <c r="X192" i="3"/>
  <c r="W192" i="3"/>
  <c r="V192" i="3"/>
  <c r="U192" i="3"/>
  <c r="T192" i="3"/>
  <c r="AC81" i="3"/>
  <c r="AC114" i="3" s="1"/>
  <c r="H29" i="7"/>
  <c r="AA161" i="3"/>
  <c r="Q161" i="3"/>
  <c r="N161" i="3"/>
  <c r="P161" i="3"/>
  <c r="O161" i="3"/>
  <c r="M161" i="3"/>
  <c r="C30" i="12"/>
  <c r="X114" i="3"/>
  <c r="W114" i="3"/>
  <c r="V114" i="3"/>
  <c r="U114" i="3"/>
  <c r="T114" i="3"/>
  <c r="T93"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8" i="3"/>
  <c r="G20" i="18"/>
  <c r="D20" i="18"/>
  <c r="G18" i="18"/>
  <c r="D18" i="18"/>
  <c r="C17" i="18"/>
  <c r="AA114" i="3"/>
  <c r="C15" i="18"/>
  <c r="G12" i="18"/>
  <c r="D12" i="18"/>
  <c r="C9" i="18"/>
  <c r="G10" i="18"/>
  <c r="C7" i="18"/>
  <c r="D10" i="18"/>
  <c r="G31" i="18"/>
  <c r="D31" i="18"/>
  <c r="G23" i="18"/>
  <c r="Z157" i="3"/>
  <c r="Z160" i="3" s="1"/>
  <c r="Y157" i="3"/>
  <c r="Y160" i="3" s="1"/>
  <c r="X157" i="3"/>
  <c r="X160" i="3" s="1"/>
  <c r="W157" i="3"/>
  <c r="W160" i="3" s="1"/>
  <c r="V157" i="3"/>
  <c r="V160" i="3" s="1"/>
  <c r="U157" i="3"/>
  <c r="U160" i="3" s="1"/>
  <c r="T157" i="3"/>
  <c r="T160" i="3" s="1"/>
  <c r="Z93" i="3"/>
  <c r="Y93" i="3"/>
  <c r="W93" i="3"/>
  <c r="V93" i="3"/>
  <c r="U93" i="3"/>
  <c r="V89" i="3"/>
  <c r="U89" i="3"/>
  <c r="F33" i="18"/>
  <c r="Z115" i="3"/>
  <c r="Y115" i="3"/>
  <c r="X115" i="3"/>
  <c r="W115" i="3"/>
  <c r="V115" i="3"/>
  <c r="U115" i="3"/>
  <c r="T115" i="3"/>
  <c r="Z114" i="3"/>
  <c r="Y114" i="3"/>
  <c r="Z99" i="3"/>
  <c r="I60" i="20" s="1"/>
  <c r="Y99" i="3"/>
  <c r="H60" i="20" s="1"/>
  <c r="X99" i="3"/>
  <c r="G60" i="20" s="1"/>
  <c r="W99" i="3"/>
  <c r="F60" i="20" s="1"/>
  <c r="V99" i="3"/>
  <c r="E60" i="20" s="1"/>
  <c r="U99" i="3"/>
  <c r="D60" i="20" s="1"/>
  <c r="T99" i="3"/>
  <c r="C60" i="20" s="1"/>
  <c r="X93" i="3"/>
  <c r="Y89" i="3"/>
  <c r="X89" i="3"/>
  <c r="W89" i="3"/>
  <c r="T89" i="3"/>
  <c r="C31" i="18"/>
  <c r="Z73" i="3"/>
  <c r="Z76" i="3" s="1"/>
  <c r="Y73" i="3"/>
  <c r="Y76" i="3" s="1"/>
  <c r="X73" i="3"/>
  <c r="X76" i="3" s="1"/>
  <c r="W73" i="3"/>
  <c r="W76" i="3" s="1"/>
  <c r="V73" i="3"/>
  <c r="V76" i="3" s="1"/>
  <c r="U73" i="3"/>
  <c r="U76" i="3" s="1"/>
  <c r="T73" i="3"/>
  <c r="T76" i="3" s="1"/>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E48"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94" i="3"/>
  <c r="Q194" i="3"/>
  <c r="G77" i="17" s="1"/>
  <c r="P194" i="3"/>
  <c r="F77" i="17" s="1"/>
  <c r="O194" i="3"/>
  <c r="E77" i="17" s="1"/>
  <c r="N194" i="3"/>
  <c r="D77" i="17" s="1"/>
  <c r="M194" i="3"/>
  <c r="C77" i="17" s="1"/>
  <c r="AA193" i="3"/>
  <c r="Q193" i="3"/>
  <c r="G76" i="17" s="1"/>
  <c r="P193" i="3"/>
  <c r="F76" i="17" s="1"/>
  <c r="O193" i="3"/>
  <c r="E76" i="17" s="1"/>
  <c r="N193" i="3"/>
  <c r="D76" i="17" s="1"/>
  <c r="M193" i="3"/>
  <c r="C76" i="17" s="1"/>
  <c r="AA192" i="3"/>
  <c r="Q192" i="3"/>
  <c r="G75" i="17" s="1"/>
  <c r="P192" i="3"/>
  <c r="F75" i="17" s="1"/>
  <c r="O192" i="3"/>
  <c r="E75" i="17" s="1"/>
  <c r="N192" i="3"/>
  <c r="D75" i="17" s="1"/>
  <c r="M192" i="3"/>
  <c r="C75" i="17" s="1"/>
  <c r="AC118" i="3"/>
  <c r="D23" i="17"/>
  <c r="E23" i="17"/>
  <c r="F23" i="17"/>
  <c r="G23" i="17"/>
  <c r="C23" i="17"/>
  <c r="AC158" i="3"/>
  <c r="I39" i="17" s="1"/>
  <c r="AC188" i="3"/>
  <c r="I71" i="17" s="1"/>
  <c r="C52" i="16"/>
  <c r="AC189" i="3"/>
  <c r="AC77" i="3"/>
  <c r="Q78" i="3"/>
  <c r="P78" i="3"/>
  <c r="N78" i="3"/>
  <c r="M78" i="3"/>
  <c r="O78" i="3"/>
  <c r="AC165" i="3"/>
  <c r="AC164" i="3"/>
  <c r="AC161" i="3"/>
  <c r="AA157" i="3"/>
  <c r="AC159" i="3"/>
  <c r="AC157" i="3"/>
  <c r="Q157" i="3"/>
  <c r="P157" i="3"/>
  <c r="O157" i="3"/>
  <c r="N157" i="3"/>
  <c r="M157" i="3"/>
  <c r="F9" i="16"/>
  <c r="F17" i="16"/>
  <c r="AC56" i="3"/>
  <c r="F16" i="16"/>
  <c r="F18" i="16" s="1"/>
  <c r="AC75" i="3"/>
  <c r="O30" i="6"/>
  <c r="O26" i="6"/>
  <c r="AC55" i="3"/>
  <c r="AC53" i="3"/>
  <c r="C25" i="14"/>
  <c r="O114" i="3"/>
  <c r="O117" i="3" s="1"/>
  <c r="O174" i="3" s="1"/>
  <c r="N114" i="3"/>
  <c r="N117" i="3" s="1"/>
  <c r="N174" i="3" s="1"/>
  <c r="M114" i="3"/>
  <c r="M117" i="3" s="1"/>
  <c r="M174" i="3" s="1"/>
  <c r="L114" i="3"/>
  <c r="K114" i="3"/>
  <c r="J114" i="3"/>
  <c r="I114" i="3"/>
  <c r="H114" i="3"/>
  <c r="G114" i="3"/>
  <c r="F114" i="3"/>
  <c r="E114" i="3"/>
  <c r="D114" i="3"/>
  <c r="C114" i="3"/>
  <c r="G44" i="14"/>
  <c r="F44" i="14"/>
  <c r="E44" i="14"/>
  <c r="D44" i="14"/>
  <c r="C44" i="14"/>
  <c r="G6" i="14"/>
  <c r="F6" i="14"/>
  <c r="E6" i="14"/>
  <c r="D6" i="14"/>
  <c r="C6" i="14"/>
  <c r="G18" i="12"/>
  <c r="F18" i="12"/>
  <c r="E18" i="12"/>
  <c r="D18" i="12"/>
  <c r="C18" i="12"/>
  <c r="G6" i="12"/>
  <c r="F6" i="12"/>
  <c r="E6" i="12"/>
  <c r="D6" i="12"/>
  <c r="C6" i="12"/>
  <c r="C23" i="11"/>
  <c r="C8" i="10"/>
  <c r="H7" i="14"/>
  <c r="G41" i="14"/>
  <c r="C18" i="10"/>
  <c r="AA115" i="3"/>
  <c r="Q115" i="3"/>
  <c r="P115" i="3"/>
  <c r="O115" i="3"/>
  <c r="N115" i="3"/>
  <c r="M115" i="3"/>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G15" i="8"/>
  <c r="E15" i="8"/>
  <c r="C15"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F15" i="8"/>
  <c r="D15"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H40" i="14" s="1"/>
  <c r="W33" i="5"/>
  <c r="U33" i="5"/>
  <c r="Z33" i="5"/>
  <c r="Y33" i="5"/>
  <c r="X33" i="5"/>
  <c r="V33" i="5"/>
  <c r="T33" i="5"/>
  <c r="P114" i="3"/>
  <c r="P117" i="3" s="1"/>
  <c r="P174" i="3" s="1"/>
  <c r="Q114" i="3"/>
  <c r="AC132" i="3"/>
  <c r="AC130" i="3"/>
  <c r="AC100" i="3"/>
  <c r="AA99" i="3"/>
  <c r="J60" i="20" s="1"/>
  <c r="AC80" i="3"/>
  <c r="AC72" i="3"/>
  <c r="AA73" i="3"/>
  <c r="AC73" i="3" s="1"/>
  <c r="M73" i="3"/>
  <c r="N73" i="3"/>
  <c r="O73" i="3"/>
  <c r="P73" i="3"/>
  <c r="Q73" i="3"/>
  <c r="AC40" i="3"/>
  <c r="AC34" i="3"/>
  <c r="AA89" i="3"/>
  <c r="C11" i="18" s="1"/>
  <c r="AA93" i="3"/>
  <c r="C13" i="18" s="1"/>
  <c r="AC10" i="3"/>
  <c r="AC7" i="3"/>
  <c r="AC99" i="3" s="1"/>
  <c r="Q99" i="3"/>
  <c r="P99" i="3"/>
  <c r="O99" i="3"/>
  <c r="N99" i="3"/>
  <c r="M99" i="3"/>
  <c r="Q93" i="3"/>
  <c r="G83" i="17" s="1"/>
  <c r="P93" i="3"/>
  <c r="F83" i="17" s="1"/>
  <c r="O93" i="3"/>
  <c r="E83" i="17" s="1"/>
  <c r="N93" i="3"/>
  <c r="D83" i="17" s="1"/>
  <c r="M93" i="3"/>
  <c r="C83" i="17" s="1"/>
  <c r="AC25" i="3"/>
  <c r="F5" i="1" s="1"/>
  <c r="AC23" i="3"/>
  <c r="AC21" i="3"/>
  <c r="AC19" i="3"/>
  <c r="Q89" i="3"/>
  <c r="G82" i="17" s="1"/>
  <c r="O89" i="3"/>
  <c r="E82" i="17" s="1"/>
  <c r="M89" i="3"/>
  <c r="C82" i="17" s="1"/>
  <c r="P89" i="3"/>
  <c r="F82" i="17" s="1"/>
  <c r="N89" i="3"/>
  <c r="D82" i="17" s="1"/>
  <c r="C8" i="1"/>
  <c r="C9" i="1"/>
  <c r="C10" i="1"/>
  <c r="C14" i="1"/>
  <c r="C13" i="1"/>
  <c r="C10" i="10" s="1"/>
  <c r="C12" i="1"/>
  <c r="C11" i="1"/>
  <c r="C7" i="1"/>
  <c r="C6" i="1"/>
  <c r="C5" i="1"/>
  <c r="C10" i="13" s="1"/>
  <c r="C4" i="1"/>
  <c r="C48" i="17" l="1"/>
  <c r="Q168" i="3"/>
  <c r="P168" i="3"/>
  <c r="N168" i="3"/>
  <c r="AC173" i="3"/>
  <c r="O23" i="6"/>
  <c r="M168" i="3"/>
  <c r="O168" i="3"/>
  <c r="F48" i="17"/>
  <c r="G53" i="17"/>
  <c r="F53" i="17"/>
  <c r="E53" i="17"/>
  <c r="D53" i="17"/>
  <c r="C53" i="17"/>
  <c r="G51" i="17"/>
  <c r="F51" i="17"/>
  <c r="E51" i="17"/>
  <c r="D51" i="17"/>
  <c r="C51" i="17"/>
  <c r="AC67" i="3"/>
  <c r="M76" i="3"/>
  <c r="M169" i="3" s="1"/>
  <c r="N76" i="3"/>
  <c r="N169" i="3" s="1"/>
  <c r="O76" i="3"/>
  <c r="O169" i="3" s="1"/>
  <c r="P76" i="3"/>
  <c r="P169" i="3" s="1"/>
  <c r="Q76" i="3"/>
  <c r="Q169" i="3" s="1"/>
  <c r="F22" i="8"/>
  <c r="AC185" i="3"/>
  <c r="AC183" i="3"/>
  <c r="AC69" i="3"/>
  <c r="Q183" i="3"/>
  <c r="L60" i="19"/>
  <c r="Q185" i="3"/>
  <c r="P183" i="3"/>
  <c r="K60" i="19"/>
  <c r="P185" i="3"/>
  <c r="O183" i="3"/>
  <c r="J60" i="19"/>
  <c r="O185" i="3"/>
  <c r="N183" i="3"/>
  <c r="I60" i="19"/>
  <c r="N185" i="3"/>
  <c r="M183" i="3"/>
  <c r="H60" i="19"/>
  <c r="M185" i="3"/>
  <c r="H5" i="8"/>
  <c r="H32" i="8" s="1"/>
  <c r="G32" i="8"/>
  <c r="G16" i="17"/>
  <c r="G33" i="8"/>
  <c r="L62" i="19"/>
  <c r="F16" i="17"/>
  <c r="F33" i="8"/>
  <c r="K62" i="19"/>
  <c r="E16" i="17"/>
  <c r="E33" i="8"/>
  <c r="J62" i="19"/>
  <c r="D16" i="17"/>
  <c r="D33" i="8"/>
  <c r="I62" i="19"/>
  <c r="C16" i="17"/>
  <c r="C33" i="8"/>
  <c r="H62" i="19"/>
  <c r="C19" i="10"/>
  <c r="E22" i="8"/>
  <c r="C22" i="8"/>
  <c r="Z68" i="3"/>
  <c r="Y68" i="3"/>
  <c r="X68" i="3"/>
  <c r="W68" i="3"/>
  <c r="V68" i="3"/>
  <c r="U68" i="3"/>
  <c r="G44" i="17"/>
  <c r="F44" i="17"/>
  <c r="E44" i="17"/>
  <c r="D44" i="17"/>
  <c r="C44" i="17"/>
  <c r="G26" i="17"/>
  <c r="F26" i="17"/>
  <c r="E26" i="17"/>
  <c r="D26" i="17"/>
  <c r="C26" i="17"/>
  <c r="G18" i="17"/>
  <c r="F18" i="17"/>
  <c r="E18" i="17"/>
  <c r="D18" i="17"/>
  <c r="C18" i="17"/>
  <c r="G22" i="8"/>
  <c r="D22" i="8"/>
  <c r="P131" i="3"/>
  <c r="K68" i="19" s="1"/>
  <c r="O131" i="3"/>
  <c r="J68" i="19" s="1"/>
  <c r="N131" i="3"/>
  <c r="I68" i="19" s="1"/>
  <c r="M131" i="3"/>
  <c r="H68" i="19" s="1"/>
  <c r="Q131" i="3"/>
  <c r="L68" i="19" s="1"/>
  <c r="Q68" i="3"/>
  <c r="O156" i="3"/>
  <c r="J70" i="19" s="1"/>
  <c r="N156" i="3"/>
  <c r="I70" i="19" s="1"/>
  <c r="M156" i="3"/>
  <c r="H70" i="19" s="1"/>
  <c r="K61" i="19"/>
  <c r="P156" i="3"/>
  <c r="K70" i="19" s="1"/>
  <c r="AC78" i="3"/>
  <c r="AC101" i="3"/>
  <c r="AC129" i="3"/>
  <c r="I26" i="17" s="1"/>
  <c r="T68" i="3"/>
  <c r="C31" i="16"/>
  <c r="F21" i="18"/>
  <c r="C19" i="18"/>
  <c r="C21" i="18"/>
  <c r="F19" i="18"/>
  <c r="F11" i="18"/>
  <c r="AA7" i="5"/>
  <c r="X11" i="6"/>
  <c r="AA15" i="5"/>
  <c r="X16" i="6"/>
  <c r="AB16" i="6" s="1"/>
  <c r="X13" i="6"/>
  <c r="AB13" i="6" s="1"/>
  <c r="X15" i="6"/>
  <c r="X12" i="6"/>
  <c r="X17" i="6"/>
  <c r="AB17" i="6" s="1"/>
  <c r="H42" i="7"/>
  <c r="H20" i="8" s="1"/>
  <c r="H13" i="7"/>
  <c r="H15" i="6"/>
  <c r="H16" i="6"/>
  <c r="H17" i="6"/>
  <c r="H11" i="6"/>
  <c r="H14" i="6" s="1"/>
  <c r="H12" i="6"/>
  <c r="H13" i="6"/>
  <c r="H45" i="7"/>
  <c r="H21" i="8" s="1"/>
  <c r="H36" i="7"/>
  <c r="F13" i="18"/>
  <c r="Z162" i="3"/>
  <c r="Z163" i="3"/>
  <c r="Z187" i="3"/>
  <c r="Z190" i="3"/>
  <c r="Y162" i="3"/>
  <c r="Y163" i="3"/>
  <c r="Y187" i="3"/>
  <c r="Y190" i="3"/>
  <c r="X162" i="3"/>
  <c r="X163" i="3"/>
  <c r="X187" i="3"/>
  <c r="X190" i="3"/>
  <c r="W162" i="3"/>
  <c r="W163" i="3"/>
  <c r="W187" i="3"/>
  <c r="W190" i="3"/>
  <c r="V162" i="3"/>
  <c r="V163" i="3"/>
  <c r="V187" i="3"/>
  <c r="V190" i="3"/>
  <c r="U162" i="3"/>
  <c r="U163" i="3"/>
  <c r="U187" i="3"/>
  <c r="U190" i="3"/>
  <c r="T162" i="3"/>
  <c r="T163" i="3"/>
  <c r="T187" i="3"/>
  <c r="T190" i="3"/>
  <c r="Q184" i="3"/>
  <c r="G59" i="17" s="1"/>
  <c r="P184" i="3"/>
  <c r="F59" i="17" s="1"/>
  <c r="O184" i="3"/>
  <c r="E59" i="17" s="1"/>
  <c r="N184" i="3"/>
  <c r="D59" i="17" s="1"/>
  <c r="M184" i="3"/>
  <c r="C59" i="17" s="1"/>
  <c r="AC192" i="3"/>
  <c r="AC193" i="3"/>
  <c r="AC194" i="3"/>
  <c r="I23" i="17"/>
  <c r="G22" i="7"/>
  <c r="D22" i="7"/>
  <c r="E21" i="7"/>
  <c r="C21" i="7"/>
  <c r="C53" i="16"/>
  <c r="I72" i="17"/>
  <c r="F34" i="16"/>
  <c r="I48" i="17"/>
  <c r="F32" i="16"/>
  <c r="I47" i="17"/>
  <c r="F30" i="16"/>
  <c r="I44" i="17"/>
  <c r="C32" i="16"/>
  <c r="I40" i="17"/>
  <c r="C30" i="16"/>
  <c r="I38" i="17"/>
  <c r="Q160" i="3"/>
  <c r="G41" i="17" s="1"/>
  <c r="G38" i="17"/>
  <c r="P160" i="3"/>
  <c r="F41" i="17" s="1"/>
  <c r="F38" i="17"/>
  <c r="O160" i="3"/>
  <c r="E41" i="17" s="1"/>
  <c r="E38" i="17"/>
  <c r="N160" i="3"/>
  <c r="D41" i="17" s="1"/>
  <c r="D38" i="17"/>
  <c r="M160" i="3"/>
  <c r="C41" i="17" s="1"/>
  <c r="C38" i="17"/>
  <c r="C25" i="16"/>
  <c r="I29" i="17"/>
  <c r="C23" i="16"/>
  <c r="I27" i="17"/>
  <c r="C17" i="16"/>
  <c r="I17" i="17"/>
  <c r="C16" i="16"/>
  <c r="I16" i="17"/>
  <c r="AA190" i="3"/>
  <c r="Q190" i="3"/>
  <c r="G67" i="17" s="1"/>
  <c r="P190" i="3"/>
  <c r="F67" i="17" s="1"/>
  <c r="O190" i="3"/>
  <c r="E67" i="17" s="1"/>
  <c r="N190" i="3"/>
  <c r="D67" i="17" s="1"/>
  <c r="M190" i="3"/>
  <c r="C67" i="17" s="1"/>
  <c r="AA160" i="3"/>
  <c r="F48" i="14"/>
  <c r="D48" i="14"/>
  <c r="E40" i="14"/>
  <c r="C33" i="14"/>
  <c r="G48" i="14"/>
  <c r="F40" i="14"/>
  <c r="E48" i="14"/>
  <c r="G40" i="14"/>
  <c r="D40" i="14"/>
  <c r="C40" i="14"/>
  <c r="D29" i="12"/>
  <c r="F28" i="12"/>
  <c r="E19" i="12"/>
  <c r="H18" i="12"/>
  <c r="I18" i="12" s="1"/>
  <c r="J18" i="12" s="1"/>
  <c r="K18" i="12" s="1"/>
  <c r="L18" i="12" s="1"/>
  <c r="AA162" i="3"/>
  <c r="AA187" i="3"/>
  <c r="Q162" i="3"/>
  <c r="G45" i="17" s="1"/>
  <c r="Q187" i="3"/>
  <c r="G66" i="17" s="1"/>
  <c r="P162" i="3"/>
  <c r="F45" i="17" s="1"/>
  <c r="P187" i="3"/>
  <c r="F66" i="17" s="1"/>
  <c r="O162" i="3"/>
  <c r="E45" i="17" s="1"/>
  <c r="O187" i="3"/>
  <c r="E66" i="17" s="1"/>
  <c r="N162" i="3"/>
  <c r="D45" i="17" s="1"/>
  <c r="N187" i="3"/>
  <c r="D66" i="17" s="1"/>
  <c r="M162" i="3"/>
  <c r="C45" i="17" s="1"/>
  <c r="M187" i="3"/>
  <c r="C66" i="17" s="1"/>
  <c r="AC160" i="3"/>
  <c r="I41" i="17" s="1"/>
  <c r="C9" i="17"/>
  <c r="D9" i="17"/>
  <c r="E9" i="17"/>
  <c r="G11" i="17"/>
  <c r="F11" i="17"/>
  <c r="E11" i="17"/>
  <c r="D11" i="17"/>
  <c r="C11" i="17"/>
  <c r="G10" i="17"/>
  <c r="F10" i="17"/>
  <c r="E10" i="17"/>
  <c r="D10" i="17"/>
  <c r="C10" i="17"/>
  <c r="G9" i="17"/>
  <c r="F9" i="17"/>
  <c r="C5" i="16"/>
  <c r="H5" i="6"/>
  <c r="G22" i="6"/>
  <c r="G10" i="6"/>
  <c r="T28" i="6"/>
  <c r="T27" i="6"/>
  <c r="G29" i="6"/>
  <c r="G27" i="6"/>
  <c r="AC115" i="3"/>
  <c r="AA163" i="3"/>
  <c r="G31" i="12"/>
  <c r="Q163" i="3"/>
  <c r="G46" i="17" s="1"/>
  <c r="F31" i="12"/>
  <c r="P163" i="3"/>
  <c r="F46" i="17" s="1"/>
  <c r="E31" i="12"/>
  <c r="O163" i="3"/>
  <c r="E46" i="17" s="1"/>
  <c r="D31" i="12"/>
  <c r="N163" i="3"/>
  <c r="D46" i="17" s="1"/>
  <c r="C31" i="12"/>
  <c r="M163" i="3"/>
  <c r="C46" i="17" s="1"/>
  <c r="AC117" i="3"/>
  <c r="Q117" i="3"/>
  <c r="Q174" i="3" s="1"/>
  <c r="E46" i="7"/>
  <c r="Q25" i="6"/>
  <c r="F25" i="6"/>
  <c r="D23" i="6"/>
  <c r="D22" i="6"/>
  <c r="V23" i="6"/>
  <c r="S23" i="6"/>
  <c r="Q23" i="6"/>
  <c r="W10" i="6"/>
  <c r="U10" i="6"/>
  <c r="R10" i="6"/>
  <c r="AA76" i="3"/>
  <c r="AC76" i="3" s="1"/>
  <c r="F19" i="12"/>
  <c r="D19" i="12"/>
  <c r="H12" i="12"/>
  <c r="G12" i="12"/>
  <c r="C29" i="12"/>
  <c r="E28" i="12"/>
  <c r="D28" i="12"/>
  <c r="G19" i="12"/>
  <c r="F12" i="12"/>
  <c r="E12" i="12"/>
  <c r="D12" i="12"/>
  <c r="G29" i="12"/>
  <c r="G8" i="8"/>
  <c r="D8" i="8"/>
  <c r="C46" i="7"/>
  <c r="G43" i="7"/>
  <c r="C43" i="7"/>
  <c r="F27" i="7"/>
  <c r="D12" i="7"/>
  <c r="V29" i="6"/>
  <c r="D26" i="6"/>
  <c r="F24" i="6"/>
  <c r="D36" i="7"/>
  <c r="D37" i="7" s="1"/>
  <c r="E27" i="7"/>
  <c r="H28" i="7"/>
  <c r="S29" i="6"/>
  <c r="Q29" i="6"/>
  <c r="V26" i="6"/>
  <c r="S26" i="6"/>
  <c r="Q26" i="6"/>
  <c r="V24" i="6"/>
  <c r="S24" i="6"/>
  <c r="Q24" i="6"/>
  <c r="R15" i="5"/>
  <c r="R13" i="5"/>
  <c r="Q27" i="6"/>
  <c r="F29" i="6"/>
  <c r="F28" i="6"/>
  <c r="F29" i="12"/>
  <c r="E29" i="12"/>
  <c r="G28" i="12"/>
  <c r="C28" i="12"/>
  <c r="D27" i="6"/>
  <c r="I6" i="7"/>
  <c r="S28" i="6"/>
  <c r="Q28" i="6"/>
  <c r="V30" i="6"/>
  <c r="D29" i="6"/>
  <c r="G46" i="7"/>
  <c r="G5" i="12"/>
  <c r="G6" i="11"/>
  <c r="F5" i="12"/>
  <c r="F6" i="11"/>
  <c r="E5" i="12"/>
  <c r="E6" i="11"/>
  <c r="D5" i="12"/>
  <c r="D6" i="11"/>
  <c r="C5" i="12"/>
  <c r="C6" i="11"/>
  <c r="C22" i="14"/>
  <c r="C35" i="14" s="1"/>
  <c r="C15" i="14"/>
  <c r="I7" i="14"/>
  <c r="H41" i="14"/>
  <c r="G45" i="14"/>
  <c r="AC124" i="3"/>
  <c r="AC125"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C19" i="8"/>
  <c r="F14" i="8"/>
  <c r="G14" i="8"/>
  <c r="C14" i="8"/>
  <c r="C8" i="8"/>
  <c r="F46" i="7"/>
  <c r="G41" i="7"/>
  <c r="H34" i="7"/>
  <c r="E34" i="7"/>
  <c r="C25" i="6"/>
  <c r="S10" i="6"/>
  <c r="P10" i="6"/>
  <c r="F8" i="8"/>
  <c r="E26" i="8"/>
  <c r="D26" i="8"/>
  <c r="C26" i="8"/>
  <c r="G19" i="8"/>
  <c r="F19" i="8"/>
  <c r="E14" i="8"/>
  <c r="G36" i="7"/>
  <c r="G37" i="7" s="1"/>
  <c r="F20" i="7"/>
  <c r="H12" i="7"/>
  <c r="C12" i="7"/>
  <c r="W23" i="6"/>
  <c r="R23" i="6"/>
  <c r="R14" i="5"/>
  <c r="E19"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I40" i="14" s="1"/>
  <c r="H12" i="5"/>
  <c r="H20" i="5"/>
  <c r="H33" i="5"/>
  <c r="AA68" i="3"/>
  <c r="P68" i="3"/>
  <c r="M68" i="3"/>
  <c r="L68" i="3"/>
  <c r="O68" i="3"/>
  <c r="N68" i="3"/>
  <c r="K68" i="3"/>
  <c r="J68" i="3"/>
  <c r="I68" i="3"/>
  <c r="H68" i="3"/>
  <c r="G68" i="3"/>
  <c r="F68" i="3"/>
  <c r="E68" i="3"/>
  <c r="D68" i="3"/>
  <c r="C68" i="3"/>
  <c r="AC68" i="3" l="1"/>
  <c r="G58" i="17"/>
  <c r="E60" i="17"/>
  <c r="D58" i="17"/>
  <c r="D60" i="17"/>
  <c r="C58" i="17"/>
  <c r="C60" i="17"/>
  <c r="Q186" i="3"/>
  <c r="G63" i="17" s="1"/>
  <c r="P186" i="3"/>
  <c r="F63" i="17" s="1"/>
  <c r="N186" i="3"/>
  <c r="D63" i="17" s="1"/>
  <c r="M186" i="3"/>
  <c r="C63" i="17" s="1"/>
  <c r="O186" i="3"/>
  <c r="E63" i="17" s="1"/>
  <c r="H19" i="8"/>
  <c r="H26" i="8"/>
  <c r="I5" i="8"/>
  <c r="I32" i="8" s="1"/>
  <c r="H14" i="8"/>
  <c r="C7" i="17"/>
  <c r="M175" i="3"/>
  <c r="M177" i="3"/>
  <c r="C52" i="17" s="1"/>
  <c r="M191" i="3"/>
  <c r="C68" i="17" s="1"/>
  <c r="M181" i="3"/>
  <c r="C55" i="17" s="1"/>
  <c r="M180" i="3"/>
  <c r="C54" i="17" s="1"/>
  <c r="M170" i="3"/>
  <c r="D7" i="17"/>
  <c r="N175" i="3"/>
  <c r="N177" i="3"/>
  <c r="D52" i="17" s="1"/>
  <c r="N191" i="3"/>
  <c r="D68" i="17" s="1"/>
  <c r="N181" i="3"/>
  <c r="D55" i="17" s="1"/>
  <c r="N180" i="3"/>
  <c r="D54" i="17" s="1"/>
  <c r="N170" i="3"/>
  <c r="E7" i="17"/>
  <c r="O175" i="3"/>
  <c r="O177" i="3"/>
  <c r="E52" i="17" s="1"/>
  <c r="O191" i="3"/>
  <c r="E68" i="17" s="1"/>
  <c r="O181" i="3"/>
  <c r="E55" i="17" s="1"/>
  <c r="O180" i="3"/>
  <c r="E54" i="17" s="1"/>
  <c r="O170" i="3"/>
  <c r="P175" i="3"/>
  <c r="F7" i="17"/>
  <c r="P170" i="3"/>
  <c r="P177" i="3"/>
  <c r="F52" i="17" s="1"/>
  <c r="P191" i="3"/>
  <c r="F68" i="17" s="1"/>
  <c r="P181" i="3"/>
  <c r="F55" i="17" s="1"/>
  <c r="P180" i="3"/>
  <c r="F54" i="17" s="1"/>
  <c r="Q175" i="3"/>
  <c r="Q177" i="3"/>
  <c r="G52" i="17" s="1"/>
  <c r="G7" i="17"/>
  <c r="Q170" i="3"/>
  <c r="Q191" i="3"/>
  <c r="G68" i="17" s="1"/>
  <c r="Q181" i="3"/>
  <c r="G55" i="17" s="1"/>
  <c r="Q180" i="3"/>
  <c r="G54" i="17" s="1"/>
  <c r="AC179" i="3"/>
  <c r="AC178" i="3"/>
  <c r="AC169" i="3"/>
  <c r="AC168" i="3"/>
  <c r="AC167" i="3"/>
  <c r="AC166" i="3"/>
  <c r="G60" i="17"/>
  <c r="F58" i="17"/>
  <c r="F60" i="17"/>
  <c r="E58" i="17"/>
  <c r="P133" i="3"/>
  <c r="F28" i="17"/>
  <c r="F33" i="17" s="1"/>
  <c r="O133" i="3"/>
  <c r="E28" i="17"/>
  <c r="E33" i="17" s="1"/>
  <c r="N133" i="3"/>
  <c r="D28" i="17"/>
  <c r="D33" i="17" s="1"/>
  <c r="M133" i="3"/>
  <c r="C28" i="17"/>
  <c r="C33" i="17" s="1"/>
  <c r="Q133" i="3"/>
  <c r="O182" i="3"/>
  <c r="J61" i="19"/>
  <c r="N182" i="3"/>
  <c r="I61" i="19"/>
  <c r="M182" i="3"/>
  <c r="H61" i="19"/>
  <c r="G28" i="17"/>
  <c r="G33" i="17" s="1"/>
  <c r="E35" i="17"/>
  <c r="D35" i="17"/>
  <c r="C35" i="17"/>
  <c r="F35" i="17"/>
  <c r="P182" i="3"/>
  <c r="AC186" i="3"/>
  <c r="I63" i="17" s="1"/>
  <c r="AC131" i="3"/>
  <c r="I28" i="17" s="1"/>
  <c r="I33" i="17" s="1"/>
  <c r="C22" i="16"/>
  <c r="AC174" i="3"/>
  <c r="AC156" i="3"/>
  <c r="L61" i="19"/>
  <c r="Q156" i="3"/>
  <c r="L70" i="19" s="1"/>
  <c r="C18" i="16"/>
  <c r="I18" i="17"/>
  <c r="AB11" i="6"/>
  <c r="AB15" i="6"/>
  <c r="X18" i="6"/>
  <c r="AB12" i="6"/>
  <c r="AB14" i="6" s="1"/>
  <c r="X14" i="6"/>
  <c r="X26" i="6" s="1"/>
  <c r="H26" i="6"/>
  <c r="H8" i="7"/>
  <c r="H15" i="7" s="1"/>
  <c r="H30" i="7" s="1"/>
  <c r="H7" i="8"/>
  <c r="H8" i="8" s="1"/>
  <c r="H44" i="7"/>
  <c r="H18" i="6"/>
  <c r="I6" i="6"/>
  <c r="I6" i="8"/>
  <c r="I7" i="7"/>
  <c r="I6" i="12"/>
  <c r="I12" i="12" s="1"/>
  <c r="F52" i="16"/>
  <c r="I75" i="17"/>
  <c r="F53" i="16"/>
  <c r="I76" i="17"/>
  <c r="F54" i="16"/>
  <c r="I77" i="17"/>
  <c r="AC184" i="3"/>
  <c r="I6" i="17"/>
  <c r="C23" i="14"/>
  <c r="C58" i="12"/>
  <c r="C41" i="12"/>
  <c r="C50" i="12"/>
  <c r="C33" i="16"/>
  <c r="F18" i="1"/>
  <c r="AC187" i="3"/>
  <c r="AC190" i="3"/>
  <c r="I67" i="17" s="1"/>
  <c r="C32" i="12"/>
  <c r="D32" i="12"/>
  <c r="F32" i="12"/>
  <c r="E32" i="12"/>
  <c r="C24" i="14"/>
  <c r="C32" i="14" s="1"/>
  <c r="C22" i="11"/>
  <c r="G32" i="12"/>
  <c r="I5" i="6"/>
  <c r="H10" i="6"/>
  <c r="H22" i="6"/>
  <c r="AC163" i="3"/>
  <c r="I46" i="17" s="1"/>
  <c r="AC162" i="3"/>
  <c r="I45" i="17" s="1"/>
  <c r="D10" i="8"/>
  <c r="G10" i="8"/>
  <c r="C5" i="10"/>
  <c r="C7" i="10" s="1"/>
  <c r="C17" i="10" s="1"/>
  <c r="C25" i="1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H5" i="12"/>
  <c r="H6" i="11"/>
  <c r="I41" i="14"/>
  <c r="J7" i="14"/>
  <c r="H42" i="14"/>
  <c r="H46" i="14"/>
  <c r="H44" i="14"/>
  <c r="H48" i="14" s="1"/>
  <c r="E23" i="7"/>
  <c r="D23" i="7"/>
  <c r="F23" i="7"/>
  <c r="G23" i="7"/>
  <c r="C23" i="7"/>
  <c r="J9" i="5"/>
  <c r="K21" i="5"/>
  <c r="J23" i="5"/>
  <c r="J35" i="5" s="1"/>
  <c r="I6" i="5"/>
  <c r="I8" i="5"/>
  <c r="I15" i="5"/>
  <c r="J5" i="5"/>
  <c r="J6" i="14" s="1"/>
  <c r="J40" i="14" s="1"/>
  <c r="I12" i="5"/>
  <c r="I20" i="5"/>
  <c r="I33" i="5"/>
  <c r="F8" i="17" l="1"/>
  <c r="G8" i="17"/>
  <c r="I14" i="8"/>
  <c r="C8" i="17"/>
  <c r="D8" i="17"/>
  <c r="E8" i="17"/>
  <c r="C46" i="16"/>
  <c r="F17" i="1"/>
  <c r="C24" i="16"/>
  <c r="F22" i="16" s="1"/>
  <c r="F12" i="1"/>
  <c r="M171" i="3"/>
  <c r="C12" i="17" s="1"/>
  <c r="M172" i="3"/>
  <c r="C13" i="17" s="1"/>
  <c r="M176" i="3"/>
  <c r="N171" i="3"/>
  <c r="D12" i="17" s="1"/>
  <c r="N172" i="3"/>
  <c r="D13" i="17" s="1"/>
  <c r="N176" i="3"/>
  <c r="O171" i="3"/>
  <c r="E12" i="17" s="1"/>
  <c r="O172" i="3"/>
  <c r="E13" i="17" s="1"/>
  <c r="O176" i="3"/>
  <c r="P171" i="3"/>
  <c r="F12" i="17" s="1"/>
  <c r="P172" i="3"/>
  <c r="F13" i="17" s="1"/>
  <c r="P176" i="3"/>
  <c r="Q171" i="3"/>
  <c r="G12" i="17" s="1"/>
  <c r="Q172" i="3"/>
  <c r="G13" i="17" s="1"/>
  <c r="I19" i="8"/>
  <c r="I26" i="8"/>
  <c r="J5" i="8"/>
  <c r="J32" i="8" s="1"/>
  <c r="AC133" i="3"/>
  <c r="I30" i="17" s="1"/>
  <c r="I34" i="17" s="1"/>
  <c r="I51" i="17"/>
  <c r="I10" i="17"/>
  <c r="I9" i="17"/>
  <c r="AC170" i="3"/>
  <c r="I53" i="17"/>
  <c r="F30" i="17"/>
  <c r="F34" i="17" s="1"/>
  <c r="K69" i="19"/>
  <c r="E30" i="17"/>
  <c r="E34" i="17" s="1"/>
  <c r="J69" i="19"/>
  <c r="D30" i="17"/>
  <c r="D34" i="17" s="1"/>
  <c r="I69" i="19"/>
  <c r="C30" i="17"/>
  <c r="C34" i="17" s="1"/>
  <c r="H69" i="19"/>
  <c r="G30" i="17"/>
  <c r="G34" i="17" s="1"/>
  <c r="L69" i="19"/>
  <c r="I35" i="17"/>
  <c r="AC182" i="3"/>
  <c r="G35" i="17"/>
  <c r="Q182" i="3"/>
  <c r="I7" i="17"/>
  <c r="AB18" i="6"/>
  <c r="X30" i="6"/>
  <c r="H35" i="7"/>
  <c r="H22" i="8" s="1"/>
  <c r="H9" i="8"/>
  <c r="H10" i="8" s="1"/>
  <c r="H27"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80" i="3"/>
  <c r="I54" i="17" s="1"/>
  <c r="AC181" i="3"/>
  <c r="F24" i="16"/>
  <c r="F14" i="1"/>
  <c r="AC191" i="3"/>
  <c r="I68" i="17" s="1"/>
  <c r="F3" i="1"/>
  <c r="C38" i="16"/>
  <c r="F9" i="1"/>
  <c r="C26" i="14"/>
  <c r="J5" i="6"/>
  <c r="I10" i="6"/>
  <c r="I22" i="6"/>
  <c r="Q176" i="3"/>
  <c r="C6" i="16"/>
  <c r="AC177" i="3"/>
  <c r="I52" i="17" s="1"/>
  <c r="AC175" i="3"/>
  <c r="D27" i="8"/>
  <c r="D28" i="8" s="1"/>
  <c r="G27" i="8"/>
  <c r="G28" i="8" s="1"/>
  <c r="G42" i="14"/>
  <c r="D42" i="14"/>
  <c r="G7" i="12"/>
  <c r="H13" i="12" s="1"/>
  <c r="D7" i="12"/>
  <c r="C16" i="10"/>
  <c r="C20" i="10" s="1"/>
  <c r="J34" i="7"/>
  <c r="J41" i="7"/>
  <c r="J12" i="7"/>
  <c r="J19" i="7"/>
  <c r="J27" i="7"/>
  <c r="K6" i="7"/>
  <c r="C7" i="12"/>
  <c r="C42" i="14"/>
  <c r="C49" i="14" s="1"/>
  <c r="C27" i="8"/>
  <c r="C28" i="8" s="1"/>
  <c r="F7" i="12"/>
  <c r="F42" i="14"/>
  <c r="F27" i="8"/>
  <c r="F28" i="8" s="1"/>
  <c r="E7" i="12"/>
  <c r="F13" i="12" s="1"/>
  <c r="E42" i="14"/>
  <c r="E27" i="8"/>
  <c r="E28" i="8" s="1"/>
  <c r="H17" i="12"/>
  <c r="H11" i="12"/>
  <c r="H27" i="12"/>
  <c r="H22" i="12"/>
  <c r="I5" i="12"/>
  <c r="I6" i="11"/>
  <c r="I46" i="14"/>
  <c r="I42" i="14"/>
  <c r="I44" i="14"/>
  <c r="I48" i="14" s="1"/>
  <c r="J41" i="14"/>
  <c r="K7" i="14"/>
  <c r="H49" i="14"/>
  <c r="J26" i="8"/>
  <c r="K34" i="5"/>
  <c r="K23" i="5"/>
  <c r="K35" i="5" s="1"/>
  <c r="K9" i="5"/>
  <c r="L21" i="5"/>
  <c r="L34" i="5" s="1"/>
  <c r="J8" i="5"/>
  <c r="J6" i="5"/>
  <c r="I7" i="5"/>
  <c r="K5" i="5"/>
  <c r="K6" i="14" s="1"/>
  <c r="K40" i="14" s="1"/>
  <c r="J12" i="5"/>
  <c r="J20" i="5"/>
  <c r="J33" i="5"/>
  <c r="H13" i="5"/>
  <c r="H14" i="5"/>
  <c r="AE6" i="5"/>
  <c r="AA13" i="5"/>
  <c r="F13" i="1" l="1"/>
  <c r="C26" i="16"/>
  <c r="F23" i="16" s="1"/>
  <c r="J19" i="8"/>
  <c r="J14" i="8"/>
  <c r="K5" i="8"/>
  <c r="K32" i="8" s="1"/>
  <c r="G13" i="12"/>
  <c r="E13" i="12"/>
  <c r="C33" i="12"/>
  <c r="D13" i="12"/>
  <c r="C15" i="11"/>
  <c r="C56" i="12"/>
  <c r="C48" i="12"/>
  <c r="C39" i="12"/>
  <c r="H7" i="12"/>
  <c r="H28" i="8"/>
  <c r="J7" i="5"/>
  <c r="J15" i="5"/>
  <c r="I44" i="7"/>
  <c r="I20" i="8"/>
  <c r="J13" i="7"/>
  <c r="J28" i="7" s="1"/>
  <c r="J36" i="7"/>
  <c r="J42" i="7"/>
  <c r="J45" i="7"/>
  <c r="J21" i="8" s="1"/>
  <c r="J16" i="6"/>
  <c r="J17" i="6"/>
  <c r="J15" i="6"/>
  <c r="J18" i="6" s="1"/>
  <c r="J11" i="6"/>
  <c r="J12" i="6"/>
  <c r="J13" i="6"/>
  <c r="I14" i="6"/>
  <c r="I18" i="6"/>
  <c r="K6" i="12"/>
  <c r="K12" i="12" s="1"/>
  <c r="K7" i="7"/>
  <c r="K6" i="6"/>
  <c r="K6" i="8"/>
  <c r="C42" i="16"/>
  <c r="I55" i="17"/>
  <c r="F4" i="1"/>
  <c r="I8" i="17"/>
  <c r="F10" i="1"/>
  <c r="C41" i="16"/>
  <c r="F48" i="16"/>
  <c r="F15" i="1"/>
  <c r="C39" i="16"/>
  <c r="F8" i="1"/>
  <c r="D7" i="11"/>
  <c r="D8" i="12"/>
  <c r="G7" i="11"/>
  <c r="G8" i="12"/>
  <c r="G43" i="14"/>
  <c r="G49" i="14"/>
  <c r="K5" i="6"/>
  <c r="J22" i="6"/>
  <c r="J10" i="6"/>
  <c r="G33" i="12"/>
  <c r="H47" i="14"/>
  <c r="AC171" i="3"/>
  <c r="C7" i="16"/>
  <c r="AC172" i="3"/>
  <c r="AC176" i="3"/>
  <c r="D7" i="14"/>
  <c r="D41" i="14" s="1"/>
  <c r="D49" i="14"/>
  <c r="D33" i="12"/>
  <c r="K12" i="7"/>
  <c r="K19" i="7"/>
  <c r="K27" i="7"/>
  <c r="K34" i="7"/>
  <c r="K41" i="7"/>
  <c r="L6" i="7"/>
  <c r="C21" i="14"/>
  <c r="D47" i="14"/>
  <c r="C7" i="11"/>
  <c r="C8" i="12"/>
  <c r="C7" i="14"/>
  <c r="C41" i="14" s="1"/>
  <c r="F33" i="12"/>
  <c r="F47" i="14"/>
  <c r="F49" i="14"/>
  <c r="F7" i="11"/>
  <c r="F8" i="12"/>
  <c r="F7" i="14"/>
  <c r="F41" i="14" s="1"/>
  <c r="E33" i="12"/>
  <c r="E47" i="14"/>
  <c r="E49" i="14"/>
  <c r="E7" i="11"/>
  <c r="E8" i="12"/>
  <c r="E7" i="14"/>
  <c r="E41" i="14" s="1"/>
  <c r="I17" i="12"/>
  <c r="I11" i="12"/>
  <c r="I27" i="12"/>
  <c r="I22" i="12"/>
  <c r="G47" i="14"/>
  <c r="J5" i="12"/>
  <c r="J6" i="11"/>
  <c r="I49" i="14"/>
  <c r="I47" i="14"/>
  <c r="J44" i="14"/>
  <c r="J48" i="14" s="1"/>
  <c r="J46" i="14"/>
  <c r="J42" i="14"/>
  <c r="L7" i="14"/>
  <c r="K41" i="14"/>
  <c r="K6" i="5"/>
  <c r="K8" i="5"/>
  <c r="L9" i="5"/>
  <c r="L23" i="5"/>
  <c r="L35" i="5" s="1"/>
  <c r="K15" i="5"/>
  <c r="L5" i="5"/>
  <c r="L6" i="14" s="1"/>
  <c r="L40" i="14" s="1"/>
  <c r="K12" i="5"/>
  <c r="K20" i="5"/>
  <c r="K33" i="5"/>
  <c r="I13" i="5"/>
  <c r="AE7" i="5"/>
  <c r="AA14" i="5"/>
  <c r="H16" i="5"/>
  <c r="F14" i="12" l="1"/>
  <c r="K26" i="8"/>
  <c r="K19" i="8"/>
  <c r="K14" i="8"/>
  <c r="L5" i="8"/>
  <c r="L32" i="8" s="1"/>
  <c r="E14" i="12"/>
  <c r="G14" i="12"/>
  <c r="C34" i="12"/>
  <c r="D14" i="12"/>
  <c r="H8" i="12"/>
  <c r="H7" i="11"/>
  <c r="J44" i="7"/>
  <c r="J20" i="8"/>
  <c r="J30" i="6"/>
  <c r="J9" i="8"/>
  <c r="I7" i="8"/>
  <c r="I8" i="8" s="1"/>
  <c r="I8" i="7"/>
  <c r="I15" i="7" s="1"/>
  <c r="I30" i="7" s="1"/>
  <c r="I35" i="7" s="1"/>
  <c r="I22" i="8" s="1"/>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L5" i="6"/>
  <c r="K22"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K5" i="12"/>
  <c r="K6" i="11"/>
  <c r="J49" i="14"/>
  <c r="J47" i="14"/>
  <c r="L8" i="14"/>
  <c r="L11" i="14" s="1"/>
  <c r="C30" i="14" s="1"/>
  <c r="L10" i="14"/>
  <c r="L41" i="14"/>
  <c r="K44" i="14"/>
  <c r="K48" i="14" s="1"/>
  <c r="K42" i="14"/>
  <c r="K46" i="14"/>
  <c r="L14" i="8"/>
  <c r="L26" i="8"/>
  <c r="L19" i="8"/>
  <c r="K7" i="5"/>
  <c r="L8" i="5"/>
  <c r="L15" i="5" s="1"/>
  <c r="L6" i="5"/>
  <c r="I14" i="5"/>
  <c r="L12" i="5"/>
  <c r="L20" i="5"/>
  <c r="L33" i="5"/>
  <c r="J13" i="5"/>
  <c r="J14" i="5"/>
  <c r="AA16" i="5"/>
  <c r="I14" i="12" l="1"/>
  <c r="H14" i="12"/>
  <c r="H10" i="11"/>
  <c r="K14" i="6"/>
  <c r="K44" i="7"/>
  <c r="K20" i="8"/>
  <c r="K26" i="6"/>
  <c r="K7" i="8"/>
  <c r="K8" i="8" s="1"/>
  <c r="K8" i="7"/>
  <c r="K15" i="7" s="1"/>
  <c r="K9" i="8"/>
  <c r="K30" i="6"/>
  <c r="J7" i="8"/>
  <c r="J8" i="8" s="1"/>
  <c r="J10" i="8" s="1"/>
  <c r="J26" i="6"/>
  <c r="J8" i="7"/>
  <c r="J15" i="7" s="1"/>
  <c r="J30" i="7" s="1"/>
  <c r="J35" i="7" s="1"/>
  <c r="J22" i="8" s="1"/>
  <c r="L36" i="7"/>
  <c r="L42" i="7"/>
  <c r="L13" i="7"/>
  <c r="L28" i="7" s="1"/>
  <c r="L45" i="7"/>
  <c r="L21" i="8" s="1"/>
  <c r="L12" i="12"/>
  <c r="C47" i="12"/>
  <c r="C51" i="12" s="1"/>
  <c r="C52" i="12" s="1"/>
  <c r="C7" i="13" s="1"/>
  <c r="I5" i="1" s="1"/>
  <c r="L11" i="6"/>
  <c r="L12" i="6"/>
  <c r="L13" i="6"/>
  <c r="L15" i="6"/>
  <c r="L16" i="6"/>
  <c r="L17" i="6"/>
  <c r="I10" i="8"/>
  <c r="L10" i="6"/>
  <c r="L22" i="6"/>
  <c r="C29" i="14"/>
  <c r="K27" i="12"/>
  <c r="K11" i="12"/>
  <c r="K17" i="12"/>
  <c r="K22" i="12"/>
  <c r="L5" i="12"/>
  <c r="L6" i="11"/>
  <c r="L42" i="14"/>
  <c r="L46" i="14"/>
  <c r="L44" i="14"/>
  <c r="L48" i="14" s="1"/>
  <c r="K47" i="14"/>
  <c r="K49" i="14"/>
  <c r="L7" i="5"/>
  <c r="I16" i="5"/>
  <c r="K13" i="5"/>
  <c r="J16" i="5"/>
  <c r="L14" i="6" l="1"/>
  <c r="J27" i="8"/>
  <c r="J28" i="8" s="1"/>
  <c r="J7" i="12"/>
  <c r="L44" i="7"/>
  <c r="L20" i="8"/>
  <c r="L8" i="7"/>
  <c r="L15" i="7" s="1"/>
  <c r="L30" i="7" s="1"/>
  <c r="L35" i="7" s="1"/>
  <c r="L22" i="8" s="1"/>
  <c r="L7" i="8"/>
  <c r="L8" i="8" s="1"/>
  <c r="I7" i="12"/>
  <c r="I27" i="8"/>
  <c r="I28" i="8" s="1"/>
  <c r="L18" i="6"/>
  <c r="K10" i="8"/>
  <c r="K30" i="7"/>
  <c r="K35" i="7" s="1"/>
  <c r="K22" i="8" s="1"/>
  <c r="C31" i="14"/>
  <c r="C34" i="14" s="1"/>
  <c r="C36" i="14" s="1"/>
  <c r="C16" i="14" s="1"/>
  <c r="L11" i="12"/>
  <c r="L17" i="12"/>
  <c r="L22" i="12"/>
  <c r="L27" i="12"/>
  <c r="L49" i="14"/>
  <c r="L47" i="14"/>
  <c r="K14" i="5"/>
  <c r="L13" i="5"/>
  <c r="L26" i="6" l="1"/>
  <c r="J7" i="11"/>
  <c r="J10" i="11" s="1"/>
  <c r="J8" i="12"/>
  <c r="I7" i="11"/>
  <c r="I10" i="11" s="1"/>
  <c r="I8" i="12"/>
  <c r="L9" i="8"/>
  <c r="L10" i="8" s="1"/>
  <c r="L30" i="6"/>
  <c r="K7" i="12"/>
  <c r="K27" i="8"/>
  <c r="K28" i="8" s="1"/>
  <c r="K16" i="5"/>
  <c r="L14" i="5"/>
  <c r="L7" i="12" l="1"/>
  <c r="L27" i="8"/>
  <c r="L28" i="8" s="1"/>
  <c r="K7" i="11"/>
  <c r="K10" i="11" s="1"/>
  <c r="K8" i="12"/>
  <c r="L16" i="5"/>
  <c r="C38" i="12" l="1"/>
  <c r="C42" i="12" s="1"/>
  <c r="C43" i="12" s="1"/>
  <c r="C44" i="12" s="1"/>
  <c r="C6" i="13" s="1"/>
  <c r="I4" i="1" s="1"/>
  <c r="L7" i="11"/>
  <c r="L8" i="12"/>
  <c r="AC64" i="3"/>
  <c r="L8" i="11" l="1"/>
  <c r="L11" i="11" s="1"/>
  <c r="C20" i="11" s="1"/>
  <c r="L10" i="11"/>
  <c r="C19" i="11" s="1"/>
  <c r="C55" i="12"/>
  <c r="C59" i="12" s="1"/>
  <c r="C60" i="12" s="1"/>
  <c r="C61" i="12" s="1"/>
  <c r="C8" i="13" s="1"/>
  <c r="I6" i="1" s="1"/>
  <c r="C21" i="11" l="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2"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140"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141"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<sst xmlns="http://schemas.openxmlformats.org/spreadsheetml/2006/main" count="736" uniqueCount="395">
  <si>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</si>
  <si>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</si>
  <si>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</si>
  <si>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</si>
  <si>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</si>
  <si>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</si>
  <si>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</si>
  <si>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</si>
  <si>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</si>
  <si>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</si>
  <si>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</si>
  <si>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</si>
  <si>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</si>
  <si>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</si>
  <si>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</si>
  <si>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</si>
  <si>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</si>
  <si>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</si>
  <si>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</si>
  <si>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</si>
  <si>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</si>
  <si>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</si>
  <si>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</si>
  <si>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</si>
  <si>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</si>
  <si>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</si>
  <si>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</si>
  <si>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</si>
  <si>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</si>
  <si>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</si>
  <si>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</si>
  <si>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</si>
  <si>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</si>
  <si>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</si>
  <si>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</si>
  <si>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</si>
  <si>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</si>
  <si>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</si>
  <si>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</si>
  <si>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</si>
  <si>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</si>
  <si>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</si>
  <si>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</si>
  <si>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</si>
  <si>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</si>
  <si>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</si>
  <si>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</si>
  <si>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</si>
  <si>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</si>
  <si>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</si>
  <si>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</si>
  <si>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</si>
  <si>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</si>
  <si>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</si>
  <si>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</si>
  <si>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</si>
  <si>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</si>
  <si>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</si>
  <si>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</si>
  <si>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</si>
  <si>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</si>
  <si>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</si>
  <si>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</si>
  <si>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</si>
  <si>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</si>
  <si>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</si>
  <si>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</si>
  <si>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</si>
  <si>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</si>
  <si>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</si>
  <si>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</si>
  <si>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</si>
  <si>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</si>
  <si>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</si>
  <si>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</si>
  <si>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</si>
  <si>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</si>
  <si>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</si>
  <si>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</si>
  <si>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</si>
  <si>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</si>
  <si>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</si>
  <si>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</si>
  <si>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</si>
  <si>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</si>
  <si>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</si>
  <si>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</si>
  <si>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</si>
  <si>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</si>
  <si>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</si>
  <si>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</si>
  <si>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</si>
  <si>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</si>
  <si>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</si>
  <si>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</si>
  <si>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</si>
  <si>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</si>
  <si>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</si>
  <si>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</si>
  <si>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</si>
  <si>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</si>
  <si>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</si>
  <si>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</si>
  <si>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</si>
  <si>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</si>
  <si>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</si>
  <si>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</si>
  <si>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</si>
  <si>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</si>
  <si>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</si>
  <si>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</si>
  <si>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</si>
  <si>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</si>
  <si>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</si>
  <si>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</si>
  <si>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</si>
  <si>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</si>
  <si>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</si>
  <si>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</si>
  <si>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</si>
  <si>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</si>
  <si>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</si>
  <si>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</si>
  <si>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</si>
  <si>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</si>
  <si>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</si>
  <si>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</si>
  <si>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</si>
  <si>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</si>
  <si>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</si>
  <si>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</si>
  <si>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</si>
  <si>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</si>
  <si>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</si>
  <si>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</si>
  <si>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</si>
  <si>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</si>
  <si>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</si>
  <si>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</si>
  <si>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</si>
  <si>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</si>
  <si>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</si>
  <si>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</si>
  <si>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</si>
  <si>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</si>
  <si>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</si>
  <si>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</si>
  <si>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</si>
  <si>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</si>
  <si>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</si>
  <si>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</si>
  <si>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</si>
  <si>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</si>
  <si>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</si>
  <si>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</si>
  <si>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</si>
  <si>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</si>
  <si>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</si>
  <si>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</si>
  <si>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</si>
  <si>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</si>
  <si>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</si>
  <si>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</si>
  <si>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</si>
  <si>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</si>
  <si>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</si>
  <si>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</si>
  <si>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</si>
  <si>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</si>
  <si>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</si>
  <si>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</si>
  <si>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</si>
  <si>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</si>
  <si>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</si>
  <si>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</si>
  <si>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</si>
  <si>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</si>
  <si>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</si>
  <si>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</si>
  <si>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</si>
  <si>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</si>
  <si>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</si>
  <si>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</si>
  <si>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</si>
  <si>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</si>
  <si>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</si>
  <si>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</si>
  <si>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</si>
  <si>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</si>
  <si>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</si>
  <si>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</si>
  <si>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</si>
  <si>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</si>
  <si>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</si>
  <si>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</si>
  <si>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</si>
  <si>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</si>
  <si>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</si>
  <si>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</si>
  <si>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</si>
  <si>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</si>
  <si>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</si>
  <si>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</si>
  <si>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</si>
  <si>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</si>
  <si>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</si>
  <si>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</si>
  <si>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</si>
  <si>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</si>
  <si>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</si>
  <si>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</si>
  <si>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</si>
  <si>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</si>
  <si>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</si>
  <si>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</si>
  <si>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</si>
  <si>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</si>
  <si>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</si>
  <si>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</si>
  <si>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</si>
  <si>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</si>
  <si>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</si>
  <si>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</si>
  <si>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</si>
  <si>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</si>
  <si>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</si>
  <si>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</si>
  <si>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</si>
  <si>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</si>
  <si>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</si>
  <si>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</si>
  <si>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</si>
  <si>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</si>
  <si>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</si>
  <si>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</si>
  <si>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</si>
  <si>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</si>
  <si>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Applied EV/UFCF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</si>
  <si>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</si>
  <si>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</si>
  <si>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</si>
  <si>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</si>
  <si>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</si>
  <si>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</si>
  <si>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</si>
  <si>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</si>
  <si>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</si>
  <si>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</si>
  <si>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</si>
  <si>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</si>
  <si>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</si>
  <si>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</si>
  <si>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</si>
  <si>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</si>
  <si>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</si>
  <si>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</si>
  <si>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</si>
  <si>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WACC set manually</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</si>
  <si>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</si>
  <si>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</si>
  <si>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</si>
  <si>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</si>
  <si>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</si>
  <si>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</si>
  <si>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</si>
  <si>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</si>
  <si>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</si>
  <si>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</si>
  <si>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</si>
  <si>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</si>
  <si>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</si>
  <si>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</si>
  <si>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</si>
  <si>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</si>
  <si>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</si>
  <si>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</si>
  <si>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</si>
  <si>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</si>
  <si>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</si>
  <si>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</si>
  <si>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</si>
  <si>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</si>
  <si>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</si>
  <si>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</si>
  <si>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</si>
  <si>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</si>
  <si>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</si>
  <si>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</si>
  <si>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</si>
  <si>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</si>
  <si>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</si>
  <si>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</si>
  <si>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</si>
  <si>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</si>
  <si>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</si>
  <si>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</si>
  <si>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</si>
  <si>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</si>
  <si>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</si>
  <si>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</si>
  <si>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</si>
  <si>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FCF/Sales</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</si>
  <si>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</si>
  <si>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</si>
  <si>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</si>
  <si>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</si>
  <si>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</si>
  <si>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</si>
  <si>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</si>
  <si>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</si>
  <si>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</si>
  <si>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</si>
  <si>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</si>
  <si>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</si>
  <si>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</si>
  <si>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</si>
  <si>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</si>
  <si>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</si>
  <si>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</si>
  <si>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</si>
  <si>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</si>
  <si>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</si>
  <si>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</si>
  <si>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</si>
  <si>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</si>
  <si>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</si>
  <si>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</si>
  <si>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</si>
  <si>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</si>
  <si>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</si>
  <si>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</si>
  <si>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</si>
  <si>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</si>
  <si>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</si>
  <si>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</si>
  <si>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</si>
  <si>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</si>
  <si>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</si>
  <si>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</si>
  <si>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</si>
  <si>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</si>
  <si>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</si>
  <si>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</si>
  <si>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</si>
  <si>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</si>
  <si>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</si>
  <si>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</si>
  <si>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</si>
  <si>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</si>
  <si>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</si>
  <si>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</si>
  <si>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</si>
  <si>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</si>
  <si>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</si>
  <si>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</si>
  <si>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</si>
  <si>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</si>
  <si>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</si>
  <si>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</si>
  <si>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</si>
  <si>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</si>
  <si>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</si>
  <si>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</si>
  <si>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</si>
  <si>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</si>
  <si>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</si>
  <si>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</si>
  <si>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</si>
  <si>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</si>
  <si>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</si>
  <si>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</si>
  <si>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</si>
  <si>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</si>
  <si>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</si>
  <si>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</si>
  <si>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</si>
  <si>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</si>
  <si>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</si>
  <si>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</si>
  <si>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</si>
  <si>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</si>
  <si>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Revenue Licenses</t>
  </si>
  <si>
    <t>Revenue Subscription</t>
  </si>
  <si>
    <t>Revenue Professional</t>
  </si>
  <si>
    <t>10 Year Bond Yield</t>
  </si>
  <si>
    <t>Percentage</t>
  </si>
  <si>
    <t>Last market price for period adjusted</t>
  </si>
  <si>
    <t>M</t>
  </si>
  <si>
    <t>25.01.2026</t>
  </si>
  <si>
    <t>26.01.2025</t>
  </si>
  <si>
    <t>28.01.2024</t>
  </si>
  <si>
    <t>SG&amp;A</t>
  </si>
  <si>
    <t>29.01.2023</t>
  </si>
  <si>
    <t>30.01.2022</t>
  </si>
  <si>
    <t>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</si>
</sst>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FF0000"/>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6">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168" fontId="10" fillId="3"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10" fontId="10" fillId="2"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0" fontId="0" fillId="9" borderId="0" xfId="0" applyFill="1" applyAlignment="1">
      <alignment horizontal="left"/>
    </xf>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38" fontId="9" fillId="19" borderId="0" xfId="0"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0" fontId="10" fillId="2" borderId="8" xfId="0" applyFont="1" applyFill="1" applyBorder="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xf numFmtId="10" fontId="0" fillId="3" borderId="10" xfId="1" applyNumberFormat="1" applyFont="1" applyFill="1" applyBorder="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-93175.901217181367</c:v>
                </c:pt>
                <c:pt idx="1">
                  <c:v>-147555</c:v>
                </c:pt>
                <c:pt idx="2">
                  <c:v>-22657.484002602163</c:v>
                </c:pt>
                <c:pt idx="3">
                  <c:v>31185.306952609913</c:v>
                </c:pt>
                <c:pt idx="4">
                  <c:v>-40609.606016260164</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3.7909385993896865E-3</c:v>
                </c:pt>
                <c:pt idx="1">
                  <c:v>1.5969546717870611E-3</c:v>
                </c:pt>
                <c:pt idx="2">
                  <c:v>1.0071890828284415E-2</c:v>
                </c:pt>
                <c:pt idx="3">
                  <c:v>2.5435648298415159E-2</c:v>
                </c:pt>
                <c:pt idx="4">
                  <c:v>3.776641922496226E-2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5.0741004944542343E-3</c:v>
                </c:pt>
                <c:pt idx="1">
                  <c:v>2.2748128018631802E-3</c:v>
                </c:pt>
                <c:pt idx="2">
                  <c:v>1.4761070058538358E-2</c:v>
                </c:pt>
                <c:pt idx="3">
                  <c:v>3.9485047367970524E-2</c:v>
                </c:pt>
                <c:pt idx="4">
                  <c:v>5.7652813543923986E-2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0.17348748230478239</c:v>
                </c:pt>
                <c:pt idx="1">
                  <c:v>2.5872048510090957E-2</c:v>
                </c:pt>
                <c:pt idx="2">
                  <c:v>0.21289385210613934</c:v>
                </c:pt>
                <c:pt idx="3">
                  <c:v>0.32670643787855347</c:v>
                </c:pt>
                <c:pt idx="4">
                  <c:v>0.18140667526153839</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112251</c:v>
                </c:pt>
                <c:pt idx="1">
                  <c:v>137174</c:v>
                </c:pt>
                <c:pt idx="2">
                  <c:v>197609</c:v>
                </c:pt>
                <c:pt idx="3">
                  <c:v>128286</c:v>
                </c:pt>
                <c:pt idx="4">
                  <c:v>112161</c:v>
                </c:pt>
                <c:pt idx="5">
                  <c:v>150043</c:v>
                </c:pt>
                <c:pt idx="6">
                  <c:v>215904</c:v>
                </c:pt>
                <c:pt idx="7">
                  <c:v>149309</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194673</c:v>
                </c:pt>
                <c:pt idx="1">
                  <c:v>206922</c:v>
                </c:pt>
                <c:pt idx="2">
                  <c:v>215221</c:v>
                </c:pt>
                <c:pt idx="3">
                  <c:v>217303</c:v>
                </c:pt>
                <c:pt idx="4">
                  <c:v>238363</c:v>
                </c:pt>
                <c:pt idx="5">
                  <c:v>247573</c:v>
                </c:pt>
                <c:pt idx="6">
                  <c:v>251233</c:v>
                </c:pt>
                <c:pt idx="7">
                  <c:v>252903</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9329</c:v>
                </c:pt>
                <c:pt idx="1">
                  <c:v>10557</c:v>
                </c:pt>
                <c:pt idx="2">
                  <c:v>10816</c:v>
                </c:pt>
                <c:pt idx="3">
                  <c:v>11035</c:v>
                </c:pt>
                <c:pt idx="4">
                  <c:v>11204</c:v>
                </c:pt>
                <c:pt idx="5">
                  <c:v>13497</c:v>
                </c:pt>
                <c:pt idx="6">
                  <c:v>13970</c:v>
                </c:pt>
                <c:pt idx="7">
                  <c:v>16170</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-49347</c:v>
                </c:pt>
                <c:pt idx="1">
                  <c:v>-64293</c:v>
                </c:pt>
                <c:pt idx="2">
                  <c:v>0</c:v>
                </c:pt>
                <c:pt idx="3">
                  <c:v>29809</c:v>
                </c:pt>
                <c:pt idx="4">
                  <c:v>-36419</c:v>
                </c:pt>
                <c:pt idx="5">
                  <c:v>-46368</c:v>
                </c:pt>
                <c:pt idx="6">
                  <c:v>114462</c:v>
                </c:pt>
                <c:pt idx="7">
                  <c:v>75934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https://www.bing.com/financeapi/forcetrigger?t=a1yv52&amp;q=XNAS%3aNVDA&amp;form=skydnc</v>
    <v>Learn more on Bing</v>
  </rv>
  <rv s="1">
    <v>0</v>
    <v>NVIDIA CORPORATION (XNAS:NVDA)</v>
    <v>2</v>
    <v>3</v>
    <v>Finance</v>
    <v>4</v>
    <v>en-US</v>
    <v>a1yv52</v>
    <v>268435456</v>
    <v>1</v>
    <v>Powered by Refinitiv</v>
    <v>236.54</v>
    <v>137.94999999999999</v>
    <v>2.2002999999999999</v>
    <v>-8.07</v>
    <v>-3.6218E-2</v>
    <v>-0.55000000000000004</v>
    <v>-2.5609999999999999E-3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222.82</v>
    <v>Semiconductors &amp; Semiconductor Equipment</v>
    <v>Stock</v>
    <v>46176.924623251565</v>
    <v>0</v>
    <v>214.51</v>
    <v>5196950000000</v>
    <v>NVIDIA CORPORATION</v>
    <v>NVIDIA CORPORATION</v>
    <v>221.72</v>
    <v>32.886699999999998</v>
    <v>222.82</v>
    <v>214.75</v>
    <v>214.2</v>
    <v>24200000000</v>
    <v>NVDA</v>
    <v>NVIDIA CORPORATION (XNAS:NVDA)</v>
    <v>159695862</v>
    <v>170411221</v>
    <v>1998</v>
  </rv>
  <rv s="2">
    <v>1</v>
  </rv>
  <rv s="0">
    <v>https://www.bing.com/financeapi/forcetrigger?t=a33knm&amp;q=10+Y+TSY+YLD+NDX&amp;form=skydnc</v>
    <v>Learn more on Bing</v>
  </rv>
  <rv s="3">
    <v>5</v>
    <v>10 Y TSY YLD NDX</v>
    <v>6</v>
    <v>7</v>
    <v>Finance</v>
    <v>8</v>
    <v>en-US</v>
    <v>a33knm</v>
    <v>268435456</v>
    <v>1</v>
    <v>Powered by Refinitiv</v>
    <v>46.87</v>
    <v>39.47</v>
    <v>-0.2</v>
    <v>-4.4689999999999999E-3</v>
    <v>US</v>
    <v>44.63</v>
    <v>Index</v>
    <v>3</v>
    <v>44.28</v>
    <v>10 Y TSY YLD NDX</v>
    <v>44.3</v>
    <v>44.75</v>
    <v>44.55</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2" dT="2026-02-17T21:45:28.65" personId="{A0F62302-F8D3-B346-B5DF-839B413AE710}" id="{22B2B3EF-EBF6-0D4F-BF74-BA371A77FD6F}">
    <text>Actual number</text>
  </threadedComment>
  <threadedComment ref="B12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140" dT="2026-05-20T20:26:42.93" personId="{A0F62302-F8D3-B346-B5DF-839B413AE710}" id="{BD518828-4CC2-0B4C-8B09-D92EFD9BB7AB}">
    <text>Actual value</text>
  </threadedComment>
  <threadedComment ref="B141"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47"/>
  <sheetViews>
    <sheetView tabSelected="1" topLeftCell="A34" zoomScale="160" zoomScaleNormal="160" workbookViewId="0">
      <selection activeCell="C33" sqref="C33:C34"/>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8" t="s">
        <v>17</v>
      </c>
      <c r="C2" s="249"/>
      <c r="E2" s="248" t="s">
        <v>321</v>
      </c>
      <c r="F2" s="249"/>
      <c r="H2" s="248" t="s">
        <v>366</v>
      </c>
      <c r="I2" s="249"/>
    </row>
    <row r="3" spans="2:9" x14ac:dyDescent="0.2">
      <c r="B3" s="209" t="s">
        <v>11</v>
      </c>
      <c r="C3" s="242" t="e" vm="1">
        <v>#VALUE!</v>
      </c>
      <c r="D3" s="2"/>
      <c r="E3" s="209" t="s">
        <v>272</v>
      </c>
      <c r="F3" s="211">
        <f ca="1">Statement!AC169</f>
        <v>113421501</v>
      </c>
      <c r="H3" s="209" t="str">
        <f>'AVG target price'!B5</f>
        <v>DCF price</v>
      </c>
      <c r="I3" s="235">
        <f ca="1">'AVG target price'!C5</f>
        <v>4.477244933891166</v>
      </c>
    </row>
    <row r="4" spans="2:9" x14ac:dyDescent="0.2">
      <c r="B4" s="209" t="s">
        <v>0</v>
      </c>
      <c r="C4" s="213" t="str" cm="1">
        <f t="array" aca="1" ref="C4" ca="1">_FV(C3,"Ticker symbol",TRUE)</f>
        <v>NVDA</v>
      </c>
      <c r="E4" s="210" t="s">
        <v>211</v>
      </c>
      <c r="F4" s="212">
        <f ca="1">Statement!AC170</f>
        <v>112114257</v>
      </c>
      <c r="H4" s="209" t="str">
        <f>'AVG target price'!B6</f>
        <v>EV/EBIT price</v>
      </c>
      <c r="I4" s="235">
        <f ca="1">'AVG target price'!C6</f>
        <v>277.1213350873025</v>
      </c>
    </row>
    <row r="5" spans="2:9" x14ac:dyDescent="0.2">
      <c r="B5" s="209" t="s">
        <v>1</v>
      </c>
      <c r="C5" s="232" cm="1">
        <f t="array" aca="1" ref="C5" ca="1">_FV(C3,"Price",TRUE)</f>
        <v>214.75</v>
      </c>
      <c r="E5" s="209" t="s">
        <v>276</v>
      </c>
      <c r="F5" s="213">
        <f>Statement!AC25</f>
        <v>0</v>
      </c>
      <c r="H5" s="209" t="str">
        <f>'AVG target price'!B7</f>
        <v>PS price</v>
      </c>
      <c r="I5" s="235">
        <f ca="1">'AVG target price'!C7</f>
        <v>280.27578900854184</v>
      </c>
    </row>
    <row r="6" spans="2:9" x14ac:dyDescent="0.2">
      <c r="B6" s="209" t="s">
        <v>2</v>
      </c>
      <c r="C6" s="232" cm="1">
        <f t="array" aca="1" ref="C6" ca="1">_FV(C3,"Price (Extended hours)",TRUE)</f>
        <v>214.2</v>
      </c>
      <c r="E6" s="209" t="s">
        <v>270</v>
      </c>
      <c r="F6" s="214" t="e">
        <f ca="1">Statement!AC166</f>
        <v>#DIV/0!</v>
      </c>
      <c r="H6" s="209" t="str">
        <f>'AVG target price'!B8</f>
        <v>EV/FCFF price</v>
      </c>
      <c r="I6" s="235">
        <f ca="1">'AVG target price'!C8</f>
        <v>175.3657066155871</v>
      </c>
    </row>
    <row r="7" spans="2:9" x14ac:dyDescent="0.2">
      <c r="B7" s="209" t="s">
        <v>3</v>
      </c>
      <c r="C7" s="6" cm="1">
        <f t="array" aca="1" ref="C7" ca="1">_FV(C3,"Change")</f>
        <v>-8.07</v>
      </c>
      <c r="E7" s="210" t="s">
        <v>224</v>
      </c>
      <c r="F7" s="215" t="e">
        <f ca="1">Statement!AC167</f>
        <v>#DIV/0!</v>
      </c>
      <c r="H7" s="208" t="str">
        <f>'AVG target price'!B9</f>
        <v>AVG price</v>
      </c>
      <c r="I7" s="236">
        <f ca="1">'AVG target price'!C9</f>
        <v>184.31001891133064</v>
      </c>
    </row>
    <row r="8" spans="2:9" x14ac:dyDescent="0.2">
      <c r="B8" s="209" t="s">
        <v>4</v>
      </c>
      <c r="C8" s="6" cm="1">
        <f t="array" aca="1" ref="C8" ca="1">_FV(C3,"Change (extended hours)",TRUE)</f>
        <v>-0.55000000000000004</v>
      </c>
      <c r="E8" s="209" t="s">
        <v>298</v>
      </c>
      <c r="F8" s="216">
        <f ca="1">Statement!AC177</f>
        <v>9.4875309400111005E-4</v>
      </c>
      <c r="H8" s="208" t="str">
        <f>'AVG target price'!B11</f>
        <v>Upside/Downside</v>
      </c>
      <c r="I8" s="237">
        <f ca="1">'AVG target price'!C11</f>
        <v>-0.14174612846877466</v>
      </c>
    </row>
    <row r="9" spans="2:9" x14ac:dyDescent="0.2">
      <c r="B9" s="209" t="s">
        <v>5</v>
      </c>
      <c r="C9" s="73" cm="1">
        <f t="array" aca="1" ref="C9" ca="1">_FV(C3,"Change (%)",TRUE)</f>
        <v>-3.6218E-2</v>
      </c>
      <c r="E9" s="209" t="s">
        <v>322</v>
      </c>
      <c r="F9" s="216">
        <f ca="1">Statement!AC178</f>
        <v>0</v>
      </c>
    </row>
    <row r="10" spans="2:9" x14ac:dyDescent="0.2">
      <c r="B10" s="209" t="s">
        <v>6</v>
      </c>
      <c r="C10" s="73" cm="1">
        <f t="array" aca="1" ref="C10" ca="1">_FV(C3,"Change % (extended hours)",TRUE)</f>
        <v>-2.5609999999999999E-3</v>
      </c>
      <c r="E10" s="209" t="s">
        <v>327</v>
      </c>
      <c r="F10" s="216">
        <f ca="1">Statement!AC180</f>
        <v>3.0450311180417193E-3</v>
      </c>
    </row>
    <row r="11" spans="2:9" x14ac:dyDescent="0.2">
      <c r="B11" s="209" t="s">
        <v>7</v>
      </c>
      <c r="C11" s="233" cm="1">
        <f t="array" aca="1" ref="C11" ca="1">_FV(C3,"52 week high",TRUE)</f>
        <v>236.54</v>
      </c>
      <c r="E11" s="210" t="s">
        <v>323</v>
      </c>
      <c r="F11" s="217">
        <f ca="1">Statement!AC179</f>
        <v>0</v>
      </c>
    </row>
    <row r="12" spans="2:9" x14ac:dyDescent="0.2">
      <c r="B12" s="209" t="s">
        <v>8</v>
      </c>
      <c r="C12" s="233" cm="1">
        <f t="array" aca="1" ref="C12" ca="1">_FV(C3,"52 week low",TRUE)</f>
        <v>137.94999999999999</v>
      </c>
      <c r="E12" s="209" t="s">
        <v>102</v>
      </c>
      <c r="F12" s="216" t="e">
        <f>Statement!AC131</f>
        <v>#DIV/0!</v>
      </c>
    </row>
    <row r="13" spans="2:9" x14ac:dyDescent="0.2">
      <c r="B13" s="209" t="s">
        <v>9</v>
      </c>
      <c r="C13" s="233" cm="1">
        <f t="array" aca="1" ref="C13" ca="1">_FV(C3,"Beta")</f>
        <v>2.2002999999999999</v>
      </c>
      <c r="E13" s="209" t="s">
        <v>104</v>
      </c>
      <c r="F13" s="216" t="e">
        <f>Statement!AC133</f>
        <v>#DIV/0!</v>
      </c>
    </row>
    <row r="14" spans="2:9" x14ac:dyDescent="0.2">
      <c r="B14" s="210" t="s">
        <v>10</v>
      </c>
      <c r="C14" s="234" cm="1">
        <f t="array" aca="1" ref="C14" ca="1">_FV(C3,"Volume average",TRUE)</f>
        <v>170411221</v>
      </c>
      <c r="E14" s="210" t="s">
        <v>105</v>
      </c>
      <c r="F14" s="217">
        <f>Statement!AC156</f>
        <v>0</v>
      </c>
    </row>
    <row r="15" spans="2:9" x14ac:dyDescent="0.2">
      <c r="E15" s="209" t="s">
        <v>324</v>
      </c>
      <c r="F15" s="216">
        <f ca="1">Statement!AC191</f>
        <v>1.1525539588829811E-2</v>
      </c>
    </row>
    <row r="16" spans="2:9" x14ac:dyDescent="0.2">
      <c r="E16" s="210" t="s">
        <v>329</v>
      </c>
      <c r="F16" s="215">
        <f>Statement!AC190</f>
        <v>2.4951118677971147</v>
      </c>
    </row>
    <row r="17" spans="2:9" x14ac:dyDescent="0.2">
      <c r="B17" s="250" t="s">
        <v>85</v>
      </c>
      <c r="C17" s="250"/>
      <c r="E17" s="208" t="s">
        <v>330</v>
      </c>
      <c r="F17" s="218">
        <f>Statement!AC186</f>
        <v>0.22116382280992736</v>
      </c>
    </row>
    <row r="18" spans="2:9" x14ac:dyDescent="0.2">
      <c r="B18" s="208" t="s">
        <v>12</v>
      </c>
      <c r="C18" s="69" t="s">
        <v>387</v>
      </c>
      <c r="E18" s="209" t="s">
        <v>331</v>
      </c>
      <c r="F18" s="214" t="e">
        <f>Statement!AC160</f>
        <v>#DIV/0!</v>
      </c>
      <c r="I18" s="50"/>
    </row>
    <row r="19" spans="2:9" x14ac:dyDescent="0.2">
      <c r="B19" s="208" t="s">
        <v>13</v>
      </c>
      <c r="C19" s="70">
        <v>1000000</v>
      </c>
      <c r="E19" s="209" t="s">
        <v>291</v>
      </c>
      <c r="F19" s="214">
        <f>Statement!AC162</f>
        <v>-0.68695115254353079</v>
      </c>
    </row>
    <row r="20" spans="2:9" x14ac:dyDescent="0.2">
      <c r="B20" s="208" t="s">
        <v>86</v>
      </c>
      <c r="C20" s="69" t="s">
        <v>394</v>
      </c>
      <c r="E20" s="210" t="s">
        <v>332</v>
      </c>
      <c r="F20" s="215">
        <f>Statement!AC163</f>
        <v>1.9325582625717537</v>
      </c>
    </row>
    <row r="21" spans="2:9" x14ac:dyDescent="0.2">
      <c r="B21" s="208" t="s">
        <v>87</v>
      </c>
      <c r="C21" s="69" t="s">
        <v>88</v>
      </c>
      <c r="I21" s="50"/>
    </row>
    <row r="22" spans="2:9" x14ac:dyDescent="0.2">
      <c r="B22" s="208" t="s">
        <v>89</v>
      </c>
      <c r="C22" s="69" t="s">
        <v>394</v>
      </c>
    </row>
    <row r="25" spans="2:9" x14ac:dyDescent="0.2">
      <c r="B25" s="250" t="s">
        <v>107</v>
      </c>
      <c r="C25" s="250"/>
      <c r="E25" s="248" t="s">
        <v>384</v>
      </c>
      <c r="F25" s="249"/>
    </row>
    <row r="26" spans="2:9" x14ac:dyDescent="0.2">
      <c r="B26" s="208" t="s">
        <v>108</v>
      </c>
      <c r="C26" s="193">
        <v>0.21</v>
      </c>
      <c r="E26" s="209" t="e" vm="2">
        <v>#VALUE!</v>
      </c>
      <c r="F26" s="245" cm="1">
        <f t="array" aca="1" ref="F26" ca="1">_FV(E26,"Price")</f>
        <v>44.55</v>
      </c>
    </row>
    <row r="27" spans="2:9" x14ac:dyDescent="0.2">
      <c r="B27" s="208" t="s">
        <v>195</v>
      </c>
      <c r="C27" s="265">
        <v>5.0999999999999997E-2</v>
      </c>
      <c r="E27" s="210" t="s">
        <v>385</v>
      </c>
      <c r="F27" s="246">
        <f ca="1">F26/1000</f>
        <v>4.4549999999999999E-2</v>
      </c>
    </row>
    <row r="31" spans="2:9" x14ac:dyDescent="0.2">
      <c r="B31" s="247" t="s">
        <v>376</v>
      </c>
      <c r="C31" s="247"/>
      <c r="D31" s="247"/>
      <c r="E31" s="247"/>
      <c r="F31" s="247"/>
      <c r="G31" s="247"/>
      <c r="H31" s="247"/>
    </row>
    <row r="33" spans="2:8" x14ac:dyDescent="0.2">
      <c r="B33" s="16" t="s">
        <v>377</v>
      </c>
    </row>
    <row r="34" spans="2:8" x14ac:dyDescent="0.2">
      <c r="B34" s="16" t="s">
        <v>378</v>
      </c>
    </row>
    <row r="37" spans="2:8" ht="6" customHeight="1" x14ac:dyDescent="0.2">
      <c r="B37" s="247"/>
      <c r="C37" s="247"/>
      <c r="D37" s="247"/>
      <c r="E37" s="247"/>
      <c r="F37" s="247"/>
      <c r="G37" s="247"/>
      <c r="H37" s="247"/>
    </row>
    <row r="40" spans="2:8" x14ac:dyDescent="0.2">
      <c r="B40" s="247" t="s">
        <v>379</v>
      </c>
      <c r="C40" s="247"/>
      <c r="D40" s="247"/>
      <c r="E40" s="247"/>
      <c r="F40" s="247"/>
      <c r="G40" s="247"/>
      <c r="H40" s="247"/>
    </row>
    <row r="42" spans="2:8" x14ac:dyDescent="0.2">
      <c r="B42" s="41" t="s">
        <v>380</v>
      </c>
      <c r="C42" s="41" t="s">
        <v>367</v>
      </c>
      <c r="D42" s="41" t="s">
        <v>368</v>
      </c>
      <c r="E42" s="243"/>
    </row>
    <row r="47" spans="2:8" ht="5" customHeight="1" x14ac:dyDescent="0.2">
      <c r="B47" s="247"/>
      <c r="C47" s="247"/>
      <c r="D47" s="247"/>
      <c r="E47" s="247"/>
      <c r="F47" s="247"/>
      <c r="G47" s="247"/>
      <c r="H47" s="247"/>
    </row>
  </sheetData>
  <mergeCells count="10">
    <mergeCell ref="B31:H31"/>
    <mergeCell ref="B37:H37"/>
    <mergeCell ref="B40:H40"/>
    <mergeCell ref="B47:H47"/>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04"/>
  <sheetViews>
    <sheetView zoomScale="170" zoomScaleNormal="150" workbookViewId="0">
      <pane xSplit="2" ySplit="3" topLeftCell="J114" activePane="bottomRight" state="frozen"/>
      <selection pane="topRight" activeCell="C1" sqref="C1"/>
      <selection pane="bottomLeft" activeCell="A4" sqref="A4"/>
      <selection pane="bottomRight" activeCell="M156" sqref="M15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393</v>
      </c>
      <c r="N2" s="10" t="s">
        <v>392</v>
      </c>
      <c r="O2" s="10" t="s">
        <v>390</v>
      </c>
      <c r="P2" s="10" t="s">
        <v>389</v>
      </c>
      <c r="Q2" s="10" t="s">
        <v>388</v>
      </c>
      <c r="R2" s="7"/>
      <c r="S2" s="7"/>
      <c r="AA2" s="10" t="s">
        <v>367</v>
      </c>
      <c r="AB2" s="7"/>
      <c r="AD2" s="7"/>
      <c r="AE2" s="7"/>
    </row>
    <row r="3" spans="1:31" s="13" customFormat="1" x14ac:dyDescent="0.2">
      <c r="A3" s="11"/>
      <c r="B3" s="12" t="s">
        <v>16</v>
      </c>
      <c r="M3" s="13">
        <v>2022</v>
      </c>
      <c r="N3" s="13">
        <v>2023</v>
      </c>
      <c r="O3" s="13">
        <v>2024</v>
      </c>
      <c r="P3" s="13">
        <v>2025</v>
      </c>
      <c r="Q3" s="13">
        <v>2026</v>
      </c>
      <c r="R3" s="11"/>
      <c r="S3" s="11"/>
      <c r="T3" s="10"/>
      <c r="U3" s="10"/>
      <c r="V3" s="10"/>
      <c r="W3" s="10"/>
      <c r="X3" s="10"/>
      <c r="Y3" s="10"/>
      <c r="Z3" s="10"/>
      <c r="AA3" s="10" t="s">
        <v>368</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c r="U5" s="18"/>
      <c r="V5" s="18"/>
      <c r="W5" s="18"/>
      <c r="X5" s="18"/>
      <c r="Y5" s="18"/>
      <c r="Z5" s="18"/>
      <c r="AA5" s="18"/>
      <c r="AB5" s="16"/>
      <c r="AC5" s="18">
        <f>SUM(X5:AA5)</f>
        <v>0</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c r="U6" s="21"/>
      <c r="V6" s="21"/>
      <c r="W6" s="21"/>
      <c r="X6" s="21"/>
      <c r="Y6" s="21"/>
      <c r="Z6" s="21"/>
      <c r="AA6" s="21"/>
      <c r="AC6" s="21">
        <f t="shared" ref="AC6:AC17" si="0">SUM(X6:AA6)</f>
        <v>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Z7" si="2">T5-T6</f>
        <v>0</v>
      </c>
      <c r="U7" s="22">
        <f t="shared" si="2"/>
        <v>0</v>
      </c>
      <c r="V7" s="22">
        <f t="shared" si="2"/>
        <v>0</v>
      </c>
      <c r="W7" s="22">
        <f t="shared" si="2"/>
        <v>0</v>
      </c>
      <c r="X7" s="22">
        <f t="shared" si="2"/>
        <v>0</v>
      </c>
      <c r="Y7" s="22">
        <f t="shared" si="2"/>
        <v>0</v>
      </c>
      <c r="Z7" s="22">
        <f t="shared" si="2"/>
        <v>0</v>
      </c>
      <c r="AA7" s="22">
        <f t="shared" ref="AA7" si="3">AA5-AA6</f>
        <v>0</v>
      </c>
      <c r="AB7" s="16"/>
      <c r="AC7" s="22">
        <f t="shared" si="0"/>
        <v>0</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c r="U8" s="21"/>
      <c r="V8" s="21"/>
      <c r="W8" s="21"/>
      <c r="X8" s="21"/>
      <c r="Y8" s="21"/>
      <c r="Z8" s="21"/>
      <c r="AA8" s="21"/>
      <c r="AC8" s="21">
        <f t="shared" si="0"/>
        <v>0</v>
      </c>
    </row>
    <row r="9" spans="1:31" x14ac:dyDescent="0.2">
      <c r="B9" s="20" t="s">
        <v>391</v>
      </c>
      <c r="C9" s="21"/>
      <c r="D9" s="21"/>
      <c r="E9" s="21"/>
      <c r="F9" s="21"/>
      <c r="G9" s="21"/>
      <c r="H9" s="21"/>
      <c r="I9" s="21"/>
      <c r="J9" s="21"/>
      <c r="K9" s="21"/>
      <c r="L9" s="21"/>
      <c r="M9" s="21">
        <v>2166</v>
      </c>
      <c r="N9" s="21">
        <v>2440</v>
      </c>
      <c r="O9" s="21">
        <v>2654</v>
      </c>
      <c r="P9" s="21">
        <v>3491</v>
      </c>
      <c r="Q9" s="21">
        <v>4579</v>
      </c>
      <c r="T9" s="21"/>
      <c r="U9" s="21"/>
      <c r="V9" s="21"/>
      <c r="W9" s="21"/>
      <c r="X9" s="21"/>
      <c r="Y9" s="21"/>
      <c r="Z9" s="21"/>
      <c r="AA9" s="21"/>
      <c r="AC9" s="21">
        <f t="shared" si="0"/>
        <v>0</v>
      </c>
    </row>
    <row r="10" spans="1:31" x14ac:dyDescent="0.2">
      <c r="B10" s="23" t="s">
        <v>25</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AA10" si="5">SUM(T8:T9)</f>
        <v>0</v>
      </c>
      <c r="U10" s="24">
        <f t="shared" si="5"/>
        <v>0</v>
      </c>
      <c r="V10" s="24">
        <f t="shared" si="5"/>
        <v>0</v>
      </c>
      <c r="W10" s="24">
        <f t="shared" si="5"/>
        <v>0</v>
      </c>
      <c r="X10" s="24">
        <f t="shared" si="5"/>
        <v>0</v>
      </c>
      <c r="Y10" s="24">
        <f t="shared" si="5"/>
        <v>0</v>
      </c>
      <c r="Z10" s="24">
        <f t="shared" si="5"/>
        <v>0</v>
      </c>
      <c r="AA10" s="24">
        <f t="shared" si="5"/>
        <v>0</v>
      </c>
      <c r="AC10" s="24">
        <f t="shared" si="0"/>
        <v>0</v>
      </c>
    </row>
    <row r="11" spans="1:31" s="19" customFormat="1" x14ac:dyDescent="0.2">
      <c r="A11" s="16"/>
      <c r="B11" s="17" t="s">
        <v>26</v>
      </c>
      <c r="C11" s="18"/>
      <c r="D11" s="18"/>
      <c r="E11" s="18"/>
      <c r="F11" s="18"/>
      <c r="G11" s="18"/>
      <c r="H11" s="18"/>
      <c r="I11" s="18"/>
      <c r="J11" s="18"/>
      <c r="K11" s="18"/>
      <c r="L11" s="18"/>
      <c r="M11" s="61">
        <v>10041</v>
      </c>
      <c r="N11" s="61">
        <v>4224</v>
      </c>
      <c r="O11" s="61">
        <v>32972</v>
      </c>
      <c r="P11" s="61">
        <v>81453</v>
      </c>
      <c r="Q11" s="18">
        <v>130387</v>
      </c>
      <c r="R11" s="16"/>
      <c r="S11" s="16"/>
      <c r="T11" s="61"/>
      <c r="U11" s="61"/>
      <c r="V11" s="18"/>
      <c r="W11" s="61"/>
      <c r="X11" s="61"/>
      <c r="Y11" s="18"/>
      <c r="Z11" s="18"/>
      <c r="AA11" s="18"/>
      <c r="AB11" s="1"/>
      <c r="AC11" s="18">
        <f t="shared" si="0"/>
        <v>0</v>
      </c>
      <c r="AD11" s="1"/>
      <c r="AE11" s="1"/>
    </row>
    <row r="12" spans="1:31" x14ac:dyDescent="0.2">
      <c r="B12" s="23" t="s">
        <v>27</v>
      </c>
      <c r="C12" s="21"/>
      <c r="D12" s="21"/>
      <c r="E12" s="21"/>
      <c r="F12" s="21"/>
      <c r="G12" s="21"/>
      <c r="H12" s="21"/>
      <c r="I12" s="21"/>
      <c r="J12" s="21"/>
      <c r="K12" s="21"/>
      <c r="L12" s="21"/>
      <c r="M12" s="62">
        <f>29-236</f>
        <v>-207</v>
      </c>
      <c r="N12" s="21">
        <v>5</v>
      </c>
      <c r="O12" s="62">
        <f>866-257</f>
        <v>609</v>
      </c>
      <c r="P12" s="62">
        <f>1786-247</f>
        <v>1539</v>
      </c>
      <c r="Q12" s="62">
        <f>2300-259</f>
        <v>2041</v>
      </c>
      <c r="T12" s="62"/>
      <c r="U12" s="62"/>
      <c r="V12" s="62"/>
      <c r="W12" s="62"/>
      <c r="X12" s="62"/>
      <c r="Y12" s="62"/>
      <c r="Z12" s="62"/>
      <c r="AA12" s="62"/>
      <c r="AC12" s="62">
        <f t="shared" si="0"/>
        <v>0</v>
      </c>
    </row>
    <row r="13" spans="1:31" x14ac:dyDescent="0.2">
      <c r="B13" s="23" t="s">
        <v>28</v>
      </c>
      <c r="C13" s="21"/>
      <c r="D13" s="21"/>
      <c r="E13" s="21"/>
      <c r="F13" s="21"/>
      <c r="G13" s="21"/>
      <c r="H13" s="21"/>
      <c r="I13" s="21"/>
      <c r="J13" s="21"/>
      <c r="K13" s="21"/>
      <c r="L13" s="21"/>
      <c r="M13" s="62">
        <v>107</v>
      </c>
      <c r="N13" s="62">
        <v>-48</v>
      </c>
      <c r="O13" s="62">
        <v>237</v>
      </c>
      <c r="P13" s="62">
        <v>1034</v>
      </c>
      <c r="Q13" s="62">
        <v>9022</v>
      </c>
      <c r="T13" s="62"/>
      <c r="U13" s="62"/>
      <c r="V13" s="62"/>
      <c r="W13" s="62"/>
      <c r="X13" s="62"/>
      <c r="Y13" s="62"/>
      <c r="Z13" s="62"/>
      <c r="AA13" s="62"/>
      <c r="AC13" s="62">
        <f t="shared" si="0"/>
        <v>0</v>
      </c>
    </row>
    <row r="14" spans="1:31" s="19" customFormat="1" x14ac:dyDescent="0.2">
      <c r="A14" s="16"/>
      <c r="B14" s="17" t="s">
        <v>29</v>
      </c>
      <c r="C14" s="18"/>
      <c r="D14" s="18"/>
      <c r="E14" s="18"/>
      <c r="F14" s="18"/>
      <c r="G14" s="18"/>
      <c r="H14" s="18"/>
      <c r="I14" s="18"/>
      <c r="J14" s="18"/>
      <c r="K14" s="18"/>
      <c r="L14" s="18"/>
      <c r="M14" s="61">
        <v>9941</v>
      </c>
      <c r="N14" s="61">
        <v>4181</v>
      </c>
      <c r="O14" s="61">
        <v>33818</v>
      </c>
      <c r="P14" s="61">
        <v>84026</v>
      </c>
      <c r="Q14" s="18">
        <v>141450</v>
      </c>
      <c r="R14" s="1"/>
      <c r="S14" s="1"/>
      <c r="T14" s="61"/>
      <c r="U14" s="61"/>
      <c r="V14" s="18"/>
      <c r="W14" s="61"/>
      <c r="X14" s="18"/>
      <c r="Y14" s="18"/>
      <c r="Z14" s="18"/>
      <c r="AA14" s="18"/>
      <c r="AB14" s="1"/>
      <c r="AC14" s="18">
        <f t="shared" si="0"/>
        <v>0</v>
      </c>
      <c r="AD14" s="1"/>
      <c r="AE14" s="1"/>
    </row>
    <row r="15" spans="1:31" x14ac:dyDescent="0.2">
      <c r="B15" s="23" t="s">
        <v>30</v>
      </c>
      <c r="C15" s="21"/>
      <c r="D15" s="21"/>
      <c r="E15" s="21"/>
      <c r="F15" s="21"/>
      <c r="G15" s="21"/>
      <c r="H15" s="21"/>
      <c r="I15" s="21"/>
      <c r="J15" s="21"/>
      <c r="K15" s="21"/>
      <c r="L15" s="21"/>
      <c r="M15" s="62">
        <v>-189</v>
      </c>
      <c r="N15" s="62">
        <v>187</v>
      </c>
      <c r="O15" s="62">
        <v>-4058</v>
      </c>
      <c r="P15" s="62">
        <v>-11146</v>
      </c>
      <c r="Q15" s="62">
        <v>-21383</v>
      </c>
      <c r="T15" s="62"/>
      <c r="U15" s="62"/>
      <c r="V15" s="62"/>
      <c r="W15" s="62"/>
      <c r="X15" s="62"/>
      <c r="Y15" s="62"/>
      <c r="Z15" s="62"/>
      <c r="AA15" s="62"/>
      <c r="AC15" s="62">
        <f t="shared" si="0"/>
        <v>0</v>
      </c>
    </row>
    <row r="16" spans="1:31" x14ac:dyDescent="0.2">
      <c r="B16" s="23" t="s">
        <v>369</v>
      </c>
      <c r="C16" s="21"/>
      <c r="D16" s="21"/>
      <c r="E16" s="21"/>
      <c r="F16" s="21"/>
      <c r="G16" s="21"/>
      <c r="H16" s="21"/>
      <c r="I16" s="21"/>
      <c r="J16" s="21"/>
      <c r="K16" s="21"/>
      <c r="L16" s="21"/>
      <c r="M16" s="62">
        <v>0</v>
      </c>
      <c r="N16" s="62">
        <v>0</v>
      </c>
      <c r="O16" s="62">
        <v>0</v>
      </c>
      <c r="P16" s="62">
        <v>0</v>
      </c>
      <c r="Q16" s="62">
        <v>0</v>
      </c>
      <c r="T16" s="62"/>
      <c r="U16" s="62"/>
      <c r="V16" s="62"/>
      <c r="W16" s="62"/>
      <c r="X16" s="62"/>
      <c r="Y16" s="62"/>
      <c r="Z16" s="62"/>
      <c r="AA16" s="62"/>
      <c r="AC16" s="62">
        <f t="shared" si="0"/>
        <v>0</v>
      </c>
    </row>
    <row r="17" spans="1:31" s="19" customFormat="1" x14ac:dyDescent="0.2">
      <c r="A17" s="16"/>
      <c r="B17" s="17" t="s">
        <v>31</v>
      </c>
      <c r="C17" s="18"/>
      <c r="D17" s="18"/>
      <c r="E17" s="18"/>
      <c r="F17" s="18"/>
      <c r="G17" s="18"/>
      <c r="H17" s="18"/>
      <c r="I17" s="18"/>
      <c r="J17" s="18"/>
      <c r="K17" s="18"/>
      <c r="L17" s="18"/>
      <c r="M17" s="61">
        <v>9752</v>
      </c>
      <c r="N17" s="61">
        <v>4368</v>
      </c>
      <c r="O17" s="61">
        <v>29760</v>
      </c>
      <c r="P17" s="61">
        <v>72880</v>
      </c>
      <c r="Q17" s="61">
        <v>120067</v>
      </c>
      <c r="R17" s="60"/>
      <c r="S17" s="60"/>
      <c r="T17" s="61"/>
      <c r="U17" s="61"/>
      <c r="V17" s="61"/>
      <c r="W17" s="61"/>
      <c r="X17" s="61"/>
      <c r="Y17" s="61"/>
      <c r="Z17" s="61"/>
      <c r="AA17" s="61"/>
      <c r="AB17" s="1"/>
      <c r="AC17" s="61">
        <f t="shared" si="0"/>
        <v>0</v>
      </c>
      <c r="AD17" s="1"/>
      <c r="AE17" s="1"/>
    </row>
    <row r="18" spans="1:31" x14ac:dyDescent="0.2">
      <c r="B18" s="23" t="s">
        <v>32</v>
      </c>
      <c r="C18" s="21"/>
      <c r="D18" s="21"/>
      <c r="E18" s="21"/>
      <c r="F18" s="21"/>
      <c r="G18" s="21"/>
      <c r="H18" s="21"/>
      <c r="I18" s="21"/>
      <c r="J18" s="21"/>
      <c r="K18" s="21"/>
      <c r="L18" s="21"/>
      <c r="M18" s="21">
        <v>2496</v>
      </c>
      <c r="N18" s="21">
        <v>2487</v>
      </c>
      <c r="O18" s="62">
        <v>2469</v>
      </c>
      <c r="P18" s="62">
        <v>24555</v>
      </c>
      <c r="Q18" s="62">
        <v>24359</v>
      </c>
      <c r="R18" s="60"/>
      <c r="S18" s="60"/>
      <c r="T18" s="62"/>
      <c r="U18" s="62"/>
      <c r="V18" s="62"/>
      <c r="W18" s="62"/>
      <c r="X18" s="62"/>
      <c r="Y18" s="62"/>
      <c r="Z18" s="62"/>
      <c r="AA18" s="62"/>
      <c r="AC18" s="62" t="e">
        <f>AVERAGE(X18:AA18)</f>
        <v>#DIV/0!</v>
      </c>
    </row>
    <row r="19" spans="1:31" x14ac:dyDescent="0.2">
      <c r="B19" s="23" t="s">
        <v>33</v>
      </c>
      <c r="C19" s="25">
        <f t="shared" ref="C19:Q19" si="6">C18*C$83</f>
        <v>0</v>
      </c>
      <c r="D19" s="25">
        <f t="shared" si="6"/>
        <v>0</v>
      </c>
      <c r="E19" s="25">
        <f t="shared" si="6"/>
        <v>0</v>
      </c>
      <c r="F19" s="25">
        <f t="shared" si="6"/>
        <v>0</v>
      </c>
      <c r="G19" s="25">
        <f t="shared" si="6"/>
        <v>0</v>
      </c>
      <c r="H19" s="25">
        <f t="shared" si="6"/>
        <v>0</v>
      </c>
      <c r="I19" s="25">
        <f t="shared" si="6"/>
        <v>0</v>
      </c>
      <c r="J19" s="25">
        <f t="shared" si="6"/>
        <v>0</v>
      </c>
      <c r="K19" s="25">
        <f t="shared" si="6"/>
        <v>0</v>
      </c>
      <c r="L19" s="25">
        <f t="shared" si="6"/>
        <v>0</v>
      </c>
      <c r="M19" s="25">
        <f t="shared" si="6"/>
        <v>24960</v>
      </c>
      <c r="N19" s="25">
        <f t="shared" si="6"/>
        <v>24870</v>
      </c>
      <c r="O19" s="25">
        <f t="shared" si="6"/>
        <v>24690</v>
      </c>
      <c r="P19" s="25">
        <f t="shared" si="6"/>
        <v>24555</v>
      </c>
      <c r="Q19" s="25">
        <f t="shared" si="6"/>
        <v>24359</v>
      </c>
      <c r="T19" s="25">
        <f t="shared" ref="T19:AA19" si="7">T18*T$83</f>
        <v>0</v>
      </c>
      <c r="U19" s="25">
        <f t="shared" si="7"/>
        <v>0</v>
      </c>
      <c r="V19" s="25">
        <f t="shared" si="7"/>
        <v>0</v>
      </c>
      <c r="W19" s="25">
        <f t="shared" si="7"/>
        <v>0</v>
      </c>
      <c r="X19" s="25">
        <f t="shared" si="7"/>
        <v>0</v>
      </c>
      <c r="Y19" s="25">
        <f t="shared" si="7"/>
        <v>0</v>
      </c>
      <c r="Z19" s="25">
        <f t="shared" si="7"/>
        <v>0</v>
      </c>
      <c r="AA19" s="25">
        <f t="shared" si="7"/>
        <v>0</v>
      </c>
      <c r="AC19" s="25" t="e">
        <f>AC18*AC$83</f>
        <v>#DIV/0!</v>
      </c>
    </row>
    <row r="20" spans="1:31" x14ac:dyDescent="0.2">
      <c r="B20" s="23" t="s">
        <v>34</v>
      </c>
      <c r="C20" s="21"/>
      <c r="D20" s="21"/>
      <c r="E20" s="21"/>
      <c r="F20" s="21"/>
      <c r="G20" s="21"/>
      <c r="H20" s="21"/>
      <c r="I20" s="21"/>
      <c r="J20" s="21"/>
      <c r="K20" s="21"/>
      <c r="L20" s="21"/>
      <c r="M20" s="21">
        <v>2535</v>
      </c>
      <c r="N20" s="21">
        <v>2507</v>
      </c>
      <c r="O20" s="62">
        <v>2494</v>
      </c>
      <c r="P20" s="62">
        <v>24804</v>
      </c>
      <c r="Q20" s="62">
        <v>24514</v>
      </c>
      <c r="T20" s="62"/>
      <c r="U20" s="62"/>
      <c r="V20" s="62"/>
      <c r="W20" s="62"/>
      <c r="X20" s="62"/>
      <c r="Y20" s="62"/>
      <c r="Z20" s="62"/>
      <c r="AA20" s="62"/>
      <c r="AC20" s="62" t="e">
        <f>AVERAGE(X20:AA20)</f>
        <v>#DIV/0!</v>
      </c>
    </row>
    <row r="21" spans="1:31" x14ac:dyDescent="0.2">
      <c r="B21" s="23" t="s">
        <v>35</v>
      </c>
      <c r="C21" s="25">
        <f t="shared" ref="C21:Q21" si="8">C20*C$83</f>
        <v>0</v>
      </c>
      <c r="D21" s="25">
        <f t="shared" si="8"/>
        <v>0</v>
      </c>
      <c r="E21" s="25">
        <f t="shared" si="8"/>
        <v>0</v>
      </c>
      <c r="F21" s="25">
        <f t="shared" si="8"/>
        <v>0</v>
      </c>
      <c r="G21" s="25">
        <f t="shared" si="8"/>
        <v>0</v>
      </c>
      <c r="H21" s="25">
        <f t="shared" si="8"/>
        <v>0</v>
      </c>
      <c r="I21" s="25">
        <f t="shared" si="8"/>
        <v>0</v>
      </c>
      <c r="J21" s="25">
        <f t="shared" si="8"/>
        <v>0</v>
      </c>
      <c r="K21" s="25">
        <f t="shared" si="8"/>
        <v>0</v>
      </c>
      <c r="L21" s="25">
        <f t="shared" si="8"/>
        <v>0</v>
      </c>
      <c r="M21" s="25">
        <f t="shared" si="8"/>
        <v>25350</v>
      </c>
      <c r="N21" s="25">
        <f t="shared" si="8"/>
        <v>25070</v>
      </c>
      <c r="O21" s="25">
        <f t="shared" si="8"/>
        <v>24940</v>
      </c>
      <c r="P21" s="25">
        <f t="shared" si="8"/>
        <v>24804</v>
      </c>
      <c r="Q21" s="25">
        <f t="shared" si="8"/>
        <v>24514</v>
      </c>
      <c r="T21" s="25">
        <f t="shared" ref="T21:AA21" si="9">T20*T$83</f>
        <v>0</v>
      </c>
      <c r="U21" s="25">
        <f t="shared" si="9"/>
        <v>0</v>
      </c>
      <c r="V21" s="25">
        <f t="shared" si="9"/>
        <v>0</v>
      </c>
      <c r="W21" s="25">
        <f t="shared" si="9"/>
        <v>0</v>
      </c>
      <c r="X21" s="25">
        <f t="shared" si="9"/>
        <v>0</v>
      </c>
      <c r="Y21" s="25">
        <f t="shared" si="9"/>
        <v>0</v>
      </c>
      <c r="Z21" s="25">
        <f t="shared" si="9"/>
        <v>0</v>
      </c>
      <c r="AA21" s="25">
        <f t="shared" si="9"/>
        <v>0</v>
      </c>
      <c r="AC21" s="25" t="e">
        <f>AC20*AC$83</f>
        <v>#DIV/0!</v>
      </c>
    </row>
    <row r="22" spans="1:31" x14ac:dyDescent="0.2">
      <c r="B22" s="23" t="s">
        <v>36</v>
      </c>
      <c r="C22" s="26"/>
      <c r="D22" s="26"/>
      <c r="E22" s="26"/>
      <c r="F22" s="26"/>
      <c r="G22" s="26"/>
      <c r="H22" s="26"/>
      <c r="I22" s="26"/>
      <c r="J22" s="26"/>
      <c r="K22" s="26"/>
      <c r="L22" s="26"/>
      <c r="M22" s="63">
        <v>3.91</v>
      </c>
      <c r="N22" s="63">
        <v>1.76</v>
      </c>
      <c r="O22" s="63">
        <v>12.05</v>
      </c>
      <c r="P22" s="63">
        <v>2.97</v>
      </c>
      <c r="Q22" s="26">
        <v>4.93</v>
      </c>
      <c r="T22" s="63"/>
      <c r="U22" s="63"/>
      <c r="V22" s="26"/>
      <c r="W22" s="63"/>
      <c r="X22" s="26"/>
      <c r="Y22" s="26"/>
      <c r="Z22" s="26"/>
      <c r="AA22" s="26"/>
      <c r="AC22" s="26">
        <f>SUM(X22:AA22)</f>
        <v>0</v>
      </c>
    </row>
    <row r="23" spans="1:31" x14ac:dyDescent="0.2">
      <c r="B23" s="23" t="s">
        <v>37</v>
      </c>
      <c r="C23" s="27"/>
      <c r="D23" s="27"/>
      <c r="E23" s="27"/>
      <c r="F23" s="27"/>
      <c r="G23" s="27"/>
      <c r="H23" s="27"/>
      <c r="I23" s="27"/>
      <c r="J23" s="27"/>
      <c r="K23" s="27"/>
      <c r="L23" s="27"/>
      <c r="M23" s="65">
        <f>M22/M$83</f>
        <v>0.39100000000000001</v>
      </c>
      <c r="N23" s="65">
        <f>N22/N$83</f>
        <v>0.17599999999999999</v>
      </c>
      <c r="O23" s="65">
        <f>O22/O$83</f>
        <v>1.2050000000000001</v>
      </c>
      <c r="P23" s="65">
        <f>P22/P$83</f>
        <v>2.97</v>
      </c>
      <c r="Q23" s="65">
        <f>Q22/Q$83</f>
        <v>4.93</v>
      </c>
      <c r="T23" s="65">
        <f t="shared" ref="T23:AA23" si="10">T22/T$83</f>
        <v>0</v>
      </c>
      <c r="U23" s="65">
        <f t="shared" si="10"/>
        <v>0</v>
      </c>
      <c r="V23" s="65">
        <f t="shared" si="10"/>
        <v>0</v>
      </c>
      <c r="W23" s="65">
        <f t="shared" si="10"/>
        <v>0</v>
      </c>
      <c r="X23" s="65">
        <f t="shared" si="10"/>
        <v>0</v>
      </c>
      <c r="Y23" s="65">
        <f t="shared" si="10"/>
        <v>0</v>
      </c>
      <c r="Z23" s="65">
        <f t="shared" si="10"/>
        <v>0</v>
      </c>
      <c r="AA23" s="65">
        <f t="shared" si="10"/>
        <v>0</v>
      </c>
      <c r="AC23" s="65">
        <f>AC22/AC$83</f>
        <v>0</v>
      </c>
    </row>
    <row r="24" spans="1:31" x14ac:dyDescent="0.2">
      <c r="B24" s="23" t="s">
        <v>38</v>
      </c>
      <c r="C24" s="26"/>
      <c r="D24" s="26"/>
      <c r="E24" s="26"/>
      <c r="F24" s="26"/>
      <c r="G24" s="26"/>
      <c r="H24" s="26"/>
      <c r="I24" s="26"/>
      <c r="J24" s="26"/>
      <c r="K24" s="26"/>
      <c r="L24" s="26"/>
      <c r="M24" s="63">
        <v>3.85</v>
      </c>
      <c r="N24" s="63">
        <v>1.74</v>
      </c>
      <c r="O24" s="63">
        <v>11.93</v>
      </c>
      <c r="P24" s="63">
        <v>2.94</v>
      </c>
      <c r="Q24" s="26">
        <v>4.9000000000000004</v>
      </c>
      <c r="T24" s="63"/>
      <c r="U24" s="63"/>
      <c r="V24" s="26"/>
      <c r="W24" s="63"/>
      <c r="X24" s="26"/>
      <c r="Y24" s="26"/>
      <c r="Z24" s="26"/>
      <c r="AA24" s="26"/>
      <c r="AC24" s="26">
        <f>SUM(X24:AA24)</f>
        <v>0</v>
      </c>
    </row>
    <row r="25" spans="1:31" s="30" customFormat="1" ht="17" thickBot="1" x14ac:dyDescent="0.25">
      <c r="A25" s="1"/>
      <c r="B25" s="28" t="s">
        <v>39</v>
      </c>
      <c r="C25" s="29"/>
      <c r="D25" s="29"/>
      <c r="E25" s="29"/>
      <c r="F25" s="29"/>
      <c r="G25" s="29"/>
      <c r="H25" s="29"/>
      <c r="I25" s="29"/>
      <c r="J25" s="29"/>
      <c r="K25" s="29"/>
      <c r="L25" s="29"/>
      <c r="M25" s="66">
        <f>M24/M$83</f>
        <v>0.38500000000000001</v>
      </c>
      <c r="N25" s="66">
        <f>N24/N$83</f>
        <v>0.17399999999999999</v>
      </c>
      <c r="O25" s="66">
        <f>O24/O$83</f>
        <v>1.1930000000000001</v>
      </c>
      <c r="P25" s="66">
        <f>P24/P$83</f>
        <v>2.94</v>
      </c>
      <c r="Q25" s="66">
        <f>Q24/Q$83</f>
        <v>4.9000000000000004</v>
      </c>
      <c r="T25" s="66">
        <f t="shared" ref="T25:AA25" si="11">T24/T$83</f>
        <v>0</v>
      </c>
      <c r="U25" s="66">
        <f t="shared" si="11"/>
        <v>0</v>
      </c>
      <c r="V25" s="66">
        <f t="shared" si="11"/>
        <v>0</v>
      </c>
      <c r="W25" s="66">
        <f t="shared" si="11"/>
        <v>0</v>
      </c>
      <c r="X25" s="66">
        <f t="shared" si="11"/>
        <v>0</v>
      </c>
      <c r="Y25" s="66">
        <f t="shared" si="11"/>
        <v>0</v>
      </c>
      <c r="Z25" s="66">
        <f t="shared" si="11"/>
        <v>0</v>
      </c>
      <c r="AA25" s="66">
        <f t="shared" si="11"/>
        <v>0</v>
      </c>
      <c r="AB25" s="1"/>
      <c r="AC25" s="66">
        <f>AC24/AC$83</f>
        <v>0</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40</v>
      </c>
      <c r="R27" s="1"/>
      <c r="S27" s="1"/>
      <c r="AB27" s="1"/>
      <c r="AD27" s="1"/>
      <c r="AE27" s="1"/>
    </row>
    <row r="28" spans="1:31" x14ac:dyDescent="0.2">
      <c r="B28" s="20" t="s">
        <v>41</v>
      </c>
      <c r="C28" s="21"/>
      <c r="D28" s="21"/>
      <c r="E28" s="21"/>
      <c r="F28" s="21"/>
      <c r="G28" s="21"/>
      <c r="H28" s="21"/>
      <c r="I28" s="21"/>
      <c r="J28" s="21"/>
      <c r="K28" s="21"/>
      <c r="L28" s="21"/>
      <c r="M28" s="21">
        <f>1768723+96417</f>
        <v>1865140</v>
      </c>
      <c r="N28" s="21">
        <f>1402119+354774</f>
        <v>1756893</v>
      </c>
      <c r="O28" s="21">
        <f>1061678+818145</f>
        <v>1879823</v>
      </c>
      <c r="P28" s="21">
        <f>879196+750322</f>
        <v>1629518</v>
      </c>
      <c r="Q28" s="21">
        <f>871157+601329</f>
        <v>1472486</v>
      </c>
      <c r="T28" s="21">
        <f>939313+804061</f>
        <v>1743374</v>
      </c>
      <c r="U28" s="21">
        <f>773630+795411</f>
        <v>1569041</v>
      </c>
      <c r="V28" s="21">
        <f>879196+750322</f>
        <v>1629518</v>
      </c>
      <c r="W28" s="21">
        <f>700641+854392</f>
        <v>1555033</v>
      </c>
      <c r="X28" s="21">
        <f>628617+818870</f>
        <v>1447487</v>
      </c>
      <c r="Y28" s="21">
        <f>743660+654526</f>
        <v>1398186</v>
      </c>
      <c r="Z28" s="21">
        <f>871157+601329</f>
        <v>1472486</v>
      </c>
      <c r="AA28" s="21">
        <f>632195+675049</f>
        <v>1307244</v>
      </c>
      <c r="AC28" s="21">
        <f>AA28</f>
        <v>1307244</v>
      </c>
    </row>
    <row r="29" spans="1:31" x14ac:dyDescent="0.2">
      <c r="B29" s="20" t="s">
        <v>42</v>
      </c>
      <c r="C29" s="21"/>
      <c r="D29" s="21"/>
      <c r="E29" s="21"/>
      <c r="F29" s="21"/>
      <c r="G29" s="21"/>
      <c r="H29" s="21"/>
      <c r="I29" s="21"/>
      <c r="J29" s="21"/>
      <c r="K29" s="21"/>
      <c r="L29" s="21"/>
      <c r="M29" s="21">
        <f>251988+74831</f>
        <v>326819</v>
      </c>
      <c r="N29" s="21">
        <f>374217+69260</f>
        <v>443477</v>
      </c>
      <c r="O29" s="21">
        <f>436296+84197</f>
        <v>520493</v>
      </c>
      <c r="P29" s="21">
        <f>451131+88735</f>
        <v>539866</v>
      </c>
      <c r="Q29" s="21">
        <f>488265+92440</f>
        <v>580705</v>
      </c>
      <c r="T29" s="21">
        <f>267706+101107</f>
        <v>368813</v>
      </c>
      <c r="U29" s="21">
        <f>336137+109918</f>
        <v>446055</v>
      </c>
      <c r="V29" s="21">
        <f>451131+88735</f>
        <v>539866</v>
      </c>
      <c r="W29" s="21">
        <f>266619+103150</f>
        <v>369769</v>
      </c>
      <c r="X29" s="21">
        <f>269810+117418</f>
        <v>387228</v>
      </c>
      <c r="Y29" s="21">
        <f>366757+129335</f>
        <v>496092</v>
      </c>
      <c r="Z29" s="21">
        <f>488265+92440</f>
        <v>580705</v>
      </c>
      <c r="AA29" s="21">
        <v>299999</v>
      </c>
      <c r="AC29" s="21">
        <f t="shared" ref="AC29:AC48" si="12">AA29</f>
        <v>299999</v>
      </c>
    </row>
    <row r="30" spans="1:31" x14ac:dyDescent="0.2">
      <c r="B30" s="20" t="s">
        <v>157</v>
      </c>
      <c r="C30" s="21"/>
      <c r="D30" s="21"/>
      <c r="E30" s="21"/>
      <c r="F30" s="21"/>
      <c r="G30" s="21"/>
      <c r="H30" s="21"/>
      <c r="I30" s="21"/>
      <c r="J30" s="21"/>
      <c r="K30" s="21"/>
      <c r="L30" s="21"/>
      <c r="M30" s="21">
        <v>0</v>
      </c>
      <c r="N30" s="21">
        <v>0</v>
      </c>
      <c r="O30" s="21">
        <v>0</v>
      </c>
      <c r="P30" s="21">
        <v>0</v>
      </c>
      <c r="Q30" s="21">
        <v>0</v>
      </c>
      <c r="T30" s="21">
        <v>0</v>
      </c>
      <c r="U30" s="21">
        <v>0</v>
      </c>
      <c r="V30" s="21">
        <v>0</v>
      </c>
      <c r="W30" s="21">
        <v>0</v>
      </c>
      <c r="X30" s="21">
        <v>0</v>
      </c>
      <c r="Y30" s="21">
        <v>0</v>
      </c>
      <c r="Z30" s="21">
        <v>0</v>
      </c>
      <c r="AA30" s="21">
        <v>0</v>
      </c>
      <c r="AC30" s="21">
        <f>AA30</f>
        <v>0</v>
      </c>
    </row>
    <row r="31" spans="1:31" s="34" customFormat="1" x14ac:dyDescent="0.2">
      <c r="A31" s="16"/>
      <c r="B31" s="32" t="s">
        <v>43</v>
      </c>
      <c r="C31" s="33"/>
      <c r="D31" s="33"/>
      <c r="E31" s="33"/>
      <c r="F31" s="33"/>
      <c r="G31" s="33"/>
      <c r="H31" s="33"/>
      <c r="I31" s="33"/>
      <c r="J31" s="33"/>
      <c r="K31" s="33"/>
      <c r="L31" s="33"/>
      <c r="M31" s="33">
        <v>2277301</v>
      </c>
      <c r="N31" s="33">
        <v>2344407</v>
      </c>
      <c r="O31" s="33">
        <v>2580412</v>
      </c>
      <c r="P31" s="33">
        <v>2338559</v>
      </c>
      <c r="Q31" s="33">
        <v>2243945</v>
      </c>
      <c r="R31" s="1"/>
      <c r="S31" s="1"/>
      <c r="T31" s="33">
        <v>2274334</v>
      </c>
      <c r="U31" s="33">
        <v>2176478</v>
      </c>
      <c r="V31" s="33">
        <v>2338559</v>
      </c>
      <c r="W31" s="33">
        <v>2109669</v>
      </c>
      <c r="X31" s="33">
        <v>2030736</v>
      </c>
      <c r="Y31" s="33">
        <v>2093343</v>
      </c>
      <c r="Z31" s="33">
        <v>2243945</v>
      </c>
      <c r="AA31" s="33">
        <v>1918362</v>
      </c>
      <c r="AB31" s="1"/>
      <c r="AC31" s="33">
        <f t="shared" si="12"/>
        <v>1918362</v>
      </c>
      <c r="AD31" s="1"/>
      <c r="AE31" s="1"/>
    </row>
    <row r="32" spans="1:31" x14ac:dyDescent="0.2">
      <c r="B32" s="20" t="s">
        <v>44</v>
      </c>
      <c r="C32" s="21"/>
      <c r="D32" s="21"/>
      <c r="E32" s="21"/>
      <c r="F32" s="21"/>
      <c r="G32" s="21"/>
      <c r="H32" s="21"/>
      <c r="I32" s="21"/>
      <c r="J32" s="21"/>
      <c r="K32" s="21"/>
      <c r="L32" s="21"/>
      <c r="M32" s="21">
        <v>17176</v>
      </c>
      <c r="N32" s="21">
        <v>29045</v>
      </c>
      <c r="O32" s="21">
        <v>23982</v>
      </c>
      <c r="P32" s="21">
        <v>32740</v>
      </c>
      <c r="Q32" s="21">
        <v>46014</v>
      </c>
      <c r="T32" s="21">
        <v>22040</v>
      </c>
      <c r="U32" s="21">
        <v>25132</v>
      </c>
      <c r="V32" s="21">
        <v>32740</v>
      </c>
      <c r="W32" s="21">
        <v>41964</v>
      </c>
      <c r="X32" s="21">
        <v>41545</v>
      </c>
      <c r="Y32" s="21">
        <v>44604</v>
      </c>
      <c r="Z32" s="21">
        <v>46014</v>
      </c>
      <c r="AA32" s="21">
        <v>45585</v>
      </c>
      <c r="AC32" s="21">
        <f t="shared" si="12"/>
        <v>45585</v>
      </c>
    </row>
    <row r="33" spans="1:31" x14ac:dyDescent="0.2">
      <c r="B33" s="20" t="s">
        <v>45</v>
      </c>
      <c r="C33" s="21"/>
      <c r="D33" s="21"/>
      <c r="E33" s="21"/>
      <c r="F33" s="21"/>
      <c r="G33" s="21"/>
      <c r="H33" s="21"/>
      <c r="I33" s="21"/>
      <c r="J33" s="21"/>
      <c r="K33" s="21"/>
      <c r="L33" s="21"/>
      <c r="M33" s="21">
        <v>53564</v>
      </c>
      <c r="N33" s="21">
        <v>88010</v>
      </c>
      <c r="O33" s="21">
        <v>89026</v>
      </c>
      <c r="P33" s="21">
        <v>87304</v>
      </c>
      <c r="Q33" s="21">
        <v>125310</v>
      </c>
      <c r="T33" s="21">
        <v>89530</v>
      </c>
      <c r="U33" s="21">
        <v>89864</v>
      </c>
      <c r="V33" s="21">
        <v>87304</v>
      </c>
      <c r="W33" s="21">
        <v>121371</v>
      </c>
      <c r="X33" s="21">
        <v>120800</v>
      </c>
      <c r="Y33" s="21">
        <v>120625</v>
      </c>
      <c r="Z33" s="21">
        <v>125310</v>
      </c>
      <c r="AA33" s="21">
        <v>185695</v>
      </c>
      <c r="AC33" s="21">
        <f t="shared" si="12"/>
        <v>185695</v>
      </c>
    </row>
    <row r="34" spans="1:31" s="34" customFormat="1" x14ac:dyDescent="0.2">
      <c r="A34" s="16"/>
      <c r="B34" s="32" t="s">
        <v>46</v>
      </c>
      <c r="C34" s="35"/>
      <c r="D34" s="35"/>
      <c r="E34" s="35"/>
      <c r="F34" s="35"/>
      <c r="G34" s="35"/>
      <c r="H34" s="35"/>
      <c r="I34" s="35"/>
      <c r="J34" s="35"/>
      <c r="K34" s="35"/>
      <c r="L34" s="35"/>
      <c r="M34" s="35">
        <f t="shared" ref="M34:O34" si="13">M35-M31</f>
        <v>295149</v>
      </c>
      <c r="N34" s="35">
        <f t="shared" si="13"/>
        <v>390799</v>
      </c>
      <c r="O34" s="35">
        <f t="shared" si="13"/>
        <v>374346</v>
      </c>
      <c r="P34" s="35">
        <f>P35-P31</f>
        <v>526711</v>
      </c>
      <c r="Q34" s="35">
        <f>Q35-Q31</f>
        <v>935255</v>
      </c>
      <c r="R34" s="1"/>
      <c r="S34" s="1"/>
      <c r="T34" s="35">
        <f t="shared" ref="T34:Z34" si="14">T35-T31</f>
        <v>426999</v>
      </c>
      <c r="U34" s="35">
        <f t="shared" si="14"/>
        <v>486813</v>
      </c>
      <c r="V34" s="35">
        <f t="shared" si="14"/>
        <v>526711</v>
      </c>
      <c r="W34" s="35">
        <f t="shared" si="14"/>
        <v>534773</v>
      </c>
      <c r="X34" s="35">
        <f t="shared" si="14"/>
        <v>561581</v>
      </c>
      <c r="Y34" s="35">
        <f t="shared" si="14"/>
        <v>802633</v>
      </c>
      <c r="Z34" s="35">
        <f t="shared" si="14"/>
        <v>935255</v>
      </c>
      <c r="AA34" s="35">
        <f t="shared" ref="AA34" si="15">AA35-AA31</f>
        <v>986338</v>
      </c>
      <c r="AB34" s="1"/>
      <c r="AC34" s="35">
        <f t="shared" si="12"/>
        <v>986338</v>
      </c>
      <c r="AD34" s="1"/>
      <c r="AE34" s="1"/>
    </row>
    <row r="35" spans="1:31" s="19" customFormat="1" x14ac:dyDescent="0.2">
      <c r="A35" s="16"/>
      <c r="B35" s="17" t="s">
        <v>47</v>
      </c>
      <c r="C35" s="18"/>
      <c r="D35" s="18"/>
      <c r="E35" s="18"/>
      <c r="F35" s="18"/>
      <c r="G35" s="18"/>
      <c r="H35" s="18"/>
      <c r="I35" s="18"/>
      <c r="J35" s="18"/>
      <c r="K35" s="18"/>
      <c r="L35" s="18"/>
      <c r="M35" s="18">
        <v>2572450</v>
      </c>
      <c r="N35" s="18">
        <v>2735206</v>
      </c>
      <c r="O35" s="18">
        <v>2954758</v>
      </c>
      <c r="P35" s="18">
        <v>2865270</v>
      </c>
      <c r="Q35" s="18">
        <v>3179200</v>
      </c>
      <c r="R35" s="1"/>
      <c r="S35" s="1"/>
      <c r="T35" s="18">
        <v>2701333</v>
      </c>
      <c r="U35" s="18">
        <v>2663291</v>
      </c>
      <c r="V35" s="18">
        <v>2865270</v>
      </c>
      <c r="W35" s="18">
        <v>2644442</v>
      </c>
      <c r="X35" s="18">
        <v>2592317</v>
      </c>
      <c r="Y35" s="18">
        <v>2895976</v>
      </c>
      <c r="Z35" s="18">
        <v>3179200</v>
      </c>
      <c r="AA35" s="18">
        <v>2904700</v>
      </c>
      <c r="AB35" s="1"/>
      <c r="AC35" s="18">
        <f t="shared" si="12"/>
        <v>2904700</v>
      </c>
      <c r="AD35" s="1"/>
      <c r="AE35" s="1"/>
    </row>
    <row r="36" spans="1:31" x14ac:dyDescent="0.2">
      <c r="B36" s="20" t="s">
        <v>48</v>
      </c>
      <c r="C36" s="21"/>
      <c r="D36" s="21"/>
      <c r="E36" s="21"/>
      <c r="F36" s="21"/>
      <c r="G36" s="21"/>
      <c r="H36" s="21"/>
      <c r="I36" s="21"/>
      <c r="J36" s="21"/>
      <c r="K36" s="21"/>
      <c r="L36" s="21"/>
      <c r="M36" s="21">
        <v>11515</v>
      </c>
      <c r="N36" s="21">
        <v>8891</v>
      </c>
      <c r="O36" s="21">
        <v>3447</v>
      </c>
      <c r="P36" s="21">
        <v>33178</v>
      </c>
      <c r="Q36" s="21">
        <v>10161</v>
      </c>
      <c r="T36" s="21">
        <v>9910</v>
      </c>
      <c r="U36" s="21">
        <v>18426</v>
      </c>
      <c r="V36" s="21">
        <v>33178</v>
      </c>
      <c r="W36" s="21">
        <v>16885</v>
      </c>
      <c r="X36" s="21">
        <v>19743</v>
      </c>
      <c r="Y36" s="21">
        <v>14280</v>
      </c>
      <c r="Z36" s="21">
        <v>10161</v>
      </c>
      <c r="AA36" s="21">
        <v>19699</v>
      </c>
      <c r="AC36" s="21">
        <f t="shared" si="12"/>
        <v>19699</v>
      </c>
    </row>
    <row r="37" spans="1:31" x14ac:dyDescent="0.2">
      <c r="B37" s="20" t="s">
        <v>192</v>
      </c>
      <c r="C37" s="21"/>
      <c r="D37" s="21"/>
      <c r="E37" s="21"/>
      <c r="F37" s="21"/>
      <c r="G37" s="21"/>
      <c r="H37" s="21"/>
      <c r="I37" s="21"/>
      <c r="J37" s="21"/>
      <c r="K37" s="21"/>
      <c r="L37" s="21"/>
      <c r="M37" s="21">
        <v>0</v>
      </c>
      <c r="N37" s="21">
        <v>0</v>
      </c>
      <c r="O37" s="21">
        <v>0</v>
      </c>
      <c r="P37" s="21">
        <v>0</v>
      </c>
      <c r="Q37" s="21">
        <v>0</v>
      </c>
      <c r="T37" s="21">
        <v>0</v>
      </c>
      <c r="U37" s="21">
        <v>0</v>
      </c>
      <c r="V37" s="21">
        <v>0</v>
      </c>
      <c r="W37" s="21">
        <v>0</v>
      </c>
      <c r="X37" s="21">
        <v>0</v>
      </c>
      <c r="Y37" s="21">
        <v>0</v>
      </c>
      <c r="Z37" s="21">
        <v>0</v>
      </c>
      <c r="AA37" s="21">
        <v>0</v>
      </c>
      <c r="AC37" s="21">
        <f t="shared" si="12"/>
        <v>0</v>
      </c>
    </row>
    <row r="38" spans="1:31" s="34" customFormat="1" x14ac:dyDescent="0.2">
      <c r="A38" s="16"/>
      <c r="B38" s="32" t="s">
        <v>49</v>
      </c>
      <c r="C38" s="33"/>
      <c r="D38" s="33"/>
      <c r="E38" s="33"/>
      <c r="F38" s="33"/>
      <c r="G38" s="33"/>
      <c r="H38" s="33"/>
      <c r="I38" s="33"/>
      <c r="J38" s="33"/>
      <c r="K38" s="33"/>
      <c r="L38" s="33"/>
      <c r="M38" s="33">
        <v>527501</v>
      </c>
      <c r="N38" s="33">
        <v>626452</v>
      </c>
      <c r="O38" s="33">
        <v>711691</v>
      </c>
      <c r="P38" s="33">
        <v>798920</v>
      </c>
      <c r="Q38" s="33">
        <v>905423</v>
      </c>
      <c r="R38" s="60"/>
      <c r="S38" s="60"/>
      <c r="T38" s="33">
        <v>632503</v>
      </c>
      <c r="U38" s="33">
        <v>695473</v>
      </c>
      <c r="V38" s="33">
        <v>798920</v>
      </c>
      <c r="W38" s="33">
        <v>715867</v>
      </c>
      <c r="X38" s="33">
        <v>738417</v>
      </c>
      <c r="Y38" s="33">
        <v>788700</v>
      </c>
      <c r="Z38" s="33">
        <v>905423</v>
      </c>
      <c r="AA38" s="33">
        <v>831666</v>
      </c>
      <c r="AB38" s="1"/>
      <c r="AC38" s="33">
        <f t="shared" si="12"/>
        <v>831666</v>
      </c>
      <c r="AD38" s="1"/>
      <c r="AE38" s="1"/>
    </row>
    <row r="39" spans="1:31" x14ac:dyDescent="0.2">
      <c r="B39" s="20" t="s">
        <v>192</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12"/>
        <v>0</v>
      </c>
    </row>
    <row r="40" spans="1:31" s="34" customFormat="1" x14ac:dyDescent="0.2">
      <c r="A40" s="16"/>
      <c r="B40" s="32" t="s">
        <v>50</v>
      </c>
      <c r="C40" s="35"/>
      <c r="D40" s="35"/>
      <c r="E40" s="35"/>
      <c r="F40" s="35"/>
      <c r="G40" s="35"/>
      <c r="H40" s="35"/>
      <c r="I40" s="35"/>
      <c r="J40" s="35"/>
      <c r="K40" s="35"/>
      <c r="L40" s="35"/>
      <c r="M40" s="35">
        <f t="shared" ref="M40:O40" si="16">M41-M38</f>
        <v>123032</v>
      </c>
      <c r="N40" s="35">
        <f t="shared" si="16"/>
        <v>188596</v>
      </c>
      <c r="O40" s="35">
        <f t="shared" si="16"/>
        <v>226953</v>
      </c>
      <c r="P40" s="35">
        <f>P41-P38</f>
        <v>220588</v>
      </c>
      <c r="Q40" s="35">
        <f>Q41-Q38</f>
        <v>191190</v>
      </c>
      <c r="R40" s="1"/>
      <c r="S40" s="1"/>
      <c r="T40" s="35">
        <f t="shared" ref="T40:Z40" si="17">T41-T38</f>
        <v>235249</v>
      </c>
      <c r="U40" s="35">
        <f t="shared" si="17"/>
        <v>235973</v>
      </c>
      <c r="V40" s="35">
        <f t="shared" si="17"/>
        <v>220588</v>
      </c>
      <c r="W40" s="35">
        <f t="shared" si="17"/>
        <v>230114</v>
      </c>
      <c r="X40" s="35">
        <f t="shared" si="17"/>
        <v>188197</v>
      </c>
      <c r="Y40" s="35">
        <f t="shared" si="17"/>
        <v>182659</v>
      </c>
      <c r="Z40" s="35">
        <f t="shared" si="17"/>
        <v>191190</v>
      </c>
      <c r="AA40" s="35">
        <f t="shared" ref="AA40" si="18">AA41-AA38</f>
        <v>170069</v>
      </c>
      <c r="AB40" s="1"/>
      <c r="AC40" s="35">
        <f t="shared" si="12"/>
        <v>170069</v>
      </c>
      <c r="AD40" s="1"/>
      <c r="AE40" s="1"/>
    </row>
    <row r="41" spans="1:31" s="19" customFormat="1" x14ac:dyDescent="0.2">
      <c r="A41" s="16"/>
      <c r="B41" s="17" t="s">
        <v>51</v>
      </c>
      <c r="C41" s="18"/>
      <c r="D41" s="18"/>
      <c r="E41" s="18"/>
      <c r="F41" s="18"/>
      <c r="G41" s="18"/>
      <c r="H41" s="18"/>
      <c r="I41" s="18"/>
      <c r="J41" s="18"/>
      <c r="K41" s="18"/>
      <c r="L41" s="18"/>
      <c r="M41" s="18">
        <v>650533</v>
      </c>
      <c r="N41" s="18">
        <v>815048</v>
      </c>
      <c r="O41" s="18">
        <v>938644</v>
      </c>
      <c r="P41" s="18">
        <v>1019508</v>
      </c>
      <c r="Q41" s="18">
        <v>1096613</v>
      </c>
      <c r="R41" s="1"/>
      <c r="S41" s="1"/>
      <c r="T41" s="18">
        <v>867752</v>
      </c>
      <c r="U41" s="18">
        <v>931446</v>
      </c>
      <c r="V41" s="18">
        <v>1019508</v>
      </c>
      <c r="W41" s="18">
        <v>945981</v>
      </c>
      <c r="X41" s="18">
        <v>926614</v>
      </c>
      <c r="Y41" s="18">
        <v>971359</v>
      </c>
      <c r="Z41" s="18">
        <v>1096613</v>
      </c>
      <c r="AA41" s="18">
        <v>1001735</v>
      </c>
      <c r="AB41" s="1"/>
      <c r="AC41" s="18">
        <f t="shared" si="12"/>
        <v>1001735</v>
      </c>
      <c r="AD41" s="1"/>
      <c r="AE41" s="1"/>
    </row>
    <row r="42" spans="1:31" x14ac:dyDescent="0.2">
      <c r="B42" s="20" t="s">
        <v>53</v>
      </c>
      <c r="C42" s="21"/>
      <c r="D42" s="21"/>
      <c r="E42" s="21"/>
      <c r="F42" s="21"/>
      <c r="G42" s="21"/>
      <c r="H42" s="21"/>
      <c r="I42" s="21"/>
      <c r="J42" s="21"/>
      <c r="K42" s="21"/>
      <c r="L42" s="21"/>
      <c r="M42" s="62">
        <v>0</v>
      </c>
      <c r="N42" s="62">
        <v>0</v>
      </c>
      <c r="O42" s="62">
        <v>-102615</v>
      </c>
      <c r="P42" s="62">
        <v>-494779</v>
      </c>
      <c r="Q42" s="62">
        <v>-833905</v>
      </c>
      <c r="T42" s="62">
        <v>-322047</v>
      </c>
      <c r="U42" s="62">
        <v>-486985</v>
      </c>
      <c r="V42" s="62">
        <v>-494779</v>
      </c>
      <c r="W42" s="62">
        <v>-724224</v>
      </c>
      <c r="X42" s="62">
        <v>-824842</v>
      </c>
      <c r="Y42" s="62">
        <v>-824329</v>
      </c>
      <c r="Z42" s="62">
        <v>-833905</v>
      </c>
      <c r="AA42" s="62">
        <v>-1069595</v>
      </c>
      <c r="AC42" s="62">
        <f t="shared" si="12"/>
        <v>-1069595</v>
      </c>
    </row>
    <row r="43" spans="1:31" x14ac:dyDescent="0.2">
      <c r="B43" s="20" t="s">
        <v>373</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2"/>
        <v>0</v>
      </c>
    </row>
    <row r="44" spans="1:31" x14ac:dyDescent="0.2">
      <c r="B44" s="20" t="s">
        <v>52</v>
      </c>
      <c r="C44" s="21"/>
      <c r="D44" s="21"/>
      <c r="E44" s="21"/>
      <c r="F44" s="21"/>
      <c r="G44" s="21"/>
      <c r="H44" s="21"/>
      <c r="I44" s="21"/>
      <c r="J44" s="21"/>
      <c r="K44" s="21"/>
      <c r="L44" s="21"/>
      <c r="M44" s="21">
        <v>3406959</v>
      </c>
      <c r="N44" s="21">
        <v>3736838</v>
      </c>
      <c r="O44" s="21">
        <v>4024079</v>
      </c>
      <c r="P44" s="62">
        <v>4333300</v>
      </c>
      <c r="Q44" s="62">
        <v>4585430</v>
      </c>
      <c r="T44" s="62">
        <v>4176531</v>
      </c>
      <c r="U44" s="62">
        <v>4149569</v>
      </c>
      <c r="V44" s="62">
        <v>4333300</v>
      </c>
      <c r="W44" s="62">
        <v>4403586</v>
      </c>
      <c r="X44" s="62">
        <v>4474638</v>
      </c>
      <c r="Y44" s="62">
        <v>4531257</v>
      </c>
      <c r="Z44" s="62">
        <v>4585430</v>
      </c>
      <c r="AA44" s="62">
        <v>4628200</v>
      </c>
      <c r="AC44" s="62">
        <f t="shared" si="12"/>
        <v>4628200</v>
      </c>
    </row>
    <row r="45" spans="1:31" x14ac:dyDescent="0.2">
      <c r="B45" s="20" t="s">
        <v>374</v>
      </c>
      <c r="C45" s="21"/>
      <c r="D45" s="21"/>
      <c r="E45" s="21"/>
      <c r="F45" s="21"/>
      <c r="G45" s="21"/>
      <c r="H45" s="21"/>
      <c r="I45" s="21"/>
      <c r="J45" s="21"/>
      <c r="K45" s="21"/>
      <c r="L45" s="21"/>
      <c r="M45" s="62">
        <v>-1495946</v>
      </c>
      <c r="N45" s="62">
        <v>-1824298</v>
      </c>
      <c r="O45" s="62">
        <v>-1914181</v>
      </c>
      <c r="P45" s="62">
        <v>-1987875</v>
      </c>
      <c r="Q45" s="62">
        <v>-1705545</v>
      </c>
      <c r="T45" s="62">
        <v>-2029014</v>
      </c>
      <c r="U45" s="62">
        <v>-2039669</v>
      </c>
      <c r="V45" s="62">
        <v>-1987875</v>
      </c>
      <c r="W45" s="62">
        <v>-2010430</v>
      </c>
      <c r="X45" s="62">
        <v>-2008846</v>
      </c>
      <c r="Y45" s="62">
        <v>-1810007</v>
      </c>
      <c r="Z45" s="62">
        <v>-1705545</v>
      </c>
      <c r="AA45" s="62">
        <v>-1683020</v>
      </c>
      <c r="AC45" s="62">
        <f t="shared" si="12"/>
        <v>-1683020</v>
      </c>
    </row>
    <row r="46" spans="1:31" x14ac:dyDescent="0.2">
      <c r="B46" s="20" t="s">
        <v>369</v>
      </c>
      <c r="C46" s="21"/>
      <c r="D46" s="21"/>
      <c r="E46" s="21"/>
      <c r="F46" s="21"/>
      <c r="G46" s="21"/>
      <c r="H46" s="21"/>
      <c r="I46" s="21"/>
      <c r="J46" s="21"/>
      <c r="K46" s="21"/>
      <c r="L46" s="21"/>
      <c r="M46" s="62">
        <v>0</v>
      </c>
      <c r="N46" s="62">
        <v>0</v>
      </c>
      <c r="O46" s="62">
        <v>0</v>
      </c>
      <c r="P46" s="62">
        <v>0</v>
      </c>
      <c r="Q46" s="62">
        <v>0</v>
      </c>
      <c r="T46" s="62">
        <v>0</v>
      </c>
      <c r="U46" s="62">
        <v>0</v>
      </c>
      <c r="V46" s="62">
        <v>0</v>
      </c>
      <c r="W46" s="62">
        <v>0</v>
      </c>
      <c r="X46" s="62">
        <v>0</v>
      </c>
      <c r="Y46" s="62">
        <v>0</v>
      </c>
      <c r="Z46" s="62">
        <v>0</v>
      </c>
      <c r="AA46" s="62">
        <v>0</v>
      </c>
      <c r="AC46" s="62">
        <f t="shared" si="12"/>
        <v>0</v>
      </c>
    </row>
    <row r="47" spans="1:31" s="34" customFormat="1" x14ac:dyDescent="0.2">
      <c r="A47" s="16"/>
      <c r="B47" s="32" t="s">
        <v>54</v>
      </c>
      <c r="C47" s="33"/>
      <c r="D47" s="33"/>
      <c r="E47" s="33"/>
      <c r="F47" s="33"/>
      <c r="G47" s="33"/>
      <c r="H47" s="33"/>
      <c r="I47" s="33"/>
      <c r="J47" s="33"/>
      <c r="K47" s="33"/>
      <c r="L47" s="33"/>
      <c r="M47" s="33">
        <v>1921917</v>
      </c>
      <c r="N47" s="33">
        <v>1920158</v>
      </c>
      <c r="O47" s="33">
        <v>2016114</v>
      </c>
      <c r="P47" s="33">
        <v>1845762</v>
      </c>
      <c r="Q47" s="33">
        <v>2082587</v>
      </c>
      <c r="R47" s="1"/>
      <c r="S47" s="1"/>
      <c r="T47" s="33">
        <v>1833581</v>
      </c>
      <c r="U47" s="33">
        <v>1731845</v>
      </c>
      <c r="V47" s="33">
        <v>1845762</v>
      </c>
      <c r="W47" s="33">
        <v>1698461</v>
      </c>
      <c r="X47" s="33">
        <v>1665703</v>
      </c>
      <c r="Y47" s="33">
        <v>1924617</v>
      </c>
      <c r="Z47" s="33">
        <v>2082587</v>
      </c>
      <c r="AA47" s="33">
        <v>1902965</v>
      </c>
      <c r="AB47" s="1"/>
      <c r="AC47" s="33">
        <f t="shared" si="12"/>
        <v>1902965</v>
      </c>
      <c r="AD47" s="1"/>
      <c r="AE47" s="1"/>
    </row>
    <row r="48" spans="1:31" s="38" customFormat="1" ht="17" thickBot="1" x14ac:dyDescent="0.25">
      <c r="A48" s="16"/>
      <c r="B48" s="36" t="s">
        <v>55</v>
      </c>
      <c r="C48" s="37"/>
      <c r="D48" s="37"/>
      <c r="E48" s="37"/>
      <c r="F48" s="37"/>
      <c r="G48" s="37"/>
      <c r="H48" s="37"/>
      <c r="I48" s="37"/>
      <c r="J48" s="37"/>
      <c r="K48" s="37"/>
      <c r="L48" s="37"/>
      <c r="M48" s="37">
        <v>2572450</v>
      </c>
      <c r="N48" s="37">
        <v>2735206</v>
      </c>
      <c r="O48" s="37">
        <v>2954758</v>
      </c>
      <c r="P48" s="37">
        <v>2865270</v>
      </c>
      <c r="Q48" s="37">
        <v>3179200</v>
      </c>
      <c r="R48" s="1"/>
      <c r="S48" s="1"/>
      <c r="T48" s="37">
        <v>2701333</v>
      </c>
      <c r="U48" s="37">
        <v>2663291</v>
      </c>
      <c r="V48" s="37">
        <v>2865270</v>
      </c>
      <c r="W48" s="37">
        <v>2644442</v>
      </c>
      <c r="X48" s="37">
        <v>2592317</v>
      </c>
      <c r="Y48" s="37">
        <v>2895976</v>
      </c>
      <c r="Z48" s="37">
        <v>3179200</v>
      </c>
      <c r="AA48" s="37">
        <v>2904700</v>
      </c>
      <c r="AB48" s="1"/>
      <c r="AC48" s="37">
        <f t="shared" si="12"/>
        <v>2904700</v>
      </c>
      <c r="AD48" s="1"/>
      <c r="AE48" s="1"/>
    </row>
    <row r="49" spans="1:31" x14ac:dyDescent="0.2">
      <c r="B49" s="1"/>
    </row>
    <row r="50" spans="1:31" s="15" customFormat="1" ht="17" thickBot="1" x14ac:dyDescent="0.25">
      <c r="A50" s="11"/>
      <c r="B50" s="14" t="s">
        <v>56</v>
      </c>
      <c r="R50" s="1"/>
      <c r="S50" s="1"/>
      <c r="AB50" s="1"/>
      <c r="AD50" s="1"/>
      <c r="AE50" s="1"/>
    </row>
    <row r="51" spans="1:31" x14ac:dyDescent="0.2">
      <c r="B51" s="20" t="s">
        <v>57</v>
      </c>
      <c r="C51" s="62"/>
      <c r="D51" s="62"/>
      <c r="E51" s="62"/>
      <c r="F51" s="62"/>
      <c r="G51" s="62"/>
      <c r="H51" s="62"/>
      <c r="I51" s="62"/>
      <c r="J51" s="62"/>
      <c r="K51" s="62"/>
      <c r="L51" s="62"/>
      <c r="M51" s="62">
        <v>14705</v>
      </c>
      <c r="N51" s="62">
        <v>18723</v>
      </c>
      <c r="O51" s="62">
        <v>22597</v>
      </c>
      <c r="P51" s="62">
        <v>17232</v>
      </c>
      <c r="Q51" s="62">
        <v>16969</v>
      </c>
      <c r="T51" s="62">
        <v>4581</v>
      </c>
      <c r="U51" s="62">
        <v>4534</v>
      </c>
      <c r="V51" s="62"/>
      <c r="W51" s="62">
        <v>3253</v>
      </c>
      <c r="X51" s="62">
        <v>4230</v>
      </c>
      <c r="Y51" s="62">
        <v>4513</v>
      </c>
      <c r="Z51" s="62">
        <v>4973</v>
      </c>
      <c r="AA51" s="62">
        <v>7509</v>
      </c>
      <c r="AC51" s="62">
        <f>SUM(X51:AA51)</f>
        <v>21225</v>
      </c>
    </row>
    <row r="52" spans="1:31" x14ac:dyDescent="0.2">
      <c r="B52" s="23" t="s">
        <v>58</v>
      </c>
      <c r="C52" s="62"/>
      <c r="D52" s="62"/>
      <c r="E52" s="62"/>
      <c r="F52" s="62"/>
      <c r="G52" s="62"/>
      <c r="H52" s="62"/>
      <c r="I52" s="62"/>
      <c r="J52" s="62"/>
      <c r="K52" s="62"/>
      <c r="L52" s="62"/>
      <c r="M52" s="62">
        <v>515583</v>
      </c>
      <c r="N52" s="62">
        <v>369840</v>
      </c>
      <c r="O52" s="62">
        <v>371955</v>
      </c>
      <c r="P52" s="62">
        <v>358151</v>
      </c>
      <c r="Q52" s="62">
        <v>290676</v>
      </c>
      <c r="T52" s="62">
        <v>94305</v>
      </c>
      <c r="U52" s="62">
        <v>87488</v>
      </c>
      <c r="V52" s="62"/>
      <c r="W52" s="62">
        <v>76361</v>
      </c>
      <c r="X52" s="62">
        <v>78006</v>
      </c>
      <c r="Y52" s="62">
        <v>71475</v>
      </c>
      <c r="Z52" s="62">
        <v>64834</v>
      </c>
      <c r="AA52" s="62">
        <v>53310</v>
      </c>
      <c r="AC52" s="62">
        <f t="shared" ref="AC52:AC56" si="19">SUM(X52:AA52)</f>
        <v>267625</v>
      </c>
    </row>
    <row r="53" spans="1:31" x14ac:dyDescent="0.2">
      <c r="B53" s="23" t="s">
        <v>90</v>
      </c>
      <c r="C53" s="62"/>
      <c r="D53" s="62"/>
      <c r="E53" s="62"/>
      <c r="F53" s="62"/>
      <c r="G53" s="62"/>
      <c r="H53" s="62"/>
      <c r="I53" s="62"/>
      <c r="J53" s="62"/>
      <c r="K53" s="62"/>
      <c r="L53" s="62"/>
      <c r="M53" s="62">
        <v>-86387</v>
      </c>
      <c r="N53" s="62">
        <v>-123783</v>
      </c>
      <c r="O53" s="62">
        <v>-64217</v>
      </c>
      <c r="P53" s="62">
        <v>-22173</v>
      </c>
      <c r="Q53" s="62">
        <v>-25802</v>
      </c>
      <c r="T53" s="62">
        <v>3337</v>
      </c>
      <c r="U53" s="62">
        <v>-67719</v>
      </c>
      <c r="V53" s="62"/>
      <c r="W53" s="62">
        <v>197443</v>
      </c>
      <c r="X53" s="62">
        <v>-5039</v>
      </c>
      <c r="Y53" s="62">
        <v>-98947</v>
      </c>
      <c r="Z53" s="62">
        <v>-119259</v>
      </c>
      <c r="AA53" s="62">
        <v>194865</v>
      </c>
      <c r="AC53" s="62">
        <f t="shared" si="19"/>
        <v>-28380</v>
      </c>
    </row>
    <row r="54" spans="1:31" x14ac:dyDescent="0.2">
      <c r="B54" s="23" t="s">
        <v>167</v>
      </c>
      <c r="C54" s="62"/>
      <c r="D54" s="62"/>
      <c r="E54" s="62"/>
      <c r="F54" s="62"/>
      <c r="G54" s="62"/>
      <c r="H54" s="62"/>
      <c r="I54" s="62"/>
      <c r="J54" s="62"/>
      <c r="K54" s="62"/>
      <c r="L54" s="62"/>
      <c r="M54" s="62">
        <v>0</v>
      </c>
      <c r="N54" s="62">
        <v>0</v>
      </c>
      <c r="O54" s="62">
        <v>0</v>
      </c>
      <c r="P54" s="62">
        <v>0</v>
      </c>
      <c r="Q54" s="62">
        <v>0</v>
      </c>
      <c r="T54" s="62">
        <v>0</v>
      </c>
      <c r="U54" s="62">
        <v>0</v>
      </c>
      <c r="V54" s="62">
        <v>0</v>
      </c>
      <c r="W54" s="62">
        <v>0</v>
      </c>
      <c r="X54" s="62">
        <v>0</v>
      </c>
      <c r="Y54" s="62">
        <v>0</v>
      </c>
      <c r="Z54" s="62">
        <v>0</v>
      </c>
      <c r="AA54" s="62">
        <v>0</v>
      </c>
      <c r="AC54" s="62">
        <f>SUM(X54:AA54)</f>
        <v>0</v>
      </c>
    </row>
    <row r="55" spans="1:31" x14ac:dyDescent="0.2">
      <c r="B55" s="23" t="s">
        <v>91</v>
      </c>
      <c r="C55" s="62"/>
      <c r="D55" s="62"/>
      <c r="E55" s="62"/>
      <c r="F55" s="62"/>
      <c r="G55" s="62"/>
      <c r="H55" s="62"/>
      <c r="I55" s="62"/>
      <c r="J55" s="62"/>
      <c r="K55" s="62"/>
      <c r="L55" s="62"/>
      <c r="M55" s="62">
        <v>3507</v>
      </c>
      <c r="N55" s="62">
        <v>-1571</v>
      </c>
      <c r="O55" s="62">
        <v>-5052</v>
      </c>
      <c r="P55" s="62">
        <v>27856</v>
      </c>
      <c r="Q55" s="62">
        <v>-21675</v>
      </c>
      <c r="T55" s="62">
        <v>2838</v>
      </c>
      <c r="U55" s="62">
        <v>8180</v>
      </c>
      <c r="V55" s="62"/>
      <c r="W55" s="62">
        <v>-15025</v>
      </c>
      <c r="X55" s="62">
        <v>3319</v>
      </c>
      <c r="Y55" s="62">
        <v>-5695</v>
      </c>
      <c r="Z55" s="62">
        <v>-4274</v>
      </c>
      <c r="AA55" s="62">
        <v>9390</v>
      </c>
      <c r="AC55" s="62">
        <f t="shared" si="19"/>
        <v>2740</v>
      </c>
    </row>
    <row r="56" spans="1:31" x14ac:dyDescent="0.2">
      <c r="B56" s="23" t="s">
        <v>92</v>
      </c>
      <c r="C56" s="62"/>
      <c r="D56" s="62"/>
      <c r="E56" s="62"/>
      <c r="F56" s="62"/>
      <c r="G56" s="62"/>
      <c r="H56" s="62"/>
      <c r="I56" s="62"/>
      <c r="J56" s="62"/>
      <c r="K56" s="62"/>
      <c r="L56" s="62"/>
      <c r="M56" s="62">
        <f>-43660-130186-15360+45729+24038-9064+105481</f>
        <v>-23022</v>
      </c>
      <c r="N56" s="62">
        <f>-185-118909-59810-14954+15086-3307+160746</f>
        <v>-21333</v>
      </c>
      <c r="O56" s="62">
        <f>-14694-118833+4222+11804-4039-13590+137471</f>
        <v>2341</v>
      </c>
      <c r="P56" s="62">
        <f>-3991-89157+7065+9235-23428-15527+68348</f>
        <v>-47455</v>
      </c>
      <c r="Q56" s="62">
        <f>3208-116202-3933+46697+2583-11652-22431</f>
        <v>-101730</v>
      </c>
      <c r="T56" s="62">
        <v>11084</v>
      </c>
      <c r="U56" s="62">
        <v>7517</v>
      </c>
      <c r="V56" s="62"/>
      <c r="W56" s="62">
        <f>-9460-13954-13074+12352-72534-2146-60261</f>
        <v>-159077</v>
      </c>
      <c r="X56" s="62">
        <v>-55572</v>
      </c>
      <c r="Y56" s="62">
        <v>9189</v>
      </c>
      <c r="Z56" s="62">
        <v>103730</v>
      </c>
      <c r="AA56" s="62">
        <f>-13977-26645-12870-24991-61062-4458-55423</f>
        <v>-199426</v>
      </c>
      <c r="AC56" s="62">
        <f t="shared" si="19"/>
        <v>-142079</v>
      </c>
    </row>
    <row r="57" spans="1:31" s="19" customFormat="1" x14ac:dyDescent="0.2">
      <c r="A57" s="16"/>
      <c r="B57" s="17" t="s">
        <v>59</v>
      </c>
      <c r="C57" s="61"/>
      <c r="D57" s="61"/>
      <c r="E57" s="61"/>
      <c r="F57" s="61"/>
      <c r="G57" s="61"/>
      <c r="H57" s="61"/>
      <c r="I57" s="61"/>
      <c r="J57" s="61"/>
      <c r="K57" s="61"/>
      <c r="L57" s="61"/>
      <c r="M57" s="61">
        <v>-54963</v>
      </c>
      <c r="N57" s="61">
        <v>-9981</v>
      </c>
      <c r="O57" s="61">
        <v>299082</v>
      </c>
      <c r="P57" s="61">
        <v>320565</v>
      </c>
      <c r="Q57" s="61">
        <v>371208</v>
      </c>
      <c r="R57" s="1"/>
      <c r="S57" s="1"/>
      <c r="T57" s="61">
        <v>46376</v>
      </c>
      <c r="U57" s="61">
        <v>28070</v>
      </c>
      <c r="V57" s="61"/>
      <c r="W57" s="61">
        <v>119002</v>
      </c>
      <c r="X57" s="61">
        <v>41587</v>
      </c>
      <c r="Y57" s="61">
        <v>28271</v>
      </c>
      <c r="Z57" s="61">
        <v>182348</v>
      </c>
      <c r="AA57" s="61">
        <v>131928</v>
      </c>
      <c r="AB57" s="1"/>
      <c r="AC57" s="61">
        <f>SUM(X57:AA57)</f>
        <v>384134</v>
      </c>
      <c r="AD57" s="1"/>
      <c r="AE57" s="1"/>
    </row>
    <row r="58" spans="1:31" x14ac:dyDescent="0.2">
      <c r="B58" s="20" t="s">
        <v>60</v>
      </c>
      <c r="C58" s="62"/>
      <c r="D58" s="62"/>
      <c r="E58" s="62"/>
      <c r="F58" s="62"/>
      <c r="G58" s="62"/>
      <c r="H58" s="62"/>
      <c r="I58" s="62"/>
      <c r="J58" s="62"/>
      <c r="K58" s="62"/>
      <c r="L58" s="62"/>
      <c r="M58" s="62">
        <v>-8879</v>
      </c>
      <c r="N58" s="62">
        <v>-23815</v>
      </c>
      <c r="O58" s="62">
        <v>-7342</v>
      </c>
      <c r="P58" s="62">
        <v>-14923</v>
      </c>
      <c r="Q58" s="62">
        <v>-19048</v>
      </c>
      <c r="T58" s="62">
        <v>-1418</v>
      </c>
      <c r="U58" s="62">
        <v>-4875</v>
      </c>
      <c r="V58" s="62"/>
      <c r="W58" s="62">
        <v>-12832</v>
      </c>
      <c r="X58" s="62">
        <v>0</v>
      </c>
      <c r="Y58" s="62">
        <v>-3164</v>
      </c>
      <c r="Z58" s="62">
        <v>-3052</v>
      </c>
      <c r="AA58" s="62">
        <v>-2684</v>
      </c>
      <c r="AC58" s="62">
        <f>SUM(X58:AA58)</f>
        <v>-8900</v>
      </c>
    </row>
    <row r="59" spans="1:31" x14ac:dyDescent="0.2">
      <c r="B59" s="20" t="s">
        <v>93</v>
      </c>
      <c r="C59" s="62"/>
      <c r="D59" s="62"/>
      <c r="E59" s="62"/>
      <c r="F59" s="62"/>
      <c r="G59" s="62"/>
      <c r="H59" s="62"/>
      <c r="I59" s="62"/>
      <c r="J59" s="62"/>
      <c r="K59" s="62"/>
      <c r="L59" s="62"/>
      <c r="M59" s="62">
        <v>-2950</v>
      </c>
      <c r="N59" s="62">
        <v>0</v>
      </c>
      <c r="O59" s="62">
        <v>0</v>
      </c>
      <c r="P59" s="62">
        <v>0</v>
      </c>
      <c r="Q59" s="62">
        <v>0</v>
      </c>
      <c r="T59" s="62">
        <v>0</v>
      </c>
      <c r="U59" s="62">
        <v>0</v>
      </c>
      <c r="V59" s="62"/>
      <c r="W59" s="62">
        <v>0</v>
      </c>
      <c r="X59" s="62">
        <v>0</v>
      </c>
      <c r="Y59" s="62">
        <v>0</v>
      </c>
      <c r="Z59" s="62">
        <v>0</v>
      </c>
      <c r="AA59" s="62">
        <v>0</v>
      </c>
      <c r="AC59" s="62">
        <f t="shared" ref="AC59:AC64" si="20">SUM(X59:AA59)</f>
        <v>0</v>
      </c>
    </row>
    <row r="60" spans="1:31" s="19" customFormat="1" x14ac:dyDescent="0.2">
      <c r="A60" s="16"/>
      <c r="B60" s="17" t="s">
        <v>61</v>
      </c>
      <c r="C60" s="61"/>
      <c r="D60" s="61"/>
      <c r="E60" s="61"/>
      <c r="F60" s="61"/>
      <c r="G60" s="61"/>
      <c r="H60" s="61"/>
      <c r="I60" s="61"/>
      <c r="J60" s="61"/>
      <c r="K60" s="61"/>
      <c r="L60" s="61"/>
      <c r="M60" s="61">
        <v>-35442</v>
      </c>
      <c r="N60" s="61">
        <v>-289143</v>
      </c>
      <c r="O60" s="61">
        <v>-439569</v>
      </c>
      <c r="P60" s="61">
        <v>-45503</v>
      </c>
      <c r="Q60" s="61">
        <v>-22466</v>
      </c>
      <c r="R60" s="1"/>
      <c r="S60" s="1"/>
      <c r="T60" s="61">
        <v>-41659</v>
      </c>
      <c r="U60" s="61">
        <v>-22914</v>
      </c>
      <c r="V60" s="61"/>
      <c r="W60" s="61">
        <v>-79923</v>
      </c>
      <c r="X60" s="61">
        <v>-655</v>
      </c>
      <c r="Y60" s="61">
        <v>100764</v>
      </c>
      <c r="Z60" s="61">
        <v>-42652</v>
      </c>
      <c r="AA60" s="61">
        <v>-112841</v>
      </c>
      <c r="AB60" s="1"/>
      <c r="AC60" s="61">
        <f t="shared" si="20"/>
        <v>-55384</v>
      </c>
      <c r="AD60" s="1"/>
      <c r="AE60" s="1"/>
    </row>
    <row r="61" spans="1:31" x14ac:dyDescent="0.2">
      <c r="B61" s="20" t="s">
        <v>62</v>
      </c>
      <c r="C61" s="62"/>
      <c r="D61" s="62"/>
      <c r="E61" s="62"/>
      <c r="F61" s="62"/>
      <c r="G61" s="62"/>
      <c r="H61" s="62"/>
      <c r="I61" s="62"/>
      <c r="J61" s="62"/>
      <c r="K61" s="62"/>
      <c r="L61" s="62"/>
      <c r="M61" s="62">
        <v>0</v>
      </c>
      <c r="N61" s="62">
        <v>0</v>
      </c>
      <c r="O61" s="62">
        <v>-102615</v>
      </c>
      <c r="P61" s="62">
        <v>-390751</v>
      </c>
      <c r="Q61" s="62">
        <v>-329101</v>
      </c>
      <c r="T61" s="62">
        <v>-196747</v>
      </c>
      <c r="U61" s="62">
        <v>-162651</v>
      </c>
      <c r="V61" s="62"/>
      <c r="W61" s="62">
        <v>-227525</v>
      </c>
      <c r="X61" s="62">
        <v>-101576</v>
      </c>
      <c r="Y61" s="62">
        <v>0</v>
      </c>
      <c r="Z61" s="62">
        <v>0</v>
      </c>
      <c r="AA61" s="62">
        <f>-243796</f>
        <v>-243796</v>
      </c>
      <c r="AC61" s="62">
        <f t="shared" si="20"/>
        <v>-345372</v>
      </c>
    </row>
    <row r="62" spans="1:31" x14ac:dyDescent="0.2">
      <c r="B62" s="20" t="s">
        <v>318</v>
      </c>
      <c r="C62" s="62"/>
      <c r="D62" s="62"/>
      <c r="E62" s="62"/>
      <c r="F62" s="62"/>
      <c r="G62" s="62"/>
      <c r="H62" s="62"/>
      <c r="I62" s="62"/>
      <c r="J62" s="62"/>
      <c r="K62" s="62"/>
      <c r="L62" s="62"/>
      <c r="M62" s="62">
        <v>0</v>
      </c>
      <c r="N62" s="62">
        <v>0</v>
      </c>
      <c r="O62" s="62">
        <v>0</v>
      </c>
      <c r="P62" s="62">
        <v>0</v>
      </c>
      <c r="Q62" s="62">
        <v>0</v>
      </c>
      <c r="T62" s="62">
        <v>0</v>
      </c>
      <c r="U62" s="62">
        <v>0</v>
      </c>
      <c r="V62" s="62">
        <v>0</v>
      </c>
      <c r="W62" s="62">
        <v>0</v>
      </c>
      <c r="X62" s="62">
        <v>0</v>
      </c>
      <c r="Y62" s="62">
        <v>0</v>
      </c>
      <c r="Z62" s="62">
        <v>0</v>
      </c>
      <c r="AA62" s="62">
        <v>0</v>
      </c>
      <c r="AC62" s="62">
        <f>SUM(X62:AA62)</f>
        <v>0</v>
      </c>
    </row>
    <row r="63" spans="1:31" x14ac:dyDescent="0.2">
      <c r="B63" s="20" t="s">
        <v>372</v>
      </c>
      <c r="C63" s="62"/>
      <c r="D63" s="62"/>
      <c r="E63" s="62"/>
      <c r="F63" s="62"/>
      <c r="G63" s="62"/>
      <c r="H63" s="62"/>
      <c r="I63" s="62"/>
      <c r="J63" s="62"/>
      <c r="K63" s="62"/>
      <c r="L63" s="62"/>
      <c r="M63" s="62">
        <v>0</v>
      </c>
      <c r="N63" s="62">
        <v>0</v>
      </c>
      <c r="O63" s="62">
        <v>0</v>
      </c>
      <c r="P63" s="62">
        <v>0</v>
      </c>
      <c r="Q63" s="62">
        <v>0</v>
      </c>
      <c r="T63" s="62">
        <v>0</v>
      </c>
      <c r="U63" s="62">
        <v>0</v>
      </c>
      <c r="V63" s="62">
        <v>0</v>
      </c>
      <c r="W63" s="62">
        <v>0</v>
      </c>
      <c r="X63" s="62">
        <v>0</v>
      </c>
      <c r="Y63" s="62">
        <v>0</v>
      </c>
      <c r="Z63" s="62">
        <v>0</v>
      </c>
      <c r="AA63" s="62">
        <v>0</v>
      </c>
      <c r="AC63" s="62">
        <f>SUM(X63:AA63)</f>
        <v>0</v>
      </c>
    </row>
    <row r="64" spans="1:31" s="19" customFormat="1" ht="17" thickBot="1" x14ac:dyDescent="0.25">
      <c r="A64" s="16"/>
      <c r="B64" s="36" t="s">
        <v>63</v>
      </c>
      <c r="C64" s="71"/>
      <c r="D64" s="71"/>
      <c r="E64" s="71"/>
      <c r="F64" s="71"/>
      <c r="G64" s="71"/>
      <c r="H64" s="71"/>
      <c r="I64" s="71"/>
      <c r="J64" s="71"/>
      <c r="K64" s="71"/>
      <c r="L64" s="71"/>
      <c r="M64" s="71">
        <v>1469673</v>
      </c>
      <c r="N64" s="71">
        <v>-60669</v>
      </c>
      <c r="O64" s="71">
        <v>-196895</v>
      </c>
      <c r="P64" s="71">
        <v>-450515</v>
      </c>
      <c r="Q64" s="71">
        <v>-372375</v>
      </c>
      <c r="R64" s="1"/>
      <c r="S64" s="1"/>
      <c r="T64" s="71">
        <v>-215151</v>
      </c>
      <c r="U64" s="71">
        <v>-172643</v>
      </c>
      <c r="V64" s="71"/>
      <c r="W64" s="71">
        <v>-235204</v>
      </c>
      <c r="X64" s="71">
        <v>-111602</v>
      </c>
      <c r="Y64" s="71">
        <v>-11167</v>
      </c>
      <c r="Z64" s="71">
        <v>-14402</v>
      </c>
      <c r="AA64" s="71">
        <v>-252191</v>
      </c>
      <c r="AB64" s="1"/>
      <c r="AC64" s="71">
        <f t="shared" si="20"/>
        <v>-389362</v>
      </c>
      <c r="AD64" s="1"/>
      <c r="AE64" s="1"/>
    </row>
    <row r="65" spans="1:31" x14ac:dyDescent="0.2">
      <c r="B65" s="1"/>
    </row>
    <row r="66" spans="1:31" s="15" customFormat="1" ht="17" thickBot="1" x14ac:dyDescent="0.25">
      <c r="A66" s="11"/>
      <c r="B66" s="14" t="s">
        <v>64</v>
      </c>
      <c r="R66" s="1"/>
      <c r="S66" s="1"/>
      <c r="AB66" s="1"/>
      <c r="AD66" s="1"/>
      <c r="AE66" s="1"/>
    </row>
    <row r="67" spans="1:31" x14ac:dyDescent="0.2">
      <c r="B67" s="20" t="s">
        <v>65</v>
      </c>
      <c r="C67" s="64">
        <f t="shared" ref="C67:Q67" si="21">C5-C6-C10+C12+C13+C15-C16</f>
        <v>0</v>
      </c>
      <c r="D67" s="64">
        <f t="shared" si="21"/>
        <v>0</v>
      </c>
      <c r="E67" s="64">
        <f t="shared" si="21"/>
        <v>0</v>
      </c>
      <c r="F67" s="64">
        <f t="shared" si="21"/>
        <v>0</v>
      </c>
      <c r="G67" s="64">
        <f t="shared" si="21"/>
        <v>0</v>
      </c>
      <c r="H67" s="64">
        <f t="shared" si="21"/>
        <v>0</v>
      </c>
      <c r="I67" s="64">
        <f t="shared" si="21"/>
        <v>0</v>
      </c>
      <c r="J67" s="64">
        <f t="shared" si="21"/>
        <v>0</v>
      </c>
      <c r="K67" s="64">
        <f t="shared" si="21"/>
        <v>0</v>
      </c>
      <c r="L67" s="64">
        <f t="shared" si="21"/>
        <v>0</v>
      </c>
      <c r="M67" s="64">
        <f t="shared" si="21"/>
        <v>9752</v>
      </c>
      <c r="N67" s="64">
        <f t="shared" si="21"/>
        <v>4368</v>
      </c>
      <c r="O67" s="64">
        <f t="shared" si="21"/>
        <v>29760</v>
      </c>
      <c r="P67" s="64">
        <f t="shared" si="21"/>
        <v>72880</v>
      </c>
      <c r="Q67" s="64">
        <f t="shared" si="21"/>
        <v>120067</v>
      </c>
      <c r="T67" s="64">
        <f t="shared" ref="T67:AA67" si="22">T5-T6-T10+T12+T13+T15-T16</f>
        <v>0</v>
      </c>
      <c r="U67" s="64">
        <f t="shared" si="22"/>
        <v>0</v>
      </c>
      <c r="V67" s="64">
        <f t="shared" si="22"/>
        <v>0</v>
      </c>
      <c r="W67" s="64">
        <f t="shared" si="22"/>
        <v>0</v>
      </c>
      <c r="X67" s="64">
        <f t="shared" si="22"/>
        <v>0</v>
      </c>
      <c r="Y67" s="64">
        <f t="shared" si="22"/>
        <v>0</v>
      </c>
      <c r="Z67" s="64">
        <f t="shared" si="22"/>
        <v>0</v>
      </c>
      <c r="AA67" s="64">
        <f t="shared" si="22"/>
        <v>0</v>
      </c>
      <c r="AC67" s="64">
        <f>AC5-AC6-AC10+AC12+AC13+AC15-AC16</f>
        <v>0</v>
      </c>
    </row>
    <row r="68" spans="1:31" s="41" customFormat="1" x14ac:dyDescent="0.2">
      <c r="A68" s="16"/>
      <c r="B68" s="17" t="s">
        <v>66</v>
      </c>
      <c r="C68" s="40">
        <f t="shared" ref="C68:Q68" si="23">C17-C67</f>
        <v>0</v>
      </c>
      <c r="D68" s="40">
        <f t="shared" si="23"/>
        <v>0</v>
      </c>
      <c r="E68" s="40">
        <f t="shared" si="23"/>
        <v>0</v>
      </c>
      <c r="F68" s="40">
        <f t="shared" si="23"/>
        <v>0</v>
      </c>
      <c r="G68" s="40">
        <f t="shared" si="23"/>
        <v>0</v>
      </c>
      <c r="H68" s="40">
        <f t="shared" si="23"/>
        <v>0</v>
      </c>
      <c r="I68" s="40">
        <f t="shared" si="23"/>
        <v>0</v>
      </c>
      <c r="J68" s="40">
        <f t="shared" si="23"/>
        <v>0</v>
      </c>
      <c r="K68" s="40">
        <f t="shared" si="23"/>
        <v>0</v>
      </c>
      <c r="L68" s="40">
        <f t="shared" si="23"/>
        <v>0</v>
      </c>
      <c r="M68" s="40">
        <f t="shared" si="23"/>
        <v>0</v>
      </c>
      <c r="N68" s="40">
        <f t="shared" si="23"/>
        <v>0</v>
      </c>
      <c r="O68" s="40">
        <f t="shared" si="23"/>
        <v>0</v>
      </c>
      <c r="P68" s="40">
        <f t="shared" si="23"/>
        <v>0</v>
      </c>
      <c r="Q68" s="40">
        <f t="shared" si="23"/>
        <v>0</v>
      </c>
      <c r="R68" s="1"/>
      <c r="S68" s="1"/>
      <c r="T68" s="40">
        <f t="shared" ref="T68:Z68" si="24">T17-T67</f>
        <v>0</v>
      </c>
      <c r="U68" s="40">
        <f t="shared" si="24"/>
        <v>0</v>
      </c>
      <c r="V68" s="40">
        <f t="shared" si="24"/>
        <v>0</v>
      </c>
      <c r="W68" s="40">
        <f t="shared" si="24"/>
        <v>0</v>
      </c>
      <c r="X68" s="40">
        <f t="shared" si="24"/>
        <v>0</v>
      </c>
      <c r="Y68" s="40">
        <f t="shared" si="24"/>
        <v>0</v>
      </c>
      <c r="Z68" s="40">
        <f t="shared" si="24"/>
        <v>0</v>
      </c>
      <c r="AA68" s="40">
        <f t="shared" ref="AA68" si="25">AA17-AA67</f>
        <v>0</v>
      </c>
      <c r="AB68" s="16"/>
      <c r="AC68" s="40">
        <f>AC17-AC67</f>
        <v>0</v>
      </c>
      <c r="AD68" s="1"/>
      <c r="AE68" s="1"/>
    </row>
    <row r="69" spans="1:31" s="41" customFormat="1" x14ac:dyDescent="0.2">
      <c r="A69" s="16"/>
      <c r="B69" s="17" t="s">
        <v>67</v>
      </c>
      <c r="C69" s="42">
        <f t="shared" ref="C69:O69" si="26">C35-(C41+C120)</f>
        <v>0</v>
      </c>
      <c r="D69" s="42">
        <f t="shared" si="26"/>
        <v>0</v>
      </c>
      <c r="E69" s="42">
        <f t="shared" si="26"/>
        <v>0</v>
      </c>
      <c r="F69" s="42">
        <f t="shared" si="26"/>
        <v>0</v>
      </c>
      <c r="G69" s="42">
        <f t="shared" si="26"/>
        <v>0</v>
      </c>
      <c r="H69" s="42">
        <f t="shared" si="26"/>
        <v>0</v>
      </c>
      <c r="I69" s="42">
        <f t="shared" si="26"/>
        <v>0</v>
      </c>
      <c r="J69" s="42">
        <f t="shared" si="26"/>
        <v>0</v>
      </c>
      <c r="K69" s="42">
        <f t="shared" si="26"/>
        <v>0</v>
      </c>
      <c r="L69" s="42">
        <f t="shared" si="26"/>
        <v>0</v>
      </c>
      <c r="M69" s="42">
        <f t="shared" si="26"/>
        <v>0</v>
      </c>
      <c r="N69" s="42">
        <f t="shared" si="26"/>
        <v>0</v>
      </c>
      <c r="O69" s="42">
        <f t="shared" si="26"/>
        <v>0</v>
      </c>
      <c r="P69" s="42">
        <f>P35-(P41+P120)</f>
        <v>0</v>
      </c>
      <c r="Q69" s="42">
        <f>Q35-(Q41+Q120)</f>
        <v>0</v>
      </c>
      <c r="R69" s="1"/>
      <c r="S69" s="1"/>
      <c r="T69" s="42">
        <f t="shared" ref="T69:AC69" si="27">T35-(T41+T120)</f>
        <v>0</v>
      </c>
      <c r="U69" s="42">
        <f t="shared" si="27"/>
        <v>0</v>
      </c>
      <c r="V69" s="42">
        <f t="shared" si="27"/>
        <v>0</v>
      </c>
      <c r="W69" s="42">
        <f t="shared" si="27"/>
        <v>0</v>
      </c>
      <c r="X69" s="42">
        <f t="shared" si="27"/>
        <v>0</v>
      </c>
      <c r="Y69" s="42">
        <f t="shared" si="27"/>
        <v>0</v>
      </c>
      <c r="Z69" s="42">
        <f t="shared" si="27"/>
        <v>0</v>
      </c>
      <c r="AA69" s="42">
        <f t="shared" si="27"/>
        <v>0</v>
      </c>
      <c r="AB69" s="16"/>
      <c r="AC69" s="42">
        <f t="shared" si="27"/>
        <v>0</v>
      </c>
      <c r="AD69" s="1"/>
      <c r="AE69" s="1"/>
    </row>
    <row r="70" spans="1:31" x14ac:dyDescent="0.2">
      <c r="B70" s="39"/>
      <c r="J70" s="39"/>
      <c r="K70" s="39"/>
      <c r="L70" s="39"/>
      <c r="M70" s="39"/>
      <c r="N70" s="39"/>
      <c r="O70" s="39"/>
      <c r="P70" s="39"/>
    </row>
    <row r="71" spans="1:31" s="15" customFormat="1" ht="17" thickBot="1" x14ac:dyDescent="0.25">
      <c r="A71" s="11"/>
      <c r="B71" s="14" t="s">
        <v>68</v>
      </c>
      <c r="R71" s="1"/>
      <c r="S71" s="1"/>
      <c r="AB71" s="1"/>
      <c r="AD71" s="1"/>
      <c r="AE71" s="1"/>
    </row>
    <row r="72" spans="1:31" x14ac:dyDescent="0.2">
      <c r="B72" s="20" t="s">
        <v>69</v>
      </c>
      <c r="C72" s="43"/>
      <c r="D72" s="43"/>
      <c r="E72" s="43"/>
      <c r="F72" s="43"/>
      <c r="G72" s="43"/>
      <c r="H72" s="43"/>
      <c r="I72" s="43"/>
      <c r="J72" s="21"/>
      <c r="K72" s="21"/>
      <c r="L72" s="21"/>
      <c r="M72" s="21">
        <f>459635+82453</f>
        <v>542088</v>
      </c>
      <c r="N72" s="21">
        <f>474970+82453</f>
        <v>557423</v>
      </c>
      <c r="O72" s="21">
        <f>486560+82453</f>
        <v>569013</v>
      </c>
      <c r="P72" s="21">
        <f>474040+77453</f>
        <v>551493</v>
      </c>
      <c r="Q72" s="21">
        <f>459231+64691</f>
        <v>523922</v>
      </c>
      <c r="T72" s="21">
        <f>467505+82453</f>
        <v>549958</v>
      </c>
      <c r="U72" s="21">
        <f>467146+82453</f>
        <v>549599</v>
      </c>
      <c r="V72" s="21">
        <f>474040+77453</f>
        <v>551493</v>
      </c>
      <c r="W72" s="21">
        <f>457586+77453</f>
        <v>535039</v>
      </c>
      <c r="X72" s="21">
        <f>453569+77453</f>
        <v>531022</v>
      </c>
      <c r="Y72" s="21">
        <f>460444+74306</f>
        <v>534750</v>
      </c>
      <c r="Z72" s="21">
        <f t="shared" ref="Z72:AA72" si="28">459231+64691</f>
        <v>523922</v>
      </c>
      <c r="AA72" s="239">
        <f t="shared" si="28"/>
        <v>523922</v>
      </c>
      <c r="AC72" s="24">
        <f>AA72</f>
        <v>523922</v>
      </c>
    </row>
    <row r="73" spans="1:31" x14ac:dyDescent="0.2">
      <c r="B73" s="20" t="s">
        <v>70</v>
      </c>
      <c r="C73" s="25"/>
      <c r="D73" s="25"/>
      <c r="E73" s="25"/>
      <c r="F73" s="25"/>
      <c r="G73" s="25"/>
      <c r="H73" s="25"/>
      <c r="I73" s="25"/>
      <c r="J73" s="25"/>
      <c r="K73" s="25"/>
      <c r="L73" s="25"/>
      <c r="M73" s="25">
        <f t="shared" ref="M73:Q73" si="29">M72*M83</f>
        <v>5420880</v>
      </c>
      <c r="N73" s="25">
        <f t="shared" si="29"/>
        <v>5574230</v>
      </c>
      <c r="O73" s="25">
        <f t="shared" si="29"/>
        <v>5690130</v>
      </c>
      <c r="P73" s="25">
        <f t="shared" si="29"/>
        <v>551493</v>
      </c>
      <c r="Q73" s="25">
        <f t="shared" si="29"/>
        <v>523922</v>
      </c>
      <c r="T73" s="25">
        <f t="shared" ref="T73" si="30">T72*T83</f>
        <v>549958</v>
      </c>
      <c r="U73" s="25">
        <f t="shared" ref="U73" si="31">U72*U83</f>
        <v>549599</v>
      </c>
      <c r="V73" s="25">
        <f t="shared" ref="V73" si="32">V72*V83</f>
        <v>551493</v>
      </c>
      <c r="W73" s="25">
        <f t="shared" ref="W73" si="33">W72*W83</f>
        <v>535039</v>
      </c>
      <c r="X73" s="25">
        <f t="shared" ref="X73" si="34">X72*X83</f>
        <v>531022</v>
      </c>
      <c r="Y73" s="25">
        <f t="shared" ref="Y73" si="35">Y72*Y83</f>
        <v>534750</v>
      </c>
      <c r="Z73" s="25">
        <f t="shared" ref="Z73:AA73" si="36">Z72*Z83</f>
        <v>523922</v>
      </c>
      <c r="AA73" s="25">
        <f t="shared" si="36"/>
        <v>523922</v>
      </c>
      <c r="AC73" s="24">
        <f>AA73</f>
        <v>523922</v>
      </c>
    </row>
    <row r="74" spans="1:31" x14ac:dyDescent="0.2">
      <c r="B74" s="20" t="s">
        <v>267</v>
      </c>
      <c r="C74" s="25"/>
      <c r="D74" s="25"/>
      <c r="E74" s="25"/>
      <c r="F74" s="25"/>
      <c r="G74" s="25"/>
      <c r="H74" s="25"/>
      <c r="I74" s="25"/>
      <c r="J74" s="25"/>
      <c r="K74" s="25"/>
      <c r="L74" s="25"/>
      <c r="M74" s="21">
        <v>0</v>
      </c>
      <c r="N74" s="21">
        <v>0</v>
      </c>
      <c r="O74" s="21">
        <v>0</v>
      </c>
      <c r="P74" s="21">
        <v>0</v>
      </c>
      <c r="Q74" s="21">
        <v>6735</v>
      </c>
      <c r="T74" s="21">
        <v>0</v>
      </c>
      <c r="U74" s="21">
        <v>0</v>
      </c>
      <c r="V74" s="21">
        <v>0</v>
      </c>
      <c r="W74" s="21">
        <v>0</v>
      </c>
      <c r="X74" s="21">
        <v>6696</v>
      </c>
      <c r="Y74" s="21">
        <v>6763</v>
      </c>
      <c r="Z74" s="21">
        <v>6735</v>
      </c>
      <c r="AA74" s="21">
        <v>4234</v>
      </c>
      <c r="AC74" s="21">
        <f>AA74</f>
        <v>4234</v>
      </c>
    </row>
    <row r="75" spans="1:31" x14ac:dyDescent="0.2">
      <c r="B75" s="20" t="s">
        <v>268</v>
      </c>
      <c r="C75" s="25"/>
      <c r="D75" s="25"/>
      <c r="E75" s="25"/>
      <c r="F75" s="25"/>
      <c r="G75" s="25"/>
      <c r="H75" s="25"/>
      <c r="I75" s="25"/>
      <c r="J75" s="25"/>
      <c r="K75" s="25"/>
      <c r="L75" s="25"/>
      <c r="M75" s="25">
        <f t="shared" ref="M75:P75" si="37">M74*M83</f>
        <v>0</v>
      </c>
      <c r="N75" s="25">
        <f t="shared" si="37"/>
        <v>0</v>
      </c>
      <c r="O75" s="25">
        <f t="shared" si="37"/>
        <v>0</v>
      </c>
      <c r="P75" s="25">
        <f t="shared" si="37"/>
        <v>0</v>
      </c>
      <c r="Q75" s="25">
        <f>Q74*Q83</f>
        <v>6735</v>
      </c>
      <c r="T75" s="25">
        <f t="shared" ref="T75:Z75" si="38">T74*T83</f>
        <v>0</v>
      </c>
      <c r="U75" s="25">
        <f t="shared" si="38"/>
        <v>0</v>
      </c>
      <c r="V75" s="25">
        <f t="shared" si="38"/>
        <v>0</v>
      </c>
      <c r="W75" s="25">
        <f t="shared" si="38"/>
        <v>0</v>
      </c>
      <c r="X75" s="25">
        <f t="shared" si="38"/>
        <v>6696</v>
      </c>
      <c r="Y75" s="25">
        <f t="shared" si="38"/>
        <v>6763</v>
      </c>
      <c r="Z75" s="25">
        <f t="shared" si="38"/>
        <v>6735</v>
      </c>
      <c r="AA75" s="25">
        <f t="shared" ref="AA75" si="39">AA74*AA83</f>
        <v>4234</v>
      </c>
      <c r="AC75" s="24">
        <f>AA75</f>
        <v>4234</v>
      </c>
    </row>
    <row r="76" spans="1:31" x14ac:dyDescent="0.2">
      <c r="B76" s="20" t="s">
        <v>269</v>
      </c>
      <c r="C76" s="25"/>
      <c r="D76" s="25"/>
      <c r="E76" s="25"/>
      <c r="F76" s="25"/>
      <c r="G76" s="25"/>
      <c r="H76" s="25"/>
      <c r="I76" s="25"/>
      <c r="J76" s="25"/>
      <c r="K76" s="25"/>
      <c r="L76" s="25"/>
      <c r="M76" s="25">
        <f t="shared" ref="M76:P76" si="40">M73+M75</f>
        <v>5420880</v>
      </c>
      <c r="N76" s="25">
        <f t="shared" si="40"/>
        <v>5574230</v>
      </c>
      <c r="O76" s="25">
        <f t="shared" si="40"/>
        <v>5690130</v>
      </c>
      <c r="P76" s="25">
        <f t="shared" si="40"/>
        <v>551493</v>
      </c>
      <c r="Q76" s="25">
        <f>Q73+Q75</f>
        <v>530657</v>
      </c>
      <c r="T76" s="25">
        <f t="shared" ref="T76:Z76" si="41">T73+T75</f>
        <v>549958</v>
      </c>
      <c r="U76" s="25">
        <f t="shared" si="41"/>
        <v>549599</v>
      </c>
      <c r="V76" s="25">
        <f t="shared" si="41"/>
        <v>551493</v>
      </c>
      <c r="W76" s="25">
        <f t="shared" si="41"/>
        <v>535039</v>
      </c>
      <c r="X76" s="25">
        <f t="shared" si="41"/>
        <v>537718</v>
      </c>
      <c r="Y76" s="25">
        <f t="shared" si="41"/>
        <v>541513</v>
      </c>
      <c r="Z76" s="25">
        <f t="shared" si="41"/>
        <v>530657</v>
      </c>
      <c r="AA76" s="25">
        <f t="shared" ref="AA76" si="42">AA73+AA75</f>
        <v>528156</v>
      </c>
      <c r="AC76" s="24">
        <f>AA76</f>
        <v>528156</v>
      </c>
    </row>
    <row r="77" spans="1:31" x14ac:dyDescent="0.2">
      <c r="B77" s="20" t="s">
        <v>309</v>
      </c>
      <c r="C77" s="25"/>
      <c r="D77" s="25"/>
      <c r="E77" s="25"/>
      <c r="F77" s="25"/>
      <c r="G77" s="25"/>
      <c r="H77" s="25"/>
      <c r="I77" s="25"/>
      <c r="J77" s="25"/>
      <c r="K77" s="25"/>
      <c r="L77" s="25"/>
      <c r="M77" s="21">
        <f>91239+82453</f>
        <v>173692</v>
      </c>
      <c r="N77" s="21">
        <f>91503+82453</f>
        <v>173956</v>
      </c>
      <c r="O77" s="21">
        <f>45636+82453</f>
        <v>128089</v>
      </c>
      <c r="P77" s="21">
        <f>46600+77453</f>
        <v>124053</v>
      </c>
      <c r="Q77" s="21">
        <f>52118+64691</f>
        <v>116809</v>
      </c>
      <c r="T77" s="68"/>
      <c r="U77" s="68"/>
      <c r="V77" s="68"/>
      <c r="W77" s="68"/>
      <c r="X77" s="68"/>
      <c r="Y77" s="68"/>
      <c r="Z77" s="68"/>
      <c r="AA77" s="68"/>
      <c r="AC77" s="24">
        <f>Q77</f>
        <v>116809</v>
      </c>
    </row>
    <row r="78" spans="1:31" x14ac:dyDescent="0.2">
      <c r="B78" s="20" t="s">
        <v>310</v>
      </c>
      <c r="C78" s="25"/>
      <c r="D78" s="25"/>
      <c r="E78" s="25"/>
      <c r="F78" s="25"/>
      <c r="G78" s="25"/>
      <c r="H78" s="25"/>
      <c r="I78" s="25"/>
      <c r="J78" s="25"/>
      <c r="K78" s="25"/>
      <c r="L78" s="25"/>
      <c r="M78" s="25">
        <f t="shared" ref="M78:P78" si="43">M77*M83</f>
        <v>1736920</v>
      </c>
      <c r="N78" s="25">
        <f t="shared" si="43"/>
        <v>1739560</v>
      </c>
      <c r="O78" s="25">
        <f t="shared" si="43"/>
        <v>1280890</v>
      </c>
      <c r="P78" s="25">
        <f t="shared" si="43"/>
        <v>124053</v>
      </c>
      <c r="Q78" s="25">
        <f>Q77*Q83</f>
        <v>116809</v>
      </c>
      <c r="T78" s="68"/>
      <c r="U78" s="68"/>
      <c r="V78" s="68"/>
      <c r="W78" s="68"/>
      <c r="X78" s="68"/>
      <c r="Y78" s="68"/>
      <c r="Z78" s="68"/>
      <c r="AA78" s="68"/>
      <c r="AC78" s="24">
        <f>Q78</f>
        <v>116809</v>
      </c>
    </row>
    <row r="79" spans="1:31" x14ac:dyDescent="0.2">
      <c r="B79" s="23" t="s">
        <v>71</v>
      </c>
      <c r="C79" s="44"/>
      <c r="D79" s="44"/>
      <c r="E79" s="44"/>
      <c r="F79" s="44"/>
      <c r="G79" s="44"/>
      <c r="H79" s="44"/>
      <c r="I79" s="44"/>
      <c r="J79" s="44"/>
      <c r="K79" s="44"/>
      <c r="L79" s="44"/>
      <c r="M79" s="44">
        <v>0</v>
      </c>
      <c r="N79" s="44">
        <v>0</v>
      </c>
      <c r="O79" s="44">
        <v>0</v>
      </c>
      <c r="P79" s="44">
        <v>0</v>
      </c>
      <c r="Q79" s="44">
        <v>0</v>
      </c>
      <c r="T79" s="44">
        <v>0</v>
      </c>
      <c r="U79" s="44">
        <v>0</v>
      </c>
      <c r="V79" s="44">
        <v>0</v>
      </c>
      <c r="W79" s="44">
        <v>0</v>
      </c>
      <c r="X79" s="44">
        <v>0</v>
      </c>
      <c r="Y79" s="44">
        <v>0</v>
      </c>
      <c r="Z79" s="44">
        <v>0</v>
      </c>
      <c r="AA79" s="44">
        <v>0</v>
      </c>
      <c r="AC79" s="72">
        <f>SUM(X79:AA79)</f>
        <v>0</v>
      </c>
    </row>
    <row r="80" spans="1:31" x14ac:dyDescent="0.2">
      <c r="B80" s="23" t="s">
        <v>72</v>
      </c>
      <c r="C80" s="39"/>
      <c r="D80" s="45"/>
      <c r="E80" s="45"/>
      <c r="F80" s="45"/>
      <c r="G80" s="45"/>
      <c r="H80" s="45"/>
      <c r="I80" s="45"/>
      <c r="J80" s="45"/>
      <c r="K80" s="45"/>
      <c r="L80" s="45"/>
      <c r="M80" s="45">
        <f t="shared" ref="M80:Q80" si="44">M79/M83</f>
        <v>0</v>
      </c>
      <c r="N80" s="45">
        <f t="shared" si="44"/>
        <v>0</v>
      </c>
      <c r="O80" s="45">
        <f t="shared" si="44"/>
        <v>0</v>
      </c>
      <c r="P80" s="45">
        <f t="shared" si="44"/>
        <v>0</v>
      </c>
      <c r="Q80" s="45">
        <f t="shared" si="44"/>
        <v>0</v>
      </c>
      <c r="T80" s="45">
        <f t="shared" ref="T80" si="45">T79/T83</f>
        <v>0</v>
      </c>
      <c r="U80" s="45">
        <f t="shared" ref="U80" si="46">U79/U83</f>
        <v>0</v>
      </c>
      <c r="V80" s="45">
        <f t="shared" ref="V80" si="47">V79/V83</f>
        <v>0</v>
      </c>
      <c r="W80" s="45">
        <f t="shared" ref="W80" si="48">W79/W83</f>
        <v>0</v>
      </c>
      <c r="X80" s="45">
        <f t="shared" ref="X80" si="49">X79/X83</f>
        <v>0</v>
      </c>
      <c r="Y80" s="45">
        <f t="shared" ref="Y80" si="50">Y79/Y83</f>
        <v>0</v>
      </c>
      <c r="Z80" s="45">
        <f t="shared" ref="Z80:AA80" si="51">Z79/Z83</f>
        <v>0</v>
      </c>
      <c r="AA80" s="45">
        <f t="shared" si="51"/>
        <v>0</v>
      </c>
      <c r="AC80" s="72">
        <f>SUM(X80:AA80)</f>
        <v>0</v>
      </c>
    </row>
    <row r="81" spans="1:31" x14ac:dyDescent="0.2">
      <c r="B81" s="20" t="s">
        <v>73</v>
      </c>
      <c r="C81" s="46">
        <f t="shared" ref="C81:Q81" si="52">IF(AND(C14&gt;0,C15&lt;0),-(C15)/C14,0)</f>
        <v>0</v>
      </c>
      <c r="D81" s="46">
        <f t="shared" si="52"/>
        <v>0</v>
      </c>
      <c r="E81" s="46">
        <f t="shared" si="52"/>
        <v>0</v>
      </c>
      <c r="F81" s="46">
        <f t="shared" si="52"/>
        <v>0</v>
      </c>
      <c r="G81" s="46">
        <f t="shared" si="52"/>
        <v>0</v>
      </c>
      <c r="H81" s="46">
        <f t="shared" si="52"/>
        <v>0</v>
      </c>
      <c r="I81" s="46">
        <f t="shared" si="52"/>
        <v>0</v>
      </c>
      <c r="J81" s="46">
        <f t="shared" si="52"/>
        <v>0</v>
      </c>
      <c r="K81" s="46">
        <f t="shared" si="52"/>
        <v>0</v>
      </c>
      <c r="L81" s="46">
        <f t="shared" si="52"/>
        <v>0</v>
      </c>
      <c r="M81" s="46">
        <f t="shared" si="52"/>
        <v>1.9012171813700834E-2</v>
      </c>
      <c r="N81" s="46">
        <f t="shared" si="52"/>
        <v>0</v>
      </c>
      <c r="O81" s="46">
        <f t="shared" si="52"/>
        <v>0.1199952687917677</v>
      </c>
      <c r="P81" s="46">
        <f t="shared" si="52"/>
        <v>0.13264941803727417</v>
      </c>
      <c r="Q81" s="46">
        <f t="shared" si="52"/>
        <v>0.15117002474372571</v>
      </c>
      <c r="T81" s="46">
        <f t="shared" ref="T81:AA81" si="53">IF(AND(T14&gt;0,T15&lt;0),-(T15)/T14,0)</f>
        <v>0</v>
      </c>
      <c r="U81" s="46">
        <f t="shared" si="53"/>
        <v>0</v>
      </c>
      <c r="V81" s="46">
        <f t="shared" si="53"/>
        <v>0</v>
      </c>
      <c r="W81" s="46">
        <f t="shared" si="53"/>
        <v>0</v>
      </c>
      <c r="X81" s="46">
        <f t="shared" si="53"/>
        <v>0</v>
      </c>
      <c r="Y81" s="46">
        <f t="shared" si="53"/>
        <v>0</v>
      </c>
      <c r="Z81" s="46">
        <f t="shared" si="53"/>
        <v>0</v>
      </c>
      <c r="AA81" s="46">
        <f t="shared" si="53"/>
        <v>0</v>
      </c>
      <c r="AC81" s="46">
        <f>IF(AND(AC14&gt;0,AC15&lt;0),-(AC15)/AC14,0)</f>
        <v>0</v>
      </c>
    </row>
    <row r="82" spans="1:31" x14ac:dyDescent="0.2">
      <c r="B82" s="20" t="s">
        <v>74</v>
      </c>
      <c r="C82" s="21"/>
      <c r="D82" s="21"/>
      <c r="E82" s="21"/>
      <c r="F82" s="21"/>
      <c r="G82" s="21"/>
      <c r="H82" s="21"/>
      <c r="I82" s="21"/>
      <c r="J82" s="21"/>
      <c r="K82" s="21"/>
      <c r="L82" s="21"/>
      <c r="M82" s="21">
        <v>4013</v>
      </c>
      <c r="N82" s="21">
        <v>3833</v>
      </c>
      <c r="O82" s="21">
        <v>4035</v>
      </c>
      <c r="P82" s="21">
        <v>3868</v>
      </c>
      <c r="Q82" s="21">
        <v>3981</v>
      </c>
      <c r="T82" s="68"/>
      <c r="U82" s="68"/>
      <c r="V82" s="68"/>
      <c r="W82" s="68"/>
      <c r="X82" s="68"/>
      <c r="Y82" s="68"/>
      <c r="Z82" s="68"/>
      <c r="AA82" s="68"/>
      <c r="AC82" s="21">
        <f>Q82</f>
        <v>3981</v>
      </c>
    </row>
    <row r="83" spans="1:31" x14ac:dyDescent="0.2">
      <c r="B83" s="20" t="s">
        <v>75</v>
      </c>
      <c r="C83" s="21"/>
      <c r="D83" s="21"/>
      <c r="E83" s="21"/>
      <c r="F83" s="21"/>
      <c r="G83" s="21"/>
      <c r="H83" s="21"/>
      <c r="I83" s="21"/>
      <c r="J83" s="21"/>
      <c r="K83" s="21"/>
      <c r="L83" s="21"/>
      <c r="M83" s="21">
        <v>10</v>
      </c>
      <c r="N83" s="21">
        <v>10</v>
      </c>
      <c r="O83" s="21">
        <v>10</v>
      </c>
      <c r="P83" s="21">
        <v>1</v>
      </c>
      <c r="Q83" s="21">
        <v>1</v>
      </c>
      <c r="T83" s="21">
        <v>1</v>
      </c>
      <c r="U83" s="21">
        <v>1</v>
      </c>
      <c r="V83" s="21">
        <v>1</v>
      </c>
      <c r="W83" s="21">
        <v>1</v>
      </c>
      <c r="X83" s="21">
        <v>1</v>
      </c>
      <c r="Y83" s="21">
        <v>1</v>
      </c>
      <c r="Z83" s="21">
        <v>1</v>
      </c>
      <c r="AA83" s="21">
        <v>1</v>
      </c>
      <c r="AC83" s="21">
        <v>1</v>
      </c>
    </row>
    <row r="85" spans="1:31" x14ac:dyDescent="0.2">
      <c r="B85" s="1"/>
    </row>
    <row r="86" spans="1:31" s="15" customFormat="1" ht="17" thickBot="1" x14ac:dyDescent="0.25">
      <c r="A86" s="11"/>
      <c r="B86" s="14" t="s">
        <v>76</v>
      </c>
      <c r="R86" s="1"/>
      <c r="S86" s="1"/>
      <c r="AB86" s="1"/>
      <c r="AD86" s="1"/>
      <c r="AE86" s="1"/>
    </row>
    <row r="87" spans="1:31" s="41" customFormat="1" x14ac:dyDescent="0.2">
      <c r="A87" s="16"/>
      <c r="B87" s="17" t="s">
        <v>19</v>
      </c>
      <c r="C87" s="47"/>
      <c r="D87" s="48"/>
      <c r="E87" s="48"/>
      <c r="F87" s="48"/>
      <c r="G87" s="48"/>
      <c r="H87" s="48"/>
      <c r="I87" s="48"/>
      <c r="J87" s="48"/>
      <c r="K87" s="48"/>
      <c r="L87" s="48"/>
      <c r="M87" s="48">
        <f t="shared" ref="M87:Q91" si="54">IF(L5=0,
IF(M5=0,0,IF(M5&gt;0,1,-1)),
(M5-L5)/ABS(L5)
)</f>
        <v>1</v>
      </c>
      <c r="N87" s="48">
        <f t="shared" si="54"/>
        <v>2.2293230289068887E-3</v>
      </c>
      <c r="O87" s="48">
        <f t="shared" si="54"/>
        <v>1.2585452658115222</v>
      </c>
      <c r="P87" s="48">
        <f t="shared" si="54"/>
        <v>1.1420340763599357</v>
      </c>
      <c r="Q87" s="48">
        <f t="shared" si="54"/>
        <v>0.65473535790094795</v>
      </c>
      <c r="R87" s="1"/>
      <c r="S87" s="1"/>
      <c r="T87" s="48">
        <f t="shared" ref="T87:AA91" si="55">IF(S5=0,
IF(T5=0,0,IF(T5&gt;0,1,-1)),
(T5-S5)/ABS(S5)
)</f>
        <v>0</v>
      </c>
      <c r="U87" s="48">
        <f t="shared" si="55"/>
        <v>0</v>
      </c>
      <c r="V87" s="48">
        <f t="shared" si="55"/>
        <v>0</v>
      </c>
      <c r="W87" s="48">
        <f t="shared" si="55"/>
        <v>0</v>
      </c>
      <c r="X87" s="48">
        <f t="shared" si="55"/>
        <v>0</v>
      </c>
      <c r="Y87" s="48">
        <f t="shared" si="55"/>
        <v>0</v>
      </c>
      <c r="Z87" s="48">
        <f t="shared" si="55"/>
        <v>0</v>
      </c>
      <c r="AA87" s="48">
        <f t="shared" si="55"/>
        <v>0</v>
      </c>
      <c r="AB87" s="1"/>
      <c r="AC87" s="67"/>
      <c r="AD87" s="1"/>
      <c r="AE87" s="1"/>
    </row>
    <row r="88" spans="1:31" x14ac:dyDescent="0.2">
      <c r="B88" s="20" t="s">
        <v>20</v>
      </c>
      <c r="C88" s="49"/>
      <c r="D88" s="50"/>
      <c r="E88" s="50"/>
      <c r="F88" s="50"/>
      <c r="G88" s="50"/>
      <c r="H88" s="50"/>
      <c r="I88" s="50"/>
      <c r="J88" s="50"/>
      <c r="K88" s="50"/>
      <c r="L88" s="50"/>
      <c r="M88" s="50">
        <f t="shared" si="54"/>
        <v>1</v>
      </c>
      <c r="N88" s="50">
        <f t="shared" si="54"/>
        <v>0.23085072571246953</v>
      </c>
      <c r="O88" s="50">
        <f t="shared" si="54"/>
        <v>0.43062489240833191</v>
      </c>
      <c r="P88" s="50">
        <f t="shared" si="54"/>
        <v>0.9637205944287347</v>
      </c>
      <c r="Q88" s="50">
        <f t="shared" si="54"/>
        <v>0.91412114341738415</v>
      </c>
      <c r="T88" s="50">
        <f t="shared" si="55"/>
        <v>0</v>
      </c>
      <c r="U88" s="50">
        <f t="shared" si="55"/>
        <v>0</v>
      </c>
      <c r="V88" s="50">
        <f t="shared" si="55"/>
        <v>0</v>
      </c>
      <c r="W88" s="50">
        <f t="shared" si="55"/>
        <v>0</v>
      </c>
      <c r="X88" s="50">
        <f t="shared" si="55"/>
        <v>0</v>
      </c>
      <c r="Y88" s="50">
        <f t="shared" si="55"/>
        <v>0</v>
      </c>
      <c r="Z88" s="50">
        <f t="shared" si="55"/>
        <v>0</v>
      </c>
      <c r="AA88" s="50">
        <f t="shared" si="55"/>
        <v>0</v>
      </c>
      <c r="AC88" s="68"/>
    </row>
    <row r="89" spans="1:31" s="41" customFormat="1" x14ac:dyDescent="0.2">
      <c r="A89" s="16"/>
      <c r="B89" s="17" t="s">
        <v>21</v>
      </c>
      <c r="C89" s="47"/>
      <c r="D89" s="48"/>
      <c r="E89" s="48"/>
      <c r="F89" s="48"/>
      <c r="G89" s="48"/>
      <c r="H89" s="48"/>
      <c r="I89" s="48"/>
      <c r="J89" s="48"/>
      <c r="K89" s="48"/>
      <c r="L89" s="48"/>
      <c r="M89" s="48">
        <f t="shared" si="54"/>
        <v>1</v>
      </c>
      <c r="N89" s="48">
        <f t="shared" si="54"/>
        <v>-0.12125894134477826</v>
      </c>
      <c r="O89" s="48">
        <f t="shared" si="54"/>
        <v>1.8849309716071894</v>
      </c>
      <c r="P89" s="48">
        <f t="shared" si="54"/>
        <v>1.208934335568046</v>
      </c>
      <c r="Q89" s="48">
        <f t="shared" si="54"/>
        <v>0.56822130025138462</v>
      </c>
      <c r="R89" s="1"/>
      <c r="S89" s="1"/>
      <c r="T89" s="48">
        <f t="shared" si="55"/>
        <v>0</v>
      </c>
      <c r="U89" s="48">
        <f t="shared" si="55"/>
        <v>0</v>
      </c>
      <c r="V89" s="48">
        <f t="shared" si="55"/>
        <v>0</v>
      </c>
      <c r="W89" s="48">
        <f t="shared" si="55"/>
        <v>0</v>
      </c>
      <c r="X89" s="48">
        <f t="shared" si="55"/>
        <v>0</v>
      </c>
      <c r="Y89" s="48">
        <f t="shared" si="55"/>
        <v>0</v>
      </c>
      <c r="Z89" s="48">
        <f t="shared" si="55"/>
        <v>0</v>
      </c>
      <c r="AA89" s="48">
        <f t="shared" si="55"/>
        <v>0</v>
      </c>
      <c r="AB89" s="1"/>
      <c r="AC89" s="67"/>
      <c r="AD89" s="1"/>
      <c r="AE89" s="1"/>
    </row>
    <row r="90" spans="1:31" x14ac:dyDescent="0.2">
      <c r="B90" s="20" t="s">
        <v>23</v>
      </c>
      <c r="C90" s="49"/>
      <c r="D90" s="50"/>
      <c r="E90" s="50"/>
      <c r="F90" s="50"/>
      <c r="G90" s="50"/>
      <c r="H90" s="50"/>
      <c r="I90" s="50"/>
      <c r="J90" s="50"/>
      <c r="K90" s="50"/>
      <c r="L90" s="50"/>
      <c r="M90" s="50">
        <f t="shared" si="54"/>
        <v>1</v>
      </c>
      <c r="N90" s="50">
        <f t="shared" si="54"/>
        <v>0.3931283219438117</v>
      </c>
      <c r="O90" s="50">
        <f t="shared" si="54"/>
        <v>0.18204115002043875</v>
      </c>
      <c r="P90" s="50">
        <f t="shared" si="54"/>
        <v>0.4886455331412104</v>
      </c>
      <c r="Q90" s="50">
        <f t="shared" si="54"/>
        <v>0.43232151153786585</v>
      </c>
      <c r="T90" s="50">
        <f t="shared" si="55"/>
        <v>0</v>
      </c>
      <c r="U90" s="50">
        <f t="shared" si="55"/>
        <v>0</v>
      </c>
      <c r="V90" s="50">
        <f t="shared" si="55"/>
        <v>0</v>
      </c>
      <c r="W90" s="50">
        <f t="shared" si="55"/>
        <v>0</v>
      </c>
      <c r="X90" s="50">
        <f t="shared" si="55"/>
        <v>0</v>
      </c>
      <c r="Y90" s="50">
        <f t="shared" si="55"/>
        <v>0</v>
      </c>
      <c r="Z90" s="50">
        <f t="shared" si="55"/>
        <v>0</v>
      </c>
      <c r="AA90" s="50">
        <f t="shared" si="55"/>
        <v>0</v>
      </c>
      <c r="AC90" s="68"/>
    </row>
    <row r="91" spans="1:31" x14ac:dyDescent="0.2">
      <c r="B91" s="20" t="s">
        <v>22</v>
      </c>
      <c r="C91" s="49"/>
      <c r="D91" s="50"/>
      <c r="E91" s="50"/>
      <c r="F91" s="50"/>
      <c r="G91" s="50"/>
      <c r="H91" s="50"/>
      <c r="I91" s="50"/>
      <c r="J91" s="50"/>
      <c r="K91" s="50"/>
      <c r="L91" s="50"/>
      <c r="M91" s="50">
        <f t="shared" si="54"/>
        <v>1</v>
      </c>
      <c r="N91" s="50">
        <f t="shared" si="54"/>
        <v>0.1265004616805171</v>
      </c>
      <c r="O91" s="50">
        <f t="shared" si="54"/>
        <v>8.7704918032786891E-2</v>
      </c>
      <c r="P91" s="50">
        <f t="shared" si="54"/>
        <v>0.31537302185380556</v>
      </c>
      <c r="Q91" s="50">
        <f t="shared" si="54"/>
        <v>0.31165855055857922</v>
      </c>
      <c r="T91" s="50">
        <f t="shared" si="55"/>
        <v>0</v>
      </c>
      <c r="U91" s="50">
        <f t="shared" si="55"/>
        <v>0</v>
      </c>
      <c r="V91" s="50">
        <f t="shared" si="55"/>
        <v>0</v>
      </c>
      <c r="W91" s="50">
        <f t="shared" si="55"/>
        <v>0</v>
      </c>
      <c r="X91" s="50">
        <f t="shared" si="55"/>
        <v>0</v>
      </c>
      <c r="Y91" s="50">
        <f t="shared" si="55"/>
        <v>0</v>
      </c>
      <c r="Z91" s="50">
        <f t="shared" si="55"/>
        <v>0</v>
      </c>
      <c r="AA91" s="50">
        <f t="shared" si="55"/>
        <v>0</v>
      </c>
      <c r="AC91" s="68"/>
    </row>
    <row r="92" spans="1:31" x14ac:dyDescent="0.2">
      <c r="B92" s="23" t="s">
        <v>24</v>
      </c>
      <c r="C92" s="49"/>
      <c r="D92" s="50"/>
      <c r="E92" s="50"/>
      <c r="F92" s="50"/>
      <c r="G92" s="50"/>
      <c r="H92" s="50"/>
      <c r="I92" s="50"/>
      <c r="J92" s="50"/>
      <c r="K92" s="50"/>
      <c r="L92" s="50"/>
      <c r="M92" s="50" t="e">
        <f>IF(#REF!=0,
IF(#REF!=0,0,IF(#REF!&gt;0,1,-1)),
(#REF!-#REF!)/ABS(#REF!)
)</f>
        <v>#REF!</v>
      </c>
      <c r="N92" s="50" t="e">
        <f>IF(#REF!=0,
IF(#REF!=0,0,IF(#REF!&gt;0,1,-1)),
(#REF!-#REF!)/ABS(#REF!)
)</f>
        <v>#REF!</v>
      </c>
      <c r="O92" s="50" t="e">
        <f>IF(#REF!=0,
IF(#REF!=0,0,IF(#REF!&gt;0,1,-1)),
(#REF!-#REF!)/ABS(#REF!)
)</f>
        <v>#REF!</v>
      </c>
      <c r="P92" s="50" t="e">
        <f>IF(#REF!=0,
IF(#REF!=0,0,IF(#REF!&gt;0,1,-1)),
(#REF!-#REF!)/ABS(#REF!)
)</f>
        <v>#REF!</v>
      </c>
      <c r="Q92" s="50" t="e">
        <f>IF(#REF!=0,
IF(#REF!=0,0,IF(#REF!&gt;0,1,-1)),
(#REF!-#REF!)/ABS(#REF!)
)</f>
        <v>#REF!</v>
      </c>
      <c r="T92" s="50" t="e">
        <f>IF(#REF!=0,
IF(#REF!=0,0,IF(#REF!&gt;0,1,-1)),
(#REF!-#REF!)/ABS(#REF!)
)</f>
        <v>#REF!</v>
      </c>
      <c r="U92" s="50" t="e">
        <f>IF(#REF!=0,
IF(#REF!=0,0,IF(#REF!&gt;0,1,-1)),
(#REF!-#REF!)/ABS(#REF!)
)</f>
        <v>#REF!</v>
      </c>
      <c r="V92" s="50" t="e">
        <f>IF(#REF!=0,
IF(#REF!=0,0,IF(#REF!&gt;0,1,-1)),
(#REF!-#REF!)/ABS(#REF!)
)</f>
        <v>#REF!</v>
      </c>
      <c r="W92" s="50" t="e">
        <f>IF(#REF!=0,
IF(#REF!=0,0,IF(#REF!&gt;0,1,-1)),
(#REF!-#REF!)/ABS(#REF!)
)</f>
        <v>#REF!</v>
      </c>
      <c r="X92" s="50" t="e">
        <f>IF(#REF!=0,
IF(#REF!=0,0,IF(#REF!&gt;0,1,-1)),
(#REF!-#REF!)/ABS(#REF!)
)</f>
        <v>#REF!</v>
      </c>
      <c r="Y92" s="50" t="e">
        <f>IF(#REF!=0,
IF(#REF!=0,0,IF(#REF!&gt;0,1,-1)),
(#REF!-#REF!)/ABS(#REF!)
)</f>
        <v>#REF!</v>
      </c>
      <c r="Z92" s="50" t="e">
        <f>IF(#REF!=0,
IF(#REF!=0,0,IF(#REF!&gt;0,1,-1)),
(#REF!-#REF!)/ABS(#REF!)
)</f>
        <v>#REF!</v>
      </c>
      <c r="AA92" s="50" t="e">
        <f>IF(#REF!=0,
IF(#REF!=0,0,IF(#REF!&gt;0,1,-1)),
(#REF!-#REF!)/ABS(#REF!)
)</f>
        <v>#REF!</v>
      </c>
      <c r="AC92" s="68"/>
    </row>
    <row r="93" spans="1:31" x14ac:dyDescent="0.2">
      <c r="B93" s="23" t="s">
        <v>25</v>
      </c>
      <c r="C93" s="49"/>
      <c r="D93" s="50"/>
      <c r="E93" s="50"/>
      <c r="F93" s="50"/>
      <c r="G93" s="50"/>
      <c r="H93" s="50"/>
      <c r="I93" s="50"/>
      <c r="J93" s="50"/>
      <c r="K93" s="50"/>
      <c r="L93" s="50"/>
      <c r="M93" s="50">
        <f t="shared" ref="M93:Q94" si="56">IF(L10=0,
IF(M10=0,0,IF(M10&gt;0,1,-1)),
(M10-L10)/ABS(L10)
)</f>
        <v>1</v>
      </c>
      <c r="N93" s="50">
        <f>IF(M10=0,
IF(N10=0,0,IF(N10&gt;0,1,-1)),
(N10-M10)/ABS(M10)
)</f>
        <v>0.49744417541027708</v>
      </c>
      <c r="O93" s="50">
        <f>IF(N10=0,
IF(O10=0,0,IF(O10&gt;0,1,-1)),
(O10-N10)/ABS(N10)
)</f>
        <v>1.7696730147323033E-2</v>
      </c>
      <c r="P93" s="50">
        <f t="shared" si="56"/>
        <v>0.44805366757878012</v>
      </c>
      <c r="Q93" s="50">
        <f t="shared" si="56"/>
        <v>0.40664431575739102</v>
      </c>
      <c r="T93" s="50">
        <f t="shared" ref="T93:AA94" si="57">IF(S10=0,
IF(T10=0,0,IF(T10&gt;0,1,-1)),
(T10-S10)/ABS(S10)
)</f>
        <v>0</v>
      </c>
      <c r="U93" s="50">
        <f t="shared" si="57"/>
        <v>0</v>
      </c>
      <c r="V93" s="50">
        <f t="shared" si="57"/>
        <v>0</v>
      </c>
      <c r="W93" s="50">
        <f t="shared" si="57"/>
        <v>0</v>
      </c>
      <c r="X93" s="50">
        <f t="shared" si="57"/>
        <v>0</v>
      </c>
      <c r="Y93" s="50">
        <f t="shared" si="57"/>
        <v>0</v>
      </c>
      <c r="Z93" s="50">
        <f t="shared" si="57"/>
        <v>0</v>
      </c>
      <c r="AA93" s="50">
        <f t="shared" si="57"/>
        <v>0</v>
      </c>
      <c r="AC93" s="68"/>
    </row>
    <row r="94" spans="1:31" s="41" customFormat="1" x14ac:dyDescent="0.2">
      <c r="A94" s="16"/>
      <c r="B94" s="17" t="s">
        <v>26</v>
      </c>
      <c r="C94" s="47"/>
      <c r="D94" s="48"/>
      <c r="E94" s="48"/>
      <c r="F94" s="48"/>
      <c r="G94" s="48"/>
      <c r="H94" s="48"/>
      <c r="I94" s="48"/>
      <c r="J94" s="48"/>
      <c r="K94" s="48"/>
      <c r="L94" s="48"/>
      <c r="M94" s="48">
        <f t="shared" si="56"/>
        <v>1</v>
      </c>
      <c r="N94" s="48">
        <f>IF(M11=0,
IF(N11=0,0,IF(N11&gt;0,1,-1)),
(N11-M11)/ABS(M11)
)</f>
        <v>-0.57932476844935765</v>
      </c>
      <c r="O94" s="48">
        <f>IF(N11=0,
IF(O11=0,0,IF(O11&gt;0,1,-1)),
(O11-N11)/ABS(N11)
)</f>
        <v>6.8058712121212119</v>
      </c>
      <c r="P94" s="48">
        <f t="shared" si="56"/>
        <v>1.470368797767803</v>
      </c>
      <c r="Q94" s="48">
        <f t="shared" si="56"/>
        <v>0.60076363055995485</v>
      </c>
      <c r="R94" s="1"/>
      <c r="S94" s="1"/>
      <c r="T94" s="48">
        <f t="shared" si="57"/>
        <v>0</v>
      </c>
      <c r="U94" s="48">
        <f t="shared" si="57"/>
        <v>0</v>
      </c>
      <c r="V94" s="48">
        <f t="shared" si="57"/>
        <v>0</v>
      </c>
      <c r="W94" s="48">
        <f t="shared" si="57"/>
        <v>0</v>
      </c>
      <c r="X94" s="48">
        <f t="shared" si="57"/>
        <v>0</v>
      </c>
      <c r="Y94" s="48">
        <f t="shared" si="57"/>
        <v>0</v>
      </c>
      <c r="Z94" s="48">
        <f t="shared" si="57"/>
        <v>0</v>
      </c>
      <c r="AA94" s="48">
        <f t="shared" si="57"/>
        <v>0</v>
      </c>
      <c r="AB94" s="1"/>
      <c r="AC94" s="67"/>
      <c r="AD94" s="1"/>
      <c r="AE94" s="1"/>
    </row>
    <row r="95" spans="1:31" s="53" customFormat="1" x14ac:dyDescent="0.2">
      <c r="A95" s="16"/>
      <c r="B95" s="51" t="s">
        <v>29</v>
      </c>
      <c r="C95" s="47"/>
      <c r="D95" s="52"/>
      <c r="E95" s="52"/>
      <c r="F95" s="52"/>
      <c r="G95" s="52"/>
      <c r="H95" s="52"/>
      <c r="I95" s="52"/>
      <c r="J95" s="52"/>
      <c r="K95" s="52"/>
      <c r="L95" s="52"/>
      <c r="M95" s="52">
        <f>IF(L14=0,
IF(M14=0,0,IF(M14&gt;0,1,-1)),
(M14-L14)/ABS(L14)
)</f>
        <v>1</v>
      </c>
      <c r="N95" s="52">
        <f>IF(M14=0,
IF(N14=0,0,IF(N14&gt;0,1,-1)),
(N14-M14)/ABS(M14)
)</f>
        <v>-0.57941856956040638</v>
      </c>
      <c r="O95" s="52">
        <f>IF(N14=0,
IF(O14=0,0,IF(O14&gt;0,1,-1)),
(O14-N14)/ABS(N14)
)</f>
        <v>7.0884955752212386</v>
      </c>
      <c r="P95" s="52">
        <f>IF(O14=0,
IF(P14=0,0,IF(P14&gt;0,1,-1)),
(P14-O14)/ABS(O14)
)</f>
        <v>1.4846531432964694</v>
      </c>
      <c r="Q95" s="52">
        <f>IF(P14=0,
IF(Q14=0,0,IF(Q14&gt;0,1,-1)),
(Q14-P14)/ABS(P14)
)</f>
        <v>0.68340751672101496</v>
      </c>
      <c r="R95" s="1"/>
      <c r="S95" s="1"/>
      <c r="T95" s="52">
        <f t="shared" ref="T95:AA95" si="58">IF(S14=0,
IF(T14=0,0,IF(T14&gt;0,1,-1)),
(T14-S14)/ABS(S14)
)</f>
        <v>0</v>
      </c>
      <c r="U95" s="52">
        <f t="shared" si="58"/>
        <v>0</v>
      </c>
      <c r="V95" s="52">
        <f t="shared" si="58"/>
        <v>0</v>
      </c>
      <c r="W95" s="52">
        <f t="shared" si="58"/>
        <v>0</v>
      </c>
      <c r="X95" s="52">
        <f t="shared" si="58"/>
        <v>0</v>
      </c>
      <c r="Y95" s="52">
        <f t="shared" si="58"/>
        <v>0</v>
      </c>
      <c r="Z95" s="52">
        <f t="shared" si="58"/>
        <v>0</v>
      </c>
      <c r="AA95" s="52">
        <f t="shared" si="58"/>
        <v>0</v>
      </c>
      <c r="AB95" s="1"/>
      <c r="AC95" s="67"/>
      <c r="AD95" s="1"/>
      <c r="AE95" s="1"/>
    </row>
    <row r="96" spans="1:31" s="53" customFormat="1" x14ac:dyDescent="0.2">
      <c r="A96" s="16"/>
      <c r="B96" s="51" t="s">
        <v>31</v>
      </c>
      <c r="C96" s="47"/>
      <c r="D96" s="52"/>
      <c r="E96" s="52"/>
      <c r="F96" s="52"/>
      <c r="G96" s="52"/>
      <c r="H96" s="52"/>
      <c r="I96" s="52"/>
      <c r="J96" s="52"/>
      <c r="K96" s="52"/>
      <c r="L96" s="52"/>
      <c r="M96" s="52">
        <f>IF(L17=0,
IF(M17=0,0,IF(M17&gt;0,1,-1)),
(M17-L17)/ABS(L17)
)</f>
        <v>1</v>
      </c>
      <c r="N96" s="52">
        <f>IF(M17=0,
IF(N17=0,0,IF(N17&gt;0,1,-1)),
(N17-M17)/ABS(M17)
)</f>
        <v>-0.55209187858900743</v>
      </c>
      <c r="O96" s="52">
        <f>IF(N17=0,
IF(O17=0,0,IF(O17&gt;0,1,-1)),
(O17-N17)/ABS(N17)
)</f>
        <v>5.813186813186813</v>
      </c>
      <c r="P96" s="52">
        <f>IF(O17=0,
IF(P17=0,0,IF(P17&gt;0,1,-1)),
(P17-O17)/ABS(O17)
)</f>
        <v>1.4489247311827957</v>
      </c>
      <c r="Q96" s="52">
        <f>IF(P17=0,
IF(Q17=0,0,IF(Q17&gt;0,1,-1)),
(Q17-P17)/ABS(P17)
)</f>
        <v>0.6474615806805708</v>
      </c>
      <c r="R96" s="1"/>
      <c r="S96" s="1"/>
      <c r="T96" s="52">
        <f t="shared" ref="T96:AA96" si="59">IF(S17=0,
IF(T17=0,0,IF(T17&gt;0,1,-1)),
(T17-S17)/ABS(S17)
)</f>
        <v>0</v>
      </c>
      <c r="U96" s="52">
        <f t="shared" si="59"/>
        <v>0</v>
      </c>
      <c r="V96" s="52">
        <f t="shared" si="59"/>
        <v>0</v>
      </c>
      <c r="W96" s="52">
        <f t="shared" si="59"/>
        <v>0</v>
      </c>
      <c r="X96" s="52">
        <f t="shared" si="59"/>
        <v>0</v>
      </c>
      <c r="Y96" s="52">
        <f t="shared" si="59"/>
        <v>0</v>
      </c>
      <c r="Z96" s="52">
        <f t="shared" si="59"/>
        <v>0</v>
      </c>
      <c r="AA96" s="52">
        <f t="shared" si="59"/>
        <v>0</v>
      </c>
      <c r="AB96" s="1"/>
      <c r="AC96" s="67"/>
      <c r="AD96" s="1"/>
      <c r="AE96" s="1"/>
    </row>
    <row r="97" spans="1:31" x14ac:dyDescent="0.2">
      <c r="B97" s="1"/>
    </row>
    <row r="98" spans="1:31" s="15" customFormat="1" ht="17" thickBot="1" x14ac:dyDescent="0.25">
      <c r="A98" s="11"/>
      <c r="B98" s="14" t="s">
        <v>77</v>
      </c>
      <c r="R98" s="1"/>
      <c r="S98" s="1"/>
      <c r="AB98" s="1"/>
      <c r="AD98" s="1"/>
      <c r="AE98" s="1"/>
    </row>
    <row r="99" spans="1:31" x14ac:dyDescent="0.2">
      <c r="B99" s="20" t="s">
        <v>78</v>
      </c>
      <c r="C99" s="50"/>
      <c r="D99" s="50"/>
      <c r="E99" s="50"/>
      <c r="F99" s="50"/>
      <c r="G99" s="50"/>
      <c r="H99" s="50"/>
      <c r="I99" s="50"/>
      <c r="J99" s="50"/>
      <c r="K99" s="50"/>
      <c r="L99" s="50"/>
      <c r="M99" s="50">
        <f>M7/M5</f>
        <v>0.64929033216913135</v>
      </c>
      <c r="N99" s="50">
        <f>N7/N5</f>
        <v>0.56928894490991322</v>
      </c>
      <c r="O99" s="50">
        <f>O7/O5</f>
        <v>0.72717573290436954</v>
      </c>
      <c r="P99" s="50">
        <f>P7/P5</f>
        <v>0.74988697058169917</v>
      </c>
      <c r="Q99" s="50">
        <f>Q7/Q5</f>
        <v>0.71068084357547079</v>
      </c>
      <c r="T99" s="50" t="e">
        <f t="shared" ref="T99:AA99" si="60">T7/T5</f>
        <v>#DIV/0!</v>
      </c>
      <c r="U99" s="50" t="e">
        <f t="shared" si="60"/>
        <v>#DIV/0!</v>
      </c>
      <c r="V99" s="50" t="e">
        <f t="shared" si="60"/>
        <v>#DIV/0!</v>
      </c>
      <c r="W99" s="50" t="e">
        <f t="shared" si="60"/>
        <v>#DIV/0!</v>
      </c>
      <c r="X99" s="50" t="e">
        <f t="shared" si="60"/>
        <v>#DIV/0!</v>
      </c>
      <c r="Y99" s="50" t="e">
        <f t="shared" si="60"/>
        <v>#DIV/0!</v>
      </c>
      <c r="Z99" s="50" t="e">
        <f t="shared" si="60"/>
        <v>#DIV/0!</v>
      </c>
      <c r="AA99" s="50" t="e">
        <f t="shared" si="60"/>
        <v>#DIV/0!</v>
      </c>
      <c r="AC99" s="50" t="e">
        <f>AC7/AC5</f>
        <v>#DIV/0!</v>
      </c>
    </row>
    <row r="100" spans="1:31" x14ac:dyDescent="0.2">
      <c r="B100" s="20" t="s">
        <v>79</v>
      </c>
      <c r="C100" s="50"/>
      <c r="D100" s="50"/>
      <c r="E100" s="50"/>
      <c r="F100" s="50"/>
      <c r="G100" s="50"/>
      <c r="H100" s="50"/>
      <c r="I100" s="50"/>
      <c r="J100" s="50"/>
      <c r="K100" s="50"/>
      <c r="L100" s="50"/>
      <c r="M100" s="50">
        <f>M11/M5</f>
        <v>0.37307720888756779</v>
      </c>
      <c r="N100" s="50">
        <f>N11/N5</f>
        <v>0.1565952398606065</v>
      </c>
      <c r="O100" s="50">
        <f>O11/O5</f>
        <v>0.54121663766783756</v>
      </c>
      <c r="P100" s="50">
        <f>P11/P5</f>
        <v>0.62417526839697468</v>
      </c>
      <c r="Q100" s="50">
        <f>Q11/Q5</f>
        <v>0.60381683631412719</v>
      </c>
      <c r="T100" s="50" t="e">
        <f t="shared" ref="T100:AA100" si="61">T11/T5</f>
        <v>#DIV/0!</v>
      </c>
      <c r="U100" s="50" t="e">
        <f t="shared" si="61"/>
        <v>#DIV/0!</v>
      </c>
      <c r="V100" s="50" t="e">
        <f t="shared" si="61"/>
        <v>#DIV/0!</v>
      </c>
      <c r="W100" s="50" t="e">
        <f t="shared" si="61"/>
        <v>#DIV/0!</v>
      </c>
      <c r="X100" s="50" t="e">
        <f t="shared" si="61"/>
        <v>#DIV/0!</v>
      </c>
      <c r="Y100" s="50" t="e">
        <f t="shared" si="61"/>
        <v>#DIV/0!</v>
      </c>
      <c r="Z100" s="50" t="e">
        <f t="shared" si="61"/>
        <v>#DIV/0!</v>
      </c>
      <c r="AA100" s="50" t="e">
        <f t="shared" si="61"/>
        <v>#DIV/0!</v>
      </c>
      <c r="AC100" s="50" t="e">
        <f>AC11/AC5</f>
        <v>#DIV/0!</v>
      </c>
    </row>
    <row r="101" spans="1:31" s="56" customFormat="1" x14ac:dyDescent="0.2">
      <c r="A101" s="1"/>
      <c r="B101" s="54" t="s">
        <v>80</v>
      </c>
      <c r="C101" s="55"/>
      <c r="D101" s="55"/>
      <c r="E101" s="55"/>
      <c r="F101" s="55"/>
      <c r="G101" s="55"/>
      <c r="H101" s="55"/>
      <c r="I101" s="55"/>
      <c r="J101" s="55"/>
      <c r="K101" s="55"/>
      <c r="L101" s="55"/>
      <c r="M101" s="55">
        <f>M119/M5</f>
        <v>0.36233930296499961</v>
      </c>
      <c r="N101" s="55">
        <f>N119/N5</f>
        <v>0.16193371394676356</v>
      </c>
      <c r="O101" s="55">
        <f>O119/O5</f>
        <v>0.4884934834706674</v>
      </c>
      <c r="P101" s="55">
        <f>P119/P5</f>
        <v>0.55848027157712443</v>
      </c>
      <c r="Q101" s="55">
        <f>Q119/Q5</f>
        <v>0.55602534060702613</v>
      </c>
      <c r="R101" s="1"/>
      <c r="S101" s="1"/>
      <c r="T101" s="55" t="e">
        <f t="shared" ref="T101:AA101" si="62">T119/T5</f>
        <v>#DIV/0!</v>
      </c>
      <c r="U101" s="55" t="e">
        <f t="shared" si="62"/>
        <v>#DIV/0!</v>
      </c>
      <c r="V101" s="55" t="e">
        <f t="shared" si="62"/>
        <v>#DIV/0!</v>
      </c>
      <c r="W101" s="55" t="e">
        <f t="shared" si="62"/>
        <v>#DIV/0!</v>
      </c>
      <c r="X101" s="55" t="e">
        <f t="shared" si="62"/>
        <v>#DIV/0!</v>
      </c>
      <c r="Y101" s="55" t="e">
        <f t="shared" si="62"/>
        <v>#DIV/0!</v>
      </c>
      <c r="Z101" s="55" t="e">
        <f t="shared" si="62"/>
        <v>#DIV/0!</v>
      </c>
      <c r="AA101" s="55" t="e">
        <f t="shared" si="62"/>
        <v>#DIV/0!</v>
      </c>
      <c r="AB101" s="1"/>
      <c r="AC101" s="55" t="e">
        <f>AC119/AC5</f>
        <v>#DIV/0!</v>
      </c>
      <c r="AD101" s="1"/>
      <c r="AE101" s="1"/>
    </row>
    <row r="102" spans="1:31" x14ac:dyDescent="0.2">
      <c r="B102" s="1"/>
    </row>
    <row r="103" spans="1:31" s="15" customFormat="1" ht="17" thickBot="1" x14ac:dyDescent="0.25">
      <c r="A103" s="11"/>
      <c r="B103" s="14" t="s">
        <v>81</v>
      </c>
      <c r="R103" s="1"/>
      <c r="S103" s="1"/>
      <c r="AB103" s="1"/>
      <c r="AD103" s="1"/>
      <c r="AE103" s="1"/>
    </row>
    <row r="104" spans="1:31" x14ac:dyDescent="0.2">
      <c r="B104" s="20" t="s">
        <v>94</v>
      </c>
      <c r="C104" s="62"/>
      <c r="D104" s="62"/>
      <c r="E104" s="62"/>
      <c r="F104" s="62"/>
      <c r="G104" s="62"/>
      <c r="H104" s="62"/>
      <c r="I104" s="62"/>
      <c r="J104" s="62"/>
      <c r="K104" s="62"/>
      <c r="L104" s="62"/>
      <c r="M104" s="62">
        <v>481427</v>
      </c>
      <c r="N104" s="62">
        <v>497836</v>
      </c>
      <c r="O104" s="62">
        <v>621392</v>
      </c>
      <c r="P104" s="62">
        <v>587152</v>
      </c>
      <c r="Q104" s="62">
        <v>606394</v>
      </c>
      <c r="T104" s="62">
        <v>112251</v>
      </c>
      <c r="U104" s="62">
        <v>137174</v>
      </c>
      <c r="V104" s="62">
        <v>197609</v>
      </c>
      <c r="W104" s="62">
        <v>128286</v>
      </c>
      <c r="X104" s="62">
        <v>112161</v>
      </c>
      <c r="Y104" s="62">
        <v>150043</v>
      </c>
      <c r="Z104" s="62">
        <v>215904</v>
      </c>
      <c r="AA104" s="62">
        <v>149309</v>
      </c>
      <c r="AC104" s="62">
        <f>SUM(X104:AA104)</f>
        <v>627417</v>
      </c>
    </row>
    <row r="105" spans="1:31" x14ac:dyDescent="0.2">
      <c r="B105" s="20" t="s">
        <v>95</v>
      </c>
      <c r="C105" s="62"/>
      <c r="D105" s="62"/>
      <c r="E105" s="62"/>
      <c r="F105" s="62"/>
      <c r="G105" s="62"/>
      <c r="H105" s="62"/>
      <c r="I105" s="62"/>
      <c r="J105" s="62"/>
      <c r="K105" s="62"/>
      <c r="L105" s="62"/>
      <c r="M105" s="62">
        <v>369867</v>
      </c>
      <c r="N105" s="62">
        <v>508823</v>
      </c>
      <c r="O105" s="62">
        <v>649918</v>
      </c>
      <c r="P105" s="62">
        <v>801947</v>
      </c>
      <c r="Q105" s="62">
        <v>954472</v>
      </c>
      <c r="T105" s="62">
        <v>194673</v>
      </c>
      <c r="U105" s="62">
        <v>206922</v>
      </c>
      <c r="V105" s="62">
        <v>215221</v>
      </c>
      <c r="W105" s="62">
        <v>217303</v>
      </c>
      <c r="X105" s="62">
        <v>238363</v>
      </c>
      <c r="Y105" s="62">
        <v>247573</v>
      </c>
      <c r="Z105" s="62">
        <v>251233</v>
      </c>
      <c r="AA105" s="62">
        <v>252903</v>
      </c>
      <c r="AC105" s="62">
        <f t="shared" ref="AC105:AC110" si="63">SUM(X105:AA105)</f>
        <v>990072</v>
      </c>
    </row>
    <row r="106" spans="1:31" x14ac:dyDescent="0.2">
      <c r="B106" s="20" t="s">
        <v>96</v>
      </c>
      <c r="C106" s="62"/>
      <c r="D106" s="62"/>
      <c r="E106" s="62"/>
      <c r="F106" s="62"/>
      <c r="G106" s="62"/>
      <c r="H106" s="62"/>
      <c r="I106" s="62"/>
      <c r="J106" s="62"/>
      <c r="K106" s="62"/>
      <c r="L106" s="62"/>
      <c r="M106" s="62">
        <v>40958</v>
      </c>
      <c r="N106" s="62">
        <v>51922</v>
      </c>
      <c r="O106" s="62">
        <v>36762</v>
      </c>
      <c r="P106" s="62">
        <v>40555</v>
      </c>
      <c r="Q106" s="62">
        <v>49706</v>
      </c>
      <c r="T106" s="62">
        <v>9329</v>
      </c>
      <c r="U106" s="62">
        <v>10557</v>
      </c>
      <c r="V106" s="62">
        <v>10816</v>
      </c>
      <c r="W106" s="62">
        <v>11035</v>
      </c>
      <c r="X106" s="62">
        <v>11204</v>
      </c>
      <c r="Y106" s="62">
        <v>13497</v>
      </c>
      <c r="Z106" s="62">
        <v>13970</v>
      </c>
      <c r="AA106" s="62">
        <v>16170</v>
      </c>
      <c r="AC106" s="62">
        <f t="shared" si="63"/>
        <v>54841</v>
      </c>
    </row>
    <row r="107" spans="1:31" x14ac:dyDescent="0.2">
      <c r="C107" s="21"/>
      <c r="D107" s="21"/>
      <c r="E107" s="21"/>
      <c r="F107" s="21"/>
      <c r="G107" s="21"/>
      <c r="H107" s="21"/>
      <c r="I107" s="21"/>
      <c r="J107" s="21"/>
      <c r="K107" s="21"/>
      <c r="L107" s="21"/>
      <c r="M107" s="21"/>
      <c r="AC107" s="62"/>
    </row>
    <row r="108" spans="1:31" x14ac:dyDescent="0.2">
      <c r="B108" s="20" t="s">
        <v>97</v>
      </c>
      <c r="C108" s="62"/>
      <c r="D108" s="62"/>
      <c r="E108" s="62"/>
      <c r="F108" s="62"/>
      <c r="G108" s="62"/>
      <c r="H108" s="62"/>
      <c r="I108" s="62"/>
      <c r="J108" s="62"/>
      <c r="K108" s="62"/>
      <c r="L108" s="62"/>
      <c r="M108" s="62">
        <v>11888</v>
      </c>
      <c r="N108" s="62">
        <v>10421</v>
      </c>
      <c r="O108" s="62">
        <v>10469</v>
      </c>
      <c r="P108" s="62">
        <v>8565</v>
      </c>
      <c r="Q108" s="62">
        <v>5334</v>
      </c>
      <c r="T108" s="62">
        <v>2393</v>
      </c>
      <c r="U108" s="62">
        <v>2340</v>
      </c>
      <c r="V108" s="62">
        <v>1231</v>
      </c>
      <c r="W108" s="62">
        <v>1268</v>
      </c>
      <c r="X108" s="62">
        <v>1200</v>
      </c>
      <c r="Y108" s="62">
        <v>1311</v>
      </c>
      <c r="Z108" s="62">
        <v>1555</v>
      </c>
      <c r="AA108" s="62">
        <v>1664</v>
      </c>
      <c r="AC108" s="62">
        <f t="shared" si="63"/>
        <v>5730</v>
      </c>
    </row>
    <row r="109" spans="1:31" x14ac:dyDescent="0.2">
      <c r="B109" s="20" t="s">
        <v>98</v>
      </c>
      <c r="C109" s="62"/>
      <c r="D109" s="62"/>
      <c r="E109" s="62"/>
      <c r="F109" s="62"/>
      <c r="G109" s="62"/>
      <c r="H109" s="62"/>
      <c r="I109" s="62"/>
      <c r="J109" s="62"/>
      <c r="K109" s="62"/>
      <c r="L109" s="62"/>
      <c r="M109" s="62">
        <v>60565</v>
      </c>
      <c r="N109" s="62">
        <v>87366</v>
      </c>
      <c r="O109" s="62">
        <v>111922</v>
      </c>
      <c r="P109" s="62">
        <v>167630</v>
      </c>
      <c r="Q109" s="62">
        <v>157588</v>
      </c>
      <c r="T109" s="62">
        <v>43529</v>
      </c>
      <c r="U109" s="62">
        <v>43487</v>
      </c>
      <c r="V109" s="62">
        <v>43860</v>
      </c>
      <c r="W109" s="62">
        <v>38468</v>
      </c>
      <c r="X109" s="62">
        <v>38229</v>
      </c>
      <c r="Y109" s="62">
        <v>40121</v>
      </c>
      <c r="Z109" s="62">
        <v>40770</v>
      </c>
      <c r="AA109" s="62">
        <v>43988</v>
      </c>
      <c r="AC109" s="62">
        <f t="shared" si="63"/>
        <v>163108</v>
      </c>
    </row>
    <row r="110" spans="1:31" x14ac:dyDescent="0.2">
      <c r="B110" s="20" t="s">
        <v>99</v>
      </c>
      <c r="C110" s="62"/>
      <c r="D110" s="62"/>
      <c r="E110" s="62"/>
      <c r="F110" s="62"/>
      <c r="G110" s="62"/>
      <c r="H110" s="62"/>
      <c r="I110" s="62"/>
      <c r="J110" s="62"/>
      <c r="K110" s="62"/>
      <c r="L110" s="62"/>
      <c r="M110" s="62">
        <v>96415</v>
      </c>
      <c r="N110" s="62">
        <v>82264</v>
      </c>
      <c r="O110" s="62">
        <v>73533</v>
      </c>
      <c r="P110" s="62">
        <v>70747</v>
      </c>
      <c r="Q110" s="62">
        <v>108062</v>
      </c>
      <c r="T110" s="62">
        <v>17398</v>
      </c>
      <c r="U110" s="62">
        <v>17936</v>
      </c>
      <c r="V110" s="62">
        <v>19443</v>
      </c>
      <c r="W110" s="62">
        <v>24121</v>
      </c>
      <c r="X110" s="62">
        <v>24951</v>
      </c>
      <c r="Y110" s="62">
        <v>27380</v>
      </c>
      <c r="Z110" s="62">
        <v>31610</v>
      </c>
      <c r="AA110" s="62">
        <v>31276</v>
      </c>
      <c r="AC110" s="62">
        <f t="shared" si="63"/>
        <v>115217</v>
      </c>
    </row>
    <row r="111" spans="1:31" x14ac:dyDescent="0.2">
      <c r="C111" s="21"/>
      <c r="D111" s="21"/>
      <c r="E111" s="21"/>
      <c r="F111" s="21"/>
      <c r="G111" s="21"/>
      <c r="H111" s="21"/>
      <c r="I111" s="21"/>
      <c r="J111" s="21"/>
      <c r="K111" s="21"/>
      <c r="L111" s="21"/>
      <c r="M111" s="21"/>
    </row>
    <row r="112" spans="1:31" x14ac:dyDescent="0.2">
      <c r="B112" s="1"/>
    </row>
    <row r="113" spans="1:31" s="15" customFormat="1" ht="17" thickBot="1" x14ac:dyDescent="0.25">
      <c r="A113" s="11"/>
      <c r="B113" s="14" t="s">
        <v>109</v>
      </c>
      <c r="R113" s="1"/>
      <c r="S113" s="1"/>
      <c r="AB113" s="1"/>
      <c r="AD113" s="1"/>
      <c r="AE113" s="1"/>
    </row>
    <row r="114" spans="1:31" x14ac:dyDescent="0.2">
      <c r="B114" s="20" t="s">
        <v>73</v>
      </c>
      <c r="C114" s="81">
        <f t="shared" ref="C114:Q114" si="64">IF(AND(C81&gt;=0,C11&gt;=0),C81,0)</f>
        <v>0</v>
      </c>
      <c r="D114" s="81">
        <f t="shared" si="64"/>
        <v>0</v>
      </c>
      <c r="E114" s="81">
        <f t="shared" si="64"/>
        <v>0</v>
      </c>
      <c r="F114" s="81">
        <f t="shared" si="64"/>
        <v>0</v>
      </c>
      <c r="G114" s="81">
        <f t="shared" si="64"/>
        <v>0</v>
      </c>
      <c r="H114" s="81">
        <f t="shared" si="64"/>
        <v>0</v>
      </c>
      <c r="I114" s="81">
        <f t="shared" si="64"/>
        <v>0</v>
      </c>
      <c r="J114" s="81">
        <f t="shared" si="64"/>
        <v>0</v>
      </c>
      <c r="K114" s="81">
        <f t="shared" si="64"/>
        <v>0</v>
      </c>
      <c r="L114" s="81">
        <f t="shared" si="64"/>
        <v>0</v>
      </c>
      <c r="M114" s="81">
        <f t="shared" si="64"/>
        <v>1.9012171813700834E-2</v>
      </c>
      <c r="N114" s="81">
        <f>IF(AND(N81&gt;=0,N11&gt;=0),N81,0)</f>
        <v>0</v>
      </c>
      <c r="O114" s="81">
        <f t="shared" si="64"/>
        <v>0.1199952687917677</v>
      </c>
      <c r="P114" s="81">
        <f t="shared" si="64"/>
        <v>0.13264941803727417</v>
      </c>
      <c r="Q114" s="81">
        <f t="shared" si="64"/>
        <v>0.15117002474372571</v>
      </c>
      <c r="T114" s="81">
        <f t="shared" ref="T114:AA114" si="65">IF(AND(T81&gt;=0,T11&gt;=0),T81,0)</f>
        <v>0</v>
      </c>
      <c r="U114" s="81">
        <f t="shared" si="65"/>
        <v>0</v>
      </c>
      <c r="V114" s="81">
        <f t="shared" si="65"/>
        <v>0</v>
      </c>
      <c r="W114" s="81">
        <f t="shared" si="65"/>
        <v>0</v>
      </c>
      <c r="X114" s="81">
        <f t="shared" si="65"/>
        <v>0</v>
      </c>
      <c r="Y114" s="81">
        <f t="shared" si="65"/>
        <v>0</v>
      </c>
      <c r="Z114" s="81">
        <f t="shared" si="65"/>
        <v>0</v>
      </c>
      <c r="AA114" s="81">
        <f t="shared" si="65"/>
        <v>0</v>
      </c>
      <c r="AC114" s="81">
        <f>IF(AND(AC81&gt;=0,AC11&gt;=0),AC81,0)</f>
        <v>0</v>
      </c>
    </row>
    <row r="115" spans="1:31" x14ac:dyDescent="0.2">
      <c r="B115" s="20" t="s">
        <v>201</v>
      </c>
      <c r="C115" s="25"/>
      <c r="D115" s="25"/>
      <c r="E115" s="25"/>
      <c r="F115" s="25"/>
      <c r="G115" s="25"/>
      <c r="H115" s="25"/>
      <c r="I115" s="25"/>
      <c r="J115" s="25"/>
      <c r="K115" s="25"/>
      <c r="L115" s="25"/>
      <c r="M115" s="25">
        <f>M28</f>
        <v>1865140</v>
      </c>
      <c r="N115" s="25">
        <f>N28</f>
        <v>1756893</v>
      </c>
      <c r="O115" s="25">
        <f>O28</f>
        <v>1879823</v>
      </c>
      <c r="P115" s="25">
        <f>P28</f>
        <v>1629518</v>
      </c>
      <c r="Q115" s="25">
        <f>Q28</f>
        <v>1472486</v>
      </c>
      <c r="T115" s="25">
        <f t="shared" ref="T115:AA115" si="66">T28</f>
        <v>1743374</v>
      </c>
      <c r="U115" s="25">
        <f t="shared" si="66"/>
        <v>1569041</v>
      </c>
      <c r="V115" s="25">
        <f t="shared" si="66"/>
        <v>1629518</v>
      </c>
      <c r="W115" s="25">
        <f t="shared" si="66"/>
        <v>1555033</v>
      </c>
      <c r="X115" s="25">
        <f t="shared" si="66"/>
        <v>1447487</v>
      </c>
      <c r="Y115" s="25">
        <f t="shared" si="66"/>
        <v>1398186</v>
      </c>
      <c r="Z115" s="25">
        <f t="shared" si="66"/>
        <v>1472486</v>
      </c>
      <c r="AA115" s="25">
        <f t="shared" si="66"/>
        <v>1307244</v>
      </c>
      <c r="AC115" s="25">
        <f>AA115</f>
        <v>1307244</v>
      </c>
    </row>
    <row r="116" spans="1:31" x14ac:dyDescent="0.2">
      <c r="B116" s="20" t="s">
        <v>192</v>
      </c>
      <c r="C116" s="25">
        <v>0</v>
      </c>
      <c r="D116" s="25">
        <v>0</v>
      </c>
      <c r="E116" s="25">
        <v>0</v>
      </c>
      <c r="F116" s="25">
        <v>0</v>
      </c>
      <c r="G116" s="25">
        <v>0</v>
      </c>
      <c r="H116" s="25">
        <v>0</v>
      </c>
      <c r="I116" s="25">
        <v>0</v>
      </c>
      <c r="J116" s="25">
        <v>0</v>
      </c>
      <c r="K116" s="25">
        <v>0</v>
      </c>
      <c r="L116" s="25">
        <v>0</v>
      </c>
      <c r="M116" s="25">
        <f>M37+M39</f>
        <v>0</v>
      </c>
      <c r="N116" s="25">
        <f>N37+N39</f>
        <v>0</v>
      </c>
      <c r="O116" s="25">
        <f>O37+O39</f>
        <v>0</v>
      </c>
      <c r="P116" s="25">
        <f>P37+P39</f>
        <v>0</v>
      </c>
      <c r="Q116" s="25">
        <f>Q37+Q39</f>
        <v>0</v>
      </c>
      <c r="T116" s="25">
        <f t="shared" ref="T116:AA116" si="67">T37+T39</f>
        <v>0</v>
      </c>
      <c r="U116" s="25">
        <f t="shared" si="67"/>
        <v>0</v>
      </c>
      <c r="V116" s="25">
        <f t="shared" si="67"/>
        <v>0</v>
      </c>
      <c r="W116" s="25">
        <f t="shared" si="67"/>
        <v>0</v>
      </c>
      <c r="X116" s="25">
        <f t="shared" si="67"/>
        <v>0</v>
      </c>
      <c r="Y116" s="25">
        <f t="shared" si="67"/>
        <v>0</v>
      </c>
      <c r="Z116" s="25">
        <f t="shared" si="67"/>
        <v>0</v>
      </c>
      <c r="AA116" s="25">
        <f t="shared" si="67"/>
        <v>0</v>
      </c>
      <c r="AC116" s="25">
        <f>AA116</f>
        <v>0</v>
      </c>
    </row>
    <row r="117" spans="1:31" x14ac:dyDescent="0.2">
      <c r="B117" s="20" t="s">
        <v>185</v>
      </c>
      <c r="C117" s="25"/>
      <c r="D117" s="25"/>
      <c r="E117" s="25"/>
      <c r="F117" s="25"/>
      <c r="G117" s="25"/>
      <c r="H117" s="25"/>
      <c r="I117" s="25"/>
      <c r="J117" s="25"/>
      <c r="K117" s="25"/>
      <c r="L117" s="25"/>
      <c r="M117" s="147">
        <f>M11*(1-M114)</f>
        <v>9850.0987828186298</v>
      </c>
      <c r="N117" s="147">
        <f>N11*(1-N114)</f>
        <v>4224</v>
      </c>
      <c r="O117" s="147">
        <f>O11*(1-O114)</f>
        <v>29015.515997397837</v>
      </c>
      <c r="P117" s="147">
        <f>P11*(1-P114)</f>
        <v>70648.306952609913</v>
      </c>
      <c r="Q117" s="25">
        <f>Q11*(1-Q114)</f>
        <v>110676.39398373984</v>
      </c>
      <c r="T117" s="67"/>
      <c r="U117" s="67"/>
      <c r="V117" s="67"/>
      <c r="W117" s="67"/>
      <c r="X117" s="67"/>
      <c r="Y117" s="67"/>
      <c r="Z117" s="67"/>
      <c r="AA117" s="67"/>
      <c r="AC117" s="25">
        <f>AC11*(1-AC114)</f>
        <v>0</v>
      </c>
    </row>
    <row r="118" spans="1:31" x14ac:dyDescent="0.2">
      <c r="B118" s="20" t="s">
        <v>333</v>
      </c>
      <c r="C118" s="25"/>
      <c r="D118" s="25"/>
      <c r="E118" s="25"/>
      <c r="F118" s="25"/>
      <c r="G118" s="25"/>
      <c r="H118" s="25"/>
      <c r="I118" s="25"/>
      <c r="J118" s="25"/>
      <c r="K118" s="25"/>
      <c r="L118" s="25"/>
      <c r="M118" s="147">
        <f>M58+M59</f>
        <v>-11829</v>
      </c>
      <c r="N118" s="147">
        <f>N58+N59</f>
        <v>-23815</v>
      </c>
      <c r="O118" s="147">
        <f>O58+O59</f>
        <v>-7342</v>
      </c>
      <c r="P118" s="147">
        <f>P58+P59</f>
        <v>-14923</v>
      </c>
      <c r="Q118" s="147">
        <f>Q58+Q59</f>
        <v>-19048</v>
      </c>
      <c r="T118" s="147">
        <f t="shared" ref="T118:AA118" si="68">T58+T59</f>
        <v>-1418</v>
      </c>
      <c r="U118" s="147">
        <f t="shared" si="68"/>
        <v>-4875</v>
      </c>
      <c r="V118" s="147">
        <f t="shared" si="68"/>
        <v>0</v>
      </c>
      <c r="W118" s="147">
        <f t="shared" si="68"/>
        <v>-12832</v>
      </c>
      <c r="X118" s="147">
        <f t="shared" si="68"/>
        <v>0</v>
      </c>
      <c r="Y118" s="147">
        <f t="shared" si="68"/>
        <v>-3164</v>
      </c>
      <c r="Z118" s="147">
        <f t="shared" si="68"/>
        <v>-3052</v>
      </c>
      <c r="AA118" s="147">
        <f t="shared" si="68"/>
        <v>-2684</v>
      </c>
      <c r="AC118" s="147">
        <f>AC58+AC59</f>
        <v>-8900</v>
      </c>
    </row>
    <row r="119" spans="1:31" x14ac:dyDescent="0.2">
      <c r="B119" s="20" t="s">
        <v>370</v>
      </c>
      <c r="C119" s="25"/>
      <c r="D119" s="25"/>
      <c r="E119" s="25"/>
      <c r="F119" s="25"/>
      <c r="G119" s="25"/>
      <c r="H119" s="25"/>
      <c r="I119" s="25"/>
      <c r="J119" s="25"/>
      <c r="K119" s="25"/>
      <c r="L119" s="25"/>
      <c r="M119" s="147">
        <f>M16+M17</f>
        <v>9752</v>
      </c>
      <c r="N119" s="147">
        <f>N16+N17</f>
        <v>4368</v>
      </c>
      <c r="O119" s="147">
        <f>O16+O17</f>
        <v>29760</v>
      </c>
      <c r="P119" s="147">
        <f>P16+P17</f>
        <v>72880</v>
      </c>
      <c r="Q119" s="147">
        <f>Q16+Q17</f>
        <v>120067</v>
      </c>
      <c r="T119" s="147">
        <f t="shared" ref="T119:AA119" si="69">T16+T17</f>
        <v>0</v>
      </c>
      <c r="U119" s="147">
        <f t="shared" si="69"/>
        <v>0</v>
      </c>
      <c r="V119" s="147">
        <f t="shared" si="69"/>
        <v>0</v>
      </c>
      <c r="W119" s="147">
        <f t="shared" si="69"/>
        <v>0</v>
      </c>
      <c r="X119" s="147">
        <f t="shared" si="69"/>
        <v>0</v>
      </c>
      <c r="Y119" s="147">
        <f t="shared" si="69"/>
        <v>0</v>
      </c>
      <c r="Z119" s="147">
        <f t="shared" si="69"/>
        <v>0</v>
      </c>
      <c r="AA119" s="147">
        <f t="shared" si="69"/>
        <v>0</v>
      </c>
      <c r="AC119" s="147">
        <f>AC16+AC17</f>
        <v>0</v>
      </c>
    </row>
    <row r="120" spans="1:31" x14ac:dyDescent="0.2">
      <c r="B120" s="20" t="s">
        <v>371</v>
      </c>
      <c r="C120" s="25"/>
      <c r="D120" s="25"/>
      <c r="E120" s="25"/>
      <c r="F120" s="25"/>
      <c r="G120" s="25"/>
      <c r="H120" s="25"/>
      <c r="I120" s="25"/>
      <c r="J120" s="25"/>
      <c r="K120" s="25"/>
      <c r="L120" s="25"/>
      <c r="M120" s="147">
        <f>M47+M46</f>
        <v>1921917</v>
      </c>
      <c r="N120" s="147">
        <f>N47+N46</f>
        <v>1920158</v>
      </c>
      <c r="O120" s="147">
        <f>O47+O46</f>
        <v>2016114</v>
      </c>
      <c r="P120" s="147">
        <f>P47+P46</f>
        <v>1845762</v>
      </c>
      <c r="Q120" s="147">
        <f>Q47+Q46</f>
        <v>2082587</v>
      </c>
      <c r="T120" s="147">
        <f t="shared" ref="T120:AA120" si="70">T47+T46</f>
        <v>1833581</v>
      </c>
      <c r="U120" s="147">
        <f t="shared" si="70"/>
        <v>1731845</v>
      </c>
      <c r="V120" s="147">
        <f t="shared" si="70"/>
        <v>1845762</v>
      </c>
      <c r="W120" s="147">
        <f t="shared" si="70"/>
        <v>1698461</v>
      </c>
      <c r="X120" s="147">
        <f t="shared" si="70"/>
        <v>1665703</v>
      </c>
      <c r="Y120" s="147">
        <f t="shared" si="70"/>
        <v>1924617</v>
      </c>
      <c r="Z120" s="147">
        <f t="shared" si="70"/>
        <v>2082587</v>
      </c>
      <c r="AA120" s="147">
        <f t="shared" si="70"/>
        <v>1902965</v>
      </c>
      <c r="AC120" s="147">
        <f>AC47+AC46</f>
        <v>1902965</v>
      </c>
    </row>
    <row r="121" spans="1:31" x14ac:dyDescent="0.2">
      <c r="C121" s="57"/>
      <c r="D121" s="57"/>
      <c r="E121" s="57"/>
      <c r="F121" s="57"/>
      <c r="G121" s="57"/>
      <c r="H121" s="57"/>
      <c r="I121" s="57"/>
      <c r="J121" s="57"/>
      <c r="K121" s="57"/>
    </row>
    <row r="122" spans="1:31" x14ac:dyDescent="0.2">
      <c r="B122" s="1"/>
    </row>
    <row r="123" spans="1:31" s="15" customFormat="1" ht="17" thickBot="1" x14ac:dyDescent="0.25">
      <c r="A123" s="11"/>
      <c r="B123" s="14" t="s">
        <v>82</v>
      </c>
      <c r="R123" s="1"/>
      <c r="S123" s="1"/>
      <c r="AB123" s="1"/>
      <c r="AD123" s="1"/>
      <c r="AE123" s="1"/>
    </row>
    <row r="124" spans="1:31" x14ac:dyDescent="0.2">
      <c r="B124" s="20" t="s">
        <v>83</v>
      </c>
      <c r="C124" s="26"/>
      <c r="D124" s="26"/>
      <c r="E124" s="26"/>
      <c r="F124" s="26"/>
      <c r="G124" s="26"/>
      <c r="H124" s="26"/>
      <c r="I124" s="26"/>
      <c r="J124" s="26"/>
      <c r="K124" s="26"/>
      <c r="L124" s="26"/>
      <c r="M124" s="63">
        <v>33.43</v>
      </c>
      <c r="N124" s="63">
        <v>14.57</v>
      </c>
      <c r="O124" s="63">
        <v>23.85</v>
      </c>
      <c r="P124" s="63">
        <v>14.58</v>
      </c>
      <c r="Q124" s="63">
        <v>12.59</v>
      </c>
      <c r="T124" s="68"/>
      <c r="U124" s="68"/>
      <c r="V124" s="68"/>
      <c r="W124" s="68"/>
      <c r="X124" s="68"/>
      <c r="Y124" s="68"/>
      <c r="Z124" s="68"/>
      <c r="AA124" s="68"/>
      <c r="AC124" s="63">
        <f ca="1">Overview!C5</f>
        <v>214.75</v>
      </c>
    </row>
    <row r="125" spans="1:31" x14ac:dyDescent="0.2">
      <c r="B125" s="20" t="s">
        <v>386</v>
      </c>
      <c r="C125" s="26"/>
      <c r="D125" s="26"/>
      <c r="E125" s="26"/>
      <c r="F125" s="26"/>
      <c r="G125" s="26"/>
      <c r="H125" s="26"/>
      <c r="I125" s="26"/>
      <c r="J125" s="26"/>
      <c r="K125" s="26"/>
      <c r="L125" s="26"/>
      <c r="M125" s="65">
        <f>M124/M83</f>
        <v>3.343</v>
      </c>
      <c r="N125" s="65">
        <f t="shared" ref="N125:Q125" si="71">N124/N83</f>
        <v>1.4570000000000001</v>
      </c>
      <c r="O125" s="65">
        <f t="shared" si="71"/>
        <v>2.3850000000000002</v>
      </c>
      <c r="P125" s="65">
        <f t="shared" si="71"/>
        <v>14.58</v>
      </c>
      <c r="Q125" s="65">
        <f t="shared" si="71"/>
        <v>12.59</v>
      </c>
      <c r="T125" s="68"/>
      <c r="U125" s="68"/>
      <c r="V125" s="68"/>
      <c r="W125" s="68"/>
      <c r="X125" s="68"/>
      <c r="Y125" s="68"/>
      <c r="Z125" s="68"/>
      <c r="AA125" s="68"/>
      <c r="AC125" s="65">
        <f t="shared" ref="AC125" ca="1" si="72">AC124/AC83</f>
        <v>214.75</v>
      </c>
    </row>
    <row r="127" spans="1:31" x14ac:dyDescent="0.2">
      <c r="B127" s="1"/>
    </row>
    <row r="128" spans="1:31" ht="17" thickBot="1" x14ac:dyDescent="0.25">
      <c r="B128" s="14" t="s">
        <v>106</v>
      </c>
      <c r="C128" s="15"/>
      <c r="D128" s="15"/>
      <c r="E128" s="15"/>
      <c r="F128" s="15"/>
      <c r="G128" s="15"/>
      <c r="H128" s="15"/>
      <c r="I128" s="15"/>
      <c r="J128" s="15"/>
      <c r="K128" s="15"/>
      <c r="L128" s="15"/>
      <c r="M128" s="15"/>
      <c r="N128" s="15"/>
      <c r="O128" s="15"/>
      <c r="P128" s="15"/>
      <c r="Q128" s="15"/>
      <c r="T128" s="15"/>
      <c r="U128" s="15"/>
      <c r="V128" s="15"/>
      <c r="W128" s="15"/>
      <c r="X128" s="15"/>
      <c r="Y128" s="15"/>
      <c r="Z128" s="15"/>
      <c r="AA128" s="15"/>
      <c r="AC128" s="15"/>
    </row>
    <row r="129" spans="1:31" x14ac:dyDescent="0.2">
      <c r="B129" s="20" t="s">
        <v>100</v>
      </c>
      <c r="M129" s="74">
        <f>M119/M5</f>
        <v>0.36233930296499961</v>
      </c>
      <c r="N129" s="74">
        <f>N119/N5</f>
        <v>0.16193371394676356</v>
      </c>
      <c r="O129" s="74">
        <f>O119/O5</f>
        <v>0.4884934834706674</v>
      </c>
      <c r="P129" s="74">
        <f>P119/P5</f>
        <v>0.55848027157712443</v>
      </c>
      <c r="Q129" s="74">
        <f>Q119/Q5</f>
        <v>0.55602534060702613</v>
      </c>
      <c r="T129" s="77"/>
      <c r="U129" s="77"/>
      <c r="V129" s="77"/>
      <c r="W129" s="77"/>
      <c r="X129" s="77"/>
      <c r="Y129" s="77"/>
      <c r="Z129" s="77"/>
      <c r="AA129" s="77"/>
      <c r="AC129" s="74" t="e">
        <f>AC119/AC5</f>
        <v>#DIV/0!</v>
      </c>
    </row>
    <row r="130" spans="1:31" x14ac:dyDescent="0.2">
      <c r="B130" s="20" t="s">
        <v>101</v>
      </c>
      <c r="M130" s="75">
        <f>M5/M35</f>
        <v>1.0462399657913662E-2</v>
      </c>
      <c r="N130" s="75">
        <f>N5/N35</f>
        <v>9.8617800633663422E-3</v>
      </c>
      <c r="O130" s="75">
        <f>O5/O35</f>
        <v>2.0618270599487336E-2</v>
      </c>
      <c r="P130" s="75">
        <f>P5/P35</f>
        <v>4.5544398957166339E-2</v>
      </c>
      <c r="Q130" s="75">
        <f>Q5/Q35</f>
        <v>6.792211877201812E-2</v>
      </c>
      <c r="T130" s="78"/>
      <c r="U130" s="78"/>
      <c r="V130" s="78"/>
      <c r="W130" s="78"/>
      <c r="X130" s="78"/>
      <c r="Y130" s="78"/>
      <c r="Z130" s="78"/>
      <c r="AA130" s="78"/>
      <c r="AC130" s="75">
        <f>AC5/AC35</f>
        <v>0</v>
      </c>
    </row>
    <row r="131" spans="1:31" x14ac:dyDescent="0.2">
      <c r="B131" s="32" t="s">
        <v>102</v>
      </c>
      <c r="M131" s="76">
        <f t="shared" ref="M131:P131" si="73">M129*M130</f>
        <v>3.7909385993896865E-3</v>
      </c>
      <c r="N131" s="76">
        <f t="shared" si="73"/>
        <v>1.5969546717870611E-3</v>
      </c>
      <c r="O131" s="76">
        <f t="shared" si="73"/>
        <v>1.0071890828284415E-2</v>
      </c>
      <c r="P131" s="76">
        <f t="shared" si="73"/>
        <v>2.5435648298415159E-2</v>
      </c>
      <c r="Q131" s="76">
        <f>Q129*Q130</f>
        <v>3.776641922496226E-2</v>
      </c>
      <c r="T131" s="79"/>
      <c r="U131" s="79"/>
      <c r="V131" s="79"/>
      <c r="W131" s="79"/>
      <c r="X131" s="79"/>
      <c r="Y131" s="79"/>
      <c r="Z131" s="79"/>
      <c r="AA131" s="79"/>
      <c r="AC131" s="76" t="e">
        <f>AC129*AC130</f>
        <v>#DIV/0!</v>
      </c>
    </row>
    <row r="132" spans="1:31" x14ac:dyDescent="0.2">
      <c r="B132" s="20" t="s">
        <v>103</v>
      </c>
      <c r="M132" s="75">
        <f>M35/M47</f>
        <v>1.3384813183920012</v>
      </c>
      <c r="N132" s="75">
        <f>N35/N47</f>
        <v>1.4244692363857558</v>
      </c>
      <c r="O132" s="75">
        <f>O35/O47</f>
        <v>1.4655708952965953</v>
      </c>
      <c r="P132" s="75">
        <f>P35/P47</f>
        <v>1.5523507364438103</v>
      </c>
      <c r="Q132" s="75">
        <f>Q35/Q47</f>
        <v>1.526562875884657</v>
      </c>
      <c r="T132" s="80"/>
      <c r="U132" s="80"/>
      <c r="V132" s="80"/>
      <c r="W132" s="80"/>
      <c r="X132" s="80"/>
      <c r="Y132" s="80"/>
      <c r="Z132" s="80"/>
      <c r="AA132" s="80"/>
      <c r="AC132" s="75">
        <f>AC35/AC47</f>
        <v>1.5264074746513994</v>
      </c>
    </row>
    <row r="133" spans="1:31" x14ac:dyDescent="0.2">
      <c r="B133" s="32" t="s">
        <v>104</v>
      </c>
      <c r="M133" s="76">
        <f t="shared" ref="M133:P133" si="74">M131*M132</f>
        <v>5.0741004944542343E-3</v>
      </c>
      <c r="N133" s="76">
        <f t="shared" si="74"/>
        <v>2.2748128018631802E-3</v>
      </c>
      <c r="O133" s="76">
        <f t="shared" si="74"/>
        <v>1.4761070058538358E-2</v>
      </c>
      <c r="P133" s="76">
        <f t="shared" si="74"/>
        <v>3.9485047367970524E-2</v>
      </c>
      <c r="Q133" s="76">
        <f>Q131*Q132</f>
        <v>5.7652813543923986E-2</v>
      </c>
      <c r="T133" s="79"/>
      <c r="U133" s="79"/>
      <c r="V133" s="79"/>
      <c r="W133" s="79"/>
      <c r="X133" s="79"/>
      <c r="Y133" s="79"/>
      <c r="Z133" s="79"/>
      <c r="AA133" s="79"/>
      <c r="AC133" s="76" t="e">
        <f>AC131*AC132</f>
        <v>#DIV/0!</v>
      </c>
    </row>
    <row r="135" spans="1:31" x14ac:dyDescent="0.2">
      <c r="B135" s="1"/>
    </row>
    <row r="136" spans="1:31" s="15" customFormat="1" ht="17" thickBot="1" x14ac:dyDescent="0.25">
      <c r="A136" s="11"/>
      <c r="B136" s="14" t="s">
        <v>110</v>
      </c>
      <c r="R136" s="1"/>
      <c r="S136" s="1"/>
      <c r="AB136" s="1"/>
      <c r="AD136" s="1"/>
      <c r="AE136" s="1"/>
    </row>
    <row r="137" spans="1:31" x14ac:dyDescent="0.2">
      <c r="B137" s="20" t="s">
        <v>111</v>
      </c>
      <c r="C137" s="62"/>
      <c r="D137" s="62"/>
      <c r="E137" s="62"/>
      <c r="F137" s="62"/>
      <c r="G137" s="62"/>
      <c r="H137" s="62"/>
      <c r="I137" s="62"/>
      <c r="J137" s="62"/>
      <c r="K137" s="62"/>
      <c r="L137" s="62"/>
      <c r="M137" s="62">
        <v>925276</v>
      </c>
      <c r="N137" s="62">
        <v>1203845</v>
      </c>
      <c r="O137" s="62">
        <v>1463698</v>
      </c>
      <c r="P137" s="62">
        <v>1666136</v>
      </c>
      <c r="Q137" s="62">
        <v>1852567</v>
      </c>
      <c r="T137" s="62">
        <v>1550605</v>
      </c>
      <c r="U137" s="62">
        <v>1606561</v>
      </c>
      <c r="V137" s="62">
        <v>1666136</v>
      </c>
      <c r="W137" s="62">
        <v>1692683</v>
      </c>
      <c r="X137" s="62">
        <v>1723401</v>
      </c>
      <c r="Y137" s="62">
        <v>1782384</v>
      </c>
      <c r="Z137" s="62">
        <v>1852567</v>
      </c>
      <c r="AA137" s="62">
        <v>1901211</v>
      </c>
      <c r="AC137" s="62">
        <f>AA137</f>
        <v>1901211</v>
      </c>
    </row>
    <row r="138" spans="1:31" x14ac:dyDescent="0.2">
      <c r="B138" s="20" t="s">
        <v>112</v>
      </c>
      <c r="C138" s="62"/>
      <c r="D138" s="62"/>
      <c r="E138" s="62"/>
      <c r="F138" s="62"/>
      <c r="G138" s="62"/>
      <c r="H138" s="62"/>
      <c r="I138" s="62"/>
      <c r="J138" s="62"/>
      <c r="K138" s="62"/>
      <c r="L138" s="62"/>
      <c r="M138" s="62">
        <v>344793</v>
      </c>
      <c r="N138" s="62">
        <v>278569</v>
      </c>
      <c r="O138" s="62">
        <v>259853</v>
      </c>
      <c r="P138" s="62">
        <v>202438</v>
      </c>
      <c r="Q138" s="62">
        <v>186431</v>
      </c>
      <c r="T138" s="62">
        <v>43000</v>
      </c>
      <c r="U138" s="62">
        <v>56000</v>
      </c>
      <c r="V138" s="62">
        <v>60000</v>
      </c>
      <c r="W138" s="62">
        <v>27000</v>
      </c>
      <c r="X138" s="62">
        <v>31000</v>
      </c>
      <c r="Y138" s="62">
        <v>59000</v>
      </c>
      <c r="Z138" s="62">
        <v>70000</v>
      </c>
      <c r="AA138" s="62">
        <v>49000</v>
      </c>
      <c r="AC138" s="83">
        <f>SUM(X138:AA138)</f>
        <v>209000</v>
      </c>
    </row>
    <row r="139" spans="1:31" x14ac:dyDescent="0.2">
      <c r="B139" s="20" t="s">
        <v>113</v>
      </c>
      <c r="C139" s="57"/>
      <c r="D139" s="57"/>
      <c r="E139" s="57"/>
      <c r="F139" s="57"/>
      <c r="G139" s="57"/>
      <c r="H139" s="57"/>
      <c r="I139" s="57"/>
      <c r="J139" s="57"/>
      <c r="K139" s="57"/>
      <c r="L139" s="82"/>
      <c r="M139" s="82">
        <v>1.45</v>
      </c>
      <c r="N139" s="82">
        <v>1.23</v>
      </c>
      <c r="O139" s="82">
        <v>1.19</v>
      </c>
      <c r="P139" s="82">
        <v>1.1000000000000001</v>
      </c>
      <c r="Q139" s="82">
        <v>1.07</v>
      </c>
      <c r="T139" s="82">
        <v>1.1499999999999999</v>
      </c>
      <c r="U139" s="82">
        <v>1.1299999999999999</v>
      </c>
      <c r="V139" s="82">
        <v>1.1000000000000001</v>
      </c>
      <c r="W139" s="82">
        <v>1.08</v>
      </c>
      <c r="X139" s="82">
        <v>1.08</v>
      </c>
      <c r="Y139" s="82">
        <v>1.07</v>
      </c>
      <c r="Z139" s="82">
        <v>1.07</v>
      </c>
      <c r="AA139" s="82">
        <v>1.0900000000000001</v>
      </c>
      <c r="AC139" s="82">
        <f>AA139</f>
        <v>1.0900000000000001</v>
      </c>
    </row>
    <row r="140" spans="1:31" x14ac:dyDescent="0.2">
      <c r="B140" s="20" t="s">
        <v>114</v>
      </c>
      <c r="M140" s="62">
        <v>158</v>
      </c>
      <c r="N140" s="62">
        <v>229</v>
      </c>
      <c r="O140" s="62">
        <v>288</v>
      </c>
      <c r="P140" s="62">
        <v>317</v>
      </c>
      <c r="Q140" s="62">
        <v>357</v>
      </c>
      <c r="T140" s="62">
        <v>293</v>
      </c>
      <c r="U140" s="62">
        <v>302</v>
      </c>
      <c r="V140" s="62">
        <v>317</v>
      </c>
      <c r="W140" s="62">
        <v>316</v>
      </c>
      <c r="X140" s="62">
        <v>320</v>
      </c>
      <c r="Y140" s="62">
        <v>333</v>
      </c>
      <c r="Z140" s="62">
        <v>357</v>
      </c>
      <c r="AA140" s="62">
        <v>374</v>
      </c>
      <c r="AC140" s="62">
        <f>AA140</f>
        <v>374</v>
      </c>
    </row>
    <row r="141" spans="1:31" x14ac:dyDescent="0.2">
      <c r="B141" s="20" t="s">
        <v>115</v>
      </c>
      <c r="M141" s="62">
        <v>1493</v>
      </c>
      <c r="N141" s="62">
        <v>1785</v>
      </c>
      <c r="O141" s="62">
        <v>2054</v>
      </c>
      <c r="P141" s="62">
        <v>2292</v>
      </c>
      <c r="Q141" s="62">
        <v>2565</v>
      </c>
      <c r="T141" s="62">
        <v>2163</v>
      </c>
      <c r="U141" s="62">
        <v>2235</v>
      </c>
      <c r="V141" s="62">
        <v>2292</v>
      </c>
      <c r="W141" s="62">
        <v>2365</v>
      </c>
      <c r="X141" s="62">
        <v>2432</v>
      </c>
      <c r="Y141" s="62">
        <v>2506</v>
      </c>
      <c r="Z141" s="62">
        <v>2565</v>
      </c>
      <c r="AA141" s="62">
        <v>2624</v>
      </c>
      <c r="AC141" s="62">
        <f>AA141</f>
        <v>2624</v>
      </c>
    </row>
    <row r="143" spans="1:31" x14ac:dyDescent="0.2">
      <c r="B143" s="1"/>
    </row>
    <row r="144" spans="1:31" ht="17" thickBot="1" x14ac:dyDescent="0.25">
      <c r="B144" s="14" t="s">
        <v>258</v>
      </c>
      <c r="C144" s="194"/>
      <c r="D144" s="194"/>
      <c r="E144" s="194"/>
      <c r="F144" s="194"/>
      <c r="G144" s="194"/>
      <c r="H144" s="194"/>
      <c r="I144" s="194"/>
      <c r="J144" s="194"/>
      <c r="K144" s="194"/>
      <c r="L144" s="194"/>
      <c r="M144" s="194"/>
      <c r="N144" s="194"/>
      <c r="O144" s="194"/>
      <c r="P144" s="194"/>
      <c r="Q144" s="194"/>
      <c r="T144" s="194"/>
      <c r="U144" s="194"/>
      <c r="V144" s="194"/>
      <c r="W144" s="194"/>
      <c r="X144" s="194"/>
      <c r="Y144" s="194"/>
      <c r="Z144" s="194"/>
      <c r="AA144" s="194"/>
      <c r="AC144" s="194"/>
    </row>
    <row r="145" spans="2:29" x14ac:dyDescent="0.2">
      <c r="B145" s="20" t="s">
        <v>259</v>
      </c>
      <c r="C145" s="49"/>
      <c r="D145" s="49"/>
      <c r="E145" s="49"/>
      <c r="F145" s="49"/>
      <c r="G145" s="49"/>
      <c r="H145" s="49"/>
      <c r="I145" s="49"/>
      <c r="J145" s="49"/>
      <c r="K145" s="49"/>
      <c r="L145" s="49"/>
      <c r="M145" s="49"/>
      <c r="N145" s="49"/>
      <c r="O145" s="49"/>
      <c r="P145" s="49"/>
      <c r="Q145" s="49"/>
      <c r="T145" s="21">
        <v>345000</v>
      </c>
      <c r="U145" s="21">
        <v>422000</v>
      </c>
      <c r="V145" s="21">
        <v>330000</v>
      </c>
      <c r="W145" s="21">
        <v>345000</v>
      </c>
      <c r="X145" s="21">
        <v>390000</v>
      </c>
      <c r="Y145" s="21">
        <v>462000</v>
      </c>
      <c r="Z145" s="21">
        <v>395000</v>
      </c>
      <c r="AA145" s="21">
        <v>395000</v>
      </c>
      <c r="AC145" s="49"/>
    </row>
    <row r="146" spans="2:29" x14ac:dyDescent="0.2">
      <c r="B146" s="20" t="s">
        <v>260</v>
      </c>
      <c r="C146" s="49"/>
      <c r="D146" s="49"/>
      <c r="E146" s="49"/>
      <c r="F146" s="49"/>
      <c r="G146" s="49"/>
      <c r="H146" s="49"/>
      <c r="I146" s="49"/>
      <c r="J146" s="49"/>
      <c r="K146" s="49"/>
      <c r="L146" s="49"/>
      <c r="M146" s="49"/>
      <c r="N146" s="49"/>
      <c r="O146" s="49"/>
      <c r="P146" s="49"/>
      <c r="Q146" s="49"/>
      <c r="T146" s="21">
        <v>350000</v>
      </c>
      <c r="U146" s="21">
        <v>427000</v>
      </c>
      <c r="V146" s="21">
        <v>335000</v>
      </c>
      <c r="W146" s="21">
        <v>350000</v>
      </c>
      <c r="X146" s="21">
        <v>395000</v>
      </c>
      <c r="Y146" s="21">
        <v>467000</v>
      </c>
      <c r="Z146" s="21">
        <v>400000</v>
      </c>
      <c r="AA146" s="21">
        <v>400000</v>
      </c>
      <c r="AC146" s="49"/>
    </row>
    <row r="147" spans="2:29" x14ac:dyDescent="0.2">
      <c r="B147" s="20" t="s">
        <v>261</v>
      </c>
      <c r="C147" s="49"/>
      <c r="D147" s="49"/>
      <c r="E147" s="49"/>
      <c r="F147" s="49"/>
      <c r="G147" s="49"/>
      <c r="H147" s="49"/>
      <c r="I147" s="49"/>
      <c r="J147" s="49"/>
      <c r="K147" s="49"/>
      <c r="L147" s="49"/>
      <c r="M147" s="49"/>
      <c r="N147" s="49"/>
      <c r="O147" s="49"/>
      <c r="P147" s="49"/>
      <c r="Q147" s="49"/>
      <c r="T147" s="25">
        <f t="shared" ref="T147:AA147" si="75">U5</f>
        <v>0</v>
      </c>
      <c r="U147" s="25">
        <f t="shared" si="75"/>
        <v>0</v>
      </c>
      <c r="V147" s="25">
        <f t="shared" si="75"/>
        <v>0</v>
      </c>
      <c r="W147" s="25">
        <f t="shared" si="75"/>
        <v>0</v>
      </c>
      <c r="X147" s="25">
        <f t="shared" si="75"/>
        <v>0</v>
      </c>
      <c r="Y147" s="25">
        <f t="shared" si="75"/>
        <v>0</v>
      </c>
      <c r="Z147" s="25">
        <f t="shared" si="75"/>
        <v>0</v>
      </c>
      <c r="AA147" s="25">
        <f t="shared" si="75"/>
        <v>0</v>
      </c>
      <c r="AC147" s="49"/>
    </row>
    <row r="148" spans="2:29" x14ac:dyDescent="0.2">
      <c r="B148" s="20" t="s">
        <v>209</v>
      </c>
      <c r="C148" s="49"/>
      <c r="D148" s="49"/>
      <c r="E148" s="49"/>
      <c r="F148" s="49"/>
      <c r="G148" s="49"/>
      <c r="H148" s="49"/>
      <c r="I148" s="49"/>
      <c r="J148" s="49"/>
      <c r="K148" s="49"/>
      <c r="L148" s="49"/>
      <c r="M148" s="49"/>
      <c r="N148" s="49"/>
      <c r="O148" s="49"/>
      <c r="P148" s="49"/>
      <c r="Q148" s="49"/>
      <c r="T148" s="195" t="str">
        <f t="shared" ref="T148:AA148" si="76">IF(U5&gt;T146, "BEAT", IF(U5&lt;T145, "MISSED", "MET"))</f>
        <v>MISSED</v>
      </c>
      <c r="U148" s="195" t="str">
        <f t="shared" si="76"/>
        <v>MISSED</v>
      </c>
      <c r="V148" s="195" t="str">
        <f t="shared" si="76"/>
        <v>MISSED</v>
      </c>
      <c r="W148" s="195" t="str">
        <f t="shared" si="76"/>
        <v>MISSED</v>
      </c>
      <c r="X148" s="195" t="str">
        <f t="shared" si="76"/>
        <v>MISSED</v>
      </c>
      <c r="Y148" s="195" t="str">
        <f t="shared" si="76"/>
        <v>MISSED</v>
      </c>
      <c r="Z148" s="195" t="str">
        <f t="shared" si="76"/>
        <v>MISSED</v>
      </c>
      <c r="AA148" s="195" t="str">
        <f t="shared" si="76"/>
        <v>MISSED</v>
      </c>
      <c r="AC148" s="49"/>
    </row>
    <row r="149" spans="2:29" x14ac:dyDescent="0.2">
      <c r="B149" s="20" t="s">
        <v>262</v>
      </c>
      <c r="C149" s="49"/>
      <c r="D149" s="49"/>
      <c r="E149" s="49"/>
      <c r="F149" s="49"/>
      <c r="G149" s="49"/>
      <c r="H149" s="49"/>
      <c r="I149" s="49"/>
      <c r="J149" s="49"/>
      <c r="K149" s="49"/>
      <c r="L149" s="49"/>
      <c r="M149" s="49"/>
      <c r="N149" s="49"/>
      <c r="O149" s="49"/>
      <c r="P149" s="49"/>
      <c r="Q149" s="49"/>
      <c r="T149" s="21">
        <v>1600000</v>
      </c>
      <c r="U149" s="21">
        <v>1669000</v>
      </c>
      <c r="V149" s="21">
        <v>1686000</v>
      </c>
      <c r="W149" s="21">
        <v>1715000</v>
      </c>
      <c r="X149" s="21">
        <v>1771000</v>
      </c>
      <c r="Y149" s="21">
        <v>1844000</v>
      </c>
      <c r="Z149" s="21">
        <v>1894000</v>
      </c>
      <c r="AA149" s="21">
        <v>1929000</v>
      </c>
      <c r="AC149" s="49"/>
    </row>
    <row r="150" spans="2:29" x14ac:dyDescent="0.2">
      <c r="B150" s="20" t="s">
        <v>263</v>
      </c>
      <c r="C150" s="49"/>
      <c r="D150" s="49"/>
      <c r="E150" s="49"/>
      <c r="F150" s="49"/>
      <c r="G150" s="49"/>
      <c r="H150" s="49"/>
      <c r="I150" s="49"/>
      <c r="J150" s="49"/>
      <c r="K150" s="49"/>
      <c r="L150" s="49"/>
      <c r="M150" s="49"/>
      <c r="N150" s="49"/>
      <c r="O150" s="49"/>
      <c r="P150" s="49"/>
      <c r="Q150" s="49"/>
      <c r="T150" s="21">
        <v>1605000</v>
      </c>
      <c r="U150" s="21">
        <v>1674000</v>
      </c>
      <c r="V150" s="21">
        <v>1691000</v>
      </c>
      <c r="W150" s="21">
        <v>1720000</v>
      </c>
      <c r="X150" s="21">
        <v>1776000</v>
      </c>
      <c r="Y150" s="21">
        <v>1849000</v>
      </c>
      <c r="Z150" s="21">
        <v>1899000</v>
      </c>
      <c r="AA150" s="21">
        <v>1934000</v>
      </c>
      <c r="AC150" s="49"/>
    </row>
    <row r="151" spans="2:29" x14ac:dyDescent="0.2">
      <c r="B151" s="20" t="s">
        <v>264</v>
      </c>
      <c r="C151" s="49"/>
      <c r="D151" s="49"/>
      <c r="E151" s="49"/>
      <c r="F151" s="49"/>
      <c r="G151" s="49"/>
      <c r="H151" s="49"/>
      <c r="I151" s="49"/>
      <c r="J151" s="49"/>
      <c r="K151" s="49"/>
      <c r="L151" s="49"/>
      <c r="M151" s="49"/>
      <c r="N151" s="49"/>
      <c r="O151" s="49"/>
      <c r="P151" s="49"/>
      <c r="Q151" s="49"/>
      <c r="T151" s="25">
        <f t="shared" ref="T151" si="77">U137</f>
        <v>1606561</v>
      </c>
      <c r="U151" s="25">
        <f t="shared" ref="U151" si="78">V137</f>
        <v>1666136</v>
      </c>
      <c r="V151" s="25">
        <f t="shared" ref="V151" si="79">W137</f>
        <v>1692683</v>
      </c>
      <c r="W151" s="25">
        <f t="shared" ref="W151" si="80">X137</f>
        <v>1723401</v>
      </c>
      <c r="X151" s="25">
        <f t="shared" ref="X151" si="81">Y137</f>
        <v>1782384</v>
      </c>
      <c r="Y151" s="25">
        <f t="shared" ref="Y151" si="82">Z137</f>
        <v>1852567</v>
      </c>
      <c r="Z151" s="25">
        <f t="shared" ref="Z151" si="83">AA137</f>
        <v>1901211</v>
      </c>
      <c r="AA151" s="25">
        <f t="shared" ref="AA151" si="84">AB137</f>
        <v>0</v>
      </c>
      <c r="AC151" s="49"/>
    </row>
    <row r="152" spans="2:29" x14ac:dyDescent="0.2">
      <c r="B152" s="20" t="s">
        <v>209</v>
      </c>
      <c r="C152" s="49"/>
      <c r="D152" s="49"/>
      <c r="E152" s="49"/>
      <c r="F152" s="49"/>
      <c r="G152" s="49"/>
      <c r="H152" s="49"/>
      <c r="I152" s="49"/>
      <c r="J152" s="49"/>
      <c r="K152" s="49"/>
      <c r="L152" s="49"/>
      <c r="M152" s="49"/>
      <c r="N152" s="49"/>
      <c r="O152" s="49"/>
      <c r="P152" s="49"/>
      <c r="Q152" s="49"/>
      <c r="T152" s="195" t="str">
        <f t="shared" ref="T152" si="85">IF(U137&gt;T150, "BEAT", IF(U137&lt;T149, "MISSED", "MET"))</f>
        <v>BEAT</v>
      </c>
      <c r="U152" s="195" t="str">
        <f t="shared" ref="U152" si="86">IF(V137&gt;U150, "BEAT", IF(V137&lt;U149, "MISSED", "MET"))</f>
        <v>MISSED</v>
      </c>
      <c r="V152" s="195" t="str">
        <f t="shared" ref="V152" si="87">IF(W137&gt;V150, "BEAT", IF(W137&lt;V149, "MISSED", "MET"))</f>
        <v>BEAT</v>
      </c>
      <c r="W152" s="195" t="str">
        <f t="shared" ref="W152" si="88">IF(X137&gt;W150, "BEAT", IF(X137&lt;W149, "MISSED", "MET"))</f>
        <v>BEAT</v>
      </c>
      <c r="X152" s="195" t="str">
        <f t="shared" ref="X152" si="89">IF(Y137&gt;X150, "BEAT", IF(Y137&lt;X149, "MISSED", "MET"))</f>
        <v>BEAT</v>
      </c>
      <c r="Y152" s="195" t="str">
        <f t="shared" ref="Y152" si="90">IF(Z137&gt;Y150, "BEAT", IF(Z137&lt;Y149, "MISSED", "MET"))</f>
        <v>BEAT</v>
      </c>
      <c r="Z152" s="195" t="str">
        <f t="shared" ref="Z152" si="91">IF(AA137&gt;Z150, "BEAT", IF(AA137&lt;Z149, "MISSED", "MET"))</f>
        <v>BEAT</v>
      </c>
      <c r="AA152" s="195" t="str">
        <f t="shared" ref="AA152" si="92">IF(AB137&gt;AA150, "BEAT", IF(AB137&lt;AA149, "MISSED", "MET"))</f>
        <v>MISSED</v>
      </c>
      <c r="AC152" s="49"/>
    </row>
    <row r="154" spans="2:29" x14ac:dyDescent="0.2">
      <c r="B154" s="1"/>
    </row>
    <row r="155" spans="2:29" ht="17" thickBot="1" x14ac:dyDescent="0.25">
      <c r="B155" s="14" t="s">
        <v>281</v>
      </c>
      <c r="C155" s="194"/>
      <c r="D155" s="194"/>
      <c r="E155" s="194"/>
      <c r="F155" s="194"/>
      <c r="G155" s="194"/>
      <c r="H155" s="194"/>
      <c r="I155" s="194"/>
      <c r="J155" s="194"/>
      <c r="K155" s="194"/>
      <c r="L155" s="194"/>
      <c r="M155" s="194"/>
      <c r="N155" s="194"/>
      <c r="O155" s="194"/>
      <c r="P155" s="194"/>
      <c r="Q155" s="194"/>
      <c r="T155" s="194"/>
      <c r="U155" s="194"/>
      <c r="V155" s="194"/>
      <c r="W155" s="194"/>
      <c r="X155" s="194"/>
      <c r="Y155" s="194"/>
      <c r="Z155" s="194"/>
      <c r="AA155" s="194"/>
      <c r="AC155" s="194"/>
    </row>
    <row r="156" spans="2:29" x14ac:dyDescent="0.2">
      <c r="B156" s="20" t="s">
        <v>105</v>
      </c>
      <c r="C156" s="81"/>
      <c r="D156" s="81"/>
      <c r="E156" s="81"/>
      <c r="F156" s="81"/>
      <c r="G156" s="81"/>
      <c r="H156" s="81"/>
      <c r="I156" s="81"/>
      <c r="J156" s="81"/>
      <c r="K156" s="81"/>
      <c r="L156" s="81"/>
      <c r="M156" s="81">
        <f>M117/(M116+M120-M115)</f>
        <v>0.17348748230478239</v>
      </c>
      <c r="N156" s="81">
        <f>N117/(N116+N120-N115)</f>
        <v>2.5872048510090957E-2</v>
      </c>
      <c r="O156" s="81">
        <f>O117/(O116+O120-O115)</f>
        <v>0.21289385210613934</v>
      </c>
      <c r="P156" s="81">
        <f>P117/(P116+P120-P115)</f>
        <v>0.32670643787855347</v>
      </c>
      <c r="Q156" s="81">
        <f>Q117/(Q116+Q120-Q115)</f>
        <v>0.18140667526153839</v>
      </c>
      <c r="T156" s="49"/>
      <c r="U156" s="49"/>
      <c r="V156" s="49"/>
      <c r="W156" s="49"/>
      <c r="X156" s="49"/>
      <c r="Y156" s="49"/>
      <c r="Z156" s="49"/>
      <c r="AA156" s="49"/>
      <c r="AC156" s="81">
        <f>AC117/(AC116+AC120-AC115)</f>
        <v>0</v>
      </c>
    </row>
    <row r="157" spans="2:29" x14ac:dyDescent="0.2">
      <c r="B157" s="20" t="s">
        <v>161</v>
      </c>
      <c r="M157" s="139">
        <f t="shared" ref="M157:Q158" si="93">M29/M5*365</f>
        <v>4432.2261648212825</v>
      </c>
      <c r="N157" s="139">
        <f t="shared" si="93"/>
        <v>6000.9307110550908</v>
      </c>
      <c r="O157" s="139">
        <f t="shared" si="93"/>
        <v>3118.4128065395098</v>
      </c>
      <c r="P157" s="139">
        <f t="shared" si="93"/>
        <v>1510.0047510670743</v>
      </c>
      <c r="Q157" s="139">
        <f t="shared" si="93"/>
        <v>981.56565773509055</v>
      </c>
      <c r="T157" s="139" t="e">
        <f t="shared" ref="T157:AA157" si="94">T29/T5*90</f>
        <v>#DIV/0!</v>
      </c>
      <c r="U157" s="139" t="e">
        <f t="shared" si="94"/>
        <v>#DIV/0!</v>
      </c>
      <c r="V157" s="139" t="e">
        <f t="shared" si="94"/>
        <v>#DIV/0!</v>
      </c>
      <c r="W157" s="139" t="e">
        <f t="shared" si="94"/>
        <v>#DIV/0!</v>
      </c>
      <c r="X157" s="139" t="e">
        <f t="shared" si="94"/>
        <v>#DIV/0!</v>
      </c>
      <c r="Y157" s="139" t="e">
        <f t="shared" si="94"/>
        <v>#DIV/0!</v>
      </c>
      <c r="Z157" s="139" t="e">
        <f t="shared" si="94"/>
        <v>#DIV/0!</v>
      </c>
      <c r="AA157" s="139" t="e">
        <f t="shared" si="94"/>
        <v>#DIV/0!</v>
      </c>
      <c r="AC157" s="139" t="e">
        <f>AC29/AC5*365</f>
        <v>#DIV/0!</v>
      </c>
    </row>
    <row r="158" spans="2:29" x14ac:dyDescent="0.2">
      <c r="B158" s="20" t="s">
        <v>162</v>
      </c>
      <c r="M158" s="139">
        <f t="shared" si="93"/>
        <v>0</v>
      </c>
      <c r="N158" s="139">
        <f t="shared" si="93"/>
        <v>0</v>
      </c>
      <c r="O158" s="139">
        <f t="shared" si="93"/>
        <v>0</v>
      </c>
      <c r="P158" s="139">
        <f t="shared" si="93"/>
        <v>0</v>
      </c>
      <c r="Q158" s="139">
        <f t="shared" si="93"/>
        <v>0</v>
      </c>
      <c r="T158" s="139" t="e">
        <f t="shared" ref="T158:AA158" si="95">T30/T6*365</f>
        <v>#DIV/0!</v>
      </c>
      <c r="U158" s="139" t="e">
        <f t="shared" si="95"/>
        <v>#DIV/0!</v>
      </c>
      <c r="V158" s="139" t="e">
        <f t="shared" si="95"/>
        <v>#DIV/0!</v>
      </c>
      <c r="W158" s="139" t="e">
        <f t="shared" si="95"/>
        <v>#DIV/0!</v>
      </c>
      <c r="X158" s="139" t="e">
        <f t="shared" si="95"/>
        <v>#DIV/0!</v>
      </c>
      <c r="Y158" s="139" t="e">
        <f t="shared" si="95"/>
        <v>#DIV/0!</v>
      </c>
      <c r="Z158" s="139" t="e">
        <f t="shared" si="95"/>
        <v>#DIV/0!</v>
      </c>
      <c r="AA158" s="139" t="e">
        <f t="shared" si="95"/>
        <v>#DIV/0!</v>
      </c>
      <c r="AC158" s="139" t="e">
        <f>AC30/AC6*365</f>
        <v>#DIV/0!</v>
      </c>
    </row>
    <row r="159" spans="2:29" x14ac:dyDescent="0.2">
      <c r="B159" s="20" t="s">
        <v>163</v>
      </c>
      <c r="M159" s="139">
        <f>M36/M6*365</f>
        <v>445.27757177667127</v>
      </c>
      <c r="N159" s="139">
        <f>N36/N6*365</f>
        <v>279.32647615768633</v>
      </c>
      <c r="O159" s="139">
        <f>O36/O6*365</f>
        <v>75.696708982612364</v>
      </c>
      <c r="P159" s="139">
        <f>P36/P6*365</f>
        <v>371.02760501240846</v>
      </c>
      <c r="Q159" s="139">
        <f>Q36/Q6*365</f>
        <v>59.363985594237697</v>
      </c>
      <c r="T159" s="139" t="e">
        <f t="shared" ref="T159:AA159" si="96">T36/T6*90</f>
        <v>#DIV/0!</v>
      </c>
      <c r="U159" s="139" t="e">
        <f t="shared" si="96"/>
        <v>#DIV/0!</v>
      </c>
      <c r="V159" s="139" t="e">
        <f t="shared" si="96"/>
        <v>#DIV/0!</v>
      </c>
      <c r="W159" s="139" t="e">
        <f t="shared" si="96"/>
        <v>#DIV/0!</v>
      </c>
      <c r="X159" s="139" t="e">
        <f t="shared" si="96"/>
        <v>#DIV/0!</v>
      </c>
      <c r="Y159" s="139" t="e">
        <f t="shared" si="96"/>
        <v>#DIV/0!</v>
      </c>
      <c r="Z159" s="139" t="e">
        <f t="shared" si="96"/>
        <v>#DIV/0!</v>
      </c>
      <c r="AA159" s="139" t="e">
        <f t="shared" si="96"/>
        <v>#DIV/0!</v>
      </c>
      <c r="AC159" s="139" t="e">
        <f>AC36/AC6*365</f>
        <v>#DIV/0!</v>
      </c>
    </row>
    <row r="160" spans="2:29" x14ac:dyDescent="0.2">
      <c r="B160" s="20" t="s">
        <v>164</v>
      </c>
      <c r="M160" s="139">
        <f>M157+M158-M159</f>
        <v>3986.9485930446112</v>
      </c>
      <c r="N160" s="139">
        <f t="shared" ref="N160:Q160" si="97">N157+N158-N159</f>
        <v>5721.6042348974042</v>
      </c>
      <c r="O160" s="139">
        <f t="shared" si="97"/>
        <v>3042.7160975568972</v>
      </c>
      <c r="P160" s="139">
        <f t="shared" si="97"/>
        <v>1138.9771460546658</v>
      </c>
      <c r="Q160" s="139">
        <f t="shared" si="97"/>
        <v>922.20167214085291</v>
      </c>
      <c r="T160" s="139" t="e">
        <f t="shared" ref="T160" si="98">T157+T158-T159</f>
        <v>#DIV/0!</v>
      </c>
      <c r="U160" s="139" t="e">
        <f t="shared" ref="U160" si="99">U157+U158-U159</f>
        <v>#DIV/0!</v>
      </c>
      <c r="V160" s="139" t="e">
        <f t="shared" ref="V160" si="100">V157+V158-V159</f>
        <v>#DIV/0!</v>
      </c>
      <c r="W160" s="139" t="e">
        <f t="shared" ref="W160" si="101">W157+W158-W159</f>
        <v>#DIV/0!</v>
      </c>
      <c r="X160" s="139" t="e">
        <f t="shared" ref="X160" si="102">X157+X158-X159</f>
        <v>#DIV/0!</v>
      </c>
      <c r="Y160" s="139" t="e">
        <f t="shared" ref="Y160" si="103">Y157+Y158-Y159</f>
        <v>#DIV/0!</v>
      </c>
      <c r="Z160" s="139" t="e">
        <f t="shared" ref="Z160:AA160" si="104">Z157+Z158-Z159</f>
        <v>#DIV/0!</v>
      </c>
      <c r="AA160" s="139" t="e">
        <f t="shared" si="104"/>
        <v>#DIV/0!</v>
      </c>
      <c r="AC160" s="139" t="e">
        <f t="shared" ref="AC160" si="105">AC157+AC158-AC159</f>
        <v>#DIV/0!</v>
      </c>
    </row>
    <row r="161" spans="2:29" x14ac:dyDescent="0.2">
      <c r="B161" s="20" t="s">
        <v>284</v>
      </c>
      <c r="M161" s="139">
        <f>M116/M47</f>
        <v>0</v>
      </c>
      <c r="N161" s="139">
        <f>N116/N47</f>
        <v>0</v>
      </c>
      <c r="O161" s="139">
        <f>O116/O47</f>
        <v>0</v>
      </c>
      <c r="P161" s="139">
        <f>P116/P47</f>
        <v>0</v>
      </c>
      <c r="Q161" s="139">
        <f>Q116/Q47</f>
        <v>0</v>
      </c>
      <c r="T161" s="139">
        <f t="shared" ref="T161:AA161" si="106">T116/T47</f>
        <v>0</v>
      </c>
      <c r="U161" s="139">
        <f t="shared" si="106"/>
        <v>0</v>
      </c>
      <c r="V161" s="139">
        <f t="shared" si="106"/>
        <v>0</v>
      </c>
      <c r="W161" s="139">
        <f t="shared" si="106"/>
        <v>0</v>
      </c>
      <c r="X161" s="139">
        <f t="shared" si="106"/>
        <v>0</v>
      </c>
      <c r="Y161" s="139">
        <f t="shared" si="106"/>
        <v>0</v>
      </c>
      <c r="Z161" s="139">
        <f t="shared" si="106"/>
        <v>0</v>
      </c>
      <c r="AA161" s="139">
        <f t="shared" si="106"/>
        <v>0</v>
      </c>
      <c r="AC161" s="139">
        <f>AC116/AC47</f>
        <v>0</v>
      </c>
    </row>
    <row r="162" spans="2:29" x14ac:dyDescent="0.2">
      <c r="B162" s="20" t="s">
        <v>288</v>
      </c>
      <c r="M162" s="203">
        <f>(M116-M115)/M47</f>
        <v>-0.97045814153264687</v>
      </c>
      <c r="N162" s="203">
        <f>(N116-N115)/N47</f>
        <v>-0.91497314283512088</v>
      </c>
      <c r="O162" s="203">
        <f>(O116-O115)/O47</f>
        <v>-0.93239915996813671</v>
      </c>
      <c r="P162" s="203">
        <f>(P116-P115)/P47</f>
        <v>-0.88284296675302665</v>
      </c>
      <c r="Q162" s="203">
        <f>(Q116-Q115)/Q47</f>
        <v>-0.70704657236408375</v>
      </c>
      <c r="T162" s="203">
        <f t="shared" ref="T162:AA162" si="107">(T116-T115)/T47</f>
        <v>-0.95080282790888426</v>
      </c>
      <c r="U162" s="203">
        <f t="shared" si="107"/>
        <v>-0.90599389668243979</v>
      </c>
      <c r="V162" s="203">
        <f t="shared" si="107"/>
        <v>-0.88284296675302665</v>
      </c>
      <c r="W162" s="203">
        <f t="shared" si="107"/>
        <v>-0.91555413989488132</v>
      </c>
      <c r="X162" s="203">
        <f t="shared" si="107"/>
        <v>-0.86899465270819587</v>
      </c>
      <c r="Y162" s="203">
        <f t="shared" si="107"/>
        <v>-0.72647492981720518</v>
      </c>
      <c r="Z162" s="203">
        <f t="shared" si="107"/>
        <v>-0.70704657236408375</v>
      </c>
      <c r="AA162" s="203">
        <f t="shared" si="107"/>
        <v>-0.68695115254353079</v>
      </c>
      <c r="AC162" s="203">
        <f>(AC116-AC115)/AC47</f>
        <v>-0.68695115254353079</v>
      </c>
    </row>
    <row r="163" spans="2:29" x14ac:dyDescent="0.2">
      <c r="B163" s="20" t="s">
        <v>285</v>
      </c>
      <c r="M163" s="139">
        <f>(M115+M29)/M38</f>
        <v>4.1553646343798398</v>
      </c>
      <c r="N163" s="139">
        <f>(N115+N29)/N38</f>
        <v>3.5124319181677128</v>
      </c>
      <c r="O163" s="139">
        <f>(O115+O29)/O38</f>
        <v>3.3726940484002186</v>
      </c>
      <c r="P163" s="139">
        <f>(P115+P29)/P38</f>
        <v>2.715395784308817</v>
      </c>
      <c r="Q163" s="139">
        <f>(Q115+Q29)/Q38</f>
        <v>2.2676594254840001</v>
      </c>
      <c r="T163" s="139">
        <f t="shared" ref="T163:AA163" si="108">(T115+T29)/T38</f>
        <v>3.3394102478565317</v>
      </c>
      <c r="U163" s="139">
        <f t="shared" si="108"/>
        <v>2.8974467736346341</v>
      </c>
      <c r="V163" s="139">
        <f t="shared" si="108"/>
        <v>2.715395784308817</v>
      </c>
      <c r="W163" s="139">
        <f t="shared" si="108"/>
        <v>2.6887704000882846</v>
      </c>
      <c r="X163" s="139">
        <f t="shared" si="108"/>
        <v>2.4846597518746183</v>
      </c>
      <c r="Y163" s="139">
        <f t="shared" si="108"/>
        <v>2.4017725370863445</v>
      </c>
      <c r="Z163" s="139">
        <f t="shared" si="108"/>
        <v>2.2676594254840001</v>
      </c>
      <c r="AA163" s="139">
        <f t="shared" si="108"/>
        <v>1.9325582625717537</v>
      </c>
      <c r="AC163" s="139">
        <f>(AC115+AC29)/AC38</f>
        <v>1.9325582625717537</v>
      </c>
    </row>
    <row r="164" spans="2:29" x14ac:dyDescent="0.2">
      <c r="B164" s="20" t="s">
        <v>286</v>
      </c>
      <c r="M164" s="139">
        <f>M31/M38</f>
        <v>4.3171501096680389</v>
      </c>
      <c r="N164" s="139">
        <f>N31/N38</f>
        <v>3.7423569563190795</v>
      </c>
      <c r="O164" s="139">
        <f>O31/O38</f>
        <v>3.6257476910625539</v>
      </c>
      <c r="P164" s="139">
        <f>P31/P38</f>
        <v>2.9271504030441093</v>
      </c>
      <c r="Q164" s="139">
        <f>Q31/Q38</f>
        <v>2.4783388537733191</v>
      </c>
      <c r="T164" s="139">
        <f t="shared" ref="T164:AA164" si="109">T31/T38</f>
        <v>3.5957679252114221</v>
      </c>
      <c r="U164" s="139">
        <f t="shared" si="109"/>
        <v>3.129493165083332</v>
      </c>
      <c r="V164" s="139">
        <f t="shared" si="109"/>
        <v>2.9271504030441093</v>
      </c>
      <c r="W164" s="139">
        <f t="shared" si="109"/>
        <v>2.9470125037192663</v>
      </c>
      <c r="X164" s="139">
        <f t="shared" si="109"/>
        <v>2.7501208666647705</v>
      </c>
      <c r="Y164" s="139">
        <f t="shared" si="109"/>
        <v>2.6541688855077976</v>
      </c>
      <c r="Z164" s="139">
        <f t="shared" si="109"/>
        <v>2.4783388537733191</v>
      </c>
      <c r="AA164" s="139">
        <f t="shared" si="109"/>
        <v>2.3066495444084523</v>
      </c>
      <c r="AC164" s="139">
        <f>AC31/AC38</f>
        <v>2.3066495444084523</v>
      </c>
    </row>
    <row r="165" spans="2:29" x14ac:dyDescent="0.2">
      <c r="B165" s="20" t="s">
        <v>292</v>
      </c>
      <c r="M165" s="205">
        <f>IF(M12&gt;=0,"N/A",IF(M11&lt;=0,"N/A",M11/-M12))</f>
        <v>48.507246376811594</v>
      </c>
      <c r="N165" s="205" t="str">
        <f>IF(N12&gt;=0,"N/A",IF(N11&lt;=0,"N/A",N11/-N12))</f>
        <v>N/A</v>
      </c>
      <c r="O165" s="205" t="str">
        <f>IF(O12&gt;=0,"N/A",IF(O11&lt;=0,"N/A",O11/-O12))</f>
        <v>N/A</v>
      </c>
      <c r="P165" s="205" t="str">
        <f>IF(P12&gt;=0,"N/A",IF(P11&lt;=0,"N/A",P11/-P12))</f>
        <v>N/A</v>
      </c>
      <c r="Q165" s="205" t="str">
        <f>IF(Q12&gt;=0,"N/A",IF(Q11&lt;=0,"N/A",Q11/-Q12))</f>
        <v>N/A</v>
      </c>
      <c r="T165" s="205" t="str">
        <f t="shared" ref="T165:AA165" si="110">IF(T12&gt;=0,"N/A",IF(T11&lt;=0,"N/A",T11/-T12))</f>
        <v>N/A</v>
      </c>
      <c r="U165" s="205" t="str">
        <f t="shared" si="110"/>
        <v>N/A</v>
      </c>
      <c r="V165" s="205" t="str">
        <f t="shared" si="110"/>
        <v>N/A</v>
      </c>
      <c r="W165" s="205" t="str">
        <f t="shared" si="110"/>
        <v>N/A</v>
      </c>
      <c r="X165" s="205" t="str">
        <f t="shared" si="110"/>
        <v>N/A</v>
      </c>
      <c r="Y165" s="205" t="str">
        <f t="shared" si="110"/>
        <v>N/A</v>
      </c>
      <c r="Z165" s="205" t="str">
        <f t="shared" si="110"/>
        <v>N/A</v>
      </c>
      <c r="AA165" s="205" t="str">
        <f t="shared" si="110"/>
        <v>N/A</v>
      </c>
      <c r="AC165" s="205" t="str">
        <f>IF(AC12&gt;=0,"N/A",IF(AC11&lt;=0,"N/A",AC11/-AC12))</f>
        <v>N/A</v>
      </c>
    </row>
    <row r="166" spans="2:29" x14ac:dyDescent="0.2">
      <c r="B166" s="20" t="s">
        <v>270</v>
      </c>
      <c r="M166" s="72">
        <f>M125/Statement!M25</f>
        <v>8.6831168831168828</v>
      </c>
      <c r="N166" s="72">
        <f>N125/Statement!N25</f>
        <v>8.3735632183908049</v>
      </c>
      <c r="O166" s="72">
        <f>O125/Statement!O25</f>
        <v>1.9991617770326908</v>
      </c>
      <c r="P166" s="72">
        <f>P125/Statement!P25</f>
        <v>4.9591836734693882</v>
      </c>
      <c r="Q166" s="72">
        <f>Q125/Statement!Q25</f>
        <v>2.5693877551020408</v>
      </c>
      <c r="T166" s="49"/>
      <c r="U166" s="49"/>
      <c r="V166" s="49"/>
      <c r="W166" s="49"/>
      <c r="X166" s="49"/>
      <c r="Y166" s="49"/>
      <c r="Z166" s="49"/>
      <c r="AA166" s="49"/>
      <c r="AC166" s="72" t="e">
        <f ca="1">AC125/Statement!AC25</f>
        <v>#DIV/0!</v>
      </c>
    </row>
    <row r="167" spans="2:29" x14ac:dyDescent="0.2">
      <c r="B167" s="20" t="s">
        <v>224</v>
      </c>
      <c r="M167" s="72">
        <f>M125/(Statement!M5/Statement!M21)</f>
        <v>3.1487348591810957</v>
      </c>
      <c r="N167" s="72">
        <f>N125/(Statement!N5/Statement!N21)</f>
        <v>1.3541554830577593</v>
      </c>
      <c r="O167" s="72">
        <f>O125/(Statement!O5/Statement!O21)</f>
        <v>0.97636157709858518</v>
      </c>
      <c r="P167" s="72">
        <f>P125/(Statement!P5/Statement!P21)</f>
        <v>2.7712692245798753</v>
      </c>
      <c r="Q167" s="72">
        <f>Q125/(Statement!Q5/Statement!Q21)</f>
        <v>1.4292586761014736</v>
      </c>
      <c r="T167" s="49"/>
      <c r="U167" s="49"/>
      <c r="V167" s="49"/>
      <c r="W167" s="49"/>
      <c r="X167" s="49"/>
      <c r="Y167" s="49"/>
      <c r="Z167" s="49"/>
      <c r="AA167" s="49"/>
      <c r="AC167" s="72" t="e">
        <f ca="1">AC125/(Statement!AC5/Statement!AC21)</f>
        <v>#DIV/0!</v>
      </c>
    </row>
    <row r="168" spans="2:29" x14ac:dyDescent="0.2">
      <c r="B168" s="20" t="s">
        <v>271</v>
      </c>
      <c r="M168" s="72">
        <f>M125/(Statement!M47/Statement!M73)</f>
        <v>9.4291282297830765</v>
      </c>
      <c r="N168" s="72">
        <f>N125/(Statement!N47/Statement!N73)</f>
        <v>4.2296795940750709</v>
      </c>
      <c r="O168" s="72">
        <f>O125/(Statement!O47/Statement!O73)</f>
        <v>6.7312463729729579</v>
      </c>
      <c r="P168" s="72">
        <f>P125/(Statement!P47/Statement!P73)</f>
        <v>4.3563406007925183</v>
      </c>
      <c r="Q168" s="72">
        <f>Q125/(Statement!Q47/Statement!Q73)</f>
        <v>3.1673000839820857</v>
      </c>
      <c r="T168" s="49"/>
      <c r="U168" s="49"/>
      <c r="V168" s="49"/>
      <c r="W168" s="49"/>
      <c r="X168" s="49"/>
      <c r="Y168" s="49"/>
      <c r="Z168" s="49"/>
      <c r="AA168" s="49"/>
      <c r="AC168" s="72">
        <f ca="1">AC125/(Statement!AC47/Statement!AC73)</f>
        <v>59.124707758681843</v>
      </c>
    </row>
    <row r="169" spans="2:29" x14ac:dyDescent="0.2">
      <c r="B169" s="20" t="s">
        <v>272</v>
      </c>
      <c r="M169" s="165">
        <f>Statement!M125*Statement!M76</f>
        <v>18122001.84</v>
      </c>
      <c r="N169" s="165">
        <f>Statement!N125*Statement!N76</f>
        <v>8121653.1100000003</v>
      </c>
      <c r="O169" s="165">
        <f>Statement!O125*Statement!O76</f>
        <v>13570960.050000001</v>
      </c>
      <c r="P169" s="165">
        <f>Statement!P125*Statement!P76</f>
        <v>8040767.9400000004</v>
      </c>
      <c r="Q169" s="165">
        <f>Statement!Q125*Statement!Q76</f>
        <v>6680971.6299999999</v>
      </c>
      <c r="T169" s="49"/>
      <c r="U169" s="49"/>
      <c r="V169" s="49"/>
      <c r="W169" s="49"/>
      <c r="X169" s="49"/>
      <c r="Y169" s="49"/>
      <c r="Z169" s="49"/>
      <c r="AA169" s="49"/>
      <c r="AC169" s="165">
        <f ca="1">Statement!AC125*Statement!AC76</f>
        <v>113421501</v>
      </c>
    </row>
    <row r="170" spans="2:29" x14ac:dyDescent="0.2">
      <c r="B170" s="20" t="s">
        <v>211</v>
      </c>
      <c r="M170" s="165">
        <f>M169+M116-M115+M46+M43</f>
        <v>16256861.84</v>
      </c>
      <c r="N170" s="165">
        <f>N169+N116-N115+N46+N43</f>
        <v>6364760.1100000003</v>
      </c>
      <c r="O170" s="165">
        <f>O169+O116-O115+O46+O43</f>
        <v>11691137.050000001</v>
      </c>
      <c r="P170" s="165">
        <f>P169+P116-P115+P46+P43</f>
        <v>6411249.9400000004</v>
      </c>
      <c r="Q170" s="165">
        <f>Q169+Q116-Q115+Q46+Q43</f>
        <v>5208485.63</v>
      </c>
      <c r="T170" s="49"/>
      <c r="U170" s="49"/>
      <c r="V170" s="49"/>
      <c r="W170" s="49"/>
      <c r="X170" s="49"/>
      <c r="Y170" s="49"/>
      <c r="Z170" s="49"/>
      <c r="AA170" s="49"/>
      <c r="AC170" s="165">
        <f ca="1">AC169+AC116-AC115+AC46+AC43</f>
        <v>112114257</v>
      </c>
    </row>
    <row r="171" spans="2:29" x14ac:dyDescent="0.2">
      <c r="B171" s="20" t="s">
        <v>293</v>
      </c>
      <c r="M171" s="207">
        <f>M170/M5</f>
        <v>604.0299412944936</v>
      </c>
      <c r="N171" s="207">
        <f>N170/N5</f>
        <v>235.95907577667384</v>
      </c>
      <c r="O171" s="207">
        <f>O170/O5</f>
        <v>191.90336906207941</v>
      </c>
      <c r="P171" s="207">
        <f>P170/P5</f>
        <v>49.12948144401787</v>
      </c>
      <c r="Q171" s="207">
        <f>Q170/Q5</f>
        <v>24.120282812659187</v>
      </c>
      <c r="T171" s="49"/>
      <c r="U171" s="49"/>
      <c r="V171" s="49"/>
      <c r="W171" s="49"/>
      <c r="X171" s="49"/>
      <c r="Y171" s="49"/>
      <c r="Z171" s="49"/>
      <c r="AA171" s="49"/>
      <c r="AC171" s="207" t="e">
        <f ca="1">AC170/AC5</f>
        <v>#DIV/0!</v>
      </c>
    </row>
    <row r="172" spans="2:29" x14ac:dyDescent="0.2">
      <c r="B172" s="20" t="s">
        <v>227</v>
      </c>
      <c r="M172" s="207">
        <f>M170/M11</f>
        <v>1619.0480868439399</v>
      </c>
      <c r="N172" s="207">
        <f>N170/N11</f>
        <v>1506.8087381628789</v>
      </c>
      <c r="O172" s="207">
        <f>O170/O11</f>
        <v>354.57773413805654</v>
      </c>
      <c r="P172" s="207">
        <f>P170/P11</f>
        <v>78.711035075442283</v>
      </c>
      <c r="Q172" s="207">
        <f>Q170/Q11</f>
        <v>39.94635684539103</v>
      </c>
      <c r="T172" s="49"/>
      <c r="U172" s="49"/>
      <c r="V172" s="49"/>
      <c r="W172" s="49"/>
      <c r="X172" s="49"/>
      <c r="Y172" s="49"/>
      <c r="Z172" s="49"/>
      <c r="AA172" s="49"/>
      <c r="AC172" s="207" t="e">
        <f ca="1">AC170/AC11</f>
        <v>#DIV/0!</v>
      </c>
    </row>
    <row r="173" spans="2:29" x14ac:dyDescent="0.2">
      <c r="B173" s="20" t="s">
        <v>294</v>
      </c>
      <c r="M173" s="64">
        <f>M57-M52+M118+M63</f>
        <v>-582375</v>
      </c>
      <c r="N173" s="64">
        <f>N57-N52+N118+N63</f>
        <v>-403636</v>
      </c>
      <c r="O173" s="64">
        <f>O57-O52+O118+O63</f>
        <v>-80215</v>
      </c>
      <c r="P173" s="64">
        <f>P57-P52+P118+P63</f>
        <v>-52509</v>
      </c>
      <c r="Q173" s="64">
        <f>Q57-Q52+Q118+Q63</f>
        <v>61484</v>
      </c>
      <c r="T173" s="64">
        <f>T57-T52+T118+T63</f>
        <v>-49347</v>
      </c>
      <c r="U173" s="64">
        <f t="shared" ref="U173:AA173" si="111">U57-U52+U118+U63</f>
        <v>-64293</v>
      </c>
      <c r="V173" s="64">
        <f t="shared" si="111"/>
        <v>0</v>
      </c>
      <c r="W173" s="64">
        <f t="shared" si="111"/>
        <v>29809</v>
      </c>
      <c r="X173" s="64">
        <f t="shared" si="111"/>
        <v>-36419</v>
      </c>
      <c r="Y173" s="64">
        <f t="shared" si="111"/>
        <v>-46368</v>
      </c>
      <c r="Z173" s="64">
        <f t="shared" si="111"/>
        <v>114462</v>
      </c>
      <c r="AA173" s="64">
        <f t="shared" si="111"/>
        <v>75934</v>
      </c>
      <c r="AC173" s="64">
        <f>AC57-AC52+AC118+AC63</f>
        <v>107609</v>
      </c>
    </row>
    <row r="174" spans="2:29" x14ac:dyDescent="0.2">
      <c r="B174" s="20" t="s">
        <v>295</v>
      </c>
      <c r="M174" s="64">
        <f t="shared" ref="M174:P174" si="112">M117+M51+M118+M53+M55+M56+M54</f>
        <v>-93175.901217181367</v>
      </c>
      <c r="N174" s="64">
        <f t="shared" si="112"/>
        <v>-147555</v>
      </c>
      <c r="O174" s="64">
        <f t="shared" si="112"/>
        <v>-22657.484002602163</v>
      </c>
      <c r="P174" s="64">
        <f t="shared" si="112"/>
        <v>31185.306952609913</v>
      </c>
      <c r="Q174" s="64">
        <f>Q117+Q51+Q118+Q53+Q55+Q56+Q54</f>
        <v>-40609.606016260164</v>
      </c>
      <c r="T174" s="49"/>
      <c r="U174" s="49"/>
      <c r="V174" s="49"/>
      <c r="W174" s="49"/>
      <c r="X174" s="49"/>
      <c r="Y174" s="49"/>
      <c r="Z174" s="49"/>
      <c r="AA174" s="49"/>
      <c r="AC174" s="64">
        <f>AC117+AC51+AC118+AC53+AC55+AC56</f>
        <v>-155394</v>
      </c>
    </row>
    <row r="175" spans="2:29" x14ac:dyDescent="0.2">
      <c r="B175" s="20" t="s">
        <v>296</v>
      </c>
      <c r="M175" s="72">
        <f>M169/M173</f>
        <v>-31.117410328396652</v>
      </c>
      <c r="N175" s="72">
        <f t="shared" ref="N175:Q175" si="113">N169/N173</f>
        <v>-20.121230787144853</v>
      </c>
      <c r="O175" s="72">
        <f t="shared" si="113"/>
        <v>-169.18232313158387</v>
      </c>
      <c r="P175" s="72">
        <f t="shared" si="113"/>
        <v>-153.13123350282808</v>
      </c>
      <c r="Q175" s="72">
        <f t="shared" si="113"/>
        <v>108.6619548175135</v>
      </c>
      <c r="T175" s="49"/>
      <c r="U175" s="49"/>
      <c r="V175" s="49"/>
      <c r="W175" s="49"/>
      <c r="X175" s="49"/>
      <c r="Y175" s="49"/>
      <c r="Z175" s="49"/>
      <c r="AA175" s="49"/>
      <c r="AC175" s="72">
        <f t="shared" ref="AC175:AC176" ca="1" si="114">AC169/AC173</f>
        <v>1054.0150080383612</v>
      </c>
    </row>
    <row r="176" spans="2:29" x14ac:dyDescent="0.2">
      <c r="B176" s="20" t="s">
        <v>297</v>
      </c>
      <c r="M176" s="72">
        <f>M170/M174</f>
        <v>-174.47496216974912</v>
      </c>
      <c r="N176" s="72">
        <f t="shared" ref="N176:Q176" si="115">N170/N174</f>
        <v>-43.134831825421031</v>
      </c>
      <c r="O176" s="72">
        <f t="shared" si="115"/>
        <v>-515.99449650531801</v>
      </c>
      <c r="P176" s="72">
        <f t="shared" si="115"/>
        <v>205.58559676012553</v>
      </c>
      <c r="Q176" s="72">
        <f t="shared" si="115"/>
        <v>-128.25747750210903</v>
      </c>
      <c r="T176" s="49"/>
      <c r="U176" s="49"/>
      <c r="V176" s="49"/>
      <c r="W176" s="49"/>
      <c r="X176" s="49"/>
      <c r="Y176" s="49"/>
      <c r="Z176" s="49"/>
      <c r="AA176" s="49"/>
      <c r="AC176" s="72">
        <f t="shared" ca="1" si="114"/>
        <v>-721.48382176918028</v>
      </c>
    </row>
    <row r="177" spans="2:29" x14ac:dyDescent="0.2">
      <c r="B177" s="20" t="s">
        <v>298</v>
      </c>
      <c r="M177" s="74">
        <f>M173/M169</f>
        <v>-3.2136350340421331E-2</v>
      </c>
      <c r="N177" s="74">
        <f t="shared" ref="N177:Q177" si="116">N173/N169</f>
        <v>-4.9698749076467263E-2</v>
      </c>
      <c r="O177" s="74">
        <f t="shared" si="116"/>
        <v>-5.9107830031523813E-3</v>
      </c>
      <c r="P177" s="74">
        <f t="shared" si="116"/>
        <v>-6.5303464037043202E-3</v>
      </c>
      <c r="Q177" s="74">
        <f t="shared" si="116"/>
        <v>9.2028530287292954E-3</v>
      </c>
      <c r="T177" s="49"/>
      <c r="U177" s="49"/>
      <c r="V177" s="49"/>
      <c r="W177" s="49"/>
      <c r="X177" s="49"/>
      <c r="Y177" s="49"/>
      <c r="Z177" s="49"/>
      <c r="AA177" s="49"/>
      <c r="AC177" s="74">
        <f t="shared" ref="AC177" ca="1" si="117">AC173/AC169</f>
        <v>9.4875309400111005E-4</v>
      </c>
    </row>
    <row r="178" spans="2:29" x14ac:dyDescent="0.2">
      <c r="B178" s="20" t="s">
        <v>299</v>
      </c>
      <c r="M178" s="74">
        <f>M25/M125</f>
        <v>0.11516601854621598</v>
      </c>
      <c r="N178" s="74">
        <f t="shared" ref="N178:Q178" si="118">N25/N125</f>
        <v>0.11942347288949895</v>
      </c>
      <c r="O178" s="74">
        <f t="shared" si="118"/>
        <v>0.50020964360586995</v>
      </c>
      <c r="P178" s="74">
        <f t="shared" si="118"/>
        <v>0.20164609053497942</v>
      </c>
      <c r="Q178" s="74">
        <f t="shared" si="118"/>
        <v>0.38919777601270855</v>
      </c>
      <c r="T178" s="49"/>
      <c r="U178" s="49"/>
      <c r="V178" s="49"/>
      <c r="W178" s="49"/>
      <c r="X178" s="49"/>
      <c r="Y178" s="49"/>
      <c r="Z178" s="49"/>
      <c r="AA178" s="49"/>
      <c r="AC178" s="74">
        <f t="shared" ref="AC178" ca="1" si="119">AC25/AC125</f>
        <v>0</v>
      </c>
    </row>
    <row r="179" spans="2:29" x14ac:dyDescent="0.2">
      <c r="B179" s="20" t="s">
        <v>300</v>
      </c>
      <c r="M179" s="176">
        <f>M80/M125</f>
        <v>0</v>
      </c>
      <c r="N179" s="176">
        <f t="shared" ref="N179:Q179" si="120">N80/N125</f>
        <v>0</v>
      </c>
      <c r="O179" s="176">
        <f t="shared" si="120"/>
        <v>0</v>
      </c>
      <c r="P179" s="176">
        <f t="shared" si="120"/>
        <v>0</v>
      </c>
      <c r="Q179" s="176">
        <f t="shared" si="120"/>
        <v>0</v>
      </c>
      <c r="T179" s="49"/>
      <c r="U179" s="49"/>
      <c r="V179" s="49"/>
      <c r="W179" s="49"/>
      <c r="X179" s="49"/>
      <c r="Y179" s="49"/>
      <c r="Z179" s="49"/>
      <c r="AA179" s="49"/>
      <c r="AC179" s="176">
        <f t="shared" ref="AC179" ca="1" si="121">AC80/AC125</f>
        <v>0</v>
      </c>
    </row>
    <row r="180" spans="2:29" x14ac:dyDescent="0.2">
      <c r="B180" s="20" t="s">
        <v>326</v>
      </c>
      <c r="M180" s="176">
        <f>-M61/M169</f>
        <v>0</v>
      </c>
      <c r="N180" s="176">
        <f>-N61/N169</f>
        <v>0</v>
      </c>
      <c r="O180" s="176">
        <f>-O61/O169</f>
        <v>7.5613663014209515E-3</v>
      </c>
      <c r="P180" s="176">
        <f>-P61/P169</f>
        <v>4.8596228981581578E-2</v>
      </c>
      <c r="Q180" s="176">
        <f>-Q61/Q169</f>
        <v>4.9259451802222368E-2</v>
      </c>
      <c r="T180" s="49"/>
      <c r="U180" s="49"/>
      <c r="V180" s="49"/>
      <c r="W180" s="49"/>
      <c r="X180" s="49"/>
      <c r="Y180" s="49"/>
      <c r="Z180" s="49"/>
      <c r="AA180" s="49"/>
      <c r="AC180" s="176">
        <f ca="1">-AC61/AC169</f>
        <v>3.0450311180417193E-3</v>
      </c>
    </row>
    <row r="181" spans="2:29" x14ac:dyDescent="0.2">
      <c r="B181" s="20" t="s">
        <v>328</v>
      </c>
      <c r="M181" s="176">
        <f>-(M61+M62)/M169</f>
        <v>0</v>
      </c>
      <c r="N181" s="176">
        <f>-(N61+N62)/N169</f>
        <v>0</v>
      </c>
      <c r="O181" s="176">
        <f>-(O61+O62)/O169</f>
        <v>7.5613663014209515E-3</v>
      </c>
      <c r="P181" s="176">
        <f>-(P61+P62)/P169</f>
        <v>4.8596228981581578E-2</v>
      </c>
      <c r="Q181" s="176">
        <f>-(Q61+Q62)/Q169</f>
        <v>4.9259451802222368E-2</v>
      </c>
      <c r="T181" s="49"/>
      <c r="U181" s="49"/>
      <c r="V181" s="49"/>
      <c r="W181" s="49"/>
      <c r="X181" s="49"/>
      <c r="Y181" s="49"/>
      <c r="Z181" s="49"/>
      <c r="AA181" s="49"/>
      <c r="AC181" s="176">
        <f ca="1">-(AC61+AC62)/AC169</f>
        <v>3.0450311180417193E-3</v>
      </c>
    </row>
    <row r="182" spans="2:29" x14ac:dyDescent="0.2">
      <c r="B182" s="20" t="s">
        <v>301</v>
      </c>
      <c r="M182" s="72">
        <f>M174/M5</f>
        <v>-3.4619863720435968</v>
      </c>
      <c r="N182" s="72">
        <f>N174/N5</f>
        <v>-5.4702676651590423</v>
      </c>
      <c r="O182" s="72">
        <f>O174/O5</f>
        <v>-0.37190972066908773</v>
      </c>
      <c r="P182" s="72">
        <f>P174/P5</f>
        <v>0.23897336300918728</v>
      </c>
      <c r="Q182" s="72">
        <f>Q174/Q5</f>
        <v>-0.18806141585205088</v>
      </c>
      <c r="T182" s="49"/>
      <c r="U182" s="49"/>
      <c r="V182" s="49"/>
      <c r="W182" s="49"/>
      <c r="X182" s="49"/>
      <c r="Y182" s="49"/>
      <c r="Z182" s="49"/>
      <c r="AA182" s="49"/>
      <c r="AC182" s="72" t="e">
        <f>AC174/AC5</f>
        <v>#DIV/0!</v>
      </c>
    </row>
    <row r="183" spans="2:29" x14ac:dyDescent="0.2">
      <c r="B183" s="20" t="s">
        <v>304</v>
      </c>
      <c r="M183" s="176">
        <f>-M62/M173</f>
        <v>0</v>
      </c>
      <c r="N183" s="176">
        <f>-N62/N173</f>
        <v>0</v>
      </c>
      <c r="O183" s="176">
        <f>-O62/O173</f>
        <v>0</v>
      </c>
      <c r="P183" s="176">
        <f>-P62/P173</f>
        <v>0</v>
      </c>
      <c r="Q183" s="176">
        <f>-Q62/Q173</f>
        <v>0</v>
      </c>
      <c r="T183" s="49"/>
      <c r="U183" s="49"/>
      <c r="V183" s="49"/>
      <c r="W183" s="49"/>
      <c r="X183" s="49"/>
      <c r="Y183" s="49"/>
      <c r="Z183" s="49"/>
      <c r="AA183" s="49"/>
      <c r="AC183" s="176">
        <f>-AC62/AC173</f>
        <v>0</v>
      </c>
    </row>
    <row r="184" spans="2:29" x14ac:dyDescent="0.2">
      <c r="B184" s="20" t="s">
        <v>306</v>
      </c>
      <c r="M184" s="176">
        <f>-M61/M173</f>
        <v>0</v>
      </c>
      <c r="N184" s="176">
        <f>-N61/N173</f>
        <v>0</v>
      </c>
      <c r="O184" s="176">
        <f>-O61/O173</f>
        <v>-1.2792495169232687</v>
      </c>
      <c r="P184" s="176">
        <f>-P61/P173</f>
        <v>-7.44160048753547</v>
      </c>
      <c r="Q184" s="176">
        <f>-Q61/Q173</f>
        <v>5.3526283260685705</v>
      </c>
      <c r="T184" s="49"/>
      <c r="U184" s="49"/>
      <c r="V184" s="49"/>
      <c r="W184" s="49"/>
      <c r="X184" s="49"/>
      <c r="Y184" s="49"/>
      <c r="Z184" s="49"/>
      <c r="AA184" s="49"/>
      <c r="AC184" s="176">
        <f>-AC61/AC173</f>
        <v>3.2095084983598028</v>
      </c>
    </row>
    <row r="185" spans="2:29" x14ac:dyDescent="0.2">
      <c r="B185" s="20" t="s">
        <v>317</v>
      </c>
      <c r="M185" s="176">
        <f>(-M62-M61)/M173</f>
        <v>0</v>
      </c>
      <c r="N185" s="176">
        <f>(-N62-N61)/N173</f>
        <v>0</v>
      </c>
      <c r="O185" s="176">
        <f>(-O62-O61)/O173</f>
        <v>-1.2792495169232687</v>
      </c>
      <c r="P185" s="176">
        <f>(-P62-P61)/P173</f>
        <v>-7.44160048753547</v>
      </c>
      <c r="Q185" s="176">
        <f>(-Q62-Q61)/Q173</f>
        <v>5.3526283260685705</v>
      </c>
      <c r="T185" s="49"/>
      <c r="U185" s="49"/>
      <c r="V185" s="49"/>
      <c r="W185" s="49"/>
      <c r="X185" s="49"/>
      <c r="Y185" s="49"/>
      <c r="Z185" s="49"/>
      <c r="AA185" s="49"/>
      <c r="AC185" s="176">
        <f>(-AC62-AC61)/AC173</f>
        <v>3.2095084983598028</v>
      </c>
    </row>
    <row r="186" spans="2:29" x14ac:dyDescent="0.2">
      <c r="B186" s="20" t="s">
        <v>311</v>
      </c>
      <c r="M186" s="176">
        <f>M78/M76</f>
        <v>0.32041292188722126</v>
      </c>
      <c r="N186" s="176">
        <f>N78/N76</f>
        <v>0.31207180184527727</v>
      </c>
      <c r="O186" s="176">
        <f>O78/O76</f>
        <v>0.22510733498180183</v>
      </c>
      <c r="P186" s="176">
        <f>P78/P76</f>
        <v>0.22494029842627195</v>
      </c>
      <c r="Q186" s="176">
        <f>Q78/Q76</f>
        <v>0.22012147206199109</v>
      </c>
      <c r="T186" s="49"/>
      <c r="U186" s="49"/>
      <c r="V186" s="49"/>
      <c r="W186" s="49"/>
      <c r="X186" s="49"/>
      <c r="Y186" s="49"/>
      <c r="Z186" s="49"/>
      <c r="AA186" s="49"/>
      <c r="AC186" s="176">
        <f>AC78/AC76</f>
        <v>0.22116382280992736</v>
      </c>
    </row>
    <row r="187" spans="2:29" x14ac:dyDescent="0.2">
      <c r="B187" s="20" t="s">
        <v>312</v>
      </c>
      <c r="M187" s="72">
        <f>M115/M73</f>
        <v>0.34406590811823912</v>
      </c>
      <c r="N187" s="72">
        <f>N115/N73</f>
        <v>0.31518128961309455</v>
      </c>
      <c r="O187" s="72">
        <f>O115/O73</f>
        <v>0.33036556282545387</v>
      </c>
      <c r="P187" s="72">
        <f>P115/P73</f>
        <v>2.9547392260645196</v>
      </c>
      <c r="Q187" s="72">
        <f>Q115/Q73</f>
        <v>2.8105061440443424</v>
      </c>
      <c r="T187" s="72">
        <f t="shared" ref="T187:AA187" si="122">T115/T73</f>
        <v>3.1700129828095962</v>
      </c>
      <c r="U187" s="72">
        <f t="shared" si="122"/>
        <v>2.8548832876333474</v>
      </c>
      <c r="V187" s="72">
        <f t="shared" si="122"/>
        <v>2.9547392260645196</v>
      </c>
      <c r="W187" s="72">
        <f t="shared" si="122"/>
        <v>2.90639187049916</v>
      </c>
      <c r="X187" s="72">
        <f t="shared" si="122"/>
        <v>2.7258512829976911</v>
      </c>
      <c r="Y187" s="72">
        <f t="shared" si="122"/>
        <v>2.6146535764375876</v>
      </c>
      <c r="Z187" s="72">
        <f t="shared" si="122"/>
        <v>2.8105061440443424</v>
      </c>
      <c r="AA187" s="72">
        <f t="shared" si="122"/>
        <v>2.4951118677971147</v>
      </c>
      <c r="AC187" s="72">
        <f>AC115/AC73</f>
        <v>2.4951118677971147</v>
      </c>
    </row>
    <row r="188" spans="2:29" x14ac:dyDescent="0.2">
      <c r="B188" s="20" t="s">
        <v>314</v>
      </c>
      <c r="M188" s="176">
        <f>M52/M57</f>
        <v>-9.3805469133780903</v>
      </c>
      <c r="N188" s="176">
        <f>N52/N57</f>
        <v>-37.054403366396151</v>
      </c>
      <c r="O188" s="176">
        <f>O52/O57</f>
        <v>1.243655586093446</v>
      </c>
      <c r="P188" s="176">
        <f>P52/P57</f>
        <v>1.1172492318250589</v>
      </c>
      <c r="Q188" s="176">
        <f>Q52/Q57</f>
        <v>0.78305424452059225</v>
      </c>
      <c r="T188" s="176">
        <f t="shared" ref="T188:AA188" si="123">T52/T57</f>
        <v>2.0334871485250994</v>
      </c>
      <c r="U188" s="176">
        <f t="shared" si="123"/>
        <v>3.1167794798717492</v>
      </c>
      <c r="V188" s="176" t="e">
        <f t="shared" si="123"/>
        <v>#DIV/0!</v>
      </c>
      <c r="W188" s="176">
        <f t="shared" si="123"/>
        <v>0.6416782911211576</v>
      </c>
      <c r="X188" s="176">
        <f t="shared" si="123"/>
        <v>1.8757303965181427</v>
      </c>
      <c r="Y188" s="176">
        <f t="shared" si="123"/>
        <v>2.5282091188850764</v>
      </c>
      <c r="Z188" s="176">
        <f t="shared" si="123"/>
        <v>0.35555092460569898</v>
      </c>
      <c r="AA188" s="176">
        <f t="shared" si="123"/>
        <v>0.40408404584318719</v>
      </c>
      <c r="AC188" s="176">
        <f>AC52/AC57</f>
        <v>0.69669698594761198</v>
      </c>
    </row>
    <row r="189" spans="2:29" x14ac:dyDescent="0.2">
      <c r="B189" s="20" t="s">
        <v>315</v>
      </c>
      <c r="M189" s="176">
        <f>M52/M5</f>
        <v>19.156684253548338</v>
      </c>
      <c r="N189" s="176">
        <f>N52/N5</f>
        <v>13.710980944613331</v>
      </c>
      <c r="O189" s="176">
        <f>O52/O5</f>
        <v>6.1054298939627722</v>
      </c>
      <c r="P189" s="176">
        <f>P52/P5</f>
        <v>2.7445151995831321</v>
      </c>
      <c r="Q189" s="176">
        <f>Q52/Q5</f>
        <v>1.3461086052478026</v>
      </c>
      <c r="T189" s="176" t="e">
        <f t="shared" ref="T189:AA189" si="124">T52/T5</f>
        <v>#DIV/0!</v>
      </c>
      <c r="U189" s="176" t="e">
        <f t="shared" si="124"/>
        <v>#DIV/0!</v>
      </c>
      <c r="V189" s="176" t="e">
        <f t="shared" si="124"/>
        <v>#DIV/0!</v>
      </c>
      <c r="W189" s="176" t="e">
        <f t="shared" si="124"/>
        <v>#DIV/0!</v>
      </c>
      <c r="X189" s="176" t="e">
        <f t="shared" si="124"/>
        <v>#DIV/0!</v>
      </c>
      <c r="Y189" s="176" t="e">
        <f t="shared" si="124"/>
        <v>#DIV/0!</v>
      </c>
      <c r="Z189" s="176" t="e">
        <f t="shared" si="124"/>
        <v>#DIV/0!</v>
      </c>
      <c r="AA189" s="176" t="e">
        <f t="shared" si="124"/>
        <v>#DIV/0!</v>
      </c>
      <c r="AC189" s="176" t="e">
        <f>AC52/AC5</f>
        <v>#DIV/0!</v>
      </c>
    </row>
    <row r="190" spans="2:29" x14ac:dyDescent="0.2">
      <c r="B190" s="20" t="s">
        <v>320</v>
      </c>
      <c r="M190" s="72">
        <f>(M115-M116)/M73</f>
        <v>0.34406590811823912</v>
      </c>
      <c r="N190" s="72">
        <f>(N115-N116)/N73</f>
        <v>0.31518128961309455</v>
      </c>
      <c r="O190" s="72">
        <f>(O115-O116)/O73</f>
        <v>0.33036556282545387</v>
      </c>
      <c r="P190" s="72">
        <f>(P115-P116)/P73</f>
        <v>2.9547392260645196</v>
      </c>
      <c r="Q190" s="72">
        <f>(Q115-Q116)/Q73</f>
        <v>2.8105061440443424</v>
      </c>
      <c r="T190" s="72">
        <f t="shared" ref="T190:AA190" si="125">(T115-T116)/T73</f>
        <v>3.1700129828095962</v>
      </c>
      <c r="U190" s="72">
        <f t="shared" si="125"/>
        <v>2.8548832876333474</v>
      </c>
      <c r="V190" s="72">
        <f t="shared" si="125"/>
        <v>2.9547392260645196</v>
      </c>
      <c r="W190" s="72">
        <f t="shared" si="125"/>
        <v>2.90639187049916</v>
      </c>
      <c r="X190" s="72">
        <f t="shared" si="125"/>
        <v>2.7258512829976911</v>
      </c>
      <c r="Y190" s="72">
        <f t="shared" si="125"/>
        <v>2.6146535764375876</v>
      </c>
      <c r="Z190" s="72">
        <f t="shared" si="125"/>
        <v>2.8105061440443424</v>
      </c>
      <c r="AA190" s="72">
        <f t="shared" si="125"/>
        <v>2.4951118677971147</v>
      </c>
      <c r="AC190" s="72">
        <f>(AC115-AC116)/AC73</f>
        <v>2.4951118677971147</v>
      </c>
    </row>
    <row r="191" spans="2:29" x14ac:dyDescent="0.2">
      <c r="B191" s="20" t="s">
        <v>325</v>
      </c>
      <c r="M191" s="176">
        <f>(M115-M116)/M169</f>
        <v>0.10292130066354745</v>
      </c>
      <c r="N191" s="176">
        <f>(N115-N116)/N169</f>
        <v>0.21632209307693517</v>
      </c>
      <c r="O191" s="176">
        <f>(O115-O116)/O169</f>
        <v>0.1385180556920142</v>
      </c>
      <c r="P191" s="176">
        <f>(P115-P116)/P169</f>
        <v>0.20265701138988473</v>
      </c>
      <c r="Q191" s="176">
        <f>(Q115-Q116)/Q169</f>
        <v>0.22039997795949329</v>
      </c>
      <c r="T191" s="49"/>
      <c r="U191" s="49"/>
      <c r="V191" s="49"/>
      <c r="W191" s="49"/>
      <c r="X191" s="49"/>
      <c r="Y191" s="49"/>
      <c r="Z191" s="49"/>
      <c r="AA191" s="49"/>
      <c r="AC191" s="176">
        <f ca="1">(AC115-AC116)/AC169</f>
        <v>1.1525539588829811E-2</v>
      </c>
    </row>
    <row r="192" spans="2:29" x14ac:dyDescent="0.2">
      <c r="B192" s="20" t="s">
        <v>334</v>
      </c>
      <c r="M192" s="176">
        <f>-M118/M5</f>
        <v>0.43951103514899309</v>
      </c>
      <c r="N192" s="176">
        <f>-N118/N5</f>
        <v>0.88288722473492998</v>
      </c>
      <c r="O192" s="176">
        <f>-O118/O5</f>
        <v>0.12051475657397984</v>
      </c>
      <c r="P192" s="176">
        <f>-P118/P5</f>
        <v>0.1143551192747726</v>
      </c>
      <c r="Q192" s="176">
        <f>-Q118/Q5</f>
        <v>8.8210504867137787E-2</v>
      </c>
      <c r="T192" s="176" t="e">
        <f t="shared" ref="T192:AA192" si="126">-T118/T5</f>
        <v>#DIV/0!</v>
      </c>
      <c r="U192" s="176" t="e">
        <f t="shared" si="126"/>
        <v>#DIV/0!</v>
      </c>
      <c r="V192" s="176" t="e">
        <f t="shared" si="126"/>
        <v>#DIV/0!</v>
      </c>
      <c r="W192" s="176" t="e">
        <f t="shared" si="126"/>
        <v>#DIV/0!</v>
      </c>
      <c r="X192" s="176" t="e">
        <f t="shared" si="126"/>
        <v>#DIV/0!</v>
      </c>
      <c r="Y192" s="176" t="e">
        <f t="shared" si="126"/>
        <v>#DIV/0!</v>
      </c>
      <c r="Z192" s="176" t="e">
        <f t="shared" si="126"/>
        <v>#DIV/0!</v>
      </c>
      <c r="AA192" s="176" t="e">
        <f t="shared" si="126"/>
        <v>#DIV/0!</v>
      </c>
      <c r="AC192" s="176" t="e">
        <f>-AC118/AC5</f>
        <v>#DIV/0!</v>
      </c>
    </row>
    <row r="193" spans="2:29" x14ac:dyDescent="0.2">
      <c r="B193" s="20" t="s">
        <v>335</v>
      </c>
      <c r="M193" s="176">
        <f>-(M118/M57)</f>
        <v>-0.21521750996124667</v>
      </c>
      <c r="N193" s="176">
        <f>-(N118/N57)</f>
        <v>-2.3860334635808034</v>
      </c>
      <c r="O193" s="176">
        <f>-(O118/O57)</f>
        <v>2.4548451595214689E-2</v>
      </c>
      <c r="P193" s="176">
        <f>-(P118/P57)</f>
        <v>4.6552181304883568E-2</v>
      </c>
      <c r="Q193" s="176">
        <f>-(Q118/Q57)</f>
        <v>5.1313549276955236E-2</v>
      </c>
      <c r="T193" s="176">
        <f t="shared" ref="T193:AA193" si="127">-(T118/T57)</f>
        <v>3.0576160082801448E-2</v>
      </c>
      <c r="U193" s="176">
        <f t="shared" si="127"/>
        <v>0.17367296045600286</v>
      </c>
      <c r="V193" s="176" t="e">
        <f t="shared" si="127"/>
        <v>#DIV/0!</v>
      </c>
      <c r="W193" s="176">
        <f t="shared" si="127"/>
        <v>0.10783012050217644</v>
      </c>
      <c r="X193" s="176">
        <f t="shared" si="127"/>
        <v>0</v>
      </c>
      <c r="Y193" s="176">
        <f t="shared" si="127"/>
        <v>0.11191680520674896</v>
      </c>
      <c r="Z193" s="176">
        <f t="shared" si="127"/>
        <v>1.6737227718428501E-2</v>
      </c>
      <c r="AA193" s="176">
        <f t="shared" si="127"/>
        <v>2.0344430295312594E-2</v>
      </c>
      <c r="AC193" s="176">
        <f>-(AC118/AC57)</f>
        <v>2.3168998318295178E-2</v>
      </c>
    </row>
    <row r="194" spans="2:29" x14ac:dyDescent="0.2">
      <c r="B194" s="20" t="s">
        <v>336</v>
      </c>
      <c r="M194" s="176">
        <f>-M118/M51</f>
        <v>0.80442026521591292</v>
      </c>
      <c r="N194" s="176">
        <f>-N118/N51</f>
        <v>1.2719649628798804</v>
      </c>
      <c r="O194" s="176">
        <f>-O118/O51</f>
        <v>0.32491038633446917</v>
      </c>
      <c r="P194" s="176">
        <f>-P118/P51</f>
        <v>0.86600510677808729</v>
      </c>
      <c r="Q194" s="176">
        <f>-Q118/Q51</f>
        <v>1.1225175319700631</v>
      </c>
      <c r="T194" s="176">
        <f t="shared" ref="T194:AA194" si="128">-T118/T51</f>
        <v>0.30953940187731938</v>
      </c>
      <c r="U194" s="176">
        <f t="shared" si="128"/>
        <v>1.0752095280105867</v>
      </c>
      <c r="V194" s="176" t="e">
        <f t="shared" si="128"/>
        <v>#DIV/0!</v>
      </c>
      <c r="W194" s="176">
        <f t="shared" si="128"/>
        <v>3.9446664617276359</v>
      </c>
      <c r="X194" s="176">
        <f t="shared" si="128"/>
        <v>0</v>
      </c>
      <c r="Y194" s="176">
        <f t="shared" si="128"/>
        <v>0.7010857522712165</v>
      </c>
      <c r="Z194" s="176">
        <f t="shared" si="128"/>
        <v>0.61371405590187011</v>
      </c>
      <c r="AA194" s="176">
        <f t="shared" si="128"/>
        <v>0.35743774137701423</v>
      </c>
      <c r="AC194" s="176">
        <f>-AC118/AC51</f>
        <v>0.41931684334511188</v>
      </c>
    </row>
    <row r="196" spans="2:29" x14ac:dyDescent="0.2">
      <c r="B196" s="1"/>
    </row>
    <row r="197" spans="2:29" ht="17" thickBot="1" x14ac:dyDescent="0.25">
      <c r="B197" s="14" t="s">
        <v>348</v>
      </c>
      <c r="C197" s="194"/>
      <c r="D197" s="194"/>
      <c r="E197" s="194"/>
      <c r="F197" s="194"/>
      <c r="G197" s="194"/>
      <c r="H197" s="194"/>
      <c r="I197" s="194"/>
      <c r="J197" s="194"/>
      <c r="K197" s="194"/>
      <c r="L197" s="194"/>
      <c r="M197" s="194"/>
      <c r="N197" s="194"/>
      <c r="O197" s="194"/>
      <c r="P197" s="194"/>
      <c r="Q197" s="194"/>
      <c r="T197" s="194"/>
      <c r="U197" s="194"/>
      <c r="V197" s="194"/>
      <c r="W197" s="194"/>
      <c r="X197" s="194"/>
      <c r="Y197" s="194"/>
      <c r="Z197" s="194"/>
      <c r="AA197" s="194"/>
      <c r="AC197" s="194"/>
    </row>
    <row r="198" spans="2:29" x14ac:dyDescent="0.2">
      <c r="B198" s="20" t="s">
        <v>94</v>
      </c>
      <c r="C198" s="81"/>
      <c r="D198" s="81"/>
      <c r="E198" s="81"/>
      <c r="F198" s="81"/>
      <c r="G198" s="81"/>
      <c r="H198" s="81"/>
      <c r="I198" s="81"/>
      <c r="J198" s="81"/>
      <c r="K198" s="81"/>
      <c r="L198" s="81"/>
      <c r="M198" s="81">
        <f>IF(L104=0,
IF(M104=0,0,IF(M104&gt;0,1,-1)),
(M104-L104)/ABS(L104)
)</f>
        <v>1</v>
      </c>
      <c r="N198" s="81">
        <f t="shared" ref="N198:Q198" si="129">IF(M104=0,
IF(N104=0,0,IF(N104&gt;0,1,-1)),
(N104-M104)/ABS(M104)
)</f>
        <v>3.4084087514825716E-2</v>
      </c>
      <c r="O198" s="81">
        <f t="shared" si="129"/>
        <v>0.24818614965570993</v>
      </c>
      <c r="P198" s="81">
        <f t="shared" si="129"/>
        <v>-5.5102093364575021E-2</v>
      </c>
      <c r="Q198" s="81">
        <f t="shared" si="129"/>
        <v>3.2771752459329104E-2</v>
      </c>
      <c r="T198" s="81">
        <f t="shared" ref="T198:T200" si="130">IF(S104=0,
IF(T104=0,0,IF(T104&gt;0,1,-1)),
(T104-S104)/ABS(S104)
)</f>
        <v>1</v>
      </c>
      <c r="U198" s="81">
        <f t="shared" ref="U198:U200" si="131">IF(T104=0,
IF(U104=0,0,IF(U104&gt;0,1,-1)),
(U104-T104)/ABS(T104)
)</f>
        <v>0.22202920241245067</v>
      </c>
      <c r="V198" s="81">
        <f t="shared" ref="V198:V200" si="132">IF(U104=0,
IF(V104=0,0,IF(V104&gt;0,1,-1)),
(V104-U104)/ABS(U104)
)</f>
        <v>0.44057182848061588</v>
      </c>
      <c r="W198" s="81">
        <f t="shared" ref="W198:W200" si="133">IF(V104=0,
IF(W104=0,0,IF(W104&gt;0,1,-1)),
(W104-V104)/ABS(V104)
)</f>
        <v>-0.35080892064632685</v>
      </c>
      <c r="X198" s="81">
        <f t="shared" ref="X198:X200" si="134">IF(W104=0,
IF(X104=0,0,IF(X104&gt;0,1,-1)),
(X104-W104)/ABS(W104)
)</f>
        <v>-0.12569571114540948</v>
      </c>
      <c r="Y198" s="81">
        <f t="shared" ref="Y198:Y200" si="135">IF(X104=0,
IF(Y104=0,0,IF(Y104&gt;0,1,-1)),
(Y104-X104)/ABS(X104)
)</f>
        <v>0.33774663207353717</v>
      </c>
      <c r="Z198" s="81">
        <f t="shared" ref="Z198:Z200" si="136">IF(Y104=0,
IF(Z104=0,0,IF(Z104&gt;0,1,-1)),
(Z104-Y104)/ABS(Y104)
)</f>
        <v>0.43894750171617469</v>
      </c>
      <c r="AA198" s="81">
        <f t="shared" ref="AA198:AA200" si="137">IF(Z104=0,
IF(AA104=0,0,IF(AA104&gt;0,1,-1)),
(AA104-Z104)/ABS(Z104)
)</f>
        <v>-0.30844727286201273</v>
      </c>
      <c r="AC198" s="49"/>
    </row>
    <row r="199" spans="2:29" x14ac:dyDescent="0.2">
      <c r="B199" s="20" t="s">
        <v>95</v>
      </c>
      <c r="M199" s="81">
        <f t="shared" ref="M199:Q199" si="138">IF(L105=0,
IF(M105=0,0,IF(M105&gt;0,1,-1)),
(M105-L105)/ABS(L105)
)</f>
        <v>1</v>
      </c>
      <c r="N199" s="81">
        <f t="shared" si="138"/>
        <v>0.37569180272908909</v>
      </c>
      <c r="O199" s="81">
        <f t="shared" si="138"/>
        <v>0.27729682030883041</v>
      </c>
      <c r="P199" s="81">
        <f t="shared" si="138"/>
        <v>0.23392027917368038</v>
      </c>
      <c r="Q199" s="81">
        <f t="shared" si="138"/>
        <v>0.19019336689332336</v>
      </c>
      <c r="T199" s="81">
        <f t="shared" si="130"/>
        <v>1</v>
      </c>
      <c r="U199" s="81">
        <f t="shared" si="131"/>
        <v>6.292089812146523E-2</v>
      </c>
      <c r="V199" s="81">
        <f t="shared" si="132"/>
        <v>4.0106900184610626E-2</v>
      </c>
      <c r="W199" s="81">
        <f t="shared" si="133"/>
        <v>9.673777187170397E-3</v>
      </c>
      <c r="X199" s="81">
        <f t="shared" si="134"/>
        <v>9.6915367022084364E-2</v>
      </c>
      <c r="Y199" s="81">
        <f t="shared" si="135"/>
        <v>3.8638547089942653E-2</v>
      </c>
      <c r="Z199" s="81">
        <f t="shared" si="136"/>
        <v>1.4783518396594137E-2</v>
      </c>
      <c r="AA199" s="81">
        <f t="shared" si="137"/>
        <v>6.6472159310281692E-3</v>
      </c>
      <c r="AC199" s="49"/>
    </row>
    <row r="200" spans="2:29" x14ac:dyDescent="0.2">
      <c r="B200" s="20" t="s">
        <v>96</v>
      </c>
      <c r="M200" s="81">
        <f t="shared" ref="M200:Q200" si="139">IF(L106=0,
IF(M106=0,0,IF(M106&gt;0,1,-1)),
(M106-L106)/ABS(L106)
)</f>
        <v>1</v>
      </c>
      <c r="N200" s="81">
        <f t="shared" si="139"/>
        <v>0.26768885199472631</v>
      </c>
      <c r="O200" s="81">
        <f t="shared" si="139"/>
        <v>-0.29197642617772812</v>
      </c>
      <c r="P200" s="81">
        <f t="shared" si="139"/>
        <v>0.10317719384146673</v>
      </c>
      <c r="Q200" s="81">
        <f t="shared" si="139"/>
        <v>0.22564418690666996</v>
      </c>
      <c r="T200" s="81">
        <f t="shared" si="130"/>
        <v>1</v>
      </c>
      <c r="U200" s="81">
        <f t="shared" si="131"/>
        <v>0.13163254368099475</v>
      </c>
      <c r="V200" s="81">
        <f t="shared" si="132"/>
        <v>2.4533484891541158E-2</v>
      </c>
      <c r="W200" s="81">
        <f t="shared" si="133"/>
        <v>2.0247781065088757E-2</v>
      </c>
      <c r="X200" s="81">
        <f t="shared" si="134"/>
        <v>1.5314907113729044E-2</v>
      </c>
      <c r="Y200" s="81">
        <f t="shared" si="135"/>
        <v>0.20465905033916459</v>
      </c>
      <c r="Z200" s="81">
        <f t="shared" si="136"/>
        <v>3.5044824775876122E-2</v>
      </c>
      <c r="AA200" s="81">
        <f t="shared" si="137"/>
        <v>0.15748031496062992</v>
      </c>
      <c r="AC200" s="49"/>
    </row>
    <row r="202" spans="2:29" x14ac:dyDescent="0.2">
      <c r="B202" s="1"/>
    </row>
    <row r="203" spans="2:29" ht="17" thickBot="1" x14ac:dyDescent="0.25">
      <c r="B203" s="14" t="s">
        <v>349</v>
      </c>
      <c r="C203" s="194"/>
      <c r="D203" s="194"/>
      <c r="E203" s="194"/>
      <c r="F203" s="194"/>
      <c r="G203" s="194"/>
      <c r="H203" s="194"/>
      <c r="I203" s="194"/>
      <c r="J203" s="194"/>
      <c r="K203" s="194"/>
      <c r="L203" s="194"/>
      <c r="M203" s="194"/>
      <c r="N203" s="194"/>
      <c r="O203" s="194"/>
      <c r="P203" s="194"/>
      <c r="Q203" s="194"/>
      <c r="T203" s="194"/>
      <c r="U203" s="194"/>
      <c r="V203" s="194"/>
      <c r="W203" s="194"/>
      <c r="X203" s="194"/>
      <c r="Y203" s="194"/>
      <c r="Z203" s="194"/>
      <c r="AA203" s="194"/>
      <c r="AC203" s="194"/>
    </row>
    <row r="204" spans="2:29" x14ac:dyDescent="0.2">
      <c r="B204" s="20" t="s">
        <v>318</v>
      </c>
      <c r="C204" s="81"/>
      <c r="D204" s="81"/>
      <c r="E204" s="81"/>
      <c r="F204" s="81"/>
      <c r="G204" s="81"/>
      <c r="H204" s="81"/>
      <c r="I204" s="81"/>
      <c r="J204" s="81"/>
      <c r="K204" s="81"/>
      <c r="L204" s="81"/>
      <c r="M204" s="81">
        <f>IF(L62=0,
IF(M62=0,0,IF(M62&gt;0,1,-1)),
(M62-L62)/L62
)</f>
        <v>0</v>
      </c>
      <c r="N204" s="81">
        <f t="shared" ref="N204:Q204" si="140">IF(M62=0,
IF(N62=0,0,IF(N62&gt;0,1,-1)),
(N62-M62)/M62
)</f>
        <v>0</v>
      </c>
      <c r="O204" s="81">
        <f t="shared" si="140"/>
        <v>0</v>
      </c>
      <c r="P204" s="81">
        <f t="shared" si="140"/>
        <v>0</v>
      </c>
      <c r="Q204" s="81">
        <f t="shared" si="140"/>
        <v>0</v>
      </c>
      <c r="T204" s="49"/>
      <c r="U204" s="49"/>
      <c r="V204" s="49"/>
      <c r="W204" s="49"/>
      <c r="X204" s="49"/>
      <c r="Y204" s="49"/>
      <c r="Z204" s="49"/>
      <c r="AA204" s="49"/>
      <c r="AC204" s="49"/>
    </row>
  </sheetData>
  <pageMargins left="0.7" right="0.7" top="0.75" bottom="0.75" header="0.3" footer="0.3"/>
  <ignoredErrors>
    <ignoredError sqref="AC22 AC79 AC104:AC110 AC64 AC51:AC55 AC57:AC60 AC5:AC9 AC62:AC63 AC10:AC18" formulaRange="1"/>
    <ignoredError sqref="AC19:AC20 AC23:AC24 AC138" formula="1" formulaRange="1"/>
    <ignoredError sqref="M132:Q132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265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8" sqref="G8"/>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308</v>
      </c>
    </row>
    <row r="4" spans="2:7" x14ac:dyDescent="0.2">
      <c r="B4" s="247" t="s">
        <v>266</v>
      </c>
      <c r="C4" s="247"/>
      <c r="E4" s="247" t="s">
        <v>273</v>
      </c>
      <c r="F4" s="247"/>
      <c r="G4" s="247"/>
    </row>
    <row r="5" spans="2:7" x14ac:dyDescent="0.2">
      <c r="B5" s="20" t="s">
        <v>1</v>
      </c>
      <c r="C5" s="196">
        <f ca="1">Overview!C5</f>
        <v>214.75</v>
      </c>
      <c r="E5" s="12"/>
      <c r="F5" s="153" t="s">
        <v>274</v>
      </c>
      <c r="G5" s="153" t="s">
        <v>275</v>
      </c>
    </row>
    <row r="6" spans="2:7" x14ac:dyDescent="0.2">
      <c r="B6" s="20" t="s">
        <v>272</v>
      </c>
      <c r="C6" s="197">
        <f ca="1">Statement!AC169</f>
        <v>113421501</v>
      </c>
      <c r="E6" s="20" t="s">
        <v>19</v>
      </c>
      <c r="F6" s="202">
        <f>IF(Statement!M5&lt;=0,"N/A",_xlfn.RRI(4,Statement!M5,Statement!Q5))</f>
        <v>0.68301391480282692</v>
      </c>
      <c r="G6" s="202" t="str">
        <f>IF(Statement!H5&lt;=0,"N/A",_xlfn.RRI(9,Statement!H5,Statement!Q5))</f>
        <v>N/A</v>
      </c>
    </row>
    <row r="7" spans="2:7" x14ac:dyDescent="0.2">
      <c r="B7" s="20" t="s">
        <v>211</v>
      </c>
      <c r="C7" s="197">
        <f ca="1">Statement!AC170</f>
        <v>112114257</v>
      </c>
      <c r="E7" s="20" t="s">
        <v>31</v>
      </c>
      <c r="F7" s="202">
        <f>IF(OR(Statement!M17&lt;=0, Statement!Q17&lt;=0), "N/A", _xlfn.RRI(4, Statement!M17, Statement!Q17))</f>
        <v>0.87319285132860491</v>
      </c>
      <c r="G7" s="202" t="str">
        <f>IF(OR(Statement!H17&lt;=0, Statement!Q17&lt;=0), "N/A", _xlfn.RRI(9, Statement!H17, Statement!Q17))</f>
        <v>N/A</v>
      </c>
    </row>
    <row r="8" spans="2:7" x14ac:dyDescent="0.2">
      <c r="B8" s="20" t="s">
        <v>270</v>
      </c>
      <c r="C8" s="198" t="e">
        <f ca="1">Statement!AC166</f>
        <v>#DIV/0!</v>
      </c>
      <c r="E8" s="20" t="s">
        <v>276</v>
      </c>
      <c r="F8" s="202">
        <f>IF(OR(Statement!M25&lt;=0, Statement!Q25&lt;=0), "N/A", _xlfn.RRI(4, Statement!M25, Statement!Q25))</f>
        <v>0.88879070838020025</v>
      </c>
      <c r="G8" s="202" t="str">
        <f>IF(OR(Statement!H25&lt;=0, Statement!Q25&lt;=0), "N/A", _xlfn.RRI(9, Statement!H25, Statement!Q25))</f>
        <v>N/A</v>
      </c>
    </row>
    <row r="9" spans="2:7" x14ac:dyDescent="0.2">
      <c r="B9" s="20" t="s">
        <v>224</v>
      </c>
      <c r="C9" s="198" t="e">
        <f ca="1">Statement!AC167</f>
        <v>#DIV/0!</v>
      </c>
      <c r="E9" s="20" t="s">
        <v>277</v>
      </c>
      <c r="F9" s="202" t="str">
        <f>IF(Statement!M80&lt;=0,"N/A",_xlfn.RRI(4,Statement!M80,Statement!Q80))</f>
        <v>N/A</v>
      </c>
      <c r="G9" s="202" t="str">
        <f>IF(Statement!H80&lt;=0,"N/A",_xlfn.RRI(9,Statement!H80,Statement!Q80))</f>
        <v>N/A</v>
      </c>
    </row>
    <row r="10" spans="2:7" x14ac:dyDescent="0.2">
      <c r="B10" s="20" t="s">
        <v>271</v>
      </c>
      <c r="C10" s="198">
        <f ca="1">Statement!AC168</f>
        <v>59.124707758681843</v>
      </c>
      <c r="E10" s="20" t="s">
        <v>1</v>
      </c>
      <c r="F10" s="202">
        <f>IF(Statement!M124&lt;=0,"N/A",_xlfn.RRI(4,Statement!M124,Statement!Q124))</f>
        <v>-0.21662025481427405</v>
      </c>
      <c r="G10" s="202" t="str">
        <f>IF(Statement!H124&lt;=0,"N/A",_xlfn.RRI(9,Statement!H124,Statement!Q124))</f>
        <v>N/A</v>
      </c>
    </row>
    <row r="11" spans="2:7" x14ac:dyDescent="0.2">
      <c r="B11" s="20" t="s">
        <v>293</v>
      </c>
      <c r="C11" s="198" t="e">
        <f ca="1">Statement!AC171</f>
        <v>#DIV/0!</v>
      </c>
    </row>
    <row r="12" spans="2:7" x14ac:dyDescent="0.2">
      <c r="B12" s="20" t="s">
        <v>227</v>
      </c>
      <c r="C12" s="198" t="e">
        <f ca="1">Statement!AC172</f>
        <v>#DIV/0!</v>
      </c>
    </row>
    <row r="15" spans="2:7" x14ac:dyDescent="0.2">
      <c r="B15" s="247" t="s">
        <v>77</v>
      </c>
      <c r="C15" s="247"/>
      <c r="E15" s="247" t="s">
        <v>279</v>
      </c>
      <c r="F15" s="247"/>
    </row>
    <row r="16" spans="2:7" x14ac:dyDescent="0.2">
      <c r="B16" s="20" t="s">
        <v>78</v>
      </c>
      <c r="C16" s="199" t="e">
        <f>Statement!AC99</f>
        <v>#DIV/0!</v>
      </c>
      <c r="E16" s="20" t="s">
        <v>31</v>
      </c>
      <c r="F16" s="197">
        <f>Statement!AC17</f>
        <v>0</v>
      </c>
    </row>
    <row r="17" spans="2:6" x14ac:dyDescent="0.2">
      <c r="B17" s="20" t="s">
        <v>79</v>
      </c>
      <c r="C17" s="199" t="e">
        <f>Statement!AC100</f>
        <v>#DIV/0!</v>
      </c>
      <c r="E17" s="20" t="s">
        <v>280</v>
      </c>
      <c r="F17" s="197">
        <f>Statement!AC57</f>
        <v>384134</v>
      </c>
    </row>
    <row r="18" spans="2:6" x14ac:dyDescent="0.2">
      <c r="B18" s="20" t="s">
        <v>80</v>
      </c>
      <c r="C18" s="199" t="e">
        <f>Statement!AC101</f>
        <v>#DIV/0!</v>
      </c>
      <c r="E18" s="20" t="s">
        <v>287</v>
      </c>
      <c r="F18" s="201" t="str">
        <f>IF(OR(F16&lt;=0, F17&lt;=0),"N/A",F16-F17)</f>
        <v>N/A</v>
      </c>
    </row>
    <row r="21" spans="2:6" x14ac:dyDescent="0.2">
      <c r="B21" s="247" t="s">
        <v>278</v>
      </c>
      <c r="C21" s="247"/>
      <c r="E21" s="247" t="s">
        <v>282</v>
      </c>
      <c r="F21" s="247"/>
    </row>
    <row r="22" spans="2:6" x14ac:dyDescent="0.2">
      <c r="B22" s="20" t="s">
        <v>100</v>
      </c>
      <c r="C22" s="199" t="e">
        <f>Statement!AC129</f>
        <v>#DIV/0!</v>
      </c>
      <c r="E22" s="20" t="s">
        <v>102</v>
      </c>
      <c r="F22" s="199" t="e">
        <f>C24</f>
        <v>#DIV/0!</v>
      </c>
    </row>
    <row r="23" spans="2:6" x14ac:dyDescent="0.2">
      <c r="B23" s="20" t="s">
        <v>101</v>
      </c>
      <c r="C23" s="198">
        <f>Statement!AC130</f>
        <v>0</v>
      </c>
      <c r="E23" s="20" t="s">
        <v>104</v>
      </c>
      <c r="F23" s="199" t="e">
        <f>C26</f>
        <v>#DIV/0!</v>
      </c>
    </row>
    <row r="24" spans="2:6" x14ac:dyDescent="0.2">
      <c r="B24" s="32" t="s">
        <v>102</v>
      </c>
      <c r="C24" s="200" t="e">
        <f>Statement!AC131</f>
        <v>#DIV/0!</v>
      </c>
      <c r="E24" s="20" t="s">
        <v>105</v>
      </c>
      <c r="F24" s="199">
        <f>Statement!AC156</f>
        <v>0</v>
      </c>
    </row>
    <row r="25" spans="2:6" x14ac:dyDescent="0.2">
      <c r="B25" s="20" t="s">
        <v>103</v>
      </c>
      <c r="C25" s="198">
        <f>Statement!AC132</f>
        <v>1.5264074746513994</v>
      </c>
    </row>
    <row r="26" spans="2:6" x14ac:dyDescent="0.2">
      <c r="B26" s="32" t="s">
        <v>104</v>
      </c>
      <c r="C26" s="200" t="e">
        <f>Statement!AC133</f>
        <v>#DIV/0!</v>
      </c>
    </row>
    <row r="29" spans="2:6" x14ac:dyDescent="0.2">
      <c r="B29" s="247" t="s">
        <v>283</v>
      </c>
      <c r="C29" s="247"/>
      <c r="E29" s="247" t="s">
        <v>289</v>
      </c>
      <c r="F29" s="247"/>
    </row>
    <row r="30" spans="2:6" x14ac:dyDescent="0.2">
      <c r="B30" s="20" t="s">
        <v>161</v>
      </c>
      <c r="C30" s="198" t="e">
        <f>Statement!AC157</f>
        <v>#DIV/0!</v>
      </c>
      <c r="E30" s="20" t="s">
        <v>290</v>
      </c>
      <c r="F30" s="204">
        <f>Statement!AC161</f>
        <v>0</v>
      </c>
    </row>
    <row r="31" spans="2:6" x14ac:dyDescent="0.2">
      <c r="B31" s="20" t="s">
        <v>162</v>
      </c>
      <c r="C31" s="198" t="e">
        <f>Statement!AC158</f>
        <v>#DIV/0!</v>
      </c>
      <c r="E31" s="20" t="s">
        <v>291</v>
      </c>
      <c r="F31" s="204">
        <f>Statement!AC162</f>
        <v>-0.68695115254353079</v>
      </c>
    </row>
    <row r="32" spans="2:6" x14ac:dyDescent="0.2">
      <c r="B32" s="20" t="s">
        <v>163</v>
      </c>
      <c r="C32" s="198" t="e">
        <f>Statement!AC159</f>
        <v>#DIV/0!</v>
      </c>
      <c r="E32" s="20" t="s">
        <v>286</v>
      </c>
      <c r="F32" s="204">
        <f>Statement!AC164</f>
        <v>2.3066495444084523</v>
      </c>
    </row>
    <row r="33" spans="2:6" x14ac:dyDescent="0.2">
      <c r="B33" s="20" t="s">
        <v>164</v>
      </c>
      <c r="C33" s="198" t="e">
        <f>Statement!AC160</f>
        <v>#DIV/0!</v>
      </c>
      <c r="E33" s="20" t="s">
        <v>285</v>
      </c>
      <c r="F33" s="204">
        <f>Statement!AC163</f>
        <v>1.9325582625717537</v>
      </c>
    </row>
    <row r="34" spans="2:6" x14ac:dyDescent="0.2">
      <c r="E34" s="20" t="s">
        <v>292</v>
      </c>
      <c r="F34" s="206" t="str">
        <f>Statement!AC165</f>
        <v>N/A</v>
      </c>
    </row>
    <row r="37" spans="2:6" x14ac:dyDescent="0.2">
      <c r="B37" s="247" t="s">
        <v>302</v>
      </c>
      <c r="C37" s="247"/>
      <c r="E37" s="247" t="s">
        <v>305</v>
      </c>
      <c r="F37" s="247"/>
    </row>
    <row r="38" spans="2:6" x14ac:dyDescent="0.2">
      <c r="B38" s="20" t="s">
        <v>299</v>
      </c>
      <c r="C38" s="199">
        <f ca="1">Statement!AC178</f>
        <v>0</v>
      </c>
      <c r="E38" s="20" t="s">
        <v>304</v>
      </c>
      <c r="F38" s="199">
        <f>Statement!AC183</f>
        <v>0</v>
      </c>
    </row>
    <row r="39" spans="2:6" x14ac:dyDescent="0.2">
      <c r="B39" s="54" t="s">
        <v>303</v>
      </c>
      <c r="C39" s="240">
        <f ca="1">Statement!AC177</f>
        <v>9.4875309400111005E-4</v>
      </c>
      <c r="E39" s="20" t="s">
        <v>306</v>
      </c>
      <c r="F39" s="199">
        <f>Statement!AC184</f>
        <v>3.2095084983598028</v>
      </c>
    </row>
    <row r="40" spans="2:6" x14ac:dyDescent="0.2">
      <c r="B40" s="20" t="s">
        <v>300</v>
      </c>
      <c r="C40" s="199">
        <f ca="1">Statement!AC179</f>
        <v>0</v>
      </c>
      <c r="E40" s="20" t="s">
        <v>307</v>
      </c>
      <c r="F40" s="199">
        <f>Statement!AC185</f>
        <v>3.2095084983598028</v>
      </c>
    </row>
    <row r="41" spans="2:6" x14ac:dyDescent="0.2">
      <c r="B41" s="20" t="s">
        <v>326</v>
      </c>
      <c r="C41" s="199">
        <f ca="1">Statement!AC180</f>
        <v>3.0450311180417193E-3</v>
      </c>
    </row>
    <row r="42" spans="2:6" x14ac:dyDescent="0.2">
      <c r="B42" s="20" t="s">
        <v>328</v>
      </c>
      <c r="C42" s="199">
        <f ca="1">Statement!AC181</f>
        <v>3.0450311180417193E-3</v>
      </c>
    </row>
    <row r="45" spans="2:6" x14ac:dyDescent="0.2">
      <c r="B45" s="247" t="s">
        <v>313</v>
      </c>
      <c r="C45" s="247"/>
      <c r="E45" s="247" t="s">
        <v>319</v>
      </c>
      <c r="F45" s="247"/>
    </row>
    <row r="46" spans="2:6" x14ac:dyDescent="0.2">
      <c r="B46" s="20" t="s">
        <v>311</v>
      </c>
      <c r="C46" s="199">
        <f>Statement!AC186</f>
        <v>0.22116382280992736</v>
      </c>
      <c r="E46" s="20" t="s">
        <v>312</v>
      </c>
      <c r="F46" s="198">
        <f>Statement!AC187</f>
        <v>2.4951118677971147</v>
      </c>
    </row>
    <row r="47" spans="2:6" x14ac:dyDescent="0.2">
      <c r="E47" s="20" t="s">
        <v>320</v>
      </c>
      <c r="F47" s="198">
        <f>Statement!AC190</f>
        <v>2.4951118677971147</v>
      </c>
    </row>
    <row r="48" spans="2:6" x14ac:dyDescent="0.2">
      <c r="E48" s="20" t="s">
        <v>325</v>
      </c>
      <c r="F48" s="199">
        <f ca="1">Statement!AC191</f>
        <v>1.1525539588829811E-2</v>
      </c>
    </row>
    <row r="51" spans="2:6" x14ac:dyDescent="0.2">
      <c r="B51" s="247" t="s">
        <v>316</v>
      </c>
      <c r="C51" s="247"/>
      <c r="E51" s="247" t="s">
        <v>337</v>
      </c>
      <c r="F51" s="247"/>
    </row>
    <row r="52" spans="2:6" x14ac:dyDescent="0.2">
      <c r="B52" s="20" t="s">
        <v>314</v>
      </c>
      <c r="C52" s="199">
        <f>Statement!AC188</f>
        <v>0.69669698594761198</v>
      </c>
      <c r="E52" s="20" t="s">
        <v>338</v>
      </c>
      <c r="F52" s="199" t="e">
        <f>Statement!AC192</f>
        <v>#DIV/0!</v>
      </c>
    </row>
    <row r="53" spans="2:6" x14ac:dyDescent="0.2">
      <c r="B53" s="20" t="s">
        <v>315</v>
      </c>
      <c r="C53" s="199" t="e">
        <f>Statement!AC189</f>
        <v>#DIV/0!</v>
      </c>
      <c r="E53" s="20" t="s">
        <v>335</v>
      </c>
      <c r="F53" s="199">
        <f>Statement!AC193</f>
        <v>2.3168998318295178E-2</v>
      </c>
    </row>
    <row r="54" spans="2:6" x14ac:dyDescent="0.2">
      <c r="E54" s="20" t="s">
        <v>336</v>
      </c>
      <c r="F54" s="199">
        <f>Statement!AC194</f>
        <v>0.41931684334511188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4"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266</v>
      </c>
      <c r="C5" s="14"/>
      <c r="D5" s="14"/>
      <c r="E5" s="14"/>
      <c r="F5" s="14"/>
      <c r="G5" s="14"/>
      <c r="I5" s="14"/>
    </row>
    <row r="6" spans="2:9" x14ac:dyDescent="0.2">
      <c r="B6" s="20" t="s">
        <v>1</v>
      </c>
      <c r="C6" s="196">
        <f>Statement!M124</f>
        <v>33.43</v>
      </c>
      <c r="D6" s="196">
        <f>Statement!N124</f>
        <v>14.57</v>
      </c>
      <c r="E6" s="196">
        <f>Statement!O124</f>
        <v>23.85</v>
      </c>
      <c r="F6" s="196">
        <f>Statement!P124</f>
        <v>14.58</v>
      </c>
      <c r="G6" s="196">
        <f>Statement!Q124</f>
        <v>12.59</v>
      </c>
      <c r="I6" s="196">
        <f ca="1">Statement!AC124</f>
        <v>214.75</v>
      </c>
    </row>
    <row r="7" spans="2:9" x14ac:dyDescent="0.2">
      <c r="B7" s="20" t="s">
        <v>272</v>
      </c>
      <c r="C7" s="197">
        <f>Statement!M169</f>
        <v>18122001.84</v>
      </c>
      <c r="D7" s="197">
        <f>Statement!N169</f>
        <v>8121653.1100000003</v>
      </c>
      <c r="E7" s="197">
        <f>Statement!O169</f>
        <v>13570960.050000001</v>
      </c>
      <c r="F7" s="197">
        <f>Statement!P169</f>
        <v>8040767.9400000004</v>
      </c>
      <c r="G7" s="197">
        <f>Statement!Q169</f>
        <v>6680971.6299999999</v>
      </c>
      <c r="I7" s="197">
        <f ca="1">Statement!AC169</f>
        <v>113421501</v>
      </c>
    </row>
    <row r="8" spans="2:9" x14ac:dyDescent="0.2">
      <c r="B8" s="20" t="s">
        <v>211</v>
      </c>
      <c r="C8" s="197">
        <f>Statement!M170</f>
        <v>16256861.84</v>
      </c>
      <c r="D8" s="197">
        <f>Statement!N170</f>
        <v>6364760.1100000003</v>
      </c>
      <c r="E8" s="197">
        <f>Statement!O170</f>
        <v>11691137.050000001</v>
      </c>
      <c r="F8" s="197">
        <f>Statement!P170</f>
        <v>6411249.9400000004</v>
      </c>
      <c r="G8" s="197">
        <f>Statement!Q170</f>
        <v>5208485.63</v>
      </c>
      <c r="I8" s="197">
        <f ca="1">Statement!AC170</f>
        <v>112114257</v>
      </c>
    </row>
    <row r="9" spans="2:9" x14ac:dyDescent="0.2">
      <c r="B9" s="20" t="s">
        <v>270</v>
      </c>
      <c r="C9" s="198">
        <f>Statement!M166</f>
        <v>8.6831168831168828</v>
      </c>
      <c r="D9" s="198">
        <f>Statement!N166</f>
        <v>8.3735632183908049</v>
      </c>
      <c r="E9" s="198">
        <f>Statement!O166</f>
        <v>1.9991617770326908</v>
      </c>
      <c r="F9" s="198">
        <f>Statement!P166</f>
        <v>4.9591836734693882</v>
      </c>
      <c r="G9" s="198">
        <f>Statement!Q166</f>
        <v>2.5693877551020408</v>
      </c>
      <c r="I9" s="198" t="e">
        <f ca="1">Statement!AC166</f>
        <v>#DIV/0!</v>
      </c>
    </row>
    <row r="10" spans="2:9" x14ac:dyDescent="0.2">
      <c r="B10" s="20" t="s">
        <v>224</v>
      </c>
      <c r="C10" s="198">
        <f>Statement!M167</f>
        <v>3.1487348591810957</v>
      </c>
      <c r="D10" s="198">
        <f>Statement!N167</f>
        <v>1.3541554830577593</v>
      </c>
      <c r="E10" s="198">
        <f>Statement!O167</f>
        <v>0.97636157709858518</v>
      </c>
      <c r="F10" s="198">
        <f>Statement!P167</f>
        <v>2.7712692245798753</v>
      </c>
      <c r="G10" s="198">
        <f>Statement!Q167</f>
        <v>1.4292586761014736</v>
      </c>
      <c r="I10" s="198" t="e">
        <f ca="1">Statement!AC167</f>
        <v>#DIV/0!</v>
      </c>
    </row>
    <row r="11" spans="2:9" x14ac:dyDescent="0.2">
      <c r="B11" s="20" t="s">
        <v>271</v>
      </c>
      <c r="C11" s="198">
        <f>Statement!M168</f>
        <v>9.4291282297830765</v>
      </c>
      <c r="D11" s="198">
        <f>Statement!N168</f>
        <v>4.2296795940750709</v>
      </c>
      <c r="E11" s="198">
        <f>Statement!O168</f>
        <v>6.7312463729729579</v>
      </c>
      <c r="F11" s="198">
        <f>Statement!P168</f>
        <v>4.3563406007925183</v>
      </c>
      <c r="G11" s="198">
        <f>Statement!Q168</f>
        <v>3.1673000839820857</v>
      </c>
      <c r="I11" s="198">
        <f ca="1">Statement!AC168</f>
        <v>59.124707758681843</v>
      </c>
    </row>
    <row r="12" spans="2:9" x14ac:dyDescent="0.2">
      <c r="B12" s="20" t="s">
        <v>293</v>
      </c>
      <c r="C12" s="198">
        <f>Statement!M171</f>
        <v>604.0299412944936</v>
      </c>
      <c r="D12" s="198">
        <f>Statement!N171</f>
        <v>235.95907577667384</v>
      </c>
      <c r="E12" s="198">
        <f>Statement!O171</f>
        <v>191.90336906207941</v>
      </c>
      <c r="F12" s="198">
        <f>Statement!P171</f>
        <v>49.12948144401787</v>
      </c>
      <c r="G12" s="198">
        <f>Statement!Q171</f>
        <v>24.120282812659187</v>
      </c>
      <c r="I12" s="198" t="e">
        <f ca="1">Statement!AC171</f>
        <v>#DIV/0!</v>
      </c>
    </row>
    <row r="13" spans="2:9" x14ac:dyDescent="0.2">
      <c r="B13" s="20" t="s">
        <v>227</v>
      </c>
      <c r="C13" s="198">
        <f>Statement!M172</f>
        <v>1619.0480868439399</v>
      </c>
      <c r="D13" s="198">
        <f>Statement!N172</f>
        <v>1506.8087381628789</v>
      </c>
      <c r="E13" s="198">
        <f>Statement!O172</f>
        <v>354.57773413805654</v>
      </c>
      <c r="F13" s="198">
        <f>Statement!P172</f>
        <v>78.711035075442283</v>
      </c>
      <c r="G13" s="198">
        <f>Statement!Q172</f>
        <v>39.94635684539103</v>
      </c>
      <c r="I13" s="198" t="e">
        <f ca="1">Statement!AC172</f>
        <v>#DIV/0!</v>
      </c>
    </row>
    <row r="15" spans="2:9" ht="17" thickBot="1" x14ac:dyDescent="0.25">
      <c r="B15" s="14" t="s">
        <v>77</v>
      </c>
      <c r="C15" s="14"/>
      <c r="D15" s="14"/>
      <c r="E15" s="14"/>
      <c r="F15" s="14"/>
      <c r="G15" s="14"/>
      <c r="I15" s="14"/>
    </row>
    <row r="16" spans="2:9" x14ac:dyDescent="0.2">
      <c r="B16" s="20" t="s">
        <v>78</v>
      </c>
      <c r="C16" s="199">
        <f>Statement!M99</f>
        <v>0.64929033216913135</v>
      </c>
      <c r="D16" s="199">
        <f>Statement!N99</f>
        <v>0.56928894490991322</v>
      </c>
      <c r="E16" s="199">
        <f>Statement!O99</f>
        <v>0.72717573290436954</v>
      </c>
      <c r="F16" s="199">
        <f>Statement!P99</f>
        <v>0.74988697058169917</v>
      </c>
      <c r="G16" s="199">
        <f>Statement!Q99</f>
        <v>0.71068084357547079</v>
      </c>
      <c r="I16" s="199" t="e">
        <f>Statement!AC99</f>
        <v>#DIV/0!</v>
      </c>
    </row>
    <row r="17" spans="2:9" x14ac:dyDescent="0.2">
      <c r="B17" s="20" t="s">
        <v>79</v>
      </c>
      <c r="C17" s="199">
        <f>Statement!M100</f>
        <v>0.37307720888756779</v>
      </c>
      <c r="D17" s="199">
        <f>Statement!N100</f>
        <v>0.1565952398606065</v>
      </c>
      <c r="E17" s="199">
        <f>Statement!O100</f>
        <v>0.54121663766783756</v>
      </c>
      <c r="F17" s="199">
        <f>Statement!P100</f>
        <v>0.62417526839697468</v>
      </c>
      <c r="G17" s="199">
        <f>Statement!Q100</f>
        <v>0.60381683631412719</v>
      </c>
      <c r="I17" s="199" t="e">
        <f>Statement!AC100</f>
        <v>#DIV/0!</v>
      </c>
    </row>
    <row r="18" spans="2:9" x14ac:dyDescent="0.2">
      <c r="B18" s="20" t="s">
        <v>80</v>
      </c>
      <c r="C18" s="199">
        <f>Statement!M101</f>
        <v>0.36233930296499961</v>
      </c>
      <c r="D18" s="199">
        <f>Statement!N101</f>
        <v>0.16193371394676356</v>
      </c>
      <c r="E18" s="199">
        <f>Statement!O101</f>
        <v>0.4884934834706674</v>
      </c>
      <c r="F18" s="199">
        <f>Statement!P101</f>
        <v>0.55848027157712443</v>
      </c>
      <c r="G18" s="199">
        <f>Statement!Q101</f>
        <v>0.55602534060702613</v>
      </c>
      <c r="I18" s="199" t="e">
        <f>Statement!AC101</f>
        <v>#DIV/0!</v>
      </c>
    </row>
    <row r="20" spans="2:9" ht="17" thickBot="1" x14ac:dyDescent="0.25">
      <c r="B20" s="14" t="s">
        <v>279</v>
      </c>
      <c r="C20" s="14"/>
      <c r="D20" s="14"/>
      <c r="E20" s="14"/>
      <c r="F20" s="14"/>
      <c r="G20" s="14"/>
      <c r="I20" s="14"/>
    </row>
    <row r="21" spans="2:9" x14ac:dyDescent="0.2">
      <c r="B21" s="20" t="s">
        <v>31</v>
      </c>
      <c r="C21" s="201">
        <f>Statement!M17</f>
        <v>9752</v>
      </c>
      <c r="D21" s="201">
        <f>Statement!N17</f>
        <v>4368</v>
      </c>
      <c r="E21" s="201">
        <f>Statement!O17</f>
        <v>29760</v>
      </c>
      <c r="F21" s="201">
        <f>Statement!P17</f>
        <v>72880</v>
      </c>
      <c r="G21" s="201">
        <f>Statement!Q17</f>
        <v>120067</v>
      </c>
      <c r="I21" s="201">
        <f>Statement!AC17</f>
        <v>0</v>
      </c>
    </row>
    <row r="22" spans="2:9" x14ac:dyDescent="0.2">
      <c r="B22" s="20" t="s">
        <v>280</v>
      </c>
      <c r="C22" s="201">
        <f>Statement!M57</f>
        <v>-54963</v>
      </c>
      <c r="D22" s="201">
        <f>Statement!N57</f>
        <v>-9981</v>
      </c>
      <c r="E22" s="201">
        <f>Statement!O57</f>
        <v>299082</v>
      </c>
      <c r="F22" s="201">
        <f>Statement!P57</f>
        <v>320565</v>
      </c>
      <c r="G22" s="201">
        <f>Statement!Q57</f>
        <v>371208</v>
      </c>
      <c r="I22" s="201">
        <f>Statement!AC57</f>
        <v>384134</v>
      </c>
    </row>
    <row r="23" spans="2:9" x14ac:dyDescent="0.2">
      <c r="B23" s="20" t="s">
        <v>287</v>
      </c>
      <c r="C23" s="219" t="str">
        <f>IF(OR(C21&lt;=0, C22&lt;=0),"N/A",C21-C22)</f>
        <v>N/A</v>
      </c>
      <c r="D23" s="219" t="str">
        <f t="shared" ref="D23:I23" si="0">IF(OR(D21&lt;=0, D22&lt;=0),"N/A",D21-D22)</f>
        <v>N/A</v>
      </c>
      <c r="E23" s="219">
        <f t="shared" si="0"/>
        <v>-269322</v>
      </c>
      <c r="F23" s="219">
        <f t="shared" si="0"/>
        <v>-247685</v>
      </c>
      <c r="G23" s="219">
        <f t="shared" si="0"/>
        <v>-251141</v>
      </c>
      <c r="I23" s="219" t="str">
        <f t="shared" si="0"/>
        <v>N/A</v>
      </c>
    </row>
    <row r="25" spans="2:9" ht="17" thickBot="1" x14ac:dyDescent="0.25">
      <c r="B25" s="14" t="s">
        <v>278</v>
      </c>
      <c r="C25" s="14"/>
      <c r="D25" s="14"/>
      <c r="E25" s="14"/>
      <c r="F25" s="14"/>
      <c r="G25" s="14"/>
      <c r="I25" s="14"/>
    </row>
    <row r="26" spans="2:9" x14ac:dyDescent="0.2">
      <c r="B26" s="20" t="s">
        <v>100</v>
      </c>
      <c r="C26" s="199">
        <f>Statement!M129</f>
        <v>0.36233930296499961</v>
      </c>
      <c r="D26" s="199">
        <f>Statement!N129</f>
        <v>0.16193371394676356</v>
      </c>
      <c r="E26" s="199">
        <f>Statement!O129</f>
        <v>0.4884934834706674</v>
      </c>
      <c r="F26" s="199">
        <f>Statement!P129</f>
        <v>0.55848027157712443</v>
      </c>
      <c r="G26" s="199">
        <f>Statement!Q129</f>
        <v>0.55602534060702613</v>
      </c>
      <c r="I26" s="199" t="e">
        <f>Statement!AC129</f>
        <v>#DIV/0!</v>
      </c>
    </row>
    <row r="27" spans="2:9" x14ac:dyDescent="0.2">
      <c r="B27" s="20" t="s">
        <v>101</v>
      </c>
      <c r="C27" s="238">
        <f>Statement!M130</f>
        <v>1.0462399657913662E-2</v>
      </c>
      <c r="D27" s="238">
        <f>Statement!N130</f>
        <v>9.8617800633663422E-3</v>
      </c>
      <c r="E27" s="238">
        <f>Statement!O130</f>
        <v>2.0618270599487336E-2</v>
      </c>
      <c r="F27" s="238">
        <f>Statement!P130</f>
        <v>4.5544398957166339E-2</v>
      </c>
      <c r="G27" s="238">
        <f>Statement!Q130</f>
        <v>6.792211877201812E-2</v>
      </c>
      <c r="I27" s="238">
        <f>Statement!AC130</f>
        <v>0</v>
      </c>
    </row>
    <row r="28" spans="2:9" x14ac:dyDescent="0.2">
      <c r="B28" s="32" t="s">
        <v>102</v>
      </c>
      <c r="C28" s="200">
        <f>Statement!M131</f>
        <v>3.7909385993896865E-3</v>
      </c>
      <c r="D28" s="200">
        <f>Statement!N131</f>
        <v>1.5969546717870611E-3</v>
      </c>
      <c r="E28" s="200">
        <f>Statement!O131</f>
        <v>1.0071890828284415E-2</v>
      </c>
      <c r="F28" s="200">
        <f>Statement!P131</f>
        <v>2.5435648298415159E-2</v>
      </c>
      <c r="G28" s="200">
        <f>Statement!Q131</f>
        <v>3.776641922496226E-2</v>
      </c>
      <c r="I28" s="200" t="e">
        <f>Statement!AC131</f>
        <v>#DIV/0!</v>
      </c>
    </row>
    <row r="29" spans="2:9" x14ac:dyDescent="0.2">
      <c r="B29" s="20" t="s">
        <v>103</v>
      </c>
      <c r="C29" s="238">
        <f>Statement!M132</f>
        <v>1.3384813183920012</v>
      </c>
      <c r="D29" s="238">
        <f>Statement!N132</f>
        <v>1.4244692363857558</v>
      </c>
      <c r="E29" s="238">
        <f>Statement!O132</f>
        <v>1.4655708952965953</v>
      </c>
      <c r="F29" s="238">
        <f>Statement!P132</f>
        <v>1.5523507364438103</v>
      </c>
      <c r="G29" s="238">
        <f>Statement!Q132</f>
        <v>1.526562875884657</v>
      </c>
      <c r="I29" s="238">
        <f>Statement!AC132</f>
        <v>1.5264074746513994</v>
      </c>
    </row>
    <row r="30" spans="2:9" x14ac:dyDescent="0.2">
      <c r="B30" s="32" t="s">
        <v>104</v>
      </c>
      <c r="C30" s="200">
        <f>Statement!M133</f>
        <v>5.0741004944542343E-3</v>
      </c>
      <c r="D30" s="200">
        <f>Statement!N133</f>
        <v>2.2748128018631802E-3</v>
      </c>
      <c r="E30" s="200">
        <f>Statement!O133</f>
        <v>1.4761070058538358E-2</v>
      </c>
      <c r="F30" s="200">
        <f>Statement!P133</f>
        <v>3.9485047367970524E-2</v>
      </c>
      <c r="G30" s="200">
        <f>Statement!Q133</f>
        <v>5.7652813543923986E-2</v>
      </c>
      <c r="I30" s="200" t="e">
        <f>Statement!AC133</f>
        <v>#DIV/0!</v>
      </c>
    </row>
    <row r="32" spans="2:9" ht="17" thickBot="1" x14ac:dyDescent="0.25">
      <c r="B32" s="14" t="s">
        <v>339</v>
      </c>
      <c r="C32" s="14"/>
      <c r="D32" s="14"/>
      <c r="E32" s="14"/>
      <c r="F32" s="14"/>
      <c r="G32" s="14"/>
      <c r="I32" s="14"/>
    </row>
    <row r="33" spans="2:9" x14ac:dyDescent="0.2">
      <c r="B33" s="20" t="s">
        <v>102</v>
      </c>
      <c r="C33" s="199">
        <f>C28</f>
        <v>3.7909385993896865E-3</v>
      </c>
      <c r="D33" s="199">
        <f t="shared" ref="D33:G33" si="1">D28</f>
        <v>1.5969546717870611E-3</v>
      </c>
      <c r="E33" s="199">
        <f t="shared" si="1"/>
        <v>1.0071890828284415E-2</v>
      </c>
      <c r="F33" s="199">
        <f t="shared" si="1"/>
        <v>2.5435648298415159E-2</v>
      </c>
      <c r="G33" s="199">
        <f t="shared" si="1"/>
        <v>3.776641922496226E-2</v>
      </c>
      <c r="I33" s="199" t="e">
        <f>I28</f>
        <v>#DIV/0!</v>
      </c>
    </row>
    <row r="34" spans="2:9" x14ac:dyDescent="0.2">
      <c r="B34" s="20" t="s">
        <v>104</v>
      </c>
      <c r="C34" s="199">
        <f>C30</f>
        <v>5.0741004944542343E-3</v>
      </c>
      <c r="D34" s="199">
        <f t="shared" ref="D34:G34" si="2">D30</f>
        <v>2.2748128018631802E-3</v>
      </c>
      <c r="E34" s="199">
        <f t="shared" si="2"/>
        <v>1.4761070058538358E-2</v>
      </c>
      <c r="F34" s="199">
        <f t="shared" si="2"/>
        <v>3.9485047367970524E-2</v>
      </c>
      <c r="G34" s="199">
        <f t="shared" si="2"/>
        <v>5.7652813543923986E-2</v>
      </c>
      <c r="I34" s="199" t="e">
        <f>I30</f>
        <v>#DIV/0!</v>
      </c>
    </row>
    <row r="35" spans="2:9" x14ac:dyDescent="0.2">
      <c r="B35" s="20" t="s">
        <v>105</v>
      </c>
      <c r="C35" s="199">
        <f>Statement!M156</f>
        <v>0.17348748230478239</v>
      </c>
      <c r="D35" s="199">
        <f>Statement!N156</f>
        <v>2.5872048510090957E-2</v>
      </c>
      <c r="E35" s="199">
        <f>Statement!O156</f>
        <v>0.21289385210613934</v>
      </c>
      <c r="F35" s="199">
        <f>Statement!P156</f>
        <v>0.32670643787855347</v>
      </c>
      <c r="G35" s="199">
        <f>Statement!Q156</f>
        <v>0.18140667526153839</v>
      </c>
      <c r="I35" s="199">
        <f>Statement!AC156</f>
        <v>0</v>
      </c>
    </row>
    <row r="37" spans="2:9" ht="17" thickBot="1" x14ac:dyDescent="0.25">
      <c r="B37" s="14" t="s">
        <v>283</v>
      </c>
      <c r="C37" s="14"/>
      <c r="D37" s="14"/>
      <c r="E37" s="14"/>
      <c r="F37" s="14"/>
      <c r="G37" s="14"/>
      <c r="I37" s="14"/>
    </row>
    <row r="38" spans="2:9" x14ac:dyDescent="0.2">
      <c r="B38" s="20" t="s">
        <v>161</v>
      </c>
      <c r="C38" s="198">
        <f>Statement!M157</f>
        <v>4432.2261648212825</v>
      </c>
      <c r="D38" s="198">
        <f>Statement!N157</f>
        <v>6000.9307110550908</v>
      </c>
      <c r="E38" s="198">
        <f>Statement!O157</f>
        <v>3118.4128065395098</v>
      </c>
      <c r="F38" s="198">
        <f>Statement!P157</f>
        <v>1510.0047510670743</v>
      </c>
      <c r="G38" s="198">
        <f>Statement!Q157</f>
        <v>981.56565773509055</v>
      </c>
      <c r="I38" s="198" t="e">
        <f>Statement!AC157</f>
        <v>#DIV/0!</v>
      </c>
    </row>
    <row r="39" spans="2:9" x14ac:dyDescent="0.2">
      <c r="B39" s="20" t="s">
        <v>162</v>
      </c>
      <c r="C39" s="198">
        <f>Statement!M158</f>
        <v>0</v>
      </c>
      <c r="D39" s="198">
        <f>Statement!N158</f>
        <v>0</v>
      </c>
      <c r="E39" s="198">
        <f>Statement!O158</f>
        <v>0</v>
      </c>
      <c r="F39" s="198">
        <f>Statement!P158</f>
        <v>0</v>
      </c>
      <c r="G39" s="198">
        <f>Statement!Q158</f>
        <v>0</v>
      </c>
      <c r="I39" s="198" t="e">
        <f>Statement!AC158</f>
        <v>#DIV/0!</v>
      </c>
    </row>
    <row r="40" spans="2:9" x14ac:dyDescent="0.2">
      <c r="B40" s="20" t="s">
        <v>163</v>
      </c>
      <c r="C40" s="198">
        <f>Statement!M159</f>
        <v>445.27757177667127</v>
      </c>
      <c r="D40" s="198">
        <f>Statement!N159</f>
        <v>279.32647615768633</v>
      </c>
      <c r="E40" s="198">
        <f>Statement!O159</f>
        <v>75.696708982612364</v>
      </c>
      <c r="F40" s="198">
        <f>Statement!P159</f>
        <v>371.02760501240846</v>
      </c>
      <c r="G40" s="198">
        <f>Statement!Q159</f>
        <v>59.363985594237697</v>
      </c>
      <c r="I40" s="198" t="e">
        <f>Statement!AC159</f>
        <v>#DIV/0!</v>
      </c>
    </row>
    <row r="41" spans="2:9" x14ac:dyDescent="0.2">
      <c r="B41" s="20" t="s">
        <v>164</v>
      </c>
      <c r="C41" s="198">
        <f>Statement!M160</f>
        <v>3986.9485930446112</v>
      </c>
      <c r="D41" s="198">
        <f>Statement!N160</f>
        <v>5721.6042348974042</v>
      </c>
      <c r="E41" s="198">
        <f>Statement!O160</f>
        <v>3042.7160975568972</v>
      </c>
      <c r="F41" s="198">
        <f>Statement!P160</f>
        <v>1138.9771460546658</v>
      </c>
      <c r="G41" s="198">
        <f>Statement!Q160</f>
        <v>922.20167214085291</v>
      </c>
      <c r="I41" s="198" t="e">
        <f>Statement!AC160</f>
        <v>#DIV/0!</v>
      </c>
    </row>
    <row r="43" spans="2:9" ht="17" thickBot="1" x14ac:dyDescent="0.25">
      <c r="B43" s="14" t="s">
        <v>289</v>
      </c>
      <c r="C43" s="14"/>
      <c r="D43" s="14"/>
      <c r="E43" s="14"/>
      <c r="F43" s="14"/>
      <c r="G43" s="14"/>
      <c r="I43" s="14"/>
    </row>
    <row r="44" spans="2:9" x14ac:dyDescent="0.2">
      <c r="B44" s="20" t="s">
        <v>290</v>
      </c>
      <c r="C44" s="204">
        <f>Statement!M161</f>
        <v>0</v>
      </c>
      <c r="D44" s="204">
        <f>Statement!N161</f>
        <v>0</v>
      </c>
      <c r="E44" s="204">
        <f>Statement!O161</f>
        <v>0</v>
      </c>
      <c r="F44" s="204">
        <f>Statement!P161</f>
        <v>0</v>
      </c>
      <c r="G44" s="204">
        <f>Statement!Q161</f>
        <v>0</v>
      </c>
      <c r="I44" s="204">
        <f>Statement!AC161</f>
        <v>0</v>
      </c>
    </row>
    <row r="45" spans="2:9" x14ac:dyDescent="0.2">
      <c r="B45" s="20" t="s">
        <v>291</v>
      </c>
      <c r="C45" s="204">
        <f>Statement!M162</f>
        <v>-0.97045814153264687</v>
      </c>
      <c r="D45" s="204">
        <f>Statement!N162</f>
        <v>-0.91497314283512088</v>
      </c>
      <c r="E45" s="204">
        <f>Statement!O162</f>
        <v>-0.93239915996813671</v>
      </c>
      <c r="F45" s="204">
        <f>Statement!P162</f>
        <v>-0.88284296675302665</v>
      </c>
      <c r="G45" s="204">
        <f>Statement!Q162</f>
        <v>-0.70704657236408375</v>
      </c>
      <c r="I45" s="204">
        <f>Statement!AC162</f>
        <v>-0.68695115254353079</v>
      </c>
    </row>
    <row r="46" spans="2:9" x14ac:dyDescent="0.2">
      <c r="B46" s="20" t="s">
        <v>285</v>
      </c>
      <c r="C46" s="204">
        <f>Statement!M163</f>
        <v>4.1553646343798398</v>
      </c>
      <c r="D46" s="204">
        <f>Statement!N163</f>
        <v>3.5124319181677128</v>
      </c>
      <c r="E46" s="204">
        <f>Statement!O163</f>
        <v>3.3726940484002186</v>
      </c>
      <c r="F46" s="204">
        <f>Statement!P163</f>
        <v>2.715395784308817</v>
      </c>
      <c r="G46" s="204">
        <f>Statement!Q163</f>
        <v>2.2676594254840001</v>
      </c>
      <c r="I46" s="204">
        <f>Statement!AC163</f>
        <v>1.9325582625717537</v>
      </c>
    </row>
    <row r="47" spans="2:9" x14ac:dyDescent="0.2">
      <c r="B47" s="20" t="s">
        <v>286</v>
      </c>
      <c r="C47" s="204">
        <f>Statement!M164</f>
        <v>4.3171501096680389</v>
      </c>
      <c r="D47" s="204">
        <f>Statement!N164</f>
        <v>3.7423569563190795</v>
      </c>
      <c r="E47" s="204">
        <f>Statement!O164</f>
        <v>3.6257476910625539</v>
      </c>
      <c r="F47" s="204">
        <f>Statement!P164</f>
        <v>2.9271504030441093</v>
      </c>
      <c r="G47" s="204">
        <f>Statement!Q164</f>
        <v>2.4783388537733191</v>
      </c>
      <c r="I47" s="204">
        <f>Statement!AC164</f>
        <v>2.3066495444084523</v>
      </c>
    </row>
    <row r="48" spans="2:9" x14ac:dyDescent="0.2">
      <c r="B48" s="20" t="s">
        <v>292</v>
      </c>
      <c r="C48" s="206">
        <f>Statement!M165</f>
        <v>48.507246376811594</v>
      </c>
      <c r="D48" s="206" t="str">
        <f>Statement!N165</f>
        <v>N/A</v>
      </c>
      <c r="E48" s="206" t="str">
        <f>Statement!O165</f>
        <v>N/A</v>
      </c>
      <c r="F48" s="206" t="str">
        <f>Statement!P165</f>
        <v>N/A</v>
      </c>
      <c r="G48" s="206" t="str">
        <f>Statement!Q165</f>
        <v>N/A</v>
      </c>
      <c r="I48" s="206" t="str">
        <f>Statement!AC165</f>
        <v>N/A</v>
      </c>
    </row>
    <row r="50" spans="2:9" ht="17" thickBot="1" x14ac:dyDescent="0.25">
      <c r="B50" s="14" t="s">
        <v>302</v>
      </c>
      <c r="C50" s="14"/>
      <c r="D50" s="14"/>
      <c r="E50" s="14"/>
      <c r="F50" s="14"/>
      <c r="G50" s="14"/>
      <c r="I50" s="14"/>
    </row>
    <row r="51" spans="2:9" x14ac:dyDescent="0.2">
      <c r="B51" s="20" t="s">
        <v>299</v>
      </c>
      <c r="C51" s="199">
        <f>Statement!M178</f>
        <v>0.11516601854621598</v>
      </c>
      <c r="D51" s="199">
        <f>Statement!N178</f>
        <v>0.11942347288949895</v>
      </c>
      <c r="E51" s="199">
        <f>Statement!O178</f>
        <v>0.50020964360586995</v>
      </c>
      <c r="F51" s="199">
        <f>Statement!P178</f>
        <v>0.20164609053497942</v>
      </c>
      <c r="G51" s="199">
        <f>Statement!Q178</f>
        <v>0.38919777601270855</v>
      </c>
      <c r="I51" s="199">
        <f ca="1">Statement!AC178</f>
        <v>0</v>
      </c>
    </row>
    <row r="52" spans="2:9" x14ac:dyDescent="0.2">
      <c r="B52" s="20" t="s">
        <v>303</v>
      </c>
      <c r="C52" s="199">
        <f>Statement!M177</f>
        <v>-3.2136350340421331E-2</v>
      </c>
      <c r="D52" s="199">
        <f>Statement!N177</f>
        <v>-4.9698749076467263E-2</v>
      </c>
      <c r="E52" s="199">
        <f>Statement!O177</f>
        <v>-5.9107830031523813E-3</v>
      </c>
      <c r="F52" s="199">
        <f>Statement!P177</f>
        <v>-6.5303464037043202E-3</v>
      </c>
      <c r="G52" s="199">
        <f>Statement!Q177</f>
        <v>9.2028530287292954E-3</v>
      </c>
      <c r="I52" s="199">
        <f ca="1">Statement!AC177</f>
        <v>9.4875309400111005E-4</v>
      </c>
    </row>
    <row r="53" spans="2:9" x14ac:dyDescent="0.2">
      <c r="B53" s="20" t="s">
        <v>300</v>
      </c>
      <c r="C53" s="199">
        <f>Statement!M179</f>
        <v>0</v>
      </c>
      <c r="D53" s="199">
        <f>Statement!N179</f>
        <v>0</v>
      </c>
      <c r="E53" s="199">
        <f>Statement!O179</f>
        <v>0</v>
      </c>
      <c r="F53" s="199">
        <f>Statement!P179</f>
        <v>0</v>
      </c>
      <c r="G53" s="199">
        <f>Statement!Q179</f>
        <v>0</v>
      </c>
      <c r="I53" s="199">
        <f ca="1">Statement!AC179</f>
        <v>0</v>
      </c>
    </row>
    <row r="54" spans="2:9" x14ac:dyDescent="0.2">
      <c r="B54" s="20" t="s">
        <v>326</v>
      </c>
      <c r="C54" s="199">
        <f>Statement!M180</f>
        <v>0</v>
      </c>
      <c r="D54" s="199">
        <f>Statement!N180</f>
        <v>0</v>
      </c>
      <c r="E54" s="199">
        <f>Statement!O180</f>
        <v>7.5613663014209515E-3</v>
      </c>
      <c r="F54" s="199">
        <f>Statement!P180</f>
        <v>4.8596228981581578E-2</v>
      </c>
      <c r="G54" s="199">
        <f>Statement!Q180</f>
        <v>4.9259451802222368E-2</v>
      </c>
      <c r="I54" s="199">
        <f ca="1">Statement!AC180</f>
        <v>3.0450311180417193E-3</v>
      </c>
    </row>
    <row r="55" spans="2:9" x14ac:dyDescent="0.2">
      <c r="B55" s="20" t="s">
        <v>328</v>
      </c>
      <c r="C55" s="199">
        <f>Statement!M181</f>
        <v>0</v>
      </c>
      <c r="D55" s="199">
        <f>Statement!N181</f>
        <v>0</v>
      </c>
      <c r="E55" s="199">
        <f>Statement!O181</f>
        <v>7.5613663014209515E-3</v>
      </c>
      <c r="F55" s="199">
        <f>Statement!P181</f>
        <v>4.8596228981581578E-2</v>
      </c>
      <c r="G55" s="199">
        <f>Statement!Q181</f>
        <v>4.9259451802222368E-2</v>
      </c>
      <c r="I55" s="199">
        <f ca="1">Statement!AC181</f>
        <v>3.0450311180417193E-3</v>
      </c>
    </row>
    <row r="57" spans="2:9" ht="17" thickBot="1" x14ac:dyDescent="0.25">
      <c r="B57" s="14" t="s">
        <v>305</v>
      </c>
      <c r="C57" s="14"/>
      <c r="D57" s="14"/>
      <c r="E57" s="14"/>
      <c r="F57" s="14"/>
      <c r="G57" s="14"/>
      <c r="I57" s="14"/>
    </row>
    <row r="58" spans="2:9" x14ac:dyDescent="0.2">
      <c r="B58" s="20" t="s">
        <v>304</v>
      </c>
      <c r="C58" s="199">
        <f>Statement!M183</f>
        <v>0</v>
      </c>
      <c r="D58" s="199">
        <f>Statement!N183</f>
        <v>0</v>
      </c>
      <c r="E58" s="199">
        <f>Statement!O183</f>
        <v>0</v>
      </c>
      <c r="F58" s="199">
        <f>Statement!P183</f>
        <v>0</v>
      </c>
      <c r="G58" s="199">
        <f>Statement!Q183</f>
        <v>0</v>
      </c>
      <c r="I58" s="199">
        <f>Statement!AC183</f>
        <v>0</v>
      </c>
    </row>
    <row r="59" spans="2:9" x14ac:dyDescent="0.2">
      <c r="B59" s="20" t="s">
        <v>306</v>
      </c>
      <c r="C59" s="199">
        <f>Statement!M184</f>
        <v>0</v>
      </c>
      <c r="D59" s="199">
        <f>Statement!N184</f>
        <v>0</v>
      </c>
      <c r="E59" s="199">
        <f>Statement!O184</f>
        <v>-1.2792495169232687</v>
      </c>
      <c r="F59" s="199">
        <f>Statement!P184</f>
        <v>-7.44160048753547</v>
      </c>
      <c r="G59" s="199">
        <f>Statement!Q184</f>
        <v>5.3526283260685705</v>
      </c>
      <c r="I59" s="199">
        <f>Statement!AC184</f>
        <v>3.2095084983598028</v>
      </c>
    </row>
    <row r="60" spans="2:9" x14ac:dyDescent="0.2">
      <c r="B60" s="20" t="s">
        <v>307</v>
      </c>
      <c r="C60" s="199">
        <f>Statement!M185</f>
        <v>0</v>
      </c>
      <c r="D60" s="199">
        <f>Statement!N185</f>
        <v>0</v>
      </c>
      <c r="E60" s="199">
        <f>Statement!O185</f>
        <v>-1.2792495169232687</v>
      </c>
      <c r="F60" s="199">
        <f>Statement!P185</f>
        <v>-7.44160048753547</v>
      </c>
      <c r="G60" s="199">
        <f>Statement!Q185</f>
        <v>5.3526283260685705</v>
      </c>
      <c r="I60" s="199">
        <f>Statement!AC185</f>
        <v>3.2095084983598028</v>
      </c>
    </row>
    <row r="62" spans="2:9" ht="17" thickBot="1" x14ac:dyDescent="0.25">
      <c r="B62" s="14" t="s">
        <v>313</v>
      </c>
      <c r="C62" s="14"/>
      <c r="D62" s="14"/>
      <c r="E62" s="14"/>
      <c r="F62" s="14"/>
      <c r="G62" s="14"/>
      <c r="I62" s="14"/>
    </row>
    <row r="63" spans="2:9" x14ac:dyDescent="0.2">
      <c r="B63" s="20" t="s">
        <v>311</v>
      </c>
      <c r="C63" s="199">
        <f>Statement!M186</f>
        <v>0.32041292188722126</v>
      </c>
      <c r="D63" s="199">
        <f>Statement!N186</f>
        <v>0.31207180184527727</v>
      </c>
      <c r="E63" s="199">
        <f>Statement!O186</f>
        <v>0.22510733498180183</v>
      </c>
      <c r="F63" s="199">
        <f>Statement!P186</f>
        <v>0.22494029842627195</v>
      </c>
      <c r="G63" s="199">
        <f>Statement!Q186</f>
        <v>0.22012147206199109</v>
      </c>
      <c r="I63" s="199">
        <f>Statement!AC186</f>
        <v>0.22116382280992736</v>
      </c>
    </row>
    <row r="65" spans="2:9" ht="17" thickBot="1" x14ac:dyDescent="0.25">
      <c r="B65" s="14" t="s">
        <v>319</v>
      </c>
      <c r="C65" s="14"/>
      <c r="D65" s="14"/>
      <c r="E65" s="14"/>
      <c r="F65" s="14"/>
      <c r="G65" s="14"/>
      <c r="I65" s="14"/>
    </row>
    <row r="66" spans="2:9" x14ac:dyDescent="0.2">
      <c r="B66" s="20" t="s">
        <v>312</v>
      </c>
      <c r="C66" s="198">
        <f>Statement!M187</f>
        <v>0.34406590811823912</v>
      </c>
      <c r="D66" s="198">
        <f>Statement!N187</f>
        <v>0.31518128961309455</v>
      </c>
      <c r="E66" s="198">
        <f>Statement!O187</f>
        <v>0.33036556282545387</v>
      </c>
      <c r="F66" s="198">
        <f>Statement!P187</f>
        <v>2.9547392260645196</v>
      </c>
      <c r="G66" s="198">
        <f>Statement!Q187</f>
        <v>2.8105061440443424</v>
      </c>
      <c r="I66" s="198">
        <f>Statement!AC187</f>
        <v>2.4951118677971147</v>
      </c>
    </row>
    <row r="67" spans="2:9" x14ac:dyDescent="0.2">
      <c r="B67" s="20" t="s">
        <v>320</v>
      </c>
      <c r="C67" s="198">
        <f>Statement!M190</f>
        <v>0.34406590811823912</v>
      </c>
      <c r="D67" s="198">
        <f>Statement!N190</f>
        <v>0.31518128961309455</v>
      </c>
      <c r="E67" s="198">
        <f>Statement!O190</f>
        <v>0.33036556282545387</v>
      </c>
      <c r="F67" s="198">
        <f>Statement!P190</f>
        <v>2.9547392260645196</v>
      </c>
      <c r="G67" s="198">
        <f>Statement!Q190</f>
        <v>2.8105061440443424</v>
      </c>
      <c r="I67" s="198">
        <f>Statement!AC190</f>
        <v>2.4951118677971147</v>
      </c>
    </row>
    <row r="68" spans="2:9" x14ac:dyDescent="0.2">
      <c r="B68" s="20" t="s">
        <v>325</v>
      </c>
      <c r="C68" s="220">
        <f>Statement!M191</f>
        <v>0.10292130066354745</v>
      </c>
      <c r="D68" s="220">
        <f>Statement!N191</f>
        <v>0.21632209307693517</v>
      </c>
      <c r="E68" s="220">
        <f>Statement!O191</f>
        <v>0.1385180556920142</v>
      </c>
      <c r="F68" s="220">
        <f>Statement!P191</f>
        <v>0.20265701138988473</v>
      </c>
      <c r="G68" s="220">
        <f>Statement!Q191</f>
        <v>0.22039997795949329</v>
      </c>
      <c r="I68" s="220">
        <f ca="1">Statement!AC191</f>
        <v>1.1525539588829811E-2</v>
      </c>
    </row>
    <row r="70" spans="2:9" ht="17" thickBot="1" x14ac:dyDescent="0.25">
      <c r="B70" s="14" t="s">
        <v>340</v>
      </c>
      <c r="C70" s="14"/>
      <c r="D70" s="14"/>
      <c r="E70" s="14"/>
      <c r="F70" s="14"/>
      <c r="G70" s="14"/>
      <c r="I70" s="14"/>
    </row>
    <row r="71" spans="2:9" x14ac:dyDescent="0.2">
      <c r="B71" s="20" t="s">
        <v>314</v>
      </c>
      <c r="C71" s="199">
        <f>Statement!M188</f>
        <v>-9.3805469133780903</v>
      </c>
      <c r="D71" s="199">
        <f>Statement!N188</f>
        <v>-37.054403366396151</v>
      </c>
      <c r="E71" s="199">
        <f>Statement!O188</f>
        <v>1.243655586093446</v>
      </c>
      <c r="F71" s="199">
        <f>Statement!P188</f>
        <v>1.1172492318250589</v>
      </c>
      <c r="G71" s="199">
        <f>Statement!Q188</f>
        <v>0.78305424452059225</v>
      </c>
      <c r="I71" s="199">
        <f>Statement!AC188</f>
        <v>0.69669698594761198</v>
      </c>
    </row>
    <row r="72" spans="2:9" x14ac:dyDescent="0.2">
      <c r="B72" s="20" t="s">
        <v>315</v>
      </c>
      <c r="C72" s="199">
        <f>Statement!M189</f>
        <v>19.156684253548338</v>
      </c>
      <c r="D72" s="199">
        <f>Statement!N189</f>
        <v>13.710980944613331</v>
      </c>
      <c r="E72" s="199">
        <f>Statement!O189</f>
        <v>6.1054298939627722</v>
      </c>
      <c r="F72" s="199">
        <f>Statement!P189</f>
        <v>2.7445151995831321</v>
      </c>
      <c r="G72" s="199">
        <f>Statement!Q189</f>
        <v>1.3461086052478026</v>
      </c>
      <c r="I72" s="199" t="e">
        <f>Statement!AC189</f>
        <v>#DIV/0!</v>
      </c>
    </row>
    <row r="74" spans="2:9" ht="17" thickBot="1" x14ac:dyDescent="0.25">
      <c r="B74" s="14" t="s">
        <v>341</v>
      </c>
      <c r="C74" s="14"/>
      <c r="D74" s="14"/>
      <c r="E74" s="14"/>
      <c r="F74" s="14"/>
      <c r="G74" s="14"/>
      <c r="I74" s="14"/>
    </row>
    <row r="75" spans="2:9" x14ac:dyDescent="0.2">
      <c r="B75" s="20" t="s">
        <v>338</v>
      </c>
      <c r="C75" s="199">
        <f>Statement!M192</f>
        <v>0.43951103514899309</v>
      </c>
      <c r="D75" s="199">
        <f>Statement!N192</f>
        <v>0.88288722473492998</v>
      </c>
      <c r="E75" s="199">
        <f>Statement!O192</f>
        <v>0.12051475657397984</v>
      </c>
      <c r="F75" s="199">
        <f>Statement!P192</f>
        <v>0.1143551192747726</v>
      </c>
      <c r="G75" s="199">
        <f>Statement!Q192</f>
        <v>8.8210504867137787E-2</v>
      </c>
      <c r="I75" s="199" t="e">
        <f>Statement!AC192</f>
        <v>#DIV/0!</v>
      </c>
    </row>
    <row r="76" spans="2:9" x14ac:dyDescent="0.2">
      <c r="B76" s="20" t="s">
        <v>335</v>
      </c>
      <c r="C76" s="199">
        <f>Statement!M193</f>
        <v>-0.21521750996124667</v>
      </c>
      <c r="D76" s="199">
        <f>Statement!N193</f>
        <v>-2.3860334635808034</v>
      </c>
      <c r="E76" s="199">
        <f>Statement!O193</f>
        <v>2.4548451595214689E-2</v>
      </c>
      <c r="F76" s="199">
        <f>Statement!P193</f>
        <v>4.6552181304883568E-2</v>
      </c>
      <c r="G76" s="199">
        <f>Statement!Q193</f>
        <v>5.1313549276955236E-2</v>
      </c>
      <c r="I76" s="199">
        <f>Statement!AC193</f>
        <v>2.3168998318295178E-2</v>
      </c>
    </row>
    <row r="77" spans="2:9" x14ac:dyDescent="0.2">
      <c r="B77" s="20" t="s">
        <v>336</v>
      </c>
      <c r="C77" s="199">
        <f>Statement!M194</f>
        <v>0.80442026521591292</v>
      </c>
      <c r="D77" s="199">
        <f>Statement!N194</f>
        <v>1.2719649628798804</v>
      </c>
      <c r="E77" s="199">
        <f>Statement!O194</f>
        <v>0.32491038633446917</v>
      </c>
      <c r="F77" s="199">
        <f>Statement!P194</f>
        <v>0.86600510677808729</v>
      </c>
      <c r="G77" s="199">
        <f>Statement!Q194</f>
        <v>1.1225175319700631</v>
      </c>
      <c r="I77" s="199">
        <f>Statement!AC194</f>
        <v>0.41931684334511188</v>
      </c>
    </row>
    <row r="79" spans="2:9" ht="17" thickBot="1" x14ac:dyDescent="0.25">
      <c r="B79" s="14" t="s">
        <v>127</v>
      </c>
      <c r="C79" s="14"/>
      <c r="D79" s="14"/>
      <c r="E79" s="14"/>
      <c r="F79" s="14"/>
      <c r="G79" s="14"/>
      <c r="I79" s="14"/>
    </row>
    <row r="80" spans="2:9" x14ac:dyDescent="0.2">
      <c r="B80" s="20" t="s">
        <v>19</v>
      </c>
      <c r="C80" s="199">
        <f>Statement!M87</f>
        <v>1</v>
      </c>
      <c r="D80" s="199">
        <f>Statement!N87</f>
        <v>2.2293230289068887E-3</v>
      </c>
      <c r="E80" s="199">
        <f>Statement!O87</f>
        <v>1.2585452658115222</v>
      </c>
      <c r="F80" s="199">
        <f>Statement!P87</f>
        <v>1.1420340763599357</v>
      </c>
      <c r="G80" s="199">
        <f>Statement!Q87</f>
        <v>0.65473535790094795</v>
      </c>
      <c r="I80" s="221"/>
    </row>
    <row r="81" spans="2:9" x14ac:dyDescent="0.2">
      <c r="B81" s="20" t="s">
        <v>20</v>
      </c>
      <c r="C81" s="199">
        <f>Statement!M88</f>
        <v>1</v>
      </c>
      <c r="D81" s="199">
        <f>Statement!N88</f>
        <v>0.23085072571246953</v>
      </c>
      <c r="E81" s="199">
        <f>Statement!O88</f>
        <v>0.43062489240833191</v>
      </c>
      <c r="F81" s="199">
        <f>Statement!P88</f>
        <v>0.9637205944287347</v>
      </c>
      <c r="G81" s="199">
        <f>Statement!Q88</f>
        <v>0.91412114341738415</v>
      </c>
      <c r="I81" s="221"/>
    </row>
    <row r="82" spans="2:9" x14ac:dyDescent="0.2">
      <c r="B82" s="20" t="s">
        <v>21</v>
      </c>
      <c r="C82" s="199">
        <f>Statement!M89</f>
        <v>1</v>
      </c>
      <c r="D82" s="199">
        <f>Statement!N89</f>
        <v>-0.12125894134477826</v>
      </c>
      <c r="E82" s="199">
        <f>Statement!O89</f>
        <v>1.8849309716071894</v>
      </c>
      <c r="F82" s="199">
        <f>Statement!P89</f>
        <v>1.208934335568046</v>
      </c>
      <c r="G82" s="199">
        <f>Statement!Q89</f>
        <v>0.56822130025138462</v>
      </c>
      <c r="I82" s="221"/>
    </row>
    <row r="83" spans="2:9" x14ac:dyDescent="0.2">
      <c r="B83" s="20" t="s">
        <v>25</v>
      </c>
      <c r="C83" s="199">
        <f>Statement!M93</f>
        <v>1</v>
      </c>
      <c r="D83" s="199">
        <f>Statement!N93</f>
        <v>0.49744417541027708</v>
      </c>
      <c r="E83" s="199">
        <f>Statement!O93</f>
        <v>1.7696730147323033E-2</v>
      </c>
      <c r="F83" s="199">
        <f>Statement!P93</f>
        <v>0.44805366757878012</v>
      </c>
      <c r="G83" s="199">
        <f>Statement!Q93</f>
        <v>0.40664431575739102</v>
      </c>
      <c r="I83" s="221"/>
    </row>
    <row r="84" spans="2:9" x14ac:dyDescent="0.2">
      <c r="B84" s="20" t="s">
        <v>342</v>
      </c>
      <c r="C84" s="199">
        <f>Statement!M94</f>
        <v>1</v>
      </c>
      <c r="D84" s="199">
        <f>Statement!N94</f>
        <v>-0.57932476844935765</v>
      </c>
      <c r="E84" s="199">
        <f>Statement!O94</f>
        <v>6.8058712121212119</v>
      </c>
      <c r="F84" s="199">
        <f>Statement!P94</f>
        <v>1.470368797767803</v>
      </c>
      <c r="G84" s="199">
        <f>Statement!Q94</f>
        <v>0.60076363055995485</v>
      </c>
      <c r="I84" s="221"/>
    </row>
    <row r="85" spans="2:9" x14ac:dyDescent="0.2">
      <c r="B85" s="20" t="s">
        <v>343</v>
      </c>
      <c r="C85" s="199">
        <f>Statement!M96</f>
        <v>1</v>
      </c>
      <c r="D85" s="199">
        <f>Statement!N96</f>
        <v>-0.55209187858900743</v>
      </c>
      <c r="E85" s="199">
        <f>Statement!O96</f>
        <v>5.813186813186813</v>
      </c>
      <c r="F85" s="199">
        <f>Statement!P96</f>
        <v>1.4489247311827957</v>
      </c>
      <c r="G85" s="199">
        <f>Statement!Q96</f>
        <v>0.6474615806805708</v>
      </c>
      <c r="I85" s="221"/>
    </row>
    <row r="88" spans="2:9" ht="17" thickBot="1" x14ac:dyDescent="0.25">
      <c r="B88" s="14" t="s">
        <v>344</v>
      </c>
      <c r="C88" s="14"/>
      <c r="D88" s="14"/>
      <c r="E88" s="14"/>
      <c r="F88" s="14"/>
      <c r="G88" s="14"/>
      <c r="I88" s="14"/>
    </row>
    <row r="89" spans="2:9" x14ac:dyDescent="0.2">
      <c r="B89" s="20" t="s">
        <v>345</v>
      </c>
      <c r="C89" s="199">
        <f>Statement!M198</f>
        <v>1</v>
      </c>
      <c r="D89" s="199">
        <f>Statement!N198</f>
        <v>3.4084087514825716E-2</v>
      </c>
      <c r="E89" s="199">
        <f>Statement!O198</f>
        <v>0.24818614965570993</v>
      </c>
      <c r="F89" s="199">
        <f>Statement!P198</f>
        <v>-5.5102093364575021E-2</v>
      </c>
      <c r="G89" s="199">
        <f>Statement!Q198</f>
        <v>3.2771752459329104E-2</v>
      </c>
      <c r="I89" s="221"/>
    </row>
    <row r="90" spans="2:9" x14ac:dyDescent="0.2">
      <c r="B90" s="20" t="s">
        <v>346</v>
      </c>
      <c r="C90" s="199">
        <f>Statement!M199</f>
        <v>1</v>
      </c>
      <c r="D90" s="199">
        <f>Statement!N199</f>
        <v>0.37569180272908909</v>
      </c>
      <c r="E90" s="199">
        <f>Statement!O199</f>
        <v>0.27729682030883041</v>
      </c>
      <c r="F90" s="199">
        <f>Statement!P199</f>
        <v>0.23392027917368038</v>
      </c>
      <c r="G90" s="199">
        <f>Statement!Q199</f>
        <v>0.19019336689332336</v>
      </c>
      <c r="I90" s="221"/>
    </row>
    <row r="91" spans="2:9" x14ac:dyDescent="0.2">
      <c r="B91" s="20" t="s">
        <v>347</v>
      </c>
      <c r="C91" s="199">
        <f>Statement!M200</f>
        <v>1</v>
      </c>
      <c r="D91" s="199">
        <f>Statement!N200</f>
        <v>0.26768885199472631</v>
      </c>
      <c r="E91" s="199">
        <f>Statement!O200</f>
        <v>-0.29197642617772812</v>
      </c>
      <c r="F91" s="199">
        <f>Statement!P200</f>
        <v>0.10317719384146673</v>
      </c>
      <c r="G91" s="199">
        <f>Statement!Q200</f>
        <v>0.22564418690666996</v>
      </c>
      <c r="I91" s="221"/>
    </row>
    <row r="93" spans="2:9" ht="17" thickBot="1" x14ac:dyDescent="0.25">
      <c r="B93" s="14" t="s">
        <v>349</v>
      </c>
      <c r="C93" s="14"/>
      <c r="D93" s="14"/>
      <c r="E93" s="14"/>
      <c r="F93" s="14"/>
      <c r="G93" s="14"/>
      <c r="I93" s="14"/>
    </row>
    <row r="94" spans="2:9" x14ac:dyDescent="0.2">
      <c r="B94" s="20" t="s">
        <v>318</v>
      </c>
      <c r="C94" s="199">
        <f>Statement!M204</f>
        <v>0</v>
      </c>
      <c r="D94" s="199">
        <f>Statement!N204</f>
        <v>0</v>
      </c>
      <c r="E94" s="199">
        <f>Statement!O204</f>
        <v>0</v>
      </c>
      <c r="F94" s="199">
        <f>Statement!P204</f>
        <v>0</v>
      </c>
      <c r="G94" s="199">
        <f>Statement!Q204</f>
        <v>0</v>
      </c>
      <c r="I94" s="22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6" zoomScale="180" workbookViewId="0">
      <selection activeCell="C9" sqref="C9:D9"/>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3" t="s">
        <v>350</v>
      </c>
      <c r="D3" s="254"/>
      <c r="F3" s="255" t="s">
        <v>351</v>
      </c>
      <c r="G3" s="254"/>
    </row>
    <row r="4" spans="2:7" x14ac:dyDescent="0.2">
      <c r="B4" s="8"/>
      <c r="C4" s="10">
        <f>Statement!Z2</f>
        <v>0</v>
      </c>
      <c r="D4" s="227" t="str">
        <f>Statement!AA2</f>
        <v>30.04.2026</v>
      </c>
      <c r="F4" s="228">
        <f>Statement!W2</f>
        <v>0</v>
      </c>
      <c r="G4" s="227" t="str">
        <f>Statement!AA2</f>
        <v>30.04.2026</v>
      </c>
    </row>
    <row r="5" spans="2:7" x14ac:dyDescent="0.2">
      <c r="B5" s="8" t="s">
        <v>356</v>
      </c>
      <c r="C5" s="10">
        <f>Statement!Z3</f>
        <v>0</v>
      </c>
      <c r="D5" s="227" t="str">
        <f>Statement!AA3</f>
        <v>Q1 2027</v>
      </c>
      <c r="F5" s="228">
        <f>Statement!W3</f>
        <v>0</v>
      </c>
      <c r="G5" s="227" t="str">
        <f>Statement!AA3</f>
        <v>Q1 2027</v>
      </c>
    </row>
    <row r="6" spans="2:7" x14ac:dyDescent="0.2">
      <c r="B6" s="229" t="s">
        <v>19</v>
      </c>
      <c r="C6" s="223">
        <f>Statement!Z5</f>
        <v>0</v>
      </c>
      <c r="D6" s="222">
        <f>Statement!AA5</f>
        <v>0</v>
      </c>
      <c r="F6" s="223">
        <f>Statement!W5</f>
        <v>0</v>
      </c>
      <c r="G6" s="222">
        <f>Statement!AA5</f>
        <v>0</v>
      </c>
    </row>
    <row r="7" spans="2:7" x14ac:dyDescent="0.2">
      <c r="B7" s="230" t="s">
        <v>352</v>
      </c>
      <c r="C7" s="251">
        <f>Statement!AA87</f>
        <v>0</v>
      </c>
      <c r="D7" s="252"/>
      <c r="F7" s="251">
        <f>IF(F6=0,
IF(G6=0,0,IF(G6&gt;0,1,-1)),
(G6-F6)/ABS(F6)
)</f>
        <v>0</v>
      </c>
      <c r="G7" s="252"/>
    </row>
    <row r="8" spans="2:7" x14ac:dyDescent="0.2">
      <c r="B8" s="231" t="s">
        <v>20</v>
      </c>
      <c r="C8" s="224">
        <f>Statement!Z6</f>
        <v>0</v>
      </c>
      <c r="D8" s="222">
        <f>Statement!AA6</f>
        <v>0</v>
      </c>
      <c r="F8" s="224">
        <f>Statement!W6</f>
        <v>0</v>
      </c>
      <c r="G8" s="222">
        <f>Statement!AA6</f>
        <v>0</v>
      </c>
    </row>
    <row r="9" spans="2:7" x14ac:dyDescent="0.2">
      <c r="B9" s="230" t="s">
        <v>352</v>
      </c>
      <c r="C9" s="251">
        <f>Statement!AA88</f>
        <v>0</v>
      </c>
      <c r="D9" s="252"/>
      <c r="F9" s="251">
        <f>IF(F8=0,
IF(G8=0,0,IF(G8&gt;0,1,-1)),
(G8-F8)/ABS(F8)
)</f>
        <v>0</v>
      </c>
      <c r="G9" s="252"/>
    </row>
    <row r="10" spans="2:7" x14ac:dyDescent="0.2">
      <c r="B10" s="231" t="s">
        <v>21</v>
      </c>
      <c r="C10" s="224">
        <f>Statement!Z7</f>
        <v>0</v>
      </c>
      <c r="D10" s="222">
        <f>Statement!AA7</f>
        <v>0</v>
      </c>
      <c r="F10" s="224">
        <f>Statement!W7</f>
        <v>0</v>
      </c>
      <c r="G10" s="222">
        <f>Statement!AA7</f>
        <v>0</v>
      </c>
    </row>
    <row r="11" spans="2:7" x14ac:dyDescent="0.2">
      <c r="B11" s="230" t="s">
        <v>352</v>
      </c>
      <c r="C11" s="251">
        <f>Statement!AA89</f>
        <v>0</v>
      </c>
      <c r="D11" s="252"/>
      <c r="F11" s="251">
        <f>IF(F10=0,
IF(G10=0,0,IF(G10&gt;0,1,-1)),
(G10-F10)/ABS(F10)
)</f>
        <v>0</v>
      </c>
      <c r="G11" s="252"/>
    </row>
    <row r="12" spans="2:7" x14ac:dyDescent="0.2">
      <c r="B12" s="231" t="s">
        <v>25</v>
      </c>
      <c r="C12" s="224">
        <f>Statement!Z10</f>
        <v>0</v>
      </c>
      <c r="D12" s="222">
        <f>Statement!AA10</f>
        <v>0</v>
      </c>
      <c r="F12" s="224">
        <f>Statement!W10</f>
        <v>0</v>
      </c>
      <c r="G12" s="222">
        <f>Statement!AA10</f>
        <v>0</v>
      </c>
    </row>
    <row r="13" spans="2:7" x14ac:dyDescent="0.2">
      <c r="B13" s="230" t="s">
        <v>352</v>
      </c>
      <c r="C13" s="251">
        <f>Statement!AA93</f>
        <v>0</v>
      </c>
      <c r="D13" s="252"/>
      <c r="F13" s="251">
        <f>IF(F12=0,
IF(G12=0,0,IF(G12&gt;0,1,-1)),
(G12-F12)/ABS(F12)
)</f>
        <v>0</v>
      </c>
      <c r="G13" s="252"/>
    </row>
    <row r="14" spans="2:7" x14ac:dyDescent="0.2">
      <c r="B14" s="231" t="s">
        <v>353</v>
      </c>
      <c r="C14" s="224">
        <f>Statement!Z11</f>
        <v>0</v>
      </c>
      <c r="D14" s="222">
        <f>Statement!AA11</f>
        <v>0</v>
      </c>
      <c r="F14" s="224">
        <f>Statement!W11</f>
        <v>0</v>
      </c>
      <c r="G14" s="222">
        <f>Statement!AA11</f>
        <v>0</v>
      </c>
    </row>
    <row r="15" spans="2:7" x14ac:dyDescent="0.2">
      <c r="B15" s="230" t="s">
        <v>352</v>
      </c>
      <c r="C15" s="251">
        <f>Statement!AA94</f>
        <v>0</v>
      </c>
      <c r="D15" s="252"/>
      <c r="F15" s="251">
        <f>IF(F14=0,
IF(G14=0,0,IF(G14&gt;0,1,-1)),
(G14-F14)/ABS(F14)
)</f>
        <v>0</v>
      </c>
      <c r="G15" s="252"/>
    </row>
    <row r="16" spans="2:7" x14ac:dyDescent="0.2">
      <c r="B16" s="231" t="s">
        <v>31</v>
      </c>
      <c r="C16" s="224">
        <f>Statement!Z17</f>
        <v>0</v>
      </c>
      <c r="D16" s="222">
        <f>Statement!AA17</f>
        <v>0</v>
      </c>
      <c r="F16" s="224">
        <f>Statement!W17</f>
        <v>0</v>
      </c>
      <c r="G16" s="222">
        <f>Statement!AA17</f>
        <v>0</v>
      </c>
    </row>
    <row r="17" spans="2:7" x14ac:dyDescent="0.2">
      <c r="B17" s="230" t="s">
        <v>352</v>
      </c>
      <c r="C17" s="251">
        <f>Statement!AA96</f>
        <v>0</v>
      </c>
      <c r="D17" s="252"/>
      <c r="F17" s="251">
        <f>IF(F16=0,
IF(G16=0,0,IF(G16&gt;0,1,-1)),
(G16-F16)/ABS(F16)
)</f>
        <v>0</v>
      </c>
      <c r="G17" s="252"/>
    </row>
    <row r="18" spans="2:7" x14ac:dyDescent="0.2">
      <c r="B18" s="231" t="s">
        <v>354</v>
      </c>
      <c r="C18" s="224">
        <f>Statement!Z21</f>
        <v>0</v>
      </c>
      <c r="D18" s="222">
        <f>Statement!AA21</f>
        <v>0</v>
      </c>
      <c r="F18" s="224">
        <f>Statement!W21</f>
        <v>0</v>
      </c>
      <c r="G18" s="222">
        <f>Statement!AA21</f>
        <v>0</v>
      </c>
    </row>
    <row r="19" spans="2:7" x14ac:dyDescent="0.2">
      <c r="B19" s="230" t="s">
        <v>352</v>
      </c>
      <c r="C19" s="251">
        <f>IF(C18=0,
IF(D18=0,0,IF(D18&gt;0,1,-1)),
(D18-C18)/ABS(C18)
)</f>
        <v>0</v>
      </c>
      <c r="D19" s="252"/>
      <c r="F19" s="251">
        <f>IF(F18=0,
IF(G18=0,0,IF(G18&gt;0,1,-1)),
(G18-F18)/ABS(F18)
)</f>
        <v>0</v>
      </c>
      <c r="G19" s="252"/>
    </row>
    <row r="20" spans="2:7" x14ac:dyDescent="0.2">
      <c r="B20" s="231" t="s">
        <v>38</v>
      </c>
      <c r="C20" s="225">
        <f>Statement!Z25</f>
        <v>0</v>
      </c>
      <c r="D20" s="226">
        <f>Statement!AA25</f>
        <v>0</v>
      </c>
      <c r="F20" s="225">
        <f>Statement!W25</f>
        <v>0</v>
      </c>
      <c r="G20" s="226">
        <f>Statement!AA25</f>
        <v>0</v>
      </c>
    </row>
    <row r="21" spans="2:7" x14ac:dyDescent="0.2">
      <c r="B21" s="230" t="s">
        <v>352</v>
      </c>
      <c r="C21" s="251">
        <f>IF(C20=0,
IF(D20=0,0,IF(D20&gt;0,1,-1)),
(D20-C20)/ABS(C20)
)</f>
        <v>0</v>
      </c>
      <c r="D21" s="252"/>
      <c r="F21" s="251">
        <f>IF(F20=0,
IF(G20=0,0,IF(G20&gt;0,1,-1)),
(G20-F20)/ABS(F20)
)</f>
        <v>0</v>
      </c>
      <c r="G21" s="252"/>
    </row>
    <row r="23" spans="2:7" x14ac:dyDescent="0.2">
      <c r="B23" s="8" t="s">
        <v>355</v>
      </c>
      <c r="C23" s="10">
        <f>C5</f>
        <v>0</v>
      </c>
      <c r="D23" s="227" t="str">
        <f>D5</f>
        <v>Q1 2027</v>
      </c>
      <c r="F23" s="228">
        <f>F5</f>
        <v>0</v>
      </c>
      <c r="G23" s="227" t="str">
        <f>G5</f>
        <v>Q1 2027</v>
      </c>
    </row>
    <row r="24" spans="2:7" x14ac:dyDescent="0.2">
      <c r="B24" s="20" t="s">
        <v>94</v>
      </c>
      <c r="C24" s="224">
        <f>Statement!Z104</f>
        <v>215904</v>
      </c>
      <c r="D24" s="222">
        <f>Statement!AA104</f>
        <v>149309</v>
      </c>
      <c r="F24" s="224">
        <f>Statement!W104</f>
        <v>128286</v>
      </c>
      <c r="G24" s="222">
        <f>Statement!AA104</f>
        <v>149309</v>
      </c>
    </row>
    <row r="25" spans="2:7" x14ac:dyDescent="0.2">
      <c r="B25" s="230" t="s">
        <v>352</v>
      </c>
      <c r="C25" s="251">
        <f>IF(C24=0,
IF(D24=0,0,IF(D24&gt;0,1,-1)),
(D24-C24)/ABS(C24)
)</f>
        <v>-0.30844727286201273</v>
      </c>
      <c r="D25" s="252"/>
      <c r="F25" s="251">
        <f>IF(F24=0,
IF(G24=0,0,IF(G24&gt;0,1,-1)),
(G24-F24)/ABS(F24)
)</f>
        <v>0.16387602700216702</v>
      </c>
      <c r="G25" s="252"/>
    </row>
    <row r="26" spans="2:7" x14ac:dyDescent="0.2">
      <c r="B26" s="20" t="s">
        <v>95</v>
      </c>
      <c r="C26" s="224">
        <f>Statement!Z105</f>
        <v>251233</v>
      </c>
      <c r="D26" s="222">
        <f>Statement!AA105</f>
        <v>252903</v>
      </c>
      <c r="F26" s="224">
        <f>Statement!W105</f>
        <v>217303</v>
      </c>
      <c r="G26" s="222">
        <f>Statement!AA105</f>
        <v>252903</v>
      </c>
    </row>
    <row r="27" spans="2:7" x14ac:dyDescent="0.2">
      <c r="B27" s="230" t="s">
        <v>352</v>
      </c>
      <c r="C27" s="251">
        <f>IF(C26=0,
IF(D26=0,0,IF(D26&gt;0,1,-1)),
(D26-C26)/ABS(C26)
)</f>
        <v>6.6472159310281692E-3</v>
      </c>
      <c r="D27" s="252"/>
      <c r="F27" s="251">
        <f>IF(F26=0,
IF(G26=0,0,IF(G26&gt;0,1,-1)),
(G26-F26)/ABS(F26)
)</f>
        <v>0.16382654634312457</v>
      </c>
      <c r="G27" s="252"/>
    </row>
    <row r="28" spans="2:7" x14ac:dyDescent="0.2">
      <c r="B28" s="20" t="s">
        <v>96</v>
      </c>
      <c r="C28" s="224">
        <f>Statement!Z106</f>
        <v>13970</v>
      </c>
      <c r="D28" s="222">
        <f>Statement!AA106</f>
        <v>16170</v>
      </c>
      <c r="F28" s="224">
        <f>Statement!W106</f>
        <v>11035</v>
      </c>
      <c r="G28" s="222">
        <f>Statement!AA106</f>
        <v>16170</v>
      </c>
    </row>
    <row r="29" spans="2:7" x14ac:dyDescent="0.2">
      <c r="B29" s="230" t="s">
        <v>352</v>
      </c>
      <c r="C29" s="251">
        <f>IF(C28=0,
IF(D28=0,0,IF(D28&gt;0,1,-1)),
(D28-C28)/ABS(C28)
)</f>
        <v>0.15748031496062992</v>
      </c>
      <c r="D29" s="252"/>
      <c r="F29" s="251">
        <f>IF(F28=0,
IF(G28=0,0,IF(G28&gt;0,1,-1)),
(G28-F28)/ABS(F28)
)</f>
        <v>0.46533756230176709</v>
      </c>
      <c r="G29" s="252"/>
    </row>
    <row r="31" spans="2:7" x14ac:dyDescent="0.2">
      <c r="B31" s="8" t="s">
        <v>357</v>
      </c>
      <c r="C31" s="10">
        <f>C5</f>
        <v>0</v>
      </c>
      <c r="D31" s="10" t="str">
        <f>D5</f>
        <v>Q1 2027</v>
      </c>
      <c r="F31" s="10">
        <f>F5</f>
        <v>0</v>
      </c>
      <c r="G31" s="10" t="str">
        <f>G5</f>
        <v>Q1 2027</v>
      </c>
    </row>
    <row r="32" spans="2:7" x14ac:dyDescent="0.2">
      <c r="B32" s="20" t="s">
        <v>111</v>
      </c>
      <c r="C32" s="224">
        <f>Statement!Z137</f>
        <v>1852567</v>
      </c>
      <c r="D32" s="224">
        <f>Statement!AA137</f>
        <v>1901211</v>
      </c>
      <c r="F32" s="224">
        <f>Statement!W137</f>
        <v>1692683</v>
      </c>
      <c r="G32" s="222">
        <f>Statement!AA137</f>
        <v>1901211</v>
      </c>
    </row>
    <row r="33" spans="2:7" x14ac:dyDescent="0.2">
      <c r="B33" s="230" t="s">
        <v>352</v>
      </c>
      <c r="C33" s="251">
        <f>IF(C32=0,
IF(D32=0,0,IF(D32&gt;0,1,-1)),
(D32-C32)/ABS(C32)
)</f>
        <v>2.6257619832373135E-2</v>
      </c>
      <c r="D33" s="252"/>
      <c r="F33" s="251">
        <f>IF(F32=0,
IF(G32=0,0,IF(G32&gt;0,1,-1)),
(G32-F32)/ABS(F32)
)</f>
        <v>0.12319376989075922</v>
      </c>
      <c r="G33" s="252"/>
    </row>
    <row r="34" spans="2:7" x14ac:dyDescent="0.2">
      <c r="B34" s="20" t="s">
        <v>115</v>
      </c>
      <c r="C34" s="224">
        <f>Statement!Z141</f>
        <v>2565</v>
      </c>
      <c r="D34" s="224">
        <f>Statement!AA141</f>
        <v>2624</v>
      </c>
      <c r="F34" s="224">
        <f>Statement!W141</f>
        <v>2365</v>
      </c>
      <c r="G34" s="222">
        <f>Statement!AA141</f>
        <v>2624</v>
      </c>
    </row>
    <row r="35" spans="2:7" x14ac:dyDescent="0.2">
      <c r="B35" s="230" t="s">
        <v>352</v>
      </c>
      <c r="C35" s="251">
        <f>IF(C34=0,
IF(D34=0,0,IF(D34&gt;0,1,-1)),
(D34-C34)/ABS(C34)
)</f>
        <v>2.3001949317738791E-2</v>
      </c>
      <c r="D35" s="252"/>
      <c r="F35" s="251">
        <f>IF(F34=0,
IF(G34=0,0,IF(G34&gt;0,1,-1)),
(G34-F34)/ABS(F34)
)</f>
        <v>0.10951374207188161</v>
      </c>
      <c r="G35" s="252"/>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5:D35"/>
    <mergeCell ref="F35:G35"/>
    <mergeCell ref="C25:D25"/>
    <mergeCell ref="F25:G25"/>
    <mergeCell ref="C27:D27"/>
    <mergeCell ref="F27:G27"/>
    <mergeCell ref="C29:D29"/>
    <mergeCell ref="F29:G2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0"/>
  <sheetViews>
    <sheetView topLeftCell="A31" zoomScale="159" workbookViewId="0">
      <selection activeCell="B49" sqref="B4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26</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31</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294</v>
      </c>
      <c r="C60" s="64">
        <f>Statement!H173</f>
        <v>0</v>
      </c>
      <c r="D60" s="64">
        <f>Statement!I173</f>
        <v>0</v>
      </c>
      <c r="E60" s="64">
        <f>Statement!J173</f>
        <v>0</v>
      </c>
      <c r="F60" s="64">
        <f>Statement!K173</f>
        <v>0</v>
      </c>
      <c r="G60" s="64">
        <f>Statement!L173</f>
        <v>0</v>
      </c>
      <c r="H60" s="64">
        <f>Statement!M173</f>
        <v>-582375</v>
      </c>
      <c r="I60" s="64">
        <f>Statement!N173</f>
        <v>-403636</v>
      </c>
      <c r="J60" s="64">
        <f>Statement!O173</f>
        <v>-80215</v>
      </c>
      <c r="K60" s="64">
        <f>Statement!P173</f>
        <v>-52509</v>
      </c>
      <c r="L60" s="64">
        <f>Statement!Q173</f>
        <v>61484</v>
      </c>
    </row>
    <row r="61" spans="2:12" x14ac:dyDescent="0.2">
      <c r="B61" s="20" t="s">
        <v>295</v>
      </c>
      <c r="C61" s="64">
        <f>Statement!H174</f>
        <v>0</v>
      </c>
      <c r="D61" s="64">
        <f>Statement!I174</f>
        <v>0</v>
      </c>
      <c r="E61" s="64">
        <f>Statement!J174</f>
        <v>0</v>
      </c>
      <c r="F61" s="64">
        <f>Statement!K174</f>
        <v>0</v>
      </c>
      <c r="G61" s="64">
        <f>Statement!L174</f>
        <v>0</v>
      </c>
      <c r="H61" s="64">
        <f>Statement!M174</f>
        <v>-93175.901217181367</v>
      </c>
      <c r="I61" s="64">
        <f>Statement!N174</f>
        <v>-147555</v>
      </c>
      <c r="J61" s="64">
        <f>Statement!O174</f>
        <v>-22657.484002602163</v>
      </c>
      <c r="K61" s="64">
        <f>Statement!P174</f>
        <v>31185.306952609913</v>
      </c>
      <c r="L61" s="64">
        <f>Statement!Q174</f>
        <v>-40609.606016260164</v>
      </c>
    </row>
    <row r="62" spans="2:12" x14ac:dyDescent="0.2">
      <c r="B62" s="20" t="s">
        <v>78</v>
      </c>
      <c r="C62" s="58">
        <f>Statement!H99</f>
        <v>0</v>
      </c>
      <c r="D62" s="58">
        <f>Statement!I99</f>
        <v>0</v>
      </c>
      <c r="E62" s="58">
        <f>Statement!J99</f>
        <v>0</v>
      </c>
      <c r="F62" s="58">
        <f>Statement!K99</f>
        <v>0</v>
      </c>
      <c r="G62" s="58">
        <f>Statement!L99</f>
        <v>0</v>
      </c>
      <c r="H62" s="58">
        <f>Statement!M99</f>
        <v>0.64929033216913135</v>
      </c>
      <c r="I62" s="58">
        <f>Statement!N99</f>
        <v>0.56928894490991322</v>
      </c>
      <c r="J62" s="58">
        <f>Statement!O99</f>
        <v>0.72717573290436954</v>
      </c>
      <c r="K62" s="58">
        <f>Statement!P99</f>
        <v>0.74988697058169917</v>
      </c>
      <c r="L62" s="58">
        <f>Statement!Q99</f>
        <v>0.71068084357547079</v>
      </c>
    </row>
    <row r="63" spans="2:12" x14ac:dyDescent="0.2">
      <c r="B63" s="20" t="s">
        <v>79</v>
      </c>
      <c r="C63" s="58">
        <f>Statement!H100</f>
        <v>0</v>
      </c>
      <c r="D63" s="58">
        <f>Statement!I100</f>
        <v>0</v>
      </c>
      <c r="E63" s="58">
        <f>Statement!J100</f>
        <v>0</v>
      </c>
      <c r="F63" s="58">
        <f>Statement!K100</f>
        <v>0</v>
      </c>
      <c r="G63" s="58">
        <f>Statement!L100</f>
        <v>0</v>
      </c>
      <c r="H63" s="58">
        <f>Statement!M100</f>
        <v>0.37307720888756779</v>
      </c>
      <c r="I63" s="58">
        <f>Statement!N100</f>
        <v>0.1565952398606065</v>
      </c>
      <c r="J63" s="58">
        <f>Statement!O100</f>
        <v>0.54121663766783756</v>
      </c>
      <c r="K63" s="58">
        <f>Statement!P100</f>
        <v>0.62417526839697468</v>
      </c>
      <c r="L63" s="58">
        <f>Statement!Q100</f>
        <v>0.60381683631412719</v>
      </c>
    </row>
    <row r="64" spans="2:12" x14ac:dyDescent="0.2">
      <c r="B64" s="20" t="s">
        <v>80</v>
      </c>
      <c r="C64" s="58">
        <f>Statement!H101</f>
        <v>0</v>
      </c>
      <c r="D64" s="58">
        <f>Statement!I101</f>
        <v>0</v>
      </c>
      <c r="E64" s="58">
        <f>Statement!J101</f>
        <v>0</v>
      </c>
      <c r="F64" s="58">
        <f>Statement!K101</f>
        <v>0</v>
      </c>
      <c r="G64" s="58">
        <f>Statement!L101</f>
        <v>0</v>
      </c>
      <c r="H64" s="58">
        <f>Statement!M101</f>
        <v>0.36233930296499961</v>
      </c>
      <c r="I64" s="58">
        <f>Statement!N101</f>
        <v>0.16193371394676356</v>
      </c>
      <c r="J64" s="58">
        <f>Statement!O101</f>
        <v>0.4884934834706674</v>
      </c>
      <c r="K64" s="58">
        <f>Statement!P101</f>
        <v>0.55848027157712443</v>
      </c>
      <c r="L64" s="58">
        <f>Statement!Q101</f>
        <v>0.55602534060702613</v>
      </c>
    </row>
    <row r="65" spans="2:12" x14ac:dyDescent="0.2">
      <c r="B65" s="20" t="s">
        <v>381</v>
      </c>
      <c r="C65" s="64">
        <f>Statement!H104</f>
        <v>0</v>
      </c>
      <c r="D65" s="64">
        <f>Statement!I104</f>
        <v>0</v>
      </c>
      <c r="E65" s="64">
        <f>Statement!J104</f>
        <v>0</v>
      </c>
      <c r="F65" s="64">
        <f>Statement!K104</f>
        <v>0</v>
      </c>
      <c r="G65" s="64">
        <f>Statement!L104</f>
        <v>0</v>
      </c>
      <c r="H65" s="64">
        <f>Statement!M104</f>
        <v>481427</v>
      </c>
      <c r="I65" s="64">
        <f>Statement!N104</f>
        <v>497836</v>
      </c>
      <c r="J65" s="64">
        <f>Statement!O104</f>
        <v>621392</v>
      </c>
      <c r="K65" s="64">
        <f>Statement!P104</f>
        <v>587152</v>
      </c>
      <c r="L65" s="64">
        <f>Statement!Q104</f>
        <v>606394</v>
      </c>
    </row>
    <row r="66" spans="2:12" x14ac:dyDescent="0.2">
      <c r="B66" s="20" t="s">
        <v>382</v>
      </c>
      <c r="C66" s="64">
        <f>Statement!H105</f>
        <v>0</v>
      </c>
      <c r="D66" s="64">
        <f>Statement!I105</f>
        <v>0</v>
      </c>
      <c r="E66" s="64">
        <f>Statement!J105</f>
        <v>0</v>
      </c>
      <c r="F66" s="64">
        <f>Statement!K105</f>
        <v>0</v>
      </c>
      <c r="G66" s="64">
        <f>Statement!L105</f>
        <v>0</v>
      </c>
      <c r="H66" s="64">
        <f>Statement!M105</f>
        <v>369867</v>
      </c>
      <c r="I66" s="64">
        <f>Statement!N105</f>
        <v>508823</v>
      </c>
      <c r="J66" s="64">
        <f>Statement!O105</f>
        <v>649918</v>
      </c>
      <c r="K66" s="64">
        <f>Statement!P105</f>
        <v>801947</v>
      </c>
      <c r="L66" s="64">
        <f>Statement!Q105</f>
        <v>954472</v>
      </c>
    </row>
    <row r="67" spans="2:12" x14ac:dyDescent="0.2">
      <c r="B67" s="20" t="s">
        <v>383</v>
      </c>
      <c r="C67" s="64">
        <f>Statement!H106</f>
        <v>0</v>
      </c>
      <c r="D67" s="64">
        <f>Statement!I106</f>
        <v>0</v>
      </c>
      <c r="E67" s="64">
        <f>Statement!J106</f>
        <v>0</v>
      </c>
      <c r="F67" s="64">
        <f>Statement!K106</f>
        <v>0</v>
      </c>
      <c r="G67" s="64">
        <f>Statement!L106</f>
        <v>0</v>
      </c>
      <c r="H67" s="64">
        <f>Statement!M106</f>
        <v>40958</v>
      </c>
      <c r="I67" s="64">
        <f>Statement!N106</f>
        <v>51922</v>
      </c>
      <c r="J67" s="64">
        <f>Statement!O106</f>
        <v>36762</v>
      </c>
      <c r="K67" s="64">
        <f>Statement!P106</f>
        <v>40555</v>
      </c>
      <c r="L67" s="64">
        <f>Statement!Q106</f>
        <v>49706</v>
      </c>
    </row>
    <row r="68" spans="2:12" x14ac:dyDescent="0.2">
      <c r="B68" s="20" t="s">
        <v>102</v>
      </c>
      <c r="C68" s="244">
        <f>Statement!H131</f>
        <v>0</v>
      </c>
      <c r="D68" s="244">
        <f>Statement!I131</f>
        <v>0</v>
      </c>
      <c r="E68" s="244">
        <f>Statement!J131</f>
        <v>0</v>
      </c>
      <c r="F68" s="244">
        <f>Statement!K131</f>
        <v>0</v>
      </c>
      <c r="G68" s="244">
        <f>Statement!L131</f>
        <v>0</v>
      </c>
      <c r="H68" s="244">
        <f>Statement!M131</f>
        <v>3.7909385993896865E-3</v>
      </c>
      <c r="I68" s="244">
        <f>Statement!N131</f>
        <v>1.5969546717870611E-3</v>
      </c>
      <c r="J68" s="244">
        <f>Statement!O131</f>
        <v>1.0071890828284415E-2</v>
      </c>
      <c r="K68" s="244">
        <f>Statement!P131</f>
        <v>2.5435648298415159E-2</v>
      </c>
      <c r="L68" s="244">
        <f>Statement!Q131</f>
        <v>3.776641922496226E-2</v>
      </c>
    </row>
    <row r="69" spans="2:12" x14ac:dyDescent="0.2">
      <c r="B69" s="20" t="s">
        <v>104</v>
      </c>
      <c r="C69" s="244">
        <f>Statement!H133</f>
        <v>0</v>
      </c>
      <c r="D69" s="244">
        <f>Statement!I133</f>
        <v>0</v>
      </c>
      <c r="E69" s="244">
        <f>Statement!J133</f>
        <v>0</v>
      </c>
      <c r="F69" s="244">
        <f>Statement!K133</f>
        <v>0</v>
      </c>
      <c r="G69" s="244">
        <f>Statement!L133</f>
        <v>0</v>
      </c>
      <c r="H69" s="244">
        <f>Statement!M133</f>
        <v>5.0741004944542343E-3</v>
      </c>
      <c r="I69" s="244">
        <f>Statement!N133</f>
        <v>2.2748128018631802E-3</v>
      </c>
      <c r="J69" s="244">
        <f>Statement!O133</f>
        <v>1.4761070058538358E-2</v>
      </c>
      <c r="K69" s="244">
        <f>Statement!P133</f>
        <v>3.9485047367970524E-2</v>
      </c>
      <c r="L69" s="244">
        <f>Statement!Q133</f>
        <v>5.7652813543923986E-2</v>
      </c>
    </row>
    <row r="70" spans="2:12" x14ac:dyDescent="0.2">
      <c r="B70" s="20" t="s">
        <v>105</v>
      </c>
      <c r="C70" s="244">
        <f>Statement!H156</f>
        <v>0</v>
      </c>
      <c r="D70" s="244">
        <f>Statement!I156</f>
        <v>0</v>
      </c>
      <c r="E70" s="244">
        <f>Statement!J156</f>
        <v>0</v>
      </c>
      <c r="F70" s="244">
        <f>Statement!K156</f>
        <v>0</v>
      </c>
      <c r="G70" s="244">
        <f>Statement!L156</f>
        <v>0</v>
      </c>
      <c r="H70" s="244">
        <f>Statement!M156</f>
        <v>0.17348748230478239</v>
      </c>
      <c r="I70" s="244">
        <f>Statement!N156</f>
        <v>2.5872048510090957E-2</v>
      </c>
      <c r="J70" s="244">
        <f>Statement!O156</f>
        <v>0.21289385210613934</v>
      </c>
      <c r="K70" s="244">
        <f>Statement!P156</f>
        <v>0.32670643787855347</v>
      </c>
      <c r="L70" s="244">
        <f>Statement!Q156</f>
        <v>0.18140667526153839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6"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f>Statement!T2</f>
        <v>0</v>
      </c>
      <c r="D55" s="10">
        <f>Statement!U2</f>
        <v>0</v>
      </c>
      <c r="E55" s="10">
        <f>Statement!V2</f>
        <v>0</v>
      </c>
      <c r="F55" s="10">
        <f>Statement!W2</f>
        <v>0</v>
      </c>
      <c r="G55" s="10">
        <f>Statement!X2</f>
        <v>0</v>
      </c>
      <c r="H55" s="10">
        <f>Statement!Y2</f>
        <v>0</v>
      </c>
      <c r="I55" s="10">
        <f>Statement!Z2</f>
        <v>0</v>
      </c>
      <c r="J55" s="10" t="str">
        <f>Statement!AA2</f>
        <v>30.04.2026</v>
      </c>
    </row>
    <row r="56" spans="2:10" x14ac:dyDescent="0.2">
      <c r="B56" s="10"/>
      <c r="C56" s="10">
        <f>Statement!T3</f>
        <v>0</v>
      </c>
      <c r="D56" s="10">
        <f>Statement!U3</f>
        <v>0</v>
      </c>
      <c r="E56" s="10">
        <f>Statement!V3</f>
        <v>0</v>
      </c>
      <c r="F56" s="10">
        <f>Statement!W3</f>
        <v>0</v>
      </c>
      <c r="G56" s="10">
        <f>Statement!X3</f>
        <v>0</v>
      </c>
      <c r="H56" s="10">
        <f>Statement!Y3</f>
        <v>0</v>
      </c>
      <c r="I56" s="10">
        <f>Statement!Z3</f>
        <v>0</v>
      </c>
      <c r="J56" s="10" t="str">
        <f>Statement!AA3</f>
        <v>Q1 2027</v>
      </c>
    </row>
    <row r="57" spans="2:10" x14ac:dyDescent="0.2">
      <c r="B57" s="20" t="s">
        <v>19</v>
      </c>
      <c r="C57" s="64">
        <f>Statement!T5</f>
        <v>0</v>
      </c>
      <c r="D57" s="64">
        <f>Statement!U5</f>
        <v>0</v>
      </c>
      <c r="E57" s="64">
        <f>Statement!V5</f>
        <v>0</v>
      </c>
      <c r="F57" s="64">
        <f>Statement!W5</f>
        <v>0</v>
      </c>
      <c r="G57" s="64">
        <f>Statement!X5</f>
        <v>0</v>
      </c>
      <c r="H57" s="64">
        <f>Statement!Y5</f>
        <v>0</v>
      </c>
      <c r="I57" s="64">
        <f>Statement!Z5</f>
        <v>0</v>
      </c>
      <c r="J57" s="64">
        <f>Statement!AA5</f>
        <v>0</v>
      </c>
    </row>
    <row r="58" spans="2:10" x14ac:dyDescent="0.2">
      <c r="B58" s="20" t="s">
        <v>26</v>
      </c>
      <c r="C58" s="64">
        <f>Statement!T11</f>
        <v>0</v>
      </c>
      <c r="D58" s="64">
        <f>Statement!U11</f>
        <v>0</v>
      </c>
      <c r="E58" s="64">
        <f>Statement!V11</f>
        <v>0</v>
      </c>
      <c r="F58" s="64">
        <f>Statement!W11</f>
        <v>0</v>
      </c>
      <c r="G58" s="64">
        <f>Statement!X11</f>
        <v>0</v>
      </c>
      <c r="H58" s="64">
        <f>Statement!Y11</f>
        <v>0</v>
      </c>
      <c r="I58" s="64">
        <f>Statement!Z11</f>
        <v>0</v>
      </c>
      <c r="J58" s="64">
        <f>Statement!AA11</f>
        <v>0</v>
      </c>
    </row>
    <row r="59" spans="2:10" x14ac:dyDescent="0.2">
      <c r="B59" s="20" t="s">
        <v>31</v>
      </c>
      <c r="C59" s="64">
        <f>Statement!T17</f>
        <v>0</v>
      </c>
      <c r="D59" s="64">
        <f>Statement!U17</f>
        <v>0</v>
      </c>
      <c r="E59" s="64">
        <f>Statement!V17</f>
        <v>0</v>
      </c>
      <c r="F59" s="64">
        <f>Statement!W17</f>
        <v>0</v>
      </c>
      <c r="G59" s="64">
        <f>Statement!X17</f>
        <v>0</v>
      </c>
      <c r="H59" s="64">
        <f>Statement!Y17</f>
        <v>0</v>
      </c>
      <c r="I59" s="64">
        <f>Statement!Z17</f>
        <v>0</v>
      </c>
      <c r="J59" s="64">
        <f>Statement!AA17</f>
        <v>0</v>
      </c>
    </row>
    <row r="60" spans="2:10" x14ac:dyDescent="0.2">
      <c r="B60" s="20" t="s">
        <v>78</v>
      </c>
      <c r="C60" s="58" t="e">
        <f>Statement!T99</f>
        <v>#DIV/0!</v>
      </c>
      <c r="D60" s="58" t="e">
        <f>Statement!U99</f>
        <v>#DIV/0!</v>
      </c>
      <c r="E60" s="58" t="e">
        <f>Statement!V99</f>
        <v>#DIV/0!</v>
      </c>
      <c r="F60" s="58" t="e">
        <f>Statement!W99</f>
        <v>#DIV/0!</v>
      </c>
      <c r="G60" s="58" t="e">
        <f>Statement!X99</f>
        <v>#DIV/0!</v>
      </c>
      <c r="H60" s="58" t="e">
        <f>Statement!Y99</f>
        <v>#DIV/0!</v>
      </c>
      <c r="I60" s="58" t="e">
        <f>Statement!Z99</f>
        <v>#DIV/0!</v>
      </c>
      <c r="J60" s="58" t="e">
        <f>Statement!AA99</f>
        <v>#DIV/0!</v>
      </c>
    </row>
    <row r="61" spans="2:10" x14ac:dyDescent="0.2">
      <c r="B61" s="20" t="s">
        <v>79</v>
      </c>
      <c r="C61" s="58" t="e">
        <f>Statement!T100</f>
        <v>#DIV/0!</v>
      </c>
      <c r="D61" s="58" t="e">
        <f>Statement!U100</f>
        <v>#DIV/0!</v>
      </c>
      <c r="E61" s="58" t="e">
        <f>Statement!V100</f>
        <v>#DIV/0!</v>
      </c>
      <c r="F61" s="58" t="e">
        <f>Statement!W100</f>
        <v>#DIV/0!</v>
      </c>
      <c r="G61" s="58" t="e">
        <f>Statement!X100</f>
        <v>#DIV/0!</v>
      </c>
      <c r="H61" s="58" t="e">
        <f>Statement!Y100</f>
        <v>#DIV/0!</v>
      </c>
      <c r="I61" s="58" t="e">
        <f>Statement!Z100</f>
        <v>#DIV/0!</v>
      </c>
      <c r="J61" s="58" t="e">
        <f>Statement!AA100</f>
        <v>#DIV/0!</v>
      </c>
    </row>
    <row r="62" spans="2:10" x14ac:dyDescent="0.2">
      <c r="B62" s="20" t="s">
        <v>80</v>
      </c>
      <c r="C62" s="58" t="e">
        <f>Statement!T101</f>
        <v>#DIV/0!</v>
      </c>
      <c r="D62" s="58" t="e">
        <f>Statement!U101</f>
        <v>#DIV/0!</v>
      </c>
      <c r="E62" s="58" t="e">
        <f>Statement!V101</f>
        <v>#DIV/0!</v>
      </c>
      <c r="F62" s="58" t="e">
        <f>Statement!W101</f>
        <v>#DIV/0!</v>
      </c>
      <c r="G62" s="58" t="e">
        <f>Statement!X101</f>
        <v>#DIV/0!</v>
      </c>
      <c r="H62" s="58" t="e">
        <f>Statement!Y101</f>
        <v>#DIV/0!</v>
      </c>
      <c r="I62" s="58" t="e">
        <f>Statement!Z101</f>
        <v>#DIV/0!</v>
      </c>
      <c r="J62" s="58" t="e">
        <f>Statement!AA101</f>
        <v>#DIV/0!</v>
      </c>
    </row>
    <row r="63" spans="2:10" x14ac:dyDescent="0.2">
      <c r="B63" s="20" t="s">
        <v>381</v>
      </c>
      <c r="C63" s="64">
        <f>Statement!T104</f>
        <v>112251</v>
      </c>
      <c r="D63" s="64">
        <f>Statement!U104</f>
        <v>137174</v>
      </c>
      <c r="E63" s="64">
        <f>Statement!V104</f>
        <v>197609</v>
      </c>
      <c r="F63" s="64">
        <f>Statement!W104</f>
        <v>128286</v>
      </c>
      <c r="G63" s="64">
        <f>Statement!X104</f>
        <v>112161</v>
      </c>
      <c r="H63" s="64">
        <f>Statement!Y104</f>
        <v>150043</v>
      </c>
      <c r="I63" s="64">
        <f>Statement!Z104</f>
        <v>215904</v>
      </c>
      <c r="J63" s="64">
        <f>Statement!AA104</f>
        <v>149309</v>
      </c>
    </row>
    <row r="64" spans="2:10" x14ac:dyDescent="0.2">
      <c r="B64" s="20" t="s">
        <v>382</v>
      </c>
      <c r="C64" s="64">
        <f>Statement!T105</f>
        <v>194673</v>
      </c>
      <c r="D64" s="64">
        <f>Statement!U105</f>
        <v>206922</v>
      </c>
      <c r="E64" s="64">
        <f>Statement!V105</f>
        <v>215221</v>
      </c>
      <c r="F64" s="64">
        <f>Statement!W105</f>
        <v>217303</v>
      </c>
      <c r="G64" s="64">
        <f>Statement!X105</f>
        <v>238363</v>
      </c>
      <c r="H64" s="64">
        <f>Statement!Y105</f>
        <v>247573</v>
      </c>
      <c r="I64" s="64">
        <f>Statement!Z105</f>
        <v>251233</v>
      </c>
      <c r="J64" s="64">
        <f>Statement!AA105</f>
        <v>252903</v>
      </c>
    </row>
    <row r="65" spans="2:10" x14ac:dyDescent="0.2">
      <c r="B65" s="20" t="s">
        <v>383</v>
      </c>
      <c r="C65" s="64">
        <f>Statement!T106</f>
        <v>9329</v>
      </c>
      <c r="D65" s="64">
        <f>Statement!U106</f>
        <v>10557</v>
      </c>
      <c r="E65" s="64">
        <f>Statement!V106</f>
        <v>10816</v>
      </c>
      <c r="F65" s="64">
        <f>Statement!W106</f>
        <v>11035</v>
      </c>
      <c r="G65" s="64">
        <f>Statement!X106</f>
        <v>11204</v>
      </c>
      <c r="H65" s="64">
        <f>Statement!Y106</f>
        <v>13497</v>
      </c>
      <c r="I65" s="64">
        <f>Statement!Z106</f>
        <v>13970</v>
      </c>
      <c r="J65" s="64">
        <f>Statement!AA106</f>
        <v>16170</v>
      </c>
    </row>
    <row r="66" spans="2:10" x14ac:dyDescent="0.2">
      <c r="B66" s="20" t="s">
        <v>294</v>
      </c>
      <c r="C66" s="64">
        <f>Statement!T173</f>
        <v>-49347</v>
      </c>
      <c r="D66" s="64">
        <f>Statement!U173</f>
        <v>-64293</v>
      </c>
      <c r="E66" s="64">
        <f>Statement!V173</f>
        <v>0</v>
      </c>
      <c r="F66" s="64">
        <f>Statement!W173</f>
        <v>29809</v>
      </c>
      <c r="G66" s="64">
        <f>Statement!X173</f>
        <v>-36419</v>
      </c>
      <c r="H66" s="64">
        <f>Statement!Y173</f>
        <v>-46368</v>
      </c>
      <c r="I66" s="64">
        <f>Statement!Z173</f>
        <v>114462</v>
      </c>
      <c r="J66" s="64">
        <f>Statement!AA173</f>
        <v>75934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P33" zoomScale="184" zoomScaleNormal="75" workbookViewId="0">
      <selection activeCell="R47" sqref="R47"/>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117</v>
      </c>
      <c r="O1" s="86"/>
    </row>
    <row r="2" spans="1:31" x14ac:dyDescent="0.2">
      <c r="A2" s="4"/>
      <c r="C2" s="247" t="s">
        <v>118</v>
      </c>
      <c r="D2" s="247"/>
      <c r="E2" s="247"/>
      <c r="F2" s="247"/>
      <c r="G2" s="256"/>
      <c r="H2" s="257" t="s">
        <v>119</v>
      </c>
      <c r="I2" s="247"/>
      <c r="J2" s="247"/>
      <c r="K2" s="247"/>
      <c r="L2" s="247"/>
      <c r="O2" s="5"/>
      <c r="S2" s="247" t="s">
        <v>118</v>
      </c>
      <c r="T2" s="247"/>
      <c r="U2" s="247"/>
      <c r="V2" s="247"/>
      <c r="W2" s="247"/>
      <c r="X2" s="247"/>
      <c r="Y2" s="247"/>
      <c r="Z2" s="247"/>
      <c r="AA2" s="247" t="s">
        <v>119</v>
      </c>
      <c r="AB2" s="247"/>
      <c r="AC2" s="247"/>
      <c r="AE2" s="87" t="s">
        <v>120</v>
      </c>
    </row>
    <row r="3" spans="1:31" ht="10" customHeight="1" x14ac:dyDescent="0.2">
      <c r="O3" s="5"/>
    </row>
    <row r="4" spans="1:31" ht="16" customHeight="1" x14ac:dyDescent="0.2">
      <c r="A4" s="88"/>
      <c r="B4" s="60"/>
      <c r="C4" s="258" t="s">
        <v>121</v>
      </c>
      <c r="D4" s="258"/>
      <c r="E4" s="258"/>
      <c r="F4" s="258"/>
      <c r="G4" s="258"/>
      <c r="H4" s="258"/>
      <c r="I4" s="258"/>
      <c r="J4" s="258"/>
      <c r="K4" s="258"/>
      <c r="L4" s="258"/>
      <c r="O4" s="5"/>
      <c r="S4" s="259" t="s">
        <v>121</v>
      </c>
      <c r="T4" s="260"/>
      <c r="U4" s="260"/>
      <c r="V4" s="260"/>
      <c r="W4" s="260"/>
      <c r="X4" s="260"/>
      <c r="Y4" s="260"/>
      <c r="Z4" s="260"/>
      <c r="AA4" s="260"/>
      <c r="AB4" s="260"/>
      <c r="AC4" s="260"/>
      <c r="AE4" s="89"/>
    </row>
    <row r="5" spans="1:31" x14ac:dyDescent="0.2">
      <c r="B5" s="16" t="s">
        <v>122</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f>Statement!T3</f>
        <v>0</v>
      </c>
      <c r="T5" s="12">
        <f>Statement!U3</f>
        <v>0</v>
      </c>
      <c r="U5" s="12">
        <f>Statement!V3</f>
        <v>0</v>
      </c>
      <c r="V5" s="12">
        <f>Statement!W3</f>
        <v>0</v>
      </c>
      <c r="W5" s="12">
        <f>Statement!X3</f>
        <v>0</v>
      </c>
      <c r="X5" s="12">
        <f>Statement!Y3</f>
        <v>0</v>
      </c>
      <c r="Y5" s="12">
        <f>Statement!Z3</f>
        <v>0</v>
      </c>
      <c r="Z5" s="12" t="str">
        <f>Statement!AA3</f>
        <v>Q1 2027</v>
      </c>
      <c r="AA5" s="12" t="s">
        <v>123</v>
      </c>
      <c r="AB5" s="12" t="s">
        <v>124</v>
      </c>
      <c r="AC5" s="12" t="s">
        <v>125</v>
      </c>
      <c r="AE5" s="8" t="s">
        <v>123</v>
      </c>
    </row>
    <row r="6" spans="1:31" x14ac:dyDescent="0.2">
      <c r="B6" s="1" t="str">
        <f>Statement!B104</f>
        <v>Licenses</v>
      </c>
      <c r="C6" s="90">
        <f>Statement!M104</f>
        <v>481427</v>
      </c>
      <c r="D6" s="90">
        <f>Statement!N104</f>
        <v>497836</v>
      </c>
      <c r="E6" s="90">
        <f>Statement!O104</f>
        <v>621392</v>
      </c>
      <c r="F6" s="90">
        <f>Statement!P104</f>
        <v>587152</v>
      </c>
      <c r="G6" s="91">
        <f>Statement!Q104</f>
        <v>606394</v>
      </c>
      <c r="H6" s="64">
        <f>H9*H29</f>
        <v>619458</v>
      </c>
      <c r="I6" s="64">
        <f t="shared" ref="I6:L6" si="1">I9*I29</f>
        <v>635587.12800000003</v>
      </c>
      <c r="J6" s="64">
        <f t="shared" si="1"/>
        <v>650363.64191999997</v>
      </c>
      <c r="K6" s="64">
        <f t="shared" si="1"/>
        <v>670640.87808000005</v>
      </c>
      <c r="L6" s="64">
        <f t="shared" si="1"/>
        <v>666363.06051840005</v>
      </c>
      <c r="N6" s="92" t="s">
        <v>144</v>
      </c>
      <c r="O6" s="5"/>
      <c r="Q6" s="92" t="s">
        <v>144</v>
      </c>
      <c r="R6" s="1" t="str">
        <f>B6</f>
        <v>Licenses</v>
      </c>
      <c r="S6" s="90">
        <f>Statement!T104</f>
        <v>112251</v>
      </c>
      <c r="T6" s="90">
        <f>Statement!U104</f>
        <v>137174</v>
      </c>
      <c r="U6" s="90">
        <f>Statement!V104</f>
        <v>197609</v>
      </c>
      <c r="V6" s="90">
        <f>Statement!W104</f>
        <v>128286</v>
      </c>
      <c r="W6" s="90">
        <f>Statement!X104</f>
        <v>112161</v>
      </c>
      <c r="X6" s="90">
        <f>Statement!Y104</f>
        <v>150043</v>
      </c>
      <c r="Y6" s="90">
        <f>Statement!Z104</f>
        <v>215904</v>
      </c>
      <c r="Z6" s="91">
        <f>Statement!AA104</f>
        <v>149309</v>
      </c>
      <c r="AA6" s="64">
        <f>AA9*AA29</f>
        <v>159114.40000000002</v>
      </c>
      <c r="AB6" s="64"/>
      <c r="AC6" s="64"/>
      <c r="AE6" s="64">
        <f>SUM(X6:AA6)</f>
        <v>674370.4</v>
      </c>
    </row>
    <row r="7" spans="1:31" x14ac:dyDescent="0.2">
      <c r="B7" s="1" t="str">
        <f>Statement!B105</f>
        <v>Subscription services</v>
      </c>
      <c r="C7" s="90">
        <f>Statement!M105</f>
        <v>369867</v>
      </c>
      <c r="D7" s="90">
        <f>Statement!N105</f>
        <v>508823</v>
      </c>
      <c r="E7" s="90">
        <f>Statement!O105</f>
        <v>649918</v>
      </c>
      <c r="F7" s="90">
        <f>Statement!P105</f>
        <v>801947</v>
      </c>
      <c r="G7" s="91">
        <f>Statement!Q105</f>
        <v>954472</v>
      </c>
      <c r="H7" s="64">
        <f>H9-H6-H8</f>
        <v>1097325.6000000001</v>
      </c>
      <c r="I7" s="64">
        <f t="shared" ref="I7:L7" si="2">I9-I6-I8</f>
        <v>1234579.8455999999</v>
      </c>
      <c r="J7" s="64">
        <f t="shared" si="2"/>
        <v>1388841.0675840001</v>
      </c>
      <c r="K7" s="64">
        <f t="shared" si="2"/>
        <v>1506706.5060864</v>
      </c>
      <c r="L7" s="64">
        <f t="shared" si="2"/>
        <v>1654008.3109296001</v>
      </c>
      <c r="N7" s="92" t="s">
        <v>145</v>
      </c>
      <c r="O7" s="5"/>
      <c r="Q7" s="92" t="s">
        <v>145</v>
      </c>
      <c r="R7" s="1" t="str">
        <f t="shared" ref="R7:R8" si="3">B7</f>
        <v>Subscription services</v>
      </c>
      <c r="S7" s="90">
        <f>Statement!T105</f>
        <v>194673</v>
      </c>
      <c r="T7" s="90">
        <f>Statement!U105</f>
        <v>206922</v>
      </c>
      <c r="U7" s="90">
        <f>Statement!V105</f>
        <v>215221</v>
      </c>
      <c r="V7" s="90">
        <f>Statement!W105</f>
        <v>217303</v>
      </c>
      <c r="W7" s="90">
        <f>Statement!X105</f>
        <v>238363</v>
      </c>
      <c r="X7" s="90">
        <f>Statement!Y105</f>
        <v>247573</v>
      </c>
      <c r="Y7" s="90">
        <f>Statement!Z105</f>
        <v>251233</v>
      </c>
      <c r="Z7" s="91">
        <f>Statement!AA105</f>
        <v>252903</v>
      </c>
      <c r="AA7" s="64">
        <f>AA9-AA6-AA8</f>
        <v>226738.02</v>
      </c>
      <c r="AB7" s="64"/>
      <c r="AC7" s="64"/>
      <c r="AE7" s="64">
        <f t="shared" ref="AE7:AE8" si="4">SUM(X7:AA7)</f>
        <v>978447.02</v>
      </c>
    </row>
    <row r="8" spans="1:31" x14ac:dyDescent="0.2">
      <c r="B8" s="1" t="str">
        <f>Statement!B106</f>
        <v>Professional services</v>
      </c>
      <c r="C8" s="90">
        <f>Statement!M106</f>
        <v>40958</v>
      </c>
      <c r="D8" s="90">
        <f>Statement!N106</f>
        <v>51922</v>
      </c>
      <c r="E8" s="90">
        <f>Statement!O106</f>
        <v>36762</v>
      </c>
      <c r="F8" s="90">
        <f>Statement!P106</f>
        <v>40555</v>
      </c>
      <c r="G8" s="91">
        <f>Statement!Q106</f>
        <v>49706</v>
      </c>
      <c r="H8" s="64">
        <f>H9*H28</f>
        <v>53096.4</v>
      </c>
      <c r="I8" s="64">
        <f t="shared" ref="I8:L8" si="5">I9*I28</f>
        <v>55854.626400000001</v>
      </c>
      <c r="J8" s="64">
        <f t="shared" si="5"/>
        <v>58742.522495999998</v>
      </c>
      <c r="K8" s="64">
        <f t="shared" si="5"/>
        <v>58122.209433600001</v>
      </c>
      <c r="L8" s="64">
        <f t="shared" si="5"/>
        <v>59496.701832000006</v>
      </c>
      <c r="N8" s="92" t="s">
        <v>142</v>
      </c>
      <c r="O8" s="5"/>
      <c r="Q8" s="92" t="s">
        <v>142</v>
      </c>
      <c r="R8" s="1" t="str">
        <f t="shared" si="3"/>
        <v>Professional services</v>
      </c>
      <c r="S8" s="90">
        <f>Statement!T106</f>
        <v>9329</v>
      </c>
      <c r="T8" s="90">
        <f>Statement!U106</f>
        <v>10557</v>
      </c>
      <c r="U8" s="90">
        <f>Statement!V106</f>
        <v>10816</v>
      </c>
      <c r="V8" s="90">
        <f>Statement!W106</f>
        <v>11035</v>
      </c>
      <c r="W8" s="90">
        <f>Statement!X106</f>
        <v>11204</v>
      </c>
      <c r="X8" s="90">
        <f>Statement!Y106</f>
        <v>13497</v>
      </c>
      <c r="Y8" s="90">
        <f>Statement!Z106</f>
        <v>13970</v>
      </c>
      <c r="Z8" s="91">
        <f>Statement!AA106</f>
        <v>16170</v>
      </c>
      <c r="AA8" s="64">
        <f>AA9*AA28</f>
        <v>11933.58</v>
      </c>
      <c r="AB8" s="64"/>
      <c r="AC8" s="64"/>
      <c r="AE8" s="64">
        <f t="shared" si="4"/>
        <v>55570.58</v>
      </c>
    </row>
    <row r="9" spans="1:31" x14ac:dyDescent="0.2">
      <c r="B9" s="16" t="s">
        <v>126</v>
      </c>
      <c r="C9" s="94">
        <f>Statement!M5</f>
        <v>26914</v>
      </c>
      <c r="D9" s="94">
        <f>Statement!N5</f>
        <v>26974</v>
      </c>
      <c r="E9" s="94">
        <f>Statement!O5</f>
        <v>60922</v>
      </c>
      <c r="F9" s="94">
        <f>Statement!P5</f>
        <v>130497</v>
      </c>
      <c r="G9" s="95">
        <f>Statement!Q5</f>
        <v>215938</v>
      </c>
      <c r="H9" s="96">
        <f>H21*H27</f>
        <v>1769880</v>
      </c>
      <c r="I9" s="96">
        <f t="shared" ref="I9:L9" si="6">I21*I27</f>
        <v>1926021.5999999999</v>
      </c>
      <c r="J9" s="96">
        <f t="shared" si="6"/>
        <v>2097947.2319999998</v>
      </c>
      <c r="K9" s="96">
        <f t="shared" si="6"/>
        <v>2235469.5936000003</v>
      </c>
      <c r="L9" s="96">
        <f t="shared" si="6"/>
        <v>2379868.0732800001</v>
      </c>
      <c r="N9" s="1" t="s">
        <v>134</v>
      </c>
      <c r="O9" s="5"/>
      <c r="Q9" s="1" t="s">
        <v>134</v>
      </c>
      <c r="R9" s="16" t="s">
        <v>126</v>
      </c>
      <c r="S9" s="94">
        <f>Statement!T5</f>
        <v>0</v>
      </c>
      <c r="T9" s="94">
        <f>Statement!U5</f>
        <v>0</v>
      </c>
      <c r="U9" s="94">
        <f>Statement!V5</f>
        <v>0</v>
      </c>
      <c r="V9" s="94">
        <f>Statement!W5</f>
        <v>0</v>
      </c>
      <c r="W9" s="94">
        <f>Statement!X5</f>
        <v>0</v>
      </c>
      <c r="X9" s="94">
        <f>Statement!Y5</f>
        <v>0</v>
      </c>
      <c r="Y9" s="94">
        <f>Statement!Z5</f>
        <v>0</v>
      </c>
      <c r="Z9" s="95">
        <f>Statement!AA5</f>
        <v>0</v>
      </c>
      <c r="AA9" s="96">
        <f>AA21*AA27</f>
        <v>397786</v>
      </c>
      <c r="AB9" s="96"/>
      <c r="AC9" s="96"/>
      <c r="AE9" s="96">
        <f>SUM(X9:AA9)</f>
        <v>397786</v>
      </c>
    </row>
    <row r="10" spans="1:31" x14ac:dyDescent="0.2">
      <c r="O10" s="5"/>
      <c r="Q10" s="93"/>
    </row>
    <row r="11" spans="1:31" x14ac:dyDescent="0.2">
      <c r="C11" s="258" t="s">
        <v>127</v>
      </c>
      <c r="D11" s="258"/>
      <c r="E11" s="258"/>
      <c r="F11" s="258"/>
      <c r="G11" s="258"/>
      <c r="H11" s="258"/>
      <c r="I11" s="258"/>
      <c r="J11" s="258"/>
      <c r="K11" s="258"/>
      <c r="L11" s="258"/>
      <c r="O11" s="5"/>
      <c r="Q11" s="93"/>
      <c r="S11" s="259" t="s">
        <v>127</v>
      </c>
      <c r="T11" s="260"/>
      <c r="U11" s="260"/>
      <c r="V11" s="260"/>
      <c r="W11" s="260"/>
      <c r="X11" s="260"/>
      <c r="Y11" s="260"/>
      <c r="Z11" s="260"/>
      <c r="AA11" s="260"/>
      <c r="AB11" s="260"/>
      <c r="AC11" s="260"/>
    </row>
    <row r="12" spans="1:31" x14ac:dyDescent="0.2">
      <c r="B12" s="16" t="s">
        <v>128</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128</v>
      </c>
      <c r="S12" s="12">
        <f t="shared" ref="S12:AC12" si="8">S5</f>
        <v>0</v>
      </c>
      <c r="T12" s="12">
        <f t="shared" si="8"/>
        <v>0</v>
      </c>
      <c r="U12" s="12">
        <f t="shared" si="8"/>
        <v>0</v>
      </c>
      <c r="V12" s="12">
        <f t="shared" si="8"/>
        <v>0</v>
      </c>
      <c r="W12" s="12">
        <f t="shared" si="8"/>
        <v>0</v>
      </c>
      <c r="X12" s="12">
        <f t="shared" si="8"/>
        <v>0</v>
      </c>
      <c r="Y12" s="12">
        <f t="shared" si="8"/>
        <v>0</v>
      </c>
      <c r="Z12" s="12" t="str">
        <f t="shared" si="8"/>
        <v>Q1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2.1543748783793948E-2</v>
      </c>
      <c r="I13" s="97">
        <f t="shared" si="9"/>
        <v>2.6037484381507658E-2</v>
      </c>
      <c r="J13" s="97">
        <f t="shared" si="9"/>
        <v>2.3248604745186086E-2</v>
      </c>
      <c r="K13" s="97">
        <f t="shared" si="9"/>
        <v>3.1178305263402706E-2</v>
      </c>
      <c r="L13" s="97">
        <f t="shared" si="9"/>
        <v>-6.3787008836191372E-3</v>
      </c>
      <c r="O13" s="5"/>
      <c r="Q13" s="93"/>
      <c r="R13" s="1" t="str">
        <f>R6</f>
        <v>Licenses</v>
      </c>
      <c r="S13" s="47"/>
      <c r="T13" s="97">
        <f t="shared" ref="T13:AA16" si="10">T6/S6-1</f>
        <v>0.22202920241245061</v>
      </c>
      <c r="U13" s="97">
        <f t="shared" si="10"/>
        <v>0.44057182848061593</v>
      </c>
      <c r="V13" s="97">
        <f t="shared" si="10"/>
        <v>-0.35080892064632685</v>
      </c>
      <c r="W13" s="97">
        <f t="shared" si="10"/>
        <v>-0.12569571114540945</v>
      </c>
      <c r="X13" s="97">
        <f t="shared" si="10"/>
        <v>0.33774663207353717</v>
      </c>
      <c r="Y13" s="97">
        <f t="shared" si="10"/>
        <v>0.4389475017161748</v>
      </c>
      <c r="Z13" s="98">
        <f t="shared" si="10"/>
        <v>-0.30844727286201279</v>
      </c>
      <c r="AA13" s="97">
        <f t="shared" si="10"/>
        <v>6.5671861709609036E-2</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0.14966766966448475</v>
      </c>
      <c r="I14" s="97">
        <f t="shared" si="11"/>
        <v>0.12508069218470785</v>
      </c>
      <c r="J14" s="97">
        <f t="shared" si="11"/>
        <v>0.12495038092010158</v>
      </c>
      <c r="K14" s="97">
        <f t="shared" si="11"/>
        <v>8.4866037773088321E-2</v>
      </c>
      <c r="L14" s="97">
        <f t="shared" si="11"/>
        <v>9.7764099543055538E-2</v>
      </c>
      <c r="O14" s="5"/>
      <c r="Q14" s="93"/>
      <c r="R14" s="1" t="str">
        <f>R7</f>
        <v>Subscription services</v>
      </c>
      <c r="S14" s="47"/>
      <c r="T14" s="97">
        <f t="shared" si="10"/>
        <v>6.2920898121465285E-2</v>
      </c>
      <c r="U14" s="97">
        <f t="shared" si="10"/>
        <v>4.0106900184610605E-2</v>
      </c>
      <c r="V14" s="97">
        <f t="shared" si="10"/>
        <v>9.6737771871704403E-3</v>
      </c>
      <c r="W14" s="97">
        <f t="shared" si="10"/>
        <v>9.6915367022084364E-2</v>
      </c>
      <c r="X14" s="97">
        <f t="shared" si="10"/>
        <v>3.8638547089942632E-2</v>
      </c>
      <c r="Y14" s="97">
        <f t="shared" si="10"/>
        <v>1.4783518396594086E-2</v>
      </c>
      <c r="Z14" s="98">
        <f t="shared" si="10"/>
        <v>6.6472159310282386E-3</v>
      </c>
      <c r="AA14" s="97">
        <f t="shared" si="10"/>
        <v>-0.10345855921044833</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6.8209069327646699E-2</v>
      </c>
      <c r="I15" s="97">
        <f t="shared" si="12"/>
        <v>5.1947521865889135E-2</v>
      </c>
      <c r="J15" s="97">
        <f t="shared" si="12"/>
        <v>5.1703793976142221E-2</v>
      </c>
      <c r="K15" s="97">
        <f t="shared" si="12"/>
        <v>-1.0559864235354155E-2</v>
      </c>
      <c r="L15" s="97">
        <f t="shared" si="12"/>
        <v>2.3648316397370417E-2</v>
      </c>
      <c r="O15" s="5"/>
      <c r="Q15" s="93"/>
      <c r="R15" s="1" t="str">
        <f>R8</f>
        <v>Professional services</v>
      </c>
      <c r="S15" s="47"/>
      <c r="T15" s="97">
        <f t="shared" si="10"/>
        <v>0.13163254368099464</v>
      </c>
      <c r="U15" s="97">
        <f t="shared" si="10"/>
        <v>2.4533484891541057E-2</v>
      </c>
      <c r="V15" s="97">
        <f t="shared" si="10"/>
        <v>2.0247781065088732E-2</v>
      </c>
      <c r="W15" s="97">
        <f t="shared" si="10"/>
        <v>1.531490711372907E-2</v>
      </c>
      <c r="X15" s="97">
        <f t="shared" si="10"/>
        <v>0.20465905033916454</v>
      </c>
      <c r="Y15" s="97">
        <f t="shared" si="10"/>
        <v>3.5044824775876116E-2</v>
      </c>
      <c r="Z15" s="98">
        <f t="shared" si="10"/>
        <v>0.15748031496062986</v>
      </c>
      <c r="AA15" s="97">
        <f t="shared" si="10"/>
        <v>-0.26199257884972171</v>
      </c>
      <c r="AB15" s="97"/>
      <c r="AC15" s="97"/>
    </row>
    <row r="16" spans="1:31" x14ac:dyDescent="0.2">
      <c r="B16" s="16" t="str">
        <f>B9</f>
        <v>Total</v>
      </c>
      <c r="C16" s="47"/>
      <c r="D16" s="107">
        <f t="shared" ref="D16:L16" si="13">D9/C9-1</f>
        <v>2.2293230289069932E-3</v>
      </c>
      <c r="E16" s="107">
        <f t="shared" si="13"/>
        <v>1.2585452658115224</v>
      </c>
      <c r="F16" s="107">
        <f t="shared" si="13"/>
        <v>1.1420340763599355</v>
      </c>
      <c r="G16" s="108">
        <f t="shared" si="13"/>
        <v>0.65473535790094783</v>
      </c>
      <c r="H16" s="107">
        <f t="shared" si="13"/>
        <v>7.1962415137678413</v>
      </c>
      <c r="I16" s="107">
        <f t="shared" si="13"/>
        <v>8.8221574344023335E-2</v>
      </c>
      <c r="J16" s="107">
        <f t="shared" si="13"/>
        <v>8.9264643761004514E-2</v>
      </c>
      <c r="K16" s="107">
        <f t="shared" si="13"/>
        <v>6.5550915438849611E-2</v>
      </c>
      <c r="L16" s="107">
        <f t="shared" si="13"/>
        <v>6.4594249053265163E-2</v>
      </c>
      <c r="O16" s="5"/>
      <c r="Q16" s="93"/>
      <c r="R16" s="16" t="str">
        <f>R9</f>
        <v>Total</v>
      </c>
      <c r="S16" s="47"/>
      <c r="T16" s="107" t="e">
        <f t="shared" si="10"/>
        <v>#DIV/0!</v>
      </c>
      <c r="U16" s="107" t="e">
        <f t="shared" si="10"/>
        <v>#DIV/0!</v>
      </c>
      <c r="V16" s="107" t="e">
        <f t="shared" si="10"/>
        <v>#DIV/0!</v>
      </c>
      <c r="W16" s="107" t="e">
        <f t="shared" si="10"/>
        <v>#DIV/0!</v>
      </c>
      <c r="X16" s="107" t="e">
        <f t="shared" si="10"/>
        <v>#DIV/0!</v>
      </c>
      <c r="Y16" s="107" t="e">
        <f t="shared" si="10"/>
        <v>#DIV/0!</v>
      </c>
      <c r="Z16" s="108" t="e">
        <f t="shared" si="10"/>
        <v>#DIV/0!</v>
      </c>
      <c r="AA16" s="107" t="e">
        <f t="shared" si="10"/>
        <v>#DIV/0!</v>
      </c>
      <c r="AB16" s="107"/>
      <c r="AC16" s="107"/>
    </row>
    <row r="17" spans="2:31" x14ac:dyDescent="0.2">
      <c r="O17" s="5"/>
      <c r="Q17" s="93"/>
    </row>
    <row r="18" spans="2:31" x14ac:dyDescent="0.2">
      <c r="O18" s="5"/>
      <c r="Q18" s="93"/>
    </row>
    <row r="19" spans="2:31" x14ac:dyDescent="0.2">
      <c r="C19" s="258" t="s">
        <v>129</v>
      </c>
      <c r="D19" s="258"/>
      <c r="E19" s="258"/>
      <c r="F19" s="258"/>
      <c r="G19" s="258"/>
      <c r="H19" s="258"/>
      <c r="I19" s="258"/>
      <c r="J19" s="258"/>
      <c r="K19" s="258"/>
      <c r="L19" s="258"/>
      <c r="O19" s="5"/>
      <c r="Q19" s="93"/>
      <c r="S19" s="259" t="s">
        <v>129</v>
      </c>
      <c r="T19" s="260"/>
      <c r="U19" s="260"/>
      <c r="V19" s="260"/>
      <c r="W19" s="260"/>
      <c r="X19" s="260"/>
      <c r="Y19" s="260"/>
      <c r="Z19" s="260"/>
      <c r="AA19" s="260"/>
      <c r="AB19" s="260"/>
      <c r="AC19" s="260"/>
      <c r="AE19" s="89">
        <f>AE4</f>
        <v>0</v>
      </c>
    </row>
    <row r="20" spans="2:31" x14ac:dyDescent="0.2">
      <c r="B20" s="16" t="s">
        <v>130</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130</v>
      </c>
      <c r="S20" s="12">
        <f t="shared" ref="S20:AC20" si="15">S5</f>
        <v>0</v>
      </c>
      <c r="T20" s="12">
        <f t="shared" si="15"/>
        <v>0</v>
      </c>
      <c r="U20" s="12">
        <f t="shared" si="15"/>
        <v>0</v>
      </c>
      <c r="V20" s="12">
        <f t="shared" si="15"/>
        <v>0</v>
      </c>
      <c r="W20" s="12">
        <f t="shared" si="15"/>
        <v>0</v>
      </c>
      <c r="X20" s="12">
        <f t="shared" si="15"/>
        <v>0</v>
      </c>
      <c r="Y20" s="12">
        <f t="shared" si="15"/>
        <v>0</v>
      </c>
      <c r="Z20" s="12" t="str">
        <f t="shared" si="15"/>
        <v>Q1 2027</v>
      </c>
      <c r="AA20" s="12" t="str">
        <f t="shared" si="15"/>
        <v>FQ1</v>
      </c>
      <c r="AB20" s="12" t="str">
        <f t="shared" si="15"/>
        <v>FQ2</v>
      </c>
      <c r="AC20" s="12" t="str">
        <f t="shared" si="15"/>
        <v>FQ3</v>
      </c>
      <c r="AE20" s="8" t="str">
        <f>AE5</f>
        <v>FQ1</v>
      </c>
    </row>
    <row r="21" spans="2:31" x14ac:dyDescent="0.2">
      <c r="B21" s="1" t="s">
        <v>111</v>
      </c>
      <c r="C21" s="115">
        <f>Statement!M137</f>
        <v>925276</v>
      </c>
      <c r="D21" s="100">
        <f>Statement!N137</f>
        <v>1203845</v>
      </c>
      <c r="E21" s="100">
        <f>Statement!O137</f>
        <v>1463698</v>
      </c>
      <c r="F21" s="100">
        <f>Statement!P137</f>
        <v>1666136</v>
      </c>
      <c r="G21" s="101">
        <f>Statement!Q137</f>
        <v>1852567</v>
      </c>
      <c r="H21" s="109">
        <v>2058000</v>
      </c>
      <c r="I21" s="24">
        <f>(H21*I22)+I24</f>
        <v>2239560</v>
      </c>
      <c r="J21" s="24">
        <f t="shared" ref="J21:L21" si="16">(I21*J22)+J24</f>
        <v>2411433.6</v>
      </c>
      <c r="K21" s="24">
        <f t="shared" si="16"/>
        <v>2569505.2800000003</v>
      </c>
      <c r="L21" s="24">
        <f t="shared" si="16"/>
        <v>2735480.5440000002</v>
      </c>
      <c r="N21" s="92" t="s">
        <v>138</v>
      </c>
      <c r="O21" s="5"/>
      <c r="Q21" s="92" t="s">
        <v>138</v>
      </c>
      <c r="R21" s="1" t="s">
        <v>111</v>
      </c>
      <c r="S21" s="100">
        <f>Statement!T137</f>
        <v>1550605</v>
      </c>
      <c r="T21" s="100">
        <f>Statement!U137</f>
        <v>1606561</v>
      </c>
      <c r="U21" s="100">
        <f>Statement!V137</f>
        <v>1666136</v>
      </c>
      <c r="V21" s="100">
        <f>Statement!W137</f>
        <v>1692683</v>
      </c>
      <c r="W21" s="100">
        <f>Statement!X137</f>
        <v>1723401</v>
      </c>
      <c r="X21" s="100">
        <f>Statement!Y137</f>
        <v>1782384</v>
      </c>
      <c r="Y21" s="100">
        <f>Statement!Z137</f>
        <v>1852567</v>
      </c>
      <c r="Z21" s="102">
        <f>Statement!AA137</f>
        <v>1901211</v>
      </c>
      <c r="AA21" s="111">
        <v>1931000</v>
      </c>
      <c r="AB21" s="111"/>
      <c r="AC21" s="111"/>
      <c r="AE21" s="24">
        <f>AA21</f>
        <v>1931000</v>
      </c>
    </row>
    <row r="22" spans="2:31" x14ac:dyDescent="0.2">
      <c r="B22" s="1" t="s">
        <v>113</v>
      </c>
      <c r="C22" s="116">
        <f>Statement!M139</f>
        <v>1.45</v>
      </c>
      <c r="D22" s="116">
        <f>Statement!N139</f>
        <v>1.23</v>
      </c>
      <c r="E22" s="116">
        <f>Statement!O139</f>
        <v>1.19</v>
      </c>
      <c r="F22" s="116">
        <f>Statement!P139</f>
        <v>1.1000000000000001</v>
      </c>
      <c r="G22" s="117">
        <f>Statement!Q139</f>
        <v>1.07</v>
      </c>
      <c r="H22" s="118">
        <v>1.07</v>
      </c>
      <c r="I22" s="118">
        <v>1.07</v>
      </c>
      <c r="J22" s="118">
        <v>1.06</v>
      </c>
      <c r="K22" s="118">
        <v>1.05</v>
      </c>
      <c r="L22" s="118">
        <v>1.05</v>
      </c>
      <c r="N22" s="92"/>
      <c r="O22" s="5"/>
      <c r="Q22" s="92"/>
      <c r="R22" s="1" t="s">
        <v>113</v>
      </c>
      <c r="S22" s="116">
        <f>Statement!T139</f>
        <v>1.1499999999999999</v>
      </c>
      <c r="T22" s="116">
        <f>Statement!U139</f>
        <v>1.1299999999999999</v>
      </c>
      <c r="U22" s="116">
        <f>Statement!V139</f>
        <v>1.1000000000000001</v>
      </c>
      <c r="V22" s="116">
        <f>Statement!W139</f>
        <v>1.08</v>
      </c>
      <c r="W22" s="116">
        <f>Statement!X139</f>
        <v>1.08</v>
      </c>
      <c r="X22" s="116">
        <f>Statement!Y139</f>
        <v>1.07</v>
      </c>
      <c r="Y22" s="116">
        <f>Statement!Z139</f>
        <v>1.07</v>
      </c>
      <c r="Z22" s="119">
        <f>Statement!AA139</f>
        <v>1.0900000000000001</v>
      </c>
      <c r="AA22" s="118">
        <v>1.07</v>
      </c>
      <c r="AB22" s="99"/>
      <c r="AC22" s="99"/>
      <c r="AE22" s="124">
        <f>AA22</f>
        <v>1.07</v>
      </c>
    </row>
    <row r="23" spans="2:31" x14ac:dyDescent="0.2">
      <c r="B23" s="1" t="s">
        <v>112</v>
      </c>
      <c r="C23" s="103">
        <f>Statement!M138</f>
        <v>344793</v>
      </c>
      <c r="D23" s="103">
        <f>Statement!N138</f>
        <v>278569</v>
      </c>
      <c r="E23" s="103">
        <f>Statement!O138</f>
        <v>259853</v>
      </c>
      <c r="F23" s="103">
        <f>Statement!P138</f>
        <v>202438</v>
      </c>
      <c r="G23" s="104">
        <f>Statement!Q138</f>
        <v>186431</v>
      </c>
      <c r="H23" s="24">
        <f>H21-G21</f>
        <v>205433</v>
      </c>
      <c r="I23" s="24">
        <f>I21-H21</f>
        <v>181560</v>
      </c>
      <c r="J23" s="24">
        <f>J21-I21</f>
        <v>171873.60000000009</v>
      </c>
      <c r="K23" s="24">
        <f>K21-J21</f>
        <v>158071.68000000017</v>
      </c>
      <c r="L23" s="24">
        <f>L21-K21</f>
        <v>165975.26399999997</v>
      </c>
      <c r="N23" s="92" t="s">
        <v>139</v>
      </c>
      <c r="O23" s="5"/>
      <c r="Q23" s="92" t="s">
        <v>139</v>
      </c>
      <c r="R23" s="1" t="s">
        <v>112</v>
      </c>
      <c r="S23" s="103">
        <f>Statement!T138</f>
        <v>43000</v>
      </c>
      <c r="T23" s="103">
        <f>Statement!U138</f>
        <v>56000</v>
      </c>
      <c r="U23" s="103">
        <f>Statement!V138</f>
        <v>60000</v>
      </c>
      <c r="V23" s="103">
        <f>Statement!W138</f>
        <v>27000</v>
      </c>
      <c r="W23" s="103">
        <f>Statement!X138</f>
        <v>31000</v>
      </c>
      <c r="X23" s="103">
        <f>Statement!Y138</f>
        <v>59000</v>
      </c>
      <c r="Y23" s="103">
        <f>Statement!Z138</f>
        <v>70000</v>
      </c>
      <c r="Z23" s="105">
        <f>Statement!AA138</f>
        <v>49000</v>
      </c>
      <c r="AA23" s="24">
        <f>AA21-Z21</f>
        <v>29789</v>
      </c>
      <c r="AB23" s="24"/>
      <c r="AC23" s="24"/>
      <c r="AE23" s="24">
        <f>SUM(X23:AA23)</f>
        <v>207789</v>
      </c>
    </row>
    <row r="24" spans="2:31" x14ac:dyDescent="0.2">
      <c r="B24" s="1" t="s">
        <v>135</v>
      </c>
      <c r="C24" s="47"/>
      <c r="D24" s="47"/>
      <c r="E24" s="47"/>
      <c r="F24" s="47"/>
      <c r="G24" s="110"/>
      <c r="H24" s="64">
        <f>H25*H26</f>
        <v>37500</v>
      </c>
      <c r="I24" s="64">
        <f t="shared" ref="I24:L24" si="17">I25*I26</f>
        <v>37500</v>
      </c>
      <c r="J24" s="64">
        <f t="shared" si="17"/>
        <v>37500</v>
      </c>
      <c r="K24" s="64">
        <f t="shared" si="17"/>
        <v>37500</v>
      </c>
      <c r="L24" s="64">
        <f t="shared" si="17"/>
        <v>37500</v>
      </c>
      <c r="N24" s="92" t="s">
        <v>140</v>
      </c>
      <c r="O24" s="5"/>
      <c r="Q24" s="92" t="s">
        <v>140</v>
      </c>
      <c r="R24" s="1" t="s">
        <v>135</v>
      </c>
      <c r="S24" s="47"/>
      <c r="T24" s="47"/>
      <c r="U24" s="47"/>
      <c r="V24" s="47"/>
      <c r="W24" s="47"/>
      <c r="X24" s="47"/>
      <c r="Y24" s="47"/>
      <c r="Z24" s="110"/>
      <c r="AA24" s="24">
        <f>AA25*AA26</f>
        <v>11250</v>
      </c>
      <c r="AB24" s="24"/>
      <c r="AC24" s="24"/>
      <c r="AE24" s="47"/>
    </row>
    <row r="25" spans="2:31" x14ac:dyDescent="0.2">
      <c r="B25" s="1" t="s">
        <v>136</v>
      </c>
      <c r="C25" s="47"/>
      <c r="D25" s="100">
        <f>Statement!N141-Statement!M141</f>
        <v>292</v>
      </c>
      <c r="E25" s="100">
        <f>Statement!O141-Statement!N141</f>
        <v>269</v>
      </c>
      <c r="F25" s="100">
        <f>Statement!P141-Statement!O141</f>
        <v>238</v>
      </c>
      <c r="G25" s="101">
        <f>Statement!Q141-Statement!P141</f>
        <v>273</v>
      </c>
      <c r="H25" s="111">
        <v>250</v>
      </c>
      <c r="I25" s="111">
        <v>250</v>
      </c>
      <c r="J25" s="111">
        <v>250</v>
      </c>
      <c r="K25" s="111">
        <v>250</v>
      </c>
      <c r="L25" s="111">
        <v>250</v>
      </c>
      <c r="N25" s="92"/>
      <c r="O25" s="5"/>
      <c r="R25" s="1" t="s">
        <v>136</v>
      </c>
      <c r="S25" s="47"/>
      <c r="T25" s="120">
        <f>Statement!U141-Statement!T141</f>
        <v>72</v>
      </c>
      <c r="U25" s="120">
        <f>Statement!V141-Statement!U141</f>
        <v>57</v>
      </c>
      <c r="V25" s="120">
        <f>Statement!W141-Statement!V141</f>
        <v>73</v>
      </c>
      <c r="W25" s="120">
        <f>Statement!X141-Statement!W141</f>
        <v>67</v>
      </c>
      <c r="X25" s="120">
        <f>Statement!Y141-Statement!X141</f>
        <v>74</v>
      </c>
      <c r="Y25" s="120">
        <f>Statement!Z141-Statement!Y141</f>
        <v>59</v>
      </c>
      <c r="Z25" s="121">
        <f>Statement!AA141-Statement!Z141</f>
        <v>59</v>
      </c>
      <c r="AA25" s="106">
        <v>75</v>
      </c>
      <c r="AB25" s="106"/>
      <c r="AC25" s="106"/>
      <c r="AE25" s="120">
        <f>SUM(X25:AA25)</f>
        <v>267</v>
      </c>
    </row>
    <row r="26" spans="2:31" x14ac:dyDescent="0.2">
      <c r="B26" s="1" t="s">
        <v>137</v>
      </c>
      <c r="C26" s="47"/>
      <c r="D26" s="47"/>
      <c r="E26" s="47"/>
      <c r="F26" s="47"/>
      <c r="G26" s="110"/>
      <c r="H26" s="111">
        <v>150</v>
      </c>
      <c r="I26" s="111">
        <v>150</v>
      </c>
      <c r="J26" s="111">
        <v>150</v>
      </c>
      <c r="K26" s="111">
        <v>150</v>
      </c>
      <c r="L26" s="111">
        <v>150</v>
      </c>
      <c r="N26" s="92"/>
      <c r="O26" s="5"/>
      <c r="R26" s="1" t="s">
        <v>137</v>
      </c>
      <c r="S26" s="47"/>
      <c r="T26" s="47"/>
      <c r="U26" s="47"/>
      <c r="V26" s="47"/>
      <c r="W26" s="47"/>
      <c r="X26" s="47"/>
      <c r="Y26" s="47"/>
      <c r="Z26" s="110"/>
      <c r="AA26" s="111">
        <v>150</v>
      </c>
      <c r="AB26" s="111"/>
      <c r="AC26" s="111"/>
      <c r="AE26" s="47"/>
    </row>
    <row r="27" spans="2:31" x14ac:dyDescent="0.2">
      <c r="B27" s="1" t="s">
        <v>133</v>
      </c>
      <c r="C27" s="112">
        <f>C9/C21</f>
        <v>2.9087537124058118E-2</v>
      </c>
      <c r="D27" s="112">
        <f t="shared" ref="D27:G27" si="18">D9/D21</f>
        <v>2.2406539047801006E-2</v>
      </c>
      <c r="E27" s="112">
        <f t="shared" si="18"/>
        <v>4.1621973931781006E-2</v>
      </c>
      <c r="F27" s="112">
        <f t="shared" si="18"/>
        <v>7.8323138087166955E-2</v>
      </c>
      <c r="G27" s="113">
        <f t="shared" si="18"/>
        <v>0.11656150627750575</v>
      </c>
      <c r="H27" s="114">
        <v>0.86</v>
      </c>
      <c r="I27" s="114">
        <v>0.86</v>
      </c>
      <c r="J27" s="114">
        <v>0.87</v>
      </c>
      <c r="K27" s="114">
        <v>0.87</v>
      </c>
      <c r="L27" s="114">
        <v>0.87</v>
      </c>
      <c r="N27" s="92"/>
      <c r="O27" s="5"/>
      <c r="R27" s="1" t="s">
        <v>133</v>
      </c>
      <c r="S27" s="122">
        <f>S9/S21</f>
        <v>0</v>
      </c>
      <c r="T27" s="122">
        <f t="shared" ref="T27:Z27" si="19">T9/T21</f>
        <v>0</v>
      </c>
      <c r="U27" s="122">
        <f t="shared" si="19"/>
        <v>0</v>
      </c>
      <c r="V27" s="122">
        <f t="shared" si="19"/>
        <v>0</v>
      </c>
      <c r="W27" s="122">
        <f t="shared" si="19"/>
        <v>0</v>
      </c>
      <c r="X27" s="122">
        <f t="shared" si="19"/>
        <v>0</v>
      </c>
      <c r="Y27" s="122">
        <f t="shared" si="19"/>
        <v>0</v>
      </c>
      <c r="Z27" s="123">
        <f t="shared" si="19"/>
        <v>0</v>
      </c>
      <c r="AA27" s="114">
        <v>0.20599999999999999</v>
      </c>
      <c r="AB27" s="106"/>
      <c r="AC27" s="106"/>
      <c r="AE27" s="47"/>
    </row>
    <row r="28" spans="2:31" x14ac:dyDescent="0.2">
      <c r="B28" s="1" t="s">
        <v>141</v>
      </c>
      <c r="C28" s="97">
        <f>C8/C9</f>
        <v>1.5218102102994724</v>
      </c>
      <c r="D28" s="97">
        <f t="shared" ref="D28:G28" si="20">D8/D9</f>
        <v>1.9248906354267072</v>
      </c>
      <c r="E28" s="97">
        <f t="shared" si="20"/>
        <v>0.60342733331144738</v>
      </c>
      <c r="F28" s="97">
        <f t="shared" si="20"/>
        <v>0.31077342774163391</v>
      </c>
      <c r="G28" s="98">
        <f t="shared" si="20"/>
        <v>0.23018644240476432</v>
      </c>
      <c r="H28" s="99">
        <v>0.03</v>
      </c>
      <c r="I28" s="99">
        <v>2.9000000000000001E-2</v>
      </c>
      <c r="J28" s="99">
        <v>2.8000000000000001E-2</v>
      </c>
      <c r="K28" s="99">
        <v>2.5999999999999999E-2</v>
      </c>
      <c r="L28" s="99">
        <v>2.5000000000000001E-2</v>
      </c>
      <c r="N28" s="92"/>
      <c r="O28" s="5"/>
      <c r="R28" s="1" t="s">
        <v>141</v>
      </c>
      <c r="S28" s="97" t="e">
        <f>S8/S9</f>
        <v>#DIV/0!</v>
      </c>
      <c r="T28" s="97" t="e">
        <f t="shared" ref="T28:Z28" si="21">T8/T9</f>
        <v>#DIV/0!</v>
      </c>
      <c r="U28" s="97" t="e">
        <f t="shared" si="21"/>
        <v>#DIV/0!</v>
      </c>
      <c r="V28" s="97" t="e">
        <f t="shared" si="21"/>
        <v>#DIV/0!</v>
      </c>
      <c r="W28" s="97" t="e">
        <f t="shared" si="21"/>
        <v>#DIV/0!</v>
      </c>
      <c r="X28" s="97" t="e">
        <f t="shared" si="21"/>
        <v>#DIV/0!</v>
      </c>
      <c r="Y28" s="97" t="e">
        <f t="shared" si="21"/>
        <v>#DIV/0!</v>
      </c>
      <c r="Z28" s="98" t="e">
        <f t="shared" si="21"/>
        <v>#DIV/0!</v>
      </c>
      <c r="AA28" s="99">
        <v>0.03</v>
      </c>
      <c r="AB28" s="99"/>
      <c r="AC28" s="99"/>
      <c r="AE28" s="47"/>
    </row>
    <row r="29" spans="2:31" x14ac:dyDescent="0.2">
      <c r="B29" s="1" t="s">
        <v>143</v>
      </c>
      <c r="C29" s="97">
        <f>C6/C9</f>
        <v>17.887604963959276</v>
      </c>
      <c r="D29" s="97">
        <f t="shared" ref="D29:G29" si="22">D6/D9</f>
        <v>18.456142952472753</v>
      </c>
      <c r="E29" s="97">
        <f t="shared" si="22"/>
        <v>10.199796461048553</v>
      </c>
      <c r="F29" s="97">
        <f t="shared" si="22"/>
        <v>4.4993524755358365</v>
      </c>
      <c r="G29" s="98">
        <f t="shared" si="22"/>
        <v>2.8081856829275069</v>
      </c>
      <c r="H29" s="99">
        <v>0.35</v>
      </c>
      <c r="I29" s="99">
        <v>0.33</v>
      </c>
      <c r="J29" s="99">
        <v>0.31</v>
      </c>
      <c r="K29" s="99">
        <v>0.3</v>
      </c>
      <c r="L29" s="99">
        <v>0.28000000000000003</v>
      </c>
      <c r="N29" s="92"/>
      <c r="O29" s="5"/>
      <c r="R29" s="1" t="s">
        <v>143</v>
      </c>
      <c r="S29" s="97" t="e">
        <f>S6/S9</f>
        <v>#DIV/0!</v>
      </c>
      <c r="T29" s="97" t="e">
        <f t="shared" ref="T29:Z29" si="23">T6/T9</f>
        <v>#DIV/0!</v>
      </c>
      <c r="U29" s="97" t="e">
        <f t="shared" si="23"/>
        <v>#DIV/0!</v>
      </c>
      <c r="V29" s="97" t="e">
        <f t="shared" si="23"/>
        <v>#DIV/0!</v>
      </c>
      <c r="W29" s="97" t="e">
        <f t="shared" si="23"/>
        <v>#DIV/0!</v>
      </c>
      <c r="X29" s="97" t="e">
        <f t="shared" si="23"/>
        <v>#DIV/0!</v>
      </c>
      <c r="Y29" s="97" t="e">
        <f t="shared" si="23"/>
        <v>#DIV/0!</v>
      </c>
      <c r="Z29" s="98" t="e">
        <f t="shared" si="23"/>
        <v>#DIV/0!</v>
      </c>
      <c r="AA29" s="99">
        <v>0.4</v>
      </c>
      <c r="AB29" s="99"/>
      <c r="AC29" s="99"/>
      <c r="AE29" s="47"/>
    </row>
    <row r="30" spans="2:31" x14ac:dyDescent="0.2">
      <c r="O30" s="5"/>
    </row>
    <row r="31" spans="2:31" x14ac:dyDescent="0.2">
      <c r="O31" s="5"/>
    </row>
    <row r="32" spans="2:31" x14ac:dyDescent="0.2">
      <c r="C32" s="258" t="s">
        <v>131</v>
      </c>
      <c r="D32" s="258"/>
      <c r="E32" s="258"/>
      <c r="F32" s="258"/>
      <c r="G32" s="258"/>
      <c r="H32" s="258"/>
      <c r="I32" s="258"/>
      <c r="J32" s="258"/>
      <c r="K32" s="258"/>
      <c r="L32" s="258"/>
      <c r="O32" s="5"/>
      <c r="S32" s="259" t="s">
        <v>131</v>
      </c>
      <c r="T32" s="260"/>
      <c r="U32" s="260"/>
      <c r="V32" s="260"/>
      <c r="W32" s="260"/>
      <c r="X32" s="260"/>
      <c r="Y32" s="260"/>
      <c r="Z32" s="260"/>
      <c r="AA32" s="260"/>
      <c r="AB32" s="260"/>
      <c r="AC32" s="260"/>
    </row>
    <row r="33" spans="2:29" x14ac:dyDescent="0.2">
      <c r="B33" s="16" t="s">
        <v>132</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132</v>
      </c>
      <c r="S33" s="12">
        <f t="shared" ref="S33:AC33" si="25">S5</f>
        <v>0</v>
      </c>
      <c r="T33" s="12">
        <f t="shared" si="25"/>
        <v>0</v>
      </c>
      <c r="U33" s="12">
        <f t="shared" si="25"/>
        <v>0</v>
      </c>
      <c r="V33" s="12">
        <f t="shared" si="25"/>
        <v>0</v>
      </c>
      <c r="W33" s="12">
        <f t="shared" si="25"/>
        <v>0</v>
      </c>
      <c r="X33" s="12">
        <f t="shared" si="25"/>
        <v>0</v>
      </c>
      <c r="Y33" s="12">
        <f t="shared" si="25"/>
        <v>0</v>
      </c>
      <c r="Z33" s="12" t="str">
        <f t="shared" si="25"/>
        <v>Q1 2027</v>
      </c>
      <c r="AA33" s="12" t="str">
        <f t="shared" si="25"/>
        <v>FQ1</v>
      </c>
      <c r="AB33" s="12" t="str">
        <f t="shared" si="25"/>
        <v>FQ2</v>
      </c>
      <c r="AC33" s="12" t="str">
        <f t="shared" si="25"/>
        <v>FQ3</v>
      </c>
    </row>
    <row r="34" spans="2:29" x14ac:dyDescent="0.2">
      <c r="B34" s="1" t="s">
        <v>111</v>
      </c>
      <c r="C34" s="47"/>
      <c r="D34" s="97">
        <f>D21/C21-1</f>
        <v>0.30106584413731685</v>
      </c>
      <c r="E34" s="97">
        <f t="shared" ref="E34:L34" si="26">E21/D21-1</f>
        <v>0.21585253915578839</v>
      </c>
      <c r="F34" s="97">
        <f t="shared" si="26"/>
        <v>0.13830585271005358</v>
      </c>
      <c r="G34" s="98">
        <f t="shared" si="26"/>
        <v>0.11189422712191566</v>
      </c>
      <c r="H34" s="97">
        <f t="shared" si="26"/>
        <v>0.11089099611512032</v>
      </c>
      <c r="I34" s="97">
        <f t="shared" si="26"/>
        <v>8.8221574344023335E-2</v>
      </c>
      <c r="J34" s="97">
        <f t="shared" si="26"/>
        <v>7.6744360499383824E-2</v>
      </c>
      <c r="K34" s="97">
        <f t="shared" si="26"/>
        <v>6.5550915438849389E-2</v>
      </c>
      <c r="L34" s="97">
        <f t="shared" si="26"/>
        <v>6.4594249053265163E-2</v>
      </c>
      <c r="O34" s="5"/>
      <c r="R34" s="1" t="str">
        <f>B34</f>
        <v>ARR</v>
      </c>
      <c r="S34" s="47"/>
      <c r="T34" s="97">
        <f>T21/S21-1</f>
        <v>3.6086559762157355E-2</v>
      </c>
      <c r="U34" s="97">
        <f t="shared" ref="U34:AA34" si="27">U21/T21-1</f>
        <v>3.708231433478093E-2</v>
      </c>
      <c r="V34" s="97">
        <f t="shared" si="27"/>
        <v>1.5933273154172367E-2</v>
      </c>
      <c r="W34" s="97">
        <f t="shared" si="27"/>
        <v>1.8147520829357999E-2</v>
      </c>
      <c r="X34" s="97">
        <f t="shared" si="27"/>
        <v>3.4224768350488377E-2</v>
      </c>
      <c r="Y34" s="97">
        <f t="shared" si="27"/>
        <v>3.9375914505516141E-2</v>
      </c>
      <c r="Z34" s="98">
        <f t="shared" si="27"/>
        <v>2.625761983237318E-2</v>
      </c>
      <c r="AA34" s="97">
        <f t="shared" si="27"/>
        <v>1.5668434487281946E-2</v>
      </c>
    </row>
    <row r="35" spans="2:29" x14ac:dyDescent="0.2">
      <c r="B35" s="1" t="s">
        <v>112</v>
      </c>
      <c r="C35" s="47"/>
      <c r="D35" s="97">
        <f>D23/C23-1</f>
        <v>-0.19206886450711003</v>
      </c>
      <c r="E35" s="97">
        <f t="shared" ref="E35:L35" si="28">E23/D23-1</f>
        <v>-6.7186226751720368E-2</v>
      </c>
      <c r="F35" s="97">
        <f t="shared" si="28"/>
        <v>-0.22095184585130823</v>
      </c>
      <c r="G35" s="98">
        <f t="shared" si="28"/>
        <v>-7.9071123010502009E-2</v>
      </c>
      <c r="H35" s="97">
        <f t="shared" si="28"/>
        <v>0.10192510902156826</v>
      </c>
      <c r="I35" s="97">
        <f t="shared" si="28"/>
        <v>-0.11620820413468136</v>
      </c>
      <c r="J35" s="97">
        <f t="shared" si="28"/>
        <v>-5.3350958360871892E-2</v>
      </c>
      <c r="K35" s="97">
        <f t="shared" si="28"/>
        <v>-8.0302734102270068E-2</v>
      </c>
      <c r="L35" s="97">
        <f t="shared" si="28"/>
        <v>4.9999999999998712E-2</v>
      </c>
      <c r="O35" s="5"/>
      <c r="R35" s="1" t="str">
        <f>B35</f>
        <v>New ARR</v>
      </c>
      <c r="S35" s="47"/>
      <c r="T35" s="97">
        <f>T23/S23-1</f>
        <v>0.30232558139534893</v>
      </c>
      <c r="U35" s="97">
        <f t="shared" ref="U35:AA35" si="29">U23/T23-1</f>
        <v>7.1428571428571397E-2</v>
      </c>
      <c r="V35" s="97">
        <f t="shared" si="29"/>
        <v>-0.55000000000000004</v>
      </c>
      <c r="W35" s="97">
        <f t="shared" si="29"/>
        <v>0.14814814814814814</v>
      </c>
      <c r="X35" s="97">
        <f t="shared" si="29"/>
        <v>0.90322580645161299</v>
      </c>
      <c r="Y35" s="97">
        <f t="shared" si="29"/>
        <v>0.18644067796610164</v>
      </c>
      <c r="Z35" s="98">
        <f t="shared" si="29"/>
        <v>-0.30000000000000004</v>
      </c>
      <c r="AA35" s="97">
        <f t="shared" si="29"/>
        <v>-0.39206122448979597</v>
      </c>
    </row>
  </sheetData>
  <mergeCells count="12">
    <mergeCell ref="C11:L11"/>
    <mergeCell ref="S11:AC11"/>
    <mergeCell ref="C19:L19"/>
    <mergeCell ref="S19:AC19"/>
    <mergeCell ref="C32:L32"/>
    <mergeCell ref="S32:AC3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H1" zoomScale="178" zoomScaleNormal="100" workbookViewId="0">
      <selection activeCell="AB18" sqref="AB18"/>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146</v>
      </c>
    </row>
    <row r="2" spans="1:28" x14ac:dyDescent="0.2">
      <c r="A2" s="4"/>
      <c r="C2" s="247" t="s">
        <v>118</v>
      </c>
      <c r="D2" s="247"/>
      <c r="E2" s="247"/>
      <c r="F2" s="247"/>
      <c r="G2" s="256"/>
      <c r="H2" s="257" t="s">
        <v>119</v>
      </c>
      <c r="I2" s="247"/>
      <c r="J2" s="247"/>
      <c r="K2" s="247"/>
      <c r="L2" s="247"/>
      <c r="P2" s="247" t="s">
        <v>118</v>
      </c>
      <c r="Q2" s="247"/>
      <c r="R2" s="247"/>
      <c r="S2" s="247"/>
      <c r="T2" s="247"/>
      <c r="U2" s="247"/>
      <c r="V2" s="247"/>
      <c r="W2" s="247"/>
      <c r="X2" s="247" t="s">
        <v>119</v>
      </c>
      <c r="Y2" s="247"/>
      <c r="Z2" s="247"/>
      <c r="AB2" s="87" t="s">
        <v>120</v>
      </c>
    </row>
    <row r="3" spans="1:28" ht="10" customHeight="1" x14ac:dyDescent="0.2"/>
    <row r="4" spans="1:28" ht="16" customHeight="1" x14ac:dyDescent="0.2">
      <c r="A4" s="88"/>
      <c r="B4" s="60"/>
      <c r="C4" s="258" t="s">
        <v>121</v>
      </c>
      <c r="D4" s="258"/>
      <c r="E4" s="258"/>
      <c r="F4" s="258"/>
      <c r="G4" s="258"/>
      <c r="H4" s="258"/>
      <c r="I4" s="258"/>
      <c r="J4" s="258"/>
      <c r="K4" s="258"/>
      <c r="L4" s="258"/>
      <c r="P4" s="260" t="s">
        <v>121</v>
      </c>
      <c r="Q4" s="260"/>
      <c r="R4" s="260"/>
      <c r="S4" s="260"/>
      <c r="T4" s="260"/>
      <c r="U4" s="260"/>
      <c r="V4" s="260"/>
      <c r="W4" s="260"/>
      <c r="X4" s="260"/>
      <c r="Y4" s="260"/>
      <c r="Z4" s="260"/>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122</v>
      </c>
      <c r="P5" s="12">
        <f>Revenue!S5</f>
        <v>0</v>
      </c>
      <c r="Q5" s="12">
        <f>Revenue!T5</f>
        <v>0</v>
      </c>
      <c r="R5" s="12">
        <f>Revenue!U5</f>
        <v>0</v>
      </c>
      <c r="S5" s="12">
        <f>Revenue!V5</f>
        <v>0</v>
      </c>
      <c r="T5" s="12">
        <f>Revenue!W5</f>
        <v>0</v>
      </c>
      <c r="U5" s="12">
        <f>Revenue!X5</f>
        <v>0</v>
      </c>
      <c r="V5" s="12">
        <f>Revenue!Y5</f>
        <v>0</v>
      </c>
      <c r="W5" s="12" t="str">
        <f>Revenue!Z5</f>
        <v>Q1 2027</v>
      </c>
      <c r="X5" s="12" t="s">
        <v>123</v>
      </c>
      <c r="Y5" s="12" t="s">
        <v>124</v>
      </c>
      <c r="Z5" s="12" t="s">
        <v>125</v>
      </c>
      <c r="AB5" s="89" t="str">
        <f>Revenue!AE5</f>
        <v>FQ1</v>
      </c>
    </row>
    <row r="6" spans="1:28" x14ac:dyDescent="0.2">
      <c r="B6" s="16" t="s">
        <v>19</v>
      </c>
      <c r="C6" s="94">
        <f>Revenue!C9</f>
        <v>26914</v>
      </c>
      <c r="D6" s="94">
        <f>Revenue!D9</f>
        <v>26974</v>
      </c>
      <c r="E6" s="94">
        <f>Revenue!E9</f>
        <v>60922</v>
      </c>
      <c r="F6" s="94">
        <f>Revenue!F9</f>
        <v>130497</v>
      </c>
      <c r="G6" s="95">
        <f>Revenue!G9</f>
        <v>215938</v>
      </c>
      <c r="H6" s="94">
        <f>Revenue!H9</f>
        <v>1769880</v>
      </c>
      <c r="I6" s="94">
        <f>Revenue!I9</f>
        <v>1926021.5999999999</v>
      </c>
      <c r="J6" s="94">
        <f>Revenue!J9</f>
        <v>2097947.2319999998</v>
      </c>
      <c r="K6" s="94">
        <f>Revenue!K9</f>
        <v>2235469.5936000003</v>
      </c>
      <c r="L6" s="94">
        <f>Revenue!L9</f>
        <v>2379868.0732800001</v>
      </c>
      <c r="N6" s="93"/>
      <c r="O6" s="16" t="s">
        <v>19</v>
      </c>
      <c r="P6" s="94">
        <f>Revenue!S9</f>
        <v>0</v>
      </c>
      <c r="Q6" s="94">
        <f>Revenue!T9</f>
        <v>0</v>
      </c>
      <c r="R6" s="94">
        <f>Revenue!U9</f>
        <v>0</v>
      </c>
      <c r="S6" s="94">
        <f>Revenue!V9</f>
        <v>0</v>
      </c>
      <c r="T6" s="94">
        <f>Revenue!W9</f>
        <v>0</v>
      </c>
      <c r="U6" s="94">
        <f>Revenue!X9</f>
        <v>0</v>
      </c>
      <c r="V6" s="94">
        <f>Revenue!Y9</f>
        <v>0</v>
      </c>
      <c r="W6" s="95">
        <f>Revenue!Z9</f>
        <v>0</v>
      </c>
      <c r="X6" s="94">
        <f>Revenue!AA9</f>
        <v>397786</v>
      </c>
      <c r="Y6" s="96"/>
      <c r="Z6" s="96"/>
      <c r="AB6" s="94">
        <f>Revenue!AE9</f>
        <v>397786</v>
      </c>
    </row>
    <row r="7" spans="1:28" x14ac:dyDescent="0.2">
      <c r="N7" s="93"/>
    </row>
    <row r="8" spans="1:28" x14ac:dyDescent="0.2">
      <c r="N8" s="93"/>
    </row>
    <row r="9" spans="1:28" x14ac:dyDescent="0.2">
      <c r="C9" s="258" t="s">
        <v>147</v>
      </c>
      <c r="D9" s="258"/>
      <c r="E9" s="258"/>
      <c r="F9" s="258"/>
      <c r="G9" s="258"/>
      <c r="H9" s="258"/>
      <c r="I9" s="258"/>
      <c r="J9" s="258"/>
      <c r="K9" s="258"/>
      <c r="L9" s="258"/>
      <c r="N9" s="93"/>
      <c r="P9" s="260" t="s">
        <v>148</v>
      </c>
      <c r="Q9" s="260"/>
      <c r="R9" s="260"/>
      <c r="S9" s="260"/>
      <c r="T9" s="260"/>
      <c r="U9" s="260"/>
      <c r="V9" s="260"/>
      <c r="W9" s="260"/>
      <c r="X9" s="260"/>
      <c r="Y9" s="260"/>
      <c r="Z9" s="260"/>
      <c r="AB9" s="89">
        <f>AB4</f>
        <v>0</v>
      </c>
    </row>
    <row r="10" spans="1:28" x14ac:dyDescent="0.2">
      <c r="B10" s="16" t="s">
        <v>152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149</v>
      </c>
      <c r="P10" s="12">
        <f t="shared" ref="P10:Z10" si="2">P5</f>
        <v>0</v>
      </c>
      <c r="Q10" s="12">
        <f t="shared" si="2"/>
        <v>0</v>
      </c>
      <c r="R10" s="12">
        <f t="shared" si="2"/>
        <v>0</v>
      </c>
      <c r="S10" s="12">
        <f t="shared" si="2"/>
        <v>0</v>
      </c>
      <c r="T10" s="12">
        <f t="shared" si="2"/>
        <v>0</v>
      </c>
      <c r="U10" s="12">
        <f t="shared" si="2"/>
        <v>0</v>
      </c>
      <c r="V10" s="12">
        <f t="shared" si="2"/>
        <v>0</v>
      </c>
      <c r="W10" s="12" t="str">
        <f t="shared" si="2"/>
        <v>Q1 2027</v>
      </c>
      <c r="X10" s="12" t="str">
        <f t="shared" si="2"/>
        <v>FQ1</v>
      </c>
      <c r="Y10" s="12" t="str">
        <f t="shared" si="2"/>
        <v>FQ2</v>
      </c>
      <c r="Z10" s="12" t="str">
        <f t="shared" si="2"/>
        <v>FQ3</v>
      </c>
      <c r="AB10" s="8" t="str">
        <f>AB5</f>
        <v>FQ1</v>
      </c>
    </row>
    <row r="11" spans="1:28" x14ac:dyDescent="0.2">
      <c r="B11" s="39" t="str">
        <f>Statement!B108</f>
        <v>Licenses COGS</v>
      </c>
      <c r="C11" s="128">
        <f>Statement!M108</f>
        <v>11888</v>
      </c>
      <c r="D11" s="128">
        <f>Statement!N108</f>
        <v>10421</v>
      </c>
      <c r="E11" s="128">
        <f>Statement!O108</f>
        <v>10469</v>
      </c>
      <c r="F11" s="128">
        <f>Statement!P108</f>
        <v>8565</v>
      </c>
      <c r="G11" s="129">
        <f>Statement!Q108</f>
        <v>5334</v>
      </c>
      <c r="H11" s="25">
        <f>H6*H23</f>
        <v>5309.64</v>
      </c>
      <c r="I11" s="25">
        <f t="shared" ref="I11:L11" si="3">I6*I23</f>
        <v>5778.0648000000001</v>
      </c>
      <c r="J11" s="25">
        <f t="shared" si="3"/>
        <v>4195.894464</v>
      </c>
      <c r="K11" s="25">
        <f t="shared" si="3"/>
        <v>4470.9391872000006</v>
      </c>
      <c r="L11" s="25">
        <f t="shared" si="3"/>
        <v>4759.7361465600006</v>
      </c>
      <c r="N11" s="93"/>
      <c r="O11" s="39" t="str">
        <f>B11</f>
        <v>Licenses COGS</v>
      </c>
      <c r="P11" s="128">
        <f>Statement!T108</f>
        <v>2393</v>
      </c>
      <c r="Q11" s="128">
        <f>Statement!U108</f>
        <v>2340</v>
      </c>
      <c r="R11" s="128">
        <f>Statement!V108</f>
        <v>1231</v>
      </c>
      <c r="S11" s="128">
        <f>Statement!W108</f>
        <v>1268</v>
      </c>
      <c r="T11" s="128">
        <f>Statement!X108</f>
        <v>1200</v>
      </c>
      <c r="U11" s="128">
        <f>Statement!Y108</f>
        <v>1311</v>
      </c>
      <c r="V11" s="128">
        <f>Statement!Z108</f>
        <v>1555</v>
      </c>
      <c r="W11" s="129">
        <f>Statement!AA108</f>
        <v>1664</v>
      </c>
      <c r="X11" s="25">
        <f>X23*X$6</f>
        <v>1193.3579999999999</v>
      </c>
      <c r="Y11" s="25"/>
      <c r="Z11" s="25"/>
      <c r="AB11" s="24">
        <f>SUM(U11:X11)</f>
        <v>5723.3580000000002</v>
      </c>
    </row>
    <row r="12" spans="1:28" x14ac:dyDescent="0.2">
      <c r="B12" s="39" t="str">
        <f>Statement!B109</f>
        <v>Subscription services COGS</v>
      </c>
      <c r="C12" s="128">
        <f>Statement!M109</f>
        <v>60565</v>
      </c>
      <c r="D12" s="128">
        <f>Statement!N109</f>
        <v>87366</v>
      </c>
      <c r="E12" s="128">
        <f>Statement!O109</f>
        <v>111922</v>
      </c>
      <c r="F12" s="128">
        <f>Statement!P109</f>
        <v>167630</v>
      </c>
      <c r="G12" s="129">
        <f>Statement!Q109</f>
        <v>157588</v>
      </c>
      <c r="H12" s="25">
        <f>H6*H24</f>
        <v>176988</v>
      </c>
      <c r="I12" s="25">
        <f t="shared" ref="I12:L12" si="4">I6*I24</f>
        <v>192602.16</v>
      </c>
      <c r="J12" s="25">
        <f t="shared" si="4"/>
        <v>188815.25087999998</v>
      </c>
      <c r="K12" s="25">
        <f t="shared" si="4"/>
        <v>201192.263424</v>
      </c>
      <c r="L12" s="25">
        <f t="shared" si="4"/>
        <v>190389.44586240003</v>
      </c>
      <c r="N12" s="93"/>
      <c r="O12" s="39" t="str">
        <f t="shared" ref="O12:O18" si="5">B12</f>
        <v>Subscription services COGS</v>
      </c>
      <c r="P12" s="128">
        <f>Statement!T109</f>
        <v>43529</v>
      </c>
      <c r="Q12" s="128">
        <f>Statement!U109</f>
        <v>43487</v>
      </c>
      <c r="R12" s="128">
        <f>Statement!V109</f>
        <v>43860</v>
      </c>
      <c r="S12" s="128">
        <f>Statement!W109</f>
        <v>38468</v>
      </c>
      <c r="T12" s="128">
        <f>Statement!X109</f>
        <v>38229</v>
      </c>
      <c r="U12" s="128">
        <f>Statement!Y109</f>
        <v>40121</v>
      </c>
      <c r="V12" s="128">
        <f>Statement!Z109</f>
        <v>40770</v>
      </c>
      <c r="W12" s="129">
        <f>Statement!AA109</f>
        <v>43988</v>
      </c>
      <c r="X12" s="25">
        <f>X24*X$6</f>
        <v>34607.381999999998</v>
      </c>
      <c r="Y12" s="25"/>
      <c r="Z12" s="25"/>
      <c r="AB12" s="24">
        <f>SUM(U12:X12)</f>
        <v>159486.38199999998</v>
      </c>
    </row>
    <row r="13" spans="1:28" x14ac:dyDescent="0.2">
      <c r="B13" s="39" t="str">
        <f>Statement!B110</f>
        <v>Professional services COGS</v>
      </c>
      <c r="C13" s="128">
        <f>Statement!M110</f>
        <v>96415</v>
      </c>
      <c r="D13" s="128">
        <f>Statement!N110</f>
        <v>82264</v>
      </c>
      <c r="E13" s="128">
        <f>Statement!O110</f>
        <v>73533</v>
      </c>
      <c r="F13" s="128">
        <f>Statement!P110</f>
        <v>70747</v>
      </c>
      <c r="G13" s="129">
        <f>Statement!Q110</f>
        <v>108062</v>
      </c>
      <c r="H13" s="25">
        <f>H6*H25</f>
        <v>97343.4</v>
      </c>
      <c r="I13" s="25">
        <f t="shared" ref="I13:L13" si="6">I6*I25</f>
        <v>105931.18799999999</v>
      </c>
      <c r="J13" s="25">
        <f t="shared" si="6"/>
        <v>104897.3616</v>
      </c>
      <c r="K13" s="25">
        <f t="shared" si="6"/>
        <v>111773.47968000002</v>
      </c>
      <c r="L13" s="25">
        <f t="shared" si="6"/>
        <v>107094.06329760001</v>
      </c>
      <c r="N13" s="93"/>
      <c r="O13" s="39" t="str">
        <f t="shared" si="5"/>
        <v>Professional services COGS</v>
      </c>
      <c r="P13" s="128">
        <f>Statement!T110</f>
        <v>17398</v>
      </c>
      <c r="Q13" s="128">
        <f>Statement!U110</f>
        <v>17936</v>
      </c>
      <c r="R13" s="128">
        <f>Statement!V110</f>
        <v>19443</v>
      </c>
      <c r="S13" s="128">
        <f>Statement!W110</f>
        <v>24121</v>
      </c>
      <c r="T13" s="128">
        <f>Statement!X110</f>
        <v>24951</v>
      </c>
      <c r="U13" s="128">
        <f>Statement!Y110</f>
        <v>27380</v>
      </c>
      <c r="V13" s="128">
        <f>Statement!Z110</f>
        <v>31610</v>
      </c>
      <c r="W13" s="129">
        <f>Statement!AA110</f>
        <v>31276</v>
      </c>
      <c r="X13" s="25">
        <f>X25*X$6</f>
        <v>26651.662</v>
      </c>
      <c r="Y13" s="25"/>
      <c r="Z13" s="25"/>
      <c r="AB13" s="24">
        <f>SUM(U13:X13)</f>
        <v>116917.662</v>
      </c>
    </row>
    <row r="14" spans="1:28" x14ac:dyDescent="0.2">
      <c r="B14" s="16" t="s">
        <v>20</v>
      </c>
      <c r="C14" s="125">
        <f>Statement!M6</f>
        <v>9439</v>
      </c>
      <c r="D14" s="125">
        <f>Statement!N6</f>
        <v>11618</v>
      </c>
      <c r="E14" s="125">
        <f>Statement!O6</f>
        <v>16621</v>
      </c>
      <c r="F14" s="125">
        <f>Statement!P6</f>
        <v>32639</v>
      </c>
      <c r="G14" s="126">
        <f>Statement!Q6</f>
        <v>62475</v>
      </c>
      <c r="H14" s="127">
        <f>SUM(H11:H13)</f>
        <v>279641.04000000004</v>
      </c>
      <c r="I14" s="127">
        <f t="shared" ref="I14:L14" si="7">SUM(I11:I13)</f>
        <v>304311.41279999999</v>
      </c>
      <c r="J14" s="127">
        <f t="shared" si="7"/>
        <v>297908.50694400002</v>
      </c>
      <c r="K14" s="127">
        <f t="shared" si="7"/>
        <v>317436.68229120004</v>
      </c>
      <c r="L14" s="127">
        <f t="shared" si="7"/>
        <v>302243.24530656001</v>
      </c>
      <c r="N14" s="93"/>
      <c r="O14" s="16" t="str">
        <f t="shared" si="5"/>
        <v>COGS</v>
      </c>
      <c r="P14" s="125">
        <f>Statement!T6</f>
        <v>0</v>
      </c>
      <c r="Q14" s="125">
        <f>Statement!U6</f>
        <v>0</v>
      </c>
      <c r="R14" s="125">
        <f>Statement!V6</f>
        <v>0</v>
      </c>
      <c r="S14" s="125">
        <f>Statement!W6</f>
        <v>0</v>
      </c>
      <c r="T14" s="125">
        <f>Statement!X6</f>
        <v>0</v>
      </c>
      <c r="U14" s="125">
        <f>Statement!Y6</f>
        <v>0</v>
      </c>
      <c r="V14" s="125">
        <f>Statement!Z6</f>
        <v>0</v>
      </c>
      <c r="W14" s="126">
        <f>Statement!AA6</f>
        <v>0</v>
      </c>
      <c r="X14" s="127">
        <f>SUM(X11:X13)</f>
        <v>62452.402000000002</v>
      </c>
      <c r="Y14" s="127"/>
      <c r="Z14" s="127"/>
      <c r="AB14" s="127">
        <f>SUM(AB11:AB13)</f>
        <v>282127.402</v>
      </c>
    </row>
    <row r="15" spans="1:28" x14ac:dyDescent="0.2">
      <c r="B15" s="1" t="str">
        <f>Statement!B8</f>
        <v>R&amp;D</v>
      </c>
      <c r="C15" s="100">
        <f>Statement!M8</f>
        <v>5268</v>
      </c>
      <c r="D15" s="100">
        <f>Statement!N8</f>
        <v>7339</v>
      </c>
      <c r="E15" s="100">
        <f>Statement!O8</f>
        <v>8675</v>
      </c>
      <c r="F15" s="100">
        <f>Statement!P8</f>
        <v>12914</v>
      </c>
      <c r="G15" s="101">
        <f>Statement!Q8</f>
        <v>18497</v>
      </c>
      <c r="H15" s="24">
        <f>H6*H27</f>
        <v>707952</v>
      </c>
      <c r="I15" s="24">
        <f t="shared" ref="I15:L15" si="8">I6*I27</f>
        <v>770408.64</v>
      </c>
      <c r="J15" s="24">
        <f t="shared" si="8"/>
        <v>797219.94815999991</v>
      </c>
      <c r="K15" s="24">
        <f t="shared" si="8"/>
        <v>849478.44556800008</v>
      </c>
      <c r="L15" s="24">
        <f t="shared" si="8"/>
        <v>856752.50638080004</v>
      </c>
      <c r="N15" s="93"/>
      <c r="O15" s="39" t="str">
        <f t="shared" si="5"/>
        <v>R&amp;D</v>
      </c>
      <c r="P15" s="100">
        <f>Statement!T8</f>
        <v>0</v>
      </c>
      <c r="Q15" s="100">
        <f>Statement!U8</f>
        <v>0</v>
      </c>
      <c r="R15" s="100">
        <f>Statement!V8</f>
        <v>0</v>
      </c>
      <c r="S15" s="100">
        <f>Statement!W8</f>
        <v>0</v>
      </c>
      <c r="T15" s="100">
        <f>Statement!X8</f>
        <v>0</v>
      </c>
      <c r="U15" s="100">
        <f>Statement!Y8</f>
        <v>0</v>
      </c>
      <c r="V15" s="100">
        <f>Statement!Z8</f>
        <v>0</v>
      </c>
      <c r="W15" s="101">
        <f>Statement!AA8</f>
        <v>0</v>
      </c>
      <c r="X15" s="25">
        <f>X27*X$6</f>
        <v>159114.40000000002</v>
      </c>
      <c r="Y15" s="24"/>
      <c r="Z15" s="24"/>
      <c r="AB15" s="24">
        <f t="shared" ref="AB15:AB18" si="9">SUM(U15:X15)</f>
        <v>159114.40000000002</v>
      </c>
    </row>
    <row r="16" spans="1:28" x14ac:dyDescent="0.2">
      <c r="B16" s="1" t="str">
        <f>Statement!B9</f>
        <v>SG&amp;A</v>
      </c>
      <c r="C16" s="100">
        <f>Statement!M9</f>
        <v>2166</v>
      </c>
      <c r="D16" s="100">
        <f>Statement!N9</f>
        <v>2440</v>
      </c>
      <c r="E16" s="100">
        <f>Statement!O9</f>
        <v>2654</v>
      </c>
      <c r="F16" s="100">
        <f>Statement!P9</f>
        <v>3491</v>
      </c>
      <c r="G16" s="101">
        <f>Statement!Q9</f>
        <v>4579</v>
      </c>
      <c r="H16" s="24">
        <f>H6*H28</f>
        <v>442470</v>
      </c>
      <c r="I16" s="24">
        <f t="shared" ref="I16:L16" si="10">I6*I28</f>
        <v>481505.39999999997</v>
      </c>
      <c r="J16" s="24">
        <f t="shared" si="10"/>
        <v>513997.07183999993</v>
      </c>
      <c r="K16" s="24">
        <f t="shared" si="10"/>
        <v>536512.70246400009</v>
      </c>
      <c r="L16" s="24">
        <f t="shared" si="10"/>
        <v>571168.33758719999</v>
      </c>
      <c r="M16" s="92"/>
      <c r="N16" s="92"/>
      <c r="O16" s="39" t="str">
        <f t="shared" si="5"/>
        <v>SG&amp;A</v>
      </c>
      <c r="P16" s="100">
        <f>Statement!T9</f>
        <v>0</v>
      </c>
      <c r="Q16" s="100">
        <f>Statement!U9</f>
        <v>0</v>
      </c>
      <c r="R16" s="100">
        <f>Statement!V9</f>
        <v>0</v>
      </c>
      <c r="S16" s="100">
        <f>Statement!W9</f>
        <v>0</v>
      </c>
      <c r="T16" s="100">
        <f>Statement!X9</f>
        <v>0</v>
      </c>
      <c r="U16" s="100">
        <f>Statement!Y9</f>
        <v>0</v>
      </c>
      <c r="V16" s="100">
        <f>Statement!Z9</f>
        <v>0</v>
      </c>
      <c r="W16" s="101">
        <f>Statement!AA9</f>
        <v>0</v>
      </c>
      <c r="X16" s="25">
        <f>X28*X$6</f>
        <v>95468.64</v>
      </c>
      <c r="Y16" s="24"/>
      <c r="Z16" s="24"/>
      <c r="AB16" s="24">
        <f t="shared" si="9"/>
        <v>95468.64</v>
      </c>
    </row>
    <row r="17" spans="2:28" x14ac:dyDescent="0.2">
      <c r="B17" s="1" t="e">
        <f>Statement!#REF!</f>
        <v>#REF!</v>
      </c>
      <c r="C17" s="100" t="e">
        <f>Statement!#REF!</f>
        <v>#REF!</v>
      </c>
      <c r="D17" s="100" t="e">
        <f>Statement!#REF!</f>
        <v>#REF!</v>
      </c>
      <c r="E17" s="100" t="e">
        <f>Statement!#REF!</f>
        <v>#REF!</v>
      </c>
      <c r="F17" s="100" t="e">
        <f>Statement!#REF!</f>
        <v>#REF!</v>
      </c>
      <c r="G17" s="101" t="e">
        <f>Statement!#REF!</f>
        <v>#REF!</v>
      </c>
      <c r="H17" s="24">
        <f>H6*H29</f>
        <v>212385.6</v>
      </c>
      <c r="I17" s="24">
        <f t="shared" ref="I17:L17" si="11">I6*I29</f>
        <v>231122.59199999998</v>
      </c>
      <c r="J17" s="24">
        <f t="shared" si="11"/>
        <v>230774.19551999998</v>
      </c>
      <c r="K17" s="24">
        <f t="shared" si="11"/>
        <v>245901.65529600004</v>
      </c>
      <c r="L17" s="24">
        <f t="shared" si="11"/>
        <v>237986.80732800002</v>
      </c>
      <c r="M17" s="92"/>
      <c r="N17" s="92"/>
      <c r="O17" s="39" t="e">
        <f t="shared" si="5"/>
        <v>#REF!</v>
      </c>
      <c r="P17" s="100" t="e">
        <f>Statement!#REF!</f>
        <v>#REF!</v>
      </c>
      <c r="Q17" s="100" t="e">
        <f>Statement!#REF!</f>
        <v>#REF!</v>
      </c>
      <c r="R17" s="100" t="e">
        <f>Statement!#REF!</f>
        <v>#REF!</v>
      </c>
      <c r="S17" s="100" t="e">
        <f>Statement!#REF!</f>
        <v>#REF!</v>
      </c>
      <c r="T17" s="100" t="e">
        <f>Statement!#REF!</f>
        <v>#REF!</v>
      </c>
      <c r="U17" s="100" t="e">
        <f>Statement!#REF!</f>
        <v>#REF!</v>
      </c>
      <c r="V17" s="100" t="e">
        <f>Statement!#REF!</f>
        <v>#REF!</v>
      </c>
      <c r="W17" s="101" t="e">
        <f>Statement!#REF!</f>
        <v>#REF!</v>
      </c>
      <c r="X17" s="25">
        <f>X29*X$6</f>
        <v>55690.040000000008</v>
      </c>
      <c r="Y17" s="24"/>
      <c r="Z17" s="24"/>
      <c r="AB17" s="24" t="e">
        <f t="shared" si="9"/>
        <v>#REF!</v>
      </c>
    </row>
    <row r="18" spans="2:28" x14ac:dyDescent="0.2">
      <c r="B18" s="16" t="s">
        <v>25</v>
      </c>
      <c r="C18" s="125">
        <f>Statement!M10</f>
        <v>7434</v>
      </c>
      <c r="D18" s="125">
        <f>Statement!N10</f>
        <v>11132</v>
      </c>
      <c r="E18" s="125">
        <f>Statement!O10</f>
        <v>11329</v>
      </c>
      <c r="F18" s="125">
        <f>Statement!P10</f>
        <v>16405</v>
      </c>
      <c r="G18" s="126">
        <f>Statement!Q10</f>
        <v>23076</v>
      </c>
      <c r="H18" s="127">
        <f>SUM(H15:H17)</f>
        <v>1362807.6</v>
      </c>
      <c r="I18" s="127">
        <f>SUM(I15:I17)</f>
        <v>1483036.632</v>
      </c>
      <c r="J18" s="127">
        <f>SUM(J15:J17)</f>
        <v>1541991.2155199999</v>
      </c>
      <c r="K18" s="127">
        <f>SUM(K15:K17)</f>
        <v>1631892.8033280002</v>
      </c>
      <c r="L18" s="127">
        <f>SUM(L15:L17)</f>
        <v>1665907.651296</v>
      </c>
      <c r="M18" s="92"/>
      <c r="N18" s="92"/>
      <c r="O18" s="16" t="str">
        <f t="shared" si="5"/>
        <v>OpEx</v>
      </c>
      <c r="P18" s="125">
        <f>Statement!T10</f>
        <v>0</v>
      </c>
      <c r="Q18" s="125">
        <f>Statement!U10</f>
        <v>0</v>
      </c>
      <c r="R18" s="125">
        <f>Statement!V10</f>
        <v>0</v>
      </c>
      <c r="S18" s="125">
        <f>Statement!W10</f>
        <v>0</v>
      </c>
      <c r="T18" s="125">
        <f>Statement!X10</f>
        <v>0</v>
      </c>
      <c r="U18" s="125">
        <f>Statement!Y10</f>
        <v>0</v>
      </c>
      <c r="V18" s="125">
        <f>Statement!Z10</f>
        <v>0</v>
      </c>
      <c r="W18" s="126">
        <f>Statement!AA10</f>
        <v>0</v>
      </c>
      <c r="X18" s="127">
        <f>SUM(X15:X17)</f>
        <v>310273.08000000007</v>
      </c>
      <c r="Y18" s="127"/>
      <c r="Z18" s="127"/>
      <c r="AB18" s="127">
        <f t="shared" si="9"/>
        <v>310273.08000000007</v>
      </c>
    </row>
    <row r="21" spans="2:28" x14ac:dyDescent="0.2">
      <c r="C21" s="258" t="s">
        <v>150</v>
      </c>
      <c r="D21" s="258"/>
      <c r="E21" s="258"/>
      <c r="F21" s="258"/>
      <c r="G21" s="258"/>
      <c r="H21" s="258"/>
      <c r="I21" s="258"/>
      <c r="J21" s="258"/>
      <c r="K21" s="258"/>
      <c r="L21" s="258"/>
      <c r="P21" s="260" t="s">
        <v>150</v>
      </c>
      <c r="Q21" s="260"/>
      <c r="R21" s="260"/>
      <c r="S21" s="260"/>
      <c r="T21" s="260"/>
      <c r="U21" s="260"/>
      <c r="V21" s="260"/>
      <c r="W21" s="260"/>
      <c r="X21" s="260"/>
      <c r="Y21" s="260"/>
      <c r="Z21" s="260"/>
    </row>
    <row r="22" spans="2:28" x14ac:dyDescent="0.2">
      <c r="B22" s="16" t="s">
        <v>151</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151</v>
      </c>
      <c r="P22" s="12">
        <f t="shared" ref="P22:Z22" si="13">P5</f>
        <v>0</v>
      </c>
      <c r="Q22" s="12">
        <f t="shared" si="13"/>
        <v>0</v>
      </c>
      <c r="R22" s="12">
        <f t="shared" si="13"/>
        <v>0</v>
      </c>
      <c r="S22" s="12">
        <f t="shared" si="13"/>
        <v>0</v>
      </c>
      <c r="T22" s="12">
        <f t="shared" si="13"/>
        <v>0</v>
      </c>
      <c r="U22" s="12">
        <f t="shared" si="13"/>
        <v>0</v>
      </c>
      <c r="V22" s="12">
        <f t="shared" si="13"/>
        <v>0</v>
      </c>
      <c r="W22" s="12" t="str">
        <f t="shared" si="13"/>
        <v>Q1 2027</v>
      </c>
      <c r="X22" s="12" t="str">
        <f t="shared" si="13"/>
        <v>FQ1</v>
      </c>
      <c r="Y22" s="12" t="str">
        <f t="shared" si="13"/>
        <v>FQ2</v>
      </c>
      <c r="Z22" s="12" t="str">
        <f t="shared" si="13"/>
        <v>FQ3</v>
      </c>
    </row>
    <row r="23" spans="2:28" x14ac:dyDescent="0.2">
      <c r="B23" s="1" t="str">
        <f>B11</f>
        <v>Licenses COGS</v>
      </c>
      <c r="C23" s="97">
        <f>C11/C$6</f>
        <v>0.44170320279408487</v>
      </c>
      <c r="D23" s="97">
        <f>D11/D$6</f>
        <v>0.38633498924890636</v>
      </c>
      <c r="E23" s="97">
        <f>E11/E$6</f>
        <v>0.17184268408785003</v>
      </c>
      <c r="F23" s="97">
        <f>F11/F$6</f>
        <v>6.5633692728568477E-2</v>
      </c>
      <c r="G23" s="98">
        <f>G11/G$6</f>
        <v>2.4701534699774937E-2</v>
      </c>
      <c r="H23" s="99">
        <v>3.0000000000000001E-3</v>
      </c>
      <c r="I23" s="99">
        <v>3.0000000000000001E-3</v>
      </c>
      <c r="J23" s="99">
        <v>2E-3</v>
      </c>
      <c r="K23" s="99">
        <v>2E-3</v>
      </c>
      <c r="L23" s="99">
        <v>2E-3</v>
      </c>
      <c r="O23" s="1" t="str">
        <f>O11</f>
        <v>Licenses COGS</v>
      </c>
      <c r="P23" s="97" t="e">
        <f t="shared" ref="P23:W23" si="14">P11/P$6</f>
        <v>#DIV/0!</v>
      </c>
      <c r="Q23" s="97" t="e">
        <f t="shared" si="14"/>
        <v>#DIV/0!</v>
      </c>
      <c r="R23" s="97" t="e">
        <f t="shared" si="14"/>
        <v>#DIV/0!</v>
      </c>
      <c r="S23" s="97" t="e">
        <f t="shared" si="14"/>
        <v>#DIV/0!</v>
      </c>
      <c r="T23" s="97" t="e">
        <f t="shared" si="14"/>
        <v>#DIV/0!</v>
      </c>
      <c r="U23" s="97" t="e">
        <f t="shared" si="14"/>
        <v>#DIV/0!</v>
      </c>
      <c r="V23" s="97" t="e">
        <f t="shared" si="14"/>
        <v>#DIV/0!</v>
      </c>
      <c r="W23" s="98" t="e">
        <f t="shared" si="14"/>
        <v>#DIV/0!</v>
      </c>
      <c r="X23" s="99">
        <v>3.0000000000000001E-3</v>
      </c>
      <c r="Y23" s="99"/>
      <c r="Z23" s="99"/>
    </row>
    <row r="24" spans="2:28" x14ac:dyDescent="0.2">
      <c r="B24" s="1" t="str">
        <f t="shared" ref="B24:B26" si="15">B12</f>
        <v>Subscription services COGS</v>
      </c>
      <c r="C24" s="97">
        <f>C12/C$6</f>
        <v>2.2503158207624283</v>
      </c>
      <c r="D24" s="97">
        <f t="shared" ref="D24:G24" si="16">D12/D$6</f>
        <v>3.2388967153555277</v>
      </c>
      <c r="E24" s="97">
        <f t="shared" si="16"/>
        <v>1.8371360099799743</v>
      </c>
      <c r="F24" s="97">
        <f t="shared" si="16"/>
        <v>1.2845506026958473</v>
      </c>
      <c r="G24" s="98">
        <f t="shared" si="16"/>
        <v>0.7297835489816521</v>
      </c>
      <c r="H24" s="99">
        <v>0.1</v>
      </c>
      <c r="I24" s="99">
        <v>0.1</v>
      </c>
      <c r="J24" s="99">
        <v>0.09</v>
      </c>
      <c r="K24" s="99">
        <v>0.09</v>
      </c>
      <c r="L24" s="99">
        <v>0.08</v>
      </c>
      <c r="O24" s="1" t="str">
        <f t="shared" ref="O24:O30" si="17">O12</f>
        <v>Subscription services COGS</v>
      </c>
      <c r="P24" s="97" t="e">
        <f>P12/P$6</f>
        <v>#DIV/0!</v>
      </c>
      <c r="Q24" s="97" t="e">
        <f t="shared" ref="Q24:W24" si="18">Q12/Q$6</f>
        <v>#DIV/0!</v>
      </c>
      <c r="R24" s="97" t="e">
        <f t="shared" si="18"/>
        <v>#DIV/0!</v>
      </c>
      <c r="S24" s="97" t="e">
        <f t="shared" si="18"/>
        <v>#DIV/0!</v>
      </c>
      <c r="T24" s="97" t="e">
        <f t="shared" si="18"/>
        <v>#DIV/0!</v>
      </c>
      <c r="U24" s="97" t="e">
        <f t="shared" si="18"/>
        <v>#DIV/0!</v>
      </c>
      <c r="V24" s="97" t="e">
        <f t="shared" si="18"/>
        <v>#DIV/0!</v>
      </c>
      <c r="W24" s="98" t="e">
        <f t="shared" si="18"/>
        <v>#DIV/0!</v>
      </c>
      <c r="X24" s="99">
        <v>8.6999999999999994E-2</v>
      </c>
      <c r="Y24" s="99"/>
      <c r="Z24" s="99"/>
    </row>
    <row r="25" spans="2:28" x14ac:dyDescent="0.2">
      <c r="B25" s="1" t="str">
        <f t="shared" si="15"/>
        <v>Professional services COGS</v>
      </c>
      <c r="C25" s="97">
        <f>C13/C$6</f>
        <v>3.5823363305342943</v>
      </c>
      <c r="D25" s="97">
        <f t="shared" ref="D25:G25" si="19">D13/D$6</f>
        <v>3.0497516126640467</v>
      </c>
      <c r="E25" s="97">
        <f t="shared" si="19"/>
        <v>1.2070023965070089</v>
      </c>
      <c r="F25" s="97">
        <f t="shared" si="19"/>
        <v>0.54213506823911661</v>
      </c>
      <c r="G25" s="98">
        <f t="shared" si="19"/>
        <v>0.50043067917643025</v>
      </c>
      <c r="H25" s="99">
        <v>5.5E-2</v>
      </c>
      <c r="I25" s="99">
        <v>5.5E-2</v>
      </c>
      <c r="J25" s="99">
        <v>0.05</v>
      </c>
      <c r="K25" s="99">
        <v>0.05</v>
      </c>
      <c r="L25" s="99">
        <v>4.4999999999999998E-2</v>
      </c>
      <c r="O25" s="1" t="str">
        <f t="shared" si="17"/>
        <v>Professional services COGS</v>
      </c>
      <c r="P25" s="97" t="e">
        <f>P13/P$6</f>
        <v>#DIV/0!</v>
      </c>
      <c r="Q25" s="97" t="e">
        <f t="shared" ref="Q25:X30" si="20">Q13/Q$6</f>
        <v>#DIV/0!</v>
      </c>
      <c r="R25" s="97" t="e">
        <f t="shared" si="20"/>
        <v>#DIV/0!</v>
      </c>
      <c r="S25" s="97" t="e">
        <f t="shared" si="20"/>
        <v>#DIV/0!</v>
      </c>
      <c r="T25" s="97" t="e">
        <f t="shared" si="20"/>
        <v>#DIV/0!</v>
      </c>
      <c r="U25" s="97" t="e">
        <f t="shared" si="20"/>
        <v>#DIV/0!</v>
      </c>
      <c r="V25" s="97" t="e">
        <f t="shared" si="20"/>
        <v>#DIV/0!</v>
      </c>
      <c r="W25" s="98" t="e">
        <f t="shared" si="20"/>
        <v>#DIV/0!</v>
      </c>
      <c r="X25" s="99">
        <v>6.7000000000000004E-2</v>
      </c>
      <c r="Y25" s="99"/>
      <c r="Z25" s="99"/>
    </row>
    <row r="26" spans="2:28" x14ac:dyDescent="0.2">
      <c r="B26" s="16" t="str">
        <f t="shared" si="15"/>
        <v>COGS</v>
      </c>
      <c r="C26" s="107">
        <f>C14/C$6</f>
        <v>0.35070966783086871</v>
      </c>
      <c r="D26" s="107">
        <f t="shared" ref="D26:L26" si="21">D14/D$6</f>
        <v>0.43071105509008673</v>
      </c>
      <c r="E26" s="107">
        <f t="shared" si="21"/>
        <v>0.27282426709563046</v>
      </c>
      <c r="F26" s="107">
        <f t="shared" si="21"/>
        <v>0.25011302941830083</v>
      </c>
      <c r="G26" s="108">
        <f t="shared" si="21"/>
        <v>0.28931915642452927</v>
      </c>
      <c r="H26" s="107">
        <f t="shared" si="21"/>
        <v>0.15800000000000003</v>
      </c>
      <c r="I26" s="107">
        <f t="shared" si="21"/>
        <v>0.158</v>
      </c>
      <c r="J26" s="107">
        <f t="shared" si="21"/>
        <v>0.14200000000000002</v>
      </c>
      <c r="K26" s="107">
        <f t="shared" si="21"/>
        <v>0.14199999999999999</v>
      </c>
      <c r="L26" s="107">
        <f t="shared" si="21"/>
        <v>0.127</v>
      </c>
      <c r="O26" s="16" t="str">
        <f t="shared" si="17"/>
        <v>COGS</v>
      </c>
      <c r="P26" s="107" t="e">
        <f>P14/P$6</f>
        <v>#DIV/0!</v>
      </c>
      <c r="Q26" s="107" t="e">
        <f t="shared" ref="Q26:V26" si="22">Q14/Q$6</f>
        <v>#DIV/0!</v>
      </c>
      <c r="R26" s="107" t="e">
        <f t="shared" si="22"/>
        <v>#DIV/0!</v>
      </c>
      <c r="S26" s="107" t="e">
        <f t="shared" si="22"/>
        <v>#DIV/0!</v>
      </c>
      <c r="T26" s="107" t="e">
        <f t="shared" si="22"/>
        <v>#DIV/0!</v>
      </c>
      <c r="U26" s="107" t="e">
        <f t="shared" si="22"/>
        <v>#DIV/0!</v>
      </c>
      <c r="V26" s="107" t="e">
        <f t="shared" si="22"/>
        <v>#DIV/0!</v>
      </c>
      <c r="W26" s="108" t="e">
        <f t="shared" si="20"/>
        <v>#DIV/0!</v>
      </c>
      <c r="X26" s="107">
        <f t="shared" si="20"/>
        <v>0.157</v>
      </c>
      <c r="Y26" s="16"/>
      <c r="Z26" s="16"/>
    </row>
    <row r="27" spans="2:28" x14ac:dyDescent="0.2">
      <c r="B27" s="1" t="str">
        <f>B15</f>
        <v>R&amp;D</v>
      </c>
      <c r="C27" s="97">
        <f t="shared" ref="C27:G27" si="23">C15/C$6</f>
        <v>0.19573456193802483</v>
      </c>
      <c r="D27" s="97">
        <f t="shared" si="23"/>
        <v>0.27207681471046191</v>
      </c>
      <c r="E27" s="97">
        <f t="shared" si="23"/>
        <v>0.14239519385443683</v>
      </c>
      <c r="F27" s="97">
        <f t="shared" si="23"/>
        <v>9.8960129351632606E-2</v>
      </c>
      <c r="G27" s="98">
        <f t="shared" si="23"/>
        <v>8.5658846520760584E-2</v>
      </c>
      <c r="H27" s="99">
        <v>0.4</v>
      </c>
      <c r="I27" s="99">
        <v>0.4</v>
      </c>
      <c r="J27" s="99">
        <v>0.38</v>
      </c>
      <c r="K27" s="99">
        <v>0.38</v>
      </c>
      <c r="L27" s="99">
        <v>0.36</v>
      </c>
      <c r="O27" s="1" t="str">
        <f t="shared" si="17"/>
        <v>R&amp;D</v>
      </c>
      <c r="P27" s="97" t="e">
        <f>P15/P$6</f>
        <v>#DIV/0!</v>
      </c>
      <c r="Q27" s="97" t="e">
        <f t="shared" ref="Q27:V27" si="24">Q15/Q$6</f>
        <v>#DIV/0!</v>
      </c>
      <c r="R27" s="97" t="e">
        <f t="shared" si="24"/>
        <v>#DIV/0!</v>
      </c>
      <c r="S27" s="97" t="e">
        <f t="shared" si="24"/>
        <v>#DIV/0!</v>
      </c>
      <c r="T27" s="97" t="e">
        <f t="shared" si="24"/>
        <v>#DIV/0!</v>
      </c>
      <c r="U27" s="97" t="e">
        <f t="shared" si="24"/>
        <v>#DIV/0!</v>
      </c>
      <c r="V27" s="97" t="e">
        <f t="shared" si="24"/>
        <v>#DIV/0!</v>
      </c>
      <c r="W27" s="98" t="e">
        <f t="shared" si="20"/>
        <v>#DIV/0!</v>
      </c>
      <c r="X27" s="99">
        <v>0.4</v>
      </c>
      <c r="Y27" s="99"/>
      <c r="Z27" s="99"/>
    </row>
    <row r="28" spans="2:28" x14ac:dyDescent="0.2">
      <c r="B28" s="1" t="str">
        <f t="shared" ref="B28:B30" si="25">B16</f>
        <v>SG&amp;A</v>
      </c>
      <c r="C28" s="97">
        <f t="shared" ref="C28:G28" si="26">C16/C$6</f>
        <v>8.0478561343538674E-2</v>
      </c>
      <c r="D28" s="97">
        <f t="shared" si="26"/>
        <v>9.0457477570994288E-2</v>
      </c>
      <c r="E28" s="97">
        <f t="shared" si="26"/>
        <v>4.3563901382095135E-2</v>
      </c>
      <c r="F28" s="97">
        <f t="shared" si="26"/>
        <v>2.6751572833091947E-2</v>
      </c>
      <c r="G28" s="98">
        <f t="shared" si="26"/>
        <v>2.1205160740582946E-2</v>
      </c>
      <c r="H28" s="99">
        <v>0.25</v>
      </c>
      <c r="I28" s="99">
        <v>0.25</v>
      </c>
      <c r="J28" s="99">
        <v>0.245</v>
      </c>
      <c r="K28" s="99">
        <v>0.24</v>
      </c>
      <c r="L28" s="99">
        <v>0.24</v>
      </c>
      <c r="O28" s="1" t="str">
        <f t="shared" si="17"/>
        <v>SG&amp;A</v>
      </c>
      <c r="P28" s="97" t="e">
        <f t="shared" ref="P28:V30" si="27">P16/P$6</f>
        <v>#DIV/0!</v>
      </c>
      <c r="Q28" s="97" t="e">
        <f t="shared" si="27"/>
        <v>#DIV/0!</v>
      </c>
      <c r="R28" s="97" t="e">
        <f t="shared" si="27"/>
        <v>#DIV/0!</v>
      </c>
      <c r="S28" s="97" t="e">
        <f t="shared" si="27"/>
        <v>#DIV/0!</v>
      </c>
      <c r="T28" s="97" t="e">
        <f t="shared" si="27"/>
        <v>#DIV/0!</v>
      </c>
      <c r="U28" s="97" t="e">
        <f t="shared" si="27"/>
        <v>#DIV/0!</v>
      </c>
      <c r="V28" s="97" t="e">
        <f t="shared" si="27"/>
        <v>#DIV/0!</v>
      </c>
      <c r="W28" s="98" t="e">
        <f t="shared" si="20"/>
        <v>#DIV/0!</v>
      </c>
      <c r="X28" s="99">
        <v>0.24</v>
      </c>
      <c r="Y28" s="99"/>
      <c r="Z28" s="99"/>
    </row>
    <row r="29" spans="2:28" x14ac:dyDescent="0.2">
      <c r="B29" s="1" t="e">
        <f t="shared" si="25"/>
        <v>#REF!</v>
      </c>
      <c r="C29" s="97" t="e">
        <f t="shared" ref="C29:G29" si="28">C17/C$6</f>
        <v>#REF!</v>
      </c>
      <c r="D29" s="97" t="e">
        <f t="shared" si="28"/>
        <v>#REF!</v>
      </c>
      <c r="E29" s="97" t="e">
        <f t="shared" si="28"/>
        <v>#REF!</v>
      </c>
      <c r="F29" s="97" t="e">
        <f t="shared" si="28"/>
        <v>#REF!</v>
      </c>
      <c r="G29" s="98" t="e">
        <f t="shared" si="28"/>
        <v>#REF!</v>
      </c>
      <c r="H29" s="99">
        <v>0.12</v>
      </c>
      <c r="I29" s="99">
        <v>0.12</v>
      </c>
      <c r="J29" s="99">
        <v>0.11</v>
      </c>
      <c r="K29" s="99">
        <v>0.11</v>
      </c>
      <c r="L29" s="99">
        <v>0.1</v>
      </c>
      <c r="O29" s="1" t="e">
        <f t="shared" si="17"/>
        <v>#REF!</v>
      </c>
      <c r="P29" s="97" t="e">
        <f t="shared" si="27"/>
        <v>#REF!</v>
      </c>
      <c r="Q29" s="97" t="e">
        <f t="shared" si="27"/>
        <v>#REF!</v>
      </c>
      <c r="R29" s="97" t="e">
        <f t="shared" si="27"/>
        <v>#REF!</v>
      </c>
      <c r="S29" s="97" t="e">
        <f t="shared" si="27"/>
        <v>#REF!</v>
      </c>
      <c r="T29" s="97" t="e">
        <f t="shared" si="27"/>
        <v>#REF!</v>
      </c>
      <c r="U29" s="97" t="e">
        <f t="shared" si="27"/>
        <v>#REF!</v>
      </c>
      <c r="V29" s="97" t="e">
        <f t="shared" si="27"/>
        <v>#REF!</v>
      </c>
      <c r="W29" s="98" t="e">
        <f t="shared" si="20"/>
        <v>#REF!</v>
      </c>
      <c r="X29" s="99">
        <v>0.14000000000000001</v>
      </c>
      <c r="Y29" s="99"/>
      <c r="Z29" s="99"/>
    </row>
    <row r="30" spans="2:28" x14ac:dyDescent="0.2">
      <c r="B30" s="16" t="str">
        <f t="shared" si="25"/>
        <v>OpEx</v>
      </c>
      <c r="C30" s="107">
        <f>C18/C$6</f>
        <v>0.2762131232815635</v>
      </c>
      <c r="D30" s="107">
        <f t="shared" ref="D30:L30" si="29">D18/D$6</f>
        <v>0.41269370504930675</v>
      </c>
      <c r="E30" s="107">
        <f t="shared" si="29"/>
        <v>0.18595909523653195</v>
      </c>
      <c r="F30" s="107">
        <f t="shared" si="29"/>
        <v>0.12571170218472455</v>
      </c>
      <c r="G30" s="108">
        <f t="shared" si="29"/>
        <v>0.10686400726134353</v>
      </c>
      <c r="H30" s="107">
        <f t="shared" si="29"/>
        <v>0.77</v>
      </c>
      <c r="I30" s="107">
        <f t="shared" si="29"/>
        <v>0.77</v>
      </c>
      <c r="J30" s="107">
        <f t="shared" si="29"/>
        <v>0.73499999999999999</v>
      </c>
      <c r="K30" s="107">
        <f t="shared" si="29"/>
        <v>0.73</v>
      </c>
      <c r="L30" s="107">
        <f t="shared" si="29"/>
        <v>0.7</v>
      </c>
      <c r="O30" s="16" t="str">
        <f t="shared" si="17"/>
        <v>OpEx</v>
      </c>
      <c r="P30" s="107" t="e">
        <f t="shared" si="27"/>
        <v>#DIV/0!</v>
      </c>
      <c r="Q30" s="107" t="e">
        <f t="shared" si="27"/>
        <v>#DIV/0!</v>
      </c>
      <c r="R30" s="107" t="e">
        <f t="shared" si="27"/>
        <v>#DIV/0!</v>
      </c>
      <c r="S30" s="107" t="e">
        <f t="shared" si="27"/>
        <v>#DIV/0!</v>
      </c>
      <c r="T30" s="107" t="e">
        <f t="shared" si="27"/>
        <v>#DIV/0!</v>
      </c>
      <c r="U30" s="107" t="e">
        <f t="shared" si="27"/>
        <v>#DIV/0!</v>
      </c>
      <c r="V30" s="107" t="e">
        <f t="shared" si="27"/>
        <v>#DIV/0!</v>
      </c>
      <c r="W30" s="108" t="e">
        <f t="shared" si="20"/>
        <v>#DIV/0!</v>
      </c>
      <c r="X30" s="107">
        <f t="shared" si="20"/>
        <v>0.78000000000000014</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 zoomScale="189" zoomScaleNormal="100" workbookViewId="0">
      <selection activeCell="H35" sqref="H35:L36"/>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153</v>
      </c>
    </row>
    <row r="2" spans="1:28" s="85" customFormat="1" ht="18" customHeight="1" x14ac:dyDescent="0.2">
      <c r="A2" s="4"/>
      <c r="B2" s="84"/>
    </row>
    <row r="3" spans="1:28" x14ac:dyDescent="0.2">
      <c r="A3" s="4"/>
      <c r="C3" s="247" t="s">
        <v>118</v>
      </c>
      <c r="D3" s="247"/>
      <c r="E3" s="247"/>
      <c r="F3" s="247"/>
      <c r="G3" s="256"/>
      <c r="H3" s="257" t="s">
        <v>119</v>
      </c>
      <c r="I3" s="247"/>
      <c r="J3" s="247"/>
      <c r="K3" s="247"/>
      <c r="L3" s="247"/>
      <c r="P3" s="261"/>
      <c r="Q3" s="261"/>
      <c r="R3" s="261"/>
      <c r="S3" s="261"/>
      <c r="T3" s="261"/>
      <c r="U3" s="261"/>
      <c r="V3" s="261"/>
      <c r="W3" s="261"/>
      <c r="X3" s="261"/>
      <c r="Y3" s="261"/>
      <c r="Z3" s="261"/>
      <c r="AB3" s="130"/>
    </row>
    <row r="4" spans="1:28" ht="10" customHeight="1" x14ac:dyDescent="0.2"/>
    <row r="5" spans="1:28" ht="16" customHeight="1" x14ac:dyDescent="0.2">
      <c r="A5" s="88"/>
      <c r="B5" s="60"/>
      <c r="C5" s="258" t="s">
        <v>121</v>
      </c>
      <c r="D5" s="258"/>
      <c r="E5" s="258"/>
      <c r="F5" s="258"/>
      <c r="G5" s="258"/>
      <c r="H5" s="258"/>
      <c r="I5" s="258"/>
      <c r="J5" s="258"/>
      <c r="K5" s="258"/>
      <c r="L5" s="258"/>
      <c r="P5" s="261"/>
      <c r="Q5" s="261"/>
      <c r="R5" s="261"/>
      <c r="S5" s="261"/>
      <c r="T5" s="261"/>
      <c r="U5" s="261"/>
      <c r="V5" s="261"/>
      <c r="W5" s="261"/>
      <c r="X5" s="261"/>
      <c r="Y5" s="261"/>
      <c r="Z5" s="261"/>
      <c r="AB5" s="131"/>
    </row>
    <row r="6" spans="1:28" x14ac:dyDescent="0.2">
      <c r="B6" s="16" t="s">
        <v>122</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19</v>
      </c>
      <c r="C7" s="94">
        <f>Revenue!C9</f>
        <v>26914</v>
      </c>
      <c r="D7" s="94">
        <f>Revenue!D9</f>
        <v>26974</v>
      </c>
      <c r="E7" s="94">
        <f>Revenue!E9</f>
        <v>60922</v>
      </c>
      <c r="F7" s="94">
        <f>Revenue!F9</f>
        <v>130497</v>
      </c>
      <c r="G7" s="95">
        <f>Revenue!G9</f>
        <v>215938</v>
      </c>
      <c r="H7" s="94">
        <f>Revenue!H9</f>
        <v>1769880</v>
      </c>
      <c r="I7" s="94">
        <f>Revenue!I9</f>
        <v>1926021.5999999999</v>
      </c>
      <c r="J7" s="94">
        <f>Revenue!J9</f>
        <v>2097947.2319999998</v>
      </c>
      <c r="K7" s="94">
        <f>Revenue!K9</f>
        <v>2235469.5936000003</v>
      </c>
      <c r="L7" s="94">
        <f>Revenue!L9</f>
        <v>2379868.0732800001</v>
      </c>
      <c r="N7" s="93"/>
      <c r="O7" s="16"/>
      <c r="P7" s="94"/>
      <c r="Q7" s="94"/>
      <c r="R7" s="94"/>
      <c r="S7" s="94"/>
      <c r="T7" s="94"/>
      <c r="U7" s="94"/>
      <c r="V7" s="94"/>
      <c r="W7" s="94"/>
      <c r="X7" s="96"/>
      <c r="Y7" s="96"/>
      <c r="Z7" s="96"/>
      <c r="AB7" s="96"/>
    </row>
    <row r="8" spans="1:28" x14ac:dyDescent="0.2">
      <c r="B8" s="39" t="s">
        <v>20</v>
      </c>
      <c r="C8" s="133">
        <f>'COGS &amp; OpEx'!C14</f>
        <v>9439</v>
      </c>
      <c r="D8" s="133">
        <f>'COGS &amp; OpEx'!D14</f>
        <v>11618</v>
      </c>
      <c r="E8" s="133">
        <f>'COGS &amp; OpEx'!E14</f>
        <v>16621</v>
      </c>
      <c r="F8" s="133">
        <f>'COGS &amp; OpEx'!F14</f>
        <v>32639</v>
      </c>
      <c r="G8" s="134">
        <f>'COGS &amp; OpEx'!G14</f>
        <v>62475</v>
      </c>
      <c r="H8" s="133">
        <f>'COGS &amp; OpEx'!H14</f>
        <v>279641.04000000004</v>
      </c>
      <c r="I8" s="133">
        <f>'COGS &amp; OpEx'!I14</f>
        <v>304311.41279999999</v>
      </c>
      <c r="J8" s="133">
        <f>'COGS &amp; OpEx'!J14</f>
        <v>297908.50694400002</v>
      </c>
      <c r="K8" s="133">
        <f>'COGS &amp; OpEx'!K14</f>
        <v>317436.68229120004</v>
      </c>
      <c r="L8" s="133">
        <f>'COGS &amp; OpEx'!L14</f>
        <v>302243.24530656001</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58" t="s">
        <v>154</v>
      </c>
      <c r="D11" s="258"/>
      <c r="E11" s="258"/>
      <c r="F11" s="258"/>
      <c r="G11" s="258"/>
      <c r="H11" s="258"/>
      <c r="I11" s="258"/>
      <c r="J11" s="258"/>
      <c r="K11" s="258"/>
      <c r="L11" s="258"/>
      <c r="N11" s="93"/>
      <c r="P11" s="261"/>
      <c r="Q11" s="261"/>
      <c r="R11" s="261"/>
      <c r="S11" s="261"/>
      <c r="T11" s="261"/>
      <c r="U11" s="261"/>
      <c r="V11" s="261"/>
      <c r="W11" s="261"/>
      <c r="X11" s="261"/>
      <c r="Y11" s="261"/>
      <c r="Z11" s="261"/>
      <c r="AB11" s="131"/>
    </row>
    <row r="12" spans="1:28" x14ac:dyDescent="0.2">
      <c r="B12" s="16" t="s">
        <v>155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156</v>
      </c>
      <c r="C13" s="135">
        <f>Statement!M29</f>
        <v>326819</v>
      </c>
      <c r="D13" s="135">
        <f>Statement!N29</f>
        <v>443477</v>
      </c>
      <c r="E13" s="135">
        <f>Statement!O29</f>
        <v>520493</v>
      </c>
      <c r="F13" s="135">
        <f>Statement!P29</f>
        <v>539866</v>
      </c>
      <c r="G13" s="136">
        <f>Statement!Q29</f>
        <v>580705</v>
      </c>
      <c r="H13" s="25">
        <f>H20*H7/365</f>
        <v>630368.21917808219</v>
      </c>
      <c r="I13" s="25">
        <f>I20*I7/365</f>
        <v>685980.2958904109</v>
      </c>
      <c r="J13" s="25">
        <f>J20*J7/365</f>
        <v>747214.08263013687</v>
      </c>
      <c r="K13" s="25">
        <f>K20*K7/365</f>
        <v>796194.64977534255</v>
      </c>
      <c r="L13" s="25">
        <f>L20*L7/365</f>
        <v>847624.24527780828</v>
      </c>
      <c r="N13" s="93"/>
      <c r="O13" s="16"/>
      <c r="P13" s="137"/>
      <c r="Q13" s="137"/>
      <c r="R13" s="137"/>
      <c r="S13" s="137"/>
      <c r="T13" s="137"/>
      <c r="U13" s="137"/>
      <c r="V13" s="137"/>
      <c r="W13" s="137"/>
      <c r="X13" s="127"/>
      <c r="Y13" s="127"/>
      <c r="Z13" s="127"/>
      <c r="AB13" s="24"/>
    </row>
    <row r="14" spans="1:28" x14ac:dyDescent="0.2">
      <c r="B14" s="39" t="s">
        <v>157</v>
      </c>
      <c r="C14" s="135">
        <f>Statement!M30</f>
        <v>0</v>
      </c>
      <c r="D14" s="135">
        <f>Statement!N30</f>
        <v>0</v>
      </c>
      <c r="E14" s="135">
        <f>Statement!O30</f>
        <v>0</v>
      </c>
      <c r="F14" s="135">
        <f>Statement!P30</f>
        <v>0</v>
      </c>
      <c r="G14" s="136">
        <f>Statement!Q30</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158</v>
      </c>
      <c r="C15" s="135">
        <f>Statement!M36</f>
        <v>11515</v>
      </c>
      <c r="D15" s="135">
        <f>Statement!N36</f>
        <v>8891</v>
      </c>
      <c r="E15" s="135">
        <f>Statement!O36</f>
        <v>3447</v>
      </c>
      <c r="F15" s="135">
        <f>Statement!P36</f>
        <v>33178</v>
      </c>
      <c r="G15" s="136">
        <f>Statement!Q36</f>
        <v>10161</v>
      </c>
      <c r="H15" s="24">
        <f>H22*H8/365</f>
        <v>17621.216219178084</v>
      </c>
      <c r="I15" s="24">
        <f>I22*I8/365</f>
        <v>19175.78765589041</v>
      </c>
      <c r="J15" s="24">
        <f>J22*J8/365</f>
        <v>18772.31687592329</v>
      </c>
      <c r="K15" s="24">
        <f>K22*K8/365</f>
        <v>20002.859432048219</v>
      </c>
      <c r="L15" s="24">
        <f>L22*L8/365</f>
        <v>19045.464772742136</v>
      </c>
      <c r="N15" s="93"/>
      <c r="P15" s="138"/>
      <c r="Q15" s="138"/>
      <c r="R15" s="138"/>
      <c r="S15" s="138"/>
      <c r="T15" s="138"/>
      <c r="U15" s="138"/>
      <c r="V15" s="138"/>
      <c r="W15" s="138"/>
      <c r="X15" s="25"/>
      <c r="Y15" s="24"/>
      <c r="Z15" s="24"/>
      <c r="AB15" s="24"/>
    </row>
    <row r="16" spans="1:28" x14ac:dyDescent="0.2">
      <c r="D16" s="24"/>
    </row>
    <row r="18" spans="2:12" x14ac:dyDescent="0.2">
      <c r="C18" s="258" t="s">
        <v>159</v>
      </c>
      <c r="D18" s="258"/>
      <c r="E18" s="258"/>
      <c r="F18" s="258"/>
      <c r="G18" s="258"/>
      <c r="H18" s="258"/>
      <c r="I18" s="258"/>
      <c r="J18" s="258"/>
      <c r="K18" s="258"/>
      <c r="L18" s="258"/>
    </row>
    <row r="19" spans="2:12" x14ac:dyDescent="0.2">
      <c r="B19" s="16" t="s">
        <v>160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161</v>
      </c>
      <c r="C20" s="139">
        <f>C13/C7*365</f>
        <v>4432.2261648212825</v>
      </c>
      <c r="D20" s="139">
        <f>D13/D7*365</f>
        <v>6000.9307110550908</v>
      </c>
      <c r="E20" s="139">
        <f>E13/E7*365</f>
        <v>3118.4128065395098</v>
      </c>
      <c r="F20" s="139">
        <f>F13/F7*365</f>
        <v>1510.0047510670743</v>
      </c>
      <c r="G20" s="140">
        <f>G13/G7*365</f>
        <v>981.56565773509055</v>
      </c>
      <c r="H20" s="106">
        <v>130</v>
      </c>
      <c r="I20" s="106">
        <v>130</v>
      </c>
      <c r="J20" s="106">
        <v>130</v>
      </c>
      <c r="K20" s="106">
        <v>130</v>
      </c>
      <c r="L20" s="106">
        <v>130</v>
      </c>
    </row>
    <row r="21" spans="2:12" x14ac:dyDescent="0.2">
      <c r="B21" s="1" t="s">
        <v>162</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163</v>
      </c>
      <c r="C22" s="139">
        <f>C15/C8*365</f>
        <v>445.27757177667127</v>
      </c>
      <c r="D22" s="139">
        <f>D15/D8*365</f>
        <v>279.32647615768633</v>
      </c>
      <c r="E22" s="139">
        <f>E15/E8*365</f>
        <v>75.696708982612364</v>
      </c>
      <c r="F22" s="139">
        <f>F15/F8*365</f>
        <v>371.02760501240846</v>
      </c>
      <c r="G22" s="140">
        <f>G15/G8*365</f>
        <v>59.363985594237697</v>
      </c>
      <c r="H22" s="106">
        <v>23</v>
      </c>
      <c r="I22" s="106">
        <v>23</v>
      </c>
      <c r="J22" s="106">
        <v>23</v>
      </c>
      <c r="K22" s="106">
        <v>23</v>
      </c>
      <c r="L22" s="106">
        <v>23</v>
      </c>
    </row>
    <row r="23" spans="2:12" x14ac:dyDescent="0.2">
      <c r="B23" s="1" t="s">
        <v>164</v>
      </c>
      <c r="C23" s="139">
        <f>C20+C21-C22</f>
        <v>3986.9485930446112</v>
      </c>
      <c r="D23" s="139">
        <f t="shared" ref="D23:L23" si="5">D20+D21-D22</f>
        <v>5721.6042348974042</v>
      </c>
      <c r="E23" s="139">
        <f t="shared" si="5"/>
        <v>3042.7160975568972</v>
      </c>
      <c r="F23" s="139">
        <f t="shared" si="5"/>
        <v>1138.9771460546658</v>
      </c>
      <c r="G23" s="140">
        <f t="shared" si="5"/>
        <v>922.20167214085291</v>
      </c>
      <c r="H23" s="139">
        <f t="shared" si="5"/>
        <v>107</v>
      </c>
      <c r="I23" s="139">
        <f t="shared" si="5"/>
        <v>107</v>
      </c>
      <c r="J23" s="139">
        <f t="shared" si="5"/>
        <v>107</v>
      </c>
      <c r="K23" s="139">
        <f t="shared" si="5"/>
        <v>107</v>
      </c>
      <c r="L23" s="139">
        <f t="shared" si="5"/>
        <v>107</v>
      </c>
    </row>
    <row r="25" spans="2:12" x14ac:dyDescent="0.2">
      <c r="B25" s="261"/>
      <c r="C25" s="261"/>
    </row>
    <row r="26" spans="2:12" x14ac:dyDescent="0.2">
      <c r="B26" s="130"/>
      <c r="C26" s="258" t="s">
        <v>165</v>
      </c>
      <c r="D26" s="258"/>
      <c r="E26" s="258"/>
      <c r="F26" s="258"/>
      <c r="G26" s="258"/>
      <c r="H26" s="258"/>
      <c r="I26" s="258"/>
      <c r="J26" s="258"/>
      <c r="K26" s="258"/>
      <c r="L26" s="258"/>
    </row>
    <row r="27" spans="2:12" x14ac:dyDescent="0.2">
      <c r="B27" s="16" t="s">
        <v>155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166</v>
      </c>
      <c r="C28" s="135">
        <f>Statement!M53</f>
        <v>-86387</v>
      </c>
      <c r="D28" s="135">
        <f>Statement!N53</f>
        <v>-123783</v>
      </c>
      <c r="E28" s="135">
        <f>Statement!O53</f>
        <v>-64217</v>
      </c>
      <c r="F28" s="135">
        <f>Statement!P53</f>
        <v>-22173</v>
      </c>
      <c r="G28" s="136">
        <f>Statement!Q53</f>
        <v>-25802</v>
      </c>
      <c r="H28" s="147">
        <f>-(H13-G13)</f>
        <v>-49663.219178082189</v>
      </c>
      <c r="I28" s="147">
        <f t="shared" ref="I28:L29" si="7">-(I13-H13)</f>
        <v>-55612.076712328708</v>
      </c>
      <c r="J28" s="147">
        <f t="shared" si="7"/>
        <v>-61233.786739725969</v>
      </c>
      <c r="K28" s="147">
        <f t="shared" si="7"/>
        <v>-48980.567145205685</v>
      </c>
      <c r="L28" s="147">
        <f t="shared" si="7"/>
        <v>-51429.595502465731</v>
      </c>
    </row>
    <row r="29" spans="2:12" x14ac:dyDescent="0.2">
      <c r="B29" s="1" t="s">
        <v>167</v>
      </c>
      <c r="C29" s="135">
        <f>Statement!M54</f>
        <v>0</v>
      </c>
      <c r="D29" s="135">
        <f>Statement!N54</f>
        <v>0</v>
      </c>
      <c r="E29" s="135">
        <f>Statement!O54</f>
        <v>0</v>
      </c>
      <c r="F29" s="135">
        <f>Statement!P54</f>
        <v>0</v>
      </c>
      <c r="G29" s="136">
        <f>Statement!Q54</f>
        <v>0</v>
      </c>
      <c r="H29" s="147">
        <f>-(H14-G14)</f>
        <v>0</v>
      </c>
      <c r="I29" s="147">
        <f t="shared" si="7"/>
        <v>0</v>
      </c>
      <c r="J29" s="147">
        <f t="shared" si="7"/>
        <v>0</v>
      </c>
      <c r="K29" s="147">
        <f t="shared" si="7"/>
        <v>0</v>
      </c>
      <c r="L29" s="147">
        <f t="shared" si="7"/>
        <v>0</v>
      </c>
    </row>
    <row r="30" spans="2:12" x14ac:dyDescent="0.2">
      <c r="B30" s="1" t="s">
        <v>168</v>
      </c>
      <c r="C30" s="135">
        <f>Statement!M55</f>
        <v>3507</v>
      </c>
      <c r="D30" s="135">
        <f>Statement!N55</f>
        <v>-1571</v>
      </c>
      <c r="E30" s="135">
        <f>Statement!O55</f>
        <v>-5052</v>
      </c>
      <c r="F30" s="135">
        <f>Statement!P55</f>
        <v>27856</v>
      </c>
      <c r="G30" s="136">
        <f>Statement!Q55</f>
        <v>-21675</v>
      </c>
      <c r="H30" s="64">
        <f>H15-G15</f>
        <v>7460.2162191780844</v>
      </c>
      <c r="I30" s="64">
        <f t="shared" ref="I30:L30" si="8">I15-H15</f>
        <v>1554.5714367123255</v>
      </c>
      <c r="J30" s="64">
        <f t="shared" si="8"/>
        <v>-403.4707799671196</v>
      </c>
      <c r="K30" s="64">
        <f t="shared" si="8"/>
        <v>1230.5425561249285</v>
      </c>
      <c r="L30" s="64">
        <f t="shared" si="8"/>
        <v>-957.39465930608276</v>
      </c>
    </row>
    <row r="31" spans="2:12" x14ac:dyDescent="0.2">
      <c r="B31" s="130"/>
      <c r="C31" s="130"/>
    </row>
    <row r="32" spans="2:12" x14ac:dyDescent="0.2">
      <c r="B32" s="130"/>
      <c r="C32" s="130"/>
    </row>
    <row r="33" spans="2:12" x14ac:dyDescent="0.2">
      <c r="B33" s="130"/>
      <c r="C33" s="258" t="s">
        <v>169</v>
      </c>
      <c r="D33" s="258"/>
      <c r="E33" s="258"/>
      <c r="F33" s="258"/>
      <c r="G33" s="258"/>
      <c r="H33" s="258"/>
      <c r="I33" s="258"/>
      <c r="J33" s="258"/>
      <c r="K33" s="258"/>
      <c r="L33" s="258"/>
    </row>
    <row r="34" spans="2:12" x14ac:dyDescent="0.2">
      <c r="B34" s="16" t="s">
        <v>155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170</v>
      </c>
      <c r="C35" s="135">
        <f>Statement!M53+Statement!M54+Statement!M55+Statement!M56</f>
        <v>-105902</v>
      </c>
      <c r="D35" s="135">
        <f>Statement!N53+Statement!N54+Statement!N55+Statement!N56</f>
        <v>-146687</v>
      </c>
      <c r="E35" s="135">
        <f>Statement!O53+Statement!O54+Statement!O55+Statement!O56</f>
        <v>-66928</v>
      </c>
      <c r="F35" s="135">
        <f>Statement!P53+Statement!P54+Statement!P55+Statement!P56</f>
        <v>-41772</v>
      </c>
      <c r="G35" s="136">
        <f>Statement!Q53+Statement!Q54+Statement!Q55+Statement!Q56</f>
        <v>-149207</v>
      </c>
      <c r="H35" s="147">
        <f>H36+H28+H29+H30</f>
        <v>-95299.402958904102</v>
      </c>
      <c r="I35" s="147">
        <f t="shared" ref="I35:L35" si="10">I36+I28+I29+I30</f>
        <v>-111838.15327561637</v>
      </c>
      <c r="J35" s="147">
        <f t="shared" si="10"/>
        <v>-124575.67447969309</v>
      </c>
      <c r="K35" s="147">
        <f t="shared" si="10"/>
        <v>-114814.11239708077</v>
      </c>
      <c r="L35" s="147">
        <f t="shared" si="10"/>
        <v>-123783.03236017181</v>
      </c>
    </row>
    <row r="36" spans="2:12" x14ac:dyDescent="0.2">
      <c r="B36" s="1" t="s">
        <v>171</v>
      </c>
      <c r="C36" s="141">
        <f>C35-C28-C29-C30</f>
        <v>-23022</v>
      </c>
      <c r="D36" s="141">
        <f t="shared" ref="D36:G36" si="11">D35-D28-D29-D30</f>
        <v>-21333</v>
      </c>
      <c r="E36" s="141">
        <f t="shared" si="11"/>
        <v>2341</v>
      </c>
      <c r="F36" s="141">
        <f t="shared" si="11"/>
        <v>-47455</v>
      </c>
      <c r="G36" s="142">
        <f t="shared" si="11"/>
        <v>-101730</v>
      </c>
      <c r="H36" s="64">
        <f>H7*H37</f>
        <v>-53096.4</v>
      </c>
      <c r="I36" s="64">
        <f>I7*I37</f>
        <v>-57780.647999999994</v>
      </c>
      <c r="J36" s="64">
        <f>J7*J37</f>
        <v>-62938.416959999995</v>
      </c>
      <c r="K36" s="64">
        <f>K7*K37</f>
        <v>-67064.087808000011</v>
      </c>
      <c r="L36" s="64">
        <f>L7*L37</f>
        <v>-71396.042198399999</v>
      </c>
    </row>
    <row r="37" spans="2:12" x14ac:dyDescent="0.2">
      <c r="B37" s="143" t="s">
        <v>151</v>
      </c>
      <c r="C37" s="144">
        <f>C36/C7</f>
        <v>-0.85539124619157314</v>
      </c>
      <c r="D37" s="144">
        <f>D36/D7</f>
        <v>-0.79087269222213985</v>
      </c>
      <c r="E37" s="144">
        <f>E36/E7</f>
        <v>3.8426184301237648E-2</v>
      </c>
      <c r="F37" s="144">
        <f>F36/F7</f>
        <v>-0.36364820647217944</v>
      </c>
      <c r="G37" s="145">
        <f>G36/G7</f>
        <v>-0.47110744750808103</v>
      </c>
      <c r="H37" s="99">
        <v>-0.03</v>
      </c>
      <c r="I37" s="99">
        <v>-0.03</v>
      </c>
      <c r="J37" s="99">
        <v>-0.03</v>
      </c>
      <c r="K37" s="99">
        <v>-0.03</v>
      </c>
      <c r="L37" s="99">
        <v>-0.03</v>
      </c>
    </row>
    <row r="38" spans="2:12" x14ac:dyDescent="0.2">
      <c r="C38" s="64"/>
    </row>
    <row r="39" spans="2:12" x14ac:dyDescent="0.2">
      <c r="C39" s="146"/>
    </row>
    <row r="40" spans="2:12" x14ac:dyDescent="0.2">
      <c r="C40" s="258" t="s">
        <v>172</v>
      </c>
      <c r="D40" s="258"/>
      <c r="E40" s="258"/>
      <c r="F40" s="258"/>
      <c r="G40" s="258"/>
      <c r="H40" s="258"/>
      <c r="I40" s="258"/>
      <c r="J40" s="258"/>
      <c r="K40" s="258"/>
      <c r="L40" s="258"/>
    </row>
    <row r="41" spans="2:12" x14ac:dyDescent="0.2">
      <c r="B41" s="16" t="s">
        <v>155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57</v>
      </c>
      <c r="C42" s="135">
        <f>Statement!M51</f>
        <v>14705</v>
      </c>
      <c r="D42" s="135">
        <f>Statement!N51</f>
        <v>18723</v>
      </c>
      <c r="E42" s="135">
        <f>Statement!O51</f>
        <v>22597</v>
      </c>
      <c r="F42" s="135">
        <f>Statement!P51</f>
        <v>17232</v>
      </c>
      <c r="G42" s="136">
        <f>Statement!Q51</f>
        <v>16969</v>
      </c>
      <c r="H42" s="25">
        <f>H7*H43</f>
        <v>17698.8</v>
      </c>
      <c r="I42" s="25">
        <f>I7*I43</f>
        <v>19260.216</v>
      </c>
      <c r="J42" s="25">
        <f>J7*J43</f>
        <v>20979.472319999997</v>
      </c>
      <c r="K42" s="25">
        <f>K7*K43</f>
        <v>22354.695936000004</v>
      </c>
      <c r="L42" s="25">
        <f>L7*L43</f>
        <v>23798.680732800003</v>
      </c>
    </row>
    <row r="43" spans="2:12" x14ac:dyDescent="0.2">
      <c r="B43" s="143" t="s">
        <v>173</v>
      </c>
      <c r="C43" s="144">
        <f>C42/C7</f>
        <v>0.5463699190012633</v>
      </c>
      <c r="D43" s="144">
        <f>D42/D7</f>
        <v>0.69411284941054352</v>
      </c>
      <c r="E43" s="144">
        <f>E42/E7</f>
        <v>0.37091691014740158</v>
      </c>
      <c r="F43" s="144">
        <f>F42/F7</f>
        <v>0.13204901262097979</v>
      </c>
      <c r="G43" s="145">
        <f>G42/G7</f>
        <v>7.8582741342422366E-2</v>
      </c>
      <c r="H43" s="99">
        <v>0.01</v>
      </c>
      <c r="I43" s="99">
        <v>0.01</v>
      </c>
      <c r="J43" s="99">
        <v>0.01</v>
      </c>
      <c r="K43" s="99">
        <v>0.01</v>
      </c>
      <c r="L43" s="99">
        <v>0.01</v>
      </c>
    </row>
    <row r="44" spans="2:12" x14ac:dyDescent="0.2">
      <c r="B44" s="143" t="s">
        <v>174</v>
      </c>
      <c r="C44" s="144">
        <f>C42/C45</f>
        <v>1.6561549724068025</v>
      </c>
      <c r="D44" s="144">
        <f t="shared" ref="D44:L44" si="13">D42/D45</f>
        <v>0.78618517740919591</v>
      </c>
      <c r="E44" s="144">
        <f t="shared" si="13"/>
        <v>3.0777717243257969</v>
      </c>
      <c r="F44" s="144">
        <f t="shared" si="13"/>
        <v>1.1547276016886685</v>
      </c>
      <c r="G44" s="145">
        <f t="shared" si="13"/>
        <v>0.89085468290634184</v>
      </c>
      <c r="H44" s="144">
        <f t="shared" si="13"/>
        <v>0.90909090909090906</v>
      </c>
      <c r="I44" s="144">
        <f t="shared" si="13"/>
        <v>0.90909090909090928</v>
      </c>
      <c r="J44" s="144">
        <f t="shared" si="13"/>
        <v>0.90909090909090917</v>
      </c>
      <c r="K44" s="144">
        <f t="shared" si="13"/>
        <v>0.90909090909090917</v>
      </c>
      <c r="L44" s="144">
        <f t="shared" si="13"/>
        <v>0.90909090909090917</v>
      </c>
    </row>
    <row r="45" spans="2:12" x14ac:dyDescent="0.2">
      <c r="B45" s="1" t="s">
        <v>60</v>
      </c>
      <c r="C45" s="135">
        <f>-Statement!M58</f>
        <v>8879</v>
      </c>
      <c r="D45" s="135">
        <f>-Statement!N58</f>
        <v>23815</v>
      </c>
      <c r="E45" s="135">
        <f>-Statement!O58</f>
        <v>7342</v>
      </c>
      <c r="F45" s="135">
        <f>-Statement!P58</f>
        <v>14923</v>
      </c>
      <c r="G45" s="136">
        <f>-Statement!Q58</f>
        <v>19048</v>
      </c>
      <c r="H45" s="25">
        <f>H7*H46</f>
        <v>19468.68</v>
      </c>
      <c r="I45" s="25">
        <f>I7*I46</f>
        <v>21186.237599999997</v>
      </c>
      <c r="J45" s="25">
        <f>J7*J46</f>
        <v>23077.419551999996</v>
      </c>
      <c r="K45" s="25">
        <f>K7*K46</f>
        <v>24590.165529600003</v>
      </c>
      <c r="L45" s="25">
        <f>L7*L46</f>
        <v>26178.548806080002</v>
      </c>
    </row>
    <row r="46" spans="2:12" x14ac:dyDescent="0.2">
      <c r="B46" s="143" t="s">
        <v>173</v>
      </c>
      <c r="C46" s="144">
        <f>C45/C7</f>
        <v>0.3299026528944044</v>
      </c>
      <c r="D46" s="144">
        <f>D45/D7</f>
        <v>0.88288722473492998</v>
      </c>
      <c r="E46" s="144">
        <f>E45/E7</f>
        <v>0.12051475657397984</v>
      </c>
      <c r="F46" s="144">
        <f>F45/F7</f>
        <v>0.1143551192747726</v>
      </c>
      <c r="G46" s="145">
        <f>G45/G7</f>
        <v>8.8210504867137787E-2</v>
      </c>
      <c r="H46" s="99">
        <v>1.0999999999999999E-2</v>
      </c>
      <c r="I46" s="99">
        <v>1.0999999999999999E-2</v>
      </c>
      <c r="J46" s="99">
        <v>1.0999999999999999E-2</v>
      </c>
      <c r="K46" s="99">
        <v>1.0999999999999999E-2</v>
      </c>
      <c r="L46" s="99">
        <v>1.0999999999999999E-2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25" zoomScale="183" workbookViewId="0">
      <selection activeCell="F35" sqref="F3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175</v>
      </c>
    </row>
    <row r="2" spans="1:31" x14ac:dyDescent="0.2">
      <c r="A2" s="4"/>
      <c r="C2" s="247" t="s">
        <v>118</v>
      </c>
      <c r="D2" s="247"/>
      <c r="E2" s="247"/>
      <c r="F2" s="247"/>
      <c r="G2" s="256"/>
      <c r="H2" s="257" t="s">
        <v>119</v>
      </c>
      <c r="I2" s="247"/>
      <c r="J2" s="247"/>
      <c r="K2" s="247"/>
      <c r="L2" s="247"/>
      <c r="S2" s="261"/>
      <c r="T2" s="261"/>
      <c r="U2" s="261"/>
      <c r="V2" s="261"/>
      <c r="W2" s="261"/>
      <c r="X2" s="261"/>
      <c r="Y2" s="261"/>
      <c r="Z2" s="261"/>
      <c r="AA2" s="261"/>
      <c r="AB2" s="261"/>
      <c r="AC2" s="261"/>
      <c r="AE2" s="130"/>
    </row>
    <row r="3" spans="1:31" ht="10" customHeight="1" x14ac:dyDescent="0.2"/>
    <row r="4" spans="1:31" ht="16" customHeight="1" x14ac:dyDescent="0.2">
      <c r="A4" s="88"/>
      <c r="B4" s="60"/>
      <c r="C4" s="258" t="s">
        <v>18</v>
      </c>
      <c r="D4" s="258"/>
      <c r="E4" s="258"/>
      <c r="F4" s="258"/>
      <c r="G4" s="258"/>
      <c r="H4" s="258"/>
      <c r="I4" s="258"/>
      <c r="J4" s="258"/>
      <c r="K4" s="258"/>
      <c r="L4" s="258"/>
      <c r="S4" s="261"/>
      <c r="T4" s="261"/>
      <c r="U4" s="261"/>
      <c r="V4" s="261"/>
      <c r="W4" s="261"/>
      <c r="X4" s="261"/>
      <c r="Y4" s="261"/>
      <c r="Z4" s="261"/>
      <c r="AA4" s="261"/>
      <c r="AB4" s="261"/>
      <c r="AC4" s="261"/>
      <c r="AE4" s="131"/>
    </row>
    <row r="5" spans="1:31" x14ac:dyDescent="0.2">
      <c r="B5" s="16" t="s">
        <v>155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19</v>
      </c>
      <c r="C6" s="94">
        <f>Revenue!C9</f>
        <v>26914</v>
      </c>
      <c r="D6" s="94">
        <f>Revenue!D9</f>
        <v>26974</v>
      </c>
      <c r="E6" s="94">
        <f>Revenue!E9</f>
        <v>60922</v>
      </c>
      <c r="F6" s="94">
        <f>Revenue!F9</f>
        <v>130497</v>
      </c>
      <c r="G6" s="95">
        <f>Revenue!G9</f>
        <v>215938</v>
      </c>
      <c r="H6" s="94">
        <f>Revenue!H9</f>
        <v>1769880</v>
      </c>
      <c r="I6" s="94">
        <f>Revenue!I9</f>
        <v>1926021.5999999999</v>
      </c>
      <c r="J6" s="94">
        <f>Revenue!J9</f>
        <v>2097947.2319999998</v>
      </c>
      <c r="K6" s="94">
        <f>Revenue!K9</f>
        <v>2235469.5936000003</v>
      </c>
      <c r="L6" s="94">
        <f>Revenue!L9</f>
        <v>2379868.0732800001</v>
      </c>
      <c r="N6" s="92" t="s">
        <v>176</v>
      </c>
      <c r="Q6" s="92"/>
      <c r="S6" s="90"/>
      <c r="T6" s="90"/>
      <c r="U6" s="90"/>
      <c r="V6" s="90"/>
      <c r="W6" s="90"/>
      <c r="X6" s="90"/>
      <c r="Y6" s="90"/>
      <c r="Z6" s="90"/>
      <c r="AA6" s="64"/>
      <c r="AB6" s="64"/>
      <c r="AC6" s="64"/>
      <c r="AE6" s="64"/>
    </row>
    <row r="7" spans="1:31" x14ac:dyDescent="0.2">
      <c r="B7" s="1" t="s">
        <v>20</v>
      </c>
      <c r="C7" s="90">
        <f>'COGS &amp; OpEx'!C14</f>
        <v>9439</v>
      </c>
      <c r="D7" s="90">
        <f>'COGS &amp; OpEx'!D14</f>
        <v>11618</v>
      </c>
      <c r="E7" s="90">
        <f>'COGS &amp; OpEx'!E14</f>
        <v>16621</v>
      </c>
      <c r="F7" s="90">
        <f>'COGS &amp; OpEx'!F14</f>
        <v>32639</v>
      </c>
      <c r="G7" s="91">
        <f>'COGS &amp; OpEx'!G14</f>
        <v>62475</v>
      </c>
      <c r="H7" s="133">
        <f>'COGS &amp; OpEx'!H14</f>
        <v>279641.04000000004</v>
      </c>
      <c r="I7" s="133">
        <f>'COGS &amp; OpEx'!I14</f>
        <v>304311.41279999999</v>
      </c>
      <c r="J7" s="133">
        <f>'COGS &amp; OpEx'!J14</f>
        <v>297908.50694400002</v>
      </c>
      <c r="K7" s="133">
        <f>'COGS &amp; OpEx'!K14</f>
        <v>317436.68229120004</v>
      </c>
      <c r="L7" s="133">
        <f>'COGS &amp; OpEx'!L14</f>
        <v>302243.24530656001</v>
      </c>
      <c r="N7" s="92" t="s">
        <v>177</v>
      </c>
      <c r="Q7" s="92"/>
      <c r="S7" s="90"/>
      <c r="T7" s="90"/>
      <c r="U7" s="90"/>
      <c r="V7" s="90"/>
      <c r="W7" s="90"/>
      <c r="X7" s="90"/>
      <c r="Y7" s="90"/>
      <c r="Z7" s="90"/>
      <c r="AA7" s="64"/>
      <c r="AB7" s="64"/>
      <c r="AC7" s="64"/>
      <c r="AE7" s="64"/>
    </row>
    <row r="8" spans="1:31" x14ac:dyDescent="0.2">
      <c r="B8" s="16" t="s">
        <v>178</v>
      </c>
      <c r="C8" s="96">
        <f>C6-C7</f>
        <v>17475</v>
      </c>
      <c r="D8" s="96">
        <f t="shared" ref="D8:L8" si="1">D6-D7</f>
        <v>15356</v>
      </c>
      <c r="E8" s="96">
        <f t="shared" si="1"/>
        <v>44301</v>
      </c>
      <c r="F8" s="96">
        <f t="shared" si="1"/>
        <v>97858</v>
      </c>
      <c r="G8" s="148">
        <f t="shared" si="1"/>
        <v>153463</v>
      </c>
      <c r="H8" s="96">
        <f t="shared" si="1"/>
        <v>1490238.96</v>
      </c>
      <c r="I8" s="96">
        <f t="shared" si="1"/>
        <v>1621710.1871999998</v>
      </c>
      <c r="J8" s="96">
        <f t="shared" si="1"/>
        <v>1800038.7250559998</v>
      </c>
      <c r="K8" s="96">
        <f t="shared" si="1"/>
        <v>1918032.9113088003</v>
      </c>
      <c r="L8" s="96">
        <f t="shared" si="1"/>
        <v>2077624.8279734401</v>
      </c>
      <c r="N8" s="92"/>
      <c r="Q8" s="92"/>
      <c r="S8" s="90"/>
      <c r="T8" s="90"/>
      <c r="U8" s="90"/>
      <c r="V8" s="90"/>
      <c r="W8" s="90"/>
      <c r="X8" s="90"/>
      <c r="Y8" s="90"/>
      <c r="Z8" s="90"/>
      <c r="AA8" s="64"/>
      <c r="AB8" s="64"/>
      <c r="AC8" s="64"/>
      <c r="AE8" s="64"/>
    </row>
    <row r="9" spans="1:31" x14ac:dyDescent="0.2">
      <c r="B9" s="1" t="s">
        <v>25</v>
      </c>
      <c r="C9" s="90">
        <f>'COGS &amp; OpEx'!C18</f>
        <v>7434</v>
      </c>
      <c r="D9" s="90">
        <f>'COGS &amp; OpEx'!D18</f>
        <v>11132</v>
      </c>
      <c r="E9" s="90">
        <f>'COGS &amp; OpEx'!E18</f>
        <v>11329</v>
      </c>
      <c r="F9" s="90">
        <f>'COGS &amp; OpEx'!F18</f>
        <v>16405</v>
      </c>
      <c r="G9" s="91">
        <f>'COGS &amp; OpEx'!G18</f>
        <v>23076</v>
      </c>
      <c r="H9" s="133">
        <f>'COGS &amp; OpEx'!H18</f>
        <v>1362807.6</v>
      </c>
      <c r="I9" s="133">
        <f>'COGS &amp; OpEx'!I18</f>
        <v>1483036.632</v>
      </c>
      <c r="J9" s="133">
        <f>'COGS &amp; OpEx'!J18</f>
        <v>1541991.2155199999</v>
      </c>
      <c r="K9" s="133">
        <f>'COGS &amp; OpEx'!K18</f>
        <v>1631892.8033280002</v>
      </c>
      <c r="L9" s="133">
        <f>'COGS &amp; OpEx'!L18</f>
        <v>1665907.651296</v>
      </c>
      <c r="N9" s="149" t="s">
        <v>177</v>
      </c>
      <c r="Q9" s="92"/>
      <c r="S9" s="90"/>
      <c r="T9" s="90"/>
      <c r="U9" s="90"/>
      <c r="V9" s="90"/>
      <c r="W9" s="90"/>
      <c r="X9" s="90"/>
      <c r="Y9" s="90"/>
      <c r="Z9" s="90"/>
      <c r="AA9" s="64"/>
      <c r="AB9" s="64"/>
      <c r="AC9" s="64"/>
      <c r="AE9" s="64"/>
    </row>
    <row r="10" spans="1:31" x14ac:dyDescent="0.2">
      <c r="B10" s="16" t="s">
        <v>179</v>
      </c>
      <c r="C10" s="96">
        <f t="shared" ref="C10:L10" si="2">C8-C9</f>
        <v>10041</v>
      </c>
      <c r="D10" s="96">
        <f t="shared" si="2"/>
        <v>4224</v>
      </c>
      <c r="E10" s="96">
        <f t="shared" si="2"/>
        <v>32972</v>
      </c>
      <c r="F10" s="96">
        <f t="shared" si="2"/>
        <v>81453</v>
      </c>
      <c r="G10" s="148">
        <f t="shared" si="2"/>
        <v>130387</v>
      </c>
      <c r="H10" s="96">
        <f t="shared" si="2"/>
        <v>127431.35999999987</v>
      </c>
      <c r="I10" s="96">
        <f t="shared" si="2"/>
        <v>138673.55519999983</v>
      </c>
      <c r="J10" s="96">
        <f t="shared" si="2"/>
        <v>258047.50953599997</v>
      </c>
      <c r="K10" s="96">
        <f t="shared" si="2"/>
        <v>286140.10798080009</v>
      </c>
      <c r="L10" s="96">
        <f t="shared" si="2"/>
        <v>411717.17667744006</v>
      </c>
      <c r="N10" s="92"/>
      <c r="Q10" s="92"/>
      <c r="S10" s="90"/>
      <c r="T10" s="90"/>
      <c r="U10" s="90"/>
      <c r="V10" s="90"/>
      <c r="W10" s="90"/>
      <c r="X10" s="90"/>
      <c r="Y10" s="90"/>
      <c r="Z10" s="90"/>
      <c r="AA10" s="64"/>
      <c r="AB10" s="64"/>
      <c r="AC10" s="64"/>
      <c r="AE10" s="64"/>
    </row>
    <row r="13" spans="1:31" x14ac:dyDescent="0.2">
      <c r="C13" s="258" t="s">
        <v>180</v>
      </c>
      <c r="D13" s="258"/>
      <c r="E13" s="258"/>
      <c r="F13" s="258"/>
      <c r="G13" s="258"/>
      <c r="H13" s="258"/>
      <c r="I13" s="258"/>
      <c r="J13" s="258"/>
      <c r="K13" s="258"/>
      <c r="L13" s="258"/>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73</v>
      </c>
      <c r="C15" s="150">
        <f>-Statement!M81</f>
        <v>-1.9012171813700834E-2</v>
      </c>
      <c r="D15" s="150">
        <f>-Statement!N81</f>
        <v>0</v>
      </c>
      <c r="E15" s="150">
        <f>-Statement!O81</f>
        <v>-0.1199952687917677</v>
      </c>
      <c r="F15" s="150">
        <f>-Statement!P81</f>
        <v>-0.13264941803727417</v>
      </c>
      <c r="G15" s="151">
        <f>-Statement!Q81</f>
        <v>-0.15117002474372571</v>
      </c>
      <c r="H15" s="150">
        <f>Overview!$C$26</f>
        <v>0.21</v>
      </c>
      <c r="I15" s="150">
        <f>Overview!$C$26</f>
        <v>0.21</v>
      </c>
      <c r="J15" s="150">
        <f>Overview!$C$26</f>
        <v>0.21</v>
      </c>
      <c r="K15" s="150">
        <f>Overview!$C$26</f>
        <v>0.21</v>
      </c>
      <c r="L15" s="150">
        <f>Overview!$C$26</f>
        <v>0.21</v>
      </c>
      <c r="N15" s="1" t="s">
        <v>186</v>
      </c>
    </row>
    <row r="18" spans="2:14" x14ac:dyDescent="0.2">
      <c r="C18" s="258" t="s">
        <v>181</v>
      </c>
      <c r="D18" s="258"/>
      <c r="E18" s="258"/>
      <c r="F18" s="258"/>
      <c r="G18" s="258"/>
      <c r="H18" s="258"/>
      <c r="I18" s="258"/>
      <c r="J18" s="258"/>
      <c r="K18" s="258"/>
      <c r="L18" s="258"/>
    </row>
    <row r="19" spans="2:14" x14ac:dyDescent="0.2">
      <c r="B19" s="16" t="s">
        <v>155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57</v>
      </c>
      <c r="C20" s="90">
        <f>'WC &amp; Investments'!C42</f>
        <v>14705</v>
      </c>
      <c r="D20" s="90">
        <f>'WC &amp; Investments'!D42</f>
        <v>18723</v>
      </c>
      <c r="E20" s="90">
        <f>'WC &amp; Investments'!E42</f>
        <v>22597</v>
      </c>
      <c r="F20" s="90">
        <f>'WC &amp; Investments'!F42</f>
        <v>17232</v>
      </c>
      <c r="G20" s="91">
        <f>'WC &amp; Investments'!G42</f>
        <v>16969</v>
      </c>
      <c r="H20" s="90">
        <f>'WC &amp; Investments'!H42</f>
        <v>17698.8</v>
      </c>
      <c r="I20" s="90">
        <f>'WC &amp; Investments'!I42</f>
        <v>19260.216</v>
      </c>
      <c r="J20" s="90">
        <f>'WC &amp; Investments'!J42</f>
        <v>20979.472319999997</v>
      </c>
      <c r="K20" s="90">
        <f>'WC &amp; Investments'!K42</f>
        <v>22354.695936000004</v>
      </c>
      <c r="L20" s="90">
        <f>'WC &amp; Investments'!L42</f>
        <v>23798.680732800003</v>
      </c>
      <c r="N20" s="1" t="s">
        <v>182</v>
      </c>
    </row>
    <row r="21" spans="2:14" x14ac:dyDescent="0.2">
      <c r="B21" s="1" t="s">
        <v>60</v>
      </c>
      <c r="C21" s="90">
        <f>'WC &amp; Investments'!C45</f>
        <v>8879</v>
      </c>
      <c r="D21" s="90">
        <f>'WC &amp; Investments'!D45</f>
        <v>23815</v>
      </c>
      <c r="E21" s="90">
        <f>'WC &amp; Investments'!E45</f>
        <v>7342</v>
      </c>
      <c r="F21" s="90">
        <f>'WC &amp; Investments'!F45</f>
        <v>14923</v>
      </c>
      <c r="G21" s="91">
        <f>'WC &amp; Investments'!G45</f>
        <v>19048</v>
      </c>
      <c r="H21" s="90">
        <f>'WC &amp; Investments'!H45</f>
        <v>19468.68</v>
      </c>
      <c r="I21" s="90">
        <f>'WC &amp; Investments'!I45</f>
        <v>21186.237599999997</v>
      </c>
      <c r="J21" s="90">
        <f>'WC &amp; Investments'!J45</f>
        <v>23077.419551999996</v>
      </c>
      <c r="K21" s="90">
        <f>'WC &amp; Investments'!K45</f>
        <v>24590.165529600003</v>
      </c>
      <c r="L21" s="90">
        <f>'WC &amp; Investments'!L45</f>
        <v>26178.548806080002</v>
      </c>
      <c r="N21" s="1" t="s">
        <v>182</v>
      </c>
    </row>
    <row r="22" spans="2:14" x14ac:dyDescent="0.2">
      <c r="B22" s="1" t="s">
        <v>183</v>
      </c>
      <c r="C22" s="90">
        <f>'WC &amp; Investments'!C35</f>
        <v>-105902</v>
      </c>
      <c r="D22" s="90">
        <f>'WC &amp; Investments'!D35</f>
        <v>-146687</v>
      </c>
      <c r="E22" s="90">
        <f>'WC &amp; Investments'!E35</f>
        <v>-66928</v>
      </c>
      <c r="F22" s="90">
        <f>'WC &amp; Investments'!F35</f>
        <v>-41772</v>
      </c>
      <c r="G22" s="91">
        <f>'WC &amp; Investments'!G35</f>
        <v>-149207</v>
      </c>
      <c r="H22" s="90">
        <f>'WC &amp; Investments'!H35</f>
        <v>-95299.402958904102</v>
      </c>
      <c r="I22" s="90">
        <f>'WC &amp; Investments'!I35</f>
        <v>-111838.15327561637</v>
      </c>
      <c r="J22" s="90">
        <f>'WC &amp; Investments'!J35</f>
        <v>-124575.67447969309</v>
      </c>
      <c r="K22" s="90">
        <f>'WC &amp; Investments'!K35</f>
        <v>-114814.11239708077</v>
      </c>
      <c r="L22" s="90">
        <f>'WC &amp; Investments'!L35</f>
        <v>-123783.03236017181</v>
      </c>
      <c r="N22" s="1" t="s">
        <v>182</v>
      </c>
    </row>
    <row r="25" spans="2:14" x14ac:dyDescent="0.2">
      <c r="C25" s="258" t="s">
        <v>184</v>
      </c>
      <c r="D25" s="258"/>
      <c r="E25" s="258"/>
      <c r="F25" s="258"/>
      <c r="G25" s="258"/>
      <c r="H25" s="258"/>
      <c r="I25" s="258"/>
      <c r="J25" s="258"/>
      <c r="K25" s="258"/>
      <c r="L25" s="258"/>
    </row>
    <row r="26" spans="2:14" x14ac:dyDescent="0.2">
      <c r="B26" s="16" t="s">
        <v>155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185</v>
      </c>
      <c r="C27" s="147">
        <f>C10*(1-C15)</f>
        <v>10231.90121718137</v>
      </c>
      <c r="D27" s="147">
        <f t="shared" ref="D27:L27" si="6">D10*(1-D15)</f>
        <v>4224</v>
      </c>
      <c r="E27" s="147">
        <f t="shared" si="6"/>
        <v>36928.48400260217</v>
      </c>
      <c r="F27" s="147">
        <f t="shared" si="6"/>
        <v>92257.693047390087</v>
      </c>
      <c r="G27" s="152">
        <f t="shared" si="6"/>
        <v>150097.60601626016</v>
      </c>
      <c r="H27" s="147">
        <f t="shared" si="6"/>
        <v>100670.77439999991</v>
      </c>
      <c r="I27" s="147">
        <f t="shared" si="6"/>
        <v>109552.10860799986</v>
      </c>
      <c r="J27" s="147">
        <f t="shared" si="6"/>
        <v>203857.53253343998</v>
      </c>
      <c r="K27" s="147">
        <f t="shared" si="6"/>
        <v>226050.68530483209</v>
      </c>
      <c r="L27" s="147">
        <f t="shared" si="6"/>
        <v>325256.56957517768</v>
      </c>
    </row>
    <row r="28" spans="2:14" x14ac:dyDescent="0.2">
      <c r="B28" s="16" t="s">
        <v>295</v>
      </c>
      <c r="C28" s="96">
        <f>C27+C20-C21+C22</f>
        <v>-89844.098782818633</v>
      </c>
      <c r="D28" s="96">
        <f t="shared" ref="D28:L28" si="7">D27+D20-D21+D22</f>
        <v>-147555</v>
      </c>
      <c r="E28" s="96">
        <f t="shared" si="7"/>
        <v>-14744.51599739783</v>
      </c>
      <c r="F28" s="96">
        <f t="shared" si="7"/>
        <v>52794.693047390087</v>
      </c>
      <c r="G28" s="148">
        <f t="shared" si="7"/>
        <v>-1188.3939837398357</v>
      </c>
      <c r="H28" s="96">
        <f t="shared" si="7"/>
        <v>3601.4914410958008</v>
      </c>
      <c r="I28" s="96">
        <f t="shared" si="7"/>
        <v>-4212.0662676164939</v>
      </c>
      <c r="J28" s="96">
        <f t="shared" si="7"/>
        <v>77183.910821746889</v>
      </c>
      <c r="K28" s="96">
        <f t="shared" si="7"/>
        <v>109001.10331415133</v>
      </c>
      <c r="L28" s="96">
        <f t="shared" si="7"/>
        <v>199093.66914172584</v>
      </c>
    </row>
    <row r="31" spans="2:14" x14ac:dyDescent="0.2">
      <c r="C31" s="258" t="s">
        <v>77</v>
      </c>
      <c r="D31" s="258"/>
      <c r="E31" s="258"/>
      <c r="F31" s="258"/>
      <c r="G31" s="258"/>
      <c r="H31" s="258"/>
      <c r="I31" s="258"/>
      <c r="J31" s="258"/>
      <c r="K31" s="258"/>
      <c r="L31" s="258"/>
    </row>
    <row r="32" spans="2:14" x14ac:dyDescent="0.2">
      <c r="B32" s="16" t="s">
        <v>375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78</v>
      </c>
      <c r="C33" s="150">
        <f>Statement!M99</f>
        <v>0.64929033216913135</v>
      </c>
      <c r="D33" s="150">
        <f>Statement!N99</f>
        <v>0.56928894490991322</v>
      </c>
      <c r="E33" s="150">
        <f>Statement!O99</f>
        <v>0.72717573290436954</v>
      </c>
      <c r="F33" s="150">
        <f>Statement!P99</f>
        <v>0.74988697058169917</v>
      </c>
      <c r="G33" s="151">
        <f>Statement!Q99</f>
        <v>0.71068084357547079</v>
      </c>
      <c r="H33" s="241">
        <f>H8/H6</f>
        <v>0.84199999999999997</v>
      </c>
      <c r="I33" s="241">
        <f t="shared" ref="I33:L33" si="9">I8/I6</f>
        <v>0.84199999999999997</v>
      </c>
      <c r="J33" s="241">
        <f t="shared" si="9"/>
        <v>0.85799999999999998</v>
      </c>
      <c r="K33" s="241">
        <f t="shared" si="9"/>
        <v>0.8580000000000001</v>
      </c>
      <c r="L33" s="241">
        <f t="shared" si="9"/>
        <v>0.873</v>
      </c>
    </row>
    <row r="34" spans="2:12" x14ac:dyDescent="0.2">
      <c r="B34" s="1" t="s">
        <v>79</v>
      </c>
      <c r="C34" s="150">
        <f>Statement!M100</f>
        <v>0.37307720888756779</v>
      </c>
      <c r="D34" s="150">
        <f>Statement!N100</f>
        <v>0.1565952398606065</v>
      </c>
      <c r="E34" s="150">
        <f>Statement!O100</f>
        <v>0.54121663766783756</v>
      </c>
      <c r="F34" s="150">
        <f>Statement!P100</f>
        <v>0.62417526839697468</v>
      </c>
      <c r="G34" s="151">
        <f>Statement!Q100</f>
        <v>0.60381683631412719</v>
      </c>
      <c r="H34" s="241">
        <f>H10/H6</f>
        <v>7.1999999999999925E-2</v>
      </c>
      <c r="I34" s="241">
        <f t="shared" ref="I34:L34" si="10">I10/I6</f>
        <v>7.1999999999999911E-2</v>
      </c>
      <c r="J34" s="241">
        <f t="shared" si="10"/>
        <v>0.123</v>
      </c>
      <c r="K34" s="241">
        <f t="shared" si="10"/>
        <v>0.12800000000000003</v>
      </c>
      <c r="L34" s="241">
        <f t="shared" si="10"/>
        <v>0.17300000000000001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187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1"/>
  <sheetViews>
    <sheetView topLeftCell="A3" zoomScale="187" zoomScaleNormal="100" workbookViewId="0">
      <selection activeCell="C9" sqref="C9"/>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188</v>
      </c>
    </row>
    <row r="2" spans="1:3" s="85" customFormat="1" ht="18" customHeight="1" x14ac:dyDescent="0.2">
      <c r="A2" s="4"/>
      <c r="B2" s="84"/>
    </row>
    <row r="3" spans="1:3" ht="17" customHeight="1" x14ac:dyDescent="0.2"/>
    <row r="4" spans="1:3" ht="17" customHeight="1" x14ac:dyDescent="0.2">
      <c r="B4" s="247" t="s">
        <v>189</v>
      </c>
      <c r="C4" s="247"/>
    </row>
    <row r="5" spans="1:3" ht="17" customHeight="1" x14ac:dyDescent="0.2">
      <c r="B5" s="1" t="s">
        <v>190</v>
      </c>
      <c r="C5" s="158">
        <f>Statement!AC76</f>
        <v>528156</v>
      </c>
    </row>
    <row r="6" spans="1:3" ht="17" customHeight="1" x14ac:dyDescent="0.2">
      <c r="B6" s="1" t="s">
        <v>1</v>
      </c>
      <c r="C6" s="154">
        <f ca="1">Overview!C5</f>
        <v>214.75</v>
      </c>
    </row>
    <row r="7" spans="1:3" ht="17" customHeight="1" x14ac:dyDescent="0.2">
      <c r="B7" s="1" t="s">
        <v>191</v>
      </c>
      <c r="C7" s="155">
        <f ca="1">C5*C6</f>
        <v>113421501</v>
      </c>
    </row>
    <row r="8" spans="1:3" ht="17" customHeight="1" x14ac:dyDescent="0.2">
      <c r="B8" s="1" t="s">
        <v>192</v>
      </c>
      <c r="C8" s="133">
        <f>Statement!AC116</f>
        <v>0</v>
      </c>
    </row>
    <row r="9" spans="1:3" ht="17" customHeight="1" x14ac:dyDescent="0.2">
      <c r="B9" s="1" t="s">
        <v>193</v>
      </c>
      <c r="C9" s="156">
        <f ca="1">Overview!F27</f>
        <v>4.4549999999999999E-2</v>
      </c>
    </row>
    <row r="10" spans="1:3" ht="17" customHeight="1" x14ac:dyDescent="0.2">
      <c r="B10" s="1" t="s">
        <v>9</v>
      </c>
      <c r="C10" s="154">
        <f ca="1">Overview!C13</f>
        <v>2.2002999999999999</v>
      </c>
    </row>
    <row r="11" spans="1:3" ht="17" customHeight="1" x14ac:dyDescent="0.2">
      <c r="B11" s="1" t="s">
        <v>194</v>
      </c>
      <c r="C11" s="156">
        <f>[1]Sheet1!$C$12</f>
        <v>4.4999999999999998E-2</v>
      </c>
    </row>
    <row r="12" spans="1:3" ht="17" customHeight="1" x14ac:dyDescent="0.2">
      <c r="B12" s="1" t="s">
        <v>73</v>
      </c>
      <c r="C12" s="156">
        <f>Overview!C26</f>
        <v>0.21</v>
      </c>
    </row>
    <row r="13" spans="1:3" ht="17" customHeight="1" x14ac:dyDescent="0.2">
      <c r="B13" s="1" t="s">
        <v>195</v>
      </c>
      <c r="C13" s="156">
        <f>Overview!C27</f>
        <v>5.0999999999999997E-2</v>
      </c>
    </row>
    <row r="14" spans="1:3" ht="17" customHeight="1" x14ac:dyDescent="0.2"/>
    <row r="15" spans="1:3" ht="17" customHeight="1" x14ac:dyDescent="0.2">
      <c r="B15" s="247" t="s">
        <v>196</v>
      </c>
      <c r="C15" s="247"/>
    </row>
    <row r="16" spans="1:3" ht="17" customHeight="1" x14ac:dyDescent="0.2">
      <c r="B16" s="1" t="s">
        <v>197</v>
      </c>
      <c r="C16" s="46">
        <f ca="1">C8/(C8+C7)</f>
        <v>0</v>
      </c>
    </row>
    <row r="17" spans="2:3" ht="17" customHeight="1" x14ac:dyDescent="0.2">
      <c r="B17" s="1" t="s">
        <v>198</v>
      </c>
      <c r="C17" s="46">
        <f ca="1">C7/(C8+C7)</f>
        <v>1</v>
      </c>
    </row>
    <row r="18" spans="2:3" ht="17" customHeight="1" x14ac:dyDescent="0.2">
      <c r="B18" s="1" t="s">
        <v>199</v>
      </c>
      <c r="C18" s="46">
        <f>C13*(1-C12)</f>
        <v>4.0289999999999999E-2</v>
      </c>
    </row>
    <row r="19" spans="2:3" ht="17" customHeight="1" x14ac:dyDescent="0.2">
      <c r="B19" s="1" t="s">
        <v>200</v>
      </c>
      <c r="C19" s="46">
        <f ca="1">C9+C10*C11</f>
        <v>0.14356349999999998</v>
      </c>
    </row>
    <row r="20" spans="2:3" ht="17" customHeight="1" x14ac:dyDescent="0.2">
      <c r="B20" s="1" t="s">
        <v>188</v>
      </c>
      <c r="C20" s="46">
        <f ca="1">(C17*C19)+(C16*C18)</f>
        <v>0.14356349999999998</v>
      </c>
    </row>
    <row r="21" spans="2:3" ht="17" customHeight="1" x14ac:dyDescent="0.2">
      <c r="B21" s="1" t="s">
        <v>257</v>
      </c>
      <c r="C21" s="157">
        <v>0</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zoomScale="188" zoomScaleNormal="100" workbookViewId="0">
      <selection activeCell="C15" sqref="C15"/>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202</v>
      </c>
    </row>
    <row r="2" spans="1:28" s="85" customFormat="1" ht="18" customHeight="1" x14ac:dyDescent="0.2">
      <c r="A2" s="4"/>
      <c r="B2" s="84"/>
    </row>
    <row r="3" spans="1:28" x14ac:dyDescent="0.2">
      <c r="A3" s="4"/>
      <c r="C3" s="247" t="s">
        <v>118</v>
      </c>
      <c r="D3" s="247"/>
      <c r="E3" s="247"/>
      <c r="F3" s="247"/>
      <c r="G3" s="256"/>
      <c r="H3" s="257" t="s">
        <v>119</v>
      </c>
      <c r="I3" s="247"/>
      <c r="J3" s="247"/>
      <c r="K3" s="247"/>
      <c r="L3" s="247"/>
      <c r="P3" s="261"/>
      <c r="Q3" s="261"/>
      <c r="R3" s="261"/>
      <c r="S3" s="261"/>
      <c r="T3" s="261"/>
      <c r="U3" s="261"/>
      <c r="V3" s="261"/>
      <c r="W3" s="261"/>
      <c r="X3" s="261"/>
      <c r="Y3" s="261"/>
      <c r="Z3" s="261"/>
      <c r="AB3" s="130"/>
    </row>
    <row r="4" spans="1:28" ht="10" customHeight="1" x14ac:dyDescent="0.2"/>
    <row r="5" spans="1:28" ht="16" customHeight="1" x14ac:dyDescent="0.2">
      <c r="A5" s="88"/>
      <c r="B5" s="60"/>
      <c r="C5" s="258" t="s">
        <v>203</v>
      </c>
      <c r="D5" s="258"/>
      <c r="E5" s="258"/>
      <c r="F5" s="258"/>
      <c r="G5" s="258"/>
      <c r="H5" s="258"/>
      <c r="I5" s="258"/>
      <c r="J5" s="258"/>
      <c r="K5" s="258"/>
      <c r="L5" s="258"/>
      <c r="P5" s="261"/>
      <c r="Q5" s="261"/>
      <c r="R5" s="261"/>
      <c r="S5" s="261"/>
      <c r="T5" s="261"/>
      <c r="U5" s="261"/>
      <c r="V5" s="261"/>
      <c r="W5" s="261"/>
      <c r="X5" s="261"/>
      <c r="Y5" s="261"/>
      <c r="Z5" s="261"/>
      <c r="AB5" s="131"/>
    </row>
    <row r="6" spans="1:28" x14ac:dyDescent="0.2">
      <c r="B6" s="16" t="s">
        <v>155</v>
      </c>
      <c r="C6" s="12">
        <f>Revenue!C20</f>
        <v>2022</v>
      </c>
      <c r="D6" s="12">
        <f>Revenue!D20</f>
        <v>2023</v>
      </c>
      <c r="E6" s="12">
        <f>Revenue!E20</f>
        <v>2024</v>
      </c>
      <c r="F6" s="12">
        <f>Revenue!F20</f>
        <v>2025</v>
      </c>
      <c r="G6" s="12">
        <f>Revenue!G20</f>
        <v>2026</v>
      </c>
      <c r="H6" s="12">
        <f>Revenue!H20</f>
        <v>2027</v>
      </c>
      <c r="I6" s="12">
        <f>Revenue!I20</f>
        <v>2028</v>
      </c>
      <c r="J6" s="12">
        <f>Revenue!J20</f>
        <v>2029</v>
      </c>
      <c r="K6" s="12">
        <f>Revenue!K20</f>
        <v>2030</v>
      </c>
      <c r="L6" s="12">
        <f>Revenue!L20</f>
        <v>2031</v>
      </c>
      <c r="O6" s="16"/>
      <c r="P6" s="132"/>
      <c r="Q6" s="132"/>
      <c r="R6" s="132"/>
      <c r="S6" s="132"/>
      <c r="T6" s="132"/>
      <c r="U6" s="132"/>
      <c r="V6" s="132"/>
      <c r="W6" s="132"/>
      <c r="X6" s="132"/>
      <c r="Y6" s="132"/>
      <c r="Z6" s="132"/>
      <c r="AB6" s="131"/>
    </row>
    <row r="7" spans="1:28" x14ac:dyDescent="0.2">
      <c r="B7" s="39" t="s">
        <v>295</v>
      </c>
      <c r="C7" s="133">
        <f>'FCF &amp; Other'!C28</f>
        <v>-89844.098782818633</v>
      </c>
      <c r="D7" s="133">
        <f>'FCF &amp; Other'!D28</f>
        <v>-147555</v>
      </c>
      <c r="E7" s="133">
        <f>'FCF &amp; Other'!E28</f>
        <v>-14744.51599739783</v>
      </c>
      <c r="F7" s="133">
        <f>'FCF &amp; Other'!F28</f>
        <v>52794.693047390087</v>
      </c>
      <c r="G7" s="134">
        <f>'FCF &amp; Other'!G28</f>
        <v>-1188.3939837398357</v>
      </c>
      <c r="H7" s="133">
        <f>'FCF &amp; Other'!H28</f>
        <v>3601.4914410958008</v>
      </c>
      <c r="I7" s="133">
        <f>'FCF &amp; Other'!I28</f>
        <v>-4212.0662676164939</v>
      </c>
      <c r="J7" s="133">
        <f>'FCF &amp; Other'!J28</f>
        <v>77183.910821746889</v>
      </c>
      <c r="K7" s="133">
        <f>'FCF &amp; Other'!K28</f>
        <v>109001.10331415133</v>
      </c>
      <c r="L7" s="133">
        <f>'FCF &amp; Other'!L28</f>
        <v>199093.66914172584</v>
      </c>
      <c r="N7" s="93"/>
      <c r="O7" s="16"/>
      <c r="P7" s="94"/>
      <c r="Q7" s="94"/>
      <c r="R7" s="94"/>
      <c r="S7" s="94"/>
      <c r="T7" s="94"/>
      <c r="U7" s="94"/>
      <c r="V7" s="94"/>
      <c r="W7" s="94"/>
      <c r="X7" s="96"/>
      <c r="Y7" s="96"/>
      <c r="Z7" s="96"/>
      <c r="AB7" s="96"/>
    </row>
    <row r="8" spans="1:28" x14ac:dyDescent="0.2">
      <c r="B8" s="39" t="s">
        <v>204</v>
      </c>
      <c r="C8" s="147">
        <v>0</v>
      </c>
      <c r="D8" s="147">
        <v>0</v>
      </c>
      <c r="E8" s="147">
        <v>0</v>
      </c>
      <c r="F8" s="147">
        <v>0</v>
      </c>
      <c r="G8" s="152">
        <v>0</v>
      </c>
      <c r="H8" s="147">
        <v>0</v>
      </c>
      <c r="I8" s="147">
        <v>0</v>
      </c>
      <c r="J8" s="147">
        <v>0</v>
      </c>
      <c r="K8" s="147">
        <v>0</v>
      </c>
      <c r="L8" s="147">
        <f ca="1">L7*(1+C14)/(C15-C14)</f>
        <v>1643491.3427068705</v>
      </c>
      <c r="N8" s="93"/>
      <c r="O8" s="16"/>
      <c r="P8" s="94"/>
      <c r="Q8" s="94"/>
      <c r="R8" s="94"/>
      <c r="S8" s="94"/>
      <c r="T8" s="94"/>
      <c r="U8" s="94"/>
      <c r="V8" s="94"/>
      <c r="W8" s="94"/>
      <c r="X8" s="96"/>
      <c r="Y8" s="96"/>
      <c r="Z8" s="96"/>
      <c r="AB8" s="96"/>
    </row>
    <row r="9" spans="1:28" x14ac:dyDescent="0.2">
      <c r="B9" s="1" t="s">
        <v>205</v>
      </c>
      <c r="C9" s="159"/>
      <c r="D9" s="159"/>
      <c r="E9" s="159"/>
      <c r="F9" s="159"/>
      <c r="G9" s="160"/>
      <c r="H9" s="161">
        <v>1</v>
      </c>
      <c r="I9" s="161">
        <v>2</v>
      </c>
      <c r="J9" s="161">
        <v>3</v>
      </c>
      <c r="K9" s="161">
        <v>4</v>
      </c>
      <c r="L9" s="161">
        <v>5</v>
      </c>
      <c r="N9" s="93"/>
    </row>
    <row r="10" spans="1:28" x14ac:dyDescent="0.2">
      <c r="B10" s="1" t="s">
        <v>358</v>
      </c>
      <c r="C10" s="159"/>
      <c r="D10" s="159"/>
      <c r="E10" s="159"/>
      <c r="F10" s="159"/>
      <c r="G10" s="160"/>
      <c r="H10" s="147">
        <f ca="1">H7/(1+$C$15)^H9</f>
        <v>3149.3585105643901</v>
      </c>
      <c r="I10" s="147">
        <f t="shared" ref="I10:L10" ca="1" si="0">I7/(1+$C$15)^I9</f>
        <v>-3220.8805947382816</v>
      </c>
      <c r="J10" s="147">
        <f t="shared" ca="1" si="0"/>
        <v>51611.433823002983</v>
      </c>
      <c r="K10" s="147">
        <f t="shared" ca="1" si="0"/>
        <v>63736.726303761243</v>
      </c>
      <c r="L10" s="147">
        <f t="shared" ca="1" si="0"/>
        <v>101801.93300243285</v>
      </c>
      <c r="N10" s="93"/>
    </row>
    <row r="11" spans="1:28" x14ac:dyDescent="0.2">
      <c r="B11" s="1" t="s">
        <v>206</v>
      </c>
      <c r="C11" s="159"/>
      <c r="D11" s="159"/>
      <c r="E11" s="159"/>
      <c r="F11" s="159"/>
      <c r="G11" s="160"/>
      <c r="H11" s="159"/>
      <c r="I11" s="159"/>
      <c r="J11" s="159"/>
      <c r="K11" s="159"/>
      <c r="L11" s="147">
        <f ca="1">L8/(1+C15)^L9</f>
        <v>840361.20425919897</v>
      </c>
    </row>
    <row r="13" spans="1:28" x14ac:dyDescent="0.2">
      <c r="B13" s="247" t="s">
        <v>207</v>
      </c>
      <c r="C13" s="247"/>
    </row>
    <row r="14" spans="1:28" x14ac:dyDescent="0.2">
      <c r="B14" s="1" t="s">
        <v>208</v>
      </c>
      <c r="C14" s="162">
        <v>0.02</v>
      </c>
    </row>
    <row r="15" spans="1:28" x14ac:dyDescent="0.2">
      <c r="B15" s="1" t="s">
        <v>188</v>
      </c>
      <c r="C15" s="156">
        <f ca="1">IF(WACC!C21&gt;0,WACC!C21,WACC!C20)</f>
        <v>0.14356349999999998</v>
      </c>
    </row>
    <row r="18" spans="2:3" x14ac:dyDescent="0.2">
      <c r="B18" s="247" t="s">
        <v>209</v>
      </c>
      <c r="C18" s="247"/>
    </row>
    <row r="19" spans="2:3" x14ac:dyDescent="0.2">
      <c r="B19" s="1" t="s">
        <v>210</v>
      </c>
      <c r="C19" s="64">
        <f ca="1">SUM(H10:L10)</f>
        <v>217078.57104502319</v>
      </c>
    </row>
    <row r="20" spans="2:3" x14ac:dyDescent="0.2">
      <c r="B20" s="1" t="s">
        <v>206</v>
      </c>
      <c r="C20" s="64">
        <f ca="1">L11</f>
        <v>840361.20425919897</v>
      </c>
    </row>
    <row r="21" spans="2:3" x14ac:dyDescent="0.2">
      <c r="B21" s="16" t="s">
        <v>211</v>
      </c>
      <c r="C21" s="96">
        <f ca="1">C19+C20</f>
        <v>1057439.7753042222</v>
      </c>
    </row>
    <row r="22" spans="2:3" x14ac:dyDescent="0.2">
      <c r="B22" s="1" t="s">
        <v>212</v>
      </c>
      <c r="C22" s="24">
        <f>Statement!AC115</f>
        <v>1307244</v>
      </c>
    </row>
    <row r="23" spans="2:3" x14ac:dyDescent="0.2">
      <c r="B23" s="1" t="s">
        <v>213</v>
      </c>
      <c r="C23" s="24">
        <f>Statement!AC116</f>
        <v>0</v>
      </c>
    </row>
    <row r="24" spans="2:3" x14ac:dyDescent="0.2">
      <c r="B24" s="16" t="s">
        <v>214</v>
      </c>
      <c r="C24" s="96">
        <f ca="1">C21+C22-C23</f>
        <v>2364683.7753042225</v>
      </c>
    </row>
    <row r="25" spans="2:3" x14ac:dyDescent="0.2">
      <c r="B25" s="1" t="s">
        <v>69</v>
      </c>
      <c r="C25" s="64">
        <f>Statement!AC76</f>
        <v>528156</v>
      </c>
    </row>
    <row r="26" spans="2:3" x14ac:dyDescent="0.2">
      <c r="B26" s="163" t="s">
        <v>215</v>
      </c>
      <c r="C26" s="164">
        <f ca="1">C24/C25</f>
        <v>4.477244933891166</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topLeftCell="A7" zoomScale="192" zoomScaleNormal="100" workbookViewId="0">
      <selection activeCell="D13" sqref="D13"/>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216</v>
      </c>
    </row>
    <row r="2" spans="1:14" x14ac:dyDescent="0.2">
      <c r="A2" s="4"/>
      <c r="C2" s="247" t="s">
        <v>118</v>
      </c>
      <c r="D2" s="247"/>
      <c r="E2" s="247"/>
      <c r="F2" s="247"/>
      <c r="G2" s="256"/>
      <c r="H2" s="257" t="s">
        <v>119</v>
      </c>
      <c r="I2" s="247"/>
      <c r="J2" s="247"/>
      <c r="K2" s="247"/>
      <c r="L2" s="247"/>
    </row>
    <row r="3" spans="1:14" ht="10" customHeight="1" x14ac:dyDescent="0.2"/>
    <row r="4" spans="1:14" ht="16" customHeight="1" x14ac:dyDescent="0.2">
      <c r="A4" s="88"/>
      <c r="B4" s="60"/>
      <c r="C4" s="258" t="s">
        <v>217</v>
      </c>
      <c r="D4" s="258"/>
      <c r="E4" s="258"/>
      <c r="F4" s="258"/>
      <c r="G4" s="258"/>
      <c r="H4" s="258"/>
      <c r="I4" s="258"/>
      <c r="J4" s="258"/>
      <c r="K4" s="258"/>
      <c r="L4" s="258"/>
    </row>
    <row r="5" spans="1:14" x14ac:dyDescent="0.2">
      <c r="B5" s="16" t="s">
        <v>122</v>
      </c>
      <c r="C5" s="12">
        <f>Revenue!C20</f>
        <v>2022</v>
      </c>
      <c r="D5" s="12">
        <f>Revenue!D20</f>
        <v>2023</v>
      </c>
      <c r="E5" s="12">
        <f>Revenue!E20</f>
        <v>2024</v>
      </c>
      <c r="F5" s="12">
        <f>Revenue!F20</f>
        <v>2025</v>
      </c>
      <c r="G5" s="12">
        <f>Revenue!G20</f>
        <v>2026</v>
      </c>
      <c r="H5" s="12">
        <f>Revenue!H20</f>
        <v>2027</v>
      </c>
      <c r="I5" s="12">
        <f>Revenue!I20</f>
        <v>2028</v>
      </c>
      <c r="J5" s="12">
        <f>Revenue!J20</f>
        <v>2029</v>
      </c>
      <c r="K5" s="12">
        <f>Revenue!K20</f>
        <v>2030</v>
      </c>
      <c r="L5" s="12">
        <f>Revenue!L20</f>
        <v>2031</v>
      </c>
    </row>
    <row r="6" spans="1:14" x14ac:dyDescent="0.2">
      <c r="B6" s="16" t="s">
        <v>19</v>
      </c>
      <c r="C6" s="94">
        <f>Revenue!C9</f>
        <v>26914</v>
      </c>
      <c r="D6" s="94">
        <f>Revenue!D9</f>
        <v>26974</v>
      </c>
      <c r="E6" s="94">
        <f>Revenue!E9</f>
        <v>60922</v>
      </c>
      <c r="F6" s="94">
        <f>Revenue!F9</f>
        <v>130497</v>
      </c>
      <c r="G6" s="95">
        <f>Revenue!G9</f>
        <v>215938</v>
      </c>
      <c r="H6" s="94">
        <f>Revenue!H9</f>
        <v>1769880</v>
      </c>
      <c r="I6" s="94">
        <f>Revenue!I9</f>
        <v>1926021.5999999999</v>
      </c>
      <c r="J6" s="94">
        <f>Revenue!J9</f>
        <v>2097947.2319999998</v>
      </c>
      <c r="K6" s="94">
        <f>Revenue!K9</f>
        <v>2235469.5936000003</v>
      </c>
      <c r="L6" s="94">
        <f>Revenue!L9</f>
        <v>2379868.0732800001</v>
      </c>
      <c r="N6" s="93"/>
    </row>
    <row r="7" spans="1:14" x14ac:dyDescent="0.2">
      <c r="B7" s="16" t="s">
        <v>179</v>
      </c>
      <c r="C7" s="94">
        <f>'FCF &amp; Other'!C10</f>
        <v>10041</v>
      </c>
      <c r="D7" s="94">
        <f>'FCF &amp; Other'!D10</f>
        <v>4224</v>
      </c>
      <c r="E7" s="94">
        <f>'FCF &amp; Other'!E10</f>
        <v>32972</v>
      </c>
      <c r="F7" s="94">
        <f>'FCF &amp; Other'!F10</f>
        <v>81453</v>
      </c>
      <c r="G7" s="95">
        <f>'FCF &amp; Other'!G10</f>
        <v>130387</v>
      </c>
      <c r="H7" s="94">
        <f>'FCF &amp; Other'!H10</f>
        <v>127431.35999999987</v>
      </c>
      <c r="I7" s="94">
        <f>'FCF &amp; Other'!I10</f>
        <v>138673.55519999983</v>
      </c>
      <c r="J7" s="94">
        <f>'FCF &amp; Other'!J10</f>
        <v>258047.50953599997</v>
      </c>
      <c r="K7" s="94">
        <f>'FCF &amp; Other'!K10</f>
        <v>286140.10798080009</v>
      </c>
      <c r="L7" s="94">
        <f>'FCF &amp; Other'!L10</f>
        <v>411717.17667744006</v>
      </c>
      <c r="N7" s="93"/>
    </row>
    <row r="8" spans="1:14" x14ac:dyDescent="0.2">
      <c r="B8" s="16" t="s">
        <v>295</v>
      </c>
      <c r="C8" s="94">
        <f>'FCF &amp; Other'!C28</f>
        <v>-89844.098782818633</v>
      </c>
      <c r="D8" s="94">
        <f>'FCF &amp; Other'!D28</f>
        <v>-147555</v>
      </c>
      <c r="E8" s="94">
        <f>'FCF &amp; Other'!E28</f>
        <v>-14744.51599739783</v>
      </c>
      <c r="F8" s="94">
        <f>'FCF &amp; Other'!F28</f>
        <v>52794.693047390087</v>
      </c>
      <c r="G8" s="95">
        <f>'FCF &amp; Other'!G28</f>
        <v>-1188.3939837398357</v>
      </c>
      <c r="H8" s="94">
        <f>'FCF &amp; Other'!H28</f>
        <v>3601.4914410958008</v>
      </c>
      <c r="I8" s="94">
        <f>'FCF &amp; Other'!I28</f>
        <v>-4212.0662676164939</v>
      </c>
      <c r="J8" s="94">
        <f>'FCF &amp; Other'!J28</f>
        <v>77183.910821746889</v>
      </c>
      <c r="K8" s="94">
        <f>'FCF &amp; Other'!K28</f>
        <v>109001.10331415133</v>
      </c>
      <c r="L8" s="94">
        <f>'FCF &amp; Other'!L28</f>
        <v>199093.66914172584</v>
      </c>
      <c r="N8" s="93"/>
    </row>
    <row r="9" spans="1:14" x14ac:dyDescent="0.2">
      <c r="N9" s="93"/>
    </row>
    <row r="10" spans="1:14" x14ac:dyDescent="0.2">
      <c r="C10" s="258" t="s">
        <v>127</v>
      </c>
      <c r="D10" s="258"/>
      <c r="E10" s="258"/>
      <c r="F10" s="258"/>
      <c r="G10" s="258"/>
      <c r="H10" s="258"/>
      <c r="I10" s="258"/>
      <c r="J10" s="258"/>
      <c r="K10" s="258"/>
      <c r="L10" s="258"/>
      <c r="N10" s="93"/>
    </row>
    <row r="11" spans="1:14" x14ac:dyDescent="0.2">
      <c r="B11" s="16" t="s">
        <v>218</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3"/>
    </row>
    <row r="12" spans="1:14" x14ac:dyDescent="0.2">
      <c r="B12" s="1" t="s">
        <v>19</v>
      </c>
      <c r="C12" s="159"/>
      <c r="D12" s="97">
        <f>(D6-C6)/C6</f>
        <v>2.2293230289068887E-3</v>
      </c>
      <c r="E12" s="97">
        <f t="shared" ref="E12:L12" si="1">(E6-D6)/D6</f>
        <v>1.2585452658115222</v>
      </c>
      <c r="F12" s="97">
        <f t="shared" si="1"/>
        <v>1.1420340763599357</v>
      </c>
      <c r="G12" s="98">
        <f t="shared" si="1"/>
        <v>0.65473535790094795</v>
      </c>
      <c r="H12" s="97">
        <f t="shared" si="1"/>
        <v>7.1962415137678404</v>
      </c>
      <c r="I12" s="97">
        <f t="shared" si="1"/>
        <v>8.8221574344023251E-2</v>
      </c>
      <c r="J12" s="97">
        <f t="shared" si="1"/>
        <v>8.9264643761004542E-2</v>
      </c>
      <c r="K12" s="97">
        <f t="shared" si="1"/>
        <v>6.5550915438849527E-2</v>
      </c>
      <c r="L12" s="97">
        <f t="shared" si="1"/>
        <v>6.4594249053265163E-2</v>
      </c>
      <c r="N12" s="93"/>
    </row>
    <row r="13" spans="1:14" x14ac:dyDescent="0.2">
      <c r="B13" s="1" t="s">
        <v>179</v>
      </c>
      <c r="C13" s="159"/>
      <c r="D13" s="97">
        <f>IF(C7=0,
IF(D7=0,0,IF(D7&gt;0,1,-1)),
(D7-C7)/ABS(C7)
)</f>
        <v>-0.57932476844935765</v>
      </c>
      <c r="E13" s="97">
        <f t="shared" ref="E13:L13" si="2">IF(D7=0,
IF(E7=0,0,IF(E7&gt;0,1,-1)),
(E7-D7)/ABS(D7)
)</f>
        <v>6.8058712121212119</v>
      </c>
      <c r="F13" s="97">
        <f t="shared" si="2"/>
        <v>1.470368797767803</v>
      </c>
      <c r="G13" s="98">
        <f t="shared" si="2"/>
        <v>0.60076363055995485</v>
      </c>
      <c r="H13" s="97">
        <f t="shared" si="2"/>
        <v>-2.2668210787886296E-2</v>
      </c>
      <c r="I13" s="97">
        <f t="shared" si="2"/>
        <v>8.8221574344023085E-2</v>
      </c>
      <c r="J13" s="97">
        <f t="shared" si="2"/>
        <v>0.86082709975838489</v>
      </c>
      <c r="K13" s="97">
        <f t="shared" si="2"/>
        <v>0.10886599330221768</v>
      </c>
      <c r="L13" s="97">
        <f t="shared" si="2"/>
        <v>0.43886566473605354</v>
      </c>
      <c r="N13" s="93"/>
    </row>
    <row r="14" spans="1:14" x14ac:dyDescent="0.2">
      <c r="B14" s="1" t="s">
        <v>295</v>
      </c>
      <c r="C14" s="159"/>
      <c r="D14" s="97">
        <f>IF(C8=0,
IF(D8=0,0,IF(D8&gt;0,1,-1)),
(D8-C8)/ABS(C8)
)</f>
        <v>-0.64234492859332604</v>
      </c>
      <c r="E14" s="97">
        <f t="shared" ref="E14:L14" si="3">IF(D8=0,
IF(E8=0,0,IF(E8&gt;0,1,-1)),
(E8-D8)/ABS(D8)
)</f>
        <v>0.90007444005694259</v>
      </c>
      <c r="F14" s="97">
        <f t="shared" si="3"/>
        <v>4.5806324912060523</v>
      </c>
      <c r="G14" s="98">
        <f t="shared" si="3"/>
        <v>-1.0225097242761332</v>
      </c>
      <c r="H14" s="97">
        <f t="shared" si="3"/>
        <v>4.0305534110514669</v>
      </c>
      <c r="I14" s="97">
        <f t="shared" si="3"/>
        <v>-2.1695338824225883</v>
      </c>
      <c r="J14" s="97">
        <f t="shared" si="3"/>
        <v>19.324476852407972</v>
      </c>
      <c r="K14" s="97">
        <f t="shared" si="3"/>
        <v>0.4122257106909879</v>
      </c>
      <c r="L14" s="97">
        <f t="shared" si="3"/>
        <v>0.82652893492205615</v>
      </c>
      <c r="N14" s="93"/>
    </row>
    <row r="15" spans="1:14" x14ac:dyDescent="0.2">
      <c r="N15" s="93"/>
    </row>
    <row r="16" spans="1:14" x14ac:dyDescent="0.2">
      <c r="C16" s="258" t="s">
        <v>219</v>
      </c>
      <c r="D16" s="258"/>
      <c r="E16" s="258"/>
      <c r="F16" s="258"/>
      <c r="G16" s="258"/>
      <c r="H16" s="258"/>
      <c r="I16" s="258"/>
      <c r="J16" s="258"/>
      <c r="K16" s="258"/>
      <c r="L16" s="258"/>
      <c r="N16" s="93"/>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3"/>
    </row>
    <row r="18" spans="2:14" x14ac:dyDescent="0.2">
      <c r="B18" s="1" t="s">
        <v>220</v>
      </c>
      <c r="C18" s="103">
        <f>Statement!M21</f>
        <v>25350</v>
      </c>
      <c r="D18" s="103">
        <f>Statement!N21</f>
        <v>25070</v>
      </c>
      <c r="E18" s="103">
        <f>Statement!O21</f>
        <v>24940</v>
      </c>
      <c r="F18" s="103">
        <f>Statement!P21</f>
        <v>24804</v>
      </c>
      <c r="G18" s="104">
        <f>Statement!Q21</f>
        <v>24514</v>
      </c>
      <c r="H18" s="165">
        <f>G18*(1+H19)</f>
        <v>23778.579999999998</v>
      </c>
      <c r="I18" s="165">
        <f t="shared" ref="I18:L18" si="5">H18*(1+I19)</f>
        <v>23065.222599999997</v>
      </c>
      <c r="J18" s="165">
        <f t="shared" si="5"/>
        <v>22603.918147999997</v>
      </c>
      <c r="K18" s="165">
        <f t="shared" si="5"/>
        <v>22151.839785039996</v>
      </c>
      <c r="L18" s="165">
        <f t="shared" si="5"/>
        <v>21708.802989339194</v>
      </c>
      <c r="N18" s="93"/>
    </row>
    <row r="19" spans="2:14" x14ac:dyDescent="0.2">
      <c r="B19" s="1" t="s">
        <v>221</v>
      </c>
      <c r="C19" s="159"/>
      <c r="D19" s="166">
        <f>D18/C18-1</f>
        <v>-1.104536489151875E-2</v>
      </c>
      <c r="E19" s="166">
        <f t="shared" ref="E19:G19" si="6">E18/D18-1</f>
        <v>-5.1854806541683507E-3</v>
      </c>
      <c r="F19" s="166">
        <f t="shared" si="6"/>
        <v>-5.4530874097834525E-3</v>
      </c>
      <c r="G19" s="167">
        <f t="shared" si="6"/>
        <v>-1.169166263505883E-2</v>
      </c>
      <c r="H19" s="168">
        <v>-0.03</v>
      </c>
      <c r="I19" s="99">
        <v>-0.03</v>
      </c>
      <c r="J19" s="99">
        <v>-0.02</v>
      </c>
      <c r="K19" s="99">
        <v>-0.02</v>
      </c>
      <c r="L19" s="99">
        <v>-0.02</v>
      </c>
      <c r="N19" s="93"/>
    </row>
    <row r="20" spans="2:14" x14ac:dyDescent="0.2">
      <c r="N20" s="93"/>
    </row>
    <row r="21" spans="2:14" x14ac:dyDescent="0.2">
      <c r="C21" s="258" t="s">
        <v>222</v>
      </c>
      <c r="D21" s="258"/>
      <c r="E21" s="258"/>
      <c r="F21" s="258"/>
      <c r="G21" s="258"/>
      <c r="H21" s="258"/>
      <c r="I21" s="258"/>
      <c r="J21" s="258"/>
      <c r="K21" s="258"/>
      <c r="L21" s="258"/>
      <c r="N21" s="93"/>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3"/>
    </row>
    <row r="23" spans="2:14" x14ac:dyDescent="0.2">
      <c r="B23" s="1" t="s">
        <v>1</v>
      </c>
      <c r="C23" s="169">
        <f>Statement!M124</f>
        <v>33.43</v>
      </c>
      <c r="D23" s="169">
        <f>Statement!N124</f>
        <v>14.57</v>
      </c>
      <c r="E23" s="169">
        <f>Statement!O124</f>
        <v>23.85</v>
      </c>
      <c r="F23" s="169">
        <f>Statement!P124</f>
        <v>14.58</v>
      </c>
      <c r="G23" s="170">
        <f>Statement!Q124</f>
        <v>12.59</v>
      </c>
      <c r="H23" s="159"/>
      <c r="I23" s="159"/>
      <c r="J23" s="159"/>
      <c r="K23" s="159"/>
      <c r="L23" s="159"/>
      <c r="N23" s="93"/>
    </row>
    <row r="24" spans="2:14" x14ac:dyDescent="0.2">
      <c r="N24" s="93"/>
    </row>
    <row r="25" spans="2:14" x14ac:dyDescent="0.2">
      <c r="N25" s="93"/>
    </row>
    <row r="26" spans="2:14" x14ac:dyDescent="0.2">
      <c r="C26" s="258" t="s">
        <v>223</v>
      </c>
      <c r="D26" s="258"/>
      <c r="E26" s="258"/>
      <c r="F26" s="258"/>
      <c r="G26" s="258"/>
      <c r="H26" s="258"/>
      <c r="I26" s="258"/>
      <c r="J26" s="258"/>
      <c r="K26" s="258"/>
      <c r="L26" s="258"/>
      <c r="N26" s="93"/>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3"/>
    </row>
    <row r="28" spans="2:14" x14ac:dyDescent="0.2">
      <c r="B28" s="16" t="s">
        <v>224</v>
      </c>
      <c r="C28" s="171">
        <f>C23/(C6/C18)</f>
        <v>31.487348591810957</v>
      </c>
      <c r="D28" s="171">
        <f t="shared" ref="D28:G28" si="9">D23/(D6/D18)</f>
        <v>13.541554830577592</v>
      </c>
      <c r="E28" s="171">
        <f t="shared" si="9"/>
        <v>9.7636157709858509</v>
      </c>
      <c r="F28" s="171">
        <f t="shared" si="9"/>
        <v>2.7712692245798753</v>
      </c>
      <c r="G28" s="172">
        <f t="shared" si="9"/>
        <v>1.4292586761014736</v>
      </c>
      <c r="H28" s="159"/>
      <c r="I28" s="159"/>
      <c r="J28" s="159"/>
      <c r="K28" s="159"/>
      <c r="L28" s="159"/>
      <c r="N28" s="93"/>
    </row>
    <row r="29" spans="2:14" x14ac:dyDescent="0.2">
      <c r="B29" s="1" t="s">
        <v>225</v>
      </c>
      <c r="C29" s="165">
        <f>C23*C18</f>
        <v>847450.5</v>
      </c>
      <c r="D29" s="165">
        <f t="shared" ref="D29:G29" si="10">D23*D18</f>
        <v>365269.9</v>
      </c>
      <c r="E29" s="165">
        <f t="shared" si="10"/>
        <v>594819</v>
      </c>
      <c r="F29" s="165">
        <f t="shared" si="10"/>
        <v>361642.32</v>
      </c>
      <c r="G29" s="173">
        <f t="shared" si="10"/>
        <v>308631.26</v>
      </c>
      <c r="H29" s="159"/>
      <c r="I29" s="159"/>
      <c r="J29" s="159"/>
      <c r="K29" s="159"/>
      <c r="L29" s="159"/>
      <c r="N29" s="93"/>
    </row>
    <row r="30" spans="2:14" x14ac:dyDescent="0.2">
      <c r="B30" s="1" t="s">
        <v>192</v>
      </c>
      <c r="C30" s="90">
        <f>Statement!M116</f>
        <v>0</v>
      </c>
      <c r="D30" s="174">
        <f>Statement!N116</f>
        <v>0</v>
      </c>
      <c r="E30" s="174">
        <f>Statement!O116</f>
        <v>0</v>
      </c>
      <c r="F30" s="174">
        <f>Statement!P116</f>
        <v>0</v>
      </c>
      <c r="G30" s="175">
        <f>Statement!Q116</f>
        <v>0</v>
      </c>
      <c r="H30" s="159"/>
      <c r="I30" s="159"/>
      <c r="J30" s="159"/>
      <c r="K30" s="159"/>
      <c r="L30" s="159"/>
      <c r="N30" s="93"/>
    </row>
    <row r="31" spans="2:14" x14ac:dyDescent="0.2">
      <c r="B31" s="1" t="s">
        <v>201</v>
      </c>
      <c r="C31" s="174">
        <f>Statement!M115</f>
        <v>1865140</v>
      </c>
      <c r="D31" s="174">
        <f>Statement!N115</f>
        <v>1756893</v>
      </c>
      <c r="E31" s="174">
        <f>Statement!O115</f>
        <v>1879823</v>
      </c>
      <c r="F31" s="174">
        <f>Statement!P115</f>
        <v>1629518</v>
      </c>
      <c r="G31" s="175">
        <f>Statement!Q115</f>
        <v>1472486</v>
      </c>
      <c r="H31" s="159"/>
      <c r="I31" s="159"/>
      <c r="J31" s="159"/>
      <c r="K31" s="159"/>
      <c r="L31" s="159"/>
      <c r="N31" s="93"/>
    </row>
    <row r="32" spans="2:14" x14ac:dyDescent="0.2">
      <c r="B32" s="1" t="s">
        <v>226</v>
      </c>
      <c r="C32" s="165">
        <f>C29+C30-C31</f>
        <v>-1017689.5</v>
      </c>
      <c r="D32" s="165">
        <f t="shared" ref="D32:G32" si="11">D29+D30-D31</f>
        <v>-1391623.1</v>
      </c>
      <c r="E32" s="165">
        <f t="shared" si="11"/>
        <v>-1285004</v>
      </c>
      <c r="F32" s="165">
        <f t="shared" si="11"/>
        <v>-1267875.68</v>
      </c>
      <c r="G32" s="173">
        <f t="shared" si="11"/>
        <v>-1163854.74</v>
      </c>
      <c r="H32" s="159"/>
      <c r="I32" s="159"/>
      <c r="J32" s="159"/>
      <c r="K32" s="159"/>
      <c r="L32" s="159"/>
      <c r="N32" s="93"/>
    </row>
    <row r="33" spans="2:14" x14ac:dyDescent="0.2">
      <c r="B33" s="16" t="s">
        <v>227</v>
      </c>
      <c r="C33" s="171">
        <f>C32/C7</f>
        <v>-101.35340105567174</v>
      </c>
      <c r="D33" s="171">
        <f t="shared" ref="D33:G33" si="12">D32/D7</f>
        <v>-329.4562263257576</v>
      </c>
      <c r="E33" s="171">
        <f t="shared" si="12"/>
        <v>-38.97258279752517</v>
      </c>
      <c r="F33" s="171">
        <f t="shared" si="12"/>
        <v>-15.565733367708985</v>
      </c>
      <c r="G33" s="172">
        <f t="shared" si="12"/>
        <v>-8.9261562885870518</v>
      </c>
      <c r="H33" s="159"/>
      <c r="I33" s="159"/>
      <c r="J33" s="159"/>
      <c r="K33" s="159"/>
      <c r="L33" s="159"/>
      <c r="N33" s="93"/>
    </row>
    <row r="34" spans="2:14" x14ac:dyDescent="0.2">
      <c r="B34" s="16" t="s">
        <v>359</v>
      </c>
      <c r="C34" s="171">
        <f>C32/C8</f>
        <v>11.327282635001712</v>
      </c>
      <c r="D34" s="171">
        <f t="shared" ref="D34:G34" si="13">D32/D8</f>
        <v>9.4312161566873378</v>
      </c>
      <c r="E34" s="171">
        <f t="shared" si="13"/>
        <v>87.151317834154924</v>
      </c>
      <c r="F34" s="171">
        <f t="shared" si="13"/>
        <v>-24.015210749722836</v>
      </c>
      <c r="G34" s="172">
        <f t="shared" si="13"/>
        <v>979.35091890770809</v>
      </c>
      <c r="H34" s="159"/>
      <c r="I34" s="159"/>
      <c r="J34" s="159"/>
      <c r="K34" s="159"/>
      <c r="L34" s="159"/>
      <c r="N34" s="93"/>
    </row>
    <row r="35" spans="2:14" x14ac:dyDescent="0.2">
      <c r="N35" s="93"/>
    </row>
    <row r="36" spans="2:14" x14ac:dyDescent="0.2">
      <c r="N36" s="93"/>
    </row>
    <row r="37" spans="2:14" x14ac:dyDescent="0.2">
      <c r="B37" s="247" t="s">
        <v>228</v>
      </c>
      <c r="C37" s="247"/>
      <c r="N37" s="93"/>
    </row>
    <row r="38" spans="2:14" x14ac:dyDescent="0.2">
      <c r="B38" s="1" t="s">
        <v>229</v>
      </c>
      <c r="C38" s="64">
        <f>L7</f>
        <v>411717.17667744006</v>
      </c>
    </row>
    <row r="39" spans="2:14" x14ac:dyDescent="0.2">
      <c r="B39" s="1" t="s">
        <v>188</v>
      </c>
      <c r="C39" s="156">
        <f ca="1">IF(WACC!C21&gt;0,WACC!C21,WACC!C20)</f>
        <v>0.14356349999999998</v>
      </c>
    </row>
    <row r="40" spans="2:14" x14ac:dyDescent="0.2">
      <c r="B40" s="39" t="s">
        <v>230</v>
      </c>
      <c r="C40" s="114">
        <v>25</v>
      </c>
    </row>
    <row r="41" spans="2:14" x14ac:dyDescent="0.2">
      <c r="B41" s="1" t="s">
        <v>231</v>
      </c>
      <c r="C41" s="24">
        <f>L18</f>
        <v>21708.802989339194</v>
      </c>
    </row>
    <row r="42" spans="2:14" x14ac:dyDescent="0.2">
      <c r="B42" s="1" t="s">
        <v>226</v>
      </c>
      <c r="C42" s="24">
        <f>(C38*C40)-G30+G31</f>
        <v>11765415.416936001</v>
      </c>
    </row>
    <row r="43" spans="2:14" x14ac:dyDescent="0.2">
      <c r="B43" s="1" t="s">
        <v>215</v>
      </c>
      <c r="C43" s="24">
        <f>C42/C41</f>
        <v>541.96518447902383</v>
      </c>
    </row>
    <row r="44" spans="2:14" x14ac:dyDescent="0.2">
      <c r="B44" s="163" t="s">
        <v>232</v>
      </c>
      <c r="C44" s="164">
        <f ca="1">C43/(1+C48)^5</f>
        <v>277.1213350873025</v>
      </c>
    </row>
    <row r="46" spans="2:14" x14ac:dyDescent="0.2">
      <c r="B46" s="247" t="s">
        <v>233</v>
      </c>
      <c r="C46" s="247"/>
    </row>
    <row r="47" spans="2:14" x14ac:dyDescent="0.2">
      <c r="B47" s="1" t="s">
        <v>234</v>
      </c>
      <c r="C47" s="64">
        <f>L6</f>
        <v>2379868.0732800001</v>
      </c>
    </row>
    <row r="48" spans="2:14" x14ac:dyDescent="0.2">
      <c r="B48" s="1" t="s">
        <v>188</v>
      </c>
      <c r="C48" s="156">
        <f ca="1">IF(WACC!C21&gt;0,WACC!C21,WACC!C20)</f>
        <v>0.14356349999999998</v>
      </c>
    </row>
    <row r="49" spans="2:3" x14ac:dyDescent="0.2">
      <c r="B49" s="39" t="s">
        <v>235</v>
      </c>
      <c r="C49" s="114">
        <v>5</v>
      </c>
    </row>
    <row r="50" spans="2:3" x14ac:dyDescent="0.2">
      <c r="B50" s="1" t="s">
        <v>231</v>
      </c>
      <c r="C50" s="24">
        <f>L18</f>
        <v>21708.802989339194</v>
      </c>
    </row>
    <row r="51" spans="2:3" x14ac:dyDescent="0.2">
      <c r="B51" s="1" t="s">
        <v>215</v>
      </c>
      <c r="C51" s="24">
        <f>(C47*C49)/C50</f>
        <v>548.13433850975355</v>
      </c>
    </row>
    <row r="52" spans="2:3" x14ac:dyDescent="0.2">
      <c r="B52" s="163" t="s">
        <v>232</v>
      </c>
      <c r="C52" s="164">
        <f ca="1">C51/(1+C48)^5</f>
        <v>280.27578900854184</v>
      </c>
    </row>
    <row r="54" spans="2:3" x14ac:dyDescent="0.2">
      <c r="B54" s="247" t="s">
        <v>360</v>
      </c>
      <c r="C54" s="247"/>
    </row>
    <row r="55" spans="2:3" x14ac:dyDescent="0.2">
      <c r="B55" s="1" t="s">
        <v>236</v>
      </c>
      <c r="C55" s="64">
        <f>L8</f>
        <v>199093.66914172584</v>
      </c>
    </row>
    <row r="56" spans="2:3" x14ac:dyDescent="0.2">
      <c r="B56" s="1" t="s">
        <v>188</v>
      </c>
      <c r="C56" s="156">
        <f ca="1">IF(WACC!C21&gt;0,WACC!C21,WACC!C20)</f>
        <v>0.14356349999999998</v>
      </c>
    </row>
    <row r="57" spans="2:3" x14ac:dyDescent="0.2">
      <c r="B57" s="39" t="s">
        <v>237</v>
      </c>
      <c r="C57" s="114">
        <v>30</v>
      </c>
    </row>
    <row r="58" spans="2:3" x14ac:dyDescent="0.2">
      <c r="B58" s="1" t="s">
        <v>231</v>
      </c>
      <c r="C58" s="24">
        <f>L18</f>
        <v>21708.802989339194</v>
      </c>
    </row>
    <row r="59" spans="2:3" x14ac:dyDescent="0.2">
      <c r="B59" s="1" t="s">
        <v>226</v>
      </c>
      <c r="C59" s="24">
        <f>(C55*C57)-G30+G31</f>
        <v>7445296.0742517756</v>
      </c>
    </row>
    <row r="60" spans="2:3" x14ac:dyDescent="0.2">
      <c r="B60" s="1" t="s">
        <v>215</v>
      </c>
      <c r="C60" s="24">
        <f>C59/C58</f>
        <v>342.96207293916791</v>
      </c>
    </row>
    <row r="61" spans="2:3" x14ac:dyDescent="0.2">
      <c r="B61" s="163" t="s">
        <v>232</v>
      </c>
      <c r="C61" s="164">
        <f ca="1">C60/(1+C56)^5</f>
        <v>175.3657066155871</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238</v>
      </c>
    </row>
    <row r="2" spans="1:14" x14ac:dyDescent="0.2">
      <c r="N2" s="93"/>
    </row>
    <row r="3" spans="1:14" x14ac:dyDescent="0.2">
      <c r="N3" s="93"/>
    </row>
    <row r="4" spans="1:14" x14ac:dyDescent="0.2">
      <c r="B4" s="247" t="s">
        <v>239</v>
      </c>
      <c r="C4" s="247"/>
      <c r="N4" s="93"/>
    </row>
    <row r="5" spans="1:14" x14ac:dyDescent="0.2">
      <c r="B5" s="1" t="s">
        <v>240</v>
      </c>
      <c r="C5" s="154">
        <f ca="1">DCF!C26</f>
        <v>4.477244933891166</v>
      </c>
    </row>
    <row r="6" spans="1:14" x14ac:dyDescent="0.2">
      <c r="B6" s="1" t="s">
        <v>241</v>
      </c>
      <c r="C6" s="154">
        <f ca="1">Multiples!C44</f>
        <v>277.1213350873025</v>
      </c>
    </row>
    <row r="7" spans="1:14" x14ac:dyDescent="0.2">
      <c r="B7" s="1" t="s">
        <v>242</v>
      </c>
      <c r="C7" s="154">
        <f ca="1">Multiples!C52</f>
        <v>280.27578900854184</v>
      </c>
    </row>
    <row r="8" spans="1:14" x14ac:dyDescent="0.2">
      <c r="B8" s="1" t="s">
        <v>361</v>
      </c>
      <c r="C8" s="154">
        <f ca="1">Multiples!C61</f>
        <v>175.3657066155871</v>
      </c>
    </row>
    <row r="9" spans="1:14" x14ac:dyDescent="0.2">
      <c r="B9" s="163" t="s">
        <v>243</v>
      </c>
      <c r="C9" s="164">
        <f ca="1">AVERAGE(C5:C8)</f>
        <v>184.31001891133064</v>
      </c>
    </row>
    <row r="10" spans="1:14" x14ac:dyDescent="0.2">
      <c r="B10" s="1" t="s">
        <v>244</v>
      </c>
      <c r="C10" s="154">
        <f ca="1">Overview!C5</f>
        <v>214.75</v>
      </c>
    </row>
    <row r="11" spans="1:14" x14ac:dyDescent="0.2">
      <c r="B11" s="1" t="s">
        <v>245</v>
      </c>
      <c r="C11" s="176">
        <f ca="1">(C9-C10)/C10</f>
        <v>-0.14174612846877466</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41" zoomScale="209" zoomScaleNormal="100" workbookViewId="0">
      <selection activeCell="B47" sqref="B47"/>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246</v>
      </c>
    </row>
    <row r="2" spans="1:28" s="85" customFormat="1" ht="18" customHeight="1" x14ac:dyDescent="0.2">
      <c r="A2" s="4"/>
      <c r="B2" s="84"/>
    </row>
    <row r="3" spans="1:28" x14ac:dyDescent="0.2">
      <c r="A3" s="4"/>
      <c r="C3" s="247" t="s">
        <v>118</v>
      </c>
      <c r="D3" s="247"/>
      <c r="E3" s="247"/>
      <c r="F3" s="247"/>
      <c r="G3" s="256"/>
      <c r="H3" s="257" t="s">
        <v>119</v>
      </c>
      <c r="I3" s="247"/>
      <c r="J3" s="247"/>
      <c r="K3" s="247"/>
      <c r="L3" s="247"/>
      <c r="P3" s="261"/>
      <c r="Q3" s="261"/>
      <c r="R3" s="261"/>
      <c r="S3" s="261"/>
      <c r="T3" s="261"/>
      <c r="U3" s="261"/>
      <c r="V3" s="261"/>
      <c r="W3" s="261"/>
      <c r="X3" s="261"/>
      <c r="Y3" s="261"/>
      <c r="Z3" s="261"/>
      <c r="AB3" s="130"/>
    </row>
    <row r="4" spans="1:28" ht="10" customHeight="1" x14ac:dyDescent="0.2"/>
    <row r="5" spans="1:28" ht="16" customHeight="1" x14ac:dyDescent="0.2">
      <c r="A5" s="88"/>
      <c r="B5" s="60"/>
      <c r="C5" s="258" t="s">
        <v>203</v>
      </c>
      <c r="D5" s="258"/>
      <c r="E5" s="258"/>
      <c r="F5" s="258"/>
      <c r="G5" s="258"/>
      <c r="H5" s="258"/>
      <c r="I5" s="258"/>
      <c r="J5" s="258"/>
      <c r="K5" s="258"/>
      <c r="L5" s="258"/>
      <c r="P5" s="261"/>
      <c r="Q5" s="261"/>
      <c r="R5" s="261"/>
      <c r="S5" s="261"/>
      <c r="T5" s="261"/>
      <c r="U5" s="261"/>
      <c r="V5" s="261"/>
      <c r="W5" s="261"/>
      <c r="X5" s="261"/>
      <c r="Y5" s="261"/>
      <c r="Z5" s="261"/>
      <c r="AB5" s="131"/>
    </row>
    <row r="6" spans="1:28" x14ac:dyDescent="0.2">
      <c r="B6" s="16" t="s">
        <v>155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295</v>
      </c>
      <c r="C7" s="133">
        <f>'FCF &amp; Other'!C28</f>
        <v>-89844.098782818633</v>
      </c>
      <c r="D7" s="133">
        <f>'FCF &amp; Other'!D28</f>
        <v>-147555</v>
      </c>
      <c r="E7" s="133">
        <f>'FCF &amp; Other'!E28</f>
        <v>-14744.51599739783</v>
      </c>
      <c r="F7" s="133">
        <f>'FCF &amp; Other'!F28</f>
        <v>52794.693047390087</v>
      </c>
      <c r="G7" s="134">
        <v>8000</v>
      </c>
      <c r="H7" s="147">
        <f>G7*(1+$C$17)</f>
        <v>17600</v>
      </c>
      <c r="I7" s="147">
        <f t="shared" ref="I7:L7" si="0">H7*(1+$C$17)</f>
        <v>38720</v>
      </c>
      <c r="J7" s="147">
        <f t="shared" si="0"/>
        <v>85184</v>
      </c>
      <c r="K7" s="147">
        <f t="shared" si="0"/>
        <v>187404.80000000002</v>
      </c>
      <c r="L7" s="147">
        <f t="shared" si="0"/>
        <v>412290.56000000006</v>
      </c>
      <c r="N7" s="93"/>
      <c r="O7" s="16"/>
      <c r="P7" s="94"/>
      <c r="Q7" s="94"/>
      <c r="R7" s="94"/>
      <c r="S7" s="94"/>
      <c r="T7" s="94"/>
      <c r="U7" s="94"/>
      <c r="V7" s="94"/>
      <c r="W7" s="94"/>
      <c r="X7" s="96"/>
      <c r="Y7" s="96"/>
      <c r="Z7" s="96"/>
      <c r="AB7" s="96"/>
    </row>
    <row r="8" spans="1:28" x14ac:dyDescent="0.2">
      <c r="B8" s="39" t="s">
        <v>204</v>
      </c>
      <c r="C8" s="159"/>
      <c r="D8" s="159"/>
      <c r="E8" s="159"/>
      <c r="F8" s="159"/>
      <c r="G8" s="160"/>
      <c r="H8" s="159"/>
      <c r="I8" s="159"/>
      <c r="J8" s="159"/>
      <c r="K8" s="159"/>
      <c r="L8" s="147">
        <f ca="1">L7*(1+C20)/(C21-C20)</f>
        <v>3403402.8754446106</v>
      </c>
      <c r="N8" s="93"/>
      <c r="O8" s="16"/>
      <c r="P8" s="94"/>
      <c r="Q8" s="94"/>
      <c r="R8" s="94"/>
      <c r="S8" s="94"/>
      <c r="T8" s="94"/>
      <c r="U8" s="94"/>
      <c r="V8" s="94"/>
      <c r="W8" s="94"/>
      <c r="X8" s="96"/>
      <c r="Y8" s="96"/>
      <c r="Z8" s="96"/>
      <c r="AB8" s="96"/>
    </row>
    <row r="9" spans="1:28" x14ac:dyDescent="0.2">
      <c r="B9" s="1" t="s">
        <v>205</v>
      </c>
      <c r="C9" s="159"/>
      <c r="D9" s="159"/>
      <c r="E9" s="159"/>
      <c r="F9" s="159"/>
      <c r="G9" s="160"/>
      <c r="H9" s="161">
        <v>1</v>
      </c>
      <c r="I9" s="161">
        <v>2</v>
      </c>
      <c r="J9" s="161">
        <v>3</v>
      </c>
      <c r="K9" s="161">
        <v>4</v>
      </c>
      <c r="L9" s="161">
        <v>5</v>
      </c>
      <c r="N9" s="93"/>
    </row>
    <row r="10" spans="1:28" x14ac:dyDescent="0.2">
      <c r="B10" s="1" t="s">
        <v>358</v>
      </c>
      <c r="C10" s="159"/>
      <c r="D10" s="159"/>
      <c r="E10" s="159"/>
      <c r="F10" s="159"/>
      <c r="G10" s="160"/>
      <c r="H10" s="147">
        <f ca="1">H7/(1+$C$21)^H9</f>
        <v>15390.487716685606</v>
      </c>
      <c r="I10" s="147">
        <f t="shared" ref="I10:L10" ca="1" si="1">I7/(1+$C$21)^I9</f>
        <v>29608.389019681315</v>
      </c>
      <c r="J10" s="147">
        <f t="shared" ca="1" si="1"/>
        <v>56960.943439781789</v>
      </c>
      <c r="K10" s="147">
        <f t="shared" ca="1" si="1"/>
        <v>109582.08754259815</v>
      </c>
      <c r="L10" s="147">
        <f t="shared" ca="1" si="1"/>
        <v>210815.22153664046</v>
      </c>
      <c r="N10" s="93"/>
    </row>
    <row r="11" spans="1:28" x14ac:dyDescent="0.2">
      <c r="B11" s="1" t="s">
        <v>206</v>
      </c>
      <c r="C11" s="159"/>
      <c r="D11" s="159"/>
      <c r="E11" s="159"/>
      <c r="F11" s="159"/>
      <c r="G11" s="160"/>
      <c r="H11" s="159"/>
      <c r="I11" s="159"/>
      <c r="J11" s="159"/>
      <c r="K11" s="159"/>
      <c r="L11" s="147">
        <f ca="1">L8/(1+C21)^L9</f>
        <v>1740251.1742332752</v>
      </c>
    </row>
    <row r="13" spans="1:28" ht="17" thickBot="1" x14ac:dyDescent="0.25"/>
    <row r="14" spans="1:28" x14ac:dyDescent="0.2">
      <c r="B14" s="262" t="s">
        <v>247</v>
      </c>
      <c r="C14" s="263"/>
    </row>
    <row r="15" spans="1:28" x14ac:dyDescent="0.2">
      <c r="B15" s="177" t="s">
        <v>248</v>
      </c>
      <c r="C15" s="178">
        <f ca="1">Overview!C5</f>
        <v>214.75</v>
      </c>
    </row>
    <row r="16" spans="1:28" x14ac:dyDescent="0.2">
      <c r="B16" s="177" t="s">
        <v>249</v>
      </c>
      <c r="C16" s="178">
        <f ca="1">C36</f>
        <v>6.6228413838103046</v>
      </c>
    </row>
    <row r="17" spans="2:9" ht="17" thickBot="1" x14ac:dyDescent="0.25">
      <c r="B17" s="179" t="s">
        <v>362</v>
      </c>
      <c r="C17" s="180">
        <v>1.2</v>
      </c>
      <c r="E17" s="264" t="s">
        <v>250</v>
      </c>
      <c r="F17" s="264"/>
      <c r="G17" s="264"/>
      <c r="H17" s="264"/>
      <c r="I17" s="264"/>
    </row>
    <row r="18" spans="2:9" ht="17" thickBot="1" x14ac:dyDescent="0.25"/>
    <row r="19" spans="2:9" x14ac:dyDescent="0.2">
      <c r="B19" s="262" t="s">
        <v>207</v>
      </c>
      <c r="C19" s="263"/>
    </row>
    <row r="20" spans="2:9" x14ac:dyDescent="0.2">
      <c r="B20" s="181" t="s">
        <v>208</v>
      </c>
      <c r="C20" s="182">
        <v>0.02</v>
      </c>
    </row>
    <row r="21" spans="2:9" x14ac:dyDescent="0.2">
      <c r="B21" s="181" t="s">
        <v>188</v>
      </c>
      <c r="C21" s="183">
        <f ca="1">IF(WACC!C21&gt;0,WACC!C21,WACC!C20)</f>
        <v>0.14356349999999998</v>
      </c>
    </row>
    <row r="22" spans="2:9" x14ac:dyDescent="0.2">
      <c r="B22" s="181" t="s">
        <v>69</v>
      </c>
      <c r="C22" s="184">
        <f>Statement!AC73</f>
        <v>523922</v>
      </c>
    </row>
    <row r="23" spans="2:9" x14ac:dyDescent="0.2">
      <c r="B23" s="181" t="s">
        <v>251</v>
      </c>
      <c r="C23" s="184">
        <f ca="1">C15*C22</f>
        <v>112512249.5</v>
      </c>
    </row>
    <row r="24" spans="2:9" x14ac:dyDescent="0.2">
      <c r="B24" s="181" t="s">
        <v>201</v>
      </c>
      <c r="C24" s="184">
        <f>Statement!AC115</f>
        <v>1307244</v>
      </c>
    </row>
    <row r="25" spans="2:9" x14ac:dyDescent="0.2">
      <c r="B25" s="181" t="s">
        <v>192</v>
      </c>
      <c r="C25" s="184">
        <f>Statement!AC116</f>
        <v>0</v>
      </c>
    </row>
    <row r="26" spans="2:9" ht="17" thickBot="1" x14ac:dyDescent="0.25">
      <c r="B26" s="179" t="s">
        <v>252</v>
      </c>
      <c r="C26" s="185">
        <f ca="1">C23+C25-C24</f>
        <v>111205005.5</v>
      </c>
    </row>
    <row r="27" spans="2:9" ht="17" thickBot="1" x14ac:dyDescent="0.25"/>
    <row r="28" spans="2:9" x14ac:dyDescent="0.2">
      <c r="B28" s="262" t="s">
        <v>209</v>
      </c>
      <c r="C28" s="263"/>
    </row>
    <row r="29" spans="2:9" x14ac:dyDescent="0.2">
      <c r="B29" s="181" t="s">
        <v>210</v>
      </c>
      <c r="C29" s="184">
        <f ca="1">SUM(H10:L10)</f>
        <v>422357.12925538735</v>
      </c>
    </row>
    <row r="30" spans="2:9" x14ac:dyDescent="0.2">
      <c r="B30" s="181" t="s">
        <v>206</v>
      </c>
      <c r="C30" s="184">
        <f ca="1">L11</f>
        <v>1740251.1742332752</v>
      </c>
    </row>
    <row r="31" spans="2:9" x14ac:dyDescent="0.2">
      <c r="B31" s="186" t="s">
        <v>211</v>
      </c>
      <c r="C31" s="187">
        <f ca="1">C29+C30</f>
        <v>2162608.3034886625</v>
      </c>
    </row>
    <row r="32" spans="2:9" x14ac:dyDescent="0.2">
      <c r="B32" s="181" t="s">
        <v>212</v>
      </c>
      <c r="C32" s="188">
        <f>C24</f>
        <v>1307244</v>
      </c>
    </row>
    <row r="33" spans="2:12" x14ac:dyDescent="0.2">
      <c r="B33" s="181" t="s">
        <v>213</v>
      </c>
      <c r="C33" s="188">
        <f>C25</f>
        <v>0</v>
      </c>
    </row>
    <row r="34" spans="2:12" x14ac:dyDescent="0.2">
      <c r="B34" s="186" t="s">
        <v>214</v>
      </c>
      <c r="C34" s="187">
        <f ca="1">C31+C32-C33</f>
        <v>3469852.3034886625</v>
      </c>
    </row>
    <row r="35" spans="2:12" x14ac:dyDescent="0.2">
      <c r="B35" s="181" t="s">
        <v>69</v>
      </c>
      <c r="C35" s="184">
        <f>C22</f>
        <v>523922</v>
      </c>
    </row>
    <row r="36" spans="2:12" ht="17" thickBot="1" x14ac:dyDescent="0.25">
      <c r="B36" s="189" t="s">
        <v>215</v>
      </c>
      <c r="C36" s="190">
        <f ca="1">C34/C35</f>
        <v>6.6228413838103046</v>
      </c>
    </row>
    <row r="39" spans="2:12" x14ac:dyDescent="0.2">
      <c r="C39" s="258" t="s">
        <v>253</v>
      </c>
      <c r="D39" s="258"/>
      <c r="E39" s="258"/>
      <c r="F39" s="258"/>
      <c r="G39" s="258"/>
      <c r="H39" s="258"/>
      <c r="I39" s="258"/>
      <c r="J39" s="258"/>
      <c r="K39" s="258"/>
      <c r="L39" s="258"/>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295</v>
      </c>
      <c r="C41" s="133">
        <f>C7</f>
        <v>-89844.098782818633</v>
      </c>
      <c r="D41" s="133">
        <f t="shared" si="2"/>
        <v>-147555</v>
      </c>
      <c r="E41" s="133">
        <f t="shared" si="2"/>
        <v>-14744.51599739783</v>
      </c>
      <c r="F41" s="133">
        <f t="shared" si="2"/>
        <v>52794.693047390087</v>
      </c>
      <c r="G41" s="134">
        <f t="shared" si="2"/>
        <v>8000</v>
      </c>
      <c r="H41" s="165">
        <f t="shared" si="2"/>
        <v>17600</v>
      </c>
      <c r="I41" s="165">
        <f t="shared" si="2"/>
        <v>38720</v>
      </c>
      <c r="J41" s="165">
        <f t="shared" si="2"/>
        <v>85184</v>
      </c>
      <c r="K41" s="165">
        <f t="shared" si="2"/>
        <v>187404.80000000002</v>
      </c>
      <c r="L41" s="165">
        <f t="shared" si="2"/>
        <v>412290.56000000006</v>
      </c>
    </row>
    <row r="42" spans="2:12" x14ac:dyDescent="0.2">
      <c r="B42" s="1" t="s">
        <v>179</v>
      </c>
      <c r="C42" s="133">
        <f>'FCF &amp; Other'!C10</f>
        <v>10041</v>
      </c>
      <c r="D42" s="133">
        <f>'FCF &amp; Other'!D10</f>
        <v>4224</v>
      </c>
      <c r="E42" s="133">
        <f>'FCF &amp; Other'!E10</f>
        <v>32972</v>
      </c>
      <c r="F42" s="133">
        <f>'FCF &amp; Other'!F10</f>
        <v>81453</v>
      </c>
      <c r="G42" s="134">
        <f>'FCF &amp; Other'!G10</f>
        <v>130387</v>
      </c>
      <c r="H42" s="165">
        <f>H41/H43</f>
        <v>15999.999999999998</v>
      </c>
      <c r="I42" s="165">
        <f t="shared" ref="I42:L42" si="3">I41/I43</f>
        <v>35200</v>
      </c>
      <c r="J42" s="165">
        <f t="shared" si="3"/>
        <v>77440</v>
      </c>
      <c r="K42" s="165">
        <f t="shared" si="3"/>
        <v>170368</v>
      </c>
      <c r="L42" s="165">
        <f t="shared" si="3"/>
        <v>374809.60000000003</v>
      </c>
    </row>
    <row r="43" spans="2:12" x14ac:dyDescent="0.2">
      <c r="B43" s="143" t="s">
        <v>363</v>
      </c>
      <c r="C43" s="97">
        <f>C41/C42</f>
        <v>-8.9477242090248605</v>
      </c>
      <c r="D43" s="97">
        <f t="shared" ref="D43:G43" si="4">D41/D42</f>
        <v>-34.932528409090907</v>
      </c>
      <c r="E43" s="97">
        <f t="shared" si="4"/>
        <v>-0.44718294302431849</v>
      </c>
      <c r="F43" s="97">
        <f t="shared" si="4"/>
        <v>0.64816143110002189</v>
      </c>
      <c r="G43" s="98">
        <f t="shared" si="4"/>
        <v>6.1355810011734298E-2</v>
      </c>
      <c r="H43" s="191">
        <v>1.1000000000000001</v>
      </c>
      <c r="I43" s="191">
        <v>1.1000000000000001</v>
      </c>
      <c r="J43" s="191">
        <v>1.1000000000000001</v>
      </c>
      <c r="K43" s="191">
        <v>1.1000000000000001</v>
      </c>
      <c r="L43" s="191">
        <v>1.1000000000000001</v>
      </c>
    </row>
    <row r="44" spans="2:12" x14ac:dyDescent="0.2">
      <c r="B44" s="1" t="s">
        <v>19</v>
      </c>
      <c r="C44" s="133">
        <f>Revenue!C9</f>
        <v>26914</v>
      </c>
      <c r="D44" s="133">
        <f>Revenue!D9</f>
        <v>26974</v>
      </c>
      <c r="E44" s="133">
        <f>Revenue!E9</f>
        <v>60922</v>
      </c>
      <c r="F44" s="133">
        <f>Revenue!F9</f>
        <v>130497</v>
      </c>
      <c r="G44" s="134">
        <f>Revenue!G9</f>
        <v>215938</v>
      </c>
      <c r="H44" s="165">
        <f>H41/H45</f>
        <v>1760000</v>
      </c>
      <c r="I44" s="165">
        <f t="shared" ref="I44:L44" si="5">I41/I45</f>
        <v>1936000</v>
      </c>
      <c r="J44" s="165">
        <f t="shared" si="5"/>
        <v>2028190.476190476</v>
      </c>
      <c r="K44" s="165">
        <f t="shared" si="5"/>
        <v>2677211.4285714286</v>
      </c>
      <c r="L44" s="165">
        <f t="shared" si="5"/>
        <v>2748603.7333333339</v>
      </c>
    </row>
    <row r="45" spans="2:12" x14ac:dyDescent="0.2">
      <c r="B45" s="143" t="s">
        <v>364</v>
      </c>
      <c r="C45" s="97">
        <f>C41/C44</f>
        <v>-3.3381919737987156</v>
      </c>
      <c r="D45" s="97">
        <f t="shared" ref="D45:G45" si="6">D41/D44</f>
        <v>-5.4702676651590423</v>
      </c>
      <c r="E45" s="97">
        <f t="shared" si="6"/>
        <v>-0.24202284884602984</v>
      </c>
      <c r="F45" s="97">
        <f t="shared" si="6"/>
        <v>0.40456633522142338</v>
      </c>
      <c r="G45" s="98">
        <f t="shared" si="6"/>
        <v>3.7047671090776058E-2</v>
      </c>
      <c r="H45" s="191">
        <v>0.01</v>
      </c>
      <c r="I45" s="191">
        <v>0.02</v>
      </c>
      <c r="J45" s="191">
        <v>4.2000000000000003E-2</v>
      </c>
      <c r="K45" s="191">
        <v>7.0000000000000007E-2</v>
      </c>
      <c r="L45" s="191">
        <v>0.15</v>
      </c>
    </row>
    <row r="46" spans="2:12" x14ac:dyDescent="0.2">
      <c r="B46" s="143" t="s">
        <v>365</v>
      </c>
      <c r="C46" s="159"/>
      <c r="D46" s="97">
        <f>D41/C41-1</f>
        <v>0.64234492859332604</v>
      </c>
      <c r="E46" s="97">
        <f t="shared" ref="E46:L47" si="7">E41/D41-1</f>
        <v>-0.90007444005694259</v>
      </c>
      <c r="F46" s="97">
        <f t="shared" si="7"/>
        <v>-4.5806324912060532</v>
      </c>
      <c r="G46" s="98">
        <f t="shared" si="7"/>
        <v>-0.84846961809553545</v>
      </c>
      <c r="H46" s="192">
        <f t="shared" si="7"/>
        <v>1.2000000000000002</v>
      </c>
      <c r="I46" s="192">
        <f t="shared" si="7"/>
        <v>1.2000000000000002</v>
      </c>
      <c r="J46" s="192">
        <f t="shared" si="7"/>
        <v>1.2000000000000002</v>
      </c>
      <c r="K46" s="192">
        <f t="shared" si="7"/>
        <v>1.2000000000000002</v>
      </c>
      <c r="L46" s="192">
        <f t="shared" si="7"/>
        <v>1.2000000000000002</v>
      </c>
    </row>
    <row r="47" spans="2:12" x14ac:dyDescent="0.2">
      <c r="B47" s="143" t="s">
        <v>254</v>
      </c>
      <c r="C47" s="159"/>
      <c r="D47" s="97">
        <f>D42/C42-1</f>
        <v>-0.57932476844935765</v>
      </c>
      <c r="E47" s="97">
        <f t="shared" si="7"/>
        <v>6.8058712121212119</v>
      </c>
      <c r="F47" s="97">
        <f t="shared" si="7"/>
        <v>1.470368797767803</v>
      </c>
      <c r="G47" s="98">
        <f t="shared" si="7"/>
        <v>0.60076363055995485</v>
      </c>
      <c r="H47" s="192">
        <f t="shared" si="7"/>
        <v>-0.87728837997653142</v>
      </c>
      <c r="I47" s="192">
        <f t="shared" si="7"/>
        <v>1.2000000000000002</v>
      </c>
      <c r="J47" s="192">
        <f t="shared" si="7"/>
        <v>1.2000000000000002</v>
      </c>
      <c r="K47" s="192">
        <f t="shared" si="7"/>
        <v>1.2000000000000002</v>
      </c>
      <c r="L47" s="192">
        <f t="shared" si="7"/>
        <v>1.2000000000000002</v>
      </c>
    </row>
    <row r="48" spans="2:12" x14ac:dyDescent="0.2">
      <c r="B48" s="143" t="s">
        <v>255</v>
      </c>
      <c r="C48" s="159"/>
      <c r="D48" s="97">
        <f>D44/C44-1</f>
        <v>2.2293230289069932E-3</v>
      </c>
      <c r="E48" s="97">
        <f t="shared" ref="E48:L48" si="8">E44/D44-1</f>
        <v>1.2585452658115224</v>
      </c>
      <c r="F48" s="97">
        <f t="shared" si="8"/>
        <v>1.1420340763599355</v>
      </c>
      <c r="G48" s="98">
        <f t="shared" si="8"/>
        <v>0.65473535790094783</v>
      </c>
      <c r="H48" s="192">
        <f t="shared" si="8"/>
        <v>7.1504876399707324</v>
      </c>
      <c r="I48" s="192">
        <f t="shared" si="8"/>
        <v>0.10000000000000009</v>
      </c>
      <c r="J48" s="192">
        <f t="shared" si="8"/>
        <v>4.761904761904745E-2</v>
      </c>
      <c r="K48" s="192">
        <f t="shared" si="8"/>
        <v>0.32000000000000006</v>
      </c>
      <c r="L48" s="192">
        <f t="shared" si="8"/>
        <v>2.6666666666666838E-2</v>
      </c>
    </row>
    <row r="49" spans="2:12" x14ac:dyDescent="0.2">
      <c r="B49" s="143" t="s">
        <v>256</v>
      </c>
      <c r="C49" s="97">
        <f>C42/C44</f>
        <v>0.37307720888756779</v>
      </c>
      <c r="D49" s="97">
        <f t="shared" ref="D49:L49" si="9">D42/D44</f>
        <v>0.1565952398606065</v>
      </c>
      <c r="E49" s="97">
        <f t="shared" si="9"/>
        <v>0.54121663766783756</v>
      </c>
      <c r="F49" s="97">
        <f t="shared" si="9"/>
        <v>0.62417526839697468</v>
      </c>
      <c r="G49" s="98">
        <f t="shared" si="9"/>
        <v>0.60381683631412719</v>
      </c>
      <c r="H49" s="192">
        <f t="shared" si="9"/>
        <v>9.0909090909090905E-3</v>
      </c>
      <c r="I49" s="192">
        <f t="shared" si="9"/>
        <v>1.8181818181818181E-2</v>
      </c>
      <c r="J49" s="192">
        <f t="shared" si="9"/>
        <v>3.8181818181818185E-2</v>
      </c>
      <c r="K49" s="192">
        <f t="shared" si="9"/>
        <v>6.363636363636363E-2</v>
      </c>
      <c r="L49" s="192">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2026-06-03T22:12:29Z</dcterms:modified>
</cp:coreProperties>
</file>