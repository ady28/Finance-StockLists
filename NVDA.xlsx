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defaultThemeVersion="202300"/>
  <mc:AlternateContent xmlns:mc="http://schemas.openxmlformats.org/markup-compatibility/2006">
    <mc:Choice Requires="x15">
      <x15ac:absPath xmlns:x15ac="http://schemas.microsoft.com/office/spreadsheetml/2010/11/ac" url="/Volumes/KINGSTON/MyStockData/Finance-StockLists/"/>
    </mc:Choice>
  </mc:AlternateContent>
  <xr:revisionPtr revIDLastSave="0" documentId="13_ncr:1_{32E67464-8BDE-5E4E-A37E-2366D603D2B0}" xr6:coauthVersionLast="47" xr6:coauthVersionMax="47" xr10:uidLastSave="{00000000-0000-0000-0000-000000000000}"/>
  <bookViews>
    <workbookView xWindow="0" yWindow="0" windowWidth="25600" windowHeight="14400" xr2:uid="{AEC0C047-6E16-294C-82BD-58123BA913A1}"/>
  </bookViews>
  <sheets>
    <sheet name="Overview" sheetId="1" r:id="rId1"/>
    <sheet name="Financials -&gt;" sheetId="2" r:id="rId2"/>
    <sheet name="Statement" sheetId="3" r:id="rId3"/>
    <sheet name="Analysis -&gt;" sheetId="15" r:id="rId4"/>
    <sheet name="Basic" sheetId="16" r:id="rId5"/>
    <sheet name="Yearly Analysis" sheetId="17" r:id="rId6"/>
    <sheet name="Quarter analysis" sheetId="18" r:id="rId7"/>
    <sheet name="Graphs Year" sheetId="19" r:id="rId8"/>
    <sheet name="Graphs Quarter" sheetId="20" r:id="rId9"/>
    <sheet name="Forecast -&gt;" sheetId="4" r:id="rId10"/>
    <sheet name="Revenue" sheetId="5" r:id="rId11"/>
    <sheet name="COGS &amp; OpEx" sheetId="6" r:id="rId12"/>
    <sheet name="WC &amp; Investments" sheetId="7" r:id="rId13"/>
    <sheet name="FCF &amp; Other" sheetId="8" r:id="rId14"/>
    <sheet name="Valuation -&gt;" sheetId="9" r:id="rId15"/>
    <sheet name="WACC" sheetId="10" r:id="rId16"/>
    <sheet name="DCF" sheetId="11" r:id="rId17"/>
    <sheet name="Multiples" sheetId="12" r:id="rId18"/>
    <sheet name="AVG target price" sheetId="13" r:id="rId19"/>
    <sheet name="DDM" sheetId="21" r:id="rId20"/>
    <sheet name="Reverse DCF" sheetId="14" r:id="rId21"/>
  </sheets>
  <externalReferences>
    <externalReference r:id="rId22"/>
    <externalReference r:id="rId23"/>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0" i="3" l="1"/>
  <c r="I13" i="1"/>
  <c r="H7" i="1"/>
  <c r="H6" i="1"/>
  <c r="C83" i="12"/>
  <c r="C81" i="12"/>
  <c r="C80" i="12"/>
  <c r="C75" i="12"/>
  <c r="C74" i="12"/>
  <c r="C77" i="12" s="1"/>
  <c r="G36" i="12"/>
  <c r="F36" i="12"/>
  <c r="E36" i="12"/>
  <c r="D36" i="12"/>
  <c r="C36" i="12"/>
  <c r="AA28" i="3"/>
  <c r="Z199" i="3"/>
  <c r="Y199" i="3"/>
  <c r="X199" i="3"/>
  <c r="W199" i="3"/>
  <c r="V199" i="3"/>
  <c r="U199" i="3"/>
  <c r="T199" i="3"/>
  <c r="Z198" i="3"/>
  <c r="Y198" i="3"/>
  <c r="X198" i="3"/>
  <c r="W198" i="3"/>
  <c r="V198" i="3"/>
  <c r="U198" i="3"/>
  <c r="T198" i="3"/>
  <c r="Z197" i="3"/>
  <c r="Y197" i="3"/>
  <c r="X197" i="3"/>
  <c r="W197" i="3"/>
  <c r="V197" i="3"/>
  <c r="U197" i="3"/>
  <c r="T197" i="3"/>
  <c r="Z196" i="3"/>
  <c r="Y196" i="3"/>
  <c r="X196" i="3"/>
  <c r="W196" i="3"/>
  <c r="V196" i="3"/>
  <c r="U196" i="3"/>
  <c r="T196" i="3"/>
  <c r="Z181" i="3"/>
  <c r="Y181" i="3"/>
  <c r="X181" i="3"/>
  <c r="W181" i="3"/>
  <c r="V181" i="3"/>
  <c r="U181" i="3"/>
  <c r="T181" i="3"/>
  <c r="Z180" i="3"/>
  <c r="Y180" i="3"/>
  <c r="X180" i="3"/>
  <c r="W180" i="3"/>
  <c r="V180" i="3"/>
  <c r="U180" i="3"/>
  <c r="T180" i="3"/>
  <c r="Z179" i="3"/>
  <c r="Y179" i="3"/>
  <c r="X179" i="3"/>
  <c r="W179" i="3"/>
  <c r="V179" i="3"/>
  <c r="U179" i="3"/>
  <c r="T179" i="3"/>
  <c r="Z176" i="3"/>
  <c r="Y176" i="3"/>
  <c r="X176" i="3"/>
  <c r="W176" i="3"/>
  <c r="V176" i="3"/>
  <c r="U176" i="3"/>
  <c r="T176" i="3"/>
  <c r="Z175" i="3"/>
  <c r="Y175" i="3"/>
  <c r="X175" i="3"/>
  <c r="W175" i="3"/>
  <c r="V175" i="3"/>
  <c r="U175" i="3"/>
  <c r="T175" i="3"/>
  <c r="Z159" i="3"/>
  <c r="Y159" i="3"/>
  <c r="X159" i="3"/>
  <c r="W159" i="3"/>
  <c r="V159" i="3"/>
  <c r="U159" i="3"/>
  <c r="T159" i="3"/>
  <c r="Z150" i="3"/>
  <c r="Y150" i="3"/>
  <c r="X150" i="3"/>
  <c r="W150" i="3"/>
  <c r="V150" i="3"/>
  <c r="U150" i="3"/>
  <c r="T150" i="3"/>
  <c r="Z147" i="3"/>
  <c r="Y147" i="3"/>
  <c r="Z145" i="3"/>
  <c r="Y145" i="3"/>
  <c r="X145" i="3"/>
  <c r="W145" i="3"/>
  <c r="V145" i="3"/>
  <c r="U145" i="3"/>
  <c r="T145" i="3"/>
  <c r="Z144" i="3"/>
  <c r="Y144" i="3"/>
  <c r="X144" i="3"/>
  <c r="W144" i="3"/>
  <c r="V144" i="3"/>
  <c r="U144" i="3"/>
  <c r="T144" i="3"/>
  <c r="Z143" i="3"/>
  <c r="Z146" i="3" s="1"/>
  <c r="Y143" i="3"/>
  <c r="Y146" i="3" s="1"/>
  <c r="X143" i="3"/>
  <c r="X146" i="3" s="1"/>
  <c r="W143" i="3"/>
  <c r="W146" i="3" s="1"/>
  <c r="V143" i="3"/>
  <c r="V146" i="3" s="1"/>
  <c r="U143" i="3"/>
  <c r="U146" i="3" s="1"/>
  <c r="T143" i="3"/>
  <c r="T146" i="3" s="1"/>
  <c r="Z129" i="3"/>
  <c r="Z130" i="3" s="1"/>
  <c r="Y129" i="3"/>
  <c r="Y130" i="3" s="1"/>
  <c r="X129" i="3"/>
  <c r="X130" i="3" s="1"/>
  <c r="W129" i="3"/>
  <c r="W130" i="3" s="1"/>
  <c r="V129" i="3"/>
  <c r="V130" i="3" s="1"/>
  <c r="U129" i="3"/>
  <c r="U130" i="3" s="1"/>
  <c r="T129" i="3"/>
  <c r="T130" i="3" s="1"/>
  <c r="Z115" i="3"/>
  <c r="Y115" i="3"/>
  <c r="X115" i="3"/>
  <c r="W115" i="3"/>
  <c r="V115" i="3"/>
  <c r="U115" i="3"/>
  <c r="T115" i="3"/>
  <c r="Z110" i="3"/>
  <c r="Y110" i="3"/>
  <c r="X110" i="3"/>
  <c r="W110" i="3"/>
  <c r="V110" i="3"/>
  <c r="U110" i="3"/>
  <c r="T110" i="3"/>
  <c r="Z109" i="3"/>
  <c r="Y109" i="3"/>
  <c r="X109" i="3"/>
  <c r="W109" i="3"/>
  <c r="V109" i="3"/>
  <c r="U109" i="3"/>
  <c r="T109" i="3"/>
  <c r="Z108" i="3"/>
  <c r="Y108" i="3"/>
  <c r="X108" i="3"/>
  <c r="W108" i="3"/>
  <c r="V108" i="3"/>
  <c r="U108" i="3"/>
  <c r="T108" i="3"/>
  <c r="Z106" i="3"/>
  <c r="Y106" i="3"/>
  <c r="X106" i="3"/>
  <c r="X147" i="3" s="1"/>
  <c r="W106" i="3"/>
  <c r="W147" i="3" s="1"/>
  <c r="V106" i="3"/>
  <c r="V147" i="3" s="1"/>
  <c r="U106" i="3"/>
  <c r="U147" i="3" s="1"/>
  <c r="T106" i="3"/>
  <c r="T147" i="3" s="1"/>
  <c r="Z101" i="3"/>
  <c r="Y101" i="3"/>
  <c r="X101" i="3"/>
  <c r="W101" i="3"/>
  <c r="V101" i="3"/>
  <c r="U101" i="3"/>
  <c r="T101" i="3"/>
  <c r="Z100" i="3"/>
  <c r="Y100" i="3"/>
  <c r="X100" i="3"/>
  <c r="W100" i="3"/>
  <c r="V100" i="3"/>
  <c r="U100" i="3"/>
  <c r="T100" i="3"/>
  <c r="Z96" i="3"/>
  <c r="Y96" i="3"/>
  <c r="X96" i="3"/>
  <c r="W96" i="3"/>
  <c r="V96" i="3"/>
  <c r="U96" i="3"/>
  <c r="T96" i="3"/>
  <c r="Z95" i="3"/>
  <c r="Y95" i="3"/>
  <c r="X95" i="3"/>
  <c r="W95" i="3"/>
  <c r="V95" i="3"/>
  <c r="U95" i="3"/>
  <c r="T95" i="3"/>
  <c r="Z94" i="3"/>
  <c r="Y94" i="3"/>
  <c r="X94" i="3"/>
  <c r="W94" i="3"/>
  <c r="V94" i="3"/>
  <c r="U94" i="3"/>
  <c r="T94" i="3"/>
  <c r="Z92" i="3"/>
  <c r="Y92" i="3"/>
  <c r="X92" i="3"/>
  <c r="W92" i="3"/>
  <c r="V92" i="3"/>
  <c r="U92" i="3"/>
  <c r="T92" i="3"/>
  <c r="Z91" i="3"/>
  <c r="Y91" i="3"/>
  <c r="X91" i="3"/>
  <c r="W91" i="3"/>
  <c r="V91" i="3"/>
  <c r="U91" i="3"/>
  <c r="T91" i="3"/>
  <c r="Z89" i="3"/>
  <c r="Y89" i="3"/>
  <c r="X89" i="3"/>
  <c r="W89" i="3"/>
  <c r="V89" i="3"/>
  <c r="U89" i="3"/>
  <c r="T89" i="3"/>
  <c r="Z88" i="3"/>
  <c r="Y88" i="3"/>
  <c r="X88" i="3"/>
  <c r="W88" i="3"/>
  <c r="V88" i="3"/>
  <c r="U88" i="3"/>
  <c r="T88" i="3"/>
  <c r="Z82" i="3"/>
  <c r="Z104" i="3" s="1"/>
  <c r="Y82" i="3"/>
  <c r="Y104" i="3" s="1"/>
  <c r="X82" i="3"/>
  <c r="X104" i="3" s="1"/>
  <c r="W82" i="3"/>
  <c r="W104" i="3" s="1"/>
  <c r="V82" i="3"/>
  <c r="V104" i="3" s="1"/>
  <c r="U82" i="3"/>
  <c r="U104" i="3" s="1"/>
  <c r="T82" i="3"/>
  <c r="T104" i="3" s="1"/>
  <c r="Z81" i="3"/>
  <c r="Y81" i="3"/>
  <c r="X81" i="3"/>
  <c r="W81" i="3"/>
  <c r="V81" i="3"/>
  <c r="U81" i="3"/>
  <c r="T81" i="3"/>
  <c r="Z76" i="3"/>
  <c r="Y76" i="3"/>
  <c r="X76" i="3"/>
  <c r="W76" i="3"/>
  <c r="V76" i="3"/>
  <c r="U76" i="3"/>
  <c r="T76" i="3"/>
  <c r="Z74" i="3"/>
  <c r="Y74" i="3"/>
  <c r="X74" i="3"/>
  <c r="W74" i="3"/>
  <c r="V74" i="3"/>
  <c r="U74" i="3"/>
  <c r="T74" i="3"/>
  <c r="Z70" i="3"/>
  <c r="Y70" i="3"/>
  <c r="X70" i="3"/>
  <c r="W70" i="3"/>
  <c r="V70" i="3"/>
  <c r="U70" i="3"/>
  <c r="T70" i="3"/>
  <c r="Z57" i="3"/>
  <c r="Y57" i="3"/>
  <c r="X57" i="3"/>
  <c r="W57" i="3"/>
  <c r="V57" i="3"/>
  <c r="U57" i="3"/>
  <c r="T57" i="3"/>
  <c r="Z41" i="3"/>
  <c r="Y41" i="3"/>
  <c r="X41" i="3"/>
  <c r="W41" i="3"/>
  <c r="V41" i="3"/>
  <c r="U41" i="3"/>
  <c r="T41" i="3"/>
  <c r="Z35" i="3"/>
  <c r="Y35" i="3"/>
  <c r="X35" i="3"/>
  <c r="W35" i="3"/>
  <c r="V35" i="3"/>
  <c r="U35" i="3"/>
  <c r="T35" i="3"/>
  <c r="Z28" i="3"/>
  <c r="Z105" i="3" s="1"/>
  <c r="Y28" i="3"/>
  <c r="Y105" i="3" s="1"/>
  <c r="X28" i="3"/>
  <c r="X105" i="3" s="1"/>
  <c r="W28" i="3"/>
  <c r="W105" i="3" s="1"/>
  <c r="V28" i="3"/>
  <c r="V105" i="3" s="1"/>
  <c r="U28" i="3"/>
  <c r="U105" i="3" s="1"/>
  <c r="T28" i="3"/>
  <c r="T105" i="3" s="1"/>
  <c r="Z25" i="3"/>
  <c r="Y25" i="3"/>
  <c r="X25" i="3"/>
  <c r="W25" i="3"/>
  <c r="V25" i="3"/>
  <c r="U25" i="3"/>
  <c r="T25" i="3"/>
  <c r="Z23" i="3"/>
  <c r="Y23" i="3"/>
  <c r="X23" i="3"/>
  <c r="W23" i="3"/>
  <c r="V23" i="3"/>
  <c r="U23" i="3"/>
  <c r="T23" i="3"/>
  <c r="Z21" i="3"/>
  <c r="Y21" i="3"/>
  <c r="X21" i="3"/>
  <c r="W21" i="3"/>
  <c r="V21" i="3"/>
  <c r="U21" i="3"/>
  <c r="T21" i="3"/>
  <c r="Z19" i="3"/>
  <c r="Y19" i="3"/>
  <c r="X19" i="3"/>
  <c r="W19" i="3"/>
  <c r="V19" i="3"/>
  <c r="U19" i="3"/>
  <c r="T19" i="3"/>
  <c r="Z12" i="3"/>
  <c r="Z151" i="3" s="1"/>
  <c r="Y12" i="3"/>
  <c r="Y151" i="3" s="1"/>
  <c r="X12" i="3"/>
  <c r="W12" i="3"/>
  <c r="W151" i="3" s="1"/>
  <c r="V12" i="3"/>
  <c r="V151" i="3" s="1"/>
  <c r="U12" i="3"/>
  <c r="U151" i="3" s="1"/>
  <c r="T12" i="3"/>
  <c r="T151" i="3" s="1"/>
  <c r="Z10" i="3"/>
  <c r="Y10" i="3"/>
  <c r="X10" i="3"/>
  <c r="W10" i="3"/>
  <c r="V10" i="3"/>
  <c r="U10" i="3"/>
  <c r="T10" i="3"/>
  <c r="Z7" i="3"/>
  <c r="Z99" i="3" s="1"/>
  <c r="Y133" i="3" s="1"/>
  <c r="Y134" i="3" s="1"/>
  <c r="Y7" i="3"/>
  <c r="X7" i="3"/>
  <c r="W7" i="3"/>
  <c r="V7" i="3"/>
  <c r="U7" i="3"/>
  <c r="T7" i="3"/>
  <c r="AA115" i="3"/>
  <c r="C24" i="21"/>
  <c r="G7" i="21"/>
  <c r="F7" i="21"/>
  <c r="E7" i="21"/>
  <c r="D7" i="21"/>
  <c r="C7" i="21"/>
  <c r="G6" i="21"/>
  <c r="F6" i="21"/>
  <c r="E6" i="21"/>
  <c r="D6" i="21"/>
  <c r="C6" i="21"/>
  <c r="G11" i="21"/>
  <c r="F11" i="21"/>
  <c r="E11" i="21"/>
  <c r="L5" i="21"/>
  <c r="K5" i="21"/>
  <c r="J5" i="21"/>
  <c r="I5" i="21"/>
  <c r="H5" i="21"/>
  <c r="G5" i="21"/>
  <c r="F5" i="21"/>
  <c r="E5" i="21"/>
  <c r="D5" i="21"/>
  <c r="C5" i="21"/>
  <c r="C54" i="12"/>
  <c r="I18" i="1" s="1"/>
  <c r="G45" i="7"/>
  <c r="F45" i="7"/>
  <c r="E45" i="7"/>
  <c r="D45" i="7"/>
  <c r="C45" i="7"/>
  <c r="L73" i="19"/>
  <c r="K73" i="19"/>
  <c r="J73" i="19"/>
  <c r="I73" i="19"/>
  <c r="H73" i="19"/>
  <c r="G73" i="19"/>
  <c r="F73" i="19"/>
  <c r="E73" i="19"/>
  <c r="D73" i="19"/>
  <c r="L72" i="19"/>
  <c r="K72" i="19"/>
  <c r="J72" i="19"/>
  <c r="I72" i="19"/>
  <c r="H72" i="19"/>
  <c r="G72" i="19"/>
  <c r="F72" i="19"/>
  <c r="E72" i="19"/>
  <c r="D72" i="19"/>
  <c r="L71" i="19"/>
  <c r="K71" i="19"/>
  <c r="J71" i="19"/>
  <c r="I71" i="19"/>
  <c r="H71" i="19"/>
  <c r="G71" i="19"/>
  <c r="F71" i="19"/>
  <c r="E71" i="19"/>
  <c r="D71" i="19"/>
  <c r="C73" i="19"/>
  <c r="C72" i="19"/>
  <c r="C71" i="19"/>
  <c r="Q182" i="3"/>
  <c r="P182" i="3"/>
  <c r="O182" i="3"/>
  <c r="N182" i="3"/>
  <c r="M182" i="3"/>
  <c r="Q185" i="3"/>
  <c r="P185" i="3"/>
  <c r="O185" i="3"/>
  <c r="N185" i="3"/>
  <c r="M185" i="3"/>
  <c r="AC33" i="3"/>
  <c r="Q208" i="3"/>
  <c r="P208" i="3"/>
  <c r="O208" i="3"/>
  <c r="N208" i="3"/>
  <c r="Z9" i="5"/>
  <c r="Y9" i="5"/>
  <c r="X9" i="5"/>
  <c r="W9" i="5"/>
  <c r="V9" i="5"/>
  <c r="U9" i="5"/>
  <c r="T9" i="5"/>
  <c r="S9" i="5"/>
  <c r="G9" i="5"/>
  <c r="F9" i="5"/>
  <c r="E9" i="5"/>
  <c r="D9" i="5"/>
  <c r="C9" i="5"/>
  <c r="B9" i="5"/>
  <c r="J65" i="20"/>
  <c r="I65" i="20"/>
  <c r="H65" i="20"/>
  <c r="G65" i="20"/>
  <c r="F65" i="20"/>
  <c r="E65" i="20"/>
  <c r="D65" i="20"/>
  <c r="C65" i="20"/>
  <c r="L67" i="19"/>
  <c r="K67" i="19"/>
  <c r="J67" i="19"/>
  <c r="I67" i="19"/>
  <c r="H67" i="19"/>
  <c r="G67" i="19"/>
  <c r="F67" i="19"/>
  <c r="E67" i="19"/>
  <c r="D67" i="19"/>
  <c r="C67" i="19"/>
  <c r="G30" i="18"/>
  <c r="F30" i="18"/>
  <c r="D30" i="18"/>
  <c r="C30" i="18"/>
  <c r="C95" i="17"/>
  <c r="AA199" i="3"/>
  <c r="Q199" i="3"/>
  <c r="P199" i="3"/>
  <c r="O199" i="3"/>
  <c r="N199" i="3"/>
  <c r="M199" i="3"/>
  <c r="AC192" i="3"/>
  <c r="AA137" i="3"/>
  <c r="AA133" i="3"/>
  <c r="G10" i="16"/>
  <c r="M57" i="3"/>
  <c r="N57" i="3"/>
  <c r="P59" i="3"/>
  <c r="O57" i="3"/>
  <c r="P57" i="3"/>
  <c r="Q57" i="3"/>
  <c r="M28" i="3"/>
  <c r="N28" i="3"/>
  <c r="O28" i="3"/>
  <c r="P28" i="3"/>
  <c r="Q28" i="3"/>
  <c r="M12" i="3"/>
  <c r="N10" i="3"/>
  <c r="O12" i="3"/>
  <c r="P12" i="3"/>
  <c r="Q12" i="3"/>
  <c r="Q115" i="3"/>
  <c r="P115" i="3"/>
  <c r="O115" i="3"/>
  <c r="N115" i="3"/>
  <c r="M115" i="3"/>
  <c r="F26" i="1" a="1"/>
  <c r="J64" i="20"/>
  <c r="I64" i="20"/>
  <c r="H64" i="20"/>
  <c r="G64" i="20"/>
  <c r="F64" i="20"/>
  <c r="E64" i="20"/>
  <c r="D64" i="20"/>
  <c r="J63" i="20"/>
  <c r="I63" i="20"/>
  <c r="H63" i="20"/>
  <c r="G63" i="20"/>
  <c r="F63" i="20"/>
  <c r="E63" i="20"/>
  <c r="D63" i="20"/>
  <c r="C64" i="20"/>
  <c r="C63" i="20"/>
  <c r="J59" i="20"/>
  <c r="I59" i="20"/>
  <c r="H59" i="20"/>
  <c r="G59" i="20"/>
  <c r="F59" i="20"/>
  <c r="E59" i="20"/>
  <c r="D59" i="20"/>
  <c r="C59" i="20"/>
  <c r="J58" i="20"/>
  <c r="I58" i="20"/>
  <c r="H58" i="20"/>
  <c r="G58" i="20"/>
  <c r="F58" i="20"/>
  <c r="E58" i="20"/>
  <c r="D58" i="20"/>
  <c r="C58" i="20"/>
  <c r="J57" i="20"/>
  <c r="I57" i="20"/>
  <c r="H57" i="20"/>
  <c r="G57" i="20"/>
  <c r="F57" i="20"/>
  <c r="E57" i="20"/>
  <c r="D57" i="20"/>
  <c r="C57" i="20"/>
  <c r="J56" i="20"/>
  <c r="I56" i="20"/>
  <c r="H56" i="20"/>
  <c r="G56" i="20"/>
  <c r="F56" i="20"/>
  <c r="E56" i="20"/>
  <c r="D56" i="20"/>
  <c r="J55" i="20"/>
  <c r="I55" i="20"/>
  <c r="H55" i="20"/>
  <c r="G55" i="20"/>
  <c r="F55" i="20"/>
  <c r="E55" i="20"/>
  <c r="D55" i="20"/>
  <c r="C56" i="20"/>
  <c r="C55" i="20"/>
  <c r="G70" i="19"/>
  <c r="F70" i="19"/>
  <c r="E70" i="19"/>
  <c r="D70" i="19"/>
  <c r="C70" i="19"/>
  <c r="G69" i="19"/>
  <c r="F69" i="19"/>
  <c r="E69" i="19"/>
  <c r="D69" i="19"/>
  <c r="C69" i="19"/>
  <c r="G68" i="19"/>
  <c r="F68" i="19"/>
  <c r="E68" i="19"/>
  <c r="D68" i="19"/>
  <c r="C68" i="19"/>
  <c r="J66" i="19"/>
  <c r="I66" i="19"/>
  <c r="H66" i="19"/>
  <c r="G66" i="19"/>
  <c r="F66" i="19"/>
  <c r="E66" i="19"/>
  <c r="D66" i="19"/>
  <c r="C66" i="19"/>
  <c r="J65" i="19"/>
  <c r="I65" i="19"/>
  <c r="H65" i="19"/>
  <c r="G65" i="19"/>
  <c r="F65" i="19"/>
  <c r="E65" i="19"/>
  <c r="D65" i="19"/>
  <c r="C65" i="19"/>
  <c r="G64" i="19"/>
  <c r="F64" i="19"/>
  <c r="E64" i="19"/>
  <c r="D64" i="19"/>
  <c r="G63" i="19"/>
  <c r="F63" i="19"/>
  <c r="E63" i="19"/>
  <c r="D63" i="19"/>
  <c r="G62" i="19"/>
  <c r="F62" i="19"/>
  <c r="E62" i="19"/>
  <c r="D62" i="19"/>
  <c r="C64" i="19"/>
  <c r="C63" i="19"/>
  <c r="C62" i="19"/>
  <c r="G61" i="19"/>
  <c r="F61" i="19"/>
  <c r="E61" i="19"/>
  <c r="D61" i="19"/>
  <c r="G60" i="19"/>
  <c r="F60" i="19"/>
  <c r="E60" i="19"/>
  <c r="D60" i="19"/>
  <c r="C61" i="19"/>
  <c r="C60" i="19"/>
  <c r="L59" i="19"/>
  <c r="K59" i="19"/>
  <c r="J59" i="19"/>
  <c r="I59" i="19"/>
  <c r="H59" i="19"/>
  <c r="G59" i="19"/>
  <c r="F59" i="19"/>
  <c r="E59" i="19"/>
  <c r="D59" i="19"/>
  <c r="C59" i="19"/>
  <c r="L58" i="19"/>
  <c r="K58" i="19"/>
  <c r="J58" i="19"/>
  <c r="I58" i="19"/>
  <c r="H58" i="19"/>
  <c r="G58" i="19"/>
  <c r="F58" i="19"/>
  <c r="E58" i="19"/>
  <c r="D58" i="19"/>
  <c r="C58" i="19"/>
  <c r="L57" i="19"/>
  <c r="K57" i="19"/>
  <c r="J57" i="19"/>
  <c r="I57" i="19"/>
  <c r="H57" i="19"/>
  <c r="G57" i="19"/>
  <c r="F57" i="19"/>
  <c r="E57" i="19"/>
  <c r="D57" i="19"/>
  <c r="C57" i="19"/>
  <c r="L56" i="19"/>
  <c r="K56" i="19"/>
  <c r="J56" i="19"/>
  <c r="I56" i="19"/>
  <c r="H56" i="19"/>
  <c r="G56" i="19"/>
  <c r="F56" i="19"/>
  <c r="E56" i="19"/>
  <c r="D56" i="19"/>
  <c r="L55" i="19"/>
  <c r="K55" i="19"/>
  <c r="J55" i="19"/>
  <c r="I55" i="19"/>
  <c r="H55" i="19"/>
  <c r="G55" i="19"/>
  <c r="F55" i="19"/>
  <c r="E55" i="19"/>
  <c r="D55" i="19"/>
  <c r="C56" i="19"/>
  <c r="C55" i="19"/>
  <c r="G7" i="16"/>
  <c r="F7" i="16"/>
  <c r="L70" i="3"/>
  <c r="K70" i="3"/>
  <c r="J70" i="3"/>
  <c r="I70" i="3"/>
  <c r="H70" i="3"/>
  <c r="G70" i="3"/>
  <c r="F70" i="3"/>
  <c r="E70" i="3"/>
  <c r="D70" i="3"/>
  <c r="C70" i="3"/>
  <c r="Q203" i="3"/>
  <c r="P203" i="3"/>
  <c r="O203" i="3"/>
  <c r="N203" i="3"/>
  <c r="M203" i="3"/>
  <c r="AC83" i="3"/>
  <c r="AC44" i="3"/>
  <c r="AC64" i="3"/>
  <c r="AA110" i="3"/>
  <c r="Q110" i="3"/>
  <c r="P110" i="3"/>
  <c r="O110" i="3"/>
  <c r="N110" i="3"/>
  <c r="M110" i="3"/>
  <c r="AC47" i="3"/>
  <c r="AA109" i="3"/>
  <c r="Q109" i="3"/>
  <c r="P109" i="3"/>
  <c r="O109" i="3"/>
  <c r="N109" i="3"/>
  <c r="M109" i="3"/>
  <c r="AC16" i="3"/>
  <c r="C13" i="10"/>
  <c r="C12" i="10"/>
  <c r="C11" i="10"/>
  <c r="G29" i="7"/>
  <c r="F29" i="7"/>
  <c r="E29" i="7"/>
  <c r="D29" i="7"/>
  <c r="C29" i="7"/>
  <c r="AC55" i="3"/>
  <c r="G14" i="7"/>
  <c r="F14" i="7"/>
  <c r="E14" i="7"/>
  <c r="D14" i="7"/>
  <c r="C14" i="7"/>
  <c r="AA106" i="3"/>
  <c r="Q106" i="3"/>
  <c r="P106" i="3"/>
  <c r="O106" i="3"/>
  <c r="N106" i="3"/>
  <c r="M106" i="3"/>
  <c r="AC38" i="3"/>
  <c r="AA76" i="3"/>
  <c r="H9" i="1"/>
  <c r="H8" i="1"/>
  <c r="H5" i="1"/>
  <c r="H4" i="1"/>
  <c r="H3" i="1"/>
  <c r="G28" i="18"/>
  <c r="F28" i="18"/>
  <c r="D28" i="18"/>
  <c r="C28" i="18"/>
  <c r="G26" i="18"/>
  <c r="F26" i="18"/>
  <c r="D26" i="18"/>
  <c r="C26" i="18"/>
  <c r="G24" i="18"/>
  <c r="F24" i="18"/>
  <c r="D24" i="18"/>
  <c r="C24" i="18"/>
  <c r="AA198" i="3"/>
  <c r="AA197" i="3"/>
  <c r="AA196" i="3"/>
  <c r="G16" i="18"/>
  <c r="F16" i="18"/>
  <c r="D16" i="18"/>
  <c r="C16" i="18"/>
  <c r="G14" i="18"/>
  <c r="F14" i="18"/>
  <c r="D14" i="18"/>
  <c r="C14" i="18"/>
  <c r="G8" i="18"/>
  <c r="F8" i="18"/>
  <c r="D8" i="18"/>
  <c r="C8" i="18"/>
  <c r="G6" i="18"/>
  <c r="F6" i="18"/>
  <c r="D6" i="18"/>
  <c r="C6" i="18"/>
  <c r="G5" i="18"/>
  <c r="G4" i="18"/>
  <c r="F5" i="18"/>
  <c r="F4" i="18"/>
  <c r="D5" i="18"/>
  <c r="D4" i="18"/>
  <c r="C5" i="18"/>
  <c r="C4" i="18"/>
  <c r="O198" i="3"/>
  <c r="N198" i="3"/>
  <c r="M198" i="3"/>
  <c r="O197" i="3"/>
  <c r="N197" i="3"/>
  <c r="M197" i="3"/>
  <c r="O196" i="3"/>
  <c r="N196" i="3"/>
  <c r="M196" i="3"/>
  <c r="G22" i="17"/>
  <c r="F22" i="17"/>
  <c r="E22" i="17"/>
  <c r="D22" i="17"/>
  <c r="C22" i="17"/>
  <c r="G21" i="17"/>
  <c r="F21" i="17"/>
  <c r="E21" i="17"/>
  <c r="D21" i="17"/>
  <c r="C21" i="17"/>
  <c r="G6" i="17"/>
  <c r="F6" i="17"/>
  <c r="E6" i="17"/>
  <c r="D6" i="17"/>
  <c r="C6" i="17"/>
  <c r="I3" i="17"/>
  <c r="G3" i="17"/>
  <c r="F3" i="17"/>
  <c r="E3" i="17"/>
  <c r="D3" i="17"/>
  <c r="C3" i="17"/>
  <c r="G2" i="17"/>
  <c r="F2" i="17"/>
  <c r="E2" i="17"/>
  <c r="D2" i="17"/>
  <c r="C2" i="17"/>
  <c r="Q108" i="3"/>
  <c r="O108" i="3"/>
  <c r="N108" i="3"/>
  <c r="M108" i="3"/>
  <c r="AA144" i="3"/>
  <c r="Q144" i="3"/>
  <c r="P144" i="3"/>
  <c r="O144" i="3"/>
  <c r="N144" i="3"/>
  <c r="M144" i="3"/>
  <c r="AC30" i="3"/>
  <c r="AC63" i="3"/>
  <c r="Q176" i="3"/>
  <c r="P176" i="3"/>
  <c r="O176" i="3"/>
  <c r="N176" i="3"/>
  <c r="M176" i="3"/>
  <c r="Q175" i="3"/>
  <c r="P175" i="3"/>
  <c r="O175" i="3"/>
  <c r="N175" i="3"/>
  <c r="M175" i="3"/>
  <c r="N151" i="3"/>
  <c r="AA150" i="3"/>
  <c r="Q150" i="3"/>
  <c r="P150" i="3"/>
  <c r="O150" i="3"/>
  <c r="N150" i="3"/>
  <c r="M150" i="3"/>
  <c r="AA145" i="3"/>
  <c r="Q145" i="3"/>
  <c r="P145" i="3"/>
  <c r="O145" i="3"/>
  <c r="N145" i="3"/>
  <c r="M145" i="3"/>
  <c r="G9" i="16"/>
  <c r="F6" i="16"/>
  <c r="G6" i="16"/>
  <c r="AC61" i="3"/>
  <c r="AC60" i="3"/>
  <c r="AC58" i="3"/>
  <c r="AC53" i="3"/>
  <c r="AC52" i="3"/>
  <c r="AC75" i="3"/>
  <c r="P76" i="3"/>
  <c r="O76" i="3"/>
  <c r="N76" i="3"/>
  <c r="M76" i="3"/>
  <c r="Q76" i="3"/>
  <c r="AA129" i="3"/>
  <c r="G24" i="12"/>
  <c r="F24" i="12"/>
  <c r="E24" i="12"/>
  <c r="D24" i="12"/>
  <c r="C24" i="12"/>
  <c r="L15" i="8"/>
  <c r="K15" i="8"/>
  <c r="J15" i="8"/>
  <c r="I15" i="8"/>
  <c r="H15" i="8"/>
  <c r="G42" i="7"/>
  <c r="F42" i="7"/>
  <c r="E42" i="7"/>
  <c r="D42" i="7"/>
  <c r="C42" i="7"/>
  <c r="G30" i="7"/>
  <c r="F30" i="7"/>
  <c r="E30" i="7"/>
  <c r="D30" i="7"/>
  <c r="C30" i="7"/>
  <c r="G28" i="7"/>
  <c r="F28" i="7"/>
  <c r="E28" i="7"/>
  <c r="D28" i="7"/>
  <c r="C28" i="7"/>
  <c r="G15" i="7"/>
  <c r="F15" i="7"/>
  <c r="E15" i="7"/>
  <c r="D15" i="7"/>
  <c r="C15" i="7"/>
  <c r="L23" i="7"/>
  <c r="K23" i="7"/>
  <c r="J23" i="7"/>
  <c r="I23" i="7"/>
  <c r="H23" i="7"/>
  <c r="AB5" i="6"/>
  <c r="W13" i="6"/>
  <c r="V13" i="6"/>
  <c r="U13" i="6"/>
  <c r="T13" i="6"/>
  <c r="S13" i="6"/>
  <c r="R13" i="6"/>
  <c r="Q13" i="6"/>
  <c r="P13" i="6"/>
  <c r="W12" i="6"/>
  <c r="V12" i="6"/>
  <c r="U12" i="6"/>
  <c r="T12" i="6"/>
  <c r="S12" i="6"/>
  <c r="R12" i="6"/>
  <c r="Q12" i="6"/>
  <c r="P12" i="6"/>
  <c r="W11" i="6"/>
  <c r="V11" i="6"/>
  <c r="U11" i="6"/>
  <c r="T11" i="6"/>
  <c r="S11" i="6"/>
  <c r="R11" i="6"/>
  <c r="Q11" i="6"/>
  <c r="P11" i="6"/>
  <c r="O14" i="6"/>
  <c r="O11" i="6"/>
  <c r="B22" i="6"/>
  <c r="B19" i="6"/>
  <c r="G13" i="6"/>
  <c r="F13" i="6"/>
  <c r="E13" i="6"/>
  <c r="D13" i="6"/>
  <c r="C13" i="6"/>
  <c r="G12" i="6"/>
  <c r="F12" i="6"/>
  <c r="E12" i="6"/>
  <c r="D12" i="6"/>
  <c r="C12" i="6"/>
  <c r="B13" i="6"/>
  <c r="B12" i="6"/>
  <c r="G11" i="6"/>
  <c r="F11" i="6"/>
  <c r="E11" i="6"/>
  <c r="D11" i="6"/>
  <c r="C11" i="6"/>
  <c r="B5" i="6"/>
  <c r="Z18" i="6"/>
  <c r="Y18" i="6"/>
  <c r="X18" i="6"/>
  <c r="Z10" i="6"/>
  <c r="Y10" i="6"/>
  <c r="X10" i="6"/>
  <c r="Z8" i="5"/>
  <c r="Y8" i="5"/>
  <c r="X8" i="5"/>
  <c r="W8" i="5"/>
  <c r="V8" i="5"/>
  <c r="U8" i="5"/>
  <c r="T8" i="5"/>
  <c r="S8" i="5"/>
  <c r="Z7" i="5"/>
  <c r="Y7" i="5"/>
  <c r="X7" i="5"/>
  <c r="W7" i="5"/>
  <c r="V7" i="5"/>
  <c r="U7" i="5"/>
  <c r="T7" i="5"/>
  <c r="S7" i="5"/>
  <c r="Z6" i="5"/>
  <c r="Y6" i="5"/>
  <c r="X6" i="5"/>
  <c r="W6" i="5"/>
  <c r="V6" i="5"/>
  <c r="U6" i="5"/>
  <c r="T6" i="5"/>
  <c r="S6" i="5"/>
  <c r="Z10" i="5"/>
  <c r="Y10" i="5"/>
  <c r="X10" i="5"/>
  <c r="W10" i="5"/>
  <c r="V10" i="5"/>
  <c r="U10" i="5"/>
  <c r="T10" i="5"/>
  <c r="S10" i="5"/>
  <c r="Z5" i="5"/>
  <c r="Y5" i="5"/>
  <c r="X5" i="5"/>
  <c r="W5" i="5"/>
  <c r="V5" i="5"/>
  <c r="U5" i="5"/>
  <c r="T5" i="5"/>
  <c r="S5" i="5"/>
  <c r="R5" i="5"/>
  <c r="E8" i="5"/>
  <c r="D8" i="5"/>
  <c r="C8" i="5"/>
  <c r="E7" i="5"/>
  <c r="D7" i="5"/>
  <c r="C7" i="5"/>
  <c r="E6" i="5"/>
  <c r="D6" i="5"/>
  <c r="C6" i="5"/>
  <c r="B8" i="5"/>
  <c r="B7" i="5"/>
  <c r="B6" i="5"/>
  <c r="G10" i="5"/>
  <c r="F10" i="5"/>
  <c r="E10" i="5"/>
  <c r="D10" i="5"/>
  <c r="C10" i="5"/>
  <c r="G5" i="5"/>
  <c r="F5" i="5"/>
  <c r="E5" i="5"/>
  <c r="D5" i="5"/>
  <c r="C5" i="5"/>
  <c r="R18" i="5"/>
  <c r="B18" i="5"/>
  <c r="AC13" i="5"/>
  <c r="AB13" i="5"/>
  <c r="AA13" i="5"/>
  <c r="AA82" i="3"/>
  <c r="O82" i="3"/>
  <c r="N82" i="3"/>
  <c r="M82" i="3"/>
  <c r="L82" i="3"/>
  <c r="K82" i="3"/>
  <c r="J82" i="3"/>
  <c r="I82" i="3"/>
  <c r="H82" i="3"/>
  <c r="G82" i="3"/>
  <c r="F82" i="3"/>
  <c r="E82" i="3"/>
  <c r="D82" i="3"/>
  <c r="C82" i="3"/>
  <c r="P82" i="3"/>
  <c r="Q82" i="3"/>
  <c r="P122" i="3"/>
  <c r="O122" i="3"/>
  <c r="N122" i="3"/>
  <c r="M122" i="3"/>
  <c r="Q122" i="3"/>
  <c r="P120" i="3"/>
  <c r="O120" i="3"/>
  <c r="N120" i="3"/>
  <c r="M120" i="3"/>
  <c r="Q120" i="3"/>
  <c r="AC191" i="3"/>
  <c r="AC190" i="3"/>
  <c r="AC189" i="3"/>
  <c r="AA100" i="3"/>
  <c r="AC80" i="3"/>
  <c r="AA81" i="3"/>
  <c r="Q81" i="3"/>
  <c r="P81" i="3"/>
  <c r="O81" i="3"/>
  <c r="N81" i="3"/>
  <c r="M81" i="3"/>
  <c r="AC49" i="3"/>
  <c r="AC48" i="3"/>
  <c r="AC46" i="3"/>
  <c r="AC45" i="3"/>
  <c r="AC43" i="3"/>
  <c r="AC42" i="3"/>
  <c r="AC40" i="3"/>
  <c r="AC39" i="3"/>
  <c r="AC37" i="3"/>
  <c r="AC36" i="3"/>
  <c r="AC34" i="3"/>
  <c r="AC32" i="3"/>
  <c r="AC31" i="3"/>
  <c r="AC29" i="3"/>
  <c r="AA41" i="3"/>
  <c r="AA35" i="3"/>
  <c r="O41" i="3"/>
  <c r="N41" i="3"/>
  <c r="M41" i="3"/>
  <c r="M35" i="3"/>
  <c r="O35" i="3"/>
  <c r="N35" i="3"/>
  <c r="P41" i="3"/>
  <c r="Q41" i="3"/>
  <c r="P35" i="3"/>
  <c r="Q35" i="3"/>
  <c r="AA96" i="3"/>
  <c r="AA95" i="3"/>
  <c r="AA94" i="3"/>
  <c r="AA92" i="3"/>
  <c r="AA91" i="3"/>
  <c r="AA89" i="3"/>
  <c r="AA88" i="3"/>
  <c r="AC24" i="3"/>
  <c r="AC22" i="3"/>
  <c r="AC20" i="3"/>
  <c r="AC18" i="3"/>
  <c r="AC17" i="3"/>
  <c r="AC15" i="3"/>
  <c r="AC14" i="3"/>
  <c r="AC13" i="3"/>
  <c r="AC11" i="3"/>
  <c r="AC9" i="3"/>
  <c r="AC8" i="3"/>
  <c r="AC6" i="3"/>
  <c r="AC5" i="3"/>
  <c r="AA25" i="3"/>
  <c r="AA23" i="3"/>
  <c r="AA21" i="3"/>
  <c r="AA19" i="3"/>
  <c r="AA10" i="3"/>
  <c r="Z137" i="3" s="1"/>
  <c r="Z138" i="3" s="1"/>
  <c r="AA7" i="3"/>
  <c r="Q100" i="3"/>
  <c r="P100" i="3"/>
  <c r="O100" i="3"/>
  <c r="N100" i="3"/>
  <c r="M100" i="3"/>
  <c r="Q96" i="3"/>
  <c r="P96" i="3"/>
  <c r="O96" i="3"/>
  <c r="N96" i="3"/>
  <c r="M96" i="3"/>
  <c r="Q95" i="3"/>
  <c r="P95" i="3"/>
  <c r="O95" i="3"/>
  <c r="N95" i="3"/>
  <c r="M95" i="3"/>
  <c r="Q94" i="3"/>
  <c r="P94" i="3"/>
  <c r="O94" i="3"/>
  <c r="N94" i="3"/>
  <c r="M94" i="3"/>
  <c r="Q92" i="3"/>
  <c r="P92" i="3"/>
  <c r="O92" i="3"/>
  <c r="N92" i="3"/>
  <c r="M92" i="3"/>
  <c r="Q91" i="3"/>
  <c r="P91" i="3"/>
  <c r="O91" i="3"/>
  <c r="N91" i="3"/>
  <c r="M91" i="3"/>
  <c r="Q89" i="3"/>
  <c r="P89" i="3"/>
  <c r="O89" i="3"/>
  <c r="N89" i="3"/>
  <c r="M89" i="3"/>
  <c r="Q88" i="3"/>
  <c r="P88" i="3"/>
  <c r="O88" i="3"/>
  <c r="N88" i="3"/>
  <c r="M88" i="3"/>
  <c r="M25" i="3"/>
  <c r="N25" i="3"/>
  <c r="O25" i="3"/>
  <c r="P25" i="3"/>
  <c r="Q25" i="3"/>
  <c r="Q23" i="3"/>
  <c r="P23" i="3"/>
  <c r="O23" i="3"/>
  <c r="N23" i="3"/>
  <c r="M23" i="3"/>
  <c r="Q21" i="3"/>
  <c r="P21" i="3"/>
  <c r="O21" i="3"/>
  <c r="N21" i="3"/>
  <c r="M21" i="3"/>
  <c r="Q19" i="3"/>
  <c r="P19" i="3"/>
  <c r="O19" i="3"/>
  <c r="N19" i="3"/>
  <c r="M19" i="3"/>
  <c r="Q10" i="3"/>
  <c r="Q7" i="3"/>
  <c r="L21" i="3"/>
  <c r="K21" i="3"/>
  <c r="J21" i="3"/>
  <c r="I21" i="3"/>
  <c r="H21" i="3"/>
  <c r="G21" i="3"/>
  <c r="F21" i="3"/>
  <c r="E21" i="3"/>
  <c r="D21" i="3"/>
  <c r="C21" i="3"/>
  <c r="L19" i="3"/>
  <c r="K19" i="3"/>
  <c r="J19" i="3"/>
  <c r="I19" i="3"/>
  <c r="H19" i="3"/>
  <c r="G19" i="3"/>
  <c r="F19" i="3"/>
  <c r="E19" i="3"/>
  <c r="D19" i="3"/>
  <c r="C19" i="3"/>
  <c r="P10" i="3"/>
  <c r="O10" i="3"/>
  <c r="M10" i="3"/>
  <c r="L10" i="3"/>
  <c r="K10" i="3"/>
  <c r="J10" i="3"/>
  <c r="I10" i="3"/>
  <c r="H10" i="3"/>
  <c r="G10" i="3"/>
  <c r="F10" i="3"/>
  <c r="E10" i="3"/>
  <c r="D10" i="3"/>
  <c r="C10" i="3"/>
  <c r="P7" i="3"/>
  <c r="O7" i="3"/>
  <c r="N7" i="3"/>
  <c r="M7" i="3"/>
  <c r="L7" i="3"/>
  <c r="K7" i="3"/>
  <c r="J7" i="3"/>
  <c r="I7" i="3"/>
  <c r="H7" i="3"/>
  <c r="G7" i="3"/>
  <c r="F7" i="3"/>
  <c r="E7" i="3"/>
  <c r="D7" i="3"/>
  <c r="C7" i="3"/>
  <c r="C8" i="1" a="1"/>
  <c r="C9" i="1" a="1"/>
  <c r="C10" i="1" a="1"/>
  <c r="C14" i="1" a="1"/>
  <c r="C13" i="1" a="1"/>
  <c r="C12" i="1" a="1"/>
  <c r="C11" i="1" a="1"/>
  <c r="C7" i="1" a="1"/>
  <c r="C6" i="1" a="1"/>
  <c r="C5" i="1" a="1"/>
  <c r="C4" i="1" a="1"/>
  <c r="C78" i="12" l="1"/>
  <c r="AA108" i="3"/>
  <c r="AC59" i="3"/>
  <c r="AC108" i="3" s="1"/>
  <c r="AA176" i="3"/>
  <c r="AA175" i="3"/>
  <c r="AC182" i="3"/>
  <c r="Z77" i="3"/>
  <c r="Z155" i="3" s="1"/>
  <c r="Z156" i="3" s="1"/>
  <c r="Z154" i="3"/>
  <c r="Y154" i="3"/>
  <c r="Y77" i="3"/>
  <c r="Y155" i="3" s="1"/>
  <c r="Y156" i="3" s="1"/>
  <c r="X77" i="3"/>
  <c r="X155" i="3" s="1"/>
  <c r="X156" i="3" s="1"/>
  <c r="X154" i="3"/>
  <c r="W77" i="3"/>
  <c r="W155" i="3" s="1"/>
  <c r="W156" i="3" s="1"/>
  <c r="W154" i="3"/>
  <c r="V77" i="3"/>
  <c r="V155" i="3" s="1"/>
  <c r="V156" i="3" s="1"/>
  <c r="V154" i="3"/>
  <c r="U154" i="3"/>
  <c r="U77" i="3"/>
  <c r="U155" i="3" s="1"/>
  <c r="U156" i="3" s="1"/>
  <c r="T77" i="3"/>
  <c r="T155" i="3" s="1"/>
  <c r="T156" i="3" s="1"/>
  <c r="T154" i="3"/>
  <c r="Z148" i="3"/>
  <c r="Z149" i="3"/>
  <c r="Z174" i="3"/>
  <c r="Z177" i="3"/>
  <c r="Y148" i="3"/>
  <c r="Y149" i="3"/>
  <c r="Y174" i="3"/>
  <c r="Y177" i="3"/>
  <c r="X148" i="3"/>
  <c r="X149" i="3"/>
  <c r="X174" i="3"/>
  <c r="X177" i="3"/>
  <c r="W148" i="3"/>
  <c r="W149" i="3"/>
  <c r="W174" i="3"/>
  <c r="W177" i="3"/>
  <c r="V149" i="3"/>
  <c r="V148" i="3"/>
  <c r="V174" i="3"/>
  <c r="V177" i="3"/>
  <c r="U148" i="3"/>
  <c r="U149" i="3"/>
  <c r="U174" i="3"/>
  <c r="U177" i="3"/>
  <c r="T149" i="3"/>
  <c r="T148" i="3"/>
  <c r="T174" i="3"/>
  <c r="T177" i="3"/>
  <c r="AC12" i="3"/>
  <c r="AC151" i="3" s="1"/>
  <c r="X151" i="3"/>
  <c r="Y137" i="3"/>
  <c r="Y138" i="3" s="1"/>
  <c r="Z68" i="3"/>
  <c r="Z69" i="3" s="1"/>
  <c r="Z93" i="3"/>
  <c r="X137" i="3"/>
  <c r="X138" i="3" s="1"/>
  <c r="Y68" i="3"/>
  <c r="Y69" i="3" s="1"/>
  <c r="Y93" i="3"/>
  <c r="W137" i="3"/>
  <c r="W138" i="3" s="1"/>
  <c r="X68" i="3"/>
  <c r="X69" i="3" s="1"/>
  <c r="W68" i="3"/>
  <c r="W69" i="3" s="1"/>
  <c r="X93" i="3"/>
  <c r="V137" i="3"/>
  <c r="V138" i="3" s="1"/>
  <c r="V68" i="3"/>
  <c r="V69" i="3" s="1"/>
  <c r="U137" i="3"/>
  <c r="U138" i="3" s="1"/>
  <c r="W93" i="3"/>
  <c r="T137" i="3"/>
  <c r="T138" i="3" s="1"/>
  <c r="V93" i="3"/>
  <c r="U68" i="3"/>
  <c r="U69" i="3" s="1"/>
  <c r="T93" i="3"/>
  <c r="T68" i="3"/>
  <c r="T69" i="3" s="1"/>
  <c r="U93" i="3"/>
  <c r="Y99" i="3"/>
  <c r="X133" i="3" s="1"/>
  <c r="X134" i="3" s="1"/>
  <c r="Z90" i="3"/>
  <c r="Y90" i="3"/>
  <c r="X99" i="3"/>
  <c r="W133" i="3" s="1"/>
  <c r="W134" i="3" s="1"/>
  <c r="W99" i="3"/>
  <c r="V133" i="3" s="1"/>
  <c r="V134" i="3" s="1"/>
  <c r="X90" i="3"/>
  <c r="V99" i="3"/>
  <c r="U133" i="3" s="1"/>
  <c r="U134" i="3" s="1"/>
  <c r="W90" i="3"/>
  <c r="V90" i="3"/>
  <c r="U99" i="3"/>
  <c r="T133" i="3" s="1"/>
  <c r="T134" i="3" s="1"/>
  <c r="T90" i="3"/>
  <c r="U90" i="3"/>
  <c r="T99" i="3"/>
  <c r="C60" i="20" s="1"/>
  <c r="D11" i="21"/>
  <c r="C21" i="21"/>
  <c r="C23" i="21" s="1"/>
  <c r="C26" i="21" s="1"/>
  <c r="I11" i="1" s="1"/>
  <c r="G16" i="21"/>
  <c r="G12" i="21"/>
  <c r="F16" i="21"/>
  <c r="F12" i="21"/>
  <c r="E16" i="21"/>
  <c r="D16" i="21"/>
  <c r="E12" i="21"/>
  <c r="C16" i="21"/>
  <c r="D12" i="21"/>
  <c r="L10" i="21"/>
  <c r="L15" i="21"/>
  <c r="K15" i="21"/>
  <c r="K10" i="21"/>
  <c r="J10" i="21"/>
  <c r="J15" i="21"/>
  <c r="I15" i="21"/>
  <c r="I10" i="21"/>
  <c r="H10" i="21"/>
  <c r="H15" i="21"/>
  <c r="G15" i="21"/>
  <c r="G10" i="21"/>
  <c r="F15" i="21"/>
  <c r="F10" i="21"/>
  <c r="E15" i="21"/>
  <c r="E10" i="21"/>
  <c r="D15" i="21"/>
  <c r="D10" i="21"/>
  <c r="C15" i="21"/>
  <c r="C10" i="21"/>
  <c r="Q183" i="3"/>
  <c r="P183" i="3"/>
  <c r="O183" i="3"/>
  <c r="N183" i="3"/>
  <c r="M183" i="3"/>
  <c r="AA105" i="3"/>
  <c r="Q105" i="3"/>
  <c r="P105" i="3"/>
  <c r="O105" i="3"/>
  <c r="N105" i="3"/>
  <c r="M105" i="3"/>
  <c r="O151" i="3"/>
  <c r="D31" i="12"/>
  <c r="Q209" i="3"/>
  <c r="P209" i="3"/>
  <c r="O209" i="3"/>
  <c r="N209" i="3"/>
  <c r="Q207" i="3"/>
  <c r="P207" i="3"/>
  <c r="O207" i="3"/>
  <c r="N207" i="3"/>
  <c r="G5" i="12"/>
  <c r="F5" i="12"/>
  <c r="E5" i="12"/>
  <c r="D5" i="12"/>
  <c r="C5" i="12"/>
  <c r="G6" i="11"/>
  <c r="F6" i="11"/>
  <c r="E6" i="11"/>
  <c r="D6" i="11"/>
  <c r="C6" i="11"/>
  <c r="G15" i="8"/>
  <c r="F15" i="8"/>
  <c r="E15" i="8"/>
  <c r="D15" i="8"/>
  <c r="C15" i="8"/>
  <c r="H9" i="5"/>
  <c r="I9" i="5" s="1"/>
  <c r="J9" i="5" s="1"/>
  <c r="K9" i="5" s="1"/>
  <c r="L9" i="5" s="1"/>
  <c r="AA9" i="5"/>
  <c r="AA7" i="5"/>
  <c r="AA8" i="5" s="1"/>
  <c r="AA10" i="5" s="1"/>
  <c r="AA6" i="5"/>
  <c r="G92" i="17"/>
  <c r="F92" i="17"/>
  <c r="E92" i="17"/>
  <c r="D92" i="17"/>
  <c r="C92" i="17"/>
  <c r="Z17" i="5"/>
  <c r="Y17" i="5"/>
  <c r="X17" i="5"/>
  <c r="W17" i="5"/>
  <c r="V17" i="5"/>
  <c r="U17" i="5"/>
  <c r="T17" i="5"/>
  <c r="AE9" i="5"/>
  <c r="R9" i="5"/>
  <c r="R17" i="5" s="1"/>
  <c r="G17" i="5"/>
  <c r="F17" i="5"/>
  <c r="E17" i="5"/>
  <c r="D17" i="5"/>
  <c r="B17" i="5"/>
  <c r="F31" i="18"/>
  <c r="C31" i="18"/>
  <c r="P198" i="3"/>
  <c r="F8" i="5"/>
  <c r="K66" i="19"/>
  <c r="P197" i="3"/>
  <c r="F7" i="5"/>
  <c r="K65" i="19"/>
  <c r="P196" i="3"/>
  <c r="F6" i="5"/>
  <c r="Q198" i="3"/>
  <c r="G8" i="5"/>
  <c r="L66" i="19"/>
  <c r="Q197" i="3"/>
  <c r="G7" i="5"/>
  <c r="H7" i="5" s="1"/>
  <c r="I7" i="5" s="1"/>
  <c r="J7" i="5" s="1"/>
  <c r="K7" i="5" s="1"/>
  <c r="L7" i="5" s="1"/>
  <c r="L65" i="19"/>
  <c r="Q196" i="3"/>
  <c r="G6" i="5"/>
  <c r="H6" i="5" s="1"/>
  <c r="AA138" i="3"/>
  <c r="AA134" i="3"/>
  <c r="AA130" i="3"/>
  <c r="F10" i="16"/>
  <c r="P108" i="3"/>
  <c r="AC106" i="3"/>
  <c r="E31" i="12"/>
  <c r="F31" i="12"/>
  <c r="AA151" i="3"/>
  <c r="M151" i="3"/>
  <c r="P151" i="3"/>
  <c r="Q151" i="3"/>
  <c r="Q165" i="3"/>
  <c r="P165" i="3"/>
  <c r="O165" i="3"/>
  <c r="N165" i="3"/>
  <c r="M165" i="3"/>
  <c r="P153" i="3"/>
  <c r="N153" i="3"/>
  <c r="M153" i="3"/>
  <c r="Q164" i="3"/>
  <c r="P164" i="3"/>
  <c r="O164" i="3"/>
  <c r="N164" i="3"/>
  <c r="M164" i="3"/>
  <c r="Q152" i="3"/>
  <c r="P152" i="3"/>
  <c r="O152" i="3"/>
  <c r="N152" i="3"/>
  <c r="M152" i="3"/>
  <c r="Q153" i="3"/>
  <c r="O153" i="3"/>
  <c r="I66" i="20"/>
  <c r="H66" i="20"/>
  <c r="G66" i="20"/>
  <c r="F66" i="20"/>
  <c r="E66" i="20"/>
  <c r="D66" i="20"/>
  <c r="C66" i="20"/>
  <c r="J61" i="20"/>
  <c r="I61" i="20"/>
  <c r="H61" i="20"/>
  <c r="G61" i="20"/>
  <c r="F61" i="20"/>
  <c r="E61" i="20"/>
  <c r="D61" i="20"/>
  <c r="C61" i="20"/>
  <c r="F27" i="1" s="1"/>
  <c r="C9" i="10" s="1"/>
  <c r="L63" i="19"/>
  <c r="K63" i="19"/>
  <c r="J63" i="19"/>
  <c r="I63" i="19"/>
  <c r="H63" i="19"/>
  <c r="G34" i="8"/>
  <c r="F34" i="8"/>
  <c r="E34" i="8"/>
  <c r="D34" i="8"/>
  <c r="C34" i="8"/>
  <c r="G8" i="16"/>
  <c r="F8" i="16"/>
  <c r="AA70" i="3"/>
  <c r="O70" i="3"/>
  <c r="N70" i="3"/>
  <c r="M70" i="3"/>
  <c r="P70" i="3"/>
  <c r="Q70" i="3"/>
  <c r="Q68" i="3"/>
  <c r="P68" i="3"/>
  <c r="O68" i="3"/>
  <c r="N68" i="3"/>
  <c r="M68" i="3"/>
  <c r="L68" i="3"/>
  <c r="K68" i="3"/>
  <c r="J68" i="3"/>
  <c r="I68" i="3"/>
  <c r="H68" i="3"/>
  <c r="G68" i="3"/>
  <c r="F68" i="3"/>
  <c r="E68" i="3"/>
  <c r="D68" i="3"/>
  <c r="C68" i="3"/>
  <c r="AA68" i="3"/>
  <c r="Q159" i="3"/>
  <c r="Q169" i="3" s="1"/>
  <c r="O159" i="3"/>
  <c r="O169" i="3" s="1"/>
  <c r="N159" i="3"/>
  <c r="N169" i="3" s="1"/>
  <c r="M159" i="3"/>
  <c r="M169" i="3" s="1"/>
  <c r="AC110" i="3"/>
  <c r="Q119" i="3"/>
  <c r="P119" i="3"/>
  <c r="O119" i="3"/>
  <c r="N119" i="3"/>
  <c r="M119" i="3"/>
  <c r="AA101" i="3"/>
  <c r="J62" i="20" s="1"/>
  <c r="I62" i="20"/>
  <c r="H62" i="20"/>
  <c r="G62" i="20"/>
  <c r="F62" i="20"/>
  <c r="E62" i="20"/>
  <c r="D62" i="20"/>
  <c r="C62" i="20"/>
  <c r="Q101" i="3"/>
  <c r="L64" i="19" s="1"/>
  <c r="P101" i="3"/>
  <c r="K64" i="19" s="1"/>
  <c r="O101" i="3"/>
  <c r="J64" i="19" s="1"/>
  <c r="N101" i="3"/>
  <c r="I64" i="19" s="1"/>
  <c r="M101" i="3"/>
  <c r="H64" i="19" s="1"/>
  <c r="AC109" i="3"/>
  <c r="G35" i="7"/>
  <c r="AC62" i="3"/>
  <c r="G31" i="12"/>
  <c r="E35" i="7"/>
  <c r="F35" i="7"/>
  <c r="D35" i="7"/>
  <c r="C35" i="7"/>
  <c r="AC82" i="3"/>
  <c r="AC104" i="3" s="1"/>
  <c r="AA147" i="3"/>
  <c r="Q147" i="3"/>
  <c r="N147" i="3"/>
  <c r="P147" i="3"/>
  <c r="O147" i="3"/>
  <c r="M147" i="3"/>
  <c r="C31" i="12"/>
  <c r="D90" i="17"/>
  <c r="C90" i="17"/>
  <c r="F20" i="18"/>
  <c r="C20" i="18"/>
  <c r="F18" i="18"/>
  <c r="C18" i="18"/>
  <c r="F12" i="18"/>
  <c r="C12" i="18"/>
  <c r="F10" i="18"/>
  <c r="C10" i="18"/>
  <c r="G95" i="17"/>
  <c r="F95" i="17"/>
  <c r="E95" i="17"/>
  <c r="D95" i="17"/>
  <c r="E91" i="17"/>
  <c r="D91" i="17"/>
  <c r="C91" i="17"/>
  <c r="E90" i="17"/>
  <c r="E89" i="17"/>
  <c r="D89" i="17"/>
  <c r="C89" i="17"/>
  <c r="AC28" i="3"/>
  <c r="G20" i="18"/>
  <c r="D20" i="18"/>
  <c r="G18" i="18"/>
  <c r="D18" i="18"/>
  <c r="C17" i="18"/>
  <c r="AA104" i="3"/>
  <c r="C15" i="18"/>
  <c r="G12" i="18"/>
  <c r="D12" i="18"/>
  <c r="C9" i="18"/>
  <c r="G10" i="18"/>
  <c r="C7" i="18"/>
  <c r="D10" i="18"/>
  <c r="G23" i="18"/>
  <c r="F23" i="18"/>
  <c r="C23" i="18"/>
  <c r="F27" i="18"/>
  <c r="C27" i="18"/>
  <c r="C25" i="18"/>
  <c r="F29" i="18"/>
  <c r="C29" i="18"/>
  <c r="F25" i="18"/>
  <c r="F17" i="18"/>
  <c r="F15" i="18"/>
  <c r="D23" i="18"/>
  <c r="F9" i="18"/>
  <c r="F7" i="18"/>
  <c r="G85" i="17"/>
  <c r="F85" i="17"/>
  <c r="E85" i="17"/>
  <c r="D85" i="17"/>
  <c r="C85" i="17"/>
  <c r="G84" i="17"/>
  <c r="F84" i="17"/>
  <c r="E84" i="17"/>
  <c r="D84" i="17"/>
  <c r="C84" i="17"/>
  <c r="G81" i="17"/>
  <c r="F81" i="17"/>
  <c r="E81" i="17"/>
  <c r="D81" i="17"/>
  <c r="C81" i="17"/>
  <c r="G80" i="17"/>
  <c r="F80" i="17"/>
  <c r="E80" i="17"/>
  <c r="D80" i="17"/>
  <c r="C80" i="17"/>
  <c r="G72" i="17"/>
  <c r="F72" i="17"/>
  <c r="E72" i="17"/>
  <c r="D72" i="17"/>
  <c r="G71" i="17"/>
  <c r="F71" i="17"/>
  <c r="E71" i="17"/>
  <c r="D71" i="17"/>
  <c r="C72" i="17"/>
  <c r="C71" i="17"/>
  <c r="D48" i="17"/>
  <c r="G47" i="17"/>
  <c r="F47" i="17"/>
  <c r="E47" i="17"/>
  <c r="D47" i="17"/>
  <c r="C47" i="17"/>
  <c r="G40" i="17"/>
  <c r="F40" i="17"/>
  <c r="E40" i="17"/>
  <c r="D40" i="17"/>
  <c r="G39" i="17"/>
  <c r="F39" i="17"/>
  <c r="E39" i="17"/>
  <c r="D39" i="17"/>
  <c r="C40" i="17"/>
  <c r="C39" i="17"/>
  <c r="G29" i="17"/>
  <c r="F29" i="17"/>
  <c r="E29" i="17"/>
  <c r="D29" i="17"/>
  <c r="G27" i="17"/>
  <c r="F27" i="17"/>
  <c r="E27" i="17"/>
  <c r="D27" i="17"/>
  <c r="C29" i="17"/>
  <c r="C27" i="17"/>
  <c r="I22" i="17"/>
  <c r="I21" i="17"/>
  <c r="G17" i="17"/>
  <c r="F17" i="17"/>
  <c r="E17" i="17"/>
  <c r="D17" i="17"/>
  <c r="C17" i="17"/>
  <c r="Q181" i="3"/>
  <c r="G77" i="17" s="1"/>
  <c r="O181" i="3"/>
  <c r="E77" i="17" s="1"/>
  <c r="N181" i="3"/>
  <c r="D77" i="17" s="1"/>
  <c r="M181" i="3"/>
  <c r="C77" i="17" s="1"/>
  <c r="Q180" i="3"/>
  <c r="G76" i="17" s="1"/>
  <c r="O180" i="3"/>
  <c r="E76" i="17" s="1"/>
  <c r="N180" i="3"/>
  <c r="D76" i="17" s="1"/>
  <c r="M180" i="3"/>
  <c r="C76" i="17" s="1"/>
  <c r="Q179" i="3"/>
  <c r="G75" i="17" s="1"/>
  <c r="O179" i="3"/>
  <c r="E75" i="17" s="1"/>
  <c r="N179" i="3"/>
  <c r="D75" i="17" s="1"/>
  <c r="M179" i="3"/>
  <c r="C75" i="17" s="1"/>
  <c r="D23" i="17"/>
  <c r="E23" i="17"/>
  <c r="F23" i="17"/>
  <c r="G23" i="17"/>
  <c r="C23" i="17"/>
  <c r="AC144" i="3"/>
  <c r="I39" i="17" s="1"/>
  <c r="AC175" i="3"/>
  <c r="I71" i="17" s="1"/>
  <c r="AC176" i="3"/>
  <c r="AC78" i="3"/>
  <c r="Q79" i="3"/>
  <c r="P79" i="3"/>
  <c r="N79" i="3"/>
  <c r="M79" i="3"/>
  <c r="O79" i="3"/>
  <c r="AC150" i="3"/>
  <c r="AA143" i="3"/>
  <c r="AC145" i="3"/>
  <c r="AC143" i="3"/>
  <c r="Q143" i="3"/>
  <c r="P143" i="3"/>
  <c r="O143" i="3"/>
  <c r="N143" i="3"/>
  <c r="M143" i="3"/>
  <c r="F9" i="16"/>
  <c r="F17" i="16"/>
  <c r="AC57" i="3"/>
  <c r="F16" i="16"/>
  <c r="AC76" i="3"/>
  <c r="O22" i="6"/>
  <c r="O19" i="6"/>
  <c r="AC56" i="3"/>
  <c r="AC54" i="3"/>
  <c r="O104" i="3"/>
  <c r="O107" i="3" s="1"/>
  <c r="O160" i="3" s="1"/>
  <c r="N104" i="3"/>
  <c r="N107" i="3" s="1"/>
  <c r="N160" i="3" s="1"/>
  <c r="M104" i="3"/>
  <c r="M107" i="3" s="1"/>
  <c r="M160" i="3" s="1"/>
  <c r="L104" i="3"/>
  <c r="K104" i="3"/>
  <c r="J104" i="3"/>
  <c r="I104" i="3"/>
  <c r="H104" i="3"/>
  <c r="G104" i="3"/>
  <c r="F104" i="3"/>
  <c r="E104" i="3"/>
  <c r="D104" i="3"/>
  <c r="C104" i="3"/>
  <c r="G6" i="14"/>
  <c r="F6" i="14"/>
  <c r="E6" i="14"/>
  <c r="D6" i="14"/>
  <c r="C6" i="14"/>
  <c r="G19" i="12"/>
  <c r="F19" i="12"/>
  <c r="E19" i="12"/>
  <c r="D19" i="12"/>
  <c r="C19" i="12"/>
  <c r="G6" i="12"/>
  <c r="F6" i="12"/>
  <c r="E6" i="12"/>
  <c r="D6" i="12"/>
  <c r="C6" i="12"/>
  <c r="C18" i="10"/>
  <c r="E7" i="8"/>
  <c r="E6" i="8"/>
  <c r="F5" i="8"/>
  <c r="F32" i="8" s="1"/>
  <c r="E5" i="8"/>
  <c r="E32" i="8" s="1"/>
  <c r="C5" i="8"/>
  <c r="C32" i="8" s="1"/>
  <c r="E13" i="7"/>
  <c r="C13" i="7"/>
  <c r="D7" i="7"/>
  <c r="G6" i="7"/>
  <c r="H6" i="7" s="1"/>
  <c r="E6" i="7"/>
  <c r="U14" i="6"/>
  <c r="T14" i="6"/>
  <c r="P14" i="6"/>
  <c r="O13" i="6"/>
  <c r="O21" i="6" s="1"/>
  <c r="O12" i="6"/>
  <c r="O20" i="6" s="1"/>
  <c r="W6" i="6"/>
  <c r="T6" i="6"/>
  <c r="V5" i="6"/>
  <c r="S5" i="6"/>
  <c r="P5" i="6"/>
  <c r="B20" i="6"/>
  <c r="E14" i="6"/>
  <c r="D14" i="6"/>
  <c r="G6" i="6"/>
  <c r="E6" i="6"/>
  <c r="C6" i="6"/>
  <c r="F5" i="6"/>
  <c r="R6" i="5"/>
  <c r="G21" i="8"/>
  <c r="E21" i="8"/>
  <c r="G20" i="8"/>
  <c r="F20" i="8"/>
  <c r="C20" i="8"/>
  <c r="F7" i="8"/>
  <c r="C7" i="8"/>
  <c r="F6" i="8"/>
  <c r="G5" i="8"/>
  <c r="D5" i="8"/>
  <c r="D32" i="8" s="1"/>
  <c r="F13" i="7"/>
  <c r="D13" i="7"/>
  <c r="F7" i="7"/>
  <c r="C6" i="7"/>
  <c r="V14" i="6"/>
  <c r="R14" i="6"/>
  <c r="U6" i="6"/>
  <c r="R6" i="6"/>
  <c r="P6" i="6"/>
  <c r="Q5" i="6"/>
  <c r="G14" i="6"/>
  <c r="C14" i="6"/>
  <c r="E5" i="6"/>
  <c r="C5" i="6"/>
  <c r="R7" i="5"/>
  <c r="D21" i="8"/>
  <c r="C21" i="8"/>
  <c r="E20" i="8"/>
  <c r="D20" i="8"/>
  <c r="G7" i="8"/>
  <c r="D7" i="8"/>
  <c r="G6" i="8"/>
  <c r="D6" i="8"/>
  <c r="C6" i="8"/>
  <c r="G13" i="7"/>
  <c r="G7" i="7"/>
  <c r="E7" i="7"/>
  <c r="C7" i="7"/>
  <c r="F6" i="7"/>
  <c r="D6" i="7"/>
  <c r="W14" i="6"/>
  <c r="S14" i="6"/>
  <c r="Q14" i="6"/>
  <c r="V6" i="6"/>
  <c r="S6" i="6"/>
  <c r="Q6" i="6"/>
  <c r="W5" i="6"/>
  <c r="U5" i="6"/>
  <c r="T5" i="6"/>
  <c r="R5" i="6"/>
  <c r="B21" i="6"/>
  <c r="F14" i="6"/>
  <c r="F6" i="6"/>
  <c r="D6" i="6"/>
  <c r="D21" i="6" s="1"/>
  <c r="D5" i="6"/>
  <c r="R8" i="5"/>
  <c r="G5" i="6"/>
  <c r="G8" i="7"/>
  <c r="E8" i="7"/>
  <c r="F8" i="7"/>
  <c r="C8" i="7"/>
  <c r="D8" i="7"/>
  <c r="G44" i="7"/>
  <c r="E44" i="7"/>
  <c r="D44" i="7"/>
  <c r="C44" i="7"/>
  <c r="AB9" i="6"/>
  <c r="AB10" i="6"/>
  <c r="E13" i="5"/>
  <c r="D13" i="5"/>
  <c r="F13" i="5"/>
  <c r="G13" i="5"/>
  <c r="S13" i="5"/>
  <c r="C13" i="5"/>
  <c r="Z18" i="5"/>
  <c r="Y18" i="5"/>
  <c r="X18" i="5"/>
  <c r="W18" i="5"/>
  <c r="V18" i="5"/>
  <c r="U18" i="5"/>
  <c r="T18" i="5"/>
  <c r="G18" i="5"/>
  <c r="F18" i="5"/>
  <c r="E18" i="5"/>
  <c r="D18" i="5"/>
  <c r="Z16" i="5"/>
  <c r="Y16" i="5"/>
  <c r="X16" i="5"/>
  <c r="W16" i="5"/>
  <c r="V16" i="5"/>
  <c r="U16" i="5"/>
  <c r="T16" i="5"/>
  <c r="E16" i="5"/>
  <c r="D16" i="5"/>
  <c r="B16" i="5"/>
  <c r="Z15" i="5"/>
  <c r="Y15" i="5"/>
  <c r="X15" i="5"/>
  <c r="W15" i="5"/>
  <c r="V15" i="5"/>
  <c r="U15" i="5"/>
  <c r="T15" i="5"/>
  <c r="E15" i="5"/>
  <c r="D15" i="5"/>
  <c r="B15" i="5"/>
  <c r="Z14" i="5"/>
  <c r="Y14" i="5"/>
  <c r="X14" i="5"/>
  <c r="W14" i="5"/>
  <c r="V14" i="5"/>
  <c r="U14" i="5"/>
  <c r="T14" i="5"/>
  <c r="E14" i="5"/>
  <c r="D14" i="5"/>
  <c r="B14" i="5"/>
  <c r="Z13" i="5"/>
  <c r="Y13" i="5"/>
  <c r="X13" i="5"/>
  <c r="W13" i="5"/>
  <c r="V13" i="5"/>
  <c r="U13" i="5"/>
  <c r="T13" i="5"/>
  <c r="H5" i="5"/>
  <c r="P104" i="3"/>
  <c r="P107" i="3" s="1"/>
  <c r="Q104" i="3"/>
  <c r="AC122" i="3"/>
  <c r="AC120" i="3"/>
  <c r="AC100" i="3"/>
  <c r="AA99" i="3"/>
  <c r="Z133" i="3" s="1"/>
  <c r="Z134" i="3" s="1"/>
  <c r="AC81" i="3"/>
  <c r="AC73" i="3"/>
  <c r="AA74" i="3"/>
  <c r="M74" i="3"/>
  <c r="N74" i="3"/>
  <c r="O74" i="3"/>
  <c r="P74" i="3"/>
  <c r="Q74" i="3"/>
  <c r="AC41" i="3"/>
  <c r="AC35" i="3"/>
  <c r="AA90" i="3"/>
  <c r="C11" i="18" s="1"/>
  <c r="AA93" i="3"/>
  <c r="C13" i="18" s="1"/>
  <c r="AC10" i="3"/>
  <c r="AC7" i="3"/>
  <c r="AC99" i="3" s="1"/>
  <c r="Q99" i="3"/>
  <c r="P99" i="3"/>
  <c r="O99" i="3"/>
  <c r="N99" i="3"/>
  <c r="M99" i="3"/>
  <c r="Q93" i="3"/>
  <c r="G83" i="17" s="1"/>
  <c r="P93" i="3"/>
  <c r="F83" i="17" s="1"/>
  <c r="O93" i="3"/>
  <c r="E83" i="17" s="1"/>
  <c r="N93" i="3"/>
  <c r="D83" i="17" s="1"/>
  <c r="M93" i="3"/>
  <c r="C83" i="17" s="1"/>
  <c r="AC25" i="3"/>
  <c r="F5" i="1" s="1"/>
  <c r="AC23" i="3"/>
  <c r="AC21" i="3"/>
  <c r="AC19" i="3"/>
  <c r="Q90" i="3"/>
  <c r="G82" i="17" s="1"/>
  <c r="O90" i="3"/>
  <c r="E82" i="17" s="1"/>
  <c r="M90" i="3"/>
  <c r="C82" i="17" s="1"/>
  <c r="P90" i="3"/>
  <c r="F82" i="17" s="1"/>
  <c r="N90" i="3"/>
  <c r="D82" i="17" s="1"/>
  <c r="C10" i="10" s="1"/>
  <c r="C11" i="13" s="1"/>
  <c r="AC74" i="3" l="1"/>
  <c r="C22" i="14" s="1"/>
  <c r="C35" i="14" s="1"/>
  <c r="AA154" i="3"/>
  <c r="AA159" i="3"/>
  <c r="J66" i="20" s="1"/>
  <c r="AA179" i="3"/>
  <c r="AA181" i="3"/>
  <c r="AA180" i="3"/>
  <c r="C68" i="12"/>
  <c r="C47" i="12"/>
  <c r="Q184" i="3"/>
  <c r="P184" i="3"/>
  <c r="O184" i="3"/>
  <c r="N184" i="3"/>
  <c r="M184" i="3"/>
  <c r="AC183" i="3"/>
  <c r="E48" i="17"/>
  <c r="C23" i="11"/>
  <c r="C25" i="14"/>
  <c r="H8" i="5"/>
  <c r="H10" i="5" s="1"/>
  <c r="H7" i="7" s="1"/>
  <c r="I6" i="5"/>
  <c r="H6" i="14"/>
  <c r="H5" i="12"/>
  <c r="H6" i="11"/>
  <c r="AE10" i="5"/>
  <c r="AB6" i="6" s="1"/>
  <c r="AE8" i="5"/>
  <c r="X6" i="6"/>
  <c r="X11" i="6" s="1"/>
  <c r="AB11" i="6" s="1"/>
  <c r="F91" i="17"/>
  <c r="F16" i="5"/>
  <c r="F90" i="17"/>
  <c r="F15" i="5"/>
  <c r="F89" i="17"/>
  <c r="F14" i="5"/>
  <c r="G91" i="17"/>
  <c r="G16" i="5"/>
  <c r="G90" i="17"/>
  <c r="G15" i="5"/>
  <c r="G89" i="17"/>
  <c r="G14" i="5"/>
  <c r="C8" i="10"/>
  <c r="P179" i="3"/>
  <c r="F75" i="17" s="1"/>
  <c r="F21" i="8"/>
  <c r="F44" i="7"/>
  <c r="P160" i="3"/>
  <c r="I60" i="20"/>
  <c r="H60" i="20"/>
  <c r="G60" i="20"/>
  <c r="F60" i="20"/>
  <c r="E60" i="20"/>
  <c r="D60" i="20"/>
  <c r="J60" i="20"/>
  <c r="G48" i="17"/>
  <c r="C52" i="16"/>
  <c r="F18" i="16"/>
  <c r="P159" i="3"/>
  <c r="P169" i="3" s="1"/>
  <c r="P181" i="3"/>
  <c r="F77" i="17" s="1"/>
  <c r="P180" i="3"/>
  <c r="F76" i="17" s="1"/>
  <c r="AC147" i="3"/>
  <c r="C48" i="17"/>
  <c r="Q154" i="3"/>
  <c r="P154" i="3"/>
  <c r="N154" i="3"/>
  <c r="AC159" i="3"/>
  <c r="AC169" i="3" s="1"/>
  <c r="M154" i="3"/>
  <c r="O154" i="3"/>
  <c r="F48" i="17"/>
  <c r="G53" i="17"/>
  <c r="F53" i="17"/>
  <c r="E53" i="17"/>
  <c r="D53" i="17"/>
  <c r="C53" i="17"/>
  <c r="G51" i="17"/>
  <c r="F51" i="17"/>
  <c r="E51" i="17"/>
  <c r="D51" i="17"/>
  <c r="C51" i="17"/>
  <c r="AC68" i="3"/>
  <c r="M77" i="3"/>
  <c r="M155" i="3" s="1"/>
  <c r="N77" i="3"/>
  <c r="N155" i="3" s="1"/>
  <c r="O77" i="3"/>
  <c r="O155" i="3" s="1"/>
  <c r="P77" i="3"/>
  <c r="P155" i="3" s="1"/>
  <c r="Q77" i="3"/>
  <c r="Q155" i="3" s="1"/>
  <c r="F22" i="8"/>
  <c r="AC70" i="3"/>
  <c r="Q170" i="3"/>
  <c r="L60" i="19"/>
  <c r="Q172" i="3"/>
  <c r="O170" i="3"/>
  <c r="J60" i="19"/>
  <c r="O172" i="3"/>
  <c r="N170" i="3"/>
  <c r="I60" i="19"/>
  <c r="N172" i="3"/>
  <c r="M170" i="3"/>
  <c r="H60" i="19"/>
  <c r="M172" i="3"/>
  <c r="H5" i="8"/>
  <c r="H32" i="8" s="1"/>
  <c r="G32" i="8"/>
  <c r="G16" i="17"/>
  <c r="G33" i="8"/>
  <c r="L62" i="19"/>
  <c r="F16" i="17"/>
  <c r="F33" i="8"/>
  <c r="K62" i="19"/>
  <c r="E16" i="17"/>
  <c r="E33" i="8"/>
  <c r="J62" i="19"/>
  <c r="D16" i="17"/>
  <c r="D33" i="8"/>
  <c r="I62" i="19"/>
  <c r="C16" i="17"/>
  <c r="C33" i="8"/>
  <c r="H62" i="19"/>
  <c r="C19" i="10"/>
  <c r="E22" i="8"/>
  <c r="C22" i="8"/>
  <c r="G44" i="17"/>
  <c r="F44" i="17"/>
  <c r="E44" i="17"/>
  <c r="D44" i="17"/>
  <c r="C44" i="17"/>
  <c r="G26" i="17"/>
  <c r="F26" i="17"/>
  <c r="E26" i="17"/>
  <c r="D26" i="17"/>
  <c r="C26" i="17"/>
  <c r="G18" i="17"/>
  <c r="F18" i="17"/>
  <c r="E18" i="17"/>
  <c r="D18" i="17"/>
  <c r="C18" i="17"/>
  <c r="G22" i="8"/>
  <c r="D22" i="8"/>
  <c r="P121" i="3"/>
  <c r="K68" i="19" s="1"/>
  <c r="O121" i="3"/>
  <c r="J68" i="19" s="1"/>
  <c r="N121" i="3"/>
  <c r="I68" i="19" s="1"/>
  <c r="M121" i="3"/>
  <c r="H68" i="19" s="1"/>
  <c r="Q121" i="3"/>
  <c r="L68" i="19" s="1"/>
  <c r="Q69" i="3"/>
  <c r="O142" i="3"/>
  <c r="J70" i="19" s="1"/>
  <c r="N142" i="3"/>
  <c r="I70" i="19" s="1"/>
  <c r="M142" i="3"/>
  <c r="H70" i="19" s="1"/>
  <c r="P142" i="3"/>
  <c r="K70" i="19" s="1"/>
  <c r="AC79" i="3"/>
  <c r="AC101" i="3"/>
  <c r="AC119" i="3"/>
  <c r="I26" i="17" s="1"/>
  <c r="C31" i="16"/>
  <c r="F21" i="18"/>
  <c r="C19" i="18"/>
  <c r="C21" i="18"/>
  <c r="F19" i="18"/>
  <c r="F11" i="18"/>
  <c r="AA16" i="5"/>
  <c r="F13" i="18"/>
  <c r="Q171" i="3"/>
  <c r="G59" i="17" s="1"/>
  <c r="O171" i="3"/>
  <c r="E59" i="17" s="1"/>
  <c r="N171" i="3"/>
  <c r="D59" i="17" s="1"/>
  <c r="M171" i="3"/>
  <c r="C59" i="17" s="1"/>
  <c r="AC179" i="3"/>
  <c r="AC180" i="3"/>
  <c r="AC181" i="3"/>
  <c r="I23" i="17"/>
  <c r="G22" i="7"/>
  <c r="D22" i="7"/>
  <c r="E21" i="7"/>
  <c r="C21" i="7"/>
  <c r="C53" i="16"/>
  <c r="I72" i="17"/>
  <c r="F34" i="16"/>
  <c r="I48" i="17"/>
  <c r="F32" i="16"/>
  <c r="I47" i="17"/>
  <c r="C32" i="16"/>
  <c r="I40" i="17"/>
  <c r="C30" i="16"/>
  <c r="I38" i="17"/>
  <c r="Q146" i="3"/>
  <c r="G41" i="17" s="1"/>
  <c r="G38" i="17"/>
  <c r="P146" i="3"/>
  <c r="F41" i="17" s="1"/>
  <c r="F38" i="17"/>
  <c r="O146" i="3"/>
  <c r="E41" i="17" s="1"/>
  <c r="E38" i="17"/>
  <c r="N146" i="3"/>
  <c r="D41" i="17" s="1"/>
  <c r="D38" i="17"/>
  <c r="M146" i="3"/>
  <c r="C41" i="17" s="1"/>
  <c r="C38" i="17"/>
  <c r="C25" i="16"/>
  <c r="I29" i="17"/>
  <c r="C23" i="16"/>
  <c r="I27" i="17"/>
  <c r="C17" i="16"/>
  <c r="I17" i="17"/>
  <c r="C16" i="16"/>
  <c r="I16" i="17"/>
  <c r="AA177" i="3"/>
  <c r="Q177" i="3"/>
  <c r="G67" i="17" s="1"/>
  <c r="P177" i="3"/>
  <c r="F67" i="17" s="1"/>
  <c r="O177" i="3"/>
  <c r="E67" i="17" s="1"/>
  <c r="N177" i="3"/>
  <c r="D67" i="17" s="1"/>
  <c r="M177" i="3"/>
  <c r="C67" i="17" s="1"/>
  <c r="AA146" i="3"/>
  <c r="D30" i="12"/>
  <c r="F29" i="12"/>
  <c r="E20" i="12"/>
  <c r="H19" i="12"/>
  <c r="I19" i="12" s="1"/>
  <c r="J19" i="12" s="1"/>
  <c r="K19" i="12" s="1"/>
  <c r="L19" i="12" s="1"/>
  <c r="AA148" i="3"/>
  <c r="AA174" i="3"/>
  <c r="Q148" i="3"/>
  <c r="G45" i="17" s="1"/>
  <c r="Q174" i="3"/>
  <c r="G66" i="17" s="1"/>
  <c r="P148" i="3"/>
  <c r="F45" i="17" s="1"/>
  <c r="P174" i="3"/>
  <c r="F66" i="17" s="1"/>
  <c r="O148" i="3"/>
  <c r="E45" i="17" s="1"/>
  <c r="O174" i="3"/>
  <c r="E66" i="17" s="1"/>
  <c r="N148" i="3"/>
  <c r="D45" i="17" s="1"/>
  <c r="N174" i="3"/>
  <c r="D66" i="17" s="1"/>
  <c r="M148" i="3"/>
  <c r="C45" i="17" s="1"/>
  <c r="M174" i="3"/>
  <c r="C66" i="17" s="1"/>
  <c r="AC146" i="3"/>
  <c r="I41" i="17" s="1"/>
  <c r="C9" i="17"/>
  <c r="D9" i="17"/>
  <c r="E9" i="17"/>
  <c r="G10" i="17"/>
  <c r="F10" i="17"/>
  <c r="E10" i="17"/>
  <c r="D10" i="17"/>
  <c r="C10" i="17"/>
  <c r="G9" i="17"/>
  <c r="F9" i="17"/>
  <c r="C5" i="16"/>
  <c r="H5" i="6"/>
  <c r="G18" i="6"/>
  <c r="G10" i="6"/>
  <c r="T21" i="6"/>
  <c r="T20" i="6"/>
  <c r="G20" i="6"/>
  <c r="AC105" i="3"/>
  <c r="AA149" i="3"/>
  <c r="G32" i="12"/>
  <c r="Q149" i="3"/>
  <c r="G46" i="17" s="1"/>
  <c r="F32" i="12"/>
  <c r="P149" i="3"/>
  <c r="F46" i="17" s="1"/>
  <c r="E32" i="12"/>
  <c r="O149" i="3"/>
  <c r="E46" i="17" s="1"/>
  <c r="D32" i="12"/>
  <c r="N149" i="3"/>
  <c r="D46" i="17" s="1"/>
  <c r="C32" i="12"/>
  <c r="M149" i="3"/>
  <c r="C46" i="17" s="1"/>
  <c r="AC107" i="3"/>
  <c r="Q107" i="3"/>
  <c r="Q160" i="3" s="1"/>
  <c r="E46" i="7"/>
  <c r="D18" i="6"/>
  <c r="W10" i="6"/>
  <c r="U10" i="6"/>
  <c r="R10" i="6"/>
  <c r="AA77" i="3"/>
  <c r="F20" i="12"/>
  <c r="D20" i="12"/>
  <c r="G13" i="12"/>
  <c r="C30" i="12"/>
  <c r="E29" i="12"/>
  <c r="D29" i="12"/>
  <c r="G20" i="12"/>
  <c r="F13" i="12"/>
  <c r="E13" i="12"/>
  <c r="D13" i="12"/>
  <c r="G30" i="12"/>
  <c r="G8" i="8"/>
  <c r="D8" i="8"/>
  <c r="C46" i="7"/>
  <c r="G43" i="7"/>
  <c r="C43" i="7"/>
  <c r="F27" i="7"/>
  <c r="D12" i="7"/>
  <c r="D19" i="6"/>
  <c r="D36" i="7"/>
  <c r="D37" i="7" s="1"/>
  <c r="E27" i="7"/>
  <c r="V19" i="6"/>
  <c r="S19" i="6"/>
  <c r="Q19" i="6"/>
  <c r="R16" i="5"/>
  <c r="R14" i="5"/>
  <c r="Q20" i="6"/>
  <c r="F21" i="6"/>
  <c r="F30" i="12"/>
  <c r="E30" i="12"/>
  <c r="G29" i="12"/>
  <c r="C29" i="12"/>
  <c r="D20" i="6"/>
  <c r="I6" i="7"/>
  <c r="S21" i="6"/>
  <c r="Q21" i="6"/>
  <c r="V22" i="6"/>
  <c r="G46" i="7"/>
  <c r="C15" i="14"/>
  <c r="AC114" i="3"/>
  <c r="AC115" i="3" s="1"/>
  <c r="C6" i="10"/>
  <c r="E22" i="6"/>
  <c r="E9" i="8"/>
  <c r="D9" i="8"/>
  <c r="D22" i="6"/>
  <c r="G22" i="6"/>
  <c r="G9" i="8"/>
  <c r="C9" i="8"/>
  <c r="C22" i="6"/>
  <c r="F22" i="6"/>
  <c r="F9" i="8"/>
  <c r="U20" i="6"/>
  <c r="P20" i="6"/>
  <c r="U22" i="6"/>
  <c r="T22" i="6"/>
  <c r="P22" i="6"/>
  <c r="G21" i="6"/>
  <c r="E20" i="6"/>
  <c r="C20" i="6"/>
  <c r="U21" i="6"/>
  <c r="P21" i="6"/>
  <c r="W21" i="6"/>
  <c r="V21" i="6"/>
  <c r="W20" i="6"/>
  <c r="V20" i="6"/>
  <c r="S20" i="6"/>
  <c r="W22" i="6"/>
  <c r="S22" i="6"/>
  <c r="Q22" i="6"/>
  <c r="E21" i="6"/>
  <c r="C21" i="6"/>
  <c r="F20" i="6"/>
  <c r="H19" i="7"/>
  <c r="Q10" i="6"/>
  <c r="F18" i="6"/>
  <c r="G26" i="8"/>
  <c r="C19" i="8"/>
  <c r="F14" i="8"/>
  <c r="G14" i="8"/>
  <c r="C14" i="8"/>
  <c r="C8" i="8"/>
  <c r="F46" i="7"/>
  <c r="G41" i="7"/>
  <c r="H34" i="7"/>
  <c r="E34" i="7"/>
  <c r="S10" i="6"/>
  <c r="P10" i="6"/>
  <c r="F8" i="8"/>
  <c r="E26" i="8"/>
  <c r="D26" i="8"/>
  <c r="C26" i="8"/>
  <c r="G19" i="8"/>
  <c r="F19" i="8"/>
  <c r="E14" i="8"/>
  <c r="G36" i="7"/>
  <c r="G37" i="7" s="1"/>
  <c r="F20" i="7"/>
  <c r="H12" i="7"/>
  <c r="C12" i="7"/>
  <c r="R15" i="5"/>
  <c r="E19" i="8"/>
  <c r="D14" i="8"/>
  <c r="E8" i="8"/>
  <c r="F26" i="8"/>
  <c r="D19" i="8"/>
  <c r="F43" i="7"/>
  <c r="E41" i="7"/>
  <c r="D43" i="7"/>
  <c r="C41" i="7"/>
  <c r="C34" i="7"/>
  <c r="E19" i="6"/>
  <c r="C27" i="7"/>
  <c r="F22" i="7"/>
  <c r="F21" i="7"/>
  <c r="D21" i="7"/>
  <c r="G20" i="7"/>
  <c r="F12" i="7"/>
  <c r="E12" i="7"/>
  <c r="D46" i="7"/>
  <c r="E43" i="7"/>
  <c r="H41" i="7"/>
  <c r="F36" i="7"/>
  <c r="F37" i="7" s="1"/>
  <c r="G34" i="7"/>
  <c r="D34" i="7"/>
  <c r="G27" i="7"/>
  <c r="G21" i="7"/>
  <c r="C20" i="7"/>
  <c r="G19" i="7"/>
  <c r="F19" i="7"/>
  <c r="E19" i="7"/>
  <c r="D19" i="7"/>
  <c r="C19" i="7"/>
  <c r="F41" i="7"/>
  <c r="D41" i="7"/>
  <c r="E36" i="7"/>
  <c r="E37" i="7" s="1"/>
  <c r="C36" i="7"/>
  <c r="C37" i="7" s="1"/>
  <c r="F34" i="7"/>
  <c r="H27" i="7"/>
  <c r="D27" i="7"/>
  <c r="E22" i="7"/>
  <c r="C22" i="7"/>
  <c r="E20" i="7"/>
  <c r="D20" i="7"/>
  <c r="G12" i="7"/>
  <c r="W19" i="6"/>
  <c r="T19" i="6"/>
  <c r="F19" i="6"/>
  <c r="R19" i="6"/>
  <c r="P19" i="6"/>
  <c r="U19" i="6"/>
  <c r="G19" i="6"/>
  <c r="C19" i="6"/>
  <c r="E18" i="6"/>
  <c r="C18" i="6"/>
  <c r="F10" i="6"/>
  <c r="D10" i="6"/>
  <c r="C10" i="6"/>
  <c r="W18" i="6"/>
  <c r="V18" i="6"/>
  <c r="U18" i="6"/>
  <c r="T18" i="6"/>
  <c r="S18" i="6"/>
  <c r="R18" i="6"/>
  <c r="Q18" i="6"/>
  <c r="P18" i="6"/>
  <c r="V10" i="6"/>
  <c r="T10" i="6"/>
  <c r="E10" i="6"/>
  <c r="R21" i="6"/>
  <c r="R20" i="6"/>
  <c r="R22" i="6"/>
  <c r="I5" i="5"/>
  <c r="H13" i="5"/>
  <c r="AA69" i="3"/>
  <c r="P69" i="3"/>
  <c r="M69" i="3"/>
  <c r="L69" i="3"/>
  <c r="O69" i="3"/>
  <c r="N69" i="3"/>
  <c r="K69" i="3"/>
  <c r="J69" i="3"/>
  <c r="I69" i="3"/>
  <c r="H69" i="3"/>
  <c r="G69" i="3"/>
  <c r="F69" i="3"/>
  <c r="E69" i="3"/>
  <c r="D69" i="3"/>
  <c r="C69" i="3"/>
  <c r="AC77" i="3" l="1"/>
  <c r="AA155" i="3"/>
  <c r="AA156" i="3" s="1"/>
  <c r="C46" i="12"/>
  <c r="C67" i="12"/>
  <c r="AC185" i="3"/>
  <c r="AC184" i="3"/>
  <c r="H6" i="12"/>
  <c r="H6" i="8"/>
  <c r="H6" i="6"/>
  <c r="C22" i="11"/>
  <c r="C24" i="14"/>
  <c r="C25" i="11"/>
  <c r="C49" i="12"/>
  <c r="C70" i="12"/>
  <c r="I8" i="5"/>
  <c r="J6" i="5"/>
  <c r="H16" i="5"/>
  <c r="I6" i="14"/>
  <c r="I5" i="12"/>
  <c r="I6" i="11"/>
  <c r="H13" i="12"/>
  <c r="H36" i="7"/>
  <c r="H13" i="7"/>
  <c r="H42" i="7"/>
  <c r="H20" i="8" s="1"/>
  <c r="H45" i="7"/>
  <c r="H21" i="8" s="1"/>
  <c r="X13" i="6"/>
  <c r="AB13" i="6" s="1"/>
  <c r="X12" i="6"/>
  <c r="C33" i="14"/>
  <c r="K60" i="19"/>
  <c r="P172" i="3"/>
  <c r="K61" i="19"/>
  <c r="D11" i="17"/>
  <c r="E11" i="17"/>
  <c r="F11" i="17"/>
  <c r="C11" i="17"/>
  <c r="AC170" i="3"/>
  <c r="AC172" i="3"/>
  <c r="P170" i="3"/>
  <c r="P171" i="3"/>
  <c r="F59" i="17" s="1"/>
  <c r="F30" i="16"/>
  <c r="I44" i="17"/>
  <c r="G11" i="17"/>
  <c r="AC69" i="3"/>
  <c r="G58" i="17"/>
  <c r="E60" i="17"/>
  <c r="D58" i="17"/>
  <c r="D60" i="17"/>
  <c r="C58" i="17"/>
  <c r="C60" i="17"/>
  <c r="Q173" i="3"/>
  <c r="G63" i="17" s="1"/>
  <c r="P173" i="3"/>
  <c r="F63" i="17" s="1"/>
  <c r="N173" i="3"/>
  <c r="D63" i="17" s="1"/>
  <c r="M173" i="3"/>
  <c r="C63" i="17" s="1"/>
  <c r="O173" i="3"/>
  <c r="E63" i="17" s="1"/>
  <c r="H19" i="8"/>
  <c r="H26" i="8"/>
  <c r="I5" i="8"/>
  <c r="I32" i="8" s="1"/>
  <c r="H14" i="8"/>
  <c r="C7" i="17"/>
  <c r="M161" i="3"/>
  <c r="M163" i="3"/>
  <c r="C52" i="17" s="1"/>
  <c r="M178" i="3"/>
  <c r="C68" i="17" s="1"/>
  <c r="M167" i="3"/>
  <c r="C55" i="17" s="1"/>
  <c r="M166" i="3"/>
  <c r="C54" i="17" s="1"/>
  <c r="M156" i="3"/>
  <c r="D7" i="17"/>
  <c r="N161" i="3"/>
  <c r="N163" i="3"/>
  <c r="D52" i="17" s="1"/>
  <c r="N178" i="3"/>
  <c r="D68" i="17" s="1"/>
  <c r="N167" i="3"/>
  <c r="D55" i="17" s="1"/>
  <c r="N166" i="3"/>
  <c r="D54" i="17" s="1"/>
  <c r="N156" i="3"/>
  <c r="E7" i="17"/>
  <c r="O161" i="3"/>
  <c r="O163" i="3"/>
  <c r="E52" i="17" s="1"/>
  <c r="O178" i="3"/>
  <c r="E68" i="17" s="1"/>
  <c r="O167" i="3"/>
  <c r="E55" i="17" s="1"/>
  <c r="O166" i="3"/>
  <c r="E54" i="17" s="1"/>
  <c r="O156" i="3"/>
  <c r="P161" i="3"/>
  <c r="F7" i="17"/>
  <c r="P156" i="3"/>
  <c r="P163" i="3"/>
  <c r="F52" i="17" s="1"/>
  <c r="P178" i="3"/>
  <c r="F68" i="17" s="1"/>
  <c r="P167" i="3"/>
  <c r="F55" i="17" s="1"/>
  <c r="P166" i="3"/>
  <c r="F54" i="17" s="1"/>
  <c r="Q161" i="3"/>
  <c r="Q163" i="3"/>
  <c r="G52" i="17" s="1"/>
  <c r="G7" i="17"/>
  <c r="Q156" i="3"/>
  <c r="Q178" i="3"/>
  <c r="G68" i="17" s="1"/>
  <c r="Q167" i="3"/>
  <c r="G55" i="17" s="1"/>
  <c r="Q166" i="3"/>
  <c r="G54" i="17" s="1"/>
  <c r="AC165" i="3"/>
  <c r="AC164" i="3"/>
  <c r="AC154" i="3"/>
  <c r="AC153" i="3"/>
  <c r="AC152" i="3"/>
  <c r="G60" i="17"/>
  <c r="E58" i="17"/>
  <c r="P123" i="3"/>
  <c r="F28" i="17"/>
  <c r="F33" i="17" s="1"/>
  <c r="O123" i="3"/>
  <c r="E28" i="17"/>
  <c r="E33" i="17" s="1"/>
  <c r="N123" i="3"/>
  <c r="D28" i="17"/>
  <c r="D33" i="17" s="1"/>
  <c r="M123" i="3"/>
  <c r="C28" i="17"/>
  <c r="C33" i="17" s="1"/>
  <c r="Q123" i="3"/>
  <c r="O168" i="3"/>
  <c r="J61" i="19"/>
  <c r="N168" i="3"/>
  <c r="I61" i="19"/>
  <c r="M168" i="3"/>
  <c r="H61" i="19"/>
  <c r="G28" i="17"/>
  <c r="G33" i="17" s="1"/>
  <c r="E35" i="17"/>
  <c r="D35" i="17"/>
  <c r="C35" i="17"/>
  <c r="F35" i="17"/>
  <c r="P168" i="3"/>
  <c r="AC121" i="3"/>
  <c r="I28" i="17" s="1"/>
  <c r="I33" i="17" s="1"/>
  <c r="C22" i="16"/>
  <c r="AC142" i="3"/>
  <c r="L61" i="19"/>
  <c r="Q142" i="3"/>
  <c r="L70" i="19" s="1"/>
  <c r="C18" i="16"/>
  <c r="I18" i="17"/>
  <c r="F52" i="16"/>
  <c r="I75" i="17"/>
  <c r="F53" i="16"/>
  <c r="I76" i="17"/>
  <c r="F54" i="16"/>
  <c r="I77" i="17"/>
  <c r="AC171" i="3"/>
  <c r="I6" i="17"/>
  <c r="C23" i="14"/>
  <c r="C56" i="12"/>
  <c r="C33" i="16"/>
  <c r="F18" i="1"/>
  <c r="AC174" i="3"/>
  <c r="AC177" i="3"/>
  <c r="I67" i="17" s="1"/>
  <c r="C33" i="12"/>
  <c r="D33" i="12"/>
  <c r="F33" i="12"/>
  <c r="E33" i="12"/>
  <c r="G33" i="12"/>
  <c r="I5" i="6"/>
  <c r="H10" i="6"/>
  <c r="H18" i="6"/>
  <c r="AC149" i="3"/>
  <c r="I46" i="17" s="1"/>
  <c r="AC148" i="3"/>
  <c r="I45" i="17" s="1"/>
  <c r="D10" i="8"/>
  <c r="G10" i="8"/>
  <c r="J6" i="7"/>
  <c r="I27" i="7"/>
  <c r="I19" i="7"/>
  <c r="I41" i="7"/>
  <c r="I34" i="7"/>
  <c r="G18" i="12"/>
  <c r="G23" i="12"/>
  <c r="G12" i="12"/>
  <c r="G28" i="12"/>
  <c r="F18" i="12"/>
  <c r="F23" i="12"/>
  <c r="F28" i="12"/>
  <c r="F12" i="12"/>
  <c r="E28" i="12"/>
  <c r="E12" i="12"/>
  <c r="E18" i="12"/>
  <c r="E23" i="12"/>
  <c r="D28" i="12"/>
  <c r="D12" i="12"/>
  <c r="D18" i="12"/>
  <c r="D23" i="12"/>
  <c r="C12" i="12"/>
  <c r="C23" i="12"/>
  <c r="C18" i="12"/>
  <c r="C28" i="12"/>
  <c r="C10" i="8"/>
  <c r="F10" i="8"/>
  <c r="E10" i="8"/>
  <c r="I12" i="7"/>
  <c r="E23" i="7"/>
  <c r="D23" i="7"/>
  <c r="F23" i="7"/>
  <c r="G23" i="7"/>
  <c r="C23" i="7"/>
  <c r="J5" i="5"/>
  <c r="I13" i="5"/>
  <c r="H11" i="6" l="1"/>
  <c r="H12" i="6"/>
  <c r="H13" i="6"/>
  <c r="C5" i="10"/>
  <c r="C7" i="10" s="1"/>
  <c r="AC155" i="3"/>
  <c r="AC173" i="3"/>
  <c r="H28" i="7"/>
  <c r="C32" i="14"/>
  <c r="I16" i="5"/>
  <c r="I10" i="5"/>
  <c r="J8" i="5"/>
  <c r="K6" i="5"/>
  <c r="J6" i="14"/>
  <c r="J5" i="12"/>
  <c r="J6" i="11"/>
  <c r="H44" i="7"/>
  <c r="AB12" i="6"/>
  <c r="X14" i="6"/>
  <c r="F60" i="17"/>
  <c r="F58" i="17"/>
  <c r="F8" i="17"/>
  <c r="G8" i="17"/>
  <c r="I14" i="8"/>
  <c r="C8" i="17"/>
  <c r="D8" i="17"/>
  <c r="E8" i="17"/>
  <c r="C24" i="16"/>
  <c r="F22" i="16" s="1"/>
  <c r="F12" i="1"/>
  <c r="M157" i="3"/>
  <c r="C12" i="17" s="1"/>
  <c r="M158" i="3"/>
  <c r="C13" i="17" s="1"/>
  <c r="M162" i="3"/>
  <c r="N157" i="3"/>
  <c r="D12" i="17" s="1"/>
  <c r="N158" i="3"/>
  <c r="D13" i="17" s="1"/>
  <c r="N162" i="3"/>
  <c r="O157" i="3"/>
  <c r="E12" i="17" s="1"/>
  <c r="O158" i="3"/>
  <c r="E13" i="17" s="1"/>
  <c r="O162" i="3"/>
  <c r="P157" i="3"/>
  <c r="F12" i="17" s="1"/>
  <c r="P158" i="3"/>
  <c r="F13" i="17" s="1"/>
  <c r="P162" i="3"/>
  <c r="Q157" i="3"/>
  <c r="G12" i="17" s="1"/>
  <c r="Q158" i="3"/>
  <c r="G13" i="17" s="1"/>
  <c r="I19" i="8"/>
  <c r="I26" i="8"/>
  <c r="J5" i="8"/>
  <c r="J32" i="8" s="1"/>
  <c r="AC123" i="3"/>
  <c r="I30" i="17" s="1"/>
  <c r="I34" i="17" s="1"/>
  <c r="I51" i="17"/>
  <c r="I10" i="17"/>
  <c r="I9" i="17"/>
  <c r="I53" i="17"/>
  <c r="F30" i="17"/>
  <c r="F34" i="17" s="1"/>
  <c r="K69" i="19"/>
  <c r="E30" i="17"/>
  <c r="E34" i="17" s="1"/>
  <c r="J69" i="19"/>
  <c r="D30" i="17"/>
  <c r="D34" i="17" s="1"/>
  <c r="I69" i="19"/>
  <c r="C30" i="17"/>
  <c r="C34" i="17" s="1"/>
  <c r="H69" i="19"/>
  <c r="G30" i="17"/>
  <c r="G34" i="17" s="1"/>
  <c r="L69" i="19"/>
  <c r="I35" i="17"/>
  <c r="AC168" i="3"/>
  <c r="G35" i="17"/>
  <c r="Q168" i="3"/>
  <c r="I11" i="17"/>
  <c r="C10" i="16"/>
  <c r="F38" i="16"/>
  <c r="I58" i="17"/>
  <c r="F39" i="16"/>
  <c r="I59" i="17"/>
  <c r="F40" i="16"/>
  <c r="I60" i="17"/>
  <c r="F46" i="16"/>
  <c r="I66" i="17"/>
  <c r="C8" i="16"/>
  <c r="F6" i="1"/>
  <c r="C9" i="16"/>
  <c r="F7" i="1"/>
  <c r="C40" i="16"/>
  <c r="F11" i="1"/>
  <c r="F47" i="16"/>
  <c r="F16" i="1"/>
  <c r="F33" i="16"/>
  <c r="F20" i="1"/>
  <c r="F31" i="16"/>
  <c r="F19" i="1"/>
  <c r="F24" i="16"/>
  <c r="F14" i="1"/>
  <c r="C38" i="16"/>
  <c r="F9" i="1"/>
  <c r="C26" i="14"/>
  <c r="J5" i="6"/>
  <c r="I10" i="6"/>
  <c r="I18" i="6"/>
  <c r="Q162" i="3"/>
  <c r="D27" i="8"/>
  <c r="D28" i="8" s="1"/>
  <c r="G27" i="8"/>
  <c r="G28" i="8" s="1"/>
  <c r="G7" i="14" s="1"/>
  <c r="G7" i="12"/>
  <c r="D7" i="12"/>
  <c r="J34" i="7"/>
  <c r="J41" i="7"/>
  <c r="J12" i="7"/>
  <c r="J19" i="7"/>
  <c r="J27" i="7"/>
  <c r="K6" i="7"/>
  <c r="C7" i="12"/>
  <c r="C27" i="8"/>
  <c r="C28" i="8" s="1"/>
  <c r="F7" i="12"/>
  <c r="F27" i="8"/>
  <c r="F28" i="8" s="1"/>
  <c r="E7" i="12"/>
  <c r="E27" i="8"/>
  <c r="E28" i="8" s="1"/>
  <c r="H18" i="12"/>
  <c r="H12" i="12"/>
  <c r="H28" i="12"/>
  <c r="H23" i="12"/>
  <c r="K5" i="5"/>
  <c r="J13" i="5"/>
  <c r="AE6" i="5"/>
  <c r="H7" i="8" l="1"/>
  <c r="H8" i="8" s="1"/>
  <c r="H33" i="8" s="1"/>
  <c r="H8" i="7"/>
  <c r="H14" i="6"/>
  <c r="C17" i="10"/>
  <c r="C16" i="10"/>
  <c r="AC156" i="3"/>
  <c r="I7" i="17"/>
  <c r="AC166" i="3"/>
  <c r="AC167" i="3"/>
  <c r="AC178" i="3"/>
  <c r="F3" i="1"/>
  <c r="C6" i="16"/>
  <c r="AC163" i="3"/>
  <c r="AC161" i="3"/>
  <c r="I63" i="17"/>
  <c r="C46" i="16"/>
  <c r="F17" i="1"/>
  <c r="C15" i="11"/>
  <c r="I17" i="1" s="1"/>
  <c r="C62" i="12"/>
  <c r="C41" i="12"/>
  <c r="I7" i="7"/>
  <c r="I6" i="6"/>
  <c r="I6" i="12"/>
  <c r="I13" i="12" s="1"/>
  <c r="I6" i="8"/>
  <c r="J16" i="5"/>
  <c r="J10" i="5"/>
  <c r="K8" i="5"/>
  <c r="L6" i="5"/>
  <c r="L8" i="5" s="1"/>
  <c r="H7" i="14"/>
  <c r="K6" i="14"/>
  <c r="K5" i="12"/>
  <c r="K6" i="11"/>
  <c r="AB14" i="6"/>
  <c r="X22" i="6"/>
  <c r="F14" i="12"/>
  <c r="J26" i="8"/>
  <c r="F13" i="1"/>
  <c r="C26" i="16"/>
  <c r="F23" i="16" s="1"/>
  <c r="J19" i="8"/>
  <c r="J14" i="8"/>
  <c r="K5" i="8"/>
  <c r="K32" i="8" s="1"/>
  <c r="G14" i="12"/>
  <c r="E14" i="12"/>
  <c r="C34" i="12"/>
  <c r="D14" i="12"/>
  <c r="D7" i="11"/>
  <c r="D8" i="12"/>
  <c r="G7" i="11"/>
  <c r="G8" i="12"/>
  <c r="K5" i="6"/>
  <c r="J18" i="6"/>
  <c r="J10" i="6"/>
  <c r="G34" i="12"/>
  <c r="D7" i="14"/>
  <c r="D34" i="12"/>
  <c r="K12" i="7"/>
  <c r="K19" i="7"/>
  <c r="K27" i="7"/>
  <c r="K34" i="7"/>
  <c r="K41" i="7"/>
  <c r="L6" i="7"/>
  <c r="C7" i="11"/>
  <c r="C8" i="12"/>
  <c r="C7" i="14"/>
  <c r="F34" i="12"/>
  <c r="F7" i="11"/>
  <c r="F8" i="12"/>
  <c r="F7" i="14"/>
  <c r="E34" i="12"/>
  <c r="E7" i="11"/>
  <c r="E8" i="12"/>
  <c r="E7" i="14"/>
  <c r="I18" i="12"/>
  <c r="I12" i="12"/>
  <c r="I28" i="12"/>
  <c r="I23" i="12"/>
  <c r="L5" i="5"/>
  <c r="K13" i="5"/>
  <c r="AE7" i="5"/>
  <c r="H18" i="5"/>
  <c r="C20" i="10" l="1"/>
  <c r="C21" i="14" s="1"/>
  <c r="H10" i="14" s="1"/>
  <c r="H14" i="7"/>
  <c r="H29" i="7" s="1"/>
  <c r="H15" i="7"/>
  <c r="H30" i="7" s="1"/>
  <c r="H22" i="6"/>
  <c r="H9" i="8"/>
  <c r="H10" i="8" s="1"/>
  <c r="H34" i="8" s="1"/>
  <c r="F4" i="1"/>
  <c r="I8" i="17"/>
  <c r="C7" i="16"/>
  <c r="AC158" i="3"/>
  <c r="AC157" i="3"/>
  <c r="AC162" i="3"/>
  <c r="I54" i="17"/>
  <c r="F10" i="1"/>
  <c r="C41" i="16"/>
  <c r="C42" i="16"/>
  <c r="I55" i="17"/>
  <c r="I68" i="17"/>
  <c r="F48" i="16"/>
  <c r="F15" i="1"/>
  <c r="I52" i="17"/>
  <c r="C39" i="16"/>
  <c r="F8" i="1"/>
  <c r="I45" i="7"/>
  <c r="I21" i="8" s="1"/>
  <c r="I36" i="7"/>
  <c r="I42" i="7"/>
  <c r="I13" i="7"/>
  <c r="I28" i="7" s="1"/>
  <c r="I13" i="6"/>
  <c r="I12" i="6"/>
  <c r="I11" i="6"/>
  <c r="J6" i="6"/>
  <c r="J7" i="7"/>
  <c r="J6" i="8"/>
  <c r="J6" i="12"/>
  <c r="J13" i="12" s="1"/>
  <c r="J18" i="5"/>
  <c r="K10" i="5"/>
  <c r="K16" i="5"/>
  <c r="L10" i="5"/>
  <c r="L16" i="5"/>
  <c r="I7" i="14"/>
  <c r="L6" i="14"/>
  <c r="L5" i="12"/>
  <c r="L6" i="11"/>
  <c r="F15" i="12"/>
  <c r="K26" i="8"/>
  <c r="K19" i="8"/>
  <c r="K14" i="8"/>
  <c r="L5" i="8"/>
  <c r="L32" i="8" s="1"/>
  <c r="E15" i="12"/>
  <c r="G15" i="12"/>
  <c r="C35" i="12"/>
  <c r="D15" i="12"/>
  <c r="D35" i="12"/>
  <c r="G35" i="12"/>
  <c r="L5" i="6"/>
  <c r="K18" i="6"/>
  <c r="K10" i="6"/>
  <c r="L12" i="7"/>
  <c r="L27" i="7"/>
  <c r="L19" i="7"/>
  <c r="L41" i="7"/>
  <c r="L34" i="7"/>
  <c r="F35" i="12"/>
  <c r="E35" i="12"/>
  <c r="J18" i="12"/>
  <c r="J23" i="12"/>
  <c r="J28" i="12"/>
  <c r="J12" i="12"/>
  <c r="L13" i="5"/>
  <c r="AA18" i="5"/>
  <c r="H35" i="7" l="1"/>
  <c r="H22" i="8" s="1"/>
  <c r="L18" i="5"/>
  <c r="C12" i="16"/>
  <c r="I13" i="17"/>
  <c r="C11" i="16"/>
  <c r="I12" i="17"/>
  <c r="H27" i="8"/>
  <c r="H7" i="12"/>
  <c r="I14" i="6"/>
  <c r="I20" i="8"/>
  <c r="I44" i="7"/>
  <c r="J12" i="6"/>
  <c r="J13" i="6"/>
  <c r="J11" i="6"/>
  <c r="J45" i="7"/>
  <c r="J21" i="8" s="1"/>
  <c r="J42" i="7"/>
  <c r="J36" i="7"/>
  <c r="J13" i="7"/>
  <c r="J28" i="7" s="1"/>
  <c r="K6" i="8"/>
  <c r="K6" i="6"/>
  <c r="K7" i="7"/>
  <c r="K6" i="12"/>
  <c r="K13" i="12" s="1"/>
  <c r="K18" i="5"/>
  <c r="J7" i="14"/>
  <c r="I7" i="8"/>
  <c r="I8" i="8" s="1"/>
  <c r="I33" i="8" s="1"/>
  <c r="I8" i="7"/>
  <c r="L6" i="8"/>
  <c r="L7" i="7"/>
  <c r="L6" i="12"/>
  <c r="L6" i="6"/>
  <c r="L11" i="6" s="1"/>
  <c r="I10" i="14"/>
  <c r="L14" i="8"/>
  <c r="L26" i="8"/>
  <c r="L19" i="8"/>
  <c r="L10" i="6"/>
  <c r="L18" i="6"/>
  <c r="K28" i="12"/>
  <c r="K12" i="12"/>
  <c r="K18" i="12"/>
  <c r="K23" i="12"/>
  <c r="I18" i="5"/>
  <c r="H28" i="8" l="1"/>
  <c r="H14" i="12"/>
  <c r="I14" i="7"/>
  <c r="I29" i="7" s="1"/>
  <c r="I15" i="7"/>
  <c r="I30" i="7" s="1"/>
  <c r="I9" i="8"/>
  <c r="I22" i="6"/>
  <c r="L36" i="7"/>
  <c r="L42" i="7"/>
  <c r="L13" i="7"/>
  <c r="J7" i="8"/>
  <c r="J8" i="8" s="1"/>
  <c r="J8" i="7"/>
  <c r="J20" i="8"/>
  <c r="J44" i="7"/>
  <c r="K12" i="6"/>
  <c r="K13" i="6"/>
  <c r="K11" i="6"/>
  <c r="K7" i="8" s="1"/>
  <c r="K8" i="8" s="1"/>
  <c r="K33" i="8" s="1"/>
  <c r="K45" i="7"/>
  <c r="K21" i="8" s="1"/>
  <c r="K36" i="7"/>
  <c r="K13" i="7"/>
  <c r="K42" i="7"/>
  <c r="J10" i="14"/>
  <c r="K7" i="14"/>
  <c r="L45" i="7"/>
  <c r="L21" i="8" s="1"/>
  <c r="L13" i="12"/>
  <c r="C53" i="12"/>
  <c r="C57" i="12" s="1"/>
  <c r="C58" i="12" s="1"/>
  <c r="C7" i="13" s="1"/>
  <c r="I5" i="1" s="1"/>
  <c r="L12" i="6"/>
  <c r="L13" i="6"/>
  <c r="J14" i="6"/>
  <c r="L12" i="12"/>
  <c r="L18" i="12"/>
  <c r="L23" i="12"/>
  <c r="L28" i="12"/>
  <c r="H7" i="11" l="1"/>
  <c r="H8" i="12"/>
  <c r="H15" i="12" s="1"/>
  <c r="I10" i="8"/>
  <c r="I34" i="8" s="1"/>
  <c r="I35" i="7"/>
  <c r="I22" i="8" s="1"/>
  <c r="K8" i="7"/>
  <c r="L20" i="8"/>
  <c r="J33" i="8"/>
  <c r="J15" i="7"/>
  <c r="J30" i="7" s="1"/>
  <c r="J14" i="7"/>
  <c r="J29" i="7" s="1"/>
  <c r="L28" i="7"/>
  <c r="K28" i="7"/>
  <c r="K20" i="8"/>
  <c r="K44" i="7"/>
  <c r="K10" i="14"/>
  <c r="L7" i="14"/>
  <c r="J22" i="6"/>
  <c r="J9" i="8"/>
  <c r="J10" i="8" s="1"/>
  <c r="J34" i="8" s="1"/>
  <c r="L44" i="7"/>
  <c r="L14" i="6"/>
  <c r="K14" i="6"/>
  <c r="L8" i="7"/>
  <c r="L7" i="8"/>
  <c r="L8" i="8" s="1"/>
  <c r="L33" i="8" s="1"/>
  <c r="K15" i="7" l="1"/>
  <c r="H10" i="11"/>
  <c r="H9" i="12" s="1"/>
  <c r="I27" i="8"/>
  <c r="I7" i="12"/>
  <c r="J27" i="8"/>
  <c r="J35" i="7"/>
  <c r="J22" i="8" s="1"/>
  <c r="K14" i="7"/>
  <c r="J7" i="12"/>
  <c r="L9" i="8"/>
  <c r="L22" i="6"/>
  <c r="L10" i="14"/>
  <c r="C29" i="14" s="1"/>
  <c r="L8" i="14"/>
  <c r="L11" i="14" s="1"/>
  <c r="C30" i="14" s="1"/>
  <c r="K9" i="8"/>
  <c r="K10" i="8" s="1"/>
  <c r="K22" i="6"/>
  <c r="L14" i="7"/>
  <c r="L15" i="7"/>
  <c r="K30" i="7" l="1"/>
  <c r="L30" i="7"/>
  <c r="K29" i="7"/>
  <c r="I28" i="8"/>
  <c r="I14" i="12"/>
  <c r="J28" i="8"/>
  <c r="L29" i="7"/>
  <c r="J14" i="12"/>
  <c r="L10" i="8"/>
  <c r="L34" i="8" s="1"/>
  <c r="K27" i="8"/>
  <c r="K7" i="12"/>
  <c r="K14" i="12" s="1"/>
  <c r="K34" i="8"/>
  <c r="C31" i="14"/>
  <c r="C34" i="14" s="1"/>
  <c r="C36" i="14" s="1"/>
  <c r="C16" i="14" s="1"/>
  <c r="I14" i="1" s="1"/>
  <c r="AC65" i="3"/>
  <c r="K35" i="7" l="1"/>
  <c r="K22" i="8" s="1"/>
  <c r="L35" i="7"/>
  <c r="L22" i="8" s="1"/>
  <c r="I7" i="11"/>
  <c r="I10" i="11" s="1"/>
  <c r="I9" i="12" s="1"/>
  <c r="I8" i="12"/>
  <c r="J8" i="12"/>
  <c r="J7" i="11"/>
  <c r="J10" i="11" s="1"/>
  <c r="J9" i="12" s="1"/>
  <c r="L7" i="12"/>
  <c r="L27" i="8"/>
  <c r="K28" i="8" l="1"/>
  <c r="K7" i="11" s="1"/>
  <c r="K10" i="11" s="1"/>
  <c r="K9" i="12" s="1"/>
  <c r="C79" i="12" s="1"/>
  <c r="C82" i="12" s="1"/>
  <c r="C84" i="12" s="1"/>
  <c r="C9" i="13" s="1"/>
  <c r="I7" i="1" s="1"/>
  <c r="I15" i="12"/>
  <c r="J15" i="12"/>
  <c r="L14" i="12"/>
  <c r="L28" i="8"/>
  <c r="C40" i="12"/>
  <c r="K8" i="12" l="1"/>
  <c r="L8" i="12"/>
  <c r="C43" i="12"/>
  <c r="C44" i="12" s="1"/>
  <c r="C45" i="12" s="1"/>
  <c r="C48" i="12" s="1"/>
  <c r="L7" i="11"/>
  <c r="C50" i="12" l="1"/>
  <c r="C6" i="13" s="1"/>
  <c r="I4" i="1" s="1"/>
  <c r="K15" i="12"/>
  <c r="L8" i="11"/>
  <c r="L11" i="11" s="1"/>
  <c r="C20" i="11" s="1"/>
  <c r="L10" i="11"/>
  <c r="L15" i="12"/>
  <c r="C61" i="12"/>
  <c r="C64" i="12" s="1"/>
  <c r="C65" i="12" s="1"/>
  <c r="C66" i="12" s="1"/>
  <c r="C69" i="12" s="1"/>
  <c r="C19" i="11" l="1"/>
  <c r="C21" i="11" s="1"/>
  <c r="C24" i="11" s="1"/>
  <c r="C26" i="11" s="1"/>
  <c r="C5" i="13" s="1"/>
  <c r="L9" i="12"/>
  <c r="C71" i="12"/>
  <c r="C8" i="13" s="1"/>
  <c r="I6" i="1" s="1"/>
  <c r="C10" i="13" l="1"/>
  <c r="I3" i="1"/>
  <c r="C12" i="13" l="1"/>
  <c r="I9" i="1" s="1"/>
  <c r="I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tc={22B2B3EF-EBF6-0D4F-BF74-BA371A77FD6F}</author>
    <author>tc={8A10573A-B1E5-5443-A272-E27CCC9C056F}</author>
  </authors>
  <commentList>
    <comment ref="B83" authorId="0" shapeId="0" xr:uid="{22B2B3EF-EBF6-0D4F-BF74-BA371A77FD6F}">
      <text>
        <t>[Threaded comment]
Your version of Excel allows you to read this threaded comment; however, any edits to it will get removed if the file is opened in a newer version of Excel. Learn more: https://go.microsoft.com/fwlink/?linkid=870924
Comment:
    Actual number</t>
      </text>
    </comment>
    <comment ref="B114" authorId="1" shapeId="0" xr:uid="{8A10573A-B1E5-5443-A272-E27CCC9C056F}">
      <text>
        <t>[Threaded comment]
Your version of Excel allows you to read this threaded comment; however, any edits to it will get removed if the file is opened in a newer version of Excel. Learn more: https://go.microsoft.com/fwlink/?linkid=870924
Comment:
    Take the closing price of the last day of the period. In case the price has seen heavy fluctuations make an average of the last days. Info found at Yahoo Finance in the Historical Data section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tc={87FCD2F5-1815-1140-9144-DCAA38F9CA74}</author>
  </authors>
  <commentList>
    <comment ref="B35" authorId="0" shapeId="0" xr:uid="{87FCD2F5-1815-1140-9144-DCAA38F9CA74}">
      <text>
        <t>[Threaded comment]
Your version of Excel allows you to read this threaded comment; however, any edits to it will get removed if the file is opened in a newer version of Excel. Learn more: https://go.microsoft.com/fwlink/?linkid=870924
Comment:
    We use here the inverted signg as are used in the CashFlow statement which means we will Add the change in NWC to the NOPAT instead of subtracting it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2"/>
        </ext>
      </extLst>
    </bk>
    <bk>
      <extLst>
        <ext uri="{3e2802c4-a4d2-4d8b-9148-e3be6c30e623}">
          <xlrd:rvb i="5"/>
        </ext>
      </extLst>
    </bk>
  </futureMetadata>
  <cellMetadata count="1">
    <bk>
      <rc t="1" v="0"/>
    </bk>
  </cellMetadata>
  <valueMetadata count="2">
    <bk>
      <rc t="2" v="0"/>
    </bk>
    <bk>
      <rc t="2" v="1"/>
    </bk>
  </valueMetadata>
</metadata>
</file>

<file path=xl/sharedStrings.xml><?xml version="1.0" encoding="utf-8"?>
<sst xmlns="http://schemas.openxmlformats.org/spreadsheetml/2006/main" count="806" uniqueCount="425">
  <si>
    <t>Ticker</t>
  </si>
  <si>
    <t>Price</t>
  </si>
  <si>
    <t>Price Extended Hours</t>
  </si>
  <si>
    <t>Day change</t>
  </si>
  <si>
    <t>Day change extended</t>
  </si>
  <si>
    <t>Day change %</t>
  </si>
  <si>
    <t>Day change extended %</t>
  </si>
  <si>
    <t>52 week high</t>
  </si>
  <si>
    <t>52 week low</t>
  </si>
  <si>
    <t>Beta</t>
  </si>
  <si>
    <t>Avg volume</t>
  </si>
  <si>
    <t>Company</t>
  </si>
  <si>
    <t>Units</t>
  </si>
  <si>
    <t>Units conversion</t>
  </si>
  <si>
    <t>Financials -&gt;</t>
  </si>
  <si>
    <t>Date</t>
  </si>
  <si>
    <t>FY</t>
  </si>
  <si>
    <t>Automatic Data</t>
  </si>
  <si>
    <t>Income statement</t>
  </si>
  <si>
    <t>Revenue</t>
  </si>
  <si>
    <t>COGS</t>
  </si>
  <si>
    <t>Gross Profit</t>
  </si>
  <si>
    <t>R&amp;D</t>
  </si>
  <si>
    <t>OpEx</t>
  </si>
  <si>
    <t>Operating income</t>
  </si>
  <si>
    <t>Interest income/expense</t>
  </si>
  <si>
    <t>Other income/expense</t>
  </si>
  <si>
    <t>Income before taxes</t>
  </si>
  <si>
    <t>Income tax expense/benefit</t>
  </si>
  <si>
    <t>Net income</t>
  </si>
  <si>
    <t>Basic Shares outstanding avg</t>
  </si>
  <si>
    <t>Basic Shares outstanding avg adjusted</t>
  </si>
  <si>
    <t>Diluted Shares outstanding avg</t>
  </si>
  <si>
    <t>Diluted Shares outstanding avg adjusted</t>
  </si>
  <si>
    <t>Basic EPS</t>
  </si>
  <si>
    <t>Basic EPS adjusted</t>
  </si>
  <si>
    <t>Diluted EPS</t>
  </si>
  <si>
    <t>Diluted EPS adjusted</t>
  </si>
  <si>
    <t>Balance sheet</t>
  </si>
  <si>
    <t>Cash and cash equivalents</t>
  </si>
  <si>
    <t>Acc receivable</t>
  </si>
  <si>
    <t>Current assets</t>
  </si>
  <si>
    <t>PP&amp;E</t>
  </si>
  <si>
    <t>Goodwill</t>
  </si>
  <si>
    <t>Long term assets</t>
  </si>
  <si>
    <t>Total assets</t>
  </si>
  <si>
    <t>Acc payable</t>
  </si>
  <si>
    <t>Current liabilities</t>
  </si>
  <si>
    <t>Long term liabilities</t>
  </si>
  <si>
    <t>Total liabilities</t>
  </si>
  <si>
    <t>Paid in capital</t>
  </si>
  <si>
    <t>Treasury stock</t>
  </si>
  <si>
    <t>Stockholder equity</t>
  </si>
  <si>
    <t>Total liabilities and equity</t>
  </si>
  <si>
    <t>Cashflow statement</t>
  </si>
  <si>
    <t>D&amp;A</t>
  </si>
  <si>
    <t>Stock-based compensation</t>
  </si>
  <si>
    <t>Operating cashflow</t>
  </si>
  <si>
    <t>CapEx</t>
  </si>
  <si>
    <t>Investing cashflow</t>
  </si>
  <si>
    <t>Repurchase stock</t>
  </si>
  <si>
    <t>Financing cashflow</t>
  </si>
  <si>
    <t>Sanity checks</t>
  </si>
  <si>
    <t>Calculated Net Income</t>
  </si>
  <si>
    <t>Check Net Income</t>
  </si>
  <si>
    <t>Check balance</t>
  </si>
  <si>
    <t>Other data</t>
  </si>
  <si>
    <t>Shares outstanding</t>
  </si>
  <si>
    <t>Split adjusted shares outstanding</t>
  </si>
  <si>
    <t>Dividends per share</t>
  </si>
  <si>
    <t>Split adjusted dividends per share</t>
  </si>
  <si>
    <t>Tax rate</t>
  </si>
  <si>
    <t>Employees</t>
  </si>
  <si>
    <t>Stock split factor</t>
  </si>
  <si>
    <t>Growth rates Income Statement</t>
  </si>
  <si>
    <t>Margins</t>
  </si>
  <si>
    <t>Gross margin</t>
  </si>
  <si>
    <t>Operating margin</t>
  </si>
  <si>
    <t>Net margin</t>
  </si>
  <si>
    <t>Revenue and Costs breakdown</t>
  </si>
  <si>
    <t>Market data</t>
  </si>
  <si>
    <t>Last market price for period</t>
  </si>
  <si>
    <t>TTM/YTD</t>
  </si>
  <si>
    <t>Unit data and other info</t>
  </si>
  <si>
    <t>Has operating lease</t>
  </si>
  <si>
    <t>Has finance lease</t>
  </si>
  <si>
    <t>No</t>
  </si>
  <si>
    <t>Has debt</t>
  </si>
  <si>
    <t>Change in accounts receivable</t>
  </si>
  <si>
    <t>Change in accounts payable</t>
  </si>
  <si>
    <t>Change in other operating NWC</t>
  </si>
  <si>
    <t>Capitalized software</t>
  </si>
  <si>
    <t>Profit Margin (Earnings/Revenue)</t>
  </si>
  <si>
    <t>Asset Turnover (Revenue/Total assets)</t>
  </si>
  <si>
    <t>ROA</t>
  </si>
  <si>
    <t>Equity Multiplier (Total assets/Equity)</t>
  </si>
  <si>
    <t>ROE</t>
  </si>
  <si>
    <t>ROIC</t>
  </si>
  <si>
    <t>DuPont Identity and performance</t>
  </si>
  <si>
    <t>Constants</t>
  </si>
  <si>
    <t>Default tax rate</t>
  </si>
  <si>
    <t>Adjustments</t>
  </si>
  <si>
    <t>Company metrics</t>
  </si>
  <si>
    <t>Forecast -&gt;</t>
  </si>
  <si>
    <t>Revenue forecast</t>
  </si>
  <si>
    <t>History</t>
  </si>
  <si>
    <t>Forecast</t>
  </si>
  <si>
    <t>TTM</t>
  </si>
  <si>
    <t>Revenues</t>
  </si>
  <si>
    <t>Revenues (thousand)</t>
  </si>
  <si>
    <t>FQ1</t>
  </si>
  <si>
    <t>FQ2</t>
  </si>
  <si>
    <t>FQ3</t>
  </si>
  <si>
    <t>Total</t>
  </si>
  <si>
    <t>Growth rates</t>
  </si>
  <si>
    <t>Revenue growth %</t>
  </si>
  <si>
    <t>COGS &amp; OpEx forecast</t>
  </si>
  <si>
    <t>COGS and OpEx</t>
  </si>
  <si>
    <t>COGS &amp; OpEx</t>
  </si>
  <si>
    <t>Expenses (thousand)</t>
  </si>
  <si>
    <t>Expenses % of Revenue</t>
  </si>
  <si>
    <t>% of revenue</t>
  </si>
  <si>
    <t>Expenses (tnousand)</t>
  </si>
  <si>
    <t>Working Capital, Capex, D&amp;A</t>
  </si>
  <si>
    <t>Working Capital</t>
  </si>
  <si>
    <t>$ (thousand)</t>
  </si>
  <si>
    <t>Accounts receivable</t>
  </si>
  <si>
    <t>Inventory</t>
  </si>
  <si>
    <t>Accounts payable</t>
  </si>
  <si>
    <t>WC metrics and drivers</t>
  </si>
  <si>
    <t>Days</t>
  </si>
  <si>
    <t>DSO</t>
  </si>
  <si>
    <t>DIO</t>
  </si>
  <si>
    <t>DPO</t>
  </si>
  <si>
    <t>Net trade cycle</t>
  </si>
  <si>
    <t>Change in SIP NWC</t>
  </si>
  <si>
    <t>Change in acc receivable</t>
  </si>
  <si>
    <t>Change in inventory</t>
  </si>
  <si>
    <t>Change in acc payable</t>
  </si>
  <si>
    <t>Total change in NWC and less SIP</t>
  </si>
  <si>
    <t>Total change in NWC</t>
  </si>
  <si>
    <t>Change in NWC less SIP</t>
  </si>
  <si>
    <t>Investments</t>
  </si>
  <si>
    <t>% of Revenue</t>
  </si>
  <si>
    <t>% of CapEx</t>
  </si>
  <si>
    <t>Results</t>
  </si>
  <si>
    <t>From Revenue Sheet</t>
  </si>
  <si>
    <t>From COGS and OpEx Sheet</t>
  </si>
  <si>
    <t>Gross profit</t>
  </si>
  <si>
    <t>EBIT</t>
  </si>
  <si>
    <t>Drivers</t>
  </si>
  <si>
    <t>Cash Flow Statement</t>
  </si>
  <si>
    <t>From WC &amp; Investments Sheet</t>
  </si>
  <si>
    <t>Change in NWC</t>
  </si>
  <si>
    <t>NOPAT</t>
  </si>
  <si>
    <t>From Statements and Overview sheet</t>
  </si>
  <si>
    <t>Valuation -&gt;</t>
  </si>
  <si>
    <t>WACC</t>
  </si>
  <si>
    <t>Inputs</t>
  </si>
  <si>
    <t>Shares Outstanding</t>
  </si>
  <si>
    <t>Equity</t>
  </si>
  <si>
    <t>Debt</t>
  </si>
  <si>
    <t>Risk free rate</t>
  </si>
  <si>
    <t>Market risk premium</t>
  </si>
  <si>
    <t>Cost of debt</t>
  </si>
  <si>
    <t>Calculations</t>
  </si>
  <si>
    <t>Debt/(Debt+Equity)</t>
  </si>
  <si>
    <t>Equity/(Debt+Equity)</t>
  </si>
  <si>
    <t>Cost of debt with tax</t>
  </si>
  <si>
    <t>Cost of equity</t>
  </si>
  <si>
    <t>Cash</t>
  </si>
  <si>
    <t>DCF</t>
  </si>
  <si>
    <t>PV of FCF</t>
  </si>
  <si>
    <t>Perpetual cashflow</t>
  </si>
  <si>
    <t>Period</t>
  </si>
  <si>
    <t>PV of Perpetual cashflow</t>
  </si>
  <si>
    <t>Input parameters</t>
  </si>
  <si>
    <t>Perpetual growth</t>
  </si>
  <si>
    <t>Result</t>
  </si>
  <si>
    <t>Total PV of Unlevered FCF</t>
  </si>
  <si>
    <t>Enterprise value</t>
  </si>
  <si>
    <t>(+) Cash</t>
  </si>
  <si>
    <t>(-) Debt</t>
  </si>
  <si>
    <t>Equity value</t>
  </si>
  <si>
    <t>Price per share</t>
  </si>
  <si>
    <t>Multiples valuations</t>
  </si>
  <si>
    <t>Revenues, earnings cash</t>
  </si>
  <si>
    <t>% Growth</t>
  </si>
  <si>
    <t>Shares</t>
  </si>
  <si>
    <t>Avg diluted shares</t>
  </si>
  <si>
    <t>Dilution rate</t>
  </si>
  <si>
    <t>Historical price</t>
  </si>
  <si>
    <t>Historical ratios</t>
  </si>
  <si>
    <t>PS</t>
  </si>
  <si>
    <t>Market Cap</t>
  </si>
  <si>
    <t>EV</t>
  </si>
  <si>
    <t>EV/EBIT</t>
  </si>
  <si>
    <t>EV/EBIT valuation</t>
  </si>
  <si>
    <t>Year 5 EBIT</t>
  </si>
  <si>
    <t>Applied EV/EBIT ratio</t>
  </si>
  <si>
    <t>Shares outstanding diluted</t>
  </si>
  <si>
    <t>PV of price per share</t>
  </si>
  <si>
    <t>PS valuation</t>
  </si>
  <si>
    <t>Year 5 sales</t>
  </si>
  <si>
    <t>Applied PS ratio</t>
  </si>
  <si>
    <t>AVG target price</t>
  </si>
  <si>
    <t>AVG  target price</t>
  </si>
  <si>
    <t>DCF price</t>
  </si>
  <si>
    <t>EV/EBIT price</t>
  </si>
  <si>
    <t>PS price</t>
  </si>
  <si>
    <t>AVG price</t>
  </si>
  <si>
    <t>Current price</t>
  </si>
  <si>
    <t>Upside/Downside</t>
  </si>
  <si>
    <t>Reverse DCF</t>
  </si>
  <si>
    <t>Growth adjustment</t>
  </si>
  <si>
    <t>Current Price</t>
  </si>
  <si>
    <t>Calculated Price</t>
  </si>
  <si>
    <t>Modify until Calculated Price is very close to Current Price</t>
  </si>
  <si>
    <t>Market cap</t>
  </si>
  <si>
    <t>Enterprise Value</t>
  </si>
  <si>
    <t>Company guidance next Quarter</t>
  </si>
  <si>
    <t>Revenue Lower</t>
  </si>
  <si>
    <t>Revenue Upper</t>
  </si>
  <si>
    <t>Actual Revenue</t>
  </si>
  <si>
    <t>Analysis -&gt;</t>
  </si>
  <si>
    <t>Overview</t>
  </si>
  <si>
    <t>Dilutive shares</t>
  </si>
  <si>
    <t>Split adjusted dilutive shares</t>
  </si>
  <si>
    <t>Split adjusted diluted shares</t>
  </si>
  <si>
    <t>PE</t>
  </si>
  <si>
    <t>PB</t>
  </si>
  <si>
    <t>Market capitalization</t>
  </si>
  <si>
    <t>CAGR</t>
  </si>
  <si>
    <t>5Y</t>
  </si>
  <si>
    <t>10Y</t>
  </si>
  <si>
    <t>EPS</t>
  </si>
  <si>
    <t>Dividend</t>
  </si>
  <si>
    <t>DuPont Identity</t>
  </si>
  <si>
    <t>Earnings quality</t>
  </si>
  <si>
    <t>Operating cash</t>
  </si>
  <si>
    <t>Metrics and ratios</t>
  </si>
  <si>
    <t>Performance indicators</t>
  </si>
  <si>
    <t>Cash conversion cycle</t>
  </si>
  <si>
    <t>Debt to Equity</t>
  </si>
  <si>
    <t>Quick ratio</t>
  </si>
  <si>
    <t>Current ratio</t>
  </si>
  <si>
    <t>Cash accruals</t>
  </si>
  <si>
    <t>Net debt to equity</t>
  </si>
  <si>
    <t>Liquidity ratios</t>
  </si>
  <si>
    <t>Debt/Equity</t>
  </si>
  <si>
    <t>Net Debt/Equity</t>
  </si>
  <si>
    <t>Interest coverage</t>
  </si>
  <si>
    <t>EV/Revenue</t>
  </si>
  <si>
    <t>FCFE</t>
  </si>
  <si>
    <t>FCFF</t>
  </si>
  <si>
    <t>P/FCF</t>
  </si>
  <si>
    <t>EV/FCF</t>
  </si>
  <si>
    <t>FCF Yield</t>
  </si>
  <si>
    <t>Earnings yield</t>
  </si>
  <si>
    <t>Dividend yield</t>
  </si>
  <si>
    <t>Earnings yields</t>
  </si>
  <si>
    <t>FCF yield</t>
  </si>
  <si>
    <t>Dividend payout ratio</t>
  </si>
  <si>
    <t>Payout ratios</t>
  </si>
  <si>
    <t>Buyback payout ratio</t>
  </si>
  <si>
    <t>Full payout ratio</t>
  </si>
  <si>
    <t>TTM/YTD data</t>
  </si>
  <si>
    <t>Shares held by insiders</t>
  </si>
  <si>
    <t>Split adjusted shares held by insiders</t>
  </si>
  <si>
    <t>Insider ownership</t>
  </si>
  <si>
    <t>Cash per share</t>
  </si>
  <si>
    <t>Ownership</t>
  </si>
  <si>
    <t>Stock based compensation % OCF</t>
  </si>
  <si>
    <t>Stock based compensation % Revenue</t>
  </si>
  <si>
    <t>Stock based compensation</t>
  </si>
  <si>
    <t>Total payout ratio</t>
  </si>
  <si>
    <t>Dividends</t>
  </si>
  <si>
    <t>Cash holdings</t>
  </si>
  <si>
    <t>Net cash per share</t>
  </si>
  <si>
    <t>At a glance</t>
  </si>
  <si>
    <t>Earnings Yield</t>
  </si>
  <si>
    <t>Dividend Yield</t>
  </si>
  <si>
    <t>Net Cash/Market Cap</t>
  </si>
  <si>
    <t>Net cash to market cap</t>
  </si>
  <si>
    <t>Buyback yield</t>
  </si>
  <si>
    <t>Buyback Yield</t>
  </si>
  <si>
    <t>Total shareholder yield</t>
  </si>
  <si>
    <t>Net Cash/Share</t>
  </si>
  <si>
    <t>Insider Ownership</t>
  </si>
  <si>
    <t>Net Trade Cycle</t>
  </si>
  <si>
    <t>Quick Ratio</t>
  </si>
  <si>
    <t>Capex</t>
  </si>
  <si>
    <t>CapEx to Revenue</t>
  </si>
  <si>
    <t>CapEx to OCF</t>
  </si>
  <si>
    <t>CapEx to D&amp;A</t>
  </si>
  <si>
    <t>CapEx usage</t>
  </si>
  <si>
    <t>Capex to Revenue</t>
  </si>
  <si>
    <t>Performance Indicators</t>
  </si>
  <si>
    <t>Stock Based Compensation</t>
  </si>
  <si>
    <t>CapEx Usage</t>
  </si>
  <si>
    <t>Operating Income</t>
  </si>
  <si>
    <t>Net Income</t>
  </si>
  <si>
    <t>Growth rates breakdown</t>
  </si>
  <si>
    <t>Growth rate breakdown</t>
  </si>
  <si>
    <t>Other growth rates</t>
  </si>
  <si>
    <t>Latest 2 quarters</t>
  </si>
  <si>
    <t>YoY</t>
  </si>
  <si>
    <t>Growth</t>
  </si>
  <si>
    <t>Operating profit</t>
  </si>
  <si>
    <t>Diluted shares outstanding</t>
  </si>
  <si>
    <t>Revenue breakdown</t>
  </si>
  <si>
    <t>Income statement growth</t>
  </si>
  <si>
    <t>PV of FCFF</t>
  </si>
  <si>
    <t>EV/FCFF</t>
  </si>
  <si>
    <t>EV/FCFF valuation</t>
  </si>
  <si>
    <t>EV/FCFF price</t>
  </si>
  <si>
    <t>FCFF Growth</t>
  </si>
  <si>
    <t>Valuation</t>
  </si>
  <si>
    <t>Q1 2027</t>
  </si>
  <si>
    <t>Non-controlling interest</t>
  </si>
  <si>
    <t>Net income with non-controlling</t>
  </si>
  <si>
    <t>Equity with non-controlling</t>
  </si>
  <si>
    <t>Dividends to minority interest</t>
  </si>
  <si>
    <t>Preferred stock</t>
  </si>
  <si>
    <t>Accumulated income/loss</t>
  </si>
  <si>
    <t>%</t>
  </si>
  <si>
    <t>Info</t>
  </si>
  <si>
    <t>Mission:</t>
  </si>
  <si>
    <t>Auditor:</t>
  </si>
  <si>
    <t>Notes</t>
  </si>
  <si>
    <t>Date:</t>
  </si>
  <si>
    <t>10 Year Bond Yield</t>
  </si>
  <si>
    <t>Percentage</t>
  </si>
  <si>
    <t>Last market price for period adjusted</t>
  </si>
  <si>
    <t>M</t>
  </si>
  <si>
    <t>25.01.2026</t>
  </si>
  <si>
    <t>26.01.2025</t>
  </si>
  <si>
    <t>28.01.2024</t>
  </si>
  <si>
    <t>SG&amp;A</t>
  </si>
  <si>
    <t>29.01.2023</t>
  </si>
  <si>
    <t>30.01.2022</t>
  </si>
  <si>
    <t>Yes</t>
  </si>
  <si>
    <t>26.04.2026</t>
  </si>
  <si>
    <t>27.04.2025</t>
  </si>
  <si>
    <t>Q1 2026</t>
  </si>
  <si>
    <t>Q4 2026</t>
  </si>
  <si>
    <t>Q4 2025</t>
  </si>
  <si>
    <t>26.10.2025</t>
  </si>
  <si>
    <t>Q3 2026</t>
  </si>
  <si>
    <t>27.10.2024</t>
  </si>
  <si>
    <t>Q3 2025</t>
  </si>
  <si>
    <t>27.07.2025</t>
  </si>
  <si>
    <t>Q2 2026</t>
  </si>
  <si>
    <t>Gross Margin Lower</t>
  </si>
  <si>
    <t>Gross Margin Upper</t>
  </si>
  <si>
    <t>Actual Gross Margin</t>
  </si>
  <si>
    <t>OpEx Lower</t>
  </si>
  <si>
    <t>OpEx Upper</t>
  </si>
  <si>
    <t>Actual OpEx</t>
  </si>
  <si>
    <t>HyperScale</t>
  </si>
  <si>
    <t>AI Clouds</t>
  </si>
  <si>
    <t>Data Center</t>
  </si>
  <si>
    <t>Edge Computing</t>
  </si>
  <si>
    <t>Revenue HyperScale</t>
  </si>
  <si>
    <t>Revenue AI Clouds</t>
  </si>
  <si>
    <t>Revenue Edge Computing</t>
  </si>
  <si>
    <t>Revenue AI</t>
  </si>
  <si>
    <t>Revenue Edge</t>
  </si>
  <si>
    <t>PwC</t>
  </si>
  <si>
    <t>Pioneered accelerated computing to help solve the most challanging computational problems</t>
  </si>
  <si>
    <t>HyperScale Growth Rate</t>
  </si>
  <si>
    <t>AI Growth Rate</t>
  </si>
  <si>
    <t>Edge Growth Rate</t>
  </si>
  <si>
    <t>FCFF/Sales (FCFF Margin)</t>
  </si>
  <si>
    <t>FCFE/Sales (FCFE Margin)</t>
  </si>
  <si>
    <t>Applied EV/FCFF ratio</t>
  </si>
  <si>
    <t>Discount rate</t>
  </si>
  <si>
    <t>Manual WACC</t>
  </si>
  <si>
    <t>Common size growth rates</t>
  </si>
  <si>
    <t>Price 5y</t>
  </si>
  <si>
    <t>Revenue 5y</t>
  </si>
  <si>
    <t>EPS 5y</t>
  </si>
  <si>
    <t>Marketable securities and investments</t>
  </si>
  <si>
    <t>Debt/EBIT</t>
  </si>
  <si>
    <t>Net Debt/EBIT</t>
  </si>
  <si>
    <t>Sales/Invested Capital</t>
  </si>
  <si>
    <t>Sales/Assets</t>
  </si>
  <si>
    <t>Manual Cost of Equity</t>
  </si>
  <si>
    <t>Dividend discount model</t>
  </si>
  <si>
    <t>Dividend per share</t>
  </si>
  <si>
    <t>Ratios</t>
  </si>
  <si>
    <t>Payout</t>
  </si>
  <si>
    <t>DDM valuation</t>
  </si>
  <si>
    <t>Latest dividend</t>
  </si>
  <si>
    <t>Year 1 growth rate</t>
  </si>
  <si>
    <t>Year 1 dividend</t>
  </si>
  <si>
    <t>Perpetual dividend growth</t>
  </si>
  <si>
    <t>DDM price</t>
  </si>
  <si>
    <t>Q2 2027</t>
  </si>
  <si>
    <t>26.07.2026</t>
  </si>
  <si>
    <t>21.08.2026</t>
  </si>
  <si>
    <t>-</t>
  </si>
  <si>
    <t>Revenue expected to grow by 70% in FY 2028</t>
  </si>
  <si>
    <t>CapEx by top 5 hyperscalers expected to reach $800B in 2026 and $1.3T in 2027</t>
  </si>
  <si>
    <t>Gross margins will bottom in Q4 2027 to 71%-72% and will settle at 72%-73 in FY 2028</t>
  </si>
  <si>
    <t>Opex for the full year expected to be in the low 50s</t>
  </si>
  <si>
    <t>Terminal EV</t>
  </si>
  <si>
    <t>PV of Terminal EV</t>
  </si>
  <si>
    <t>Total EV</t>
  </si>
  <si>
    <t>Year 5 FCFF</t>
  </si>
  <si>
    <t>EV/Sales</t>
  </si>
  <si>
    <t>EV/Sales valuation</t>
  </si>
  <si>
    <t>Year 5 Sales</t>
  </si>
  <si>
    <t>EV/Sales price</t>
  </si>
  <si>
    <t>Applied EV/Sales ratio</t>
  </si>
  <si>
    <t>Reverse DCF rate</t>
  </si>
  <si>
    <t>Discount rates used</t>
  </si>
  <si>
    <t>Cost of Equity</t>
  </si>
  <si>
    <t>Links</t>
  </si>
  <si>
    <t>Financials -&gt;'!B13</t>
  </si>
  <si>
    <t>Analysis -&gt;'!B13</t>
  </si>
  <si>
    <t>Forecast -&gt;'!B13</t>
  </si>
  <si>
    <t>Valuation -&gt;'!B13</t>
  </si>
  <si>
    <t>Overview'!B3</t>
  </si>
  <si>
    <t>Reverse DCF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</si>
</sst>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164" formatCode="_([$$-409]* #,##0.00_);_([$$-409]* \(#,##0.00\);_([$$-409]* &quot;-&quot;??_);_(@_)"/>
    <numFmt numFmtId="165" formatCode="0.00_);[Red]\(0.00\)"/>
    <numFmt numFmtId="166" formatCode="#,##0.0_);[Red]\(#,##0.0\)"/>
    <numFmt numFmtId="167" formatCode="0.00_);\(0.00\)"/>
    <numFmt numFmtId="168" formatCode="0.0%"/>
    <numFmt numFmtId="169" formatCode="#,##0.0_);\(#,##0.0\)"/>
    <numFmt numFmtId="170" formatCode="0.0"/>
  </numFmts>
  <fonts count="25" x14ac:knownFonts="1">
    <font>
      <sz val="12"/>
      <color theme="1"/>
      <name val="Aptos Narrow"/>
      <family val="2"/>
      <scheme val="minor"/>
    </font>
    <font>
      <sz val="12"/>
      <color theme="1"/>
      <name val="Aptos Narrow"/>
      <family val="2"/>
      <scheme val="minor"/>
    </font>
    <font>
      <sz val="12"/>
      <color rgb="FF000000"/>
      <name val="Aptos Narrow"/>
      <family val="2"/>
      <scheme val="minor"/>
    </font>
    <font>
      <b/>
      <sz val="40"/>
      <color rgb="FF002060"/>
      <name val="Arial"/>
      <family val="2"/>
      <charset val="204"/>
    </font>
    <font>
      <b/>
      <sz val="12"/>
      <color theme="0"/>
      <name val="Aptos Narrow"/>
      <scheme val="minor"/>
    </font>
    <font>
      <b/>
      <sz val="12"/>
      <color theme="0" tint="-4.9989318521683403E-2"/>
      <name val="Aptos Narrow"/>
      <scheme val="minor"/>
    </font>
    <font>
      <b/>
      <sz val="12"/>
      <color rgb="FFF2F2F2"/>
      <name val="Aptos Narrow"/>
      <scheme val="minor"/>
    </font>
    <font>
      <b/>
      <sz val="12"/>
      <color theme="1"/>
      <name val="Aptos Narrow"/>
      <scheme val="minor"/>
    </font>
    <font>
      <b/>
      <sz val="12"/>
      <color rgb="FF0070C0"/>
      <name val="Aptos Narrow"/>
      <scheme val="minor"/>
    </font>
    <font>
      <sz val="12"/>
      <color rgb="FF0070C0"/>
      <name val="Aptos Narrow"/>
      <scheme val="minor"/>
    </font>
    <font>
      <sz val="12"/>
      <color theme="1"/>
      <name val="Aptos Narrow"/>
      <scheme val="minor"/>
    </font>
    <font>
      <sz val="12"/>
      <color rgb="FF0070C0"/>
      <name val="Aptos Narrow"/>
      <family val="2"/>
      <scheme val="minor"/>
    </font>
    <font>
      <sz val="12"/>
      <color theme="9"/>
      <name val="Aptos Narrow"/>
      <scheme val="minor"/>
    </font>
    <font>
      <b/>
      <sz val="12"/>
      <color rgb="FF002060"/>
      <name val="Arial"/>
      <family val="2"/>
      <charset val="204"/>
    </font>
    <font>
      <sz val="9"/>
      <name val="Arial"/>
      <family val="2"/>
      <charset val="204"/>
    </font>
    <font>
      <b/>
      <sz val="12"/>
      <color rgb="FFFFFFFF"/>
      <name val="Aptos Narrow"/>
      <scheme val="minor"/>
    </font>
    <font>
      <sz val="12"/>
      <color theme="9"/>
      <name val="Aptos Narrow"/>
      <family val="2"/>
      <scheme val="minor"/>
    </font>
    <font>
      <b/>
      <sz val="12"/>
      <color theme="9"/>
      <name val="Aptos Narrow"/>
      <scheme val="minor"/>
    </font>
    <font>
      <i/>
      <sz val="12"/>
      <color theme="1"/>
      <name val="Aptos Narrow"/>
      <scheme val="minor"/>
    </font>
    <font>
      <sz val="12"/>
      <color rgb="FF4EA72E"/>
      <name val="Aptos Narrow"/>
      <family val="2"/>
      <scheme val="minor"/>
    </font>
    <font>
      <b/>
      <i/>
      <sz val="12"/>
      <color theme="1"/>
      <name val="Aptos Narrow"/>
      <scheme val="minor"/>
    </font>
    <font>
      <b/>
      <sz val="12"/>
      <color rgb="FF4EA72E"/>
      <name val="Aptos Narrow"/>
      <scheme val="minor"/>
    </font>
    <font>
      <b/>
      <sz val="12"/>
      <color rgb="FF000000"/>
      <name val="Aptos Narrow"/>
      <scheme val="minor"/>
    </font>
    <font>
      <i/>
      <sz val="12"/>
      <color rgb="FF000000"/>
      <name val="Aptos Narrow"/>
      <scheme val="minor"/>
    </font>
    <font>
      <u/>
      <sz val="12"/>
      <color theme="10"/>
      <name val="Aptos Narrow"/>
      <family val="2"/>
      <scheme val="minor"/>
    </font>
  </fonts>
  <fills count="19">
    <fill>
      <patternFill patternType="none"/>
    </fill>
    <fill>
      <patternFill patternType="gray125"/>
    </fill>
    <fill>
      <patternFill patternType="solid">
        <fgColor theme="0"/>
        <bgColor indexed="64"/>
      </patternFill>
    </fill>
    <fill>
      <patternFill patternType="solid">
        <fgColor rgb="FFFFFAD5"/>
        <bgColor indexed="64"/>
      </patternFill>
    </fill>
    <fill>
      <patternFill patternType="solid">
        <fgColor rgb="FF002060"/>
        <bgColor indexed="64"/>
      </patternFill>
    </fill>
    <fill>
      <patternFill patternType="solid">
        <fgColor rgb="FF002060"/>
        <bgColor rgb="FF000000"/>
      </patternFill>
    </fill>
    <fill>
      <patternFill patternType="solid">
        <fgColor theme="3" tint="0.49998474074526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rgb="FFFFFFFF"/>
        <bgColor rgb="FF000000"/>
      </patternFill>
    </fill>
    <fill>
      <patternFill patternType="solid">
        <fgColor theme="0" tint="-0.249977111117893"/>
        <bgColor indexed="64"/>
      </patternFill>
    </fill>
    <fill>
      <patternFill patternType="solid">
        <fgColor theme="0"/>
        <bgColor rgb="FF000000"/>
      </patternFill>
    </fill>
    <fill>
      <patternFill patternType="solid">
        <fgColor rgb="FFADADAD"/>
        <bgColor rgb="FF000000"/>
      </patternFill>
    </fill>
    <fill>
      <patternFill patternType="solid">
        <fgColor rgb="FFFFFAD5"/>
        <bgColor rgb="FF000000"/>
      </patternFill>
    </fill>
    <fill>
      <patternFill patternType="solid">
        <fgColor theme="3" tint="0.89999084444715716"/>
        <bgColor indexed="64"/>
      </patternFill>
    </fill>
    <fill>
      <patternFill patternType="solid">
        <fgColor theme="3" tint="0.749992370372631"/>
        <bgColor indexed="64"/>
      </patternFill>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0"/>
      </bottom>
      <diagonal/>
    </border>
    <border>
      <left/>
      <right/>
      <top/>
      <bottom style="thin">
        <color theme="2"/>
      </bottom>
      <diagonal/>
    </border>
    <border>
      <left style="thin">
        <color theme="0"/>
      </left>
      <right/>
      <top/>
      <bottom style="thin">
        <color theme="0"/>
      </bottom>
      <diagonal/>
    </border>
    <border>
      <left/>
      <right style="thick">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24" fillId="0" borderId="0" applyNumberFormat="0" applyFill="0" applyBorder="0" applyAlignment="0" applyProtection="0"/>
  </cellStyleXfs>
  <cellXfs count="260">
    <xf numFmtId="0" fontId="0" fillId="0" borderId="0" xfId="0"/>
    <xf numFmtId="0" fontId="0" fillId="2" borderId="0" xfId="0" applyFill="1"/>
    <xf numFmtId="164" fontId="0" fillId="2" borderId="0" xfId="0" applyNumberFormat="1" applyFill="1"/>
    <xf numFmtId="0" fontId="3" fillId="2" borderId="0" xfId="0" applyFont="1" applyFill="1" applyAlignment="1">
      <alignment vertical="top"/>
    </xf>
    <xf numFmtId="0" fontId="0" fillId="2" borderId="0" xfId="0" applyFill="1" applyAlignment="1">
      <alignment vertical="top"/>
    </xf>
    <xf numFmtId="0" fontId="0" fillId="2" borderId="4" xfId="0" applyFill="1" applyBorder="1"/>
    <xf numFmtId="39" fontId="0" fillId="2" borderId="4" xfId="0" applyNumberFormat="1" applyFill="1" applyBorder="1" applyAlignment="1">
      <alignment horizontal="left"/>
    </xf>
    <xf numFmtId="0" fontId="5" fillId="2" borderId="0" xfId="0" applyFont="1" applyFill="1" applyAlignment="1">
      <alignment horizontal="right"/>
    </xf>
    <xf numFmtId="0" fontId="4" fillId="4" borderId="0" xfId="0" applyFont="1" applyFill="1" applyAlignment="1">
      <alignment horizontal="left"/>
    </xf>
    <xf numFmtId="0" fontId="6" fillId="5" borderId="0" xfId="0" applyFont="1" applyFill="1" applyAlignment="1">
      <alignment horizontal="right"/>
    </xf>
    <xf numFmtId="0" fontId="5" fillId="4" borderId="0" xfId="0" applyFont="1" applyFill="1" applyAlignment="1">
      <alignment horizontal="right"/>
    </xf>
    <xf numFmtId="0" fontId="5" fillId="2" borderId="0" xfId="0" applyFont="1" applyFill="1"/>
    <xf numFmtId="0" fontId="4" fillId="4" borderId="0" xfId="0" applyFont="1" applyFill="1"/>
    <xf numFmtId="0" fontId="5" fillId="4" borderId="0" xfId="0" applyFont="1" applyFill="1"/>
    <xf numFmtId="0" fontId="4" fillId="6" borderId="7" xfId="0" applyFont="1" applyFill="1" applyBorder="1"/>
    <xf numFmtId="0" fontId="5" fillId="6" borderId="7" xfId="0" applyFont="1" applyFill="1" applyBorder="1"/>
    <xf numFmtId="0" fontId="7" fillId="2" borderId="0" xfId="0" applyFont="1" applyFill="1"/>
    <xf numFmtId="0" fontId="7" fillId="7" borderId="8" xfId="0" applyFont="1" applyFill="1" applyBorder="1"/>
    <xf numFmtId="38" fontId="8" fillId="8" borderId="8" xfId="0" applyNumberFormat="1" applyFont="1" applyFill="1" applyBorder="1"/>
    <xf numFmtId="0" fontId="7" fillId="8" borderId="8" xfId="0" applyFont="1" applyFill="1" applyBorder="1"/>
    <xf numFmtId="0" fontId="0" fillId="7" borderId="0" xfId="0" applyFill="1"/>
    <xf numFmtId="38" fontId="9" fillId="2" borderId="0" xfId="0" applyNumberFormat="1" applyFont="1" applyFill="1"/>
    <xf numFmtId="38" fontId="7" fillId="8" borderId="8" xfId="0" applyNumberFormat="1" applyFont="1" applyFill="1" applyBorder="1"/>
    <xf numFmtId="0" fontId="10" fillId="7" borderId="0" xfId="0" applyFont="1" applyFill="1"/>
    <xf numFmtId="38" fontId="0" fillId="2" borderId="0" xfId="0" applyNumberFormat="1" applyFill="1"/>
    <xf numFmtId="38" fontId="10" fillId="2" borderId="0" xfId="0" applyNumberFormat="1" applyFont="1" applyFill="1"/>
    <xf numFmtId="165" fontId="9" fillId="2" borderId="0" xfId="0" applyNumberFormat="1" applyFont="1" applyFill="1"/>
    <xf numFmtId="165" fontId="10" fillId="2" borderId="0" xfId="0" applyNumberFormat="1" applyFont="1" applyFill="1"/>
    <xf numFmtId="0" fontId="10" fillId="7" borderId="7" xfId="0" applyFont="1" applyFill="1" applyBorder="1"/>
    <xf numFmtId="165" fontId="10" fillId="2" borderId="7" xfId="0" applyNumberFormat="1" applyFont="1" applyFill="1" applyBorder="1"/>
    <xf numFmtId="0" fontId="0" fillId="2" borderId="7" xfId="0" applyFill="1" applyBorder="1"/>
    <xf numFmtId="0" fontId="10" fillId="2" borderId="7" xfId="0" applyFont="1" applyFill="1" applyBorder="1"/>
    <xf numFmtId="0" fontId="7" fillId="7" borderId="0" xfId="0" applyFont="1" applyFill="1"/>
    <xf numFmtId="38" fontId="8" fillId="8" borderId="0" xfId="0" applyNumberFormat="1" applyFont="1" applyFill="1"/>
    <xf numFmtId="0" fontId="7" fillId="8" borderId="0" xfId="0" applyFont="1" applyFill="1"/>
    <xf numFmtId="38" fontId="7" fillId="8" borderId="0" xfId="0" applyNumberFormat="1" applyFont="1" applyFill="1"/>
    <xf numFmtId="0" fontId="7" fillId="7" borderId="7" xfId="0" applyFont="1" applyFill="1" applyBorder="1"/>
    <xf numFmtId="38" fontId="8" fillId="8" borderId="7" xfId="0" applyNumberFormat="1" applyFont="1" applyFill="1" applyBorder="1"/>
    <xf numFmtId="0" fontId="7" fillId="8" borderId="7" xfId="0" applyFont="1" applyFill="1" applyBorder="1"/>
    <xf numFmtId="0" fontId="10" fillId="2" borderId="0" xfId="0" applyFont="1" applyFill="1"/>
    <xf numFmtId="41" fontId="7" fillId="9" borderId="8" xfId="0" applyNumberFormat="1" applyFont="1" applyFill="1" applyBorder="1"/>
    <xf numFmtId="0" fontId="7" fillId="2" borderId="8" xfId="0" applyFont="1" applyFill="1" applyBorder="1"/>
    <xf numFmtId="41" fontId="7" fillId="10" borderId="8" xfId="0" applyNumberFormat="1" applyFont="1" applyFill="1" applyBorder="1"/>
    <xf numFmtId="38" fontId="11" fillId="2" borderId="0" xfId="0" applyNumberFormat="1" applyFont="1" applyFill="1"/>
    <xf numFmtId="2" fontId="11" fillId="2" borderId="0" xfId="0" applyNumberFormat="1" applyFont="1" applyFill="1"/>
    <xf numFmtId="2" fontId="10" fillId="2" borderId="0" xfId="0" applyNumberFormat="1" applyFont="1" applyFill="1"/>
    <xf numFmtId="10" fontId="10" fillId="2" borderId="0" xfId="0" applyNumberFormat="1" applyFont="1" applyFill="1"/>
    <xf numFmtId="0" fontId="7" fillId="11" borderId="0" xfId="0" applyFont="1" applyFill="1"/>
    <xf numFmtId="9" fontId="7" fillId="2" borderId="8" xfId="1" applyFont="1" applyFill="1" applyBorder="1"/>
    <xf numFmtId="0" fontId="0" fillId="11" borderId="0" xfId="0" applyFill="1"/>
    <xf numFmtId="9" fontId="0" fillId="2" borderId="0" xfId="1" applyFont="1" applyFill="1"/>
    <xf numFmtId="0" fontId="7" fillId="7" borderId="9" xfId="0" applyFont="1" applyFill="1" applyBorder="1"/>
    <xf numFmtId="9" fontId="7" fillId="2" borderId="9" xfId="1" applyFont="1" applyFill="1" applyBorder="1"/>
    <xf numFmtId="0" fontId="7" fillId="2" borderId="9" xfId="0" applyFont="1" applyFill="1" applyBorder="1"/>
    <xf numFmtId="0" fontId="0" fillId="7" borderId="8" xfId="0" applyFill="1" applyBorder="1"/>
    <xf numFmtId="9" fontId="0" fillId="2" borderId="8" xfId="1" applyFont="1" applyFill="1" applyBorder="1"/>
    <xf numFmtId="0" fontId="0" fillId="2" borderId="8" xfId="0" applyFill="1" applyBorder="1"/>
    <xf numFmtId="166" fontId="10" fillId="2" borderId="0" xfId="0" applyNumberFormat="1" applyFont="1" applyFill="1"/>
    <xf numFmtId="9" fontId="0" fillId="2" borderId="0" xfId="0" applyNumberFormat="1" applyFill="1"/>
    <xf numFmtId="0" fontId="5" fillId="4" borderId="0" xfId="0" applyFont="1" applyFill="1" applyAlignment="1">
      <alignment horizontal="center"/>
    </xf>
    <xf numFmtId="0" fontId="2" fillId="12" borderId="0" xfId="0" applyFont="1" applyFill="1"/>
    <xf numFmtId="37" fontId="8" fillId="8" borderId="8" xfId="0" applyNumberFormat="1" applyFont="1" applyFill="1" applyBorder="1"/>
    <xf numFmtId="37" fontId="9" fillId="2" borderId="0" xfId="0" applyNumberFormat="1" applyFont="1" applyFill="1"/>
    <xf numFmtId="167" fontId="9" fillId="2" borderId="0" xfId="0" applyNumberFormat="1" applyFont="1" applyFill="1"/>
    <xf numFmtId="37" fontId="0" fillId="2" borderId="0" xfId="0" applyNumberFormat="1" applyFill="1"/>
    <xf numFmtId="167" fontId="10" fillId="2" borderId="0" xfId="0" applyNumberFormat="1" applyFont="1" applyFill="1"/>
    <xf numFmtId="167" fontId="10" fillId="2" borderId="7" xfId="0" applyNumberFormat="1" applyFont="1" applyFill="1" applyBorder="1"/>
    <xf numFmtId="0" fontId="7" fillId="13" borderId="0" xfId="0" applyFont="1" applyFill="1"/>
    <xf numFmtId="0" fontId="0" fillId="13" borderId="0" xfId="0" applyFill="1"/>
    <xf numFmtId="0" fontId="0" fillId="3" borderId="10" xfId="0" applyFill="1" applyBorder="1"/>
    <xf numFmtId="3" fontId="0" fillId="3" borderId="10" xfId="0" applyNumberFormat="1" applyFill="1" applyBorder="1" applyAlignment="1">
      <alignment horizontal="left"/>
    </xf>
    <xf numFmtId="37" fontId="8" fillId="8" borderId="7" xfId="0" applyNumberFormat="1" applyFont="1" applyFill="1" applyBorder="1"/>
    <xf numFmtId="2" fontId="0" fillId="2" borderId="0" xfId="0" applyNumberFormat="1" applyFill="1"/>
    <xf numFmtId="168" fontId="0" fillId="2" borderId="4" xfId="1" applyNumberFormat="1" applyFont="1" applyFill="1" applyBorder="1" applyAlignment="1">
      <alignment horizontal="left"/>
    </xf>
    <xf numFmtId="168" fontId="10" fillId="2" borderId="0" xfId="1" applyNumberFormat="1" applyFont="1" applyFill="1"/>
    <xf numFmtId="2" fontId="10" fillId="2" borderId="0" xfId="1" applyNumberFormat="1" applyFont="1" applyFill="1"/>
    <xf numFmtId="168" fontId="7" fillId="2" borderId="0" xfId="1" applyNumberFormat="1" applyFont="1" applyFill="1"/>
    <xf numFmtId="168" fontId="0" fillId="13" borderId="0" xfId="1" applyNumberFormat="1" applyFont="1" applyFill="1"/>
    <xf numFmtId="2" fontId="0" fillId="13" borderId="0" xfId="1" applyNumberFormat="1" applyFont="1" applyFill="1"/>
    <xf numFmtId="168" fontId="7" fillId="13" borderId="0" xfId="1" applyNumberFormat="1" applyFont="1" applyFill="1"/>
    <xf numFmtId="2" fontId="10" fillId="13" borderId="0" xfId="1" applyNumberFormat="1" applyFont="1" applyFill="1"/>
    <xf numFmtId="10" fontId="10" fillId="2" borderId="0" xfId="1" applyNumberFormat="1" applyFont="1" applyFill="1"/>
    <xf numFmtId="0" fontId="13" fillId="2" borderId="0" xfId="0" applyFont="1" applyFill="1" applyAlignment="1">
      <alignment vertical="top"/>
    </xf>
    <xf numFmtId="0" fontId="14" fillId="2" borderId="0" xfId="0" applyFont="1" applyFill="1" applyAlignment="1">
      <alignment vertical="top"/>
    </xf>
    <xf numFmtId="0" fontId="14" fillId="2" borderId="4" xfId="0" applyFont="1" applyFill="1" applyBorder="1" applyAlignment="1">
      <alignment vertical="top"/>
    </xf>
    <xf numFmtId="0" fontId="4" fillId="4" borderId="11" xfId="0" applyFont="1" applyFill="1" applyBorder="1" applyAlignment="1">
      <alignment horizontal="center"/>
    </xf>
    <xf numFmtId="0" fontId="2" fillId="12" borderId="0" xfId="0" applyFont="1" applyFill="1" applyAlignment="1">
      <alignment vertical="top"/>
    </xf>
    <xf numFmtId="0" fontId="4" fillId="4" borderId="11" xfId="0" applyFont="1" applyFill="1" applyBorder="1" applyAlignment="1">
      <alignment horizontal="left"/>
    </xf>
    <xf numFmtId="37" fontId="16" fillId="2" borderId="0" xfId="0" applyNumberFormat="1" applyFont="1" applyFill="1"/>
    <xf numFmtId="37" fontId="16" fillId="2" borderId="14" xfId="0" applyNumberFormat="1" applyFont="1" applyFill="1" applyBorder="1"/>
    <xf numFmtId="0" fontId="0" fillId="2" borderId="0" xfId="0" applyFill="1" applyAlignment="1">
      <alignment horizontal="left"/>
    </xf>
    <xf numFmtId="0" fontId="0" fillId="2" borderId="0" xfId="0" applyFill="1" applyAlignment="1">
      <alignment horizontal="center"/>
    </xf>
    <xf numFmtId="37" fontId="17" fillId="2" borderId="0" xfId="0" applyNumberFormat="1" applyFont="1" applyFill="1"/>
    <xf numFmtId="37" fontId="17" fillId="2" borderId="14" xfId="0" applyNumberFormat="1" applyFont="1" applyFill="1" applyBorder="1"/>
    <xf numFmtId="37" fontId="7" fillId="2" borderId="0" xfId="0" applyNumberFormat="1" applyFont="1" applyFill="1"/>
    <xf numFmtId="168" fontId="18" fillId="2" borderId="0" xfId="1" applyNumberFormat="1" applyFont="1" applyFill="1"/>
    <xf numFmtId="168" fontId="18" fillId="2" borderId="14" xfId="1" applyNumberFormat="1" applyFont="1" applyFill="1" applyBorder="1"/>
    <xf numFmtId="168" fontId="18" fillId="3" borderId="0" xfId="1" applyNumberFormat="1" applyFont="1" applyFill="1"/>
    <xf numFmtId="38" fontId="19" fillId="12" borderId="0" xfId="0" applyNumberFormat="1" applyFont="1" applyFill="1"/>
    <xf numFmtId="38" fontId="19" fillId="12" borderId="14" xfId="0" applyNumberFormat="1" applyFont="1" applyFill="1" applyBorder="1"/>
    <xf numFmtId="38" fontId="16" fillId="2" borderId="0" xfId="0" applyNumberFormat="1" applyFont="1" applyFill="1"/>
    <xf numFmtId="38" fontId="16" fillId="2" borderId="14" xfId="0" applyNumberFormat="1" applyFont="1" applyFill="1" applyBorder="1"/>
    <xf numFmtId="170" fontId="0" fillId="3" borderId="0" xfId="0" applyNumberFormat="1" applyFill="1"/>
    <xf numFmtId="168" fontId="20" fillId="2" borderId="0" xfId="1" applyNumberFormat="1" applyFont="1" applyFill="1"/>
    <xf numFmtId="168" fontId="20" fillId="2" borderId="14" xfId="1" applyNumberFormat="1" applyFont="1" applyFill="1" applyBorder="1"/>
    <xf numFmtId="2" fontId="0" fillId="3" borderId="0" xfId="0" applyNumberFormat="1" applyFill="1"/>
    <xf numFmtId="9" fontId="18" fillId="3" borderId="0" xfId="1" applyFont="1" applyFill="1"/>
    <xf numFmtId="38" fontId="21" fillId="12" borderId="0" xfId="0" applyNumberFormat="1" applyFont="1" applyFill="1"/>
    <xf numFmtId="38" fontId="21" fillId="12" borderId="14" xfId="0" applyNumberFormat="1" applyFont="1" applyFill="1" applyBorder="1"/>
    <xf numFmtId="38" fontId="7" fillId="2" borderId="0" xfId="0" applyNumberFormat="1" applyFont="1" applyFill="1"/>
    <xf numFmtId="0" fontId="4" fillId="2" borderId="0" xfId="0" applyFont="1" applyFill="1" applyAlignment="1">
      <alignment horizontal="center"/>
    </xf>
    <xf numFmtId="0" fontId="4" fillId="2" borderId="0" xfId="0" applyFont="1" applyFill="1" applyAlignment="1">
      <alignment horizontal="left"/>
    </xf>
    <xf numFmtId="0" fontId="4" fillId="2" borderId="0" xfId="0" applyFont="1" applyFill="1"/>
    <xf numFmtId="37" fontId="12" fillId="2" borderId="0" xfId="0" applyNumberFormat="1" applyFont="1" applyFill="1"/>
    <xf numFmtId="37" fontId="12" fillId="2" borderId="14" xfId="0" applyNumberFormat="1" applyFont="1" applyFill="1" applyBorder="1"/>
    <xf numFmtId="37" fontId="19" fillId="12" borderId="0" xfId="0" applyNumberFormat="1" applyFont="1" applyFill="1"/>
    <xf numFmtId="37" fontId="19" fillId="12" borderId="14" xfId="0" applyNumberFormat="1" applyFont="1" applyFill="1" applyBorder="1"/>
    <xf numFmtId="38" fontId="21" fillId="14" borderId="0" xfId="0" applyNumberFormat="1" applyFont="1" applyFill="1"/>
    <xf numFmtId="38" fontId="19" fillId="14" borderId="0" xfId="0" applyNumberFormat="1" applyFont="1" applyFill="1"/>
    <xf numFmtId="169" fontId="0" fillId="12" borderId="0" xfId="0" applyNumberFormat="1" applyFill="1"/>
    <xf numFmtId="169" fontId="0" fillId="12" borderId="14" xfId="0" applyNumberFormat="1" applyFill="1" applyBorder="1"/>
    <xf numFmtId="37" fontId="0" fillId="12" borderId="0" xfId="0" applyNumberFormat="1" applyFill="1"/>
    <xf numFmtId="37" fontId="0" fillId="12" borderId="14" xfId="0" applyNumberFormat="1" applyFill="1" applyBorder="1"/>
    <xf numFmtId="0" fontId="18" fillId="2" borderId="0" xfId="0" applyFont="1" applyFill="1"/>
    <xf numFmtId="168" fontId="18" fillId="12" borderId="0" xfId="1" applyNumberFormat="1" applyFont="1" applyFill="1"/>
    <xf numFmtId="168" fontId="18" fillId="12" borderId="14" xfId="1" applyNumberFormat="1" applyFont="1" applyFill="1" applyBorder="1"/>
    <xf numFmtId="169" fontId="0" fillId="14" borderId="0" xfId="0" applyNumberFormat="1" applyFill="1"/>
    <xf numFmtId="37" fontId="10" fillId="2" borderId="0" xfId="0" applyNumberFormat="1" applyFont="1" applyFill="1"/>
    <xf numFmtId="37" fontId="7" fillId="2" borderId="14" xfId="0" applyNumberFormat="1" applyFont="1" applyFill="1" applyBorder="1"/>
    <xf numFmtId="0" fontId="2" fillId="12" borderId="0" xfId="0" applyFont="1" applyFill="1" applyAlignment="1">
      <alignment horizontal="left"/>
    </xf>
    <xf numFmtId="10" fontId="16" fillId="2" borderId="0" xfId="0" applyNumberFormat="1" applyFont="1" applyFill="1"/>
    <xf numFmtId="10" fontId="16" fillId="2" borderId="14" xfId="0" applyNumberFormat="1" applyFont="1" applyFill="1" applyBorder="1"/>
    <xf numFmtId="37" fontId="10" fillId="2" borderId="14" xfId="0" applyNumberFormat="1" applyFont="1" applyFill="1" applyBorder="1"/>
    <xf numFmtId="0" fontId="4" fillId="4" borderId="0" xfId="0" applyFont="1" applyFill="1" applyAlignment="1">
      <alignment horizontal="center"/>
    </xf>
    <xf numFmtId="4" fontId="12" fillId="2" borderId="0" xfId="0" applyNumberFormat="1" applyFont="1" applyFill="1"/>
    <xf numFmtId="3" fontId="10" fillId="2" borderId="0" xfId="0" applyNumberFormat="1" applyFont="1" applyFill="1"/>
    <xf numFmtId="10" fontId="12" fillId="2" borderId="0" xfId="1" applyNumberFormat="1" applyFont="1" applyFill="1"/>
    <xf numFmtId="3" fontId="12" fillId="2" borderId="0" xfId="0" applyNumberFormat="1" applyFont="1" applyFill="1"/>
    <xf numFmtId="0" fontId="22" fillId="15" borderId="0" xfId="0" applyFont="1" applyFill="1"/>
    <xf numFmtId="37" fontId="10" fillId="11" borderId="14" xfId="0" applyNumberFormat="1" applyFont="1" applyFill="1" applyBorder="1"/>
    <xf numFmtId="0" fontId="0" fillId="3" borderId="0" xfId="0" applyFill="1"/>
    <xf numFmtId="10" fontId="10" fillId="3" borderId="0" xfId="1" applyNumberFormat="1" applyFont="1" applyFill="1"/>
    <xf numFmtId="3" fontId="0" fillId="2" borderId="0" xfId="0" applyNumberFormat="1" applyFill="1"/>
    <xf numFmtId="168" fontId="23" fillId="12" borderId="0" xfId="0" applyNumberFormat="1" applyFont="1" applyFill="1"/>
    <xf numFmtId="168" fontId="23" fillId="12" borderId="14" xfId="0" applyNumberFormat="1" applyFont="1" applyFill="1" applyBorder="1"/>
    <xf numFmtId="168" fontId="23" fillId="16" borderId="0" xfId="0" applyNumberFormat="1" applyFont="1" applyFill="1"/>
    <xf numFmtId="0" fontId="16" fillId="2" borderId="0" xfId="0" applyFont="1" applyFill="1"/>
    <xf numFmtId="0" fontId="16" fillId="2" borderId="14" xfId="0" applyFont="1" applyFill="1" applyBorder="1"/>
    <xf numFmtId="2" fontId="7" fillId="2" borderId="0" xfId="0" applyNumberFormat="1" applyFont="1" applyFill="1"/>
    <xf numFmtId="2" fontId="7" fillId="2" borderId="14" xfId="0" applyNumberFormat="1" applyFont="1" applyFill="1" applyBorder="1"/>
    <xf numFmtId="3" fontId="0" fillId="2" borderId="14" xfId="0" applyNumberFormat="1" applyFill="1" applyBorder="1"/>
    <xf numFmtId="3" fontId="16" fillId="2" borderId="0" xfId="0" applyNumberFormat="1" applyFont="1" applyFill="1"/>
    <xf numFmtId="3" fontId="16" fillId="2" borderId="14" xfId="0" applyNumberFormat="1" applyFont="1" applyFill="1" applyBorder="1"/>
    <xf numFmtId="168" fontId="0" fillId="2" borderId="0" xfId="1" applyNumberFormat="1" applyFont="1" applyFill="1"/>
    <xf numFmtId="0" fontId="0" fillId="9" borderId="19" xfId="0" applyFill="1" applyBorder="1"/>
    <xf numFmtId="167" fontId="0" fillId="9" borderId="20" xfId="0" applyNumberFormat="1" applyFill="1" applyBorder="1"/>
    <xf numFmtId="0" fontId="0" fillId="2" borderId="21" xfId="0" applyFill="1" applyBorder="1"/>
    <xf numFmtId="10" fontId="10" fillId="3" borderId="22" xfId="1" applyNumberFormat="1" applyFont="1" applyFill="1" applyBorder="1"/>
    <xf numFmtId="0" fontId="0" fillId="2" borderId="19" xfId="0" applyFill="1" applyBorder="1"/>
    <xf numFmtId="10" fontId="10" fillId="3" borderId="20" xfId="1" applyNumberFormat="1" applyFont="1" applyFill="1" applyBorder="1"/>
    <xf numFmtId="37" fontId="0" fillId="2" borderId="20" xfId="0" applyNumberFormat="1" applyFill="1" applyBorder="1"/>
    <xf numFmtId="37" fontId="10" fillId="2" borderId="22" xfId="0" applyNumberFormat="1" applyFont="1" applyFill="1" applyBorder="1"/>
    <xf numFmtId="0" fontId="7" fillId="2" borderId="19" xfId="0" applyFont="1" applyFill="1" applyBorder="1"/>
    <xf numFmtId="37" fontId="7" fillId="2" borderId="20" xfId="0" applyNumberFormat="1" applyFont="1" applyFill="1" applyBorder="1"/>
    <xf numFmtId="38" fontId="0" fillId="2" borderId="20" xfId="0" applyNumberFormat="1" applyFill="1" applyBorder="1"/>
    <xf numFmtId="0" fontId="0" fillId="9" borderId="23" xfId="0" applyFill="1" applyBorder="1"/>
    <xf numFmtId="167" fontId="0" fillId="9" borderId="24" xfId="0" applyNumberFormat="1" applyFill="1" applyBorder="1"/>
    <xf numFmtId="9" fontId="0" fillId="3" borderId="10" xfId="1" applyFont="1" applyFill="1" applyBorder="1" applyAlignment="1">
      <alignment horizontal="left"/>
    </xf>
    <xf numFmtId="0" fontId="0" fillId="6" borderId="7" xfId="0" applyFill="1" applyBorder="1"/>
    <xf numFmtId="2" fontId="10" fillId="17" borderId="0" xfId="0" applyNumberFormat="1" applyFont="1" applyFill="1"/>
    <xf numFmtId="3" fontId="0" fillId="17" borderId="0" xfId="0" applyNumberFormat="1" applyFill="1"/>
    <xf numFmtId="2" fontId="0" fillId="17" borderId="0" xfId="0" applyNumberFormat="1" applyFill="1"/>
    <xf numFmtId="168" fontId="10" fillId="17" borderId="0" xfId="1" applyNumberFormat="1" applyFont="1" applyFill="1"/>
    <xf numFmtId="168" fontId="7" fillId="17" borderId="0" xfId="1" applyNumberFormat="1" applyFont="1" applyFill="1"/>
    <xf numFmtId="37" fontId="0" fillId="17" borderId="0" xfId="0" applyNumberFormat="1" applyFill="1"/>
    <xf numFmtId="168" fontId="10" fillId="17" borderId="0" xfId="1" applyNumberFormat="1" applyFont="1" applyFill="1" applyAlignment="1">
      <alignment horizontal="right"/>
    </xf>
    <xf numFmtId="169" fontId="10" fillId="12" borderId="0" xfId="0" applyNumberFormat="1" applyFont="1" applyFill="1"/>
    <xf numFmtId="167" fontId="0" fillId="17" borderId="0" xfId="0" applyNumberFormat="1" applyFill="1"/>
    <xf numFmtId="2" fontId="0" fillId="2" borderId="0" xfId="0" applyNumberFormat="1" applyFill="1" applyAlignment="1">
      <alignment horizontal="right"/>
    </xf>
    <xf numFmtId="167" fontId="0" fillId="17" borderId="0" xfId="0" applyNumberFormat="1" applyFill="1" applyAlignment="1">
      <alignment horizontal="right"/>
    </xf>
    <xf numFmtId="170" fontId="0" fillId="2" borderId="0" xfId="0" applyNumberFormat="1" applyFill="1"/>
    <xf numFmtId="0" fontId="0" fillId="7" borderId="10" xfId="0" applyFill="1" applyBorder="1"/>
    <xf numFmtId="0" fontId="0" fillId="7" borderId="25" xfId="0" applyFill="1" applyBorder="1"/>
    <xf numFmtId="0" fontId="0" fillId="7" borderId="26" xfId="0" applyFill="1" applyBorder="1"/>
    <xf numFmtId="3" fontId="0" fillId="17" borderId="4" xfId="0" applyNumberFormat="1" applyFill="1" applyBorder="1"/>
    <xf numFmtId="3" fontId="0" fillId="17" borderId="6" xfId="0" applyNumberFormat="1" applyFill="1" applyBorder="1"/>
    <xf numFmtId="0" fontId="0" fillId="17" borderId="4" xfId="0" applyFill="1" applyBorder="1"/>
    <xf numFmtId="2" fontId="0" fillId="17" borderId="4" xfId="0" applyNumberFormat="1" applyFill="1" applyBorder="1"/>
    <xf numFmtId="2" fontId="0" fillId="17" borderId="6" xfId="0" applyNumberFormat="1" applyFill="1" applyBorder="1"/>
    <xf numFmtId="168" fontId="0" fillId="17" borderId="4" xfId="1" applyNumberFormat="1" applyFont="1" applyFill="1" applyBorder="1"/>
    <xf numFmtId="168" fontId="0" fillId="17" borderId="6" xfId="1" applyNumberFormat="1" applyFont="1" applyFill="1" applyBorder="1"/>
    <xf numFmtId="168" fontId="0" fillId="17" borderId="16" xfId="1" applyNumberFormat="1" applyFont="1" applyFill="1" applyBorder="1"/>
    <xf numFmtId="37" fontId="0" fillId="17" borderId="0" xfId="0" applyNumberFormat="1" applyFill="1" applyAlignment="1">
      <alignment horizontal="right"/>
    </xf>
    <xf numFmtId="168" fontId="0" fillId="17" borderId="0" xfId="1" applyNumberFormat="1" applyFont="1" applyFill="1"/>
    <xf numFmtId="0" fontId="2" fillId="15" borderId="0" xfId="0" applyFont="1" applyFill="1"/>
    <xf numFmtId="3" fontId="0" fillId="18" borderId="4" xfId="0" applyNumberFormat="1" applyFill="1" applyBorder="1"/>
    <xf numFmtId="3" fontId="0" fillId="18" borderId="25" xfId="0" applyNumberFormat="1" applyFill="1" applyBorder="1"/>
    <xf numFmtId="3" fontId="0" fillId="18" borderId="27" xfId="0" applyNumberFormat="1" applyFill="1" applyBorder="1"/>
    <xf numFmtId="2" fontId="0" fillId="18" borderId="27" xfId="0" applyNumberFormat="1" applyFill="1" applyBorder="1"/>
    <xf numFmtId="2" fontId="0" fillId="18" borderId="4" xfId="0" applyNumberFormat="1" applyFill="1" applyBorder="1"/>
    <xf numFmtId="0" fontId="5" fillId="4" borderId="4" xfId="0" applyFont="1" applyFill="1" applyBorder="1" applyAlignment="1">
      <alignment horizontal="right"/>
    </xf>
    <xf numFmtId="0" fontId="5" fillId="4" borderId="3" xfId="0" applyFont="1" applyFill="1" applyBorder="1" applyAlignment="1">
      <alignment horizontal="right"/>
    </xf>
    <xf numFmtId="0" fontId="0" fillId="7" borderId="6" xfId="0" applyFill="1" applyBorder="1"/>
    <xf numFmtId="0" fontId="18" fillId="7" borderId="16" xfId="0" applyFont="1" applyFill="1" applyBorder="1" applyAlignment="1">
      <alignment horizontal="left" indent="1"/>
    </xf>
    <xf numFmtId="0" fontId="0" fillId="7" borderId="16" xfId="0" applyFill="1" applyBorder="1"/>
    <xf numFmtId="39" fontId="0" fillId="17" borderId="4" xfId="0" applyNumberFormat="1" applyFill="1" applyBorder="1" applyAlignment="1">
      <alignment horizontal="left"/>
    </xf>
    <xf numFmtId="4" fontId="0" fillId="17" borderId="4" xfId="0" applyNumberFormat="1" applyFill="1" applyBorder="1" applyAlignment="1">
      <alignment horizontal="left"/>
    </xf>
    <xf numFmtId="3" fontId="0" fillId="17" borderId="6" xfId="0" applyNumberFormat="1" applyFill="1" applyBorder="1" applyAlignment="1">
      <alignment horizontal="left"/>
    </xf>
    <xf numFmtId="2" fontId="0" fillId="17" borderId="25" xfId="0" applyNumberFormat="1" applyFill="1" applyBorder="1"/>
    <xf numFmtId="2" fontId="0" fillId="17" borderId="10" xfId="0" applyNumberFormat="1" applyFill="1" applyBorder="1"/>
    <xf numFmtId="168" fontId="0" fillId="17" borderId="10" xfId="1" applyNumberFormat="1" applyFont="1" applyFill="1" applyBorder="1"/>
    <xf numFmtId="2" fontId="10" fillId="17" borderId="0" xfId="1" applyNumberFormat="1" applyFont="1" applyFill="1"/>
    <xf numFmtId="168" fontId="10" fillId="17" borderId="8" xfId="1" applyNumberFormat="1" applyFont="1" applyFill="1" applyBorder="1"/>
    <xf numFmtId="10" fontId="0" fillId="2" borderId="0" xfId="0" applyNumberFormat="1" applyFill="1"/>
    <xf numFmtId="0" fontId="0" fillId="17" borderId="4" xfId="0" applyFill="1" applyBorder="1" applyAlignment="1">
      <alignment shrinkToFit="1"/>
    </xf>
    <xf numFmtId="10" fontId="0" fillId="2" borderId="0" xfId="1" applyNumberFormat="1" applyFont="1" applyFill="1"/>
    <xf numFmtId="39" fontId="0" fillId="17" borderId="4" xfId="0" applyNumberFormat="1" applyFill="1" applyBorder="1" applyAlignment="1">
      <alignment horizontal="right"/>
    </xf>
    <xf numFmtId="10" fontId="0" fillId="17" borderId="6" xfId="1" applyNumberFormat="1" applyFont="1" applyFill="1" applyBorder="1"/>
    <xf numFmtId="10" fontId="0" fillId="3" borderId="10" xfId="1" applyNumberFormat="1" applyFont="1" applyFill="1" applyBorder="1" applyAlignment="1">
      <alignment horizontal="left"/>
    </xf>
    <xf numFmtId="10" fontId="9" fillId="2" borderId="0" xfId="1" applyNumberFormat="1" applyFont="1" applyFill="1"/>
    <xf numFmtId="0" fontId="0" fillId="7" borderId="0" xfId="0" applyFill="1" applyAlignment="1">
      <alignment horizontal="left" indent="1"/>
    </xf>
    <xf numFmtId="0" fontId="0" fillId="2" borderId="0" xfId="0" applyFill="1" applyAlignment="1">
      <alignment horizontal="left" indent="1"/>
    </xf>
    <xf numFmtId="168" fontId="0" fillId="2" borderId="0" xfId="0" applyNumberFormat="1" applyFill="1"/>
    <xf numFmtId="10" fontId="12" fillId="2" borderId="20" xfId="1" applyNumberFormat="1" applyFont="1" applyFill="1" applyBorder="1"/>
    <xf numFmtId="37" fontId="16" fillId="2" borderId="20" xfId="0" applyNumberFormat="1" applyFont="1" applyFill="1" applyBorder="1"/>
    <xf numFmtId="0" fontId="0" fillId="9" borderId="0" xfId="0" applyFill="1" applyAlignment="1">
      <alignment horizontal="right"/>
    </xf>
    <xf numFmtId="167" fontId="0" fillId="2" borderId="0" xfId="0" applyNumberFormat="1" applyFill="1"/>
    <xf numFmtId="1" fontId="0" fillId="2" borderId="0" xfId="0" applyNumberFormat="1" applyFill="1"/>
    <xf numFmtId="39" fontId="17" fillId="2" borderId="0" xfId="0" applyNumberFormat="1" applyFont="1" applyFill="1"/>
    <xf numFmtId="39" fontId="17" fillId="2" borderId="14" xfId="0" applyNumberFormat="1" applyFont="1" applyFill="1" applyBorder="1"/>
    <xf numFmtId="39" fontId="0" fillId="2" borderId="0" xfId="0" applyNumberFormat="1" applyFill="1"/>
    <xf numFmtId="10" fontId="0" fillId="3" borderId="0" xfId="1" applyNumberFormat="1" applyFont="1" applyFill="1"/>
    <xf numFmtId="39" fontId="10" fillId="2" borderId="0" xfId="0" applyNumberFormat="1" applyFont="1" applyFill="1"/>
    <xf numFmtId="0" fontId="7" fillId="9" borderId="15" xfId="0" applyFont="1" applyFill="1" applyBorder="1"/>
    <xf numFmtId="167" fontId="7" fillId="9" borderId="16" xfId="0" applyNumberFormat="1" applyFont="1" applyFill="1" applyBorder="1"/>
    <xf numFmtId="168" fontId="0" fillId="17" borderId="25" xfId="1" applyNumberFormat="1" applyFont="1" applyFill="1" applyBorder="1"/>
    <xf numFmtId="168" fontId="0" fillId="17" borderId="26" xfId="1" applyNumberFormat="1" applyFont="1" applyFill="1" applyBorder="1"/>
    <xf numFmtId="0" fontId="24" fillId="8" borderId="25" xfId="2" quotePrefix="1" applyFill="1" applyBorder="1" applyAlignment="1">
      <alignment horizontal="center"/>
    </xf>
    <xf numFmtId="0" fontId="24" fillId="8" borderId="26" xfId="2" quotePrefix="1" applyFill="1" applyBorder="1" applyAlignment="1">
      <alignment horizontal="center"/>
    </xf>
    <xf numFmtId="168" fontId="0" fillId="17" borderId="2" xfId="1" applyNumberFormat="1" applyFont="1" applyFill="1" applyBorder="1"/>
    <xf numFmtId="2" fontId="0" fillId="17" borderId="6" xfId="1" applyNumberFormat="1" applyFont="1" applyFill="1" applyBorder="1"/>
    <xf numFmtId="0" fontId="0" fillId="7" borderId="27" xfId="0" applyFill="1" applyBorder="1"/>
    <xf numFmtId="0" fontId="4" fillId="4" borderId="1" xfId="0" applyFont="1" applyFill="1" applyBorder="1" applyAlignment="1">
      <alignment horizontal="center"/>
    </xf>
    <xf numFmtId="0" fontId="4" fillId="4" borderId="2" xfId="0" applyFont="1" applyFill="1" applyBorder="1" applyAlignment="1">
      <alignment horizontal="center"/>
    </xf>
    <xf numFmtId="0" fontId="4" fillId="4" borderId="10" xfId="0" applyFont="1" applyFill="1" applyBorder="1" applyAlignment="1">
      <alignment horizontal="center"/>
    </xf>
    <xf numFmtId="0" fontId="4" fillId="4" borderId="0" xfId="0" applyFont="1" applyFill="1" applyAlignment="1">
      <alignment horizontal="center"/>
    </xf>
    <xf numFmtId="168" fontId="18" fillId="17" borderId="5" xfId="1" applyNumberFormat="1" applyFont="1" applyFill="1" applyBorder="1" applyAlignment="1">
      <alignment horizontal="center"/>
    </xf>
    <xf numFmtId="168" fontId="18" fillId="17" borderId="6" xfId="1" applyNumberFormat="1" applyFont="1" applyFill="1" applyBorder="1" applyAlignment="1">
      <alignment horizontal="center"/>
    </xf>
    <xf numFmtId="0" fontId="5" fillId="4" borderId="0" xfId="0" applyFont="1" applyFill="1" applyAlignment="1">
      <alignment horizontal="center"/>
    </xf>
    <xf numFmtId="0" fontId="5" fillId="4" borderId="4" xfId="0" applyFont="1" applyFill="1" applyBorder="1" applyAlignment="1">
      <alignment horizontal="center"/>
    </xf>
    <xf numFmtId="0" fontId="5" fillId="4" borderId="3" xfId="0" applyFont="1" applyFill="1" applyBorder="1" applyAlignment="1">
      <alignment horizontal="center"/>
    </xf>
    <xf numFmtId="0" fontId="15" fillId="5" borderId="12" xfId="0" applyFont="1" applyFill="1" applyBorder="1" applyAlignment="1">
      <alignment horizontal="center"/>
    </xf>
    <xf numFmtId="0" fontId="4" fillId="4" borderId="13" xfId="0" applyFont="1" applyFill="1" applyBorder="1" applyAlignment="1">
      <alignment horizontal="center"/>
    </xf>
    <xf numFmtId="0" fontId="4" fillId="4" borderId="11" xfId="0" applyFont="1" applyFill="1" applyBorder="1" applyAlignment="1">
      <alignment horizontal="center"/>
    </xf>
    <xf numFmtId="0" fontId="4" fillId="4" borderId="4" xfId="0" applyFont="1" applyFill="1" applyBorder="1" applyAlignment="1">
      <alignment horizontal="center"/>
    </xf>
    <xf numFmtId="0" fontId="4" fillId="4" borderId="3" xfId="0" applyFont="1" applyFill="1" applyBorder="1" applyAlignment="1">
      <alignment horizontal="center"/>
    </xf>
    <xf numFmtId="0" fontId="4" fillId="2" borderId="0" xfId="0" applyFont="1" applyFill="1" applyAlignment="1">
      <alignment horizontal="center"/>
    </xf>
    <xf numFmtId="0" fontId="0" fillId="2" borderId="0" xfId="0" applyFill="1" applyAlignment="1">
      <alignment horizontal="left"/>
    </xf>
    <xf numFmtId="0" fontId="4" fillId="4" borderId="17" xfId="0" applyFont="1" applyFill="1" applyBorder="1" applyAlignment="1">
      <alignment horizontal="center"/>
    </xf>
    <xf numFmtId="0" fontId="4" fillId="4" borderId="18" xfId="0" applyFont="1" applyFill="1" applyBorder="1" applyAlignment="1">
      <alignment horizontal="center"/>
    </xf>
  </cellXfs>
  <cellStyles count="3">
    <cellStyle name="Hyperlink" xfId="2" builtinId="8"/>
    <cellStyle name="Normal" xfId="0" builtinId="0"/>
    <cellStyle name="Percent" xfId="1" builtinId="5"/>
  </cellStyles>
  <dxfs count="3">
    <dxf>
      <fill>
        <patternFill>
          <bgColor theme="9" tint="0.59996337778862885"/>
        </patternFill>
      </fill>
    </dxf>
    <dxf>
      <fill>
        <patternFill>
          <bgColor theme="0"/>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 Id="rId30" Type="http://schemas.microsoft.com/office/2017/06/relationships/richStyles" Target="richData/richStyles.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30.01.2022</c:v>
                </c:pt>
                <c:pt idx="1">
                  <c:v>29.01.2023</c:v>
                </c:pt>
                <c:pt idx="2">
                  <c:v>28.01.2024</c:v>
                </c:pt>
                <c:pt idx="3">
                  <c:v>26.01.2025</c:v>
                </c:pt>
                <c:pt idx="4">
                  <c:v>25.01.2026</c:v>
                </c:pt>
              </c:strCache>
            </c:strRef>
          </c:cat>
          <c:val>
            <c:numRef>
              <c:f>'Graphs Year'!$H$57:$L$57</c:f>
              <c:numCache>
                <c:formatCode>#,##0_);[Red]\(#,##0\)</c:formatCode>
                <c:ptCount val="5"/>
                <c:pt idx="0">
                  <c:v>26914</c:v>
                </c:pt>
                <c:pt idx="1">
                  <c:v>26974</c:v>
                </c:pt>
                <c:pt idx="2">
                  <c:v>60922</c:v>
                </c:pt>
                <c:pt idx="3">
                  <c:v>130497</c:v>
                </c:pt>
                <c:pt idx="4">
                  <c:v>215938</c:v>
                </c:pt>
              </c:numCache>
            </c:numRef>
          </c:val>
          <c:extLst>
            <c:ext xmlns:c16="http://schemas.microsoft.com/office/drawing/2014/chart" uri="{C3380CC4-5D6E-409C-BE32-E72D297353CC}">
              <c16:uniqueId val="{00000000-FBD8-F544-8D7A-E766A179560A}"/>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30.01.2022</c:v>
                </c:pt>
                <c:pt idx="1">
                  <c:v>29.01.2023</c:v>
                </c:pt>
                <c:pt idx="2">
                  <c:v>28.01.2024</c:v>
                </c:pt>
                <c:pt idx="3">
                  <c:v>26.01.2025</c:v>
                </c:pt>
                <c:pt idx="4">
                  <c:v>25.01.2026</c:v>
                </c:pt>
              </c:strCache>
            </c:strRef>
          </c:cat>
          <c:val>
            <c:numRef>
              <c:f>'Graphs Year'!$H$58:$L$58</c:f>
              <c:numCache>
                <c:formatCode>#,##0_);\(#,##0\)</c:formatCode>
                <c:ptCount val="5"/>
                <c:pt idx="0">
                  <c:v>10041</c:v>
                </c:pt>
                <c:pt idx="1">
                  <c:v>4224</c:v>
                </c:pt>
                <c:pt idx="2">
                  <c:v>32972</c:v>
                </c:pt>
                <c:pt idx="3">
                  <c:v>81453</c:v>
                </c:pt>
                <c:pt idx="4">
                  <c:v>130387</c:v>
                </c:pt>
              </c:numCache>
            </c:numRef>
          </c:val>
          <c:extLst>
            <c:ext xmlns:c16="http://schemas.microsoft.com/office/drawing/2014/chart" uri="{C3380CC4-5D6E-409C-BE32-E72D297353CC}">
              <c16:uniqueId val="{00000001-FBD8-F544-8D7A-E766A179560A}"/>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30.01.2022</c:v>
                </c:pt>
                <c:pt idx="1">
                  <c:v>29.01.2023</c:v>
                </c:pt>
                <c:pt idx="2">
                  <c:v>28.01.2024</c:v>
                </c:pt>
                <c:pt idx="3">
                  <c:v>26.01.2025</c:v>
                </c:pt>
                <c:pt idx="4">
                  <c:v>25.01.2026</c:v>
                </c:pt>
              </c:strCache>
            </c:strRef>
          </c:cat>
          <c:val>
            <c:numRef>
              <c:f>'Graphs Year'!$H$59:$L$59</c:f>
              <c:numCache>
                <c:formatCode>#,##0_);\(#,##0\)</c:formatCode>
                <c:ptCount val="5"/>
                <c:pt idx="0">
                  <c:v>9752</c:v>
                </c:pt>
                <c:pt idx="1">
                  <c:v>4368</c:v>
                </c:pt>
                <c:pt idx="2">
                  <c:v>29760</c:v>
                </c:pt>
                <c:pt idx="3">
                  <c:v>72880</c:v>
                </c:pt>
                <c:pt idx="4">
                  <c:v>120067</c:v>
                </c:pt>
              </c:numCache>
            </c:numRef>
          </c:val>
          <c:extLst>
            <c:ext xmlns:c16="http://schemas.microsoft.com/office/drawing/2014/chart" uri="{C3380CC4-5D6E-409C-BE32-E72D297353CC}">
              <c16:uniqueId val="{00000002-FBD8-F544-8D7A-E766A179560A}"/>
            </c:ext>
          </c:extLst>
        </c:ser>
        <c:dLbls>
          <c:showLegendKey val="0"/>
          <c:showVal val="0"/>
          <c:showCatName val="0"/>
          <c:showSerName val="0"/>
          <c:showPercent val="0"/>
          <c:showBubbleSize val="0"/>
        </c:dLbls>
        <c:gapWidth val="75"/>
        <c:overlap val="-25"/>
        <c:axId val="53038591"/>
        <c:axId val="53037247"/>
      </c:barChart>
      <c:catAx>
        <c:axId val="53038591"/>
        <c:scaling>
          <c:orientation val="minMax"/>
        </c:scaling>
        <c:delete val="1"/>
        <c:axPos val="b"/>
        <c:numFmt formatCode="General" sourceLinked="1"/>
        <c:majorTickMark val="none"/>
        <c:minorTickMark val="none"/>
        <c:tickLblPos val="nextTo"/>
        <c:crossAx val="53037247"/>
        <c:crosses val="autoZero"/>
        <c:auto val="1"/>
        <c:lblAlgn val="ctr"/>
        <c:lblOffset val="100"/>
        <c:noMultiLvlLbl val="0"/>
      </c:catAx>
      <c:valAx>
        <c:axId val="53037247"/>
        <c:scaling>
          <c:orientation val="minMax"/>
        </c:scaling>
        <c:delete val="0"/>
        <c:axPos val="l"/>
        <c:majorGridlines>
          <c:spPr>
            <a:ln w="9525" cap="flat" cmpd="sng" algn="ctr">
              <a:solidFill>
                <a:schemeClr val="lt1">
                  <a:lumMod val="95000"/>
                  <a:alpha val="10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038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FCFE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Year'!$H$60:$L$60</c:f>
              <c:numCache>
                <c:formatCode>#,##0_);\(#,##0\)</c:formatCode>
                <c:ptCount val="5"/>
                <c:pt idx="0">
                  <c:v>6128</c:v>
                </c:pt>
                <c:pt idx="1">
                  <c:v>1099</c:v>
                </c:pt>
                <c:pt idx="2">
                  <c:v>23472</c:v>
                </c:pt>
                <c:pt idx="3">
                  <c:v>56116</c:v>
                </c:pt>
                <c:pt idx="4">
                  <c:v>90290</c:v>
                </c:pt>
              </c:numCache>
            </c:numRef>
          </c:val>
          <c:extLst>
            <c:ext xmlns:c16="http://schemas.microsoft.com/office/drawing/2014/chart" uri="{C3380CC4-5D6E-409C-BE32-E72D297353CC}">
              <c16:uniqueId val="{00000000-BB17-2F4C-8690-419106F20D70}"/>
            </c:ext>
          </c:extLst>
        </c:ser>
        <c:ser>
          <c:idx val="1"/>
          <c:order val="1"/>
          <c:tx>
            <c:v>FCFF</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Year'!$H$61:$L$61</c:f>
              <c:numCache>
                <c:formatCode>#,##0_);\(#,##0\)</c:formatCode>
                <c:ptCount val="5"/>
                <c:pt idx="0">
                  <c:v>6685.0987828186298</c:v>
                </c:pt>
                <c:pt idx="1">
                  <c:v>1728</c:v>
                </c:pt>
                <c:pt idx="2">
                  <c:v>25732.515997397837</c:v>
                </c:pt>
                <c:pt idx="3">
                  <c:v>59893.306952609913</c:v>
                </c:pt>
                <c:pt idx="4">
                  <c:v>91501.393983739836</c:v>
                </c:pt>
              </c:numCache>
            </c:numRef>
          </c:val>
          <c:extLst>
            <c:ext xmlns:c16="http://schemas.microsoft.com/office/drawing/2014/chart" uri="{C3380CC4-5D6E-409C-BE32-E72D297353CC}">
              <c16:uniqueId val="{00000001-BB17-2F4C-8690-419106F20D70}"/>
            </c:ext>
          </c:extLst>
        </c:ser>
        <c:dLbls>
          <c:showLegendKey val="0"/>
          <c:showVal val="0"/>
          <c:showCatName val="0"/>
          <c:showSerName val="0"/>
          <c:showPercent val="0"/>
          <c:showBubbleSize val="0"/>
        </c:dLbls>
        <c:gapWidth val="100"/>
        <c:overlap val="-24"/>
        <c:axId val="2187135"/>
        <c:axId val="58967807"/>
      </c:barChart>
      <c:catAx>
        <c:axId val="2187135"/>
        <c:scaling>
          <c:orientation val="minMax"/>
        </c:scaling>
        <c:delete val="1"/>
        <c:axPos val="b"/>
        <c:majorTickMark val="none"/>
        <c:minorTickMark val="none"/>
        <c:tickLblPos val="nextTo"/>
        <c:crossAx val="58967807"/>
        <c:crosses val="autoZero"/>
        <c:auto val="1"/>
        <c:lblAlgn val="ctr"/>
        <c:lblOffset val="100"/>
        <c:noMultiLvlLbl val="0"/>
      </c:catAx>
      <c:valAx>
        <c:axId val="58967807"/>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8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61592300962376E-2"/>
          <c:y val="2.5428331875182269E-2"/>
          <c:w val="0.87129396325459318"/>
          <c:h val="0.79224482356372117"/>
        </c:manualLayout>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Year'!$H$62:$L$62</c:f>
              <c:numCache>
                <c:formatCode>0%</c:formatCode>
                <c:ptCount val="5"/>
                <c:pt idx="0">
                  <c:v>0.64929033216913135</c:v>
                </c:pt>
                <c:pt idx="1">
                  <c:v>0.56928894490991322</c:v>
                </c:pt>
                <c:pt idx="2">
                  <c:v>0.72717573290436954</c:v>
                </c:pt>
                <c:pt idx="3">
                  <c:v>0.74988697058169917</c:v>
                </c:pt>
                <c:pt idx="4">
                  <c:v>0.71068084357547079</c:v>
                </c:pt>
              </c:numCache>
            </c:numRef>
          </c:val>
          <c:extLst>
            <c:ext xmlns:c16="http://schemas.microsoft.com/office/drawing/2014/chart" uri="{C3380CC4-5D6E-409C-BE32-E72D297353CC}">
              <c16:uniqueId val="{00000000-F190-BE4A-9FEF-2CC4F95DC82E}"/>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Year'!$H$63:$L$63</c:f>
              <c:numCache>
                <c:formatCode>0%</c:formatCode>
                <c:ptCount val="5"/>
                <c:pt idx="0">
                  <c:v>0.37307720888756779</c:v>
                </c:pt>
                <c:pt idx="1">
                  <c:v>0.1565952398606065</c:v>
                </c:pt>
                <c:pt idx="2">
                  <c:v>0.54121663766783756</c:v>
                </c:pt>
                <c:pt idx="3">
                  <c:v>0.62417526839697468</c:v>
                </c:pt>
                <c:pt idx="4">
                  <c:v>0.60381683631412719</c:v>
                </c:pt>
              </c:numCache>
            </c:numRef>
          </c:val>
          <c:extLst>
            <c:ext xmlns:c16="http://schemas.microsoft.com/office/drawing/2014/chart" uri="{C3380CC4-5D6E-409C-BE32-E72D297353CC}">
              <c16:uniqueId val="{00000001-F190-BE4A-9FEF-2CC4F95DC82E}"/>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Year'!$H$64:$L$64</c:f>
              <c:numCache>
                <c:formatCode>0%</c:formatCode>
                <c:ptCount val="5"/>
                <c:pt idx="0">
                  <c:v>0.36233930296499961</c:v>
                </c:pt>
                <c:pt idx="1">
                  <c:v>0.16193371394676356</c:v>
                </c:pt>
                <c:pt idx="2">
                  <c:v>0.4884934834706674</c:v>
                </c:pt>
                <c:pt idx="3">
                  <c:v>0.55848027157712443</c:v>
                </c:pt>
                <c:pt idx="4">
                  <c:v>0.55602534060702613</c:v>
                </c:pt>
              </c:numCache>
            </c:numRef>
          </c:val>
          <c:extLst>
            <c:ext xmlns:c16="http://schemas.microsoft.com/office/drawing/2014/chart" uri="{C3380CC4-5D6E-409C-BE32-E72D297353CC}">
              <c16:uniqueId val="{00000002-F190-BE4A-9FEF-2CC4F95DC82E}"/>
            </c:ext>
          </c:extLst>
        </c:ser>
        <c:dLbls>
          <c:showLegendKey val="0"/>
          <c:showVal val="0"/>
          <c:showCatName val="0"/>
          <c:showSerName val="0"/>
          <c:showPercent val="0"/>
          <c:showBubbleSize val="0"/>
        </c:dLbls>
        <c:gapWidth val="100"/>
        <c:overlap val="-24"/>
        <c:axId val="91790783"/>
        <c:axId val="91797055"/>
      </c:barChart>
      <c:catAx>
        <c:axId val="91790783"/>
        <c:scaling>
          <c:orientation val="minMax"/>
        </c:scaling>
        <c:delete val="1"/>
        <c:axPos val="b"/>
        <c:majorTickMark val="none"/>
        <c:minorTickMark val="none"/>
        <c:tickLblPos val="nextTo"/>
        <c:crossAx val="91797055"/>
        <c:crosses val="autoZero"/>
        <c:auto val="1"/>
        <c:lblAlgn val="ctr"/>
        <c:lblOffset val="100"/>
        <c:noMultiLvlLbl val="0"/>
      </c:catAx>
      <c:valAx>
        <c:axId val="9179705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790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HyperScale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Year'!$H$65:$L$65</c:f>
              <c:numCache>
                <c:formatCode>#,##0_);\(#,##0\)</c:formatCode>
                <c:ptCount val="5"/>
                <c:pt idx="0">
                  <c:v>0</c:v>
                </c:pt>
                <c:pt idx="1">
                  <c:v>0</c:v>
                </c:pt>
                <c:pt idx="2">
                  <c:v>0</c:v>
                </c:pt>
                <c:pt idx="3">
                  <c:v>53796</c:v>
                </c:pt>
                <c:pt idx="4">
                  <c:v>105636</c:v>
                </c:pt>
              </c:numCache>
            </c:numRef>
          </c:val>
          <c:extLst>
            <c:ext xmlns:c16="http://schemas.microsoft.com/office/drawing/2014/chart" uri="{C3380CC4-5D6E-409C-BE32-E72D297353CC}">
              <c16:uniqueId val="{00000000-CDE5-154C-8153-319428CD8714}"/>
            </c:ext>
          </c:extLst>
        </c:ser>
        <c:ser>
          <c:idx val="1"/>
          <c:order val="1"/>
          <c:tx>
            <c:v>AI</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Year'!$H$66:$L$66</c:f>
              <c:numCache>
                <c:formatCode>#,##0_);\(#,##0\)</c:formatCode>
                <c:ptCount val="5"/>
                <c:pt idx="0">
                  <c:v>0</c:v>
                </c:pt>
                <c:pt idx="1">
                  <c:v>0</c:v>
                </c:pt>
                <c:pt idx="2">
                  <c:v>0</c:v>
                </c:pt>
                <c:pt idx="3">
                  <c:v>61390</c:v>
                </c:pt>
                <c:pt idx="4">
                  <c:v>88101</c:v>
                </c:pt>
              </c:numCache>
            </c:numRef>
          </c:val>
          <c:extLst>
            <c:ext xmlns:c16="http://schemas.microsoft.com/office/drawing/2014/chart" uri="{C3380CC4-5D6E-409C-BE32-E72D297353CC}">
              <c16:uniqueId val="{00000001-CDE5-154C-8153-319428CD8714}"/>
            </c:ext>
          </c:extLst>
        </c:ser>
        <c:ser>
          <c:idx val="2"/>
          <c:order val="2"/>
          <c:tx>
            <c:v>Edge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Year'!$H$67:$L$67</c:f>
              <c:numCache>
                <c:formatCode>#,##0_);\(#,##0\)</c:formatCode>
                <c:ptCount val="5"/>
                <c:pt idx="0">
                  <c:v>0</c:v>
                </c:pt>
                <c:pt idx="1">
                  <c:v>0</c:v>
                </c:pt>
                <c:pt idx="2">
                  <c:v>0</c:v>
                </c:pt>
                <c:pt idx="3">
                  <c:v>15311</c:v>
                </c:pt>
                <c:pt idx="4">
                  <c:v>22201</c:v>
                </c:pt>
              </c:numCache>
            </c:numRef>
          </c:val>
          <c:extLst>
            <c:ext xmlns:c16="http://schemas.microsoft.com/office/drawing/2014/chart" uri="{C3380CC4-5D6E-409C-BE32-E72D297353CC}">
              <c16:uniqueId val="{00000002-CDE5-154C-8153-319428CD8714}"/>
            </c:ext>
          </c:extLst>
        </c:ser>
        <c:dLbls>
          <c:showLegendKey val="0"/>
          <c:showVal val="0"/>
          <c:showCatName val="0"/>
          <c:showSerName val="0"/>
          <c:showPercent val="0"/>
          <c:showBubbleSize val="0"/>
        </c:dLbls>
        <c:gapWidth val="150"/>
        <c:overlap val="100"/>
        <c:axId val="57928639"/>
        <c:axId val="57930431"/>
      </c:barChart>
      <c:catAx>
        <c:axId val="57928639"/>
        <c:scaling>
          <c:orientation val="minMax"/>
        </c:scaling>
        <c:delete val="1"/>
        <c:axPos val="b"/>
        <c:majorTickMark val="none"/>
        <c:minorTickMark val="none"/>
        <c:tickLblPos val="nextTo"/>
        <c:crossAx val="57930431"/>
        <c:crosses val="autoZero"/>
        <c:auto val="1"/>
        <c:lblAlgn val="ctr"/>
        <c:lblOffset val="100"/>
        <c:noMultiLvlLbl val="0"/>
      </c:catAx>
      <c:valAx>
        <c:axId val="5793043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2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ROA</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Year'!$H$68:$L$68</c:f>
              <c:numCache>
                <c:formatCode>0.00%</c:formatCode>
                <c:ptCount val="5"/>
                <c:pt idx="0">
                  <c:v>0.22069839545567699</c:v>
                </c:pt>
                <c:pt idx="1">
                  <c:v>0.10606575688407557</c:v>
                </c:pt>
                <c:pt idx="2">
                  <c:v>0.45277507302823755</c:v>
                </c:pt>
                <c:pt idx="3">
                  <c:v>0.65304074336251472</c:v>
                </c:pt>
                <c:pt idx="4">
                  <c:v>0.5805863551302447</c:v>
                </c:pt>
              </c:numCache>
            </c:numRef>
          </c:val>
          <c:extLst>
            <c:ext xmlns:c16="http://schemas.microsoft.com/office/drawing/2014/chart" uri="{C3380CC4-5D6E-409C-BE32-E72D297353CC}">
              <c16:uniqueId val="{00000000-5130-D94B-93C9-EC406C04EEFA}"/>
            </c:ext>
          </c:extLst>
        </c:ser>
        <c:ser>
          <c:idx val="1"/>
          <c:order val="1"/>
          <c:tx>
            <c:v>ROE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Year'!$H$69:$L$69</c:f>
              <c:numCache>
                <c:formatCode>0.00%</c:formatCode>
                <c:ptCount val="5"/>
                <c:pt idx="0">
                  <c:v>0.36645122501127303</c:v>
                </c:pt>
                <c:pt idx="1">
                  <c:v>0.19763811592235647</c:v>
                </c:pt>
                <c:pt idx="2">
                  <c:v>0.69244729861789756</c:v>
                </c:pt>
                <c:pt idx="3">
                  <c:v>0.91872880608115781</c:v>
                </c:pt>
                <c:pt idx="4">
                  <c:v>0.76333339690895341</c:v>
                </c:pt>
              </c:numCache>
            </c:numRef>
          </c:val>
          <c:extLst>
            <c:ext xmlns:c16="http://schemas.microsoft.com/office/drawing/2014/chart" uri="{C3380CC4-5D6E-409C-BE32-E72D297353CC}">
              <c16:uniqueId val="{00000001-5130-D94B-93C9-EC406C04EEFA}"/>
            </c:ext>
          </c:extLst>
        </c:ser>
        <c:ser>
          <c:idx val="2"/>
          <c:order val="2"/>
          <c:tx>
            <c:v>ROIC</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Year'!$H$70:$L$70</c:f>
              <c:numCache>
                <c:formatCode>0.00%</c:formatCode>
                <c:ptCount val="5"/>
                <c:pt idx="0">
                  <c:v>0.60245252494303547</c:v>
                </c:pt>
                <c:pt idx="1">
                  <c:v>0.21378682052839357</c:v>
                </c:pt>
                <c:pt idx="2">
                  <c:v>1.0866013555554745</c:v>
                </c:pt>
                <c:pt idx="3">
                  <c:v>1.5847534085376831</c:v>
                </c:pt>
                <c:pt idx="4">
                  <c:v>1.0723937210768841</c:v>
                </c:pt>
              </c:numCache>
            </c:numRef>
          </c:val>
          <c:extLst>
            <c:ext xmlns:c16="http://schemas.microsoft.com/office/drawing/2014/chart" uri="{C3380CC4-5D6E-409C-BE32-E72D297353CC}">
              <c16:uniqueId val="{00000002-5130-D94B-93C9-EC406C04EEFA}"/>
            </c:ext>
          </c:extLst>
        </c:ser>
        <c:dLbls>
          <c:showLegendKey val="0"/>
          <c:showVal val="0"/>
          <c:showCatName val="0"/>
          <c:showSerName val="0"/>
          <c:showPercent val="0"/>
          <c:showBubbleSize val="0"/>
        </c:dLbls>
        <c:gapWidth val="100"/>
        <c:overlap val="-24"/>
        <c:axId val="92276031"/>
        <c:axId val="92282303"/>
      </c:barChart>
      <c:catAx>
        <c:axId val="92276031"/>
        <c:scaling>
          <c:orientation val="minMax"/>
        </c:scaling>
        <c:delete val="1"/>
        <c:axPos val="b"/>
        <c:majorTickMark val="none"/>
        <c:minorTickMark val="none"/>
        <c:tickLblPos val="nextTo"/>
        <c:crossAx val="92282303"/>
        <c:crosses val="autoZero"/>
        <c:auto val="1"/>
        <c:lblAlgn val="ctr"/>
        <c:lblOffset val="100"/>
        <c:noMultiLvlLbl val="0"/>
      </c:catAx>
      <c:valAx>
        <c:axId val="922823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276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Price 5y</c:v>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Year'!$H$71:$L$71</c:f>
              <c:numCache>
                <c:formatCode>0</c:formatCode>
                <c:ptCount val="5"/>
                <c:pt idx="0">
                  <c:v>100</c:v>
                </c:pt>
                <c:pt idx="1">
                  <c:v>89.141856392294216</c:v>
                </c:pt>
                <c:pt idx="2">
                  <c:v>267.20665499124345</c:v>
                </c:pt>
                <c:pt idx="3">
                  <c:v>624.43082311733804</c:v>
                </c:pt>
                <c:pt idx="4">
                  <c:v>821.67250437828375</c:v>
                </c:pt>
              </c:numCache>
            </c:numRef>
          </c:val>
          <c:smooth val="0"/>
          <c:extLst>
            <c:ext xmlns:c16="http://schemas.microsoft.com/office/drawing/2014/chart" uri="{C3380CC4-5D6E-409C-BE32-E72D297353CC}">
              <c16:uniqueId val="{00000000-7480-C44D-8C58-DF1FA4187601}"/>
            </c:ext>
          </c:extLst>
        </c:ser>
        <c:ser>
          <c:idx val="1"/>
          <c:order val="1"/>
          <c:tx>
            <c:v>Revenue 5y</c:v>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'Graphs Year'!$H$72:$L$72</c:f>
              <c:numCache>
                <c:formatCode>0</c:formatCode>
                <c:ptCount val="5"/>
                <c:pt idx="0">
                  <c:v>100</c:v>
                </c:pt>
                <c:pt idx="1">
                  <c:v>100.2229323028907</c:v>
                </c:pt>
                <c:pt idx="2">
                  <c:v>226.35802927844244</c:v>
                </c:pt>
                <c:pt idx="3">
                  <c:v>484.86661217210371</c:v>
                </c:pt>
                <c:pt idx="4">
                  <c:v>802.32592702682621</c:v>
                </c:pt>
              </c:numCache>
            </c:numRef>
          </c:val>
          <c:smooth val="0"/>
          <c:extLst>
            <c:ext xmlns:c16="http://schemas.microsoft.com/office/drawing/2014/chart" uri="{C3380CC4-5D6E-409C-BE32-E72D297353CC}">
              <c16:uniqueId val="{00000001-7480-C44D-8C58-DF1FA4187601}"/>
            </c:ext>
          </c:extLst>
        </c:ser>
        <c:ser>
          <c:idx val="2"/>
          <c:order val="2"/>
          <c:tx>
            <c:v>EPS 5y</c:v>
          </c:tx>
          <c:spPr>
            <a:ln w="34925" cap="rnd">
              <a:solidFill>
                <a:schemeClr val="accent3"/>
              </a:solidFill>
              <a:round/>
            </a:ln>
            <a:effectLst>
              <a:outerShdw blurRad="57150" dist="19050" dir="5400000" algn="ctr" rotWithShape="0">
                <a:srgbClr val="000000">
                  <a:alpha val="63000"/>
                </a:srgbClr>
              </a:outerShdw>
            </a:effectLst>
          </c:spPr>
          <c:marker>
            <c:symbol val="none"/>
          </c:marker>
          <c:val>
            <c:numRef>
              <c:f>'Graphs Year'!$H$73:$L$73</c:f>
              <c:numCache>
                <c:formatCode>0</c:formatCode>
                <c:ptCount val="5"/>
                <c:pt idx="0">
                  <c:v>100</c:v>
                </c:pt>
                <c:pt idx="1">
                  <c:v>45.194805194805184</c:v>
                </c:pt>
                <c:pt idx="2">
                  <c:v>309.87012987012992</c:v>
                </c:pt>
                <c:pt idx="3">
                  <c:v>763.63636363636363</c:v>
                </c:pt>
                <c:pt idx="4">
                  <c:v>1272.7272727272727</c:v>
                </c:pt>
              </c:numCache>
            </c:numRef>
          </c:val>
          <c:smooth val="0"/>
          <c:extLst>
            <c:ext xmlns:c16="http://schemas.microsoft.com/office/drawing/2014/chart" uri="{C3380CC4-5D6E-409C-BE32-E72D297353CC}">
              <c16:uniqueId val="{00000002-7480-C44D-8C58-DF1FA4187601}"/>
            </c:ext>
          </c:extLst>
        </c:ser>
        <c:dLbls>
          <c:showLegendKey val="0"/>
          <c:showVal val="0"/>
          <c:showCatName val="0"/>
          <c:showSerName val="0"/>
          <c:showPercent val="0"/>
          <c:showBubbleSize val="0"/>
        </c:dLbls>
        <c:smooth val="0"/>
        <c:axId val="1848442175"/>
        <c:axId val="1845667903"/>
      </c:lineChart>
      <c:catAx>
        <c:axId val="1848442175"/>
        <c:scaling>
          <c:orientation val="minMax"/>
        </c:scaling>
        <c:delete val="1"/>
        <c:axPos val="b"/>
        <c:majorTickMark val="none"/>
        <c:minorTickMark val="none"/>
        <c:tickLblPos val="nextTo"/>
        <c:crossAx val="1845667903"/>
        <c:crosses val="autoZero"/>
        <c:auto val="1"/>
        <c:lblAlgn val="ctr"/>
        <c:lblOffset val="100"/>
        <c:noMultiLvlLbl val="0"/>
      </c:catAx>
      <c:valAx>
        <c:axId val="184566790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8442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Quarter'!$C$57:$J$57</c:f>
              <c:numCache>
                <c:formatCode>#,##0_);\(#,##0\)</c:formatCode>
                <c:ptCount val="8"/>
                <c:pt idx="0">
                  <c:v>35082</c:v>
                </c:pt>
                <c:pt idx="1">
                  <c:v>39331</c:v>
                </c:pt>
                <c:pt idx="2">
                  <c:v>44062</c:v>
                </c:pt>
                <c:pt idx="3">
                  <c:v>46743</c:v>
                </c:pt>
                <c:pt idx="4">
                  <c:v>57006</c:v>
                </c:pt>
                <c:pt idx="5">
                  <c:v>68127</c:v>
                </c:pt>
                <c:pt idx="6">
                  <c:v>81615</c:v>
                </c:pt>
                <c:pt idx="7">
                  <c:v>96221</c:v>
                </c:pt>
              </c:numCache>
            </c:numRef>
          </c:val>
          <c:extLst>
            <c:ext xmlns:c16="http://schemas.microsoft.com/office/drawing/2014/chart" uri="{C3380CC4-5D6E-409C-BE32-E72D297353CC}">
              <c16:uniqueId val="{00000000-A52F-B540-A9D4-A0F6D2821008}"/>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Quarter'!$C$58:$J$58</c:f>
              <c:numCache>
                <c:formatCode>#,##0_);\(#,##0\)</c:formatCode>
                <c:ptCount val="8"/>
                <c:pt idx="0">
                  <c:v>21869</c:v>
                </c:pt>
                <c:pt idx="1">
                  <c:v>24034</c:v>
                </c:pt>
                <c:pt idx="2">
                  <c:v>21638</c:v>
                </c:pt>
                <c:pt idx="3">
                  <c:v>28440</c:v>
                </c:pt>
                <c:pt idx="4">
                  <c:v>36010</c:v>
                </c:pt>
                <c:pt idx="5">
                  <c:v>44299</c:v>
                </c:pt>
                <c:pt idx="6">
                  <c:v>53536</c:v>
                </c:pt>
                <c:pt idx="7">
                  <c:v>63734</c:v>
                </c:pt>
              </c:numCache>
            </c:numRef>
          </c:val>
          <c:extLst>
            <c:ext xmlns:c16="http://schemas.microsoft.com/office/drawing/2014/chart" uri="{C3380CC4-5D6E-409C-BE32-E72D297353CC}">
              <c16:uniqueId val="{00000001-A52F-B540-A9D4-A0F6D2821008}"/>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Quarter'!$C$59:$J$59</c:f>
              <c:numCache>
                <c:formatCode>#,##0_);\(#,##0\)</c:formatCode>
                <c:ptCount val="8"/>
                <c:pt idx="0">
                  <c:v>19309</c:v>
                </c:pt>
                <c:pt idx="1">
                  <c:v>22091</c:v>
                </c:pt>
                <c:pt idx="2">
                  <c:v>18775</c:v>
                </c:pt>
                <c:pt idx="3">
                  <c:v>26422</c:v>
                </c:pt>
                <c:pt idx="4">
                  <c:v>31910</c:v>
                </c:pt>
                <c:pt idx="5">
                  <c:v>42960</c:v>
                </c:pt>
                <c:pt idx="6">
                  <c:v>58321</c:v>
                </c:pt>
                <c:pt idx="7">
                  <c:v>59688</c:v>
                </c:pt>
              </c:numCache>
            </c:numRef>
          </c:val>
          <c:extLst>
            <c:ext xmlns:c16="http://schemas.microsoft.com/office/drawing/2014/chart" uri="{C3380CC4-5D6E-409C-BE32-E72D297353CC}">
              <c16:uniqueId val="{00000002-A52F-B540-A9D4-A0F6D2821008}"/>
            </c:ext>
          </c:extLst>
        </c:ser>
        <c:dLbls>
          <c:showLegendKey val="0"/>
          <c:showVal val="0"/>
          <c:showCatName val="0"/>
          <c:showSerName val="0"/>
          <c:showPercent val="0"/>
          <c:showBubbleSize val="0"/>
        </c:dLbls>
        <c:gapWidth val="100"/>
        <c:overlap val="-24"/>
        <c:axId val="1076387263"/>
        <c:axId val="1076391295"/>
      </c:barChart>
      <c:catAx>
        <c:axId val="1076387263"/>
        <c:scaling>
          <c:orientation val="minMax"/>
        </c:scaling>
        <c:delete val="1"/>
        <c:axPos val="b"/>
        <c:majorTickMark val="none"/>
        <c:minorTickMark val="none"/>
        <c:tickLblPos val="nextTo"/>
        <c:crossAx val="1076391295"/>
        <c:crosses val="autoZero"/>
        <c:auto val="1"/>
        <c:lblAlgn val="ctr"/>
        <c:lblOffset val="100"/>
        <c:noMultiLvlLbl val="0"/>
      </c:catAx>
      <c:valAx>
        <c:axId val="107639129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638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Quarter'!$C$60:$J$60</c:f>
              <c:numCache>
                <c:formatCode>0%</c:formatCode>
                <c:ptCount val="8"/>
                <c:pt idx="0">
                  <c:v>0.74556752750698363</c:v>
                </c:pt>
                <c:pt idx="1">
                  <c:v>0.73028908494571709</c:v>
                </c:pt>
                <c:pt idx="2">
                  <c:v>0.60523807362353044</c:v>
                </c:pt>
                <c:pt idx="3">
                  <c:v>0.72423678411740799</c:v>
                </c:pt>
                <c:pt idx="4">
                  <c:v>0.7341157071185489</c:v>
                </c:pt>
                <c:pt idx="5">
                  <c:v>0.74996697344665109</c:v>
                </c:pt>
                <c:pt idx="6">
                  <c:v>0.74933529375727503</c:v>
                </c:pt>
                <c:pt idx="7">
                  <c:v>0.74975317238440675</c:v>
                </c:pt>
              </c:numCache>
            </c:numRef>
          </c:val>
          <c:extLst>
            <c:ext xmlns:c16="http://schemas.microsoft.com/office/drawing/2014/chart" uri="{C3380CC4-5D6E-409C-BE32-E72D297353CC}">
              <c16:uniqueId val="{00000000-A048-6D48-B3EA-D7065FE0E79C}"/>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Quarter'!$C$61:$J$61</c:f>
              <c:numCache>
                <c:formatCode>0%</c:formatCode>
                <c:ptCount val="8"/>
                <c:pt idx="0">
                  <c:v>0.62336810900176731</c:v>
                </c:pt>
                <c:pt idx="1">
                  <c:v>0.61107014822913219</c:v>
                </c:pt>
                <c:pt idx="2">
                  <c:v>0.49108074985248057</c:v>
                </c:pt>
                <c:pt idx="3">
                  <c:v>0.60843334830883766</c:v>
                </c:pt>
                <c:pt idx="4">
                  <c:v>0.63168789250254365</c:v>
                </c:pt>
                <c:pt idx="5">
                  <c:v>0.65024146080115075</c:v>
                </c:pt>
                <c:pt idx="6">
                  <c:v>0.65595785088525393</c:v>
                </c:pt>
                <c:pt idx="7">
                  <c:v>0.66237100009353467</c:v>
                </c:pt>
              </c:numCache>
            </c:numRef>
          </c:val>
          <c:extLst>
            <c:ext xmlns:c16="http://schemas.microsoft.com/office/drawing/2014/chart" uri="{C3380CC4-5D6E-409C-BE32-E72D297353CC}">
              <c16:uniqueId val="{00000001-A048-6D48-B3EA-D7065FE0E79C}"/>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Quarter'!$C$62:$J$62</c:f>
              <c:numCache>
                <c:formatCode>0%</c:formatCode>
                <c:ptCount val="8"/>
                <c:pt idx="0">
                  <c:v>0.55039621458297705</c:v>
                </c:pt>
                <c:pt idx="1">
                  <c:v>0.56166891256260965</c:v>
                </c:pt>
                <c:pt idx="2">
                  <c:v>0.42610412600426673</c:v>
                </c:pt>
                <c:pt idx="3">
                  <c:v>0.56526110861519374</c:v>
                </c:pt>
                <c:pt idx="4">
                  <c:v>0.55976563870469775</c:v>
                </c:pt>
                <c:pt idx="5">
                  <c:v>0.63058699194152101</c:v>
                </c:pt>
                <c:pt idx="6">
                  <c:v>0.71458677939104331</c:v>
                </c:pt>
                <c:pt idx="7">
                  <c:v>0.62032196713815069</c:v>
                </c:pt>
              </c:numCache>
            </c:numRef>
          </c:val>
          <c:extLst>
            <c:ext xmlns:c16="http://schemas.microsoft.com/office/drawing/2014/chart" uri="{C3380CC4-5D6E-409C-BE32-E72D297353CC}">
              <c16:uniqueId val="{00000002-A048-6D48-B3EA-D7065FE0E79C}"/>
            </c:ext>
          </c:extLst>
        </c:ser>
        <c:dLbls>
          <c:showLegendKey val="0"/>
          <c:showVal val="0"/>
          <c:showCatName val="0"/>
          <c:showSerName val="0"/>
          <c:showPercent val="0"/>
          <c:showBubbleSize val="0"/>
        </c:dLbls>
        <c:gapWidth val="100"/>
        <c:overlap val="-24"/>
        <c:axId val="1157457983"/>
        <c:axId val="1157451711"/>
      </c:barChart>
      <c:catAx>
        <c:axId val="1157457983"/>
        <c:scaling>
          <c:orientation val="minMax"/>
        </c:scaling>
        <c:delete val="1"/>
        <c:axPos val="b"/>
        <c:majorTickMark val="none"/>
        <c:minorTickMark val="none"/>
        <c:tickLblPos val="nextTo"/>
        <c:crossAx val="1157451711"/>
        <c:crosses val="autoZero"/>
        <c:auto val="1"/>
        <c:lblAlgn val="ctr"/>
        <c:lblOffset val="100"/>
        <c:noMultiLvlLbl val="0"/>
      </c:catAx>
      <c:valAx>
        <c:axId val="115745171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7457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HyperScale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Quarter'!$C$63:$J$63</c:f>
              <c:numCache>
                <c:formatCode>#,##0_);\(#,##0\)</c:formatCode>
                <c:ptCount val="8"/>
                <c:pt idx="0">
                  <c:v>13390</c:v>
                </c:pt>
                <c:pt idx="1">
                  <c:v>19094</c:v>
                </c:pt>
                <c:pt idx="2">
                  <c:v>17599</c:v>
                </c:pt>
                <c:pt idx="3">
                  <c:v>23883</c:v>
                </c:pt>
                <c:pt idx="4">
                  <c:v>30340</c:v>
                </c:pt>
                <c:pt idx="5">
                  <c:v>33814</c:v>
                </c:pt>
                <c:pt idx="6">
                  <c:v>37869</c:v>
                </c:pt>
                <c:pt idx="7">
                  <c:v>48710</c:v>
                </c:pt>
              </c:numCache>
            </c:numRef>
          </c:val>
          <c:extLst>
            <c:ext xmlns:c16="http://schemas.microsoft.com/office/drawing/2014/chart" uri="{C3380CC4-5D6E-409C-BE32-E72D297353CC}">
              <c16:uniqueId val="{00000000-2E19-FD44-9C5E-C1716B02A7E3}"/>
            </c:ext>
          </c:extLst>
        </c:ser>
        <c:ser>
          <c:idx val="1"/>
          <c:order val="1"/>
          <c:tx>
            <c:v>AI</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Quarter'!$C$64:$J$64</c:f>
              <c:numCache>
                <c:formatCode>#,##0_);\(#,##0\)</c:formatCode>
                <c:ptCount val="8"/>
                <c:pt idx="0">
                  <c:v>17381</c:v>
                </c:pt>
                <c:pt idx="1">
                  <c:v>16486</c:v>
                </c:pt>
                <c:pt idx="2">
                  <c:v>21513</c:v>
                </c:pt>
                <c:pt idx="3">
                  <c:v>17213</c:v>
                </c:pt>
                <c:pt idx="4">
                  <c:v>20875</c:v>
                </c:pt>
                <c:pt idx="5">
                  <c:v>28500</c:v>
                </c:pt>
                <c:pt idx="6">
                  <c:v>37377</c:v>
                </c:pt>
                <c:pt idx="7">
                  <c:v>40313</c:v>
                </c:pt>
              </c:numCache>
            </c:numRef>
          </c:val>
          <c:extLst>
            <c:ext xmlns:c16="http://schemas.microsoft.com/office/drawing/2014/chart" uri="{C3380CC4-5D6E-409C-BE32-E72D297353CC}">
              <c16:uniqueId val="{00000001-2E19-FD44-9C5E-C1716B02A7E3}"/>
            </c:ext>
          </c:extLst>
        </c:ser>
        <c:ser>
          <c:idx val="2"/>
          <c:order val="2"/>
          <c:tx>
            <c:v>Edge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Quarter'!$C$65:$J$65</c:f>
              <c:numCache>
                <c:formatCode>#,##0_);\(#,##0\)</c:formatCode>
                <c:ptCount val="8"/>
                <c:pt idx="0">
                  <c:v>4311</c:v>
                </c:pt>
                <c:pt idx="1">
                  <c:v>3751</c:v>
                </c:pt>
                <c:pt idx="2">
                  <c:v>4950</c:v>
                </c:pt>
                <c:pt idx="3">
                  <c:v>5647</c:v>
                </c:pt>
                <c:pt idx="4">
                  <c:v>5791</c:v>
                </c:pt>
                <c:pt idx="5">
                  <c:v>5813</c:v>
                </c:pt>
                <c:pt idx="6">
                  <c:v>6369</c:v>
                </c:pt>
                <c:pt idx="7">
                  <c:v>7198</c:v>
                </c:pt>
              </c:numCache>
            </c:numRef>
          </c:val>
          <c:extLst>
            <c:ext xmlns:c16="http://schemas.microsoft.com/office/drawing/2014/chart" uri="{C3380CC4-5D6E-409C-BE32-E72D297353CC}">
              <c16:uniqueId val="{00000002-2E19-FD44-9C5E-C1716B02A7E3}"/>
            </c:ext>
          </c:extLst>
        </c:ser>
        <c:dLbls>
          <c:showLegendKey val="0"/>
          <c:showVal val="0"/>
          <c:showCatName val="0"/>
          <c:showSerName val="0"/>
          <c:showPercent val="0"/>
          <c:showBubbleSize val="0"/>
        </c:dLbls>
        <c:gapWidth val="100"/>
        <c:overlap val="100"/>
        <c:axId val="1156718463"/>
        <c:axId val="1156723391"/>
      </c:barChart>
      <c:catAx>
        <c:axId val="1156718463"/>
        <c:scaling>
          <c:orientation val="minMax"/>
        </c:scaling>
        <c:delete val="1"/>
        <c:axPos val="b"/>
        <c:majorTickMark val="none"/>
        <c:minorTickMark val="none"/>
        <c:tickLblPos val="nextTo"/>
        <c:crossAx val="1156723391"/>
        <c:crosses val="autoZero"/>
        <c:auto val="1"/>
        <c:lblAlgn val="ctr"/>
        <c:lblOffset val="100"/>
        <c:noMultiLvlLbl val="0"/>
      </c:catAx>
      <c:valAx>
        <c:axId val="115672339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1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FCFE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Quarter'!$C$66:$J$66</c:f>
              <c:numCache>
                <c:formatCode>#,##0_);\(#,##0\)</c:formatCode>
                <c:ptCount val="8"/>
                <c:pt idx="0">
                  <c:v>15564</c:v>
                </c:pt>
                <c:pt idx="1">
                  <c:v>14230</c:v>
                </c:pt>
                <c:pt idx="2">
                  <c:v>24713</c:v>
                </c:pt>
                <c:pt idx="3">
                  <c:v>11847</c:v>
                </c:pt>
                <c:pt idx="4">
                  <c:v>20458</c:v>
                </c:pt>
                <c:pt idx="5">
                  <c:v>33273</c:v>
                </c:pt>
                <c:pt idx="6">
                  <c:v>46659</c:v>
                </c:pt>
                <c:pt idx="7">
                  <c:v>19374</c:v>
                </c:pt>
              </c:numCache>
            </c:numRef>
          </c:val>
          <c:smooth val="0"/>
          <c:extLst>
            <c:ext xmlns:c16="http://schemas.microsoft.com/office/drawing/2014/chart" uri="{C3380CC4-5D6E-409C-BE32-E72D297353CC}">
              <c16:uniqueId val="{00000000-2537-A641-96D5-AEFA40A2B2D6}"/>
            </c:ext>
          </c:extLst>
        </c:ser>
        <c:dLbls>
          <c:showLegendKey val="0"/>
          <c:showVal val="0"/>
          <c:showCatName val="0"/>
          <c:showSerName val="0"/>
          <c:showPercent val="0"/>
          <c:showBubbleSize val="0"/>
        </c:dLbls>
        <c:smooth val="0"/>
        <c:axId val="1163393471"/>
        <c:axId val="1163381375"/>
      </c:lineChart>
      <c:catAx>
        <c:axId val="1163393471"/>
        <c:scaling>
          <c:orientation val="minMax"/>
        </c:scaling>
        <c:delete val="1"/>
        <c:axPos val="b"/>
        <c:majorTickMark val="none"/>
        <c:minorTickMark val="none"/>
        <c:tickLblPos val="nextTo"/>
        <c:crossAx val="1163381375"/>
        <c:crosses val="autoZero"/>
        <c:auto val="1"/>
        <c:lblAlgn val="ctr"/>
        <c:lblOffset val="100"/>
        <c:noMultiLvlLbl val="0"/>
      </c:catAx>
      <c:valAx>
        <c:axId val="116338137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39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22364</xdr:colOff>
      <xdr:row>2</xdr:row>
      <xdr:rowOff>10227</xdr:rowOff>
    </xdr:from>
    <xdr:to>
      <xdr:col>5</xdr:col>
      <xdr:colOff>528767</xdr:colOff>
      <xdr:row>15</xdr:row>
      <xdr:rowOff>157515</xdr:rowOff>
    </xdr:to>
    <xdr:graphicFrame macro="">
      <xdr:nvGraphicFramePr>
        <xdr:cNvPr id="2" name="Chart 1">
          <a:extLst>
            <a:ext uri="{FF2B5EF4-FFF2-40B4-BE49-F238E27FC236}">
              <a16:creationId xmlns:a16="http://schemas.microsoft.com/office/drawing/2014/main" id="{9AAB82B6-E718-1553-9A8A-71AB1CB30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717270</xdr:colOff>
      <xdr:row>2</xdr:row>
      <xdr:rowOff>10221</xdr:rowOff>
    </xdr:from>
    <xdr:to>
      <xdr:col>11</xdr:col>
      <xdr:colOff>353043</xdr:colOff>
      <xdr:row>15</xdr:row>
      <xdr:rowOff>157509</xdr:rowOff>
    </xdr:to>
    <xdr:graphicFrame macro="">
      <xdr:nvGraphicFramePr>
        <xdr:cNvPr id="3" name="Chart 2">
          <a:extLst>
            <a:ext uri="{FF2B5EF4-FFF2-40B4-BE49-F238E27FC236}">
              <a16:creationId xmlns:a16="http://schemas.microsoft.com/office/drawing/2014/main" id="{C193E931-8DC7-D7CC-D47C-6903365BA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22365</xdr:colOff>
      <xdr:row>16</xdr:row>
      <xdr:rowOff>177959</xdr:rowOff>
    </xdr:from>
    <xdr:to>
      <xdr:col>5</xdr:col>
      <xdr:colOff>528768</xdr:colOff>
      <xdr:row>30</xdr:row>
      <xdr:rowOff>125562</xdr:rowOff>
    </xdr:to>
    <xdr:graphicFrame macro="">
      <xdr:nvGraphicFramePr>
        <xdr:cNvPr id="4" name="Chart 3">
          <a:extLst>
            <a:ext uri="{FF2B5EF4-FFF2-40B4-BE49-F238E27FC236}">
              <a16:creationId xmlns:a16="http://schemas.microsoft.com/office/drawing/2014/main" id="{7C1A4ED0-7A66-D55A-012D-14A8004B4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725258</xdr:colOff>
      <xdr:row>16</xdr:row>
      <xdr:rowOff>169971</xdr:rowOff>
    </xdr:from>
    <xdr:to>
      <xdr:col>11</xdr:col>
      <xdr:colOff>361031</xdr:colOff>
      <xdr:row>30</xdr:row>
      <xdr:rowOff>117574</xdr:rowOff>
    </xdr:to>
    <xdr:graphicFrame macro="">
      <xdr:nvGraphicFramePr>
        <xdr:cNvPr id="5" name="Chart 4">
          <a:extLst>
            <a:ext uri="{FF2B5EF4-FFF2-40B4-BE49-F238E27FC236}">
              <a16:creationId xmlns:a16="http://schemas.microsoft.com/office/drawing/2014/main" id="{BF106170-16E4-9CE8-051D-B7F6A8CA0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14378</xdr:colOff>
      <xdr:row>31</xdr:row>
      <xdr:rowOff>50160</xdr:rowOff>
    </xdr:from>
    <xdr:to>
      <xdr:col>5</xdr:col>
      <xdr:colOff>520781</xdr:colOff>
      <xdr:row>44</xdr:row>
      <xdr:rowOff>197448</xdr:rowOff>
    </xdr:to>
    <xdr:graphicFrame macro="">
      <xdr:nvGraphicFramePr>
        <xdr:cNvPr id="6" name="Chart 5">
          <a:extLst>
            <a:ext uri="{FF2B5EF4-FFF2-40B4-BE49-F238E27FC236}">
              <a16:creationId xmlns:a16="http://schemas.microsoft.com/office/drawing/2014/main" id="{1D0A5BEF-EF3A-9CEE-94C8-768A2579A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733244</xdr:colOff>
      <xdr:row>31</xdr:row>
      <xdr:rowOff>58149</xdr:rowOff>
    </xdr:from>
    <xdr:to>
      <xdr:col>11</xdr:col>
      <xdr:colOff>369018</xdr:colOff>
      <xdr:row>45</xdr:row>
      <xdr:rowOff>5752</xdr:rowOff>
    </xdr:to>
    <xdr:graphicFrame macro="">
      <xdr:nvGraphicFramePr>
        <xdr:cNvPr id="8" name="Chart 7">
          <a:extLst>
            <a:ext uri="{FF2B5EF4-FFF2-40B4-BE49-F238E27FC236}">
              <a16:creationId xmlns:a16="http://schemas.microsoft.com/office/drawing/2014/main" id="{2108E1F9-7682-6B89-9FB4-996EB449B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1578</xdr:colOff>
      <xdr:row>1</xdr:row>
      <xdr:rowOff>174488</xdr:rowOff>
    </xdr:from>
    <xdr:to>
      <xdr:col>5</xdr:col>
      <xdr:colOff>629478</xdr:colOff>
      <xdr:row>15</xdr:row>
      <xdr:rowOff>46383</xdr:rowOff>
    </xdr:to>
    <xdr:graphicFrame macro="">
      <xdr:nvGraphicFramePr>
        <xdr:cNvPr id="2" name="Chart 1">
          <a:extLst>
            <a:ext uri="{FF2B5EF4-FFF2-40B4-BE49-F238E27FC236}">
              <a16:creationId xmlns:a16="http://schemas.microsoft.com/office/drawing/2014/main" id="{71232299-7FA9-0039-D056-D8E3B8535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814063</xdr:colOff>
      <xdr:row>1</xdr:row>
      <xdr:rowOff>174486</xdr:rowOff>
    </xdr:from>
    <xdr:to>
      <xdr:col>11</xdr:col>
      <xdr:colOff>416498</xdr:colOff>
      <xdr:row>15</xdr:row>
      <xdr:rowOff>46381</xdr:rowOff>
    </xdr:to>
    <xdr:graphicFrame macro="">
      <xdr:nvGraphicFramePr>
        <xdr:cNvPr id="3" name="Chart 2">
          <a:extLst>
            <a:ext uri="{FF2B5EF4-FFF2-40B4-BE49-F238E27FC236}">
              <a16:creationId xmlns:a16="http://schemas.microsoft.com/office/drawing/2014/main" id="{596D588C-4223-6A47-5C25-B5CE03A95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9465</xdr:colOff>
      <xdr:row>16</xdr:row>
      <xdr:rowOff>947</xdr:rowOff>
    </xdr:from>
    <xdr:to>
      <xdr:col>5</xdr:col>
      <xdr:colOff>646831</xdr:colOff>
      <xdr:row>29</xdr:row>
      <xdr:rowOff>77936</xdr:rowOff>
    </xdr:to>
    <xdr:graphicFrame macro="">
      <xdr:nvGraphicFramePr>
        <xdr:cNvPr id="4" name="Chart 3">
          <a:extLst>
            <a:ext uri="{FF2B5EF4-FFF2-40B4-BE49-F238E27FC236}">
              <a16:creationId xmlns:a16="http://schemas.microsoft.com/office/drawing/2014/main" id="{3C7CD02C-4465-C3A2-3510-E1D80F197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814063</xdr:colOff>
      <xdr:row>16</xdr:row>
      <xdr:rowOff>8838</xdr:rowOff>
    </xdr:from>
    <xdr:to>
      <xdr:col>11</xdr:col>
      <xdr:colOff>416498</xdr:colOff>
      <xdr:row>29</xdr:row>
      <xdr:rowOff>85827</xdr:rowOff>
    </xdr:to>
    <xdr:graphicFrame macro="">
      <xdr:nvGraphicFramePr>
        <xdr:cNvPr id="5" name="Chart 4">
          <a:extLst>
            <a:ext uri="{FF2B5EF4-FFF2-40B4-BE49-F238E27FC236}">
              <a16:creationId xmlns:a16="http://schemas.microsoft.com/office/drawing/2014/main" id="{7B2EB754-366B-7BD3-2DC6-930FE8A3D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128348</xdr:colOff>
      <xdr:row>16</xdr:row>
      <xdr:rowOff>20266</xdr:rowOff>
    </xdr:from>
    <xdr:to>
      <xdr:col>3</xdr:col>
      <xdr:colOff>716064</xdr:colOff>
      <xdr:row>16</xdr:row>
      <xdr:rowOff>216170</xdr:rowOff>
    </xdr:to>
    <xdr:sp macro="" textlink="">
      <xdr:nvSpPr>
        <xdr:cNvPr id="2" name="Right Arrow 1">
          <a:extLst>
            <a:ext uri="{FF2B5EF4-FFF2-40B4-BE49-F238E27FC236}">
              <a16:creationId xmlns:a16="http://schemas.microsoft.com/office/drawing/2014/main" id="{02CDC1E2-04C0-0B4F-AADE-DCF6B72A8310}"/>
            </a:ext>
          </a:extLst>
        </xdr:cNvPr>
        <xdr:cNvSpPr/>
      </xdr:nvSpPr>
      <xdr:spPr>
        <a:xfrm rot="10800000">
          <a:off x="3544648" y="3258766"/>
          <a:ext cx="587716" cy="19590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Volumes/KINGSTON/MyStockData/Finance-StockLists/1.%20List_ManualData.xlsx" TargetMode="External"/><Relationship Id="rId1" Type="http://schemas.openxmlformats.org/officeDocument/2006/relationships/externalLinkPath" Target="1.%20List_ManualDat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Volumes/KINGSTON/MyStockData/Finance-StockLists/QCOM.xlsx" TargetMode="External"/><Relationship Id="rId1" Type="http://schemas.openxmlformats.org/officeDocument/2006/relationships/externalLinkPath" Target="QC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2">
          <cell r="C12">
            <v>4.4999999999999998E-2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Financials -&gt;"/>
      <sheetName val="Statement"/>
      <sheetName val="Analysis -&gt;"/>
      <sheetName val="Basic"/>
      <sheetName val="Yearly Analysis"/>
      <sheetName val="Quarter analysis"/>
      <sheetName val="Graphs Year"/>
      <sheetName val="Graphs Quarter"/>
      <sheetName val="Forecast -&gt;"/>
      <sheetName val="Revenue"/>
      <sheetName val="COGS &amp; OpEx"/>
      <sheetName val="WC &amp; Investments"/>
      <sheetName val="FCF &amp; Other"/>
      <sheetName val="Valuation -&gt;"/>
      <sheetName val="WACC"/>
      <sheetName val="DCF"/>
      <sheetName val="Multiples"/>
      <sheetName val="AVG target price"/>
      <sheetName val="DDM"/>
      <sheetName val="Reverse DCF"/>
    </sheetNames>
    <sheetDataSet>
      <sheetData sheetId="0"/>
      <sheetData sheetId="1"/>
      <sheetData sheetId="2"/>
      <sheetData sheetId="3"/>
      <sheetData sheetId="4"/>
      <sheetData sheetId="5"/>
      <sheetData sheetId="6"/>
      <sheetData sheetId="7"/>
      <sheetData sheetId="8"/>
      <sheetData sheetId="9"/>
      <sheetData sheetId="10">
        <row r="5">
          <cell r="C5">
            <v>2021</v>
          </cell>
          <cell r="D5">
            <v>2022</v>
          </cell>
          <cell r="E5">
            <v>2023</v>
          </cell>
          <cell r="F5">
            <v>2024</v>
          </cell>
          <cell r="G5">
            <v>2025</v>
          </cell>
          <cell r="H5">
            <v>2026</v>
          </cell>
          <cell r="I5">
            <v>2027</v>
          </cell>
          <cell r="J5">
            <v>2028</v>
          </cell>
          <cell r="K5">
            <v>2029</v>
          </cell>
          <cell r="L5">
            <v>2030</v>
          </cell>
        </row>
      </sheetData>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person displayName="adi dumitras" id="{A0F62302-F8D3-B346-B5DF-839B413AE710}" userId="b24535bb88af1c42"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
  <rv s="0">
    <v>https://www.bing.com/financeapi/forcetrigger?t=a1yv52&amp;q=XNAS%3aNVDA&amp;form=skydnc</v>
    <v>Learn more on Bing</v>
  </rv>
  <rv s="1">
    <v>0</v>
    <v>NVIDIA CORPORATION (XNAS:NVDA)</v>
    <v>2</v>
    <v>3</v>
    <v>Finance</v>
    <v>4</v>
    <v>en-US</v>
    <v>a1yv52</v>
    <v>268435456</v>
    <v>1</v>
    <v>Powered by Refinitiv</v>
    <v>243.37</v>
    <v>164.27</v>
    <v>2.1957</v>
    <v>-1.25</v>
    <v>-5.8899999999999994E-3</v>
    <v>0.1555</v>
    <v>7.3709999999999997E-4</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213.85</v>
    <v>Semiconductors &amp; Semiconductor Equipment</v>
    <v>Stock</v>
    <v>46318.955257638285</v>
    <v>0</v>
    <v>210.18</v>
    <v>5084136000000</v>
    <v>NVIDIA CORPORATION</v>
    <v>NVIDIA CORPORATION</v>
    <v>210.99</v>
    <v>26.825600000000001</v>
    <v>212.21</v>
    <v>210.96</v>
    <v>211.1155</v>
    <v>24100000000</v>
    <v>NVDA</v>
    <v>NVIDIA CORPORATION (XNAS:NVDA)</v>
    <v>80064334</v>
    <v>107148374</v>
    <v>1998</v>
  </rv>
  <rv s="2">
    <v>1</v>
  </rv>
  <rv s="0">
    <v>https://www.bing.com/financeapi/forcetrigger?t=a33knm&amp;q=10+Y+TSY+YLD+NDX&amp;form=skydnc</v>
    <v>Learn more on Bing</v>
  </rv>
  <rv s="3">
    <v>5</v>
    <v>10 Y TSY YLD NDX</v>
    <v>6</v>
    <v>7</v>
    <v>Finance</v>
    <v>8</v>
    <v>en-US</v>
    <v>a33knm</v>
    <v>268435456</v>
    <v>1</v>
    <v>Powered by Refinitiv</v>
    <v>53.64</v>
    <v>39.47</v>
    <v>-1.93</v>
    <v>-3.7505000000000004E-2</v>
    <v>US</v>
    <v>50.54</v>
    <v>Index</v>
    <v>3</v>
    <v>49.39</v>
    <v>10 Y TSY YLD NDX</v>
    <v>50.4</v>
    <v>51.46</v>
    <v>49.53</v>
    <v>TNX</v>
    <v>10 Y TSY YLD NDX</v>
  </rv>
  <rv s="2">
    <v>4</v>
  </rv>
</rvData>
</file>

<file path=xl/richData/rdrichvaluestructure.xml><?xml version="1.0" encoding="utf-8"?>
<rvStructures xmlns="http://schemas.microsoft.com/office/spreadsheetml/2017/richdata" count="4">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Change"/>
    <k n="Change (%)"/>
    <k n="Country/region" t="s"/>
    <k n="High"/>
    <k n="Instrument type" t="s"/>
    <k n="LearnMoreOnLink" t="r"/>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spbArrays>
  <spbData count="9">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 s="0">
      <v>1</v>
      <v>Name</v>
      <v>LearnMoreOnLink</v>
    </spb>
    <spb s="5">
      <v>1</v>
      <v>1</v>
      <v>1</v>
    </spb>
    <spb s="6">
      <v>1</v>
      <v>1</v>
      <v>3</v>
      <v>1</v>
      <v>1</v>
      <v>1</v>
      <v>5</v>
      <v>1</v>
      <v>1</v>
      <v>1</v>
      <v>9</v>
    </spb>
    <spb s="7">
      <v>from previous close</v>
      <v>from previous close</v>
    </spb>
  </spbData>
</supportingPropertyBags>
</file>

<file path=xl/richData/rdsupportingpropertybagstructure.xml><?xml version="1.0" encoding="utf-8"?>
<spbStructures xmlns="http://schemas.microsoft.com/office/spreadsheetml/2017/richdata2" count="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UniqueName" t="spb"/>
    <k n="`%ProviderInfo" t="spb"/>
    <k n="LearnMoreOnLink" t="spb"/>
  </s>
  <s>
    <k n="Low" t="i"/>
    <k n="High" t="i"/>
    <k n="Name" t="i"/>
    <k n="Open" t="i"/>
    <k n="Price" t="i"/>
    <k n="Change" t="i"/>
    <k n="Change (%)" t="i"/>
    <k n="52 week low" t="i"/>
    <k n="52 week high" t="i"/>
    <k n="Previous close" t="i"/>
    <k n="`%EntityServiceId" t="i"/>
  </s>
  <s>
    <k n="Change" t="s"/>
    <k n="Chang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83" dT="2026-02-17T21:45:28.65" personId="{A0F62302-F8D3-B346-B5DF-839B413AE710}" id="{22B2B3EF-EBF6-0D4F-BF74-BA371A77FD6F}">
    <text>Actual number</text>
  </threadedComment>
  <threadedComment ref="B114" dT="2026-04-25T21:52:20.00" personId="{A0F62302-F8D3-B346-B5DF-839B413AE710}" id="{8A10573A-B1E5-5443-A272-E27CCC9C056F}">
    <text>Take the closing price of the last day of the period. In case the price has seen heavy fluctuations make an average of the last days. Info found at Yahoo Finance in the Historical Data section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B35" dT="2026-04-25T20:40:52.15" personId="{A0F62302-F8D3-B346-B5DF-839B413AE710}" id="{87FCD2F5-1815-1140-9144-DCAA38F9CA74}">
    <text>We use here the inverted signg as are used in the CashFlow statement which means we will Add the change in NWC to the NOPAT instead of subtracting it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6044FD4-8F6D-C44C-A931-2F82C76276B7}">
  <we:reference id="wa200001365" version="2.5.0.0" store="en-US" storeType="OMEX"/>
  <we:alternateReferences>
    <we:reference id="wa200001365" version="2.5.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_xldudf_ALPHAVANTAGE_EQUITYQUOTE</we:customFunctionIds>
        <we:customFunctionIds>_xldudf_ALPHAVANTAGE_EQUITYTIMESERIES</we:customFunctionIds>
        <we:customFunctionIds>_xldudf_ALPHAVANTAGE_INTRADAYEQUITYSERIESUPDATING</we:customFunctionIds>
        <we:customFunctionIds>_xldudf_ALPHAVANTAGE_EXCHANGERATE</we:customFunctionIds>
        <we:customFunctionIds>_xldudf_ALPHAVANTAGE_EXCHANGERATEUPDATING</we:customFunctionIds>
        <we:customFunctionIds>_xldudf_ALPHAVANTAGE_EXCHANGERATESERIES</we:customFunctionIds>
        <we:customFunctionIds>_xldudf_ALPHAVANTAGE_EXCHANGERATESERIESUPDATING</we:customFunctionIds>
        <we:customFunctionIds>_xldudf_ALPHAVANTAGE_TECHNICALINDICATOR</we:customFunctionIds>
        <we:customFunctionIds>_xldudf_ALPHAVANTAGE_SYMBOLSEARCH</we:customFunctionIds>
        <we:customFunctionIds>_xldudf_ALPHAVANTAGE_COMMODITYTIMESERIES</we:customFunctionIds>
        <we:customFunctionIds>_xldudf_ALPHAVANTAGE_AVAILABLECRYPTOCURRENCIES</we:customFunctionIds>
        <we:customFunctionIds>_xldudf_ALPHAVANTAGE_AVAILABLEPHYSICALCURRENCIES</we:customFunctionIds>
        <we:customFunctionIds>_xldudf_ALPHAVANTAGE_COMPANYOVERVIEW</we:customFunctionIds>
        <we:customFunctionIds>_xldudf_ALPHAVANTAGE_COMPANYEARNINGS</we:customFunctionIds>
        <we:customFunctionIds>_xldudf_ALPHAVANTAGE_COMPANYFILINGS</we:customFunctionIds>
        <we:customFunctionIds>_xldudf_ALPHAVANTAGE_LISTINGSTATUS</we:customFunctionIds>
        <we:customFunctionIds>_xldudf_ALPHAVANTAGE_EARNINGSCALENDAR</we:customFunctionIds>
        <we:customFunctionIds>_xldudf_ALPHAVANTAGE_ECONOMICINDICATOR</we:customFunctionIds>
        <we:customFunctionIds>_xldudf_ALPHAVANTAGE_TREASURYYIELD</we:customFunctionIds>
      </we:customFunctionIdList>
    </a:ext>
  </we:extLst>
</we:webextension>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172E-7ADE-4B4A-B533-F037BCFCDCB0}">
  <dimension ref="B1:K61"/>
  <sheetViews>
    <sheetView tabSelected="1" zoomScale="160" zoomScaleNormal="160" workbookViewId="0">
      <selection activeCell="I11" sqref="I11"/>
    </sheetView>
  </sheetViews>
  <sheetFormatPr baseColWidth="10" defaultRowHeight="16" x14ac:dyDescent="0.2"/>
  <cols>
    <col min="1" max="1" width="2" style="1" customWidth="1"/>
    <col min="2" max="2" width="20.6640625" style="1" customWidth="1"/>
    <col min="3" max="3" width="25.83203125" style="1" customWidth="1"/>
    <col min="4" max="4" width="2" style="1" customWidth="1"/>
    <col min="5" max="5" width="19.1640625" style="1" customWidth="1"/>
    <col min="6" max="6" width="14.5" style="1" customWidth="1"/>
    <col min="7" max="7" width="1.6640625" style="1" customWidth="1"/>
    <col min="8" max="8" width="15.83203125" style="1" customWidth="1"/>
    <col min="9" max="9" width="8.6640625" style="1" customWidth="1"/>
    <col min="10" max="10" width="2" style="1" customWidth="1"/>
    <col min="11" max="11" width="16.5" style="1" customWidth="1"/>
    <col min="12" max="16384" width="10.83203125" style="1"/>
  </cols>
  <sheetData>
    <row r="1" spans="2:11" ht="11" customHeight="1" x14ac:dyDescent="0.2"/>
    <row r="2" spans="2:11" x14ac:dyDescent="0.2">
      <c r="B2" s="242" t="s">
        <v>17</v>
      </c>
      <c r="C2" s="243"/>
      <c r="E2" s="242" t="s">
        <v>279</v>
      </c>
      <c r="F2" s="243"/>
      <c r="H2" s="242" t="s">
        <v>317</v>
      </c>
      <c r="I2" s="243"/>
      <c r="K2" s="133" t="s">
        <v>418</v>
      </c>
    </row>
    <row r="3" spans="2:11" x14ac:dyDescent="0.2">
      <c r="B3" s="182" t="s">
        <v>11</v>
      </c>
      <c r="C3" s="214" t="e" vm="1">
        <v>#VALUE!</v>
      </c>
      <c r="D3" s="2"/>
      <c r="E3" s="182" t="s">
        <v>231</v>
      </c>
      <c r="F3" s="184">
        <f ca="1">Statement!AC155</f>
        <v>5104177.2</v>
      </c>
      <c r="H3" s="182" t="str">
        <f>'AVG target price'!B5</f>
        <v>DCF price</v>
      </c>
      <c r="I3" s="208">
        <f>'AVG target price'!C5</f>
        <v>205.87576455664953</v>
      </c>
      <c r="K3" s="237" t="s">
        <v>419</v>
      </c>
    </row>
    <row r="4" spans="2:11" x14ac:dyDescent="0.2">
      <c r="B4" s="182" t="s">
        <v>0</v>
      </c>
      <c r="C4" s="186" t="str" cm="1">
        <f t="array" aca="1" ref="C4" ca="1">_FV(C3,"Ticker symbol",TRUE)</f>
        <v>NVDA</v>
      </c>
      <c r="E4" s="183" t="s">
        <v>180</v>
      </c>
      <c r="F4" s="185">
        <f ca="1">Statement!AC156</f>
        <v>5038074.2</v>
      </c>
      <c r="H4" s="182" t="str">
        <f>'AVG target price'!B6</f>
        <v>EV/EBIT price</v>
      </c>
      <c r="I4" s="208">
        <f>'AVG target price'!C6</f>
        <v>439.18110219686605</v>
      </c>
      <c r="K4" s="237" t="s">
        <v>420</v>
      </c>
    </row>
    <row r="5" spans="2:11" x14ac:dyDescent="0.2">
      <c r="B5" s="182" t="s">
        <v>1</v>
      </c>
      <c r="C5" s="205" cm="1">
        <f t="array" aca="1" ref="C5" ca="1">_FV(C3,"Price",TRUE)</f>
        <v>210.96</v>
      </c>
      <c r="E5" s="182" t="s">
        <v>235</v>
      </c>
      <c r="F5" s="186">
        <f>Statement!AC25</f>
        <v>7.91</v>
      </c>
      <c r="H5" s="182" t="str">
        <f>'AVG target price'!B7</f>
        <v>PS price</v>
      </c>
      <c r="I5" s="208">
        <f>'AVG target price'!C7</f>
        <v>372.92428626108091</v>
      </c>
      <c r="K5" s="237" t="s">
        <v>421</v>
      </c>
    </row>
    <row r="6" spans="2:11" x14ac:dyDescent="0.2">
      <c r="B6" s="182" t="s">
        <v>2</v>
      </c>
      <c r="C6" s="205" cm="1">
        <f t="array" aca="1" ref="C6" ca="1">_FV(C3,"Price (Extended hours)",TRUE)</f>
        <v>211.1155</v>
      </c>
      <c r="E6" s="182" t="s">
        <v>229</v>
      </c>
      <c r="F6" s="187">
        <f ca="1">Statement!AC152</f>
        <v>26.670037926675096</v>
      </c>
      <c r="H6" s="182" t="str">
        <f>'AVG target price'!B8</f>
        <v>EV/FCFF price</v>
      </c>
      <c r="I6" s="208">
        <f>'AVG target price'!C8</f>
        <v>456.30961943941008</v>
      </c>
      <c r="K6" s="238" t="s">
        <v>422</v>
      </c>
    </row>
    <row r="7" spans="2:11" x14ac:dyDescent="0.2">
      <c r="B7" s="182" t="s">
        <v>3</v>
      </c>
      <c r="C7" s="6" cm="1">
        <f t="array" aca="1" ref="C7" ca="1">_FV(C3,"Change")</f>
        <v>-1.25</v>
      </c>
      <c r="E7" s="183" t="s">
        <v>193</v>
      </c>
      <c r="F7" s="188">
        <f ca="1">Statement!AC153</f>
        <v>16.98836956916384</v>
      </c>
      <c r="H7" s="182" t="str">
        <f>'AVG target price'!B9</f>
        <v>EV/Sales price</v>
      </c>
      <c r="I7" s="208">
        <f>'AVG target price'!C9</f>
        <v>404.87387575999048</v>
      </c>
    </row>
    <row r="8" spans="2:11" x14ac:dyDescent="0.2">
      <c r="B8" s="182" t="s">
        <v>4</v>
      </c>
      <c r="C8" s="6" cm="1">
        <f t="array" aca="1" ref="C8" ca="1">_FV(C3,"Change (extended hours)",TRUE)</f>
        <v>0.1555</v>
      </c>
      <c r="E8" s="182" t="s">
        <v>257</v>
      </c>
      <c r="F8" s="189">
        <f ca="1">Statement!AC163</f>
        <v>2.3463918925071801E-2</v>
      </c>
      <c r="H8" s="181" t="str">
        <f>'AVG target price'!B10</f>
        <v>AVG price</v>
      </c>
      <c r="I8" s="209">
        <f>'AVG target price'!C10</f>
        <v>375.83292964279934</v>
      </c>
    </row>
    <row r="9" spans="2:11" x14ac:dyDescent="0.2">
      <c r="B9" s="182" t="s">
        <v>5</v>
      </c>
      <c r="C9" s="73" cm="1">
        <f t="array" aca="1" ref="C9" ca="1">_FV(C3,"Change (%)",TRUE)</f>
        <v>-5.8899999999999994E-3</v>
      </c>
      <c r="E9" s="182" t="s">
        <v>280</v>
      </c>
      <c r="F9" s="189">
        <f ca="1">Statement!AC164</f>
        <v>3.7495259764884339E-2</v>
      </c>
      <c r="H9" s="181" t="str">
        <f>'AVG target price'!B12</f>
        <v>Upside/Downside</v>
      </c>
      <c r="I9" s="210">
        <f ca="1">'AVG target price'!C12</f>
        <v>0.78153645071482425</v>
      </c>
    </row>
    <row r="10" spans="2:11" x14ac:dyDescent="0.2">
      <c r="B10" s="182" t="s">
        <v>6</v>
      </c>
      <c r="C10" s="73" cm="1">
        <f t="array" aca="1" ref="C10" ca="1">_FV(C3,"Change % (extended hours)",TRUE)</f>
        <v>7.3709999999999997E-4</v>
      </c>
      <c r="E10" s="182" t="s">
        <v>285</v>
      </c>
      <c r="F10" s="189">
        <f ca="1">Statement!AC166</f>
        <v>1.083720212534941E-2</v>
      </c>
    </row>
    <row r="11" spans="2:11" x14ac:dyDescent="0.2">
      <c r="B11" s="182" t="s">
        <v>7</v>
      </c>
      <c r="C11" s="206" cm="1">
        <f t="array" aca="1" ref="C11" ca="1">_FV(C3,"52 week high",TRUE)</f>
        <v>243.37</v>
      </c>
      <c r="E11" s="183" t="s">
        <v>281</v>
      </c>
      <c r="F11" s="190">
        <f ca="1">Statement!AC165</f>
        <v>1.3272658323852863E-3</v>
      </c>
      <c r="H11" s="181" t="s">
        <v>397</v>
      </c>
      <c r="I11" s="209">
        <f>DDM!C26</f>
        <v>1.6842105263157894</v>
      </c>
    </row>
    <row r="12" spans="2:11" x14ac:dyDescent="0.2">
      <c r="B12" s="182" t="s">
        <v>8</v>
      </c>
      <c r="C12" s="206" cm="1">
        <f t="array" aca="1" ref="C12" ca="1">_FV(C3,"52 week low",TRUE)</f>
        <v>164.27</v>
      </c>
      <c r="E12" s="182" t="s">
        <v>94</v>
      </c>
      <c r="F12" s="189">
        <f>Statement!AC121</f>
        <v>0.60223497527101955</v>
      </c>
    </row>
    <row r="13" spans="2:11" x14ac:dyDescent="0.2">
      <c r="B13" s="182" t="s">
        <v>9</v>
      </c>
      <c r="C13" s="206" cm="1">
        <f t="array" aca="1" ref="C13" ca="1">_FV(C3,"Beta")</f>
        <v>2.1957</v>
      </c>
      <c r="E13" s="182" t="s">
        <v>96</v>
      </c>
      <c r="F13" s="189">
        <f>Statement!AC123</f>
        <v>0.84232522796352571</v>
      </c>
      <c r="H13" s="241" t="s">
        <v>415</v>
      </c>
      <c r="I13" s="239">
        <f>'Reverse DCF'!C17</f>
        <v>0.5</v>
      </c>
    </row>
    <row r="14" spans="2:11" x14ac:dyDescent="0.2">
      <c r="B14" s="183" t="s">
        <v>10</v>
      </c>
      <c r="C14" s="207" cm="1">
        <f t="array" aca="1" ref="C14" ca="1">_FV(C3,"Volume average",TRUE)</f>
        <v>107148374</v>
      </c>
      <c r="E14" s="183" t="s">
        <v>97</v>
      </c>
      <c r="F14" s="190">
        <f>Statement!AC142</f>
        <v>1.0183873919662139</v>
      </c>
      <c r="H14" s="183" t="s">
        <v>424</v>
      </c>
      <c r="I14" s="240">
        <f>'Reverse DCF'!C16</f>
        <v>228.84689448777979</v>
      </c>
    </row>
    <row r="15" spans="2:11" x14ac:dyDescent="0.2">
      <c r="E15" s="182" t="s">
        <v>282</v>
      </c>
      <c r="F15" s="189">
        <f ca="1">Statement!AC178</f>
        <v>1.2950765110584326E-2</v>
      </c>
    </row>
    <row r="16" spans="2:11" x14ac:dyDescent="0.2">
      <c r="E16" s="183" t="s">
        <v>287</v>
      </c>
      <c r="F16" s="188">
        <f>Statement!AC177</f>
        <v>2.742863070539419</v>
      </c>
      <c r="H16" s="242" t="s">
        <v>416</v>
      </c>
      <c r="I16" s="243"/>
    </row>
    <row r="17" spans="2:9" x14ac:dyDescent="0.2">
      <c r="B17" s="244" t="s">
        <v>83</v>
      </c>
      <c r="C17" s="244"/>
      <c r="E17" s="181" t="s">
        <v>288</v>
      </c>
      <c r="F17" s="191">
        <f>Statement!AC173</f>
        <v>3.9553626782393055E-2</v>
      </c>
      <c r="H17" s="182" t="s">
        <v>157</v>
      </c>
      <c r="I17" s="235">
        <f>DCF!C15</f>
        <v>0.12</v>
      </c>
    </row>
    <row r="18" spans="2:9" x14ac:dyDescent="0.2">
      <c r="B18" s="181" t="s">
        <v>12</v>
      </c>
      <c r="C18" s="69" t="s">
        <v>334</v>
      </c>
      <c r="E18" s="182" t="s">
        <v>289</v>
      </c>
      <c r="F18" s="187">
        <f>Statement!AC146</f>
        <v>154.53760182273862</v>
      </c>
      <c r="H18" s="183" t="s">
        <v>417</v>
      </c>
      <c r="I18" s="236">
        <f>Multiples!C54</f>
        <v>0.12</v>
      </c>
    </row>
    <row r="19" spans="2:9" x14ac:dyDescent="0.2">
      <c r="B19" s="181" t="s">
        <v>13</v>
      </c>
      <c r="C19" s="70">
        <v>1000000</v>
      </c>
      <c r="E19" s="182" t="s">
        <v>250</v>
      </c>
      <c r="F19" s="187">
        <f>Statement!AC148</f>
        <v>-0.28867955839709325</v>
      </c>
    </row>
    <row r="20" spans="2:9" x14ac:dyDescent="0.2">
      <c r="B20" s="181" t="s">
        <v>84</v>
      </c>
      <c r="C20" s="69" t="s">
        <v>341</v>
      </c>
      <c r="E20" s="183" t="s">
        <v>290</v>
      </c>
      <c r="F20" s="188">
        <f>Statement!AC149</f>
        <v>3.7757270043469164</v>
      </c>
    </row>
    <row r="21" spans="2:9" x14ac:dyDescent="0.2">
      <c r="B21" s="181" t="s">
        <v>85</v>
      </c>
      <c r="C21" s="69" t="s">
        <v>86</v>
      </c>
      <c r="I21" s="50"/>
    </row>
    <row r="22" spans="2:9" x14ac:dyDescent="0.2">
      <c r="B22" s="181" t="s">
        <v>87</v>
      </c>
      <c r="C22" s="69" t="s">
        <v>341</v>
      </c>
    </row>
    <row r="25" spans="2:9" x14ac:dyDescent="0.2">
      <c r="B25" s="244" t="s">
        <v>99</v>
      </c>
      <c r="C25" s="244"/>
      <c r="E25" s="242" t="s">
        <v>331</v>
      </c>
      <c r="F25" s="243"/>
    </row>
    <row r="26" spans="2:9" x14ac:dyDescent="0.2">
      <c r="B26" s="181" t="s">
        <v>100</v>
      </c>
      <c r="C26" s="167">
        <v>0.21</v>
      </c>
      <c r="E26" s="182" t="e" vm="2">
        <v>#VALUE!</v>
      </c>
      <c r="F26" s="216" cm="1">
        <f t="array" aca="1" ref="F26" ca="1">_FV(E26,"Price")</f>
        <v>49.53</v>
      </c>
    </row>
    <row r="27" spans="2:9" x14ac:dyDescent="0.2">
      <c r="B27" s="181" t="s">
        <v>164</v>
      </c>
      <c r="C27" s="218">
        <v>0.05</v>
      </c>
      <c r="E27" s="183" t="s">
        <v>332</v>
      </c>
      <c r="F27" s="217">
        <f ca="1">F26/1000</f>
        <v>4.9530000000000005E-2</v>
      </c>
    </row>
    <row r="28" spans="2:9" x14ac:dyDescent="0.2">
      <c r="B28" s="181" t="s">
        <v>377</v>
      </c>
      <c r="C28" s="218">
        <v>0.12</v>
      </c>
    </row>
    <row r="29" spans="2:9" x14ac:dyDescent="0.2">
      <c r="B29" s="181" t="s">
        <v>387</v>
      </c>
      <c r="C29" s="218">
        <v>0.12</v>
      </c>
    </row>
    <row r="33" spans="2:8" x14ac:dyDescent="0.2">
      <c r="B33" s="133" t="s">
        <v>326</v>
      </c>
      <c r="C33" s="133"/>
      <c r="D33" s="133"/>
      <c r="E33" s="133"/>
      <c r="F33" s="133"/>
      <c r="G33" s="133"/>
      <c r="H33" s="133"/>
    </row>
    <row r="35" spans="2:8" x14ac:dyDescent="0.2">
      <c r="B35" s="16" t="s">
        <v>327</v>
      </c>
      <c r="C35" s="1" t="s">
        <v>369</v>
      </c>
    </row>
    <row r="36" spans="2:8" x14ac:dyDescent="0.2">
      <c r="B36" s="16" t="s">
        <v>328</v>
      </c>
      <c r="C36" s="1" t="s">
        <v>368</v>
      </c>
    </row>
    <row r="39" spans="2:8" ht="6" customHeight="1" x14ac:dyDescent="0.2">
      <c r="B39" s="133"/>
      <c r="C39" s="133"/>
      <c r="D39" s="133"/>
      <c r="E39" s="133"/>
      <c r="F39" s="133"/>
      <c r="G39" s="133"/>
      <c r="H39" s="133"/>
    </row>
    <row r="42" spans="2:8" x14ac:dyDescent="0.2">
      <c r="B42" s="133" t="s">
        <v>329</v>
      </c>
      <c r="C42" s="133"/>
      <c r="D42" s="133"/>
      <c r="E42" s="133"/>
      <c r="F42" s="133"/>
      <c r="G42" s="133"/>
      <c r="H42" s="133"/>
    </row>
    <row r="44" spans="2:8" x14ac:dyDescent="0.2">
      <c r="B44" s="41" t="s">
        <v>330</v>
      </c>
      <c r="C44" s="41" t="s">
        <v>400</v>
      </c>
      <c r="D44" s="41"/>
      <c r="E44" s="41" t="s">
        <v>398</v>
      </c>
    </row>
    <row r="45" spans="2:8" x14ac:dyDescent="0.2">
      <c r="B45" s="1" t="s">
        <v>401</v>
      </c>
      <c r="C45" s="1" t="s">
        <v>402</v>
      </c>
    </row>
    <row r="46" spans="2:8" x14ac:dyDescent="0.2">
      <c r="B46" s="1" t="s">
        <v>401</v>
      </c>
      <c r="C46" s="1" t="s">
        <v>403</v>
      </c>
    </row>
    <row r="47" spans="2:8" x14ac:dyDescent="0.2">
      <c r="B47" s="1" t="s">
        <v>401</v>
      </c>
      <c r="C47" s="1" t="s">
        <v>404</v>
      </c>
    </row>
    <row r="48" spans="2:8" x14ac:dyDescent="0.2">
      <c r="B48" s="1" t="s">
        <v>401</v>
      </c>
      <c r="C48" s="1" t="s">
        <v>405</v>
      </c>
    </row>
    <row r="51" spans="2:8" ht="5" customHeight="1" x14ac:dyDescent="0.2">
      <c r="B51" s="133"/>
      <c r="C51" s="133"/>
      <c r="D51" s="133"/>
      <c r="E51" s="133"/>
      <c r="F51" s="133"/>
      <c r="G51" s="133"/>
      <c r="H51" s="133"/>
    </row>
    <row r="54" spans="2:8" x14ac:dyDescent="0.2">
      <c r="B54" s="133" t="s">
        <v>101</v>
      </c>
      <c r="C54" s="133"/>
      <c r="D54" s="133"/>
      <c r="E54" s="133"/>
      <c r="F54" s="133"/>
      <c r="G54" s="133"/>
      <c r="H54" s="133"/>
    </row>
    <row r="56" spans="2:8" x14ac:dyDescent="0.2">
      <c r="B56" s="41" t="s">
        <v>330</v>
      </c>
      <c r="C56" s="41" t="s">
        <v>400</v>
      </c>
      <c r="D56" s="41"/>
      <c r="E56" s="41" t="s">
        <v>398</v>
      </c>
    </row>
    <row r="61" spans="2:8" ht="5" customHeight="1" x14ac:dyDescent="0.2">
      <c r="B61" s="133"/>
      <c r="C61" s="133"/>
      <c r="D61" s="133"/>
      <c r="E61" s="133"/>
      <c r="F61" s="133"/>
      <c r="G61" s="133"/>
      <c r="H61" s="133"/>
    </row>
  </sheetData>
  <mergeCells count="7">
    <mergeCell ref="B2:C2"/>
    <mergeCell ref="B17:C17"/>
    <mergeCell ref="B25:C25"/>
    <mergeCell ref="E2:F2"/>
    <mergeCell ref="H2:I2"/>
    <mergeCell ref="E25:F25"/>
    <mergeCell ref="H16:I16"/>
  </mergeCells>
  <conditionalFormatting sqref="C7:C10">
    <cfRule type="cellIs" dxfId="2" priority="4" operator="lessThan">
      <formula>0</formula>
    </cfRule>
    <cfRule type="cellIs" dxfId="1" priority="5" operator="equal">
      <formula>0</formula>
    </cfRule>
    <cfRule type="cellIs" dxfId="0" priority="6" operator="greaterThan">
      <formula>0</formula>
    </cfRule>
  </conditionalFormatting>
  <hyperlinks>
    <hyperlink ref="K3" location="'Financials -&gt;'!B13" display="'Financials -&gt;'!B13" xr:uid="{10489DD8-00F1-4B4C-88E5-8DC4CFDEF80F}"/>
    <hyperlink ref="K4" location="'Analysis -&gt;'!B13" display="'Analysis -&gt;'!B13" xr:uid="{B6EFC4C8-9B6F-6946-AC56-6D30B37EC39E}"/>
    <hyperlink ref="K5" location="'Forecast -&gt;'!B13" display="'Forecast -&gt;'!B13" xr:uid="{D64C6099-5F2B-E843-99EC-F53B32B11DC6}"/>
    <hyperlink ref="K6" location="'Valuation -&gt;'!B13" display="'Valuation -&gt;'!B13" xr:uid="{74B4AB1E-2742-2441-B9AD-D802B27B47C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35612-A5F6-ED42-8E7B-33A97D1D2D90}">
  <sheetPr>
    <tabColor theme="6" tint="0.59999389629810485"/>
  </sheetPr>
  <dimension ref="B5:H13"/>
  <sheetViews>
    <sheetView workbookViewId="0">
      <selection activeCell="H6" sqref="H6"/>
    </sheetView>
  </sheetViews>
  <sheetFormatPr baseColWidth="10" defaultRowHeight="16" x14ac:dyDescent="0.2"/>
  <cols>
    <col min="1" max="7" width="10.83203125" style="1"/>
    <col min="8" max="8" width="18.83203125" style="1" customWidth="1"/>
    <col min="9" max="16384" width="10.83203125" style="1"/>
  </cols>
  <sheetData>
    <row r="5" spans="2:8" x14ac:dyDescent="0.2">
      <c r="H5" s="133" t="s">
        <v>418</v>
      </c>
    </row>
    <row r="6" spans="2:8" x14ac:dyDescent="0.2">
      <c r="H6" s="237" t="s">
        <v>423</v>
      </c>
    </row>
    <row r="7" spans="2:8" x14ac:dyDescent="0.2">
      <c r="H7" s="237" t="s">
        <v>419</v>
      </c>
    </row>
    <row r="8" spans="2:8" x14ac:dyDescent="0.2">
      <c r="H8" s="237" t="s">
        <v>420</v>
      </c>
    </row>
    <row r="9" spans="2:8" x14ac:dyDescent="0.2">
      <c r="H9" s="237" t="s">
        <v>421</v>
      </c>
    </row>
    <row r="10" spans="2:8" x14ac:dyDescent="0.2">
      <c r="H10" s="238" t="s">
        <v>422</v>
      </c>
    </row>
    <row r="13" spans="2:8" s="4" customFormat="1" ht="49" x14ac:dyDescent="0.2">
      <c r="B13" s="3" t="s">
        <v>14</v>
      </c>
    </row>
  </sheetData>
  <hyperlinks>
    <hyperlink ref="H6" location="Overview!B3" display="Overview'!B3" xr:uid="{1A710FAA-9B12-454D-95BA-030D666701CD}"/>
    <hyperlink ref="H8" location="'Analysis -&gt;'!B13" display="'Analysis -&gt;'!B13" xr:uid="{790DB574-6F94-C941-8EC7-3F7F3C78D4D5}"/>
    <hyperlink ref="H9" location="'Forecast -&gt;'!B13" display="'Forecast -&gt;'!B13" xr:uid="{6737C960-2701-B84D-B6E8-1D3D3189B23C}"/>
    <hyperlink ref="H10" location="'Valuation -&gt;'!B13" display="'Valuation -&gt;'!B13" xr:uid="{6168D43E-330E-D84F-8381-FF98592C62D3}"/>
    <hyperlink ref="H7" location="'Financials -&gt;'!B13" display="'Financials -&gt;'!B13" xr:uid="{28FBCAAD-1B8D-9B4A-8CBF-65FB96D9E7B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B83C-60BF-4548-84AB-1D4A73B251A4}">
  <dimension ref="A1:AE214"/>
  <sheetViews>
    <sheetView zoomScale="170" zoomScaleNormal="150" workbookViewId="0">
      <pane xSplit="2" ySplit="3" topLeftCell="Y190" activePane="bottomRight" state="frozen"/>
      <selection pane="topRight" activeCell="C1" sqref="C1"/>
      <selection pane="bottomLeft" activeCell="A4" sqref="A4"/>
      <selection pane="bottomRight" activeCell="AC160" sqref="AC160"/>
    </sheetView>
  </sheetViews>
  <sheetFormatPr baseColWidth="10" defaultRowHeight="16" x14ac:dyDescent="0.2"/>
  <cols>
    <col min="1" max="1" width="3.6640625" style="1" customWidth="1"/>
    <col min="2" max="2" width="33.83203125" style="20" customWidth="1"/>
    <col min="3" max="8" width="12" style="1" customWidth="1"/>
    <col min="9" max="9" width="10.83203125" style="1" customWidth="1"/>
    <col min="10" max="10" width="12" style="1" customWidth="1"/>
    <col min="11" max="12" width="10.83203125" style="1" customWidth="1"/>
    <col min="13" max="13" width="10.6640625" style="1" customWidth="1"/>
    <col min="14" max="14" width="10.83203125" style="1" customWidth="1"/>
    <col min="15" max="16" width="12" style="1" bestFit="1" customWidth="1"/>
    <col min="17" max="17" width="11.33203125" style="1" bestFit="1" customWidth="1"/>
    <col min="18" max="18" width="2.83203125" style="1" customWidth="1"/>
    <col min="19" max="19" width="3.5" style="1" customWidth="1"/>
    <col min="20" max="25" width="10.83203125" style="1"/>
    <col min="26" max="27" width="11" style="1" customWidth="1"/>
    <col min="28" max="28" width="9" style="1" customWidth="1"/>
    <col min="29" max="16384" width="10.83203125" style="1"/>
  </cols>
  <sheetData>
    <row r="1" spans="1:31" x14ac:dyDescent="0.2">
      <c r="B1" s="1"/>
    </row>
    <row r="2" spans="1:31" s="10" customFormat="1" x14ac:dyDescent="0.2">
      <c r="A2" s="7"/>
      <c r="B2" s="8" t="s">
        <v>15</v>
      </c>
      <c r="C2" s="9"/>
      <c r="D2" s="9"/>
      <c r="E2" s="9"/>
      <c r="F2" s="9"/>
      <c r="G2" s="9"/>
      <c r="H2" s="9"/>
      <c r="I2" s="9"/>
      <c r="M2" s="10" t="s">
        <v>340</v>
      </c>
      <c r="N2" s="10" t="s">
        <v>339</v>
      </c>
      <c r="O2" s="10" t="s">
        <v>337</v>
      </c>
      <c r="P2" s="10" t="s">
        <v>336</v>
      </c>
      <c r="Q2" s="10" t="s">
        <v>335</v>
      </c>
      <c r="R2" s="7"/>
      <c r="S2" s="7"/>
      <c r="T2" s="10" t="s">
        <v>349</v>
      </c>
      <c r="U2" s="10" t="s">
        <v>336</v>
      </c>
      <c r="V2" s="10" t="s">
        <v>343</v>
      </c>
      <c r="W2" s="10" t="s">
        <v>351</v>
      </c>
      <c r="X2" s="10" t="s">
        <v>347</v>
      </c>
      <c r="Y2" s="10" t="s">
        <v>335</v>
      </c>
      <c r="Z2" s="10" t="s">
        <v>342</v>
      </c>
      <c r="AA2" s="10" t="s">
        <v>399</v>
      </c>
      <c r="AB2" s="7"/>
      <c r="AD2" s="7"/>
      <c r="AE2" s="7"/>
    </row>
    <row r="3" spans="1:31" s="13" customFormat="1" x14ac:dyDescent="0.2">
      <c r="A3" s="11"/>
      <c r="B3" s="12" t="s">
        <v>16</v>
      </c>
      <c r="M3" s="13">
        <v>2022</v>
      </c>
      <c r="N3" s="13">
        <v>2023</v>
      </c>
      <c r="O3" s="13">
        <v>2024</v>
      </c>
      <c r="P3" s="13">
        <v>2025</v>
      </c>
      <c r="Q3" s="13">
        <v>2026</v>
      </c>
      <c r="R3" s="11"/>
      <c r="S3" s="11"/>
      <c r="T3" s="10" t="s">
        <v>350</v>
      </c>
      <c r="U3" s="10" t="s">
        <v>346</v>
      </c>
      <c r="V3" s="10" t="s">
        <v>344</v>
      </c>
      <c r="W3" s="10" t="s">
        <v>352</v>
      </c>
      <c r="X3" s="10" t="s">
        <v>348</v>
      </c>
      <c r="Y3" s="10" t="s">
        <v>345</v>
      </c>
      <c r="Z3" s="10" t="s">
        <v>318</v>
      </c>
      <c r="AA3" s="10" t="s">
        <v>398</v>
      </c>
      <c r="AB3" s="11"/>
      <c r="AC3" s="59" t="s">
        <v>82</v>
      </c>
      <c r="AD3" s="11"/>
      <c r="AE3" s="11"/>
    </row>
    <row r="4" spans="1:31" s="15" customFormat="1" ht="17" thickBot="1" x14ac:dyDescent="0.25">
      <c r="A4" s="11"/>
      <c r="B4" s="14" t="s">
        <v>18</v>
      </c>
      <c r="R4" s="11"/>
      <c r="S4" s="11"/>
      <c r="AB4" s="11"/>
      <c r="AD4" s="11"/>
      <c r="AE4" s="11"/>
    </row>
    <row r="5" spans="1:31" s="19" customFormat="1" x14ac:dyDescent="0.2">
      <c r="A5" s="16"/>
      <c r="B5" s="17" t="s">
        <v>19</v>
      </c>
      <c r="C5" s="18"/>
      <c r="D5" s="18"/>
      <c r="E5" s="18"/>
      <c r="F5" s="18"/>
      <c r="G5" s="18"/>
      <c r="H5" s="18"/>
      <c r="I5" s="18"/>
      <c r="J5" s="18"/>
      <c r="K5" s="18"/>
      <c r="L5" s="18"/>
      <c r="M5" s="18">
        <v>26914</v>
      </c>
      <c r="N5" s="18">
        <v>26974</v>
      </c>
      <c r="O5" s="18">
        <v>60922</v>
      </c>
      <c r="P5" s="18">
        <v>130497</v>
      </c>
      <c r="Q5" s="18">
        <v>215938</v>
      </c>
      <c r="R5" s="16"/>
      <c r="S5" s="16"/>
      <c r="T5" s="18">
        <v>35082</v>
      </c>
      <c r="U5" s="18">
        <v>39331</v>
      </c>
      <c r="V5" s="18">
        <v>44062</v>
      </c>
      <c r="W5" s="18">
        <v>46743</v>
      </c>
      <c r="X5" s="18">
        <v>57006</v>
      </c>
      <c r="Y5" s="18">
        <v>68127</v>
      </c>
      <c r="Z5" s="18">
        <v>81615</v>
      </c>
      <c r="AA5" s="18">
        <v>96221</v>
      </c>
      <c r="AB5" s="16"/>
      <c r="AC5" s="18">
        <f>SUM(X5:AA5)</f>
        <v>302969</v>
      </c>
      <c r="AD5" s="16"/>
      <c r="AE5" s="16"/>
    </row>
    <row r="6" spans="1:31" x14ac:dyDescent="0.2">
      <c r="B6" s="20" t="s">
        <v>20</v>
      </c>
      <c r="C6" s="21"/>
      <c r="D6" s="21"/>
      <c r="E6" s="21"/>
      <c r="F6" s="21"/>
      <c r="G6" s="21"/>
      <c r="H6" s="21"/>
      <c r="I6" s="21"/>
      <c r="J6" s="21"/>
      <c r="K6" s="21"/>
      <c r="L6" s="21"/>
      <c r="M6" s="21">
        <v>9439</v>
      </c>
      <c r="N6" s="21">
        <v>11618</v>
      </c>
      <c r="O6" s="21">
        <v>16621</v>
      </c>
      <c r="P6" s="21">
        <v>32639</v>
      </c>
      <c r="Q6" s="21">
        <v>62475</v>
      </c>
      <c r="T6" s="21">
        <v>8926</v>
      </c>
      <c r="U6" s="21">
        <v>10608</v>
      </c>
      <c r="V6" s="21">
        <v>17394</v>
      </c>
      <c r="W6" s="21">
        <v>12890</v>
      </c>
      <c r="X6" s="21">
        <v>15157</v>
      </c>
      <c r="Y6" s="21">
        <v>17034</v>
      </c>
      <c r="Z6" s="21">
        <v>20458</v>
      </c>
      <c r="AA6" s="21">
        <v>24079</v>
      </c>
      <c r="AC6" s="21">
        <f t="shared" ref="AC6:AC17" si="0">SUM(X6:AA6)</f>
        <v>76728</v>
      </c>
    </row>
    <row r="7" spans="1:31" s="19" customFormat="1" x14ac:dyDescent="0.2">
      <c r="A7" s="16"/>
      <c r="B7" s="17" t="s">
        <v>21</v>
      </c>
      <c r="C7" s="22">
        <f t="shared" ref="C7:Q7" si="1">C5-C6</f>
        <v>0</v>
      </c>
      <c r="D7" s="22">
        <f t="shared" si="1"/>
        <v>0</v>
      </c>
      <c r="E7" s="22">
        <f t="shared" si="1"/>
        <v>0</v>
      </c>
      <c r="F7" s="22">
        <f t="shared" si="1"/>
        <v>0</v>
      </c>
      <c r="G7" s="22">
        <f t="shared" si="1"/>
        <v>0</v>
      </c>
      <c r="H7" s="22">
        <f t="shared" si="1"/>
        <v>0</v>
      </c>
      <c r="I7" s="22">
        <f t="shared" si="1"/>
        <v>0</v>
      </c>
      <c r="J7" s="22">
        <f t="shared" si="1"/>
        <v>0</v>
      </c>
      <c r="K7" s="22">
        <f t="shared" si="1"/>
        <v>0</v>
      </c>
      <c r="L7" s="22">
        <f t="shared" si="1"/>
        <v>0</v>
      </c>
      <c r="M7" s="22">
        <f t="shared" si="1"/>
        <v>17475</v>
      </c>
      <c r="N7" s="22">
        <f t="shared" si="1"/>
        <v>15356</v>
      </c>
      <c r="O7" s="22">
        <f t="shared" si="1"/>
        <v>44301</v>
      </c>
      <c r="P7" s="22">
        <f t="shared" si="1"/>
        <v>97858</v>
      </c>
      <c r="Q7" s="22">
        <f t="shared" si="1"/>
        <v>153463</v>
      </c>
      <c r="R7" s="16"/>
      <c r="S7" s="16"/>
      <c r="T7" s="22">
        <f t="shared" ref="T7:Y7" si="2">T5-T6</f>
        <v>26156</v>
      </c>
      <c r="U7" s="22">
        <f t="shared" si="2"/>
        <v>28723</v>
      </c>
      <c r="V7" s="22">
        <f t="shared" si="2"/>
        <v>26668</v>
      </c>
      <c r="W7" s="22">
        <f t="shared" si="2"/>
        <v>33853</v>
      </c>
      <c r="X7" s="22">
        <f t="shared" si="2"/>
        <v>41849</v>
      </c>
      <c r="Y7" s="22">
        <f t="shared" si="2"/>
        <v>51093</v>
      </c>
      <c r="Z7" s="22">
        <f t="shared" ref="Z7:AA7" si="3">Z5-Z6</f>
        <v>61157</v>
      </c>
      <c r="AA7" s="22">
        <f t="shared" si="3"/>
        <v>72142</v>
      </c>
      <c r="AB7" s="16"/>
      <c r="AC7" s="22">
        <f t="shared" si="0"/>
        <v>226241</v>
      </c>
      <c r="AD7" s="16"/>
      <c r="AE7" s="16"/>
    </row>
    <row r="8" spans="1:31" x14ac:dyDescent="0.2">
      <c r="B8" s="20" t="s">
        <v>22</v>
      </c>
      <c r="C8" s="21"/>
      <c r="D8" s="21"/>
      <c r="E8" s="21"/>
      <c r="F8" s="21"/>
      <c r="G8" s="21"/>
      <c r="H8" s="21"/>
      <c r="I8" s="21"/>
      <c r="J8" s="21"/>
      <c r="K8" s="21"/>
      <c r="L8" s="21"/>
      <c r="M8" s="21">
        <v>5268</v>
      </c>
      <c r="N8" s="21">
        <v>7339</v>
      </c>
      <c r="O8" s="21">
        <v>8675</v>
      </c>
      <c r="P8" s="21">
        <v>12914</v>
      </c>
      <c r="Q8" s="21">
        <v>18497</v>
      </c>
      <c r="T8" s="21">
        <v>3390</v>
      </c>
      <c r="U8" s="21">
        <v>3714</v>
      </c>
      <c r="V8" s="21">
        <v>3989</v>
      </c>
      <c r="W8" s="21">
        <v>4291</v>
      </c>
      <c r="X8" s="21">
        <v>4705</v>
      </c>
      <c r="Y8" s="21">
        <v>5512</v>
      </c>
      <c r="Z8" s="21">
        <v>6321</v>
      </c>
      <c r="AA8" s="21">
        <v>7054</v>
      </c>
      <c r="AC8" s="21">
        <f t="shared" si="0"/>
        <v>23592</v>
      </c>
    </row>
    <row r="9" spans="1:31" x14ac:dyDescent="0.2">
      <c r="B9" s="20" t="s">
        <v>338</v>
      </c>
      <c r="C9" s="21"/>
      <c r="D9" s="21"/>
      <c r="E9" s="21"/>
      <c r="F9" s="21"/>
      <c r="G9" s="21"/>
      <c r="H9" s="21"/>
      <c r="I9" s="21"/>
      <c r="J9" s="21"/>
      <c r="K9" s="21"/>
      <c r="L9" s="21"/>
      <c r="M9" s="21">
        <v>2166</v>
      </c>
      <c r="N9" s="21">
        <v>2440</v>
      </c>
      <c r="O9" s="21">
        <v>2654</v>
      </c>
      <c r="P9" s="21">
        <v>3491</v>
      </c>
      <c r="Q9" s="21">
        <v>4579</v>
      </c>
      <c r="T9" s="21">
        <v>897</v>
      </c>
      <c r="U9" s="21">
        <v>975</v>
      </c>
      <c r="V9" s="21">
        <v>1041</v>
      </c>
      <c r="W9" s="21">
        <v>1122</v>
      </c>
      <c r="X9" s="21">
        <v>1134</v>
      </c>
      <c r="Y9" s="21">
        <v>1282</v>
      </c>
      <c r="Z9" s="21">
        <v>1300</v>
      </c>
      <c r="AA9" s="21">
        <v>1354</v>
      </c>
      <c r="AC9" s="21">
        <f t="shared" si="0"/>
        <v>5070</v>
      </c>
    </row>
    <row r="10" spans="1:31" x14ac:dyDescent="0.2">
      <c r="B10" s="23" t="s">
        <v>23</v>
      </c>
      <c r="C10" s="24">
        <f t="shared" ref="C10:M10" si="4">SUM(C8:C9)</f>
        <v>0</v>
      </c>
      <c r="D10" s="24">
        <f t="shared" si="4"/>
        <v>0</v>
      </c>
      <c r="E10" s="24">
        <f t="shared" si="4"/>
        <v>0</v>
      </c>
      <c r="F10" s="24">
        <f t="shared" si="4"/>
        <v>0</v>
      </c>
      <c r="G10" s="24">
        <f t="shared" si="4"/>
        <v>0</v>
      </c>
      <c r="H10" s="24">
        <f t="shared" si="4"/>
        <v>0</v>
      </c>
      <c r="I10" s="24">
        <f t="shared" si="4"/>
        <v>0</v>
      </c>
      <c r="J10" s="24">
        <f t="shared" si="4"/>
        <v>0</v>
      </c>
      <c r="K10" s="24">
        <f t="shared" si="4"/>
        <v>0</v>
      </c>
      <c r="L10" s="24">
        <f t="shared" si="4"/>
        <v>0</v>
      </c>
      <c r="M10" s="24">
        <f t="shared" si="4"/>
        <v>7434</v>
      </c>
      <c r="N10" s="24">
        <f>SUM(N8:N9)+1353</f>
        <v>11132</v>
      </c>
      <c r="O10" s="24">
        <f>SUM(O8:O9)</f>
        <v>11329</v>
      </c>
      <c r="P10" s="24">
        <f>SUM(P8:P9)</f>
        <v>16405</v>
      </c>
      <c r="Q10" s="24">
        <f>SUM(Q8:Q9)</f>
        <v>23076</v>
      </c>
      <c r="T10" s="24">
        <f t="shared" ref="T10:Z10" si="5">SUM(T8:T9)</f>
        <v>4287</v>
      </c>
      <c r="U10" s="24">
        <f t="shared" si="5"/>
        <v>4689</v>
      </c>
      <c r="V10" s="24">
        <f t="shared" si="5"/>
        <v>5030</v>
      </c>
      <c r="W10" s="24">
        <f t="shared" si="5"/>
        <v>5413</v>
      </c>
      <c r="X10" s="24">
        <f t="shared" si="5"/>
        <v>5839</v>
      </c>
      <c r="Y10" s="24">
        <f t="shared" si="5"/>
        <v>6794</v>
      </c>
      <c r="Z10" s="24">
        <f t="shared" si="5"/>
        <v>7621</v>
      </c>
      <c r="AA10" s="24">
        <f t="shared" ref="AA10" si="6">SUM(AA8:AA9)</f>
        <v>8408</v>
      </c>
      <c r="AC10" s="24">
        <f t="shared" si="0"/>
        <v>28662</v>
      </c>
    </row>
    <row r="11" spans="1:31" s="19" customFormat="1" x14ac:dyDescent="0.2">
      <c r="A11" s="16"/>
      <c r="B11" s="17" t="s">
        <v>24</v>
      </c>
      <c r="C11" s="18"/>
      <c r="D11" s="18"/>
      <c r="E11" s="18"/>
      <c r="F11" s="18"/>
      <c r="G11" s="18"/>
      <c r="H11" s="18"/>
      <c r="I11" s="18"/>
      <c r="J11" s="18"/>
      <c r="K11" s="18"/>
      <c r="L11" s="18"/>
      <c r="M11" s="61">
        <v>10041</v>
      </c>
      <c r="N11" s="61">
        <v>4224</v>
      </c>
      <c r="O11" s="61">
        <v>32972</v>
      </c>
      <c r="P11" s="61">
        <v>81453</v>
      </c>
      <c r="Q11" s="18">
        <v>130387</v>
      </c>
      <c r="R11" s="16"/>
      <c r="S11" s="16"/>
      <c r="T11" s="61">
        <v>21869</v>
      </c>
      <c r="U11" s="18">
        <v>24034</v>
      </c>
      <c r="V11" s="61">
        <v>21638</v>
      </c>
      <c r="W11" s="61">
        <v>28440</v>
      </c>
      <c r="X11" s="18">
        <v>36010</v>
      </c>
      <c r="Y11" s="18">
        <v>44299</v>
      </c>
      <c r="Z11" s="18">
        <v>53536</v>
      </c>
      <c r="AA11" s="18">
        <v>63734</v>
      </c>
      <c r="AB11" s="1"/>
      <c r="AC11" s="18">
        <f t="shared" si="0"/>
        <v>197579</v>
      </c>
      <c r="AD11" s="1"/>
      <c r="AE11" s="1"/>
    </row>
    <row r="12" spans="1:31" x14ac:dyDescent="0.2">
      <c r="B12" s="23" t="s">
        <v>25</v>
      </c>
      <c r="C12" s="21"/>
      <c r="D12" s="21"/>
      <c r="E12" s="21"/>
      <c r="F12" s="21"/>
      <c r="G12" s="21"/>
      <c r="H12" s="21"/>
      <c r="I12" s="21"/>
      <c r="J12" s="21"/>
      <c r="K12" s="21"/>
      <c r="L12" s="21"/>
      <c r="M12" s="62">
        <f>29-236</f>
        <v>-207</v>
      </c>
      <c r="N12" s="21">
        <v>5</v>
      </c>
      <c r="O12" s="62">
        <f>866-257</f>
        <v>609</v>
      </c>
      <c r="P12" s="62">
        <f>1786-247</f>
        <v>1539</v>
      </c>
      <c r="Q12" s="62">
        <f>2300-259</f>
        <v>2041</v>
      </c>
      <c r="T12" s="62">
        <f>472-61</f>
        <v>411</v>
      </c>
      <c r="U12" s="62">
        <f>511-61</f>
        <v>450</v>
      </c>
      <c r="V12" s="62">
        <f>515-63</f>
        <v>452</v>
      </c>
      <c r="W12" s="62">
        <f>592-62</f>
        <v>530</v>
      </c>
      <c r="X12" s="62">
        <f>624-61</f>
        <v>563</v>
      </c>
      <c r="Y12" s="62">
        <f>568-74</f>
        <v>494</v>
      </c>
      <c r="Z12" s="62">
        <f>540-102</f>
        <v>438</v>
      </c>
      <c r="AA12" s="62">
        <v>0</v>
      </c>
      <c r="AC12" s="62">
        <f t="shared" si="0"/>
        <v>1495</v>
      </c>
    </row>
    <row r="13" spans="1:31" x14ac:dyDescent="0.2">
      <c r="B13" s="23" t="s">
        <v>26</v>
      </c>
      <c r="C13" s="21"/>
      <c r="D13" s="21"/>
      <c r="E13" s="21"/>
      <c r="F13" s="21"/>
      <c r="G13" s="21"/>
      <c r="H13" s="21"/>
      <c r="I13" s="21"/>
      <c r="J13" s="21"/>
      <c r="K13" s="21"/>
      <c r="L13" s="21"/>
      <c r="M13" s="62">
        <v>107</v>
      </c>
      <c r="N13" s="62">
        <v>-48</v>
      </c>
      <c r="O13" s="62">
        <v>237</v>
      </c>
      <c r="P13" s="62">
        <v>1034</v>
      </c>
      <c r="Q13" s="62">
        <v>9022</v>
      </c>
      <c r="T13" s="62">
        <v>36</v>
      </c>
      <c r="U13" s="62">
        <v>733</v>
      </c>
      <c r="V13" s="62">
        <v>-180</v>
      </c>
      <c r="W13" s="62">
        <v>2236</v>
      </c>
      <c r="X13" s="62">
        <v>1363</v>
      </c>
      <c r="Y13" s="62">
        <v>5604</v>
      </c>
      <c r="Z13" s="62">
        <v>15939</v>
      </c>
      <c r="AA13" s="62">
        <v>7773</v>
      </c>
      <c r="AC13" s="62">
        <f t="shared" si="0"/>
        <v>30679</v>
      </c>
    </row>
    <row r="14" spans="1:31" s="19" customFormat="1" x14ac:dyDescent="0.2">
      <c r="A14" s="16"/>
      <c r="B14" s="17" t="s">
        <v>27</v>
      </c>
      <c r="C14" s="18"/>
      <c r="D14" s="18"/>
      <c r="E14" s="18"/>
      <c r="F14" s="18"/>
      <c r="G14" s="18"/>
      <c r="H14" s="18"/>
      <c r="I14" s="18"/>
      <c r="J14" s="18"/>
      <c r="K14" s="18"/>
      <c r="L14" s="18"/>
      <c r="M14" s="61">
        <v>9941</v>
      </c>
      <c r="N14" s="61">
        <v>4181</v>
      </c>
      <c r="O14" s="61">
        <v>33818</v>
      </c>
      <c r="P14" s="61">
        <v>84026</v>
      </c>
      <c r="Q14" s="18">
        <v>141450</v>
      </c>
      <c r="R14" s="1"/>
      <c r="S14" s="1"/>
      <c r="T14" s="61">
        <v>22316</v>
      </c>
      <c r="U14" s="18">
        <v>25217</v>
      </c>
      <c r="V14" s="61">
        <v>21910</v>
      </c>
      <c r="W14" s="18">
        <v>31206</v>
      </c>
      <c r="X14" s="18">
        <v>37936</v>
      </c>
      <c r="Y14" s="18">
        <v>50397</v>
      </c>
      <c r="Z14" s="18">
        <v>69903</v>
      </c>
      <c r="AA14" s="18">
        <v>71507</v>
      </c>
      <c r="AB14" s="1"/>
      <c r="AC14" s="18">
        <f t="shared" si="0"/>
        <v>229743</v>
      </c>
      <c r="AD14" s="1"/>
      <c r="AE14" s="1"/>
    </row>
    <row r="15" spans="1:31" x14ac:dyDescent="0.2">
      <c r="B15" s="23" t="s">
        <v>28</v>
      </c>
      <c r="C15" s="21"/>
      <c r="D15" s="21"/>
      <c r="E15" s="21"/>
      <c r="F15" s="21"/>
      <c r="G15" s="21"/>
      <c r="H15" s="21"/>
      <c r="I15" s="21"/>
      <c r="J15" s="21"/>
      <c r="K15" s="21"/>
      <c r="L15" s="21"/>
      <c r="M15" s="62">
        <v>-189</v>
      </c>
      <c r="N15" s="62">
        <v>187</v>
      </c>
      <c r="O15" s="62">
        <v>-4058</v>
      </c>
      <c r="P15" s="62">
        <v>-11146</v>
      </c>
      <c r="Q15" s="62">
        <v>-21383</v>
      </c>
      <c r="T15" s="62">
        <v>-3007</v>
      </c>
      <c r="U15" s="62">
        <v>-3126</v>
      </c>
      <c r="V15" s="62">
        <v>-3135</v>
      </c>
      <c r="W15" s="62">
        <v>-4784</v>
      </c>
      <c r="X15" s="62">
        <v>-6026</v>
      </c>
      <c r="Y15" s="62">
        <v>-7437</v>
      </c>
      <c r="Z15" s="62">
        <v>-11582</v>
      </c>
      <c r="AA15" s="62">
        <v>-11819</v>
      </c>
      <c r="AC15" s="62">
        <f t="shared" si="0"/>
        <v>-36864</v>
      </c>
    </row>
    <row r="16" spans="1:31" x14ac:dyDescent="0.2">
      <c r="B16" s="23" t="s">
        <v>319</v>
      </c>
      <c r="C16" s="21"/>
      <c r="D16" s="21"/>
      <c r="E16" s="21"/>
      <c r="F16" s="21"/>
      <c r="G16" s="21"/>
      <c r="H16" s="21"/>
      <c r="I16" s="21"/>
      <c r="J16" s="21"/>
      <c r="K16" s="21"/>
      <c r="L16" s="21"/>
      <c r="M16" s="62">
        <v>0</v>
      </c>
      <c r="N16" s="62">
        <v>0</v>
      </c>
      <c r="O16" s="62">
        <v>0</v>
      </c>
      <c r="P16" s="62">
        <v>0</v>
      </c>
      <c r="Q16" s="62">
        <v>0</v>
      </c>
      <c r="T16" s="62">
        <v>0</v>
      </c>
      <c r="U16" s="62">
        <v>0</v>
      </c>
      <c r="V16" s="62">
        <v>0</v>
      </c>
      <c r="W16" s="62">
        <v>0</v>
      </c>
      <c r="X16" s="62">
        <v>0</v>
      </c>
      <c r="Y16" s="62">
        <v>0</v>
      </c>
      <c r="Z16" s="62">
        <v>0</v>
      </c>
      <c r="AA16" s="62">
        <v>0</v>
      </c>
      <c r="AC16" s="62">
        <f t="shared" si="0"/>
        <v>0</v>
      </c>
    </row>
    <row r="17" spans="1:31" s="19" customFormat="1" x14ac:dyDescent="0.2">
      <c r="A17" s="16"/>
      <c r="B17" s="17" t="s">
        <v>29</v>
      </c>
      <c r="C17" s="18"/>
      <c r="D17" s="18"/>
      <c r="E17" s="18"/>
      <c r="F17" s="18"/>
      <c r="G17" s="18"/>
      <c r="H17" s="18"/>
      <c r="I17" s="18"/>
      <c r="J17" s="18"/>
      <c r="K17" s="18"/>
      <c r="L17" s="18"/>
      <c r="M17" s="61">
        <v>9752</v>
      </c>
      <c r="N17" s="61">
        <v>4368</v>
      </c>
      <c r="O17" s="61">
        <v>29760</v>
      </c>
      <c r="P17" s="61">
        <v>72880</v>
      </c>
      <c r="Q17" s="61">
        <v>120067</v>
      </c>
      <c r="R17" s="60"/>
      <c r="S17" s="60"/>
      <c r="T17" s="61">
        <v>19309</v>
      </c>
      <c r="U17" s="61">
        <v>22091</v>
      </c>
      <c r="V17" s="61">
        <v>18775</v>
      </c>
      <c r="W17" s="61">
        <v>26422</v>
      </c>
      <c r="X17" s="61">
        <v>31910</v>
      </c>
      <c r="Y17" s="61">
        <v>42960</v>
      </c>
      <c r="Z17" s="61">
        <v>58321</v>
      </c>
      <c r="AA17" s="61">
        <v>59688</v>
      </c>
      <c r="AB17" s="1"/>
      <c r="AC17" s="61">
        <f t="shared" si="0"/>
        <v>192879</v>
      </c>
      <c r="AD17" s="1"/>
      <c r="AE17" s="1"/>
    </row>
    <row r="18" spans="1:31" x14ac:dyDescent="0.2">
      <c r="B18" s="23" t="s">
        <v>30</v>
      </c>
      <c r="C18" s="21"/>
      <c r="D18" s="21"/>
      <c r="E18" s="21"/>
      <c r="F18" s="21"/>
      <c r="G18" s="21"/>
      <c r="H18" s="21"/>
      <c r="I18" s="21"/>
      <c r="J18" s="21"/>
      <c r="K18" s="21"/>
      <c r="L18" s="21"/>
      <c r="M18" s="21">
        <v>2496</v>
      </c>
      <c r="N18" s="21">
        <v>2487</v>
      </c>
      <c r="O18" s="62">
        <v>2469</v>
      </c>
      <c r="P18" s="62">
        <v>24555</v>
      </c>
      <c r="Q18" s="62">
        <v>24359</v>
      </c>
      <c r="R18" s="60"/>
      <c r="S18" s="60"/>
      <c r="T18" s="62">
        <v>24533</v>
      </c>
      <c r="U18" s="62">
        <v>24489</v>
      </c>
      <c r="V18" s="62">
        <v>24441</v>
      </c>
      <c r="W18" s="62">
        <v>24366</v>
      </c>
      <c r="X18" s="62">
        <v>24327</v>
      </c>
      <c r="Y18" s="62">
        <v>24304</v>
      </c>
      <c r="Z18" s="62">
        <v>24286</v>
      </c>
      <c r="AA18" s="62">
        <v>24190</v>
      </c>
      <c r="AC18" s="62">
        <f>AVERAGE(X18:AA18)</f>
        <v>24276.75</v>
      </c>
    </row>
    <row r="19" spans="1:31" x14ac:dyDescent="0.2">
      <c r="B19" s="23" t="s">
        <v>31</v>
      </c>
      <c r="C19" s="25">
        <f t="shared" ref="C19:Q19" si="7">C18*C$84</f>
        <v>0</v>
      </c>
      <c r="D19" s="25">
        <f t="shared" si="7"/>
        <v>0</v>
      </c>
      <c r="E19" s="25">
        <f t="shared" si="7"/>
        <v>0</v>
      </c>
      <c r="F19" s="25">
        <f t="shared" si="7"/>
        <v>0</v>
      </c>
      <c r="G19" s="25">
        <f t="shared" si="7"/>
        <v>0</v>
      </c>
      <c r="H19" s="25">
        <f t="shared" si="7"/>
        <v>0</v>
      </c>
      <c r="I19" s="25">
        <f t="shared" si="7"/>
        <v>0</v>
      </c>
      <c r="J19" s="25">
        <f t="shared" si="7"/>
        <v>0</v>
      </c>
      <c r="K19" s="25">
        <f t="shared" si="7"/>
        <v>0</v>
      </c>
      <c r="L19" s="25">
        <f t="shared" si="7"/>
        <v>0</v>
      </c>
      <c r="M19" s="25">
        <f t="shared" si="7"/>
        <v>24960</v>
      </c>
      <c r="N19" s="25">
        <f t="shared" si="7"/>
        <v>24870</v>
      </c>
      <c r="O19" s="25">
        <f t="shared" si="7"/>
        <v>24690</v>
      </c>
      <c r="P19" s="25">
        <f t="shared" si="7"/>
        <v>24555</v>
      </c>
      <c r="Q19" s="25">
        <f t="shared" si="7"/>
        <v>24359</v>
      </c>
      <c r="T19" s="25">
        <f t="shared" ref="T19:Z19" si="8">T18*T$84</f>
        <v>24533</v>
      </c>
      <c r="U19" s="25">
        <f t="shared" si="8"/>
        <v>24489</v>
      </c>
      <c r="V19" s="25">
        <f t="shared" si="8"/>
        <v>24441</v>
      </c>
      <c r="W19" s="25">
        <f t="shared" si="8"/>
        <v>24366</v>
      </c>
      <c r="X19" s="25">
        <f t="shared" si="8"/>
        <v>24327</v>
      </c>
      <c r="Y19" s="25">
        <f t="shared" si="8"/>
        <v>24304</v>
      </c>
      <c r="Z19" s="25">
        <f t="shared" si="8"/>
        <v>24286</v>
      </c>
      <c r="AA19" s="25">
        <f t="shared" ref="AA19" si="9">AA18*AA$84</f>
        <v>24190</v>
      </c>
      <c r="AC19" s="25">
        <f>AC18*AC$84</f>
        <v>24276.75</v>
      </c>
    </row>
    <row r="20" spans="1:31" x14ac:dyDescent="0.2">
      <c r="B20" s="23" t="s">
        <v>32</v>
      </c>
      <c r="C20" s="21"/>
      <c r="D20" s="21"/>
      <c r="E20" s="21"/>
      <c r="F20" s="21"/>
      <c r="G20" s="21"/>
      <c r="H20" s="21"/>
      <c r="I20" s="21"/>
      <c r="J20" s="21"/>
      <c r="K20" s="21"/>
      <c r="L20" s="21"/>
      <c r="M20" s="21">
        <v>2535</v>
      </c>
      <c r="N20" s="21">
        <v>2507</v>
      </c>
      <c r="O20" s="62">
        <v>2494</v>
      </c>
      <c r="P20" s="62">
        <v>24804</v>
      </c>
      <c r="Q20" s="62">
        <v>24514</v>
      </c>
      <c r="T20" s="62">
        <v>24774</v>
      </c>
      <c r="U20" s="62">
        <v>24706</v>
      </c>
      <c r="V20" s="62">
        <v>24611</v>
      </c>
      <c r="W20" s="62">
        <v>24532</v>
      </c>
      <c r="X20" s="62">
        <v>24483</v>
      </c>
      <c r="Y20" s="62">
        <v>24432</v>
      </c>
      <c r="Z20" s="62">
        <v>24391</v>
      </c>
      <c r="AA20" s="62">
        <v>24285</v>
      </c>
      <c r="AC20" s="62">
        <f>AVERAGE(X20:AA20)</f>
        <v>24397.75</v>
      </c>
    </row>
    <row r="21" spans="1:31" x14ac:dyDescent="0.2">
      <c r="B21" s="23" t="s">
        <v>33</v>
      </c>
      <c r="C21" s="25">
        <f t="shared" ref="C21:Q21" si="10">C20*C$84</f>
        <v>0</v>
      </c>
      <c r="D21" s="25">
        <f t="shared" si="10"/>
        <v>0</v>
      </c>
      <c r="E21" s="25">
        <f t="shared" si="10"/>
        <v>0</v>
      </c>
      <c r="F21" s="25">
        <f t="shared" si="10"/>
        <v>0</v>
      </c>
      <c r="G21" s="25">
        <f t="shared" si="10"/>
        <v>0</v>
      </c>
      <c r="H21" s="25">
        <f t="shared" si="10"/>
        <v>0</v>
      </c>
      <c r="I21" s="25">
        <f t="shared" si="10"/>
        <v>0</v>
      </c>
      <c r="J21" s="25">
        <f t="shared" si="10"/>
        <v>0</v>
      </c>
      <c r="K21" s="25">
        <f t="shared" si="10"/>
        <v>0</v>
      </c>
      <c r="L21" s="25">
        <f t="shared" si="10"/>
        <v>0</v>
      </c>
      <c r="M21" s="25">
        <f t="shared" si="10"/>
        <v>25350</v>
      </c>
      <c r="N21" s="25">
        <f t="shared" si="10"/>
        <v>25070</v>
      </c>
      <c r="O21" s="25">
        <f t="shared" si="10"/>
        <v>24940</v>
      </c>
      <c r="P21" s="25">
        <f t="shared" si="10"/>
        <v>24804</v>
      </c>
      <c r="Q21" s="25">
        <f t="shared" si="10"/>
        <v>24514</v>
      </c>
      <c r="T21" s="25">
        <f t="shared" ref="T21:Z21" si="11">T20*T$84</f>
        <v>24774</v>
      </c>
      <c r="U21" s="25">
        <f t="shared" si="11"/>
        <v>24706</v>
      </c>
      <c r="V21" s="25">
        <f t="shared" si="11"/>
        <v>24611</v>
      </c>
      <c r="W21" s="25">
        <f t="shared" si="11"/>
        <v>24532</v>
      </c>
      <c r="X21" s="25">
        <f t="shared" si="11"/>
        <v>24483</v>
      </c>
      <c r="Y21" s="25">
        <f t="shared" si="11"/>
        <v>24432</v>
      </c>
      <c r="Z21" s="25">
        <f t="shared" si="11"/>
        <v>24391</v>
      </c>
      <c r="AA21" s="25">
        <f t="shared" ref="AA21" si="12">AA20*AA$84</f>
        <v>24285</v>
      </c>
      <c r="AC21" s="25">
        <f>AC20*AC$84</f>
        <v>24397.75</v>
      </c>
    </row>
    <row r="22" spans="1:31" x14ac:dyDescent="0.2">
      <c r="B22" s="23" t="s">
        <v>34</v>
      </c>
      <c r="C22" s="26"/>
      <c r="D22" s="26"/>
      <c r="E22" s="26"/>
      <c r="F22" s="26"/>
      <c r="G22" s="26"/>
      <c r="H22" s="26"/>
      <c r="I22" s="26"/>
      <c r="J22" s="26"/>
      <c r="K22" s="26"/>
      <c r="L22" s="26"/>
      <c r="M22" s="63">
        <v>3.91</v>
      </c>
      <c r="N22" s="63">
        <v>1.76</v>
      </c>
      <c r="O22" s="63">
        <v>12.05</v>
      </c>
      <c r="P22" s="63">
        <v>2.97</v>
      </c>
      <c r="Q22" s="26">
        <v>4.93</v>
      </c>
      <c r="T22" s="63">
        <v>0.79</v>
      </c>
      <c r="U22" s="26">
        <v>0.9</v>
      </c>
      <c r="V22" s="63">
        <v>0.77</v>
      </c>
      <c r="W22" s="26">
        <v>1.08</v>
      </c>
      <c r="X22" s="26">
        <v>1.31</v>
      </c>
      <c r="Y22" s="26">
        <v>1.77</v>
      </c>
      <c r="Z22" s="26">
        <v>2.4</v>
      </c>
      <c r="AA22" s="26">
        <v>2.4700000000000002</v>
      </c>
      <c r="AC22" s="26">
        <f>SUM(X22:AA22)</f>
        <v>7.9500000000000011</v>
      </c>
    </row>
    <row r="23" spans="1:31" x14ac:dyDescent="0.2">
      <c r="B23" s="23" t="s">
        <v>35</v>
      </c>
      <c r="C23" s="27"/>
      <c r="D23" s="27"/>
      <c r="E23" s="27"/>
      <c r="F23" s="27"/>
      <c r="G23" s="27"/>
      <c r="H23" s="27"/>
      <c r="I23" s="27"/>
      <c r="J23" s="27"/>
      <c r="K23" s="27"/>
      <c r="L23" s="27"/>
      <c r="M23" s="65">
        <f>M22/M$84</f>
        <v>0.39100000000000001</v>
      </c>
      <c r="N23" s="65">
        <f>N22/N$84</f>
        <v>0.17599999999999999</v>
      </c>
      <c r="O23" s="65">
        <f>O22/O$84</f>
        <v>1.2050000000000001</v>
      </c>
      <c r="P23" s="65">
        <f>P22/P$84</f>
        <v>2.97</v>
      </c>
      <c r="Q23" s="65">
        <f>Q22/Q$84</f>
        <v>4.93</v>
      </c>
      <c r="T23" s="65">
        <f t="shared" ref="T23:Z23" si="13">T22/T$84</f>
        <v>0.79</v>
      </c>
      <c r="U23" s="65">
        <f t="shared" si="13"/>
        <v>0.9</v>
      </c>
      <c r="V23" s="65">
        <f t="shared" si="13"/>
        <v>0.77</v>
      </c>
      <c r="W23" s="65">
        <f t="shared" si="13"/>
        <v>1.08</v>
      </c>
      <c r="X23" s="65">
        <f t="shared" si="13"/>
        <v>1.31</v>
      </c>
      <c r="Y23" s="65">
        <f t="shared" si="13"/>
        <v>1.77</v>
      </c>
      <c r="Z23" s="65">
        <f t="shared" si="13"/>
        <v>2.4</v>
      </c>
      <c r="AA23" s="65">
        <f t="shared" ref="AA23" si="14">AA22/AA$84</f>
        <v>2.4700000000000002</v>
      </c>
      <c r="AC23" s="65">
        <f>AC22/AC$84</f>
        <v>7.9500000000000011</v>
      </c>
    </row>
    <row r="24" spans="1:31" x14ac:dyDescent="0.2">
      <c r="B24" s="23" t="s">
        <v>36</v>
      </c>
      <c r="C24" s="26"/>
      <c r="D24" s="26"/>
      <c r="E24" s="26"/>
      <c r="F24" s="26"/>
      <c r="G24" s="26"/>
      <c r="H24" s="26"/>
      <c r="I24" s="26"/>
      <c r="J24" s="26"/>
      <c r="K24" s="26"/>
      <c r="L24" s="26"/>
      <c r="M24" s="63">
        <v>3.85</v>
      </c>
      <c r="N24" s="63">
        <v>1.74</v>
      </c>
      <c r="O24" s="63">
        <v>11.93</v>
      </c>
      <c r="P24" s="63">
        <v>2.94</v>
      </c>
      <c r="Q24" s="26">
        <v>4.9000000000000004</v>
      </c>
      <c r="T24" s="63">
        <v>0.78</v>
      </c>
      <c r="U24" s="26">
        <v>0.89</v>
      </c>
      <c r="V24" s="63">
        <v>0.76</v>
      </c>
      <c r="W24" s="26">
        <v>1.08</v>
      </c>
      <c r="X24" s="26">
        <v>1.3</v>
      </c>
      <c r="Y24" s="26">
        <v>1.76</v>
      </c>
      <c r="Z24" s="26">
        <v>2.39</v>
      </c>
      <c r="AA24" s="26">
        <v>2.46</v>
      </c>
      <c r="AC24" s="26">
        <f>SUM(X24:AA24)</f>
        <v>7.91</v>
      </c>
    </row>
    <row r="25" spans="1:31" s="30" customFormat="1" ht="17" thickBot="1" x14ac:dyDescent="0.25">
      <c r="A25" s="1"/>
      <c r="B25" s="28" t="s">
        <v>37</v>
      </c>
      <c r="C25" s="29"/>
      <c r="D25" s="29"/>
      <c r="E25" s="29"/>
      <c r="F25" s="29"/>
      <c r="G25" s="29"/>
      <c r="H25" s="29"/>
      <c r="I25" s="29"/>
      <c r="J25" s="29"/>
      <c r="K25" s="29"/>
      <c r="L25" s="29"/>
      <c r="M25" s="66">
        <f>M24/M$84</f>
        <v>0.38500000000000001</v>
      </c>
      <c r="N25" s="66">
        <f>N24/N$84</f>
        <v>0.17399999999999999</v>
      </c>
      <c r="O25" s="66">
        <f>O24/O$84</f>
        <v>1.1930000000000001</v>
      </c>
      <c r="P25" s="66">
        <f>P24/P$84</f>
        <v>2.94</v>
      </c>
      <c r="Q25" s="66">
        <f>Q24/Q$84</f>
        <v>4.9000000000000004</v>
      </c>
      <c r="R25" s="1"/>
      <c r="S25" s="1"/>
      <c r="T25" s="66">
        <f t="shared" ref="T25:Z25" si="15">T24/T$84</f>
        <v>0.78</v>
      </c>
      <c r="U25" s="66">
        <f t="shared" si="15"/>
        <v>0.89</v>
      </c>
      <c r="V25" s="66">
        <f t="shared" si="15"/>
        <v>0.76</v>
      </c>
      <c r="W25" s="66">
        <f t="shared" si="15"/>
        <v>1.08</v>
      </c>
      <c r="X25" s="66">
        <f t="shared" si="15"/>
        <v>1.3</v>
      </c>
      <c r="Y25" s="66">
        <f t="shared" si="15"/>
        <v>1.76</v>
      </c>
      <c r="Z25" s="66">
        <f t="shared" si="15"/>
        <v>2.39</v>
      </c>
      <c r="AA25" s="66">
        <f t="shared" ref="AA25" si="16">AA24/AA$84</f>
        <v>2.46</v>
      </c>
      <c r="AB25" s="1"/>
      <c r="AC25" s="66">
        <f>AC24/AC$84</f>
        <v>7.91</v>
      </c>
      <c r="AD25" s="1"/>
      <c r="AE25" s="1"/>
    </row>
    <row r="26" spans="1:31" s="30" customFormat="1" ht="17" thickBot="1" x14ac:dyDescent="0.25">
      <c r="A26" s="1"/>
      <c r="B26" s="31"/>
      <c r="J26" s="31"/>
      <c r="K26" s="31"/>
      <c r="L26" s="31"/>
      <c r="M26" s="31"/>
      <c r="N26" s="31"/>
      <c r="O26" s="31"/>
      <c r="P26" s="31"/>
      <c r="R26" s="1"/>
      <c r="S26" s="1"/>
      <c r="AB26" s="1"/>
      <c r="AD26" s="1"/>
      <c r="AE26" s="1"/>
    </row>
    <row r="27" spans="1:31" s="15" customFormat="1" ht="17" thickBot="1" x14ac:dyDescent="0.25">
      <c r="A27" s="11"/>
      <c r="B27" s="14" t="s">
        <v>38</v>
      </c>
      <c r="R27" s="1"/>
      <c r="S27" s="1"/>
      <c r="AB27" s="1"/>
      <c r="AD27" s="1"/>
      <c r="AE27" s="1"/>
    </row>
    <row r="28" spans="1:31" x14ac:dyDescent="0.2">
      <c r="B28" s="20" t="s">
        <v>39</v>
      </c>
      <c r="C28" s="21"/>
      <c r="D28" s="21"/>
      <c r="E28" s="21"/>
      <c r="F28" s="21"/>
      <c r="G28" s="21"/>
      <c r="H28" s="21"/>
      <c r="I28" s="21"/>
      <c r="J28" s="21"/>
      <c r="K28" s="21"/>
      <c r="L28" s="21"/>
      <c r="M28" s="21">
        <f>1990+19218</f>
        <v>21208</v>
      </c>
      <c r="N28" s="21">
        <f>3389+9907</f>
        <v>13296</v>
      </c>
      <c r="O28" s="21">
        <f>7280+18704</f>
        <v>25984</v>
      </c>
      <c r="P28" s="21">
        <f>8589+34621</f>
        <v>43210</v>
      </c>
      <c r="Q28" s="21">
        <f>10605+51951</f>
        <v>62556</v>
      </c>
      <c r="T28" s="21">
        <f>9107+29380</f>
        <v>38487</v>
      </c>
      <c r="U28" s="21">
        <f>8589+34621</f>
        <v>43210</v>
      </c>
      <c r="V28" s="21">
        <f>15234+38457</f>
        <v>53691</v>
      </c>
      <c r="W28" s="21">
        <f>11639+45152</f>
        <v>56791</v>
      </c>
      <c r="X28" s="21">
        <f>11486+49122</f>
        <v>60608</v>
      </c>
      <c r="Y28" s="21">
        <f>10605+39065+12886</f>
        <v>62556</v>
      </c>
      <c r="Z28" s="21">
        <f>13237+37098+30237</f>
        <v>80572</v>
      </c>
      <c r="AA28" s="21">
        <f>22443+34143+42783</f>
        <v>99369</v>
      </c>
      <c r="AC28" s="21">
        <f>AA28</f>
        <v>99369</v>
      </c>
    </row>
    <row r="29" spans="1:31" x14ac:dyDescent="0.2">
      <c r="B29" s="20" t="s">
        <v>40</v>
      </c>
      <c r="C29" s="21"/>
      <c r="D29" s="21"/>
      <c r="E29" s="21"/>
      <c r="F29" s="21"/>
      <c r="G29" s="21"/>
      <c r="H29" s="21"/>
      <c r="I29" s="21"/>
      <c r="J29" s="21"/>
      <c r="K29" s="21"/>
      <c r="L29" s="21"/>
      <c r="M29" s="21">
        <v>4650</v>
      </c>
      <c r="N29" s="21">
        <v>3827</v>
      </c>
      <c r="O29" s="21">
        <v>9999</v>
      </c>
      <c r="P29" s="21">
        <v>23065</v>
      </c>
      <c r="Q29" s="21">
        <v>38466</v>
      </c>
      <c r="T29" s="21">
        <v>17693</v>
      </c>
      <c r="U29" s="21">
        <v>23065</v>
      </c>
      <c r="V29" s="21">
        <v>22132</v>
      </c>
      <c r="W29" s="21">
        <v>27808</v>
      </c>
      <c r="X29" s="21">
        <v>33391</v>
      </c>
      <c r="Y29" s="21">
        <v>38466</v>
      </c>
      <c r="Z29" s="21">
        <v>40710</v>
      </c>
      <c r="AA29" s="21">
        <v>63059</v>
      </c>
      <c r="AC29" s="21">
        <f t="shared" ref="AC29:AC49" si="17">AA29</f>
        <v>63059</v>
      </c>
    </row>
    <row r="30" spans="1:31" x14ac:dyDescent="0.2">
      <c r="B30" s="20" t="s">
        <v>127</v>
      </c>
      <c r="C30" s="21"/>
      <c r="D30" s="21"/>
      <c r="E30" s="21"/>
      <c r="F30" s="21"/>
      <c r="G30" s="21"/>
      <c r="H30" s="21"/>
      <c r="I30" s="21"/>
      <c r="J30" s="21"/>
      <c r="K30" s="21"/>
      <c r="L30" s="21"/>
      <c r="M30" s="21">
        <v>2605</v>
      </c>
      <c r="N30" s="21">
        <v>5159</v>
      </c>
      <c r="O30" s="21">
        <v>5282</v>
      </c>
      <c r="P30" s="21">
        <v>10080</v>
      </c>
      <c r="Q30" s="21">
        <v>21403</v>
      </c>
      <c r="T30" s="21">
        <v>7654</v>
      </c>
      <c r="U30" s="21">
        <v>10080</v>
      </c>
      <c r="V30" s="21">
        <v>11333</v>
      </c>
      <c r="W30" s="21">
        <v>14962</v>
      </c>
      <c r="X30" s="21">
        <v>19784</v>
      </c>
      <c r="Y30" s="21">
        <v>21403</v>
      </c>
      <c r="Z30" s="21">
        <v>25797</v>
      </c>
      <c r="AA30" s="21">
        <v>31575</v>
      </c>
      <c r="AC30" s="21">
        <f>AA30</f>
        <v>31575</v>
      </c>
    </row>
    <row r="31" spans="1:31" s="34" customFormat="1" x14ac:dyDescent="0.2">
      <c r="A31" s="16"/>
      <c r="B31" s="32" t="s">
        <v>41</v>
      </c>
      <c r="C31" s="33"/>
      <c r="D31" s="33"/>
      <c r="E31" s="33"/>
      <c r="F31" s="33"/>
      <c r="G31" s="33"/>
      <c r="H31" s="33"/>
      <c r="I31" s="33"/>
      <c r="J31" s="33"/>
      <c r="K31" s="33"/>
      <c r="L31" s="33"/>
      <c r="M31" s="33">
        <v>28829</v>
      </c>
      <c r="N31" s="33">
        <v>23073</v>
      </c>
      <c r="O31" s="33">
        <v>44345</v>
      </c>
      <c r="P31" s="33">
        <v>80126</v>
      </c>
      <c r="Q31" s="33">
        <v>125605</v>
      </c>
      <c r="R31" s="1"/>
      <c r="S31" s="1"/>
      <c r="T31" s="33">
        <v>67640</v>
      </c>
      <c r="U31" s="33">
        <v>80126</v>
      </c>
      <c r="V31" s="33">
        <v>89935</v>
      </c>
      <c r="W31" s="33">
        <v>102219</v>
      </c>
      <c r="X31" s="33">
        <v>116492</v>
      </c>
      <c r="Y31" s="33">
        <v>125605</v>
      </c>
      <c r="Z31" s="33">
        <v>150995</v>
      </c>
      <c r="AA31" s="33">
        <v>197412</v>
      </c>
      <c r="AB31" s="1"/>
      <c r="AC31" s="33">
        <f t="shared" si="17"/>
        <v>197412</v>
      </c>
      <c r="AD31" s="1"/>
      <c r="AE31" s="1"/>
    </row>
    <row r="32" spans="1:31" x14ac:dyDescent="0.2">
      <c r="B32" s="20" t="s">
        <v>42</v>
      </c>
      <c r="C32" s="21"/>
      <c r="D32" s="21"/>
      <c r="E32" s="21"/>
      <c r="F32" s="21"/>
      <c r="G32" s="21"/>
      <c r="H32" s="21"/>
      <c r="I32" s="21"/>
      <c r="J32" s="21"/>
      <c r="K32" s="21"/>
      <c r="L32" s="21"/>
      <c r="M32" s="21">
        <v>2778</v>
      </c>
      <c r="N32" s="21">
        <v>3807</v>
      </c>
      <c r="O32" s="21">
        <v>3914</v>
      </c>
      <c r="P32" s="21">
        <v>6283</v>
      </c>
      <c r="Q32" s="21">
        <v>10383</v>
      </c>
      <c r="T32" s="21">
        <v>5343</v>
      </c>
      <c r="U32" s="21">
        <v>6283</v>
      </c>
      <c r="V32" s="21">
        <v>7136</v>
      </c>
      <c r="W32" s="21">
        <v>9141</v>
      </c>
      <c r="X32" s="21">
        <v>9780</v>
      </c>
      <c r="Y32" s="21">
        <v>10383</v>
      </c>
      <c r="Z32" s="21">
        <v>12403</v>
      </c>
      <c r="AA32" s="21">
        <v>14285</v>
      </c>
      <c r="AC32" s="21">
        <f t="shared" si="17"/>
        <v>14285</v>
      </c>
    </row>
    <row r="33" spans="1:31" x14ac:dyDescent="0.2">
      <c r="B33" s="20" t="s">
        <v>382</v>
      </c>
      <c r="C33" s="21"/>
      <c r="D33" s="21"/>
      <c r="E33" s="21"/>
      <c r="F33" s="21"/>
      <c r="G33" s="21"/>
      <c r="H33" s="21"/>
      <c r="I33" s="21"/>
      <c r="J33" s="21"/>
      <c r="K33" s="21"/>
      <c r="L33" s="21"/>
      <c r="M33" s="21">
        <v>0</v>
      </c>
      <c r="N33" s="21">
        <v>0</v>
      </c>
      <c r="O33" s="21">
        <v>0</v>
      </c>
      <c r="P33" s="21">
        <v>0</v>
      </c>
      <c r="Q33" s="21">
        <v>0</v>
      </c>
      <c r="T33" s="21">
        <v>0</v>
      </c>
      <c r="U33" s="21">
        <v>0</v>
      </c>
      <c r="V33" s="21">
        <v>0</v>
      </c>
      <c r="W33" s="21">
        <v>0</v>
      </c>
      <c r="X33" s="21">
        <v>0</v>
      </c>
      <c r="Y33" s="21">
        <v>0</v>
      </c>
      <c r="Z33" s="21">
        <v>0</v>
      </c>
      <c r="AA33" s="21">
        <v>0</v>
      </c>
      <c r="AC33" s="21">
        <f t="shared" si="17"/>
        <v>0</v>
      </c>
    </row>
    <row r="34" spans="1:31" x14ac:dyDescent="0.2">
      <c r="B34" s="20" t="s">
        <v>43</v>
      </c>
      <c r="C34" s="21"/>
      <c r="D34" s="21"/>
      <c r="E34" s="21"/>
      <c r="F34" s="21"/>
      <c r="G34" s="21"/>
      <c r="H34" s="21"/>
      <c r="I34" s="21"/>
      <c r="J34" s="21"/>
      <c r="K34" s="21"/>
      <c r="L34" s="21"/>
      <c r="M34" s="21">
        <v>4349</v>
      </c>
      <c r="N34" s="21">
        <v>4372</v>
      </c>
      <c r="O34" s="21">
        <v>4430</v>
      </c>
      <c r="P34" s="21">
        <v>5188</v>
      </c>
      <c r="Q34" s="21">
        <v>20832</v>
      </c>
      <c r="T34" s="21">
        <v>4724</v>
      </c>
      <c r="U34" s="21">
        <v>5188</v>
      </c>
      <c r="V34" s="21">
        <v>5498</v>
      </c>
      <c r="W34" s="21">
        <v>5755</v>
      </c>
      <c r="X34" s="21">
        <v>6261</v>
      </c>
      <c r="Y34" s="21">
        <v>20832</v>
      </c>
      <c r="Z34" s="21">
        <v>20894</v>
      </c>
      <c r="AA34" s="21">
        <v>21125</v>
      </c>
      <c r="AC34" s="21">
        <f t="shared" si="17"/>
        <v>21125</v>
      </c>
    </row>
    <row r="35" spans="1:31" s="34" customFormat="1" x14ac:dyDescent="0.2">
      <c r="A35" s="16"/>
      <c r="B35" s="32" t="s">
        <v>44</v>
      </c>
      <c r="C35" s="35"/>
      <c r="D35" s="35"/>
      <c r="E35" s="35"/>
      <c r="F35" s="35"/>
      <c r="G35" s="35"/>
      <c r="H35" s="35"/>
      <c r="I35" s="35"/>
      <c r="J35" s="35"/>
      <c r="K35" s="35"/>
      <c r="L35" s="35"/>
      <c r="M35" s="35">
        <f t="shared" ref="M35:O35" si="18">M36-M31</f>
        <v>15358</v>
      </c>
      <c r="N35" s="35">
        <f t="shared" si="18"/>
        <v>18109</v>
      </c>
      <c r="O35" s="35">
        <f t="shared" si="18"/>
        <v>21383</v>
      </c>
      <c r="P35" s="35">
        <f>P36-P31</f>
        <v>31475</v>
      </c>
      <c r="Q35" s="35">
        <f>Q36-Q31</f>
        <v>81198</v>
      </c>
      <c r="R35" s="1"/>
      <c r="S35" s="1"/>
      <c r="T35" s="35">
        <f t="shared" ref="T35:Y35" si="19">T36-T31</f>
        <v>28373</v>
      </c>
      <c r="U35" s="35">
        <f t="shared" si="19"/>
        <v>31475</v>
      </c>
      <c r="V35" s="35">
        <f t="shared" si="19"/>
        <v>35319</v>
      </c>
      <c r="W35" s="35">
        <f t="shared" si="19"/>
        <v>38521</v>
      </c>
      <c r="X35" s="35">
        <f t="shared" si="19"/>
        <v>44656</v>
      </c>
      <c r="Y35" s="35">
        <f t="shared" si="19"/>
        <v>81198</v>
      </c>
      <c r="Z35" s="35">
        <f t="shared" ref="Z35:AA35" si="20">Z36-Z31</f>
        <v>108479</v>
      </c>
      <c r="AA35" s="35">
        <f t="shared" si="20"/>
        <v>122860</v>
      </c>
      <c r="AB35" s="1"/>
      <c r="AC35" s="35">
        <f t="shared" si="17"/>
        <v>122860</v>
      </c>
      <c r="AD35" s="1"/>
      <c r="AE35" s="1"/>
    </row>
    <row r="36" spans="1:31" s="19" customFormat="1" x14ac:dyDescent="0.2">
      <c r="A36" s="16"/>
      <c r="B36" s="17" t="s">
        <v>45</v>
      </c>
      <c r="C36" s="18"/>
      <c r="D36" s="18"/>
      <c r="E36" s="18"/>
      <c r="F36" s="18"/>
      <c r="G36" s="18"/>
      <c r="H36" s="18"/>
      <c r="I36" s="18"/>
      <c r="J36" s="18"/>
      <c r="K36" s="18"/>
      <c r="L36" s="18"/>
      <c r="M36" s="18">
        <v>44187</v>
      </c>
      <c r="N36" s="18">
        <v>41182</v>
      </c>
      <c r="O36" s="18">
        <v>65728</v>
      </c>
      <c r="P36" s="18">
        <v>111601</v>
      </c>
      <c r="Q36" s="18">
        <v>206803</v>
      </c>
      <c r="R36" s="1"/>
      <c r="S36" s="1"/>
      <c r="T36" s="18">
        <v>96013</v>
      </c>
      <c r="U36" s="18">
        <v>111601</v>
      </c>
      <c r="V36" s="18">
        <v>125254</v>
      </c>
      <c r="W36" s="18">
        <v>140740</v>
      </c>
      <c r="X36" s="18">
        <v>161148</v>
      </c>
      <c r="Y36" s="18">
        <v>206803</v>
      </c>
      <c r="Z36" s="18">
        <v>259474</v>
      </c>
      <c r="AA36" s="18">
        <v>320272</v>
      </c>
      <c r="AB36" s="1"/>
      <c r="AC36" s="18">
        <f t="shared" si="17"/>
        <v>320272</v>
      </c>
      <c r="AD36" s="1"/>
      <c r="AE36" s="1"/>
    </row>
    <row r="37" spans="1:31" x14ac:dyDescent="0.2">
      <c r="B37" s="20" t="s">
        <v>46</v>
      </c>
      <c r="C37" s="21"/>
      <c r="D37" s="21"/>
      <c r="E37" s="21"/>
      <c r="F37" s="21"/>
      <c r="G37" s="21"/>
      <c r="H37" s="21"/>
      <c r="I37" s="21"/>
      <c r="J37" s="21"/>
      <c r="K37" s="21"/>
      <c r="L37" s="21"/>
      <c r="M37" s="21">
        <v>1783</v>
      </c>
      <c r="N37" s="21">
        <v>1193</v>
      </c>
      <c r="O37" s="21">
        <v>2699</v>
      </c>
      <c r="P37" s="21">
        <v>6310</v>
      </c>
      <c r="Q37" s="21">
        <v>9812</v>
      </c>
      <c r="T37" s="21">
        <v>5353</v>
      </c>
      <c r="U37" s="21">
        <v>6310</v>
      </c>
      <c r="V37" s="21">
        <v>7331</v>
      </c>
      <c r="W37" s="21">
        <v>9064</v>
      </c>
      <c r="X37" s="21">
        <v>8624</v>
      </c>
      <c r="Y37" s="21">
        <v>9812</v>
      </c>
      <c r="Z37" s="21">
        <v>13097</v>
      </c>
      <c r="AA37" s="21">
        <v>15059</v>
      </c>
      <c r="AC37" s="21">
        <f t="shared" si="17"/>
        <v>15059</v>
      </c>
    </row>
    <row r="38" spans="1:31" x14ac:dyDescent="0.2">
      <c r="B38" s="20" t="s">
        <v>161</v>
      </c>
      <c r="C38" s="21"/>
      <c r="D38" s="21"/>
      <c r="E38" s="21"/>
      <c r="F38" s="21"/>
      <c r="G38" s="21"/>
      <c r="H38" s="21"/>
      <c r="I38" s="21"/>
      <c r="J38" s="21"/>
      <c r="K38" s="21"/>
      <c r="L38" s="21"/>
      <c r="M38" s="21">
        <v>0</v>
      </c>
      <c r="N38" s="21">
        <v>1250</v>
      </c>
      <c r="O38" s="21">
        <v>1250</v>
      </c>
      <c r="P38" s="21">
        <v>0</v>
      </c>
      <c r="Q38" s="21">
        <v>999</v>
      </c>
      <c r="T38" s="21">
        <v>0</v>
      </c>
      <c r="U38" s="21">
        <v>0</v>
      </c>
      <c r="V38" s="21">
        <v>0</v>
      </c>
      <c r="W38" s="21">
        <v>0</v>
      </c>
      <c r="X38" s="21">
        <v>999</v>
      </c>
      <c r="Y38" s="21">
        <v>999</v>
      </c>
      <c r="Z38" s="21">
        <v>1000</v>
      </c>
      <c r="AA38" s="21">
        <v>1000</v>
      </c>
      <c r="AC38" s="21">
        <f t="shared" si="17"/>
        <v>1000</v>
      </c>
    </row>
    <row r="39" spans="1:31" s="34" customFormat="1" x14ac:dyDescent="0.2">
      <c r="A39" s="16"/>
      <c r="B39" s="32" t="s">
        <v>47</v>
      </c>
      <c r="C39" s="33"/>
      <c r="D39" s="33"/>
      <c r="E39" s="33"/>
      <c r="F39" s="33"/>
      <c r="G39" s="33"/>
      <c r="H39" s="33"/>
      <c r="I39" s="33"/>
      <c r="J39" s="33"/>
      <c r="K39" s="33"/>
      <c r="L39" s="33"/>
      <c r="M39" s="33">
        <v>4335</v>
      </c>
      <c r="N39" s="33">
        <v>6563</v>
      </c>
      <c r="O39" s="33">
        <v>10631</v>
      </c>
      <c r="P39" s="33">
        <v>18047</v>
      </c>
      <c r="Q39" s="33">
        <v>32163</v>
      </c>
      <c r="R39" s="60"/>
      <c r="S39" s="60"/>
      <c r="T39" s="33">
        <v>16479</v>
      </c>
      <c r="U39" s="33">
        <v>18047</v>
      </c>
      <c r="V39" s="33">
        <v>26542</v>
      </c>
      <c r="W39" s="33">
        <v>24257</v>
      </c>
      <c r="X39" s="33">
        <v>26075</v>
      </c>
      <c r="Y39" s="33">
        <v>32163</v>
      </c>
      <c r="Z39" s="33">
        <v>43884</v>
      </c>
      <c r="AA39" s="33">
        <v>43019</v>
      </c>
      <c r="AB39" s="1"/>
      <c r="AC39" s="33">
        <f t="shared" si="17"/>
        <v>43019</v>
      </c>
      <c r="AD39" s="1"/>
      <c r="AE39" s="1"/>
    </row>
    <row r="40" spans="1:31" x14ac:dyDescent="0.2">
      <c r="B40" s="20" t="s">
        <v>161</v>
      </c>
      <c r="C40" s="21"/>
      <c r="D40" s="21"/>
      <c r="E40" s="21"/>
      <c r="F40" s="21"/>
      <c r="G40" s="21"/>
      <c r="H40" s="21"/>
      <c r="I40" s="21"/>
      <c r="J40" s="21"/>
      <c r="K40" s="21"/>
      <c r="L40" s="21"/>
      <c r="M40" s="21">
        <v>10946</v>
      </c>
      <c r="N40" s="21">
        <v>9703</v>
      </c>
      <c r="O40" s="21">
        <v>8459</v>
      </c>
      <c r="P40" s="21">
        <v>8463</v>
      </c>
      <c r="Q40" s="21">
        <v>7469</v>
      </c>
      <c r="T40" s="21">
        <v>8462</v>
      </c>
      <c r="U40" s="21">
        <v>8463</v>
      </c>
      <c r="V40" s="21">
        <v>8464</v>
      </c>
      <c r="W40" s="21">
        <v>8466</v>
      </c>
      <c r="X40" s="21">
        <v>7468</v>
      </c>
      <c r="Y40" s="21">
        <v>7569</v>
      </c>
      <c r="Z40" s="21">
        <v>7470</v>
      </c>
      <c r="AA40" s="21">
        <v>32266</v>
      </c>
      <c r="AC40" s="21">
        <f t="shared" si="17"/>
        <v>32266</v>
      </c>
    </row>
    <row r="41" spans="1:31" s="34" customFormat="1" x14ac:dyDescent="0.2">
      <c r="A41" s="16"/>
      <c r="B41" s="32" t="s">
        <v>48</v>
      </c>
      <c r="C41" s="35"/>
      <c r="D41" s="35"/>
      <c r="E41" s="35"/>
      <c r="F41" s="35"/>
      <c r="G41" s="35"/>
      <c r="H41" s="35"/>
      <c r="I41" s="35"/>
      <c r="J41" s="35"/>
      <c r="K41" s="35"/>
      <c r="L41" s="35"/>
      <c r="M41" s="35">
        <f t="shared" ref="M41:O41" si="21">M42-M39</f>
        <v>13240</v>
      </c>
      <c r="N41" s="35">
        <f t="shared" si="21"/>
        <v>12518</v>
      </c>
      <c r="O41" s="35">
        <f t="shared" si="21"/>
        <v>12119</v>
      </c>
      <c r="P41" s="35">
        <f>P42-P39</f>
        <v>14227</v>
      </c>
      <c r="Q41" s="35">
        <f>Q42-Q39</f>
        <v>17347</v>
      </c>
      <c r="R41" s="1"/>
      <c r="S41" s="1"/>
      <c r="T41" s="35">
        <f t="shared" ref="T41:Y41" si="22">T42-T39</f>
        <v>13635</v>
      </c>
      <c r="U41" s="35">
        <f t="shared" si="22"/>
        <v>14227</v>
      </c>
      <c r="V41" s="35">
        <f t="shared" si="22"/>
        <v>14869</v>
      </c>
      <c r="W41" s="35">
        <f t="shared" si="22"/>
        <v>16352</v>
      </c>
      <c r="X41" s="35">
        <f t="shared" si="22"/>
        <v>16176</v>
      </c>
      <c r="Y41" s="35">
        <f t="shared" si="22"/>
        <v>17347</v>
      </c>
      <c r="Z41" s="35">
        <f t="shared" ref="Z41:AA41" si="23">Z42-Z39</f>
        <v>20116</v>
      </c>
      <c r="AA41" s="35">
        <f t="shared" si="23"/>
        <v>48269</v>
      </c>
      <c r="AB41" s="1"/>
      <c r="AC41" s="35">
        <f t="shared" si="17"/>
        <v>48269</v>
      </c>
      <c r="AD41" s="1"/>
      <c r="AE41" s="1"/>
    </row>
    <row r="42" spans="1:31" s="19" customFormat="1" x14ac:dyDescent="0.2">
      <c r="A42" s="16"/>
      <c r="B42" s="17" t="s">
        <v>49</v>
      </c>
      <c r="C42" s="18"/>
      <c r="D42" s="18"/>
      <c r="E42" s="18"/>
      <c r="F42" s="18"/>
      <c r="G42" s="18"/>
      <c r="H42" s="18"/>
      <c r="I42" s="18"/>
      <c r="J42" s="18"/>
      <c r="K42" s="18"/>
      <c r="L42" s="18"/>
      <c r="M42" s="18">
        <v>17575</v>
      </c>
      <c r="N42" s="18">
        <v>19081</v>
      </c>
      <c r="O42" s="18">
        <v>22750</v>
      </c>
      <c r="P42" s="18">
        <v>32274</v>
      </c>
      <c r="Q42" s="18">
        <v>49510</v>
      </c>
      <c r="R42" s="1"/>
      <c r="S42" s="1"/>
      <c r="T42" s="18">
        <v>30114</v>
      </c>
      <c r="U42" s="18">
        <v>32274</v>
      </c>
      <c r="V42" s="18">
        <v>41411</v>
      </c>
      <c r="W42" s="18">
        <v>40609</v>
      </c>
      <c r="X42" s="18">
        <v>42251</v>
      </c>
      <c r="Y42" s="18">
        <v>49510</v>
      </c>
      <c r="Z42" s="18">
        <v>64000</v>
      </c>
      <c r="AA42" s="18">
        <v>91288</v>
      </c>
      <c r="AB42" s="1"/>
      <c r="AC42" s="18">
        <f t="shared" si="17"/>
        <v>91288</v>
      </c>
      <c r="AD42" s="1"/>
      <c r="AE42" s="1"/>
    </row>
    <row r="43" spans="1:31" x14ac:dyDescent="0.2">
      <c r="B43" s="20" t="s">
        <v>51</v>
      </c>
      <c r="C43" s="21"/>
      <c r="D43" s="21"/>
      <c r="E43" s="21"/>
      <c r="F43" s="21"/>
      <c r="G43" s="21"/>
      <c r="H43" s="21"/>
      <c r="I43" s="21"/>
      <c r="J43" s="21"/>
      <c r="K43" s="21"/>
      <c r="L43" s="21"/>
      <c r="M43" s="62">
        <v>0</v>
      </c>
      <c r="N43" s="62">
        <v>0</v>
      </c>
      <c r="O43" s="62">
        <v>0</v>
      </c>
      <c r="P43" s="62">
        <v>0</v>
      </c>
      <c r="Q43" s="62">
        <v>0</v>
      </c>
      <c r="T43" s="62">
        <v>0</v>
      </c>
      <c r="U43" s="62">
        <v>0</v>
      </c>
      <c r="V43" s="62">
        <v>0</v>
      </c>
      <c r="W43" s="62">
        <v>0</v>
      </c>
      <c r="X43" s="62">
        <v>0</v>
      </c>
      <c r="Y43" s="62">
        <v>0</v>
      </c>
      <c r="Z43" s="62">
        <v>0</v>
      </c>
      <c r="AA43" s="62">
        <v>0</v>
      </c>
      <c r="AC43" s="62">
        <f t="shared" si="17"/>
        <v>0</v>
      </c>
    </row>
    <row r="44" spans="1:31" x14ac:dyDescent="0.2">
      <c r="B44" s="20" t="s">
        <v>323</v>
      </c>
      <c r="C44" s="21"/>
      <c r="D44" s="21"/>
      <c r="E44" s="21"/>
      <c r="F44" s="21"/>
      <c r="G44" s="21"/>
      <c r="H44" s="21"/>
      <c r="I44" s="21"/>
      <c r="J44" s="21"/>
      <c r="K44" s="21"/>
      <c r="L44" s="21"/>
      <c r="M44" s="62">
        <v>0</v>
      </c>
      <c r="N44" s="62">
        <v>0</v>
      </c>
      <c r="O44" s="62">
        <v>0</v>
      </c>
      <c r="P44" s="62">
        <v>0</v>
      </c>
      <c r="Q44" s="62">
        <v>0</v>
      </c>
      <c r="T44" s="62">
        <v>0</v>
      </c>
      <c r="U44" s="62">
        <v>0</v>
      </c>
      <c r="V44" s="62">
        <v>0</v>
      </c>
      <c r="W44" s="62">
        <v>0</v>
      </c>
      <c r="X44" s="62">
        <v>0</v>
      </c>
      <c r="Y44" s="62">
        <v>0</v>
      </c>
      <c r="Z44" s="62">
        <v>0</v>
      </c>
      <c r="AA44" s="62">
        <v>0</v>
      </c>
      <c r="AC44" s="62">
        <f t="shared" si="17"/>
        <v>0</v>
      </c>
    </row>
    <row r="45" spans="1:31" x14ac:dyDescent="0.2">
      <c r="B45" s="20" t="s">
        <v>50</v>
      </c>
      <c r="C45" s="21"/>
      <c r="D45" s="21"/>
      <c r="E45" s="21"/>
      <c r="F45" s="21"/>
      <c r="G45" s="21"/>
      <c r="H45" s="21"/>
      <c r="I45" s="21"/>
      <c r="J45" s="21"/>
      <c r="K45" s="21"/>
      <c r="L45" s="21"/>
      <c r="M45" s="21">
        <v>10385</v>
      </c>
      <c r="N45" s="21">
        <v>11971</v>
      </c>
      <c r="O45" s="21">
        <v>13132</v>
      </c>
      <c r="P45" s="62">
        <v>11237</v>
      </c>
      <c r="Q45" s="62">
        <v>10118</v>
      </c>
      <c r="T45" s="62">
        <v>11821</v>
      </c>
      <c r="U45" s="62">
        <v>11237</v>
      </c>
      <c r="V45" s="62">
        <v>11475</v>
      </c>
      <c r="W45" s="62">
        <v>11200</v>
      </c>
      <c r="X45" s="62">
        <v>10626</v>
      </c>
      <c r="Y45" s="62">
        <v>10118</v>
      </c>
      <c r="Z45" s="62">
        <v>10275</v>
      </c>
      <c r="AA45" s="62">
        <v>9828</v>
      </c>
      <c r="AC45" s="62">
        <f t="shared" si="17"/>
        <v>9828</v>
      </c>
    </row>
    <row r="46" spans="1:31" x14ac:dyDescent="0.2">
      <c r="B46" s="20" t="s">
        <v>324</v>
      </c>
      <c r="C46" s="21"/>
      <c r="D46" s="21"/>
      <c r="E46" s="21"/>
      <c r="F46" s="21"/>
      <c r="G46" s="21"/>
      <c r="H46" s="21"/>
      <c r="I46" s="21"/>
      <c r="J46" s="21"/>
      <c r="K46" s="21"/>
      <c r="L46" s="21"/>
      <c r="M46" s="62">
        <v>16235</v>
      </c>
      <c r="N46" s="62">
        <v>10171</v>
      </c>
      <c r="O46" s="62">
        <v>29817</v>
      </c>
      <c r="P46" s="62">
        <v>68038</v>
      </c>
      <c r="Q46" s="62">
        <v>146973</v>
      </c>
      <c r="T46" s="62">
        <v>53950</v>
      </c>
      <c r="U46" s="62">
        <v>68038</v>
      </c>
      <c r="V46" s="62">
        <v>72158</v>
      </c>
      <c r="W46" s="62">
        <v>88737</v>
      </c>
      <c r="X46" s="62">
        <v>107908</v>
      </c>
      <c r="Y46" s="62">
        <v>146973</v>
      </c>
      <c r="Z46" s="62">
        <v>185038</v>
      </c>
      <c r="AA46" s="62">
        <v>219157</v>
      </c>
      <c r="AC46" s="62">
        <f t="shared" si="17"/>
        <v>219157</v>
      </c>
    </row>
    <row r="47" spans="1:31" x14ac:dyDescent="0.2">
      <c r="B47" s="20" t="s">
        <v>319</v>
      </c>
      <c r="C47" s="21"/>
      <c r="D47" s="21"/>
      <c r="E47" s="21"/>
      <c r="F47" s="21"/>
      <c r="G47" s="21"/>
      <c r="H47" s="21"/>
      <c r="I47" s="21"/>
      <c r="J47" s="21"/>
      <c r="K47" s="21"/>
      <c r="L47" s="21"/>
      <c r="M47" s="62">
        <v>0</v>
      </c>
      <c r="N47" s="62">
        <v>0</v>
      </c>
      <c r="O47" s="62">
        <v>0</v>
      </c>
      <c r="P47" s="62">
        <v>0</v>
      </c>
      <c r="Q47" s="62">
        <v>0</v>
      </c>
      <c r="T47" s="62">
        <v>0</v>
      </c>
      <c r="U47" s="62">
        <v>0</v>
      </c>
      <c r="V47" s="62">
        <v>0</v>
      </c>
      <c r="W47" s="62">
        <v>0</v>
      </c>
      <c r="X47" s="62">
        <v>0</v>
      </c>
      <c r="Y47" s="62">
        <v>0</v>
      </c>
      <c r="Z47" s="62">
        <v>0</v>
      </c>
      <c r="AA47" s="62">
        <v>0</v>
      </c>
      <c r="AC47" s="62">
        <f t="shared" si="17"/>
        <v>0</v>
      </c>
    </row>
    <row r="48" spans="1:31" s="34" customFormat="1" x14ac:dyDescent="0.2">
      <c r="A48" s="16"/>
      <c r="B48" s="32" t="s">
        <v>52</v>
      </c>
      <c r="C48" s="33"/>
      <c r="D48" s="33"/>
      <c r="E48" s="33"/>
      <c r="F48" s="33"/>
      <c r="G48" s="33"/>
      <c r="H48" s="33"/>
      <c r="I48" s="33"/>
      <c r="J48" s="33"/>
      <c r="K48" s="33"/>
      <c r="L48" s="33"/>
      <c r="M48" s="33">
        <v>26612</v>
      </c>
      <c r="N48" s="33">
        <v>22101</v>
      </c>
      <c r="O48" s="33">
        <v>42978</v>
      </c>
      <c r="P48" s="33">
        <v>79327</v>
      </c>
      <c r="Q48" s="33">
        <v>157293</v>
      </c>
      <c r="R48" s="1"/>
      <c r="S48" s="1"/>
      <c r="T48" s="33">
        <v>65899</v>
      </c>
      <c r="U48" s="33">
        <v>79327</v>
      </c>
      <c r="V48" s="33">
        <v>83843</v>
      </c>
      <c r="W48" s="33">
        <v>100131</v>
      </c>
      <c r="X48" s="33">
        <v>118897</v>
      </c>
      <c r="Y48" s="33">
        <v>157293</v>
      </c>
      <c r="Z48" s="33">
        <v>195474</v>
      </c>
      <c r="AA48" s="33">
        <v>228984</v>
      </c>
      <c r="AB48" s="1"/>
      <c r="AC48" s="33">
        <f t="shared" si="17"/>
        <v>228984</v>
      </c>
      <c r="AD48" s="1"/>
      <c r="AE48" s="1"/>
    </row>
    <row r="49" spans="1:31" s="38" customFormat="1" ht="17" thickBot="1" x14ac:dyDescent="0.25">
      <c r="A49" s="16"/>
      <c r="B49" s="36" t="s">
        <v>53</v>
      </c>
      <c r="C49" s="37"/>
      <c r="D49" s="37"/>
      <c r="E49" s="37"/>
      <c r="F49" s="37"/>
      <c r="G49" s="37"/>
      <c r="H49" s="37"/>
      <c r="I49" s="37"/>
      <c r="J49" s="37"/>
      <c r="K49" s="37"/>
      <c r="L49" s="37"/>
      <c r="M49" s="37">
        <v>44187</v>
      </c>
      <c r="N49" s="37">
        <v>41182</v>
      </c>
      <c r="O49" s="37">
        <v>65728</v>
      </c>
      <c r="P49" s="37">
        <v>111601</v>
      </c>
      <c r="Q49" s="37">
        <v>206803</v>
      </c>
      <c r="R49" s="1"/>
      <c r="S49" s="1"/>
      <c r="T49" s="37">
        <v>96013</v>
      </c>
      <c r="U49" s="37">
        <v>111601</v>
      </c>
      <c r="V49" s="37">
        <v>125254</v>
      </c>
      <c r="W49" s="37">
        <v>140740</v>
      </c>
      <c r="X49" s="37">
        <v>161148</v>
      </c>
      <c r="Y49" s="37">
        <v>206803</v>
      </c>
      <c r="Z49" s="37">
        <v>259474</v>
      </c>
      <c r="AA49" s="37">
        <v>320272</v>
      </c>
      <c r="AB49" s="1"/>
      <c r="AC49" s="37">
        <f t="shared" si="17"/>
        <v>320272</v>
      </c>
      <c r="AD49" s="1"/>
      <c r="AE49" s="1"/>
    </row>
    <row r="50" spans="1:31" x14ac:dyDescent="0.2">
      <c r="B50" s="1"/>
    </row>
    <row r="51" spans="1:31" s="15" customFormat="1" ht="17" thickBot="1" x14ac:dyDescent="0.25">
      <c r="A51" s="11"/>
      <c r="B51" s="14" t="s">
        <v>54</v>
      </c>
      <c r="R51" s="1"/>
      <c r="S51" s="1"/>
      <c r="AB51" s="1"/>
      <c r="AD51" s="1"/>
      <c r="AE51" s="1"/>
    </row>
    <row r="52" spans="1:31" x14ac:dyDescent="0.2">
      <c r="B52" s="20" t="s">
        <v>55</v>
      </c>
      <c r="C52" s="62"/>
      <c r="D52" s="62"/>
      <c r="E52" s="62"/>
      <c r="F52" s="62"/>
      <c r="G52" s="62"/>
      <c r="H52" s="62"/>
      <c r="I52" s="62"/>
      <c r="J52" s="62"/>
      <c r="K52" s="62"/>
      <c r="L52" s="62"/>
      <c r="M52" s="62">
        <v>1174</v>
      </c>
      <c r="N52" s="62">
        <v>1544</v>
      </c>
      <c r="O52" s="62">
        <v>1508</v>
      </c>
      <c r="P52" s="62">
        <v>1864</v>
      </c>
      <c r="Q52" s="62">
        <v>2843</v>
      </c>
      <c r="T52" s="62">
        <v>478</v>
      </c>
      <c r="U52" s="62">
        <v>543</v>
      </c>
      <c r="V52" s="62">
        <v>611</v>
      </c>
      <c r="W52" s="62">
        <v>668</v>
      </c>
      <c r="X52" s="62">
        <v>752</v>
      </c>
      <c r="Y52" s="62">
        <v>811</v>
      </c>
      <c r="Z52" s="62">
        <v>997</v>
      </c>
      <c r="AA52" s="62">
        <v>1127</v>
      </c>
      <c r="AC52" s="62">
        <f>SUM(X52:AA52)</f>
        <v>3687</v>
      </c>
    </row>
    <row r="53" spans="1:31" x14ac:dyDescent="0.2">
      <c r="B53" s="23" t="s">
        <v>56</v>
      </c>
      <c r="C53" s="62"/>
      <c r="D53" s="62"/>
      <c r="E53" s="62"/>
      <c r="F53" s="62"/>
      <c r="G53" s="62"/>
      <c r="H53" s="62"/>
      <c r="I53" s="62"/>
      <c r="J53" s="62"/>
      <c r="K53" s="62"/>
      <c r="L53" s="62"/>
      <c r="M53" s="62">
        <v>2004</v>
      </c>
      <c r="N53" s="62">
        <v>2709</v>
      </c>
      <c r="O53" s="62">
        <v>3549</v>
      </c>
      <c r="P53" s="62">
        <v>4737</v>
      </c>
      <c r="Q53" s="62">
        <v>6386</v>
      </c>
      <c r="T53" s="62">
        <v>1252</v>
      </c>
      <c r="U53" s="62">
        <v>1321</v>
      </c>
      <c r="V53" s="62">
        <v>1474</v>
      </c>
      <c r="W53" s="62">
        <v>1624</v>
      </c>
      <c r="X53" s="62">
        <v>1655</v>
      </c>
      <c r="Y53" s="62">
        <v>1633</v>
      </c>
      <c r="Z53" s="62">
        <v>1928</v>
      </c>
      <c r="AA53" s="62">
        <v>2026</v>
      </c>
      <c r="AC53" s="62">
        <f t="shared" ref="AC53:AC57" si="24">SUM(X53:AA53)</f>
        <v>7242</v>
      </c>
    </row>
    <row r="54" spans="1:31" x14ac:dyDescent="0.2">
      <c r="B54" s="23" t="s">
        <v>88</v>
      </c>
      <c r="C54" s="62"/>
      <c r="D54" s="62"/>
      <c r="E54" s="62"/>
      <c r="F54" s="62"/>
      <c r="G54" s="62"/>
      <c r="H54" s="62"/>
      <c r="I54" s="62"/>
      <c r="J54" s="62"/>
      <c r="K54" s="62"/>
      <c r="L54" s="62"/>
      <c r="M54" s="62">
        <v>-2215</v>
      </c>
      <c r="N54" s="62">
        <v>822</v>
      </c>
      <c r="O54" s="62">
        <v>-6172</v>
      </c>
      <c r="P54" s="62">
        <v>-13063</v>
      </c>
      <c r="Q54" s="62">
        <v>-15399</v>
      </c>
      <c r="T54" s="62">
        <v>-3561</v>
      </c>
      <c r="U54" s="62">
        <v>-5370</v>
      </c>
      <c r="V54" s="62">
        <v>933</v>
      </c>
      <c r="W54" s="62">
        <v>-5675</v>
      </c>
      <c r="X54" s="62">
        <v>-5583</v>
      </c>
      <c r="Y54" s="62">
        <v>-5073</v>
      </c>
      <c r="Z54" s="62">
        <v>-2243</v>
      </c>
      <c r="AA54" s="62">
        <v>-22347</v>
      </c>
      <c r="AC54" s="62">
        <f t="shared" si="24"/>
        <v>-35246</v>
      </c>
    </row>
    <row r="55" spans="1:31" x14ac:dyDescent="0.2">
      <c r="B55" s="23" t="s">
        <v>137</v>
      </c>
      <c r="C55" s="62"/>
      <c r="D55" s="62"/>
      <c r="E55" s="62"/>
      <c r="F55" s="62"/>
      <c r="G55" s="62"/>
      <c r="H55" s="62"/>
      <c r="I55" s="62"/>
      <c r="J55" s="62"/>
      <c r="K55" s="62"/>
      <c r="L55" s="62"/>
      <c r="M55" s="62">
        <v>-774</v>
      </c>
      <c r="N55" s="62">
        <v>-2554</v>
      </c>
      <c r="O55" s="62">
        <v>-98</v>
      </c>
      <c r="P55" s="62">
        <v>-4781</v>
      </c>
      <c r="Q55" s="62">
        <v>-11324</v>
      </c>
      <c r="T55" s="62">
        <v>-978</v>
      </c>
      <c r="U55" s="62">
        <v>-2424</v>
      </c>
      <c r="V55" s="62">
        <v>-1258</v>
      </c>
      <c r="W55" s="62">
        <v>-3622</v>
      </c>
      <c r="X55" s="62">
        <v>-4823</v>
      </c>
      <c r="Y55" s="62">
        <v>-1621</v>
      </c>
      <c r="Z55" s="62">
        <v>-4420</v>
      </c>
      <c r="AA55" s="62">
        <v>-5784</v>
      </c>
      <c r="AC55" s="62">
        <f>SUM(X55:AA55)</f>
        <v>-16648</v>
      </c>
    </row>
    <row r="56" spans="1:31" x14ac:dyDescent="0.2">
      <c r="B56" s="23" t="s">
        <v>89</v>
      </c>
      <c r="C56" s="62"/>
      <c r="D56" s="62"/>
      <c r="E56" s="62"/>
      <c r="F56" s="62"/>
      <c r="G56" s="62"/>
      <c r="H56" s="62"/>
      <c r="I56" s="62"/>
      <c r="J56" s="62"/>
      <c r="K56" s="62"/>
      <c r="L56" s="62"/>
      <c r="M56" s="62">
        <v>568</v>
      </c>
      <c r="N56" s="62">
        <v>-551</v>
      </c>
      <c r="O56" s="62">
        <v>1531</v>
      </c>
      <c r="P56" s="62">
        <v>3357</v>
      </c>
      <c r="Q56" s="62">
        <v>3069</v>
      </c>
      <c r="T56" s="62">
        <v>1689</v>
      </c>
      <c r="U56" s="62">
        <v>867</v>
      </c>
      <c r="V56" s="62">
        <v>941</v>
      </c>
      <c r="W56" s="62">
        <v>1314</v>
      </c>
      <c r="X56" s="62">
        <v>-223</v>
      </c>
      <c r="Y56" s="62">
        <v>1064</v>
      </c>
      <c r="Z56" s="62">
        <v>2210</v>
      </c>
      <c r="AA56" s="62">
        <v>1915</v>
      </c>
      <c r="AC56" s="62">
        <f t="shared" si="24"/>
        <v>4966</v>
      </c>
    </row>
    <row r="57" spans="1:31" x14ac:dyDescent="0.2">
      <c r="B57" s="23" t="s">
        <v>90</v>
      </c>
      <c r="C57" s="62"/>
      <c r="D57" s="62"/>
      <c r="E57" s="62"/>
      <c r="F57" s="62"/>
      <c r="G57" s="62"/>
      <c r="H57" s="62"/>
      <c r="I57" s="62"/>
      <c r="J57" s="62"/>
      <c r="K57" s="62"/>
      <c r="L57" s="62"/>
      <c r="M57" s="62">
        <f>-1715+581+192</f>
        <v>-942</v>
      </c>
      <c r="N57" s="62">
        <f>-1517+1341+252</f>
        <v>76</v>
      </c>
      <c r="O57" s="62">
        <f>-1522+2025+514</f>
        <v>1017</v>
      </c>
      <c r="P57" s="62">
        <f>-395+4278+1221</f>
        <v>5104</v>
      </c>
      <c r="Q57" s="62">
        <f>577+5257+1844</f>
        <v>7678</v>
      </c>
      <c r="T57" s="62">
        <f>-714+606+266</f>
        <v>158</v>
      </c>
      <c r="U57" s="62">
        <f>331+360+372</f>
        <v>1063</v>
      </c>
      <c r="V57" s="62">
        <f>560+7128+350</f>
        <v>8038</v>
      </c>
      <c r="W57" s="62">
        <f>387-4053+629</f>
        <v>-3037</v>
      </c>
      <c r="X57" s="62">
        <f>-89+1129+332</f>
        <v>1372</v>
      </c>
      <c r="Y57" s="62">
        <f>-281+1053+533</f>
        <v>1305</v>
      </c>
      <c r="Z57" s="62">
        <f>-983+7763+1217</f>
        <v>7997</v>
      </c>
      <c r="AA57" s="62">
        <v>-4492</v>
      </c>
      <c r="AC57" s="62">
        <f t="shared" si="24"/>
        <v>6182</v>
      </c>
    </row>
    <row r="58" spans="1:31" s="19" customFormat="1" x14ac:dyDescent="0.2">
      <c r="A58" s="16"/>
      <c r="B58" s="17" t="s">
        <v>57</v>
      </c>
      <c r="C58" s="61"/>
      <c r="D58" s="61"/>
      <c r="E58" s="61"/>
      <c r="F58" s="61"/>
      <c r="G58" s="61"/>
      <c r="H58" s="61"/>
      <c r="I58" s="61"/>
      <c r="J58" s="61"/>
      <c r="K58" s="61"/>
      <c r="L58" s="61"/>
      <c r="M58" s="61">
        <v>9108</v>
      </c>
      <c r="N58" s="61">
        <v>5641</v>
      </c>
      <c r="O58" s="61">
        <v>28090</v>
      </c>
      <c r="P58" s="61">
        <v>64089</v>
      </c>
      <c r="Q58" s="61">
        <v>102718</v>
      </c>
      <c r="R58" s="1"/>
      <c r="S58" s="1"/>
      <c r="T58" s="61">
        <v>17629</v>
      </c>
      <c r="U58" s="61">
        <v>16628</v>
      </c>
      <c r="V58" s="61">
        <v>27414</v>
      </c>
      <c r="W58" s="61">
        <v>15365</v>
      </c>
      <c r="X58" s="61">
        <v>23750</v>
      </c>
      <c r="Y58" s="61">
        <v>36190</v>
      </c>
      <c r="Z58" s="61">
        <v>50344</v>
      </c>
      <c r="AA58" s="61">
        <v>24077</v>
      </c>
      <c r="AB58" s="1"/>
      <c r="AC58" s="61">
        <f>SUM(X58:AA58)</f>
        <v>134361</v>
      </c>
      <c r="AD58" s="1"/>
      <c r="AE58" s="1"/>
    </row>
    <row r="59" spans="1:31" x14ac:dyDescent="0.2">
      <c r="B59" s="20" t="s">
        <v>58</v>
      </c>
      <c r="C59" s="62"/>
      <c r="D59" s="62"/>
      <c r="E59" s="62"/>
      <c r="F59" s="62"/>
      <c r="G59" s="62"/>
      <c r="H59" s="62"/>
      <c r="I59" s="62"/>
      <c r="J59" s="62"/>
      <c r="K59" s="62"/>
      <c r="L59" s="62"/>
      <c r="M59" s="62">
        <v>-976</v>
      </c>
      <c r="N59" s="62">
        <v>-1833</v>
      </c>
      <c r="O59" s="62">
        <v>-1069</v>
      </c>
      <c r="P59" s="62">
        <f>-3236</f>
        <v>-3236</v>
      </c>
      <c r="Q59" s="62">
        <v>-6042</v>
      </c>
      <c r="T59" s="62">
        <v>-813</v>
      </c>
      <c r="U59" s="62">
        <v>-1077</v>
      </c>
      <c r="V59" s="62">
        <v>-1227</v>
      </c>
      <c r="W59" s="62">
        <v>-1894</v>
      </c>
      <c r="X59" s="62">
        <v>-1637</v>
      </c>
      <c r="Y59" s="62">
        <v>-1284</v>
      </c>
      <c r="Z59" s="62">
        <v>-1757</v>
      </c>
      <c r="AA59" s="62">
        <v>-2677</v>
      </c>
      <c r="AC59" s="62">
        <f>SUM(X59:AA59)</f>
        <v>-7355</v>
      </c>
    </row>
    <row r="60" spans="1:31" x14ac:dyDescent="0.2">
      <c r="B60" s="20" t="s">
        <v>91</v>
      </c>
      <c r="C60" s="62"/>
      <c r="D60" s="62"/>
      <c r="E60" s="62"/>
      <c r="F60" s="62"/>
      <c r="G60" s="62"/>
      <c r="H60" s="62"/>
      <c r="I60" s="62"/>
      <c r="J60" s="62"/>
      <c r="K60" s="62"/>
      <c r="L60" s="62"/>
      <c r="M60" s="62">
        <v>0</v>
      </c>
      <c r="N60" s="62">
        <v>0</v>
      </c>
      <c r="O60" s="62">
        <v>0</v>
      </c>
      <c r="P60" s="62">
        <v>0</v>
      </c>
      <c r="Q60" s="62">
        <v>0</v>
      </c>
      <c r="T60" s="62">
        <v>0</v>
      </c>
      <c r="U60" s="62">
        <v>0</v>
      </c>
      <c r="V60" s="62">
        <v>0</v>
      </c>
      <c r="W60" s="62">
        <v>0</v>
      </c>
      <c r="X60" s="62">
        <v>0</v>
      </c>
      <c r="Y60" s="62">
        <v>0</v>
      </c>
      <c r="Z60" s="62">
        <v>0</v>
      </c>
      <c r="AA60" s="62">
        <v>0</v>
      </c>
      <c r="AC60" s="62">
        <f t="shared" ref="AC60:AC65" si="25">SUM(X60:AA60)</f>
        <v>0</v>
      </c>
    </row>
    <row r="61" spans="1:31" s="19" customFormat="1" x14ac:dyDescent="0.2">
      <c r="A61" s="16"/>
      <c r="B61" s="17" t="s">
        <v>59</v>
      </c>
      <c r="C61" s="61"/>
      <c r="D61" s="61"/>
      <c r="E61" s="61"/>
      <c r="F61" s="61"/>
      <c r="G61" s="61"/>
      <c r="H61" s="61"/>
      <c r="I61" s="61"/>
      <c r="J61" s="61"/>
      <c r="K61" s="61"/>
      <c r="L61" s="61"/>
      <c r="M61" s="61">
        <v>-9830</v>
      </c>
      <c r="N61" s="61">
        <v>7375</v>
      </c>
      <c r="O61" s="61">
        <v>-10566</v>
      </c>
      <c r="P61" s="61">
        <v>-20421</v>
      </c>
      <c r="Q61" s="61">
        <v>-52228</v>
      </c>
      <c r="R61" s="1"/>
      <c r="S61" s="1"/>
      <c r="T61" s="61">
        <v>-4345</v>
      </c>
      <c r="U61" s="61">
        <v>-7198</v>
      </c>
      <c r="V61" s="61">
        <v>-5216</v>
      </c>
      <c r="W61" s="61">
        <v>-7126</v>
      </c>
      <c r="X61" s="61">
        <v>-9025</v>
      </c>
      <c r="Y61" s="61">
        <v>-30861</v>
      </c>
      <c r="Z61" s="61">
        <v>-26429</v>
      </c>
      <c r="AA61" s="61">
        <v>-8695</v>
      </c>
      <c r="AB61" s="1"/>
      <c r="AC61" s="61">
        <f t="shared" si="25"/>
        <v>-75010</v>
      </c>
      <c r="AD61" s="1"/>
      <c r="AE61" s="1"/>
    </row>
    <row r="62" spans="1:31" x14ac:dyDescent="0.2">
      <c r="B62" s="20" t="s">
        <v>60</v>
      </c>
      <c r="C62" s="62"/>
      <c r="D62" s="62"/>
      <c r="E62" s="62"/>
      <c r="F62" s="62"/>
      <c r="G62" s="62"/>
      <c r="H62" s="62"/>
      <c r="I62" s="62"/>
      <c r="J62" s="62"/>
      <c r="K62" s="62"/>
      <c r="L62" s="62"/>
      <c r="M62" s="62">
        <v>0</v>
      </c>
      <c r="N62" s="62">
        <v>-10039</v>
      </c>
      <c r="O62" s="62">
        <v>-9533</v>
      </c>
      <c r="P62" s="62">
        <v>-33706</v>
      </c>
      <c r="Q62" s="62">
        <v>-40086</v>
      </c>
      <c r="T62" s="62">
        <v>-10998</v>
      </c>
      <c r="U62" s="62">
        <v>-7810</v>
      </c>
      <c r="V62" s="62">
        <v>-14095</v>
      </c>
      <c r="W62" s="62">
        <v>-9721</v>
      </c>
      <c r="X62" s="62">
        <v>-12456</v>
      </c>
      <c r="Y62" s="62">
        <v>-3815</v>
      </c>
      <c r="Z62" s="62">
        <v>-19312</v>
      </c>
      <c r="AA62" s="62">
        <v>-19732</v>
      </c>
      <c r="AC62" s="62">
        <f t="shared" si="25"/>
        <v>-55315</v>
      </c>
    </row>
    <row r="63" spans="1:31" x14ac:dyDescent="0.2">
      <c r="B63" s="20" t="s">
        <v>276</v>
      </c>
      <c r="C63" s="62"/>
      <c r="D63" s="62"/>
      <c r="E63" s="62"/>
      <c r="F63" s="62"/>
      <c r="G63" s="62"/>
      <c r="H63" s="62"/>
      <c r="I63" s="62"/>
      <c r="J63" s="62"/>
      <c r="K63" s="62"/>
      <c r="L63" s="62"/>
      <c r="M63" s="62">
        <v>-399</v>
      </c>
      <c r="N63" s="62">
        <v>-398</v>
      </c>
      <c r="O63" s="62">
        <v>-395</v>
      </c>
      <c r="P63" s="62">
        <v>-834</v>
      </c>
      <c r="Q63" s="62">
        <v>-974</v>
      </c>
      <c r="T63" s="62">
        <v>-245</v>
      </c>
      <c r="U63" s="62">
        <v>-245</v>
      </c>
      <c r="V63" s="62">
        <v>-244</v>
      </c>
      <c r="W63" s="62">
        <v>-244</v>
      </c>
      <c r="X63" s="62">
        <v>-243</v>
      </c>
      <c r="Y63" s="62">
        <v>-243</v>
      </c>
      <c r="Z63" s="62">
        <v>-243</v>
      </c>
      <c r="AA63" s="62">
        <v>-6047</v>
      </c>
      <c r="AC63" s="62">
        <f>SUM(X63:AA63)</f>
        <v>-6776</v>
      </c>
    </row>
    <row r="64" spans="1:31" x14ac:dyDescent="0.2">
      <c r="B64" s="20" t="s">
        <v>322</v>
      </c>
      <c r="C64" s="62"/>
      <c r="D64" s="62"/>
      <c r="E64" s="62"/>
      <c r="F64" s="62"/>
      <c r="G64" s="62"/>
      <c r="H64" s="62"/>
      <c r="I64" s="62"/>
      <c r="J64" s="62"/>
      <c r="K64" s="62"/>
      <c r="L64" s="62"/>
      <c r="M64" s="62">
        <v>0</v>
      </c>
      <c r="N64" s="62">
        <v>0</v>
      </c>
      <c r="O64" s="62">
        <v>0</v>
      </c>
      <c r="P64" s="62">
        <v>0</v>
      </c>
      <c r="Q64" s="62">
        <v>0</v>
      </c>
      <c r="T64" s="62">
        <v>0</v>
      </c>
      <c r="U64" s="62">
        <v>0</v>
      </c>
      <c r="V64" s="62">
        <v>0</v>
      </c>
      <c r="W64" s="62">
        <v>0</v>
      </c>
      <c r="X64" s="62">
        <v>0</v>
      </c>
      <c r="Y64" s="62">
        <v>0</v>
      </c>
      <c r="Z64" s="62">
        <v>0</v>
      </c>
      <c r="AA64" s="62">
        <v>0</v>
      </c>
      <c r="AC64" s="62">
        <f>SUM(X64:AA64)</f>
        <v>0</v>
      </c>
    </row>
    <row r="65" spans="1:31" s="19" customFormat="1" ht="17" thickBot="1" x14ac:dyDescent="0.25">
      <c r="A65" s="16"/>
      <c r="B65" s="36" t="s">
        <v>61</v>
      </c>
      <c r="C65" s="71"/>
      <c r="D65" s="71"/>
      <c r="E65" s="71"/>
      <c r="F65" s="71"/>
      <c r="G65" s="71"/>
      <c r="H65" s="71"/>
      <c r="I65" s="71"/>
      <c r="J65" s="71"/>
      <c r="K65" s="71"/>
      <c r="L65" s="71"/>
      <c r="M65" s="71">
        <v>1865</v>
      </c>
      <c r="N65" s="71">
        <v>-11617</v>
      </c>
      <c r="O65" s="71">
        <v>-13633</v>
      </c>
      <c r="P65" s="71">
        <v>-42359</v>
      </c>
      <c r="Q65" s="71">
        <v>-48474</v>
      </c>
      <c r="R65" s="1"/>
      <c r="S65" s="1"/>
      <c r="T65" s="71">
        <v>-12748</v>
      </c>
      <c r="U65" s="71">
        <v>-9948</v>
      </c>
      <c r="V65" s="71">
        <v>-15553</v>
      </c>
      <c r="W65" s="71">
        <v>-11834</v>
      </c>
      <c r="X65" s="71">
        <v>-14878</v>
      </c>
      <c r="Y65" s="71">
        <v>-6210</v>
      </c>
      <c r="Z65" s="71">
        <v>-21283</v>
      </c>
      <c r="AA65" s="71">
        <v>-6176</v>
      </c>
      <c r="AB65" s="1"/>
      <c r="AC65" s="71">
        <f t="shared" si="25"/>
        <v>-48547</v>
      </c>
      <c r="AD65" s="1"/>
      <c r="AE65" s="1"/>
    </row>
    <row r="66" spans="1:31" x14ac:dyDescent="0.2">
      <c r="B66" s="1"/>
    </row>
    <row r="67" spans="1:31" s="15" customFormat="1" ht="17" thickBot="1" x14ac:dyDescent="0.25">
      <c r="A67" s="11"/>
      <c r="B67" s="14" t="s">
        <v>62</v>
      </c>
      <c r="R67" s="1"/>
      <c r="S67" s="1"/>
      <c r="AB67" s="1"/>
      <c r="AD67" s="1"/>
      <c r="AE67" s="1"/>
    </row>
    <row r="68" spans="1:31" x14ac:dyDescent="0.2">
      <c r="B68" s="20" t="s">
        <v>63</v>
      </c>
      <c r="C68" s="64">
        <f t="shared" ref="C68:Q68" si="26">C5-C6-C10+C12+C13+C15-C16</f>
        <v>0</v>
      </c>
      <c r="D68" s="64">
        <f t="shared" si="26"/>
        <v>0</v>
      </c>
      <c r="E68" s="64">
        <f t="shared" si="26"/>
        <v>0</v>
      </c>
      <c r="F68" s="64">
        <f t="shared" si="26"/>
        <v>0</v>
      </c>
      <c r="G68" s="64">
        <f t="shared" si="26"/>
        <v>0</v>
      </c>
      <c r="H68" s="64">
        <f t="shared" si="26"/>
        <v>0</v>
      </c>
      <c r="I68" s="64">
        <f t="shared" si="26"/>
        <v>0</v>
      </c>
      <c r="J68" s="64">
        <f t="shared" si="26"/>
        <v>0</v>
      </c>
      <c r="K68" s="64">
        <f t="shared" si="26"/>
        <v>0</v>
      </c>
      <c r="L68" s="64">
        <f t="shared" si="26"/>
        <v>0</v>
      </c>
      <c r="M68" s="64">
        <f t="shared" si="26"/>
        <v>9752</v>
      </c>
      <c r="N68" s="64">
        <f t="shared" si="26"/>
        <v>4368</v>
      </c>
      <c r="O68" s="64">
        <f t="shared" si="26"/>
        <v>29760</v>
      </c>
      <c r="P68" s="64">
        <f t="shared" si="26"/>
        <v>72880</v>
      </c>
      <c r="Q68" s="64">
        <f t="shared" si="26"/>
        <v>120067</v>
      </c>
      <c r="T68" s="64">
        <f t="shared" ref="T68:Z68" si="27">T5-T6-T10+T12+T13+T15-T16</f>
        <v>19309</v>
      </c>
      <c r="U68" s="64">
        <f t="shared" si="27"/>
        <v>22091</v>
      </c>
      <c r="V68" s="64">
        <f t="shared" si="27"/>
        <v>18775</v>
      </c>
      <c r="W68" s="64">
        <f t="shared" si="27"/>
        <v>26422</v>
      </c>
      <c r="X68" s="64">
        <f t="shared" si="27"/>
        <v>31910</v>
      </c>
      <c r="Y68" s="64">
        <f t="shared" si="27"/>
        <v>42960</v>
      </c>
      <c r="Z68" s="64">
        <f t="shared" si="27"/>
        <v>58331</v>
      </c>
      <c r="AA68" s="64">
        <f t="shared" ref="AA68" si="28">AA5-AA6-AA10+AA12+AA13+AA15-AA16</f>
        <v>59688</v>
      </c>
      <c r="AC68" s="64">
        <f>AC5-AC6-AC10+AC12+AC13+AC15-AC16</f>
        <v>192889</v>
      </c>
    </row>
    <row r="69" spans="1:31" s="41" customFormat="1" x14ac:dyDescent="0.2">
      <c r="A69" s="16"/>
      <c r="B69" s="17" t="s">
        <v>64</v>
      </c>
      <c r="C69" s="40">
        <f t="shared" ref="C69:Q69" si="29">C17-C68</f>
        <v>0</v>
      </c>
      <c r="D69" s="40">
        <f t="shared" si="29"/>
        <v>0</v>
      </c>
      <c r="E69" s="40">
        <f t="shared" si="29"/>
        <v>0</v>
      </c>
      <c r="F69" s="40">
        <f t="shared" si="29"/>
        <v>0</v>
      </c>
      <c r="G69" s="40">
        <f t="shared" si="29"/>
        <v>0</v>
      </c>
      <c r="H69" s="40">
        <f t="shared" si="29"/>
        <v>0</v>
      </c>
      <c r="I69" s="40">
        <f t="shared" si="29"/>
        <v>0</v>
      </c>
      <c r="J69" s="40">
        <f t="shared" si="29"/>
        <v>0</v>
      </c>
      <c r="K69" s="40">
        <f t="shared" si="29"/>
        <v>0</v>
      </c>
      <c r="L69" s="40">
        <f t="shared" si="29"/>
        <v>0</v>
      </c>
      <c r="M69" s="40">
        <f t="shared" si="29"/>
        <v>0</v>
      </c>
      <c r="N69" s="40">
        <f t="shared" si="29"/>
        <v>0</v>
      </c>
      <c r="O69" s="40">
        <f t="shared" si="29"/>
        <v>0</v>
      </c>
      <c r="P69" s="40">
        <f t="shared" si="29"/>
        <v>0</v>
      </c>
      <c r="Q69" s="40">
        <f t="shared" si="29"/>
        <v>0</v>
      </c>
      <c r="R69" s="1"/>
      <c r="S69" s="1"/>
      <c r="T69" s="40">
        <f t="shared" ref="T69:Y69" si="30">T17-T68</f>
        <v>0</v>
      </c>
      <c r="U69" s="40">
        <f t="shared" si="30"/>
        <v>0</v>
      </c>
      <c r="V69" s="40">
        <f t="shared" si="30"/>
        <v>0</v>
      </c>
      <c r="W69" s="40">
        <f t="shared" si="30"/>
        <v>0</v>
      </c>
      <c r="X69" s="40">
        <f t="shared" si="30"/>
        <v>0</v>
      </c>
      <c r="Y69" s="40">
        <f t="shared" si="30"/>
        <v>0</v>
      </c>
      <c r="Z69" s="40">
        <f t="shared" ref="Z69:AA69" si="31">Z17-Z68</f>
        <v>-10</v>
      </c>
      <c r="AA69" s="40">
        <f t="shared" si="31"/>
        <v>0</v>
      </c>
      <c r="AB69" s="16"/>
      <c r="AC69" s="40">
        <f>AC17-AC68</f>
        <v>-10</v>
      </c>
      <c r="AD69" s="1"/>
      <c r="AE69" s="1"/>
    </row>
    <row r="70" spans="1:31" s="41" customFormat="1" x14ac:dyDescent="0.2">
      <c r="A70" s="16"/>
      <c r="B70" s="17" t="s">
        <v>65</v>
      </c>
      <c r="C70" s="42">
        <f t="shared" ref="C70:Q70" si="32">C36-(C42+C110)</f>
        <v>0</v>
      </c>
      <c r="D70" s="42">
        <f t="shared" si="32"/>
        <v>0</v>
      </c>
      <c r="E70" s="42">
        <f t="shared" si="32"/>
        <v>0</v>
      </c>
      <c r="F70" s="42">
        <f t="shared" si="32"/>
        <v>0</v>
      </c>
      <c r="G70" s="42">
        <f t="shared" si="32"/>
        <v>0</v>
      </c>
      <c r="H70" s="42">
        <f t="shared" si="32"/>
        <v>0</v>
      </c>
      <c r="I70" s="42">
        <f t="shared" si="32"/>
        <v>0</v>
      </c>
      <c r="J70" s="42">
        <f t="shared" si="32"/>
        <v>0</v>
      </c>
      <c r="K70" s="42">
        <f t="shared" si="32"/>
        <v>0</v>
      </c>
      <c r="L70" s="42">
        <f t="shared" si="32"/>
        <v>0</v>
      </c>
      <c r="M70" s="42">
        <f t="shared" si="32"/>
        <v>0</v>
      </c>
      <c r="N70" s="42">
        <f t="shared" si="32"/>
        <v>0</v>
      </c>
      <c r="O70" s="42">
        <f t="shared" si="32"/>
        <v>0</v>
      </c>
      <c r="P70" s="42">
        <f t="shared" si="32"/>
        <v>0</v>
      </c>
      <c r="Q70" s="42">
        <f t="shared" si="32"/>
        <v>0</v>
      </c>
      <c r="R70" s="1"/>
      <c r="S70" s="1"/>
      <c r="T70" s="42">
        <f t="shared" ref="T70:Z70" si="33">T36-(T42+T110)</f>
        <v>0</v>
      </c>
      <c r="U70" s="42">
        <f t="shared" si="33"/>
        <v>0</v>
      </c>
      <c r="V70" s="42">
        <f t="shared" si="33"/>
        <v>0</v>
      </c>
      <c r="W70" s="42">
        <f t="shared" si="33"/>
        <v>0</v>
      </c>
      <c r="X70" s="42">
        <f t="shared" si="33"/>
        <v>0</v>
      </c>
      <c r="Y70" s="42">
        <f t="shared" si="33"/>
        <v>0</v>
      </c>
      <c r="Z70" s="42">
        <f t="shared" si="33"/>
        <v>0</v>
      </c>
      <c r="AA70" s="42">
        <f t="shared" ref="AA70" si="34">AA36-(AA42+AA110)</f>
        <v>0</v>
      </c>
      <c r="AB70" s="16"/>
      <c r="AC70" s="42">
        <f>AC36-(AC42+AC110)</f>
        <v>0</v>
      </c>
      <c r="AD70" s="1"/>
      <c r="AE70" s="1"/>
    </row>
    <row r="71" spans="1:31" x14ac:dyDescent="0.2">
      <c r="B71" s="39"/>
      <c r="J71" s="39"/>
      <c r="K71" s="39"/>
      <c r="L71" s="39"/>
      <c r="M71" s="39"/>
      <c r="N71" s="39"/>
      <c r="O71" s="39"/>
      <c r="P71" s="39"/>
    </row>
    <row r="72" spans="1:31" s="15" customFormat="1" ht="17" thickBot="1" x14ac:dyDescent="0.25">
      <c r="A72" s="11"/>
      <c r="B72" s="14" t="s">
        <v>66</v>
      </c>
      <c r="R72" s="1"/>
      <c r="S72" s="1"/>
      <c r="AB72" s="1"/>
      <c r="AD72" s="1"/>
      <c r="AE72" s="1"/>
    </row>
    <row r="73" spans="1:31" x14ac:dyDescent="0.2">
      <c r="B73" s="20" t="s">
        <v>67</v>
      </c>
      <c r="C73" s="43"/>
      <c r="D73" s="43"/>
      <c r="E73" s="43"/>
      <c r="F73" s="43"/>
      <c r="G73" s="43"/>
      <c r="H73" s="43"/>
      <c r="I73" s="43"/>
      <c r="J73" s="21"/>
      <c r="K73" s="21"/>
      <c r="L73" s="21"/>
      <c r="M73" s="21">
        <v>2510</v>
      </c>
      <c r="N73" s="21">
        <v>2470</v>
      </c>
      <c r="O73" s="21">
        <v>2500</v>
      </c>
      <c r="P73" s="21">
        <v>24400</v>
      </c>
      <c r="Q73" s="21">
        <v>24300</v>
      </c>
      <c r="T73" s="21">
        <v>24490</v>
      </c>
      <c r="U73" s="21">
        <v>24400</v>
      </c>
      <c r="V73" s="21">
        <v>24400</v>
      </c>
      <c r="W73" s="21">
        <v>24300</v>
      </c>
      <c r="X73" s="21">
        <v>24300</v>
      </c>
      <c r="Y73" s="21">
        <v>24300</v>
      </c>
      <c r="Z73" s="21">
        <v>24200</v>
      </c>
      <c r="AA73" s="21">
        <v>24100</v>
      </c>
      <c r="AC73" s="24">
        <f>AA73</f>
        <v>24100</v>
      </c>
    </row>
    <row r="74" spans="1:31" x14ac:dyDescent="0.2">
      <c r="B74" s="20" t="s">
        <v>68</v>
      </c>
      <c r="C74" s="25"/>
      <c r="D74" s="25"/>
      <c r="E74" s="25"/>
      <c r="F74" s="25"/>
      <c r="G74" s="25"/>
      <c r="H74" s="25"/>
      <c r="I74" s="25"/>
      <c r="J74" s="25"/>
      <c r="K74" s="25"/>
      <c r="L74" s="25"/>
      <c r="M74" s="25">
        <f t="shared" ref="M74:Q74" si="35">M73*M84</f>
        <v>25100</v>
      </c>
      <c r="N74" s="25">
        <f t="shared" si="35"/>
        <v>24700</v>
      </c>
      <c r="O74" s="25">
        <f t="shared" si="35"/>
        <v>25000</v>
      </c>
      <c r="P74" s="25">
        <f t="shared" si="35"/>
        <v>24400</v>
      </c>
      <c r="Q74" s="25">
        <f t="shared" si="35"/>
        <v>24300</v>
      </c>
      <c r="T74" s="25">
        <f t="shared" ref="T74" si="36">T73*T84</f>
        <v>24490</v>
      </c>
      <c r="U74" s="25">
        <f t="shared" ref="U74" si="37">U73*U84</f>
        <v>24400</v>
      </c>
      <c r="V74" s="25">
        <f t="shared" ref="V74" si="38">V73*V84</f>
        <v>24400</v>
      </c>
      <c r="W74" s="25">
        <f t="shared" ref="W74" si="39">W73*W84</f>
        <v>24300</v>
      </c>
      <c r="X74" s="25">
        <f t="shared" ref="X74:Z74" si="40">X73*X84</f>
        <v>24300</v>
      </c>
      <c r="Y74" s="25">
        <f t="shared" si="40"/>
        <v>24300</v>
      </c>
      <c r="Z74" s="25">
        <f t="shared" si="40"/>
        <v>24200</v>
      </c>
      <c r="AA74" s="25">
        <f t="shared" ref="AA74" si="41">AA73*AA84</f>
        <v>24100</v>
      </c>
      <c r="AC74" s="24">
        <f>AA74</f>
        <v>24100</v>
      </c>
    </row>
    <row r="75" spans="1:31" x14ac:dyDescent="0.2">
      <c r="B75" s="20" t="s">
        <v>226</v>
      </c>
      <c r="C75" s="25"/>
      <c r="D75" s="25"/>
      <c r="E75" s="25"/>
      <c r="F75" s="25"/>
      <c r="G75" s="25"/>
      <c r="H75" s="25"/>
      <c r="I75" s="25"/>
      <c r="J75" s="25"/>
      <c r="K75" s="25"/>
      <c r="L75" s="25"/>
      <c r="M75" s="21">
        <v>39</v>
      </c>
      <c r="N75" s="21">
        <v>20</v>
      </c>
      <c r="O75" s="21">
        <v>25</v>
      </c>
      <c r="P75" s="21">
        <v>249</v>
      </c>
      <c r="Q75" s="21">
        <v>155</v>
      </c>
      <c r="T75" s="21">
        <v>241</v>
      </c>
      <c r="U75" s="21">
        <v>249</v>
      </c>
      <c r="V75" s="21">
        <v>170</v>
      </c>
      <c r="W75" s="21">
        <v>166</v>
      </c>
      <c r="X75" s="21">
        <v>156</v>
      </c>
      <c r="Y75" s="21">
        <v>155</v>
      </c>
      <c r="Z75" s="21">
        <v>105</v>
      </c>
      <c r="AA75" s="21">
        <v>95</v>
      </c>
      <c r="AC75" s="21">
        <f>AA75</f>
        <v>95</v>
      </c>
    </row>
    <row r="76" spans="1:31" x14ac:dyDescent="0.2">
      <c r="B76" s="20" t="s">
        <v>227</v>
      </c>
      <c r="C76" s="25"/>
      <c r="D76" s="25"/>
      <c r="E76" s="25"/>
      <c r="F76" s="25"/>
      <c r="G76" s="25"/>
      <c r="H76" s="25"/>
      <c r="I76" s="25"/>
      <c r="J76" s="25"/>
      <c r="K76" s="25"/>
      <c r="L76" s="25"/>
      <c r="M76" s="25">
        <f t="shared" ref="M76:P76" si="42">M75*M84</f>
        <v>390</v>
      </c>
      <c r="N76" s="25">
        <f t="shared" si="42"/>
        <v>200</v>
      </c>
      <c r="O76" s="25">
        <f t="shared" si="42"/>
        <v>250</v>
      </c>
      <c r="P76" s="25">
        <f t="shared" si="42"/>
        <v>249</v>
      </c>
      <c r="Q76" s="25">
        <f>Q75*Q84</f>
        <v>155</v>
      </c>
      <c r="T76" s="25">
        <f t="shared" ref="T76:Y76" si="43">T75*T84</f>
        <v>241</v>
      </c>
      <c r="U76" s="25">
        <f t="shared" si="43"/>
        <v>249</v>
      </c>
      <c r="V76" s="25">
        <f t="shared" si="43"/>
        <v>170</v>
      </c>
      <c r="W76" s="25">
        <f t="shared" si="43"/>
        <v>166</v>
      </c>
      <c r="X76" s="25">
        <f t="shared" si="43"/>
        <v>156</v>
      </c>
      <c r="Y76" s="25">
        <f t="shared" si="43"/>
        <v>155</v>
      </c>
      <c r="Z76" s="25">
        <f t="shared" ref="Z76:AA76" si="44">Z75*Z84</f>
        <v>105</v>
      </c>
      <c r="AA76" s="25">
        <f t="shared" si="44"/>
        <v>95</v>
      </c>
      <c r="AC76" s="24">
        <f>AA76</f>
        <v>95</v>
      </c>
    </row>
    <row r="77" spans="1:31" x14ac:dyDescent="0.2">
      <c r="B77" s="20" t="s">
        <v>228</v>
      </c>
      <c r="C77" s="25"/>
      <c r="D77" s="25"/>
      <c r="E77" s="25"/>
      <c r="F77" s="25"/>
      <c r="G77" s="25"/>
      <c r="H77" s="25"/>
      <c r="I77" s="25"/>
      <c r="J77" s="25"/>
      <c r="K77" s="25"/>
      <c r="L77" s="25"/>
      <c r="M77" s="25">
        <f t="shared" ref="M77:P77" si="45">M74+M76</f>
        <v>25490</v>
      </c>
      <c r="N77" s="25">
        <f t="shared" si="45"/>
        <v>24900</v>
      </c>
      <c r="O77" s="25">
        <f t="shared" si="45"/>
        <v>25250</v>
      </c>
      <c r="P77" s="25">
        <f t="shared" si="45"/>
        <v>24649</v>
      </c>
      <c r="Q77" s="25">
        <f>Q74+Q76</f>
        <v>24455</v>
      </c>
      <c r="T77" s="25">
        <f t="shared" ref="T77:Y77" si="46">T74+T76</f>
        <v>24731</v>
      </c>
      <c r="U77" s="25">
        <f t="shared" si="46"/>
        <v>24649</v>
      </c>
      <c r="V77" s="25">
        <f t="shared" si="46"/>
        <v>24570</v>
      </c>
      <c r="W77" s="25">
        <f t="shared" si="46"/>
        <v>24466</v>
      </c>
      <c r="X77" s="25">
        <f t="shared" si="46"/>
        <v>24456</v>
      </c>
      <c r="Y77" s="25">
        <f t="shared" si="46"/>
        <v>24455</v>
      </c>
      <c r="Z77" s="25">
        <f t="shared" ref="Z77:AA77" si="47">Z74+Z76</f>
        <v>24305</v>
      </c>
      <c r="AA77" s="25">
        <f t="shared" si="47"/>
        <v>24195</v>
      </c>
      <c r="AC77" s="24">
        <f>AA77</f>
        <v>24195</v>
      </c>
    </row>
    <row r="78" spans="1:31" x14ac:dyDescent="0.2">
      <c r="B78" s="20" t="s">
        <v>267</v>
      </c>
      <c r="C78" s="25"/>
      <c r="D78" s="25"/>
      <c r="E78" s="25"/>
      <c r="F78" s="25"/>
      <c r="G78" s="25"/>
      <c r="H78" s="25"/>
      <c r="I78" s="25"/>
      <c r="J78" s="25"/>
      <c r="K78" s="25"/>
      <c r="L78" s="25"/>
      <c r="M78" s="21">
        <v>101</v>
      </c>
      <c r="N78" s="21">
        <v>99</v>
      </c>
      <c r="O78" s="21">
        <v>104</v>
      </c>
      <c r="P78" s="21">
        <v>1020</v>
      </c>
      <c r="Q78" s="21">
        <v>957</v>
      </c>
      <c r="T78" s="68"/>
      <c r="U78" s="68"/>
      <c r="V78" s="68"/>
      <c r="W78" s="68"/>
      <c r="X78" s="68"/>
      <c r="Y78" s="68"/>
      <c r="Z78" s="68"/>
      <c r="AA78" s="68"/>
      <c r="AC78" s="24">
        <f>Q78</f>
        <v>957</v>
      </c>
    </row>
    <row r="79" spans="1:31" x14ac:dyDescent="0.2">
      <c r="B79" s="20" t="s">
        <v>268</v>
      </c>
      <c r="C79" s="25"/>
      <c r="D79" s="25"/>
      <c r="E79" s="25"/>
      <c r="F79" s="25"/>
      <c r="G79" s="25"/>
      <c r="H79" s="25"/>
      <c r="I79" s="25"/>
      <c r="J79" s="25"/>
      <c r="K79" s="25"/>
      <c r="L79" s="25"/>
      <c r="M79" s="25">
        <f t="shared" ref="M79:P79" si="48">M78*M84</f>
        <v>1010</v>
      </c>
      <c r="N79" s="25">
        <f t="shared" si="48"/>
        <v>990</v>
      </c>
      <c r="O79" s="25">
        <f t="shared" si="48"/>
        <v>1040</v>
      </c>
      <c r="P79" s="25">
        <f t="shared" si="48"/>
        <v>1020</v>
      </c>
      <c r="Q79" s="25">
        <f>Q78*Q84</f>
        <v>957</v>
      </c>
      <c r="T79" s="68"/>
      <c r="U79" s="68"/>
      <c r="V79" s="68"/>
      <c r="W79" s="68"/>
      <c r="X79" s="68"/>
      <c r="Y79" s="68"/>
      <c r="Z79" s="68"/>
      <c r="AA79" s="68"/>
      <c r="AC79" s="24">
        <f>Q79</f>
        <v>957</v>
      </c>
    </row>
    <row r="80" spans="1:31" x14ac:dyDescent="0.2">
      <c r="B80" s="23" t="s">
        <v>69</v>
      </c>
      <c r="C80" s="44"/>
      <c r="D80" s="44"/>
      <c r="E80" s="44"/>
      <c r="F80" s="44"/>
      <c r="G80" s="44"/>
      <c r="H80" s="44"/>
      <c r="I80" s="44"/>
      <c r="J80" s="44"/>
      <c r="K80" s="44"/>
      <c r="L80" s="44"/>
      <c r="M80" s="44">
        <v>0.16</v>
      </c>
      <c r="N80" s="44">
        <v>0.16</v>
      </c>
      <c r="O80" s="44">
        <v>0.16</v>
      </c>
      <c r="P80" s="44">
        <v>3.4000000000000002E-2</v>
      </c>
      <c r="Q80" s="44">
        <v>0.04</v>
      </c>
      <c r="T80" s="44">
        <v>0.01</v>
      </c>
      <c r="U80" s="44">
        <v>0.01</v>
      </c>
      <c r="V80" s="44">
        <v>0.01</v>
      </c>
      <c r="W80" s="44">
        <v>0.01</v>
      </c>
      <c r="X80" s="44">
        <v>0.01</v>
      </c>
      <c r="Y80" s="44">
        <v>0.01</v>
      </c>
      <c r="Z80" s="44">
        <v>0.01</v>
      </c>
      <c r="AA80" s="44">
        <v>0.25</v>
      </c>
      <c r="AC80" s="72">
        <f>SUM(X80:AA80)</f>
        <v>0.28000000000000003</v>
      </c>
    </row>
    <row r="81" spans="1:31" x14ac:dyDescent="0.2">
      <c r="B81" s="23" t="s">
        <v>70</v>
      </c>
      <c r="C81" s="39"/>
      <c r="D81" s="45"/>
      <c r="E81" s="45"/>
      <c r="F81" s="45"/>
      <c r="G81" s="45"/>
      <c r="H81" s="45"/>
      <c r="I81" s="45"/>
      <c r="J81" s="45"/>
      <c r="K81" s="45"/>
      <c r="L81" s="45"/>
      <c r="M81" s="45">
        <f t="shared" ref="M81:Q81" si="49">M80/M84</f>
        <v>1.6E-2</v>
      </c>
      <c r="N81" s="45">
        <f t="shared" si="49"/>
        <v>1.6E-2</v>
      </c>
      <c r="O81" s="45">
        <f t="shared" si="49"/>
        <v>1.6E-2</v>
      </c>
      <c r="P81" s="45">
        <f t="shared" si="49"/>
        <v>3.4000000000000002E-2</v>
      </c>
      <c r="Q81" s="45">
        <f t="shared" si="49"/>
        <v>0.04</v>
      </c>
      <c r="T81" s="45">
        <f t="shared" ref="T81" si="50">T80/T84</f>
        <v>0.01</v>
      </c>
      <c r="U81" s="45">
        <f t="shared" ref="U81" si="51">U80/U84</f>
        <v>0.01</v>
      </c>
      <c r="V81" s="45">
        <f t="shared" ref="V81" si="52">V80/V84</f>
        <v>0.01</v>
      </c>
      <c r="W81" s="45">
        <f t="shared" ref="W81" si="53">W80/W84</f>
        <v>0.01</v>
      </c>
      <c r="X81" s="45">
        <f t="shared" ref="X81:Z81" si="54">X80/X84</f>
        <v>0.01</v>
      </c>
      <c r="Y81" s="45">
        <f t="shared" si="54"/>
        <v>0.01</v>
      </c>
      <c r="Z81" s="45">
        <f t="shared" si="54"/>
        <v>0.01</v>
      </c>
      <c r="AA81" s="45">
        <f t="shared" ref="AA81" si="55">AA80/AA84</f>
        <v>0.25</v>
      </c>
      <c r="AC81" s="72">
        <f>SUM(X81:AA81)</f>
        <v>0.28000000000000003</v>
      </c>
    </row>
    <row r="82" spans="1:31" x14ac:dyDescent="0.2">
      <c r="B82" s="20" t="s">
        <v>71</v>
      </c>
      <c r="C82" s="46">
        <f t="shared" ref="C82:Q82" si="56">IF(AND(C14&gt;0,C15&lt;0),-(C15)/C14,0)</f>
        <v>0</v>
      </c>
      <c r="D82" s="46">
        <f t="shared" si="56"/>
        <v>0</v>
      </c>
      <c r="E82" s="46">
        <f t="shared" si="56"/>
        <v>0</v>
      </c>
      <c r="F82" s="46">
        <f t="shared" si="56"/>
        <v>0</v>
      </c>
      <c r="G82" s="46">
        <f t="shared" si="56"/>
        <v>0</v>
      </c>
      <c r="H82" s="46">
        <f t="shared" si="56"/>
        <v>0</v>
      </c>
      <c r="I82" s="46">
        <f t="shared" si="56"/>
        <v>0</v>
      </c>
      <c r="J82" s="46">
        <f t="shared" si="56"/>
        <v>0</v>
      </c>
      <c r="K82" s="46">
        <f t="shared" si="56"/>
        <v>0</v>
      </c>
      <c r="L82" s="46">
        <f t="shared" si="56"/>
        <v>0</v>
      </c>
      <c r="M82" s="46">
        <f t="shared" si="56"/>
        <v>1.9012171813700834E-2</v>
      </c>
      <c r="N82" s="46">
        <f t="shared" si="56"/>
        <v>0</v>
      </c>
      <c r="O82" s="46">
        <f t="shared" si="56"/>
        <v>0.1199952687917677</v>
      </c>
      <c r="P82" s="46">
        <f t="shared" si="56"/>
        <v>0.13264941803727417</v>
      </c>
      <c r="Q82" s="46">
        <f t="shared" si="56"/>
        <v>0.15117002474372571</v>
      </c>
      <c r="T82" s="46">
        <f t="shared" ref="T82:Z82" si="57">IF(AND(T14&gt;0,T15&lt;0),-(T15)/T14,0)</f>
        <v>0.13474637031726117</v>
      </c>
      <c r="U82" s="46">
        <f t="shared" si="57"/>
        <v>0.1239639925447119</v>
      </c>
      <c r="V82" s="46">
        <f t="shared" si="57"/>
        <v>0.1430853491556367</v>
      </c>
      <c r="W82" s="46">
        <f t="shared" si="57"/>
        <v>0.15330385182336731</v>
      </c>
      <c r="X82" s="46">
        <f t="shared" si="57"/>
        <v>0.15884647827920709</v>
      </c>
      <c r="Y82" s="46">
        <f t="shared" si="57"/>
        <v>0.14756830763735937</v>
      </c>
      <c r="Z82" s="46">
        <f t="shared" si="57"/>
        <v>0.16568673733602277</v>
      </c>
      <c r="AA82" s="46">
        <f t="shared" ref="AA82" si="58">IF(AND(AA14&gt;0,AA15&lt;0),-(AA15)/AA14,0)</f>
        <v>0.16528451759967555</v>
      </c>
      <c r="AC82" s="46">
        <f>IF(AND(AC14&gt;0,AC15&lt;0),-(AC15)/AC14,0)</f>
        <v>0.16045755474595527</v>
      </c>
    </row>
    <row r="83" spans="1:31" x14ac:dyDescent="0.2">
      <c r="B83" s="20" t="s">
        <v>72</v>
      </c>
      <c r="C83" s="21"/>
      <c r="D83" s="21"/>
      <c r="E83" s="21"/>
      <c r="F83" s="21"/>
      <c r="G83" s="21"/>
      <c r="H83" s="21"/>
      <c r="I83" s="21"/>
      <c r="J83" s="21"/>
      <c r="K83" s="21"/>
      <c r="L83" s="21"/>
      <c r="M83" s="21">
        <v>22473</v>
      </c>
      <c r="N83" s="21">
        <v>26196</v>
      </c>
      <c r="O83" s="21">
        <v>29600</v>
      </c>
      <c r="P83" s="21">
        <v>36000</v>
      </c>
      <c r="Q83" s="21">
        <v>42000</v>
      </c>
      <c r="T83" s="68"/>
      <c r="U83" s="68"/>
      <c r="V83" s="68"/>
      <c r="W83" s="68"/>
      <c r="X83" s="68"/>
      <c r="Y83" s="68"/>
      <c r="Z83" s="68"/>
      <c r="AA83" s="68"/>
      <c r="AC83" s="21">
        <f>Q83</f>
        <v>42000</v>
      </c>
    </row>
    <row r="84" spans="1:31" x14ac:dyDescent="0.2">
      <c r="B84" s="20" t="s">
        <v>73</v>
      </c>
      <c r="C84" s="21"/>
      <c r="D84" s="21"/>
      <c r="E84" s="21"/>
      <c r="F84" s="21"/>
      <c r="G84" s="21"/>
      <c r="H84" s="21"/>
      <c r="I84" s="21"/>
      <c r="J84" s="21"/>
      <c r="K84" s="21"/>
      <c r="L84" s="21"/>
      <c r="M84" s="21">
        <v>10</v>
      </c>
      <c r="N84" s="21">
        <v>10</v>
      </c>
      <c r="O84" s="21">
        <v>10</v>
      </c>
      <c r="P84" s="21">
        <v>1</v>
      </c>
      <c r="Q84" s="21">
        <v>1</v>
      </c>
      <c r="T84" s="21">
        <v>1</v>
      </c>
      <c r="U84" s="21">
        <v>1</v>
      </c>
      <c r="V84" s="21">
        <v>1</v>
      </c>
      <c r="W84" s="21">
        <v>1</v>
      </c>
      <c r="X84" s="21">
        <v>1</v>
      </c>
      <c r="Y84" s="21">
        <v>1</v>
      </c>
      <c r="Z84" s="21">
        <v>1</v>
      </c>
      <c r="AA84" s="21">
        <v>1</v>
      </c>
      <c r="AC84" s="21">
        <v>1</v>
      </c>
    </row>
    <row r="86" spans="1:31" x14ac:dyDescent="0.2">
      <c r="B86" s="1"/>
    </row>
    <row r="87" spans="1:31" s="15" customFormat="1" ht="17" thickBot="1" x14ac:dyDescent="0.25">
      <c r="A87" s="11"/>
      <c r="B87" s="14" t="s">
        <v>74</v>
      </c>
      <c r="R87" s="1"/>
      <c r="S87" s="1"/>
      <c r="AB87" s="1"/>
      <c r="AD87" s="1"/>
      <c r="AE87" s="1"/>
    </row>
    <row r="88" spans="1:31" s="41" customFormat="1" x14ac:dyDescent="0.2">
      <c r="A88" s="16"/>
      <c r="B88" s="17" t="s">
        <v>19</v>
      </c>
      <c r="C88" s="47"/>
      <c r="D88" s="48"/>
      <c r="E88" s="48"/>
      <c r="F88" s="48"/>
      <c r="G88" s="48"/>
      <c r="H88" s="48"/>
      <c r="I88" s="48"/>
      <c r="J88" s="48"/>
      <c r="K88" s="48"/>
      <c r="L88" s="48"/>
      <c r="M88" s="48">
        <f t="shared" ref="M88:Q94" si="59">IF(L5=0,
IF(M5=0,0,IF(M5&gt;0,1,-1)),
(M5-L5)/ABS(L5)
)</f>
        <v>1</v>
      </c>
      <c r="N88" s="48">
        <f t="shared" si="59"/>
        <v>2.2293230289068887E-3</v>
      </c>
      <c r="O88" s="48">
        <f t="shared" si="59"/>
        <v>1.2585452658115222</v>
      </c>
      <c r="P88" s="48">
        <f t="shared" si="59"/>
        <v>1.1420340763599357</v>
      </c>
      <c r="Q88" s="48">
        <f t="shared" si="59"/>
        <v>0.65473535790094795</v>
      </c>
      <c r="R88" s="1"/>
      <c r="S88" s="1"/>
      <c r="T88" s="48">
        <f t="shared" ref="T88:T94" si="60">IF(S5=0,
IF(T5=0,0,IF(T5&gt;0,1,-1)),
(T5-S5)/ABS(S5)
)</f>
        <v>1</v>
      </c>
      <c r="U88" s="48">
        <f t="shared" ref="U88:U94" si="61">IF(T5=0,
IF(U5=0,0,IF(U5&gt;0,1,-1)),
(U5-T5)/ABS(T5)
)</f>
        <v>0.12111624194743743</v>
      </c>
      <c r="V88" s="48">
        <f t="shared" ref="V88:V94" si="62">IF(U5=0,
IF(V5=0,0,IF(V5&gt;0,1,-1)),
(V5-U5)/ABS(U5)
)</f>
        <v>0.12028679667437898</v>
      </c>
      <c r="W88" s="48">
        <f t="shared" ref="W88:W94" si="63">IF(V5=0,
IF(W5=0,0,IF(W5&gt;0,1,-1)),
(W5-V5)/ABS(V5)
)</f>
        <v>6.0846080522899554E-2</v>
      </c>
      <c r="X88" s="48">
        <f t="shared" ref="X88:X94" si="64">IF(W5=0,
IF(X5=0,0,IF(X5&gt;0,1,-1)),
(X5-W5)/ABS(W5)
)</f>
        <v>0.21956228740132211</v>
      </c>
      <c r="Y88" s="48">
        <f t="shared" ref="Y88:Y94" si="65">IF(X5=0,
IF(Y5=0,0,IF(Y5&gt;0,1,-1)),
(Y5-X5)/ABS(X5)
)</f>
        <v>0.1950847279233765</v>
      </c>
      <c r="Z88" s="48">
        <f t="shared" ref="Z88:Z94" si="66">IF(Y5=0,
IF(Z5=0,0,IF(Z5&gt;0,1,-1)),
(Z5-Y5)/ABS(Y5)
)</f>
        <v>0.19798317847549429</v>
      </c>
      <c r="AA88" s="48">
        <f t="shared" ref="AA88:AA94" si="67">IF(Z5=0,
IF(AA5=0,0,IF(AA5&gt;0,1,-1)),
(AA5-Z5)/ABS(Z5)
)</f>
        <v>0.17896220057587453</v>
      </c>
      <c r="AB88" s="1"/>
      <c r="AC88" s="67"/>
      <c r="AD88" s="1"/>
      <c r="AE88" s="1"/>
    </row>
    <row r="89" spans="1:31" x14ac:dyDescent="0.2">
      <c r="B89" s="20" t="s">
        <v>20</v>
      </c>
      <c r="C89" s="49"/>
      <c r="D89" s="50"/>
      <c r="E89" s="50"/>
      <c r="F89" s="50"/>
      <c r="G89" s="50"/>
      <c r="H89" s="50"/>
      <c r="I89" s="50"/>
      <c r="J89" s="50"/>
      <c r="K89" s="50"/>
      <c r="L89" s="50"/>
      <c r="M89" s="50">
        <f t="shared" si="59"/>
        <v>1</v>
      </c>
      <c r="N89" s="50">
        <f t="shared" si="59"/>
        <v>0.23085072571246953</v>
      </c>
      <c r="O89" s="50">
        <f t="shared" si="59"/>
        <v>0.43062489240833191</v>
      </c>
      <c r="P89" s="50">
        <f t="shared" si="59"/>
        <v>0.9637205944287347</v>
      </c>
      <c r="Q89" s="50">
        <f t="shared" si="59"/>
        <v>0.91412114341738415</v>
      </c>
      <c r="T89" s="50">
        <f t="shared" si="60"/>
        <v>1</v>
      </c>
      <c r="U89" s="50">
        <f t="shared" si="61"/>
        <v>0.18843827022182388</v>
      </c>
      <c r="V89" s="50">
        <f t="shared" si="62"/>
        <v>0.63970588235294112</v>
      </c>
      <c r="W89" s="50">
        <f t="shared" si="63"/>
        <v>-0.25893986432103022</v>
      </c>
      <c r="X89" s="50">
        <f t="shared" si="64"/>
        <v>0.17587276958882855</v>
      </c>
      <c r="Y89" s="50">
        <f t="shared" si="65"/>
        <v>0.12383717094411822</v>
      </c>
      <c r="Z89" s="50">
        <f t="shared" si="66"/>
        <v>0.20100974521545145</v>
      </c>
      <c r="AA89" s="50">
        <f t="shared" si="67"/>
        <v>0.17699677387818946</v>
      </c>
      <c r="AC89" s="68"/>
    </row>
    <row r="90" spans="1:31" s="41" customFormat="1" x14ac:dyDescent="0.2">
      <c r="A90" s="16"/>
      <c r="B90" s="17" t="s">
        <v>21</v>
      </c>
      <c r="C90" s="47"/>
      <c r="D90" s="48"/>
      <c r="E90" s="48"/>
      <c r="F90" s="48"/>
      <c r="G90" s="48"/>
      <c r="H90" s="48"/>
      <c r="I90" s="48"/>
      <c r="J90" s="48"/>
      <c r="K90" s="48"/>
      <c r="L90" s="48"/>
      <c r="M90" s="48">
        <f t="shared" si="59"/>
        <v>1</v>
      </c>
      <c r="N90" s="48">
        <f t="shared" si="59"/>
        <v>-0.12125894134477826</v>
      </c>
      <c r="O90" s="48">
        <f t="shared" si="59"/>
        <v>1.8849309716071894</v>
      </c>
      <c r="P90" s="48">
        <f t="shared" si="59"/>
        <v>1.208934335568046</v>
      </c>
      <c r="Q90" s="48">
        <f t="shared" si="59"/>
        <v>0.56822130025138462</v>
      </c>
      <c r="R90" s="1"/>
      <c r="S90" s="1"/>
      <c r="T90" s="48">
        <f t="shared" si="60"/>
        <v>1</v>
      </c>
      <c r="U90" s="48">
        <f t="shared" si="61"/>
        <v>9.8141917724422698E-2</v>
      </c>
      <c r="V90" s="48">
        <f t="shared" si="62"/>
        <v>-7.1545451380426839E-2</v>
      </c>
      <c r="W90" s="48">
        <f t="shared" si="63"/>
        <v>0.26942402879856009</v>
      </c>
      <c r="X90" s="48">
        <f t="shared" si="64"/>
        <v>0.23619767819691018</v>
      </c>
      <c r="Y90" s="48">
        <f t="shared" si="65"/>
        <v>0.22088938803794594</v>
      </c>
      <c r="Z90" s="48">
        <f t="shared" si="66"/>
        <v>0.19697414518622902</v>
      </c>
      <c r="AA90" s="48">
        <f t="shared" si="67"/>
        <v>0.17961966741337868</v>
      </c>
      <c r="AB90" s="1"/>
      <c r="AC90" s="67"/>
      <c r="AD90" s="1"/>
      <c r="AE90" s="1"/>
    </row>
    <row r="91" spans="1:31" x14ac:dyDescent="0.2">
      <c r="B91" s="20" t="s">
        <v>22</v>
      </c>
      <c r="C91" s="49"/>
      <c r="D91" s="50"/>
      <c r="E91" s="50"/>
      <c r="F91" s="50"/>
      <c r="G91" s="50"/>
      <c r="H91" s="50"/>
      <c r="I91" s="50"/>
      <c r="J91" s="50"/>
      <c r="K91" s="50"/>
      <c r="L91" s="50"/>
      <c r="M91" s="50">
        <f t="shared" si="59"/>
        <v>1</v>
      </c>
      <c r="N91" s="50">
        <f t="shared" si="59"/>
        <v>0.3931283219438117</v>
      </c>
      <c r="O91" s="50">
        <f t="shared" si="59"/>
        <v>0.18204115002043875</v>
      </c>
      <c r="P91" s="50">
        <f t="shared" si="59"/>
        <v>0.4886455331412104</v>
      </c>
      <c r="Q91" s="50">
        <f t="shared" si="59"/>
        <v>0.43232151153786585</v>
      </c>
      <c r="T91" s="50">
        <f t="shared" si="60"/>
        <v>1</v>
      </c>
      <c r="U91" s="50">
        <f t="shared" si="61"/>
        <v>9.5575221238938052E-2</v>
      </c>
      <c r="V91" s="50">
        <f t="shared" si="62"/>
        <v>7.4044157242864839E-2</v>
      </c>
      <c r="W91" s="50">
        <f t="shared" si="63"/>
        <v>7.5708197543243927E-2</v>
      </c>
      <c r="X91" s="50">
        <f t="shared" si="64"/>
        <v>9.6481006758331392E-2</v>
      </c>
      <c r="Y91" s="50">
        <f t="shared" si="65"/>
        <v>0.17151965993623805</v>
      </c>
      <c r="Z91" s="50">
        <f t="shared" si="66"/>
        <v>0.14677068214804065</v>
      </c>
      <c r="AA91" s="50">
        <f t="shared" si="67"/>
        <v>0.11596266413542161</v>
      </c>
      <c r="AC91" s="68"/>
    </row>
    <row r="92" spans="1:31" x14ac:dyDescent="0.2">
      <c r="B92" s="20" t="s">
        <v>338</v>
      </c>
      <c r="C92" s="49"/>
      <c r="D92" s="50"/>
      <c r="E92" s="50"/>
      <c r="F92" s="50"/>
      <c r="G92" s="50"/>
      <c r="H92" s="50"/>
      <c r="I92" s="50"/>
      <c r="J92" s="50"/>
      <c r="K92" s="50"/>
      <c r="L92" s="50"/>
      <c r="M92" s="50">
        <f t="shared" si="59"/>
        <v>1</v>
      </c>
      <c r="N92" s="50">
        <f t="shared" si="59"/>
        <v>0.1265004616805171</v>
      </c>
      <c r="O92" s="50">
        <f t="shared" si="59"/>
        <v>8.7704918032786891E-2</v>
      </c>
      <c r="P92" s="50">
        <f t="shared" si="59"/>
        <v>0.31537302185380556</v>
      </c>
      <c r="Q92" s="50">
        <f t="shared" si="59"/>
        <v>0.31165855055857922</v>
      </c>
      <c r="T92" s="50">
        <f t="shared" si="60"/>
        <v>1</v>
      </c>
      <c r="U92" s="50">
        <f t="shared" si="61"/>
        <v>8.6956521739130432E-2</v>
      </c>
      <c r="V92" s="50">
        <f t="shared" si="62"/>
        <v>6.7692307692307691E-2</v>
      </c>
      <c r="W92" s="50">
        <f t="shared" si="63"/>
        <v>7.7809798270893377E-2</v>
      </c>
      <c r="X92" s="50">
        <f t="shared" si="64"/>
        <v>1.06951871657754E-2</v>
      </c>
      <c r="Y92" s="50">
        <f t="shared" si="65"/>
        <v>0.13051146384479717</v>
      </c>
      <c r="Z92" s="50">
        <f t="shared" si="66"/>
        <v>1.4040561622464899E-2</v>
      </c>
      <c r="AA92" s="50">
        <f t="shared" si="67"/>
        <v>4.1538461538461538E-2</v>
      </c>
      <c r="AC92" s="68"/>
    </row>
    <row r="93" spans="1:31" x14ac:dyDescent="0.2">
      <c r="B93" s="23" t="s">
        <v>23</v>
      </c>
      <c r="C93" s="49"/>
      <c r="D93" s="50"/>
      <c r="E93" s="50"/>
      <c r="F93" s="50"/>
      <c r="G93" s="50"/>
      <c r="H93" s="50"/>
      <c r="I93" s="50"/>
      <c r="J93" s="50"/>
      <c r="K93" s="50"/>
      <c r="L93" s="50"/>
      <c r="M93" s="50">
        <f t="shared" si="59"/>
        <v>1</v>
      </c>
      <c r="N93" s="50">
        <f t="shared" si="59"/>
        <v>0.49744417541027708</v>
      </c>
      <c r="O93" s="50">
        <f t="shared" si="59"/>
        <v>1.7696730147323033E-2</v>
      </c>
      <c r="P93" s="50">
        <f t="shared" si="59"/>
        <v>0.44805366757878012</v>
      </c>
      <c r="Q93" s="50">
        <f t="shared" si="59"/>
        <v>0.40664431575739102</v>
      </c>
      <c r="T93" s="50">
        <f t="shared" si="60"/>
        <v>1</v>
      </c>
      <c r="U93" s="50">
        <f t="shared" si="61"/>
        <v>9.3771868439468165E-2</v>
      </c>
      <c r="V93" s="50">
        <f t="shared" si="62"/>
        <v>7.2723395180208997E-2</v>
      </c>
      <c r="W93" s="50">
        <f t="shared" si="63"/>
        <v>7.6143141153081517E-2</v>
      </c>
      <c r="X93" s="50">
        <f t="shared" si="64"/>
        <v>7.8699427304636985E-2</v>
      </c>
      <c r="Y93" s="50">
        <f t="shared" si="65"/>
        <v>0.16355540332248672</v>
      </c>
      <c r="Z93" s="50">
        <f t="shared" si="66"/>
        <v>0.12172505151604357</v>
      </c>
      <c r="AA93" s="50">
        <f t="shared" si="67"/>
        <v>0.10326728775751214</v>
      </c>
      <c r="AC93" s="68"/>
    </row>
    <row r="94" spans="1:31" s="41" customFormat="1" x14ac:dyDescent="0.2">
      <c r="A94" s="16"/>
      <c r="B94" s="17" t="s">
        <v>24</v>
      </c>
      <c r="C94" s="47"/>
      <c r="D94" s="48"/>
      <c r="E94" s="48"/>
      <c r="F94" s="48"/>
      <c r="G94" s="48"/>
      <c r="H94" s="48"/>
      <c r="I94" s="48"/>
      <c r="J94" s="48"/>
      <c r="K94" s="48"/>
      <c r="L94" s="48"/>
      <c r="M94" s="48">
        <f t="shared" si="59"/>
        <v>1</v>
      </c>
      <c r="N94" s="48">
        <f t="shared" si="59"/>
        <v>-0.57932476844935765</v>
      </c>
      <c r="O94" s="48">
        <f t="shared" si="59"/>
        <v>6.8058712121212119</v>
      </c>
      <c r="P94" s="48">
        <f t="shared" si="59"/>
        <v>1.470368797767803</v>
      </c>
      <c r="Q94" s="48">
        <f t="shared" si="59"/>
        <v>0.60076363055995485</v>
      </c>
      <c r="R94" s="1"/>
      <c r="S94" s="1"/>
      <c r="T94" s="48">
        <f t="shared" si="60"/>
        <v>1</v>
      </c>
      <c r="U94" s="48">
        <f t="shared" si="61"/>
        <v>9.8998582468334165E-2</v>
      </c>
      <c r="V94" s="48">
        <f t="shared" si="62"/>
        <v>-9.9692102854289755E-2</v>
      </c>
      <c r="W94" s="48">
        <f t="shared" si="63"/>
        <v>0.31435437655975601</v>
      </c>
      <c r="X94" s="48">
        <f t="shared" si="64"/>
        <v>0.2661744022503516</v>
      </c>
      <c r="Y94" s="48">
        <f t="shared" si="65"/>
        <v>0.23018605942793668</v>
      </c>
      <c r="Z94" s="48">
        <f t="shared" si="66"/>
        <v>0.20851486489537011</v>
      </c>
      <c r="AA94" s="48">
        <f t="shared" si="67"/>
        <v>0.19048864315600716</v>
      </c>
      <c r="AB94" s="1"/>
      <c r="AC94" s="67"/>
      <c r="AD94" s="1"/>
      <c r="AE94" s="1"/>
    </row>
    <row r="95" spans="1:31" s="53" customFormat="1" x14ac:dyDescent="0.2">
      <c r="A95" s="16"/>
      <c r="B95" s="51" t="s">
        <v>27</v>
      </c>
      <c r="C95" s="47"/>
      <c r="D95" s="52"/>
      <c r="E95" s="52"/>
      <c r="F95" s="52"/>
      <c r="G95" s="52"/>
      <c r="H95" s="52"/>
      <c r="I95" s="52"/>
      <c r="J95" s="52"/>
      <c r="K95" s="52"/>
      <c r="L95" s="52"/>
      <c r="M95" s="52">
        <f>IF(L14=0,
IF(M14=0,0,IF(M14&gt;0,1,-1)),
(M14-L14)/ABS(L14)
)</f>
        <v>1</v>
      </c>
      <c r="N95" s="52">
        <f>IF(M14=0,
IF(N14=0,0,IF(N14&gt;0,1,-1)),
(N14-M14)/ABS(M14)
)</f>
        <v>-0.57941856956040638</v>
      </c>
      <c r="O95" s="52">
        <f>IF(N14=0,
IF(O14=0,0,IF(O14&gt;0,1,-1)),
(O14-N14)/ABS(N14)
)</f>
        <v>7.0884955752212386</v>
      </c>
      <c r="P95" s="52">
        <f>IF(O14=0,
IF(P14=0,0,IF(P14&gt;0,1,-1)),
(P14-O14)/ABS(O14)
)</f>
        <v>1.4846531432964694</v>
      </c>
      <c r="Q95" s="52">
        <f>IF(P14=0,
IF(Q14=0,0,IF(Q14&gt;0,1,-1)),
(Q14-P14)/ABS(P14)
)</f>
        <v>0.68340751672101496</v>
      </c>
      <c r="R95" s="1"/>
      <c r="S95" s="1"/>
      <c r="T95" s="52">
        <f t="shared" ref="T95" si="68">IF(S14=0,
IF(T14=0,0,IF(T14&gt;0,1,-1)),
(T14-S14)/ABS(S14)
)</f>
        <v>1</v>
      </c>
      <c r="U95" s="52">
        <f t="shared" ref="U95" si="69">IF(T14=0,
IF(U14=0,0,IF(U14&gt;0,1,-1)),
(U14-T14)/ABS(T14)
)</f>
        <v>0.12999641512815918</v>
      </c>
      <c r="V95" s="52">
        <f t="shared" ref="V95" si="70">IF(U14=0,
IF(V14=0,0,IF(V14&gt;0,1,-1)),
(V14-U14)/ABS(U14)
)</f>
        <v>-0.13114169012967442</v>
      </c>
      <c r="W95" s="52">
        <f t="shared" ref="W95" si="71">IF(V14=0,
IF(W14=0,0,IF(W14&gt;0,1,-1)),
(W14-V14)/ABS(V14)
)</f>
        <v>0.42428115015974444</v>
      </c>
      <c r="X95" s="52">
        <f t="shared" ref="X95" si="72">IF(W14=0,
IF(X14=0,0,IF(X14&gt;0,1,-1)),
(X14-W14)/ABS(W14)
)</f>
        <v>0.21566365442543101</v>
      </c>
      <c r="Y95" s="52">
        <f t="shared" ref="Y95" si="73">IF(X14=0,
IF(Y14=0,0,IF(Y14&gt;0,1,-1)),
(Y14-X14)/ABS(X14)
)</f>
        <v>0.32847427245887811</v>
      </c>
      <c r="Z95" s="52">
        <f t="shared" ref="Z95" si="74">IF(Y14=0,
IF(Z14=0,0,IF(Z14&gt;0,1,-1)),
(Z14-Y14)/ABS(Y14)
)</f>
        <v>0.38704684802666828</v>
      </c>
      <c r="AA95" s="52">
        <f t="shared" ref="AA95" si="75">IF(Z14=0,
IF(AA14=0,0,IF(AA14&gt;0,1,-1)),
(AA14-Z14)/ABS(Z14)
)</f>
        <v>2.2946082428508076E-2</v>
      </c>
      <c r="AB95" s="1"/>
      <c r="AC95" s="67"/>
      <c r="AD95" s="1"/>
      <c r="AE95" s="1"/>
    </row>
    <row r="96" spans="1:31" s="53" customFormat="1" x14ac:dyDescent="0.2">
      <c r="A96" s="16"/>
      <c r="B96" s="51" t="s">
        <v>29</v>
      </c>
      <c r="C96" s="47"/>
      <c r="D96" s="52"/>
      <c r="E96" s="52"/>
      <c r="F96" s="52"/>
      <c r="G96" s="52"/>
      <c r="H96" s="52"/>
      <c r="I96" s="52"/>
      <c r="J96" s="52"/>
      <c r="K96" s="52"/>
      <c r="L96" s="52"/>
      <c r="M96" s="52">
        <f>IF(L17=0,
IF(M17=0,0,IF(M17&gt;0,1,-1)),
(M17-L17)/ABS(L17)
)</f>
        <v>1</v>
      </c>
      <c r="N96" s="52">
        <f>IF(M17=0,
IF(N17=0,0,IF(N17&gt;0,1,-1)),
(N17-M17)/ABS(M17)
)</f>
        <v>-0.55209187858900743</v>
      </c>
      <c r="O96" s="52">
        <f>IF(N17=0,
IF(O17=0,0,IF(O17&gt;0,1,-1)),
(O17-N17)/ABS(N17)
)</f>
        <v>5.813186813186813</v>
      </c>
      <c r="P96" s="52">
        <f>IF(O17=0,
IF(P17=0,0,IF(P17&gt;0,1,-1)),
(P17-O17)/ABS(O17)
)</f>
        <v>1.4489247311827957</v>
      </c>
      <c r="Q96" s="52">
        <f>IF(P17=0,
IF(Q17=0,0,IF(Q17&gt;0,1,-1)),
(Q17-P17)/ABS(P17)
)</f>
        <v>0.6474615806805708</v>
      </c>
      <c r="R96" s="1"/>
      <c r="S96" s="1"/>
      <c r="T96" s="52">
        <f t="shared" ref="T96" si="76">IF(S17=0,
IF(T17=0,0,IF(T17&gt;0,1,-1)),
(T17-S17)/ABS(S17)
)</f>
        <v>1</v>
      </c>
      <c r="U96" s="52">
        <f t="shared" ref="U96" si="77">IF(T17=0,
IF(U17=0,0,IF(U17&gt;0,1,-1)),
(U17-T17)/ABS(T17)
)</f>
        <v>0.14407789113884717</v>
      </c>
      <c r="V96" s="52">
        <f t="shared" ref="V96" si="78">IF(U17=0,
IF(V17=0,0,IF(V17&gt;0,1,-1)),
(V17-U17)/ABS(U17)
)</f>
        <v>-0.15010637816305283</v>
      </c>
      <c r="W96" s="52">
        <f t="shared" ref="W96" si="79">IF(V17=0,
IF(W17=0,0,IF(W17&gt;0,1,-1)),
(W17-V17)/ABS(V17)
)</f>
        <v>0.40729693741677764</v>
      </c>
      <c r="X96" s="52">
        <f t="shared" ref="X96" si="80">IF(W17=0,
IF(X17=0,0,IF(X17&gt;0,1,-1)),
(X17-W17)/ABS(W17)
)</f>
        <v>0.20770569979562487</v>
      </c>
      <c r="Y96" s="52">
        <f t="shared" ref="Y96" si="81">IF(X17=0,
IF(Y17=0,0,IF(Y17&gt;0,1,-1)),
(Y17-X17)/ABS(X17)
)</f>
        <v>0.34628643058602321</v>
      </c>
      <c r="Z96" s="52">
        <f t="shared" ref="Z96" si="82">IF(Y17=0,
IF(Z17=0,0,IF(Z17&gt;0,1,-1)),
(Z17-Y17)/ABS(Y17)
)</f>
        <v>0.35756517690875234</v>
      </c>
      <c r="AA96" s="52">
        <f t="shared" ref="AA96" si="83">IF(Z17=0,
IF(AA17=0,0,IF(AA17&gt;0,1,-1)),
(AA17-Z17)/ABS(Z17)
)</f>
        <v>2.3439241439618664E-2</v>
      </c>
      <c r="AB96" s="1"/>
      <c r="AC96" s="67"/>
      <c r="AD96" s="1"/>
      <c r="AE96" s="1"/>
    </row>
    <row r="97" spans="1:31" x14ac:dyDescent="0.2">
      <c r="B97" s="1"/>
    </row>
    <row r="98" spans="1:31" s="15" customFormat="1" ht="17" thickBot="1" x14ac:dyDescent="0.25">
      <c r="A98" s="11"/>
      <c r="B98" s="14" t="s">
        <v>75</v>
      </c>
      <c r="R98" s="1"/>
      <c r="S98" s="1"/>
      <c r="AB98" s="1"/>
      <c r="AD98" s="1"/>
      <c r="AE98" s="1"/>
    </row>
    <row r="99" spans="1:31" x14ac:dyDescent="0.2">
      <c r="B99" s="20" t="s">
        <v>76</v>
      </c>
      <c r="C99" s="50"/>
      <c r="D99" s="50"/>
      <c r="E99" s="50"/>
      <c r="F99" s="50"/>
      <c r="G99" s="50"/>
      <c r="H99" s="50"/>
      <c r="I99" s="50"/>
      <c r="J99" s="50"/>
      <c r="K99" s="50"/>
      <c r="L99" s="50"/>
      <c r="M99" s="50">
        <f>M7/M5</f>
        <v>0.64929033216913135</v>
      </c>
      <c r="N99" s="50">
        <f>N7/N5</f>
        <v>0.56928894490991322</v>
      </c>
      <c r="O99" s="50">
        <f>O7/O5</f>
        <v>0.72717573290436954</v>
      </c>
      <c r="P99" s="50">
        <f>P7/P5</f>
        <v>0.74988697058169917</v>
      </c>
      <c r="Q99" s="50">
        <f>Q7/Q5</f>
        <v>0.71068084357547079</v>
      </c>
      <c r="T99" s="50">
        <f t="shared" ref="T99:Z99" si="84">T7/T5</f>
        <v>0.74556752750698363</v>
      </c>
      <c r="U99" s="50">
        <f t="shared" si="84"/>
        <v>0.73028908494571709</v>
      </c>
      <c r="V99" s="50">
        <f t="shared" si="84"/>
        <v>0.60523807362353044</v>
      </c>
      <c r="W99" s="50">
        <f t="shared" si="84"/>
        <v>0.72423678411740799</v>
      </c>
      <c r="X99" s="50">
        <f t="shared" si="84"/>
        <v>0.7341157071185489</v>
      </c>
      <c r="Y99" s="50">
        <f t="shared" si="84"/>
        <v>0.74996697344665109</v>
      </c>
      <c r="Z99" s="50">
        <f t="shared" si="84"/>
        <v>0.74933529375727503</v>
      </c>
      <c r="AA99" s="50">
        <f t="shared" ref="AA99" si="85">AA7/AA5</f>
        <v>0.74975317238440675</v>
      </c>
      <c r="AC99" s="50">
        <f>AC7/AC5</f>
        <v>0.74674636679000161</v>
      </c>
    </row>
    <row r="100" spans="1:31" x14ac:dyDescent="0.2">
      <c r="B100" s="20" t="s">
        <v>77</v>
      </c>
      <c r="C100" s="50"/>
      <c r="D100" s="50"/>
      <c r="E100" s="50"/>
      <c r="F100" s="50"/>
      <c r="G100" s="50"/>
      <c r="H100" s="50"/>
      <c r="I100" s="50"/>
      <c r="J100" s="50"/>
      <c r="K100" s="50"/>
      <c r="L100" s="50"/>
      <c r="M100" s="50">
        <f>M11/M5</f>
        <v>0.37307720888756779</v>
      </c>
      <c r="N100" s="50">
        <f>N11/N5</f>
        <v>0.1565952398606065</v>
      </c>
      <c r="O100" s="50">
        <f>O11/O5</f>
        <v>0.54121663766783756</v>
      </c>
      <c r="P100" s="50">
        <f>P11/P5</f>
        <v>0.62417526839697468</v>
      </c>
      <c r="Q100" s="50">
        <f>Q11/Q5</f>
        <v>0.60381683631412719</v>
      </c>
      <c r="T100" s="50">
        <f t="shared" ref="T100:Z100" si="86">T11/T5</f>
        <v>0.62336810900176731</v>
      </c>
      <c r="U100" s="50">
        <f t="shared" si="86"/>
        <v>0.61107014822913219</v>
      </c>
      <c r="V100" s="50">
        <f t="shared" si="86"/>
        <v>0.49108074985248057</v>
      </c>
      <c r="W100" s="50">
        <f t="shared" si="86"/>
        <v>0.60843334830883766</v>
      </c>
      <c r="X100" s="50">
        <f t="shared" si="86"/>
        <v>0.63168789250254365</v>
      </c>
      <c r="Y100" s="50">
        <f t="shared" si="86"/>
        <v>0.65024146080115075</v>
      </c>
      <c r="Z100" s="50">
        <f t="shared" si="86"/>
        <v>0.65595785088525393</v>
      </c>
      <c r="AA100" s="50">
        <f t="shared" ref="AA100" si="87">AA11/AA5</f>
        <v>0.66237100009353467</v>
      </c>
      <c r="AC100" s="50">
        <f>AC11/AC5</f>
        <v>0.65214262845373616</v>
      </c>
    </row>
    <row r="101" spans="1:31" s="56" customFormat="1" x14ac:dyDescent="0.2">
      <c r="A101" s="1"/>
      <c r="B101" s="54" t="s">
        <v>78</v>
      </c>
      <c r="C101" s="55"/>
      <c r="D101" s="55"/>
      <c r="E101" s="55"/>
      <c r="F101" s="55"/>
      <c r="G101" s="55"/>
      <c r="H101" s="55"/>
      <c r="I101" s="55"/>
      <c r="J101" s="55"/>
      <c r="K101" s="55"/>
      <c r="L101" s="55"/>
      <c r="M101" s="55">
        <f>M109/M5</f>
        <v>0.36233930296499961</v>
      </c>
      <c r="N101" s="55">
        <f>N109/N5</f>
        <v>0.16193371394676356</v>
      </c>
      <c r="O101" s="55">
        <f>O109/O5</f>
        <v>0.4884934834706674</v>
      </c>
      <c r="P101" s="55">
        <f>P109/P5</f>
        <v>0.55848027157712443</v>
      </c>
      <c r="Q101" s="55">
        <f>Q109/Q5</f>
        <v>0.55602534060702613</v>
      </c>
      <c r="R101" s="1"/>
      <c r="S101" s="1"/>
      <c r="T101" s="55">
        <f t="shared" ref="T101:Z101" si="88">T109/T5</f>
        <v>0.55039621458297705</v>
      </c>
      <c r="U101" s="55">
        <f t="shared" si="88"/>
        <v>0.56166891256260965</v>
      </c>
      <c r="V101" s="55">
        <f t="shared" si="88"/>
        <v>0.42610412600426673</v>
      </c>
      <c r="W101" s="55">
        <f t="shared" si="88"/>
        <v>0.56526110861519374</v>
      </c>
      <c r="X101" s="55">
        <f t="shared" si="88"/>
        <v>0.55976563870469775</v>
      </c>
      <c r="Y101" s="55">
        <f t="shared" si="88"/>
        <v>0.63058699194152101</v>
      </c>
      <c r="Z101" s="55">
        <f t="shared" si="88"/>
        <v>0.71458677939104331</v>
      </c>
      <c r="AA101" s="55">
        <f t="shared" ref="AA101" si="89">AA109/AA5</f>
        <v>0.62032196713815069</v>
      </c>
      <c r="AB101" s="1"/>
      <c r="AC101" s="55">
        <f>AC109/AC5</f>
        <v>0.63662949014585646</v>
      </c>
      <c r="AD101" s="1"/>
      <c r="AE101" s="1"/>
    </row>
    <row r="102" spans="1:31" x14ac:dyDescent="0.2">
      <c r="B102" s="1"/>
    </row>
    <row r="103" spans="1:31" s="15" customFormat="1" ht="17" thickBot="1" x14ac:dyDescent="0.25">
      <c r="A103" s="11"/>
      <c r="B103" s="14" t="s">
        <v>101</v>
      </c>
      <c r="R103" s="1"/>
      <c r="S103" s="1"/>
      <c r="AB103" s="1"/>
      <c r="AD103" s="1"/>
      <c r="AE103" s="1"/>
    </row>
    <row r="104" spans="1:31" x14ac:dyDescent="0.2">
      <c r="B104" s="20" t="s">
        <v>71</v>
      </c>
      <c r="C104" s="81">
        <f t="shared" ref="C104:Q104" si="90">IF(AND(C82&gt;=0,C11&gt;=0),C82,0)</f>
        <v>0</v>
      </c>
      <c r="D104" s="81">
        <f t="shared" si="90"/>
        <v>0</v>
      </c>
      <c r="E104" s="81">
        <f t="shared" si="90"/>
        <v>0</v>
      </c>
      <c r="F104" s="81">
        <f t="shared" si="90"/>
        <v>0</v>
      </c>
      <c r="G104" s="81">
        <f t="shared" si="90"/>
        <v>0</v>
      </c>
      <c r="H104" s="81">
        <f t="shared" si="90"/>
        <v>0</v>
      </c>
      <c r="I104" s="81">
        <f t="shared" si="90"/>
        <v>0</v>
      </c>
      <c r="J104" s="81">
        <f t="shared" si="90"/>
        <v>0</v>
      </c>
      <c r="K104" s="81">
        <f t="shared" si="90"/>
        <v>0</v>
      </c>
      <c r="L104" s="81">
        <f t="shared" si="90"/>
        <v>0</v>
      </c>
      <c r="M104" s="81">
        <f t="shared" si="90"/>
        <v>1.9012171813700834E-2</v>
      </c>
      <c r="N104" s="81">
        <f t="shared" si="90"/>
        <v>0</v>
      </c>
      <c r="O104" s="81">
        <f t="shared" si="90"/>
        <v>0.1199952687917677</v>
      </c>
      <c r="P104" s="81">
        <f t="shared" si="90"/>
        <v>0.13264941803727417</v>
      </c>
      <c r="Q104" s="81">
        <f t="shared" si="90"/>
        <v>0.15117002474372571</v>
      </c>
      <c r="T104" s="81">
        <f t="shared" ref="T104:Z104" si="91">IF(AND(T82&gt;=0,T11&gt;=0),T82,0)</f>
        <v>0.13474637031726117</v>
      </c>
      <c r="U104" s="81">
        <f t="shared" si="91"/>
        <v>0.1239639925447119</v>
      </c>
      <c r="V104" s="81">
        <f t="shared" si="91"/>
        <v>0.1430853491556367</v>
      </c>
      <c r="W104" s="81">
        <f t="shared" si="91"/>
        <v>0.15330385182336731</v>
      </c>
      <c r="X104" s="81">
        <f t="shared" si="91"/>
        <v>0.15884647827920709</v>
      </c>
      <c r="Y104" s="81">
        <f t="shared" si="91"/>
        <v>0.14756830763735937</v>
      </c>
      <c r="Z104" s="81">
        <f t="shared" si="91"/>
        <v>0.16568673733602277</v>
      </c>
      <c r="AA104" s="81">
        <f t="shared" ref="AA104" si="92">IF(AND(AA82&gt;=0,AA11&gt;=0),AA82,0)</f>
        <v>0.16528451759967555</v>
      </c>
      <c r="AC104" s="81">
        <f>IF(AND(AC82&gt;=0,AC11&gt;=0),AC82,0)</f>
        <v>0.16045755474595527</v>
      </c>
    </row>
    <row r="105" spans="1:31" x14ac:dyDescent="0.2">
      <c r="B105" s="20" t="s">
        <v>170</v>
      </c>
      <c r="C105" s="25"/>
      <c r="D105" s="25"/>
      <c r="E105" s="25"/>
      <c r="F105" s="25"/>
      <c r="G105" s="25"/>
      <c r="H105" s="25"/>
      <c r="I105" s="25"/>
      <c r="J105" s="25"/>
      <c r="K105" s="25"/>
      <c r="L105" s="25"/>
      <c r="M105" s="25">
        <f>M28+M33</f>
        <v>21208</v>
      </c>
      <c r="N105" s="25">
        <f t="shared" ref="N105:Q105" si="93">N28+N33</f>
        <v>13296</v>
      </c>
      <c r="O105" s="25">
        <f t="shared" si="93"/>
        <v>25984</v>
      </c>
      <c r="P105" s="25">
        <f t="shared" si="93"/>
        <v>43210</v>
      </c>
      <c r="Q105" s="25">
        <f t="shared" si="93"/>
        <v>62556</v>
      </c>
      <c r="T105" s="25">
        <f t="shared" ref="T105:Z105" si="94">T28+T33</f>
        <v>38487</v>
      </c>
      <c r="U105" s="25">
        <f t="shared" si="94"/>
        <v>43210</v>
      </c>
      <c r="V105" s="25">
        <f t="shared" si="94"/>
        <v>53691</v>
      </c>
      <c r="W105" s="25">
        <f t="shared" si="94"/>
        <v>56791</v>
      </c>
      <c r="X105" s="25">
        <f t="shared" si="94"/>
        <v>60608</v>
      </c>
      <c r="Y105" s="25">
        <f t="shared" si="94"/>
        <v>62556</v>
      </c>
      <c r="Z105" s="25">
        <f t="shared" si="94"/>
        <v>80572</v>
      </c>
      <c r="AA105" s="25">
        <f t="shared" ref="AA105" si="95">AA28+AA33</f>
        <v>99369</v>
      </c>
      <c r="AC105" s="25">
        <f>AA105</f>
        <v>99369</v>
      </c>
    </row>
    <row r="106" spans="1:31" x14ac:dyDescent="0.2">
      <c r="B106" s="20" t="s">
        <v>161</v>
      </c>
      <c r="C106" s="25">
        <v>0</v>
      </c>
      <c r="D106" s="25">
        <v>0</v>
      </c>
      <c r="E106" s="25">
        <v>0</v>
      </c>
      <c r="F106" s="25">
        <v>0</v>
      </c>
      <c r="G106" s="25">
        <v>0</v>
      </c>
      <c r="H106" s="25">
        <v>0</v>
      </c>
      <c r="I106" s="25">
        <v>0</v>
      </c>
      <c r="J106" s="25">
        <v>0</v>
      </c>
      <c r="K106" s="25">
        <v>0</v>
      </c>
      <c r="L106" s="25">
        <v>0</v>
      </c>
      <c r="M106" s="25">
        <f>M38+M40</f>
        <v>10946</v>
      </c>
      <c r="N106" s="25">
        <f>N38+N40</f>
        <v>10953</v>
      </c>
      <c r="O106" s="25">
        <f>O38+O40</f>
        <v>9709</v>
      </c>
      <c r="P106" s="25">
        <f>P38+P40</f>
        <v>8463</v>
      </c>
      <c r="Q106" s="25">
        <f>Q38+Q40</f>
        <v>8468</v>
      </c>
      <c r="T106" s="25">
        <f t="shared" ref="T106:Z106" si="96">T38+T40</f>
        <v>8462</v>
      </c>
      <c r="U106" s="25">
        <f t="shared" si="96"/>
        <v>8463</v>
      </c>
      <c r="V106" s="25">
        <f t="shared" si="96"/>
        <v>8464</v>
      </c>
      <c r="W106" s="25">
        <f t="shared" si="96"/>
        <v>8466</v>
      </c>
      <c r="X106" s="25">
        <f t="shared" si="96"/>
        <v>8467</v>
      </c>
      <c r="Y106" s="25">
        <f t="shared" si="96"/>
        <v>8568</v>
      </c>
      <c r="Z106" s="25">
        <f t="shared" si="96"/>
        <v>8470</v>
      </c>
      <c r="AA106" s="25">
        <f t="shared" ref="AA106" si="97">AA38+AA40</f>
        <v>33266</v>
      </c>
      <c r="AC106" s="25">
        <f>AA106</f>
        <v>33266</v>
      </c>
    </row>
    <row r="107" spans="1:31" x14ac:dyDescent="0.2">
      <c r="B107" s="20" t="s">
        <v>154</v>
      </c>
      <c r="C107" s="25"/>
      <c r="D107" s="25"/>
      <c r="E107" s="25"/>
      <c r="F107" s="25"/>
      <c r="G107" s="25"/>
      <c r="H107" s="25"/>
      <c r="I107" s="25"/>
      <c r="J107" s="25"/>
      <c r="K107" s="25"/>
      <c r="L107" s="25"/>
      <c r="M107" s="127">
        <f>M11*(1-M104)</f>
        <v>9850.0987828186298</v>
      </c>
      <c r="N107" s="127">
        <f>N11*(1-N104)</f>
        <v>4224</v>
      </c>
      <c r="O107" s="127">
        <f>O11*(1-O104)</f>
        <v>29015.515997397837</v>
      </c>
      <c r="P107" s="127">
        <f>P11*(1-P104)</f>
        <v>70648.306952609913</v>
      </c>
      <c r="Q107" s="25">
        <f>Q11*(1-Q104)</f>
        <v>110676.39398373984</v>
      </c>
      <c r="T107" s="67"/>
      <c r="U107" s="67"/>
      <c r="V107" s="67"/>
      <c r="W107" s="67"/>
      <c r="X107" s="67"/>
      <c r="Y107" s="67"/>
      <c r="Z107" s="67"/>
      <c r="AA107" s="67"/>
      <c r="AC107" s="25">
        <f>AC11*(1-AC104)</f>
        <v>165875.9567908489</v>
      </c>
    </row>
    <row r="108" spans="1:31" x14ac:dyDescent="0.2">
      <c r="B108" s="20" t="s">
        <v>291</v>
      </c>
      <c r="C108" s="25"/>
      <c r="D108" s="25"/>
      <c r="E108" s="25"/>
      <c r="F108" s="25"/>
      <c r="G108" s="25"/>
      <c r="H108" s="25"/>
      <c r="I108" s="25"/>
      <c r="J108" s="25"/>
      <c r="K108" s="25"/>
      <c r="L108" s="25"/>
      <c r="M108" s="127">
        <f>M59+M60</f>
        <v>-976</v>
      </c>
      <c r="N108" s="127">
        <f>N59+N60</f>
        <v>-1833</v>
      </c>
      <c r="O108" s="127">
        <f>O59+O60</f>
        <v>-1069</v>
      </c>
      <c r="P108" s="127">
        <f>P59+P60</f>
        <v>-3236</v>
      </c>
      <c r="Q108" s="127">
        <f>Q59+Q60</f>
        <v>-6042</v>
      </c>
      <c r="T108" s="127">
        <f t="shared" ref="T108:Z108" si="98">T59+T60</f>
        <v>-813</v>
      </c>
      <c r="U108" s="127">
        <f t="shared" si="98"/>
        <v>-1077</v>
      </c>
      <c r="V108" s="127">
        <f t="shared" si="98"/>
        <v>-1227</v>
      </c>
      <c r="W108" s="127">
        <f t="shared" si="98"/>
        <v>-1894</v>
      </c>
      <c r="X108" s="127">
        <f t="shared" si="98"/>
        <v>-1637</v>
      </c>
      <c r="Y108" s="127">
        <f t="shared" si="98"/>
        <v>-1284</v>
      </c>
      <c r="Z108" s="127">
        <f t="shared" si="98"/>
        <v>-1757</v>
      </c>
      <c r="AA108" s="127">
        <f t="shared" ref="AA108" si="99">AA59+AA60</f>
        <v>-2677</v>
      </c>
      <c r="AC108" s="127">
        <f>AC59+AC60</f>
        <v>-7355</v>
      </c>
    </row>
    <row r="109" spans="1:31" x14ac:dyDescent="0.2">
      <c r="B109" s="20" t="s">
        <v>320</v>
      </c>
      <c r="C109" s="25"/>
      <c r="D109" s="25"/>
      <c r="E109" s="25"/>
      <c r="F109" s="25"/>
      <c r="G109" s="25"/>
      <c r="H109" s="25"/>
      <c r="I109" s="25"/>
      <c r="J109" s="25"/>
      <c r="K109" s="25"/>
      <c r="L109" s="25"/>
      <c r="M109" s="127">
        <f>M16+M17</f>
        <v>9752</v>
      </c>
      <c r="N109" s="127">
        <f>N16+N17</f>
        <v>4368</v>
      </c>
      <c r="O109" s="127">
        <f>O16+O17</f>
        <v>29760</v>
      </c>
      <c r="P109" s="127">
        <f>P16+P17</f>
        <v>72880</v>
      </c>
      <c r="Q109" s="127">
        <f>Q16+Q17</f>
        <v>120067</v>
      </c>
      <c r="T109" s="127">
        <f t="shared" ref="T109:Z109" si="100">T16+T17</f>
        <v>19309</v>
      </c>
      <c r="U109" s="127">
        <f t="shared" si="100"/>
        <v>22091</v>
      </c>
      <c r="V109" s="127">
        <f t="shared" si="100"/>
        <v>18775</v>
      </c>
      <c r="W109" s="127">
        <f t="shared" si="100"/>
        <v>26422</v>
      </c>
      <c r="X109" s="127">
        <f t="shared" si="100"/>
        <v>31910</v>
      </c>
      <c r="Y109" s="127">
        <f t="shared" si="100"/>
        <v>42960</v>
      </c>
      <c r="Z109" s="127">
        <f t="shared" si="100"/>
        <v>58321</v>
      </c>
      <c r="AA109" s="127">
        <f t="shared" ref="AA109" si="101">AA16+AA17</f>
        <v>59688</v>
      </c>
      <c r="AC109" s="127">
        <f>AC16+AC17</f>
        <v>192879</v>
      </c>
    </row>
    <row r="110" spans="1:31" x14ac:dyDescent="0.2">
      <c r="B110" s="20" t="s">
        <v>321</v>
      </c>
      <c r="C110" s="25"/>
      <c r="D110" s="25"/>
      <c r="E110" s="25"/>
      <c r="F110" s="25"/>
      <c r="G110" s="25"/>
      <c r="H110" s="25"/>
      <c r="I110" s="25"/>
      <c r="J110" s="25"/>
      <c r="K110" s="25"/>
      <c r="L110" s="25"/>
      <c r="M110" s="127">
        <f>M48+M47</f>
        <v>26612</v>
      </c>
      <c r="N110" s="127">
        <f>N48+N47</f>
        <v>22101</v>
      </c>
      <c r="O110" s="127">
        <f>O48+O47</f>
        <v>42978</v>
      </c>
      <c r="P110" s="127">
        <f>P48+P47</f>
        <v>79327</v>
      </c>
      <c r="Q110" s="127">
        <f>Q48+Q47</f>
        <v>157293</v>
      </c>
      <c r="T110" s="127">
        <f t="shared" ref="T110:Z110" si="102">T48+T47</f>
        <v>65899</v>
      </c>
      <c r="U110" s="127">
        <f t="shared" si="102"/>
        <v>79327</v>
      </c>
      <c r="V110" s="127">
        <f t="shared" si="102"/>
        <v>83843</v>
      </c>
      <c r="W110" s="127">
        <f t="shared" si="102"/>
        <v>100131</v>
      </c>
      <c r="X110" s="127">
        <f t="shared" si="102"/>
        <v>118897</v>
      </c>
      <c r="Y110" s="127">
        <f t="shared" si="102"/>
        <v>157293</v>
      </c>
      <c r="Z110" s="127">
        <f t="shared" si="102"/>
        <v>195474</v>
      </c>
      <c r="AA110" s="127">
        <f t="shared" ref="AA110" si="103">AA48+AA47</f>
        <v>228984</v>
      </c>
      <c r="AC110" s="127">
        <f>AC48+AC47</f>
        <v>228984</v>
      </c>
    </row>
    <row r="111" spans="1:31" x14ac:dyDescent="0.2">
      <c r="C111" s="57"/>
      <c r="D111" s="57"/>
      <c r="E111" s="57"/>
      <c r="F111" s="57"/>
      <c r="G111" s="57"/>
      <c r="H111" s="57"/>
      <c r="I111" s="57"/>
      <c r="J111" s="57"/>
      <c r="K111" s="57"/>
    </row>
    <row r="112" spans="1:31" x14ac:dyDescent="0.2">
      <c r="B112" s="1"/>
    </row>
    <row r="113" spans="1:31" s="15" customFormat="1" ht="17" thickBot="1" x14ac:dyDescent="0.25">
      <c r="A113" s="11"/>
      <c r="B113" s="14" t="s">
        <v>80</v>
      </c>
      <c r="R113" s="1"/>
      <c r="S113" s="1"/>
      <c r="AB113" s="1"/>
      <c r="AD113" s="1"/>
      <c r="AE113" s="1"/>
    </row>
    <row r="114" spans="1:31" x14ac:dyDescent="0.2">
      <c r="B114" s="20" t="s">
        <v>81</v>
      </c>
      <c r="C114" s="26"/>
      <c r="D114" s="26"/>
      <c r="E114" s="26"/>
      <c r="F114" s="26"/>
      <c r="G114" s="26"/>
      <c r="H114" s="26"/>
      <c r="I114" s="26"/>
      <c r="J114" s="26"/>
      <c r="K114" s="26"/>
      <c r="L114" s="26"/>
      <c r="M114" s="63">
        <v>228.4</v>
      </c>
      <c r="N114" s="63">
        <v>203.6</v>
      </c>
      <c r="O114" s="63">
        <v>610.29999999999995</v>
      </c>
      <c r="P114" s="63">
        <v>142.62</v>
      </c>
      <c r="Q114" s="63">
        <v>187.67</v>
      </c>
      <c r="T114" s="63">
        <v>141.32</v>
      </c>
      <c r="U114" s="63">
        <v>142.62</v>
      </c>
      <c r="V114" s="63">
        <v>110.85</v>
      </c>
      <c r="W114" s="63">
        <v>173.27</v>
      </c>
      <c r="X114" s="63">
        <v>186.02</v>
      </c>
      <c r="Y114" s="63">
        <v>187.67</v>
      </c>
      <c r="Z114" s="63">
        <v>208.27</v>
      </c>
      <c r="AA114" s="63">
        <v>206.84</v>
      </c>
      <c r="AC114" s="63">
        <f ca="1">Overview!C5</f>
        <v>210.96</v>
      </c>
    </row>
    <row r="115" spans="1:31" x14ac:dyDescent="0.2">
      <c r="B115" s="20" t="s">
        <v>333</v>
      </c>
      <c r="C115" s="26"/>
      <c r="D115" s="26"/>
      <c r="E115" s="26"/>
      <c r="F115" s="26"/>
      <c r="G115" s="26"/>
      <c r="H115" s="26"/>
      <c r="I115" s="26"/>
      <c r="J115" s="26"/>
      <c r="K115" s="26"/>
      <c r="L115" s="26"/>
      <c r="M115" s="65">
        <f>M114/M84</f>
        <v>22.84</v>
      </c>
      <c r="N115" s="65">
        <f>N114/N84</f>
        <v>20.36</v>
      </c>
      <c r="O115" s="65">
        <f>O114/O84</f>
        <v>61.029999999999994</v>
      </c>
      <c r="P115" s="65">
        <f>P114/P84</f>
        <v>142.62</v>
      </c>
      <c r="Q115" s="65">
        <f>Q114/Q84</f>
        <v>187.67</v>
      </c>
      <c r="T115" s="65">
        <f t="shared" ref="T115:Z115" si="104">T114/T84</f>
        <v>141.32</v>
      </c>
      <c r="U115" s="65">
        <f t="shared" si="104"/>
        <v>142.62</v>
      </c>
      <c r="V115" s="65">
        <f t="shared" si="104"/>
        <v>110.85</v>
      </c>
      <c r="W115" s="65">
        <f t="shared" si="104"/>
        <v>173.27</v>
      </c>
      <c r="X115" s="65">
        <f t="shared" si="104"/>
        <v>186.02</v>
      </c>
      <c r="Y115" s="65">
        <f t="shared" si="104"/>
        <v>187.67</v>
      </c>
      <c r="Z115" s="65">
        <f t="shared" si="104"/>
        <v>208.27</v>
      </c>
      <c r="AA115" s="65">
        <f t="shared" ref="AA115" si="105">AA114/AA84</f>
        <v>206.84</v>
      </c>
      <c r="AC115" s="65">
        <f ca="1">AC114/AC84</f>
        <v>210.96</v>
      </c>
    </row>
    <row r="117" spans="1:31" x14ac:dyDescent="0.2">
      <c r="B117" s="1"/>
    </row>
    <row r="118" spans="1:31" ht="17" thickBot="1" x14ac:dyDescent="0.25">
      <c r="B118" s="14" t="s">
        <v>98</v>
      </c>
      <c r="C118" s="15"/>
      <c r="D118" s="15"/>
      <c r="E118" s="15"/>
      <c r="F118" s="15"/>
      <c r="G118" s="15"/>
      <c r="H118" s="15"/>
      <c r="I118" s="15"/>
      <c r="J118" s="15"/>
      <c r="K118" s="15"/>
      <c r="L118" s="15"/>
      <c r="M118" s="15"/>
      <c r="N118" s="15"/>
      <c r="O118" s="15"/>
      <c r="P118" s="15"/>
      <c r="Q118" s="15"/>
      <c r="T118" s="15"/>
      <c r="U118" s="15"/>
      <c r="V118" s="15"/>
      <c r="W118" s="15"/>
      <c r="X118" s="15"/>
      <c r="Y118" s="15"/>
      <c r="Z118" s="15"/>
      <c r="AA118" s="15"/>
      <c r="AC118" s="15"/>
    </row>
    <row r="119" spans="1:31" x14ac:dyDescent="0.2">
      <c r="B119" s="20" t="s">
        <v>92</v>
      </c>
      <c r="M119" s="74">
        <f>M109/M5</f>
        <v>0.36233930296499961</v>
      </c>
      <c r="N119" s="74">
        <f>N109/N5</f>
        <v>0.16193371394676356</v>
      </c>
      <c r="O119" s="74">
        <f>O109/O5</f>
        <v>0.4884934834706674</v>
      </c>
      <c r="P119" s="74">
        <f>P109/P5</f>
        <v>0.55848027157712443</v>
      </c>
      <c r="Q119" s="74">
        <f>Q109/Q5</f>
        <v>0.55602534060702613</v>
      </c>
      <c r="T119" s="77"/>
      <c r="U119" s="77"/>
      <c r="V119" s="77"/>
      <c r="W119" s="77"/>
      <c r="X119" s="77"/>
      <c r="Y119" s="77"/>
      <c r="Z119" s="77"/>
      <c r="AA119" s="77"/>
      <c r="AC119" s="74">
        <f>AC109/AC5</f>
        <v>0.63662949014585646</v>
      </c>
    </row>
    <row r="120" spans="1:31" x14ac:dyDescent="0.2">
      <c r="B120" s="20" t="s">
        <v>93</v>
      </c>
      <c r="M120" s="75">
        <f>M5/M36</f>
        <v>0.60909317219996828</v>
      </c>
      <c r="N120" s="75">
        <f>N5/N36</f>
        <v>0.65499490068476518</v>
      </c>
      <c r="O120" s="75">
        <f>O5/O36</f>
        <v>0.92688047711781885</v>
      </c>
      <c r="P120" s="75">
        <f>P5/P36</f>
        <v>1.169317479234057</v>
      </c>
      <c r="Q120" s="75">
        <f>Q5/Q36</f>
        <v>1.0441724733200195</v>
      </c>
      <c r="T120" s="78"/>
      <c r="U120" s="78"/>
      <c r="V120" s="78"/>
      <c r="W120" s="78"/>
      <c r="X120" s="78"/>
      <c r="Y120" s="78"/>
      <c r="Z120" s="78"/>
      <c r="AA120" s="78"/>
      <c r="AC120" s="75">
        <f>AC5/AC36</f>
        <v>0.94597404705999899</v>
      </c>
    </row>
    <row r="121" spans="1:31" x14ac:dyDescent="0.2">
      <c r="B121" s="32" t="s">
        <v>94</v>
      </c>
      <c r="M121" s="76">
        <f t="shared" ref="M121:P121" si="106">M119*M120</f>
        <v>0.22069839545567699</v>
      </c>
      <c r="N121" s="76">
        <f t="shared" si="106"/>
        <v>0.10606575688407557</v>
      </c>
      <c r="O121" s="76">
        <f t="shared" si="106"/>
        <v>0.45277507302823755</v>
      </c>
      <c r="P121" s="76">
        <f t="shared" si="106"/>
        <v>0.65304074336251472</v>
      </c>
      <c r="Q121" s="76">
        <f>Q119*Q120</f>
        <v>0.5805863551302447</v>
      </c>
      <c r="T121" s="79"/>
      <c r="U121" s="79"/>
      <c r="V121" s="79"/>
      <c r="W121" s="79"/>
      <c r="X121" s="79"/>
      <c r="Y121" s="79"/>
      <c r="Z121" s="79"/>
      <c r="AA121" s="79"/>
      <c r="AC121" s="76">
        <f>AC119*AC120</f>
        <v>0.60223497527101955</v>
      </c>
    </row>
    <row r="122" spans="1:31" x14ac:dyDescent="0.2">
      <c r="B122" s="20" t="s">
        <v>95</v>
      </c>
      <c r="M122" s="75">
        <f>M36/M48</f>
        <v>1.6604163535247256</v>
      </c>
      <c r="N122" s="75">
        <f>N36/N48</f>
        <v>1.8633545993393965</v>
      </c>
      <c r="O122" s="75">
        <f>O36/O48</f>
        <v>1.5293405928614641</v>
      </c>
      <c r="P122" s="75">
        <f>P36/P48</f>
        <v>1.4068476054811099</v>
      </c>
      <c r="Q122" s="75">
        <f>Q36/Q48</f>
        <v>1.3147628947251309</v>
      </c>
      <c r="T122" s="80"/>
      <c r="U122" s="80"/>
      <c r="V122" s="80"/>
      <c r="W122" s="80"/>
      <c r="X122" s="80"/>
      <c r="Y122" s="80"/>
      <c r="Z122" s="80"/>
      <c r="AA122" s="80"/>
      <c r="AC122" s="75">
        <f>AC36/AC48</f>
        <v>1.3986654089368689</v>
      </c>
    </row>
    <row r="123" spans="1:31" x14ac:dyDescent="0.2">
      <c r="B123" s="32" t="s">
        <v>96</v>
      </c>
      <c r="M123" s="76">
        <f t="shared" ref="M123:P123" si="107">M121*M122</f>
        <v>0.36645122501127303</v>
      </c>
      <c r="N123" s="76">
        <f t="shared" si="107"/>
        <v>0.19763811592235647</v>
      </c>
      <c r="O123" s="76">
        <f t="shared" si="107"/>
        <v>0.69244729861789756</v>
      </c>
      <c r="P123" s="76">
        <f t="shared" si="107"/>
        <v>0.91872880608115781</v>
      </c>
      <c r="Q123" s="76">
        <f>Q121*Q122</f>
        <v>0.76333339690895341</v>
      </c>
      <c r="T123" s="79"/>
      <c r="U123" s="79"/>
      <c r="V123" s="79"/>
      <c r="W123" s="79"/>
      <c r="X123" s="79"/>
      <c r="Y123" s="79"/>
      <c r="Z123" s="79"/>
      <c r="AA123" s="79"/>
      <c r="AC123" s="76">
        <f>AC121*AC122</f>
        <v>0.84232522796352571</v>
      </c>
    </row>
    <row r="125" spans="1:31" x14ac:dyDescent="0.2">
      <c r="B125" s="1"/>
    </row>
    <row r="126" spans="1:31" ht="17" thickBot="1" x14ac:dyDescent="0.25">
      <c r="B126" s="14" t="s">
        <v>220</v>
      </c>
      <c r="C126" s="168"/>
      <c r="D126" s="168"/>
      <c r="E126" s="168"/>
      <c r="F126" s="168"/>
      <c r="G126" s="168"/>
      <c r="H126" s="168"/>
      <c r="I126" s="168"/>
      <c r="J126" s="168"/>
      <c r="K126" s="168"/>
      <c r="L126" s="168"/>
      <c r="M126" s="168"/>
      <c r="N126" s="168"/>
      <c r="O126" s="168"/>
      <c r="P126" s="168"/>
      <c r="Q126" s="168"/>
      <c r="T126" s="168"/>
      <c r="U126" s="168"/>
      <c r="V126" s="168"/>
      <c r="W126" s="168"/>
      <c r="X126" s="168"/>
      <c r="Y126" s="168"/>
      <c r="Z126" s="168"/>
      <c r="AA126" s="168"/>
      <c r="AC126" s="168"/>
    </row>
    <row r="127" spans="1:31" x14ac:dyDescent="0.2">
      <c r="B127" s="20" t="s">
        <v>221</v>
      </c>
      <c r="C127" s="49"/>
      <c r="D127" s="49"/>
      <c r="E127" s="49"/>
      <c r="F127" s="49"/>
      <c r="G127" s="49"/>
      <c r="H127" s="49"/>
      <c r="I127" s="49"/>
      <c r="J127" s="49"/>
      <c r="K127" s="49"/>
      <c r="L127" s="49"/>
      <c r="M127" s="49"/>
      <c r="N127" s="49"/>
      <c r="O127" s="49"/>
      <c r="P127" s="49"/>
      <c r="Q127" s="49"/>
      <c r="T127" s="21">
        <v>36300</v>
      </c>
      <c r="U127" s="21">
        <v>42000</v>
      </c>
      <c r="V127" s="21">
        <v>44000</v>
      </c>
      <c r="W127" s="21">
        <v>53000</v>
      </c>
      <c r="X127" s="21">
        <v>63700</v>
      </c>
      <c r="Y127" s="21">
        <v>76500</v>
      </c>
      <c r="Z127" s="21">
        <v>89000</v>
      </c>
      <c r="AA127" s="21">
        <v>106000</v>
      </c>
      <c r="AC127" s="49"/>
    </row>
    <row r="128" spans="1:31" x14ac:dyDescent="0.2">
      <c r="B128" s="20" t="s">
        <v>222</v>
      </c>
      <c r="C128" s="49"/>
      <c r="D128" s="49"/>
      <c r="E128" s="49"/>
      <c r="F128" s="49"/>
      <c r="G128" s="49"/>
      <c r="H128" s="49"/>
      <c r="I128" s="49"/>
      <c r="J128" s="49"/>
      <c r="K128" s="49"/>
      <c r="L128" s="49"/>
      <c r="M128" s="49"/>
      <c r="N128" s="49"/>
      <c r="O128" s="49"/>
      <c r="P128" s="49"/>
      <c r="Q128" s="49"/>
      <c r="T128" s="21">
        <v>38300</v>
      </c>
      <c r="U128" s="21">
        <v>44000</v>
      </c>
      <c r="V128" s="21">
        <v>46000</v>
      </c>
      <c r="W128" s="21">
        <v>55000</v>
      </c>
      <c r="X128" s="21">
        <v>66300</v>
      </c>
      <c r="Y128" s="21">
        <v>79500</v>
      </c>
      <c r="Z128" s="21">
        <v>93000</v>
      </c>
      <c r="AA128" s="21">
        <v>110000</v>
      </c>
      <c r="AC128" s="49"/>
    </row>
    <row r="129" spans="2:29" x14ac:dyDescent="0.2">
      <c r="B129" s="20" t="s">
        <v>223</v>
      </c>
      <c r="C129" s="49"/>
      <c r="D129" s="49"/>
      <c r="E129" s="49"/>
      <c r="F129" s="49"/>
      <c r="G129" s="49"/>
      <c r="H129" s="49"/>
      <c r="I129" s="49"/>
      <c r="J129" s="49"/>
      <c r="K129" s="49"/>
      <c r="L129" s="49"/>
      <c r="M129" s="49"/>
      <c r="N129" s="49"/>
      <c r="O129" s="49"/>
      <c r="P129" s="49"/>
      <c r="Q129" s="49"/>
      <c r="T129" s="25">
        <f t="shared" ref="T129" si="108">U5</f>
        <v>39331</v>
      </c>
      <c r="U129" s="25">
        <f t="shared" ref="U129" si="109">V5</f>
        <v>44062</v>
      </c>
      <c r="V129" s="25">
        <f t="shared" ref="V129" si="110">W5</f>
        <v>46743</v>
      </c>
      <c r="W129" s="25">
        <f t="shared" ref="W129" si="111">X5</f>
        <v>57006</v>
      </c>
      <c r="X129" s="25">
        <f t="shared" ref="X129" si="112">Y5</f>
        <v>68127</v>
      </c>
      <c r="Y129" s="25">
        <f t="shared" ref="Y129" si="113">Z5</f>
        <v>81615</v>
      </c>
      <c r="Z129" s="25">
        <f t="shared" ref="Z129" si="114">AA5</f>
        <v>96221</v>
      </c>
      <c r="AA129" s="25">
        <f t="shared" ref="AA129" si="115">AB5</f>
        <v>0</v>
      </c>
      <c r="AC129" s="49"/>
    </row>
    <row r="130" spans="2:29" x14ac:dyDescent="0.2">
      <c r="B130" s="20" t="s">
        <v>178</v>
      </c>
      <c r="C130" s="49"/>
      <c r="D130" s="49"/>
      <c r="E130" s="49"/>
      <c r="F130" s="49"/>
      <c r="G130" s="49"/>
      <c r="H130" s="49"/>
      <c r="I130" s="49"/>
      <c r="J130" s="49"/>
      <c r="K130" s="49"/>
      <c r="L130" s="49"/>
      <c r="M130" s="49"/>
      <c r="N130" s="49"/>
      <c r="O130" s="49"/>
      <c r="P130" s="49"/>
      <c r="Q130" s="49"/>
      <c r="T130" s="225" t="str">
        <f t="shared" ref="T130:Z130" si="116">IF(T129&gt;T128, "BEAT", IF(T129&lt;T127, "MISSED", "MET"))</f>
        <v>BEAT</v>
      </c>
      <c r="U130" s="225" t="str">
        <f t="shared" si="116"/>
        <v>BEAT</v>
      </c>
      <c r="V130" s="225" t="str">
        <f t="shared" si="116"/>
        <v>BEAT</v>
      </c>
      <c r="W130" s="225" t="str">
        <f t="shared" si="116"/>
        <v>BEAT</v>
      </c>
      <c r="X130" s="225" t="str">
        <f t="shared" si="116"/>
        <v>BEAT</v>
      </c>
      <c r="Y130" s="225" t="str">
        <f t="shared" si="116"/>
        <v>BEAT</v>
      </c>
      <c r="Z130" s="225" t="str">
        <f t="shared" si="116"/>
        <v>BEAT</v>
      </c>
      <c r="AA130" s="225" t="str">
        <f t="shared" ref="AA130" si="117">IF(AA129&gt;AA128, "BEAT", IF(AA129&lt;AA127, "MISSED", "MET"))</f>
        <v>MISSED</v>
      </c>
      <c r="AC130" s="49"/>
    </row>
    <row r="131" spans="2:29" x14ac:dyDescent="0.2">
      <c r="B131" s="20" t="s">
        <v>353</v>
      </c>
      <c r="C131" s="49"/>
      <c r="D131" s="49"/>
      <c r="E131" s="49"/>
      <c r="F131" s="49"/>
      <c r="G131" s="49"/>
      <c r="H131" s="49"/>
      <c r="I131" s="49"/>
      <c r="J131" s="49"/>
      <c r="K131" s="49"/>
      <c r="L131" s="49"/>
      <c r="M131" s="49"/>
      <c r="N131" s="49"/>
      <c r="O131" s="49"/>
      <c r="P131" s="49"/>
      <c r="Q131" s="49"/>
      <c r="T131" s="219">
        <v>0.72499999999999998</v>
      </c>
      <c r="U131" s="219">
        <v>0.70099999999999996</v>
      </c>
      <c r="V131" s="219">
        <v>0.71299999999999997</v>
      </c>
      <c r="W131" s="219">
        <v>0.72799999999999998</v>
      </c>
      <c r="X131" s="219">
        <v>0.74299999999999999</v>
      </c>
      <c r="Y131" s="219">
        <v>0.745</v>
      </c>
      <c r="Z131" s="219">
        <v>0.745</v>
      </c>
      <c r="AA131" s="219">
        <v>0.73499999999999999</v>
      </c>
      <c r="AC131" s="49"/>
    </row>
    <row r="132" spans="2:29" x14ac:dyDescent="0.2">
      <c r="B132" s="20" t="s">
        <v>354</v>
      </c>
      <c r="C132" s="49"/>
      <c r="D132" s="49"/>
      <c r="E132" s="49"/>
      <c r="F132" s="49"/>
      <c r="G132" s="49"/>
      <c r="H132" s="49"/>
      <c r="I132" s="49"/>
      <c r="J132" s="49"/>
      <c r="K132" s="49"/>
      <c r="L132" s="49"/>
      <c r="M132" s="49"/>
      <c r="N132" s="49"/>
      <c r="O132" s="49"/>
      <c r="P132" s="49"/>
      <c r="Q132" s="49"/>
      <c r="T132" s="219">
        <v>0.73499999999999999</v>
      </c>
      <c r="U132" s="219">
        <v>0.71099999999999997</v>
      </c>
      <c r="V132" s="219">
        <v>0.72299999999999998</v>
      </c>
      <c r="W132" s="219">
        <v>0.73799999999999999</v>
      </c>
      <c r="X132" s="219">
        <v>0.754</v>
      </c>
      <c r="Y132" s="219">
        <v>0.754</v>
      </c>
      <c r="Z132" s="219">
        <v>0.754</v>
      </c>
      <c r="AA132" s="219">
        <v>0.745</v>
      </c>
      <c r="AC132" s="49"/>
    </row>
    <row r="133" spans="2:29" x14ac:dyDescent="0.2">
      <c r="B133" s="20" t="s">
        <v>355</v>
      </c>
      <c r="C133" s="49"/>
      <c r="D133" s="49"/>
      <c r="E133" s="49"/>
      <c r="F133" s="49"/>
      <c r="G133" s="49"/>
      <c r="H133" s="49"/>
      <c r="I133" s="49"/>
      <c r="J133" s="49"/>
      <c r="K133" s="49"/>
      <c r="L133" s="49"/>
      <c r="M133" s="49"/>
      <c r="N133" s="49"/>
      <c r="O133" s="49"/>
      <c r="P133" s="49"/>
      <c r="Q133" s="49"/>
      <c r="T133" s="81">
        <f t="shared" ref="T133" si="118">U99</f>
        <v>0.73028908494571709</v>
      </c>
      <c r="U133" s="81">
        <f t="shared" ref="U133" si="119">V99</f>
        <v>0.60523807362353044</v>
      </c>
      <c r="V133" s="81">
        <f t="shared" ref="V133" si="120">W99</f>
        <v>0.72423678411740799</v>
      </c>
      <c r="W133" s="81">
        <f t="shared" ref="W133" si="121">X99</f>
        <v>0.7341157071185489</v>
      </c>
      <c r="X133" s="81">
        <f t="shared" ref="X133" si="122">Y99</f>
        <v>0.74996697344665109</v>
      </c>
      <c r="Y133" s="81">
        <f t="shared" ref="Y133" si="123">Z99</f>
        <v>0.74933529375727503</v>
      </c>
      <c r="Z133" s="81">
        <f t="shared" ref="Z133" si="124">AA99</f>
        <v>0.74975317238440675</v>
      </c>
      <c r="AA133" s="81">
        <f t="shared" ref="AA133" si="125">AB99</f>
        <v>0</v>
      </c>
      <c r="AC133" s="49"/>
    </row>
    <row r="134" spans="2:29" x14ac:dyDescent="0.2">
      <c r="B134" s="20" t="s">
        <v>178</v>
      </c>
      <c r="C134" s="49"/>
      <c r="D134" s="49"/>
      <c r="E134" s="49"/>
      <c r="F134" s="49"/>
      <c r="G134" s="49"/>
      <c r="H134" s="49"/>
      <c r="I134" s="49"/>
      <c r="J134" s="49"/>
      <c r="K134" s="49"/>
      <c r="L134" s="49"/>
      <c r="M134" s="49"/>
      <c r="N134" s="49"/>
      <c r="O134" s="49"/>
      <c r="P134" s="49"/>
      <c r="Q134" s="49"/>
      <c r="T134" s="225" t="str">
        <f t="shared" ref="T134:Z134" si="126">IF(T133&gt;T132, "BEAT", IF(T133&lt;T131, "MISSED", "MET"))</f>
        <v>MET</v>
      </c>
      <c r="U134" s="225" t="str">
        <f t="shared" si="126"/>
        <v>MISSED</v>
      </c>
      <c r="V134" s="225" t="str">
        <f t="shared" si="126"/>
        <v>BEAT</v>
      </c>
      <c r="W134" s="225" t="str">
        <f t="shared" si="126"/>
        <v>MET</v>
      </c>
      <c r="X134" s="225" t="str">
        <f t="shared" si="126"/>
        <v>MET</v>
      </c>
      <c r="Y134" s="225" t="str">
        <f t="shared" si="126"/>
        <v>MET</v>
      </c>
      <c r="Z134" s="225" t="str">
        <f t="shared" si="126"/>
        <v>MET</v>
      </c>
      <c r="AA134" s="225" t="str">
        <f t="shared" ref="AA134" si="127">IF(AA133&gt;AA132, "BEAT", IF(AA133&lt;AA131, "MISSED", "MET"))</f>
        <v>MISSED</v>
      </c>
      <c r="AC134" s="49"/>
    </row>
    <row r="135" spans="2:29" x14ac:dyDescent="0.2">
      <c r="B135" s="20" t="s">
        <v>356</v>
      </c>
      <c r="C135" s="49"/>
      <c r="D135" s="49"/>
      <c r="E135" s="49"/>
      <c r="F135" s="49"/>
      <c r="G135" s="49"/>
      <c r="H135" s="49"/>
      <c r="I135" s="49"/>
      <c r="J135" s="49"/>
      <c r="K135" s="49"/>
      <c r="L135" s="49"/>
      <c r="M135" s="49"/>
      <c r="N135" s="49"/>
      <c r="O135" s="49"/>
      <c r="P135" s="49"/>
      <c r="Q135" s="49"/>
      <c r="T135" s="21">
        <v>4800</v>
      </c>
      <c r="U135" s="21">
        <v>5200</v>
      </c>
      <c r="V135" s="21">
        <v>5700</v>
      </c>
      <c r="W135" s="21">
        <v>5900</v>
      </c>
      <c r="X135" s="21">
        <v>6700</v>
      </c>
      <c r="Y135" s="21">
        <v>7700</v>
      </c>
      <c r="Z135" s="21">
        <v>8500</v>
      </c>
      <c r="AA135" s="21">
        <v>9200</v>
      </c>
      <c r="AC135" s="49"/>
    </row>
    <row r="136" spans="2:29" x14ac:dyDescent="0.2">
      <c r="B136" s="20" t="s">
        <v>357</v>
      </c>
      <c r="C136" s="49"/>
      <c r="D136" s="49"/>
      <c r="E136" s="49"/>
      <c r="F136" s="49"/>
      <c r="G136" s="49"/>
      <c r="H136" s="49"/>
      <c r="I136" s="49"/>
      <c r="J136" s="49"/>
      <c r="K136" s="49"/>
      <c r="L136" s="49"/>
      <c r="M136" s="49"/>
      <c r="N136" s="49"/>
      <c r="O136" s="49"/>
      <c r="P136" s="49"/>
      <c r="Q136" s="49"/>
      <c r="T136" s="21">
        <v>4800</v>
      </c>
      <c r="U136" s="21">
        <v>5200</v>
      </c>
      <c r="V136" s="21">
        <v>5700</v>
      </c>
      <c r="W136" s="21">
        <v>5900</v>
      </c>
      <c r="X136" s="21">
        <v>6700</v>
      </c>
      <c r="Y136" s="21">
        <v>7700</v>
      </c>
      <c r="Z136" s="21">
        <v>8500</v>
      </c>
      <c r="AA136" s="21">
        <v>9200</v>
      </c>
      <c r="AC136" s="49"/>
    </row>
    <row r="137" spans="2:29" x14ac:dyDescent="0.2">
      <c r="B137" s="20" t="s">
        <v>358</v>
      </c>
      <c r="C137" s="49"/>
      <c r="D137" s="49"/>
      <c r="E137" s="49"/>
      <c r="F137" s="49"/>
      <c r="G137" s="49"/>
      <c r="H137" s="49"/>
      <c r="I137" s="49"/>
      <c r="J137" s="49"/>
      <c r="K137" s="49"/>
      <c r="L137" s="49"/>
      <c r="M137" s="49"/>
      <c r="N137" s="49"/>
      <c r="O137" s="49"/>
      <c r="P137" s="49"/>
      <c r="Q137" s="49"/>
      <c r="T137" s="25">
        <f t="shared" ref="T137" si="128">U10</f>
        <v>4689</v>
      </c>
      <c r="U137" s="25">
        <f t="shared" ref="U137" si="129">V10</f>
        <v>5030</v>
      </c>
      <c r="V137" s="25">
        <f t="shared" ref="V137" si="130">W10</f>
        <v>5413</v>
      </c>
      <c r="W137" s="25">
        <f t="shared" ref="W137" si="131">X10</f>
        <v>5839</v>
      </c>
      <c r="X137" s="25">
        <f t="shared" ref="X137" si="132">Y10</f>
        <v>6794</v>
      </c>
      <c r="Y137" s="25">
        <f t="shared" ref="Y137" si="133">Z10</f>
        <v>7621</v>
      </c>
      <c r="Z137" s="25">
        <f t="shared" ref="Z137" si="134">AA10</f>
        <v>8408</v>
      </c>
      <c r="AA137" s="25">
        <f t="shared" ref="AA137" si="135">AB10</f>
        <v>0</v>
      </c>
      <c r="AC137" s="49"/>
    </row>
    <row r="138" spans="2:29" x14ac:dyDescent="0.2">
      <c r="B138" s="20" t="s">
        <v>178</v>
      </c>
      <c r="C138" s="49"/>
      <c r="D138" s="49"/>
      <c r="E138" s="49"/>
      <c r="F138" s="49"/>
      <c r="G138" s="49"/>
      <c r="H138" s="49"/>
      <c r="I138" s="49"/>
      <c r="J138" s="49"/>
      <c r="K138" s="49"/>
      <c r="L138" s="49"/>
      <c r="M138" s="49"/>
      <c r="N138" s="49"/>
      <c r="O138" s="49"/>
      <c r="P138" s="49"/>
      <c r="Q138" s="49"/>
      <c r="T138" s="225" t="str">
        <f t="shared" ref="T138:Z138" si="136">IF(T137&gt;T136, "BEAT", IF(T137&lt;T135, "MISSED", "MET"))</f>
        <v>MISSED</v>
      </c>
      <c r="U138" s="225" t="str">
        <f t="shared" si="136"/>
        <v>MISSED</v>
      </c>
      <c r="V138" s="225" t="str">
        <f t="shared" si="136"/>
        <v>MISSED</v>
      </c>
      <c r="W138" s="225" t="str">
        <f t="shared" si="136"/>
        <v>MISSED</v>
      </c>
      <c r="X138" s="225" t="str">
        <f t="shared" si="136"/>
        <v>BEAT</v>
      </c>
      <c r="Y138" s="225" t="str">
        <f t="shared" si="136"/>
        <v>MISSED</v>
      </c>
      <c r="Z138" s="225" t="str">
        <f t="shared" si="136"/>
        <v>MISSED</v>
      </c>
      <c r="AA138" s="225" t="str">
        <f t="shared" ref="AA138" si="137">IF(AA137&gt;AA136, "BEAT", IF(AA137&lt;AA135, "MISSED", "MET"))</f>
        <v>MISSED</v>
      </c>
      <c r="AC138" s="49"/>
    </row>
    <row r="140" spans="2:29" x14ac:dyDescent="0.2">
      <c r="B140" s="1"/>
    </row>
    <row r="141" spans="2:29" ht="17" thickBot="1" x14ac:dyDescent="0.25">
      <c r="B141" s="14" t="s">
        <v>240</v>
      </c>
      <c r="C141" s="168"/>
      <c r="D141" s="168"/>
      <c r="E141" s="168"/>
      <c r="F141" s="168"/>
      <c r="G141" s="168"/>
      <c r="H141" s="168"/>
      <c r="I141" s="168"/>
      <c r="J141" s="168"/>
      <c r="K141" s="168"/>
      <c r="L141" s="168"/>
      <c r="M141" s="168"/>
      <c r="N141" s="168"/>
      <c r="O141" s="168"/>
      <c r="P141" s="168"/>
      <c r="Q141" s="168"/>
      <c r="T141" s="168"/>
      <c r="U141" s="168"/>
      <c r="V141" s="168"/>
      <c r="W141" s="168"/>
      <c r="X141" s="168"/>
      <c r="Y141" s="168"/>
      <c r="Z141" s="168"/>
      <c r="AA141" s="168"/>
      <c r="AC141" s="168"/>
    </row>
    <row r="142" spans="2:29" x14ac:dyDescent="0.2">
      <c r="B142" s="20" t="s">
        <v>97</v>
      </c>
      <c r="C142" s="81"/>
      <c r="D142" s="81"/>
      <c r="E142" s="81"/>
      <c r="F142" s="81"/>
      <c r="G142" s="81"/>
      <c r="H142" s="81"/>
      <c r="I142" s="81"/>
      <c r="J142" s="81"/>
      <c r="K142" s="81"/>
      <c r="L142" s="81"/>
      <c r="M142" s="81">
        <f>M107/(M106+M110-M105)</f>
        <v>0.60245252494303547</v>
      </c>
      <c r="N142" s="81">
        <f>N107/(N106+N110-N105)</f>
        <v>0.21378682052839357</v>
      </c>
      <c r="O142" s="81">
        <f>O107/(O106+O110-O105)</f>
        <v>1.0866013555554745</v>
      </c>
      <c r="P142" s="81">
        <f>P107/(P106+P110-P105)</f>
        <v>1.5847534085376831</v>
      </c>
      <c r="Q142" s="81">
        <f>Q107/(Q106+Q110-Q105)</f>
        <v>1.0723937210768841</v>
      </c>
      <c r="T142" s="49"/>
      <c r="U142" s="49"/>
      <c r="V142" s="49"/>
      <c r="W142" s="49"/>
      <c r="X142" s="49"/>
      <c r="Y142" s="49"/>
      <c r="Z142" s="49"/>
      <c r="AA142" s="49"/>
      <c r="AC142" s="81">
        <f>AC107/(AC106+AC110-AC105)</f>
        <v>1.0183873919662139</v>
      </c>
    </row>
    <row r="143" spans="2:29" x14ac:dyDescent="0.2">
      <c r="B143" s="20" t="s">
        <v>131</v>
      </c>
      <c r="M143" s="119">
        <f t="shared" ref="M143:Q144" si="138">M29/M5*365</f>
        <v>63.061975180203611</v>
      </c>
      <c r="N143" s="119">
        <f t="shared" si="138"/>
        <v>51.785237636242307</v>
      </c>
      <c r="O143" s="119">
        <f t="shared" si="138"/>
        <v>59.906683956534586</v>
      </c>
      <c r="P143" s="119">
        <f t="shared" si="138"/>
        <v>64.512785734537957</v>
      </c>
      <c r="Q143" s="119">
        <f t="shared" si="138"/>
        <v>65.01907955061175</v>
      </c>
      <c r="T143" s="119">
        <f t="shared" ref="T143:Z143" si="139">T29/T5*90</f>
        <v>45.389943560800411</v>
      </c>
      <c r="U143" s="119">
        <f t="shared" si="139"/>
        <v>52.778978413973704</v>
      </c>
      <c r="V143" s="119">
        <f t="shared" si="139"/>
        <v>45.206300213335751</v>
      </c>
      <c r="W143" s="119">
        <f t="shared" si="139"/>
        <v>53.542134651177712</v>
      </c>
      <c r="X143" s="119">
        <f t="shared" si="139"/>
        <v>52.71708241237765</v>
      </c>
      <c r="Y143" s="119">
        <f t="shared" si="139"/>
        <v>50.815976044739969</v>
      </c>
      <c r="Z143" s="119">
        <f t="shared" si="139"/>
        <v>44.892482999448632</v>
      </c>
      <c r="AA143" s="119">
        <f t="shared" ref="AA143" si="140">AA29/AA5*90</f>
        <v>58.982030949584811</v>
      </c>
      <c r="AC143" s="119">
        <f>AC29/AC5*365</f>
        <v>75.969934217692241</v>
      </c>
    </row>
    <row r="144" spans="2:29" x14ac:dyDescent="0.2">
      <c r="B144" s="20" t="s">
        <v>132</v>
      </c>
      <c r="M144" s="119">
        <f t="shared" si="138"/>
        <v>100.73365822650703</v>
      </c>
      <c r="N144" s="119">
        <f t="shared" si="138"/>
        <v>162.079101394388</v>
      </c>
      <c r="O144" s="119">
        <f t="shared" si="138"/>
        <v>115.99362252572048</v>
      </c>
      <c r="P144" s="119">
        <f t="shared" si="138"/>
        <v>112.72404179049603</v>
      </c>
      <c r="Q144" s="119">
        <f t="shared" si="138"/>
        <v>125.043537414966</v>
      </c>
      <c r="T144" s="119">
        <f t="shared" ref="T144:Z144" si="141">T30/T6*365</f>
        <v>312.98565987004258</v>
      </c>
      <c r="U144" s="119">
        <f t="shared" si="141"/>
        <v>346.83257918552033</v>
      </c>
      <c r="V144" s="119">
        <f t="shared" si="141"/>
        <v>237.81447625618031</v>
      </c>
      <c r="W144" s="119">
        <f t="shared" si="141"/>
        <v>423.67183863460048</v>
      </c>
      <c r="X144" s="119">
        <f t="shared" si="141"/>
        <v>476.42409447779909</v>
      </c>
      <c r="Y144" s="119">
        <f t="shared" si="141"/>
        <v>458.61776447105791</v>
      </c>
      <c r="Z144" s="119">
        <f t="shared" si="141"/>
        <v>460.25540131000093</v>
      </c>
      <c r="AA144" s="119">
        <f t="shared" ref="AA144" si="142">AA30/AA6*365</f>
        <v>478.62764234395115</v>
      </c>
      <c r="AC144" s="119">
        <f>AC30/AC6*365</f>
        <v>150.20429308726929</v>
      </c>
    </row>
    <row r="145" spans="2:29" x14ac:dyDescent="0.2">
      <c r="B145" s="20" t="s">
        <v>133</v>
      </c>
      <c r="M145" s="119">
        <f>M37/M6*365</f>
        <v>68.947452060599645</v>
      </c>
      <c r="N145" s="119">
        <f>N37/N6*365</f>
        <v>37.480203133069374</v>
      </c>
      <c r="O145" s="119">
        <f>O37/O6*365</f>
        <v>59.270501173214605</v>
      </c>
      <c r="P145" s="119">
        <f>P37/P6*365</f>
        <v>70.564355525598216</v>
      </c>
      <c r="Q145" s="119">
        <f>Q37/Q6*365</f>
        <v>57.325010004001605</v>
      </c>
      <c r="T145" s="119">
        <f t="shared" ref="T145:Z145" si="143">T37/T6*90</f>
        <v>53.973784449921581</v>
      </c>
      <c r="U145" s="119">
        <f t="shared" si="143"/>
        <v>53.53506787330317</v>
      </c>
      <c r="V145" s="119">
        <f t="shared" si="143"/>
        <v>37.932045532942396</v>
      </c>
      <c r="W145" s="119">
        <f t="shared" si="143"/>
        <v>63.286268425135759</v>
      </c>
      <c r="X145" s="119">
        <f t="shared" si="143"/>
        <v>51.208022695784123</v>
      </c>
      <c r="Y145" s="119">
        <f t="shared" si="143"/>
        <v>51.842197957027118</v>
      </c>
      <c r="Z145" s="119">
        <f t="shared" si="143"/>
        <v>57.617069117215763</v>
      </c>
      <c r="AA145" s="119">
        <f t="shared" ref="AA145" si="144">AA37/AA6*90</f>
        <v>56.285975331201463</v>
      </c>
      <c r="AC145" s="119">
        <f>AC37/AC6*365</f>
        <v>71.636625482222911</v>
      </c>
    </row>
    <row r="146" spans="2:29" x14ac:dyDescent="0.2">
      <c r="B146" s="20" t="s">
        <v>134</v>
      </c>
      <c r="M146" s="119">
        <f>M143+M144-M145</f>
        <v>94.848181346110991</v>
      </c>
      <c r="N146" s="119">
        <f t="shared" ref="N146:Q146" si="145">N143+N144-N145</f>
        <v>176.38413589756092</v>
      </c>
      <c r="O146" s="119">
        <f t="shared" si="145"/>
        <v>116.62980530904048</v>
      </c>
      <c r="P146" s="119">
        <f t="shared" si="145"/>
        <v>106.67247199943577</v>
      </c>
      <c r="Q146" s="119">
        <f t="shared" si="145"/>
        <v>132.73760696157615</v>
      </c>
      <c r="T146" s="119">
        <f t="shared" ref="T146" si="146">T143+T144-T145</f>
        <v>304.40181898092141</v>
      </c>
      <c r="U146" s="119">
        <f t="shared" ref="U146" si="147">U143+U144-U145</f>
        <v>346.07648972619091</v>
      </c>
      <c r="V146" s="119">
        <f t="shared" ref="V146" si="148">V143+V144-V145</f>
        <v>245.08873093657368</v>
      </c>
      <c r="W146" s="119">
        <f t="shared" ref="W146" si="149">W143+W144-W145</f>
        <v>413.92770486064245</v>
      </c>
      <c r="X146" s="119">
        <f t="shared" ref="X146:Z146" si="150">X143+X144-X145</f>
        <v>477.93315419439267</v>
      </c>
      <c r="Y146" s="119">
        <f t="shared" si="150"/>
        <v>457.59154255877075</v>
      </c>
      <c r="Z146" s="119">
        <f t="shared" si="150"/>
        <v>447.53081519223383</v>
      </c>
      <c r="AA146" s="119">
        <f t="shared" ref="AA146" si="151">AA143+AA144-AA145</f>
        <v>481.32369796233445</v>
      </c>
      <c r="AC146" s="119">
        <f t="shared" ref="AC146" si="152">AC143+AC144-AC145</f>
        <v>154.53760182273862</v>
      </c>
    </row>
    <row r="147" spans="2:29" x14ac:dyDescent="0.2">
      <c r="B147" s="20" t="s">
        <v>243</v>
      </c>
      <c r="M147" s="119">
        <f>M106/M48</f>
        <v>0.41131820231474525</v>
      </c>
      <c r="N147" s="119">
        <f>N106/N48</f>
        <v>0.49558843491244742</v>
      </c>
      <c r="O147" s="119">
        <f>O106/O48</f>
        <v>0.22590627763041557</v>
      </c>
      <c r="P147" s="119">
        <f>P106/P48</f>
        <v>0.10668498745698186</v>
      </c>
      <c r="Q147" s="119">
        <f>Q106/Q48</f>
        <v>5.3835835033981171E-2</v>
      </c>
      <c r="T147" s="119">
        <f t="shared" ref="T147:Z147" si="153">T106/T48</f>
        <v>0.12840862532056632</v>
      </c>
      <c r="U147" s="119">
        <f t="shared" si="153"/>
        <v>0.10668498745698186</v>
      </c>
      <c r="V147" s="119">
        <f t="shared" si="153"/>
        <v>0.10095058621471083</v>
      </c>
      <c r="W147" s="119">
        <f t="shared" si="153"/>
        <v>8.4549240494951619E-2</v>
      </c>
      <c r="X147" s="119">
        <f t="shared" si="153"/>
        <v>7.1212898559257179E-2</v>
      </c>
      <c r="Y147" s="119">
        <f t="shared" si="153"/>
        <v>5.4471591234193512E-2</v>
      </c>
      <c r="Z147" s="119">
        <f t="shared" si="153"/>
        <v>4.3330570817602339E-2</v>
      </c>
      <c r="AA147" s="119">
        <f t="shared" ref="AA147" si="154">AA106/AA48</f>
        <v>0.1452765258708032</v>
      </c>
      <c r="AC147" s="119">
        <f>AC106/AC48</f>
        <v>0.1452765258708032</v>
      </c>
    </row>
    <row r="148" spans="2:29" x14ac:dyDescent="0.2">
      <c r="B148" s="20" t="s">
        <v>247</v>
      </c>
      <c r="M148" s="176">
        <f>(M106-M105)/M48</f>
        <v>-0.38561551179918835</v>
      </c>
      <c r="N148" s="176">
        <f>(N106-N105)/N48</f>
        <v>-0.10601330256549478</v>
      </c>
      <c r="O148" s="176">
        <f>(O106-O105)/O48</f>
        <v>-0.37868211643166272</v>
      </c>
      <c r="P148" s="176">
        <f>(P106-P105)/P48</f>
        <v>-0.43802236312982967</v>
      </c>
      <c r="Q148" s="176">
        <f>(Q106-Q105)/Q48</f>
        <v>-0.34386781357085183</v>
      </c>
      <c r="T148" s="176">
        <f t="shared" ref="T148:Z148" si="155">(T106-T105)/T48</f>
        <v>-0.45562148135783548</v>
      </c>
      <c r="U148" s="176">
        <f t="shared" si="155"/>
        <v>-0.43802236312982967</v>
      </c>
      <c r="V148" s="176">
        <f t="shared" si="155"/>
        <v>-0.53942487744951872</v>
      </c>
      <c r="W148" s="176">
        <f t="shared" si="155"/>
        <v>-0.48261777072035633</v>
      </c>
      <c r="X148" s="176">
        <f t="shared" si="155"/>
        <v>-0.43853923984625348</v>
      </c>
      <c r="Y148" s="176">
        <f t="shared" si="155"/>
        <v>-0.3432320573706395</v>
      </c>
      <c r="Z148" s="176">
        <f t="shared" si="155"/>
        <v>-0.36885723932594616</v>
      </c>
      <c r="AA148" s="176">
        <f t="shared" ref="AA148" si="156">(AA106-AA105)/AA48</f>
        <v>-0.28867955839709325</v>
      </c>
      <c r="AC148" s="176">
        <f>(AC106-AC105)/AC48</f>
        <v>-0.28867955839709325</v>
      </c>
    </row>
    <row r="149" spans="2:29" x14ac:dyDescent="0.2">
      <c r="B149" s="20" t="s">
        <v>244</v>
      </c>
      <c r="M149" s="119">
        <f>(M105+M29)/M39</f>
        <v>5.9649365628604381</v>
      </c>
      <c r="N149" s="119">
        <f>(N105+N29)/N39</f>
        <v>2.6090202651226573</v>
      </c>
      <c r="O149" s="119">
        <f>(O105+O29)/O39</f>
        <v>3.3847239206095381</v>
      </c>
      <c r="P149" s="119">
        <f>(P105+P29)/P39</f>
        <v>3.672355516152269</v>
      </c>
      <c r="Q149" s="119">
        <f>(Q105+Q29)/Q39</f>
        <v>3.1409383453036099</v>
      </c>
      <c r="T149" s="119">
        <f t="shared" ref="T149:Z149" si="157">(T105+T29)/T39</f>
        <v>3.4091874506948239</v>
      </c>
      <c r="U149" s="119">
        <f t="shared" si="157"/>
        <v>3.672355516152269</v>
      </c>
      <c r="V149" s="119">
        <f t="shared" si="157"/>
        <v>2.8567176550372992</v>
      </c>
      <c r="W149" s="119">
        <f t="shared" si="157"/>
        <v>3.4876118233911861</v>
      </c>
      <c r="X149" s="119">
        <f t="shared" si="157"/>
        <v>3.6049472674976029</v>
      </c>
      <c r="Y149" s="119">
        <f t="shared" si="157"/>
        <v>3.1409383453036099</v>
      </c>
      <c r="Z149" s="119">
        <f t="shared" si="157"/>
        <v>2.7636951964269438</v>
      </c>
      <c r="AA149" s="119">
        <f t="shared" ref="AA149" si="158">(AA105+AA29)/AA39</f>
        <v>3.7757270043469164</v>
      </c>
      <c r="AC149" s="119">
        <f>(AC105+AC29)/AC39</f>
        <v>3.7757270043469164</v>
      </c>
    </row>
    <row r="150" spans="2:29" x14ac:dyDescent="0.2">
      <c r="B150" s="20" t="s">
        <v>245</v>
      </c>
      <c r="M150" s="119">
        <f>M31/M39</f>
        <v>6.6502883506343711</v>
      </c>
      <c r="N150" s="119">
        <f>N31/N39</f>
        <v>3.5156178576870332</v>
      </c>
      <c r="O150" s="119">
        <f>O31/O39</f>
        <v>4.1712915059730973</v>
      </c>
      <c r="P150" s="119">
        <f>P31/P39</f>
        <v>4.4398514988640772</v>
      </c>
      <c r="Q150" s="119">
        <f>Q31/Q39</f>
        <v>3.9052638124553058</v>
      </c>
      <c r="T150" s="119">
        <f t="shared" ref="T150:Z150" si="159">T31/T39</f>
        <v>4.1046179986649678</v>
      </c>
      <c r="U150" s="119">
        <f t="shared" si="159"/>
        <v>4.4398514988640772</v>
      </c>
      <c r="V150" s="119">
        <f t="shared" si="159"/>
        <v>3.3884032853590536</v>
      </c>
      <c r="W150" s="119">
        <f t="shared" si="159"/>
        <v>4.2140000824504265</v>
      </c>
      <c r="X150" s="119">
        <f t="shared" si="159"/>
        <v>4.4675743048897409</v>
      </c>
      <c r="Y150" s="119">
        <f t="shared" si="159"/>
        <v>3.9052638124553058</v>
      </c>
      <c r="Z150" s="119">
        <f t="shared" si="159"/>
        <v>3.440775681341719</v>
      </c>
      <c r="AA150" s="119">
        <f t="shared" ref="AA150" si="160">AA31/AA39</f>
        <v>4.5889490690160164</v>
      </c>
      <c r="AC150" s="119">
        <f>AC31/AC39</f>
        <v>4.5889490690160164</v>
      </c>
    </row>
    <row r="151" spans="2:29" x14ac:dyDescent="0.2">
      <c r="B151" s="20" t="s">
        <v>251</v>
      </c>
      <c r="M151" s="178">
        <f>IF(M12&gt;=0,"N/A",IF(M11&lt;=0,"N/A",M11/-M12))</f>
        <v>48.507246376811594</v>
      </c>
      <c r="N151" s="178" t="str">
        <f>IF(N12&gt;=0,"N/A",IF(N11&lt;=0,"N/A",N11/-N12))</f>
        <v>N/A</v>
      </c>
      <c r="O151" s="178" t="str">
        <f>IF(O12&gt;=0,"N/A",IF(O11&lt;=0,"N/A",O11/-O12))</f>
        <v>N/A</v>
      </c>
      <c r="P151" s="178" t="str">
        <f>IF(P12&gt;=0,"N/A",IF(P11&lt;=0,"N/A",P11/-P12))</f>
        <v>N/A</v>
      </c>
      <c r="Q151" s="178" t="str">
        <f>IF(Q12&gt;=0,"N/A",IF(Q11&lt;=0,"N/A",Q11/-Q12))</f>
        <v>N/A</v>
      </c>
      <c r="T151" s="178" t="str">
        <f t="shared" ref="T151:Z151" si="161">IF(T12&gt;=0,"N/A",IF(T11&lt;=0,"N/A",T11/-T12))</f>
        <v>N/A</v>
      </c>
      <c r="U151" s="178" t="str">
        <f t="shared" si="161"/>
        <v>N/A</v>
      </c>
      <c r="V151" s="178" t="str">
        <f t="shared" si="161"/>
        <v>N/A</v>
      </c>
      <c r="W151" s="178" t="str">
        <f t="shared" si="161"/>
        <v>N/A</v>
      </c>
      <c r="X151" s="178" t="str">
        <f t="shared" si="161"/>
        <v>N/A</v>
      </c>
      <c r="Y151" s="178" t="str">
        <f t="shared" si="161"/>
        <v>N/A</v>
      </c>
      <c r="Z151" s="178" t="str">
        <f t="shared" si="161"/>
        <v>N/A</v>
      </c>
      <c r="AA151" s="178" t="str">
        <f t="shared" ref="AA151" si="162">IF(AA12&gt;=0,"N/A",IF(AA11&lt;=0,"N/A",AA11/-AA12))</f>
        <v>N/A</v>
      </c>
      <c r="AC151" s="178" t="str">
        <f>IF(AC12&gt;=0,"N/A",IF(AC11&lt;=0,"N/A",AC11/-AC12))</f>
        <v>N/A</v>
      </c>
    </row>
    <row r="152" spans="2:29" x14ac:dyDescent="0.2">
      <c r="B152" s="20" t="s">
        <v>229</v>
      </c>
      <c r="M152" s="72">
        <f>M115/Statement!M25</f>
        <v>59.324675324675326</v>
      </c>
      <c r="N152" s="72">
        <f>N115/Statement!N25</f>
        <v>117.01149425287356</v>
      </c>
      <c r="O152" s="72">
        <f>O115/Statement!O25</f>
        <v>51.156747694886832</v>
      </c>
      <c r="P152" s="72">
        <f>P115/Statement!P25</f>
        <v>48.510204081632658</v>
      </c>
      <c r="Q152" s="72">
        <f>Q115/Statement!Q25</f>
        <v>38.299999999999997</v>
      </c>
      <c r="T152" s="49"/>
      <c r="U152" s="49"/>
      <c r="V152" s="49"/>
      <c r="W152" s="49"/>
      <c r="X152" s="49"/>
      <c r="Y152" s="49"/>
      <c r="Z152" s="49"/>
      <c r="AA152" s="49"/>
      <c r="AC152" s="72">
        <f ca="1">AC115/Statement!AC25</f>
        <v>26.670037926675096</v>
      </c>
    </row>
    <row r="153" spans="2:29" x14ac:dyDescent="0.2">
      <c r="B153" s="20" t="s">
        <v>193</v>
      </c>
      <c r="M153" s="72">
        <f>M115/(Statement!M5/Statement!M21)</f>
        <v>21.512744296648584</v>
      </c>
      <c r="N153" s="72">
        <f>N115/(Statement!N5/Statement!N21)</f>
        <v>18.922859049455031</v>
      </c>
      <c r="O153" s="72">
        <f>O115/(Statement!O5/Statement!O21)</f>
        <v>24.984212599717669</v>
      </c>
      <c r="P153" s="72">
        <f>P115/(Statement!P5/Statement!P21)</f>
        <v>27.108259040437712</v>
      </c>
      <c r="Q153" s="72">
        <f>Q115/(Statement!Q5/Statement!Q21)</f>
        <v>21.304922616677011</v>
      </c>
      <c r="T153" s="49"/>
      <c r="U153" s="49"/>
      <c r="V153" s="49"/>
      <c r="W153" s="49"/>
      <c r="X153" s="49"/>
      <c r="Y153" s="49"/>
      <c r="Z153" s="49"/>
      <c r="AA153" s="49"/>
      <c r="AC153" s="72">
        <f ca="1">AC115/(Statement!AC5/Statement!AC21)</f>
        <v>16.98836956916384</v>
      </c>
    </row>
    <row r="154" spans="2:29" x14ac:dyDescent="0.2">
      <c r="B154" s="20" t="s">
        <v>230</v>
      </c>
      <c r="M154" s="72">
        <f>M115/(Statement!M48/Statement!M74)</f>
        <v>21.542311739065084</v>
      </c>
      <c r="N154" s="72">
        <f>N115/(Statement!N48/Statement!N74)</f>
        <v>22.754264512917967</v>
      </c>
      <c r="O154" s="72">
        <f>O115/(Statement!O48/Statement!O74)</f>
        <v>35.500721299269394</v>
      </c>
      <c r="P154" s="72">
        <f>P115/(Statement!P48/Statement!P74)</f>
        <v>43.868140733924143</v>
      </c>
      <c r="Q154" s="72">
        <f>Q115/(Statement!Q48/Statement!Q74)</f>
        <v>28.992904960805632</v>
      </c>
      <c r="T154" s="72">
        <f>T115/(Statement!T48/Statement!T74)</f>
        <v>52.518654304314175</v>
      </c>
      <c r="U154" s="72">
        <f>U115/(Statement!U48/Statement!U74)</f>
        <v>43.868140733924143</v>
      </c>
      <c r="V154" s="72">
        <f>V115/(Statement!V48/Statement!V74)</f>
        <v>32.259580406235465</v>
      </c>
      <c r="W154" s="72">
        <f>W115/(Statement!W48/Statement!W74)</f>
        <v>42.049525122090067</v>
      </c>
      <c r="X154" s="72">
        <f>X115/(Statement!X48/Statement!X74)</f>
        <v>38.018503410514988</v>
      </c>
      <c r="Y154" s="72">
        <f>Y115/(Statement!Y48/Statement!Y74)</f>
        <v>28.992904960805632</v>
      </c>
      <c r="Z154" s="72">
        <f>Z115/(Statement!Z48/Statement!Z74)</f>
        <v>25.784165669091546</v>
      </c>
      <c r="AA154" s="72">
        <f>AA115/(Statement!AA48/Statement!AA74)</f>
        <v>21.769398735282817</v>
      </c>
      <c r="AC154" s="72">
        <f ca="1">AC115/(Statement!AC48/Statement!AC74)</f>
        <v>22.203018551514518</v>
      </c>
    </row>
    <row r="155" spans="2:29" x14ac:dyDescent="0.2">
      <c r="B155" s="20" t="s">
        <v>231</v>
      </c>
      <c r="M155" s="142">
        <f>Statement!M115*Statement!M77</f>
        <v>582191.6</v>
      </c>
      <c r="N155" s="142">
        <f>Statement!N115*Statement!N77</f>
        <v>506964</v>
      </c>
      <c r="O155" s="142">
        <f>Statement!O115*Statement!O77</f>
        <v>1541007.4999999998</v>
      </c>
      <c r="P155" s="142">
        <f>Statement!P115*Statement!P77</f>
        <v>3515440.38</v>
      </c>
      <c r="Q155" s="142">
        <f>Statement!Q115*Statement!Q77</f>
        <v>4589469.8499999996</v>
      </c>
      <c r="T155" s="142">
        <f>Statement!T115*Statement!T77</f>
        <v>3494984.92</v>
      </c>
      <c r="U155" s="142">
        <f>Statement!U115*Statement!U77</f>
        <v>3515440.38</v>
      </c>
      <c r="V155" s="142">
        <f>Statement!V115*Statement!V77</f>
        <v>2723584.5</v>
      </c>
      <c r="W155" s="142">
        <f>Statement!W115*Statement!W77</f>
        <v>4239223.82</v>
      </c>
      <c r="X155" s="142">
        <f>Statement!X115*Statement!X77</f>
        <v>4549305.12</v>
      </c>
      <c r="Y155" s="142">
        <f>Statement!Y115*Statement!Y77</f>
        <v>4589469.8499999996</v>
      </c>
      <c r="Z155" s="142">
        <f>Statement!Z115*Statement!Z77</f>
        <v>5062002.3500000006</v>
      </c>
      <c r="AA155" s="142">
        <f>Statement!AA115*Statement!AA77</f>
        <v>5004493.8</v>
      </c>
      <c r="AC155" s="142">
        <f ca="1">Statement!AC115*Statement!AC77</f>
        <v>5104177.2</v>
      </c>
    </row>
    <row r="156" spans="2:29" x14ac:dyDescent="0.2">
      <c r="B156" s="20" t="s">
        <v>180</v>
      </c>
      <c r="M156" s="142">
        <f>M155+M106-M105+M47+M44</f>
        <v>571929.59999999998</v>
      </c>
      <c r="N156" s="142">
        <f>N155+N106-N105+N47+N44</f>
        <v>504621</v>
      </c>
      <c r="O156" s="142">
        <f>O155+O106-O105+O47+O44</f>
        <v>1524732.4999999998</v>
      </c>
      <c r="P156" s="142">
        <f>P155+P106-P105+P47+P44</f>
        <v>3480693.38</v>
      </c>
      <c r="Q156" s="142">
        <f>Q155+Q106-Q105+Q47+Q44</f>
        <v>4535381.8499999996</v>
      </c>
      <c r="T156" s="142">
        <f t="shared" ref="T156:Z156" si="163">T155+T106-T105+T47+T44</f>
        <v>3464959.92</v>
      </c>
      <c r="U156" s="142">
        <f t="shared" si="163"/>
        <v>3480693.38</v>
      </c>
      <c r="V156" s="142">
        <f t="shared" si="163"/>
        <v>2678357.5</v>
      </c>
      <c r="W156" s="142">
        <f t="shared" si="163"/>
        <v>4190898.8200000003</v>
      </c>
      <c r="X156" s="142">
        <f t="shared" si="163"/>
        <v>4497164.12</v>
      </c>
      <c r="Y156" s="142">
        <f t="shared" si="163"/>
        <v>4535481.8499999996</v>
      </c>
      <c r="Z156" s="142">
        <f t="shared" si="163"/>
        <v>4989900.3500000006</v>
      </c>
      <c r="AA156" s="142">
        <f t="shared" ref="AA156" si="164">AA155+AA106-AA105+AA47+AA44</f>
        <v>4938390.8</v>
      </c>
      <c r="AC156" s="142">
        <f ca="1">AC155+AC106-AC105+AC47+AC44</f>
        <v>5038074.2</v>
      </c>
    </row>
    <row r="157" spans="2:29" x14ac:dyDescent="0.2">
      <c r="B157" s="20" t="s">
        <v>252</v>
      </c>
      <c r="M157" s="180">
        <f>M156/M5</f>
        <v>21.250263803225085</v>
      </c>
      <c r="N157" s="180">
        <f>N156/N5</f>
        <v>18.707681471046193</v>
      </c>
      <c r="O157" s="180">
        <f>O156/O5</f>
        <v>25.02761728111355</v>
      </c>
      <c r="P157" s="180">
        <f>P156/P5</f>
        <v>26.672593086431103</v>
      </c>
      <c r="Q157" s="180">
        <f>Q156/Q5</f>
        <v>21.003166881234428</v>
      </c>
      <c r="T157" s="49"/>
      <c r="U157" s="49"/>
      <c r="V157" s="49"/>
      <c r="W157" s="49"/>
      <c r="X157" s="49"/>
      <c r="Y157" s="49"/>
      <c r="Z157" s="49"/>
      <c r="AA157" s="49"/>
      <c r="AC157" s="180">
        <f ca="1">AC156/AC5</f>
        <v>16.62900890850219</v>
      </c>
    </row>
    <row r="158" spans="2:29" x14ac:dyDescent="0.2">
      <c r="B158" s="20" t="s">
        <v>196</v>
      </c>
      <c r="M158" s="180">
        <f>M156/M11</f>
        <v>56.959426351956971</v>
      </c>
      <c r="N158" s="180">
        <f>N156/N11</f>
        <v>119.46519886363636</v>
      </c>
      <c r="O158" s="180">
        <f>O156/O11</f>
        <v>46.243251850054584</v>
      </c>
      <c r="P158" s="180">
        <f>P156/P11</f>
        <v>42.732537536984516</v>
      </c>
      <c r="Q158" s="180">
        <f>Q156/Q11</f>
        <v>34.784003389908499</v>
      </c>
      <c r="T158" s="49"/>
      <c r="U158" s="49"/>
      <c r="V158" s="49"/>
      <c r="W158" s="49"/>
      <c r="X158" s="49"/>
      <c r="Y158" s="49"/>
      <c r="Z158" s="49"/>
      <c r="AA158" s="49"/>
      <c r="AC158" s="180">
        <f ca="1">AC156/AC11</f>
        <v>25.499036840959821</v>
      </c>
    </row>
    <row r="159" spans="2:29" x14ac:dyDescent="0.2">
      <c r="B159" s="20" t="s">
        <v>253</v>
      </c>
      <c r="M159" s="64">
        <f>M58-M53+M108+M64</f>
        <v>6128</v>
      </c>
      <c r="N159" s="64">
        <f>N58-N53+N108+N64</f>
        <v>1099</v>
      </c>
      <c r="O159" s="64">
        <f>O58-O53+O108+O64</f>
        <v>23472</v>
      </c>
      <c r="P159" s="64">
        <f>P58-P53+P108+P64</f>
        <v>56116</v>
      </c>
      <c r="Q159" s="64">
        <f>Q58-Q53+Q108+Q64</f>
        <v>90290</v>
      </c>
      <c r="T159" s="64">
        <f t="shared" ref="T159:Z159" si="165">T58-T53+T108+T64</f>
        <v>15564</v>
      </c>
      <c r="U159" s="64">
        <f t="shared" si="165"/>
        <v>14230</v>
      </c>
      <c r="V159" s="64">
        <f t="shared" si="165"/>
        <v>24713</v>
      </c>
      <c r="W159" s="64">
        <f t="shared" si="165"/>
        <v>11847</v>
      </c>
      <c r="X159" s="64">
        <f t="shared" si="165"/>
        <v>20458</v>
      </c>
      <c r="Y159" s="64">
        <f t="shared" si="165"/>
        <v>33273</v>
      </c>
      <c r="Z159" s="64">
        <f t="shared" si="165"/>
        <v>46659</v>
      </c>
      <c r="AA159" s="64">
        <f t="shared" ref="AA159" si="166">AA58-AA53+AA108+AA64</f>
        <v>19374</v>
      </c>
      <c r="AC159" s="64">
        <f>AC58-AC53+AC108+AC64</f>
        <v>119764</v>
      </c>
    </row>
    <row r="160" spans="2:29" x14ac:dyDescent="0.2">
      <c r="B160" s="20" t="s">
        <v>254</v>
      </c>
      <c r="M160" s="64">
        <f>M107+M52+M108+M54+M56+M57+M55</f>
        <v>6685.0987828186298</v>
      </c>
      <c r="N160" s="64">
        <f>N107+N52+N108+N54+N56+N57+N55</f>
        <v>1728</v>
      </c>
      <c r="O160" s="64">
        <f>O107+O52+O108+O54+O56+O57+O55</f>
        <v>25732.515997397837</v>
      </c>
      <c r="P160" s="64">
        <f>P107+P52+P108+P54+P56+P57+P55</f>
        <v>59893.306952609913</v>
      </c>
      <c r="Q160" s="64">
        <f>Q107+Q52+Q108+Q54+Q56+Q57+Q55</f>
        <v>91501.393983739836</v>
      </c>
      <c r="T160" s="49"/>
      <c r="U160" s="49"/>
      <c r="V160" s="49"/>
      <c r="W160" s="49"/>
      <c r="X160" s="49"/>
      <c r="Y160" s="49"/>
      <c r="Z160" s="49"/>
      <c r="AA160" s="49"/>
      <c r="AC160" s="64">
        <f>AC107+AC52+AC108+AC54+AC56+AC57+AC55</f>
        <v>121461.9567908489</v>
      </c>
    </row>
    <row r="161" spans="2:29" x14ac:dyDescent="0.2">
      <c r="B161" s="20" t="s">
        <v>255</v>
      </c>
      <c r="M161" s="72">
        <f>M155/M159</f>
        <v>95.00515665796344</v>
      </c>
      <c r="N161" s="72">
        <f t="shared" ref="N161:Q161" si="167">N155/N159</f>
        <v>461.29572338489538</v>
      </c>
      <c r="O161" s="72">
        <f t="shared" si="167"/>
        <v>65.653012099522826</v>
      </c>
      <c r="P161" s="72">
        <f t="shared" si="167"/>
        <v>62.645954451493331</v>
      </c>
      <c r="Q161" s="72">
        <f t="shared" si="167"/>
        <v>50.830322848598954</v>
      </c>
      <c r="T161" s="49"/>
      <c r="U161" s="49"/>
      <c r="V161" s="49"/>
      <c r="W161" s="49"/>
      <c r="X161" s="49"/>
      <c r="Y161" s="49"/>
      <c r="Z161" s="49"/>
      <c r="AA161" s="49"/>
      <c r="AC161" s="72">
        <f t="shared" ref="AC161:AC162" ca="1" si="168">AC155/AC159</f>
        <v>42.618626632377008</v>
      </c>
    </row>
    <row r="162" spans="2:29" x14ac:dyDescent="0.2">
      <c r="B162" s="20" t="s">
        <v>256</v>
      </c>
      <c r="M162" s="72">
        <f>M156/M160</f>
        <v>85.552901846404438</v>
      </c>
      <c r="N162" s="72">
        <f t="shared" ref="N162:Q162" si="169">N156/N160</f>
        <v>292.02604166666669</v>
      </c>
      <c r="O162" s="72">
        <f t="shared" si="169"/>
        <v>59.253144937486333</v>
      </c>
      <c r="P162" s="72">
        <f t="shared" si="169"/>
        <v>58.114897258120507</v>
      </c>
      <c r="Q162" s="72">
        <f t="shared" si="169"/>
        <v>49.56625962229554</v>
      </c>
      <c r="T162" s="49"/>
      <c r="U162" s="49"/>
      <c r="V162" s="49"/>
      <c r="W162" s="49"/>
      <c r="X162" s="49"/>
      <c r="Y162" s="49"/>
      <c r="Z162" s="49"/>
      <c r="AA162" s="49"/>
      <c r="AC162" s="72">
        <f t="shared" ca="1" si="168"/>
        <v>41.478618763530207</v>
      </c>
    </row>
    <row r="163" spans="2:29" x14ac:dyDescent="0.2">
      <c r="B163" s="20" t="s">
        <v>257</v>
      </c>
      <c r="M163" s="74">
        <f>M159/M155</f>
        <v>1.0525744445642981E-2</v>
      </c>
      <c r="N163" s="74">
        <f t="shared" ref="N163:Q163" si="170">N159/N155</f>
        <v>2.1678067870696933E-3</v>
      </c>
      <c r="O163" s="74">
        <f t="shared" si="170"/>
        <v>1.5231593616513875E-2</v>
      </c>
      <c r="P163" s="74">
        <f t="shared" si="170"/>
        <v>1.5962722712993357E-2</v>
      </c>
      <c r="Q163" s="74">
        <f t="shared" si="170"/>
        <v>1.9673296252289359E-2</v>
      </c>
      <c r="T163" s="49"/>
      <c r="U163" s="49"/>
      <c r="V163" s="49"/>
      <c r="W163" s="49"/>
      <c r="X163" s="49"/>
      <c r="Y163" s="49"/>
      <c r="Z163" s="49"/>
      <c r="AA163" s="49"/>
      <c r="AC163" s="74">
        <f t="shared" ref="AC163" ca="1" si="171">AC159/AC155</f>
        <v>2.3463918925071801E-2</v>
      </c>
    </row>
    <row r="164" spans="2:29" x14ac:dyDescent="0.2">
      <c r="B164" s="20" t="s">
        <v>258</v>
      </c>
      <c r="M164" s="74">
        <f>M25/M115</f>
        <v>1.6856392294220666E-2</v>
      </c>
      <c r="N164" s="74">
        <f>N25/N115</f>
        <v>8.546168958742632E-3</v>
      </c>
      <c r="O164" s="74">
        <f>O25/O115</f>
        <v>1.9547763395051616E-2</v>
      </c>
      <c r="P164" s="74">
        <f>P25/P115</f>
        <v>2.061421960454354E-2</v>
      </c>
      <c r="Q164" s="74">
        <f>Q25/Q115</f>
        <v>2.6109660574412535E-2</v>
      </c>
      <c r="T164" s="49"/>
      <c r="U164" s="49"/>
      <c r="V164" s="49"/>
      <c r="W164" s="49"/>
      <c r="X164" s="49"/>
      <c r="Y164" s="49"/>
      <c r="Z164" s="49"/>
      <c r="AA164" s="49"/>
      <c r="AC164" s="74">
        <f ca="1">AC25/AC115</f>
        <v>3.7495259764884339E-2</v>
      </c>
    </row>
    <row r="165" spans="2:29" x14ac:dyDescent="0.2">
      <c r="B165" s="20" t="s">
        <v>259</v>
      </c>
      <c r="M165" s="153">
        <f>M81/M115</f>
        <v>7.0052539404553418E-4</v>
      </c>
      <c r="N165" s="153">
        <f>N81/N115</f>
        <v>7.8585461689587434E-4</v>
      </c>
      <c r="O165" s="153">
        <f>O81/O115</f>
        <v>2.6216614779616586E-4</v>
      </c>
      <c r="P165" s="153">
        <f>P81/P115</f>
        <v>2.3839573692329268E-4</v>
      </c>
      <c r="Q165" s="153">
        <f>Q81/Q115</f>
        <v>2.1314008632173498E-4</v>
      </c>
      <c r="T165" s="49"/>
      <c r="U165" s="49"/>
      <c r="V165" s="49"/>
      <c r="W165" s="49"/>
      <c r="X165" s="49"/>
      <c r="Y165" s="49"/>
      <c r="Z165" s="49"/>
      <c r="AA165" s="49"/>
      <c r="AC165" s="153">
        <f ca="1">AC81/AC115</f>
        <v>1.3272658323852863E-3</v>
      </c>
    </row>
    <row r="166" spans="2:29" x14ac:dyDescent="0.2">
      <c r="B166" s="20" t="s">
        <v>284</v>
      </c>
      <c r="M166" s="153">
        <f>-M62/M155</f>
        <v>0</v>
      </c>
      <c r="N166" s="153">
        <f>-N62/N155</f>
        <v>1.9802195027654824E-2</v>
      </c>
      <c r="O166" s="153">
        <f>-O62/O155</f>
        <v>6.1862125914377451E-3</v>
      </c>
      <c r="P166" s="153">
        <f>-P62/P155</f>
        <v>9.5879879493220143E-3</v>
      </c>
      <c r="Q166" s="153">
        <f>-Q62/Q155</f>
        <v>8.7343421593672754E-3</v>
      </c>
      <c r="T166" s="49"/>
      <c r="U166" s="49"/>
      <c r="V166" s="49"/>
      <c r="W166" s="49"/>
      <c r="X166" s="49"/>
      <c r="Y166" s="49"/>
      <c r="Z166" s="49"/>
      <c r="AA166" s="49"/>
      <c r="AC166" s="153">
        <f ca="1">-AC62/AC155</f>
        <v>1.083720212534941E-2</v>
      </c>
    </row>
    <row r="167" spans="2:29" x14ac:dyDescent="0.2">
      <c r="B167" s="20" t="s">
        <v>286</v>
      </c>
      <c r="M167" s="153">
        <f>-(M62+M63)/M155</f>
        <v>6.853413893295609E-4</v>
      </c>
      <c r="N167" s="153">
        <f>-(N62+N63)/N155</f>
        <v>2.0587260633891165E-2</v>
      </c>
      <c r="O167" s="153">
        <f>-(O62+O63)/O155</f>
        <v>6.4425384042582539E-3</v>
      </c>
      <c r="P167" s="153">
        <f>-(P62+P63)/P155</f>
        <v>9.8252270743957263E-3</v>
      </c>
      <c r="Q167" s="153">
        <f>-(Q62+Q63)/Q155</f>
        <v>8.946567107309792E-3</v>
      </c>
      <c r="T167" s="49"/>
      <c r="U167" s="49"/>
      <c r="V167" s="49"/>
      <c r="W167" s="49"/>
      <c r="X167" s="49"/>
      <c r="Y167" s="49"/>
      <c r="Z167" s="49"/>
      <c r="AA167" s="49"/>
      <c r="AC167" s="153">
        <f ca="1">-(AC62+AC63)/AC155</f>
        <v>1.2164742242882947E-2</v>
      </c>
    </row>
    <row r="168" spans="2:29" x14ac:dyDescent="0.2">
      <c r="B168" s="20" t="s">
        <v>373</v>
      </c>
      <c r="M168" s="222">
        <f>M160/M5</f>
        <v>0.24838741111758303</v>
      </c>
      <c r="N168" s="222">
        <f>N160/N5</f>
        <v>6.4061689033884484E-2</v>
      </c>
      <c r="O168" s="222">
        <f>O160/O5</f>
        <v>0.42238462291779383</v>
      </c>
      <c r="P168" s="222">
        <f>P160/P5</f>
        <v>0.45896309457389761</v>
      </c>
      <c r="Q168" s="222">
        <f>Q160/Q5</f>
        <v>0.42373919358213857</v>
      </c>
      <c r="T168" s="49"/>
      <c r="U168" s="49"/>
      <c r="V168" s="49"/>
      <c r="W168" s="49"/>
      <c r="X168" s="49"/>
      <c r="Y168" s="49"/>
      <c r="Z168" s="49"/>
      <c r="AA168" s="49"/>
      <c r="AC168" s="153">
        <f>AC160/AC5</f>
        <v>0.40090556060471172</v>
      </c>
    </row>
    <row r="169" spans="2:29" x14ac:dyDescent="0.2">
      <c r="B169" s="20" t="s">
        <v>374</v>
      </c>
      <c r="M169" s="222">
        <f>M159/M5</f>
        <v>0.22768819201902354</v>
      </c>
      <c r="N169" s="222">
        <f>N159/N5</f>
        <v>4.0742937643656857E-2</v>
      </c>
      <c r="O169" s="222">
        <f>O159/O5</f>
        <v>0.38527953776960705</v>
      </c>
      <c r="P169" s="222">
        <f>P159/P5</f>
        <v>0.43001754829612943</v>
      </c>
      <c r="Q169" s="222">
        <f>Q159/Q5</f>
        <v>0.41812927784827125</v>
      </c>
      <c r="T169" s="49"/>
      <c r="U169" s="49"/>
      <c r="V169" s="49"/>
      <c r="W169" s="49"/>
      <c r="X169" s="49"/>
      <c r="Y169" s="49"/>
      <c r="Z169" s="49"/>
      <c r="AA169" s="49"/>
      <c r="AC169" s="153">
        <f>AC159/AC5</f>
        <v>0.39530116942657501</v>
      </c>
    </row>
    <row r="170" spans="2:29" x14ac:dyDescent="0.2">
      <c r="B170" s="20" t="s">
        <v>262</v>
      </c>
      <c r="M170" s="153">
        <f>-M63/M159</f>
        <v>6.5110966057441252E-2</v>
      </c>
      <c r="N170" s="153">
        <f>-N63/N159</f>
        <v>0.36214740673339402</v>
      </c>
      <c r="O170" s="153">
        <f>-O63/O159</f>
        <v>1.6828561690524879E-2</v>
      </c>
      <c r="P170" s="153">
        <f>-P63/P159</f>
        <v>1.4862071423479934E-2</v>
      </c>
      <c r="Q170" s="153">
        <f>-Q63/Q159</f>
        <v>1.0787462620445233E-2</v>
      </c>
      <c r="T170" s="49"/>
      <c r="U170" s="49"/>
      <c r="V170" s="49"/>
      <c r="W170" s="49"/>
      <c r="X170" s="49"/>
      <c r="Y170" s="49"/>
      <c r="Z170" s="49"/>
      <c r="AA170" s="49"/>
      <c r="AC170" s="153">
        <f>-AC63/AC159</f>
        <v>5.6577936608663705E-2</v>
      </c>
    </row>
    <row r="171" spans="2:29" x14ac:dyDescent="0.2">
      <c r="B171" s="20" t="s">
        <v>264</v>
      </c>
      <c r="M171" s="153">
        <f>-M62/M159</f>
        <v>0</v>
      </c>
      <c r="N171" s="153">
        <f>-N62/N159</f>
        <v>9.1346678798908094</v>
      </c>
      <c r="O171" s="153">
        <f>-O62/O159</f>
        <v>0.40614349011588274</v>
      </c>
      <c r="P171" s="153">
        <f>-P62/P159</f>
        <v>0.60064865635469389</v>
      </c>
      <c r="Q171" s="153">
        <f>-Q62/Q159</f>
        <v>0.44396943183076754</v>
      </c>
      <c r="T171" s="49"/>
      <c r="U171" s="49"/>
      <c r="V171" s="49"/>
      <c r="W171" s="49"/>
      <c r="X171" s="49"/>
      <c r="Y171" s="49"/>
      <c r="Z171" s="49"/>
      <c r="AA171" s="49"/>
      <c r="AC171" s="153">
        <f>-AC62/AC159</f>
        <v>0.46186667111986907</v>
      </c>
    </row>
    <row r="172" spans="2:29" x14ac:dyDescent="0.2">
      <c r="B172" s="20" t="s">
        <v>275</v>
      </c>
      <c r="M172" s="153">
        <f>(-M63-M62)/M159</f>
        <v>6.5110966057441252E-2</v>
      </c>
      <c r="N172" s="153">
        <f>(-N63-N62)/N159</f>
        <v>9.4968152866242033</v>
      </c>
      <c r="O172" s="153">
        <f>(-O63-O62)/O159</f>
        <v>0.42297205180640762</v>
      </c>
      <c r="P172" s="153">
        <f>(-P63-P62)/P159</f>
        <v>0.61551072777817373</v>
      </c>
      <c r="Q172" s="153">
        <f>(-Q63-Q62)/Q159</f>
        <v>0.45475689445121276</v>
      </c>
      <c r="T172" s="49"/>
      <c r="U172" s="49"/>
      <c r="V172" s="49"/>
      <c r="W172" s="49"/>
      <c r="X172" s="49"/>
      <c r="Y172" s="49"/>
      <c r="Z172" s="49"/>
      <c r="AA172" s="49"/>
      <c r="AC172" s="153">
        <f>(-AC63-AC62)/AC159</f>
        <v>0.51844460772853274</v>
      </c>
    </row>
    <row r="173" spans="2:29" x14ac:dyDescent="0.2">
      <c r="B173" s="20" t="s">
        <v>269</v>
      </c>
      <c r="M173" s="153">
        <f>M79/M77</f>
        <v>3.9623381718320909E-2</v>
      </c>
      <c r="N173" s="153">
        <f>N79/N77</f>
        <v>3.9759036144578312E-2</v>
      </c>
      <c r="O173" s="153">
        <f>O79/O77</f>
        <v>4.118811881188119E-2</v>
      </c>
      <c r="P173" s="153">
        <f>P79/P77</f>
        <v>4.1380989086778369E-2</v>
      </c>
      <c r="Q173" s="153">
        <f>Q79/Q77</f>
        <v>3.9133101615211614E-2</v>
      </c>
      <c r="T173" s="49"/>
      <c r="U173" s="49"/>
      <c r="V173" s="49"/>
      <c r="W173" s="49"/>
      <c r="X173" s="49"/>
      <c r="Y173" s="49"/>
      <c r="Z173" s="49"/>
      <c r="AA173" s="49"/>
      <c r="AC173" s="153">
        <f>AC79/AC77</f>
        <v>3.9553626782393055E-2</v>
      </c>
    </row>
    <row r="174" spans="2:29" x14ac:dyDescent="0.2">
      <c r="B174" s="20" t="s">
        <v>270</v>
      </c>
      <c r="M174" s="72">
        <f>M105/M74</f>
        <v>0.84494023904382465</v>
      </c>
      <c r="N174" s="72">
        <f>N105/N74</f>
        <v>0.53829959514170045</v>
      </c>
      <c r="O174" s="72">
        <f>O105/O74</f>
        <v>1.0393600000000001</v>
      </c>
      <c r="P174" s="72">
        <f>P105/P74</f>
        <v>1.7709016393442623</v>
      </c>
      <c r="Q174" s="72">
        <f>Q105/Q74</f>
        <v>2.5743209876543212</v>
      </c>
      <c r="T174" s="72">
        <f t="shared" ref="T174:Z174" si="172">T105/T74</f>
        <v>1.5715394038383013</v>
      </c>
      <c r="U174" s="72">
        <f t="shared" si="172"/>
        <v>1.7709016393442623</v>
      </c>
      <c r="V174" s="72">
        <f t="shared" si="172"/>
        <v>2.2004508196721311</v>
      </c>
      <c r="W174" s="72">
        <f t="shared" si="172"/>
        <v>2.3370781893004113</v>
      </c>
      <c r="X174" s="72">
        <f t="shared" si="172"/>
        <v>2.494156378600823</v>
      </c>
      <c r="Y174" s="72">
        <f t="shared" si="172"/>
        <v>2.5743209876543212</v>
      </c>
      <c r="Z174" s="72">
        <f t="shared" si="172"/>
        <v>3.3294214876033057</v>
      </c>
      <c r="AA174" s="72">
        <f t="shared" ref="AA174" si="173">AA105/AA74</f>
        <v>4.1231950207468877</v>
      </c>
      <c r="AC174" s="72">
        <f>AC105/AC74</f>
        <v>4.1231950207468877</v>
      </c>
    </row>
    <row r="175" spans="2:29" x14ac:dyDescent="0.2">
      <c r="B175" s="20" t="s">
        <v>272</v>
      </c>
      <c r="M175" s="153">
        <f>M53/M58</f>
        <v>0.22002635046113306</v>
      </c>
      <c r="N175" s="153">
        <f>N53/N58</f>
        <v>0.48023400106364122</v>
      </c>
      <c r="O175" s="153">
        <f>O53/O58</f>
        <v>0.1263438946244215</v>
      </c>
      <c r="P175" s="153">
        <f>P53/P58</f>
        <v>7.3912839956934887E-2</v>
      </c>
      <c r="Q175" s="153">
        <f>Q53/Q58</f>
        <v>6.217021359450145E-2</v>
      </c>
      <c r="T175" s="153">
        <f t="shared" ref="T175:Z175" si="174">T53/T58</f>
        <v>7.1019343127800783E-2</v>
      </c>
      <c r="U175" s="153">
        <f t="shared" si="174"/>
        <v>7.944431080105846E-2</v>
      </c>
      <c r="V175" s="153">
        <f t="shared" si="174"/>
        <v>5.3768147661778655E-2</v>
      </c>
      <c r="W175" s="153">
        <f t="shared" si="174"/>
        <v>0.10569476082004556</v>
      </c>
      <c r="X175" s="153">
        <f t="shared" si="174"/>
        <v>6.9684210526315793E-2</v>
      </c>
      <c r="Y175" s="153">
        <f t="shared" si="174"/>
        <v>4.5122962144238742E-2</v>
      </c>
      <c r="Z175" s="153">
        <f t="shared" si="174"/>
        <v>3.829651994279358E-2</v>
      </c>
      <c r="AA175" s="153">
        <f t="shared" ref="AA175" si="175">AA53/AA58</f>
        <v>8.4146696016945632E-2</v>
      </c>
      <c r="AC175" s="153">
        <f>AC53/AC58</f>
        <v>5.3899569071382318E-2</v>
      </c>
    </row>
    <row r="176" spans="2:29" x14ac:dyDescent="0.2">
      <c r="B176" s="20" t="s">
        <v>273</v>
      </c>
      <c r="M176" s="153">
        <f>M53/M5</f>
        <v>7.4459389165490081E-2</v>
      </c>
      <c r="N176" s="153">
        <f>N53/N5</f>
        <v>0.10043004374582931</v>
      </c>
      <c r="O176" s="153">
        <f>O53/O5</f>
        <v>5.8254817635665278E-2</v>
      </c>
      <c r="P176" s="153">
        <f>P53/P5</f>
        <v>3.629968505023104E-2</v>
      </c>
      <c r="Q176" s="153">
        <f>Q53/Q5</f>
        <v>2.9573303448211987E-2</v>
      </c>
      <c r="T176" s="153">
        <f t="shared" ref="T176:Z176" si="176">T53/T5</f>
        <v>3.5687817114189613E-2</v>
      </c>
      <c r="U176" s="153">
        <f t="shared" si="176"/>
        <v>3.3586738196333683E-2</v>
      </c>
      <c r="V176" s="153">
        <f t="shared" si="176"/>
        <v>3.3452861876446825E-2</v>
      </c>
      <c r="W176" s="153">
        <f t="shared" si="176"/>
        <v>3.4743170100335882E-2</v>
      </c>
      <c r="X176" s="153">
        <f t="shared" si="176"/>
        <v>2.9032031715959722E-2</v>
      </c>
      <c r="Y176" s="153">
        <f t="shared" si="176"/>
        <v>2.3969938497218429E-2</v>
      </c>
      <c r="Z176" s="153">
        <f t="shared" si="176"/>
        <v>2.3623108497212521E-2</v>
      </c>
      <c r="AA176" s="153">
        <f t="shared" ref="AA176" si="177">AA53/AA5</f>
        <v>2.1055694702819552E-2</v>
      </c>
      <c r="AC176" s="153">
        <f>AC53/AC5</f>
        <v>2.3903435665035038E-2</v>
      </c>
    </row>
    <row r="177" spans="1:31" x14ac:dyDescent="0.2">
      <c r="B177" s="20" t="s">
        <v>278</v>
      </c>
      <c r="M177" s="72">
        <f>(M105-M106)/M74</f>
        <v>0.40884462151394424</v>
      </c>
      <c r="N177" s="72">
        <f>(N105-N106)/N74</f>
        <v>9.4858299595141707E-2</v>
      </c>
      <c r="O177" s="72">
        <f>(O105-O106)/O74</f>
        <v>0.65100000000000002</v>
      </c>
      <c r="P177" s="72">
        <f>(P105-P106)/P74</f>
        <v>1.4240573770491802</v>
      </c>
      <c r="Q177" s="72">
        <f>(Q105-Q106)/Q74</f>
        <v>2.2258436213991768</v>
      </c>
      <c r="T177" s="72">
        <f t="shared" ref="T177:Z177" si="178">(T105-T106)/T74</f>
        <v>1.2260106165781952</v>
      </c>
      <c r="U177" s="72">
        <f t="shared" si="178"/>
        <v>1.4240573770491802</v>
      </c>
      <c r="V177" s="72">
        <f t="shared" si="178"/>
        <v>1.8535655737704917</v>
      </c>
      <c r="W177" s="72">
        <f t="shared" si="178"/>
        <v>1.9886831275720165</v>
      </c>
      <c r="X177" s="72">
        <f t="shared" si="178"/>
        <v>2.1457201646090533</v>
      </c>
      <c r="Y177" s="72">
        <f t="shared" si="178"/>
        <v>2.2217283950617284</v>
      </c>
      <c r="Z177" s="72">
        <f t="shared" si="178"/>
        <v>2.9794214876033056</v>
      </c>
      <c r="AA177" s="72">
        <f t="shared" ref="AA177" si="179">(AA105-AA106)/AA74</f>
        <v>2.742863070539419</v>
      </c>
      <c r="AC177" s="72">
        <f>(AC105-AC106)/AC74</f>
        <v>2.742863070539419</v>
      </c>
    </row>
    <row r="178" spans="1:31" x14ac:dyDescent="0.2">
      <c r="B178" s="20" t="s">
        <v>283</v>
      </c>
      <c r="M178" s="153">
        <f>(M105-M106)/M155</f>
        <v>1.7626499592230463E-2</v>
      </c>
      <c r="N178" s="153">
        <f>(N105-N106)/N155</f>
        <v>4.6216299382204652E-3</v>
      </c>
      <c r="O178" s="153">
        <f>(O105-O106)/O155</f>
        <v>1.0561272414313365E-2</v>
      </c>
      <c r="P178" s="153">
        <f>(P105-P106)/P155</f>
        <v>9.8841101665902813E-3</v>
      </c>
      <c r="Q178" s="153">
        <f>(Q105-Q106)/Q155</f>
        <v>1.1785239203608671E-2</v>
      </c>
      <c r="T178" s="49"/>
      <c r="U178" s="49"/>
      <c r="V178" s="49"/>
      <c r="W178" s="49"/>
      <c r="X178" s="49"/>
      <c r="Y178" s="49"/>
      <c r="Z178" s="49"/>
      <c r="AA178" s="49"/>
      <c r="AC178" s="153">
        <f ca="1">(AC105-AC106)/AC155</f>
        <v>1.2950765110584326E-2</v>
      </c>
    </row>
    <row r="179" spans="1:31" x14ac:dyDescent="0.2">
      <c r="B179" s="20" t="s">
        <v>292</v>
      </c>
      <c r="M179" s="153">
        <f>-M108/M5</f>
        <v>3.6263654603552055E-2</v>
      </c>
      <c r="N179" s="153">
        <f>-N108/N5</f>
        <v>6.7954326388373995E-2</v>
      </c>
      <c r="O179" s="153">
        <f>-O108/O5</f>
        <v>1.7547027346442992E-2</v>
      </c>
      <c r="P179" s="153">
        <f>-P108/P5</f>
        <v>2.4797504923484832E-2</v>
      </c>
      <c r="Q179" s="153">
        <f>-Q108/Q5</f>
        <v>2.7980253591308617E-2</v>
      </c>
      <c r="T179" s="153">
        <f t="shared" ref="T179:Z179" si="180">-T108/T5</f>
        <v>2.3174277407217378E-2</v>
      </c>
      <c r="U179" s="153">
        <f t="shared" si="180"/>
        <v>2.7382980346291729E-2</v>
      </c>
      <c r="V179" s="153">
        <f t="shared" si="180"/>
        <v>2.7847124506377378E-2</v>
      </c>
      <c r="W179" s="153">
        <f t="shared" si="180"/>
        <v>4.05194360652932E-2</v>
      </c>
      <c r="X179" s="153">
        <f t="shared" si="180"/>
        <v>2.871627547977406E-2</v>
      </c>
      <c r="Y179" s="153">
        <f t="shared" si="180"/>
        <v>1.8847153111101324E-2</v>
      </c>
      <c r="Z179" s="153">
        <f t="shared" si="180"/>
        <v>2.1527905409544815E-2</v>
      </c>
      <c r="AA179" s="153">
        <f t="shared" ref="AA179" si="181">-AA108/AA5</f>
        <v>2.7821369555502438E-2</v>
      </c>
      <c r="AC179" s="153">
        <f>-AC108/AC5</f>
        <v>2.4276411117969163E-2</v>
      </c>
    </row>
    <row r="180" spans="1:31" x14ac:dyDescent="0.2">
      <c r="B180" s="20" t="s">
        <v>293</v>
      </c>
      <c r="M180" s="153">
        <f>-(M108/M58)</f>
        <v>0.10715854194115064</v>
      </c>
      <c r="N180" s="153">
        <f>-(N108/N58)</f>
        <v>0.32494238610175502</v>
      </c>
      <c r="O180" s="153">
        <f>-(O108/O58)</f>
        <v>3.8056247775008899E-2</v>
      </c>
      <c r="P180" s="153">
        <f>-(P108/P58)</f>
        <v>5.0492284167329808E-2</v>
      </c>
      <c r="Q180" s="153">
        <f>-(Q108/Q58)</f>
        <v>5.8821238731283712E-2</v>
      </c>
      <c r="T180" s="153">
        <f t="shared" ref="T180:Z180" si="182">-(T108/T58)</f>
        <v>4.6117193261103862E-2</v>
      </c>
      <c r="U180" s="153">
        <f t="shared" si="182"/>
        <v>6.4770267019485211E-2</v>
      </c>
      <c r="V180" s="153">
        <f t="shared" si="182"/>
        <v>4.4758152768658348E-2</v>
      </c>
      <c r="W180" s="153">
        <f t="shared" si="182"/>
        <v>0.12326716563618614</v>
      </c>
      <c r="X180" s="153">
        <f t="shared" si="182"/>
        <v>6.8926315789473683E-2</v>
      </c>
      <c r="Y180" s="153">
        <f t="shared" si="182"/>
        <v>3.5479414202818457E-2</v>
      </c>
      <c r="Z180" s="153">
        <f t="shared" si="182"/>
        <v>3.4899888765294769E-2</v>
      </c>
      <c r="AA180" s="153">
        <f t="shared" ref="AA180" si="183">-(AA108/AA58)</f>
        <v>0.11118494829090003</v>
      </c>
      <c r="AC180" s="153">
        <f>-(AC108/AC58)</f>
        <v>5.4740586926265808E-2</v>
      </c>
    </row>
    <row r="181" spans="1:31" x14ac:dyDescent="0.2">
      <c r="B181" s="20" t="s">
        <v>294</v>
      </c>
      <c r="M181" s="153">
        <f>-M108/M52</f>
        <v>0.83134582623509368</v>
      </c>
      <c r="N181" s="153">
        <f>-N108/N52</f>
        <v>1.1871761658031088</v>
      </c>
      <c r="O181" s="153">
        <f>-O108/O52</f>
        <v>0.70888594164456231</v>
      </c>
      <c r="P181" s="153">
        <f>-P108/P52</f>
        <v>1.7360515021459229</v>
      </c>
      <c r="Q181" s="153">
        <f>-Q108/Q52</f>
        <v>2.1252198381990857</v>
      </c>
      <c r="T181" s="153">
        <f t="shared" ref="T181:Z181" si="184">-T108/T52</f>
        <v>1.7008368200836821</v>
      </c>
      <c r="U181" s="153">
        <f t="shared" si="184"/>
        <v>1.9834254143646408</v>
      </c>
      <c r="V181" s="153">
        <f t="shared" si="184"/>
        <v>2.0081833060556464</v>
      </c>
      <c r="W181" s="153">
        <f t="shared" si="184"/>
        <v>2.8353293413173652</v>
      </c>
      <c r="X181" s="153">
        <f t="shared" si="184"/>
        <v>2.1768617021276597</v>
      </c>
      <c r="Y181" s="153">
        <f t="shared" si="184"/>
        <v>1.5832305795314427</v>
      </c>
      <c r="Z181" s="153">
        <f t="shared" si="184"/>
        <v>1.7622868605817452</v>
      </c>
      <c r="AA181" s="153">
        <f t="shared" ref="AA181" si="185">-AA108/AA52</f>
        <v>2.3753327417923691</v>
      </c>
      <c r="AC181" s="153">
        <f>-AC108/AC52</f>
        <v>1.9948467588825602</v>
      </c>
    </row>
    <row r="182" spans="1:31" x14ac:dyDescent="0.2">
      <c r="B182" s="20" t="s">
        <v>386</v>
      </c>
      <c r="M182" s="72">
        <f>M5/M36</f>
        <v>0.60909317219996828</v>
      </c>
      <c r="N182" s="72">
        <f t="shared" ref="N182:Q182" si="186">N5/N36</f>
        <v>0.65499490068476518</v>
      </c>
      <c r="O182" s="72">
        <f t="shared" si="186"/>
        <v>0.92688047711781885</v>
      </c>
      <c r="P182" s="72">
        <f t="shared" si="186"/>
        <v>1.169317479234057</v>
      </c>
      <c r="Q182" s="72">
        <f t="shared" si="186"/>
        <v>1.0441724733200195</v>
      </c>
      <c r="T182" s="49"/>
      <c r="U182" s="49"/>
      <c r="V182" s="49"/>
      <c r="W182" s="49"/>
      <c r="X182" s="49"/>
      <c r="Y182" s="49"/>
      <c r="Z182" s="49"/>
      <c r="AA182" s="49"/>
      <c r="AC182" s="72">
        <f t="shared" ref="AC182" si="187">AC5/AC36</f>
        <v>0.94597404705999899</v>
      </c>
    </row>
    <row r="183" spans="1:31" x14ac:dyDescent="0.2">
      <c r="B183" s="20" t="s">
        <v>383</v>
      </c>
      <c r="M183" s="72">
        <f>IF(AND(M11&gt;0,M106&gt;0),M106/M11,"N/A")</f>
        <v>1.0901304650931183</v>
      </c>
      <c r="N183" s="72">
        <f t="shared" ref="N183:Q183" si="188">IF(AND(N11&gt;0,N106&gt;0),N106/N11,"N/A")</f>
        <v>2.5930397727272729</v>
      </c>
      <c r="O183" s="72">
        <f t="shared" si="188"/>
        <v>0.29446196773019534</v>
      </c>
      <c r="P183" s="72">
        <f t="shared" si="188"/>
        <v>0.103900408824721</v>
      </c>
      <c r="Q183" s="72">
        <f t="shared" si="188"/>
        <v>6.4945124897420756E-2</v>
      </c>
      <c r="T183" s="49"/>
      <c r="U183" s="49"/>
      <c r="V183" s="49"/>
      <c r="W183" s="49"/>
      <c r="X183" s="49"/>
      <c r="Y183" s="49"/>
      <c r="Z183" s="49"/>
      <c r="AA183" s="49"/>
      <c r="AC183" s="72">
        <f t="shared" ref="AC183" si="189">IF(AND(AC11&gt;0,AC106&gt;0),AC106/AC11,"N/A")</f>
        <v>0.16836809579965481</v>
      </c>
    </row>
    <row r="184" spans="1:31" x14ac:dyDescent="0.2">
      <c r="B184" s="20" t="s">
        <v>384</v>
      </c>
      <c r="M184" s="226">
        <f>IF(AND(M11&gt;0,M106&gt;0),(M106-M105)/M11,"N/A")</f>
        <v>-1.0220097599840654</v>
      </c>
      <c r="N184" s="226">
        <f t="shared" ref="N184:Q184" si="190">IF(AND(N11&gt;0,N106&gt;0),(N106-N105)/N11,"N/A")</f>
        <v>-0.5546875</v>
      </c>
      <c r="O184" s="226">
        <f t="shared" si="190"/>
        <v>-0.49360063083828704</v>
      </c>
      <c r="P184" s="226">
        <f t="shared" si="190"/>
        <v>-0.42658956698955225</v>
      </c>
      <c r="Q184" s="226">
        <f t="shared" si="190"/>
        <v>-0.41482663148933557</v>
      </c>
      <c r="T184" s="49"/>
      <c r="U184" s="49"/>
      <c r="V184" s="49"/>
      <c r="W184" s="49"/>
      <c r="X184" s="49"/>
      <c r="Y184" s="49"/>
      <c r="Z184" s="49"/>
      <c r="AA184" s="49"/>
      <c r="AC184" s="226">
        <f t="shared" ref="AC184" si="191">IF(AND(AC11&gt;0,AC106&gt;0),(AC106-AC105)/AC11,"N/A")</f>
        <v>-0.33456490821392959</v>
      </c>
    </row>
    <row r="185" spans="1:31" x14ac:dyDescent="0.2">
      <c r="B185" s="20" t="s">
        <v>385</v>
      </c>
      <c r="M185" s="226">
        <f>M5/(M106+M110-M105)</f>
        <v>1.6461162079510703</v>
      </c>
      <c r="N185" s="226">
        <f t="shared" ref="N185:Q185" si="192">N5/(N106+N110-N105)</f>
        <v>1.3652191517360057</v>
      </c>
      <c r="O185" s="226">
        <f t="shared" si="192"/>
        <v>2.2814665018911731</v>
      </c>
      <c r="P185" s="226">
        <f t="shared" si="192"/>
        <v>2.9272543741588155</v>
      </c>
      <c r="Q185" s="226">
        <f t="shared" si="192"/>
        <v>2.0923211084734268</v>
      </c>
      <c r="T185" s="49"/>
      <c r="U185" s="49"/>
      <c r="V185" s="49"/>
      <c r="W185" s="49"/>
      <c r="X185" s="49"/>
      <c r="Y185" s="49"/>
      <c r="Z185" s="49"/>
      <c r="AA185" s="49"/>
      <c r="AC185" s="226">
        <f t="shared" ref="AC185" si="193">AC5/(AC106+AC110-AC105)</f>
        <v>1.8600634819285244</v>
      </c>
    </row>
    <row r="187" spans="1:31" x14ac:dyDescent="0.2">
      <c r="B187" s="1"/>
    </row>
    <row r="188" spans="1:31" s="15" customFormat="1" ht="17" thickBot="1" x14ac:dyDescent="0.25">
      <c r="A188" s="11"/>
      <c r="B188" s="14" t="s">
        <v>79</v>
      </c>
      <c r="R188" s="1"/>
      <c r="S188" s="1"/>
      <c r="AB188" s="1"/>
      <c r="AD188" s="1"/>
      <c r="AE188" s="1"/>
    </row>
    <row r="189" spans="1:31" x14ac:dyDescent="0.2">
      <c r="B189" s="220" t="s">
        <v>359</v>
      </c>
      <c r="C189" s="62"/>
      <c r="D189" s="62"/>
      <c r="E189" s="62"/>
      <c r="F189" s="62"/>
      <c r="G189" s="62"/>
      <c r="H189" s="62"/>
      <c r="I189" s="62"/>
      <c r="J189" s="62"/>
      <c r="K189" s="62"/>
      <c r="L189" s="62"/>
      <c r="M189" s="62">
        <v>0</v>
      </c>
      <c r="N189" s="62">
        <v>0</v>
      </c>
      <c r="O189" s="62">
        <v>0</v>
      </c>
      <c r="P189" s="62">
        <v>53796</v>
      </c>
      <c r="Q189" s="62">
        <v>105636</v>
      </c>
      <c r="T189" s="62">
        <v>13390</v>
      </c>
      <c r="U189" s="62">
        <v>19094</v>
      </c>
      <c r="V189" s="62">
        <v>17599</v>
      </c>
      <c r="W189" s="62">
        <v>23883</v>
      </c>
      <c r="X189" s="62">
        <v>30340</v>
      </c>
      <c r="Y189" s="62">
        <v>33814</v>
      </c>
      <c r="Z189" s="62">
        <v>37869</v>
      </c>
      <c r="AA189" s="62">
        <v>48710</v>
      </c>
      <c r="AC189" s="62">
        <f>SUM(X189:AA189)</f>
        <v>150733</v>
      </c>
    </row>
    <row r="190" spans="1:31" x14ac:dyDescent="0.2">
      <c r="B190" s="220" t="s">
        <v>360</v>
      </c>
      <c r="C190" s="62"/>
      <c r="D190" s="62"/>
      <c r="E190" s="62"/>
      <c r="F190" s="62"/>
      <c r="G190" s="62"/>
      <c r="H190" s="62"/>
      <c r="I190" s="62"/>
      <c r="J190" s="62"/>
      <c r="K190" s="62"/>
      <c r="L190" s="62"/>
      <c r="M190" s="62">
        <v>0</v>
      </c>
      <c r="N190" s="62">
        <v>0</v>
      </c>
      <c r="O190" s="62">
        <v>0</v>
      </c>
      <c r="P190" s="62">
        <v>61390</v>
      </c>
      <c r="Q190" s="62">
        <v>88101</v>
      </c>
      <c r="T190" s="62">
        <v>17381</v>
      </c>
      <c r="U190" s="62">
        <v>16486</v>
      </c>
      <c r="V190" s="62">
        <v>21513</v>
      </c>
      <c r="W190" s="62">
        <v>17213</v>
      </c>
      <c r="X190" s="62">
        <v>20875</v>
      </c>
      <c r="Y190" s="62">
        <v>28500</v>
      </c>
      <c r="Z190" s="62">
        <v>37377</v>
      </c>
      <c r="AA190" s="62">
        <v>40313</v>
      </c>
      <c r="AC190" s="62">
        <f t="shared" ref="AC190:AC192" si="194">SUM(X190:AA190)</f>
        <v>127065</v>
      </c>
    </row>
    <row r="191" spans="1:31" x14ac:dyDescent="0.2">
      <c r="B191" s="20" t="s">
        <v>361</v>
      </c>
      <c r="C191" s="62"/>
      <c r="D191" s="62"/>
      <c r="E191" s="62"/>
      <c r="F191" s="62"/>
      <c r="G191" s="62"/>
      <c r="H191" s="62"/>
      <c r="I191" s="62"/>
      <c r="J191" s="62"/>
      <c r="K191" s="62"/>
      <c r="L191" s="62"/>
      <c r="M191" s="62">
        <v>0</v>
      </c>
      <c r="N191" s="62">
        <v>0</v>
      </c>
      <c r="O191" s="62">
        <v>0</v>
      </c>
      <c r="P191" s="62">
        <v>115186</v>
      </c>
      <c r="Q191" s="62">
        <v>193737</v>
      </c>
      <c r="T191" s="62">
        <v>30771</v>
      </c>
      <c r="U191" s="62">
        <v>35580</v>
      </c>
      <c r="V191" s="62">
        <v>39112</v>
      </c>
      <c r="W191" s="62">
        <v>41096</v>
      </c>
      <c r="X191" s="62">
        <v>51215</v>
      </c>
      <c r="Y191" s="62">
        <v>62314</v>
      </c>
      <c r="Z191" s="62">
        <v>75246</v>
      </c>
      <c r="AA191" s="62">
        <v>89023</v>
      </c>
      <c r="AC191" s="62">
        <f t="shared" si="194"/>
        <v>277798</v>
      </c>
    </row>
    <row r="192" spans="1:31" x14ac:dyDescent="0.2">
      <c r="B192" s="20" t="s">
        <v>362</v>
      </c>
      <c r="C192" s="21"/>
      <c r="D192" s="21"/>
      <c r="E192" s="21"/>
      <c r="F192" s="21"/>
      <c r="G192" s="21"/>
      <c r="H192" s="21"/>
      <c r="I192" s="62"/>
      <c r="J192" s="62"/>
      <c r="K192" s="62"/>
      <c r="L192" s="62"/>
      <c r="M192" s="62">
        <v>0</v>
      </c>
      <c r="N192" s="62">
        <v>0</v>
      </c>
      <c r="O192" s="62">
        <v>0</v>
      </c>
      <c r="P192" s="62">
        <v>15311</v>
      </c>
      <c r="Q192" s="62">
        <v>22201</v>
      </c>
      <c r="R192" s="62"/>
      <c r="S192" s="62"/>
      <c r="T192" s="62">
        <v>4311</v>
      </c>
      <c r="U192" s="62">
        <v>3751</v>
      </c>
      <c r="V192" s="62">
        <v>4950</v>
      </c>
      <c r="W192" s="62">
        <v>5647</v>
      </c>
      <c r="X192" s="62">
        <v>5791</v>
      </c>
      <c r="Y192" s="62">
        <v>5813</v>
      </c>
      <c r="Z192" s="62">
        <v>6369</v>
      </c>
      <c r="AA192" s="62">
        <v>7198</v>
      </c>
      <c r="AC192" s="62">
        <f t="shared" si="194"/>
        <v>25171</v>
      </c>
    </row>
    <row r="193" spans="2:29" x14ac:dyDescent="0.2">
      <c r="C193" s="21"/>
      <c r="D193" s="21"/>
      <c r="E193" s="21"/>
      <c r="F193" s="21"/>
      <c r="G193" s="21"/>
      <c r="H193" s="21"/>
      <c r="I193" s="21"/>
      <c r="J193" s="21"/>
      <c r="K193" s="21"/>
      <c r="L193" s="21"/>
      <c r="M193" s="21"/>
    </row>
    <row r="194" spans="2:29" x14ac:dyDescent="0.2">
      <c r="B194" s="1"/>
    </row>
    <row r="195" spans="2:29" ht="17" thickBot="1" x14ac:dyDescent="0.25">
      <c r="B195" s="14" t="s">
        <v>303</v>
      </c>
      <c r="C195" s="168"/>
      <c r="D195" s="168"/>
      <c r="E195" s="168"/>
      <c r="F195" s="168"/>
      <c r="G195" s="168"/>
      <c r="H195" s="168"/>
      <c r="I195" s="168"/>
      <c r="J195" s="168"/>
      <c r="K195" s="168"/>
      <c r="L195" s="168"/>
      <c r="M195" s="168"/>
      <c r="N195" s="168"/>
      <c r="O195" s="168"/>
      <c r="P195" s="168"/>
      <c r="Q195" s="168"/>
      <c r="T195" s="168"/>
      <c r="U195" s="168"/>
      <c r="V195" s="168"/>
      <c r="W195" s="168"/>
      <c r="X195" s="168"/>
      <c r="Y195" s="168"/>
      <c r="Z195" s="168"/>
      <c r="AA195" s="168"/>
      <c r="AC195" s="168"/>
    </row>
    <row r="196" spans="2:29" x14ac:dyDescent="0.2">
      <c r="B196" s="220" t="s">
        <v>359</v>
      </c>
      <c r="C196" s="81"/>
      <c r="D196" s="81"/>
      <c r="E196" s="81"/>
      <c r="F196" s="81"/>
      <c r="G196" s="81"/>
      <c r="H196" s="81"/>
      <c r="I196" s="81"/>
      <c r="J196" s="81"/>
      <c r="K196" s="81"/>
      <c r="L196" s="81"/>
      <c r="M196" s="81">
        <f t="shared" ref="M196:Q199" si="195">IF(L189=0,
IF(M189=0,0,IF(M189&gt;0,1,-1)),
(M189-L189)/ABS(L189)
)</f>
        <v>0</v>
      </c>
      <c r="N196" s="81">
        <f t="shared" si="195"/>
        <v>0</v>
      </c>
      <c r="O196" s="81">
        <f t="shared" si="195"/>
        <v>0</v>
      </c>
      <c r="P196" s="81">
        <f t="shared" si="195"/>
        <v>1</v>
      </c>
      <c r="Q196" s="81">
        <f t="shared" si="195"/>
        <v>0.96364041936203437</v>
      </c>
      <c r="T196" s="81">
        <f t="shared" ref="T196:T199" si="196">IF(S189=0,
IF(T189=0,0,IF(T189&gt;0,1,-1)),
(T189-S189)/ABS(S189)
)</f>
        <v>1</v>
      </c>
      <c r="U196" s="81">
        <f t="shared" ref="U196:U199" si="197">IF(T189=0,
IF(U189=0,0,IF(U189&gt;0,1,-1)),
(U189-T189)/ABS(T189)
)</f>
        <v>0.42598954443614639</v>
      </c>
      <c r="V196" s="81">
        <f t="shared" ref="V196:V199" si="198">IF(U189=0,
IF(V189=0,0,IF(V189&gt;0,1,-1)),
(V189-U189)/ABS(U189)
)</f>
        <v>-7.8296847177123707E-2</v>
      </c>
      <c r="W196" s="81">
        <f t="shared" ref="W196:W199" si="199">IF(V189=0,
IF(W189=0,0,IF(W189&gt;0,1,-1)),
(W189-V189)/ABS(V189)
)</f>
        <v>0.35706574237172567</v>
      </c>
      <c r="X196" s="81">
        <f t="shared" ref="X196:X199" si="200">IF(W189=0,
IF(X189=0,0,IF(X189&gt;0,1,-1)),
(X189-W189)/ABS(W189)
)</f>
        <v>0.27035967005820039</v>
      </c>
      <c r="Y196" s="81">
        <f t="shared" ref="Y196:Y199" si="201">IF(X189=0,
IF(Y189=0,0,IF(Y189&gt;0,1,-1)),
(Y189-X189)/ABS(X189)
)</f>
        <v>0.11450230718523402</v>
      </c>
      <c r="Z196" s="81">
        <f t="shared" ref="Z196:Z199" si="202">IF(Y189=0,
IF(Z189=0,0,IF(Z189&gt;0,1,-1)),
(Z189-Y189)/ABS(Y189)
)</f>
        <v>0.11992074288756137</v>
      </c>
      <c r="AA196" s="81">
        <f t="shared" ref="AA196:AA199" si="203">IF(Z189=0,
IF(AA189=0,0,IF(AA189&gt;0,1,-1)),
(AA189-Z189)/ABS(Z189)
)</f>
        <v>0.28627637381499377</v>
      </c>
      <c r="AC196" s="49"/>
    </row>
    <row r="197" spans="2:29" x14ac:dyDescent="0.2">
      <c r="B197" s="220" t="s">
        <v>360</v>
      </c>
      <c r="M197" s="81">
        <f t="shared" si="195"/>
        <v>0</v>
      </c>
      <c r="N197" s="81">
        <f t="shared" si="195"/>
        <v>0</v>
      </c>
      <c r="O197" s="81">
        <f t="shared" si="195"/>
        <v>0</v>
      </c>
      <c r="P197" s="81">
        <f t="shared" si="195"/>
        <v>1</v>
      </c>
      <c r="Q197" s="81">
        <f t="shared" si="195"/>
        <v>0.43510343704186349</v>
      </c>
      <c r="T197" s="81">
        <f t="shared" si="196"/>
        <v>1</v>
      </c>
      <c r="U197" s="81">
        <f t="shared" si="197"/>
        <v>-5.1493009608192856E-2</v>
      </c>
      <c r="V197" s="81">
        <f t="shared" si="198"/>
        <v>0.304925391241053</v>
      </c>
      <c r="W197" s="81">
        <f t="shared" si="199"/>
        <v>-0.19987914284386185</v>
      </c>
      <c r="X197" s="81">
        <f t="shared" si="200"/>
        <v>0.21274618021262998</v>
      </c>
      <c r="Y197" s="81">
        <f t="shared" si="201"/>
        <v>0.3652694610778443</v>
      </c>
      <c r="Z197" s="81">
        <f t="shared" si="202"/>
        <v>0.31147368421052629</v>
      </c>
      <c r="AA197" s="81">
        <f t="shared" si="203"/>
        <v>7.8550980549535812E-2</v>
      </c>
      <c r="AC197" s="49"/>
    </row>
    <row r="198" spans="2:29" x14ac:dyDescent="0.2">
      <c r="B198" s="20" t="s">
        <v>361</v>
      </c>
      <c r="M198" s="81">
        <f t="shared" si="195"/>
        <v>0</v>
      </c>
      <c r="N198" s="81">
        <f t="shared" si="195"/>
        <v>0</v>
      </c>
      <c r="O198" s="81">
        <f t="shared" si="195"/>
        <v>0</v>
      </c>
      <c r="P198" s="81">
        <f t="shared" si="195"/>
        <v>1</v>
      </c>
      <c r="Q198" s="81">
        <f t="shared" si="195"/>
        <v>0.68194919521469621</v>
      </c>
      <c r="T198" s="81">
        <f t="shared" si="196"/>
        <v>1</v>
      </c>
      <c r="U198" s="81">
        <f t="shared" si="197"/>
        <v>0.15628351369796237</v>
      </c>
      <c r="V198" s="81">
        <f t="shared" si="198"/>
        <v>9.9269252388982571E-2</v>
      </c>
      <c r="W198" s="81">
        <f t="shared" si="199"/>
        <v>5.0726119860912251E-2</v>
      </c>
      <c r="X198" s="81">
        <f t="shared" si="200"/>
        <v>0.24622834339108429</v>
      </c>
      <c r="Y198" s="81">
        <f t="shared" si="201"/>
        <v>0.21671385336327248</v>
      </c>
      <c r="Z198" s="81">
        <f t="shared" si="202"/>
        <v>0.20752960811374652</v>
      </c>
      <c r="AA198" s="81">
        <f t="shared" si="203"/>
        <v>0.18309278898546102</v>
      </c>
      <c r="AC198" s="49"/>
    </row>
    <row r="199" spans="2:29" x14ac:dyDescent="0.2">
      <c r="B199" s="20" t="s">
        <v>362</v>
      </c>
      <c r="M199" s="81">
        <f t="shared" si="195"/>
        <v>0</v>
      </c>
      <c r="N199" s="81">
        <f t="shared" si="195"/>
        <v>0</v>
      </c>
      <c r="O199" s="81">
        <f t="shared" si="195"/>
        <v>0</v>
      </c>
      <c r="P199" s="81">
        <f t="shared" si="195"/>
        <v>1</v>
      </c>
      <c r="Q199" s="81">
        <f t="shared" si="195"/>
        <v>0.4500032656260205</v>
      </c>
      <c r="T199" s="81">
        <f t="shared" si="196"/>
        <v>1</v>
      </c>
      <c r="U199" s="81">
        <f t="shared" si="197"/>
        <v>-0.12990025516121551</v>
      </c>
      <c r="V199" s="81">
        <f t="shared" si="198"/>
        <v>0.31964809384164222</v>
      </c>
      <c r="W199" s="81">
        <f t="shared" si="199"/>
        <v>0.1408080808080808</v>
      </c>
      <c r="X199" s="81">
        <f t="shared" si="200"/>
        <v>2.5500265627766958E-2</v>
      </c>
      <c r="Y199" s="81">
        <f t="shared" si="201"/>
        <v>3.7989984458642722E-3</v>
      </c>
      <c r="Z199" s="81">
        <f t="shared" si="202"/>
        <v>9.5647686220540165E-2</v>
      </c>
      <c r="AA199" s="81">
        <f t="shared" si="203"/>
        <v>0.13016172083529595</v>
      </c>
      <c r="AC199" s="49"/>
    </row>
    <row r="201" spans="2:29" x14ac:dyDescent="0.2">
      <c r="B201" s="1"/>
    </row>
    <row r="202" spans="2:29" ht="17" thickBot="1" x14ac:dyDescent="0.25">
      <c r="B202" s="14" t="s">
        <v>304</v>
      </c>
      <c r="C202" s="168"/>
      <c r="D202" s="168"/>
      <c r="E202" s="168"/>
      <c r="F202" s="168"/>
      <c r="G202" s="168"/>
      <c r="H202" s="168"/>
      <c r="I202" s="168"/>
      <c r="J202" s="168"/>
      <c r="K202" s="168"/>
      <c r="L202" s="168"/>
      <c r="M202" s="168"/>
      <c r="N202" s="168"/>
      <c r="O202" s="168"/>
      <c r="P202" s="168"/>
      <c r="Q202" s="168"/>
      <c r="T202" s="168"/>
      <c r="U202" s="168"/>
      <c r="V202" s="168"/>
      <c r="W202" s="168"/>
      <c r="X202" s="168"/>
      <c r="Y202" s="168"/>
      <c r="Z202" s="168"/>
      <c r="AA202" s="168"/>
      <c r="AC202" s="168"/>
    </row>
    <row r="203" spans="2:29" x14ac:dyDescent="0.2">
      <c r="B203" s="20" t="s">
        <v>276</v>
      </c>
      <c r="C203" s="81"/>
      <c r="D203" s="81"/>
      <c r="E203" s="81"/>
      <c r="F203" s="81"/>
      <c r="G203" s="81"/>
      <c r="H203" s="81"/>
      <c r="I203" s="81"/>
      <c r="J203" s="81"/>
      <c r="K203" s="81"/>
      <c r="L203" s="81"/>
      <c r="M203" s="81">
        <f>IF(L63=0,
IF(M63=0,0,IF(M63&gt;0,1,-1)),
(M63-L63)/L63
)</f>
        <v>-1</v>
      </c>
      <c r="N203" s="81">
        <f>IF(M63=0,
IF(N63=0,0,IF(N63&gt;0,1,-1)),
(N63-M63)/M63
)</f>
        <v>-2.5062656641604009E-3</v>
      </c>
      <c r="O203" s="81">
        <f>IF(N63=0,
IF(O63=0,0,IF(O63&gt;0,1,-1)),
(O63-N63)/N63
)</f>
        <v>-7.537688442211055E-3</v>
      </c>
      <c r="P203" s="81">
        <f>IF(O63=0,
IF(P63=0,0,IF(P63&gt;0,1,-1)),
(P63-O63)/O63
)</f>
        <v>1.1113924050632911</v>
      </c>
      <c r="Q203" s="81">
        <f>IF(P63=0,
IF(Q63=0,0,IF(Q63&gt;0,1,-1)),
(Q63-P63)/P63
)</f>
        <v>0.16786570743405277</v>
      </c>
      <c r="T203" s="49"/>
      <c r="U203" s="49"/>
      <c r="V203" s="49"/>
      <c r="W203" s="49"/>
      <c r="X203" s="49"/>
      <c r="Y203" s="49"/>
      <c r="Z203" s="49"/>
      <c r="AA203" s="49"/>
      <c r="AC203" s="49"/>
    </row>
    <row r="205" spans="2:29" x14ac:dyDescent="0.2">
      <c r="B205" s="1"/>
    </row>
    <row r="206" spans="2:29" ht="17" thickBot="1" x14ac:dyDescent="0.25">
      <c r="B206" s="14" t="s">
        <v>378</v>
      </c>
      <c r="C206" s="168"/>
      <c r="D206" s="168"/>
      <c r="E206" s="168"/>
      <c r="F206" s="168"/>
      <c r="G206" s="168"/>
      <c r="H206" s="168"/>
      <c r="I206" s="168"/>
      <c r="J206" s="168"/>
      <c r="K206" s="168"/>
      <c r="L206" s="168"/>
      <c r="M206" s="168"/>
      <c r="N206" s="168"/>
      <c r="O206" s="168"/>
      <c r="P206" s="168"/>
      <c r="Q206" s="168"/>
      <c r="T206" s="168"/>
      <c r="U206" s="168"/>
      <c r="V206" s="168"/>
      <c r="W206" s="168"/>
      <c r="X206" s="168"/>
      <c r="Y206" s="168"/>
      <c r="Z206" s="168"/>
      <c r="AA206" s="168"/>
      <c r="AC206" s="168"/>
    </row>
    <row r="207" spans="2:29" x14ac:dyDescent="0.2">
      <c r="B207" s="20" t="s">
        <v>379</v>
      </c>
      <c r="M207" s="142">
        <v>100</v>
      </c>
      <c r="N207" s="142">
        <f>100*(1+((N115-$M115)/ABS($M115)))</f>
        <v>89.141856392294216</v>
      </c>
      <c r="O207" s="142">
        <f t="shared" ref="O207:Q207" si="204">100*(1+((O115-$M115)/ABS($M115)))</f>
        <v>267.20665499124345</v>
      </c>
      <c r="P207" s="142">
        <f t="shared" si="204"/>
        <v>624.43082311733804</v>
      </c>
      <c r="Q207" s="142">
        <f t="shared" si="204"/>
        <v>821.67250437828375</v>
      </c>
      <c r="T207" s="49"/>
      <c r="U207" s="49"/>
      <c r="V207" s="49"/>
      <c r="W207" s="49"/>
      <c r="X207" s="49"/>
      <c r="Y207" s="49"/>
      <c r="Z207" s="49"/>
      <c r="AA207" s="49"/>
      <c r="AC207" s="49"/>
    </row>
    <row r="208" spans="2:29" x14ac:dyDescent="0.2">
      <c r="B208" s="20" t="s">
        <v>380</v>
      </c>
      <c r="M208" s="142">
        <v>100</v>
      </c>
      <c r="N208" s="142">
        <f>100*(1+((N5-$M5)/ABS($M5)))</f>
        <v>100.2229323028907</v>
      </c>
      <c r="O208" s="142">
        <f t="shared" ref="O208:Q208" si="205">100*(1+((O5-$M5)/ABS($M5)))</f>
        <v>226.35802927844244</v>
      </c>
      <c r="P208" s="142">
        <f t="shared" si="205"/>
        <v>484.86661217210371</v>
      </c>
      <c r="Q208" s="142">
        <f t="shared" si="205"/>
        <v>802.32592702682621</v>
      </c>
      <c r="T208" s="49"/>
      <c r="U208" s="49"/>
      <c r="V208" s="49"/>
      <c r="W208" s="49"/>
      <c r="X208" s="49"/>
      <c r="Y208" s="49"/>
      <c r="Z208" s="49"/>
      <c r="AA208" s="49"/>
      <c r="AC208" s="49"/>
    </row>
    <row r="209" spans="1:31" x14ac:dyDescent="0.2">
      <c r="B209" s="20" t="s">
        <v>381</v>
      </c>
      <c r="M209" s="142">
        <v>100</v>
      </c>
      <c r="N209" s="142">
        <f>100*(1+((N25-$M25)/ABS($M25)))</f>
        <v>45.194805194805184</v>
      </c>
      <c r="O209" s="142">
        <f t="shared" ref="O209:Q209" si="206">100*(1+((O25-$M25)/ABS($M25)))</f>
        <v>309.87012987012992</v>
      </c>
      <c r="P209" s="142">
        <f t="shared" si="206"/>
        <v>763.63636363636363</v>
      </c>
      <c r="Q209" s="142">
        <f t="shared" si="206"/>
        <v>1272.7272727272727</v>
      </c>
      <c r="T209" s="49"/>
      <c r="U209" s="49"/>
      <c r="V209" s="49"/>
      <c r="W209" s="49"/>
      <c r="X209" s="49"/>
      <c r="Y209" s="49"/>
      <c r="Z209" s="49"/>
      <c r="AA209" s="49"/>
      <c r="AC209" s="49"/>
    </row>
    <row r="211" spans="1:31" x14ac:dyDescent="0.2">
      <c r="B211" s="1"/>
    </row>
    <row r="212" spans="1:31" s="15" customFormat="1" ht="17" thickBot="1" x14ac:dyDescent="0.25">
      <c r="A212" s="11"/>
      <c r="B212" s="14" t="s">
        <v>102</v>
      </c>
      <c r="R212" s="1"/>
      <c r="S212" s="1"/>
      <c r="AB212" s="1"/>
      <c r="AD212" s="1"/>
      <c r="AE212" s="1"/>
    </row>
    <row r="214" spans="1:31" x14ac:dyDescent="0.2">
      <c r="B214" s="1"/>
    </row>
  </sheetData>
  <pageMargins left="0.7" right="0.7" top="0.75" bottom="0.75" header="0.3" footer="0.3"/>
  <ignoredErrors>
    <ignoredError sqref="AC22 AC80 AC65 AC52:AC56 AC58:AC61 AC5:AC9 AC63:AC64 AC10:AC18" formulaRange="1"/>
    <ignoredError sqref="AC19:AC20 AC23:AC24" formula="1" formulaRange="1"/>
    <ignoredError sqref="M122:Q122 N10" formula="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10FB-34E3-D04A-8896-321D81878D88}">
  <sheetPr>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6.5" style="1" customWidth="1"/>
    <col min="9" max="16384" width="10.83203125" style="1"/>
  </cols>
  <sheetData>
    <row r="5" spans="2:8" x14ac:dyDescent="0.2">
      <c r="H5" s="133" t="s">
        <v>418</v>
      </c>
    </row>
    <row r="6" spans="2:8" x14ac:dyDescent="0.2">
      <c r="H6" s="237" t="s">
        <v>423</v>
      </c>
    </row>
    <row r="7" spans="2:8" x14ac:dyDescent="0.2">
      <c r="H7" s="237" t="s">
        <v>419</v>
      </c>
    </row>
    <row r="8" spans="2:8" x14ac:dyDescent="0.2">
      <c r="H8" s="237" t="s">
        <v>420</v>
      </c>
    </row>
    <row r="9" spans="2:8" x14ac:dyDescent="0.2">
      <c r="H9" s="237" t="s">
        <v>421</v>
      </c>
    </row>
    <row r="10" spans="2:8" x14ac:dyDescent="0.2">
      <c r="H10" s="238" t="s">
        <v>422</v>
      </c>
    </row>
    <row r="13" spans="2:8" s="4" customFormat="1" ht="49" x14ac:dyDescent="0.2">
      <c r="B13" s="3" t="s">
        <v>224</v>
      </c>
    </row>
  </sheetData>
  <hyperlinks>
    <hyperlink ref="H6" location="Overview!B3" display="Overview'!B3" xr:uid="{69D6E76D-7A34-E44C-8C04-715DC0C65111}"/>
    <hyperlink ref="H8" location="'Analysis -&gt;'!B13" display="'Analysis -&gt;'!B13" xr:uid="{E80532D9-627B-024C-B694-F903E60B2428}"/>
    <hyperlink ref="H9" location="'Forecast -&gt;'!B13" display="'Forecast -&gt;'!B13" xr:uid="{8DF49614-04B4-EF4D-9C99-832506CCA3F7}"/>
    <hyperlink ref="H10" location="'Valuation -&gt;'!B13" display="'Valuation -&gt;'!B13" xr:uid="{4A98CDA9-19D6-9047-964C-AE40FE137305}"/>
    <hyperlink ref="H7" location="'Financials -&gt;'!B13" display="'Financials -&gt;'!B13" xr:uid="{2F72496E-E032-D544-9FC9-4FC0E19A0D9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0C07F-23F5-F443-9A67-3073516055F8}">
  <dimension ref="B1:G54"/>
  <sheetViews>
    <sheetView topLeftCell="A39" zoomScale="173" workbookViewId="0">
      <selection activeCell="F54" sqref="F54"/>
    </sheetView>
  </sheetViews>
  <sheetFormatPr baseColWidth="10" defaultRowHeight="16" x14ac:dyDescent="0.2"/>
  <cols>
    <col min="1" max="1" width="3.1640625" style="1" customWidth="1"/>
    <col min="2" max="2" width="32.5" style="1" customWidth="1"/>
    <col min="3" max="3" width="12.83203125" style="1" customWidth="1"/>
    <col min="4" max="4" width="5" style="1" customWidth="1"/>
    <col min="5" max="5" width="22.83203125" style="1" customWidth="1"/>
    <col min="6" max="16384" width="10.83203125" style="1"/>
  </cols>
  <sheetData>
    <row r="1" spans="2:7" x14ac:dyDescent="0.2">
      <c r="B1" s="82" t="s">
        <v>266</v>
      </c>
    </row>
    <row r="4" spans="2:7" x14ac:dyDescent="0.2">
      <c r="B4" s="245" t="s">
        <v>225</v>
      </c>
      <c r="C4" s="245"/>
      <c r="E4" s="245" t="s">
        <v>232</v>
      </c>
      <c r="F4" s="245"/>
      <c r="G4" s="245"/>
    </row>
    <row r="5" spans="2:7" x14ac:dyDescent="0.2">
      <c r="B5" s="20" t="s">
        <v>1</v>
      </c>
      <c r="C5" s="169">
        <f ca="1">Overview!C5</f>
        <v>210.96</v>
      </c>
      <c r="E5" s="12"/>
      <c r="F5" s="133" t="s">
        <v>233</v>
      </c>
      <c r="G5" s="133" t="s">
        <v>234</v>
      </c>
    </row>
    <row r="6" spans="2:7" x14ac:dyDescent="0.2">
      <c r="B6" s="20" t="s">
        <v>231</v>
      </c>
      <c r="C6" s="170">
        <f ca="1">Statement!AC155</f>
        <v>5104177.2</v>
      </c>
      <c r="E6" s="20" t="s">
        <v>19</v>
      </c>
      <c r="F6" s="175">
        <f>IF(Statement!M5&lt;=0,"N/A",_xlfn.RRI(4,Statement!M5,Statement!Q5))</f>
        <v>0.68301391480282692</v>
      </c>
      <c r="G6" s="175" t="str">
        <f>IF(Statement!H5&lt;=0,"N/A",_xlfn.RRI(9,Statement!H5,Statement!Q5))</f>
        <v>N/A</v>
      </c>
    </row>
    <row r="7" spans="2:7" x14ac:dyDescent="0.2">
      <c r="B7" s="20" t="s">
        <v>180</v>
      </c>
      <c r="C7" s="170">
        <f ca="1">Statement!AC156</f>
        <v>5038074.2</v>
      </c>
      <c r="E7" s="20" t="s">
        <v>29</v>
      </c>
      <c r="F7" s="175">
        <f>IF(OR(Statement!M17&lt;=0, Statement!Q17&lt;=0), "N/A", _xlfn.RRI(4, Statement!M17, Statement!Q17))</f>
        <v>0.87319285132860491</v>
      </c>
      <c r="G7" s="175" t="str">
        <f>IF(OR(Statement!H17&lt;=0, Statement!Q17&lt;=0), "N/A", _xlfn.RRI(9, Statement!H17, Statement!Q17))</f>
        <v>N/A</v>
      </c>
    </row>
    <row r="8" spans="2:7" x14ac:dyDescent="0.2">
      <c r="B8" s="20" t="s">
        <v>229</v>
      </c>
      <c r="C8" s="171">
        <f ca="1">Statement!AC152</f>
        <v>26.670037926675096</v>
      </c>
      <c r="E8" s="20" t="s">
        <v>235</v>
      </c>
      <c r="F8" s="175">
        <f>IF(OR(Statement!M25&lt;=0, Statement!Q25&lt;=0), "N/A", _xlfn.RRI(4, Statement!M25, Statement!Q25))</f>
        <v>0.88879070838020025</v>
      </c>
      <c r="G8" s="175" t="str">
        <f>IF(OR(Statement!H25&lt;=0, Statement!Q25&lt;=0), "N/A", _xlfn.RRI(9, Statement!H25, Statement!Q25))</f>
        <v>N/A</v>
      </c>
    </row>
    <row r="9" spans="2:7" x14ac:dyDescent="0.2">
      <c r="B9" s="20" t="s">
        <v>193</v>
      </c>
      <c r="C9" s="171">
        <f ca="1">Statement!AC153</f>
        <v>16.98836956916384</v>
      </c>
      <c r="E9" s="20" t="s">
        <v>236</v>
      </c>
      <c r="F9" s="175">
        <f>IF(Statement!M81&lt;=0,"N/A",_xlfn.RRI(4,Statement!M81,Statement!Q81))</f>
        <v>0.25743342968293548</v>
      </c>
      <c r="G9" s="175" t="str">
        <f>IF(Statement!H81&lt;=0,"N/A",_xlfn.RRI(9,Statement!H81,Statement!Q81))</f>
        <v>N/A</v>
      </c>
    </row>
    <row r="10" spans="2:7" x14ac:dyDescent="0.2">
      <c r="B10" s="20" t="s">
        <v>230</v>
      </c>
      <c r="C10" s="171">
        <f ca="1">Statement!AC154</f>
        <v>22.203018551514518</v>
      </c>
      <c r="E10" s="20" t="s">
        <v>1</v>
      </c>
      <c r="F10" s="175">
        <f>IF(Statement!M115&lt;=0,"N/A",_xlfn.RRI(4,Statement!M115,Statement!Q115))</f>
        <v>0.69306911979142294</v>
      </c>
      <c r="G10" s="175" t="str">
        <f>IF(Statement!H115&lt;=0,"N/A",_xlfn.RRI(9,Statement!H115,Statement!Q115))</f>
        <v>N/A</v>
      </c>
    </row>
    <row r="11" spans="2:7" x14ac:dyDescent="0.2">
      <c r="B11" s="20" t="s">
        <v>252</v>
      </c>
      <c r="C11" s="171">
        <f ca="1">Statement!AC157</f>
        <v>16.62900890850219</v>
      </c>
    </row>
    <row r="12" spans="2:7" x14ac:dyDescent="0.2">
      <c r="B12" s="20" t="s">
        <v>196</v>
      </c>
      <c r="C12" s="171">
        <f ca="1">Statement!AC158</f>
        <v>25.499036840959821</v>
      </c>
    </row>
    <row r="15" spans="2:7" x14ac:dyDescent="0.2">
      <c r="B15" s="245" t="s">
        <v>75</v>
      </c>
      <c r="C15" s="245"/>
      <c r="E15" s="245" t="s">
        <v>238</v>
      </c>
      <c r="F15" s="245"/>
    </row>
    <row r="16" spans="2:7" x14ac:dyDescent="0.2">
      <c r="B16" s="20" t="s">
        <v>76</v>
      </c>
      <c r="C16" s="172">
        <f>Statement!AC99</f>
        <v>0.74674636679000161</v>
      </c>
      <c r="E16" s="20" t="s">
        <v>29</v>
      </c>
      <c r="F16" s="170">
        <f>Statement!AC17</f>
        <v>192879</v>
      </c>
    </row>
    <row r="17" spans="2:6" x14ac:dyDescent="0.2">
      <c r="B17" s="20" t="s">
        <v>77</v>
      </c>
      <c r="C17" s="172">
        <f>Statement!AC100</f>
        <v>0.65214262845373616</v>
      </c>
      <c r="E17" s="20" t="s">
        <v>239</v>
      </c>
      <c r="F17" s="170">
        <f>Statement!AC58</f>
        <v>134361</v>
      </c>
    </row>
    <row r="18" spans="2:6" x14ac:dyDescent="0.2">
      <c r="B18" s="20" t="s">
        <v>78</v>
      </c>
      <c r="C18" s="172">
        <f>Statement!AC101</f>
        <v>0.63662949014585646</v>
      </c>
      <c r="E18" s="20" t="s">
        <v>246</v>
      </c>
      <c r="F18" s="174">
        <f>IF(OR(F16&lt;=0, F17&lt;=0),"N/A",F16-F17)</f>
        <v>58518</v>
      </c>
    </row>
    <row r="21" spans="2:6" x14ac:dyDescent="0.2">
      <c r="B21" s="245" t="s">
        <v>237</v>
      </c>
      <c r="C21" s="245"/>
      <c r="E21" s="245" t="s">
        <v>241</v>
      </c>
      <c r="F21" s="245"/>
    </row>
    <row r="22" spans="2:6" x14ac:dyDescent="0.2">
      <c r="B22" s="20" t="s">
        <v>92</v>
      </c>
      <c r="C22" s="172">
        <f>Statement!AC119</f>
        <v>0.63662949014585646</v>
      </c>
      <c r="E22" s="20" t="s">
        <v>94</v>
      </c>
      <c r="F22" s="172">
        <f>C24</f>
        <v>0.60223497527101955</v>
      </c>
    </row>
    <row r="23" spans="2:6" x14ac:dyDescent="0.2">
      <c r="B23" s="20" t="s">
        <v>93</v>
      </c>
      <c r="C23" s="171">
        <f>Statement!AC120</f>
        <v>0.94597404705999899</v>
      </c>
      <c r="E23" s="20" t="s">
        <v>96</v>
      </c>
      <c r="F23" s="172">
        <f>C26</f>
        <v>0.84232522796352571</v>
      </c>
    </row>
    <row r="24" spans="2:6" x14ac:dyDescent="0.2">
      <c r="B24" s="32" t="s">
        <v>94</v>
      </c>
      <c r="C24" s="173">
        <f>Statement!AC121</f>
        <v>0.60223497527101955</v>
      </c>
      <c r="E24" s="20" t="s">
        <v>97</v>
      </c>
      <c r="F24" s="172">
        <f>Statement!AC142</f>
        <v>1.0183873919662139</v>
      </c>
    </row>
    <row r="25" spans="2:6" x14ac:dyDescent="0.2">
      <c r="B25" s="20" t="s">
        <v>95</v>
      </c>
      <c r="C25" s="171">
        <f>Statement!AC122</f>
        <v>1.3986654089368689</v>
      </c>
    </row>
    <row r="26" spans="2:6" x14ac:dyDescent="0.2">
      <c r="B26" s="32" t="s">
        <v>96</v>
      </c>
      <c r="C26" s="173">
        <f>Statement!AC123</f>
        <v>0.84232522796352571</v>
      </c>
    </row>
    <row r="29" spans="2:6" x14ac:dyDescent="0.2">
      <c r="B29" s="245" t="s">
        <v>242</v>
      </c>
      <c r="C29" s="245"/>
      <c r="E29" s="245" t="s">
        <v>248</v>
      </c>
      <c r="F29" s="245"/>
    </row>
    <row r="30" spans="2:6" x14ac:dyDescent="0.2">
      <c r="B30" s="20" t="s">
        <v>131</v>
      </c>
      <c r="C30" s="171">
        <f>Statement!AC143</f>
        <v>75.969934217692241</v>
      </c>
      <c r="E30" s="20" t="s">
        <v>249</v>
      </c>
      <c r="F30" s="177">
        <f>Statement!AC147</f>
        <v>0.1452765258708032</v>
      </c>
    </row>
    <row r="31" spans="2:6" x14ac:dyDescent="0.2">
      <c r="B31" s="20" t="s">
        <v>132</v>
      </c>
      <c r="C31" s="171">
        <f>Statement!AC144</f>
        <v>150.20429308726929</v>
      </c>
      <c r="E31" s="20" t="s">
        <v>250</v>
      </c>
      <c r="F31" s="177">
        <f>Statement!AC148</f>
        <v>-0.28867955839709325</v>
      </c>
    </row>
    <row r="32" spans="2:6" x14ac:dyDescent="0.2">
      <c r="B32" s="20" t="s">
        <v>133</v>
      </c>
      <c r="C32" s="171">
        <f>Statement!AC145</f>
        <v>71.636625482222911</v>
      </c>
      <c r="E32" s="20" t="s">
        <v>245</v>
      </c>
      <c r="F32" s="177">
        <f>Statement!AC150</f>
        <v>4.5889490690160164</v>
      </c>
    </row>
    <row r="33" spans="2:6" x14ac:dyDescent="0.2">
      <c r="B33" s="20" t="s">
        <v>134</v>
      </c>
      <c r="C33" s="171">
        <f>Statement!AC146</f>
        <v>154.53760182273862</v>
      </c>
      <c r="E33" s="20" t="s">
        <v>244</v>
      </c>
      <c r="F33" s="177">
        <f>Statement!AC149</f>
        <v>3.7757270043469164</v>
      </c>
    </row>
    <row r="34" spans="2:6" x14ac:dyDescent="0.2">
      <c r="E34" s="20" t="s">
        <v>251</v>
      </c>
      <c r="F34" s="179" t="str">
        <f>Statement!AC151</f>
        <v>N/A</v>
      </c>
    </row>
    <row r="37" spans="2:6" x14ac:dyDescent="0.2">
      <c r="B37" s="245" t="s">
        <v>260</v>
      </c>
      <c r="C37" s="245"/>
      <c r="E37" s="245" t="s">
        <v>263</v>
      </c>
      <c r="F37" s="245"/>
    </row>
    <row r="38" spans="2:6" x14ac:dyDescent="0.2">
      <c r="B38" s="20" t="s">
        <v>258</v>
      </c>
      <c r="C38" s="172">
        <f ca="1">Statement!AC164</f>
        <v>3.7495259764884339E-2</v>
      </c>
      <c r="E38" s="20" t="s">
        <v>262</v>
      </c>
      <c r="F38" s="172">
        <f>Statement!AC170</f>
        <v>5.6577936608663705E-2</v>
      </c>
    </row>
    <row r="39" spans="2:6" x14ac:dyDescent="0.2">
      <c r="B39" s="54" t="s">
        <v>261</v>
      </c>
      <c r="C39" s="212">
        <f ca="1">Statement!AC163</f>
        <v>2.3463918925071801E-2</v>
      </c>
      <c r="E39" s="20" t="s">
        <v>264</v>
      </c>
      <c r="F39" s="172">
        <f>Statement!AC171</f>
        <v>0.46186667111986907</v>
      </c>
    </row>
    <row r="40" spans="2:6" x14ac:dyDescent="0.2">
      <c r="B40" s="20" t="s">
        <v>259</v>
      </c>
      <c r="C40" s="172">
        <f ca="1">Statement!AC165</f>
        <v>1.3272658323852863E-3</v>
      </c>
      <c r="E40" s="20" t="s">
        <v>265</v>
      </c>
      <c r="F40" s="172">
        <f>Statement!AC172</f>
        <v>0.51844460772853274</v>
      </c>
    </row>
    <row r="41" spans="2:6" x14ac:dyDescent="0.2">
      <c r="B41" s="20" t="s">
        <v>284</v>
      </c>
      <c r="C41" s="172">
        <f ca="1">Statement!AC166</f>
        <v>1.083720212534941E-2</v>
      </c>
    </row>
    <row r="42" spans="2:6" x14ac:dyDescent="0.2">
      <c r="B42" s="20" t="s">
        <v>286</v>
      </c>
      <c r="C42" s="172">
        <f ca="1">Statement!AC167</f>
        <v>1.2164742242882947E-2</v>
      </c>
    </row>
    <row r="45" spans="2:6" x14ac:dyDescent="0.2">
      <c r="B45" s="245" t="s">
        <v>271</v>
      </c>
      <c r="C45" s="245"/>
      <c r="E45" s="245" t="s">
        <v>277</v>
      </c>
      <c r="F45" s="245"/>
    </row>
    <row r="46" spans="2:6" x14ac:dyDescent="0.2">
      <c r="B46" s="20" t="s">
        <v>269</v>
      </c>
      <c r="C46" s="172">
        <f>Statement!AC173</f>
        <v>3.9553626782393055E-2</v>
      </c>
      <c r="E46" s="20" t="s">
        <v>270</v>
      </c>
      <c r="F46" s="171">
        <f>Statement!AC174</f>
        <v>4.1231950207468877</v>
      </c>
    </row>
    <row r="47" spans="2:6" x14ac:dyDescent="0.2">
      <c r="E47" s="20" t="s">
        <v>278</v>
      </c>
      <c r="F47" s="171">
        <f>Statement!AC177</f>
        <v>2.742863070539419</v>
      </c>
    </row>
    <row r="48" spans="2:6" x14ac:dyDescent="0.2">
      <c r="E48" s="20" t="s">
        <v>283</v>
      </c>
      <c r="F48" s="172">
        <f ca="1">Statement!AC178</f>
        <v>1.2950765110584326E-2</v>
      </c>
    </row>
    <row r="51" spans="2:6" x14ac:dyDescent="0.2">
      <c r="B51" s="245" t="s">
        <v>274</v>
      </c>
      <c r="C51" s="245"/>
      <c r="E51" s="245" t="s">
        <v>295</v>
      </c>
      <c r="F51" s="245"/>
    </row>
    <row r="52" spans="2:6" x14ac:dyDescent="0.2">
      <c r="B52" s="20" t="s">
        <v>272</v>
      </c>
      <c r="C52" s="172">
        <f>Statement!AC175</f>
        <v>5.3899569071382318E-2</v>
      </c>
      <c r="E52" s="20" t="s">
        <v>296</v>
      </c>
      <c r="F52" s="172">
        <f>Statement!AC179</f>
        <v>2.4276411117969163E-2</v>
      </c>
    </row>
    <row r="53" spans="2:6" x14ac:dyDescent="0.2">
      <c r="B53" s="20" t="s">
        <v>273</v>
      </c>
      <c r="C53" s="172">
        <f>Statement!AC176</f>
        <v>2.3903435665035038E-2</v>
      </c>
      <c r="E53" s="20" t="s">
        <v>293</v>
      </c>
      <c r="F53" s="172">
        <f>Statement!AC180</f>
        <v>5.4740586926265808E-2</v>
      </c>
    </row>
    <row r="54" spans="2:6" x14ac:dyDescent="0.2">
      <c r="E54" s="20" t="s">
        <v>294</v>
      </c>
      <c r="F54" s="172">
        <f>Statement!AC181</f>
        <v>1.9948467588825602</v>
      </c>
    </row>
  </sheetData>
  <mergeCells count="14">
    <mergeCell ref="B51:C51"/>
    <mergeCell ref="B4:C4"/>
    <mergeCell ref="E4:G4"/>
    <mergeCell ref="B15:C15"/>
    <mergeCell ref="B21:C21"/>
    <mergeCell ref="E15:F15"/>
    <mergeCell ref="E21:F21"/>
    <mergeCell ref="B37:C37"/>
    <mergeCell ref="E37:F37"/>
    <mergeCell ref="B45:C45"/>
    <mergeCell ref="E45:F45"/>
    <mergeCell ref="B29:C29"/>
    <mergeCell ref="E29:F29"/>
    <mergeCell ref="E51:F51"/>
  </mergeCells>
  <pageMargins left="0.7" right="0.7" top="0.75" bottom="0.75" header="0.3" footer="0.3"/>
  <ignoredErrors>
    <ignoredError sqref="F3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EC990-97E1-EA42-B427-9F214546EBED}">
  <dimension ref="B1:I95"/>
  <sheetViews>
    <sheetView zoomScale="159" zoomScaleNormal="230" workbookViewId="0">
      <pane xSplit="2" ySplit="3" topLeftCell="C15" activePane="bottomRight" state="frozen"/>
      <selection pane="topRight" activeCell="C1" sqref="C1"/>
      <selection pane="bottomLeft" activeCell="A4" sqref="A4"/>
      <selection pane="bottomRight" activeCell="G92" sqref="G92"/>
    </sheetView>
  </sheetViews>
  <sheetFormatPr baseColWidth="10" defaultRowHeight="16" x14ac:dyDescent="0.2"/>
  <cols>
    <col min="1" max="1" width="3.33203125" style="1" customWidth="1"/>
    <col min="2" max="2" width="31.1640625" style="1" customWidth="1"/>
    <col min="3" max="7" width="10.83203125" style="1"/>
    <col min="8" max="8" width="2.5" style="1" customWidth="1"/>
    <col min="9" max="9" width="12.1640625" style="1" customWidth="1"/>
    <col min="10" max="16384" width="10.83203125" style="1"/>
  </cols>
  <sheetData>
    <row r="1" spans="2:9" ht="11" customHeight="1" x14ac:dyDescent="0.2"/>
    <row r="2" spans="2:9" x14ac:dyDescent="0.2">
      <c r="B2" s="10"/>
      <c r="C2" s="10" t="str">
        <f>Statement!M2</f>
        <v>30.01.2022</v>
      </c>
      <c r="D2" s="10" t="str">
        <f>Statement!N2</f>
        <v>29.01.2023</v>
      </c>
      <c r="E2" s="10" t="str">
        <f>Statement!O2</f>
        <v>28.01.2024</v>
      </c>
      <c r="F2" s="10" t="str">
        <f>Statement!P2</f>
        <v>26.01.2025</v>
      </c>
      <c r="G2" s="10" t="str">
        <f>Statement!Q2</f>
        <v>25.01.2026</v>
      </c>
      <c r="I2" s="10"/>
    </row>
    <row r="3" spans="2:9" x14ac:dyDescent="0.2">
      <c r="B3" s="10"/>
      <c r="C3" s="10">
        <f>Statement!M3</f>
        <v>2022</v>
      </c>
      <c r="D3" s="10">
        <f>Statement!N3</f>
        <v>2023</v>
      </c>
      <c r="E3" s="10">
        <f>Statement!O3</f>
        <v>2024</v>
      </c>
      <c r="F3" s="10">
        <f>Statement!P3</f>
        <v>2025</v>
      </c>
      <c r="G3" s="10">
        <f>Statement!Q3</f>
        <v>2026</v>
      </c>
      <c r="I3" s="10" t="str">
        <f>Statement!AC3</f>
        <v>TTM/YTD</v>
      </c>
    </row>
    <row r="5" spans="2:9" ht="17" thickBot="1" x14ac:dyDescent="0.25">
      <c r="B5" s="14" t="s">
        <v>225</v>
      </c>
      <c r="C5" s="14"/>
      <c r="D5" s="14"/>
      <c r="E5" s="14"/>
      <c r="F5" s="14"/>
      <c r="G5" s="14"/>
      <c r="I5" s="14"/>
    </row>
    <row r="6" spans="2:9" x14ac:dyDescent="0.2">
      <c r="B6" s="20" t="s">
        <v>1</v>
      </c>
      <c r="C6" s="169">
        <f>Statement!M114</f>
        <v>228.4</v>
      </c>
      <c r="D6" s="169">
        <f>Statement!N114</f>
        <v>203.6</v>
      </c>
      <c r="E6" s="169">
        <f>Statement!O114</f>
        <v>610.29999999999995</v>
      </c>
      <c r="F6" s="169">
        <f>Statement!P114</f>
        <v>142.62</v>
      </c>
      <c r="G6" s="169">
        <f>Statement!Q114</f>
        <v>187.67</v>
      </c>
      <c r="I6" s="169">
        <f ca="1">Statement!AC114</f>
        <v>210.96</v>
      </c>
    </row>
    <row r="7" spans="2:9" x14ac:dyDescent="0.2">
      <c r="B7" s="20" t="s">
        <v>231</v>
      </c>
      <c r="C7" s="170">
        <f>Statement!M155</f>
        <v>582191.6</v>
      </c>
      <c r="D7" s="170">
        <f>Statement!N155</f>
        <v>506964</v>
      </c>
      <c r="E7" s="170">
        <f>Statement!O155</f>
        <v>1541007.4999999998</v>
      </c>
      <c r="F7" s="170">
        <f>Statement!P155</f>
        <v>3515440.38</v>
      </c>
      <c r="G7" s="170">
        <f>Statement!Q155</f>
        <v>4589469.8499999996</v>
      </c>
      <c r="I7" s="170">
        <f ca="1">Statement!AC155</f>
        <v>5104177.2</v>
      </c>
    </row>
    <row r="8" spans="2:9" x14ac:dyDescent="0.2">
      <c r="B8" s="20" t="s">
        <v>180</v>
      </c>
      <c r="C8" s="170">
        <f>Statement!M156</f>
        <v>571929.59999999998</v>
      </c>
      <c r="D8" s="170">
        <f>Statement!N156</f>
        <v>504621</v>
      </c>
      <c r="E8" s="170">
        <f>Statement!O156</f>
        <v>1524732.4999999998</v>
      </c>
      <c r="F8" s="170">
        <f>Statement!P156</f>
        <v>3480693.38</v>
      </c>
      <c r="G8" s="170">
        <f>Statement!Q156</f>
        <v>4535381.8499999996</v>
      </c>
      <c r="I8" s="170">
        <f ca="1">Statement!AC156</f>
        <v>5038074.2</v>
      </c>
    </row>
    <row r="9" spans="2:9" x14ac:dyDescent="0.2">
      <c r="B9" s="20" t="s">
        <v>229</v>
      </c>
      <c r="C9" s="171">
        <f>Statement!M152</f>
        <v>59.324675324675326</v>
      </c>
      <c r="D9" s="171">
        <f>Statement!N152</f>
        <v>117.01149425287356</v>
      </c>
      <c r="E9" s="171">
        <f>Statement!O152</f>
        <v>51.156747694886832</v>
      </c>
      <c r="F9" s="171">
        <f>Statement!P152</f>
        <v>48.510204081632658</v>
      </c>
      <c r="G9" s="171">
        <f>Statement!Q152</f>
        <v>38.299999999999997</v>
      </c>
      <c r="I9" s="171">
        <f ca="1">Statement!AC152</f>
        <v>26.670037926675096</v>
      </c>
    </row>
    <row r="10" spans="2:9" x14ac:dyDescent="0.2">
      <c r="B10" s="20" t="s">
        <v>193</v>
      </c>
      <c r="C10" s="171">
        <f>Statement!M153</f>
        <v>21.512744296648584</v>
      </c>
      <c r="D10" s="171">
        <f>Statement!N153</f>
        <v>18.922859049455031</v>
      </c>
      <c r="E10" s="171">
        <f>Statement!O153</f>
        <v>24.984212599717669</v>
      </c>
      <c r="F10" s="171">
        <f>Statement!P153</f>
        <v>27.108259040437712</v>
      </c>
      <c r="G10" s="171">
        <f>Statement!Q153</f>
        <v>21.304922616677011</v>
      </c>
      <c r="I10" s="171">
        <f ca="1">Statement!AC153</f>
        <v>16.98836956916384</v>
      </c>
    </row>
    <row r="11" spans="2:9" x14ac:dyDescent="0.2">
      <c r="B11" s="20" t="s">
        <v>230</v>
      </c>
      <c r="C11" s="171">
        <f>Statement!M154</f>
        <v>21.542311739065084</v>
      </c>
      <c r="D11" s="171">
        <f>Statement!N154</f>
        <v>22.754264512917967</v>
      </c>
      <c r="E11" s="171">
        <f>Statement!O154</f>
        <v>35.500721299269394</v>
      </c>
      <c r="F11" s="171">
        <f>Statement!P154</f>
        <v>43.868140733924143</v>
      </c>
      <c r="G11" s="171">
        <f>Statement!Q154</f>
        <v>28.992904960805632</v>
      </c>
      <c r="I11" s="171">
        <f ca="1">Statement!AC154</f>
        <v>22.203018551514518</v>
      </c>
    </row>
    <row r="12" spans="2:9" x14ac:dyDescent="0.2">
      <c r="B12" s="20" t="s">
        <v>252</v>
      </c>
      <c r="C12" s="171">
        <f>Statement!M157</f>
        <v>21.250263803225085</v>
      </c>
      <c r="D12" s="171">
        <f>Statement!N157</f>
        <v>18.707681471046193</v>
      </c>
      <c r="E12" s="171">
        <f>Statement!O157</f>
        <v>25.02761728111355</v>
      </c>
      <c r="F12" s="171">
        <f>Statement!P157</f>
        <v>26.672593086431103</v>
      </c>
      <c r="G12" s="171">
        <f>Statement!Q157</f>
        <v>21.003166881234428</v>
      </c>
      <c r="I12" s="171">
        <f ca="1">Statement!AC157</f>
        <v>16.62900890850219</v>
      </c>
    </row>
    <row r="13" spans="2:9" x14ac:dyDescent="0.2">
      <c r="B13" s="20" t="s">
        <v>196</v>
      </c>
      <c r="C13" s="171">
        <f>Statement!M158</f>
        <v>56.959426351956971</v>
      </c>
      <c r="D13" s="171">
        <f>Statement!N158</f>
        <v>119.46519886363636</v>
      </c>
      <c r="E13" s="171">
        <f>Statement!O158</f>
        <v>46.243251850054584</v>
      </c>
      <c r="F13" s="171">
        <f>Statement!P158</f>
        <v>42.732537536984516</v>
      </c>
      <c r="G13" s="171">
        <f>Statement!Q158</f>
        <v>34.784003389908499</v>
      </c>
      <c r="I13" s="171">
        <f ca="1">Statement!AC158</f>
        <v>25.499036840959821</v>
      </c>
    </row>
    <row r="15" spans="2:9" ht="17" thickBot="1" x14ac:dyDescent="0.25">
      <c r="B15" s="14" t="s">
        <v>75</v>
      </c>
      <c r="C15" s="14"/>
      <c r="D15" s="14"/>
      <c r="E15" s="14"/>
      <c r="F15" s="14"/>
      <c r="G15" s="14"/>
      <c r="I15" s="14"/>
    </row>
    <row r="16" spans="2:9" x14ac:dyDescent="0.2">
      <c r="B16" s="20" t="s">
        <v>76</v>
      </c>
      <c r="C16" s="172">
        <f>Statement!M99</f>
        <v>0.64929033216913135</v>
      </c>
      <c r="D16" s="172">
        <f>Statement!N99</f>
        <v>0.56928894490991322</v>
      </c>
      <c r="E16" s="172">
        <f>Statement!O99</f>
        <v>0.72717573290436954</v>
      </c>
      <c r="F16" s="172">
        <f>Statement!P99</f>
        <v>0.74988697058169917</v>
      </c>
      <c r="G16" s="172">
        <f>Statement!Q99</f>
        <v>0.71068084357547079</v>
      </c>
      <c r="I16" s="172">
        <f>Statement!AC99</f>
        <v>0.74674636679000161</v>
      </c>
    </row>
    <row r="17" spans="2:9" x14ac:dyDescent="0.2">
      <c r="B17" s="20" t="s">
        <v>77</v>
      </c>
      <c r="C17" s="172">
        <f>Statement!M100</f>
        <v>0.37307720888756779</v>
      </c>
      <c r="D17" s="172">
        <f>Statement!N100</f>
        <v>0.1565952398606065</v>
      </c>
      <c r="E17" s="172">
        <f>Statement!O100</f>
        <v>0.54121663766783756</v>
      </c>
      <c r="F17" s="172">
        <f>Statement!P100</f>
        <v>0.62417526839697468</v>
      </c>
      <c r="G17" s="172">
        <f>Statement!Q100</f>
        <v>0.60381683631412719</v>
      </c>
      <c r="I17" s="172">
        <f>Statement!AC100</f>
        <v>0.65214262845373616</v>
      </c>
    </row>
    <row r="18" spans="2:9" x14ac:dyDescent="0.2">
      <c r="B18" s="20" t="s">
        <v>78</v>
      </c>
      <c r="C18" s="172">
        <f>Statement!M101</f>
        <v>0.36233930296499961</v>
      </c>
      <c r="D18" s="172">
        <f>Statement!N101</f>
        <v>0.16193371394676356</v>
      </c>
      <c r="E18" s="172">
        <f>Statement!O101</f>
        <v>0.4884934834706674</v>
      </c>
      <c r="F18" s="172">
        <f>Statement!P101</f>
        <v>0.55848027157712443</v>
      </c>
      <c r="G18" s="172">
        <f>Statement!Q101</f>
        <v>0.55602534060702613</v>
      </c>
      <c r="I18" s="172">
        <f>Statement!AC101</f>
        <v>0.63662949014585646</v>
      </c>
    </row>
    <row r="20" spans="2:9" ht="17" thickBot="1" x14ac:dyDescent="0.25">
      <c r="B20" s="14" t="s">
        <v>238</v>
      </c>
      <c r="C20" s="14"/>
      <c r="D20" s="14"/>
      <c r="E20" s="14"/>
      <c r="F20" s="14"/>
      <c r="G20" s="14"/>
      <c r="I20" s="14"/>
    </row>
    <row r="21" spans="2:9" x14ac:dyDescent="0.2">
      <c r="B21" s="20" t="s">
        <v>29</v>
      </c>
      <c r="C21" s="174">
        <f>Statement!M17</f>
        <v>9752</v>
      </c>
      <c r="D21" s="174">
        <f>Statement!N17</f>
        <v>4368</v>
      </c>
      <c r="E21" s="174">
        <f>Statement!O17</f>
        <v>29760</v>
      </c>
      <c r="F21" s="174">
        <f>Statement!P17</f>
        <v>72880</v>
      </c>
      <c r="G21" s="174">
        <f>Statement!Q17</f>
        <v>120067</v>
      </c>
      <c r="I21" s="174">
        <f>Statement!AC17</f>
        <v>192879</v>
      </c>
    </row>
    <row r="22" spans="2:9" x14ac:dyDescent="0.2">
      <c r="B22" s="20" t="s">
        <v>239</v>
      </c>
      <c r="C22" s="174">
        <f>Statement!M58</f>
        <v>9108</v>
      </c>
      <c r="D22" s="174">
        <f>Statement!N58</f>
        <v>5641</v>
      </c>
      <c r="E22" s="174">
        <f>Statement!O58</f>
        <v>28090</v>
      </c>
      <c r="F22" s="174">
        <f>Statement!P58</f>
        <v>64089</v>
      </c>
      <c r="G22" s="174">
        <f>Statement!Q58</f>
        <v>102718</v>
      </c>
      <c r="I22" s="174">
        <f>Statement!AC58</f>
        <v>134361</v>
      </c>
    </row>
    <row r="23" spans="2:9" x14ac:dyDescent="0.2">
      <c r="B23" s="20" t="s">
        <v>246</v>
      </c>
      <c r="C23" s="192">
        <f>IF(OR(C21&lt;=0, C22&lt;=0),"N/A",C21-C22)</f>
        <v>644</v>
      </c>
      <c r="D23" s="192">
        <f t="shared" ref="D23:I23" si="0">IF(OR(D21&lt;=0, D22&lt;=0),"N/A",D21-D22)</f>
        <v>-1273</v>
      </c>
      <c r="E23" s="192">
        <f t="shared" si="0"/>
        <v>1670</v>
      </c>
      <c r="F23" s="192">
        <f t="shared" si="0"/>
        <v>8791</v>
      </c>
      <c r="G23" s="192">
        <f t="shared" si="0"/>
        <v>17349</v>
      </c>
      <c r="I23" s="192">
        <f t="shared" si="0"/>
        <v>58518</v>
      </c>
    </row>
    <row r="25" spans="2:9" ht="17" thickBot="1" x14ac:dyDescent="0.25">
      <c r="B25" s="14" t="s">
        <v>237</v>
      </c>
      <c r="C25" s="14"/>
      <c r="D25" s="14"/>
      <c r="E25" s="14"/>
      <c r="F25" s="14"/>
      <c r="G25" s="14"/>
      <c r="I25" s="14"/>
    </row>
    <row r="26" spans="2:9" x14ac:dyDescent="0.2">
      <c r="B26" s="20" t="s">
        <v>92</v>
      </c>
      <c r="C26" s="172">
        <f>Statement!M119</f>
        <v>0.36233930296499961</v>
      </c>
      <c r="D26" s="172">
        <f>Statement!N119</f>
        <v>0.16193371394676356</v>
      </c>
      <c r="E26" s="172">
        <f>Statement!O119</f>
        <v>0.4884934834706674</v>
      </c>
      <c r="F26" s="172">
        <f>Statement!P119</f>
        <v>0.55848027157712443</v>
      </c>
      <c r="G26" s="172">
        <f>Statement!Q119</f>
        <v>0.55602534060702613</v>
      </c>
      <c r="I26" s="172">
        <f>Statement!AC119</f>
        <v>0.63662949014585646</v>
      </c>
    </row>
    <row r="27" spans="2:9" x14ac:dyDescent="0.2">
      <c r="B27" s="20" t="s">
        <v>93</v>
      </c>
      <c r="C27" s="211">
        <f>Statement!M120</f>
        <v>0.60909317219996828</v>
      </c>
      <c r="D27" s="211">
        <f>Statement!N120</f>
        <v>0.65499490068476518</v>
      </c>
      <c r="E27" s="211">
        <f>Statement!O120</f>
        <v>0.92688047711781885</v>
      </c>
      <c r="F27" s="211">
        <f>Statement!P120</f>
        <v>1.169317479234057</v>
      </c>
      <c r="G27" s="211">
        <f>Statement!Q120</f>
        <v>1.0441724733200195</v>
      </c>
      <c r="I27" s="211">
        <f>Statement!AC120</f>
        <v>0.94597404705999899</v>
      </c>
    </row>
    <row r="28" spans="2:9" x14ac:dyDescent="0.2">
      <c r="B28" s="32" t="s">
        <v>94</v>
      </c>
      <c r="C28" s="173">
        <f>Statement!M121</f>
        <v>0.22069839545567699</v>
      </c>
      <c r="D28" s="173">
        <f>Statement!N121</f>
        <v>0.10606575688407557</v>
      </c>
      <c r="E28" s="173">
        <f>Statement!O121</f>
        <v>0.45277507302823755</v>
      </c>
      <c r="F28" s="173">
        <f>Statement!P121</f>
        <v>0.65304074336251472</v>
      </c>
      <c r="G28" s="173">
        <f>Statement!Q121</f>
        <v>0.5805863551302447</v>
      </c>
      <c r="I28" s="173">
        <f>Statement!AC121</f>
        <v>0.60223497527101955</v>
      </c>
    </row>
    <row r="29" spans="2:9" x14ac:dyDescent="0.2">
      <c r="B29" s="20" t="s">
        <v>95</v>
      </c>
      <c r="C29" s="211">
        <f>Statement!M122</f>
        <v>1.6604163535247256</v>
      </c>
      <c r="D29" s="211">
        <f>Statement!N122</f>
        <v>1.8633545993393965</v>
      </c>
      <c r="E29" s="211">
        <f>Statement!O122</f>
        <v>1.5293405928614641</v>
      </c>
      <c r="F29" s="211">
        <f>Statement!P122</f>
        <v>1.4068476054811099</v>
      </c>
      <c r="G29" s="211">
        <f>Statement!Q122</f>
        <v>1.3147628947251309</v>
      </c>
      <c r="I29" s="211">
        <f>Statement!AC122</f>
        <v>1.3986654089368689</v>
      </c>
    </row>
    <row r="30" spans="2:9" x14ac:dyDescent="0.2">
      <c r="B30" s="32" t="s">
        <v>96</v>
      </c>
      <c r="C30" s="173">
        <f>Statement!M123</f>
        <v>0.36645122501127303</v>
      </c>
      <c r="D30" s="173">
        <f>Statement!N123</f>
        <v>0.19763811592235647</v>
      </c>
      <c r="E30" s="173">
        <f>Statement!O123</f>
        <v>0.69244729861789756</v>
      </c>
      <c r="F30" s="173">
        <f>Statement!P123</f>
        <v>0.91872880608115781</v>
      </c>
      <c r="G30" s="173">
        <f>Statement!Q123</f>
        <v>0.76333339690895341</v>
      </c>
      <c r="I30" s="173">
        <f>Statement!AC123</f>
        <v>0.84232522796352571</v>
      </c>
    </row>
    <row r="32" spans="2:9" ht="17" thickBot="1" x14ac:dyDescent="0.25">
      <c r="B32" s="14" t="s">
        <v>297</v>
      </c>
      <c r="C32" s="14"/>
      <c r="D32" s="14"/>
      <c r="E32" s="14"/>
      <c r="F32" s="14"/>
      <c r="G32" s="14"/>
      <c r="I32" s="14"/>
    </row>
    <row r="33" spans="2:9" x14ac:dyDescent="0.2">
      <c r="B33" s="20" t="s">
        <v>94</v>
      </c>
      <c r="C33" s="172">
        <f>C28</f>
        <v>0.22069839545567699</v>
      </c>
      <c r="D33" s="172">
        <f t="shared" ref="D33:G33" si="1">D28</f>
        <v>0.10606575688407557</v>
      </c>
      <c r="E33" s="172">
        <f t="shared" si="1"/>
        <v>0.45277507302823755</v>
      </c>
      <c r="F33" s="172">
        <f t="shared" si="1"/>
        <v>0.65304074336251472</v>
      </c>
      <c r="G33" s="172">
        <f t="shared" si="1"/>
        <v>0.5805863551302447</v>
      </c>
      <c r="I33" s="172">
        <f>I28</f>
        <v>0.60223497527101955</v>
      </c>
    </row>
    <row r="34" spans="2:9" x14ac:dyDescent="0.2">
      <c r="B34" s="20" t="s">
        <v>96</v>
      </c>
      <c r="C34" s="172">
        <f>C30</f>
        <v>0.36645122501127303</v>
      </c>
      <c r="D34" s="172">
        <f t="shared" ref="D34:G34" si="2">D30</f>
        <v>0.19763811592235647</v>
      </c>
      <c r="E34" s="172">
        <f t="shared" si="2"/>
        <v>0.69244729861789756</v>
      </c>
      <c r="F34" s="172">
        <f t="shared" si="2"/>
        <v>0.91872880608115781</v>
      </c>
      <c r="G34" s="172">
        <f t="shared" si="2"/>
        <v>0.76333339690895341</v>
      </c>
      <c r="I34" s="172">
        <f>I30</f>
        <v>0.84232522796352571</v>
      </c>
    </row>
    <row r="35" spans="2:9" x14ac:dyDescent="0.2">
      <c r="B35" s="20" t="s">
        <v>97</v>
      </c>
      <c r="C35" s="172">
        <f>Statement!M142</f>
        <v>0.60245252494303547</v>
      </c>
      <c r="D35" s="172">
        <f>Statement!N142</f>
        <v>0.21378682052839357</v>
      </c>
      <c r="E35" s="172">
        <f>Statement!O142</f>
        <v>1.0866013555554745</v>
      </c>
      <c r="F35" s="172">
        <f>Statement!P142</f>
        <v>1.5847534085376831</v>
      </c>
      <c r="G35" s="172">
        <f>Statement!Q142</f>
        <v>1.0723937210768841</v>
      </c>
      <c r="I35" s="172">
        <f>Statement!AC142</f>
        <v>1.0183873919662139</v>
      </c>
    </row>
    <row r="37" spans="2:9" ht="17" thickBot="1" x14ac:dyDescent="0.25">
      <c r="B37" s="14" t="s">
        <v>242</v>
      </c>
      <c r="C37" s="14"/>
      <c r="D37" s="14"/>
      <c r="E37" s="14"/>
      <c r="F37" s="14"/>
      <c r="G37" s="14"/>
      <c r="I37" s="14"/>
    </row>
    <row r="38" spans="2:9" x14ac:dyDescent="0.2">
      <c r="B38" s="20" t="s">
        <v>131</v>
      </c>
      <c r="C38" s="171">
        <f>Statement!M143</f>
        <v>63.061975180203611</v>
      </c>
      <c r="D38" s="171">
        <f>Statement!N143</f>
        <v>51.785237636242307</v>
      </c>
      <c r="E38" s="171">
        <f>Statement!O143</f>
        <v>59.906683956534586</v>
      </c>
      <c r="F38" s="171">
        <f>Statement!P143</f>
        <v>64.512785734537957</v>
      </c>
      <c r="G38" s="171">
        <f>Statement!Q143</f>
        <v>65.01907955061175</v>
      </c>
      <c r="I38" s="171">
        <f>Statement!AC143</f>
        <v>75.969934217692241</v>
      </c>
    </row>
    <row r="39" spans="2:9" x14ac:dyDescent="0.2">
      <c r="B39" s="20" t="s">
        <v>132</v>
      </c>
      <c r="C39" s="171">
        <f>Statement!M144</f>
        <v>100.73365822650703</v>
      </c>
      <c r="D39" s="171">
        <f>Statement!N144</f>
        <v>162.079101394388</v>
      </c>
      <c r="E39" s="171">
        <f>Statement!O144</f>
        <v>115.99362252572048</v>
      </c>
      <c r="F39" s="171">
        <f>Statement!P144</f>
        <v>112.72404179049603</v>
      </c>
      <c r="G39" s="171">
        <f>Statement!Q144</f>
        <v>125.043537414966</v>
      </c>
      <c r="I39" s="171">
        <f>Statement!AC144</f>
        <v>150.20429308726929</v>
      </c>
    </row>
    <row r="40" spans="2:9" x14ac:dyDescent="0.2">
      <c r="B40" s="20" t="s">
        <v>133</v>
      </c>
      <c r="C40" s="171">
        <f>Statement!M145</f>
        <v>68.947452060599645</v>
      </c>
      <c r="D40" s="171">
        <f>Statement!N145</f>
        <v>37.480203133069374</v>
      </c>
      <c r="E40" s="171">
        <f>Statement!O145</f>
        <v>59.270501173214605</v>
      </c>
      <c r="F40" s="171">
        <f>Statement!P145</f>
        <v>70.564355525598216</v>
      </c>
      <c r="G40" s="171">
        <f>Statement!Q145</f>
        <v>57.325010004001605</v>
      </c>
      <c r="I40" s="171">
        <f>Statement!AC145</f>
        <v>71.636625482222911</v>
      </c>
    </row>
    <row r="41" spans="2:9" x14ac:dyDescent="0.2">
      <c r="B41" s="20" t="s">
        <v>134</v>
      </c>
      <c r="C41" s="171">
        <f>Statement!M146</f>
        <v>94.848181346110991</v>
      </c>
      <c r="D41" s="171">
        <f>Statement!N146</f>
        <v>176.38413589756092</v>
      </c>
      <c r="E41" s="171">
        <f>Statement!O146</f>
        <v>116.62980530904048</v>
      </c>
      <c r="F41" s="171">
        <f>Statement!P146</f>
        <v>106.67247199943577</v>
      </c>
      <c r="G41" s="171">
        <f>Statement!Q146</f>
        <v>132.73760696157615</v>
      </c>
      <c r="I41" s="171">
        <f>Statement!AC146</f>
        <v>154.53760182273862</v>
      </c>
    </row>
    <row r="43" spans="2:9" ht="17" thickBot="1" x14ac:dyDescent="0.25">
      <c r="B43" s="14" t="s">
        <v>248</v>
      </c>
      <c r="C43" s="14"/>
      <c r="D43" s="14"/>
      <c r="E43" s="14"/>
      <c r="F43" s="14"/>
      <c r="G43" s="14"/>
      <c r="I43" s="14"/>
    </row>
    <row r="44" spans="2:9" x14ac:dyDescent="0.2">
      <c r="B44" s="20" t="s">
        <v>249</v>
      </c>
      <c r="C44" s="177">
        <f>Statement!M147</f>
        <v>0.41131820231474525</v>
      </c>
      <c r="D44" s="177">
        <f>Statement!N147</f>
        <v>0.49558843491244742</v>
      </c>
      <c r="E44" s="177">
        <f>Statement!O147</f>
        <v>0.22590627763041557</v>
      </c>
      <c r="F44" s="177">
        <f>Statement!P147</f>
        <v>0.10668498745698186</v>
      </c>
      <c r="G44" s="177">
        <f>Statement!Q147</f>
        <v>5.3835835033981171E-2</v>
      </c>
      <c r="I44" s="177">
        <f>Statement!AC147</f>
        <v>0.1452765258708032</v>
      </c>
    </row>
    <row r="45" spans="2:9" x14ac:dyDescent="0.2">
      <c r="B45" s="20" t="s">
        <v>250</v>
      </c>
      <c r="C45" s="177">
        <f>Statement!M148</f>
        <v>-0.38561551179918835</v>
      </c>
      <c r="D45" s="177">
        <f>Statement!N148</f>
        <v>-0.10601330256549478</v>
      </c>
      <c r="E45" s="177">
        <f>Statement!O148</f>
        <v>-0.37868211643166272</v>
      </c>
      <c r="F45" s="177">
        <f>Statement!P148</f>
        <v>-0.43802236312982967</v>
      </c>
      <c r="G45" s="177">
        <f>Statement!Q148</f>
        <v>-0.34386781357085183</v>
      </c>
      <c r="I45" s="177">
        <f>Statement!AC148</f>
        <v>-0.28867955839709325</v>
      </c>
    </row>
    <row r="46" spans="2:9" x14ac:dyDescent="0.2">
      <c r="B46" s="20" t="s">
        <v>244</v>
      </c>
      <c r="C46" s="177">
        <f>Statement!M149</f>
        <v>5.9649365628604381</v>
      </c>
      <c r="D46" s="177">
        <f>Statement!N149</f>
        <v>2.6090202651226573</v>
      </c>
      <c r="E46" s="177">
        <f>Statement!O149</f>
        <v>3.3847239206095381</v>
      </c>
      <c r="F46" s="177">
        <f>Statement!P149</f>
        <v>3.672355516152269</v>
      </c>
      <c r="G46" s="177">
        <f>Statement!Q149</f>
        <v>3.1409383453036099</v>
      </c>
      <c r="I46" s="177">
        <f>Statement!AC149</f>
        <v>3.7757270043469164</v>
      </c>
    </row>
    <row r="47" spans="2:9" x14ac:dyDescent="0.2">
      <c r="B47" s="20" t="s">
        <v>245</v>
      </c>
      <c r="C47" s="177">
        <f>Statement!M150</f>
        <v>6.6502883506343711</v>
      </c>
      <c r="D47" s="177">
        <f>Statement!N150</f>
        <v>3.5156178576870332</v>
      </c>
      <c r="E47" s="177">
        <f>Statement!O150</f>
        <v>4.1712915059730973</v>
      </c>
      <c r="F47" s="177">
        <f>Statement!P150</f>
        <v>4.4398514988640772</v>
      </c>
      <c r="G47" s="177">
        <f>Statement!Q150</f>
        <v>3.9052638124553058</v>
      </c>
      <c r="I47" s="177">
        <f>Statement!AC150</f>
        <v>4.5889490690160164</v>
      </c>
    </row>
    <row r="48" spans="2:9" x14ac:dyDescent="0.2">
      <c r="B48" s="20" t="s">
        <v>251</v>
      </c>
      <c r="C48" s="179">
        <f>Statement!M151</f>
        <v>48.507246376811594</v>
      </c>
      <c r="D48" s="179" t="str">
        <f>Statement!N151</f>
        <v>N/A</v>
      </c>
      <c r="E48" s="179" t="str">
        <f>Statement!O151</f>
        <v>N/A</v>
      </c>
      <c r="F48" s="179" t="str">
        <f>Statement!P151</f>
        <v>N/A</v>
      </c>
      <c r="G48" s="179" t="str">
        <f>Statement!Q151</f>
        <v>N/A</v>
      </c>
      <c r="I48" s="179" t="str">
        <f>Statement!AC151</f>
        <v>N/A</v>
      </c>
    </row>
    <row r="50" spans="2:9" ht="17" thickBot="1" x14ac:dyDescent="0.25">
      <c r="B50" s="14" t="s">
        <v>260</v>
      </c>
      <c r="C50" s="14"/>
      <c r="D50" s="14"/>
      <c r="E50" s="14"/>
      <c r="F50" s="14"/>
      <c r="G50" s="14"/>
      <c r="I50" s="14"/>
    </row>
    <row r="51" spans="2:9" x14ac:dyDescent="0.2">
      <c r="B51" s="20" t="s">
        <v>258</v>
      </c>
      <c r="C51" s="172">
        <f>Statement!M164</f>
        <v>1.6856392294220666E-2</v>
      </c>
      <c r="D51" s="172">
        <f>Statement!N164</f>
        <v>8.546168958742632E-3</v>
      </c>
      <c r="E51" s="172">
        <f>Statement!O164</f>
        <v>1.9547763395051616E-2</v>
      </c>
      <c r="F51" s="172">
        <f>Statement!P164</f>
        <v>2.061421960454354E-2</v>
      </c>
      <c r="G51" s="172">
        <f>Statement!Q164</f>
        <v>2.6109660574412535E-2</v>
      </c>
      <c r="I51" s="172">
        <f ca="1">Statement!AC164</f>
        <v>3.7495259764884339E-2</v>
      </c>
    </row>
    <row r="52" spans="2:9" x14ac:dyDescent="0.2">
      <c r="B52" s="20" t="s">
        <v>261</v>
      </c>
      <c r="C52" s="172">
        <f>Statement!M163</f>
        <v>1.0525744445642981E-2</v>
      </c>
      <c r="D52" s="172">
        <f>Statement!N163</f>
        <v>2.1678067870696933E-3</v>
      </c>
      <c r="E52" s="172">
        <f>Statement!O163</f>
        <v>1.5231593616513875E-2</v>
      </c>
      <c r="F52" s="172">
        <f>Statement!P163</f>
        <v>1.5962722712993357E-2</v>
      </c>
      <c r="G52" s="172">
        <f>Statement!Q163</f>
        <v>1.9673296252289359E-2</v>
      </c>
      <c r="I52" s="172">
        <f ca="1">Statement!AC163</f>
        <v>2.3463918925071801E-2</v>
      </c>
    </row>
    <row r="53" spans="2:9" x14ac:dyDescent="0.2">
      <c r="B53" s="20" t="s">
        <v>259</v>
      </c>
      <c r="C53" s="172">
        <f>Statement!M165</f>
        <v>7.0052539404553418E-4</v>
      </c>
      <c r="D53" s="172">
        <f>Statement!N165</f>
        <v>7.8585461689587434E-4</v>
      </c>
      <c r="E53" s="172">
        <f>Statement!O165</f>
        <v>2.6216614779616586E-4</v>
      </c>
      <c r="F53" s="172">
        <f>Statement!P165</f>
        <v>2.3839573692329268E-4</v>
      </c>
      <c r="G53" s="172">
        <f>Statement!Q165</f>
        <v>2.1314008632173498E-4</v>
      </c>
      <c r="I53" s="172">
        <f ca="1">Statement!AC165</f>
        <v>1.3272658323852863E-3</v>
      </c>
    </row>
    <row r="54" spans="2:9" x14ac:dyDescent="0.2">
      <c r="B54" s="20" t="s">
        <v>284</v>
      </c>
      <c r="C54" s="172">
        <f>Statement!M166</f>
        <v>0</v>
      </c>
      <c r="D54" s="172">
        <f>Statement!N166</f>
        <v>1.9802195027654824E-2</v>
      </c>
      <c r="E54" s="172">
        <f>Statement!O166</f>
        <v>6.1862125914377451E-3</v>
      </c>
      <c r="F54" s="172">
        <f>Statement!P166</f>
        <v>9.5879879493220143E-3</v>
      </c>
      <c r="G54" s="172">
        <f>Statement!Q166</f>
        <v>8.7343421593672754E-3</v>
      </c>
      <c r="I54" s="172">
        <f ca="1">Statement!AC166</f>
        <v>1.083720212534941E-2</v>
      </c>
    </row>
    <row r="55" spans="2:9" x14ac:dyDescent="0.2">
      <c r="B55" s="20" t="s">
        <v>286</v>
      </c>
      <c r="C55" s="172">
        <f>Statement!M167</f>
        <v>6.853413893295609E-4</v>
      </c>
      <c r="D55" s="172">
        <f>Statement!N167</f>
        <v>2.0587260633891165E-2</v>
      </c>
      <c r="E55" s="172">
        <f>Statement!O167</f>
        <v>6.4425384042582539E-3</v>
      </c>
      <c r="F55" s="172">
        <f>Statement!P167</f>
        <v>9.8252270743957263E-3</v>
      </c>
      <c r="G55" s="172">
        <f>Statement!Q167</f>
        <v>8.946567107309792E-3</v>
      </c>
      <c r="I55" s="172">
        <f ca="1">Statement!AC167</f>
        <v>1.2164742242882947E-2</v>
      </c>
    </row>
    <row r="57" spans="2:9" ht="17" thickBot="1" x14ac:dyDescent="0.25">
      <c r="B57" s="14" t="s">
        <v>263</v>
      </c>
      <c r="C57" s="14"/>
      <c r="D57" s="14"/>
      <c r="E57" s="14"/>
      <c r="F57" s="14"/>
      <c r="G57" s="14"/>
      <c r="I57" s="14"/>
    </row>
    <row r="58" spans="2:9" x14ac:dyDescent="0.2">
      <c r="B58" s="20" t="s">
        <v>262</v>
      </c>
      <c r="C58" s="172">
        <f>Statement!M170</f>
        <v>6.5110966057441252E-2</v>
      </c>
      <c r="D58" s="172">
        <f>Statement!N170</f>
        <v>0.36214740673339402</v>
      </c>
      <c r="E58" s="172">
        <f>Statement!O170</f>
        <v>1.6828561690524879E-2</v>
      </c>
      <c r="F58" s="172">
        <f>Statement!P170</f>
        <v>1.4862071423479934E-2</v>
      </c>
      <c r="G58" s="172">
        <f>Statement!Q170</f>
        <v>1.0787462620445233E-2</v>
      </c>
      <c r="I58" s="172">
        <f>Statement!AC170</f>
        <v>5.6577936608663705E-2</v>
      </c>
    </row>
    <row r="59" spans="2:9" x14ac:dyDescent="0.2">
      <c r="B59" s="20" t="s">
        <v>264</v>
      </c>
      <c r="C59" s="172">
        <f>Statement!M171</f>
        <v>0</v>
      </c>
      <c r="D59" s="172">
        <f>Statement!N171</f>
        <v>9.1346678798908094</v>
      </c>
      <c r="E59" s="172">
        <f>Statement!O171</f>
        <v>0.40614349011588274</v>
      </c>
      <c r="F59" s="172">
        <f>Statement!P171</f>
        <v>0.60064865635469389</v>
      </c>
      <c r="G59" s="172">
        <f>Statement!Q171</f>
        <v>0.44396943183076754</v>
      </c>
      <c r="I59" s="172">
        <f>Statement!AC171</f>
        <v>0.46186667111986907</v>
      </c>
    </row>
    <row r="60" spans="2:9" x14ac:dyDescent="0.2">
      <c r="B60" s="20" t="s">
        <v>265</v>
      </c>
      <c r="C60" s="172">
        <f>Statement!M172</f>
        <v>6.5110966057441252E-2</v>
      </c>
      <c r="D60" s="172">
        <f>Statement!N172</f>
        <v>9.4968152866242033</v>
      </c>
      <c r="E60" s="172">
        <f>Statement!O172</f>
        <v>0.42297205180640762</v>
      </c>
      <c r="F60" s="172">
        <f>Statement!P172</f>
        <v>0.61551072777817373</v>
      </c>
      <c r="G60" s="172">
        <f>Statement!Q172</f>
        <v>0.45475689445121276</v>
      </c>
      <c r="I60" s="172">
        <f>Statement!AC172</f>
        <v>0.51844460772853274</v>
      </c>
    </row>
    <row r="62" spans="2:9" ht="17" thickBot="1" x14ac:dyDescent="0.25">
      <c r="B62" s="14" t="s">
        <v>271</v>
      </c>
      <c r="C62" s="14"/>
      <c r="D62" s="14"/>
      <c r="E62" s="14"/>
      <c r="F62" s="14"/>
      <c r="G62" s="14"/>
      <c r="I62" s="14"/>
    </row>
    <row r="63" spans="2:9" x14ac:dyDescent="0.2">
      <c r="B63" s="20" t="s">
        <v>269</v>
      </c>
      <c r="C63" s="172">
        <f>Statement!M173</f>
        <v>3.9623381718320909E-2</v>
      </c>
      <c r="D63" s="172">
        <f>Statement!N173</f>
        <v>3.9759036144578312E-2</v>
      </c>
      <c r="E63" s="172">
        <f>Statement!O173</f>
        <v>4.118811881188119E-2</v>
      </c>
      <c r="F63" s="172">
        <f>Statement!P173</f>
        <v>4.1380989086778369E-2</v>
      </c>
      <c r="G63" s="172">
        <f>Statement!Q173</f>
        <v>3.9133101615211614E-2</v>
      </c>
      <c r="I63" s="172">
        <f>Statement!AC173</f>
        <v>3.9553626782393055E-2</v>
      </c>
    </row>
    <row r="65" spans="2:9" ht="17" thickBot="1" x14ac:dyDescent="0.25">
      <c r="B65" s="14" t="s">
        <v>277</v>
      </c>
      <c r="C65" s="14"/>
      <c r="D65" s="14"/>
      <c r="E65" s="14"/>
      <c r="F65" s="14"/>
      <c r="G65" s="14"/>
      <c r="I65" s="14"/>
    </row>
    <row r="66" spans="2:9" x14ac:dyDescent="0.2">
      <c r="B66" s="20" t="s">
        <v>270</v>
      </c>
      <c r="C66" s="171">
        <f>Statement!M174</f>
        <v>0.84494023904382465</v>
      </c>
      <c r="D66" s="171">
        <f>Statement!N174</f>
        <v>0.53829959514170045</v>
      </c>
      <c r="E66" s="171">
        <f>Statement!O174</f>
        <v>1.0393600000000001</v>
      </c>
      <c r="F66" s="171">
        <f>Statement!P174</f>
        <v>1.7709016393442623</v>
      </c>
      <c r="G66" s="171">
        <f>Statement!Q174</f>
        <v>2.5743209876543212</v>
      </c>
      <c r="I66" s="171">
        <f>Statement!AC174</f>
        <v>4.1231950207468877</v>
      </c>
    </row>
    <row r="67" spans="2:9" x14ac:dyDescent="0.2">
      <c r="B67" s="20" t="s">
        <v>278</v>
      </c>
      <c r="C67" s="171">
        <f>Statement!M177</f>
        <v>0.40884462151394424</v>
      </c>
      <c r="D67" s="171">
        <f>Statement!N177</f>
        <v>9.4858299595141707E-2</v>
      </c>
      <c r="E67" s="171">
        <f>Statement!O177</f>
        <v>0.65100000000000002</v>
      </c>
      <c r="F67" s="171">
        <f>Statement!P177</f>
        <v>1.4240573770491802</v>
      </c>
      <c r="G67" s="171">
        <f>Statement!Q177</f>
        <v>2.2258436213991768</v>
      </c>
      <c r="I67" s="171">
        <f>Statement!AC177</f>
        <v>2.742863070539419</v>
      </c>
    </row>
    <row r="68" spans="2:9" x14ac:dyDescent="0.2">
      <c r="B68" s="20" t="s">
        <v>283</v>
      </c>
      <c r="C68" s="193">
        <f>Statement!M178</f>
        <v>1.7626499592230463E-2</v>
      </c>
      <c r="D68" s="193">
        <f>Statement!N178</f>
        <v>4.6216299382204652E-3</v>
      </c>
      <c r="E68" s="193">
        <f>Statement!O178</f>
        <v>1.0561272414313365E-2</v>
      </c>
      <c r="F68" s="193">
        <f>Statement!P178</f>
        <v>9.8841101665902813E-3</v>
      </c>
      <c r="G68" s="193">
        <f>Statement!Q178</f>
        <v>1.1785239203608671E-2</v>
      </c>
      <c r="I68" s="193">
        <f ca="1">Statement!AC178</f>
        <v>1.2950765110584326E-2</v>
      </c>
    </row>
    <row r="70" spans="2:9" ht="17" thickBot="1" x14ac:dyDescent="0.25">
      <c r="B70" s="14" t="s">
        <v>298</v>
      </c>
      <c r="C70" s="14"/>
      <c r="D70" s="14"/>
      <c r="E70" s="14"/>
      <c r="F70" s="14"/>
      <c r="G70" s="14"/>
      <c r="I70" s="14"/>
    </row>
    <row r="71" spans="2:9" x14ac:dyDescent="0.2">
      <c r="B71" s="20" t="s">
        <v>272</v>
      </c>
      <c r="C71" s="172">
        <f>Statement!M175</f>
        <v>0.22002635046113306</v>
      </c>
      <c r="D71" s="172">
        <f>Statement!N175</f>
        <v>0.48023400106364122</v>
      </c>
      <c r="E71" s="172">
        <f>Statement!O175</f>
        <v>0.1263438946244215</v>
      </c>
      <c r="F71" s="172">
        <f>Statement!P175</f>
        <v>7.3912839956934887E-2</v>
      </c>
      <c r="G71" s="172">
        <f>Statement!Q175</f>
        <v>6.217021359450145E-2</v>
      </c>
      <c r="I71" s="172">
        <f>Statement!AC175</f>
        <v>5.3899569071382318E-2</v>
      </c>
    </row>
    <row r="72" spans="2:9" x14ac:dyDescent="0.2">
      <c r="B72" s="20" t="s">
        <v>273</v>
      </c>
      <c r="C72" s="172">
        <f>Statement!M176</f>
        <v>7.4459389165490081E-2</v>
      </c>
      <c r="D72" s="172">
        <f>Statement!N176</f>
        <v>0.10043004374582931</v>
      </c>
      <c r="E72" s="172">
        <f>Statement!O176</f>
        <v>5.8254817635665278E-2</v>
      </c>
      <c r="F72" s="172">
        <f>Statement!P176</f>
        <v>3.629968505023104E-2</v>
      </c>
      <c r="G72" s="172">
        <f>Statement!Q176</f>
        <v>2.9573303448211987E-2</v>
      </c>
      <c r="I72" s="172">
        <f>Statement!AC176</f>
        <v>2.3903435665035038E-2</v>
      </c>
    </row>
    <row r="74" spans="2:9" ht="17" thickBot="1" x14ac:dyDescent="0.25">
      <c r="B74" s="14" t="s">
        <v>299</v>
      </c>
      <c r="C74" s="14"/>
      <c r="D74" s="14"/>
      <c r="E74" s="14"/>
      <c r="F74" s="14"/>
      <c r="G74" s="14"/>
      <c r="I74" s="14"/>
    </row>
    <row r="75" spans="2:9" x14ac:dyDescent="0.2">
      <c r="B75" s="20" t="s">
        <v>296</v>
      </c>
      <c r="C75" s="172">
        <f>Statement!M179</f>
        <v>3.6263654603552055E-2</v>
      </c>
      <c r="D75" s="172">
        <f>Statement!N179</f>
        <v>6.7954326388373995E-2</v>
      </c>
      <c r="E75" s="172">
        <f>Statement!O179</f>
        <v>1.7547027346442992E-2</v>
      </c>
      <c r="F75" s="172">
        <f>Statement!P179</f>
        <v>2.4797504923484832E-2</v>
      </c>
      <c r="G75" s="172">
        <f>Statement!Q179</f>
        <v>2.7980253591308617E-2</v>
      </c>
      <c r="I75" s="172">
        <f>Statement!AC179</f>
        <v>2.4276411117969163E-2</v>
      </c>
    </row>
    <row r="76" spans="2:9" x14ac:dyDescent="0.2">
      <c r="B76" s="20" t="s">
        <v>293</v>
      </c>
      <c r="C76" s="172">
        <f>Statement!M180</f>
        <v>0.10715854194115064</v>
      </c>
      <c r="D76" s="172">
        <f>Statement!N180</f>
        <v>0.32494238610175502</v>
      </c>
      <c r="E76" s="172">
        <f>Statement!O180</f>
        <v>3.8056247775008899E-2</v>
      </c>
      <c r="F76" s="172">
        <f>Statement!P180</f>
        <v>5.0492284167329808E-2</v>
      </c>
      <c r="G76" s="172">
        <f>Statement!Q180</f>
        <v>5.8821238731283712E-2</v>
      </c>
      <c r="I76" s="172">
        <f>Statement!AC180</f>
        <v>5.4740586926265808E-2</v>
      </c>
    </row>
    <row r="77" spans="2:9" x14ac:dyDescent="0.2">
      <c r="B77" s="20" t="s">
        <v>294</v>
      </c>
      <c r="C77" s="172">
        <f>Statement!M181</f>
        <v>0.83134582623509368</v>
      </c>
      <c r="D77" s="172">
        <f>Statement!N181</f>
        <v>1.1871761658031088</v>
      </c>
      <c r="E77" s="172">
        <f>Statement!O181</f>
        <v>0.70888594164456231</v>
      </c>
      <c r="F77" s="172">
        <f>Statement!P181</f>
        <v>1.7360515021459229</v>
      </c>
      <c r="G77" s="172">
        <f>Statement!Q181</f>
        <v>2.1252198381990857</v>
      </c>
      <c r="I77" s="172">
        <f>Statement!AC181</f>
        <v>1.9948467588825602</v>
      </c>
    </row>
    <row r="79" spans="2:9" ht="17" thickBot="1" x14ac:dyDescent="0.25">
      <c r="B79" s="14" t="s">
        <v>114</v>
      </c>
      <c r="C79" s="14"/>
      <c r="D79" s="14"/>
      <c r="E79" s="14"/>
      <c r="F79" s="14"/>
      <c r="G79" s="14"/>
      <c r="I79" s="14"/>
    </row>
    <row r="80" spans="2:9" x14ac:dyDescent="0.2">
      <c r="B80" s="20" t="s">
        <v>19</v>
      </c>
      <c r="C80" s="172">
        <f>Statement!M88</f>
        <v>1</v>
      </c>
      <c r="D80" s="172">
        <f>Statement!N88</f>
        <v>2.2293230289068887E-3</v>
      </c>
      <c r="E80" s="172">
        <f>Statement!O88</f>
        <v>1.2585452658115222</v>
      </c>
      <c r="F80" s="172">
        <f>Statement!P88</f>
        <v>1.1420340763599357</v>
      </c>
      <c r="G80" s="172">
        <f>Statement!Q88</f>
        <v>0.65473535790094795</v>
      </c>
      <c r="I80" s="194"/>
    </row>
    <row r="81" spans="2:9" x14ac:dyDescent="0.2">
      <c r="B81" s="20" t="s">
        <v>20</v>
      </c>
      <c r="C81" s="172">
        <f>Statement!M89</f>
        <v>1</v>
      </c>
      <c r="D81" s="172">
        <f>Statement!N89</f>
        <v>0.23085072571246953</v>
      </c>
      <c r="E81" s="172">
        <f>Statement!O89</f>
        <v>0.43062489240833191</v>
      </c>
      <c r="F81" s="172">
        <f>Statement!P89</f>
        <v>0.9637205944287347</v>
      </c>
      <c r="G81" s="172">
        <f>Statement!Q89</f>
        <v>0.91412114341738415</v>
      </c>
      <c r="I81" s="194"/>
    </row>
    <row r="82" spans="2:9" x14ac:dyDescent="0.2">
      <c r="B82" s="20" t="s">
        <v>21</v>
      </c>
      <c r="C82" s="172">
        <f>Statement!M90</f>
        <v>1</v>
      </c>
      <c r="D82" s="172">
        <f>Statement!N90</f>
        <v>-0.12125894134477826</v>
      </c>
      <c r="E82" s="172">
        <f>Statement!O90</f>
        <v>1.8849309716071894</v>
      </c>
      <c r="F82" s="172">
        <f>Statement!P90</f>
        <v>1.208934335568046</v>
      </c>
      <c r="G82" s="172">
        <f>Statement!Q90</f>
        <v>0.56822130025138462</v>
      </c>
      <c r="I82" s="194"/>
    </row>
    <row r="83" spans="2:9" x14ac:dyDescent="0.2">
      <c r="B83" s="20" t="s">
        <v>23</v>
      </c>
      <c r="C83" s="172">
        <f>Statement!M93</f>
        <v>1</v>
      </c>
      <c r="D83" s="172">
        <f>Statement!N93</f>
        <v>0.49744417541027708</v>
      </c>
      <c r="E83" s="172">
        <f>Statement!O93</f>
        <v>1.7696730147323033E-2</v>
      </c>
      <c r="F83" s="172">
        <f>Statement!P93</f>
        <v>0.44805366757878012</v>
      </c>
      <c r="G83" s="172">
        <f>Statement!Q93</f>
        <v>0.40664431575739102</v>
      </c>
      <c r="I83" s="194"/>
    </row>
    <row r="84" spans="2:9" x14ac:dyDescent="0.2">
      <c r="B84" s="20" t="s">
        <v>300</v>
      </c>
      <c r="C84" s="172">
        <f>Statement!M94</f>
        <v>1</v>
      </c>
      <c r="D84" s="172">
        <f>Statement!N94</f>
        <v>-0.57932476844935765</v>
      </c>
      <c r="E84" s="172">
        <f>Statement!O94</f>
        <v>6.8058712121212119</v>
      </c>
      <c r="F84" s="172">
        <f>Statement!P94</f>
        <v>1.470368797767803</v>
      </c>
      <c r="G84" s="172">
        <f>Statement!Q94</f>
        <v>0.60076363055995485</v>
      </c>
      <c r="I84" s="194"/>
    </row>
    <row r="85" spans="2:9" x14ac:dyDescent="0.2">
      <c r="B85" s="20" t="s">
        <v>301</v>
      </c>
      <c r="C85" s="172">
        <f>Statement!M96</f>
        <v>1</v>
      </c>
      <c r="D85" s="172">
        <f>Statement!N96</f>
        <v>-0.55209187858900743</v>
      </c>
      <c r="E85" s="172">
        <f>Statement!O96</f>
        <v>5.813186813186813</v>
      </c>
      <c r="F85" s="172">
        <f>Statement!P96</f>
        <v>1.4489247311827957</v>
      </c>
      <c r="G85" s="172">
        <f>Statement!Q96</f>
        <v>0.6474615806805708</v>
      </c>
      <c r="I85" s="194"/>
    </row>
    <row r="88" spans="2:9" ht="17" thickBot="1" x14ac:dyDescent="0.25">
      <c r="B88" s="14" t="s">
        <v>302</v>
      </c>
      <c r="C88" s="14"/>
      <c r="D88" s="14"/>
      <c r="E88" s="14"/>
      <c r="F88" s="14"/>
      <c r="G88" s="14"/>
      <c r="I88" s="14"/>
    </row>
    <row r="89" spans="2:9" x14ac:dyDescent="0.2">
      <c r="B89" s="220" t="s">
        <v>359</v>
      </c>
      <c r="C89" s="172">
        <f>Statement!M196</f>
        <v>0</v>
      </c>
      <c r="D89" s="172">
        <f>Statement!N196</f>
        <v>0</v>
      </c>
      <c r="E89" s="172">
        <f>Statement!O196</f>
        <v>0</v>
      </c>
      <c r="F89" s="172">
        <f>Statement!P196</f>
        <v>1</v>
      </c>
      <c r="G89" s="172">
        <f>Statement!Q196</f>
        <v>0.96364041936203437</v>
      </c>
      <c r="I89" s="194"/>
    </row>
    <row r="90" spans="2:9" x14ac:dyDescent="0.2">
      <c r="B90" s="220" t="s">
        <v>360</v>
      </c>
      <c r="C90" s="172">
        <f>Statement!M197</f>
        <v>0</v>
      </c>
      <c r="D90" s="172">
        <f>Statement!N197</f>
        <v>0</v>
      </c>
      <c r="E90" s="172">
        <f>Statement!O197</f>
        <v>0</v>
      </c>
      <c r="F90" s="172">
        <f>Statement!P197</f>
        <v>1</v>
      </c>
      <c r="G90" s="172">
        <f>Statement!Q197</f>
        <v>0.43510343704186349</v>
      </c>
      <c r="I90" s="194"/>
    </row>
    <row r="91" spans="2:9" x14ac:dyDescent="0.2">
      <c r="B91" s="20" t="s">
        <v>361</v>
      </c>
      <c r="C91" s="172">
        <f>Statement!M198</f>
        <v>0</v>
      </c>
      <c r="D91" s="172">
        <f>Statement!N198</f>
        <v>0</v>
      </c>
      <c r="E91" s="172">
        <f>Statement!O198</f>
        <v>0</v>
      </c>
      <c r="F91" s="172">
        <f>Statement!P198</f>
        <v>1</v>
      </c>
      <c r="G91" s="172">
        <f>Statement!Q198</f>
        <v>0.68194919521469621</v>
      </c>
      <c r="I91" s="194"/>
    </row>
    <row r="92" spans="2:9" x14ac:dyDescent="0.2">
      <c r="B92" s="20" t="s">
        <v>362</v>
      </c>
      <c r="C92" s="172">
        <f>Statement!M199</f>
        <v>0</v>
      </c>
      <c r="D92" s="172">
        <f>Statement!N199</f>
        <v>0</v>
      </c>
      <c r="E92" s="172">
        <f>Statement!O199</f>
        <v>0</v>
      </c>
      <c r="F92" s="172">
        <f>Statement!P199</f>
        <v>1</v>
      </c>
      <c r="G92" s="172">
        <f>Statement!Q199</f>
        <v>0.4500032656260205</v>
      </c>
      <c r="I92" s="194"/>
    </row>
    <row r="94" spans="2:9" ht="17" thickBot="1" x14ac:dyDescent="0.25">
      <c r="B94" s="14" t="s">
        <v>304</v>
      </c>
      <c r="C94" s="14"/>
      <c r="D94" s="14"/>
      <c r="E94" s="14"/>
      <c r="F94" s="14"/>
      <c r="G94" s="14"/>
      <c r="I94" s="14"/>
    </row>
    <row r="95" spans="2:9" x14ac:dyDescent="0.2">
      <c r="B95" s="20" t="s">
        <v>276</v>
      </c>
      <c r="C95" s="172">
        <f>Statement!M202</f>
        <v>0</v>
      </c>
      <c r="D95" s="172">
        <f>Statement!N203</f>
        <v>-2.5062656641604009E-3</v>
      </c>
      <c r="E95" s="172">
        <f>Statement!O203</f>
        <v>-7.537688442211055E-3</v>
      </c>
      <c r="F95" s="172">
        <f>Statement!P203</f>
        <v>1.1113924050632911</v>
      </c>
      <c r="G95" s="172">
        <f>Statement!Q203</f>
        <v>0.16786570743405277</v>
      </c>
      <c r="I95" s="19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3F86-70CC-F54A-91FC-45975067BFCE}">
  <dimension ref="B1:G31"/>
  <sheetViews>
    <sheetView zoomScale="180" workbookViewId="0">
      <selection activeCell="B28" sqref="B28"/>
    </sheetView>
  </sheetViews>
  <sheetFormatPr baseColWidth="10" defaultRowHeight="16" x14ac:dyDescent="0.2"/>
  <cols>
    <col min="1" max="1" width="3.6640625" style="1" customWidth="1"/>
    <col min="2" max="2" width="25.83203125" style="1" customWidth="1"/>
    <col min="3" max="3" width="11.33203125" style="1" customWidth="1"/>
    <col min="4" max="4" width="11.83203125" style="1" customWidth="1"/>
    <col min="5" max="5" width="2.83203125" style="1" customWidth="1"/>
    <col min="6" max="6" width="11.6640625" style="1" customWidth="1"/>
    <col min="7" max="7" width="11.83203125" style="1" customWidth="1"/>
    <col min="8" max="16384" width="10.83203125" style="1"/>
  </cols>
  <sheetData>
    <row r="1" spans="2:7" ht="12" customHeight="1" x14ac:dyDescent="0.2"/>
    <row r="3" spans="2:7" x14ac:dyDescent="0.2">
      <c r="B3" s="8"/>
      <c r="C3" s="248" t="s">
        <v>305</v>
      </c>
      <c r="D3" s="249"/>
      <c r="F3" s="250" t="s">
        <v>306</v>
      </c>
      <c r="G3" s="249"/>
    </row>
    <row r="4" spans="2:7" x14ac:dyDescent="0.2">
      <c r="B4" s="8"/>
      <c r="C4" s="10" t="str">
        <f>Statement!Z2</f>
        <v>26.04.2026</v>
      </c>
      <c r="D4" s="200" t="str">
        <f>Statement!AA2</f>
        <v>26.07.2026</v>
      </c>
      <c r="F4" s="201" t="str">
        <f>Statement!W2</f>
        <v>27.07.2025</v>
      </c>
      <c r="G4" s="200" t="str">
        <f>Statement!AA2</f>
        <v>26.07.2026</v>
      </c>
    </row>
    <row r="5" spans="2:7" x14ac:dyDescent="0.2">
      <c r="B5" s="8" t="s">
        <v>311</v>
      </c>
      <c r="C5" s="10" t="str">
        <f>Statement!Z3</f>
        <v>Q1 2027</v>
      </c>
      <c r="D5" s="200" t="str">
        <f>Statement!AA3</f>
        <v>Q2 2027</v>
      </c>
      <c r="F5" s="201" t="str">
        <f>Statement!W3</f>
        <v>Q2 2026</v>
      </c>
      <c r="G5" s="200" t="str">
        <f>Statement!AA3</f>
        <v>Q2 2027</v>
      </c>
    </row>
    <row r="6" spans="2:7" x14ac:dyDescent="0.2">
      <c r="B6" s="202" t="s">
        <v>19</v>
      </c>
      <c r="C6" s="196">
        <f>Statement!Z5</f>
        <v>81615</v>
      </c>
      <c r="D6" s="195">
        <f>Statement!AA5</f>
        <v>96221</v>
      </c>
      <c r="F6" s="196">
        <f>Statement!W5</f>
        <v>46743</v>
      </c>
      <c r="G6" s="195">
        <f>Statement!AA5</f>
        <v>96221</v>
      </c>
    </row>
    <row r="7" spans="2:7" x14ac:dyDescent="0.2">
      <c r="B7" s="203" t="s">
        <v>307</v>
      </c>
      <c r="C7" s="246">
        <f>Statement!AA88</f>
        <v>0.17896220057587453</v>
      </c>
      <c r="D7" s="247"/>
      <c r="F7" s="246">
        <f>IF(F6=0,
IF(G6=0,0,IF(G6&gt;0,1,-1)),
(G6-F6)/ABS(F6)
)</f>
        <v>1.0585114348672529</v>
      </c>
      <c r="G7" s="247"/>
    </row>
    <row r="8" spans="2:7" x14ac:dyDescent="0.2">
      <c r="B8" s="204" t="s">
        <v>20</v>
      </c>
      <c r="C8" s="197">
        <f>Statement!Z6</f>
        <v>20458</v>
      </c>
      <c r="D8" s="195">
        <f>Statement!AA6</f>
        <v>24079</v>
      </c>
      <c r="F8" s="197">
        <f>Statement!W6</f>
        <v>12890</v>
      </c>
      <c r="G8" s="195">
        <f>Statement!AA6</f>
        <v>24079</v>
      </c>
    </row>
    <row r="9" spans="2:7" x14ac:dyDescent="0.2">
      <c r="B9" s="203" t="s">
        <v>307</v>
      </c>
      <c r="C9" s="246">
        <f>Statement!AA89</f>
        <v>0.17699677387818946</v>
      </c>
      <c r="D9" s="247"/>
      <c r="F9" s="246">
        <f>IF(F8=0,
IF(G8=0,0,IF(G8&gt;0,1,-1)),
(G8-F8)/ABS(F8)
)</f>
        <v>0.86803723816912337</v>
      </c>
      <c r="G9" s="247"/>
    </row>
    <row r="10" spans="2:7" x14ac:dyDescent="0.2">
      <c r="B10" s="204" t="s">
        <v>21</v>
      </c>
      <c r="C10" s="197">
        <f>Statement!Z7</f>
        <v>61157</v>
      </c>
      <c r="D10" s="195">
        <f>Statement!AA7</f>
        <v>72142</v>
      </c>
      <c r="F10" s="197">
        <f>Statement!W7</f>
        <v>33853</v>
      </c>
      <c r="G10" s="195">
        <f>Statement!AA7</f>
        <v>72142</v>
      </c>
    </row>
    <row r="11" spans="2:7" x14ac:dyDescent="0.2">
      <c r="B11" s="203" t="s">
        <v>307</v>
      </c>
      <c r="C11" s="246">
        <f>Statement!AA90</f>
        <v>0.17961966741337868</v>
      </c>
      <c r="D11" s="247"/>
      <c r="F11" s="246">
        <f>IF(F10=0,
IF(G10=0,0,IF(G10&gt;0,1,-1)),
(G10-F10)/ABS(F10)
)</f>
        <v>1.1310371311257497</v>
      </c>
      <c r="G11" s="247"/>
    </row>
    <row r="12" spans="2:7" x14ac:dyDescent="0.2">
      <c r="B12" s="204" t="s">
        <v>23</v>
      </c>
      <c r="C12" s="197">
        <f>Statement!Z10</f>
        <v>7621</v>
      </c>
      <c r="D12" s="195">
        <f>Statement!AA10</f>
        <v>8408</v>
      </c>
      <c r="F12" s="197">
        <f>Statement!W10</f>
        <v>5413</v>
      </c>
      <c r="G12" s="195">
        <f>Statement!AA10</f>
        <v>8408</v>
      </c>
    </row>
    <row r="13" spans="2:7" x14ac:dyDescent="0.2">
      <c r="B13" s="203" t="s">
        <v>307</v>
      </c>
      <c r="C13" s="246">
        <f>Statement!AA93</f>
        <v>0.10326728775751214</v>
      </c>
      <c r="D13" s="247"/>
      <c r="F13" s="246">
        <f>IF(F12=0,
IF(G12=0,0,IF(G12&gt;0,1,-1)),
(G12-F12)/ABS(F12)
)</f>
        <v>0.55329761684832812</v>
      </c>
      <c r="G13" s="247"/>
    </row>
    <row r="14" spans="2:7" x14ac:dyDescent="0.2">
      <c r="B14" s="204" t="s">
        <v>308</v>
      </c>
      <c r="C14" s="197">
        <f>Statement!Z11</f>
        <v>53536</v>
      </c>
      <c r="D14" s="195">
        <f>Statement!AA11</f>
        <v>63734</v>
      </c>
      <c r="F14" s="197">
        <f>Statement!W11</f>
        <v>28440</v>
      </c>
      <c r="G14" s="195">
        <f>Statement!AA11</f>
        <v>63734</v>
      </c>
    </row>
    <row r="15" spans="2:7" x14ac:dyDescent="0.2">
      <c r="B15" s="203" t="s">
        <v>307</v>
      </c>
      <c r="C15" s="246">
        <f>Statement!AA94</f>
        <v>0.19048864315600716</v>
      </c>
      <c r="D15" s="247"/>
      <c r="F15" s="246">
        <f>IF(F14=0,
IF(G14=0,0,IF(G14&gt;0,1,-1)),
(G14-F14)/ABS(F14)
)</f>
        <v>1.240998593530239</v>
      </c>
      <c r="G15" s="247"/>
    </row>
    <row r="16" spans="2:7" x14ac:dyDescent="0.2">
      <c r="B16" s="204" t="s">
        <v>29</v>
      </c>
      <c r="C16" s="197">
        <f>Statement!Z17</f>
        <v>58321</v>
      </c>
      <c r="D16" s="195">
        <f>Statement!AA17</f>
        <v>59688</v>
      </c>
      <c r="F16" s="197">
        <f>Statement!W17</f>
        <v>26422</v>
      </c>
      <c r="G16" s="195">
        <f>Statement!AA17</f>
        <v>59688</v>
      </c>
    </row>
    <row r="17" spans="2:7" x14ac:dyDescent="0.2">
      <c r="B17" s="203" t="s">
        <v>307</v>
      </c>
      <c r="C17" s="246">
        <f>Statement!AA96</f>
        <v>2.3439241439618664E-2</v>
      </c>
      <c r="D17" s="247"/>
      <c r="F17" s="246">
        <f>IF(F16=0,
IF(G16=0,0,IF(G16&gt;0,1,-1)),
(G16-F16)/ABS(F16)
)</f>
        <v>1.2590265687684505</v>
      </c>
      <c r="G17" s="247"/>
    </row>
    <row r="18" spans="2:7" x14ac:dyDescent="0.2">
      <c r="B18" s="204" t="s">
        <v>309</v>
      </c>
      <c r="C18" s="197">
        <f>Statement!Z21</f>
        <v>24391</v>
      </c>
      <c r="D18" s="195">
        <f>Statement!AA21</f>
        <v>24285</v>
      </c>
      <c r="F18" s="197">
        <f>Statement!W21</f>
        <v>24532</v>
      </c>
      <c r="G18" s="195">
        <f>Statement!AA21</f>
        <v>24285</v>
      </c>
    </row>
    <row r="19" spans="2:7" x14ac:dyDescent="0.2">
      <c r="B19" s="203" t="s">
        <v>307</v>
      </c>
      <c r="C19" s="246">
        <f>IF(C18=0,
IF(D18=0,0,IF(D18&gt;0,1,-1)),
(D18-C18)/ABS(C18)
)</f>
        <v>-4.3458652781763769E-3</v>
      </c>
      <c r="D19" s="247"/>
      <c r="F19" s="246">
        <f>IF(F18=0,
IF(G18=0,0,IF(G18&gt;0,1,-1)),
(G18-F18)/ABS(F18)
)</f>
        <v>-1.0068481982716452E-2</v>
      </c>
      <c r="G19" s="247"/>
    </row>
    <row r="20" spans="2:7" x14ac:dyDescent="0.2">
      <c r="B20" s="204" t="s">
        <v>36</v>
      </c>
      <c r="C20" s="198">
        <f>Statement!Z25</f>
        <v>2.39</v>
      </c>
      <c r="D20" s="199">
        <f>Statement!AA25</f>
        <v>2.46</v>
      </c>
      <c r="F20" s="198">
        <f>Statement!W25</f>
        <v>1.08</v>
      </c>
      <c r="G20" s="199">
        <f>Statement!AA25</f>
        <v>2.46</v>
      </c>
    </row>
    <row r="21" spans="2:7" x14ac:dyDescent="0.2">
      <c r="B21" s="203" t="s">
        <v>307</v>
      </c>
      <c r="C21" s="246">
        <f>IF(C20=0,
IF(D20=0,0,IF(D20&gt;0,1,-1)),
(D20-C20)/ABS(C20)
)</f>
        <v>2.9288702928870224E-2</v>
      </c>
      <c r="D21" s="247"/>
      <c r="F21" s="246">
        <f>IF(F20=0,
IF(G20=0,0,IF(G20&gt;0,1,-1)),
(G20-F20)/ABS(F20)
)</f>
        <v>1.2777777777777777</v>
      </c>
      <c r="G21" s="247"/>
    </row>
    <row r="23" spans="2:7" x14ac:dyDescent="0.2">
      <c r="B23" s="8" t="s">
        <v>310</v>
      </c>
      <c r="C23" s="10" t="str">
        <f>C5</f>
        <v>Q1 2027</v>
      </c>
      <c r="D23" s="200" t="str">
        <f>D5</f>
        <v>Q2 2027</v>
      </c>
      <c r="F23" s="201" t="str">
        <f>F5</f>
        <v>Q2 2026</v>
      </c>
      <c r="G23" s="200" t="str">
        <f>G5</f>
        <v>Q2 2027</v>
      </c>
    </row>
    <row r="24" spans="2:7" x14ac:dyDescent="0.2">
      <c r="B24" s="220" t="s">
        <v>359</v>
      </c>
      <c r="C24" s="197">
        <f>Statement!Z189</f>
        <v>37869</v>
      </c>
      <c r="D24" s="195">
        <f>Statement!AA189</f>
        <v>48710</v>
      </c>
      <c r="F24" s="197">
        <f>Statement!W189</f>
        <v>23883</v>
      </c>
      <c r="G24" s="195">
        <f>Statement!AA189</f>
        <v>48710</v>
      </c>
    </row>
    <row r="25" spans="2:7" x14ac:dyDescent="0.2">
      <c r="B25" s="203" t="s">
        <v>307</v>
      </c>
      <c r="C25" s="246">
        <f>IF(C24=0,
IF(D24=0,0,IF(D24&gt;0,1,-1)),
(D24-C24)/ABS(C24)
)</f>
        <v>0.28627637381499377</v>
      </c>
      <c r="D25" s="247"/>
      <c r="F25" s="246">
        <f>IF(F24=0,
IF(G24=0,0,IF(G24&gt;0,1,-1)),
(G24-F24)/ABS(F24)
)</f>
        <v>1.0395260226939664</v>
      </c>
      <c r="G25" s="247"/>
    </row>
    <row r="26" spans="2:7" x14ac:dyDescent="0.2">
      <c r="B26" s="220" t="s">
        <v>360</v>
      </c>
      <c r="C26" s="197">
        <f>Statement!Z190</f>
        <v>37377</v>
      </c>
      <c r="D26" s="195">
        <f>Statement!AA190</f>
        <v>40313</v>
      </c>
      <c r="F26" s="197">
        <f>Statement!W190</f>
        <v>17213</v>
      </c>
      <c r="G26" s="195">
        <f>Statement!AA190</f>
        <v>40313</v>
      </c>
    </row>
    <row r="27" spans="2:7" x14ac:dyDescent="0.2">
      <c r="B27" s="203" t="s">
        <v>307</v>
      </c>
      <c r="C27" s="246">
        <f>IF(C26=0,
IF(D26=0,0,IF(D26&gt;0,1,-1)),
(D26-C26)/ABS(C26)
)</f>
        <v>7.8550980549535812E-2</v>
      </c>
      <c r="D27" s="247"/>
      <c r="F27" s="246">
        <f>IF(F26=0,
IF(G26=0,0,IF(G26&gt;0,1,-1)),
(G26-F26)/ABS(F26)
)</f>
        <v>1.3420089467263114</v>
      </c>
      <c r="G27" s="247"/>
    </row>
    <row r="28" spans="2:7" x14ac:dyDescent="0.2">
      <c r="B28" s="20" t="s">
        <v>361</v>
      </c>
      <c r="C28" s="197">
        <f>Statement!Z191</f>
        <v>75246</v>
      </c>
      <c r="D28" s="195">
        <f>Statement!AA191</f>
        <v>89023</v>
      </c>
      <c r="F28" s="197">
        <f>Statement!W191</f>
        <v>41096</v>
      </c>
      <c r="G28" s="195">
        <f>Statement!AA191</f>
        <v>89023</v>
      </c>
    </row>
    <row r="29" spans="2:7" x14ac:dyDescent="0.2">
      <c r="B29" s="203" t="s">
        <v>307</v>
      </c>
      <c r="C29" s="246">
        <f>IF(C28=0,
IF(D28=0,0,IF(D28&gt;0,1,-1)),
(D28-C28)/ABS(C28)
)</f>
        <v>0.18309278898546102</v>
      </c>
      <c r="D29" s="247"/>
      <c r="F29" s="246">
        <f>IF(F28=0,
IF(G28=0,0,IF(G28&gt;0,1,-1)),
(G28-F28)/ABS(F28)
)</f>
        <v>1.166220556745182</v>
      </c>
      <c r="G29" s="247"/>
    </row>
    <row r="30" spans="2:7" x14ac:dyDescent="0.2">
      <c r="B30" s="20" t="s">
        <v>362</v>
      </c>
      <c r="C30" s="197">
        <f>Statement!Z192</f>
        <v>6369</v>
      </c>
      <c r="D30" s="197">
        <f>Statement!AA192</f>
        <v>7198</v>
      </c>
      <c r="F30" s="197">
        <f>Statement!W192</f>
        <v>5647</v>
      </c>
      <c r="G30" s="197">
        <f>Statement!AA192</f>
        <v>7198</v>
      </c>
    </row>
    <row r="31" spans="2:7" x14ac:dyDescent="0.2">
      <c r="B31" s="203" t="s">
        <v>307</v>
      </c>
      <c r="C31" s="246">
        <f>IF(C30=0,
IF(D30=0,0,IF(D30&gt;0,1,-1)),
(D30-C30)/ABS(C30)
)</f>
        <v>0.13016172083529595</v>
      </c>
      <c r="D31" s="247"/>
      <c r="F31" s="246">
        <f>IF(F30=0,
IF(G30=0,0,IF(G30&gt;0,1,-1)),
(G30-F30)/ABS(F30)
)</f>
        <v>0.27465911103240659</v>
      </c>
      <c r="G31" s="247"/>
    </row>
  </sheetData>
  <mergeCells count="26">
    <mergeCell ref="C3:D3"/>
    <mergeCell ref="F3:G3"/>
    <mergeCell ref="C7:D7"/>
    <mergeCell ref="F7:G7"/>
    <mergeCell ref="C9:D9"/>
    <mergeCell ref="F9:G9"/>
    <mergeCell ref="C11:D11"/>
    <mergeCell ref="F11:G11"/>
    <mergeCell ref="C13:D13"/>
    <mergeCell ref="F13:G13"/>
    <mergeCell ref="C15:D15"/>
    <mergeCell ref="F15:G15"/>
    <mergeCell ref="C17:D17"/>
    <mergeCell ref="F17:G17"/>
    <mergeCell ref="F19:G19"/>
    <mergeCell ref="C19:D19"/>
    <mergeCell ref="C21:D21"/>
    <mergeCell ref="F21:G21"/>
    <mergeCell ref="C31:D31"/>
    <mergeCell ref="F31:G31"/>
    <mergeCell ref="C25:D25"/>
    <mergeCell ref="F25:G25"/>
    <mergeCell ref="C27:D27"/>
    <mergeCell ref="F27:G27"/>
    <mergeCell ref="C29:D29"/>
    <mergeCell ref="F29:G29"/>
  </mergeCells>
  <pageMargins left="0.7" right="0.7" top="0.75" bottom="0.75" header="0.3" footer="0.3"/>
  <ignoredErrors>
    <ignoredError sqref="F8 F10 F12 F14 F16 F18 C20 F20 C26 F26 C28 F28 C30 F30"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4CD5-3D15-DF4B-A135-ED758F2E1A8D}">
  <dimension ref="B55:L73"/>
  <sheetViews>
    <sheetView topLeftCell="A44" zoomScale="159" workbookViewId="0">
      <selection activeCell="M35" sqref="M35"/>
    </sheetView>
  </sheetViews>
  <sheetFormatPr baseColWidth="10" defaultRowHeight="16" x14ac:dyDescent="0.2"/>
  <cols>
    <col min="1" max="1" width="2.6640625" style="1" customWidth="1"/>
    <col min="2" max="2" width="21" style="1" customWidth="1"/>
    <col min="3" max="16384" width="10.83203125" style="1"/>
  </cols>
  <sheetData>
    <row r="55" spans="2:12" x14ac:dyDescent="0.2">
      <c r="B55" s="10"/>
      <c r="C55" s="10">
        <f>Statement!H2</f>
        <v>0</v>
      </c>
      <c r="D55" s="10">
        <f>Statement!I2</f>
        <v>0</v>
      </c>
      <c r="E55" s="10">
        <f>Statement!J2</f>
        <v>0</v>
      </c>
      <c r="F55" s="10">
        <f>Statement!K2</f>
        <v>0</v>
      </c>
      <c r="G55" s="10">
        <f>Statement!L2</f>
        <v>0</v>
      </c>
      <c r="H55" s="10" t="str">
        <f>Statement!M2</f>
        <v>30.01.2022</v>
      </c>
      <c r="I55" s="10" t="str">
        <f>Statement!N2</f>
        <v>29.01.2023</v>
      </c>
      <c r="J55" s="10" t="str">
        <f>Statement!O2</f>
        <v>28.01.2024</v>
      </c>
      <c r="K55" s="10" t="str">
        <f>Statement!P2</f>
        <v>26.01.2025</v>
      </c>
      <c r="L55" s="10" t="str">
        <f>Statement!Q2</f>
        <v>25.01.2026</v>
      </c>
    </row>
    <row r="56" spans="2:12" x14ac:dyDescent="0.2">
      <c r="B56" s="10"/>
      <c r="C56" s="10">
        <f>Statement!H3</f>
        <v>0</v>
      </c>
      <c r="D56" s="10">
        <f>Statement!I3</f>
        <v>0</v>
      </c>
      <c r="E56" s="10">
        <f>Statement!J3</f>
        <v>0</v>
      </c>
      <c r="F56" s="10">
        <f>Statement!K3</f>
        <v>0</v>
      </c>
      <c r="G56" s="10">
        <f>Statement!L3</f>
        <v>0</v>
      </c>
      <c r="H56" s="10">
        <f>Statement!M3</f>
        <v>2022</v>
      </c>
      <c r="I56" s="10">
        <f>Statement!N3</f>
        <v>2023</v>
      </c>
      <c r="J56" s="10">
        <f>Statement!O3</f>
        <v>2024</v>
      </c>
      <c r="K56" s="10">
        <f>Statement!P3</f>
        <v>2025</v>
      </c>
      <c r="L56" s="10">
        <f>Statement!Q3</f>
        <v>2026</v>
      </c>
    </row>
    <row r="57" spans="2:12" x14ac:dyDescent="0.2">
      <c r="B57" s="20" t="s">
        <v>19</v>
      </c>
      <c r="C57" s="64">
        <f>Statement!H5</f>
        <v>0</v>
      </c>
      <c r="D57" s="64">
        <f>Statement!I5</f>
        <v>0</v>
      </c>
      <c r="E57" s="64">
        <f>Statement!J5</f>
        <v>0</v>
      </c>
      <c r="F57" s="64">
        <f>Statement!K5</f>
        <v>0</v>
      </c>
      <c r="G57" s="64">
        <f>Statement!L5</f>
        <v>0</v>
      </c>
      <c r="H57" s="24">
        <f>Statement!M5</f>
        <v>26914</v>
      </c>
      <c r="I57" s="24">
        <f>Statement!N5</f>
        <v>26974</v>
      </c>
      <c r="J57" s="24">
        <f>Statement!O5</f>
        <v>60922</v>
      </c>
      <c r="K57" s="24">
        <f>Statement!P5</f>
        <v>130497</v>
      </c>
      <c r="L57" s="24">
        <f>Statement!Q5</f>
        <v>215938</v>
      </c>
    </row>
    <row r="58" spans="2:12" x14ac:dyDescent="0.2">
      <c r="B58" s="20" t="s">
        <v>24</v>
      </c>
      <c r="C58" s="64">
        <f>Statement!H11</f>
        <v>0</v>
      </c>
      <c r="D58" s="64">
        <f>Statement!I11</f>
        <v>0</v>
      </c>
      <c r="E58" s="64">
        <f>Statement!J11</f>
        <v>0</v>
      </c>
      <c r="F58" s="64">
        <f>Statement!K11</f>
        <v>0</v>
      </c>
      <c r="G58" s="64">
        <f>Statement!L11</f>
        <v>0</v>
      </c>
      <c r="H58" s="64">
        <f>Statement!M11</f>
        <v>10041</v>
      </c>
      <c r="I58" s="64">
        <f>Statement!N11</f>
        <v>4224</v>
      </c>
      <c r="J58" s="64">
        <f>Statement!O11</f>
        <v>32972</v>
      </c>
      <c r="K58" s="64">
        <f>Statement!P11</f>
        <v>81453</v>
      </c>
      <c r="L58" s="64">
        <f>Statement!Q11</f>
        <v>130387</v>
      </c>
    </row>
    <row r="59" spans="2:12" x14ac:dyDescent="0.2">
      <c r="B59" s="20" t="s">
        <v>29</v>
      </c>
      <c r="C59" s="64">
        <f>Statement!H17</f>
        <v>0</v>
      </c>
      <c r="D59" s="64">
        <f>Statement!I17</f>
        <v>0</v>
      </c>
      <c r="E59" s="64">
        <f>Statement!J17</f>
        <v>0</v>
      </c>
      <c r="F59" s="64">
        <f>Statement!K17</f>
        <v>0</v>
      </c>
      <c r="G59" s="64">
        <f>Statement!L17</f>
        <v>0</v>
      </c>
      <c r="H59" s="64">
        <f>Statement!M17</f>
        <v>9752</v>
      </c>
      <c r="I59" s="64">
        <f>Statement!N17</f>
        <v>4368</v>
      </c>
      <c r="J59" s="64">
        <f>Statement!O17</f>
        <v>29760</v>
      </c>
      <c r="K59" s="64">
        <f>Statement!P17</f>
        <v>72880</v>
      </c>
      <c r="L59" s="64">
        <f>Statement!Q17</f>
        <v>120067</v>
      </c>
    </row>
    <row r="60" spans="2:12" x14ac:dyDescent="0.2">
      <c r="B60" s="20" t="s">
        <v>253</v>
      </c>
      <c r="C60" s="64">
        <f>Statement!H159</f>
        <v>0</v>
      </c>
      <c r="D60" s="64">
        <f>Statement!I159</f>
        <v>0</v>
      </c>
      <c r="E60" s="64">
        <f>Statement!J159</f>
        <v>0</v>
      </c>
      <c r="F60" s="64">
        <f>Statement!K159</f>
        <v>0</v>
      </c>
      <c r="G60" s="64">
        <f>Statement!L159</f>
        <v>0</v>
      </c>
      <c r="H60" s="64">
        <f>Statement!M159</f>
        <v>6128</v>
      </c>
      <c r="I60" s="64">
        <f>Statement!N159</f>
        <v>1099</v>
      </c>
      <c r="J60" s="64">
        <f>Statement!O159</f>
        <v>23472</v>
      </c>
      <c r="K60" s="64">
        <f>Statement!P159</f>
        <v>56116</v>
      </c>
      <c r="L60" s="64">
        <f>Statement!Q159</f>
        <v>90290</v>
      </c>
    </row>
    <row r="61" spans="2:12" x14ac:dyDescent="0.2">
      <c r="B61" s="20" t="s">
        <v>254</v>
      </c>
      <c r="C61" s="64">
        <f>Statement!H160</f>
        <v>0</v>
      </c>
      <c r="D61" s="64">
        <f>Statement!I160</f>
        <v>0</v>
      </c>
      <c r="E61" s="64">
        <f>Statement!J160</f>
        <v>0</v>
      </c>
      <c r="F61" s="64">
        <f>Statement!K160</f>
        <v>0</v>
      </c>
      <c r="G61" s="64">
        <f>Statement!L160</f>
        <v>0</v>
      </c>
      <c r="H61" s="64">
        <f>Statement!M160</f>
        <v>6685.0987828186298</v>
      </c>
      <c r="I61" s="64">
        <f>Statement!N160</f>
        <v>1728</v>
      </c>
      <c r="J61" s="64">
        <f>Statement!O160</f>
        <v>25732.515997397837</v>
      </c>
      <c r="K61" s="64">
        <f>Statement!P160</f>
        <v>59893.306952609913</v>
      </c>
      <c r="L61" s="64">
        <f>Statement!Q160</f>
        <v>91501.393983739836</v>
      </c>
    </row>
    <row r="62" spans="2:12" x14ac:dyDescent="0.2">
      <c r="B62" s="20" t="s">
        <v>76</v>
      </c>
      <c r="C62" s="58">
        <f>Statement!H99</f>
        <v>0</v>
      </c>
      <c r="D62" s="58">
        <f>Statement!I99</f>
        <v>0</v>
      </c>
      <c r="E62" s="58">
        <f>Statement!J99</f>
        <v>0</v>
      </c>
      <c r="F62" s="58">
        <f>Statement!K99</f>
        <v>0</v>
      </c>
      <c r="G62" s="58">
        <f>Statement!L99</f>
        <v>0</v>
      </c>
      <c r="H62" s="58">
        <f>Statement!M99</f>
        <v>0.64929033216913135</v>
      </c>
      <c r="I62" s="58">
        <f>Statement!N99</f>
        <v>0.56928894490991322</v>
      </c>
      <c r="J62" s="58">
        <f>Statement!O99</f>
        <v>0.72717573290436954</v>
      </c>
      <c r="K62" s="58">
        <f>Statement!P99</f>
        <v>0.74988697058169917</v>
      </c>
      <c r="L62" s="58">
        <f>Statement!Q99</f>
        <v>0.71068084357547079</v>
      </c>
    </row>
    <row r="63" spans="2:12" x14ac:dyDescent="0.2">
      <c r="B63" s="20" t="s">
        <v>77</v>
      </c>
      <c r="C63" s="58">
        <f>Statement!H100</f>
        <v>0</v>
      </c>
      <c r="D63" s="58">
        <f>Statement!I100</f>
        <v>0</v>
      </c>
      <c r="E63" s="58">
        <f>Statement!J100</f>
        <v>0</v>
      </c>
      <c r="F63" s="58">
        <f>Statement!K100</f>
        <v>0</v>
      </c>
      <c r="G63" s="58">
        <f>Statement!L100</f>
        <v>0</v>
      </c>
      <c r="H63" s="58">
        <f>Statement!M100</f>
        <v>0.37307720888756779</v>
      </c>
      <c r="I63" s="58">
        <f>Statement!N100</f>
        <v>0.1565952398606065</v>
      </c>
      <c r="J63" s="58">
        <f>Statement!O100</f>
        <v>0.54121663766783756</v>
      </c>
      <c r="K63" s="58">
        <f>Statement!P100</f>
        <v>0.62417526839697468</v>
      </c>
      <c r="L63" s="58">
        <f>Statement!Q100</f>
        <v>0.60381683631412719</v>
      </c>
    </row>
    <row r="64" spans="2:12" x14ac:dyDescent="0.2">
      <c r="B64" s="20" t="s">
        <v>78</v>
      </c>
      <c r="C64" s="58">
        <f>Statement!H101</f>
        <v>0</v>
      </c>
      <c r="D64" s="58">
        <f>Statement!I101</f>
        <v>0</v>
      </c>
      <c r="E64" s="58">
        <f>Statement!J101</f>
        <v>0</v>
      </c>
      <c r="F64" s="58">
        <f>Statement!K101</f>
        <v>0</v>
      </c>
      <c r="G64" s="58">
        <f>Statement!L101</f>
        <v>0</v>
      </c>
      <c r="H64" s="58">
        <f>Statement!M101</f>
        <v>0.36233930296499961</v>
      </c>
      <c r="I64" s="58">
        <f>Statement!N101</f>
        <v>0.16193371394676356</v>
      </c>
      <c r="J64" s="58">
        <f>Statement!O101</f>
        <v>0.4884934834706674</v>
      </c>
      <c r="K64" s="58">
        <f>Statement!P101</f>
        <v>0.55848027157712443</v>
      </c>
      <c r="L64" s="58">
        <f>Statement!Q101</f>
        <v>0.55602534060702613</v>
      </c>
    </row>
    <row r="65" spans="2:12" x14ac:dyDescent="0.2">
      <c r="B65" s="20" t="s">
        <v>363</v>
      </c>
      <c r="C65" s="64">
        <f>Statement!H189</f>
        <v>0</v>
      </c>
      <c r="D65" s="64">
        <f>Statement!I189</f>
        <v>0</v>
      </c>
      <c r="E65" s="64">
        <f>Statement!J189</f>
        <v>0</v>
      </c>
      <c r="F65" s="64">
        <f>Statement!K189</f>
        <v>0</v>
      </c>
      <c r="G65" s="64">
        <f>Statement!L189</f>
        <v>0</v>
      </c>
      <c r="H65" s="64">
        <f>Statement!M189</f>
        <v>0</v>
      </c>
      <c r="I65" s="64">
        <f>Statement!N189</f>
        <v>0</v>
      </c>
      <c r="J65" s="64">
        <f>Statement!O189</f>
        <v>0</v>
      </c>
      <c r="K65" s="64">
        <f>Statement!P189</f>
        <v>53796</v>
      </c>
      <c r="L65" s="64">
        <f>Statement!Q189</f>
        <v>105636</v>
      </c>
    </row>
    <row r="66" spans="2:12" x14ac:dyDescent="0.2">
      <c r="B66" s="20" t="s">
        <v>364</v>
      </c>
      <c r="C66" s="64">
        <f>Statement!H190</f>
        <v>0</v>
      </c>
      <c r="D66" s="64">
        <f>Statement!I190</f>
        <v>0</v>
      </c>
      <c r="E66" s="64">
        <f>Statement!J190</f>
        <v>0</v>
      </c>
      <c r="F66" s="64">
        <f>Statement!K190</f>
        <v>0</v>
      </c>
      <c r="G66" s="64">
        <f>Statement!L190</f>
        <v>0</v>
      </c>
      <c r="H66" s="64">
        <f>Statement!M190</f>
        <v>0</v>
      </c>
      <c r="I66" s="64">
        <f>Statement!N190</f>
        <v>0</v>
      </c>
      <c r="J66" s="64">
        <f>Statement!O190</f>
        <v>0</v>
      </c>
      <c r="K66" s="64">
        <f>Statement!P190</f>
        <v>61390</v>
      </c>
      <c r="L66" s="64">
        <f>Statement!Q190</f>
        <v>88101</v>
      </c>
    </row>
    <row r="67" spans="2:12" x14ac:dyDescent="0.2">
      <c r="B67" s="20" t="s">
        <v>365</v>
      </c>
      <c r="C67" s="64">
        <f>Statement!H192</f>
        <v>0</v>
      </c>
      <c r="D67" s="64">
        <f>Statement!I192</f>
        <v>0</v>
      </c>
      <c r="E67" s="64">
        <f>Statement!J192</f>
        <v>0</v>
      </c>
      <c r="F67" s="64">
        <f>Statement!K192</f>
        <v>0</v>
      </c>
      <c r="G67" s="64">
        <f>Statement!L192</f>
        <v>0</v>
      </c>
      <c r="H67" s="64">
        <f>Statement!M192</f>
        <v>0</v>
      </c>
      <c r="I67" s="64">
        <f>Statement!N192</f>
        <v>0</v>
      </c>
      <c r="J67" s="64">
        <f>Statement!O192</f>
        <v>0</v>
      </c>
      <c r="K67" s="64">
        <f>Statement!P192</f>
        <v>15311</v>
      </c>
      <c r="L67" s="64">
        <f>Statement!Q192</f>
        <v>22201</v>
      </c>
    </row>
    <row r="68" spans="2:12" x14ac:dyDescent="0.2">
      <c r="B68" s="20" t="s">
        <v>94</v>
      </c>
      <c r="C68" s="215">
        <f>Statement!H121</f>
        <v>0</v>
      </c>
      <c r="D68" s="215">
        <f>Statement!I121</f>
        <v>0</v>
      </c>
      <c r="E68" s="215">
        <f>Statement!J121</f>
        <v>0</v>
      </c>
      <c r="F68" s="215">
        <f>Statement!K121</f>
        <v>0</v>
      </c>
      <c r="G68" s="215">
        <f>Statement!L121</f>
        <v>0</v>
      </c>
      <c r="H68" s="215">
        <f>Statement!M121</f>
        <v>0.22069839545567699</v>
      </c>
      <c r="I68" s="215">
        <f>Statement!N121</f>
        <v>0.10606575688407557</v>
      </c>
      <c r="J68" s="215">
        <f>Statement!O121</f>
        <v>0.45277507302823755</v>
      </c>
      <c r="K68" s="215">
        <f>Statement!P121</f>
        <v>0.65304074336251472</v>
      </c>
      <c r="L68" s="215">
        <f>Statement!Q121</f>
        <v>0.5805863551302447</v>
      </c>
    </row>
    <row r="69" spans="2:12" x14ac:dyDescent="0.2">
      <c r="B69" s="20" t="s">
        <v>96</v>
      </c>
      <c r="C69" s="215">
        <f>Statement!H123</f>
        <v>0</v>
      </c>
      <c r="D69" s="215">
        <f>Statement!I123</f>
        <v>0</v>
      </c>
      <c r="E69" s="215">
        <f>Statement!J123</f>
        <v>0</v>
      </c>
      <c r="F69" s="215">
        <f>Statement!K123</f>
        <v>0</v>
      </c>
      <c r="G69" s="215">
        <f>Statement!L123</f>
        <v>0</v>
      </c>
      <c r="H69" s="215">
        <f>Statement!M123</f>
        <v>0.36645122501127303</v>
      </c>
      <c r="I69" s="215">
        <f>Statement!N123</f>
        <v>0.19763811592235647</v>
      </c>
      <c r="J69" s="215">
        <f>Statement!O123</f>
        <v>0.69244729861789756</v>
      </c>
      <c r="K69" s="215">
        <f>Statement!P123</f>
        <v>0.91872880608115781</v>
      </c>
      <c r="L69" s="215">
        <f>Statement!Q123</f>
        <v>0.76333339690895341</v>
      </c>
    </row>
    <row r="70" spans="2:12" x14ac:dyDescent="0.2">
      <c r="B70" s="20" t="s">
        <v>97</v>
      </c>
      <c r="C70" s="215">
        <f>Statement!H142</f>
        <v>0</v>
      </c>
      <c r="D70" s="215">
        <f>Statement!I142</f>
        <v>0</v>
      </c>
      <c r="E70" s="215">
        <f>Statement!J142</f>
        <v>0</v>
      </c>
      <c r="F70" s="215">
        <f>Statement!K142</f>
        <v>0</v>
      </c>
      <c r="G70" s="215">
        <f>Statement!L142</f>
        <v>0</v>
      </c>
      <c r="H70" s="215">
        <f>Statement!M142</f>
        <v>0.60245252494303547</v>
      </c>
      <c r="I70" s="215">
        <f>Statement!N142</f>
        <v>0.21378682052839357</v>
      </c>
      <c r="J70" s="215">
        <f>Statement!O142</f>
        <v>1.0866013555554745</v>
      </c>
      <c r="K70" s="215">
        <f>Statement!P142</f>
        <v>1.5847534085376831</v>
      </c>
      <c r="L70" s="215">
        <f>Statement!Q142</f>
        <v>1.0723937210768841</v>
      </c>
    </row>
    <row r="71" spans="2:12" x14ac:dyDescent="0.2">
      <c r="B71" s="20" t="s">
        <v>379</v>
      </c>
      <c r="C71" s="227">
        <f>Statement!H207</f>
        <v>0</v>
      </c>
      <c r="D71" s="227">
        <f>Statement!I207</f>
        <v>0</v>
      </c>
      <c r="E71" s="227">
        <f>Statement!J207</f>
        <v>0</v>
      </c>
      <c r="F71" s="227">
        <f>Statement!K207</f>
        <v>0</v>
      </c>
      <c r="G71" s="227">
        <f>Statement!L207</f>
        <v>0</v>
      </c>
      <c r="H71" s="227">
        <f>Statement!M207</f>
        <v>100</v>
      </c>
      <c r="I71" s="227">
        <f>Statement!N207</f>
        <v>89.141856392294216</v>
      </c>
      <c r="J71" s="227">
        <f>Statement!O207</f>
        <v>267.20665499124345</v>
      </c>
      <c r="K71" s="227">
        <f>Statement!P207</f>
        <v>624.43082311733804</v>
      </c>
      <c r="L71" s="227">
        <f>Statement!Q207</f>
        <v>821.67250437828375</v>
      </c>
    </row>
    <row r="72" spans="2:12" x14ac:dyDescent="0.2">
      <c r="B72" s="20" t="s">
        <v>380</v>
      </c>
      <c r="C72" s="227">
        <f>Statement!H208</f>
        <v>0</v>
      </c>
      <c r="D72" s="227">
        <f>Statement!I208</f>
        <v>0</v>
      </c>
      <c r="E72" s="227">
        <f>Statement!J208</f>
        <v>0</v>
      </c>
      <c r="F72" s="227">
        <f>Statement!K208</f>
        <v>0</v>
      </c>
      <c r="G72" s="227">
        <f>Statement!L208</f>
        <v>0</v>
      </c>
      <c r="H72" s="227">
        <f>Statement!M208</f>
        <v>100</v>
      </c>
      <c r="I72" s="227">
        <f>Statement!N208</f>
        <v>100.2229323028907</v>
      </c>
      <c r="J72" s="227">
        <f>Statement!O208</f>
        <v>226.35802927844244</v>
      </c>
      <c r="K72" s="227">
        <f>Statement!P208</f>
        <v>484.86661217210371</v>
      </c>
      <c r="L72" s="227">
        <f>Statement!Q208</f>
        <v>802.32592702682621</v>
      </c>
    </row>
    <row r="73" spans="2:12" x14ac:dyDescent="0.2">
      <c r="B73" s="20" t="s">
        <v>381</v>
      </c>
      <c r="C73" s="227">
        <f>Statement!H209</f>
        <v>0</v>
      </c>
      <c r="D73" s="227">
        <f>Statement!I209</f>
        <v>0</v>
      </c>
      <c r="E73" s="227">
        <f>Statement!J209</f>
        <v>0</v>
      </c>
      <c r="F73" s="227">
        <f>Statement!K209</f>
        <v>0</v>
      </c>
      <c r="G73" s="227">
        <f>Statement!L209</f>
        <v>0</v>
      </c>
      <c r="H73" s="227">
        <f>Statement!M209</f>
        <v>100</v>
      </c>
      <c r="I73" s="227">
        <f>Statement!N209</f>
        <v>45.194805194805184</v>
      </c>
      <c r="J73" s="227">
        <f>Statement!O209</f>
        <v>309.87012987012992</v>
      </c>
      <c r="K73" s="227">
        <f>Statement!P209</f>
        <v>763.63636363636363</v>
      </c>
      <c r="L73" s="227">
        <f>Statement!Q209</f>
        <v>1272.7272727272727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9119-3B3B-094C-BA34-9489CF595CBC}">
  <dimension ref="B55:J66"/>
  <sheetViews>
    <sheetView topLeftCell="A18" zoomScale="161" workbookViewId="0">
      <selection activeCell="C65" sqref="C65:J65"/>
    </sheetView>
  </sheetViews>
  <sheetFormatPr baseColWidth="10" defaultRowHeight="16" x14ac:dyDescent="0.2"/>
  <cols>
    <col min="1" max="1" width="2.6640625" style="1" customWidth="1"/>
    <col min="2" max="2" width="20" style="1" customWidth="1"/>
    <col min="3" max="16384" width="10.83203125" style="1"/>
  </cols>
  <sheetData>
    <row r="55" spans="2:10" x14ac:dyDescent="0.2">
      <c r="B55" s="10"/>
      <c r="C55" s="10" t="str">
        <f>Statement!T2</f>
        <v>27.10.2024</v>
      </c>
      <c r="D55" s="10" t="str">
        <f>Statement!U2</f>
        <v>26.01.2025</v>
      </c>
      <c r="E55" s="10" t="str">
        <f>Statement!V2</f>
        <v>27.04.2025</v>
      </c>
      <c r="F55" s="10" t="str">
        <f>Statement!W2</f>
        <v>27.07.2025</v>
      </c>
      <c r="G55" s="10" t="str">
        <f>Statement!X2</f>
        <v>26.10.2025</v>
      </c>
      <c r="H55" s="10" t="str">
        <f>Statement!Y2</f>
        <v>25.01.2026</v>
      </c>
      <c r="I55" s="10" t="str">
        <f>Statement!Z2</f>
        <v>26.04.2026</v>
      </c>
      <c r="J55" s="10" t="str">
        <f>Statement!AA2</f>
        <v>26.07.2026</v>
      </c>
    </row>
    <row r="56" spans="2:10" x14ac:dyDescent="0.2">
      <c r="B56" s="10"/>
      <c r="C56" s="10" t="str">
        <f>Statement!T3</f>
        <v>Q3 2025</v>
      </c>
      <c r="D56" s="10" t="str">
        <f>Statement!U3</f>
        <v>Q4 2025</v>
      </c>
      <c r="E56" s="10" t="str">
        <f>Statement!V3</f>
        <v>Q1 2026</v>
      </c>
      <c r="F56" s="10" t="str">
        <f>Statement!W3</f>
        <v>Q2 2026</v>
      </c>
      <c r="G56" s="10" t="str">
        <f>Statement!X3</f>
        <v>Q3 2026</v>
      </c>
      <c r="H56" s="10" t="str">
        <f>Statement!Y3</f>
        <v>Q4 2026</v>
      </c>
      <c r="I56" s="10" t="str">
        <f>Statement!Z3</f>
        <v>Q1 2027</v>
      </c>
      <c r="J56" s="10" t="str">
        <f>Statement!AA3</f>
        <v>Q2 2027</v>
      </c>
    </row>
    <row r="57" spans="2:10" x14ac:dyDescent="0.2">
      <c r="B57" s="20" t="s">
        <v>19</v>
      </c>
      <c r="C57" s="64">
        <f>Statement!T5</f>
        <v>35082</v>
      </c>
      <c r="D57" s="64">
        <f>Statement!U5</f>
        <v>39331</v>
      </c>
      <c r="E57" s="64">
        <f>Statement!V5</f>
        <v>44062</v>
      </c>
      <c r="F57" s="64">
        <f>Statement!W5</f>
        <v>46743</v>
      </c>
      <c r="G57" s="64">
        <f>Statement!X5</f>
        <v>57006</v>
      </c>
      <c r="H57" s="64">
        <f>Statement!Y5</f>
        <v>68127</v>
      </c>
      <c r="I57" s="64">
        <f>Statement!Z5</f>
        <v>81615</v>
      </c>
      <c r="J57" s="64">
        <f>Statement!AA5</f>
        <v>96221</v>
      </c>
    </row>
    <row r="58" spans="2:10" x14ac:dyDescent="0.2">
      <c r="B58" s="20" t="s">
        <v>24</v>
      </c>
      <c r="C58" s="64">
        <f>Statement!T11</f>
        <v>21869</v>
      </c>
      <c r="D58" s="64">
        <f>Statement!U11</f>
        <v>24034</v>
      </c>
      <c r="E58" s="64">
        <f>Statement!V11</f>
        <v>21638</v>
      </c>
      <c r="F58" s="64">
        <f>Statement!W11</f>
        <v>28440</v>
      </c>
      <c r="G58" s="64">
        <f>Statement!X11</f>
        <v>36010</v>
      </c>
      <c r="H58" s="64">
        <f>Statement!Y11</f>
        <v>44299</v>
      </c>
      <c r="I58" s="64">
        <f>Statement!Z11</f>
        <v>53536</v>
      </c>
      <c r="J58" s="64">
        <f>Statement!AA11</f>
        <v>63734</v>
      </c>
    </row>
    <row r="59" spans="2:10" x14ac:dyDescent="0.2">
      <c r="B59" s="20" t="s">
        <v>29</v>
      </c>
      <c r="C59" s="64">
        <f>Statement!T17</f>
        <v>19309</v>
      </c>
      <c r="D59" s="64">
        <f>Statement!U17</f>
        <v>22091</v>
      </c>
      <c r="E59" s="64">
        <f>Statement!V17</f>
        <v>18775</v>
      </c>
      <c r="F59" s="64">
        <f>Statement!W17</f>
        <v>26422</v>
      </c>
      <c r="G59" s="64">
        <f>Statement!X17</f>
        <v>31910</v>
      </c>
      <c r="H59" s="64">
        <f>Statement!Y17</f>
        <v>42960</v>
      </c>
      <c r="I59" s="64">
        <f>Statement!Z17</f>
        <v>58321</v>
      </c>
      <c r="J59" s="64">
        <f>Statement!AA17</f>
        <v>59688</v>
      </c>
    </row>
    <row r="60" spans="2:10" x14ac:dyDescent="0.2">
      <c r="B60" s="20" t="s">
        <v>76</v>
      </c>
      <c r="C60" s="58">
        <f>Statement!T99</f>
        <v>0.74556752750698363</v>
      </c>
      <c r="D60" s="58">
        <f>Statement!U99</f>
        <v>0.73028908494571709</v>
      </c>
      <c r="E60" s="58">
        <f>Statement!V99</f>
        <v>0.60523807362353044</v>
      </c>
      <c r="F60" s="58">
        <f>Statement!W99</f>
        <v>0.72423678411740799</v>
      </c>
      <c r="G60" s="58">
        <f>Statement!X99</f>
        <v>0.7341157071185489</v>
      </c>
      <c r="H60" s="58">
        <f>Statement!Y99</f>
        <v>0.74996697344665109</v>
      </c>
      <c r="I60" s="58">
        <f>Statement!Z99</f>
        <v>0.74933529375727503</v>
      </c>
      <c r="J60" s="58">
        <f>Statement!AA99</f>
        <v>0.74975317238440675</v>
      </c>
    </row>
    <row r="61" spans="2:10" x14ac:dyDescent="0.2">
      <c r="B61" s="20" t="s">
        <v>77</v>
      </c>
      <c r="C61" s="58">
        <f>Statement!T100</f>
        <v>0.62336810900176731</v>
      </c>
      <c r="D61" s="58">
        <f>Statement!U100</f>
        <v>0.61107014822913219</v>
      </c>
      <c r="E61" s="58">
        <f>Statement!V100</f>
        <v>0.49108074985248057</v>
      </c>
      <c r="F61" s="58">
        <f>Statement!W100</f>
        <v>0.60843334830883766</v>
      </c>
      <c r="G61" s="58">
        <f>Statement!X100</f>
        <v>0.63168789250254365</v>
      </c>
      <c r="H61" s="58">
        <f>Statement!Y100</f>
        <v>0.65024146080115075</v>
      </c>
      <c r="I61" s="58">
        <f>Statement!Z100</f>
        <v>0.65595785088525393</v>
      </c>
      <c r="J61" s="58">
        <f>Statement!AA100</f>
        <v>0.66237100009353467</v>
      </c>
    </row>
    <row r="62" spans="2:10" x14ac:dyDescent="0.2">
      <c r="B62" s="20" t="s">
        <v>78</v>
      </c>
      <c r="C62" s="58">
        <f>Statement!T101</f>
        <v>0.55039621458297705</v>
      </c>
      <c r="D62" s="58">
        <f>Statement!U101</f>
        <v>0.56166891256260965</v>
      </c>
      <c r="E62" s="58">
        <f>Statement!V101</f>
        <v>0.42610412600426673</v>
      </c>
      <c r="F62" s="58">
        <f>Statement!W101</f>
        <v>0.56526110861519374</v>
      </c>
      <c r="G62" s="58">
        <f>Statement!X101</f>
        <v>0.55976563870469775</v>
      </c>
      <c r="H62" s="58">
        <f>Statement!Y101</f>
        <v>0.63058699194152101</v>
      </c>
      <c r="I62" s="58">
        <f>Statement!Z101</f>
        <v>0.71458677939104331</v>
      </c>
      <c r="J62" s="58">
        <f>Statement!AA101</f>
        <v>0.62032196713815069</v>
      </c>
    </row>
    <row r="63" spans="2:10" x14ac:dyDescent="0.2">
      <c r="B63" s="20" t="s">
        <v>363</v>
      </c>
      <c r="C63" s="64">
        <f>Statement!T189</f>
        <v>13390</v>
      </c>
      <c r="D63" s="64">
        <f>Statement!U189</f>
        <v>19094</v>
      </c>
      <c r="E63" s="64">
        <f>Statement!V189</f>
        <v>17599</v>
      </c>
      <c r="F63" s="64">
        <f>Statement!W189</f>
        <v>23883</v>
      </c>
      <c r="G63" s="64">
        <f>Statement!X189</f>
        <v>30340</v>
      </c>
      <c r="H63" s="64">
        <f>Statement!Y189</f>
        <v>33814</v>
      </c>
      <c r="I63" s="64">
        <f>Statement!Z189</f>
        <v>37869</v>
      </c>
      <c r="J63" s="64">
        <f>Statement!AA189</f>
        <v>48710</v>
      </c>
    </row>
    <row r="64" spans="2:10" x14ac:dyDescent="0.2">
      <c r="B64" s="20" t="s">
        <v>366</v>
      </c>
      <c r="C64" s="64">
        <f>Statement!T190</f>
        <v>17381</v>
      </c>
      <c r="D64" s="64">
        <f>Statement!U190</f>
        <v>16486</v>
      </c>
      <c r="E64" s="64">
        <f>Statement!V190</f>
        <v>21513</v>
      </c>
      <c r="F64" s="64">
        <f>Statement!W190</f>
        <v>17213</v>
      </c>
      <c r="G64" s="64">
        <f>Statement!X190</f>
        <v>20875</v>
      </c>
      <c r="H64" s="64">
        <f>Statement!Y190</f>
        <v>28500</v>
      </c>
      <c r="I64" s="64">
        <f>Statement!Z190</f>
        <v>37377</v>
      </c>
      <c r="J64" s="64">
        <f>Statement!AA190</f>
        <v>40313</v>
      </c>
    </row>
    <row r="65" spans="2:10" x14ac:dyDescent="0.2">
      <c r="B65" s="20" t="s">
        <v>367</v>
      </c>
      <c r="C65" s="64">
        <f>Statement!T192</f>
        <v>4311</v>
      </c>
      <c r="D65" s="64">
        <f>Statement!U192</f>
        <v>3751</v>
      </c>
      <c r="E65" s="64">
        <f>Statement!V192</f>
        <v>4950</v>
      </c>
      <c r="F65" s="64">
        <f>Statement!W192</f>
        <v>5647</v>
      </c>
      <c r="G65" s="64">
        <f>Statement!X192</f>
        <v>5791</v>
      </c>
      <c r="H65" s="64">
        <f>Statement!Y192</f>
        <v>5813</v>
      </c>
      <c r="I65" s="64">
        <f>Statement!Z192</f>
        <v>6369</v>
      </c>
      <c r="J65" s="64">
        <f>Statement!AA192</f>
        <v>7198</v>
      </c>
    </row>
    <row r="66" spans="2:10" x14ac:dyDescent="0.2">
      <c r="B66" s="20" t="s">
        <v>253</v>
      </c>
      <c r="C66" s="64">
        <f>Statement!T159</f>
        <v>15564</v>
      </c>
      <c r="D66" s="64">
        <f>Statement!U159</f>
        <v>14230</v>
      </c>
      <c r="E66" s="64">
        <f>Statement!V159</f>
        <v>24713</v>
      </c>
      <c r="F66" s="64">
        <f>Statement!W159</f>
        <v>11847</v>
      </c>
      <c r="G66" s="64">
        <f>Statement!X159</f>
        <v>20458</v>
      </c>
      <c r="H66" s="64">
        <f>Statement!Y159</f>
        <v>33273</v>
      </c>
      <c r="I66" s="64">
        <f>Statement!Z159</f>
        <v>46659</v>
      </c>
      <c r="J66" s="64">
        <f>Statement!AA159</f>
        <v>19374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B610-4F16-C34E-B8D9-992F7812B5AD}">
  <sheetPr>
    <tabColor theme="6" tint="0.59999389629810485"/>
  </sheetPr>
  <dimension ref="B5:H13"/>
  <sheetViews>
    <sheetView workbookViewId="0">
      <selection activeCell="H10" sqref="H10"/>
    </sheetView>
  </sheetViews>
  <sheetFormatPr baseColWidth="10" defaultRowHeight="16" x14ac:dyDescent="0.2"/>
  <cols>
    <col min="1" max="7" width="10.83203125" style="1"/>
    <col min="8" max="8" width="19" style="1" customWidth="1"/>
    <col min="9" max="16384" width="10.83203125" style="1"/>
  </cols>
  <sheetData>
    <row r="5" spans="2:8" x14ac:dyDescent="0.2">
      <c r="H5" s="133" t="s">
        <v>418</v>
      </c>
    </row>
    <row r="6" spans="2:8" x14ac:dyDescent="0.2">
      <c r="H6" s="237" t="s">
        <v>423</v>
      </c>
    </row>
    <row r="7" spans="2:8" x14ac:dyDescent="0.2">
      <c r="H7" s="237" t="s">
        <v>419</v>
      </c>
    </row>
    <row r="8" spans="2:8" x14ac:dyDescent="0.2">
      <c r="H8" s="237" t="s">
        <v>420</v>
      </c>
    </row>
    <row r="9" spans="2:8" x14ac:dyDescent="0.2">
      <c r="H9" s="237" t="s">
        <v>421</v>
      </c>
    </row>
    <row r="10" spans="2:8" x14ac:dyDescent="0.2">
      <c r="H10" s="238" t="s">
        <v>422</v>
      </c>
    </row>
    <row r="13" spans="2:8" s="4" customFormat="1" ht="49" x14ac:dyDescent="0.2">
      <c r="B13" s="3" t="s">
        <v>103</v>
      </c>
    </row>
  </sheetData>
  <hyperlinks>
    <hyperlink ref="H6" location="Overview!B3" display="Overview'!B3" xr:uid="{2887DF58-DFFB-114A-8990-41F77DA26F54}"/>
    <hyperlink ref="H8" location="'Analysis -&gt;'!B13" display="'Analysis -&gt;'!B13" xr:uid="{0AD1E0BC-6275-0D4A-8036-A67BC50CAD73}"/>
    <hyperlink ref="H9" location="'Forecast -&gt;'!B13" display="'Forecast -&gt;'!B13" xr:uid="{C57FB289-D17F-D34E-8088-5B146C03C9F9}"/>
    <hyperlink ref="H10" location="'Valuation -&gt;'!B13" display="'Valuation -&gt;'!B13" xr:uid="{731F71B8-75A4-BD4C-95AB-3063A9FCA837}"/>
    <hyperlink ref="H7" location="'Financials -&gt;'!B13" display="'Financials -&gt;'!B13" xr:uid="{CFE7E2D2-F819-0448-8CA3-51B7B205F47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282D1-ADA2-D843-8696-3FC058E17FA6}">
  <dimension ref="A1:AE19"/>
  <sheetViews>
    <sheetView topLeftCell="A3" zoomScale="156" zoomScaleNormal="75" workbookViewId="0">
      <selection activeCell="L17" sqref="L17"/>
    </sheetView>
  </sheetViews>
  <sheetFormatPr baseColWidth="10" defaultRowHeight="16" x14ac:dyDescent="0.2"/>
  <cols>
    <col min="1" max="1" width="2" style="83" customWidth="1"/>
    <col min="2" max="2" width="29"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7.6640625" style="1" customWidth="1"/>
    <col min="19" max="29" width="10.83203125" style="1"/>
    <col min="30" max="30" width="2" style="1" customWidth="1"/>
    <col min="31" max="31" width="12.33203125" style="1" customWidth="1"/>
    <col min="32" max="16384" width="10.83203125" style="1"/>
  </cols>
  <sheetData>
    <row r="1" spans="1:31" s="83" customFormat="1" ht="18" customHeight="1" x14ac:dyDescent="0.2">
      <c r="A1" s="4"/>
      <c r="B1" s="82" t="s">
        <v>104</v>
      </c>
      <c r="O1" s="84"/>
    </row>
    <row r="2" spans="1:31" x14ac:dyDescent="0.2">
      <c r="A2" s="4"/>
      <c r="C2" s="245" t="s">
        <v>105</v>
      </c>
      <c r="D2" s="245"/>
      <c r="E2" s="245"/>
      <c r="F2" s="245"/>
      <c r="G2" s="254"/>
      <c r="H2" s="255" t="s">
        <v>106</v>
      </c>
      <c r="I2" s="245"/>
      <c r="J2" s="245"/>
      <c r="K2" s="245"/>
      <c r="L2" s="245"/>
      <c r="O2" s="5"/>
      <c r="S2" s="245" t="s">
        <v>105</v>
      </c>
      <c r="T2" s="245"/>
      <c r="U2" s="245"/>
      <c r="V2" s="245"/>
      <c r="W2" s="245"/>
      <c r="X2" s="245"/>
      <c r="Y2" s="245"/>
      <c r="Z2" s="245"/>
      <c r="AA2" s="245" t="s">
        <v>106</v>
      </c>
      <c r="AB2" s="245"/>
      <c r="AC2" s="245"/>
      <c r="AE2" s="85" t="s">
        <v>107</v>
      </c>
    </row>
    <row r="3" spans="1:31" ht="10" customHeight="1" x14ac:dyDescent="0.2">
      <c r="O3" s="5"/>
    </row>
    <row r="4" spans="1:31" ht="16" customHeight="1" x14ac:dyDescent="0.2">
      <c r="A4" s="86"/>
      <c r="B4" s="60"/>
      <c r="C4" s="251" t="s">
        <v>108</v>
      </c>
      <c r="D4" s="251"/>
      <c r="E4" s="251"/>
      <c r="F4" s="251"/>
      <c r="G4" s="251"/>
      <c r="H4" s="251"/>
      <c r="I4" s="251"/>
      <c r="J4" s="251"/>
      <c r="K4" s="251"/>
      <c r="L4" s="251"/>
      <c r="O4" s="5"/>
      <c r="S4" s="252" t="s">
        <v>108</v>
      </c>
      <c r="T4" s="253"/>
      <c r="U4" s="253"/>
      <c r="V4" s="253"/>
      <c r="W4" s="253"/>
      <c r="X4" s="253"/>
      <c r="Y4" s="253"/>
      <c r="Z4" s="253"/>
      <c r="AA4" s="253"/>
      <c r="AB4" s="253"/>
      <c r="AC4" s="253"/>
      <c r="AE4" s="87"/>
    </row>
    <row r="5" spans="1:31" x14ac:dyDescent="0.2">
      <c r="B5" s="16" t="s">
        <v>109</v>
      </c>
      <c r="C5" s="12">
        <f>Statement!M3</f>
        <v>2022</v>
      </c>
      <c r="D5" s="12">
        <f>Statement!N3</f>
        <v>2023</v>
      </c>
      <c r="E5" s="12">
        <f>Statement!O3</f>
        <v>2024</v>
      </c>
      <c r="F5" s="12">
        <f>Statement!P3</f>
        <v>2025</v>
      </c>
      <c r="G5" s="12">
        <f>Statement!Q3</f>
        <v>2026</v>
      </c>
      <c r="H5" s="12">
        <f>G5+1</f>
        <v>2027</v>
      </c>
      <c r="I5" s="12">
        <f t="shared" ref="I5:L5" si="0">H5+1</f>
        <v>2028</v>
      </c>
      <c r="J5" s="12">
        <f t="shared" si="0"/>
        <v>2029</v>
      </c>
      <c r="K5" s="12">
        <f t="shared" si="0"/>
        <v>2030</v>
      </c>
      <c r="L5" s="12">
        <f t="shared" si="0"/>
        <v>2031</v>
      </c>
      <c r="O5" s="5"/>
      <c r="R5" s="16" t="str">
        <f>B5</f>
        <v>Revenues (thousand)</v>
      </c>
      <c r="S5" s="12" t="str">
        <f>Statement!T3</f>
        <v>Q3 2025</v>
      </c>
      <c r="T5" s="12" t="str">
        <f>Statement!U3</f>
        <v>Q4 2025</v>
      </c>
      <c r="U5" s="12" t="str">
        <f>Statement!V3</f>
        <v>Q1 2026</v>
      </c>
      <c r="V5" s="12" t="str">
        <f>Statement!W3</f>
        <v>Q2 2026</v>
      </c>
      <c r="W5" s="12" t="str">
        <f>Statement!X3</f>
        <v>Q3 2026</v>
      </c>
      <c r="X5" s="12" t="str">
        <f>Statement!Y3</f>
        <v>Q4 2026</v>
      </c>
      <c r="Y5" s="12" t="str">
        <f>Statement!Z3</f>
        <v>Q1 2027</v>
      </c>
      <c r="Z5" s="12" t="str">
        <f>Statement!AA3</f>
        <v>Q2 2027</v>
      </c>
      <c r="AA5" s="12" t="s">
        <v>110</v>
      </c>
      <c r="AB5" s="12" t="s">
        <v>111</v>
      </c>
      <c r="AC5" s="12" t="s">
        <v>112</v>
      </c>
      <c r="AE5" s="8" t="s">
        <v>110</v>
      </c>
    </row>
    <row r="6" spans="1:31" x14ac:dyDescent="0.2">
      <c r="B6" s="221" t="str">
        <f>Statement!B189</f>
        <v>HyperScale</v>
      </c>
      <c r="C6" s="88">
        <f>Statement!M189</f>
        <v>0</v>
      </c>
      <c r="D6" s="88">
        <f>Statement!N189</f>
        <v>0</v>
      </c>
      <c r="E6" s="88">
        <f>Statement!O189</f>
        <v>0</v>
      </c>
      <c r="F6" s="88">
        <f>Statement!P189</f>
        <v>53796</v>
      </c>
      <c r="G6" s="89">
        <f>Statement!Q189</f>
        <v>105636</v>
      </c>
      <c r="H6" s="64">
        <f t="shared" ref="H6:L7" si="1">G6+G6*H14</f>
        <v>205990.2</v>
      </c>
      <c r="I6" s="64">
        <f t="shared" si="1"/>
        <v>360482.85000000003</v>
      </c>
      <c r="J6" s="64">
        <f t="shared" si="1"/>
        <v>558748.4175000001</v>
      </c>
      <c r="K6" s="64">
        <f t="shared" si="1"/>
        <v>698435.52187500009</v>
      </c>
      <c r="L6" s="64">
        <f t="shared" si="1"/>
        <v>768279.07406250015</v>
      </c>
      <c r="N6" s="90" t="s">
        <v>370</v>
      </c>
      <c r="O6" s="5"/>
      <c r="Q6" s="90" t="s">
        <v>370</v>
      </c>
      <c r="R6" s="221" t="str">
        <f>B6</f>
        <v>HyperScale</v>
      </c>
      <c r="S6" s="88">
        <f>Statement!T189</f>
        <v>13390</v>
      </c>
      <c r="T6" s="88">
        <f>Statement!U189</f>
        <v>19094</v>
      </c>
      <c r="U6" s="88">
        <f>Statement!V189</f>
        <v>17599</v>
      </c>
      <c r="V6" s="88">
        <f>Statement!W189</f>
        <v>23883</v>
      </c>
      <c r="W6" s="88">
        <f>Statement!X189</f>
        <v>30340</v>
      </c>
      <c r="X6" s="88">
        <f>Statement!Y189</f>
        <v>33814</v>
      </c>
      <c r="Y6" s="88">
        <f>Statement!Z189</f>
        <v>37869</v>
      </c>
      <c r="Z6" s="89">
        <f>Statement!AA189</f>
        <v>48710</v>
      </c>
      <c r="AA6" s="64">
        <f>Z6+Z6*AA14</f>
        <v>53581</v>
      </c>
      <c r="AB6" s="64"/>
      <c r="AC6" s="64"/>
      <c r="AE6" s="64">
        <f>SUM(X6:AA6)</f>
        <v>173974</v>
      </c>
    </row>
    <row r="7" spans="1:31" x14ac:dyDescent="0.2">
      <c r="B7" s="221" t="str">
        <f>Statement!B190</f>
        <v>AI Clouds</v>
      </c>
      <c r="C7" s="88">
        <f>Statement!M190</f>
        <v>0</v>
      </c>
      <c r="D7" s="88">
        <f>Statement!N190</f>
        <v>0</v>
      </c>
      <c r="E7" s="88">
        <f>Statement!O190</f>
        <v>0</v>
      </c>
      <c r="F7" s="88">
        <f>Statement!P190</f>
        <v>61390</v>
      </c>
      <c r="G7" s="89">
        <f>Statement!Q190</f>
        <v>88101</v>
      </c>
      <c r="H7" s="64">
        <f t="shared" si="1"/>
        <v>154176.75</v>
      </c>
      <c r="I7" s="64">
        <f t="shared" si="1"/>
        <v>254391.63750000001</v>
      </c>
      <c r="J7" s="64">
        <f t="shared" si="1"/>
        <v>356148.29250000004</v>
      </c>
      <c r="K7" s="64">
        <f t="shared" si="1"/>
        <v>391763.12175000005</v>
      </c>
      <c r="L7" s="64">
        <f t="shared" si="1"/>
        <v>411351.27783750003</v>
      </c>
      <c r="N7" s="90" t="s">
        <v>371</v>
      </c>
      <c r="O7" s="5"/>
      <c r="Q7" s="90" t="s">
        <v>371</v>
      </c>
      <c r="R7" s="221" t="str">
        <f t="shared" ref="R7:R9" si="2">B7</f>
        <v>AI Clouds</v>
      </c>
      <c r="S7" s="88">
        <f>Statement!T190</f>
        <v>17381</v>
      </c>
      <c r="T7" s="88">
        <f>Statement!U190</f>
        <v>16486</v>
      </c>
      <c r="U7" s="88">
        <f>Statement!V190</f>
        <v>21513</v>
      </c>
      <c r="V7" s="88">
        <f>Statement!W190</f>
        <v>17213</v>
      </c>
      <c r="W7" s="88">
        <f>Statement!X190</f>
        <v>20875</v>
      </c>
      <c r="X7" s="88">
        <f>Statement!Y190</f>
        <v>28500</v>
      </c>
      <c r="Y7" s="88">
        <f>Statement!Z190</f>
        <v>37377</v>
      </c>
      <c r="Z7" s="89">
        <f>Statement!AA190</f>
        <v>40313</v>
      </c>
      <c r="AA7" s="64">
        <f>Z7+Z7*AA15</f>
        <v>47569.34</v>
      </c>
      <c r="AB7" s="64"/>
      <c r="AC7" s="64"/>
      <c r="AE7" s="64">
        <f t="shared" ref="AE7:AE9" si="3">SUM(X7:AA7)</f>
        <v>153759.34</v>
      </c>
    </row>
    <row r="8" spans="1:31" x14ac:dyDescent="0.2">
      <c r="B8" s="1" t="str">
        <f>Statement!B191</f>
        <v>Data Center</v>
      </c>
      <c r="C8" s="88">
        <f>Statement!M191</f>
        <v>0</v>
      </c>
      <c r="D8" s="88">
        <f>Statement!N191</f>
        <v>0</v>
      </c>
      <c r="E8" s="88">
        <f>Statement!O191</f>
        <v>0</v>
      </c>
      <c r="F8" s="88">
        <f>Statement!P191</f>
        <v>115186</v>
      </c>
      <c r="G8" s="89">
        <f>Statement!Q191</f>
        <v>193737</v>
      </c>
      <c r="H8" s="64">
        <f>SUM(H6:H7)</f>
        <v>360166.95</v>
      </c>
      <c r="I8" s="64">
        <f>SUM(I6:I7)</f>
        <v>614874.48750000005</v>
      </c>
      <c r="J8" s="64">
        <f>SUM(J6:J7)</f>
        <v>914896.7100000002</v>
      </c>
      <c r="K8" s="64">
        <f>SUM(K6:K7)</f>
        <v>1090198.643625</v>
      </c>
      <c r="L8" s="64">
        <f>SUM(L6:L7)</f>
        <v>1179630.3519000001</v>
      </c>
      <c r="N8" s="90"/>
      <c r="O8" s="5"/>
      <c r="Q8" s="90"/>
      <c r="R8" s="1" t="str">
        <f t="shared" si="2"/>
        <v>Data Center</v>
      </c>
      <c r="S8" s="88">
        <f>Statement!T191</f>
        <v>30771</v>
      </c>
      <c r="T8" s="88">
        <f>Statement!U191</f>
        <v>35580</v>
      </c>
      <c r="U8" s="88">
        <f>Statement!V191</f>
        <v>39112</v>
      </c>
      <c r="V8" s="88">
        <f>Statement!W191</f>
        <v>41096</v>
      </c>
      <c r="W8" s="88">
        <f>Statement!X191</f>
        <v>51215</v>
      </c>
      <c r="X8" s="88">
        <f>Statement!Y191</f>
        <v>62314</v>
      </c>
      <c r="Y8" s="88">
        <f>Statement!Z191</f>
        <v>75246</v>
      </c>
      <c r="Z8" s="89">
        <f>Statement!AA191</f>
        <v>89023</v>
      </c>
      <c r="AA8" s="64">
        <f>SUM(AA6:AA7)</f>
        <v>101150.34</v>
      </c>
      <c r="AB8" s="64"/>
      <c r="AC8" s="64"/>
      <c r="AE8" s="64">
        <f t="shared" si="3"/>
        <v>327733.33999999997</v>
      </c>
    </row>
    <row r="9" spans="1:31" x14ac:dyDescent="0.2">
      <c r="B9" s="1" t="str">
        <f>Statement!B192</f>
        <v>Edge Computing</v>
      </c>
      <c r="C9" s="88">
        <f>Statement!M192</f>
        <v>0</v>
      </c>
      <c r="D9" s="88">
        <f>Statement!N192</f>
        <v>0</v>
      </c>
      <c r="E9" s="88">
        <f>Statement!O192</f>
        <v>0</v>
      </c>
      <c r="F9" s="88">
        <f>Statement!P192</f>
        <v>15311</v>
      </c>
      <c r="G9" s="89">
        <f>Statement!Q192</f>
        <v>22201</v>
      </c>
      <c r="H9" s="64">
        <f>G9+G9*H17</f>
        <v>33301.5</v>
      </c>
      <c r="I9" s="64">
        <f>H9+H9*I17</f>
        <v>49952.25</v>
      </c>
      <c r="J9" s="64">
        <f>I9+I9*J17</f>
        <v>72430.762499999997</v>
      </c>
      <c r="K9" s="64">
        <f>J9+J9*K17</f>
        <v>94159.991249999992</v>
      </c>
      <c r="L9" s="64">
        <f>K9+K9*L17</f>
        <v>103575.99037499999</v>
      </c>
      <c r="N9" s="90" t="s">
        <v>372</v>
      </c>
      <c r="O9" s="5"/>
      <c r="Q9" s="90" t="s">
        <v>372</v>
      </c>
      <c r="R9" s="1" t="str">
        <f t="shared" si="2"/>
        <v>Edge Computing</v>
      </c>
      <c r="S9" s="88">
        <f>Statement!T192</f>
        <v>4311</v>
      </c>
      <c r="T9" s="88">
        <f>Statement!U192</f>
        <v>3751</v>
      </c>
      <c r="U9" s="88">
        <f>Statement!V192</f>
        <v>4950</v>
      </c>
      <c r="V9" s="88">
        <f>Statement!W192</f>
        <v>5647</v>
      </c>
      <c r="W9" s="88">
        <f>Statement!X192</f>
        <v>5791</v>
      </c>
      <c r="X9" s="88">
        <f>Statement!Y192</f>
        <v>5813</v>
      </c>
      <c r="Y9" s="88">
        <f>Statement!Z192</f>
        <v>6369</v>
      </c>
      <c r="Z9" s="89">
        <f>Statement!AA192</f>
        <v>7198</v>
      </c>
      <c r="AA9" s="64">
        <f>Z9+Z9*AA17</f>
        <v>7845.82</v>
      </c>
      <c r="AB9" s="64"/>
      <c r="AC9" s="64"/>
      <c r="AE9" s="64">
        <f t="shared" si="3"/>
        <v>27225.82</v>
      </c>
    </row>
    <row r="10" spans="1:31" x14ac:dyDescent="0.2">
      <c r="B10" s="16" t="s">
        <v>113</v>
      </c>
      <c r="C10" s="92">
        <f>Statement!M5</f>
        <v>26914</v>
      </c>
      <c r="D10" s="92">
        <f>Statement!N5</f>
        <v>26974</v>
      </c>
      <c r="E10" s="92">
        <f>Statement!O5</f>
        <v>60922</v>
      </c>
      <c r="F10" s="92">
        <f>Statement!P5</f>
        <v>130497</v>
      </c>
      <c r="G10" s="93">
        <f>Statement!Q5</f>
        <v>215938</v>
      </c>
      <c r="H10" s="94">
        <f>SUM(H8:H9)</f>
        <v>393468.45</v>
      </c>
      <c r="I10" s="94">
        <f>SUM(I8:I9)</f>
        <v>664826.73750000005</v>
      </c>
      <c r="J10" s="94">
        <f>SUM(J8:J9)</f>
        <v>987327.47250000015</v>
      </c>
      <c r="K10" s="94">
        <f>SUM(K8:K9)</f>
        <v>1184358.634875</v>
      </c>
      <c r="L10" s="94">
        <f>SUM(L8:L9)</f>
        <v>1283206.3422750002</v>
      </c>
      <c r="O10" s="5"/>
      <c r="R10" s="16" t="s">
        <v>113</v>
      </c>
      <c r="S10" s="92">
        <f>Statement!T5</f>
        <v>35082</v>
      </c>
      <c r="T10" s="92">
        <f>Statement!U5</f>
        <v>39331</v>
      </c>
      <c r="U10" s="92">
        <f>Statement!V5</f>
        <v>44062</v>
      </c>
      <c r="V10" s="92">
        <f>Statement!W5</f>
        <v>46743</v>
      </c>
      <c r="W10" s="92">
        <f>Statement!X5</f>
        <v>57006</v>
      </c>
      <c r="X10" s="92">
        <f>Statement!Y5</f>
        <v>68127</v>
      </c>
      <c r="Y10" s="92">
        <f>Statement!Z5</f>
        <v>81615</v>
      </c>
      <c r="Z10" s="93">
        <f>Statement!AA5</f>
        <v>96221</v>
      </c>
      <c r="AA10" s="94">
        <f>SUM(AA8:AA9)</f>
        <v>108996.16</v>
      </c>
      <c r="AB10" s="94"/>
      <c r="AC10" s="94"/>
      <c r="AE10" s="94">
        <f>SUM(X10:AA10)</f>
        <v>354959.16000000003</v>
      </c>
    </row>
    <row r="11" spans="1:31" x14ac:dyDescent="0.2">
      <c r="O11" s="5"/>
      <c r="Q11" s="91"/>
    </row>
    <row r="12" spans="1:31" x14ac:dyDescent="0.2">
      <c r="C12" s="251" t="s">
        <v>114</v>
      </c>
      <c r="D12" s="251"/>
      <c r="E12" s="251"/>
      <c r="F12" s="251"/>
      <c r="G12" s="251"/>
      <c r="H12" s="251"/>
      <c r="I12" s="251"/>
      <c r="J12" s="251"/>
      <c r="K12" s="251"/>
      <c r="L12" s="251"/>
      <c r="O12" s="5"/>
      <c r="Q12" s="91"/>
      <c r="S12" s="252" t="s">
        <v>114</v>
      </c>
      <c r="T12" s="253"/>
      <c r="U12" s="253"/>
      <c r="V12" s="253"/>
      <c r="W12" s="253"/>
      <c r="X12" s="253"/>
      <c r="Y12" s="253"/>
      <c r="Z12" s="253"/>
      <c r="AA12" s="253"/>
      <c r="AB12" s="253"/>
      <c r="AC12" s="253"/>
    </row>
    <row r="13" spans="1:31" x14ac:dyDescent="0.2">
      <c r="B13" s="16" t="s">
        <v>115</v>
      </c>
      <c r="C13" s="12">
        <f t="shared" ref="C13:L13" si="4">C5</f>
        <v>2022</v>
      </c>
      <c r="D13" s="12">
        <f t="shared" si="4"/>
        <v>2023</v>
      </c>
      <c r="E13" s="12">
        <f t="shared" si="4"/>
        <v>2024</v>
      </c>
      <c r="F13" s="12">
        <f t="shared" si="4"/>
        <v>2025</v>
      </c>
      <c r="G13" s="12">
        <f t="shared" si="4"/>
        <v>2026</v>
      </c>
      <c r="H13" s="12">
        <f t="shared" si="4"/>
        <v>2027</v>
      </c>
      <c r="I13" s="12">
        <f t="shared" si="4"/>
        <v>2028</v>
      </c>
      <c r="J13" s="12">
        <f t="shared" si="4"/>
        <v>2029</v>
      </c>
      <c r="K13" s="12">
        <f t="shared" si="4"/>
        <v>2030</v>
      </c>
      <c r="L13" s="12">
        <f t="shared" si="4"/>
        <v>2031</v>
      </c>
      <c r="O13" s="5"/>
      <c r="Q13" s="91"/>
      <c r="R13" s="16" t="s">
        <v>115</v>
      </c>
      <c r="S13" s="12" t="str">
        <f t="shared" ref="S13:AC13" si="5">S5</f>
        <v>Q3 2025</v>
      </c>
      <c r="T13" s="12" t="str">
        <f t="shared" si="5"/>
        <v>Q4 2025</v>
      </c>
      <c r="U13" s="12" t="str">
        <f t="shared" si="5"/>
        <v>Q1 2026</v>
      </c>
      <c r="V13" s="12" t="str">
        <f t="shared" si="5"/>
        <v>Q2 2026</v>
      </c>
      <c r="W13" s="12" t="str">
        <f t="shared" si="5"/>
        <v>Q3 2026</v>
      </c>
      <c r="X13" s="12" t="str">
        <f t="shared" si="5"/>
        <v>Q4 2026</v>
      </c>
      <c r="Y13" s="12" t="str">
        <f t="shared" si="5"/>
        <v>Q1 2027</v>
      </c>
      <c r="Z13" s="12" t="str">
        <f t="shared" si="5"/>
        <v>Q2 2027</v>
      </c>
      <c r="AA13" s="12" t="str">
        <f t="shared" si="5"/>
        <v>FQ1</v>
      </c>
      <c r="AB13" s="12" t="str">
        <f t="shared" si="5"/>
        <v>FQ2</v>
      </c>
      <c r="AC13" s="12" t="str">
        <f t="shared" si="5"/>
        <v>FQ3</v>
      </c>
    </row>
    <row r="14" spans="1:31" x14ac:dyDescent="0.2">
      <c r="B14" s="221" t="str">
        <f>B6</f>
        <v>HyperScale</v>
      </c>
      <c r="C14" s="47"/>
      <c r="D14" s="95" t="e">
        <f t="shared" ref="D14:G14" si="6">D6/C6-1</f>
        <v>#DIV/0!</v>
      </c>
      <c r="E14" s="95" t="e">
        <f t="shared" si="6"/>
        <v>#DIV/0!</v>
      </c>
      <c r="F14" s="95" t="e">
        <f t="shared" si="6"/>
        <v>#DIV/0!</v>
      </c>
      <c r="G14" s="96">
        <f t="shared" si="6"/>
        <v>0.96364041936203426</v>
      </c>
      <c r="H14" s="106">
        <v>0.95</v>
      </c>
      <c r="I14" s="106">
        <v>0.75</v>
      </c>
      <c r="J14" s="106">
        <v>0.55000000000000004</v>
      </c>
      <c r="K14" s="106">
        <v>0.25</v>
      </c>
      <c r="L14" s="106">
        <v>0.1</v>
      </c>
      <c r="O14" s="5"/>
      <c r="Q14" s="91"/>
      <c r="R14" s="221" t="str">
        <f>R6</f>
        <v>HyperScale</v>
      </c>
      <c r="S14" s="47"/>
      <c r="T14" s="95">
        <f t="shared" ref="T14:Z16" si="7">T6/S6-1</f>
        <v>0.42598954443614634</v>
      </c>
      <c r="U14" s="95">
        <f t="shared" si="7"/>
        <v>-7.8296847177123707E-2</v>
      </c>
      <c r="V14" s="95">
        <f t="shared" si="7"/>
        <v>0.35706574237172561</v>
      </c>
      <c r="W14" s="95">
        <f t="shared" si="7"/>
        <v>0.2703596700582005</v>
      </c>
      <c r="X14" s="95">
        <f t="shared" si="7"/>
        <v>0.11450230718523402</v>
      </c>
      <c r="Y14" s="95">
        <f t="shared" si="7"/>
        <v>0.11992074288756127</v>
      </c>
      <c r="Z14" s="96">
        <f t="shared" si="7"/>
        <v>0.28627637381499382</v>
      </c>
      <c r="AA14" s="106">
        <v>0.1</v>
      </c>
      <c r="AB14" s="95"/>
      <c r="AC14" s="95"/>
    </row>
    <row r="15" spans="1:31" x14ac:dyDescent="0.2">
      <c r="B15" s="221" t="str">
        <f>B7</f>
        <v>AI Clouds</v>
      </c>
      <c r="C15" s="47"/>
      <c r="D15" s="95" t="e">
        <f t="shared" ref="D15:G15" si="8">D7/C7-1</f>
        <v>#DIV/0!</v>
      </c>
      <c r="E15" s="95" t="e">
        <f t="shared" si="8"/>
        <v>#DIV/0!</v>
      </c>
      <c r="F15" s="95" t="e">
        <f t="shared" si="8"/>
        <v>#DIV/0!</v>
      </c>
      <c r="G15" s="96">
        <f t="shared" si="8"/>
        <v>0.43510343704186361</v>
      </c>
      <c r="H15" s="106">
        <v>0.75</v>
      </c>
      <c r="I15" s="106">
        <v>0.65</v>
      </c>
      <c r="J15" s="106">
        <v>0.4</v>
      </c>
      <c r="K15" s="106">
        <v>0.1</v>
      </c>
      <c r="L15" s="106">
        <v>0.05</v>
      </c>
      <c r="O15" s="5"/>
      <c r="Q15" s="91"/>
      <c r="R15" s="221" t="str">
        <f>R7</f>
        <v>AI Clouds</v>
      </c>
      <c r="S15" s="47"/>
      <c r="T15" s="95">
        <f t="shared" si="7"/>
        <v>-5.1493009608192808E-2</v>
      </c>
      <c r="U15" s="95">
        <f t="shared" si="7"/>
        <v>0.304925391241053</v>
      </c>
      <c r="V15" s="95">
        <f t="shared" si="7"/>
        <v>-0.19987914284386188</v>
      </c>
      <c r="W15" s="95">
        <f t="shared" si="7"/>
        <v>0.21274618021263003</v>
      </c>
      <c r="X15" s="95">
        <f t="shared" si="7"/>
        <v>0.36526946107784442</v>
      </c>
      <c r="Y15" s="95">
        <f t="shared" si="7"/>
        <v>0.31147368421052635</v>
      </c>
      <c r="Z15" s="96">
        <f t="shared" si="7"/>
        <v>7.8550980549535909E-2</v>
      </c>
      <c r="AA15" s="106">
        <v>0.18</v>
      </c>
      <c r="AB15" s="95"/>
      <c r="AC15" s="95"/>
    </row>
    <row r="16" spans="1:31" x14ac:dyDescent="0.2">
      <c r="B16" s="1" t="str">
        <f>B8</f>
        <v>Data Center</v>
      </c>
      <c r="C16" s="47"/>
      <c r="D16" s="95" t="e">
        <f t="shared" ref="D16:L17" si="9">D8/C8-1</f>
        <v>#DIV/0!</v>
      </c>
      <c r="E16" s="95" t="e">
        <f t="shared" si="9"/>
        <v>#DIV/0!</v>
      </c>
      <c r="F16" s="95" t="e">
        <f t="shared" si="9"/>
        <v>#DIV/0!</v>
      </c>
      <c r="G16" s="96">
        <f t="shared" si="9"/>
        <v>0.68194919521469632</v>
      </c>
      <c r="H16" s="95">
        <f t="shared" si="9"/>
        <v>0.85905092986884291</v>
      </c>
      <c r="I16" s="95">
        <f t="shared" si="9"/>
        <v>0.70719297675702908</v>
      </c>
      <c r="J16" s="95">
        <f t="shared" si="9"/>
        <v>0.48794059372970833</v>
      </c>
      <c r="K16" s="95">
        <f t="shared" si="9"/>
        <v>0.1916084424710629</v>
      </c>
      <c r="L16" s="95">
        <f t="shared" si="9"/>
        <v>8.2032489031202971E-2</v>
      </c>
      <c r="O16" s="5"/>
      <c r="Q16" s="91"/>
      <c r="R16" s="1" t="str">
        <f>R8</f>
        <v>Data Center</v>
      </c>
      <c r="S16" s="47"/>
      <c r="T16" s="95">
        <f t="shared" si="7"/>
        <v>0.15628351369796234</v>
      </c>
      <c r="U16" s="95">
        <f t="shared" si="7"/>
        <v>9.9269252388982654E-2</v>
      </c>
      <c r="V16" s="95">
        <f t="shared" si="7"/>
        <v>5.0726119860912355E-2</v>
      </c>
      <c r="W16" s="95">
        <f t="shared" si="7"/>
        <v>0.24622834339108435</v>
      </c>
      <c r="X16" s="95">
        <f t="shared" si="7"/>
        <v>0.21671385336327242</v>
      </c>
      <c r="Y16" s="95">
        <f t="shared" si="7"/>
        <v>0.20752960811374654</v>
      </c>
      <c r="Z16" s="96">
        <f t="shared" si="7"/>
        <v>0.183092788985461</v>
      </c>
      <c r="AA16" s="95">
        <f>AA8/Z8-1</f>
        <v>0.13622704244970407</v>
      </c>
      <c r="AB16" s="95"/>
      <c r="AC16" s="95"/>
    </row>
    <row r="17" spans="2:29" x14ac:dyDescent="0.2">
      <c r="B17" s="1" t="str">
        <f>B9</f>
        <v>Edge Computing</v>
      </c>
      <c r="C17" s="47"/>
      <c r="D17" s="95" t="e">
        <f t="shared" si="9"/>
        <v>#DIV/0!</v>
      </c>
      <c r="E17" s="95" t="e">
        <f t="shared" ref="E17" si="10">E9/D9-1</f>
        <v>#DIV/0!</v>
      </c>
      <c r="F17" s="95" t="e">
        <f t="shared" ref="F17" si="11">F9/E9-1</f>
        <v>#DIV/0!</v>
      </c>
      <c r="G17" s="96">
        <f t="shared" ref="G17" si="12">G9/F9-1</f>
        <v>0.45000326562602044</v>
      </c>
      <c r="H17" s="106">
        <v>0.5</v>
      </c>
      <c r="I17" s="106">
        <v>0.5</v>
      </c>
      <c r="J17" s="106">
        <v>0.45</v>
      </c>
      <c r="K17" s="106">
        <v>0.3</v>
      </c>
      <c r="L17" s="106">
        <v>0.1</v>
      </c>
      <c r="O17" s="5"/>
      <c r="Q17" s="91"/>
      <c r="R17" s="1" t="str">
        <f>R9</f>
        <v>Edge Computing</v>
      </c>
      <c r="S17" s="47"/>
      <c r="T17" s="95">
        <f>T9/S9-1</f>
        <v>-0.12990025516121551</v>
      </c>
      <c r="U17" s="95">
        <f t="shared" ref="U17:Y17" si="13">U9/T9-1</f>
        <v>0.31964809384164217</v>
      </c>
      <c r="V17" s="95">
        <f t="shared" si="13"/>
        <v>0.14080808080808072</v>
      </c>
      <c r="W17" s="95">
        <f t="shared" si="13"/>
        <v>2.5500265627766971E-2</v>
      </c>
      <c r="X17" s="95">
        <f t="shared" si="13"/>
        <v>3.7989984458641768E-3</v>
      </c>
      <c r="Y17" s="95">
        <f t="shared" si="13"/>
        <v>9.5647686220540207E-2</v>
      </c>
      <c r="Z17" s="96">
        <f>Z9/Y9-1</f>
        <v>0.13016172083529587</v>
      </c>
      <c r="AA17" s="106">
        <v>0.09</v>
      </c>
      <c r="AB17" s="95"/>
      <c r="AC17" s="95"/>
    </row>
    <row r="18" spans="2:29" x14ac:dyDescent="0.2">
      <c r="B18" s="16" t="str">
        <f>B10</f>
        <v>Total</v>
      </c>
      <c r="C18" s="47"/>
      <c r="D18" s="103">
        <f t="shared" ref="D18:L18" si="14">D10/C10-1</f>
        <v>2.2293230289069932E-3</v>
      </c>
      <c r="E18" s="103">
        <f t="shared" si="14"/>
        <v>1.2585452658115224</v>
      </c>
      <c r="F18" s="103">
        <f t="shared" si="14"/>
        <v>1.1420340763599355</v>
      </c>
      <c r="G18" s="104">
        <f t="shared" si="14"/>
        <v>0.65473535790094783</v>
      </c>
      <c r="H18" s="103">
        <f t="shared" si="14"/>
        <v>0.82213621502468315</v>
      </c>
      <c r="I18" s="103">
        <f t="shared" si="14"/>
        <v>0.68965704238802372</v>
      </c>
      <c r="J18" s="103">
        <f t="shared" si="14"/>
        <v>0.48508989908066091</v>
      </c>
      <c r="K18" s="103">
        <f t="shared" si="14"/>
        <v>0.1995600931432604</v>
      </c>
      <c r="L18" s="103">
        <f t="shared" si="14"/>
        <v>8.3460958943768482E-2</v>
      </c>
      <c r="O18" s="5"/>
      <c r="Q18" s="91"/>
      <c r="R18" s="16" t="str">
        <f>R10</f>
        <v>Total</v>
      </c>
      <c r="S18" s="47"/>
      <c r="T18" s="103">
        <f t="shared" ref="T18:AA18" si="15">T10/S10-1</f>
        <v>0.12111624194743742</v>
      </c>
      <c r="U18" s="103">
        <f t="shared" si="15"/>
        <v>0.12028679667437903</v>
      </c>
      <c r="V18" s="103">
        <f t="shared" si="15"/>
        <v>6.0846080522899637E-2</v>
      </c>
      <c r="W18" s="103">
        <f t="shared" si="15"/>
        <v>0.21956228740132211</v>
      </c>
      <c r="X18" s="103">
        <f t="shared" si="15"/>
        <v>0.1950847279233765</v>
      </c>
      <c r="Y18" s="103">
        <f t="shared" si="15"/>
        <v>0.1979831784754944</v>
      </c>
      <c r="Z18" s="104">
        <f t="shared" si="15"/>
        <v>0.17896220057587464</v>
      </c>
      <c r="AA18" s="103">
        <f t="shared" si="15"/>
        <v>0.13276893817357971</v>
      </c>
      <c r="AB18" s="103"/>
      <c r="AC18" s="103"/>
    </row>
    <row r="19" spans="2:29" x14ac:dyDescent="0.2">
      <c r="O19" s="5"/>
      <c r="Q19" s="91"/>
    </row>
  </sheetData>
  <mergeCells count="8">
    <mergeCell ref="C12:L12"/>
    <mergeCell ref="S12:AC12"/>
    <mergeCell ref="C2:G2"/>
    <mergeCell ref="H2:L2"/>
    <mergeCell ref="S2:Z2"/>
    <mergeCell ref="AA2:AC2"/>
    <mergeCell ref="C4:L4"/>
    <mergeCell ref="S4:AC4"/>
  </mergeCells>
  <pageMargins left="0.7" right="0.7" top="0.75" bottom="0.75" header="0.3" footer="0.3"/>
  <ignoredErrors>
    <ignoredError sqref="AE8" evalError="1"/>
    <ignoredError sqref="AA8:AA9 H8:H9 I8:I9 J8:J9 K8:L8"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DC400-6556-6848-BEEB-E2541EF30223}">
  <dimension ref="A1:AB22"/>
  <sheetViews>
    <sheetView topLeftCell="E7" zoomScale="178" zoomScaleNormal="100" workbookViewId="0">
      <selection activeCell="L19" sqref="L19"/>
    </sheetView>
  </sheetViews>
  <sheetFormatPr baseColWidth="10" defaultRowHeight="16" x14ac:dyDescent="0.2"/>
  <cols>
    <col min="1" max="1" width="2" style="83"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116</v>
      </c>
    </row>
    <row r="2" spans="1:28" x14ac:dyDescent="0.2">
      <c r="A2" s="4"/>
      <c r="C2" s="245" t="s">
        <v>105</v>
      </c>
      <c r="D2" s="245"/>
      <c r="E2" s="245"/>
      <c r="F2" s="245"/>
      <c r="G2" s="254"/>
      <c r="H2" s="255" t="s">
        <v>106</v>
      </c>
      <c r="I2" s="245"/>
      <c r="J2" s="245"/>
      <c r="K2" s="245"/>
      <c r="L2" s="245"/>
      <c r="P2" s="245" t="s">
        <v>105</v>
      </c>
      <c r="Q2" s="245"/>
      <c r="R2" s="245"/>
      <c r="S2" s="245"/>
      <c r="T2" s="245"/>
      <c r="U2" s="245"/>
      <c r="V2" s="245"/>
      <c r="W2" s="245"/>
      <c r="X2" s="245" t="s">
        <v>106</v>
      </c>
      <c r="Y2" s="245"/>
      <c r="Z2" s="245"/>
      <c r="AB2" s="85" t="s">
        <v>107</v>
      </c>
    </row>
    <row r="3" spans="1:28" ht="10" customHeight="1" x14ac:dyDescent="0.2"/>
    <row r="4" spans="1:28" ht="16" customHeight="1" x14ac:dyDescent="0.2">
      <c r="A4" s="86"/>
      <c r="B4" s="60"/>
      <c r="C4" s="251" t="s">
        <v>108</v>
      </c>
      <c r="D4" s="251"/>
      <c r="E4" s="251"/>
      <c r="F4" s="251"/>
      <c r="G4" s="251"/>
      <c r="H4" s="251"/>
      <c r="I4" s="251"/>
      <c r="J4" s="251"/>
      <c r="K4" s="251"/>
      <c r="L4" s="251"/>
      <c r="P4" s="253" t="s">
        <v>108</v>
      </c>
      <c r="Q4" s="253"/>
      <c r="R4" s="253"/>
      <c r="S4" s="253"/>
      <c r="T4" s="253"/>
      <c r="U4" s="253"/>
      <c r="V4" s="253"/>
      <c r="W4" s="253"/>
      <c r="X4" s="253"/>
      <c r="Y4" s="253"/>
      <c r="Z4" s="253"/>
      <c r="AB4" s="87"/>
    </row>
    <row r="5" spans="1:28" x14ac:dyDescent="0.2">
      <c r="B5" s="16" t="str">
        <f>Revenue!B5</f>
        <v>Revenues (thousand)</v>
      </c>
      <c r="C5" s="12">
        <f>Revenue!C5</f>
        <v>2022</v>
      </c>
      <c r="D5" s="12">
        <f>Revenue!D5</f>
        <v>2023</v>
      </c>
      <c r="E5" s="12">
        <f>Revenue!E5</f>
        <v>2024</v>
      </c>
      <c r="F5" s="12">
        <f>Revenue!F5</f>
        <v>2025</v>
      </c>
      <c r="G5" s="12">
        <f>Revenue!G5</f>
        <v>2026</v>
      </c>
      <c r="H5" s="12">
        <f>G5+1</f>
        <v>2027</v>
      </c>
      <c r="I5" s="12">
        <f t="shared" ref="I5:L5" si="0">H5+1</f>
        <v>2028</v>
      </c>
      <c r="J5" s="12">
        <f t="shared" si="0"/>
        <v>2029</v>
      </c>
      <c r="K5" s="12">
        <f t="shared" si="0"/>
        <v>2030</v>
      </c>
      <c r="L5" s="12">
        <f t="shared" si="0"/>
        <v>2031</v>
      </c>
      <c r="O5" s="16" t="s">
        <v>109</v>
      </c>
      <c r="P5" s="12" t="str">
        <f>Revenue!S5</f>
        <v>Q3 2025</v>
      </c>
      <c r="Q5" s="12" t="str">
        <f>Revenue!T5</f>
        <v>Q4 2025</v>
      </c>
      <c r="R5" s="12" t="str">
        <f>Revenue!U5</f>
        <v>Q1 2026</v>
      </c>
      <c r="S5" s="12" t="str">
        <f>Revenue!V5</f>
        <v>Q2 2026</v>
      </c>
      <c r="T5" s="12" t="str">
        <f>Revenue!W5</f>
        <v>Q3 2026</v>
      </c>
      <c r="U5" s="12" t="str">
        <f>Revenue!X5</f>
        <v>Q4 2026</v>
      </c>
      <c r="V5" s="12" t="str">
        <f>Revenue!Y5</f>
        <v>Q1 2027</v>
      </c>
      <c r="W5" s="12" t="str">
        <f>Revenue!Z5</f>
        <v>Q2 2027</v>
      </c>
      <c r="X5" s="12" t="s">
        <v>110</v>
      </c>
      <c r="Y5" s="12" t="s">
        <v>111</v>
      </c>
      <c r="Z5" s="12" t="s">
        <v>112</v>
      </c>
      <c r="AB5" s="87" t="str">
        <f>Revenue!AE5</f>
        <v>FQ1</v>
      </c>
    </row>
    <row r="6" spans="1:28" x14ac:dyDescent="0.2">
      <c r="B6" s="16" t="s">
        <v>19</v>
      </c>
      <c r="C6" s="92">
        <f>Revenue!C10</f>
        <v>26914</v>
      </c>
      <c r="D6" s="92">
        <f>Revenue!D10</f>
        <v>26974</v>
      </c>
      <c r="E6" s="92">
        <f>Revenue!E10</f>
        <v>60922</v>
      </c>
      <c r="F6" s="92">
        <f>Revenue!F10</f>
        <v>130497</v>
      </c>
      <c r="G6" s="93">
        <f>Revenue!G10</f>
        <v>215938</v>
      </c>
      <c r="H6" s="92">
        <f>Revenue!H10</f>
        <v>393468.45</v>
      </c>
      <c r="I6" s="92">
        <f>Revenue!I10</f>
        <v>664826.73750000005</v>
      </c>
      <c r="J6" s="92">
        <f>Revenue!J10</f>
        <v>987327.47250000015</v>
      </c>
      <c r="K6" s="92">
        <f>Revenue!K10</f>
        <v>1184358.634875</v>
      </c>
      <c r="L6" s="92">
        <f>Revenue!L10</f>
        <v>1283206.3422750002</v>
      </c>
      <c r="N6" s="91"/>
      <c r="O6" s="16" t="s">
        <v>19</v>
      </c>
      <c r="P6" s="92">
        <f>Revenue!S10</f>
        <v>35082</v>
      </c>
      <c r="Q6" s="92">
        <f>Revenue!T10</f>
        <v>39331</v>
      </c>
      <c r="R6" s="92">
        <f>Revenue!U10</f>
        <v>44062</v>
      </c>
      <c r="S6" s="92">
        <f>Revenue!V10</f>
        <v>46743</v>
      </c>
      <c r="T6" s="92">
        <f>Revenue!W10</f>
        <v>57006</v>
      </c>
      <c r="U6" s="92">
        <f>Revenue!X10</f>
        <v>68127</v>
      </c>
      <c r="V6" s="92">
        <f>Revenue!Y10</f>
        <v>81615</v>
      </c>
      <c r="W6" s="93">
        <f>Revenue!Z10</f>
        <v>96221</v>
      </c>
      <c r="X6" s="92">
        <f>Revenue!AA10</f>
        <v>108996.16</v>
      </c>
      <c r="Y6" s="94"/>
      <c r="Z6" s="94"/>
      <c r="AB6" s="92">
        <f>Revenue!AE10</f>
        <v>354959.16000000003</v>
      </c>
    </row>
    <row r="7" spans="1:28" x14ac:dyDescent="0.2">
      <c r="N7" s="91"/>
    </row>
    <row r="8" spans="1:28" x14ac:dyDescent="0.2">
      <c r="N8" s="91"/>
    </row>
    <row r="9" spans="1:28" x14ac:dyDescent="0.2">
      <c r="C9" s="251" t="s">
        <v>117</v>
      </c>
      <c r="D9" s="251"/>
      <c r="E9" s="251"/>
      <c r="F9" s="251"/>
      <c r="G9" s="251"/>
      <c r="H9" s="251"/>
      <c r="I9" s="251"/>
      <c r="J9" s="251"/>
      <c r="K9" s="251"/>
      <c r="L9" s="251"/>
      <c r="N9" s="91"/>
      <c r="P9" s="253" t="s">
        <v>118</v>
      </c>
      <c r="Q9" s="253"/>
      <c r="R9" s="253"/>
      <c r="S9" s="253"/>
      <c r="T9" s="253"/>
      <c r="U9" s="253"/>
      <c r="V9" s="253"/>
      <c r="W9" s="253"/>
      <c r="X9" s="253"/>
      <c r="Y9" s="253"/>
      <c r="Z9" s="253"/>
      <c r="AB9" s="87">
        <f>AB4</f>
        <v>0</v>
      </c>
    </row>
    <row r="10" spans="1:28" x14ac:dyDescent="0.2">
      <c r="B10" s="16" t="s">
        <v>122</v>
      </c>
      <c r="C10" s="12">
        <f t="shared" ref="C10:L10" si="1">C5</f>
        <v>2022</v>
      </c>
      <c r="D10" s="12">
        <f t="shared" si="1"/>
        <v>2023</v>
      </c>
      <c r="E10" s="12">
        <f t="shared" si="1"/>
        <v>2024</v>
      </c>
      <c r="F10" s="12">
        <f t="shared" si="1"/>
        <v>2025</v>
      </c>
      <c r="G10" s="12">
        <f t="shared" si="1"/>
        <v>2026</v>
      </c>
      <c r="H10" s="12">
        <f t="shared" si="1"/>
        <v>2027</v>
      </c>
      <c r="I10" s="12">
        <f t="shared" si="1"/>
        <v>2028</v>
      </c>
      <c r="J10" s="12">
        <f t="shared" si="1"/>
        <v>2029</v>
      </c>
      <c r="K10" s="12">
        <f t="shared" si="1"/>
        <v>2030</v>
      </c>
      <c r="L10" s="12">
        <f t="shared" si="1"/>
        <v>2031</v>
      </c>
      <c r="N10" s="91"/>
      <c r="O10" s="16" t="s">
        <v>119</v>
      </c>
      <c r="P10" s="12" t="str">
        <f t="shared" ref="P10:Z10" si="2">P5</f>
        <v>Q3 2025</v>
      </c>
      <c r="Q10" s="12" t="str">
        <f t="shared" si="2"/>
        <v>Q4 2025</v>
      </c>
      <c r="R10" s="12" t="str">
        <f t="shared" si="2"/>
        <v>Q1 2026</v>
      </c>
      <c r="S10" s="12" t="str">
        <f t="shared" si="2"/>
        <v>Q2 2026</v>
      </c>
      <c r="T10" s="12" t="str">
        <f t="shared" si="2"/>
        <v>Q3 2026</v>
      </c>
      <c r="U10" s="12" t="str">
        <f t="shared" si="2"/>
        <v>Q4 2026</v>
      </c>
      <c r="V10" s="12" t="str">
        <f t="shared" si="2"/>
        <v>Q1 2027</v>
      </c>
      <c r="W10" s="12" t="str">
        <f t="shared" si="2"/>
        <v>Q2 2027</v>
      </c>
      <c r="X10" s="12" t="str">
        <f t="shared" si="2"/>
        <v>FQ1</v>
      </c>
      <c r="Y10" s="12" t="str">
        <f t="shared" si="2"/>
        <v>FQ2</v>
      </c>
      <c r="Z10" s="12" t="str">
        <f t="shared" si="2"/>
        <v>FQ3</v>
      </c>
      <c r="AB10" s="8" t="str">
        <f>AB5</f>
        <v>FQ1</v>
      </c>
    </row>
    <row r="11" spans="1:28" x14ac:dyDescent="0.2">
      <c r="B11" s="16" t="s">
        <v>20</v>
      </c>
      <c r="C11" s="107">
        <f>Statement!M6</f>
        <v>9439</v>
      </c>
      <c r="D11" s="107">
        <f>Statement!N6</f>
        <v>11618</v>
      </c>
      <c r="E11" s="107">
        <f>Statement!O6</f>
        <v>16621</v>
      </c>
      <c r="F11" s="107">
        <f>Statement!P6</f>
        <v>32639</v>
      </c>
      <c r="G11" s="108">
        <f>Statement!Q6</f>
        <v>62475</v>
      </c>
      <c r="H11" s="109">
        <f>H6*H19</f>
        <v>110171.16600000001</v>
      </c>
      <c r="I11" s="109">
        <f t="shared" ref="I11:L11" si="3">I6*I19</f>
        <v>179503.21912500003</v>
      </c>
      <c r="J11" s="109">
        <f t="shared" si="3"/>
        <v>266578.41757500009</v>
      </c>
      <c r="K11" s="109">
        <f t="shared" si="3"/>
        <v>296089.65871875</v>
      </c>
      <c r="L11" s="109">
        <f t="shared" si="3"/>
        <v>307969.522146</v>
      </c>
      <c r="N11" s="91"/>
      <c r="O11" s="16" t="str">
        <f t="shared" ref="O11:O14" si="4">B11</f>
        <v>COGS</v>
      </c>
      <c r="P11" s="107">
        <f>Statement!T6</f>
        <v>8926</v>
      </c>
      <c r="Q11" s="107">
        <f>Statement!U6</f>
        <v>10608</v>
      </c>
      <c r="R11" s="107">
        <f>Statement!V6</f>
        <v>17394</v>
      </c>
      <c r="S11" s="107">
        <f>Statement!W6</f>
        <v>12890</v>
      </c>
      <c r="T11" s="107">
        <f>Statement!X6</f>
        <v>15157</v>
      </c>
      <c r="U11" s="107">
        <f>Statement!Y6</f>
        <v>17034</v>
      </c>
      <c r="V11" s="107">
        <f>Statement!Z6</f>
        <v>20458</v>
      </c>
      <c r="W11" s="108">
        <f>Statement!AA6</f>
        <v>24079</v>
      </c>
      <c r="X11" s="109">
        <f>X6*X19</f>
        <v>26159.078399999999</v>
      </c>
      <c r="Y11" s="109"/>
      <c r="Z11" s="109"/>
      <c r="AB11" s="109">
        <f t="shared" ref="AB11:AB14" si="5">SUM(U11:X11)</f>
        <v>87730.078399999999</v>
      </c>
    </row>
    <row r="12" spans="1:28" x14ac:dyDescent="0.2">
      <c r="B12" s="1" t="str">
        <f>Statement!B8</f>
        <v>R&amp;D</v>
      </c>
      <c r="C12" s="98">
        <f>Statement!M8</f>
        <v>5268</v>
      </c>
      <c r="D12" s="98">
        <f>Statement!N8</f>
        <v>7339</v>
      </c>
      <c r="E12" s="98">
        <f>Statement!O8</f>
        <v>8675</v>
      </c>
      <c r="F12" s="98">
        <f>Statement!P8</f>
        <v>12914</v>
      </c>
      <c r="G12" s="99">
        <f>Statement!Q8</f>
        <v>18497</v>
      </c>
      <c r="H12" s="24">
        <f>H6*H20</f>
        <v>39346.845000000001</v>
      </c>
      <c r="I12" s="24">
        <f>I6*I20</f>
        <v>59834.406374999999</v>
      </c>
      <c r="J12" s="24">
        <f>J6*J20</f>
        <v>88859.472525000005</v>
      </c>
      <c r="K12" s="24">
        <f>K6*K20</f>
        <v>94748.690790000008</v>
      </c>
      <c r="L12" s="24">
        <f>L6*L20</f>
        <v>102656.50738200001</v>
      </c>
      <c r="N12" s="91"/>
      <c r="O12" s="39" t="str">
        <f t="shared" si="4"/>
        <v>R&amp;D</v>
      </c>
      <c r="P12" s="98">
        <f>Statement!T8</f>
        <v>3390</v>
      </c>
      <c r="Q12" s="98">
        <f>Statement!U8</f>
        <v>3714</v>
      </c>
      <c r="R12" s="98">
        <f>Statement!V8</f>
        <v>3989</v>
      </c>
      <c r="S12" s="98">
        <f>Statement!W8</f>
        <v>4291</v>
      </c>
      <c r="T12" s="98">
        <f>Statement!X8</f>
        <v>4705</v>
      </c>
      <c r="U12" s="98">
        <f>Statement!Y8</f>
        <v>5512</v>
      </c>
      <c r="V12" s="98">
        <f>Statement!Z8</f>
        <v>6321</v>
      </c>
      <c r="W12" s="99">
        <f>Statement!AA8</f>
        <v>7054</v>
      </c>
      <c r="X12" s="25">
        <f>X20*X$6</f>
        <v>10899.616000000002</v>
      </c>
      <c r="Y12" s="24"/>
      <c r="Z12" s="24"/>
      <c r="AB12" s="24">
        <f t="shared" si="5"/>
        <v>29786.616000000002</v>
      </c>
    </row>
    <row r="13" spans="1:28" x14ac:dyDescent="0.2">
      <c r="B13" s="1" t="str">
        <f>Statement!B9</f>
        <v>SG&amp;A</v>
      </c>
      <c r="C13" s="98">
        <f>Statement!M9</f>
        <v>2166</v>
      </c>
      <c r="D13" s="98">
        <f>Statement!N9</f>
        <v>2440</v>
      </c>
      <c r="E13" s="98">
        <f>Statement!O9</f>
        <v>2654</v>
      </c>
      <c r="F13" s="98">
        <f>Statement!P9</f>
        <v>3491</v>
      </c>
      <c r="G13" s="99">
        <f>Statement!Q9</f>
        <v>4579</v>
      </c>
      <c r="H13" s="24">
        <f>H6*H21</f>
        <v>11804.0535</v>
      </c>
      <c r="I13" s="24">
        <f>I6*I21</f>
        <v>16620.6684375</v>
      </c>
      <c r="J13" s="24">
        <f>J6*J21</f>
        <v>24683.186812500004</v>
      </c>
      <c r="K13" s="24">
        <f>K6*K21</f>
        <v>27240.248602125001</v>
      </c>
      <c r="L13" s="24">
        <f>L6*L21</f>
        <v>29513.745872325002</v>
      </c>
      <c r="M13" s="90"/>
      <c r="N13" s="90"/>
      <c r="O13" s="39" t="str">
        <f t="shared" si="4"/>
        <v>SG&amp;A</v>
      </c>
      <c r="P13" s="98">
        <f>Statement!T9</f>
        <v>897</v>
      </c>
      <c r="Q13" s="98">
        <f>Statement!U9</f>
        <v>975</v>
      </c>
      <c r="R13" s="98">
        <f>Statement!V9</f>
        <v>1041</v>
      </c>
      <c r="S13" s="98">
        <f>Statement!W9</f>
        <v>1122</v>
      </c>
      <c r="T13" s="98">
        <f>Statement!X9</f>
        <v>1134</v>
      </c>
      <c r="U13" s="98">
        <f>Statement!Y9</f>
        <v>1282</v>
      </c>
      <c r="V13" s="98">
        <f>Statement!Z9</f>
        <v>1300</v>
      </c>
      <c r="W13" s="99">
        <f>Statement!AA9</f>
        <v>1354</v>
      </c>
      <c r="X13" s="25">
        <f>X21*X$6</f>
        <v>3269.8847999999998</v>
      </c>
      <c r="Y13" s="24"/>
      <c r="Z13" s="24"/>
      <c r="AB13" s="24">
        <f t="shared" si="5"/>
        <v>7205.8847999999998</v>
      </c>
    </row>
    <row r="14" spans="1:28" x14ac:dyDescent="0.2">
      <c r="B14" s="16" t="s">
        <v>23</v>
      </c>
      <c r="C14" s="107">
        <f>Statement!M10</f>
        <v>7434</v>
      </c>
      <c r="D14" s="107">
        <f>Statement!N10</f>
        <v>11132</v>
      </c>
      <c r="E14" s="107">
        <f>Statement!O10</f>
        <v>11329</v>
      </c>
      <c r="F14" s="107">
        <f>Statement!P10</f>
        <v>16405</v>
      </c>
      <c r="G14" s="108">
        <f>Statement!Q10</f>
        <v>23076</v>
      </c>
      <c r="H14" s="109">
        <f>SUM(H12:H13)</f>
        <v>51150.898500000003</v>
      </c>
      <c r="I14" s="109">
        <f>SUM(I12:I13)</f>
        <v>76455.074812499995</v>
      </c>
      <c r="J14" s="109">
        <f>SUM(J12:J13)</f>
        <v>113542.65933750001</v>
      </c>
      <c r="K14" s="109">
        <f>SUM(K12:K13)</f>
        <v>121988.939392125</v>
      </c>
      <c r="L14" s="109">
        <f>SUM(L12:L13)</f>
        <v>132170.25325432501</v>
      </c>
      <c r="M14" s="90"/>
      <c r="N14" s="90"/>
      <c r="O14" s="16" t="str">
        <f t="shared" si="4"/>
        <v>OpEx</v>
      </c>
      <c r="P14" s="107">
        <f>Statement!T10</f>
        <v>4287</v>
      </c>
      <c r="Q14" s="107">
        <f>Statement!U10</f>
        <v>4689</v>
      </c>
      <c r="R14" s="107">
        <f>Statement!V10</f>
        <v>5030</v>
      </c>
      <c r="S14" s="107">
        <f>Statement!W10</f>
        <v>5413</v>
      </c>
      <c r="T14" s="107">
        <f>Statement!X10</f>
        <v>5839</v>
      </c>
      <c r="U14" s="107">
        <f>Statement!Y10</f>
        <v>6794</v>
      </c>
      <c r="V14" s="107">
        <f>Statement!Z10</f>
        <v>7621</v>
      </c>
      <c r="W14" s="108">
        <f>Statement!AA10</f>
        <v>8408</v>
      </c>
      <c r="X14" s="109">
        <f>SUM(X12:X13)</f>
        <v>14169.500800000002</v>
      </c>
      <c r="Y14" s="109"/>
      <c r="Z14" s="109"/>
      <c r="AB14" s="109">
        <f t="shared" si="5"/>
        <v>36992.500800000002</v>
      </c>
    </row>
    <row r="17" spans="2:26" x14ac:dyDescent="0.2">
      <c r="C17" s="251" t="s">
        <v>120</v>
      </c>
      <c r="D17" s="251"/>
      <c r="E17" s="251"/>
      <c r="F17" s="251"/>
      <c r="G17" s="251"/>
      <c r="H17" s="251"/>
      <c r="I17" s="251"/>
      <c r="J17" s="251"/>
      <c r="K17" s="251"/>
      <c r="L17" s="251"/>
      <c r="P17" s="253" t="s">
        <v>120</v>
      </c>
      <c r="Q17" s="253"/>
      <c r="R17" s="253"/>
      <c r="S17" s="253"/>
      <c r="T17" s="253"/>
      <c r="U17" s="253"/>
      <c r="V17" s="253"/>
      <c r="W17" s="253"/>
      <c r="X17" s="253"/>
      <c r="Y17" s="253"/>
      <c r="Z17" s="253"/>
    </row>
    <row r="18" spans="2:26" x14ac:dyDescent="0.2">
      <c r="B18" s="16" t="s">
        <v>121</v>
      </c>
      <c r="C18" s="12">
        <f t="shared" ref="C18:L18" si="6">C5</f>
        <v>2022</v>
      </c>
      <c r="D18" s="12">
        <f t="shared" si="6"/>
        <v>2023</v>
      </c>
      <c r="E18" s="12">
        <f t="shared" si="6"/>
        <v>2024</v>
      </c>
      <c r="F18" s="12">
        <f t="shared" si="6"/>
        <v>2025</v>
      </c>
      <c r="G18" s="12">
        <f t="shared" si="6"/>
        <v>2026</v>
      </c>
      <c r="H18" s="12">
        <f t="shared" si="6"/>
        <v>2027</v>
      </c>
      <c r="I18" s="12">
        <f t="shared" si="6"/>
        <v>2028</v>
      </c>
      <c r="J18" s="12">
        <f t="shared" si="6"/>
        <v>2029</v>
      </c>
      <c r="K18" s="12">
        <f t="shared" si="6"/>
        <v>2030</v>
      </c>
      <c r="L18" s="12">
        <f t="shared" si="6"/>
        <v>2031</v>
      </c>
      <c r="O18" s="16" t="s">
        <v>121</v>
      </c>
      <c r="P18" s="12" t="str">
        <f t="shared" ref="P18:Z18" si="7">P5</f>
        <v>Q3 2025</v>
      </c>
      <c r="Q18" s="12" t="str">
        <f t="shared" si="7"/>
        <v>Q4 2025</v>
      </c>
      <c r="R18" s="12" t="str">
        <f t="shared" si="7"/>
        <v>Q1 2026</v>
      </c>
      <c r="S18" s="12" t="str">
        <f t="shared" si="7"/>
        <v>Q2 2026</v>
      </c>
      <c r="T18" s="12" t="str">
        <f t="shared" si="7"/>
        <v>Q3 2026</v>
      </c>
      <c r="U18" s="12" t="str">
        <f t="shared" si="7"/>
        <v>Q4 2026</v>
      </c>
      <c r="V18" s="12" t="str">
        <f t="shared" si="7"/>
        <v>Q1 2027</v>
      </c>
      <c r="W18" s="12" t="str">
        <f t="shared" si="7"/>
        <v>Q2 2027</v>
      </c>
      <c r="X18" s="12" t="str">
        <f t="shared" si="7"/>
        <v>FQ1</v>
      </c>
      <c r="Y18" s="12" t="str">
        <f t="shared" si="7"/>
        <v>FQ2</v>
      </c>
      <c r="Z18" s="12" t="str">
        <f t="shared" si="7"/>
        <v>FQ3</v>
      </c>
    </row>
    <row r="19" spans="2:26" x14ac:dyDescent="0.2">
      <c r="B19" s="16" t="str">
        <f>B11</f>
        <v>COGS</v>
      </c>
      <c r="C19" s="103">
        <f t="shared" ref="C19:G21" si="8">C11/C$6</f>
        <v>0.35070966783086871</v>
      </c>
      <c r="D19" s="103">
        <f t="shared" si="8"/>
        <v>0.43071105509008673</v>
      </c>
      <c r="E19" s="103">
        <f t="shared" si="8"/>
        <v>0.27282426709563046</v>
      </c>
      <c r="F19" s="103">
        <f t="shared" si="8"/>
        <v>0.25011302941830083</v>
      </c>
      <c r="G19" s="104">
        <f t="shared" si="8"/>
        <v>0.28931915642452927</v>
      </c>
      <c r="H19" s="97">
        <v>0.28000000000000003</v>
      </c>
      <c r="I19" s="97">
        <v>0.27</v>
      </c>
      <c r="J19" s="97">
        <v>0.27</v>
      </c>
      <c r="K19" s="97">
        <v>0.25</v>
      </c>
      <c r="L19" s="97">
        <v>0.24</v>
      </c>
      <c r="O19" s="16" t="str">
        <f>O11</f>
        <v>COGS</v>
      </c>
      <c r="P19" s="103">
        <f t="shared" ref="P19:W21" si="9">P11/P$6</f>
        <v>0.25443247249301637</v>
      </c>
      <c r="Q19" s="103">
        <f t="shared" si="9"/>
        <v>0.26971091505428291</v>
      </c>
      <c r="R19" s="103">
        <f t="shared" si="9"/>
        <v>0.39476192637646951</v>
      </c>
      <c r="S19" s="103">
        <f t="shared" si="9"/>
        <v>0.27576321588259206</v>
      </c>
      <c r="T19" s="103">
        <f t="shared" si="9"/>
        <v>0.2658842928814511</v>
      </c>
      <c r="U19" s="103">
        <f t="shared" si="9"/>
        <v>0.25003302655334891</v>
      </c>
      <c r="V19" s="103">
        <f t="shared" si="9"/>
        <v>0.25066470624272497</v>
      </c>
      <c r="W19" s="104">
        <f t="shared" si="9"/>
        <v>0.25024682761559325</v>
      </c>
      <c r="X19" s="97">
        <v>0.24</v>
      </c>
      <c r="Y19" s="97"/>
      <c r="Z19" s="97"/>
    </row>
    <row r="20" spans="2:26" x14ac:dyDescent="0.2">
      <c r="B20" s="1" t="str">
        <f>B12</f>
        <v>R&amp;D</v>
      </c>
      <c r="C20" s="95">
        <f t="shared" si="8"/>
        <v>0.19573456193802483</v>
      </c>
      <c r="D20" s="95">
        <f t="shared" si="8"/>
        <v>0.27207681471046191</v>
      </c>
      <c r="E20" s="95">
        <f t="shared" si="8"/>
        <v>0.14239519385443683</v>
      </c>
      <c r="F20" s="95">
        <f t="shared" si="8"/>
        <v>9.8960129351632606E-2</v>
      </c>
      <c r="G20" s="96">
        <f t="shared" si="8"/>
        <v>8.5658846520760584E-2</v>
      </c>
      <c r="H20" s="97">
        <v>0.1</v>
      </c>
      <c r="I20" s="97">
        <v>0.09</v>
      </c>
      <c r="J20" s="97">
        <v>0.09</v>
      </c>
      <c r="K20" s="97">
        <v>0.08</v>
      </c>
      <c r="L20" s="97">
        <v>0.08</v>
      </c>
      <c r="O20" s="1" t="str">
        <f>O12</f>
        <v>R&amp;D</v>
      </c>
      <c r="P20" s="95">
        <f t="shared" si="9"/>
        <v>9.6630750812382413E-2</v>
      </c>
      <c r="Q20" s="95">
        <f t="shared" si="9"/>
        <v>9.4429330553507412E-2</v>
      </c>
      <c r="R20" s="95">
        <f t="shared" si="9"/>
        <v>9.0531523761971766E-2</v>
      </c>
      <c r="S20" s="95">
        <f t="shared" si="9"/>
        <v>9.1799841687525405E-2</v>
      </c>
      <c r="T20" s="95">
        <f t="shared" si="9"/>
        <v>8.2535171736308463E-2</v>
      </c>
      <c r="U20" s="95">
        <f t="shared" si="9"/>
        <v>8.0907716470709115E-2</v>
      </c>
      <c r="V20" s="95">
        <f t="shared" si="9"/>
        <v>7.7448998345892306E-2</v>
      </c>
      <c r="W20" s="96">
        <f t="shared" si="9"/>
        <v>7.3310400016628391E-2</v>
      </c>
      <c r="X20" s="97">
        <v>0.1</v>
      </c>
      <c r="Y20" s="97"/>
      <c r="Z20" s="97"/>
    </row>
    <row r="21" spans="2:26" x14ac:dyDescent="0.2">
      <c r="B21" s="1" t="str">
        <f>B13</f>
        <v>SG&amp;A</v>
      </c>
      <c r="C21" s="95">
        <f t="shared" si="8"/>
        <v>8.0478561343538674E-2</v>
      </c>
      <c r="D21" s="95">
        <f t="shared" si="8"/>
        <v>9.0457477570994288E-2</v>
      </c>
      <c r="E21" s="95">
        <f t="shared" si="8"/>
        <v>4.3563901382095135E-2</v>
      </c>
      <c r="F21" s="95">
        <f t="shared" si="8"/>
        <v>2.6751572833091947E-2</v>
      </c>
      <c r="G21" s="96">
        <f t="shared" si="8"/>
        <v>2.1205160740582946E-2</v>
      </c>
      <c r="H21" s="97">
        <v>0.03</v>
      </c>
      <c r="I21" s="97">
        <v>2.5000000000000001E-2</v>
      </c>
      <c r="J21" s="97">
        <v>2.5000000000000001E-2</v>
      </c>
      <c r="K21" s="97">
        <v>2.3E-2</v>
      </c>
      <c r="L21" s="97">
        <v>2.3E-2</v>
      </c>
      <c r="O21" s="1" t="str">
        <f>O13</f>
        <v>SG&amp;A</v>
      </c>
      <c r="P21" s="95">
        <f t="shared" si="9"/>
        <v>2.5568667692833932E-2</v>
      </c>
      <c r="Q21" s="95">
        <f t="shared" si="9"/>
        <v>2.478960616307747E-2</v>
      </c>
      <c r="R21" s="95">
        <f t="shared" si="9"/>
        <v>2.3625800009078116E-2</v>
      </c>
      <c r="S21" s="95">
        <f t="shared" si="9"/>
        <v>2.4003594121044861E-2</v>
      </c>
      <c r="T21" s="95">
        <f t="shared" si="9"/>
        <v>1.9892642879696873E-2</v>
      </c>
      <c r="U21" s="95">
        <f t="shared" si="9"/>
        <v>1.88177961747912E-2</v>
      </c>
      <c r="V21" s="95">
        <f t="shared" si="9"/>
        <v>1.5928444526128776E-2</v>
      </c>
      <c r="W21" s="96">
        <f t="shared" si="9"/>
        <v>1.4071772274243667E-2</v>
      </c>
      <c r="X21" s="97">
        <v>0.03</v>
      </c>
      <c r="Y21" s="97"/>
      <c r="Z21" s="97"/>
    </row>
    <row r="22" spans="2:26" x14ac:dyDescent="0.2">
      <c r="B22" s="16" t="str">
        <f t="shared" ref="B22" si="10">B14</f>
        <v>OpEx</v>
      </c>
      <c r="C22" s="103">
        <f>C14/C$6</f>
        <v>0.2762131232815635</v>
      </c>
      <c r="D22" s="103">
        <f t="shared" ref="D22:L22" si="11">D14/D$6</f>
        <v>0.41269370504930675</v>
      </c>
      <c r="E22" s="103">
        <f t="shared" si="11"/>
        <v>0.18595909523653195</v>
      </c>
      <c r="F22" s="103">
        <f t="shared" si="11"/>
        <v>0.12571170218472455</v>
      </c>
      <c r="G22" s="104">
        <f t="shared" si="11"/>
        <v>0.10686400726134353</v>
      </c>
      <c r="H22" s="103">
        <f t="shared" si="11"/>
        <v>0.13</v>
      </c>
      <c r="I22" s="103">
        <f t="shared" si="11"/>
        <v>0.11499999999999999</v>
      </c>
      <c r="J22" s="103">
        <f t="shared" si="11"/>
        <v>0.11499999999999999</v>
      </c>
      <c r="K22" s="103">
        <f t="shared" si="11"/>
        <v>0.10300000000000001</v>
      </c>
      <c r="L22" s="103">
        <f t="shared" si="11"/>
        <v>0.10299999999999999</v>
      </c>
      <c r="O22" s="16" t="str">
        <f t="shared" ref="O22" si="12">O14</f>
        <v>OpEx</v>
      </c>
      <c r="P22" s="103">
        <f t="shared" ref="P22:V22" si="13">P14/P$6</f>
        <v>0.12219941850521635</v>
      </c>
      <c r="Q22" s="103">
        <f t="shared" si="13"/>
        <v>0.11921893671658489</v>
      </c>
      <c r="R22" s="103">
        <f t="shared" si="13"/>
        <v>0.11415732377104988</v>
      </c>
      <c r="S22" s="103">
        <f t="shared" si="13"/>
        <v>0.11580343580857026</v>
      </c>
      <c r="T22" s="103">
        <f t="shared" si="13"/>
        <v>0.10242781461600534</v>
      </c>
      <c r="U22" s="103">
        <f t="shared" si="13"/>
        <v>9.9725512645500322E-2</v>
      </c>
      <c r="V22" s="103">
        <f t="shared" si="13"/>
        <v>9.3377442872021071E-2</v>
      </c>
      <c r="W22" s="104">
        <f t="shared" ref="W22:X22" si="14">W14/W$6</f>
        <v>8.7382172290872057E-2</v>
      </c>
      <c r="X22" s="103">
        <f t="shared" si="14"/>
        <v>0.13</v>
      </c>
      <c r="Y22" s="16"/>
      <c r="Z22" s="16"/>
    </row>
  </sheetData>
  <mergeCells count="10">
    <mergeCell ref="C9:L9"/>
    <mergeCell ref="P9:Z9"/>
    <mergeCell ref="C17:L17"/>
    <mergeCell ref="P17:Z17"/>
    <mergeCell ref="C2:G2"/>
    <mergeCell ref="H2:L2"/>
    <mergeCell ref="P2:W2"/>
    <mergeCell ref="X2:Z2"/>
    <mergeCell ref="C4:L4"/>
    <mergeCell ref="P4:Z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A4AF9-34CA-DC41-86C9-B346AEC194A1}">
  <dimension ref="A1:AB46"/>
  <sheetViews>
    <sheetView topLeftCell="C30" zoomScale="189" zoomScaleNormal="100" workbookViewId="0">
      <selection activeCell="K46" sqref="K46"/>
    </sheetView>
  </sheetViews>
  <sheetFormatPr baseColWidth="10" defaultRowHeight="16" x14ac:dyDescent="0.2"/>
  <cols>
    <col min="1" max="1" width="2" style="83"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123</v>
      </c>
    </row>
    <row r="2" spans="1:28" s="83" customFormat="1" ht="18" customHeight="1" x14ac:dyDescent="0.2">
      <c r="A2" s="4"/>
      <c r="B2" s="82"/>
    </row>
    <row r="3" spans="1:28" x14ac:dyDescent="0.2">
      <c r="A3" s="4"/>
      <c r="C3" s="245" t="s">
        <v>105</v>
      </c>
      <c r="D3" s="245"/>
      <c r="E3" s="245"/>
      <c r="F3" s="245"/>
      <c r="G3" s="254"/>
      <c r="H3" s="255" t="s">
        <v>106</v>
      </c>
      <c r="I3" s="245"/>
      <c r="J3" s="245"/>
      <c r="K3" s="245"/>
      <c r="L3" s="245"/>
      <c r="P3" s="256"/>
      <c r="Q3" s="256"/>
      <c r="R3" s="256"/>
      <c r="S3" s="256"/>
      <c r="T3" s="256"/>
      <c r="U3" s="256"/>
      <c r="V3" s="256"/>
      <c r="W3" s="256"/>
      <c r="X3" s="256"/>
      <c r="Y3" s="256"/>
      <c r="Z3" s="256"/>
      <c r="AB3" s="110"/>
    </row>
    <row r="4" spans="1:28" ht="10" customHeight="1" x14ac:dyDescent="0.2"/>
    <row r="5" spans="1:28" ht="16" customHeight="1" x14ac:dyDescent="0.2">
      <c r="A5" s="86"/>
      <c r="B5" s="60"/>
      <c r="C5" s="251" t="s">
        <v>108</v>
      </c>
      <c r="D5" s="251"/>
      <c r="E5" s="251"/>
      <c r="F5" s="251"/>
      <c r="G5" s="251"/>
      <c r="H5" s="251"/>
      <c r="I5" s="251"/>
      <c r="J5" s="251"/>
      <c r="K5" s="251"/>
      <c r="L5" s="251"/>
      <c r="P5" s="256"/>
      <c r="Q5" s="256"/>
      <c r="R5" s="256"/>
      <c r="S5" s="256"/>
      <c r="T5" s="256"/>
      <c r="U5" s="256"/>
      <c r="V5" s="256"/>
      <c r="W5" s="256"/>
      <c r="X5" s="256"/>
      <c r="Y5" s="256"/>
      <c r="Z5" s="256"/>
      <c r="AB5" s="111"/>
    </row>
    <row r="6" spans="1:28" x14ac:dyDescent="0.2">
      <c r="B6" s="16" t="s">
        <v>109</v>
      </c>
      <c r="C6" s="12">
        <f>Revenue!C5</f>
        <v>2022</v>
      </c>
      <c r="D6" s="12">
        <f>Revenue!D5</f>
        <v>2023</v>
      </c>
      <c r="E6" s="12">
        <f>Revenue!E5</f>
        <v>2024</v>
      </c>
      <c r="F6" s="12">
        <f>Revenue!F5</f>
        <v>2025</v>
      </c>
      <c r="G6" s="12">
        <f>Revenue!G5</f>
        <v>2026</v>
      </c>
      <c r="H6" s="12">
        <f>G6+1</f>
        <v>2027</v>
      </c>
      <c r="I6" s="12">
        <f t="shared" ref="I6:L6" si="0">H6+1</f>
        <v>2028</v>
      </c>
      <c r="J6" s="12">
        <f t="shared" si="0"/>
        <v>2029</v>
      </c>
      <c r="K6" s="12">
        <f t="shared" si="0"/>
        <v>2030</v>
      </c>
      <c r="L6" s="12">
        <f t="shared" si="0"/>
        <v>2031</v>
      </c>
      <c r="O6" s="16"/>
      <c r="P6" s="112"/>
      <c r="Q6" s="112"/>
      <c r="R6" s="112"/>
      <c r="S6" s="112"/>
      <c r="T6" s="112"/>
      <c r="U6" s="112"/>
      <c r="V6" s="112"/>
      <c r="W6" s="112"/>
      <c r="X6" s="112"/>
      <c r="Y6" s="112"/>
      <c r="Z6" s="112"/>
      <c r="AB6" s="111"/>
    </row>
    <row r="7" spans="1:28" x14ac:dyDescent="0.2">
      <c r="B7" s="16" t="s">
        <v>19</v>
      </c>
      <c r="C7" s="92">
        <f>Revenue!C10</f>
        <v>26914</v>
      </c>
      <c r="D7" s="92">
        <f>Revenue!D10</f>
        <v>26974</v>
      </c>
      <c r="E7" s="92">
        <f>Revenue!E10</f>
        <v>60922</v>
      </c>
      <c r="F7" s="92">
        <f>Revenue!F10</f>
        <v>130497</v>
      </c>
      <c r="G7" s="93">
        <f>Revenue!G10</f>
        <v>215938</v>
      </c>
      <c r="H7" s="92">
        <f>Revenue!H10</f>
        <v>393468.45</v>
      </c>
      <c r="I7" s="92">
        <f>Revenue!I10</f>
        <v>664826.73750000005</v>
      </c>
      <c r="J7" s="92">
        <f>Revenue!J10</f>
        <v>987327.47250000015</v>
      </c>
      <c r="K7" s="92">
        <f>Revenue!K10</f>
        <v>1184358.634875</v>
      </c>
      <c r="L7" s="92">
        <f>Revenue!L10</f>
        <v>1283206.3422750002</v>
      </c>
      <c r="N7" s="91"/>
      <c r="O7" s="16"/>
      <c r="P7" s="92"/>
      <c r="Q7" s="92"/>
      <c r="R7" s="92"/>
      <c r="S7" s="92"/>
      <c r="T7" s="92"/>
      <c r="U7" s="92"/>
      <c r="V7" s="92"/>
      <c r="W7" s="92"/>
      <c r="X7" s="94"/>
      <c r="Y7" s="94"/>
      <c r="Z7" s="94"/>
      <c r="AB7" s="94"/>
    </row>
    <row r="8" spans="1:28" x14ac:dyDescent="0.2">
      <c r="B8" s="39" t="s">
        <v>20</v>
      </c>
      <c r="C8" s="113">
        <f>'COGS &amp; OpEx'!C11</f>
        <v>9439</v>
      </c>
      <c r="D8" s="113">
        <f>'COGS &amp; OpEx'!D11</f>
        <v>11618</v>
      </c>
      <c r="E8" s="113">
        <f>'COGS &amp; OpEx'!E11</f>
        <v>16621</v>
      </c>
      <c r="F8" s="113">
        <f>'COGS &amp; OpEx'!F11</f>
        <v>32639</v>
      </c>
      <c r="G8" s="114">
        <f>'COGS &amp; OpEx'!G11</f>
        <v>62475</v>
      </c>
      <c r="H8" s="113">
        <f>'COGS &amp; OpEx'!H11</f>
        <v>110171.16600000001</v>
      </c>
      <c r="I8" s="113">
        <f>'COGS &amp; OpEx'!I11</f>
        <v>179503.21912500003</v>
      </c>
      <c r="J8" s="113">
        <f>'COGS &amp; OpEx'!J11</f>
        <v>266578.41757500009</v>
      </c>
      <c r="K8" s="113">
        <f>'COGS &amp; OpEx'!K11</f>
        <v>296089.65871875</v>
      </c>
      <c r="L8" s="113">
        <f>'COGS &amp; OpEx'!L11</f>
        <v>307969.522146</v>
      </c>
      <c r="N8" s="91"/>
      <c r="O8" s="16"/>
      <c r="P8" s="92"/>
      <c r="Q8" s="92"/>
      <c r="R8" s="92"/>
      <c r="S8" s="92"/>
      <c r="T8" s="92"/>
      <c r="U8" s="92"/>
      <c r="V8" s="92"/>
      <c r="W8" s="92"/>
      <c r="X8" s="94"/>
      <c r="Y8" s="94"/>
      <c r="Z8" s="94"/>
      <c r="AB8" s="94"/>
    </row>
    <row r="9" spans="1:28" x14ac:dyDescent="0.2">
      <c r="N9" s="91"/>
    </row>
    <row r="10" spans="1:28" x14ac:dyDescent="0.2">
      <c r="N10" s="91"/>
    </row>
    <row r="11" spans="1:28" x14ac:dyDescent="0.2">
      <c r="C11" s="251" t="s">
        <v>124</v>
      </c>
      <c r="D11" s="251"/>
      <c r="E11" s="251"/>
      <c r="F11" s="251"/>
      <c r="G11" s="251"/>
      <c r="H11" s="251"/>
      <c r="I11" s="251"/>
      <c r="J11" s="251"/>
      <c r="K11" s="251"/>
      <c r="L11" s="251"/>
      <c r="N11" s="91"/>
      <c r="P11" s="256"/>
      <c r="Q11" s="256"/>
      <c r="R11" s="256"/>
      <c r="S11" s="256"/>
      <c r="T11" s="256"/>
      <c r="U11" s="256"/>
      <c r="V11" s="256"/>
      <c r="W11" s="256"/>
      <c r="X11" s="256"/>
      <c r="Y11" s="256"/>
      <c r="Z11" s="256"/>
      <c r="AB11" s="111"/>
    </row>
    <row r="12" spans="1:28" x14ac:dyDescent="0.2">
      <c r="B12" s="16" t="s">
        <v>125</v>
      </c>
      <c r="C12" s="12">
        <f t="shared" ref="C12:L12" si="1">C6</f>
        <v>2022</v>
      </c>
      <c r="D12" s="12">
        <f t="shared" si="1"/>
        <v>2023</v>
      </c>
      <c r="E12" s="12">
        <f t="shared" si="1"/>
        <v>2024</v>
      </c>
      <c r="F12" s="12">
        <f t="shared" si="1"/>
        <v>2025</v>
      </c>
      <c r="G12" s="12">
        <f t="shared" si="1"/>
        <v>2026</v>
      </c>
      <c r="H12" s="12">
        <f t="shared" si="1"/>
        <v>2027</v>
      </c>
      <c r="I12" s="12">
        <f t="shared" si="1"/>
        <v>2028</v>
      </c>
      <c r="J12" s="12">
        <f t="shared" si="1"/>
        <v>2029</v>
      </c>
      <c r="K12" s="12">
        <f t="shared" si="1"/>
        <v>2030</v>
      </c>
      <c r="L12" s="12">
        <f t="shared" si="1"/>
        <v>2031</v>
      </c>
      <c r="N12" s="91"/>
      <c r="O12" s="16"/>
      <c r="P12" s="112"/>
      <c r="Q12" s="112"/>
      <c r="R12" s="112"/>
      <c r="S12" s="112"/>
      <c r="T12" s="112"/>
      <c r="U12" s="112"/>
      <c r="V12" s="112"/>
      <c r="W12" s="112"/>
      <c r="X12" s="112"/>
      <c r="Y12" s="112"/>
      <c r="Z12" s="112"/>
      <c r="AB12" s="111"/>
    </row>
    <row r="13" spans="1:28" x14ac:dyDescent="0.2">
      <c r="B13" s="39" t="s">
        <v>126</v>
      </c>
      <c r="C13" s="115">
        <f>Statement!M29</f>
        <v>4650</v>
      </c>
      <c r="D13" s="115">
        <f>Statement!N29</f>
        <v>3827</v>
      </c>
      <c r="E13" s="115">
        <f>Statement!O29</f>
        <v>9999</v>
      </c>
      <c r="F13" s="115">
        <f>Statement!P29</f>
        <v>23065</v>
      </c>
      <c r="G13" s="116">
        <f>Statement!Q29</f>
        <v>38466</v>
      </c>
      <c r="H13" s="25">
        <f>H20*H7/365</f>
        <v>75459.702739726024</v>
      </c>
      <c r="I13" s="25">
        <f>I20*I7/365</f>
        <v>123858.13191780823</v>
      </c>
      <c r="J13" s="25">
        <f>J20*J7/365</f>
        <v>162300.40643835618</v>
      </c>
      <c r="K13" s="25">
        <f>K20*K7/365</f>
        <v>194689.09066438358</v>
      </c>
      <c r="L13" s="25">
        <f>L20*L7/365</f>
        <v>210938.0288671233</v>
      </c>
      <c r="N13" s="91"/>
      <c r="O13" s="16"/>
      <c r="P13" s="117"/>
      <c r="Q13" s="117"/>
      <c r="R13" s="117"/>
      <c r="S13" s="117"/>
      <c r="T13" s="117"/>
      <c r="U13" s="117"/>
      <c r="V13" s="117"/>
      <c r="W13" s="117"/>
      <c r="X13" s="109"/>
      <c r="Y13" s="109"/>
      <c r="Z13" s="109"/>
      <c r="AB13" s="24"/>
    </row>
    <row r="14" spans="1:28" x14ac:dyDescent="0.2">
      <c r="B14" s="39" t="s">
        <v>127</v>
      </c>
      <c r="C14" s="115">
        <f>Statement!M30</f>
        <v>2605</v>
      </c>
      <c r="D14" s="115">
        <f>Statement!N30</f>
        <v>5159</v>
      </c>
      <c r="E14" s="115">
        <f>Statement!O30</f>
        <v>5282</v>
      </c>
      <c r="F14" s="115">
        <f>Statement!P30</f>
        <v>10080</v>
      </c>
      <c r="G14" s="116">
        <f>Statement!Q30</f>
        <v>21403</v>
      </c>
      <c r="H14" s="127">
        <f>H21*H8/365</f>
        <v>41653.755912328772</v>
      </c>
      <c r="I14" s="127">
        <f t="shared" ref="I14:L14" si="2">I21*I8/365</f>
        <v>66391.601594178093</v>
      </c>
      <c r="J14" s="127">
        <f t="shared" si="2"/>
        <v>87642.219476712358</v>
      </c>
      <c r="K14" s="127">
        <f t="shared" si="2"/>
        <v>97344.545332191788</v>
      </c>
      <c r="L14" s="127">
        <f t="shared" si="2"/>
        <v>101250.25385621919</v>
      </c>
      <c r="N14" s="91"/>
      <c r="O14" s="16"/>
      <c r="P14" s="117"/>
      <c r="Q14" s="117"/>
      <c r="R14" s="117"/>
      <c r="S14" s="117"/>
      <c r="T14" s="117"/>
      <c r="U14" s="117"/>
      <c r="V14" s="117"/>
      <c r="W14" s="117"/>
      <c r="X14" s="109"/>
      <c r="Y14" s="109"/>
      <c r="Z14" s="109"/>
      <c r="AB14" s="24"/>
    </row>
    <row r="15" spans="1:28" x14ac:dyDescent="0.2">
      <c r="B15" s="1" t="s">
        <v>128</v>
      </c>
      <c r="C15" s="115">
        <f>Statement!M37</f>
        <v>1783</v>
      </c>
      <c r="D15" s="115">
        <f>Statement!N37</f>
        <v>1193</v>
      </c>
      <c r="E15" s="115">
        <f>Statement!O37</f>
        <v>2699</v>
      </c>
      <c r="F15" s="115">
        <f>Statement!P37</f>
        <v>6310</v>
      </c>
      <c r="G15" s="116">
        <f>Statement!Q37</f>
        <v>9812</v>
      </c>
      <c r="H15" s="24">
        <f>H22*H8/365</f>
        <v>20525.039145205483</v>
      </c>
      <c r="I15" s="24">
        <f>I22*I8/365</f>
        <v>32949.905976369868</v>
      </c>
      <c r="J15" s="24">
        <f>J22*J8/365</f>
        <v>47472.868883219198</v>
      </c>
      <c r="K15" s="24">
        <f>K22*K8/365</f>
        <v>52728.295388270548</v>
      </c>
      <c r="L15" s="24">
        <f>L22*L8/365</f>
        <v>54843.887505452061</v>
      </c>
      <c r="N15" s="91"/>
      <c r="P15" s="118"/>
      <c r="Q15" s="118"/>
      <c r="R15" s="118"/>
      <c r="S15" s="118"/>
      <c r="T15" s="118"/>
      <c r="U15" s="118"/>
      <c r="V15" s="118"/>
      <c r="W15" s="118"/>
      <c r="X15" s="25"/>
      <c r="Y15" s="24"/>
      <c r="Z15" s="24"/>
      <c r="AB15" s="24"/>
    </row>
    <row r="16" spans="1:28" x14ac:dyDescent="0.2">
      <c r="D16" s="24"/>
    </row>
    <row r="18" spans="2:12" x14ac:dyDescent="0.2">
      <c r="C18" s="251" t="s">
        <v>129</v>
      </c>
      <c r="D18" s="251"/>
      <c r="E18" s="251"/>
      <c r="F18" s="251"/>
      <c r="G18" s="251"/>
      <c r="H18" s="251"/>
      <c r="I18" s="251"/>
      <c r="J18" s="251"/>
      <c r="K18" s="251"/>
      <c r="L18" s="251"/>
    </row>
    <row r="19" spans="2:12" x14ac:dyDescent="0.2">
      <c r="B19" s="16" t="s">
        <v>130</v>
      </c>
      <c r="C19" s="12">
        <f t="shared" ref="C19:L19" si="3">C6</f>
        <v>2022</v>
      </c>
      <c r="D19" s="12">
        <f t="shared" si="3"/>
        <v>2023</v>
      </c>
      <c r="E19" s="12">
        <f t="shared" si="3"/>
        <v>2024</v>
      </c>
      <c r="F19" s="12">
        <f t="shared" si="3"/>
        <v>2025</v>
      </c>
      <c r="G19" s="12">
        <f t="shared" si="3"/>
        <v>2026</v>
      </c>
      <c r="H19" s="12">
        <f t="shared" si="3"/>
        <v>2027</v>
      </c>
      <c r="I19" s="12">
        <f t="shared" si="3"/>
        <v>2028</v>
      </c>
      <c r="J19" s="12">
        <f t="shared" si="3"/>
        <v>2029</v>
      </c>
      <c r="K19" s="12">
        <f t="shared" si="3"/>
        <v>2030</v>
      </c>
      <c r="L19" s="12">
        <f t="shared" si="3"/>
        <v>2031</v>
      </c>
    </row>
    <row r="20" spans="2:12" x14ac:dyDescent="0.2">
      <c r="B20" s="1" t="s">
        <v>131</v>
      </c>
      <c r="C20" s="119">
        <f>C13/C7*365</f>
        <v>63.061975180203611</v>
      </c>
      <c r="D20" s="119">
        <f>D13/D7*365</f>
        <v>51.785237636242307</v>
      </c>
      <c r="E20" s="119">
        <f>E13/E7*365</f>
        <v>59.906683956534586</v>
      </c>
      <c r="F20" s="119">
        <f>F13/F7*365</f>
        <v>64.512785734537957</v>
      </c>
      <c r="G20" s="120">
        <f>G13/G7*365</f>
        <v>65.01907955061175</v>
      </c>
      <c r="H20" s="102">
        <v>70</v>
      </c>
      <c r="I20" s="102">
        <v>68</v>
      </c>
      <c r="J20" s="102">
        <v>60</v>
      </c>
      <c r="K20" s="102">
        <v>60</v>
      </c>
      <c r="L20" s="102">
        <v>60</v>
      </c>
    </row>
    <row r="21" spans="2:12" x14ac:dyDescent="0.2">
      <c r="B21" s="1" t="s">
        <v>132</v>
      </c>
      <c r="C21" s="119">
        <f>C14/C8*365</f>
        <v>100.73365822650703</v>
      </c>
      <c r="D21" s="119">
        <f t="shared" ref="D21:G21" si="4">D14/D8*365</f>
        <v>162.079101394388</v>
      </c>
      <c r="E21" s="119">
        <f t="shared" si="4"/>
        <v>115.99362252572048</v>
      </c>
      <c r="F21" s="119">
        <f t="shared" si="4"/>
        <v>112.72404179049603</v>
      </c>
      <c r="G21" s="120">
        <f t="shared" si="4"/>
        <v>125.043537414966</v>
      </c>
      <c r="H21" s="102">
        <v>138</v>
      </c>
      <c r="I21" s="102">
        <v>135</v>
      </c>
      <c r="J21" s="102">
        <v>120</v>
      </c>
      <c r="K21" s="102">
        <v>120</v>
      </c>
      <c r="L21" s="102">
        <v>120</v>
      </c>
    </row>
    <row r="22" spans="2:12" x14ac:dyDescent="0.2">
      <c r="B22" s="1" t="s">
        <v>133</v>
      </c>
      <c r="C22" s="119">
        <f>C15/C8*365</f>
        <v>68.947452060599645</v>
      </c>
      <c r="D22" s="119">
        <f>D15/D8*365</f>
        <v>37.480203133069374</v>
      </c>
      <c r="E22" s="119">
        <f>E15/E8*365</f>
        <v>59.270501173214605</v>
      </c>
      <c r="F22" s="119">
        <f>F15/F8*365</f>
        <v>70.564355525598216</v>
      </c>
      <c r="G22" s="120">
        <f>G15/G8*365</f>
        <v>57.325010004001605</v>
      </c>
      <c r="H22" s="102">
        <v>68</v>
      </c>
      <c r="I22" s="102">
        <v>67</v>
      </c>
      <c r="J22" s="102">
        <v>65</v>
      </c>
      <c r="K22" s="102">
        <v>65</v>
      </c>
      <c r="L22" s="102">
        <v>65</v>
      </c>
    </row>
    <row r="23" spans="2:12" x14ac:dyDescent="0.2">
      <c r="B23" s="1" t="s">
        <v>134</v>
      </c>
      <c r="C23" s="119">
        <f>C20+C21-C22</f>
        <v>94.848181346110991</v>
      </c>
      <c r="D23" s="119">
        <f t="shared" ref="D23:L23" si="5">D20+D21-D22</f>
        <v>176.38413589756092</v>
      </c>
      <c r="E23" s="119">
        <f t="shared" si="5"/>
        <v>116.62980530904048</v>
      </c>
      <c r="F23" s="119">
        <f t="shared" si="5"/>
        <v>106.67247199943577</v>
      </c>
      <c r="G23" s="120">
        <f t="shared" si="5"/>
        <v>132.73760696157615</v>
      </c>
      <c r="H23" s="119">
        <f t="shared" si="5"/>
        <v>140</v>
      </c>
      <c r="I23" s="119">
        <f t="shared" si="5"/>
        <v>136</v>
      </c>
      <c r="J23" s="119">
        <f t="shared" si="5"/>
        <v>115</v>
      </c>
      <c r="K23" s="119">
        <f t="shared" si="5"/>
        <v>115</v>
      </c>
      <c r="L23" s="119">
        <f t="shared" si="5"/>
        <v>115</v>
      </c>
    </row>
    <row r="25" spans="2:12" x14ac:dyDescent="0.2">
      <c r="B25" s="256"/>
      <c r="C25" s="256"/>
    </row>
    <row r="26" spans="2:12" x14ac:dyDescent="0.2">
      <c r="B26" s="110"/>
      <c r="C26" s="251" t="s">
        <v>135</v>
      </c>
      <c r="D26" s="251"/>
      <c r="E26" s="251"/>
      <c r="F26" s="251"/>
      <c r="G26" s="251"/>
      <c r="H26" s="251"/>
      <c r="I26" s="251"/>
      <c r="J26" s="251"/>
      <c r="K26" s="251"/>
      <c r="L26" s="251"/>
    </row>
    <row r="27" spans="2:12" x14ac:dyDescent="0.2">
      <c r="B27" s="16" t="s">
        <v>125</v>
      </c>
      <c r="C27" s="12">
        <f t="shared" ref="C27:L27" si="6">C6</f>
        <v>2022</v>
      </c>
      <c r="D27" s="12">
        <f t="shared" si="6"/>
        <v>2023</v>
      </c>
      <c r="E27" s="12">
        <f t="shared" si="6"/>
        <v>2024</v>
      </c>
      <c r="F27" s="12">
        <f t="shared" si="6"/>
        <v>2025</v>
      </c>
      <c r="G27" s="12">
        <f t="shared" si="6"/>
        <v>2026</v>
      </c>
      <c r="H27" s="12">
        <f t="shared" si="6"/>
        <v>2027</v>
      </c>
      <c r="I27" s="12">
        <f t="shared" si="6"/>
        <v>2028</v>
      </c>
      <c r="J27" s="12">
        <f t="shared" si="6"/>
        <v>2029</v>
      </c>
      <c r="K27" s="12">
        <f t="shared" si="6"/>
        <v>2030</v>
      </c>
      <c r="L27" s="12">
        <f t="shared" si="6"/>
        <v>2031</v>
      </c>
    </row>
    <row r="28" spans="2:12" x14ac:dyDescent="0.2">
      <c r="B28" s="1" t="s">
        <v>136</v>
      </c>
      <c r="C28" s="115">
        <f>Statement!M54</f>
        <v>-2215</v>
      </c>
      <c r="D28" s="115">
        <f>Statement!N54</f>
        <v>822</v>
      </c>
      <c r="E28" s="115">
        <f>Statement!O54</f>
        <v>-6172</v>
      </c>
      <c r="F28" s="115">
        <f>Statement!P54</f>
        <v>-13063</v>
      </c>
      <c r="G28" s="116">
        <f>Statement!Q54</f>
        <v>-15399</v>
      </c>
      <c r="H28" s="127">
        <f>-(H13-G13)</f>
        <v>-36993.702739726024</v>
      </c>
      <c r="I28" s="127">
        <f t="shared" ref="I28:L29" si="7">-(I13-H13)</f>
        <v>-48398.42917808221</v>
      </c>
      <c r="J28" s="127">
        <f t="shared" si="7"/>
        <v>-38442.274520547944</v>
      </c>
      <c r="K28" s="127">
        <f t="shared" si="7"/>
        <v>-32388.684226027399</v>
      </c>
      <c r="L28" s="127">
        <f t="shared" si="7"/>
        <v>-16248.938202739722</v>
      </c>
    </row>
    <row r="29" spans="2:12" x14ac:dyDescent="0.2">
      <c r="B29" s="1" t="s">
        <v>137</v>
      </c>
      <c r="C29" s="115">
        <f>Statement!M55</f>
        <v>-774</v>
      </c>
      <c r="D29" s="115">
        <f>Statement!N55</f>
        <v>-2554</v>
      </c>
      <c r="E29" s="115">
        <f>Statement!O55</f>
        <v>-98</v>
      </c>
      <c r="F29" s="115">
        <f>Statement!P55</f>
        <v>-4781</v>
      </c>
      <c r="G29" s="116">
        <f>Statement!Q55</f>
        <v>-11324</v>
      </c>
      <c r="H29" s="127">
        <f>-(H14-G14)</f>
        <v>-20250.755912328772</v>
      </c>
      <c r="I29" s="127">
        <f t="shared" si="7"/>
        <v>-24737.845681849321</v>
      </c>
      <c r="J29" s="127">
        <f t="shared" si="7"/>
        <v>-21250.617882534265</v>
      </c>
      <c r="K29" s="127">
        <f t="shared" si="7"/>
        <v>-9702.3258554794302</v>
      </c>
      <c r="L29" s="127">
        <f t="shared" si="7"/>
        <v>-3905.7085240274027</v>
      </c>
    </row>
    <row r="30" spans="2:12" x14ac:dyDescent="0.2">
      <c r="B30" s="1" t="s">
        <v>138</v>
      </c>
      <c r="C30" s="115">
        <f>Statement!M56</f>
        <v>568</v>
      </c>
      <c r="D30" s="115">
        <f>Statement!N56</f>
        <v>-551</v>
      </c>
      <c r="E30" s="115">
        <f>Statement!O56</f>
        <v>1531</v>
      </c>
      <c r="F30" s="115">
        <f>Statement!P56</f>
        <v>3357</v>
      </c>
      <c r="G30" s="116">
        <f>Statement!Q56</f>
        <v>3069</v>
      </c>
      <c r="H30" s="64">
        <f>H15-G15</f>
        <v>10713.039145205483</v>
      </c>
      <c r="I30" s="64">
        <f t="shared" ref="I30:L30" si="8">I15-H15</f>
        <v>12424.866831164385</v>
      </c>
      <c r="J30" s="64">
        <f t="shared" si="8"/>
        <v>14522.96290684933</v>
      </c>
      <c r="K30" s="64">
        <f t="shared" si="8"/>
        <v>5255.4265050513495</v>
      </c>
      <c r="L30" s="64">
        <f t="shared" si="8"/>
        <v>2115.5921171815135</v>
      </c>
    </row>
    <row r="31" spans="2:12" x14ac:dyDescent="0.2">
      <c r="B31" s="110"/>
      <c r="C31" s="110"/>
    </row>
    <row r="32" spans="2:12" x14ac:dyDescent="0.2">
      <c r="B32" s="110"/>
      <c r="C32" s="110"/>
    </row>
    <row r="33" spans="2:12" x14ac:dyDescent="0.2">
      <c r="B33" s="110"/>
      <c r="C33" s="251" t="s">
        <v>139</v>
      </c>
      <c r="D33" s="251"/>
      <c r="E33" s="251"/>
      <c r="F33" s="251"/>
      <c r="G33" s="251"/>
      <c r="H33" s="251"/>
      <c r="I33" s="251"/>
      <c r="J33" s="251"/>
      <c r="K33" s="251"/>
      <c r="L33" s="251"/>
    </row>
    <row r="34" spans="2:12" x14ac:dyDescent="0.2">
      <c r="B34" s="16" t="s">
        <v>125</v>
      </c>
      <c r="C34" s="12">
        <f t="shared" ref="C34:L34" si="9">C6</f>
        <v>2022</v>
      </c>
      <c r="D34" s="12">
        <f t="shared" si="9"/>
        <v>2023</v>
      </c>
      <c r="E34" s="12">
        <f t="shared" si="9"/>
        <v>2024</v>
      </c>
      <c r="F34" s="12">
        <f t="shared" si="9"/>
        <v>2025</v>
      </c>
      <c r="G34" s="12">
        <f t="shared" si="9"/>
        <v>2026</v>
      </c>
      <c r="H34" s="12">
        <f t="shared" si="9"/>
        <v>2027</v>
      </c>
      <c r="I34" s="12">
        <f t="shared" si="9"/>
        <v>2028</v>
      </c>
      <c r="J34" s="12">
        <f t="shared" si="9"/>
        <v>2029</v>
      </c>
      <c r="K34" s="12">
        <f t="shared" si="9"/>
        <v>2030</v>
      </c>
      <c r="L34" s="12">
        <f t="shared" si="9"/>
        <v>2031</v>
      </c>
    </row>
    <row r="35" spans="2:12" x14ac:dyDescent="0.2">
      <c r="B35" s="1" t="s">
        <v>140</v>
      </c>
      <c r="C35" s="115">
        <f>Statement!M54+Statement!M55+Statement!M56+Statement!M57</f>
        <v>-3363</v>
      </c>
      <c r="D35" s="115">
        <f>Statement!N54+Statement!N55+Statement!N56+Statement!N57</f>
        <v>-2207</v>
      </c>
      <c r="E35" s="115">
        <f>Statement!O54+Statement!O55+Statement!O56+Statement!O57</f>
        <v>-3722</v>
      </c>
      <c r="F35" s="115">
        <f>Statement!P54+Statement!P55+Statement!P56+Statement!P57</f>
        <v>-9383</v>
      </c>
      <c r="G35" s="116">
        <f>Statement!Q54+Statement!Q55+Statement!Q56+Statement!Q57</f>
        <v>-15976</v>
      </c>
      <c r="H35" s="127">
        <f>H36+H28+H29+H30</f>
        <v>-34727.366006849312</v>
      </c>
      <c r="I35" s="127">
        <f t="shared" ref="I35:L35" si="10">I36+I28+I29+I30</f>
        <v>-40766.605903767144</v>
      </c>
      <c r="J35" s="127">
        <f t="shared" si="10"/>
        <v>-25423.380046232873</v>
      </c>
      <c r="K35" s="127">
        <f t="shared" si="10"/>
        <v>-60522.756273955485</v>
      </c>
      <c r="L35" s="127">
        <f t="shared" si="10"/>
        <v>-56535.244877835612</v>
      </c>
    </row>
    <row r="36" spans="2:12" x14ac:dyDescent="0.2">
      <c r="B36" s="1" t="s">
        <v>141</v>
      </c>
      <c r="C36" s="121">
        <f>C35-C28-C29-C30</f>
        <v>-942</v>
      </c>
      <c r="D36" s="121">
        <f t="shared" ref="D36:G36" si="11">D35-D28-D29-D30</f>
        <v>76</v>
      </c>
      <c r="E36" s="121">
        <f t="shared" si="11"/>
        <v>1017</v>
      </c>
      <c r="F36" s="121">
        <f t="shared" si="11"/>
        <v>5104</v>
      </c>
      <c r="G36" s="122">
        <f t="shared" si="11"/>
        <v>7678</v>
      </c>
      <c r="H36" s="64">
        <f>H7*H37</f>
        <v>11804.0535</v>
      </c>
      <c r="I36" s="64">
        <f>I7*I37</f>
        <v>19944.802125000002</v>
      </c>
      <c r="J36" s="64">
        <f>J7*J37</f>
        <v>19746.549450000002</v>
      </c>
      <c r="K36" s="64">
        <f>K7*K37</f>
        <v>-23687.172697500002</v>
      </c>
      <c r="L36" s="64">
        <f>L7*L37</f>
        <v>-38496.19026825</v>
      </c>
    </row>
    <row r="37" spans="2:12" x14ac:dyDescent="0.2">
      <c r="B37" s="123" t="s">
        <v>121</v>
      </c>
      <c r="C37" s="124">
        <f>C36/C7</f>
        <v>-3.5000371553838151E-2</v>
      </c>
      <c r="D37" s="124">
        <f>D36/D7</f>
        <v>2.8175279899162156E-3</v>
      </c>
      <c r="E37" s="124">
        <f>E36/E7</f>
        <v>1.6693476904894783E-2</v>
      </c>
      <c r="F37" s="124">
        <f>F36/F7</f>
        <v>3.9112010237783247E-2</v>
      </c>
      <c r="G37" s="125">
        <f>G36/G7</f>
        <v>3.5556502329372318E-2</v>
      </c>
      <c r="H37" s="97">
        <v>0.03</v>
      </c>
      <c r="I37" s="97">
        <v>0.03</v>
      </c>
      <c r="J37" s="97">
        <v>0.02</v>
      </c>
      <c r="K37" s="97">
        <v>-0.02</v>
      </c>
      <c r="L37" s="97">
        <v>-0.03</v>
      </c>
    </row>
    <row r="38" spans="2:12" x14ac:dyDescent="0.2">
      <c r="C38" s="64"/>
    </row>
    <row r="39" spans="2:12" x14ac:dyDescent="0.2">
      <c r="C39" s="126"/>
    </row>
    <row r="40" spans="2:12" x14ac:dyDescent="0.2">
      <c r="C40" s="251" t="s">
        <v>142</v>
      </c>
      <c r="D40" s="251"/>
      <c r="E40" s="251"/>
      <c r="F40" s="251"/>
      <c r="G40" s="251"/>
      <c r="H40" s="251"/>
      <c r="I40" s="251"/>
      <c r="J40" s="251"/>
      <c r="K40" s="251"/>
      <c r="L40" s="251"/>
    </row>
    <row r="41" spans="2:12" x14ac:dyDescent="0.2">
      <c r="B41" s="16" t="s">
        <v>125</v>
      </c>
      <c r="C41" s="12">
        <f t="shared" ref="C41:L41" si="12">C6</f>
        <v>2022</v>
      </c>
      <c r="D41" s="12">
        <f t="shared" si="12"/>
        <v>2023</v>
      </c>
      <c r="E41" s="12">
        <f t="shared" si="12"/>
        <v>2024</v>
      </c>
      <c r="F41" s="12">
        <f t="shared" si="12"/>
        <v>2025</v>
      </c>
      <c r="G41" s="12">
        <f t="shared" si="12"/>
        <v>2026</v>
      </c>
      <c r="H41" s="12">
        <f t="shared" si="12"/>
        <v>2027</v>
      </c>
      <c r="I41" s="12">
        <f t="shared" si="12"/>
        <v>2028</v>
      </c>
      <c r="J41" s="12">
        <f t="shared" si="12"/>
        <v>2029</v>
      </c>
      <c r="K41" s="12">
        <f t="shared" si="12"/>
        <v>2030</v>
      </c>
      <c r="L41" s="12">
        <f t="shared" si="12"/>
        <v>2031</v>
      </c>
    </row>
    <row r="42" spans="2:12" x14ac:dyDescent="0.2">
      <c r="B42" s="1" t="s">
        <v>55</v>
      </c>
      <c r="C42" s="115">
        <f>Statement!M52</f>
        <v>1174</v>
      </c>
      <c r="D42" s="115">
        <f>Statement!N52</f>
        <v>1544</v>
      </c>
      <c r="E42" s="115">
        <f>Statement!O52</f>
        <v>1508</v>
      </c>
      <c r="F42" s="115">
        <f>Statement!P52</f>
        <v>1864</v>
      </c>
      <c r="G42" s="116">
        <f>Statement!Q52</f>
        <v>2843</v>
      </c>
      <c r="H42" s="25">
        <f>H7*H43</f>
        <v>4328.1529499999997</v>
      </c>
      <c r="I42" s="25">
        <f>I7*I43</f>
        <v>7313.0941124999999</v>
      </c>
      <c r="J42" s="25">
        <f>J7*J43</f>
        <v>11847.929670000001</v>
      </c>
      <c r="K42" s="25">
        <f>K7*K43</f>
        <v>14212.3036185</v>
      </c>
      <c r="L42" s="25">
        <f>L7*L43</f>
        <v>15398.476107300003</v>
      </c>
    </row>
    <row r="43" spans="2:12" x14ac:dyDescent="0.2">
      <c r="B43" s="123" t="s">
        <v>143</v>
      </c>
      <c r="C43" s="124">
        <f>C42/C7</f>
        <v>4.362042059894479E-2</v>
      </c>
      <c r="D43" s="124">
        <f>D42/D7</f>
        <v>5.7240305479350488E-2</v>
      </c>
      <c r="E43" s="124">
        <f>E42/E7</f>
        <v>2.4752962804898065E-2</v>
      </c>
      <c r="F43" s="124">
        <f>F42/F7</f>
        <v>1.4283853268657517E-2</v>
      </c>
      <c r="G43" s="125">
        <f>G42/G7</f>
        <v>1.3165816113884541E-2</v>
      </c>
      <c r="H43" s="97">
        <v>1.0999999999999999E-2</v>
      </c>
      <c r="I43" s="97">
        <v>1.0999999999999999E-2</v>
      </c>
      <c r="J43" s="97">
        <v>1.2E-2</v>
      </c>
      <c r="K43" s="97">
        <v>1.2E-2</v>
      </c>
      <c r="L43" s="97">
        <v>1.2E-2</v>
      </c>
    </row>
    <row r="44" spans="2:12" x14ac:dyDescent="0.2">
      <c r="B44" s="123" t="s">
        <v>144</v>
      </c>
      <c r="C44" s="124">
        <f>C42/C45</f>
        <v>1.2028688524590163</v>
      </c>
      <c r="D44" s="124">
        <f t="shared" ref="D44:L44" si="13">D42/D45</f>
        <v>0.84233496999454449</v>
      </c>
      <c r="E44" s="124">
        <f t="shared" si="13"/>
        <v>1.4106641721234798</v>
      </c>
      <c r="F44" s="124">
        <f t="shared" si="13"/>
        <v>0.57601977750309019</v>
      </c>
      <c r="G44" s="125">
        <f t="shared" si="13"/>
        <v>0.47053955643826545</v>
      </c>
      <c r="H44" s="124">
        <f t="shared" si="13"/>
        <v>0.43999999999999995</v>
      </c>
      <c r="I44" s="124">
        <f t="shared" si="13"/>
        <v>0.44</v>
      </c>
      <c r="J44" s="124">
        <f t="shared" si="13"/>
        <v>0.48</v>
      </c>
      <c r="K44" s="124">
        <f t="shared" si="13"/>
        <v>0.39999999999999997</v>
      </c>
      <c r="L44" s="124">
        <f t="shared" si="13"/>
        <v>0.40000000000000008</v>
      </c>
    </row>
    <row r="45" spans="2:12" x14ac:dyDescent="0.2">
      <c r="B45" s="1" t="s">
        <v>58</v>
      </c>
      <c r="C45" s="115">
        <f>-Statement!M108</f>
        <v>976</v>
      </c>
      <c r="D45" s="115">
        <f>-Statement!N108</f>
        <v>1833</v>
      </c>
      <c r="E45" s="115">
        <f>-Statement!O108</f>
        <v>1069</v>
      </c>
      <c r="F45" s="115">
        <f>-Statement!P108</f>
        <v>3236</v>
      </c>
      <c r="G45" s="116">
        <f>-Statement!Q108</f>
        <v>6042</v>
      </c>
      <c r="H45" s="25">
        <f>H7*H46</f>
        <v>9836.7112500000003</v>
      </c>
      <c r="I45" s="25">
        <f>I7*I46</f>
        <v>16620.6684375</v>
      </c>
      <c r="J45" s="25">
        <f>J7*J46</f>
        <v>24683.186812500004</v>
      </c>
      <c r="K45" s="25">
        <f>K7*K46</f>
        <v>35530.759046250001</v>
      </c>
      <c r="L45" s="25">
        <f>L7*L46</f>
        <v>38496.19026825</v>
      </c>
    </row>
    <row r="46" spans="2:12" x14ac:dyDescent="0.2">
      <c r="B46" s="123" t="s">
        <v>143</v>
      </c>
      <c r="C46" s="124">
        <f>C45/C7</f>
        <v>3.6263654603552055E-2</v>
      </c>
      <c r="D46" s="124">
        <f>D45/D7</f>
        <v>6.7954326388373995E-2</v>
      </c>
      <c r="E46" s="124">
        <f>E45/E7</f>
        <v>1.7547027346442992E-2</v>
      </c>
      <c r="F46" s="124">
        <f>F45/F7</f>
        <v>2.4797504923484832E-2</v>
      </c>
      <c r="G46" s="125">
        <f>G45/G7</f>
        <v>2.7980253591308617E-2</v>
      </c>
      <c r="H46" s="97">
        <v>2.5000000000000001E-2</v>
      </c>
      <c r="I46" s="97">
        <v>2.5000000000000001E-2</v>
      </c>
      <c r="J46" s="97">
        <v>2.5000000000000001E-2</v>
      </c>
      <c r="K46" s="97">
        <v>0.03</v>
      </c>
      <c r="L46" s="97">
        <v>0.03</v>
      </c>
    </row>
  </sheetData>
  <mergeCells count="13">
    <mergeCell ref="C3:G3"/>
    <mergeCell ref="H3:L3"/>
    <mergeCell ref="P3:W3"/>
    <mergeCell ref="X3:Z3"/>
    <mergeCell ref="C5:L5"/>
    <mergeCell ref="P5:Z5"/>
    <mergeCell ref="C40:L40"/>
    <mergeCell ref="C11:L11"/>
    <mergeCell ref="P11:Z11"/>
    <mergeCell ref="C18:L18"/>
    <mergeCell ref="B25:C25"/>
    <mergeCell ref="C26:L26"/>
    <mergeCell ref="C33:L33"/>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0CC1-03C8-8940-8079-159588699646}">
  <dimension ref="A1:AE34"/>
  <sheetViews>
    <sheetView topLeftCell="A13" zoomScale="183" workbookViewId="0">
      <selection activeCell="G15" sqref="G15"/>
    </sheetView>
  </sheetViews>
  <sheetFormatPr baseColWidth="10" defaultRowHeight="16" x14ac:dyDescent="0.2"/>
  <cols>
    <col min="1" max="1" width="2" style="83"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4.6640625" style="1" customWidth="1"/>
    <col min="19" max="29" width="10.83203125" style="1"/>
    <col min="30" max="30" width="2" style="1" customWidth="1"/>
    <col min="31" max="31" width="12.33203125" style="1" customWidth="1"/>
    <col min="32" max="16384" width="10.83203125" style="1"/>
  </cols>
  <sheetData>
    <row r="1" spans="1:31" s="83" customFormat="1" ht="18" customHeight="1" x14ac:dyDescent="0.2">
      <c r="A1" s="4"/>
      <c r="B1" s="82" t="s">
        <v>145</v>
      </c>
    </row>
    <row r="2" spans="1:31" x14ac:dyDescent="0.2">
      <c r="A2" s="4"/>
      <c r="C2" s="245" t="s">
        <v>105</v>
      </c>
      <c r="D2" s="245"/>
      <c r="E2" s="245"/>
      <c r="F2" s="245"/>
      <c r="G2" s="254"/>
      <c r="H2" s="255" t="s">
        <v>106</v>
      </c>
      <c r="I2" s="245"/>
      <c r="J2" s="245"/>
      <c r="K2" s="245"/>
      <c r="L2" s="245"/>
      <c r="S2" s="256"/>
      <c r="T2" s="256"/>
      <c r="U2" s="256"/>
      <c r="V2" s="256"/>
      <c r="W2" s="256"/>
      <c r="X2" s="256"/>
      <c r="Y2" s="256"/>
      <c r="Z2" s="256"/>
      <c r="AA2" s="256"/>
      <c r="AB2" s="256"/>
      <c r="AC2" s="256"/>
      <c r="AE2" s="110"/>
    </row>
    <row r="3" spans="1:31" ht="10" customHeight="1" x14ac:dyDescent="0.2"/>
    <row r="4" spans="1:31" ht="16" customHeight="1" x14ac:dyDescent="0.2">
      <c r="A4" s="86"/>
      <c r="B4" s="60"/>
      <c r="C4" s="251" t="s">
        <v>18</v>
      </c>
      <c r="D4" s="251"/>
      <c r="E4" s="251"/>
      <c r="F4" s="251"/>
      <c r="G4" s="251"/>
      <c r="H4" s="251"/>
      <c r="I4" s="251"/>
      <c r="J4" s="251"/>
      <c r="K4" s="251"/>
      <c r="L4" s="251"/>
      <c r="S4" s="256"/>
      <c r="T4" s="256"/>
      <c r="U4" s="256"/>
      <c r="V4" s="256"/>
      <c r="W4" s="256"/>
      <c r="X4" s="256"/>
      <c r="Y4" s="256"/>
      <c r="Z4" s="256"/>
      <c r="AA4" s="256"/>
      <c r="AB4" s="256"/>
      <c r="AC4" s="256"/>
      <c r="AE4" s="111"/>
    </row>
    <row r="5" spans="1:31" x14ac:dyDescent="0.2">
      <c r="B5" s="16" t="s">
        <v>125</v>
      </c>
      <c r="C5" s="12">
        <f>Revenue!C5</f>
        <v>2022</v>
      </c>
      <c r="D5" s="12">
        <f>Revenue!D5</f>
        <v>2023</v>
      </c>
      <c r="E5" s="12">
        <f>Revenue!E5</f>
        <v>2024</v>
      </c>
      <c r="F5" s="12">
        <f>Revenue!F5</f>
        <v>2025</v>
      </c>
      <c r="G5" s="12">
        <f>Revenue!G5</f>
        <v>2026</v>
      </c>
      <c r="H5" s="12">
        <f>G5+1</f>
        <v>2027</v>
      </c>
      <c r="I5" s="12">
        <f t="shared" ref="I5:L5" si="0">H5+1</f>
        <v>2028</v>
      </c>
      <c r="J5" s="12">
        <f t="shared" si="0"/>
        <v>2029</v>
      </c>
      <c r="K5" s="12">
        <f t="shared" si="0"/>
        <v>2030</v>
      </c>
      <c r="L5" s="12">
        <f t="shared" si="0"/>
        <v>2031</v>
      </c>
      <c r="R5" s="16"/>
      <c r="S5" s="112"/>
      <c r="T5" s="112"/>
      <c r="U5" s="112"/>
      <c r="V5" s="112"/>
      <c r="W5" s="112"/>
      <c r="X5" s="112"/>
      <c r="Y5" s="112"/>
      <c r="Z5" s="112"/>
      <c r="AA5" s="112"/>
      <c r="AB5" s="112"/>
      <c r="AC5" s="112"/>
      <c r="AE5" s="111"/>
    </row>
    <row r="6" spans="1:31" x14ac:dyDescent="0.2">
      <c r="B6" s="16" t="s">
        <v>19</v>
      </c>
      <c r="C6" s="92">
        <f>Revenue!C10</f>
        <v>26914</v>
      </c>
      <c r="D6" s="92">
        <f>Revenue!D10</f>
        <v>26974</v>
      </c>
      <c r="E6" s="92">
        <f>Revenue!E10</f>
        <v>60922</v>
      </c>
      <c r="F6" s="92">
        <f>Revenue!F10</f>
        <v>130497</v>
      </c>
      <c r="G6" s="93">
        <f>Revenue!G10</f>
        <v>215938</v>
      </c>
      <c r="H6" s="92">
        <f>Revenue!H10</f>
        <v>393468.45</v>
      </c>
      <c r="I6" s="92">
        <f>Revenue!I10</f>
        <v>664826.73750000005</v>
      </c>
      <c r="J6" s="92">
        <f>Revenue!J10</f>
        <v>987327.47250000015</v>
      </c>
      <c r="K6" s="92">
        <f>Revenue!K10</f>
        <v>1184358.634875</v>
      </c>
      <c r="L6" s="92">
        <f>Revenue!L10</f>
        <v>1283206.3422750002</v>
      </c>
      <c r="N6" s="90" t="s">
        <v>146</v>
      </c>
      <c r="Q6" s="90"/>
      <c r="S6" s="88"/>
      <c r="T6" s="88"/>
      <c r="U6" s="88"/>
      <c r="V6" s="88"/>
      <c r="W6" s="88"/>
      <c r="X6" s="88"/>
      <c r="Y6" s="88"/>
      <c r="Z6" s="88"/>
      <c r="AA6" s="64"/>
      <c r="AB6" s="64"/>
      <c r="AC6" s="64"/>
      <c r="AE6" s="64"/>
    </row>
    <row r="7" spans="1:31" x14ac:dyDescent="0.2">
      <c r="B7" s="1" t="s">
        <v>20</v>
      </c>
      <c r="C7" s="88">
        <f>'COGS &amp; OpEx'!C11</f>
        <v>9439</v>
      </c>
      <c r="D7" s="88">
        <f>'COGS &amp; OpEx'!D11</f>
        <v>11618</v>
      </c>
      <c r="E7" s="88">
        <f>'COGS &amp; OpEx'!E11</f>
        <v>16621</v>
      </c>
      <c r="F7" s="88">
        <f>'COGS &amp; OpEx'!F11</f>
        <v>32639</v>
      </c>
      <c r="G7" s="89">
        <f>'COGS &amp; OpEx'!G11</f>
        <v>62475</v>
      </c>
      <c r="H7" s="113">
        <f>'COGS &amp; OpEx'!H11</f>
        <v>110171.16600000001</v>
      </c>
      <c r="I7" s="113">
        <f>'COGS &amp; OpEx'!I11</f>
        <v>179503.21912500003</v>
      </c>
      <c r="J7" s="113">
        <f>'COGS &amp; OpEx'!J11</f>
        <v>266578.41757500009</v>
      </c>
      <c r="K7" s="113">
        <f>'COGS &amp; OpEx'!K11</f>
        <v>296089.65871875</v>
      </c>
      <c r="L7" s="113">
        <f>'COGS &amp; OpEx'!L11</f>
        <v>307969.522146</v>
      </c>
      <c r="N7" s="90" t="s">
        <v>147</v>
      </c>
      <c r="Q7" s="90"/>
      <c r="S7" s="88"/>
      <c r="T7" s="88"/>
      <c r="U7" s="88"/>
      <c r="V7" s="88"/>
      <c r="W7" s="88"/>
      <c r="X7" s="88"/>
      <c r="Y7" s="88"/>
      <c r="Z7" s="88"/>
      <c r="AA7" s="64"/>
      <c r="AB7" s="64"/>
      <c r="AC7" s="64"/>
      <c r="AE7" s="64"/>
    </row>
    <row r="8" spans="1:31" x14ac:dyDescent="0.2">
      <c r="B8" s="16" t="s">
        <v>148</v>
      </c>
      <c r="C8" s="94">
        <f>C6-C7</f>
        <v>17475</v>
      </c>
      <c r="D8" s="94">
        <f t="shared" ref="D8:L8" si="1">D6-D7</f>
        <v>15356</v>
      </c>
      <c r="E8" s="94">
        <f t="shared" si="1"/>
        <v>44301</v>
      </c>
      <c r="F8" s="94">
        <f t="shared" si="1"/>
        <v>97858</v>
      </c>
      <c r="G8" s="128">
        <f t="shared" si="1"/>
        <v>153463</v>
      </c>
      <c r="H8" s="94">
        <f t="shared" si="1"/>
        <v>283297.28399999999</v>
      </c>
      <c r="I8" s="94">
        <f t="shared" si="1"/>
        <v>485323.51837499999</v>
      </c>
      <c r="J8" s="94">
        <f t="shared" si="1"/>
        <v>720749.05492500006</v>
      </c>
      <c r="K8" s="94">
        <f t="shared" si="1"/>
        <v>888268.97615624999</v>
      </c>
      <c r="L8" s="94">
        <f t="shared" si="1"/>
        <v>975236.82012900012</v>
      </c>
      <c r="N8" s="90"/>
      <c r="Q8" s="90"/>
      <c r="S8" s="88"/>
      <c r="T8" s="88"/>
      <c r="U8" s="88"/>
      <c r="V8" s="88"/>
      <c r="W8" s="88"/>
      <c r="X8" s="88"/>
      <c r="Y8" s="88"/>
      <c r="Z8" s="88"/>
      <c r="AA8" s="64"/>
      <c r="AB8" s="64"/>
      <c r="AC8" s="64"/>
      <c r="AE8" s="64"/>
    </row>
    <row r="9" spans="1:31" x14ac:dyDescent="0.2">
      <c r="B9" s="1" t="s">
        <v>23</v>
      </c>
      <c r="C9" s="88">
        <f>'COGS &amp; OpEx'!C14</f>
        <v>7434</v>
      </c>
      <c r="D9" s="88">
        <f>'COGS &amp; OpEx'!D14</f>
        <v>11132</v>
      </c>
      <c r="E9" s="88">
        <f>'COGS &amp; OpEx'!E14</f>
        <v>11329</v>
      </c>
      <c r="F9" s="88">
        <f>'COGS &amp; OpEx'!F14</f>
        <v>16405</v>
      </c>
      <c r="G9" s="89">
        <f>'COGS &amp; OpEx'!G14</f>
        <v>23076</v>
      </c>
      <c r="H9" s="113">
        <f>'COGS &amp; OpEx'!H14</f>
        <v>51150.898500000003</v>
      </c>
      <c r="I9" s="113">
        <f>'COGS &amp; OpEx'!I14</f>
        <v>76455.074812499995</v>
      </c>
      <c r="J9" s="113">
        <f>'COGS &amp; OpEx'!J14</f>
        <v>113542.65933750001</v>
      </c>
      <c r="K9" s="113">
        <f>'COGS &amp; OpEx'!K14</f>
        <v>121988.939392125</v>
      </c>
      <c r="L9" s="113">
        <f>'COGS &amp; OpEx'!L14</f>
        <v>132170.25325432501</v>
      </c>
      <c r="N9" s="129" t="s">
        <v>147</v>
      </c>
      <c r="Q9" s="90"/>
      <c r="S9" s="88"/>
      <c r="T9" s="88"/>
      <c r="U9" s="88"/>
      <c r="V9" s="88"/>
      <c r="W9" s="88"/>
      <c r="X9" s="88"/>
      <c r="Y9" s="88"/>
      <c r="Z9" s="88"/>
      <c r="AA9" s="64"/>
      <c r="AB9" s="64"/>
      <c r="AC9" s="64"/>
      <c r="AE9" s="64"/>
    </row>
    <row r="10" spans="1:31" x14ac:dyDescent="0.2">
      <c r="B10" s="16" t="s">
        <v>149</v>
      </c>
      <c r="C10" s="94">
        <f t="shared" ref="C10:L10" si="2">C8-C9</f>
        <v>10041</v>
      </c>
      <c r="D10" s="94">
        <f t="shared" si="2"/>
        <v>4224</v>
      </c>
      <c r="E10" s="94">
        <f t="shared" si="2"/>
        <v>32972</v>
      </c>
      <c r="F10" s="94">
        <f t="shared" si="2"/>
        <v>81453</v>
      </c>
      <c r="G10" s="128">
        <f t="shared" si="2"/>
        <v>130387</v>
      </c>
      <c r="H10" s="94">
        <f t="shared" si="2"/>
        <v>232146.38549999997</v>
      </c>
      <c r="I10" s="94">
        <f t="shared" si="2"/>
        <v>408868.4435625</v>
      </c>
      <c r="J10" s="94">
        <f t="shared" si="2"/>
        <v>607206.39558750007</v>
      </c>
      <c r="K10" s="94">
        <f t="shared" si="2"/>
        <v>766280.03676412499</v>
      </c>
      <c r="L10" s="94">
        <f t="shared" si="2"/>
        <v>843066.5668746751</v>
      </c>
      <c r="N10" s="90"/>
      <c r="Q10" s="90"/>
      <c r="S10" s="88"/>
      <c r="T10" s="88"/>
      <c r="U10" s="88"/>
      <c r="V10" s="88"/>
      <c r="W10" s="88"/>
      <c r="X10" s="88"/>
      <c r="Y10" s="88"/>
      <c r="Z10" s="88"/>
      <c r="AA10" s="64"/>
      <c r="AB10" s="64"/>
      <c r="AC10" s="64"/>
      <c r="AE10" s="64"/>
    </row>
    <row r="13" spans="1:31" x14ac:dyDescent="0.2">
      <c r="C13" s="251" t="s">
        <v>150</v>
      </c>
      <c r="D13" s="251"/>
      <c r="E13" s="251"/>
      <c r="F13" s="251"/>
      <c r="G13" s="251"/>
      <c r="H13" s="251"/>
      <c r="I13" s="251"/>
      <c r="J13" s="251"/>
      <c r="K13" s="251"/>
      <c r="L13" s="251"/>
    </row>
    <row r="14" spans="1:31" x14ac:dyDescent="0.2">
      <c r="C14" s="12">
        <f t="shared" ref="C14:L14" si="3">C5</f>
        <v>2022</v>
      </c>
      <c r="D14" s="12">
        <f t="shared" si="3"/>
        <v>2023</v>
      </c>
      <c r="E14" s="12">
        <f t="shared" si="3"/>
        <v>2024</v>
      </c>
      <c r="F14" s="12">
        <f t="shared" si="3"/>
        <v>2025</v>
      </c>
      <c r="G14" s="12">
        <f t="shared" si="3"/>
        <v>2026</v>
      </c>
      <c r="H14" s="12">
        <f t="shared" si="3"/>
        <v>2027</v>
      </c>
      <c r="I14" s="12">
        <f t="shared" si="3"/>
        <v>2028</v>
      </c>
      <c r="J14" s="12">
        <f t="shared" si="3"/>
        <v>2029</v>
      </c>
      <c r="K14" s="12">
        <f t="shared" si="3"/>
        <v>2030</v>
      </c>
      <c r="L14" s="12">
        <f t="shared" si="3"/>
        <v>2031</v>
      </c>
    </row>
    <row r="15" spans="1:31" x14ac:dyDescent="0.2">
      <c r="B15" s="1" t="s">
        <v>71</v>
      </c>
      <c r="C15" s="130">
        <f>Statement!M82</f>
        <v>1.9012171813700834E-2</v>
      </c>
      <c r="D15" s="130">
        <f>Statement!N82</f>
        <v>0</v>
      </c>
      <c r="E15" s="130">
        <f>Statement!O82</f>
        <v>0.1199952687917677</v>
      </c>
      <c r="F15" s="130">
        <f>Statement!P82</f>
        <v>0.13264941803727417</v>
      </c>
      <c r="G15" s="131">
        <f>Statement!Q82</f>
        <v>0.15117002474372571</v>
      </c>
      <c r="H15" s="130">
        <f>Overview!$C$26</f>
        <v>0.21</v>
      </c>
      <c r="I15" s="130">
        <f>Overview!$C$26</f>
        <v>0.21</v>
      </c>
      <c r="J15" s="130">
        <f>Overview!$C$26</f>
        <v>0.21</v>
      </c>
      <c r="K15" s="130">
        <f>Overview!$C$26</f>
        <v>0.21</v>
      </c>
      <c r="L15" s="130">
        <f>Overview!$C$26</f>
        <v>0.21</v>
      </c>
      <c r="N15" s="1" t="s">
        <v>155</v>
      </c>
    </row>
    <row r="18" spans="2:14" x14ac:dyDescent="0.2">
      <c r="C18" s="251" t="s">
        <v>151</v>
      </c>
      <c r="D18" s="251"/>
      <c r="E18" s="251"/>
      <c r="F18" s="251"/>
      <c r="G18" s="251"/>
      <c r="H18" s="251"/>
      <c r="I18" s="251"/>
      <c r="J18" s="251"/>
      <c r="K18" s="251"/>
      <c r="L18" s="251"/>
    </row>
    <row r="19" spans="2:14" x14ac:dyDescent="0.2">
      <c r="B19" s="16" t="s">
        <v>125</v>
      </c>
      <c r="C19" s="12">
        <f t="shared" ref="C19:L19" si="4">C5</f>
        <v>2022</v>
      </c>
      <c r="D19" s="12">
        <f t="shared" si="4"/>
        <v>2023</v>
      </c>
      <c r="E19" s="12">
        <f t="shared" si="4"/>
        <v>2024</v>
      </c>
      <c r="F19" s="12">
        <f t="shared" si="4"/>
        <v>2025</v>
      </c>
      <c r="G19" s="12">
        <f t="shared" si="4"/>
        <v>2026</v>
      </c>
      <c r="H19" s="12">
        <f t="shared" si="4"/>
        <v>2027</v>
      </c>
      <c r="I19" s="12">
        <f t="shared" si="4"/>
        <v>2028</v>
      </c>
      <c r="J19" s="12">
        <f t="shared" si="4"/>
        <v>2029</v>
      </c>
      <c r="K19" s="12">
        <f t="shared" si="4"/>
        <v>2030</v>
      </c>
      <c r="L19" s="12">
        <f t="shared" si="4"/>
        <v>2031</v>
      </c>
    </row>
    <row r="20" spans="2:14" x14ac:dyDescent="0.2">
      <c r="B20" s="1" t="s">
        <v>55</v>
      </c>
      <c r="C20" s="88">
        <f>'WC &amp; Investments'!C42</f>
        <v>1174</v>
      </c>
      <c r="D20" s="88">
        <f>'WC &amp; Investments'!D42</f>
        <v>1544</v>
      </c>
      <c r="E20" s="88">
        <f>'WC &amp; Investments'!E42</f>
        <v>1508</v>
      </c>
      <c r="F20" s="88">
        <f>'WC &amp; Investments'!F42</f>
        <v>1864</v>
      </c>
      <c r="G20" s="89">
        <f>'WC &amp; Investments'!G42</f>
        <v>2843</v>
      </c>
      <c r="H20" s="88">
        <f>'WC &amp; Investments'!H42</f>
        <v>4328.1529499999997</v>
      </c>
      <c r="I20" s="88">
        <f>'WC &amp; Investments'!I42</f>
        <v>7313.0941124999999</v>
      </c>
      <c r="J20" s="88">
        <f>'WC &amp; Investments'!J42</f>
        <v>11847.929670000001</v>
      </c>
      <c r="K20" s="88">
        <f>'WC &amp; Investments'!K42</f>
        <v>14212.3036185</v>
      </c>
      <c r="L20" s="88">
        <f>'WC &amp; Investments'!L42</f>
        <v>15398.476107300003</v>
      </c>
      <c r="N20" s="1" t="s">
        <v>152</v>
      </c>
    </row>
    <row r="21" spans="2:14" x14ac:dyDescent="0.2">
      <c r="B21" s="1" t="s">
        <v>58</v>
      </c>
      <c r="C21" s="88">
        <f>'WC &amp; Investments'!C45</f>
        <v>976</v>
      </c>
      <c r="D21" s="88">
        <f>'WC &amp; Investments'!D45</f>
        <v>1833</v>
      </c>
      <c r="E21" s="88">
        <f>'WC &amp; Investments'!E45</f>
        <v>1069</v>
      </c>
      <c r="F21" s="88">
        <f>'WC &amp; Investments'!F45</f>
        <v>3236</v>
      </c>
      <c r="G21" s="89">
        <f>'WC &amp; Investments'!G45</f>
        <v>6042</v>
      </c>
      <c r="H21" s="88">
        <f>'WC &amp; Investments'!H45</f>
        <v>9836.7112500000003</v>
      </c>
      <c r="I21" s="88">
        <f>'WC &amp; Investments'!I45</f>
        <v>16620.6684375</v>
      </c>
      <c r="J21" s="88">
        <f>'WC &amp; Investments'!J45</f>
        <v>24683.186812500004</v>
      </c>
      <c r="K21" s="88">
        <f>'WC &amp; Investments'!K45</f>
        <v>35530.759046250001</v>
      </c>
      <c r="L21" s="88">
        <f>'WC &amp; Investments'!L45</f>
        <v>38496.19026825</v>
      </c>
      <c r="N21" s="1" t="s">
        <v>152</v>
      </c>
    </row>
    <row r="22" spans="2:14" x14ac:dyDescent="0.2">
      <c r="B22" s="1" t="s">
        <v>153</v>
      </c>
      <c r="C22" s="88">
        <f>'WC &amp; Investments'!C35</f>
        <v>-3363</v>
      </c>
      <c r="D22" s="88">
        <f>'WC &amp; Investments'!D35</f>
        <v>-2207</v>
      </c>
      <c r="E22" s="88">
        <f>'WC &amp; Investments'!E35</f>
        <v>-3722</v>
      </c>
      <c r="F22" s="88">
        <f>'WC &amp; Investments'!F35</f>
        <v>-9383</v>
      </c>
      <c r="G22" s="89">
        <f>'WC &amp; Investments'!G35</f>
        <v>-15976</v>
      </c>
      <c r="H22" s="88">
        <f>'WC &amp; Investments'!H35</f>
        <v>-34727.366006849312</v>
      </c>
      <c r="I22" s="88">
        <f>'WC &amp; Investments'!I35</f>
        <v>-40766.605903767144</v>
      </c>
      <c r="J22" s="88">
        <f>'WC &amp; Investments'!J35</f>
        <v>-25423.380046232873</v>
      </c>
      <c r="K22" s="88">
        <f>'WC &amp; Investments'!K35</f>
        <v>-60522.756273955485</v>
      </c>
      <c r="L22" s="88">
        <f>'WC &amp; Investments'!L35</f>
        <v>-56535.244877835612</v>
      </c>
      <c r="N22" s="1" t="s">
        <v>152</v>
      </c>
    </row>
    <row r="25" spans="2:14" x14ac:dyDescent="0.2">
      <c r="C25" s="251" t="s">
        <v>254</v>
      </c>
      <c r="D25" s="251"/>
      <c r="E25" s="251"/>
      <c r="F25" s="251"/>
      <c r="G25" s="251"/>
      <c r="H25" s="251"/>
      <c r="I25" s="251"/>
      <c r="J25" s="251"/>
      <c r="K25" s="251"/>
      <c r="L25" s="251"/>
    </row>
    <row r="26" spans="2:14" x14ac:dyDescent="0.2">
      <c r="B26" s="16" t="s">
        <v>125</v>
      </c>
      <c r="C26" s="12">
        <f t="shared" ref="C26:L26" si="5">C5</f>
        <v>2022</v>
      </c>
      <c r="D26" s="12">
        <f t="shared" si="5"/>
        <v>2023</v>
      </c>
      <c r="E26" s="12">
        <f t="shared" si="5"/>
        <v>2024</v>
      </c>
      <c r="F26" s="12">
        <f t="shared" si="5"/>
        <v>2025</v>
      </c>
      <c r="G26" s="12">
        <f t="shared" si="5"/>
        <v>2026</v>
      </c>
      <c r="H26" s="12">
        <f t="shared" si="5"/>
        <v>2027</v>
      </c>
      <c r="I26" s="12">
        <f t="shared" si="5"/>
        <v>2028</v>
      </c>
      <c r="J26" s="12">
        <f t="shared" si="5"/>
        <v>2029</v>
      </c>
      <c r="K26" s="12">
        <f t="shared" si="5"/>
        <v>2030</v>
      </c>
      <c r="L26" s="12">
        <f t="shared" si="5"/>
        <v>2031</v>
      </c>
    </row>
    <row r="27" spans="2:14" x14ac:dyDescent="0.2">
      <c r="B27" s="1" t="s">
        <v>154</v>
      </c>
      <c r="C27" s="127">
        <f>C10*(1-C15)</f>
        <v>9850.0987828186298</v>
      </c>
      <c r="D27" s="127">
        <f t="shared" ref="D27:L27" si="6">D10*(1-D15)</f>
        <v>4224</v>
      </c>
      <c r="E27" s="127">
        <f t="shared" si="6"/>
        <v>29015.515997397837</v>
      </c>
      <c r="F27" s="127">
        <f t="shared" si="6"/>
        <v>70648.306952609913</v>
      </c>
      <c r="G27" s="132">
        <f t="shared" si="6"/>
        <v>110676.39398373984</v>
      </c>
      <c r="H27" s="127">
        <f t="shared" si="6"/>
        <v>183395.64454499999</v>
      </c>
      <c r="I27" s="127">
        <f t="shared" si="6"/>
        <v>323006.07041437499</v>
      </c>
      <c r="J27" s="127">
        <f t="shared" si="6"/>
        <v>479693.05251412507</v>
      </c>
      <c r="K27" s="127">
        <f t="shared" si="6"/>
        <v>605361.22904365882</v>
      </c>
      <c r="L27" s="127">
        <f t="shared" si="6"/>
        <v>666022.58783099335</v>
      </c>
    </row>
    <row r="28" spans="2:14" x14ac:dyDescent="0.2">
      <c r="B28" s="16" t="s">
        <v>254</v>
      </c>
      <c r="C28" s="94">
        <f>C27+C20-C21+C22</f>
        <v>6685.0987828186298</v>
      </c>
      <c r="D28" s="94">
        <f t="shared" ref="D28:L28" si="7">D27+D20-D21+D22</f>
        <v>1728</v>
      </c>
      <c r="E28" s="94">
        <f t="shared" si="7"/>
        <v>25732.515997397837</v>
      </c>
      <c r="F28" s="94">
        <f t="shared" si="7"/>
        <v>59893.306952609913</v>
      </c>
      <c r="G28" s="128">
        <f t="shared" si="7"/>
        <v>91501.393983739836</v>
      </c>
      <c r="H28" s="94">
        <f t="shared" si="7"/>
        <v>143159.72023815068</v>
      </c>
      <c r="I28" s="94">
        <f t="shared" si="7"/>
        <v>272931.89018560783</v>
      </c>
      <c r="J28" s="94">
        <f t="shared" si="7"/>
        <v>441434.41532539215</v>
      </c>
      <c r="K28" s="94">
        <f t="shared" si="7"/>
        <v>523520.01734195335</v>
      </c>
      <c r="L28" s="94">
        <f t="shared" si="7"/>
        <v>586389.6287922078</v>
      </c>
    </row>
    <row r="31" spans="2:14" x14ac:dyDescent="0.2">
      <c r="C31" s="251" t="s">
        <v>75</v>
      </c>
      <c r="D31" s="251"/>
      <c r="E31" s="251"/>
      <c r="F31" s="251"/>
      <c r="G31" s="251"/>
      <c r="H31" s="251"/>
      <c r="I31" s="251"/>
      <c r="J31" s="251"/>
      <c r="K31" s="251"/>
      <c r="L31" s="251"/>
    </row>
    <row r="32" spans="2:14" x14ac:dyDescent="0.2">
      <c r="B32" s="16" t="s">
        <v>325</v>
      </c>
      <c r="C32" s="12">
        <f>C5</f>
        <v>2022</v>
      </c>
      <c r="D32" s="12">
        <f t="shared" ref="D32:L32" si="8">D5</f>
        <v>2023</v>
      </c>
      <c r="E32" s="12">
        <f t="shared" si="8"/>
        <v>2024</v>
      </c>
      <c r="F32" s="12">
        <f t="shared" si="8"/>
        <v>2025</v>
      </c>
      <c r="G32" s="12">
        <f t="shared" si="8"/>
        <v>2026</v>
      </c>
      <c r="H32" s="12">
        <f t="shared" si="8"/>
        <v>2027</v>
      </c>
      <c r="I32" s="12">
        <f t="shared" si="8"/>
        <v>2028</v>
      </c>
      <c r="J32" s="12">
        <f t="shared" si="8"/>
        <v>2029</v>
      </c>
      <c r="K32" s="12">
        <f t="shared" si="8"/>
        <v>2030</v>
      </c>
      <c r="L32" s="12">
        <f t="shared" si="8"/>
        <v>2031</v>
      </c>
    </row>
    <row r="33" spans="2:12" x14ac:dyDescent="0.2">
      <c r="B33" s="1" t="s">
        <v>76</v>
      </c>
      <c r="C33" s="130">
        <f>Statement!M99</f>
        <v>0.64929033216913135</v>
      </c>
      <c r="D33" s="130">
        <f>Statement!N99</f>
        <v>0.56928894490991322</v>
      </c>
      <c r="E33" s="130">
        <f>Statement!O99</f>
        <v>0.72717573290436954</v>
      </c>
      <c r="F33" s="130">
        <f>Statement!P99</f>
        <v>0.74988697058169917</v>
      </c>
      <c r="G33" s="131">
        <f>Statement!Q99</f>
        <v>0.71068084357547079</v>
      </c>
      <c r="H33" s="213">
        <f>H8/H6</f>
        <v>0.72</v>
      </c>
      <c r="I33" s="213">
        <f t="shared" ref="I33:L33" si="9">I8/I6</f>
        <v>0.72999999999999987</v>
      </c>
      <c r="J33" s="213">
        <f t="shared" si="9"/>
        <v>0.73</v>
      </c>
      <c r="K33" s="213">
        <f t="shared" si="9"/>
        <v>0.75</v>
      </c>
      <c r="L33" s="213">
        <f t="shared" si="9"/>
        <v>0.76</v>
      </c>
    </row>
    <row r="34" spans="2:12" x14ac:dyDescent="0.2">
      <c r="B34" s="1" t="s">
        <v>77</v>
      </c>
      <c r="C34" s="130">
        <f>Statement!M100</f>
        <v>0.37307720888756779</v>
      </c>
      <c r="D34" s="130">
        <f>Statement!N100</f>
        <v>0.1565952398606065</v>
      </c>
      <c r="E34" s="130">
        <f>Statement!O100</f>
        <v>0.54121663766783756</v>
      </c>
      <c r="F34" s="130">
        <f>Statement!P100</f>
        <v>0.62417526839697468</v>
      </c>
      <c r="G34" s="131">
        <f>Statement!Q100</f>
        <v>0.60381683631412719</v>
      </c>
      <c r="H34" s="213">
        <f>H10/H6</f>
        <v>0.59</v>
      </c>
      <c r="I34" s="213">
        <f t="shared" ref="I34:L34" si="10">I10/I6</f>
        <v>0.61499999999999999</v>
      </c>
      <c r="J34" s="213">
        <f t="shared" si="10"/>
        <v>0.61499999999999999</v>
      </c>
      <c r="K34" s="213">
        <f t="shared" si="10"/>
        <v>0.64700000000000002</v>
      </c>
      <c r="L34" s="213">
        <f t="shared" si="10"/>
        <v>0.65700000000000003</v>
      </c>
    </row>
  </sheetData>
  <mergeCells count="10">
    <mergeCell ref="AA2:AC2"/>
    <mergeCell ref="C4:L4"/>
    <mergeCell ref="S4:AC4"/>
    <mergeCell ref="C13:L13"/>
    <mergeCell ref="C18:L18"/>
    <mergeCell ref="C31:L31"/>
    <mergeCell ref="C25:L25"/>
    <mergeCell ref="C2:G2"/>
    <mergeCell ref="H2:L2"/>
    <mergeCell ref="S2:Z2"/>
  </mergeCells>
  <pageMargins left="0.7" right="0.7" top="0.75" bottom="0.75" header="0.3" footer="0.3"/>
  <ignoredErrors>
    <ignoredError sqref="C9:L9"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B80D-D3C0-DD46-8304-4441946EF9E3}">
  <sheetPr>
    <tabColor theme="6" tint="0.59999389629810485"/>
  </sheetPr>
  <dimension ref="B5:H13"/>
  <sheetViews>
    <sheetView workbookViewId="0">
      <selection activeCell="B13" sqref="B13"/>
    </sheetView>
  </sheetViews>
  <sheetFormatPr baseColWidth="10" defaultRowHeight="16" x14ac:dyDescent="0.2"/>
  <cols>
    <col min="1" max="7" width="10.83203125" style="1"/>
    <col min="8" max="8" width="16.5" style="1" customWidth="1"/>
    <col min="9" max="16384" width="10.83203125" style="1"/>
  </cols>
  <sheetData>
    <row r="5" spans="2:8" x14ac:dyDescent="0.2">
      <c r="H5" s="133" t="s">
        <v>418</v>
      </c>
    </row>
    <row r="6" spans="2:8" x14ac:dyDescent="0.2">
      <c r="H6" s="237" t="s">
        <v>423</v>
      </c>
    </row>
    <row r="7" spans="2:8" x14ac:dyDescent="0.2">
      <c r="H7" s="237" t="s">
        <v>419</v>
      </c>
    </row>
    <row r="8" spans="2:8" x14ac:dyDescent="0.2">
      <c r="H8" s="237" t="s">
        <v>420</v>
      </c>
    </row>
    <row r="9" spans="2:8" x14ac:dyDescent="0.2">
      <c r="H9" s="237" t="s">
        <v>421</v>
      </c>
    </row>
    <row r="10" spans="2:8" x14ac:dyDescent="0.2">
      <c r="H10" s="238" t="s">
        <v>422</v>
      </c>
    </row>
    <row r="13" spans="2:8" s="4" customFormat="1" ht="49" x14ac:dyDescent="0.2">
      <c r="B13" s="3" t="s">
        <v>156</v>
      </c>
    </row>
  </sheetData>
  <hyperlinks>
    <hyperlink ref="H6" location="Overview!B3" display="Overview'!B3" xr:uid="{3DB6C82D-D023-5C41-84B0-D0C0BFB77DAE}"/>
    <hyperlink ref="H8" location="'Analysis -&gt;'!B13" display="'Analysis -&gt;'!B13" xr:uid="{C51B6CDC-BAD8-E74E-815A-542865D3D37E}"/>
    <hyperlink ref="H9" location="'Forecast -&gt;'!B13" display="'Forecast -&gt;'!B13" xr:uid="{F55B46DC-4611-F143-96F9-CD1D252B05B5}"/>
    <hyperlink ref="H10" location="'Valuation -&gt;'!B13" display="'Valuation -&gt;'!B13" xr:uid="{28737E29-2602-0445-963A-C4E24F8943AB}"/>
    <hyperlink ref="H7" location="'Financials -&gt;'!B13" display="'Financials -&gt;'!B13" xr:uid="{6BEC8394-147C-6142-9C26-606A441DF628}"/>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FE7C-2B1B-7C49-B055-001352253955}">
  <dimension ref="A1:C20"/>
  <sheetViews>
    <sheetView topLeftCell="A12" zoomScale="187" zoomScaleNormal="100" workbookViewId="0">
      <selection activeCell="C10" sqref="C10"/>
    </sheetView>
  </sheetViews>
  <sheetFormatPr baseColWidth="10" defaultRowHeight="16" x14ac:dyDescent="0.2"/>
  <cols>
    <col min="1" max="1" width="2" style="83" customWidth="1"/>
    <col min="2" max="2" width="34.6640625" style="1" customWidth="1"/>
    <col min="3" max="3" width="11.6640625" style="1" bestFit="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3" s="83" customFormat="1" ht="18" customHeight="1" x14ac:dyDescent="0.2">
      <c r="A1" s="4"/>
      <c r="B1" s="82" t="s">
        <v>157</v>
      </c>
    </row>
    <row r="2" spans="1:3" s="83" customFormat="1" ht="18" customHeight="1" x14ac:dyDescent="0.2">
      <c r="A2" s="4"/>
      <c r="B2" s="82"/>
    </row>
    <row r="3" spans="1:3" ht="17" customHeight="1" x14ac:dyDescent="0.2"/>
    <row r="4" spans="1:3" ht="17" customHeight="1" x14ac:dyDescent="0.2">
      <c r="B4" s="245" t="s">
        <v>158</v>
      </c>
      <c r="C4" s="245"/>
    </row>
    <row r="5" spans="1:3" ht="17" customHeight="1" x14ac:dyDescent="0.2">
      <c r="B5" s="1" t="s">
        <v>159</v>
      </c>
      <c r="C5" s="137">
        <f>Statement!AC77</f>
        <v>24195</v>
      </c>
    </row>
    <row r="6" spans="1:3" ht="17" customHeight="1" x14ac:dyDescent="0.2">
      <c r="B6" s="1" t="s">
        <v>1</v>
      </c>
      <c r="C6" s="134">
        <f ca="1">Overview!C5</f>
        <v>210.96</v>
      </c>
    </row>
    <row r="7" spans="1:3" ht="17" customHeight="1" x14ac:dyDescent="0.2">
      <c r="B7" s="1" t="s">
        <v>160</v>
      </c>
      <c r="C7" s="135">
        <f ca="1">C5*C6</f>
        <v>5104177.2</v>
      </c>
    </row>
    <row r="8" spans="1:3" ht="17" customHeight="1" x14ac:dyDescent="0.2">
      <c r="B8" s="1" t="s">
        <v>161</v>
      </c>
      <c r="C8" s="113">
        <f>Statement!AC106</f>
        <v>33266</v>
      </c>
    </row>
    <row r="9" spans="1:3" ht="17" customHeight="1" x14ac:dyDescent="0.2">
      <c r="B9" s="1" t="s">
        <v>162</v>
      </c>
      <c r="C9" s="136">
        <f ca="1">Overview!F27</f>
        <v>4.9530000000000005E-2</v>
      </c>
    </row>
    <row r="10" spans="1:3" ht="17" customHeight="1" x14ac:dyDescent="0.2">
      <c r="B10" s="1" t="s">
        <v>9</v>
      </c>
      <c r="C10" s="134">
        <f ca="1">Overview!C13</f>
        <v>2.1957</v>
      </c>
    </row>
    <row r="11" spans="1:3" ht="17" customHeight="1" x14ac:dyDescent="0.2">
      <c r="B11" s="1" t="s">
        <v>163</v>
      </c>
      <c r="C11" s="136">
        <f>[1]Sheet1!$C$12</f>
        <v>4.4999999999999998E-2</v>
      </c>
    </row>
    <row r="12" spans="1:3" ht="17" customHeight="1" x14ac:dyDescent="0.2">
      <c r="B12" s="1" t="s">
        <v>71</v>
      </c>
      <c r="C12" s="136">
        <f>Overview!C26</f>
        <v>0.21</v>
      </c>
    </row>
    <row r="13" spans="1:3" ht="17" customHeight="1" x14ac:dyDescent="0.2">
      <c r="B13" s="1" t="s">
        <v>164</v>
      </c>
      <c r="C13" s="136">
        <f>Overview!C27</f>
        <v>0.05</v>
      </c>
    </row>
    <row r="14" spans="1:3" ht="17" customHeight="1" x14ac:dyDescent="0.2"/>
    <row r="15" spans="1:3" ht="17" customHeight="1" x14ac:dyDescent="0.2">
      <c r="B15" s="245" t="s">
        <v>165</v>
      </c>
      <c r="C15" s="245"/>
    </row>
    <row r="16" spans="1:3" ht="17" customHeight="1" x14ac:dyDescent="0.2">
      <c r="B16" s="1" t="s">
        <v>166</v>
      </c>
      <c r="C16" s="46">
        <f ca="1">C8/(C8+C7)</f>
        <v>6.4752054095702704E-3</v>
      </c>
    </row>
    <row r="17" spans="2:3" ht="17" customHeight="1" x14ac:dyDescent="0.2">
      <c r="B17" s="1" t="s">
        <v>167</v>
      </c>
      <c r="C17" s="46">
        <f ca="1">C7/(C8+C7)</f>
        <v>0.99352479459042975</v>
      </c>
    </row>
    <row r="18" spans="2:3" ht="17" customHeight="1" x14ac:dyDescent="0.2">
      <c r="B18" s="1" t="s">
        <v>168</v>
      </c>
      <c r="C18" s="46">
        <f>C13*(1-C12)</f>
        <v>3.9500000000000007E-2</v>
      </c>
    </row>
    <row r="19" spans="2:3" ht="17" customHeight="1" x14ac:dyDescent="0.2">
      <c r="B19" s="1" t="s">
        <v>169</v>
      </c>
      <c r="C19" s="46">
        <f ca="1">C9+C10*C11</f>
        <v>0.14833649999999998</v>
      </c>
    </row>
    <row r="20" spans="2:3" ht="17" customHeight="1" x14ac:dyDescent="0.2">
      <c r="B20" s="1" t="s">
        <v>157</v>
      </c>
      <c r="C20" s="46">
        <f ca="1">(C17*C19)+(C16*C18)</f>
        <v>0.14763176130644129</v>
      </c>
    </row>
  </sheetData>
  <mergeCells count="2">
    <mergeCell ref="B4:C4"/>
    <mergeCell ref="B15:C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76C87-6799-634E-8DEB-EF0E693AF74F}">
  <dimension ref="A1:AB26"/>
  <sheetViews>
    <sheetView topLeftCell="A19" zoomScale="188" zoomScaleNormal="100" workbookViewId="0">
      <selection activeCell="D26" sqref="D26"/>
    </sheetView>
  </sheetViews>
  <sheetFormatPr baseColWidth="10" defaultRowHeight="16" x14ac:dyDescent="0.2"/>
  <cols>
    <col min="1" max="1" width="2" style="83"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171</v>
      </c>
    </row>
    <row r="2" spans="1:28" s="83" customFormat="1" ht="18" customHeight="1" x14ac:dyDescent="0.2">
      <c r="A2" s="4"/>
      <c r="B2" s="82"/>
    </row>
    <row r="3" spans="1:28" x14ac:dyDescent="0.2">
      <c r="A3" s="4"/>
      <c r="C3" s="245" t="s">
        <v>105</v>
      </c>
      <c r="D3" s="245"/>
      <c r="E3" s="245"/>
      <c r="F3" s="245"/>
      <c r="G3" s="254"/>
      <c r="H3" s="255" t="s">
        <v>106</v>
      </c>
      <c r="I3" s="245"/>
      <c r="J3" s="245"/>
      <c r="K3" s="245"/>
      <c r="L3" s="245"/>
      <c r="P3" s="256"/>
      <c r="Q3" s="256"/>
      <c r="R3" s="256"/>
      <c r="S3" s="256"/>
      <c r="T3" s="256"/>
      <c r="U3" s="256"/>
      <c r="V3" s="256"/>
      <c r="W3" s="256"/>
      <c r="X3" s="256"/>
      <c r="Y3" s="256"/>
      <c r="Z3" s="256"/>
      <c r="AB3" s="110"/>
    </row>
    <row r="4" spans="1:28" ht="10" customHeight="1" x14ac:dyDescent="0.2"/>
    <row r="5" spans="1:28" ht="16" customHeight="1" x14ac:dyDescent="0.2">
      <c r="A5" s="86"/>
      <c r="B5" s="60"/>
      <c r="C5" s="251" t="s">
        <v>172</v>
      </c>
      <c r="D5" s="251"/>
      <c r="E5" s="251"/>
      <c r="F5" s="251"/>
      <c r="G5" s="251"/>
      <c r="H5" s="251"/>
      <c r="I5" s="251"/>
      <c r="J5" s="251"/>
      <c r="K5" s="251"/>
      <c r="L5" s="251"/>
      <c r="P5" s="256"/>
      <c r="Q5" s="256"/>
      <c r="R5" s="256"/>
      <c r="S5" s="256"/>
      <c r="T5" s="256"/>
      <c r="U5" s="256"/>
      <c r="V5" s="256"/>
      <c r="W5" s="256"/>
      <c r="X5" s="256"/>
      <c r="Y5" s="256"/>
      <c r="Z5" s="256"/>
      <c r="AB5" s="111"/>
    </row>
    <row r="6" spans="1:28" x14ac:dyDescent="0.2">
      <c r="B6" s="16" t="s">
        <v>125</v>
      </c>
      <c r="C6" s="12">
        <f>Revenue!C5</f>
        <v>2022</v>
      </c>
      <c r="D6" s="12">
        <f>Revenue!D5</f>
        <v>2023</v>
      </c>
      <c r="E6" s="12">
        <f>Revenue!E5</f>
        <v>2024</v>
      </c>
      <c r="F6" s="12">
        <f>Revenue!F5</f>
        <v>2025</v>
      </c>
      <c r="G6" s="12">
        <f>Revenue!G5</f>
        <v>2026</v>
      </c>
      <c r="H6" s="12">
        <f>Revenue!H5</f>
        <v>2027</v>
      </c>
      <c r="I6" s="12">
        <f>Revenue!I5</f>
        <v>2028</v>
      </c>
      <c r="J6" s="12">
        <f>Revenue!J5</f>
        <v>2029</v>
      </c>
      <c r="K6" s="12">
        <f>Revenue!K5</f>
        <v>2030</v>
      </c>
      <c r="L6" s="12">
        <f>Revenue!L5</f>
        <v>2031</v>
      </c>
      <c r="O6" s="16"/>
      <c r="P6" s="112"/>
      <c r="Q6" s="112"/>
      <c r="R6" s="112"/>
      <c r="S6" s="112"/>
      <c r="T6" s="112"/>
      <c r="U6" s="112"/>
      <c r="V6" s="112"/>
      <c r="W6" s="112"/>
      <c r="X6" s="112"/>
      <c r="Y6" s="112"/>
      <c r="Z6" s="112"/>
      <c r="AB6" s="111"/>
    </row>
    <row r="7" spans="1:28" x14ac:dyDescent="0.2">
      <c r="B7" s="39" t="s">
        <v>254</v>
      </c>
      <c r="C7" s="113">
        <f>'FCF &amp; Other'!C28</f>
        <v>6685.0987828186298</v>
      </c>
      <c r="D7" s="113">
        <f>'FCF &amp; Other'!D28</f>
        <v>1728</v>
      </c>
      <c r="E7" s="113">
        <f>'FCF &amp; Other'!E28</f>
        <v>25732.515997397837</v>
      </c>
      <c r="F7" s="113">
        <f>'FCF &amp; Other'!F28</f>
        <v>59893.306952609913</v>
      </c>
      <c r="G7" s="114">
        <f>'FCF &amp; Other'!G28</f>
        <v>91501.393983739836</v>
      </c>
      <c r="H7" s="113">
        <f>'FCF &amp; Other'!H28</f>
        <v>143159.72023815068</v>
      </c>
      <c r="I7" s="113">
        <f>'FCF &amp; Other'!I28</f>
        <v>272931.89018560783</v>
      </c>
      <c r="J7" s="113">
        <f>'FCF &amp; Other'!J28</f>
        <v>441434.41532539215</v>
      </c>
      <c r="K7" s="113">
        <f>'FCF &amp; Other'!K28</f>
        <v>523520.01734195335</v>
      </c>
      <c r="L7" s="113">
        <f>'FCF &amp; Other'!L28</f>
        <v>586389.6287922078</v>
      </c>
      <c r="N7" s="91"/>
      <c r="O7" s="16"/>
      <c r="P7" s="92"/>
      <c r="Q7" s="92"/>
      <c r="R7" s="92"/>
      <c r="S7" s="92"/>
      <c r="T7" s="92"/>
      <c r="U7" s="92"/>
      <c r="V7" s="92"/>
      <c r="W7" s="92"/>
      <c r="X7" s="94"/>
      <c r="Y7" s="94"/>
      <c r="Z7" s="94"/>
      <c r="AB7" s="94"/>
    </row>
    <row r="8" spans="1:28" x14ac:dyDescent="0.2">
      <c r="B8" s="39" t="s">
        <v>173</v>
      </c>
      <c r="C8" s="127">
        <v>0</v>
      </c>
      <c r="D8" s="127">
        <v>0</v>
      </c>
      <c r="E8" s="127">
        <v>0</v>
      </c>
      <c r="F8" s="127">
        <v>0</v>
      </c>
      <c r="G8" s="132">
        <v>0</v>
      </c>
      <c r="H8" s="127">
        <v>0</v>
      </c>
      <c r="I8" s="127">
        <v>0</v>
      </c>
      <c r="J8" s="127">
        <v>0</v>
      </c>
      <c r="K8" s="127">
        <v>0</v>
      </c>
      <c r="L8" s="127">
        <f>L7*(1+C14)/(C15-C14)</f>
        <v>6326835.4685475044</v>
      </c>
      <c r="N8" s="91"/>
      <c r="O8" s="16"/>
      <c r="P8" s="92"/>
      <c r="Q8" s="92"/>
      <c r="R8" s="92"/>
      <c r="S8" s="92"/>
      <c r="T8" s="92"/>
      <c r="U8" s="92"/>
      <c r="V8" s="92"/>
      <c r="W8" s="92"/>
      <c r="X8" s="94"/>
      <c r="Y8" s="94"/>
      <c r="Z8" s="94"/>
      <c r="AB8" s="94"/>
    </row>
    <row r="9" spans="1:28" x14ac:dyDescent="0.2">
      <c r="B9" s="1" t="s">
        <v>174</v>
      </c>
      <c r="C9" s="138"/>
      <c r="D9" s="138"/>
      <c r="E9" s="138"/>
      <c r="F9" s="138"/>
      <c r="G9" s="139"/>
      <c r="H9" s="140">
        <v>1</v>
      </c>
      <c r="I9" s="140">
        <v>2</v>
      </c>
      <c r="J9" s="140">
        <v>3</v>
      </c>
      <c r="K9" s="140">
        <v>4</v>
      </c>
      <c r="L9" s="140">
        <v>5</v>
      </c>
      <c r="N9" s="91"/>
    </row>
    <row r="10" spans="1:28" x14ac:dyDescent="0.2">
      <c r="B10" s="1" t="s">
        <v>312</v>
      </c>
      <c r="C10" s="138"/>
      <c r="D10" s="138"/>
      <c r="E10" s="138"/>
      <c r="F10" s="138"/>
      <c r="G10" s="139"/>
      <c r="H10" s="127">
        <f>H7/(1+$C$15)^H9</f>
        <v>127821.1787840631</v>
      </c>
      <c r="I10" s="127">
        <f t="shared" ref="I10:L10" si="0">I7/(1+$C$15)^I9</f>
        <v>217579.63184439397</v>
      </c>
      <c r="J10" s="127">
        <f t="shared" si="0"/>
        <v>314204.2975336758</v>
      </c>
      <c r="K10" s="127">
        <f t="shared" si="0"/>
        <v>332706.43542762211</v>
      </c>
      <c r="L10" s="127">
        <f t="shared" si="0"/>
        <v>332733.22329155909</v>
      </c>
      <c r="N10" s="91"/>
    </row>
    <row r="11" spans="1:28" x14ac:dyDescent="0.2">
      <c r="B11" s="1" t="s">
        <v>175</v>
      </c>
      <c r="C11" s="138"/>
      <c r="D11" s="138"/>
      <c r="E11" s="138"/>
      <c r="F11" s="138"/>
      <c r="G11" s="139"/>
      <c r="H11" s="138"/>
      <c r="I11" s="138"/>
      <c r="J11" s="138"/>
      <c r="K11" s="138"/>
      <c r="L11" s="127">
        <f>L8/(1+C15)^L9</f>
        <v>3590016.3565668208</v>
      </c>
    </row>
    <row r="13" spans="1:28" x14ac:dyDescent="0.2">
      <c r="B13" s="245" t="s">
        <v>176</v>
      </c>
      <c r="C13" s="245"/>
    </row>
    <row r="14" spans="1:28" x14ac:dyDescent="0.2">
      <c r="B14" s="1" t="s">
        <v>177</v>
      </c>
      <c r="C14" s="141">
        <v>2.5000000000000001E-2</v>
      </c>
    </row>
    <row r="15" spans="1:28" x14ac:dyDescent="0.2">
      <c r="B15" s="1" t="s">
        <v>157</v>
      </c>
      <c r="C15" s="136">
        <f>IF(Overview!C28&gt;0,Overview!C28,WACC!C20)</f>
        <v>0.12</v>
      </c>
    </row>
    <row r="18" spans="2:3" x14ac:dyDescent="0.2">
      <c r="B18" s="245" t="s">
        <v>178</v>
      </c>
      <c r="C18" s="245"/>
    </row>
    <row r="19" spans="2:3" x14ac:dyDescent="0.2">
      <c r="B19" s="1" t="s">
        <v>179</v>
      </c>
      <c r="C19" s="64">
        <f>SUM(H10:L10)</f>
        <v>1325044.7668813141</v>
      </c>
    </row>
    <row r="20" spans="2:3" x14ac:dyDescent="0.2">
      <c r="B20" s="1" t="s">
        <v>175</v>
      </c>
      <c r="C20" s="64">
        <f>L11</f>
        <v>3590016.3565668208</v>
      </c>
    </row>
    <row r="21" spans="2:3" x14ac:dyDescent="0.2">
      <c r="B21" s="16" t="s">
        <v>180</v>
      </c>
      <c r="C21" s="94">
        <f>C19+C20</f>
        <v>4915061.1234481353</v>
      </c>
    </row>
    <row r="22" spans="2:3" x14ac:dyDescent="0.2">
      <c r="B22" s="1" t="s">
        <v>181</v>
      </c>
      <c r="C22" s="137">
        <f>Statement!AC105</f>
        <v>99369</v>
      </c>
    </row>
    <row r="23" spans="2:3" x14ac:dyDescent="0.2">
      <c r="B23" s="1" t="s">
        <v>182</v>
      </c>
      <c r="C23" s="137">
        <f>Statement!AC106</f>
        <v>33266</v>
      </c>
    </row>
    <row r="24" spans="2:3" x14ac:dyDescent="0.2">
      <c r="B24" s="16" t="s">
        <v>183</v>
      </c>
      <c r="C24" s="94">
        <f>C21+C22-C23</f>
        <v>4981164.1234481353</v>
      </c>
    </row>
    <row r="25" spans="2:3" x14ac:dyDescent="0.2">
      <c r="B25" s="1" t="s">
        <v>67</v>
      </c>
      <c r="C25" s="137">
        <f>Statement!AC77</f>
        <v>24195</v>
      </c>
    </row>
    <row r="26" spans="2:3" x14ac:dyDescent="0.2">
      <c r="B26" s="233" t="s">
        <v>184</v>
      </c>
      <c r="C26" s="234">
        <f>C24/C25</f>
        <v>205.87576455664953</v>
      </c>
    </row>
  </sheetData>
  <mergeCells count="8">
    <mergeCell ref="X3:Z3"/>
    <mergeCell ref="C5:L5"/>
    <mergeCell ref="P5:Z5"/>
    <mergeCell ref="B13:C13"/>
    <mergeCell ref="B18:C18"/>
    <mergeCell ref="C3:G3"/>
    <mergeCell ref="H3:L3"/>
    <mergeCell ref="P3:W3"/>
  </mergeCells>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33819-10E3-B843-9B8A-30FFCAB234A7}">
  <dimension ref="A1:N84"/>
  <sheetViews>
    <sheetView topLeftCell="A71" zoomScale="192" zoomScaleNormal="100" workbookViewId="0">
      <selection activeCell="C76" sqref="C76"/>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185</v>
      </c>
    </row>
    <row r="2" spans="1:14" x14ac:dyDescent="0.2">
      <c r="A2" s="4"/>
      <c r="C2" s="245" t="s">
        <v>105</v>
      </c>
      <c r="D2" s="245"/>
      <c r="E2" s="245"/>
      <c r="F2" s="245"/>
      <c r="G2" s="254"/>
      <c r="H2" s="255" t="s">
        <v>106</v>
      </c>
      <c r="I2" s="245"/>
      <c r="J2" s="245"/>
      <c r="K2" s="245"/>
      <c r="L2" s="245"/>
    </row>
    <row r="3" spans="1:14" ht="10" customHeight="1" x14ac:dyDescent="0.2"/>
    <row r="4" spans="1:14" ht="16" customHeight="1" x14ac:dyDescent="0.2">
      <c r="A4" s="86"/>
      <c r="B4" s="60"/>
      <c r="C4" s="251" t="s">
        <v>186</v>
      </c>
      <c r="D4" s="251"/>
      <c r="E4" s="251"/>
      <c r="F4" s="251"/>
      <c r="G4" s="251"/>
      <c r="H4" s="251"/>
      <c r="I4" s="251"/>
      <c r="J4" s="251"/>
      <c r="K4" s="251"/>
      <c r="L4" s="251"/>
    </row>
    <row r="5" spans="1:14" x14ac:dyDescent="0.2">
      <c r="B5" s="16" t="s">
        <v>109</v>
      </c>
      <c r="C5" s="12">
        <f>Revenue!C5</f>
        <v>2022</v>
      </c>
      <c r="D5" s="12">
        <f>Revenue!D5</f>
        <v>2023</v>
      </c>
      <c r="E5" s="12">
        <f>Revenue!E5</f>
        <v>2024</v>
      </c>
      <c r="F5" s="12">
        <f>Revenue!F5</f>
        <v>2025</v>
      </c>
      <c r="G5" s="12">
        <f>Revenue!G5</f>
        <v>2026</v>
      </c>
      <c r="H5" s="12">
        <f>Revenue!H5</f>
        <v>2027</v>
      </c>
      <c r="I5" s="12">
        <f>Revenue!I5</f>
        <v>2028</v>
      </c>
      <c r="J5" s="12">
        <f>Revenue!J5</f>
        <v>2029</v>
      </c>
      <c r="K5" s="12">
        <f>Revenue!K5</f>
        <v>2030</v>
      </c>
      <c r="L5" s="12">
        <f>Revenue!L5</f>
        <v>2031</v>
      </c>
    </row>
    <row r="6" spans="1:14" x14ac:dyDescent="0.2">
      <c r="B6" s="16" t="s">
        <v>19</v>
      </c>
      <c r="C6" s="92">
        <f>Revenue!C10</f>
        <v>26914</v>
      </c>
      <c r="D6" s="92">
        <f>Revenue!D10</f>
        <v>26974</v>
      </c>
      <c r="E6" s="92">
        <f>Revenue!E10</f>
        <v>60922</v>
      </c>
      <c r="F6" s="92">
        <f>Revenue!F10</f>
        <v>130497</v>
      </c>
      <c r="G6" s="93">
        <f>Revenue!G10</f>
        <v>215938</v>
      </c>
      <c r="H6" s="92">
        <f>Revenue!H10</f>
        <v>393468.45</v>
      </c>
      <c r="I6" s="92">
        <f>Revenue!I10</f>
        <v>664826.73750000005</v>
      </c>
      <c r="J6" s="92">
        <f>Revenue!J10</f>
        <v>987327.47250000015</v>
      </c>
      <c r="K6" s="92">
        <f>Revenue!K10</f>
        <v>1184358.634875</v>
      </c>
      <c r="L6" s="92">
        <f>Revenue!L10</f>
        <v>1283206.3422750002</v>
      </c>
      <c r="N6" s="91"/>
    </row>
    <row r="7" spans="1:14" x14ac:dyDescent="0.2">
      <c r="B7" s="16" t="s">
        <v>149</v>
      </c>
      <c r="C7" s="92">
        <f>'FCF &amp; Other'!C10</f>
        <v>10041</v>
      </c>
      <c r="D7" s="92">
        <f>'FCF &amp; Other'!D10</f>
        <v>4224</v>
      </c>
      <c r="E7" s="92">
        <f>'FCF &amp; Other'!E10</f>
        <v>32972</v>
      </c>
      <c r="F7" s="92">
        <f>'FCF &amp; Other'!F10</f>
        <v>81453</v>
      </c>
      <c r="G7" s="93">
        <f>'FCF &amp; Other'!G10</f>
        <v>130387</v>
      </c>
      <c r="H7" s="92">
        <f>'FCF &amp; Other'!H10</f>
        <v>232146.38549999997</v>
      </c>
      <c r="I7" s="92">
        <f>'FCF &amp; Other'!I10</f>
        <v>408868.4435625</v>
      </c>
      <c r="J7" s="92">
        <f>'FCF &amp; Other'!J10</f>
        <v>607206.39558750007</v>
      </c>
      <c r="K7" s="92">
        <f>'FCF &amp; Other'!K10</f>
        <v>766280.03676412499</v>
      </c>
      <c r="L7" s="92">
        <f>'FCF &amp; Other'!L10</f>
        <v>843066.5668746751</v>
      </c>
      <c r="N7" s="91"/>
    </row>
    <row r="8" spans="1:14" x14ac:dyDescent="0.2">
      <c r="B8" s="16" t="s">
        <v>254</v>
      </c>
      <c r="C8" s="92">
        <f>'FCF &amp; Other'!C28</f>
        <v>6685.0987828186298</v>
      </c>
      <c r="D8" s="92">
        <f>'FCF &amp; Other'!D28</f>
        <v>1728</v>
      </c>
      <c r="E8" s="92">
        <f>'FCF &amp; Other'!E28</f>
        <v>25732.515997397837</v>
      </c>
      <c r="F8" s="92">
        <f>'FCF &amp; Other'!F28</f>
        <v>59893.306952609913</v>
      </c>
      <c r="G8" s="93">
        <f>'FCF &amp; Other'!G28</f>
        <v>91501.393983739836</v>
      </c>
      <c r="H8" s="92">
        <f>'FCF &amp; Other'!H28</f>
        <v>143159.72023815068</v>
      </c>
      <c r="I8" s="92">
        <f>'FCF &amp; Other'!I28</f>
        <v>272931.89018560783</v>
      </c>
      <c r="J8" s="92">
        <f>'FCF &amp; Other'!J28</f>
        <v>441434.41532539215</v>
      </c>
      <c r="K8" s="92">
        <f>'FCF &amp; Other'!K28</f>
        <v>523520.01734195335</v>
      </c>
      <c r="L8" s="92">
        <f>'FCF &amp; Other'!L28</f>
        <v>586389.6287922078</v>
      </c>
      <c r="N8" s="91"/>
    </row>
    <row r="9" spans="1:14" x14ac:dyDescent="0.2">
      <c r="B9" s="16" t="s">
        <v>312</v>
      </c>
      <c r="C9" s="138"/>
      <c r="D9" s="138"/>
      <c r="E9" s="138"/>
      <c r="F9" s="138"/>
      <c r="G9" s="139"/>
      <c r="H9" s="92">
        <f>DCF!H10</f>
        <v>127821.1787840631</v>
      </c>
      <c r="I9" s="92">
        <f>DCF!I10</f>
        <v>217579.63184439397</v>
      </c>
      <c r="J9" s="92">
        <f>DCF!J10</f>
        <v>314204.2975336758</v>
      </c>
      <c r="K9" s="92">
        <f>DCF!K10</f>
        <v>332706.43542762211</v>
      </c>
      <c r="L9" s="92">
        <f>DCF!L10</f>
        <v>332733.22329155909</v>
      </c>
      <c r="N9" s="91"/>
    </row>
    <row r="10" spans="1:14" x14ac:dyDescent="0.2">
      <c r="N10" s="91"/>
    </row>
    <row r="11" spans="1:14" x14ac:dyDescent="0.2">
      <c r="C11" s="251" t="s">
        <v>114</v>
      </c>
      <c r="D11" s="251"/>
      <c r="E11" s="251"/>
      <c r="F11" s="251"/>
      <c r="G11" s="251"/>
      <c r="H11" s="251"/>
      <c r="I11" s="251"/>
      <c r="J11" s="251"/>
      <c r="K11" s="251"/>
      <c r="L11" s="251"/>
      <c r="N11" s="91"/>
    </row>
    <row r="12" spans="1:14" x14ac:dyDescent="0.2">
      <c r="B12" s="16" t="s">
        <v>187</v>
      </c>
      <c r="C12" s="12">
        <f>C5</f>
        <v>2022</v>
      </c>
      <c r="D12" s="12">
        <f t="shared" ref="D12:L12" si="0">D5</f>
        <v>2023</v>
      </c>
      <c r="E12" s="12">
        <f t="shared" si="0"/>
        <v>2024</v>
      </c>
      <c r="F12" s="12">
        <f t="shared" si="0"/>
        <v>2025</v>
      </c>
      <c r="G12" s="12">
        <f t="shared" si="0"/>
        <v>2026</v>
      </c>
      <c r="H12" s="12">
        <f t="shared" si="0"/>
        <v>2027</v>
      </c>
      <c r="I12" s="12">
        <f t="shared" si="0"/>
        <v>2028</v>
      </c>
      <c r="J12" s="12">
        <f t="shared" si="0"/>
        <v>2029</v>
      </c>
      <c r="K12" s="12">
        <f t="shared" si="0"/>
        <v>2030</v>
      </c>
      <c r="L12" s="12">
        <f t="shared" si="0"/>
        <v>2031</v>
      </c>
      <c r="N12" s="91"/>
    </row>
    <row r="13" spans="1:14" x14ac:dyDescent="0.2">
      <c r="B13" s="1" t="s">
        <v>19</v>
      </c>
      <c r="C13" s="138"/>
      <c r="D13" s="95">
        <f>(D6-C6)/C6</f>
        <v>2.2293230289068887E-3</v>
      </c>
      <c r="E13" s="95">
        <f t="shared" ref="E13:L13" si="1">(E6-D6)/D6</f>
        <v>1.2585452658115222</v>
      </c>
      <c r="F13" s="95">
        <f t="shared" si="1"/>
        <v>1.1420340763599357</v>
      </c>
      <c r="G13" s="96">
        <f t="shared" si="1"/>
        <v>0.65473535790094795</v>
      </c>
      <c r="H13" s="95">
        <f t="shared" si="1"/>
        <v>0.82213621502468304</v>
      </c>
      <c r="I13" s="95">
        <f t="shared" si="1"/>
        <v>0.68965704238802383</v>
      </c>
      <c r="J13" s="95">
        <f t="shared" si="1"/>
        <v>0.48508989908066097</v>
      </c>
      <c r="K13" s="95">
        <f t="shared" si="1"/>
        <v>0.19956009314326034</v>
      </c>
      <c r="L13" s="95">
        <f t="shared" si="1"/>
        <v>8.3460958943768593E-2</v>
      </c>
      <c r="N13" s="91"/>
    </row>
    <row r="14" spans="1:14" x14ac:dyDescent="0.2">
      <c r="B14" s="1" t="s">
        <v>149</v>
      </c>
      <c r="C14" s="138"/>
      <c r="D14" s="95">
        <f>IF(C7=0,
IF(D7=0,0,IF(D7&gt;0,1,-1)),
(D7-C7)/ABS(C7)
)</f>
        <v>-0.57932476844935765</v>
      </c>
      <c r="E14" s="95">
        <f t="shared" ref="E14:L14" si="2">IF(D7=0,
IF(E7=0,0,IF(E7&gt;0,1,-1)),
(E7-D7)/ABS(D7)
)</f>
        <v>6.8058712121212119</v>
      </c>
      <c r="F14" s="95">
        <f t="shared" si="2"/>
        <v>1.470368797767803</v>
      </c>
      <c r="G14" s="96">
        <f t="shared" si="2"/>
        <v>0.60076363055995485</v>
      </c>
      <c r="H14" s="95">
        <f t="shared" si="2"/>
        <v>0.78044119045610361</v>
      </c>
      <c r="I14" s="95">
        <f t="shared" si="2"/>
        <v>0.76125267977734701</v>
      </c>
      <c r="J14" s="95">
        <f t="shared" si="2"/>
        <v>0.48508989908066102</v>
      </c>
      <c r="K14" s="95">
        <f t="shared" si="2"/>
        <v>0.26197622807103976</v>
      </c>
      <c r="L14" s="95">
        <f t="shared" si="2"/>
        <v>0.10020687793826268</v>
      </c>
      <c r="N14" s="91"/>
    </row>
    <row r="15" spans="1:14" x14ac:dyDescent="0.2">
      <c r="B15" s="1" t="s">
        <v>254</v>
      </c>
      <c r="C15" s="138"/>
      <c r="D15" s="95">
        <f>IF(C8=0,
IF(D8=0,0,IF(D8&gt;0,1,-1)),
(D8-C8)/ABS(C8)
)</f>
        <v>-0.74151466475841277</v>
      </c>
      <c r="E15" s="95">
        <f t="shared" ref="E15:L15" si="3">IF(D8=0,
IF(E8=0,0,IF(E8&gt;0,1,-1)),
(E8-D8)/ABS(D8)
)</f>
        <v>13.891502313308933</v>
      </c>
      <c r="F15" s="95">
        <f t="shared" si="3"/>
        <v>1.3275340413143641</v>
      </c>
      <c r="G15" s="96">
        <f t="shared" si="3"/>
        <v>0.52773988679802841</v>
      </c>
      <c r="H15" s="95">
        <f t="shared" si="3"/>
        <v>0.56456327062722933</v>
      </c>
      <c r="I15" s="95">
        <f t="shared" si="3"/>
        <v>0.90648521617377487</v>
      </c>
      <c r="J15" s="95">
        <f t="shared" si="3"/>
        <v>0.61737939463649294</v>
      </c>
      <c r="K15" s="95">
        <f t="shared" si="3"/>
        <v>0.18595197648115833</v>
      </c>
      <c r="L15" s="95">
        <f t="shared" si="3"/>
        <v>0.12009017681780296</v>
      </c>
      <c r="N15" s="91"/>
    </row>
    <row r="16" spans="1:14" x14ac:dyDescent="0.2">
      <c r="N16" s="91"/>
    </row>
    <row r="17" spans="2:14" x14ac:dyDescent="0.2">
      <c r="C17" s="251" t="s">
        <v>188</v>
      </c>
      <c r="D17" s="251"/>
      <c r="E17" s="251"/>
      <c r="F17" s="251"/>
      <c r="G17" s="251"/>
      <c r="H17" s="251"/>
      <c r="I17" s="251"/>
      <c r="J17" s="251"/>
      <c r="K17" s="251"/>
      <c r="L17" s="251"/>
      <c r="N17" s="91"/>
    </row>
    <row r="18" spans="2:14" x14ac:dyDescent="0.2">
      <c r="C18" s="12">
        <f t="shared" ref="C18:L18" si="4">C5</f>
        <v>2022</v>
      </c>
      <c r="D18" s="12">
        <f t="shared" si="4"/>
        <v>2023</v>
      </c>
      <c r="E18" s="12">
        <f t="shared" si="4"/>
        <v>2024</v>
      </c>
      <c r="F18" s="12">
        <f t="shared" si="4"/>
        <v>2025</v>
      </c>
      <c r="G18" s="12">
        <f t="shared" si="4"/>
        <v>2026</v>
      </c>
      <c r="H18" s="12">
        <f t="shared" si="4"/>
        <v>2027</v>
      </c>
      <c r="I18" s="12">
        <f t="shared" si="4"/>
        <v>2028</v>
      </c>
      <c r="J18" s="12">
        <f t="shared" si="4"/>
        <v>2029</v>
      </c>
      <c r="K18" s="12">
        <f t="shared" si="4"/>
        <v>2030</v>
      </c>
      <c r="L18" s="12">
        <f t="shared" si="4"/>
        <v>2031</v>
      </c>
      <c r="N18" s="91"/>
    </row>
    <row r="19" spans="2:14" x14ac:dyDescent="0.2">
      <c r="B19" s="1" t="s">
        <v>189</v>
      </c>
      <c r="C19" s="100">
        <f>Statement!M21</f>
        <v>25350</v>
      </c>
      <c r="D19" s="100">
        <f>Statement!N21</f>
        <v>25070</v>
      </c>
      <c r="E19" s="100">
        <f>Statement!O21</f>
        <v>24940</v>
      </c>
      <c r="F19" s="100">
        <f>Statement!P21</f>
        <v>24804</v>
      </c>
      <c r="G19" s="101">
        <f>Statement!Q21</f>
        <v>24514</v>
      </c>
      <c r="H19" s="142">
        <f>G19*(1+H20)</f>
        <v>24146.29</v>
      </c>
      <c r="I19" s="142">
        <f t="shared" ref="I19:L19" si="5">H19*(1+I20)</f>
        <v>23904.827100000002</v>
      </c>
      <c r="J19" s="142">
        <f t="shared" si="5"/>
        <v>23665.778829000003</v>
      </c>
      <c r="K19" s="142">
        <f t="shared" si="5"/>
        <v>23547.449934855002</v>
      </c>
      <c r="L19" s="142">
        <f t="shared" si="5"/>
        <v>23429.712685180726</v>
      </c>
      <c r="N19" s="91"/>
    </row>
    <row r="20" spans="2:14" x14ac:dyDescent="0.2">
      <c r="B20" s="1" t="s">
        <v>190</v>
      </c>
      <c r="C20" s="138"/>
      <c r="D20" s="143">
        <f>D19/C19-1</f>
        <v>-1.104536489151875E-2</v>
      </c>
      <c r="E20" s="143">
        <f t="shared" ref="E20:G20" si="6">E19/D19-1</f>
        <v>-5.1854806541683507E-3</v>
      </c>
      <c r="F20" s="143">
        <f t="shared" si="6"/>
        <v>-5.4530874097834525E-3</v>
      </c>
      <c r="G20" s="144">
        <f t="shared" si="6"/>
        <v>-1.169166263505883E-2</v>
      </c>
      <c r="H20" s="145">
        <v>-1.4999999999999999E-2</v>
      </c>
      <c r="I20" s="97">
        <v>-0.01</v>
      </c>
      <c r="J20" s="97">
        <v>-0.01</v>
      </c>
      <c r="K20" s="97">
        <v>-5.0000000000000001E-3</v>
      </c>
      <c r="L20" s="97">
        <v>-5.0000000000000001E-3</v>
      </c>
      <c r="N20" s="91"/>
    </row>
    <row r="21" spans="2:14" x14ac:dyDescent="0.2">
      <c r="N21" s="91"/>
    </row>
    <row r="22" spans="2:14" x14ac:dyDescent="0.2">
      <c r="C22" s="251" t="s">
        <v>191</v>
      </c>
      <c r="D22" s="251"/>
      <c r="E22" s="251"/>
      <c r="F22" s="251"/>
      <c r="G22" s="251"/>
      <c r="H22" s="251"/>
      <c r="I22" s="251"/>
      <c r="J22" s="251"/>
      <c r="K22" s="251"/>
      <c r="L22" s="251"/>
      <c r="N22" s="91"/>
    </row>
    <row r="23" spans="2:14" x14ac:dyDescent="0.2">
      <c r="C23" s="12">
        <f>C5</f>
        <v>2022</v>
      </c>
      <c r="D23" s="12">
        <f t="shared" ref="D23:L23" si="7">D5</f>
        <v>2023</v>
      </c>
      <c r="E23" s="12">
        <f t="shared" si="7"/>
        <v>2024</v>
      </c>
      <c r="F23" s="12">
        <f t="shared" si="7"/>
        <v>2025</v>
      </c>
      <c r="G23" s="12">
        <f t="shared" si="7"/>
        <v>2026</v>
      </c>
      <c r="H23" s="12">
        <f t="shared" si="7"/>
        <v>2027</v>
      </c>
      <c r="I23" s="12">
        <f t="shared" si="7"/>
        <v>2028</v>
      </c>
      <c r="J23" s="12">
        <f t="shared" si="7"/>
        <v>2029</v>
      </c>
      <c r="K23" s="12">
        <f t="shared" si="7"/>
        <v>2030</v>
      </c>
      <c r="L23" s="12">
        <f t="shared" si="7"/>
        <v>2031</v>
      </c>
      <c r="N23" s="91"/>
    </row>
    <row r="24" spans="2:14" x14ac:dyDescent="0.2">
      <c r="B24" s="1" t="s">
        <v>1</v>
      </c>
      <c r="C24" s="146">
        <f>Statement!M114</f>
        <v>228.4</v>
      </c>
      <c r="D24" s="146">
        <f>Statement!N114</f>
        <v>203.6</v>
      </c>
      <c r="E24" s="146">
        <f>Statement!O114</f>
        <v>610.29999999999995</v>
      </c>
      <c r="F24" s="146">
        <f>Statement!P114</f>
        <v>142.62</v>
      </c>
      <c r="G24" s="147">
        <f>Statement!Q114</f>
        <v>187.67</v>
      </c>
      <c r="H24" s="138"/>
      <c r="I24" s="138"/>
      <c r="J24" s="138"/>
      <c r="K24" s="138"/>
      <c r="L24" s="138"/>
      <c r="N24" s="91"/>
    </row>
    <row r="25" spans="2:14" x14ac:dyDescent="0.2">
      <c r="N25" s="91"/>
    </row>
    <row r="26" spans="2:14" x14ac:dyDescent="0.2">
      <c r="N26" s="91"/>
    </row>
    <row r="27" spans="2:14" x14ac:dyDescent="0.2">
      <c r="C27" s="251" t="s">
        <v>192</v>
      </c>
      <c r="D27" s="251"/>
      <c r="E27" s="251"/>
      <c r="F27" s="251"/>
      <c r="G27" s="251"/>
      <c r="H27" s="251"/>
      <c r="I27" s="251"/>
      <c r="J27" s="251"/>
      <c r="K27" s="251"/>
      <c r="L27" s="251"/>
      <c r="N27" s="91"/>
    </row>
    <row r="28" spans="2:14" x14ac:dyDescent="0.2">
      <c r="C28" s="12">
        <f>C5</f>
        <v>2022</v>
      </c>
      <c r="D28" s="12">
        <f t="shared" ref="D28:L28" si="8">D5</f>
        <v>2023</v>
      </c>
      <c r="E28" s="12">
        <f t="shared" si="8"/>
        <v>2024</v>
      </c>
      <c r="F28" s="12">
        <f t="shared" si="8"/>
        <v>2025</v>
      </c>
      <c r="G28" s="12">
        <f t="shared" si="8"/>
        <v>2026</v>
      </c>
      <c r="H28" s="12">
        <f t="shared" si="8"/>
        <v>2027</v>
      </c>
      <c r="I28" s="12">
        <f t="shared" si="8"/>
        <v>2028</v>
      </c>
      <c r="J28" s="12">
        <f t="shared" si="8"/>
        <v>2029</v>
      </c>
      <c r="K28" s="12">
        <f t="shared" si="8"/>
        <v>2030</v>
      </c>
      <c r="L28" s="12">
        <f t="shared" si="8"/>
        <v>2031</v>
      </c>
      <c r="N28" s="91"/>
    </row>
    <row r="29" spans="2:14" x14ac:dyDescent="0.2">
      <c r="B29" s="16" t="s">
        <v>193</v>
      </c>
      <c r="C29" s="148">
        <f>C24/(C6/C19)</f>
        <v>215.12744296648586</v>
      </c>
      <c r="D29" s="148">
        <f t="shared" ref="D29:G29" si="9">D24/(D6/D19)</f>
        <v>189.2285904945503</v>
      </c>
      <c r="E29" s="148">
        <f t="shared" si="9"/>
        <v>249.84212599717671</v>
      </c>
      <c r="F29" s="148">
        <f t="shared" si="9"/>
        <v>27.108259040437712</v>
      </c>
      <c r="G29" s="149">
        <f t="shared" si="9"/>
        <v>21.304922616677011</v>
      </c>
      <c r="H29" s="138"/>
      <c r="I29" s="138"/>
      <c r="J29" s="138"/>
      <c r="K29" s="138"/>
      <c r="L29" s="138"/>
      <c r="N29" s="91"/>
    </row>
    <row r="30" spans="2:14" x14ac:dyDescent="0.2">
      <c r="B30" s="1" t="s">
        <v>194</v>
      </c>
      <c r="C30" s="142">
        <f>C24*C19</f>
        <v>5789940</v>
      </c>
      <c r="D30" s="142">
        <f t="shared" ref="D30:G30" si="10">D24*D19</f>
        <v>5104252</v>
      </c>
      <c r="E30" s="142">
        <f t="shared" si="10"/>
        <v>15220881.999999998</v>
      </c>
      <c r="F30" s="142">
        <f t="shared" si="10"/>
        <v>3537546.48</v>
      </c>
      <c r="G30" s="150">
        <f t="shared" si="10"/>
        <v>4600542.38</v>
      </c>
      <c r="H30" s="138"/>
      <c r="I30" s="138"/>
      <c r="J30" s="138"/>
      <c r="K30" s="138"/>
      <c r="L30" s="138"/>
      <c r="N30" s="91"/>
    </row>
    <row r="31" spans="2:14" x14ac:dyDescent="0.2">
      <c r="B31" s="1" t="s">
        <v>161</v>
      </c>
      <c r="C31" s="88">
        <f>Statement!M106</f>
        <v>10946</v>
      </c>
      <c r="D31" s="151">
        <f>Statement!N106</f>
        <v>10953</v>
      </c>
      <c r="E31" s="151">
        <f>Statement!O106</f>
        <v>9709</v>
      </c>
      <c r="F31" s="151">
        <f>Statement!P106</f>
        <v>8463</v>
      </c>
      <c r="G31" s="152">
        <f>Statement!Q106</f>
        <v>8468</v>
      </c>
      <c r="H31" s="138"/>
      <c r="I31" s="138"/>
      <c r="J31" s="138"/>
      <c r="K31" s="138"/>
      <c r="L31" s="138"/>
      <c r="N31" s="91"/>
    </row>
    <row r="32" spans="2:14" x14ac:dyDescent="0.2">
      <c r="B32" s="1" t="s">
        <v>170</v>
      </c>
      <c r="C32" s="151">
        <f>Statement!M105</f>
        <v>21208</v>
      </c>
      <c r="D32" s="151">
        <f>Statement!N105</f>
        <v>13296</v>
      </c>
      <c r="E32" s="151">
        <f>Statement!O105</f>
        <v>25984</v>
      </c>
      <c r="F32" s="151">
        <f>Statement!P105</f>
        <v>43210</v>
      </c>
      <c r="G32" s="152">
        <f>Statement!Q105</f>
        <v>62556</v>
      </c>
      <c r="H32" s="138"/>
      <c r="I32" s="138"/>
      <c r="J32" s="138"/>
      <c r="K32" s="138"/>
      <c r="L32" s="138"/>
      <c r="N32" s="91"/>
    </row>
    <row r="33" spans="2:14" x14ac:dyDescent="0.2">
      <c r="B33" s="1" t="s">
        <v>195</v>
      </c>
      <c r="C33" s="142">
        <f>C30+C31-C32</f>
        <v>5779678</v>
      </c>
      <c r="D33" s="142">
        <f t="shared" ref="D33:G33" si="11">D30+D31-D32</f>
        <v>5101909</v>
      </c>
      <c r="E33" s="142">
        <f t="shared" si="11"/>
        <v>15204606.999999998</v>
      </c>
      <c r="F33" s="142">
        <f t="shared" si="11"/>
        <v>3502799.48</v>
      </c>
      <c r="G33" s="150">
        <f t="shared" si="11"/>
        <v>4546454.38</v>
      </c>
      <c r="H33" s="138"/>
      <c r="I33" s="138"/>
      <c r="J33" s="138"/>
      <c r="K33" s="138"/>
      <c r="L33" s="138"/>
      <c r="N33" s="91"/>
    </row>
    <row r="34" spans="2:14" x14ac:dyDescent="0.2">
      <c r="B34" s="16" t="s">
        <v>196</v>
      </c>
      <c r="C34" s="148">
        <f>C33/C7</f>
        <v>575.60780798725227</v>
      </c>
      <c r="D34" s="148">
        <f t="shared" ref="D34:G34" si="12">D33/D7</f>
        <v>1207.8383049242425</v>
      </c>
      <c r="E34" s="148">
        <f t="shared" si="12"/>
        <v>461.1369343685551</v>
      </c>
      <c r="F34" s="148">
        <f t="shared" si="12"/>
        <v>43.003934538936562</v>
      </c>
      <c r="G34" s="149">
        <f t="shared" si="12"/>
        <v>34.868923895787155</v>
      </c>
      <c r="H34" s="138"/>
      <c r="I34" s="138"/>
      <c r="J34" s="138"/>
      <c r="K34" s="138"/>
      <c r="L34" s="138"/>
      <c r="N34" s="91"/>
    </row>
    <row r="35" spans="2:14" x14ac:dyDescent="0.2">
      <c r="B35" s="16" t="s">
        <v>313</v>
      </c>
      <c r="C35" s="148">
        <f>C33/C8</f>
        <v>864.5613457282559</v>
      </c>
      <c r="D35" s="148">
        <f t="shared" ref="D35:G35" si="13">D33/D8</f>
        <v>2952.4936342592591</v>
      </c>
      <c r="E35" s="148">
        <f t="shared" si="13"/>
        <v>590.8713707411099</v>
      </c>
      <c r="F35" s="148">
        <f t="shared" si="13"/>
        <v>58.483988582757021</v>
      </c>
      <c r="G35" s="149">
        <f t="shared" si="13"/>
        <v>49.687269035572541</v>
      </c>
      <c r="H35" s="138"/>
      <c r="I35" s="138"/>
      <c r="J35" s="138"/>
      <c r="K35" s="138"/>
      <c r="L35" s="138"/>
      <c r="N35" s="91"/>
    </row>
    <row r="36" spans="2:14" x14ac:dyDescent="0.2">
      <c r="B36" s="16" t="s">
        <v>410</v>
      </c>
      <c r="C36" s="148">
        <f>C33/C6</f>
        <v>214.74615441777513</v>
      </c>
      <c r="D36" s="148">
        <f t="shared" ref="D36:G36" si="14">D33/D6</f>
        <v>189.14172907244011</v>
      </c>
      <c r="E36" s="148">
        <f t="shared" si="14"/>
        <v>249.57498112340366</v>
      </c>
      <c r="F36" s="148">
        <f t="shared" si="14"/>
        <v>26.841992382966659</v>
      </c>
      <c r="G36" s="149">
        <f t="shared" si="14"/>
        <v>21.054443312432273</v>
      </c>
      <c r="H36" s="138"/>
      <c r="I36" s="138"/>
      <c r="J36" s="138"/>
      <c r="K36" s="138"/>
      <c r="L36" s="138"/>
      <c r="N36" s="91"/>
    </row>
    <row r="37" spans="2:14" x14ac:dyDescent="0.2">
      <c r="N37" s="91"/>
    </row>
    <row r="38" spans="2:14" x14ac:dyDescent="0.2">
      <c r="N38" s="91"/>
    </row>
    <row r="39" spans="2:14" x14ac:dyDescent="0.2">
      <c r="B39" s="245" t="s">
        <v>197</v>
      </c>
      <c r="C39" s="245"/>
      <c r="N39" s="91"/>
    </row>
    <row r="40" spans="2:14" x14ac:dyDescent="0.2">
      <c r="B40" s="1" t="s">
        <v>198</v>
      </c>
      <c r="C40" s="64">
        <f>L7</f>
        <v>843066.5668746751</v>
      </c>
    </row>
    <row r="41" spans="2:14" x14ac:dyDescent="0.2">
      <c r="B41" s="1" t="s">
        <v>157</v>
      </c>
      <c r="C41" s="136">
        <f>IF(Overview!C28&gt;0,Overview!C28,WACC!C20)</f>
        <v>0.12</v>
      </c>
    </row>
    <row r="42" spans="2:14" x14ac:dyDescent="0.2">
      <c r="B42" s="39" t="s">
        <v>199</v>
      </c>
      <c r="C42" s="105">
        <v>20</v>
      </c>
    </row>
    <row r="43" spans="2:14" x14ac:dyDescent="0.2">
      <c r="B43" s="1" t="s">
        <v>406</v>
      </c>
      <c r="C43" s="24">
        <f>(C40*C42)</f>
        <v>16861331.337493502</v>
      </c>
    </row>
    <row r="44" spans="2:14" x14ac:dyDescent="0.2">
      <c r="B44" s="1" t="s">
        <v>407</v>
      </c>
      <c r="C44" s="24">
        <f>C43/(1+C41)^5</f>
        <v>9567572.2240634207</v>
      </c>
    </row>
    <row r="45" spans="2:14" x14ac:dyDescent="0.2">
      <c r="B45" s="16" t="s">
        <v>408</v>
      </c>
      <c r="C45" s="109">
        <f>SUM(H9:K9)+C44</f>
        <v>10559883.767653175</v>
      </c>
    </row>
    <row r="46" spans="2:14" x14ac:dyDescent="0.2">
      <c r="B46" s="1" t="s">
        <v>181</v>
      </c>
      <c r="C46" s="137">
        <f>Statement!AC105</f>
        <v>99369</v>
      </c>
    </row>
    <row r="47" spans="2:14" x14ac:dyDescent="0.2">
      <c r="B47" s="1" t="s">
        <v>182</v>
      </c>
      <c r="C47" s="137">
        <f>Statement!AC106</f>
        <v>33266</v>
      </c>
    </row>
    <row r="48" spans="2:14" x14ac:dyDescent="0.2">
      <c r="B48" s="16" t="s">
        <v>183</v>
      </c>
      <c r="C48" s="109">
        <f>C45+C46-C47</f>
        <v>10625986.767653175</v>
      </c>
    </row>
    <row r="49" spans="2:3" x14ac:dyDescent="0.2">
      <c r="B49" s="1" t="s">
        <v>67</v>
      </c>
      <c r="C49" s="88">
        <f>Statement!AC77</f>
        <v>24195</v>
      </c>
    </row>
    <row r="50" spans="2:3" x14ac:dyDescent="0.2">
      <c r="B50" s="233" t="s">
        <v>201</v>
      </c>
      <c r="C50" s="234">
        <f>C48/C49</f>
        <v>439.18110219686605</v>
      </c>
    </row>
    <row r="52" spans="2:3" x14ac:dyDescent="0.2">
      <c r="B52" s="245" t="s">
        <v>202</v>
      </c>
      <c r="C52" s="245"/>
    </row>
    <row r="53" spans="2:3" x14ac:dyDescent="0.2">
      <c r="B53" s="1" t="s">
        <v>203</v>
      </c>
      <c r="C53" s="64">
        <f>L6</f>
        <v>1283206.3422750002</v>
      </c>
    </row>
    <row r="54" spans="2:3" x14ac:dyDescent="0.2">
      <c r="B54" s="1" t="s">
        <v>376</v>
      </c>
      <c r="C54" s="136">
        <f>IF(Overview!C29&gt;0,Overview!C29,WACC!C19)</f>
        <v>0.12</v>
      </c>
    </row>
    <row r="55" spans="2:3" x14ac:dyDescent="0.2">
      <c r="B55" s="39" t="s">
        <v>204</v>
      </c>
      <c r="C55" s="105">
        <v>12</v>
      </c>
    </row>
    <row r="56" spans="2:3" x14ac:dyDescent="0.2">
      <c r="B56" s="1" t="s">
        <v>200</v>
      </c>
      <c r="C56" s="24">
        <f>L19</f>
        <v>23429.712685180726</v>
      </c>
    </row>
    <row r="57" spans="2:3" x14ac:dyDescent="0.2">
      <c r="B57" s="1" t="s">
        <v>184</v>
      </c>
      <c r="C57" s="24">
        <f>(C53*C55)/C56</f>
        <v>657.22001435551215</v>
      </c>
    </row>
    <row r="58" spans="2:3" x14ac:dyDescent="0.2">
      <c r="B58" s="233" t="s">
        <v>201</v>
      </c>
      <c r="C58" s="234">
        <f>C57/(1+C54)^5</f>
        <v>372.92428626108091</v>
      </c>
    </row>
    <row r="60" spans="2:3" x14ac:dyDescent="0.2">
      <c r="B60" s="245" t="s">
        <v>314</v>
      </c>
      <c r="C60" s="245"/>
    </row>
    <row r="61" spans="2:3" x14ac:dyDescent="0.2">
      <c r="B61" s="1" t="s">
        <v>409</v>
      </c>
      <c r="C61" s="64">
        <f>L8</f>
        <v>586389.6287922078</v>
      </c>
    </row>
    <row r="62" spans="2:3" x14ac:dyDescent="0.2">
      <c r="B62" s="1" t="s">
        <v>157</v>
      </c>
      <c r="C62" s="136">
        <f>IF(Overview!C28&gt;0,Overview!C28,WACC!C20)</f>
        <v>0.12</v>
      </c>
    </row>
    <row r="63" spans="2:3" x14ac:dyDescent="0.2">
      <c r="B63" s="39" t="s">
        <v>375</v>
      </c>
      <c r="C63" s="105">
        <v>30</v>
      </c>
    </row>
    <row r="64" spans="2:3" x14ac:dyDescent="0.2">
      <c r="B64" s="1" t="s">
        <v>406</v>
      </c>
      <c r="C64" s="24">
        <f>(C61*C63)</f>
        <v>17591688.863766234</v>
      </c>
    </row>
    <row r="65" spans="2:3" x14ac:dyDescent="0.2">
      <c r="B65" s="1" t="s">
        <v>407</v>
      </c>
      <c r="C65" s="24">
        <f>C64/(1+C62)^5</f>
        <v>9981996.6987467725</v>
      </c>
    </row>
    <row r="66" spans="2:3" x14ac:dyDescent="0.2">
      <c r="B66" s="16" t="s">
        <v>408</v>
      </c>
      <c r="C66" s="109">
        <f>SUM(H9:K9)+C65</f>
        <v>10974308.242336527</v>
      </c>
    </row>
    <row r="67" spans="2:3" x14ac:dyDescent="0.2">
      <c r="B67" s="1" t="s">
        <v>181</v>
      </c>
      <c r="C67" s="137">
        <f>Statement!AC105</f>
        <v>99369</v>
      </c>
    </row>
    <row r="68" spans="2:3" x14ac:dyDescent="0.2">
      <c r="B68" s="1" t="s">
        <v>182</v>
      </c>
      <c r="C68" s="137">
        <f>Statement!AC106</f>
        <v>33266</v>
      </c>
    </row>
    <row r="69" spans="2:3" x14ac:dyDescent="0.2">
      <c r="B69" s="16" t="s">
        <v>183</v>
      </c>
      <c r="C69" s="109">
        <f>C66+C67-C68</f>
        <v>11040411.242336527</v>
      </c>
    </row>
    <row r="70" spans="2:3" x14ac:dyDescent="0.2">
      <c r="B70" s="1" t="s">
        <v>67</v>
      </c>
      <c r="C70" s="88">
        <f>Statement!AC77</f>
        <v>24195</v>
      </c>
    </row>
    <row r="71" spans="2:3" x14ac:dyDescent="0.2">
      <c r="B71" s="233" t="s">
        <v>201</v>
      </c>
      <c r="C71" s="234">
        <f>C69/C70</f>
        <v>456.30961943941008</v>
      </c>
    </row>
    <row r="73" spans="2:3" x14ac:dyDescent="0.2">
      <c r="B73" s="245" t="s">
        <v>411</v>
      </c>
      <c r="C73" s="245"/>
    </row>
    <row r="74" spans="2:3" x14ac:dyDescent="0.2">
      <c r="B74" s="1" t="s">
        <v>412</v>
      </c>
      <c r="C74" s="64">
        <f>L6</f>
        <v>1283206.3422750002</v>
      </c>
    </row>
    <row r="75" spans="2:3" x14ac:dyDescent="0.2">
      <c r="B75" s="1" t="s">
        <v>157</v>
      </c>
      <c r="C75" s="136">
        <f>IF(Overview!C28&gt;0,Overview!C28,WACC!C20)</f>
        <v>0.12</v>
      </c>
    </row>
    <row r="76" spans="2:3" x14ac:dyDescent="0.2">
      <c r="B76" s="39" t="s">
        <v>414</v>
      </c>
      <c r="C76" s="105">
        <v>12</v>
      </c>
    </row>
    <row r="77" spans="2:3" x14ac:dyDescent="0.2">
      <c r="B77" s="1" t="s">
        <v>406</v>
      </c>
      <c r="C77" s="24">
        <f>(C74*C76)</f>
        <v>15398476.107300002</v>
      </c>
    </row>
    <row r="78" spans="2:3" x14ac:dyDescent="0.2">
      <c r="B78" s="1" t="s">
        <v>407</v>
      </c>
      <c r="C78" s="24">
        <f>C77/(1+C75)^5</f>
        <v>8737508.8804232161</v>
      </c>
    </row>
    <row r="79" spans="2:3" x14ac:dyDescent="0.2">
      <c r="B79" s="16" t="s">
        <v>408</v>
      </c>
      <c r="C79" s="109">
        <f>SUM(H9:K9)+C78</f>
        <v>9729820.4240129702</v>
      </c>
    </row>
    <row r="80" spans="2:3" x14ac:dyDescent="0.2">
      <c r="B80" s="1" t="s">
        <v>181</v>
      </c>
      <c r="C80" s="137">
        <f>Statement!AC105</f>
        <v>99369</v>
      </c>
    </row>
    <row r="81" spans="2:3" x14ac:dyDescent="0.2">
      <c r="B81" s="1" t="s">
        <v>182</v>
      </c>
      <c r="C81" s="137">
        <f>Statement!AC106</f>
        <v>33266</v>
      </c>
    </row>
    <row r="82" spans="2:3" x14ac:dyDescent="0.2">
      <c r="B82" s="16" t="s">
        <v>183</v>
      </c>
      <c r="C82" s="109">
        <f>C79+C80-C81</f>
        <v>9795923.4240129702</v>
      </c>
    </row>
    <row r="83" spans="2:3" x14ac:dyDescent="0.2">
      <c r="B83" s="1" t="s">
        <v>67</v>
      </c>
      <c r="C83" s="88">
        <f>Statement!AC77</f>
        <v>24195</v>
      </c>
    </row>
    <row r="84" spans="2:3" x14ac:dyDescent="0.2">
      <c r="B84" s="233" t="s">
        <v>201</v>
      </c>
      <c r="C84" s="234">
        <f>C82/C83</f>
        <v>404.87387575999048</v>
      </c>
    </row>
  </sheetData>
  <mergeCells count="11">
    <mergeCell ref="B73:C73"/>
    <mergeCell ref="C27:L27"/>
    <mergeCell ref="B39:C39"/>
    <mergeCell ref="B52:C52"/>
    <mergeCell ref="B60:C60"/>
    <mergeCell ref="C22:L22"/>
    <mergeCell ref="C2:G2"/>
    <mergeCell ref="H2:L2"/>
    <mergeCell ref="C4:L4"/>
    <mergeCell ref="C11:L11"/>
    <mergeCell ref="C17:L17"/>
  </mergeCells>
  <pageMargins left="0.7" right="0.7" top="0.75" bottom="0.75" header="0.3" footer="0.3"/>
  <ignoredErrors>
    <ignoredError sqref="D14:L14"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06138-34BE-DB43-85EE-BFBB58F201B2}">
  <dimension ref="A1:N12"/>
  <sheetViews>
    <sheetView zoomScale="168" zoomScaleNormal="100" workbookViewId="0">
      <selection activeCell="C10" sqref="C10"/>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205</v>
      </c>
    </row>
    <row r="2" spans="1:14" x14ac:dyDescent="0.2">
      <c r="N2" s="91"/>
    </row>
    <row r="3" spans="1:14" x14ac:dyDescent="0.2">
      <c r="N3" s="91"/>
    </row>
    <row r="4" spans="1:14" x14ac:dyDescent="0.2">
      <c r="B4" s="245" t="s">
        <v>206</v>
      </c>
      <c r="C4" s="245"/>
      <c r="N4" s="91"/>
    </row>
    <row r="5" spans="1:14" x14ac:dyDescent="0.2">
      <c r="B5" s="1" t="s">
        <v>207</v>
      </c>
      <c r="C5" s="134">
        <f>DCF!C26</f>
        <v>205.87576455664953</v>
      </c>
    </row>
    <row r="6" spans="1:14" x14ac:dyDescent="0.2">
      <c r="B6" s="1" t="s">
        <v>208</v>
      </c>
      <c r="C6" s="134">
        <f>Multiples!C50</f>
        <v>439.18110219686605</v>
      </c>
    </row>
    <row r="7" spans="1:14" x14ac:dyDescent="0.2">
      <c r="B7" s="1" t="s">
        <v>209</v>
      </c>
      <c r="C7" s="134">
        <f>Multiples!C58</f>
        <v>372.92428626108091</v>
      </c>
    </row>
    <row r="8" spans="1:14" x14ac:dyDescent="0.2">
      <c r="B8" s="1" t="s">
        <v>315</v>
      </c>
      <c r="C8" s="134">
        <f>Multiples!C71</f>
        <v>456.30961943941008</v>
      </c>
    </row>
    <row r="9" spans="1:14" x14ac:dyDescent="0.2">
      <c r="B9" s="1" t="s">
        <v>413</v>
      </c>
      <c r="C9" s="134">
        <f>Multiples!C84</f>
        <v>404.87387575999048</v>
      </c>
    </row>
    <row r="10" spans="1:14" x14ac:dyDescent="0.2">
      <c r="B10" s="233" t="s">
        <v>210</v>
      </c>
      <c r="C10" s="234">
        <f>AVERAGE(C5:C9)</f>
        <v>375.83292964279934</v>
      </c>
    </row>
    <row r="11" spans="1:14" x14ac:dyDescent="0.2">
      <c r="B11" s="1" t="s">
        <v>211</v>
      </c>
      <c r="C11" s="134">
        <f ca="1">Overview!C5</f>
        <v>210.96</v>
      </c>
    </row>
    <row r="12" spans="1:14" x14ac:dyDescent="0.2">
      <c r="B12" s="1" t="s">
        <v>212</v>
      </c>
      <c r="C12" s="153">
        <f ca="1">(C10-C11)/C11</f>
        <v>0.78153645071482425</v>
      </c>
    </row>
  </sheetData>
  <mergeCells count="1">
    <mergeCell ref="B4:C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CEB08-E030-1045-9E9A-EAE6DBD05C9B}">
  <dimension ref="A1:N26"/>
  <sheetViews>
    <sheetView topLeftCell="A18" zoomScale="192" zoomScaleNormal="100" workbookViewId="0">
      <selection activeCell="C23" sqref="C23"/>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388</v>
      </c>
    </row>
    <row r="2" spans="1:14" x14ac:dyDescent="0.2">
      <c r="A2" s="4"/>
      <c r="C2" s="245" t="s">
        <v>105</v>
      </c>
      <c r="D2" s="245"/>
      <c r="E2" s="245"/>
      <c r="F2" s="245"/>
      <c r="G2" s="254"/>
      <c r="H2" s="255" t="s">
        <v>106</v>
      </c>
      <c r="I2" s="245"/>
      <c r="J2" s="245"/>
      <c r="K2" s="245"/>
      <c r="L2" s="245"/>
    </row>
    <row r="3" spans="1:14" ht="10" customHeight="1" x14ac:dyDescent="0.2"/>
    <row r="4" spans="1:14" ht="16" customHeight="1" x14ac:dyDescent="0.2">
      <c r="A4" s="86"/>
      <c r="B4" s="60"/>
      <c r="C4" s="251" t="s">
        <v>186</v>
      </c>
      <c r="D4" s="251"/>
      <c r="E4" s="251"/>
      <c r="F4" s="251"/>
      <c r="G4" s="251"/>
      <c r="H4" s="251"/>
      <c r="I4" s="251"/>
      <c r="J4" s="251"/>
      <c r="K4" s="251"/>
      <c r="L4" s="251"/>
    </row>
    <row r="5" spans="1:14" x14ac:dyDescent="0.2">
      <c r="B5" s="16" t="s">
        <v>109</v>
      </c>
      <c r="C5" s="12">
        <f>[2]Revenue!C5</f>
        <v>2021</v>
      </c>
      <c r="D5" s="12">
        <f>[2]Revenue!D5</f>
        <v>2022</v>
      </c>
      <c r="E5" s="12">
        <f>[2]Revenue!E5</f>
        <v>2023</v>
      </c>
      <c r="F5" s="12">
        <f>[2]Revenue!F5</f>
        <v>2024</v>
      </c>
      <c r="G5" s="12">
        <f>[2]Revenue!G5</f>
        <v>2025</v>
      </c>
      <c r="H5" s="12">
        <f>[2]Revenue!H5</f>
        <v>2026</v>
      </c>
      <c r="I5" s="12">
        <f>[2]Revenue!I5</f>
        <v>2027</v>
      </c>
      <c r="J5" s="12">
        <f>[2]Revenue!J5</f>
        <v>2028</v>
      </c>
      <c r="K5" s="12">
        <f>[2]Revenue!K5</f>
        <v>2029</v>
      </c>
      <c r="L5" s="12">
        <f>[2]Revenue!L5</f>
        <v>2030</v>
      </c>
    </row>
    <row r="6" spans="1:14" x14ac:dyDescent="0.2">
      <c r="B6" s="16" t="s">
        <v>235</v>
      </c>
      <c r="C6" s="228">
        <f>Statement!M25</f>
        <v>0.38500000000000001</v>
      </c>
      <c r="D6" s="228">
        <f>Statement!N25</f>
        <v>0.17399999999999999</v>
      </c>
      <c r="E6" s="228">
        <f>Statement!O25</f>
        <v>1.1930000000000001</v>
      </c>
      <c r="F6" s="228">
        <f>Statement!P25</f>
        <v>2.94</v>
      </c>
      <c r="G6" s="229">
        <f>Statement!Q25</f>
        <v>4.9000000000000004</v>
      </c>
      <c r="H6" s="138"/>
      <c r="I6" s="138"/>
      <c r="J6" s="138"/>
      <c r="K6" s="138"/>
      <c r="L6" s="138"/>
      <c r="N6" s="91"/>
    </row>
    <row r="7" spans="1:14" x14ac:dyDescent="0.2">
      <c r="B7" s="16" t="s">
        <v>389</v>
      </c>
      <c r="C7" s="228">
        <f>Statement!M81</f>
        <v>1.6E-2</v>
      </c>
      <c r="D7" s="228">
        <f>Statement!N81</f>
        <v>1.6E-2</v>
      </c>
      <c r="E7" s="228">
        <f>Statement!O81</f>
        <v>1.6E-2</v>
      </c>
      <c r="F7" s="228">
        <f>Statement!P81</f>
        <v>3.4000000000000002E-2</v>
      </c>
      <c r="G7" s="229">
        <f>Statement!Q81</f>
        <v>0.04</v>
      </c>
      <c r="H7" s="138"/>
      <c r="I7" s="138"/>
      <c r="J7" s="138"/>
      <c r="K7" s="138"/>
      <c r="L7" s="138"/>
      <c r="N7" s="91"/>
    </row>
    <row r="8" spans="1:14" x14ac:dyDescent="0.2">
      <c r="N8" s="91"/>
    </row>
    <row r="9" spans="1:14" x14ac:dyDescent="0.2">
      <c r="C9" s="251" t="s">
        <v>114</v>
      </c>
      <c r="D9" s="251"/>
      <c r="E9" s="251"/>
      <c r="F9" s="251"/>
      <c r="G9" s="251"/>
      <c r="H9" s="251"/>
      <c r="I9" s="251"/>
      <c r="J9" s="251"/>
      <c r="K9" s="251"/>
      <c r="L9" s="251"/>
      <c r="N9" s="91"/>
    </row>
    <row r="10" spans="1:14" x14ac:dyDescent="0.2">
      <c r="B10" s="16" t="s">
        <v>187</v>
      </c>
      <c r="C10" s="12">
        <f t="shared" ref="C10:L10" si="0">C5</f>
        <v>2021</v>
      </c>
      <c r="D10" s="12">
        <f t="shared" si="0"/>
        <v>2022</v>
      </c>
      <c r="E10" s="12">
        <f t="shared" si="0"/>
        <v>2023</v>
      </c>
      <c r="F10" s="12">
        <f t="shared" si="0"/>
        <v>2024</v>
      </c>
      <c r="G10" s="12">
        <f t="shared" si="0"/>
        <v>2025</v>
      </c>
      <c r="H10" s="12">
        <f t="shared" si="0"/>
        <v>2026</v>
      </c>
      <c r="I10" s="12">
        <f t="shared" si="0"/>
        <v>2027</v>
      </c>
      <c r="J10" s="12">
        <f t="shared" si="0"/>
        <v>2028</v>
      </c>
      <c r="K10" s="12">
        <f t="shared" si="0"/>
        <v>2029</v>
      </c>
      <c r="L10" s="12">
        <f t="shared" si="0"/>
        <v>2030</v>
      </c>
      <c r="N10" s="91"/>
    </row>
    <row r="11" spans="1:14" x14ac:dyDescent="0.2">
      <c r="B11" s="1" t="s">
        <v>235</v>
      </c>
      <c r="C11" s="138"/>
      <c r="D11" s="95">
        <f>(D6-C6)/C6</f>
        <v>-0.54805194805194812</v>
      </c>
      <c r="E11" s="95">
        <f>(E6-D6)/D6</f>
        <v>5.8563218390804606</v>
      </c>
      <c r="F11" s="95">
        <f>(F6-E6)/E6</f>
        <v>1.4643755238893543</v>
      </c>
      <c r="G11" s="96">
        <f>(G6-F6)/F6</f>
        <v>0.66666666666666685</v>
      </c>
      <c r="H11" s="138"/>
      <c r="I11" s="138"/>
      <c r="J11" s="138"/>
      <c r="K11" s="138"/>
      <c r="L11" s="138"/>
      <c r="N11" s="91"/>
    </row>
    <row r="12" spans="1:14" x14ac:dyDescent="0.2">
      <c r="B12" s="1" t="s">
        <v>236</v>
      </c>
      <c r="C12" s="138"/>
      <c r="D12" s="95">
        <f>IF(C7=0,
IF(D7=0,0,IF(D7&gt;0,1,-1)),
(D7-C7)/ABS(C7)
)</f>
        <v>0</v>
      </c>
      <c r="E12" s="95">
        <f>IF(D7=0,
IF(E7=0,0,IF(E7&gt;0,1,-1)),
(E7-D7)/ABS(D7)
)</f>
        <v>0</v>
      </c>
      <c r="F12" s="95">
        <f>IF(E7=0,
IF(F7=0,0,IF(F7&gt;0,1,-1)),
(F7-E7)/ABS(E7)
)</f>
        <v>1.125</v>
      </c>
      <c r="G12" s="96">
        <f>IF(F7=0,
IF(G7=0,0,IF(G7&gt;0,1,-1)),
(G7-F7)/ABS(F7)
)</f>
        <v>0.17647058823529405</v>
      </c>
      <c r="H12" s="138"/>
      <c r="I12" s="138"/>
      <c r="J12" s="138"/>
      <c r="K12" s="138"/>
      <c r="L12" s="138"/>
      <c r="N12" s="91"/>
    </row>
    <row r="13" spans="1:14" x14ac:dyDescent="0.2">
      <c r="N13" s="91"/>
    </row>
    <row r="14" spans="1:14" x14ac:dyDescent="0.2">
      <c r="C14" s="251" t="s">
        <v>390</v>
      </c>
      <c r="D14" s="251"/>
      <c r="E14" s="251"/>
      <c r="F14" s="251"/>
      <c r="G14" s="251"/>
      <c r="H14" s="251"/>
      <c r="I14" s="251"/>
      <c r="J14" s="251"/>
      <c r="K14" s="251"/>
      <c r="L14" s="251"/>
      <c r="N14" s="91"/>
    </row>
    <row r="15" spans="1:14" x14ac:dyDescent="0.2">
      <c r="B15" s="16" t="s">
        <v>325</v>
      </c>
      <c r="C15" s="12">
        <f>C5</f>
        <v>2021</v>
      </c>
      <c r="D15" s="12">
        <f t="shared" ref="D15:L15" si="1">D5</f>
        <v>2022</v>
      </c>
      <c r="E15" s="12">
        <f t="shared" si="1"/>
        <v>2023</v>
      </c>
      <c r="F15" s="12">
        <f t="shared" si="1"/>
        <v>2024</v>
      </c>
      <c r="G15" s="12">
        <f t="shared" si="1"/>
        <v>2025</v>
      </c>
      <c r="H15" s="12">
        <f t="shared" si="1"/>
        <v>2026</v>
      </c>
      <c r="I15" s="12">
        <f t="shared" si="1"/>
        <v>2027</v>
      </c>
      <c r="J15" s="12">
        <f t="shared" si="1"/>
        <v>2028</v>
      </c>
      <c r="K15" s="12">
        <f t="shared" si="1"/>
        <v>2029</v>
      </c>
      <c r="L15" s="12">
        <f t="shared" si="1"/>
        <v>2030</v>
      </c>
      <c r="N15" s="91"/>
    </row>
    <row r="16" spans="1:14" x14ac:dyDescent="0.2">
      <c r="B16" s="1" t="s">
        <v>391</v>
      </c>
      <c r="C16" s="95">
        <f>C7/C6</f>
        <v>4.1558441558441558E-2</v>
      </c>
      <c r="D16" s="95">
        <f t="shared" ref="D16:G16" si="2">D7/D6</f>
        <v>9.195402298850576E-2</v>
      </c>
      <c r="E16" s="95">
        <f t="shared" si="2"/>
        <v>1.3411567476948869E-2</v>
      </c>
      <c r="F16" s="95">
        <f t="shared" si="2"/>
        <v>1.1564625850340137E-2</v>
      </c>
      <c r="G16" s="96">
        <f t="shared" si="2"/>
        <v>8.163265306122448E-3</v>
      </c>
      <c r="H16" s="138"/>
      <c r="I16" s="138"/>
      <c r="J16" s="138"/>
      <c r="K16" s="138"/>
      <c r="L16" s="138"/>
      <c r="N16" s="91"/>
    </row>
    <row r="17" spans="2:14" x14ac:dyDescent="0.2">
      <c r="N17" s="91"/>
    </row>
    <row r="18" spans="2:14" x14ac:dyDescent="0.2">
      <c r="N18" s="91"/>
    </row>
    <row r="19" spans="2:14" x14ac:dyDescent="0.2">
      <c r="N19" s="91"/>
    </row>
    <row r="20" spans="2:14" x14ac:dyDescent="0.2">
      <c r="B20" s="245" t="s">
        <v>392</v>
      </c>
      <c r="C20" s="245"/>
      <c r="N20" s="91"/>
    </row>
    <row r="21" spans="2:14" x14ac:dyDescent="0.2">
      <c r="B21" s="1" t="s">
        <v>393</v>
      </c>
      <c r="C21" s="230">
        <f>G7</f>
        <v>0.04</v>
      </c>
    </row>
    <row r="22" spans="2:14" x14ac:dyDescent="0.2">
      <c r="B22" s="1" t="s">
        <v>394</v>
      </c>
      <c r="C22" s="231">
        <v>3</v>
      </c>
    </row>
    <row r="23" spans="2:14" x14ac:dyDescent="0.2">
      <c r="B23" s="39" t="s">
        <v>395</v>
      </c>
      <c r="C23" s="232">
        <f>C21*(1+C22)</f>
        <v>0.16</v>
      </c>
    </row>
    <row r="24" spans="2:14" x14ac:dyDescent="0.2">
      <c r="B24" s="1" t="s">
        <v>376</v>
      </c>
      <c r="C24" s="136">
        <f>IF(Overview!C29&gt;0,Overview!C29,WACC!C19)</f>
        <v>0.12</v>
      </c>
    </row>
    <row r="25" spans="2:14" x14ac:dyDescent="0.2">
      <c r="B25" s="39" t="s">
        <v>396</v>
      </c>
      <c r="C25" s="231">
        <v>2.5000000000000001E-2</v>
      </c>
    </row>
    <row r="26" spans="2:14" x14ac:dyDescent="0.2">
      <c r="B26" s="233" t="s">
        <v>201</v>
      </c>
      <c r="C26" s="234">
        <f>C23/(C24-C25)</f>
        <v>1.6842105263157894</v>
      </c>
    </row>
  </sheetData>
  <mergeCells count="6">
    <mergeCell ref="B20:C20"/>
    <mergeCell ref="C2:G2"/>
    <mergeCell ref="H2:L2"/>
    <mergeCell ref="C4:L4"/>
    <mergeCell ref="C9:L9"/>
    <mergeCell ref="C14:L1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CE1A-CCEC-514B-9208-A0DCC7740441}">
  <dimension ref="A1:AB36"/>
  <sheetViews>
    <sheetView topLeftCell="A9" zoomScale="209" zoomScaleNormal="100" workbookViewId="0">
      <selection activeCell="C17" sqref="C17"/>
    </sheetView>
  </sheetViews>
  <sheetFormatPr baseColWidth="10" defaultRowHeight="16" x14ac:dyDescent="0.2"/>
  <cols>
    <col min="1" max="1" width="2" style="83" customWidth="1"/>
    <col min="2" max="2" width="32" style="1" customWidth="1"/>
    <col min="3" max="3" width="12.6640625" style="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213</v>
      </c>
    </row>
    <row r="2" spans="1:28" s="83" customFormat="1" ht="18" customHeight="1" x14ac:dyDescent="0.2">
      <c r="A2" s="4"/>
      <c r="B2" s="82"/>
    </row>
    <row r="3" spans="1:28" x14ac:dyDescent="0.2">
      <c r="A3" s="4"/>
      <c r="C3" s="245" t="s">
        <v>105</v>
      </c>
      <c r="D3" s="245"/>
      <c r="E3" s="245"/>
      <c r="F3" s="245"/>
      <c r="G3" s="254"/>
      <c r="H3" s="255" t="s">
        <v>106</v>
      </c>
      <c r="I3" s="245"/>
      <c r="J3" s="245"/>
      <c r="K3" s="245"/>
      <c r="L3" s="245"/>
      <c r="P3" s="256"/>
      <c r="Q3" s="256"/>
      <c r="R3" s="256"/>
      <c r="S3" s="256"/>
      <c r="T3" s="256"/>
      <c r="U3" s="256"/>
      <c r="V3" s="256"/>
      <c r="W3" s="256"/>
      <c r="X3" s="256"/>
      <c r="Y3" s="256"/>
      <c r="Z3" s="256"/>
      <c r="AB3" s="110"/>
    </row>
    <row r="4" spans="1:28" ht="10" customHeight="1" x14ac:dyDescent="0.2"/>
    <row r="5" spans="1:28" ht="16" customHeight="1" x14ac:dyDescent="0.2">
      <c r="A5" s="86"/>
      <c r="B5" s="60"/>
      <c r="C5" s="251" t="s">
        <v>172</v>
      </c>
      <c r="D5" s="251"/>
      <c r="E5" s="251"/>
      <c r="F5" s="251"/>
      <c r="G5" s="251"/>
      <c r="H5" s="251"/>
      <c r="I5" s="251"/>
      <c r="J5" s="251"/>
      <c r="K5" s="251"/>
      <c r="L5" s="251"/>
      <c r="P5" s="256"/>
      <c r="Q5" s="256"/>
      <c r="R5" s="256"/>
      <c r="S5" s="256"/>
      <c r="T5" s="256"/>
      <c r="U5" s="256"/>
      <c r="V5" s="256"/>
      <c r="W5" s="256"/>
      <c r="X5" s="256"/>
      <c r="Y5" s="256"/>
      <c r="Z5" s="256"/>
      <c r="AB5" s="111"/>
    </row>
    <row r="6" spans="1:28" x14ac:dyDescent="0.2">
      <c r="B6" s="16" t="s">
        <v>125</v>
      </c>
      <c r="C6" s="12">
        <f>Revenue!C5</f>
        <v>2022</v>
      </c>
      <c r="D6" s="12">
        <f>Revenue!D5</f>
        <v>2023</v>
      </c>
      <c r="E6" s="12">
        <f>Revenue!E5</f>
        <v>2024</v>
      </c>
      <c r="F6" s="12">
        <f>Revenue!F5</f>
        <v>2025</v>
      </c>
      <c r="G6" s="12">
        <f>Revenue!G5</f>
        <v>2026</v>
      </c>
      <c r="H6" s="12">
        <f>Revenue!H5</f>
        <v>2027</v>
      </c>
      <c r="I6" s="12">
        <f>Revenue!I5</f>
        <v>2028</v>
      </c>
      <c r="J6" s="12">
        <f>Revenue!J5</f>
        <v>2029</v>
      </c>
      <c r="K6" s="12">
        <f>Revenue!K5</f>
        <v>2030</v>
      </c>
      <c r="L6" s="12">
        <f>Revenue!L5</f>
        <v>2031</v>
      </c>
      <c r="O6" s="16"/>
      <c r="P6" s="112"/>
      <c r="Q6" s="112"/>
      <c r="R6" s="112"/>
      <c r="S6" s="112"/>
      <c r="T6" s="112"/>
      <c r="U6" s="112"/>
      <c r="V6" s="112"/>
      <c r="W6" s="112"/>
      <c r="X6" s="112"/>
      <c r="Y6" s="112"/>
      <c r="Z6" s="112"/>
      <c r="AB6" s="111"/>
    </row>
    <row r="7" spans="1:28" x14ac:dyDescent="0.2">
      <c r="B7" s="39" t="s">
        <v>254</v>
      </c>
      <c r="C7" s="113">
        <f>'FCF &amp; Other'!C28</f>
        <v>6685.0987828186298</v>
      </c>
      <c r="D7" s="113">
        <f>'FCF &amp; Other'!D28</f>
        <v>1728</v>
      </c>
      <c r="E7" s="113">
        <f>'FCF &amp; Other'!E28</f>
        <v>25732.515997397837</v>
      </c>
      <c r="F7" s="113">
        <f>'FCF &amp; Other'!F28</f>
        <v>59893.306952609913</v>
      </c>
      <c r="G7" s="114">
        <f>'FCF &amp; Other'!G28</f>
        <v>91501.393983739836</v>
      </c>
      <c r="H7" s="127">
        <f>G7*(1+$C$17)</f>
        <v>137252.09097560975</v>
      </c>
      <c r="I7" s="127">
        <f t="shared" ref="I7:L7" si="0">H7*(1+$C$17)</f>
        <v>205878.13646341464</v>
      </c>
      <c r="J7" s="127">
        <f t="shared" si="0"/>
        <v>308817.20469512197</v>
      </c>
      <c r="K7" s="127">
        <f t="shared" si="0"/>
        <v>463225.80704268295</v>
      </c>
      <c r="L7" s="127">
        <f t="shared" si="0"/>
        <v>694838.7105640244</v>
      </c>
      <c r="N7" s="91"/>
      <c r="O7" s="16"/>
      <c r="P7" s="92"/>
      <c r="Q7" s="92"/>
      <c r="R7" s="92"/>
      <c r="S7" s="92"/>
      <c r="T7" s="92"/>
      <c r="U7" s="92"/>
      <c r="V7" s="92"/>
      <c r="W7" s="92"/>
      <c r="X7" s="94"/>
      <c r="Y7" s="94"/>
      <c r="Z7" s="94"/>
      <c r="AB7" s="94"/>
    </row>
    <row r="8" spans="1:28" x14ac:dyDescent="0.2">
      <c r="B8" s="39" t="s">
        <v>173</v>
      </c>
      <c r="C8" s="138"/>
      <c r="D8" s="138"/>
      <c r="E8" s="138"/>
      <c r="F8" s="138"/>
      <c r="G8" s="139"/>
      <c r="H8" s="138"/>
      <c r="I8" s="138"/>
      <c r="J8" s="138"/>
      <c r="K8" s="138"/>
      <c r="L8" s="127">
        <f>L7*(1+C20)/(C21-C20)</f>
        <v>7496943.9824013151</v>
      </c>
      <c r="N8" s="91"/>
      <c r="O8" s="16"/>
      <c r="P8" s="92"/>
      <c r="Q8" s="92"/>
      <c r="R8" s="92"/>
      <c r="S8" s="92"/>
      <c r="T8" s="92"/>
      <c r="U8" s="92"/>
      <c r="V8" s="92"/>
      <c r="W8" s="92"/>
      <c r="X8" s="94"/>
      <c r="Y8" s="94"/>
      <c r="Z8" s="94"/>
      <c r="AB8" s="94"/>
    </row>
    <row r="9" spans="1:28" x14ac:dyDescent="0.2">
      <c r="B9" s="1" t="s">
        <v>174</v>
      </c>
      <c r="C9" s="138"/>
      <c r="D9" s="138"/>
      <c r="E9" s="138"/>
      <c r="F9" s="138"/>
      <c r="G9" s="139"/>
      <c r="H9" s="140">
        <v>1</v>
      </c>
      <c r="I9" s="140">
        <v>2</v>
      </c>
      <c r="J9" s="140">
        <v>3</v>
      </c>
      <c r="K9" s="140">
        <v>4</v>
      </c>
      <c r="L9" s="140">
        <v>5</v>
      </c>
      <c r="N9" s="91"/>
    </row>
    <row r="10" spans="1:28" x14ac:dyDescent="0.2">
      <c r="B10" s="1" t="s">
        <v>312</v>
      </c>
      <c r="C10" s="138"/>
      <c r="D10" s="138"/>
      <c r="E10" s="138"/>
      <c r="F10" s="138"/>
      <c r="G10" s="139"/>
      <c r="H10" s="127">
        <f>H7/(1+$C$21)^H9</f>
        <v>122546.50979965155</v>
      </c>
      <c r="I10" s="127">
        <f t="shared" ref="I10:L10" si="1">I7/(1+$C$21)^I9</f>
        <v>164124.78991024761</v>
      </c>
      <c r="J10" s="127">
        <f t="shared" si="1"/>
        <v>219809.98648693875</v>
      </c>
      <c r="K10" s="127">
        <f t="shared" si="1"/>
        <v>294388.37475929299</v>
      </c>
      <c r="L10" s="127">
        <f t="shared" si="1"/>
        <v>394270.14476691018</v>
      </c>
      <c r="N10" s="91"/>
    </row>
    <row r="11" spans="1:28" x14ac:dyDescent="0.2">
      <c r="B11" s="1" t="s">
        <v>175</v>
      </c>
      <c r="C11" s="138"/>
      <c r="D11" s="138"/>
      <c r="E11" s="138"/>
      <c r="F11" s="138"/>
      <c r="G11" s="139"/>
      <c r="H11" s="138"/>
      <c r="I11" s="138"/>
      <c r="J11" s="138"/>
      <c r="K11" s="138"/>
      <c r="L11" s="127">
        <f>L8/(1+C21)^L9</f>
        <v>4253967.351432452</v>
      </c>
    </row>
    <row r="13" spans="1:28" ht="17" thickBot="1" x14ac:dyDescent="0.25"/>
    <row r="14" spans="1:28" x14ac:dyDescent="0.2">
      <c r="B14" s="258" t="s">
        <v>214</v>
      </c>
      <c r="C14" s="259"/>
    </row>
    <row r="15" spans="1:28" x14ac:dyDescent="0.2">
      <c r="B15" s="154" t="s">
        <v>215</v>
      </c>
      <c r="C15" s="155">
        <f ca="1">Overview!C5</f>
        <v>210.96</v>
      </c>
    </row>
    <row r="16" spans="1:28" x14ac:dyDescent="0.2">
      <c r="B16" s="154" t="s">
        <v>216</v>
      </c>
      <c r="C16" s="155">
        <f>C36</f>
        <v>228.84689448777979</v>
      </c>
    </row>
    <row r="17" spans="2:9" ht="17" thickBot="1" x14ac:dyDescent="0.25">
      <c r="B17" s="156" t="s">
        <v>316</v>
      </c>
      <c r="C17" s="157">
        <v>0.5</v>
      </c>
      <c r="E17" s="257" t="s">
        <v>217</v>
      </c>
      <c r="F17" s="257"/>
      <c r="G17" s="257"/>
      <c r="H17" s="257"/>
      <c r="I17" s="257"/>
    </row>
    <row r="18" spans="2:9" ht="17" thickBot="1" x14ac:dyDescent="0.25"/>
    <row r="19" spans="2:9" x14ac:dyDescent="0.2">
      <c r="B19" s="258" t="s">
        <v>176</v>
      </c>
      <c r="C19" s="259"/>
    </row>
    <row r="20" spans="2:9" x14ac:dyDescent="0.2">
      <c r="B20" s="158" t="s">
        <v>177</v>
      </c>
      <c r="C20" s="159">
        <v>2.5000000000000001E-2</v>
      </c>
    </row>
    <row r="21" spans="2:9" x14ac:dyDescent="0.2">
      <c r="B21" s="158" t="s">
        <v>157</v>
      </c>
      <c r="C21" s="223">
        <f>IF(Overview!C28&gt;0,Overview!C28,WACC!C20)</f>
        <v>0.12</v>
      </c>
    </row>
    <row r="22" spans="2:9" x14ac:dyDescent="0.2">
      <c r="B22" s="158" t="s">
        <v>67</v>
      </c>
      <c r="C22" s="224">
        <f>Statement!AC74</f>
        <v>24100</v>
      </c>
    </row>
    <row r="23" spans="2:9" x14ac:dyDescent="0.2">
      <c r="B23" s="158" t="s">
        <v>218</v>
      </c>
      <c r="C23" s="160">
        <f ca="1">C15*C22</f>
        <v>5084136</v>
      </c>
    </row>
    <row r="24" spans="2:9" x14ac:dyDescent="0.2">
      <c r="B24" s="158" t="s">
        <v>170</v>
      </c>
      <c r="C24" s="224">
        <f>Statement!AC105</f>
        <v>99369</v>
      </c>
    </row>
    <row r="25" spans="2:9" x14ac:dyDescent="0.2">
      <c r="B25" s="158" t="s">
        <v>161</v>
      </c>
      <c r="C25" s="224">
        <f>Statement!AC106</f>
        <v>33266</v>
      </c>
    </row>
    <row r="26" spans="2:9" ht="17" thickBot="1" x14ac:dyDescent="0.25">
      <c r="B26" s="156" t="s">
        <v>219</v>
      </c>
      <c r="C26" s="161">
        <f ca="1">C23+C25-C24</f>
        <v>5018033</v>
      </c>
    </row>
    <row r="27" spans="2:9" ht="17" thickBot="1" x14ac:dyDescent="0.25"/>
    <row r="28" spans="2:9" x14ac:dyDescent="0.2">
      <c r="B28" s="258" t="s">
        <v>178</v>
      </c>
      <c r="C28" s="259"/>
    </row>
    <row r="29" spans="2:9" x14ac:dyDescent="0.2">
      <c r="B29" s="158" t="s">
        <v>179</v>
      </c>
      <c r="C29" s="160">
        <f>SUM(H10:L10)</f>
        <v>1195139.8057230411</v>
      </c>
    </row>
    <row r="30" spans="2:9" x14ac:dyDescent="0.2">
      <c r="B30" s="158" t="s">
        <v>175</v>
      </c>
      <c r="C30" s="160">
        <f>L11</f>
        <v>4253967.351432452</v>
      </c>
    </row>
    <row r="31" spans="2:9" x14ac:dyDescent="0.2">
      <c r="B31" s="162" t="s">
        <v>180</v>
      </c>
      <c r="C31" s="163">
        <f>C29+C30</f>
        <v>5449107.1571554933</v>
      </c>
    </row>
    <row r="32" spans="2:9" x14ac:dyDescent="0.2">
      <c r="B32" s="158" t="s">
        <v>181</v>
      </c>
      <c r="C32" s="164">
        <f>C24</f>
        <v>99369</v>
      </c>
    </row>
    <row r="33" spans="2:3" x14ac:dyDescent="0.2">
      <c r="B33" s="158" t="s">
        <v>182</v>
      </c>
      <c r="C33" s="164">
        <f>C25</f>
        <v>33266</v>
      </c>
    </row>
    <row r="34" spans="2:3" x14ac:dyDescent="0.2">
      <c r="B34" s="162" t="s">
        <v>183</v>
      </c>
      <c r="C34" s="163">
        <f>C31+C32-C33</f>
        <v>5515210.1571554933</v>
      </c>
    </row>
    <row r="35" spans="2:3" x14ac:dyDescent="0.2">
      <c r="B35" s="158" t="s">
        <v>67</v>
      </c>
      <c r="C35" s="160">
        <f>C22</f>
        <v>24100</v>
      </c>
    </row>
    <row r="36" spans="2:3" ht="17" thickBot="1" x14ac:dyDescent="0.25">
      <c r="B36" s="165" t="s">
        <v>184</v>
      </c>
      <c r="C36" s="166">
        <f>C34/C35</f>
        <v>228.84689448777979</v>
      </c>
    </row>
  </sheetData>
  <mergeCells count="10">
    <mergeCell ref="P3:W3"/>
    <mergeCell ref="X3:Z3"/>
    <mergeCell ref="C5:L5"/>
    <mergeCell ref="P5:Z5"/>
    <mergeCell ref="B14:C14"/>
    <mergeCell ref="E17:I17"/>
    <mergeCell ref="B19:C19"/>
    <mergeCell ref="B28:C28"/>
    <mergeCell ref="C3:G3"/>
    <mergeCell ref="H3:L3"/>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Overview</vt:lpstr>
      <vt:lpstr>Financials -&gt;</vt:lpstr>
      <vt:lpstr>Statement</vt:lpstr>
      <vt:lpstr>Analysis -&gt;</vt:lpstr>
      <vt:lpstr>Basic</vt:lpstr>
      <vt:lpstr>Yearly Analysis</vt:lpstr>
      <vt:lpstr>Quarter analysis</vt:lpstr>
      <vt:lpstr>Graphs Year</vt:lpstr>
      <vt:lpstr>Graphs Quarter</vt:lpstr>
      <vt:lpstr>Forecast -&gt;</vt:lpstr>
      <vt:lpstr>Revenue</vt:lpstr>
      <vt:lpstr>COGS &amp; OpEx</vt:lpstr>
      <vt:lpstr>WC &amp; Investments</vt:lpstr>
      <vt:lpstr>FCF &amp; Other</vt:lpstr>
      <vt:lpstr>Valuation -&gt;</vt:lpstr>
      <vt:lpstr>WACC</vt:lpstr>
      <vt:lpstr>DCF</vt:lpstr>
      <vt:lpstr>Multiples</vt:lpstr>
      <vt:lpstr>AVG target price</vt:lpstr>
      <vt:lpstr>DDM</vt:lpstr>
      <vt:lpstr>Reverse 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dumitras</dc:creator>
  <cp:lastModifiedBy>adi dumitras</cp:lastModifiedBy>
  <dcterms:created xsi:type="dcterms:W3CDTF">2025-11-16T22:36:04Z</dcterms:created>
  <dcterms:modified xsi:type="dcterms:W3CDTF">2026-10-23T22:55:56Z</dcterms:modified>
</cp:coreProperties>
</file>