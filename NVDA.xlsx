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0D8E467-8C17-DB4A-BB45-22538D1B522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5" i="3" l="1"/>
  <c r="AA156" i="3" s="1"/>
  <c r="Z155" i="3"/>
  <c r="Z156" i="3" s="1"/>
  <c r="Y155" i="3"/>
  <c r="Y156" i="3" s="1"/>
  <c r="X155" i="3"/>
  <c r="X156" i="3" s="1"/>
  <c r="W155" i="3"/>
  <c r="W156" i="3" s="1"/>
  <c r="V155" i="3"/>
  <c r="V156" i="3" s="1"/>
  <c r="U155" i="3"/>
  <c r="U156" i="3" s="1"/>
  <c r="T155" i="3"/>
  <c r="T156" i="3" s="1"/>
  <c r="AA154" i="3"/>
  <c r="Z154" i="3"/>
  <c r="Y154" i="3"/>
  <c r="X154" i="3"/>
  <c r="W154" i="3"/>
  <c r="V154" i="3"/>
  <c r="U154" i="3"/>
  <c r="T154" i="3"/>
  <c r="AA115" i="3"/>
  <c r="Z115" i="3"/>
  <c r="Y115" i="3"/>
  <c r="X115" i="3"/>
  <c r="W115" i="3"/>
  <c r="V115" i="3"/>
  <c r="U115" i="3"/>
  <c r="T115" i="3"/>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C21" i="21"/>
  <c r="C23" i="21" s="1"/>
  <c r="C26" i="21" s="1"/>
  <c r="I10"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6" i="12"/>
  <c r="C66"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3"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9"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50" i="12"/>
  <c r="C54" i="12" s="1"/>
  <c r="C55"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L7" i="11"/>
  <c r="C45" i="12" l="1"/>
  <c r="C47" i="12" s="1"/>
  <c r="C6" i="13" s="1"/>
  <c r="I4" i="1" s="1"/>
  <c r="K14" i="12"/>
  <c r="L8" i="11"/>
  <c r="L11" i="11" s="1"/>
  <c r="C20" i="11" s="1"/>
  <c r="L10" i="11"/>
  <c r="C19" i="11" s="1"/>
  <c r="L14" i="12"/>
  <c r="C58" i="12"/>
  <c r="C61" i="12" s="1"/>
  <c r="C62" i="12" s="1"/>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<sst xmlns="http://schemas.openxmlformats.org/spreadsheetml/2006/main" count="757" uniqueCount="410">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</sst>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https://www.bing.com/financeapi/forcetrigger?t=a1yv52&amp;q=XNAS%3aNVDA&amp;form=skydnc</v>
    <v>Learn more on Bing</v>
  </rv>
  <rv s="1">
    <v>0</v>
    <v>NVIDIA CORPORATION (XNAS:NVDA)</v>
    <v>2</v>
    <v>3</v>
    <v>Finance</v>
    <v>4</v>
    <v>en-US</v>
    <v>a1yv52</v>
    <v>268435456</v>
    <v>1</v>
    <v>Powered by Refinitiv</v>
    <v>236.54</v>
    <v>164.07</v>
    <v>2.2233999999999998</v>
    <v>5.71</v>
    <v>2.9276E-2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202</v>
    <v>Semiconductors &amp; Semiconductor Equipment</v>
    <v>Stock</v>
    <v>46234.999993483594</v>
    <v>0</v>
    <v>194.95</v>
    <v>4858150000000</v>
    <v>NVIDIA CORPORATION</v>
    <v>NVIDIA CORPORATION</v>
    <v>198.44049999999999</v>
    <v>30.742899999999999</v>
    <v>195.04</v>
    <v>200.75</v>
    <v>24200000000</v>
    <v>NVDA</v>
    <v>NVIDIA CORPORATION (XNAS:NVDA)</v>
    <v>565032</v>
    <v>134310928</v>
    <v>1998</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47.47</v>
    <v>39.47</v>
    <v>0.82</v>
    <v>1.7585E-2</v>
    <v>US</v>
    <v>47.47</v>
    <v>Index</v>
    <v>6</v>
    <v>46.82</v>
    <v>10 Y TSY YLD NDX</v>
    <v>46.84</v>
    <v>46.63</v>
    <v>47.45</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topLeftCell="A17" zoomScale="160" zoomScaleNormal="160" workbookViewId="0">
      <selection activeCell="C22" sqref="C2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284</v>
      </c>
      <c r="F2" s="239"/>
      <c r="H2" s="238" t="s">
        <v>325</v>
      </c>
      <c r="I2" s="239"/>
    </row>
    <row r="3" spans="2:9" x14ac:dyDescent="0.2">
      <c r="B3" s="186" t="s">
        <v>11</v>
      </c>
      <c r="C3" s="218" t="e" vm="1">
        <v>#VALUE!</v>
      </c>
      <c r="D3" s="2"/>
      <c r="E3" s="186" t="s">
        <v>236</v>
      </c>
      <c r="F3" s="188">
        <f ca="1">Statement!AC155</f>
        <v>4879228.75</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4807126.75</v>
      </c>
      <c r="H4" s="186" t="str">
        <f>'AVG target price'!B6</f>
        <v>EV/EBIT price</v>
      </c>
      <c r="I4" s="212">
        <f>'AVG target price'!C6</f>
        <v>367.27840315363267</v>
      </c>
    </row>
    <row r="5" spans="2:9" x14ac:dyDescent="0.2">
      <c r="B5" s="186" t="s">
        <v>1</v>
      </c>
      <c r="C5" s="209" cm="1">
        <f t="array" aca="1" ref="C5" ca="1">_FV(C3,"Price",TRUE)</f>
        <v>200.75</v>
      </c>
      <c r="E5" s="186" t="s">
        <v>240</v>
      </c>
      <c r="F5" s="190">
        <f>Statement!AC25</f>
        <v>6.5299999999999994</v>
      </c>
      <c r="H5" s="186" t="str">
        <f>'AVG target price'!B7</f>
        <v>PS price</v>
      </c>
      <c r="I5" s="212">
        <f>'AVG target price'!C7</f>
        <v>304.38678708173404</v>
      </c>
    </row>
    <row r="6" spans="2:9" x14ac:dyDescent="0.2">
      <c r="B6" s="186" t="s">
        <v>2</v>
      </c>
      <c r="C6" s="209" t="e" cm="1" vm="2">
        <f t="array" ref="C6">_FV(C3,"Price (Extended hours)",TRUE)</f>
        <v>#VALUE!</v>
      </c>
      <c r="E6" s="186" t="s">
        <v>234</v>
      </c>
      <c r="F6" s="191">
        <f ca="1">Statement!AC152</f>
        <v>30.742725880551305</v>
      </c>
      <c r="H6" s="186" t="str">
        <f>'AVG target price'!B8</f>
        <v>EV/FCFF price</v>
      </c>
      <c r="I6" s="212">
        <f>'AVG target price'!C8</f>
        <v>353.04403192491492</v>
      </c>
    </row>
    <row r="7" spans="2:9" x14ac:dyDescent="0.2">
      <c r="B7" s="186" t="s">
        <v>3</v>
      </c>
      <c r="C7" s="6" cm="1">
        <f t="array" aca="1" ref="C7" ca="1">_FV(C3,"Change")</f>
        <v>5.71</v>
      </c>
      <c r="E7" s="187" t="s">
        <v>193</v>
      </c>
      <c r="F7" s="192">
        <f ca="1">Statement!AC153</f>
        <v>19.370488991719629</v>
      </c>
      <c r="H7" s="185" t="str">
        <f>'AVG target price'!B9</f>
        <v>AVG price</v>
      </c>
      <c r="I7" s="213">
        <f>'AVG target price'!C9</f>
        <v>298.23622668088177</v>
      </c>
    </row>
    <row r="8" spans="2:9" x14ac:dyDescent="0.2">
      <c r="B8" s="186" t="s">
        <v>4</v>
      </c>
      <c r="C8" s="6" t="e" cm="1" vm="3">
        <f t="array" ref="C8">_FV(C3,"Change (extended hours)",TRUE)</f>
        <v>#VALUE!</v>
      </c>
      <c r="E8" s="186" t="s">
        <v>262</v>
      </c>
      <c r="F8" s="193">
        <f ca="1">Statement!AC163</f>
        <v>2.3003020713058389E-2</v>
      </c>
      <c r="H8" s="185" t="str">
        <f>'AVG target price'!B11</f>
        <v>Upside/Downside</v>
      </c>
      <c r="I8" s="214">
        <f ca="1">'AVG target price'!C11</f>
        <v>0.48561009554611095</v>
      </c>
    </row>
    <row r="9" spans="2:9" x14ac:dyDescent="0.2">
      <c r="B9" s="186" t="s">
        <v>5</v>
      </c>
      <c r="C9" s="73" cm="1">
        <f t="array" aca="1" ref="C9" ca="1">_FV(C3,"Change (%)",TRUE)</f>
        <v>2.9276E-2</v>
      </c>
      <c r="E9" s="186" t="s">
        <v>285</v>
      </c>
      <c r="F9" s="193">
        <f ca="1">Statement!AC164</f>
        <v>3.2528019925280198E-2</v>
      </c>
    </row>
    <row r="10" spans="2:9" x14ac:dyDescent="0.2">
      <c r="B10" s="186" t="s">
        <v>6</v>
      </c>
      <c r="C10" s="73" t="e" cm="1" vm="4">
        <f t="array" ref="C10">_FV(C3,"Change % (extended hours)",TRUE)</f>
        <v>#VALUE!</v>
      </c>
      <c r="E10" s="186" t="s">
        <v>290</v>
      </c>
      <c r="F10" s="193">
        <f ca="1">Statement!AC166</f>
        <v>9.2850739986314428E-3</v>
      </c>
      <c r="H10" s="185" t="s">
        <v>409</v>
      </c>
      <c r="I10" s="213">
        <f>DDM!C26</f>
        <v>0.48421052631578948</v>
      </c>
    </row>
    <row r="11" spans="2:9" x14ac:dyDescent="0.2">
      <c r="B11" s="186" t="s">
        <v>7</v>
      </c>
      <c r="C11" s="210" cm="1">
        <f t="array" aca="1" ref="C11" ca="1">_FV(C3,"52 week high",TRUE)</f>
        <v>236.54</v>
      </c>
      <c r="E11" s="187" t="s">
        <v>286</v>
      </c>
      <c r="F11" s="194">
        <f ca="1">Statement!AC165</f>
        <v>1.9925280199252802E-4</v>
      </c>
    </row>
    <row r="12" spans="2:9" x14ac:dyDescent="0.2">
      <c r="B12" s="186" t="s">
        <v>8</v>
      </c>
      <c r="C12" s="210" cm="1">
        <f t="array" aca="1" ref="C12" ca="1">_FV(C3,"52 week low",TRUE)</f>
        <v>164.07</v>
      </c>
      <c r="E12" s="186" t="s">
        <v>94</v>
      </c>
      <c r="F12" s="193">
        <f>Statement!AC121</f>
        <v>0.61514063066049007</v>
      </c>
    </row>
    <row r="13" spans="2:9" x14ac:dyDescent="0.2">
      <c r="B13" s="186" t="s">
        <v>9</v>
      </c>
      <c r="C13" s="210" cm="1">
        <f t="array" aca="1" ref="C13" ca="1">_FV(C3,"Beta")</f>
        <v>2.2233999999999998</v>
      </c>
      <c r="E13" s="186" t="s">
        <v>96</v>
      </c>
      <c r="F13" s="193">
        <f>Statement!AC123</f>
        <v>0.81654337661274645</v>
      </c>
    </row>
    <row r="14" spans="2:9" x14ac:dyDescent="0.2">
      <c r="B14" s="187" t="s">
        <v>10</v>
      </c>
      <c r="C14" s="211" cm="1">
        <f t="array" aca="1" ref="C14" ca="1">_FV(C3,"Volume average",TRUE)</f>
        <v>134310928</v>
      </c>
      <c r="E14" s="187" t="s">
        <v>97</v>
      </c>
      <c r="F14" s="194">
        <f>Statement!AC142</f>
        <v>1.1082908941558067</v>
      </c>
    </row>
    <row r="15" spans="2:9" x14ac:dyDescent="0.2">
      <c r="E15" s="186" t="s">
        <v>287</v>
      </c>
      <c r="F15" s="193">
        <f ca="1">Statement!AC178</f>
        <v>1.4777335454911803E-2</v>
      </c>
    </row>
    <row r="16" spans="2:9" x14ac:dyDescent="0.2">
      <c r="E16" s="187" t="s">
        <v>292</v>
      </c>
      <c r="F16" s="192">
        <f>Statement!AC177</f>
        <v>2.9794214876033056</v>
      </c>
    </row>
    <row r="17" spans="2:9" x14ac:dyDescent="0.2">
      <c r="B17" s="240" t="s">
        <v>83</v>
      </c>
      <c r="C17" s="240"/>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40" t="s">
        <v>99</v>
      </c>
      <c r="C25" s="240"/>
      <c r="E25" s="238" t="s">
        <v>340</v>
      </c>
      <c r="F25" s="239"/>
    </row>
    <row r="26" spans="2:9" x14ac:dyDescent="0.2">
      <c r="B26" s="185" t="s">
        <v>100</v>
      </c>
      <c r="C26" s="171">
        <v>0.21</v>
      </c>
      <c r="E26" s="186" t="e" vm="5">
        <v>#VALUE!</v>
      </c>
      <c r="F26" s="220" cm="1">
        <f t="array" aca="1" ref="F26" ca="1">_FV(E26,"Price")</f>
        <v>47.45</v>
      </c>
    </row>
    <row r="27" spans="2:9" x14ac:dyDescent="0.2">
      <c r="B27" s="185" t="s">
        <v>164</v>
      </c>
      <c r="C27" s="222">
        <v>5.0999999999999997E-2</v>
      </c>
      <c r="E27" s="187" t="s">
        <v>341</v>
      </c>
      <c r="F27" s="221">
        <f ca="1">F26/1000</f>
        <v>4.7450000000000006E-2</v>
      </c>
    </row>
    <row r="28" spans="2:9" x14ac:dyDescent="0.2">
      <c r="B28" s="185" t="s">
        <v>389</v>
      </c>
      <c r="C28" s="222">
        <v>0.12</v>
      </c>
    </row>
    <row r="29" spans="2:9" x14ac:dyDescent="0.2">
      <c r="B29" s="185" t="s">
        <v>399</v>
      </c>
      <c r="C29" s="222">
        <v>0.12</v>
      </c>
    </row>
    <row r="33" spans="2:8" x14ac:dyDescent="0.2">
      <c r="B33" s="237" t="s">
        <v>335</v>
      </c>
      <c r="C33" s="237"/>
      <c r="D33" s="237"/>
      <c r="E33" s="237"/>
      <c r="F33" s="237"/>
      <c r="G33" s="237"/>
      <c r="H33" s="237"/>
    </row>
    <row r="35" spans="2:8" x14ac:dyDescent="0.2">
      <c r="B35" s="16" t="s">
        <v>336</v>
      </c>
      <c r="C35" s="1" t="s">
        <v>380</v>
      </c>
    </row>
    <row r="36" spans="2:8" x14ac:dyDescent="0.2">
      <c r="B36" s="16" t="s">
        <v>337</v>
      </c>
      <c r="C36" s="1" t="s">
        <v>379</v>
      </c>
    </row>
    <row r="39" spans="2:8" ht="6" customHeight="1" x14ac:dyDescent="0.2">
      <c r="B39" s="237"/>
      <c r="C39" s="237"/>
      <c r="D39" s="237"/>
      <c r="E39" s="237"/>
      <c r="F39" s="237"/>
      <c r="G39" s="237"/>
      <c r="H39" s="237"/>
    </row>
    <row r="42" spans="2:8" x14ac:dyDescent="0.2">
      <c r="B42" s="237" t="s">
        <v>338</v>
      </c>
      <c r="C42" s="237"/>
      <c r="D42" s="237"/>
      <c r="E42" s="237"/>
      <c r="F42" s="237"/>
      <c r="G42" s="237"/>
      <c r="H42" s="237"/>
    </row>
    <row r="44" spans="2:8" x14ac:dyDescent="0.2">
      <c r="B44" s="41" t="s">
        <v>339</v>
      </c>
      <c r="C44" s="41" t="s">
        <v>326</v>
      </c>
      <c r="D44" s="41"/>
      <c r="E44" s="41" t="s">
        <v>327</v>
      </c>
    </row>
    <row r="49" spans="2:8" ht="5" customHeight="1" x14ac:dyDescent="0.2">
      <c r="B49" s="237"/>
      <c r="C49" s="237"/>
      <c r="D49" s="237"/>
      <c r="E49" s="237"/>
      <c r="F49" s="237"/>
      <c r="G49" s="237"/>
      <c r="H49" s="237"/>
    </row>
    <row r="52" spans="2:8" x14ac:dyDescent="0.2">
      <c r="B52" s="237" t="s">
        <v>101</v>
      </c>
      <c r="C52" s="237"/>
      <c r="D52" s="237"/>
      <c r="E52" s="237"/>
      <c r="F52" s="237"/>
      <c r="G52" s="237"/>
      <c r="H52" s="237"/>
    </row>
    <row r="54" spans="2:8" x14ac:dyDescent="0.2">
      <c r="B54" s="41" t="s">
        <v>339</v>
      </c>
      <c r="C54" s="41" t="s">
        <v>326</v>
      </c>
      <c r="D54" s="41"/>
      <c r="E54" s="41" t="s">
        <v>327</v>
      </c>
    </row>
    <row r="59" spans="2:8" ht="5" customHeight="1" x14ac:dyDescent="0.2">
      <c r="B59" s="237"/>
      <c r="C59" s="237"/>
      <c r="D59" s="237"/>
      <c r="E59" s="237"/>
      <c r="F59" s="237"/>
      <c r="G59" s="237"/>
      <c r="H59" s="237"/>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L205" activePane="bottomRight" state="frozen"/>
      <selection pane="topRight" activeCell="C1" sqref="C1"/>
      <selection pane="bottomLeft" activeCell="A4" sqref="A4"/>
      <selection pane="bottomRight" activeCell="B190" sqref="B19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112.87</v>
      </c>
      <c r="U114" s="63">
        <v>141.32</v>
      </c>
      <c r="V114" s="63">
        <v>142.62</v>
      </c>
      <c r="W114" s="63">
        <v>110.85</v>
      </c>
      <c r="X114" s="63">
        <v>173.27</v>
      </c>
      <c r="Y114" s="63">
        <v>186.02</v>
      </c>
      <c r="Z114" s="63">
        <v>187.67</v>
      </c>
      <c r="AA114" s="63">
        <v>208.27</v>
      </c>
      <c r="AC114" s="63">
        <f ca="1">Overview!C5</f>
        <v>200.75</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AA115" si="68">T114/T84</f>
        <v>112.87</v>
      </c>
      <c r="U115" s="65">
        <f t="shared" si="68"/>
        <v>141.32</v>
      </c>
      <c r="V115" s="65">
        <f t="shared" si="68"/>
        <v>142.62</v>
      </c>
      <c r="W115" s="65">
        <f t="shared" si="68"/>
        <v>110.85</v>
      </c>
      <c r="X115" s="65">
        <f t="shared" si="68"/>
        <v>173.27</v>
      </c>
      <c r="Y115" s="65">
        <f t="shared" si="68"/>
        <v>186.02</v>
      </c>
      <c r="Z115" s="65">
        <f t="shared" si="68"/>
        <v>187.67</v>
      </c>
      <c r="AA115" s="65">
        <f t="shared" si="68"/>
        <v>208.27</v>
      </c>
      <c r="AC115" s="65">
        <f ca="1">AC114/AC84</f>
        <v>200.75</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9">M119*M120</f>
        <v>0.22069839545567699</v>
      </c>
      <c r="N121" s="76">
        <f t="shared" si="69"/>
        <v>0.10606575688407557</v>
      </c>
      <c r="O121" s="76">
        <f t="shared" si="69"/>
        <v>0.45277507302823755</v>
      </c>
      <c r="P121" s="76">
        <f t="shared" si="69"/>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70">M121*M122</f>
        <v>0.36645122501127303</v>
      </c>
      <c r="N123" s="76">
        <f t="shared" si="70"/>
        <v>0.19763811592235647</v>
      </c>
      <c r="O123" s="76">
        <f t="shared" si="70"/>
        <v>0.69244729861789756</v>
      </c>
      <c r="P123" s="76">
        <f t="shared" si="70"/>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1">U5</f>
        <v>35082</v>
      </c>
      <c r="U129" s="25">
        <f t="shared" si="71"/>
        <v>39331</v>
      </c>
      <c r="V129" s="25">
        <f t="shared" si="71"/>
        <v>44062</v>
      </c>
      <c r="W129" s="25">
        <f t="shared" si="71"/>
        <v>46743</v>
      </c>
      <c r="X129" s="25">
        <f t="shared" si="71"/>
        <v>57006</v>
      </c>
      <c r="Y129" s="25">
        <f t="shared" si="71"/>
        <v>68127</v>
      </c>
      <c r="Z129" s="25">
        <f t="shared" si="71"/>
        <v>81615</v>
      </c>
      <c r="AA129" s="25">
        <f t="shared" si="71"/>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2">IF(T129&gt;T128, "BEAT", IF(T129&lt;T127, "MISSED", "MET"))</f>
        <v>BEAT</v>
      </c>
      <c r="U130" s="229" t="str">
        <f t="shared" si="72"/>
        <v>BEAT</v>
      </c>
      <c r="V130" s="229" t="str">
        <f t="shared" si="72"/>
        <v>BEAT</v>
      </c>
      <c r="W130" s="229" t="str">
        <f t="shared" si="72"/>
        <v>BEAT</v>
      </c>
      <c r="X130" s="229" t="str">
        <f t="shared" si="72"/>
        <v>BEAT</v>
      </c>
      <c r="Y130" s="229" t="str">
        <f t="shared" si="72"/>
        <v>BEAT</v>
      </c>
      <c r="Z130" s="229" t="str">
        <f t="shared" si="72"/>
        <v>BEAT</v>
      </c>
      <c r="AA130" s="229" t="str">
        <f t="shared" si="72"/>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3">U99</f>
        <v>0.74556752750698363</v>
      </c>
      <c r="U133" s="81">
        <f t="shared" si="73"/>
        <v>0.73028908494571709</v>
      </c>
      <c r="V133" s="81">
        <f t="shared" si="73"/>
        <v>0.60523807362353044</v>
      </c>
      <c r="W133" s="81">
        <f t="shared" si="73"/>
        <v>0.72423678411740799</v>
      </c>
      <c r="X133" s="81">
        <f t="shared" si="73"/>
        <v>0.7341157071185489</v>
      </c>
      <c r="Y133" s="81">
        <f t="shared" si="73"/>
        <v>0.74996697344665109</v>
      </c>
      <c r="Z133" s="81">
        <f t="shared" si="73"/>
        <v>0.74933529375727503</v>
      </c>
      <c r="AA133" s="81">
        <f t="shared" si="73"/>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4">IF(T133&gt;T132, "BEAT", IF(T133&lt;T131, "MISSED", "MET"))</f>
        <v>MET</v>
      </c>
      <c r="U134" s="229" t="str">
        <f t="shared" si="74"/>
        <v>MET</v>
      </c>
      <c r="V134" s="229" t="str">
        <f t="shared" si="74"/>
        <v>MISSED</v>
      </c>
      <c r="W134" s="229" t="str">
        <f t="shared" si="74"/>
        <v>BEAT</v>
      </c>
      <c r="X134" s="229" t="str">
        <f t="shared" si="74"/>
        <v>MET</v>
      </c>
      <c r="Y134" s="229" t="str">
        <f t="shared" si="74"/>
        <v>MET</v>
      </c>
      <c r="Z134" s="229" t="str">
        <f t="shared" si="74"/>
        <v>MET</v>
      </c>
      <c r="AA134" s="229" t="str">
        <f t="shared" si="74"/>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5">U10</f>
        <v>4287</v>
      </c>
      <c r="U137" s="25">
        <f t="shared" si="75"/>
        <v>4689</v>
      </c>
      <c r="V137" s="25">
        <f t="shared" si="75"/>
        <v>5030</v>
      </c>
      <c r="W137" s="25">
        <f t="shared" si="75"/>
        <v>5413</v>
      </c>
      <c r="X137" s="25">
        <f t="shared" si="75"/>
        <v>5839</v>
      </c>
      <c r="Y137" s="25">
        <f t="shared" si="75"/>
        <v>6794</v>
      </c>
      <c r="Z137" s="25">
        <f t="shared" si="75"/>
        <v>7621</v>
      </c>
      <c r="AA137" s="25">
        <f t="shared" si="75"/>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6">IF(T137&gt;T136, "BEAT", IF(T137&lt;T135, "MISSED", "MET"))</f>
        <v>MISSED</v>
      </c>
      <c r="U138" s="229" t="str">
        <f t="shared" si="76"/>
        <v>MISSED</v>
      </c>
      <c r="V138" s="229" t="str">
        <f t="shared" si="76"/>
        <v>MISSED</v>
      </c>
      <c r="W138" s="229" t="str">
        <f t="shared" si="76"/>
        <v>MISSED</v>
      </c>
      <c r="X138" s="229" t="str">
        <f t="shared" si="76"/>
        <v>MISSED</v>
      </c>
      <c r="Y138" s="229" t="str">
        <f t="shared" si="76"/>
        <v>BEAT</v>
      </c>
      <c r="Z138" s="229" t="str">
        <f t="shared" si="76"/>
        <v>MISSED</v>
      </c>
      <c r="AA138" s="229" t="str">
        <f t="shared" si="76"/>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7">M29/M5*365</f>
        <v>63.061975180203611</v>
      </c>
      <c r="N143" s="119">
        <f t="shared" si="77"/>
        <v>51.785237636242307</v>
      </c>
      <c r="O143" s="119">
        <f t="shared" si="77"/>
        <v>59.906683956534586</v>
      </c>
      <c r="P143" s="119">
        <f t="shared" si="77"/>
        <v>64.512785734537957</v>
      </c>
      <c r="Q143" s="119">
        <f t="shared" si="77"/>
        <v>65.01907955061175</v>
      </c>
      <c r="T143" s="119">
        <f t="shared" ref="T143:AA143" si="78">T29/T5*90</f>
        <v>42.339547270306255</v>
      </c>
      <c r="U143" s="119">
        <f t="shared" si="78"/>
        <v>45.389943560800411</v>
      </c>
      <c r="V143" s="119">
        <f t="shared" si="78"/>
        <v>52.778978413973704</v>
      </c>
      <c r="W143" s="119">
        <f t="shared" si="78"/>
        <v>45.206300213335751</v>
      </c>
      <c r="X143" s="119">
        <f t="shared" si="78"/>
        <v>53.542134651177712</v>
      </c>
      <c r="Y143" s="119">
        <f t="shared" si="78"/>
        <v>52.71708241237765</v>
      </c>
      <c r="Z143" s="119">
        <f t="shared" si="78"/>
        <v>50.815976044739969</v>
      </c>
      <c r="AA143" s="119">
        <f t="shared" si="78"/>
        <v>44.892482999448632</v>
      </c>
      <c r="AC143" s="119">
        <f>AC29/AC5*365</f>
        <v>58.61805744582648</v>
      </c>
    </row>
    <row r="144" spans="2:29" x14ac:dyDescent="0.2">
      <c r="B144" s="20" t="s">
        <v>132</v>
      </c>
      <c r="M144" s="119">
        <f t="shared" si="77"/>
        <v>100.73365822650703</v>
      </c>
      <c r="N144" s="119">
        <f t="shared" si="77"/>
        <v>162.079101394388</v>
      </c>
      <c r="O144" s="119">
        <f t="shared" si="77"/>
        <v>115.99362252572048</v>
      </c>
      <c r="P144" s="119">
        <f t="shared" si="77"/>
        <v>112.72404179049603</v>
      </c>
      <c r="Q144" s="119">
        <f t="shared" si="77"/>
        <v>125.043537414966</v>
      </c>
      <c r="T144" s="119">
        <f t="shared" ref="T144:AA144" si="79">T30/T6*365</f>
        <v>326.32935976426467</v>
      </c>
      <c r="U144" s="119">
        <f t="shared" si="79"/>
        <v>312.98565987004258</v>
      </c>
      <c r="V144" s="119">
        <f t="shared" si="79"/>
        <v>346.83257918552033</v>
      </c>
      <c r="W144" s="119">
        <f t="shared" si="79"/>
        <v>237.81447625618031</v>
      </c>
      <c r="X144" s="119">
        <f t="shared" si="79"/>
        <v>423.67183863460048</v>
      </c>
      <c r="Y144" s="119">
        <f t="shared" si="79"/>
        <v>476.42409447779909</v>
      </c>
      <c r="Z144" s="119">
        <f t="shared" si="79"/>
        <v>458.61776447105791</v>
      </c>
      <c r="AA144" s="119">
        <f t="shared" si="79"/>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80">T37/T6*90</f>
        <v>44.361103669970532</v>
      </c>
      <c r="U145" s="119">
        <f t="shared" si="80"/>
        <v>53.973784449921581</v>
      </c>
      <c r="V145" s="119">
        <f t="shared" si="80"/>
        <v>53.53506787330317</v>
      </c>
      <c r="W145" s="119">
        <f t="shared" si="80"/>
        <v>37.932045532942396</v>
      </c>
      <c r="X145" s="119">
        <f t="shared" si="80"/>
        <v>63.286268425135759</v>
      </c>
      <c r="Y145" s="119">
        <f t="shared" si="80"/>
        <v>51.208022695784123</v>
      </c>
      <c r="Z145" s="119">
        <f t="shared" si="80"/>
        <v>51.842197957027118</v>
      </c>
      <c r="AA145" s="119">
        <f t="shared" si="80"/>
        <v>57.617069117215763</v>
      </c>
      <c r="AC145" s="119">
        <f>AC37/AC6*365</f>
        <v>72.939852606844781</v>
      </c>
    </row>
    <row r="146" spans="2:29" x14ac:dyDescent="0.2">
      <c r="B146" s="20" t="s">
        <v>134</v>
      </c>
      <c r="M146" s="119">
        <f>M143+M144-M145</f>
        <v>94.848181346110991</v>
      </c>
      <c r="N146" s="119">
        <f t="shared" ref="N146:Q146" si="81">N143+N144-N145</f>
        <v>176.38413589756092</v>
      </c>
      <c r="O146" s="119">
        <f t="shared" si="81"/>
        <v>116.62980530904048</v>
      </c>
      <c r="P146" s="119">
        <f t="shared" si="81"/>
        <v>106.67247199943577</v>
      </c>
      <c r="Q146" s="119">
        <f t="shared" si="81"/>
        <v>132.73760696157615</v>
      </c>
      <c r="T146" s="119">
        <f t="shared" ref="T146" si="82">T143+T144-T145</f>
        <v>324.30780336460037</v>
      </c>
      <c r="U146" s="119">
        <f t="shared" ref="U146" si="83">U143+U144-U145</f>
        <v>304.40181898092141</v>
      </c>
      <c r="V146" s="119">
        <f t="shared" ref="V146" si="84">V143+V144-V145</f>
        <v>346.07648972619091</v>
      </c>
      <c r="W146" s="119">
        <f t="shared" ref="W146" si="85">W143+W144-W145</f>
        <v>245.08873093657368</v>
      </c>
      <c r="X146" s="119">
        <f t="shared" ref="X146" si="86">X143+X144-X145</f>
        <v>413.92770486064245</v>
      </c>
      <c r="Y146" s="119">
        <f t="shared" ref="Y146" si="87">Y143+Y144-Y145</f>
        <v>477.93315419439267</v>
      </c>
      <c r="Z146" s="119">
        <f t="shared" ref="Z146:AA146" si="88">Z143+Z144-Z145</f>
        <v>457.59154255877075</v>
      </c>
      <c r="AA146" s="119">
        <f t="shared" si="88"/>
        <v>447.53081519223383</v>
      </c>
      <c r="AC146" s="119">
        <f t="shared" ref="AC146" si="89">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90">T106/T48</f>
        <v>0.14548549615695444</v>
      </c>
      <c r="U147" s="119">
        <f t="shared" si="90"/>
        <v>0.12840862532056632</v>
      </c>
      <c r="V147" s="119">
        <f t="shared" si="90"/>
        <v>0.10668498745698186</v>
      </c>
      <c r="W147" s="119">
        <f t="shared" si="90"/>
        <v>0.10095058621471083</v>
      </c>
      <c r="X147" s="119">
        <f t="shared" si="90"/>
        <v>8.4549240494951619E-2</v>
      </c>
      <c r="Y147" s="119">
        <f t="shared" si="90"/>
        <v>7.1212898559257179E-2</v>
      </c>
      <c r="Z147" s="119">
        <f t="shared" si="90"/>
        <v>5.4471591234193512E-2</v>
      </c>
      <c r="AA147" s="119">
        <f t="shared" si="90"/>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1">(T106-T105)/T48</f>
        <v>-0.45289475041697475</v>
      </c>
      <c r="U148" s="180">
        <f t="shared" si="91"/>
        <v>-0.45562148135783548</v>
      </c>
      <c r="V148" s="180">
        <f t="shared" si="91"/>
        <v>-0.43802236312982967</v>
      </c>
      <c r="W148" s="180">
        <f t="shared" si="91"/>
        <v>-0.53942487744951872</v>
      </c>
      <c r="X148" s="180">
        <f t="shared" si="91"/>
        <v>-0.48261777072035633</v>
      </c>
      <c r="Y148" s="180">
        <f t="shared" si="91"/>
        <v>-0.43853923984625348</v>
      </c>
      <c r="Z148" s="180">
        <f t="shared" si="91"/>
        <v>-0.3432320573706395</v>
      </c>
      <c r="AA148" s="180">
        <f t="shared" si="91"/>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2">(T105+T29)/T39</f>
        <v>3.5028992769704344</v>
      </c>
      <c r="U149" s="119">
        <f t="shared" si="92"/>
        <v>3.4091874506948239</v>
      </c>
      <c r="V149" s="119">
        <f t="shared" si="92"/>
        <v>3.672355516152269</v>
      </c>
      <c r="W149" s="119">
        <f t="shared" si="92"/>
        <v>2.8567176550372992</v>
      </c>
      <c r="X149" s="119">
        <f t="shared" si="92"/>
        <v>3.4876118233911861</v>
      </c>
      <c r="Y149" s="119">
        <f t="shared" si="92"/>
        <v>3.6049472674976029</v>
      </c>
      <c r="Z149" s="119">
        <f t="shared" si="92"/>
        <v>3.1409383453036099</v>
      </c>
      <c r="AA149" s="119">
        <f t="shared" si="92"/>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3">T31/T39</f>
        <v>4.2689526809363594</v>
      </c>
      <c r="U150" s="119">
        <f t="shared" si="93"/>
        <v>4.1046179986649678</v>
      </c>
      <c r="V150" s="119">
        <f t="shared" si="93"/>
        <v>4.4398514988640772</v>
      </c>
      <c r="W150" s="119">
        <f t="shared" si="93"/>
        <v>3.3884032853590536</v>
      </c>
      <c r="X150" s="119">
        <f t="shared" si="93"/>
        <v>4.2140000824504265</v>
      </c>
      <c r="Y150" s="119">
        <f t="shared" si="93"/>
        <v>4.4675743048897409</v>
      </c>
      <c r="Z150" s="119">
        <f t="shared" si="93"/>
        <v>3.9052638124553058</v>
      </c>
      <c r="AA150" s="119">
        <f t="shared" si="93"/>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4">IF(T12&gt;=0,"N/A",IF(T11&lt;=0,"N/A",T11/-T12))</f>
        <v>N/A</v>
      </c>
      <c r="U151" s="182" t="str">
        <f t="shared" si="94"/>
        <v>N/A</v>
      </c>
      <c r="V151" s="182" t="str">
        <f t="shared" si="94"/>
        <v>N/A</v>
      </c>
      <c r="W151" s="182" t="str">
        <f t="shared" si="94"/>
        <v>N/A</v>
      </c>
      <c r="X151" s="182" t="str">
        <f t="shared" si="94"/>
        <v>N/A</v>
      </c>
      <c r="Y151" s="182" t="str">
        <f t="shared" si="94"/>
        <v>N/A</v>
      </c>
      <c r="Z151" s="182" t="str">
        <f t="shared" si="94"/>
        <v>N/A</v>
      </c>
      <c r="AA151" s="182" t="str">
        <f t="shared" si="94"/>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30.742725880551305</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19.370488991719629</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47.607357669756006</v>
      </c>
      <c r="U154" s="72">
        <f>U115/(Statement!U48/Statement!U74)</f>
        <v>52.518654304314175</v>
      </c>
      <c r="V154" s="72">
        <f>V115/(Statement!V48/Statement!V74)</f>
        <v>43.868140733924143</v>
      </c>
      <c r="W154" s="72">
        <f>W115/(Statement!W48/Statement!W74)</f>
        <v>32.259580406235465</v>
      </c>
      <c r="X154" s="72">
        <f>X115/(Statement!X48/Statement!X74)</f>
        <v>42.049525122090067</v>
      </c>
      <c r="Y154" s="72">
        <f>Y115/(Statement!Y48/Statement!Y74)</f>
        <v>38.018503410514988</v>
      </c>
      <c r="Z154" s="72">
        <f>Z115/(Statement!Z48/Statement!Z74)</f>
        <v>28.992904960805632</v>
      </c>
      <c r="AA154" s="72">
        <f>AA115/(Statement!AA48/Statement!AA74)</f>
        <v>25.784165669091546</v>
      </c>
      <c r="AC154" s="72">
        <f ca="1">AC115/(Statement!AC48/Statement!AC74)</f>
        <v>24.85317740466763</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144">
        <f>Statement!T115*Statement!T77</f>
        <v>2799176</v>
      </c>
      <c r="U155" s="144">
        <f>Statement!U115*Statement!U77</f>
        <v>3494984.92</v>
      </c>
      <c r="V155" s="144">
        <f>Statement!V115*Statement!V77</f>
        <v>3515440.38</v>
      </c>
      <c r="W155" s="144">
        <f>Statement!W115*Statement!W77</f>
        <v>2723584.5</v>
      </c>
      <c r="X155" s="144">
        <f>Statement!X115*Statement!X77</f>
        <v>4239223.82</v>
      </c>
      <c r="Y155" s="144">
        <f>Statement!Y115*Statement!Y77</f>
        <v>4549305.12</v>
      </c>
      <c r="Z155" s="144">
        <f>Statement!Z115*Statement!Z77</f>
        <v>4589469.8499999996</v>
      </c>
      <c r="AA155" s="144">
        <f>Statement!AA115*Statement!AA77</f>
        <v>5062002.3500000006</v>
      </c>
      <c r="AC155" s="144">
        <f ca="1">Statement!AC115*Statement!AC77</f>
        <v>4879228.75</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144">
        <f t="shared" ref="T156:AA156" si="95">T155+T106-T105+T47+T44</f>
        <v>2772837</v>
      </c>
      <c r="U156" s="144">
        <f t="shared" si="95"/>
        <v>3464959.92</v>
      </c>
      <c r="V156" s="144">
        <f t="shared" si="95"/>
        <v>3480693.38</v>
      </c>
      <c r="W156" s="144">
        <f t="shared" si="95"/>
        <v>2678357.5</v>
      </c>
      <c r="X156" s="144">
        <f t="shared" si="95"/>
        <v>4190898.8200000003</v>
      </c>
      <c r="Y156" s="144">
        <f t="shared" si="95"/>
        <v>4497164.12</v>
      </c>
      <c r="Z156" s="144">
        <f t="shared" si="95"/>
        <v>4535481.8499999996</v>
      </c>
      <c r="AA156" s="144">
        <f t="shared" si="95"/>
        <v>4989900.3500000006</v>
      </c>
      <c r="AC156" s="144">
        <f ca="1">AC155+AC106-AC105+AC47+AC44</f>
        <v>4807126.75</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18.963697922214202</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29.621509997843301</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6">T58-T53+T108+T64</f>
        <v>12358</v>
      </c>
      <c r="U159" s="64">
        <f t="shared" si="96"/>
        <v>15564</v>
      </c>
      <c r="V159" s="64">
        <f t="shared" si="96"/>
        <v>14230</v>
      </c>
      <c r="W159" s="64">
        <f t="shared" si="96"/>
        <v>24713</v>
      </c>
      <c r="X159" s="64">
        <f t="shared" si="96"/>
        <v>11847</v>
      </c>
      <c r="Y159" s="64">
        <f t="shared" si="96"/>
        <v>20458</v>
      </c>
      <c r="Z159" s="64">
        <f t="shared" si="96"/>
        <v>33273</v>
      </c>
      <c r="AA159" s="64">
        <f t="shared" si="96"/>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7">N155/N159</f>
        <v>461.29572338489538</v>
      </c>
      <c r="O161" s="72">
        <f t="shared" si="97"/>
        <v>65.653012099522826</v>
      </c>
      <c r="P161" s="72">
        <f t="shared" si="97"/>
        <v>62.645954451493331</v>
      </c>
      <c r="Q161" s="72">
        <f t="shared" si="97"/>
        <v>50.830322848598954</v>
      </c>
      <c r="T161" s="49"/>
      <c r="U161" s="49"/>
      <c r="V161" s="49"/>
      <c r="W161" s="49"/>
      <c r="X161" s="49"/>
      <c r="Y161" s="49"/>
      <c r="Z161" s="49"/>
      <c r="AA161" s="49"/>
      <c r="AC161" s="72">
        <f t="shared" ref="AC161:AC162" ca="1" si="98">AC155/AC159</f>
        <v>43.472551386797583</v>
      </c>
    </row>
    <row r="162" spans="2:29" x14ac:dyDescent="0.2">
      <c r="B162" s="20" t="s">
        <v>261</v>
      </c>
      <c r="M162" s="72">
        <f>M156/M160</f>
        <v>85.552901846404438</v>
      </c>
      <c r="N162" s="72">
        <f t="shared" ref="N162:Q162" si="99">N156/N160</f>
        <v>292.02604166666669</v>
      </c>
      <c r="O162" s="72">
        <f t="shared" si="99"/>
        <v>59.253144937486333</v>
      </c>
      <c r="P162" s="72">
        <f t="shared" si="99"/>
        <v>58.114897258120507</v>
      </c>
      <c r="Q162" s="72">
        <f t="shared" si="99"/>
        <v>49.56625962229554</v>
      </c>
      <c r="T162" s="49"/>
      <c r="U162" s="49"/>
      <c r="V162" s="49"/>
      <c r="W162" s="49"/>
      <c r="X162" s="49"/>
      <c r="Y162" s="49"/>
      <c r="Z162" s="49"/>
      <c r="AA162" s="49"/>
      <c r="AC162" s="72">
        <f t="shared" ca="1" si="98"/>
        <v>37.906291924137719</v>
      </c>
    </row>
    <row r="163" spans="2:29" x14ac:dyDescent="0.2">
      <c r="B163" s="20" t="s">
        <v>262</v>
      </c>
      <c r="M163" s="74">
        <f>M159/M155</f>
        <v>1.0525744445642981E-2</v>
      </c>
      <c r="N163" s="74">
        <f t="shared" ref="N163:Q163" si="100">N159/N155</f>
        <v>2.1678067870696933E-3</v>
      </c>
      <c r="O163" s="74">
        <f t="shared" si="100"/>
        <v>1.5231593616513875E-2</v>
      </c>
      <c r="P163" s="74">
        <f t="shared" si="100"/>
        <v>1.5962722712993357E-2</v>
      </c>
      <c r="Q163" s="74">
        <f t="shared" si="100"/>
        <v>1.9673296252289359E-2</v>
      </c>
      <c r="T163" s="49"/>
      <c r="U163" s="49"/>
      <c r="V163" s="49"/>
      <c r="W163" s="49"/>
      <c r="X163" s="49"/>
      <c r="Y163" s="49"/>
      <c r="Z163" s="49"/>
      <c r="AA163" s="49"/>
      <c r="AC163" s="74">
        <f t="shared" ref="AC163" ca="1" si="101">AC159/AC155</f>
        <v>2.3003020713058389E-2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3.2528019925280198E-2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1.9925280199252802E-4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9.2850739986314428E-3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9.4844907609629905E-3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2">T105/T74</f>
        <v>1.4186710150835711</v>
      </c>
      <c r="U174" s="72">
        <f t="shared" si="102"/>
        <v>1.5715394038383013</v>
      </c>
      <c r="V174" s="72">
        <f t="shared" si="102"/>
        <v>1.7709016393442623</v>
      </c>
      <c r="W174" s="72">
        <f t="shared" si="102"/>
        <v>2.2004508196721311</v>
      </c>
      <c r="X174" s="72">
        <f t="shared" si="102"/>
        <v>2.3370781893004113</v>
      </c>
      <c r="Y174" s="72">
        <f t="shared" si="102"/>
        <v>2.494156378600823</v>
      </c>
      <c r="Z174" s="72">
        <f t="shared" si="102"/>
        <v>2.5743209876543212</v>
      </c>
      <c r="AA174" s="72">
        <f t="shared" si="102"/>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3">T53/T58</f>
        <v>7.9646628476775491E-2</v>
      </c>
      <c r="U175" s="155">
        <f t="shared" si="103"/>
        <v>7.1019343127800783E-2</v>
      </c>
      <c r="V175" s="155">
        <f t="shared" si="103"/>
        <v>7.944431080105846E-2</v>
      </c>
      <c r="W175" s="155">
        <f t="shared" si="103"/>
        <v>5.3768147661778655E-2</v>
      </c>
      <c r="X175" s="155">
        <f t="shared" si="103"/>
        <v>0.10569476082004556</v>
      </c>
      <c r="Y175" s="155">
        <f t="shared" si="103"/>
        <v>6.9684210526315793E-2</v>
      </c>
      <c r="Z175" s="155">
        <f t="shared" si="103"/>
        <v>4.5122962144238742E-2</v>
      </c>
      <c r="AA175" s="155">
        <f t="shared" si="103"/>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4">T53/T5</f>
        <v>3.8415446071904127E-2</v>
      </c>
      <c r="U176" s="155">
        <f t="shared" si="104"/>
        <v>3.5687817114189613E-2</v>
      </c>
      <c r="V176" s="155">
        <f t="shared" si="104"/>
        <v>3.3586738196333683E-2</v>
      </c>
      <c r="W176" s="155">
        <f t="shared" si="104"/>
        <v>3.3452861876446825E-2</v>
      </c>
      <c r="X176" s="155">
        <f t="shared" si="104"/>
        <v>3.4743170100335882E-2</v>
      </c>
      <c r="Y176" s="155">
        <f t="shared" si="104"/>
        <v>2.9032031715959722E-2</v>
      </c>
      <c r="Z176" s="155">
        <f t="shared" si="104"/>
        <v>2.3969938497218429E-2</v>
      </c>
      <c r="AA176" s="155">
        <f t="shared" si="104"/>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5">(T105-T106)/T74</f>
        <v>1.0737464329392581</v>
      </c>
      <c r="U177" s="72">
        <f t="shared" si="105"/>
        <v>1.2260106165781952</v>
      </c>
      <c r="V177" s="72">
        <f t="shared" si="105"/>
        <v>1.4240573770491802</v>
      </c>
      <c r="W177" s="72">
        <f t="shared" si="105"/>
        <v>1.8535655737704917</v>
      </c>
      <c r="X177" s="72">
        <f t="shared" si="105"/>
        <v>1.9886831275720165</v>
      </c>
      <c r="Y177" s="72">
        <f t="shared" si="105"/>
        <v>2.1457201646090533</v>
      </c>
      <c r="Z177" s="72">
        <f t="shared" si="105"/>
        <v>2.2217283950617284</v>
      </c>
      <c r="AA177" s="72">
        <f t="shared" si="105"/>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1.4777335454911803E-2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6">-T108/T5</f>
        <v>3.2523302263648468E-2</v>
      </c>
      <c r="U179" s="155">
        <f t="shared" si="106"/>
        <v>2.3174277407217378E-2</v>
      </c>
      <c r="V179" s="155">
        <f t="shared" si="106"/>
        <v>2.7382980346291729E-2</v>
      </c>
      <c r="W179" s="155">
        <f t="shared" si="106"/>
        <v>2.7847124506377378E-2</v>
      </c>
      <c r="X179" s="155">
        <f t="shared" si="106"/>
        <v>4.05194360652932E-2</v>
      </c>
      <c r="Y179" s="155">
        <f t="shared" si="106"/>
        <v>2.871627547977406E-2</v>
      </c>
      <c r="Z179" s="155">
        <f t="shared" si="106"/>
        <v>1.8847153111101324E-2</v>
      </c>
      <c r="AA179" s="155">
        <f t="shared" si="106"/>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7">-(T108/T58)</f>
        <v>6.7430464490302988E-2</v>
      </c>
      <c r="U180" s="155">
        <f t="shared" si="107"/>
        <v>4.6117193261103862E-2</v>
      </c>
      <c r="V180" s="155">
        <f t="shared" si="107"/>
        <v>6.4770267019485211E-2</v>
      </c>
      <c r="W180" s="155">
        <f t="shared" si="107"/>
        <v>4.4758152768658348E-2</v>
      </c>
      <c r="X180" s="155">
        <f t="shared" si="107"/>
        <v>0.12326716563618614</v>
      </c>
      <c r="Y180" s="155">
        <f t="shared" si="107"/>
        <v>6.8926315789473683E-2</v>
      </c>
      <c r="Z180" s="155">
        <f t="shared" si="107"/>
        <v>3.5479414202818457E-2</v>
      </c>
      <c r="AA180" s="155">
        <f t="shared" si="107"/>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8">-T108/T52</f>
        <v>2.25635103926097</v>
      </c>
      <c r="U181" s="155">
        <f t="shared" si="108"/>
        <v>1.7008368200836821</v>
      </c>
      <c r="V181" s="155">
        <f t="shared" si="108"/>
        <v>1.9834254143646408</v>
      </c>
      <c r="W181" s="155">
        <f t="shared" si="108"/>
        <v>2.0081833060556464</v>
      </c>
      <c r="X181" s="155">
        <f t="shared" si="108"/>
        <v>2.8353293413173652</v>
      </c>
      <c r="Y181" s="155">
        <f t="shared" si="108"/>
        <v>2.1768617021276597</v>
      </c>
      <c r="Z181" s="155">
        <f t="shared" si="108"/>
        <v>1.5832305795314427</v>
      </c>
      <c r="AA181" s="155">
        <f t="shared" si="108"/>
        <v>1.7622868605817452</v>
      </c>
      <c r="AC181" s="155">
        <f>-AC108/AC52</f>
        <v>2.0359355638166048</v>
      </c>
    </row>
    <row r="182" spans="1:31" x14ac:dyDescent="0.2">
      <c r="B182" s="20" t="s">
        <v>398</v>
      </c>
      <c r="M182" s="72">
        <f>M5/M36</f>
        <v>0.60909317219996828</v>
      </c>
      <c r="N182" s="72">
        <f t="shared" ref="N182:Q182" si="109">N5/N36</f>
        <v>0.65499490068476518</v>
      </c>
      <c r="O182" s="72">
        <f t="shared" si="109"/>
        <v>0.92688047711781885</v>
      </c>
      <c r="P182" s="72">
        <f t="shared" si="109"/>
        <v>1.169317479234057</v>
      </c>
      <c r="Q182" s="72">
        <f t="shared" si="109"/>
        <v>1.0441724733200195</v>
      </c>
      <c r="T182" s="49"/>
      <c r="U182" s="49"/>
      <c r="V182" s="49"/>
      <c r="W182" s="49"/>
      <c r="X182" s="49"/>
      <c r="Y182" s="49"/>
      <c r="Z182" s="49"/>
      <c r="AA182" s="49"/>
      <c r="AC182" s="72">
        <f t="shared" ref="AC182" si="110">AC5/AC36</f>
        <v>0.97694181305256023</v>
      </c>
    </row>
    <row r="183" spans="1:31" x14ac:dyDescent="0.2">
      <c r="B183" s="20" t="s">
        <v>395</v>
      </c>
      <c r="M183" s="72">
        <f>IF(AND(M11&gt;0,M106&gt;0),M106/M11,"N/A")</f>
        <v>1.0901304650931183</v>
      </c>
      <c r="N183" s="72">
        <f t="shared" ref="N183:Q183" si="111">IF(AND(N11&gt;0,N106&gt;0),N106/N11,"N/A")</f>
        <v>2.5930397727272729</v>
      </c>
      <c r="O183" s="72">
        <f t="shared" si="111"/>
        <v>0.29446196773019534</v>
      </c>
      <c r="P183" s="72">
        <f t="shared" si="111"/>
        <v>0.103900408824721</v>
      </c>
      <c r="Q183" s="72">
        <f t="shared" si="111"/>
        <v>6.4945124897420756E-2</v>
      </c>
      <c r="T183" s="49"/>
      <c r="U183" s="49"/>
      <c r="V183" s="49"/>
      <c r="W183" s="49"/>
      <c r="X183" s="49"/>
      <c r="Y183" s="49"/>
      <c r="Z183" s="49"/>
      <c r="AA183" s="49"/>
      <c r="AC183" s="72">
        <f t="shared" ref="AC183" si="112">IF(AND(AC11&gt;0,AC106&gt;0),AC106/AC11,"N/A")</f>
        <v>5.2192131127337706E-2</v>
      </c>
    </row>
    <row r="184" spans="1:31" x14ac:dyDescent="0.2">
      <c r="B184" s="20" t="s">
        <v>396</v>
      </c>
      <c r="M184" s="230">
        <f>IF(AND(M11&gt;0,M106&gt;0),(M106-M105)/M11,"N/A")</f>
        <v>-1.0220097599840654</v>
      </c>
      <c r="N184" s="230">
        <f t="shared" ref="N184:Q184" si="113">IF(AND(N11&gt;0,N106&gt;0),(N106-N105)/N11,"N/A")</f>
        <v>-0.5546875</v>
      </c>
      <c r="O184" s="230">
        <f t="shared" si="113"/>
        <v>-0.49360063083828704</v>
      </c>
      <c r="P184" s="230">
        <f t="shared" si="113"/>
        <v>-0.42658956698955225</v>
      </c>
      <c r="Q184" s="230">
        <f t="shared" si="113"/>
        <v>-0.41482663148933557</v>
      </c>
      <c r="T184" s="49"/>
      <c r="U184" s="49"/>
      <c r="V184" s="49"/>
      <c r="W184" s="49"/>
      <c r="X184" s="49"/>
      <c r="Y184" s="49"/>
      <c r="Z184" s="49"/>
      <c r="AA184" s="49"/>
      <c r="AC184" s="230">
        <f t="shared" ref="AC184" si="114">IF(AND(AC11&gt;0,AC106&gt;0),(AC106-AC105)/AC11,"N/A")</f>
        <v>-0.44429244847028376</v>
      </c>
    </row>
    <row r="185" spans="1:31" x14ac:dyDescent="0.2">
      <c r="B185" s="20" t="s">
        <v>397</v>
      </c>
      <c r="M185" s="230">
        <f>M5/(M106+M110-M105)</f>
        <v>1.6461162079510703</v>
      </c>
      <c r="N185" s="230">
        <f t="shared" ref="N185:Q185" si="115">N5/(N106+N110-N105)</f>
        <v>1.3652191517360057</v>
      </c>
      <c r="O185" s="230">
        <f t="shared" si="115"/>
        <v>2.2814665018911731</v>
      </c>
      <c r="P185" s="230">
        <f t="shared" si="115"/>
        <v>2.9272543741588155</v>
      </c>
      <c r="Q185" s="230">
        <f t="shared" si="115"/>
        <v>2.0923211084734268</v>
      </c>
      <c r="T185" s="49"/>
      <c r="U185" s="49"/>
      <c r="V185" s="49"/>
      <c r="W185" s="49"/>
      <c r="X185" s="49"/>
      <c r="Y185" s="49"/>
      <c r="Z185" s="49"/>
      <c r="AA185" s="49"/>
      <c r="AC185" s="230">
        <f t="shared" ref="AC185" si="116">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7">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7"/>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7"/>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8">IF(L189=0,
IF(M189=0,0,IF(M189&gt;0,1,-1)),
(M189-L189)/ABS(L189)
)</f>
        <v>0</v>
      </c>
      <c r="N196" s="81">
        <f t="shared" si="118"/>
        <v>0</v>
      </c>
      <c r="O196" s="81">
        <f t="shared" si="118"/>
        <v>0</v>
      </c>
      <c r="P196" s="81">
        <f t="shared" si="118"/>
        <v>1</v>
      </c>
      <c r="Q196" s="81">
        <f t="shared" si="118"/>
        <v>0.96364041936203437</v>
      </c>
      <c r="T196" s="81">
        <f t="shared" ref="T196:AA199" si="119">IF(S189=0,
IF(T189=0,0,IF(T189&gt;0,1,-1)),
(T189-S189)/ABS(S189)
)</f>
        <v>1</v>
      </c>
      <c r="U196" s="81">
        <f t="shared" si="119"/>
        <v>0.26059122575786103</v>
      </c>
      <c r="V196" s="81">
        <f t="shared" si="119"/>
        <v>0.42598954443614639</v>
      </c>
      <c r="W196" s="81">
        <f t="shared" si="119"/>
        <v>-7.8296847177123707E-2</v>
      </c>
      <c r="X196" s="81">
        <f t="shared" si="119"/>
        <v>0.35706574237172567</v>
      </c>
      <c r="Y196" s="81">
        <f t="shared" si="119"/>
        <v>0.27035967005820039</v>
      </c>
      <c r="Z196" s="81">
        <f t="shared" si="119"/>
        <v>0.11450230718523402</v>
      </c>
      <c r="AA196" s="81">
        <f t="shared" si="119"/>
        <v>0.11992074288756137</v>
      </c>
      <c r="AC196" s="49"/>
    </row>
    <row r="197" spans="2:29" x14ac:dyDescent="0.2">
      <c r="B197" s="224" t="s">
        <v>371</v>
      </c>
      <c r="M197" s="81">
        <f t="shared" si="118"/>
        <v>0</v>
      </c>
      <c r="N197" s="81">
        <f t="shared" si="118"/>
        <v>0</v>
      </c>
      <c r="O197" s="81">
        <f t="shared" si="118"/>
        <v>0</v>
      </c>
      <c r="P197" s="81">
        <f t="shared" si="118"/>
        <v>1</v>
      </c>
      <c r="Q197" s="81">
        <f t="shared" si="118"/>
        <v>0.43510343704186349</v>
      </c>
      <c r="T197" s="81">
        <f t="shared" si="119"/>
        <v>1</v>
      </c>
      <c r="U197" s="81">
        <f t="shared" si="119"/>
        <v>0.11060702875399361</v>
      </c>
      <c r="V197" s="81">
        <f t="shared" si="119"/>
        <v>-5.1493009608192856E-2</v>
      </c>
      <c r="W197" s="81">
        <f t="shared" si="119"/>
        <v>0.304925391241053</v>
      </c>
      <c r="X197" s="81">
        <f t="shared" si="119"/>
        <v>-0.19987914284386185</v>
      </c>
      <c r="Y197" s="81">
        <f t="shared" si="119"/>
        <v>0.21274618021262998</v>
      </c>
      <c r="Z197" s="81">
        <f t="shared" si="119"/>
        <v>0.3652694610778443</v>
      </c>
      <c r="AA197" s="81">
        <f t="shared" si="119"/>
        <v>0.31147368421052629</v>
      </c>
      <c r="AC197" s="49"/>
    </row>
    <row r="198" spans="2:29" x14ac:dyDescent="0.2">
      <c r="B198" s="20" t="s">
        <v>372</v>
      </c>
      <c r="M198" s="81">
        <f t="shared" si="118"/>
        <v>0</v>
      </c>
      <c r="N198" s="81">
        <f t="shared" si="118"/>
        <v>0</v>
      </c>
      <c r="O198" s="81">
        <f t="shared" si="118"/>
        <v>0</v>
      </c>
      <c r="P198" s="81">
        <f t="shared" si="118"/>
        <v>1</v>
      </c>
      <c r="Q198" s="81">
        <f t="shared" si="118"/>
        <v>0.68194919521469621</v>
      </c>
      <c r="T198" s="81">
        <f t="shared" si="119"/>
        <v>1</v>
      </c>
      <c r="U198" s="81">
        <f t="shared" si="119"/>
        <v>0.17124695493300854</v>
      </c>
      <c r="V198" s="81">
        <f t="shared" si="119"/>
        <v>0.15628351369796237</v>
      </c>
      <c r="W198" s="81">
        <f t="shared" si="119"/>
        <v>9.9269252388982571E-2</v>
      </c>
      <c r="X198" s="81">
        <f t="shared" si="119"/>
        <v>5.0726119860912251E-2</v>
      </c>
      <c r="Y198" s="81">
        <f t="shared" si="119"/>
        <v>0.24622834339108429</v>
      </c>
      <c r="Z198" s="81">
        <f t="shared" si="119"/>
        <v>0.21671385336327248</v>
      </c>
      <c r="AA198" s="81">
        <f t="shared" si="119"/>
        <v>0.20752960811374652</v>
      </c>
      <c r="AC198" s="49"/>
    </row>
    <row r="199" spans="2:29" x14ac:dyDescent="0.2">
      <c r="B199" s="20" t="s">
        <v>373</v>
      </c>
      <c r="M199" s="81">
        <f t="shared" si="118"/>
        <v>0</v>
      </c>
      <c r="N199" s="81">
        <f t="shared" si="118"/>
        <v>0</v>
      </c>
      <c r="O199" s="81">
        <f t="shared" si="118"/>
        <v>0</v>
      </c>
      <c r="P199" s="81">
        <f t="shared" si="118"/>
        <v>1</v>
      </c>
      <c r="Q199" s="81">
        <f t="shared" si="118"/>
        <v>0.4500032656260205</v>
      </c>
      <c r="T199" s="81">
        <f t="shared" si="119"/>
        <v>1</v>
      </c>
      <c r="U199" s="81">
        <f t="shared" si="119"/>
        <v>0.14410828025477707</v>
      </c>
      <c r="V199" s="81">
        <f t="shared" si="119"/>
        <v>-0.12990025516121551</v>
      </c>
      <c r="W199" s="81">
        <f t="shared" si="119"/>
        <v>0.31964809384164222</v>
      </c>
      <c r="X199" s="81">
        <f t="shared" si="119"/>
        <v>0.1408080808080808</v>
      </c>
      <c r="Y199" s="81">
        <f t="shared" si="119"/>
        <v>2.5500265627766958E-2</v>
      </c>
      <c r="Z199" s="81">
        <f t="shared" si="119"/>
        <v>3.7989984458642722E-3</v>
      </c>
      <c r="AA199" s="81">
        <f t="shared" si="119"/>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20">100*(1+((O115-$M115)/ABS($M115)))</f>
        <v>267.20665499124345</v>
      </c>
      <c r="P207" s="144">
        <f t="shared" si="120"/>
        <v>624.43082311733804</v>
      </c>
      <c r="Q207" s="144">
        <f t="shared" si="120"/>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21">100*(1+((O5-$M5)/ABS($M5)))</f>
        <v>226.35802927844244</v>
      </c>
      <c r="P208" s="144">
        <f t="shared" si="121"/>
        <v>484.86661217210371</v>
      </c>
      <c r="Q208" s="144">
        <f t="shared" si="121"/>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2">100*(1+((O25-$M25)/ABS($M25)))</f>
        <v>309.87012987012992</v>
      </c>
      <c r="P209" s="144">
        <f t="shared" si="122"/>
        <v>763.63636363636363</v>
      </c>
      <c r="Q209" s="144">
        <f t="shared" si="122"/>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7" t="s">
        <v>230</v>
      </c>
      <c r="C4" s="237"/>
      <c r="E4" s="237" t="s">
        <v>237</v>
      </c>
      <c r="F4" s="237"/>
      <c r="G4" s="237"/>
    </row>
    <row r="5" spans="2:7" x14ac:dyDescent="0.2">
      <c r="B5" s="20" t="s">
        <v>1</v>
      </c>
      <c r="C5" s="173">
        <f ca="1">Overview!C5</f>
        <v>200.75</v>
      </c>
      <c r="E5" s="12"/>
      <c r="F5" s="133" t="s">
        <v>238</v>
      </c>
      <c r="G5" s="133" t="s">
        <v>239</v>
      </c>
    </row>
    <row r="6" spans="2:7" x14ac:dyDescent="0.2">
      <c r="B6" s="20" t="s">
        <v>236</v>
      </c>
      <c r="C6" s="174">
        <f ca="1">Statement!AC155</f>
        <v>4879228.75</v>
      </c>
      <c r="E6" s="20" t="s">
        <v>19</v>
      </c>
      <c r="F6" s="179">
        <f>IF(Statement!M5&lt;=0,"N/A",_xlfn.RRI(4,Statement!M5,Statement!Q5))</f>
        <v>0.68301391480282692</v>
      </c>
      <c r="G6" s="179" t="str">
        <f>IF(Statement!H5&lt;=0,"N/A",_xlfn.RRI(9,Statement!H5,Statement!Q5))</f>
        <v>N/A</v>
      </c>
    </row>
    <row r="7" spans="2:7" x14ac:dyDescent="0.2">
      <c r="B7" s="20" t="s">
        <v>180</v>
      </c>
      <c r="C7" s="174">
        <f ca="1">Statement!AC156</f>
        <v>4807126.75</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30.742725880551305</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19.370488991719629</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24.85317740466763</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18.963697922214202</v>
      </c>
    </row>
    <row r="12" spans="2:7" x14ac:dyDescent="0.2">
      <c r="B12" s="20" t="s">
        <v>196</v>
      </c>
      <c r="C12" s="175">
        <f ca="1">Statement!AC158</f>
        <v>29.621509997843301</v>
      </c>
    </row>
    <row r="15" spans="2:7" x14ac:dyDescent="0.2">
      <c r="B15" s="237" t="s">
        <v>75</v>
      </c>
      <c r="C15" s="237"/>
      <c r="E15" s="237" t="s">
        <v>243</v>
      </c>
      <c r="F15" s="237"/>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37" t="s">
        <v>242</v>
      </c>
      <c r="C21" s="237"/>
      <c r="E21" s="237" t="s">
        <v>246</v>
      </c>
      <c r="F21" s="237"/>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37" t="s">
        <v>247</v>
      </c>
      <c r="C29" s="237"/>
      <c r="E29" s="237" t="s">
        <v>253</v>
      </c>
      <c r="F29" s="237"/>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37" t="s">
        <v>265</v>
      </c>
      <c r="C37" s="237"/>
      <c r="E37" s="237" t="s">
        <v>268</v>
      </c>
      <c r="F37" s="237"/>
    </row>
    <row r="38" spans="2:6" x14ac:dyDescent="0.2">
      <c r="B38" s="20" t="s">
        <v>263</v>
      </c>
      <c r="C38" s="176">
        <f ca="1">Statement!AC164</f>
        <v>3.2528019925280198E-2</v>
      </c>
      <c r="E38" s="20" t="s">
        <v>267</v>
      </c>
      <c r="F38" s="176">
        <f>Statement!AC170</f>
        <v>8.6691554478469674E-3</v>
      </c>
    </row>
    <row r="39" spans="2:6" x14ac:dyDescent="0.2">
      <c r="B39" s="54" t="s">
        <v>266</v>
      </c>
      <c r="C39" s="216">
        <f ca="1">Statement!AC163</f>
        <v>2.3003020713058389E-2</v>
      </c>
      <c r="E39" s="20" t="s">
        <v>269</v>
      </c>
      <c r="F39" s="176">
        <f>Statement!AC171</f>
        <v>0.40364585653572349</v>
      </c>
    </row>
    <row r="40" spans="2:6" x14ac:dyDescent="0.2">
      <c r="B40" s="20" t="s">
        <v>264</v>
      </c>
      <c r="C40" s="176">
        <f ca="1">Statement!AC165</f>
        <v>1.9925280199252802E-4</v>
      </c>
      <c r="E40" s="20" t="s">
        <v>270</v>
      </c>
      <c r="F40" s="176">
        <f>Statement!AC172</f>
        <v>0.41231501198357046</v>
      </c>
    </row>
    <row r="41" spans="2:6" x14ac:dyDescent="0.2">
      <c r="B41" s="20" t="s">
        <v>289</v>
      </c>
      <c r="C41" s="176">
        <f ca="1">Statement!AC166</f>
        <v>9.2850739986314428E-3</v>
      </c>
    </row>
    <row r="42" spans="2:6" x14ac:dyDescent="0.2">
      <c r="B42" s="20" t="s">
        <v>291</v>
      </c>
      <c r="C42" s="176">
        <f ca="1">Statement!AC167</f>
        <v>9.4844907609629905E-3</v>
      </c>
    </row>
    <row r="45" spans="2:6" x14ac:dyDescent="0.2">
      <c r="B45" s="237" t="s">
        <v>276</v>
      </c>
      <c r="C45" s="237"/>
      <c r="E45" s="237" t="s">
        <v>282</v>
      </c>
      <c r="F45" s="237"/>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1.4777335454911803E-2</v>
      </c>
    </row>
    <row r="51" spans="2:6" x14ac:dyDescent="0.2">
      <c r="B51" s="237" t="s">
        <v>279</v>
      </c>
      <c r="C51" s="237"/>
      <c r="E51" s="237" t="s">
        <v>300</v>
      </c>
      <c r="F51" s="237"/>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200.75</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4879228.75</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4807126.75</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30.742725880551305</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19.370488991719629</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24.85317740466763</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18.963697922214202</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29.621509997843301</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3.2528019925280198E-2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2.3003020713058389E-2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1.9925280199252802E-4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9.2850739986314428E-3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9.4844907609629905E-3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1.4777335454911803E-2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310</v>
      </c>
      <c r="D3" s="242"/>
      <c r="F3" s="243" t="s">
        <v>311</v>
      </c>
      <c r="G3" s="242"/>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44">
        <f>Statement!AA88</f>
        <v>0.19798317847549429</v>
      </c>
      <c r="D7" s="245"/>
      <c r="F7" s="244">
        <f>IF(F6=0,
IF(G6=0,0,IF(G6&gt;0,1,-1)),
(G6-F6)/ABS(F6)
)</f>
        <v>0.85227633788752211</v>
      </c>
      <c r="G7" s="245"/>
    </row>
    <row r="8" spans="2:7" x14ac:dyDescent="0.2">
      <c r="B8" s="208" t="s">
        <v>20</v>
      </c>
      <c r="C8" s="201">
        <f>Statement!Z6</f>
        <v>17034</v>
      </c>
      <c r="D8" s="199">
        <f>Statement!AA6</f>
        <v>20458</v>
      </c>
      <c r="F8" s="201">
        <f>Statement!W6</f>
        <v>17394</v>
      </c>
      <c r="G8" s="199">
        <f>Statement!AA6</f>
        <v>20458</v>
      </c>
    </row>
    <row r="9" spans="2:7" x14ac:dyDescent="0.2">
      <c r="B9" s="207" t="s">
        <v>312</v>
      </c>
      <c r="C9" s="244">
        <f>Statement!AA89</f>
        <v>0.20100974521545145</v>
      </c>
      <c r="D9" s="245"/>
      <c r="F9" s="244">
        <f>IF(F8=0,
IF(G8=0,0,IF(G8&gt;0,1,-1)),
(G8-F8)/ABS(F8)
)</f>
        <v>0.17615269633206854</v>
      </c>
      <c r="G9" s="245"/>
    </row>
    <row r="10" spans="2:7" x14ac:dyDescent="0.2">
      <c r="B10" s="208" t="s">
        <v>21</v>
      </c>
      <c r="C10" s="201">
        <f>Statement!Z7</f>
        <v>51093</v>
      </c>
      <c r="D10" s="199">
        <f>Statement!AA7</f>
        <v>61157</v>
      </c>
      <c r="F10" s="201">
        <f>Statement!W7</f>
        <v>26668</v>
      </c>
      <c r="G10" s="199">
        <f>Statement!AA7</f>
        <v>61157</v>
      </c>
    </row>
    <row r="11" spans="2:7" x14ac:dyDescent="0.2">
      <c r="B11" s="207" t="s">
        <v>312</v>
      </c>
      <c r="C11" s="244">
        <f>Statement!AA90</f>
        <v>0.19697414518622902</v>
      </c>
      <c r="D11" s="245"/>
      <c r="F11" s="244">
        <f>IF(F10=0,
IF(G10=0,0,IF(G10&gt;0,1,-1)),
(G10-F10)/ABS(F10)
)</f>
        <v>1.293272836358182</v>
      </c>
      <c r="G11" s="245"/>
    </row>
    <row r="12" spans="2:7" x14ac:dyDescent="0.2">
      <c r="B12" s="208" t="s">
        <v>23</v>
      </c>
      <c r="C12" s="201">
        <f>Statement!Z10</f>
        <v>6794</v>
      </c>
      <c r="D12" s="199">
        <f>Statement!AA10</f>
        <v>7621</v>
      </c>
      <c r="F12" s="201">
        <f>Statement!W10</f>
        <v>5030</v>
      </c>
      <c r="G12" s="199">
        <f>Statement!AA10</f>
        <v>7621</v>
      </c>
    </row>
    <row r="13" spans="2:7" x14ac:dyDescent="0.2">
      <c r="B13" s="207" t="s">
        <v>312</v>
      </c>
      <c r="C13" s="244">
        <f>Statement!AA93</f>
        <v>0.12172505151604357</v>
      </c>
      <c r="D13" s="245"/>
      <c r="F13" s="244">
        <f>IF(F12=0,
IF(G12=0,0,IF(G12&gt;0,1,-1)),
(G12-F12)/ABS(F12)
)</f>
        <v>0.51510934393638175</v>
      </c>
      <c r="G13" s="245"/>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44">
        <f>Statement!AA94</f>
        <v>0.20851486489537011</v>
      </c>
      <c r="D15" s="245"/>
      <c r="F15" s="244">
        <f>IF(F14=0,
IF(G14=0,0,IF(G14&gt;0,1,-1)),
(G14-F14)/ABS(F14)
)</f>
        <v>1.4741658193918108</v>
      </c>
      <c r="G15" s="245"/>
    </row>
    <row r="16" spans="2:7" x14ac:dyDescent="0.2">
      <c r="B16" s="208" t="s">
        <v>29</v>
      </c>
      <c r="C16" s="201">
        <f>Statement!Z17</f>
        <v>42960</v>
      </c>
      <c r="D16" s="199">
        <f>Statement!AA17</f>
        <v>58321</v>
      </c>
      <c r="F16" s="201">
        <f>Statement!W17</f>
        <v>18775</v>
      </c>
      <c r="G16" s="199">
        <f>Statement!AA17</f>
        <v>58321</v>
      </c>
    </row>
    <row r="17" spans="2:7" x14ac:dyDescent="0.2">
      <c r="B17" s="207" t="s">
        <v>312</v>
      </c>
      <c r="C17" s="244">
        <f>Statement!AA96</f>
        <v>0.35756517690875234</v>
      </c>
      <c r="D17" s="245"/>
      <c r="F17" s="244">
        <f>IF(F16=0,
IF(G16=0,0,IF(G16&gt;0,1,-1)),
(G16-F16)/ABS(F16)
)</f>
        <v>2.1063115845539282</v>
      </c>
      <c r="G17" s="245"/>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44">
        <f>IF(C18=0,
IF(D18=0,0,IF(D18&gt;0,1,-1)),
(D18-C18)/ABS(C18)
)</f>
        <v>-1.6781270464963983E-3</v>
      </c>
      <c r="D19" s="245"/>
      <c r="F19" s="244">
        <f>IF(F18=0,
IF(G18=0,0,IF(G18&gt;0,1,-1)),
(G18-F18)/ABS(F18)
)</f>
        <v>-8.9390922758116297E-3</v>
      </c>
      <c r="G19" s="245"/>
    </row>
    <row r="20" spans="2:7" x14ac:dyDescent="0.2">
      <c r="B20" s="208" t="s">
        <v>36</v>
      </c>
      <c r="C20" s="202">
        <f>Statement!Z25</f>
        <v>1.76</v>
      </c>
      <c r="D20" s="203">
        <f>Statement!AA25</f>
        <v>2.39</v>
      </c>
      <c r="F20" s="202">
        <f>Statement!W25</f>
        <v>0.76</v>
      </c>
      <c r="G20" s="203">
        <f>Statement!AA25</f>
        <v>2.39</v>
      </c>
    </row>
    <row r="21" spans="2:7" x14ac:dyDescent="0.2">
      <c r="B21" s="207" t="s">
        <v>312</v>
      </c>
      <c r="C21" s="244">
        <f>IF(C20=0,
IF(D20=0,0,IF(D20&gt;0,1,-1)),
(D20-C20)/ABS(C20)
)</f>
        <v>0.35795454545454553</v>
      </c>
      <c r="D21" s="245"/>
      <c r="F21" s="244">
        <f>IF(F20=0,
IF(G20=0,0,IF(G20&gt;0,1,-1)),
(G20-F20)/ABS(F20)
)</f>
        <v>2.1447368421052633</v>
      </c>
      <c r="G21" s="245"/>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44">
        <f>IF(C24=0,
IF(D24=0,0,IF(D24&gt;0,1,-1)),
(D24-C24)/ABS(C24)
)</f>
        <v>0.11992074288756137</v>
      </c>
      <c r="D25" s="245"/>
      <c r="F25" s="244">
        <f>IF(F24=0,
IF(G24=0,0,IF(G24&gt;0,1,-1)),
(G24-F24)/ABS(F24)
)</f>
        <v>1.1517699869310756</v>
      </c>
      <c r="G25" s="245"/>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44">
        <f>IF(C26=0,
IF(D26=0,0,IF(D26&gt;0,1,-1)),
(D26-C26)/ABS(C26)
)</f>
        <v>0.31147368421052629</v>
      </c>
      <c r="D27" s="245"/>
      <c r="F27" s="244">
        <f>IF(F26=0,
IF(G26=0,0,IF(G26&gt;0,1,-1)),
(G26-F26)/ABS(F26)
)</f>
        <v>0.73741458652907543</v>
      </c>
      <c r="G27" s="245"/>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44">
        <f>IF(C28=0,
IF(D28=0,0,IF(D28&gt;0,1,-1)),
(D28-C28)/ABS(C28)
)</f>
        <v>0.20752960811374652</v>
      </c>
      <c r="D29" s="245"/>
      <c r="F29" s="244">
        <f>IF(F28=0,
IF(G28=0,0,IF(G28&gt;0,1,-1)),
(G28-F28)/ABS(F28)
)</f>
        <v>0.92385968500715898</v>
      </c>
      <c r="G29" s="245"/>
    </row>
    <row r="30" spans="2:7" x14ac:dyDescent="0.2">
      <c r="B30" s="20" t="s">
        <v>373</v>
      </c>
      <c r="C30" s="201">
        <f>Statement!Z192</f>
        <v>5813</v>
      </c>
      <c r="D30" s="201">
        <f>Statement!AA192</f>
        <v>6369</v>
      </c>
      <c r="F30" s="201">
        <f>Statement!W192</f>
        <v>4950</v>
      </c>
      <c r="G30" s="201">
        <f>Statement!AA192</f>
        <v>6369</v>
      </c>
    </row>
    <row r="31" spans="2:7" x14ac:dyDescent="0.2">
      <c r="B31" s="207" t="s">
        <v>312</v>
      </c>
      <c r="C31" s="244">
        <f>IF(C30=0,
IF(D30=0,0,IF(D30&gt;0,1,-1)),
(D30-C30)/ABS(C30)
)</f>
        <v>9.5647686220540165E-2</v>
      </c>
      <c r="D31" s="245"/>
      <c r="F31" s="244">
        <f>IF(F30=0,
IF(G30=0,0,IF(G30&gt;0,1,-1)),
(G30-F30)/ABS(F30)
)</f>
        <v>0.28666666666666668</v>
      </c>
      <c r="G31" s="245"/>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0"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A2" zoomScale="156" zoomScaleNormal="75" workbookViewId="0">
      <selection activeCell="H5" sqref="H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7" t="s">
        <v>105</v>
      </c>
      <c r="D2" s="237"/>
      <c r="E2" s="237"/>
      <c r="F2" s="237"/>
      <c r="G2" s="249"/>
      <c r="H2" s="250" t="s">
        <v>106</v>
      </c>
      <c r="I2" s="237"/>
      <c r="J2" s="237"/>
      <c r="K2" s="237"/>
      <c r="L2" s="237"/>
      <c r="O2" s="5"/>
      <c r="S2" s="237" t="s">
        <v>105</v>
      </c>
      <c r="T2" s="237"/>
      <c r="U2" s="237"/>
      <c r="V2" s="237"/>
      <c r="W2" s="237"/>
      <c r="X2" s="237"/>
      <c r="Y2" s="237"/>
      <c r="Z2" s="237"/>
      <c r="AA2" s="237" t="s">
        <v>106</v>
      </c>
      <c r="AB2" s="237"/>
      <c r="AC2" s="237"/>
      <c r="AE2" s="85" t="s">
        <v>107</v>
      </c>
    </row>
    <row r="3" spans="1:31" ht="10" customHeight="1" x14ac:dyDescent="0.2">
      <c r="O3" s="5"/>
    </row>
    <row r="4" spans="1:31" ht="16" customHeight="1" x14ac:dyDescent="0.2">
      <c r="A4" s="86"/>
      <c r="B4" s="60"/>
      <c r="C4" s="246" t="s">
        <v>108</v>
      </c>
      <c r="D4" s="246"/>
      <c r="E4" s="246"/>
      <c r="F4" s="246"/>
      <c r="G4" s="246"/>
      <c r="H4" s="246"/>
      <c r="I4" s="246"/>
      <c r="J4" s="246"/>
      <c r="K4" s="246"/>
      <c r="L4" s="246"/>
      <c r="O4" s="5"/>
      <c r="S4" s="247" t="s">
        <v>108</v>
      </c>
      <c r="T4" s="248"/>
      <c r="U4" s="248"/>
      <c r="V4" s="248"/>
      <c r="W4" s="248"/>
      <c r="X4" s="248"/>
      <c r="Y4" s="248"/>
      <c r="Z4" s="248"/>
      <c r="AA4" s="248"/>
      <c r="AB4" s="248"/>
      <c r="AC4" s="248"/>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6" t="s">
        <v>114</v>
      </c>
      <c r="D12" s="246"/>
      <c r="E12" s="246"/>
      <c r="F12" s="246"/>
      <c r="G12" s="246"/>
      <c r="H12" s="246"/>
      <c r="I12" s="246"/>
      <c r="J12" s="246"/>
      <c r="K12" s="246"/>
      <c r="L12" s="246"/>
      <c r="O12" s="5"/>
      <c r="Q12" s="91"/>
      <c r="S12" s="247" t="s">
        <v>114</v>
      </c>
      <c r="T12" s="248"/>
      <c r="U12" s="248"/>
      <c r="V12" s="248"/>
      <c r="W12" s="248"/>
      <c r="X12" s="248"/>
      <c r="Y12" s="248"/>
      <c r="Z12" s="248"/>
      <c r="AA12" s="248"/>
      <c r="AB12" s="248"/>
      <c r="AC12" s="248"/>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7" t="s">
        <v>105</v>
      </c>
      <c r="D2" s="237"/>
      <c r="E2" s="237"/>
      <c r="F2" s="237"/>
      <c r="G2" s="249"/>
      <c r="H2" s="250" t="s">
        <v>106</v>
      </c>
      <c r="I2" s="237"/>
      <c r="J2" s="237"/>
      <c r="K2" s="237"/>
      <c r="L2" s="237"/>
      <c r="P2" s="237" t="s">
        <v>105</v>
      </c>
      <c r="Q2" s="237"/>
      <c r="R2" s="237"/>
      <c r="S2" s="237"/>
      <c r="T2" s="237"/>
      <c r="U2" s="237"/>
      <c r="V2" s="237"/>
      <c r="W2" s="237"/>
      <c r="X2" s="237" t="s">
        <v>106</v>
      </c>
      <c r="Y2" s="237"/>
      <c r="Z2" s="237"/>
      <c r="AB2" s="85" t="s">
        <v>107</v>
      </c>
    </row>
    <row r="3" spans="1:28" ht="10" customHeight="1" x14ac:dyDescent="0.2"/>
    <row r="4" spans="1:28" ht="16" customHeight="1" x14ac:dyDescent="0.2">
      <c r="A4" s="86"/>
      <c r="B4" s="60"/>
      <c r="C4" s="246" t="s">
        <v>108</v>
      </c>
      <c r="D4" s="246"/>
      <c r="E4" s="246"/>
      <c r="F4" s="246"/>
      <c r="G4" s="246"/>
      <c r="H4" s="246"/>
      <c r="I4" s="246"/>
      <c r="J4" s="246"/>
      <c r="K4" s="246"/>
      <c r="L4" s="246"/>
      <c r="P4" s="248" t="s">
        <v>108</v>
      </c>
      <c r="Q4" s="248"/>
      <c r="R4" s="248"/>
      <c r="S4" s="248"/>
      <c r="T4" s="248"/>
      <c r="U4" s="248"/>
      <c r="V4" s="248"/>
      <c r="W4" s="248"/>
      <c r="X4" s="248"/>
      <c r="Y4" s="248"/>
      <c r="Z4" s="248"/>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6" t="s">
        <v>117</v>
      </c>
      <c r="D9" s="246"/>
      <c r="E9" s="246"/>
      <c r="F9" s="246"/>
      <c r="G9" s="246"/>
      <c r="H9" s="246"/>
      <c r="I9" s="246"/>
      <c r="J9" s="246"/>
      <c r="K9" s="246"/>
      <c r="L9" s="246"/>
      <c r="N9" s="91"/>
      <c r="P9" s="248" t="s">
        <v>118</v>
      </c>
      <c r="Q9" s="248"/>
      <c r="R9" s="248"/>
      <c r="S9" s="248"/>
      <c r="T9" s="248"/>
      <c r="U9" s="248"/>
      <c r="V9" s="248"/>
      <c r="W9" s="248"/>
      <c r="X9" s="248"/>
      <c r="Y9" s="248"/>
      <c r="Z9" s="248"/>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6" t="s">
        <v>120</v>
      </c>
      <c r="D17" s="246"/>
      <c r="E17" s="246"/>
      <c r="F17" s="246"/>
      <c r="G17" s="246"/>
      <c r="H17" s="246"/>
      <c r="I17" s="246"/>
      <c r="J17" s="246"/>
      <c r="K17" s="246"/>
      <c r="L17" s="246"/>
      <c r="P17" s="248" t="s">
        <v>120</v>
      </c>
      <c r="Q17" s="248"/>
      <c r="R17" s="248"/>
      <c r="S17" s="248"/>
      <c r="T17" s="248"/>
      <c r="U17" s="248"/>
      <c r="V17" s="248"/>
      <c r="W17" s="248"/>
      <c r="X17" s="248"/>
      <c r="Y17" s="248"/>
      <c r="Z17" s="248"/>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C45" sqref="C45:G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7" t="s">
        <v>105</v>
      </c>
      <c r="D3" s="237"/>
      <c r="E3" s="237"/>
      <c r="F3" s="237"/>
      <c r="G3" s="249"/>
      <c r="H3" s="250" t="s">
        <v>106</v>
      </c>
      <c r="I3" s="237"/>
      <c r="J3" s="237"/>
      <c r="K3" s="237"/>
      <c r="L3" s="237"/>
      <c r="P3" s="251"/>
      <c r="Q3" s="251"/>
      <c r="R3" s="251"/>
      <c r="S3" s="251"/>
      <c r="T3" s="251"/>
      <c r="U3" s="251"/>
      <c r="V3" s="251"/>
      <c r="W3" s="251"/>
      <c r="X3" s="251"/>
      <c r="Y3" s="251"/>
      <c r="Z3" s="251"/>
      <c r="AB3" s="110"/>
    </row>
    <row r="4" spans="1:28" ht="10" customHeight="1" x14ac:dyDescent="0.2"/>
    <row r="5" spans="1:28" ht="16" customHeight="1" x14ac:dyDescent="0.2">
      <c r="A5" s="86"/>
      <c r="B5" s="60"/>
      <c r="C5" s="246" t="s">
        <v>108</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124</v>
      </c>
      <c r="D11" s="246"/>
      <c r="E11" s="246"/>
      <c r="F11" s="246"/>
      <c r="G11" s="246"/>
      <c r="H11" s="246"/>
      <c r="I11" s="246"/>
      <c r="J11" s="246"/>
      <c r="K11" s="246"/>
      <c r="L11" s="246"/>
      <c r="N11" s="91"/>
      <c r="P11" s="251"/>
      <c r="Q11" s="251"/>
      <c r="R11" s="251"/>
      <c r="S11" s="251"/>
      <c r="T11" s="251"/>
      <c r="U11" s="251"/>
      <c r="V11" s="251"/>
      <c r="W11" s="251"/>
      <c r="X11" s="251"/>
      <c r="Y11" s="251"/>
      <c r="Z11" s="251"/>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6" t="s">
        <v>129</v>
      </c>
      <c r="D18" s="246"/>
      <c r="E18" s="246"/>
      <c r="F18" s="246"/>
      <c r="G18" s="246"/>
      <c r="H18" s="246"/>
      <c r="I18" s="246"/>
      <c r="J18" s="246"/>
      <c r="K18" s="246"/>
      <c r="L18" s="246"/>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51"/>
      <c r="C25" s="251"/>
    </row>
    <row r="26" spans="2:12" x14ac:dyDescent="0.2">
      <c r="B26" s="110"/>
      <c r="C26" s="246" t="s">
        <v>135</v>
      </c>
      <c r="D26" s="246"/>
      <c r="E26" s="246"/>
      <c r="F26" s="246"/>
      <c r="G26" s="246"/>
      <c r="H26" s="246"/>
      <c r="I26" s="246"/>
      <c r="J26" s="246"/>
      <c r="K26" s="246"/>
      <c r="L26" s="246"/>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6" t="s">
        <v>139</v>
      </c>
      <c r="D33" s="246"/>
      <c r="E33" s="246"/>
      <c r="F33" s="246"/>
      <c r="G33" s="246"/>
      <c r="H33" s="246"/>
      <c r="I33" s="246"/>
      <c r="J33" s="246"/>
      <c r="K33" s="246"/>
      <c r="L33" s="246"/>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6" t="s">
        <v>142</v>
      </c>
      <c r="D40" s="246"/>
      <c r="E40" s="246"/>
      <c r="F40" s="246"/>
      <c r="G40" s="246"/>
      <c r="H40" s="246"/>
      <c r="I40" s="246"/>
      <c r="J40" s="246"/>
      <c r="K40" s="246"/>
      <c r="L40" s="246"/>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-Statement!M108</f>
        <v>976</v>
      </c>
      <c r="D45" s="115">
        <f>-Statement!N108</f>
        <v>1833</v>
      </c>
      <c r="E45" s="115">
        <f>-Statement!O108</f>
        <v>1069</v>
      </c>
      <c r="F45" s="115">
        <f>-Statement!P108</f>
        <v>3236</v>
      </c>
      <c r="G45" s="116">
        <f>-Statement!Q108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7" t="s">
        <v>105</v>
      </c>
      <c r="D2" s="237"/>
      <c r="E2" s="237"/>
      <c r="F2" s="237"/>
      <c r="G2" s="249"/>
      <c r="H2" s="250" t="s">
        <v>106</v>
      </c>
      <c r="I2" s="237"/>
      <c r="J2" s="237"/>
      <c r="K2" s="237"/>
      <c r="L2" s="237"/>
      <c r="S2" s="251"/>
      <c r="T2" s="251"/>
      <c r="U2" s="251"/>
      <c r="V2" s="251"/>
      <c r="W2" s="251"/>
      <c r="X2" s="251"/>
      <c r="Y2" s="251"/>
      <c r="Z2" s="251"/>
      <c r="AA2" s="251"/>
      <c r="AB2" s="251"/>
      <c r="AC2" s="251"/>
      <c r="AE2" s="110"/>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6" t="s">
        <v>150</v>
      </c>
      <c r="D13" s="246"/>
      <c r="E13" s="246"/>
      <c r="F13" s="246"/>
      <c r="G13" s="246"/>
      <c r="H13" s="246"/>
      <c r="I13" s="246"/>
      <c r="J13" s="246"/>
      <c r="K13" s="246"/>
      <c r="L13" s="24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6" t="s">
        <v>151</v>
      </c>
      <c r="D18" s="246"/>
      <c r="E18" s="246"/>
      <c r="F18" s="246"/>
      <c r="G18" s="246"/>
      <c r="H18" s="246"/>
      <c r="I18" s="246"/>
      <c r="J18" s="246"/>
      <c r="K18" s="246"/>
      <c r="L18" s="246"/>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6" t="s">
        <v>259</v>
      </c>
      <c r="D25" s="246"/>
      <c r="E25" s="246"/>
      <c r="F25" s="246"/>
      <c r="G25" s="246"/>
      <c r="H25" s="246"/>
      <c r="I25" s="246"/>
      <c r="J25" s="246"/>
      <c r="K25" s="246"/>
      <c r="L25" s="246"/>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6" t="s">
        <v>75</v>
      </c>
      <c r="D31" s="246"/>
      <c r="E31" s="246"/>
      <c r="F31" s="246"/>
      <c r="G31" s="246"/>
      <c r="H31" s="246"/>
      <c r="I31" s="246"/>
      <c r="J31" s="246"/>
      <c r="K31" s="246"/>
      <c r="L31" s="246"/>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7" t="s">
        <v>158</v>
      </c>
      <c r="C4" s="237"/>
    </row>
    <row r="5" spans="1:3" ht="17" customHeight="1" x14ac:dyDescent="0.2">
      <c r="B5" s="1" t="s">
        <v>159</v>
      </c>
      <c r="C5" s="137">
        <f>Statement!AC77</f>
        <v>24305</v>
      </c>
    </row>
    <row r="6" spans="1:3" ht="17" customHeight="1" x14ac:dyDescent="0.2">
      <c r="B6" s="1" t="s">
        <v>1</v>
      </c>
      <c r="C6" s="134">
        <f ca="1">Overview!C5</f>
        <v>200.75</v>
      </c>
    </row>
    <row r="7" spans="1:3" ht="17" customHeight="1" x14ac:dyDescent="0.2">
      <c r="B7" s="1" t="s">
        <v>160</v>
      </c>
      <c r="C7" s="135">
        <f ca="1">C5*C6</f>
        <v>4879228.75</v>
      </c>
    </row>
    <row r="8" spans="1:3" ht="17" customHeight="1" x14ac:dyDescent="0.2">
      <c r="B8" s="1" t="s">
        <v>161</v>
      </c>
      <c r="C8" s="113">
        <f>Statement!AC106</f>
        <v>8470</v>
      </c>
    </row>
    <row r="9" spans="1:3" ht="17" customHeight="1" x14ac:dyDescent="0.2">
      <c r="B9" s="1" t="s">
        <v>162</v>
      </c>
      <c r="C9" s="136">
        <f ca="1">Overview!F27</f>
        <v>4.7450000000000006E-2</v>
      </c>
    </row>
    <row r="10" spans="1:3" ht="17" customHeight="1" x14ac:dyDescent="0.2">
      <c r="B10" s="1" t="s">
        <v>9</v>
      </c>
      <c r="C10" s="134">
        <f ca="1">Overview!C13</f>
        <v>2.2233999999999998</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7" t="s">
        <v>165</v>
      </c>
      <c r="C15" s="237"/>
    </row>
    <row r="16" spans="1:3" ht="17" customHeight="1" x14ac:dyDescent="0.2">
      <c r="B16" s="1" t="s">
        <v>166</v>
      </c>
      <c r="C16" s="46">
        <f ca="1">C8/(C8+C7)</f>
        <v>1.732921858164847E-3</v>
      </c>
    </row>
    <row r="17" spans="2:3" ht="17" customHeight="1" x14ac:dyDescent="0.2">
      <c r="B17" s="1" t="s">
        <v>167</v>
      </c>
      <c r="C17" s="46">
        <f ca="1">C7/(C8+C7)</f>
        <v>0.99826707814183513</v>
      </c>
    </row>
    <row r="18" spans="2:3" ht="17" customHeight="1" x14ac:dyDescent="0.2">
      <c r="B18" s="1" t="s">
        <v>168</v>
      </c>
      <c r="C18" s="46">
        <f>C13*(1-C12)</f>
        <v>4.0289999999999999E-2</v>
      </c>
    </row>
    <row r="19" spans="2:3" ht="17" customHeight="1" x14ac:dyDescent="0.2">
      <c r="B19" s="1" t="s">
        <v>169</v>
      </c>
      <c r="C19" s="46">
        <f ca="1">C9+C10*C11</f>
        <v>0.147503</v>
      </c>
    </row>
    <row r="20" spans="2:3" ht="17" customHeight="1" x14ac:dyDescent="0.2">
      <c r="B20" s="1" t="s">
        <v>157</v>
      </c>
      <c r="C20" s="46">
        <f ca="1">(C17*C19)+(C16*C18)</f>
        <v>0.14731720824882055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7" t="s">
        <v>105</v>
      </c>
      <c r="D3" s="237"/>
      <c r="E3" s="237"/>
      <c r="F3" s="237"/>
      <c r="G3" s="249"/>
      <c r="H3" s="250" t="s">
        <v>106</v>
      </c>
      <c r="I3" s="237"/>
      <c r="J3" s="237"/>
      <c r="K3" s="237"/>
      <c r="L3" s="237"/>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37" t="s">
        <v>176</v>
      </c>
      <c r="C13" s="237"/>
    </row>
    <row r="14" spans="1:28" x14ac:dyDescent="0.2">
      <c r="B14" s="1" t="s">
        <v>177</v>
      </c>
      <c r="C14" s="141">
        <v>2.5000000000000001E-2</v>
      </c>
    </row>
    <row r="15" spans="1:28" x14ac:dyDescent="0.2">
      <c r="B15" s="1" t="s">
        <v>157</v>
      </c>
      <c r="C15" s="136">
        <f>IF(Overview!C28&gt;0,Overview!C28,WACC!C20)</f>
        <v>0.12</v>
      </c>
    </row>
    <row r="18" spans="2:3" x14ac:dyDescent="0.2">
      <c r="B18" s="237" t="s">
        <v>178</v>
      </c>
      <c r="C18" s="237"/>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7" t="s">
        <v>105</v>
      </c>
      <c r="D2" s="237"/>
      <c r="E2" s="237"/>
      <c r="F2" s="237"/>
      <c r="G2" s="249"/>
      <c r="H2" s="250" t="s">
        <v>106</v>
      </c>
      <c r="I2" s="237"/>
      <c r="J2" s="237"/>
      <c r="K2" s="237"/>
      <c r="L2" s="237"/>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6" t="s">
        <v>114</v>
      </c>
      <c r="D10" s="246"/>
      <c r="E10" s="246"/>
      <c r="F10" s="246"/>
      <c r="G10" s="246"/>
      <c r="H10" s="246"/>
      <c r="I10" s="246"/>
      <c r="J10" s="246"/>
      <c r="K10" s="246"/>
      <c r="L10" s="246"/>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6" t="s">
        <v>188</v>
      </c>
      <c r="D16" s="246"/>
      <c r="E16" s="246"/>
      <c r="F16" s="246"/>
      <c r="G16" s="246"/>
      <c r="H16" s="246"/>
      <c r="I16" s="246"/>
      <c r="J16" s="246"/>
      <c r="K16" s="246"/>
      <c r="L16" s="246"/>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6" t="s">
        <v>191</v>
      </c>
      <c r="D21" s="246"/>
      <c r="E21" s="246"/>
      <c r="F21" s="246"/>
      <c r="G21" s="246"/>
      <c r="H21" s="246"/>
      <c r="I21" s="246"/>
      <c r="J21" s="246"/>
      <c r="K21" s="246"/>
      <c r="L21" s="246"/>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6" t="s">
        <v>192</v>
      </c>
      <c r="D26" s="246"/>
      <c r="E26" s="246"/>
      <c r="F26" s="246"/>
      <c r="G26" s="246"/>
      <c r="H26" s="246"/>
      <c r="I26" s="246"/>
      <c r="J26" s="246"/>
      <c r="K26" s="246"/>
      <c r="L26" s="246"/>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7" t="s">
        <v>197</v>
      </c>
      <c r="C37" s="237"/>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181</v>
      </c>
      <c r="C43" s="137">
        <f>Statement!AC105</f>
        <v>80572</v>
      </c>
    </row>
    <row r="44" spans="2:14" x14ac:dyDescent="0.2">
      <c r="B44" s="1" t="s">
        <v>182</v>
      </c>
      <c r="C44" s="137">
        <f>Statement!AC106</f>
        <v>8470</v>
      </c>
    </row>
    <row r="45" spans="2:14" x14ac:dyDescent="0.2">
      <c r="B45" s="1" t="s">
        <v>183</v>
      </c>
      <c r="C45" s="24">
        <f>C42+C43-C44</f>
        <v>8926701.588649042</v>
      </c>
    </row>
    <row r="46" spans="2:14" x14ac:dyDescent="0.2">
      <c r="B46" s="1" t="s">
        <v>67</v>
      </c>
      <c r="C46" s="88">
        <f>Statement!AC77</f>
        <v>24305</v>
      </c>
    </row>
    <row r="47" spans="2:14" x14ac:dyDescent="0.2">
      <c r="B47" s="142" t="s">
        <v>201</v>
      </c>
      <c r="C47" s="143">
        <f>C45/C46</f>
        <v>367.27840315363267</v>
      </c>
    </row>
    <row r="49" spans="2:3" x14ac:dyDescent="0.2">
      <c r="B49" s="237" t="s">
        <v>202</v>
      </c>
      <c r="C49" s="237"/>
    </row>
    <row r="50" spans="2:3" x14ac:dyDescent="0.2">
      <c r="B50" s="1" t="s">
        <v>203</v>
      </c>
      <c r="C50" s="64">
        <f>L6</f>
        <v>1256848.3311313502</v>
      </c>
    </row>
    <row r="51" spans="2:3" x14ac:dyDescent="0.2">
      <c r="B51" s="1" t="s">
        <v>388</v>
      </c>
      <c r="C51" s="136">
        <f>IF(Overview!C29&gt;0,Overview!C29,WACC!C19)</f>
        <v>0.12</v>
      </c>
    </row>
    <row r="52" spans="2:3" x14ac:dyDescent="0.2">
      <c r="B52" s="39" t="s">
        <v>204</v>
      </c>
      <c r="C52" s="105">
        <v>10</v>
      </c>
    </row>
    <row r="53" spans="2:3" x14ac:dyDescent="0.2">
      <c r="B53" s="1" t="s">
        <v>200</v>
      </c>
      <c r="C53" s="24">
        <f>L18</f>
        <v>23429.712685180726</v>
      </c>
    </row>
    <row r="54" spans="2:3" x14ac:dyDescent="0.2">
      <c r="B54" s="1" t="s">
        <v>184</v>
      </c>
      <c r="C54" s="24">
        <f>(C50*C52)/C53</f>
        <v>536.4335226894633</v>
      </c>
    </row>
    <row r="55" spans="2:3" x14ac:dyDescent="0.2">
      <c r="B55" s="142" t="s">
        <v>201</v>
      </c>
      <c r="C55" s="143">
        <f>C54/(1+C51)^5</f>
        <v>304.38678708173404</v>
      </c>
    </row>
    <row r="57" spans="2:3" x14ac:dyDescent="0.2">
      <c r="B57" s="237" t="s">
        <v>319</v>
      </c>
      <c r="C57" s="237"/>
    </row>
    <row r="58" spans="2:3" x14ac:dyDescent="0.2">
      <c r="B58" s="1" t="s">
        <v>205</v>
      </c>
      <c r="C58" s="64">
        <f>L8</f>
        <v>496659.91370982229</v>
      </c>
    </row>
    <row r="59" spans="2:3" x14ac:dyDescent="0.2">
      <c r="B59" s="1" t="s">
        <v>157</v>
      </c>
      <c r="C59" s="136">
        <f>IF(Overview!C28&gt;0,Overview!C28,WACC!C20)</f>
        <v>0.12</v>
      </c>
    </row>
    <row r="60" spans="2:3" x14ac:dyDescent="0.2">
      <c r="B60" s="39" t="s">
        <v>387</v>
      </c>
      <c r="C60" s="105">
        <v>30</v>
      </c>
    </row>
    <row r="61" spans="2:3" x14ac:dyDescent="0.2">
      <c r="B61" s="1" t="s">
        <v>195</v>
      </c>
      <c r="C61" s="24">
        <f>(C58*C60)</f>
        <v>14899797.411294669</v>
      </c>
    </row>
    <row r="62" spans="2:3" x14ac:dyDescent="0.2">
      <c r="B62" s="1" t="s">
        <v>386</v>
      </c>
      <c r="C62" s="24">
        <f>C61/(1+C59)^5-G30+G31</f>
        <v>8508633.1959350575</v>
      </c>
    </row>
    <row r="63" spans="2:3" x14ac:dyDescent="0.2">
      <c r="B63" s="1" t="s">
        <v>181</v>
      </c>
      <c r="C63" s="137">
        <f>Statement!AC105</f>
        <v>80572</v>
      </c>
    </row>
    <row r="64" spans="2:3" x14ac:dyDescent="0.2">
      <c r="B64" s="1" t="s">
        <v>182</v>
      </c>
      <c r="C64" s="137">
        <f>Statement!AC106</f>
        <v>8470</v>
      </c>
    </row>
    <row r="65" spans="2:3" x14ac:dyDescent="0.2">
      <c r="B65" s="1" t="s">
        <v>183</v>
      </c>
      <c r="C65" s="24">
        <f>C62+C63-C64</f>
        <v>8580735.1959350575</v>
      </c>
    </row>
    <row r="66" spans="2:3" x14ac:dyDescent="0.2">
      <c r="B66" s="1" t="s">
        <v>67</v>
      </c>
      <c r="C66" s="88">
        <f>Statement!AC77</f>
        <v>24305</v>
      </c>
    </row>
    <row r="67" spans="2:3" x14ac:dyDescent="0.2">
      <c r="B67" s="142" t="s">
        <v>201</v>
      </c>
      <c r="C67" s="143">
        <f>C65/C66</f>
        <v>353.04403192491492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7" sqref="C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7" t="s">
        <v>207</v>
      </c>
      <c r="C4" s="237"/>
      <c r="N4" s="91"/>
    </row>
    <row r="5" spans="1:14" x14ac:dyDescent="0.2">
      <c r="B5" s="1" t="s">
        <v>208</v>
      </c>
      <c r="C5" s="134">
        <f>DCF!C26</f>
        <v>168.2356845632454</v>
      </c>
    </row>
    <row r="6" spans="1:14" x14ac:dyDescent="0.2">
      <c r="B6" s="1" t="s">
        <v>209</v>
      </c>
      <c r="C6" s="134">
        <f>Multiples!C47</f>
        <v>367.27840315363267</v>
      </c>
    </row>
    <row r="7" spans="1:14" x14ac:dyDescent="0.2">
      <c r="B7" s="1" t="s">
        <v>210</v>
      </c>
      <c r="C7" s="134">
        <f>Multiples!C55</f>
        <v>304.38678708173404</v>
      </c>
    </row>
    <row r="8" spans="1:14" x14ac:dyDescent="0.2">
      <c r="B8" s="1" t="s">
        <v>320</v>
      </c>
      <c r="C8" s="134">
        <f>Multiples!C67</f>
        <v>353.04403192491492</v>
      </c>
    </row>
    <row r="9" spans="1:14" x14ac:dyDescent="0.2">
      <c r="B9" s="142" t="s">
        <v>211</v>
      </c>
      <c r="C9" s="143">
        <f>AVERAGE(C5:C8)</f>
        <v>298.23622668088177</v>
      </c>
    </row>
    <row r="10" spans="1:14" x14ac:dyDescent="0.2">
      <c r="B10" s="1" t="s">
        <v>212</v>
      </c>
      <c r="C10" s="134">
        <f ca="1">Overview!C5</f>
        <v>200.75</v>
      </c>
    </row>
    <row r="11" spans="1:14" x14ac:dyDescent="0.2">
      <c r="B11" s="1" t="s">
        <v>213</v>
      </c>
      <c r="C11" s="155">
        <f ca="1">(C9-C10)/C10</f>
        <v>0.48561009554611095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7"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400</v>
      </c>
    </row>
    <row r="2" spans="1:14" x14ac:dyDescent="0.2">
      <c r="A2" s="4"/>
      <c r="C2" s="237" t="s">
        <v>105</v>
      </c>
      <c r="D2" s="237"/>
      <c r="E2" s="237"/>
      <c r="F2" s="237"/>
      <c r="G2" s="249"/>
      <c r="H2" s="250" t="s">
        <v>106</v>
      </c>
      <c r="I2" s="237"/>
      <c r="J2" s="237"/>
      <c r="K2" s="237"/>
      <c r="L2" s="237"/>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240</v>
      </c>
      <c r="C6" s="232">
        <f>Statement!M25</f>
        <v>0.38500000000000001</v>
      </c>
      <c r="D6" s="232">
        <f>Statement!N25</f>
        <v>0.17399999999999999</v>
      </c>
      <c r="E6" s="232">
        <f>Statement!O25</f>
        <v>1.1930000000000001</v>
      </c>
      <c r="F6" s="232">
        <f>Statement!P25</f>
        <v>2.94</v>
      </c>
      <c r="G6" s="233">
        <f>Statement!Q25</f>
        <v>4.9000000000000004</v>
      </c>
      <c r="H6" s="138"/>
      <c r="I6" s="138"/>
      <c r="J6" s="138"/>
      <c r="K6" s="138"/>
      <c r="L6" s="138"/>
      <c r="N6" s="91"/>
    </row>
    <row r="7" spans="1:14" x14ac:dyDescent="0.2">
      <c r="B7" s="16" t="s">
        <v>401</v>
      </c>
      <c r="C7" s="232">
        <f>Statement!M81</f>
        <v>1.6E-2</v>
      </c>
      <c r="D7" s="232">
        <f>Statement!N81</f>
        <v>1.6E-2</v>
      </c>
      <c r="E7" s="232">
        <f>Statement!O81</f>
        <v>1.6E-2</v>
      </c>
      <c r="F7" s="232">
        <f>Statement!P81</f>
        <v>3.4000000000000002E-2</v>
      </c>
      <c r="G7" s="233">
        <f>Statement!Q81</f>
        <v>0.04</v>
      </c>
      <c r="H7" s="138"/>
      <c r="I7" s="138"/>
      <c r="J7" s="138"/>
      <c r="K7" s="138"/>
      <c r="L7" s="138"/>
      <c r="N7" s="91"/>
    </row>
    <row r="8" spans="1:14" x14ac:dyDescent="0.2">
      <c r="N8" s="91"/>
    </row>
    <row r="9" spans="1:14" x14ac:dyDescent="0.2">
      <c r="C9" s="246" t="s">
        <v>114</v>
      </c>
      <c r="D9" s="246"/>
      <c r="E9" s="246"/>
      <c r="F9" s="246"/>
      <c r="G9" s="246"/>
      <c r="H9" s="246"/>
      <c r="I9" s="246"/>
      <c r="J9" s="246"/>
      <c r="K9" s="246"/>
      <c r="L9" s="246"/>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241</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6" t="s">
        <v>402</v>
      </c>
      <c r="D14" s="246"/>
      <c r="E14" s="246"/>
      <c r="F14" s="246"/>
      <c r="G14" s="246"/>
      <c r="H14" s="246"/>
      <c r="I14" s="246"/>
      <c r="J14" s="246"/>
      <c r="K14" s="246"/>
      <c r="L14" s="246"/>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403</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7" t="s">
        <v>404</v>
      </c>
      <c r="C20" s="237"/>
      <c r="N20" s="91"/>
    </row>
    <row r="21" spans="2:14" x14ac:dyDescent="0.2">
      <c r="B21" s="1" t="s">
        <v>405</v>
      </c>
      <c r="C21" s="234">
        <f>G7</f>
        <v>0.04</v>
      </c>
    </row>
    <row r="22" spans="2:14" x14ac:dyDescent="0.2">
      <c r="B22" s="1" t="s">
        <v>406</v>
      </c>
      <c r="C22" s="235">
        <v>0.15</v>
      </c>
    </row>
    <row r="23" spans="2:14" x14ac:dyDescent="0.2">
      <c r="B23" s="39" t="s">
        <v>407</v>
      </c>
      <c r="C23" s="236">
        <f>C21*(1+C22)</f>
        <v>4.5999999999999999E-2</v>
      </c>
    </row>
    <row r="24" spans="2:14" x14ac:dyDescent="0.2">
      <c r="B24" s="1" t="s">
        <v>388</v>
      </c>
      <c r="C24" s="136">
        <f>IF(Overview!C29&gt;0,Overview!C29,WACC!C19)</f>
        <v>0.12</v>
      </c>
    </row>
    <row r="25" spans="2:14" x14ac:dyDescent="0.2">
      <c r="B25" s="39" t="s">
        <v>408</v>
      </c>
      <c r="C25" s="235">
        <v>2.5000000000000001E-2</v>
      </c>
    </row>
    <row r="26" spans="2:14" x14ac:dyDescent="0.2">
      <c r="B26" s="142" t="s">
        <v>201</v>
      </c>
      <c r="C26" s="143">
        <f>C23/(C24-C25)</f>
        <v>0.48421052631578948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7" t="s">
        <v>105</v>
      </c>
      <c r="D3" s="237"/>
      <c r="E3" s="237"/>
      <c r="F3" s="237"/>
      <c r="G3" s="249"/>
      <c r="H3" s="250" t="s">
        <v>106</v>
      </c>
      <c r="I3" s="237"/>
      <c r="J3" s="237"/>
      <c r="K3" s="237"/>
      <c r="L3" s="237"/>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52" t="s">
        <v>215</v>
      </c>
      <c r="C14" s="253"/>
    </row>
    <row r="15" spans="1:28" x14ac:dyDescent="0.2">
      <c r="B15" s="156" t="s">
        <v>216</v>
      </c>
      <c r="C15" s="157">
        <f ca="1">Overview!C5</f>
        <v>200.75</v>
      </c>
    </row>
    <row r="16" spans="1:28" x14ac:dyDescent="0.2">
      <c r="B16" s="156" t="s">
        <v>217</v>
      </c>
      <c r="C16" s="157">
        <f>C36</f>
        <v>265.64057972229938</v>
      </c>
    </row>
    <row r="17" spans="2:9" ht="17" thickBot="1" x14ac:dyDescent="0.25">
      <c r="B17" s="158" t="s">
        <v>321</v>
      </c>
      <c r="C17" s="159">
        <v>0.55000000000000004</v>
      </c>
      <c r="E17" s="254" t="s">
        <v>218</v>
      </c>
      <c r="F17" s="254"/>
      <c r="G17" s="254"/>
      <c r="H17" s="254"/>
      <c r="I17" s="254"/>
    </row>
    <row r="18" spans="2:9" ht="17" thickBot="1" x14ac:dyDescent="0.25"/>
    <row r="19" spans="2:9" x14ac:dyDescent="0.2">
      <c r="B19" s="252" t="s">
        <v>176</v>
      </c>
      <c r="C19" s="253"/>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4858150</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4786048</v>
      </c>
    </row>
    <row r="27" spans="2:9" ht="17" thickBot="1" x14ac:dyDescent="0.25"/>
    <row r="28" spans="2:9" x14ac:dyDescent="0.2">
      <c r="B28" s="252" t="s">
        <v>178</v>
      </c>
      <c r="C28" s="253"/>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6" t="s">
        <v>221</v>
      </c>
      <c r="D39" s="246"/>
      <c r="E39" s="246"/>
      <c r="F39" s="246"/>
      <c r="G39" s="246"/>
      <c r="H39" s="246"/>
      <c r="I39" s="246"/>
      <c r="J39" s="246"/>
      <c r="K39" s="246"/>
      <c r="L39" s="246"/>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2026-08-03T09:09:34Z</dcterms:modified>
</cp:coreProperties>
</file>