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1AC8C39-E425-DE46-8C76-4807F3696AE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82" i="3" l="1"/>
  <c r="Q182" i="3"/>
  <c r="P182" i="3"/>
  <c r="O182" i="3"/>
  <c r="N182" i="3"/>
  <c r="M182" i="3"/>
  <c r="AC185" i="3"/>
  <c r="Q185" i="3"/>
  <c r="P185" i="3"/>
  <c r="O185" i="3"/>
  <c r="N185" i="3"/>
  <c r="M185" i="3"/>
  <c r="AC33" i="3"/>
  <c r="Q208" i="3"/>
  <c r="P208" i="3"/>
  <c r="O208" i="3"/>
  <c r="N208" i="3"/>
  <c r="C48"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Q183" i="3" l="1"/>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F45" i="7"/>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3" i="12"/>
  <c r="C60"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0"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6"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C44" i="12" s="1"/>
  <c r="C6" i="13" s="1"/>
  <c r="I4" i="1" s="1"/>
  <c r="L7" i="11"/>
  <c r="K14" i="12" l="1"/>
  <c r="L8" i="11"/>
  <c r="L11" i="11" s="1"/>
  <c r="C20" i="11" s="1"/>
  <c r="L10" i="11"/>
  <c r="C19" i="11" s="1"/>
  <c r="L14" i="12"/>
  <c r="C55" i="12"/>
  <c r="C58" i="12" s="1"/>
  <c r="C59" i="12" s="1"/>
  <c r="C61" i="12" s="1"/>
  <c r="C21" i="11" l="1"/>
  <c r="C24" i="11" s="1"/>
  <c r="C26" i="11" s="1"/>
  <c r="C5" i="13" s="1"/>
  <c r="C8" i="13"/>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<sst xmlns="http://schemas.openxmlformats.org/spreadsheetml/2006/main" count="726" uniqueCount="399">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</sst>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142.03</v>
    <v>2.2052999999999998</v>
    <v>-2.76</v>
    <v>-1.3306999999999999E-2</v>
    <v>0.42799999999999999</v>
    <v>2.091E-3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209.21</v>
    <v>Semiconductors &amp; Semiconductor Equipment</v>
    <v>Stock</v>
    <v>46190.871673020316</v>
    <v>0</v>
    <v>203.08</v>
    <v>4952530000000</v>
    <v>NVIDIA CORPORATION</v>
    <v>NVIDIA CORPORATION</v>
    <v>208.53</v>
    <v>31.34</v>
    <v>207.41</v>
    <v>204.65</v>
    <v>205.078</v>
    <v>24200000000</v>
    <v>NVDA</v>
    <v>NVIDIA CORPORATION (XNAS:NVDA)</v>
    <v>126195668</v>
    <v>171485621</v>
    <v>1998</v>
  </rv>
  <rv s="2">
    <v>1</v>
  </rv>
  <rv s="0">
    <v>https://www.bing.com/financeapi/forcetrigger?t=a33knm&amp;q=10+Y+TSY+YLD+NDX&amp;form=skydnc</v>
    <v>Learn more on Bing</v>
  </rv>
  <rv s="3">
    <v>5</v>
    <v>10 Y TSY YLD NDX</v>
    <v>6</v>
    <v>7</v>
    <v>Finance</v>
    <v>8</v>
    <v>en-US</v>
    <v>a33knm</v>
    <v>268435456</v>
    <v>1</v>
    <v>Powered by Refinitiv</v>
    <v>46.87</v>
    <v>39.47</v>
    <v>-0.41</v>
    <v>-9.1739999999999999E-3</v>
    <v>US</v>
    <v>44.59</v>
    <v>Index</v>
    <v>3</v>
    <v>44.2</v>
    <v>10 Y TSY YLD NDX</v>
    <v>44.43</v>
    <v>44.69</v>
    <v>44.28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1" t="s">
        <v>17</v>
      </c>
      <c r="C2" s="232"/>
      <c r="E2" s="231" t="s">
        <v>284</v>
      </c>
      <c r="F2" s="232"/>
      <c r="H2" s="231" t="s">
        <v>325</v>
      </c>
      <c r="I2" s="232"/>
    </row>
    <row r="3" spans="2:9" x14ac:dyDescent="0.2">
      <c r="B3" s="186" t="s">
        <v>11</v>
      </c>
      <c r="C3" s="218" t="e" vm="1">
        <v>#VALUE!</v>
      </c>
      <c r="D3" s="2"/>
      <c r="E3" s="186" t="s">
        <v>236</v>
      </c>
      <c r="F3" s="188">
        <f ca="1">Statement!AC155</f>
        <v>4974018.25</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4901916.25</v>
      </c>
      <c r="H4" s="186" t="str">
        <f>'AVG target price'!B6</f>
        <v>EV/EBIT price</v>
      </c>
      <c r="I4" s="212">
        <f>'AVG target price'!C6</f>
        <v>364.31185306105914</v>
      </c>
    </row>
    <row r="5" spans="2:9" x14ac:dyDescent="0.2">
      <c r="B5" s="186" t="s">
        <v>1</v>
      </c>
      <c r="C5" s="209" cm="1">
        <f t="array" aca="1" ref="C5" ca="1">_FV(C3,"Price",TRUE)</f>
        <v>204.65</v>
      </c>
      <c r="E5" s="186" t="s">
        <v>240</v>
      </c>
      <c r="F5" s="190">
        <f>Statement!AC25</f>
        <v>6.5299999999999994</v>
      </c>
      <c r="H5" s="186" t="str">
        <f>'AVG target price'!B7</f>
        <v>PS price</v>
      </c>
      <c r="I5" s="212">
        <f>'AVG target price'!C7</f>
        <v>304.38678708173404</v>
      </c>
    </row>
    <row r="6" spans="2:9" x14ac:dyDescent="0.2">
      <c r="B6" s="186" t="s">
        <v>2</v>
      </c>
      <c r="C6" s="209" cm="1">
        <f t="array" aca="1" ref="C6" ca="1">_FV(C3,"Price (Extended hours)",TRUE)</f>
        <v>205.078</v>
      </c>
      <c r="E6" s="186" t="s">
        <v>234</v>
      </c>
      <c r="F6" s="191">
        <f ca="1">Statement!AC152</f>
        <v>31.339969372128643</v>
      </c>
      <c r="H6" s="186" t="str">
        <f>'AVG target price'!B8</f>
        <v>EV/FCFF price</v>
      </c>
      <c r="I6" s="212">
        <f>'AVG target price'!C8</f>
        <v>350.07748183234139</v>
      </c>
    </row>
    <row r="7" spans="2:9" x14ac:dyDescent="0.2">
      <c r="B7" s="186" t="s">
        <v>3</v>
      </c>
      <c r="C7" s="6" cm="1">
        <f t="array" aca="1" ref="C7" ca="1">_FV(C3,"Change")</f>
        <v>-2.76</v>
      </c>
      <c r="E7" s="187" t="s">
        <v>193</v>
      </c>
      <c r="F7" s="192">
        <f ca="1">Statement!AC153</f>
        <v>19.746802351957271</v>
      </c>
      <c r="H7" s="185" t="str">
        <f>'AVG target price'!B9</f>
        <v>AVG price</v>
      </c>
      <c r="I7" s="213">
        <f>'AVG target price'!C9</f>
        <v>296.75295163459498</v>
      </c>
    </row>
    <row r="8" spans="2:9" x14ac:dyDescent="0.2">
      <c r="B8" s="186" t="s">
        <v>4</v>
      </c>
      <c r="C8" s="6" cm="1">
        <f t="array" aca="1" ref="C8" ca="1">_FV(C3,"Change (extended hours)",TRUE)</f>
        <v>0.42799999999999999</v>
      </c>
      <c r="E8" s="186" t="s">
        <v>262</v>
      </c>
      <c r="F8" s="193">
        <f ca="1">Statement!AC163</f>
        <v>2.2564653838976163E-2</v>
      </c>
      <c r="H8" s="185" t="str">
        <f>'AVG target price'!B11</f>
        <v>Upside/Downside</v>
      </c>
      <c r="I8" s="214">
        <f ca="1">'AVG target price'!C11</f>
        <v>0.45005107077740031</v>
      </c>
    </row>
    <row r="9" spans="2:9" x14ac:dyDescent="0.2">
      <c r="B9" s="186" t="s">
        <v>5</v>
      </c>
      <c r="C9" s="73" cm="1">
        <f t="array" aca="1" ref="C9" ca="1">_FV(C3,"Change (%)",TRUE)</f>
        <v>-1.3306999999999999E-2</v>
      </c>
      <c r="E9" s="186" t="s">
        <v>285</v>
      </c>
      <c r="F9" s="193">
        <f ca="1">Statement!AC164</f>
        <v>3.1908135841680917E-2</v>
      </c>
    </row>
    <row r="10" spans="2:9" x14ac:dyDescent="0.2">
      <c r="B10" s="186" t="s">
        <v>6</v>
      </c>
      <c r="C10" s="73" cm="1">
        <f t="array" aca="1" ref="C10" ca="1">_FV(C3,"Change % (extended hours)",TRUE)</f>
        <v>2.091E-3</v>
      </c>
      <c r="E10" s="186" t="s">
        <v>290</v>
      </c>
      <c r="F10" s="193">
        <f ca="1">Statement!AC166</f>
        <v>9.108129026265635E-3</v>
      </c>
    </row>
    <row r="11" spans="2:9" x14ac:dyDescent="0.2">
      <c r="B11" s="186" t="s">
        <v>7</v>
      </c>
      <c r="C11" s="210" cm="1">
        <f t="array" aca="1" ref="C11" ca="1">_FV(C3,"52 week high",TRUE)</f>
        <v>236.54</v>
      </c>
      <c r="E11" s="187" t="s">
        <v>286</v>
      </c>
      <c r="F11" s="194">
        <f ca="1">Statement!AC165</f>
        <v>1.9545565599804544E-4</v>
      </c>
    </row>
    <row r="12" spans="2:9" x14ac:dyDescent="0.2">
      <c r="B12" s="186" t="s">
        <v>8</v>
      </c>
      <c r="C12" s="210" cm="1">
        <f t="array" aca="1" ref="C12" ca="1">_FV(C3,"52 week low",TRUE)</f>
        <v>142.03</v>
      </c>
      <c r="E12" s="186" t="s">
        <v>94</v>
      </c>
      <c r="F12" s="193">
        <f>Statement!AC121</f>
        <v>0.61514063066049007</v>
      </c>
    </row>
    <row r="13" spans="2:9" x14ac:dyDescent="0.2">
      <c r="B13" s="186" t="s">
        <v>9</v>
      </c>
      <c r="C13" s="210" cm="1">
        <f t="array" aca="1" ref="C13" ca="1">_FV(C3,"Beta")</f>
        <v>2.2052999999999998</v>
      </c>
      <c r="E13" s="186" t="s">
        <v>96</v>
      </c>
      <c r="F13" s="193">
        <f>Statement!AC123</f>
        <v>0.81654337661274645</v>
      </c>
    </row>
    <row r="14" spans="2:9" x14ac:dyDescent="0.2">
      <c r="B14" s="187" t="s">
        <v>10</v>
      </c>
      <c r="C14" s="211" cm="1">
        <f t="array" aca="1" ref="C14" ca="1">_FV(C3,"Volume average",TRUE)</f>
        <v>171485621</v>
      </c>
      <c r="E14" s="187" t="s">
        <v>97</v>
      </c>
      <c r="F14" s="194">
        <f>Statement!AC142</f>
        <v>1.1082908941558067</v>
      </c>
    </row>
    <row r="15" spans="2:9" x14ac:dyDescent="0.2">
      <c r="E15" s="186" t="s">
        <v>287</v>
      </c>
      <c r="F15" s="193">
        <f ca="1">Statement!AC178</f>
        <v>1.4495724859875615E-2</v>
      </c>
    </row>
    <row r="16" spans="2:9" x14ac:dyDescent="0.2">
      <c r="E16" s="187" t="s">
        <v>292</v>
      </c>
      <c r="F16" s="192">
        <f>Statement!AC177</f>
        <v>2.9794214876033056</v>
      </c>
    </row>
    <row r="17" spans="2:9" x14ac:dyDescent="0.2">
      <c r="B17" s="233" t="s">
        <v>83</v>
      </c>
      <c r="C17" s="233"/>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3" t="s">
        <v>99</v>
      </c>
      <c r="C25" s="233"/>
      <c r="E25" s="231" t="s">
        <v>340</v>
      </c>
      <c r="F25" s="232"/>
    </row>
    <row r="26" spans="2:9" x14ac:dyDescent="0.2">
      <c r="B26" s="185" t="s">
        <v>100</v>
      </c>
      <c r="C26" s="171">
        <v>0.21</v>
      </c>
      <c r="E26" s="186" t="e" vm="2">
        <v>#VALUE!</v>
      </c>
      <c r="F26" s="220" cm="1">
        <f t="array" aca="1" ref="F26" ca="1">_FV(E26,"Price")</f>
        <v>44.28</v>
      </c>
    </row>
    <row r="27" spans="2:9" x14ac:dyDescent="0.2">
      <c r="B27" s="185" t="s">
        <v>164</v>
      </c>
      <c r="C27" s="222">
        <v>5.0999999999999997E-2</v>
      </c>
      <c r="E27" s="187" t="s">
        <v>341</v>
      </c>
      <c r="F27" s="221">
        <f ca="1">F26/1000</f>
        <v>4.428E-2</v>
      </c>
    </row>
    <row r="28" spans="2:9" x14ac:dyDescent="0.2">
      <c r="B28" s="185" t="s">
        <v>389</v>
      </c>
      <c r="C28" s="222">
        <v>0.12</v>
      </c>
    </row>
    <row r="29" spans="2:9" x14ac:dyDescent="0.2">
      <c r="B29" s="185" t="s">
        <v>388</v>
      </c>
      <c r="C29" s="222">
        <v>0.12</v>
      </c>
    </row>
    <row r="33" spans="2:8" x14ac:dyDescent="0.2">
      <c r="B33" s="234" t="s">
        <v>335</v>
      </c>
      <c r="C33" s="234"/>
      <c r="D33" s="234"/>
      <c r="E33" s="234"/>
      <c r="F33" s="234"/>
      <c r="G33" s="234"/>
      <c r="H33" s="234"/>
    </row>
    <row r="35" spans="2:8" x14ac:dyDescent="0.2">
      <c r="B35" s="16" t="s">
        <v>336</v>
      </c>
      <c r="C35" s="1" t="s">
        <v>380</v>
      </c>
    </row>
    <row r="36" spans="2:8" x14ac:dyDescent="0.2">
      <c r="B36" s="16" t="s">
        <v>337</v>
      </c>
      <c r="C36" s="1" t="s">
        <v>379</v>
      </c>
    </row>
    <row r="39" spans="2:8" ht="6" customHeight="1" x14ac:dyDescent="0.2">
      <c r="B39" s="234"/>
      <c r="C39" s="234"/>
      <c r="D39" s="234"/>
      <c r="E39" s="234"/>
      <c r="F39" s="234"/>
      <c r="G39" s="234"/>
      <c r="H39" s="234"/>
    </row>
    <row r="42" spans="2:8" x14ac:dyDescent="0.2">
      <c r="B42" s="234" t="s">
        <v>338</v>
      </c>
      <c r="C42" s="234"/>
      <c r="D42" s="234"/>
      <c r="E42" s="234"/>
      <c r="F42" s="234"/>
      <c r="G42" s="234"/>
      <c r="H42" s="234"/>
    </row>
    <row r="44" spans="2:8" x14ac:dyDescent="0.2">
      <c r="B44" s="41" t="s">
        <v>339</v>
      </c>
      <c r="C44" s="41" t="s">
        <v>326</v>
      </c>
      <c r="D44" s="41"/>
      <c r="E44" s="41" t="s">
        <v>327</v>
      </c>
    </row>
    <row r="49" spans="2:8" ht="5" customHeight="1" x14ac:dyDescent="0.2">
      <c r="B49" s="234"/>
      <c r="C49" s="234"/>
      <c r="D49" s="234"/>
      <c r="E49" s="234"/>
      <c r="F49" s="234"/>
      <c r="G49" s="234"/>
      <c r="H49" s="234"/>
    </row>
    <row r="52" spans="2:8" x14ac:dyDescent="0.2">
      <c r="B52" s="234" t="s">
        <v>101</v>
      </c>
      <c r="C52" s="234"/>
      <c r="D52" s="234"/>
      <c r="E52" s="234"/>
      <c r="F52" s="234"/>
      <c r="G52" s="234"/>
      <c r="H52" s="234"/>
    </row>
    <row r="54" spans="2:8" x14ac:dyDescent="0.2">
      <c r="B54" s="41" t="s">
        <v>339</v>
      </c>
      <c r="C54" s="41" t="s">
        <v>326</v>
      </c>
      <c r="D54" s="41"/>
      <c r="E54" s="41" t="s">
        <v>327</v>
      </c>
    </row>
    <row r="59" spans="2:8" ht="5" customHeight="1" x14ac:dyDescent="0.2">
      <c r="B59" s="234"/>
      <c r="C59" s="234"/>
      <c r="D59" s="234"/>
      <c r="E59" s="234"/>
      <c r="F59" s="234"/>
      <c r="G59" s="234"/>
      <c r="H59" s="234"/>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X180" activePane="bottomRight" state="frozen"/>
      <selection pane="topRight" activeCell="C1" sqref="C1"/>
      <selection pane="bottomLeft" activeCell="A4" sqref="A4"/>
      <selection pane="bottomRight" activeCell="AC182" sqref="AC18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204.65</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204.65</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31.339969372128643</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19.746802351957271</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25.33600376520663</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4974018.25</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4901916.25</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19.337634274984122</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30.205602797547524</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44.317099084971979</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38.653748491273809</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2.2564653838976163E-2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3.1908135841680917E-2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1.9545565599804544E-4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9.108129026265635E-3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9.3037455180225766E-3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1.4495724859875615E-2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4" t="s">
        <v>230</v>
      </c>
      <c r="C4" s="234"/>
      <c r="E4" s="234" t="s">
        <v>237</v>
      </c>
      <c r="F4" s="234"/>
      <c r="G4" s="234"/>
    </row>
    <row r="5" spans="2:7" x14ac:dyDescent="0.2">
      <c r="B5" s="20" t="s">
        <v>1</v>
      </c>
      <c r="C5" s="173">
        <f ca="1">Overview!C5</f>
        <v>204.65</v>
      </c>
      <c r="E5" s="12"/>
      <c r="F5" s="133" t="s">
        <v>238</v>
      </c>
      <c r="G5" s="133" t="s">
        <v>239</v>
      </c>
    </row>
    <row r="6" spans="2:7" x14ac:dyDescent="0.2">
      <c r="B6" s="20" t="s">
        <v>236</v>
      </c>
      <c r="C6" s="174">
        <f ca="1">Statement!AC155</f>
        <v>4974018.25</v>
      </c>
      <c r="E6" s="20" t="s">
        <v>19</v>
      </c>
      <c r="F6" s="179">
        <f>IF(Statement!M5&lt;=0,"N/A",_xlfn.RRI(4,Statement!M5,Statement!Q5))</f>
        <v>0.68301391480282692</v>
      </c>
      <c r="G6" s="179" t="str">
        <f>IF(Statement!H5&lt;=0,"N/A",_xlfn.RRI(9,Statement!H5,Statement!Q5))</f>
        <v>N/A</v>
      </c>
    </row>
    <row r="7" spans="2:7" x14ac:dyDescent="0.2">
      <c r="B7" s="20" t="s">
        <v>180</v>
      </c>
      <c r="C7" s="174">
        <f ca="1">Statement!AC156</f>
        <v>4901916.25</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31.339969372128643</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19.746802351957271</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25.33600376520663</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19.337634274984122</v>
      </c>
    </row>
    <row r="12" spans="2:7" x14ac:dyDescent="0.2">
      <c r="B12" s="20" t="s">
        <v>196</v>
      </c>
      <c r="C12" s="175">
        <f ca="1">Statement!AC158</f>
        <v>30.205602797547524</v>
      </c>
    </row>
    <row r="15" spans="2:7" x14ac:dyDescent="0.2">
      <c r="B15" s="234" t="s">
        <v>75</v>
      </c>
      <c r="C15" s="234"/>
      <c r="E15" s="234" t="s">
        <v>243</v>
      </c>
      <c r="F15" s="234"/>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4" t="s">
        <v>242</v>
      </c>
      <c r="C21" s="234"/>
      <c r="E21" s="234" t="s">
        <v>246</v>
      </c>
      <c r="F21" s="234"/>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4" t="s">
        <v>247</v>
      </c>
      <c r="C29" s="234"/>
      <c r="E29" s="234" t="s">
        <v>253</v>
      </c>
      <c r="F29" s="234"/>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4" t="s">
        <v>265</v>
      </c>
      <c r="C37" s="234"/>
      <c r="E37" s="234" t="s">
        <v>268</v>
      </c>
      <c r="F37" s="234"/>
    </row>
    <row r="38" spans="2:6" x14ac:dyDescent="0.2">
      <c r="B38" s="20" t="s">
        <v>263</v>
      </c>
      <c r="C38" s="176">
        <f ca="1">Statement!AC164</f>
        <v>3.1908135841680917E-2</v>
      </c>
      <c r="E38" s="20" t="s">
        <v>267</v>
      </c>
      <c r="F38" s="176">
        <f>Statement!AC170</f>
        <v>8.6691554478469674E-3</v>
      </c>
    </row>
    <row r="39" spans="2:6" x14ac:dyDescent="0.2">
      <c r="B39" s="54" t="s">
        <v>266</v>
      </c>
      <c r="C39" s="216">
        <f ca="1">Statement!AC163</f>
        <v>2.2564653838976163E-2</v>
      </c>
      <c r="E39" s="20" t="s">
        <v>269</v>
      </c>
      <c r="F39" s="176">
        <f>Statement!AC171</f>
        <v>0.40364585653572349</v>
      </c>
    </row>
    <row r="40" spans="2:6" x14ac:dyDescent="0.2">
      <c r="B40" s="20" t="s">
        <v>264</v>
      </c>
      <c r="C40" s="176">
        <f ca="1">Statement!AC165</f>
        <v>1.9545565599804544E-4</v>
      </c>
      <c r="E40" s="20" t="s">
        <v>270</v>
      </c>
      <c r="F40" s="176">
        <f>Statement!AC172</f>
        <v>0.41231501198357046</v>
      </c>
    </row>
    <row r="41" spans="2:6" x14ac:dyDescent="0.2">
      <c r="B41" s="20" t="s">
        <v>289</v>
      </c>
      <c r="C41" s="176">
        <f ca="1">Statement!AC166</f>
        <v>9.108129026265635E-3</v>
      </c>
    </row>
    <row r="42" spans="2:6" x14ac:dyDescent="0.2">
      <c r="B42" s="20" t="s">
        <v>291</v>
      </c>
      <c r="C42" s="176">
        <f ca="1">Statement!AC167</f>
        <v>9.3037455180225766E-3</v>
      </c>
    </row>
    <row r="45" spans="2:6" x14ac:dyDescent="0.2">
      <c r="B45" s="234" t="s">
        <v>276</v>
      </c>
      <c r="C45" s="234"/>
      <c r="E45" s="234" t="s">
        <v>282</v>
      </c>
      <c r="F45" s="234"/>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1.4495724859875615E-2</v>
      </c>
    </row>
    <row r="51" spans="2:6" x14ac:dyDescent="0.2">
      <c r="B51" s="234" t="s">
        <v>279</v>
      </c>
      <c r="C51" s="234"/>
      <c r="E51" s="234" t="s">
        <v>300</v>
      </c>
      <c r="F51" s="234"/>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204.65</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4974018.25</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4901916.25</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31.339969372128643</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19.746802351957271</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25.33600376520663</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19.337634274984122</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30.205602797547524</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3.1908135841680917E-2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2.2564653838976163E-2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1.9545565599804544E-4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9.108129026265635E-3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9.3037455180225766E-3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1.4495724859875615E-2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7" t="s">
        <v>310</v>
      </c>
      <c r="D3" s="238"/>
      <c r="F3" s="239" t="s">
        <v>311</v>
      </c>
      <c r="G3" s="238"/>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35">
        <f>Statement!AA88</f>
        <v>0.19798317847549429</v>
      </c>
      <c r="D7" s="236"/>
      <c r="F7" s="235">
        <f>IF(F6=0,
IF(G6=0,0,IF(G6&gt;0,1,-1)),
(G6-F6)/ABS(F6)
)</f>
        <v>0.85227633788752211</v>
      </c>
      <c r="G7" s="236"/>
    </row>
    <row r="8" spans="2:7" x14ac:dyDescent="0.2">
      <c r="B8" s="208" t="s">
        <v>20</v>
      </c>
      <c r="C8" s="201">
        <f>Statement!Z6</f>
        <v>17034</v>
      </c>
      <c r="D8" s="199">
        <f>Statement!AA6</f>
        <v>20458</v>
      </c>
      <c r="F8" s="201">
        <f>Statement!W6</f>
        <v>17394</v>
      </c>
      <c r="G8" s="199">
        <f>Statement!AA6</f>
        <v>20458</v>
      </c>
    </row>
    <row r="9" spans="2:7" x14ac:dyDescent="0.2">
      <c r="B9" s="207" t="s">
        <v>312</v>
      </c>
      <c r="C9" s="235">
        <f>Statement!AA89</f>
        <v>0.20100974521545145</v>
      </c>
      <c r="D9" s="236"/>
      <c r="F9" s="235">
        <f>IF(F8=0,
IF(G8=0,0,IF(G8&gt;0,1,-1)),
(G8-F8)/ABS(F8)
)</f>
        <v>0.17615269633206854</v>
      </c>
      <c r="G9" s="236"/>
    </row>
    <row r="10" spans="2:7" x14ac:dyDescent="0.2">
      <c r="B10" s="208" t="s">
        <v>21</v>
      </c>
      <c r="C10" s="201">
        <f>Statement!Z7</f>
        <v>51093</v>
      </c>
      <c r="D10" s="199">
        <f>Statement!AA7</f>
        <v>61157</v>
      </c>
      <c r="F10" s="201">
        <f>Statement!W7</f>
        <v>26668</v>
      </c>
      <c r="G10" s="199">
        <f>Statement!AA7</f>
        <v>61157</v>
      </c>
    </row>
    <row r="11" spans="2:7" x14ac:dyDescent="0.2">
      <c r="B11" s="207" t="s">
        <v>312</v>
      </c>
      <c r="C11" s="235">
        <f>Statement!AA90</f>
        <v>0.19697414518622902</v>
      </c>
      <c r="D11" s="236"/>
      <c r="F11" s="235">
        <f>IF(F10=0,
IF(G10=0,0,IF(G10&gt;0,1,-1)),
(G10-F10)/ABS(F10)
)</f>
        <v>1.293272836358182</v>
      </c>
      <c r="G11" s="236"/>
    </row>
    <row r="12" spans="2:7" x14ac:dyDescent="0.2">
      <c r="B12" s="208" t="s">
        <v>23</v>
      </c>
      <c r="C12" s="201">
        <f>Statement!Z10</f>
        <v>6794</v>
      </c>
      <c r="D12" s="199">
        <f>Statement!AA10</f>
        <v>7621</v>
      </c>
      <c r="F12" s="201">
        <f>Statement!W10</f>
        <v>5030</v>
      </c>
      <c r="G12" s="199">
        <f>Statement!AA10</f>
        <v>7621</v>
      </c>
    </row>
    <row r="13" spans="2:7" x14ac:dyDescent="0.2">
      <c r="B13" s="207" t="s">
        <v>312</v>
      </c>
      <c r="C13" s="235">
        <f>Statement!AA93</f>
        <v>0.12172505151604357</v>
      </c>
      <c r="D13" s="236"/>
      <c r="F13" s="235">
        <f>IF(F12=0,
IF(G12=0,0,IF(G12&gt;0,1,-1)),
(G12-F12)/ABS(F12)
)</f>
        <v>0.51510934393638175</v>
      </c>
      <c r="G13" s="236"/>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35">
        <f>Statement!AA94</f>
        <v>0.20851486489537011</v>
      </c>
      <c r="D15" s="236"/>
      <c r="F15" s="235">
        <f>IF(F14=0,
IF(G14=0,0,IF(G14&gt;0,1,-1)),
(G14-F14)/ABS(F14)
)</f>
        <v>1.4741658193918108</v>
      </c>
      <c r="G15" s="236"/>
    </row>
    <row r="16" spans="2:7" x14ac:dyDescent="0.2">
      <c r="B16" s="208" t="s">
        <v>29</v>
      </c>
      <c r="C16" s="201">
        <f>Statement!Z17</f>
        <v>42960</v>
      </c>
      <c r="D16" s="199">
        <f>Statement!AA17</f>
        <v>58321</v>
      </c>
      <c r="F16" s="201">
        <f>Statement!W17</f>
        <v>18775</v>
      </c>
      <c r="G16" s="199">
        <f>Statement!AA17</f>
        <v>58321</v>
      </c>
    </row>
    <row r="17" spans="2:7" x14ac:dyDescent="0.2">
      <c r="B17" s="207" t="s">
        <v>312</v>
      </c>
      <c r="C17" s="235">
        <f>Statement!AA96</f>
        <v>0.35756517690875234</v>
      </c>
      <c r="D17" s="236"/>
      <c r="F17" s="235">
        <f>IF(F16=0,
IF(G16=0,0,IF(G16&gt;0,1,-1)),
(G16-F16)/ABS(F16)
)</f>
        <v>2.1063115845539282</v>
      </c>
      <c r="G17" s="236"/>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35">
        <f>IF(C18=0,
IF(D18=0,0,IF(D18&gt;0,1,-1)),
(D18-C18)/ABS(C18)
)</f>
        <v>-1.6781270464963983E-3</v>
      </c>
      <c r="D19" s="236"/>
      <c r="F19" s="235">
        <f>IF(F18=0,
IF(G18=0,0,IF(G18&gt;0,1,-1)),
(G18-F18)/ABS(F18)
)</f>
        <v>-8.9390922758116297E-3</v>
      </c>
      <c r="G19" s="236"/>
    </row>
    <row r="20" spans="2:7" x14ac:dyDescent="0.2">
      <c r="B20" s="208" t="s">
        <v>36</v>
      </c>
      <c r="C20" s="202">
        <f>Statement!Z25</f>
        <v>1.76</v>
      </c>
      <c r="D20" s="203">
        <f>Statement!AA25</f>
        <v>2.39</v>
      </c>
      <c r="F20" s="202">
        <f>Statement!W25</f>
        <v>0.76</v>
      </c>
      <c r="G20" s="203">
        <f>Statement!AA25</f>
        <v>2.39</v>
      </c>
    </row>
    <row r="21" spans="2:7" x14ac:dyDescent="0.2">
      <c r="B21" s="207" t="s">
        <v>312</v>
      </c>
      <c r="C21" s="235">
        <f>IF(C20=0,
IF(D20=0,0,IF(D20&gt;0,1,-1)),
(D20-C20)/ABS(C20)
)</f>
        <v>0.35795454545454553</v>
      </c>
      <c r="D21" s="236"/>
      <c r="F21" s="235">
        <f>IF(F20=0,
IF(G20=0,0,IF(G20&gt;0,1,-1)),
(G20-F20)/ABS(F20)
)</f>
        <v>2.1447368421052633</v>
      </c>
      <c r="G21" s="236"/>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35">
        <f>IF(C24=0,
IF(D24=0,0,IF(D24&gt;0,1,-1)),
(D24-C24)/ABS(C24)
)</f>
        <v>0.11992074288756137</v>
      </c>
      <c r="D25" s="236"/>
      <c r="F25" s="235">
        <f>IF(F24=0,
IF(G24=0,0,IF(G24&gt;0,1,-1)),
(G24-F24)/ABS(F24)
)</f>
        <v>1.1517699869310756</v>
      </c>
      <c r="G25" s="236"/>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35">
        <f>IF(C26=0,
IF(D26=0,0,IF(D26&gt;0,1,-1)),
(D26-C26)/ABS(C26)
)</f>
        <v>0.31147368421052629</v>
      </c>
      <c r="D27" s="236"/>
      <c r="F27" s="235">
        <f>IF(F26=0,
IF(G26=0,0,IF(G26&gt;0,1,-1)),
(G26-F26)/ABS(F26)
)</f>
        <v>0.73741458652907543</v>
      </c>
      <c r="G27" s="236"/>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35">
        <f>IF(C28=0,
IF(D28=0,0,IF(D28&gt;0,1,-1)),
(D28-C28)/ABS(C28)
)</f>
        <v>0.20752960811374652</v>
      </c>
      <c r="D29" s="236"/>
      <c r="F29" s="235">
        <f>IF(F28=0,
IF(G28=0,0,IF(G28&gt;0,1,-1)),
(G28-F28)/ABS(F28)
)</f>
        <v>0.92385968500715898</v>
      </c>
      <c r="G29" s="236"/>
    </row>
    <row r="30" spans="2:7" x14ac:dyDescent="0.2">
      <c r="B30" s="20" t="s">
        <v>373</v>
      </c>
      <c r="C30" s="201">
        <f>Statement!Z192</f>
        <v>5813</v>
      </c>
      <c r="D30" s="201">
        <f>Statement!AA192</f>
        <v>6369</v>
      </c>
      <c r="F30" s="201">
        <f>Statement!W192</f>
        <v>4950</v>
      </c>
      <c r="G30" s="201">
        <f>Statement!AA192</f>
        <v>6369</v>
      </c>
    </row>
    <row r="31" spans="2:7" x14ac:dyDescent="0.2">
      <c r="B31" s="207" t="s">
        <v>312</v>
      </c>
      <c r="C31" s="235">
        <f>IF(C30=0,
IF(D30=0,0,IF(D30&gt;0,1,-1)),
(D30-C30)/ABS(C30)
)</f>
        <v>9.5647686220540165E-2</v>
      </c>
      <c r="D31" s="236"/>
      <c r="F31" s="235">
        <f>IF(F30=0,
IF(G30=0,0,IF(G30&gt;0,1,-1)),
(G30-F30)/ABS(F30)
)</f>
        <v>0.28666666666666668</v>
      </c>
      <c r="G31" s="236"/>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8" zoomScale="159" workbookViewId="0">
      <selection activeCell="M27" sqref="M2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4" t="s">
        <v>105</v>
      </c>
      <c r="D2" s="234"/>
      <c r="E2" s="234"/>
      <c r="F2" s="234"/>
      <c r="G2" s="243"/>
      <c r="H2" s="244" t="s">
        <v>106</v>
      </c>
      <c r="I2" s="234"/>
      <c r="J2" s="234"/>
      <c r="K2" s="234"/>
      <c r="L2" s="234"/>
      <c r="O2" s="5"/>
      <c r="S2" s="234" t="s">
        <v>105</v>
      </c>
      <c r="T2" s="234"/>
      <c r="U2" s="234"/>
      <c r="V2" s="234"/>
      <c r="W2" s="234"/>
      <c r="X2" s="234"/>
      <c r="Y2" s="234"/>
      <c r="Z2" s="234"/>
      <c r="AA2" s="234" t="s">
        <v>106</v>
      </c>
      <c r="AB2" s="234"/>
      <c r="AC2" s="234"/>
      <c r="AE2" s="85" t="s">
        <v>107</v>
      </c>
    </row>
    <row r="3" spans="1:31" ht="10" customHeight="1" x14ac:dyDescent="0.2">
      <c r="O3" s="5"/>
    </row>
    <row r="4" spans="1:31" ht="16" customHeight="1" x14ac:dyDescent="0.2">
      <c r="A4" s="86"/>
      <c r="B4" s="60"/>
      <c r="C4" s="240" t="s">
        <v>108</v>
      </c>
      <c r="D4" s="240"/>
      <c r="E4" s="240"/>
      <c r="F4" s="240"/>
      <c r="G4" s="240"/>
      <c r="H4" s="240"/>
      <c r="I4" s="240"/>
      <c r="J4" s="240"/>
      <c r="K4" s="240"/>
      <c r="L4" s="240"/>
      <c r="O4" s="5"/>
      <c r="S4" s="241" t="s">
        <v>108</v>
      </c>
      <c r="T4" s="242"/>
      <c r="U4" s="242"/>
      <c r="V4" s="242"/>
      <c r="W4" s="242"/>
      <c r="X4" s="242"/>
      <c r="Y4" s="242"/>
      <c r="Z4" s="242"/>
      <c r="AA4" s="242"/>
      <c r="AB4" s="242"/>
      <c r="AC4" s="242"/>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0" t="s">
        <v>114</v>
      </c>
      <c r="D12" s="240"/>
      <c r="E12" s="240"/>
      <c r="F12" s="240"/>
      <c r="G12" s="240"/>
      <c r="H12" s="240"/>
      <c r="I12" s="240"/>
      <c r="J12" s="240"/>
      <c r="K12" s="240"/>
      <c r="L12" s="240"/>
      <c r="O12" s="5"/>
      <c r="Q12" s="91"/>
      <c r="S12" s="241" t="s">
        <v>114</v>
      </c>
      <c r="T12" s="242"/>
      <c r="U12" s="242"/>
      <c r="V12" s="242"/>
      <c r="W12" s="242"/>
      <c r="X12" s="242"/>
      <c r="Y12" s="242"/>
      <c r="Z12" s="242"/>
      <c r="AA12" s="242"/>
      <c r="AB12" s="242"/>
      <c r="AC12" s="242"/>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4" t="s">
        <v>105</v>
      </c>
      <c r="D2" s="234"/>
      <c r="E2" s="234"/>
      <c r="F2" s="234"/>
      <c r="G2" s="243"/>
      <c r="H2" s="244" t="s">
        <v>106</v>
      </c>
      <c r="I2" s="234"/>
      <c r="J2" s="234"/>
      <c r="K2" s="234"/>
      <c r="L2" s="234"/>
      <c r="P2" s="234" t="s">
        <v>105</v>
      </c>
      <c r="Q2" s="234"/>
      <c r="R2" s="234"/>
      <c r="S2" s="234"/>
      <c r="T2" s="234"/>
      <c r="U2" s="234"/>
      <c r="V2" s="234"/>
      <c r="W2" s="234"/>
      <c r="X2" s="234" t="s">
        <v>106</v>
      </c>
      <c r="Y2" s="234"/>
      <c r="Z2" s="234"/>
      <c r="AB2" s="85" t="s">
        <v>107</v>
      </c>
    </row>
    <row r="3" spans="1:28" ht="10" customHeight="1" x14ac:dyDescent="0.2"/>
    <row r="4" spans="1:28" ht="16" customHeight="1" x14ac:dyDescent="0.2">
      <c r="A4" s="86"/>
      <c r="B4" s="60"/>
      <c r="C4" s="240" t="s">
        <v>108</v>
      </c>
      <c r="D4" s="240"/>
      <c r="E4" s="240"/>
      <c r="F4" s="240"/>
      <c r="G4" s="240"/>
      <c r="H4" s="240"/>
      <c r="I4" s="240"/>
      <c r="J4" s="240"/>
      <c r="K4" s="240"/>
      <c r="L4" s="240"/>
      <c r="P4" s="242" t="s">
        <v>108</v>
      </c>
      <c r="Q4" s="242"/>
      <c r="R4" s="242"/>
      <c r="S4" s="242"/>
      <c r="T4" s="242"/>
      <c r="U4" s="242"/>
      <c r="V4" s="242"/>
      <c r="W4" s="242"/>
      <c r="X4" s="242"/>
      <c r="Y4" s="242"/>
      <c r="Z4" s="242"/>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0" t="s">
        <v>117</v>
      </c>
      <c r="D9" s="240"/>
      <c r="E9" s="240"/>
      <c r="F9" s="240"/>
      <c r="G9" s="240"/>
      <c r="H9" s="240"/>
      <c r="I9" s="240"/>
      <c r="J9" s="240"/>
      <c r="K9" s="240"/>
      <c r="L9" s="240"/>
      <c r="N9" s="91"/>
      <c r="P9" s="242" t="s">
        <v>118</v>
      </c>
      <c r="Q9" s="242"/>
      <c r="R9" s="242"/>
      <c r="S9" s="242"/>
      <c r="T9" s="242"/>
      <c r="U9" s="242"/>
      <c r="V9" s="242"/>
      <c r="W9" s="242"/>
      <c r="X9" s="242"/>
      <c r="Y9" s="242"/>
      <c r="Z9" s="242"/>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0" t="s">
        <v>120</v>
      </c>
      <c r="D17" s="240"/>
      <c r="E17" s="240"/>
      <c r="F17" s="240"/>
      <c r="G17" s="240"/>
      <c r="H17" s="240"/>
      <c r="I17" s="240"/>
      <c r="J17" s="240"/>
      <c r="K17" s="240"/>
      <c r="L17" s="240"/>
      <c r="P17" s="242" t="s">
        <v>120</v>
      </c>
      <c r="Q17" s="242"/>
      <c r="R17" s="242"/>
      <c r="S17" s="242"/>
      <c r="T17" s="242"/>
      <c r="U17" s="242"/>
      <c r="V17" s="242"/>
      <c r="W17" s="242"/>
      <c r="X17" s="242"/>
      <c r="Y17" s="242"/>
      <c r="Z17" s="242"/>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8" zoomScale="189" zoomScaleNormal="100" workbookViewId="0">
      <selection activeCell="H35" sqref="H3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4" t="s">
        <v>105</v>
      </c>
      <c r="D3" s="234"/>
      <c r="E3" s="234"/>
      <c r="F3" s="234"/>
      <c r="G3" s="243"/>
      <c r="H3" s="244" t="s">
        <v>106</v>
      </c>
      <c r="I3" s="234"/>
      <c r="J3" s="234"/>
      <c r="K3" s="234"/>
      <c r="L3" s="234"/>
      <c r="P3" s="245"/>
      <c r="Q3" s="245"/>
      <c r="R3" s="245"/>
      <c r="S3" s="245"/>
      <c r="T3" s="245"/>
      <c r="U3" s="245"/>
      <c r="V3" s="245"/>
      <c r="W3" s="245"/>
      <c r="X3" s="245"/>
      <c r="Y3" s="245"/>
      <c r="Z3" s="245"/>
      <c r="AB3" s="110"/>
    </row>
    <row r="4" spans="1:28" ht="10" customHeight="1" x14ac:dyDescent="0.2"/>
    <row r="5" spans="1:28" ht="16" customHeight="1" x14ac:dyDescent="0.2">
      <c r="A5" s="86"/>
      <c r="B5" s="60"/>
      <c r="C5" s="240" t="s">
        <v>108</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124</v>
      </c>
      <c r="D11" s="240"/>
      <c r="E11" s="240"/>
      <c r="F11" s="240"/>
      <c r="G11" s="240"/>
      <c r="H11" s="240"/>
      <c r="I11" s="240"/>
      <c r="J11" s="240"/>
      <c r="K11" s="240"/>
      <c r="L11" s="240"/>
      <c r="N11" s="91"/>
      <c r="P11" s="245"/>
      <c r="Q11" s="245"/>
      <c r="R11" s="245"/>
      <c r="S11" s="245"/>
      <c r="T11" s="245"/>
      <c r="U11" s="245"/>
      <c r="V11" s="245"/>
      <c r="W11" s="245"/>
      <c r="X11" s="245"/>
      <c r="Y11" s="245"/>
      <c r="Z11" s="245"/>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0" t="s">
        <v>129</v>
      </c>
      <c r="D18" s="240"/>
      <c r="E18" s="240"/>
      <c r="F18" s="240"/>
      <c r="G18" s="240"/>
      <c r="H18" s="240"/>
      <c r="I18" s="240"/>
      <c r="J18" s="240"/>
      <c r="K18" s="240"/>
      <c r="L18" s="240"/>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5"/>
      <c r="C25" s="245"/>
    </row>
    <row r="26" spans="2:12" x14ac:dyDescent="0.2">
      <c r="B26" s="110"/>
      <c r="C26" s="240" t="s">
        <v>135</v>
      </c>
      <c r="D26" s="240"/>
      <c r="E26" s="240"/>
      <c r="F26" s="240"/>
      <c r="G26" s="240"/>
      <c r="H26" s="240"/>
      <c r="I26" s="240"/>
      <c r="J26" s="240"/>
      <c r="K26" s="240"/>
      <c r="L26" s="240"/>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0" t="s">
        <v>139</v>
      </c>
      <c r="D33" s="240"/>
      <c r="E33" s="240"/>
      <c r="F33" s="240"/>
      <c r="G33" s="240"/>
      <c r="H33" s="240"/>
      <c r="I33" s="240"/>
      <c r="J33" s="240"/>
      <c r="K33" s="240"/>
      <c r="L33" s="240"/>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0" t="s">
        <v>142</v>
      </c>
      <c r="D40" s="240"/>
      <c r="E40" s="240"/>
      <c r="F40" s="240"/>
      <c r="G40" s="240"/>
      <c r="H40" s="240"/>
      <c r="I40" s="240"/>
      <c r="J40" s="240"/>
      <c r="K40" s="240"/>
      <c r="L40" s="240"/>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-Statement!M59</f>
        <v>976</v>
      </c>
      <c r="D45" s="115">
        <f>-Statement!N59</f>
        <v>1833</v>
      </c>
      <c r="E45" s="115">
        <f>-Statement!O59</f>
        <v>1069</v>
      </c>
      <c r="F45" s="115">
        <f>-Statement!P59</f>
        <v>3236</v>
      </c>
      <c r="G45" s="116">
        <f>-Statement!Q59</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4" t="s">
        <v>105</v>
      </c>
      <c r="D2" s="234"/>
      <c r="E2" s="234"/>
      <c r="F2" s="234"/>
      <c r="G2" s="243"/>
      <c r="H2" s="244" t="s">
        <v>106</v>
      </c>
      <c r="I2" s="234"/>
      <c r="J2" s="234"/>
      <c r="K2" s="234"/>
      <c r="L2" s="234"/>
      <c r="S2" s="245"/>
      <c r="T2" s="245"/>
      <c r="U2" s="245"/>
      <c r="V2" s="245"/>
      <c r="W2" s="245"/>
      <c r="X2" s="245"/>
      <c r="Y2" s="245"/>
      <c r="Z2" s="245"/>
      <c r="AA2" s="245"/>
      <c r="AB2" s="245"/>
      <c r="AC2" s="245"/>
      <c r="AE2" s="110"/>
    </row>
    <row r="3" spans="1:31" ht="10" customHeight="1" x14ac:dyDescent="0.2"/>
    <row r="4" spans="1:31" ht="16" customHeight="1" x14ac:dyDescent="0.2">
      <c r="A4" s="86"/>
      <c r="B4" s="60"/>
      <c r="C4" s="240" t="s">
        <v>18</v>
      </c>
      <c r="D4" s="240"/>
      <c r="E4" s="240"/>
      <c r="F4" s="240"/>
      <c r="G4" s="240"/>
      <c r="H4" s="240"/>
      <c r="I4" s="240"/>
      <c r="J4" s="240"/>
      <c r="K4" s="240"/>
      <c r="L4" s="240"/>
      <c r="S4" s="245"/>
      <c r="T4" s="245"/>
      <c r="U4" s="245"/>
      <c r="V4" s="245"/>
      <c r="W4" s="245"/>
      <c r="X4" s="245"/>
      <c r="Y4" s="245"/>
      <c r="Z4" s="245"/>
      <c r="AA4" s="245"/>
      <c r="AB4" s="245"/>
      <c r="AC4" s="245"/>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0" t="s">
        <v>150</v>
      </c>
      <c r="D13" s="240"/>
      <c r="E13" s="240"/>
      <c r="F13" s="240"/>
      <c r="G13" s="240"/>
      <c r="H13" s="240"/>
      <c r="I13" s="240"/>
      <c r="J13" s="240"/>
      <c r="K13" s="240"/>
      <c r="L13" s="24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0" t="s">
        <v>151</v>
      </c>
      <c r="D18" s="240"/>
      <c r="E18" s="240"/>
      <c r="F18" s="240"/>
      <c r="G18" s="240"/>
      <c r="H18" s="240"/>
      <c r="I18" s="240"/>
      <c r="J18" s="240"/>
      <c r="K18" s="240"/>
      <c r="L18" s="240"/>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0" t="s">
        <v>259</v>
      </c>
      <c r="D25" s="240"/>
      <c r="E25" s="240"/>
      <c r="F25" s="240"/>
      <c r="G25" s="240"/>
      <c r="H25" s="240"/>
      <c r="I25" s="240"/>
      <c r="J25" s="240"/>
      <c r="K25" s="240"/>
      <c r="L25" s="240"/>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0" t="s">
        <v>75</v>
      </c>
      <c r="D31" s="240"/>
      <c r="E31" s="240"/>
      <c r="F31" s="240"/>
      <c r="G31" s="240"/>
      <c r="H31" s="240"/>
      <c r="I31" s="240"/>
      <c r="J31" s="240"/>
      <c r="K31" s="240"/>
      <c r="L31" s="240"/>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4" t="s">
        <v>158</v>
      </c>
      <c r="C4" s="234"/>
    </row>
    <row r="5" spans="1:3" ht="17" customHeight="1" x14ac:dyDescent="0.2">
      <c r="B5" s="1" t="s">
        <v>159</v>
      </c>
      <c r="C5" s="137">
        <f>Statement!AC77</f>
        <v>24305</v>
      </c>
    </row>
    <row r="6" spans="1:3" ht="17" customHeight="1" x14ac:dyDescent="0.2">
      <c r="B6" s="1" t="s">
        <v>1</v>
      </c>
      <c r="C6" s="134">
        <f ca="1">Overview!C5</f>
        <v>204.65</v>
      </c>
    </row>
    <row r="7" spans="1:3" ht="17" customHeight="1" x14ac:dyDescent="0.2">
      <c r="B7" s="1" t="s">
        <v>160</v>
      </c>
      <c r="C7" s="135">
        <f ca="1">C5*C6</f>
        <v>4974018.25</v>
      </c>
    </row>
    <row r="8" spans="1:3" ht="17" customHeight="1" x14ac:dyDescent="0.2">
      <c r="B8" s="1" t="s">
        <v>161</v>
      </c>
      <c r="C8" s="113">
        <f>Statement!AC106</f>
        <v>8470</v>
      </c>
    </row>
    <row r="9" spans="1:3" ht="17" customHeight="1" x14ac:dyDescent="0.2">
      <c r="B9" s="1" t="s">
        <v>162</v>
      </c>
      <c r="C9" s="136">
        <f ca="1">Overview!F27</f>
        <v>4.428E-2</v>
      </c>
    </row>
    <row r="10" spans="1:3" ht="17" customHeight="1" x14ac:dyDescent="0.2">
      <c r="B10" s="1" t="s">
        <v>9</v>
      </c>
      <c r="C10" s="134">
        <f ca="1">Overview!C13</f>
        <v>2.2052999999999998</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4" t="s">
        <v>165</v>
      </c>
      <c r="C15" s="234"/>
    </row>
    <row r="16" spans="1:3" ht="17" customHeight="1" x14ac:dyDescent="0.2">
      <c r="B16" s="1" t="s">
        <v>166</v>
      </c>
      <c r="C16" s="46">
        <f ca="1">C8/(C8+C7)</f>
        <v>1.6999538333080865E-3</v>
      </c>
    </row>
    <row r="17" spans="2:3" ht="17" customHeight="1" x14ac:dyDescent="0.2">
      <c r="B17" s="1" t="s">
        <v>167</v>
      </c>
      <c r="C17" s="46">
        <f ca="1">C7/(C8+C7)</f>
        <v>0.99830004616669188</v>
      </c>
    </row>
    <row r="18" spans="2:3" ht="17" customHeight="1" x14ac:dyDescent="0.2">
      <c r="B18" s="1" t="s">
        <v>168</v>
      </c>
      <c r="C18" s="46">
        <f>C13*(1-C12)</f>
        <v>4.0289999999999999E-2</v>
      </c>
    </row>
    <row r="19" spans="2:3" ht="17" customHeight="1" x14ac:dyDescent="0.2">
      <c r="B19" s="1" t="s">
        <v>169</v>
      </c>
      <c r="C19" s="46">
        <f ca="1">C9+C10*C11</f>
        <v>0.14351849999999999</v>
      </c>
    </row>
    <row r="20" spans="2:3" ht="17" customHeight="1" x14ac:dyDescent="0.2">
      <c r="B20" s="1" t="s">
        <v>157</v>
      </c>
      <c r="C20" s="46">
        <f ca="1">(C17*C19)+(C16*C18)</f>
        <v>0.14334301631571833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4" t="s">
        <v>105</v>
      </c>
      <c r="D3" s="234"/>
      <c r="E3" s="234"/>
      <c r="F3" s="234"/>
      <c r="G3" s="243"/>
      <c r="H3" s="244" t="s">
        <v>106</v>
      </c>
      <c r="I3" s="234"/>
      <c r="J3" s="234"/>
      <c r="K3" s="234"/>
      <c r="L3" s="234"/>
      <c r="P3" s="245"/>
      <c r="Q3" s="245"/>
      <c r="R3" s="245"/>
      <c r="S3" s="245"/>
      <c r="T3" s="245"/>
      <c r="U3" s="245"/>
      <c r="V3" s="245"/>
      <c r="W3" s="245"/>
      <c r="X3" s="245"/>
      <c r="Y3" s="245"/>
      <c r="Z3" s="245"/>
      <c r="AB3" s="110"/>
    </row>
    <row r="4" spans="1:28" ht="10" customHeight="1" x14ac:dyDescent="0.2"/>
    <row r="5" spans="1:28" ht="16" customHeight="1" x14ac:dyDescent="0.2">
      <c r="A5" s="86"/>
      <c r="B5" s="60"/>
      <c r="C5" s="240" t="s">
        <v>172</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4" t="s">
        <v>176</v>
      </c>
      <c r="C13" s="234"/>
    </row>
    <row r="14" spans="1:28" x14ac:dyDescent="0.2">
      <c r="B14" s="1" t="s">
        <v>177</v>
      </c>
      <c r="C14" s="141">
        <v>2.5000000000000001E-2</v>
      </c>
    </row>
    <row r="15" spans="1:28" x14ac:dyDescent="0.2">
      <c r="B15" s="1" t="s">
        <v>157</v>
      </c>
      <c r="C15" s="136">
        <f>IF(Overview!C28&gt;0,Overview!C28,WACC!C20)</f>
        <v>0.12</v>
      </c>
    </row>
    <row r="18" spans="2:3" x14ac:dyDescent="0.2">
      <c r="B18" s="234" t="s">
        <v>178</v>
      </c>
      <c r="C18" s="234"/>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0" zoomScale="192" zoomScaleNormal="100" workbookViewId="0">
      <selection activeCell="C43" sqref="C4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4" t="s">
        <v>105</v>
      </c>
      <c r="D2" s="234"/>
      <c r="E2" s="234"/>
      <c r="F2" s="234"/>
      <c r="G2" s="243"/>
      <c r="H2" s="244" t="s">
        <v>106</v>
      </c>
      <c r="I2" s="234"/>
      <c r="J2" s="234"/>
      <c r="K2" s="234"/>
      <c r="L2" s="234"/>
    </row>
    <row r="3" spans="1:14" ht="10" customHeight="1" x14ac:dyDescent="0.2"/>
    <row r="4" spans="1:14" ht="16" customHeight="1" x14ac:dyDescent="0.2">
      <c r="A4" s="86"/>
      <c r="B4" s="60"/>
      <c r="C4" s="240" t="s">
        <v>186</v>
      </c>
      <c r="D4" s="240"/>
      <c r="E4" s="240"/>
      <c r="F4" s="240"/>
      <c r="G4" s="240"/>
      <c r="H4" s="240"/>
      <c r="I4" s="240"/>
      <c r="J4" s="240"/>
      <c r="K4" s="240"/>
      <c r="L4" s="240"/>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0" t="s">
        <v>114</v>
      </c>
      <c r="D10" s="240"/>
      <c r="E10" s="240"/>
      <c r="F10" s="240"/>
      <c r="G10" s="240"/>
      <c r="H10" s="240"/>
      <c r="I10" s="240"/>
      <c r="J10" s="240"/>
      <c r="K10" s="240"/>
      <c r="L10" s="240"/>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0" t="s">
        <v>188</v>
      </c>
      <c r="D16" s="240"/>
      <c r="E16" s="240"/>
      <c r="F16" s="240"/>
      <c r="G16" s="240"/>
      <c r="H16" s="240"/>
      <c r="I16" s="240"/>
      <c r="J16" s="240"/>
      <c r="K16" s="240"/>
      <c r="L16" s="240"/>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0" t="s">
        <v>191</v>
      </c>
      <c r="D21" s="240"/>
      <c r="E21" s="240"/>
      <c r="F21" s="240"/>
      <c r="G21" s="240"/>
      <c r="H21" s="240"/>
      <c r="I21" s="240"/>
      <c r="J21" s="240"/>
      <c r="K21" s="240"/>
      <c r="L21" s="240"/>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0" t="s">
        <v>192</v>
      </c>
      <c r="D26" s="240"/>
      <c r="E26" s="240"/>
      <c r="F26" s="240"/>
      <c r="G26" s="240"/>
      <c r="H26" s="240"/>
      <c r="I26" s="240"/>
      <c r="J26" s="240"/>
      <c r="K26" s="240"/>
      <c r="L26" s="240"/>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4" t="s">
        <v>197</v>
      </c>
      <c r="C37" s="234"/>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67</v>
      </c>
      <c r="C43" s="88">
        <f>Statement!AC77</f>
        <v>24305</v>
      </c>
    </row>
    <row r="44" spans="2:14" x14ac:dyDescent="0.2">
      <c r="B44" s="142" t="s">
        <v>201</v>
      </c>
      <c r="C44" s="143">
        <f>C42/C43</f>
        <v>364.31185306105914</v>
      </c>
    </row>
    <row r="46" spans="2:14" x14ac:dyDescent="0.2">
      <c r="B46" s="234" t="s">
        <v>202</v>
      </c>
      <c r="C46" s="234"/>
    </row>
    <row r="47" spans="2:14" x14ac:dyDescent="0.2">
      <c r="B47" s="1" t="s">
        <v>203</v>
      </c>
      <c r="C47" s="64">
        <f>L6</f>
        <v>1256848.3311313502</v>
      </c>
    </row>
    <row r="48" spans="2:14" x14ac:dyDescent="0.2">
      <c r="B48" s="1" t="s">
        <v>388</v>
      </c>
      <c r="C48" s="136">
        <f>Overview!C29</f>
        <v>0.12</v>
      </c>
    </row>
    <row r="49" spans="2:3" x14ac:dyDescent="0.2">
      <c r="B49" s="39" t="s">
        <v>204</v>
      </c>
      <c r="C49" s="105">
        <v>10</v>
      </c>
    </row>
    <row r="50" spans="2:3" x14ac:dyDescent="0.2">
      <c r="B50" s="1" t="s">
        <v>200</v>
      </c>
      <c r="C50" s="24">
        <f>L18</f>
        <v>23429.712685180726</v>
      </c>
    </row>
    <row r="51" spans="2:3" x14ac:dyDescent="0.2">
      <c r="B51" s="1" t="s">
        <v>184</v>
      </c>
      <c r="C51" s="24">
        <f>(C47*C49)/C50</f>
        <v>536.4335226894633</v>
      </c>
    </row>
    <row r="52" spans="2:3" x14ac:dyDescent="0.2">
      <c r="B52" s="142" t="s">
        <v>201</v>
      </c>
      <c r="C52" s="143">
        <f>C51/(1+C48)^5</f>
        <v>304.38678708173404</v>
      </c>
    </row>
    <row r="54" spans="2:3" x14ac:dyDescent="0.2">
      <c r="B54" s="234" t="s">
        <v>319</v>
      </c>
      <c r="C54" s="234"/>
    </row>
    <row r="55" spans="2:3" x14ac:dyDescent="0.2">
      <c r="B55" s="1" t="s">
        <v>205</v>
      </c>
      <c r="C55" s="64">
        <f>L8</f>
        <v>496659.91370982229</v>
      </c>
    </row>
    <row r="56" spans="2:3" x14ac:dyDescent="0.2">
      <c r="B56" s="1" t="s">
        <v>157</v>
      </c>
      <c r="C56" s="136">
        <f>IF(Overview!C28&gt;0,Overview!C28,WACC!C20)</f>
        <v>0.12</v>
      </c>
    </row>
    <row r="57" spans="2:3" x14ac:dyDescent="0.2">
      <c r="B57" s="39" t="s">
        <v>387</v>
      </c>
      <c r="C57" s="105">
        <v>30</v>
      </c>
    </row>
    <row r="58" spans="2:3" x14ac:dyDescent="0.2">
      <c r="B58" s="1" t="s">
        <v>195</v>
      </c>
      <c r="C58" s="24">
        <f>(C55*C57)</f>
        <v>14899797.411294669</v>
      </c>
    </row>
    <row r="59" spans="2:3" x14ac:dyDescent="0.2">
      <c r="B59" s="1" t="s">
        <v>386</v>
      </c>
      <c r="C59" s="24">
        <f>C58/(1+C56)^5-G30+G31</f>
        <v>8508633.1959350575</v>
      </c>
    </row>
    <row r="60" spans="2:3" x14ac:dyDescent="0.2">
      <c r="B60" s="1" t="s">
        <v>67</v>
      </c>
      <c r="C60" s="88">
        <f>Statement!AC77</f>
        <v>24305</v>
      </c>
    </row>
    <row r="61" spans="2:3" x14ac:dyDescent="0.2">
      <c r="B61" s="142" t="s">
        <v>201</v>
      </c>
      <c r="C61" s="143">
        <f>C59/C60</f>
        <v>350.07748183234139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4" t="s">
        <v>207</v>
      </c>
      <c r="C4" s="234"/>
      <c r="N4" s="91"/>
    </row>
    <row r="5" spans="1:14" x14ac:dyDescent="0.2">
      <c r="B5" s="1" t="s">
        <v>208</v>
      </c>
      <c r="C5" s="134">
        <f>DCF!C26</f>
        <v>168.2356845632454</v>
      </c>
    </row>
    <row r="6" spans="1:14" x14ac:dyDescent="0.2">
      <c r="B6" s="1" t="s">
        <v>209</v>
      </c>
      <c r="C6" s="134">
        <f>Multiples!C44</f>
        <v>364.31185306105914</v>
      </c>
    </row>
    <row r="7" spans="1:14" x14ac:dyDescent="0.2">
      <c r="B7" s="1" t="s">
        <v>210</v>
      </c>
      <c r="C7" s="134">
        <f>Multiples!C52</f>
        <v>304.38678708173404</v>
      </c>
    </row>
    <row r="8" spans="1:14" x14ac:dyDescent="0.2">
      <c r="B8" s="1" t="s">
        <v>320</v>
      </c>
      <c r="C8" s="134">
        <f>Multiples!C61</f>
        <v>350.07748183234139</v>
      </c>
    </row>
    <row r="9" spans="1:14" x14ac:dyDescent="0.2">
      <c r="B9" s="142" t="s">
        <v>211</v>
      </c>
      <c r="C9" s="143">
        <f>AVERAGE(C5:C8)</f>
        <v>296.75295163459498</v>
      </c>
    </row>
    <row r="10" spans="1:14" x14ac:dyDescent="0.2">
      <c r="B10" s="1" t="s">
        <v>212</v>
      </c>
      <c r="C10" s="134">
        <f ca="1">Overview!C5</f>
        <v>204.65</v>
      </c>
    </row>
    <row r="11" spans="1:14" x14ac:dyDescent="0.2">
      <c r="B11" s="1" t="s">
        <v>213</v>
      </c>
      <c r="C11" s="155">
        <f ca="1">(C9-C10)/C10</f>
        <v>0.45005107077740031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4" t="s">
        <v>105</v>
      </c>
      <c r="D3" s="234"/>
      <c r="E3" s="234"/>
      <c r="F3" s="234"/>
      <c r="G3" s="243"/>
      <c r="H3" s="244" t="s">
        <v>106</v>
      </c>
      <c r="I3" s="234"/>
      <c r="J3" s="234"/>
      <c r="K3" s="234"/>
      <c r="L3" s="234"/>
      <c r="P3" s="245"/>
      <c r="Q3" s="245"/>
      <c r="R3" s="245"/>
      <c r="S3" s="245"/>
      <c r="T3" s="245"/>
      <c r="U3" s="245"/>
      <c r="V3" s="245"/>
      <c r="W3" s="245"/>
      <c r="X3" s="245"/>
      <c r="Y3" s="245"/>
      <c r="Z3" s="245"/>
      <c r="AB3" s="110"/>
    </row>
    <row r="4" spans="1:28" ht="10" customHeight="1" x14ac:dyDescent="0.2"/>
    <row r="5" spans="1:28" ht="16" customHeight="1" x14ac:dyDescent="0.2">
      <c r="A5" s="86"/>
      <c r="B5" s="60"/>
      <c r="C5" s="240" t="s">
        <v>172</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46" t="s">
        <v>215</v>
      </c>
      <c r="C14" s="247"/>
    </row>
    <row r="15" spans="1:28" x14ac:dyDescent="0.2">
      <c r="B15" s="156" t="s">
        <v>216</v>
      </c>
      <c r="C15" s="157">
        <f ca="1">Overview!C5</f>
        <v>204.65</v>
      </c>
    </row>
    <row r="16" spans="1:28" x14ac:dyDescent="0.2">
      <c r="B16" s="156" t="s">
        <v>217</v>
      </c>
      <c r="C16" s="157">
        <f>C36</f>
        <v>265.64057972229938</v>
      </c>
    </row>
    <row r="17" spans="2:9" ht="17" thickBot="1" x14ac:dyDescent="0.25">
      <c r="B17" s="158" t="s">
        <v>321</v>
      </c>
      <c r="C17" s="159">
        <v>0.55000000000000004</v>
      </c>
      <c r="E17" s="248" t="s">
        <v>218</v>
      </c>
      <c r="F17" s="248"/>
      <c r="G17" s="248"/>
      <c r="H17" s="248"/>
      <c r="I17" s="248"/>
    </row>
    <row r="18" spans="2:9" ht="17" thickBot="1" x14ac:dyDescent="0.25"/>
    <row r="19" spans="2:9" x14ac:dyDescent="0.2">
      <c r="B19" s="246" t="s">
        <v>176</v>
      </c>
      <c r="C19" s="247"/>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4952530</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4880428</v>
      </c>
    </row>
    <row r="27" spans="2:9" ht="17" thickBot="1" x14ac:dyDescent="0.25"/>
    <row r="28" spans="2:9" x14ac:dyDescent="0.2">
      <c r="B28" s="246" t="s">
        <v>178</v>
      </c>
      <c r="C28" s="247"/>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0" t="s">
        <v>221</v>
      </c>
      <c r="D39" s="240"/>
      <c r="E39" s="240"/>
      <c r="F39" s="240"/>
      <c r="G39" s="240"/>
      <c r="H39" s="240"/>
      <c r="I39" s="240"/>
      <c r="J39" s="240"/>
      <c r="K39" s="240"/>
      <c r="L39" s="24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2026-06-17T20:55:23Z</dcterms:modified>
</cp:coreProperties>
</file>