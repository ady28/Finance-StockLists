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09FA6FC-F531-9F43-B4AE-9F84DDA1669F}"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5" i="3" l="1"/>
  <c r="Z105" i="3"/>
  <c r="Y105" i="3"/>
  <c r="X105" i="3"/>
  <c r="W105" i="3"/>
  <c r="V105" i="3"/>
  <c r="U105" i="3"/>
  <c r="T105" i="3"/>
  <c r="Q105" i="3"/>
  <c r="P105" i="3"/>
  <c r="O105" i="3"/>
  <c r="N105" i="3"/>
  <c r="M105" i="3"/>
  <c r="AC33" i="3"/>
  <c r="Q205" i="3"/>
  <c r="P205" i="3"/>
  <c r="O205" i="3"/>
  <c r="N205" i="3"/>
  <c r="Q182" i="3"/>
  <c r="P182" i="3"/>
  <c r="O182" i="3"/>
  <c r="N182" i="3"/>
  <c r="M182" i="3"/>
  <c r="C48" i="12"/>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6" i="3"/>
  <c r="Z196" i="3"/>
  <c r="Y196" i="3"/>
  <c r="X196" i="3"/>
  <c r="W196" i="3"/>
  <c r="V196" i="3"/>
  <c r="U196" i="3"/>
  <c r="T196" i="3"/>
  <c r="Q196" i="3"/>
  <c r="P196" i="3"/>
  <c r="O196" i="3"/>
  <c r="N196" i="3"/>
  <c r="M196" i="3"/>
  <c r="AC189"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0" i="3"/>
  <c r="P200" i="3"/>
  <c r="O200" i="3"/>
  <c r="N200" i="3"/>
  <c r="M200"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5" i="3"/>
  <c r="Y195" i="3"/>
  <c r="X195" i="3"/>
  <c r="W195" i="3"/>
  <c r="V195" i="3"/>
  <c r="U195" i="3"/>
  <c r="T195" i="3"/>
  <c r="Z194" i="3"/>
  <c r="Y194" i="3"/>
  <c r="X194" i="3"/>
  <c r="W194" i="3"/>
  <c r="V194" i="3"/>
  <c r="U194" i="3"/>
  <c r="T194" i="3"/>
  <c r="Z193" i="3"/>
  <c r="Y193" i="3"/>
  <c r="X193" i="3"/>
  <c r="W193" i="3"/>
  <c r="V193" i="3"/>
  <c r="U193" i="3"/>
  <c r="T193"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5" i="3"/>
  <c r="AA194" i="3"/>
  <c r="AA193" i="3"/>
  <c r="G16" i="18"/>
  <c r="F16" i="18"/>
  <c r="D16" i="18"/>
  <c r="C16" i="18"/>
  <c r="G14" i="18"/>
  <c r="F14" i="18"/>
  <c r="D14" i="18"/>
  <c r="C14" i="18"/>
  <c r="G8" i="18"/>
  <c r="F8" i="18"/>
  <c r="D8" i="18"/>
  <c r="C8" i="18"/>
  <c r="G6" i="18"/>
  <c r="F6" i="18"/>
  <c r="D6" i="18"/>
  <c r="C6" i="18"/>
  <c r="G5" i="18"/>
  <c r="G4" i="18"/>
  <c r="F5" i="18"/>
  <c r="F4" i="18"/>
  <c r="D5" i="18"/>
  <c r="D4" i="18"/>
  <c r="C5" i="18"/>
  <c r="C4" i="18"/>
  <c r="O195" i="3"/>
  <c r="N195" i="3"/>
  <c r="M195" i="3"/>
  <c r="O194" i="3"/>
  <c r="N194" i="3"/>
  <c r="M194"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8" i="3"/>
  <c r="AC187" i="3"/>
  <c r="AC186"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O151" i="3" l="1"/>
  <c r="D30" i="12"/>
  <c r="Q206" i="3"/>
  <c r="P206" i="3"/>
  <c r="O206" i="3"/>
  <c r="N206" i="3"/>
  <c r="Q204" i="3"/>
  <c r="P204" i="3"/>
  <c r="O204" i="3"/>
  <c r="N204" i="3"/>
  <c r="AC182"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5" i="3"/>
  <c r="F8" i="5"/>
  <c r="K66" i="19"/>
  <c r="P194" i="3"/>
  <c r="F7" i="5"/>
  <c r="K65" i="19"/>
  <c r="P193" i="3"/>
  <c r="F6" i="5"/>
  <c r="Q195" i="3"/>
  <c r="G8" i="5"/>
  <c r="L66" i="19"/>
  <c r="Q194" i="3"/>
  <c r="G7" i="5"/>
  <c r="H7" i="5" s="1"/>
  <c r="I7" i="5" s="1"/>
  <c r="J7" i="5" s="1"/>
  <c r="K7" i="5" s="1"/>
  <c r="L7" i="5" s="1"/>
  <c r="L65" i="19"/>
  <c r="Q193"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F45" i="7"/>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6" i="1"/>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8" i="1"/>
  <c r="C9" i="1"/>
  <c r="C10" i="1"/>
  <c r="C14" i="1"/>
  <c r="C13" i="1"/>
  <c r="C10" i="10" s="1"/>
  <c r="C12" i="1"/>
  <c r="C11" i="1"/>
  <c r="C7" i="1"/>
  <c r="C6" i="1"/>
  <c r="C5" i="1"/>
  <c r="C10" i="13" s="1"/>
  <c r="C4" i="1"/>
  <c r="E48" i="17" l="1"/>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H6" i="12" l="1"/>
  <c r="H6" i="8"/>
  <c r="H6" i="6"/>
  <c r="H11" i="6" s="1"/>
  <c r="C22" i="11"/>
  <c r="C24" i="14"/>
  <c r="C25" i="11"/>
  <c r="C43" i="12"/>
  <c r="C60"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0"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6"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47" i="12"/>
  <c r="C51" i="12" s="1"/>
  <c r="C52" i="12" s="1"/>
  <c r="C7" i="13" s="1"/>
  <c r="I5" i="1" s="1"/>
  <c r="L12" i="6"/>
  <c r="L13" i="6"/>
  <c r="J14" i="6"/>
  <c r="L11" i="12"/>
  <c r="L17" i="12"/>
  <c r="L22" i="12"/>
  <c r="L27" i="12"/>
  <c r="H7" i="11" l="1"/>
  <c r="H8" i="12"/>
  <c r="H14" i="12" s="1"/>
  <c r="I10" i="8"/>
  <c r="I34" i="8" s="1"/>
  <c r="I35" i="7"/>
  <c r="I22" i="8" s="1"/>
  <c r="K8" i="7"/>
  <c r="L20" i="8"/>
  <c r="K15" i="7"/>
  <c r="J33" i="8"/>
  <c r="J15" i="7"/>
  <c r="J30" i="7" s="1"/>
  <c r="J14" i="7"/>
  <c r="J29" i="7" s="1"/>
  <c r="L28" i="7"/>
  <c r="K28" i="7"/>
  <c r="K20" i="8"/>
  <c r="K44" i="7"/>
  <c r="I47" i="14"/>
  <c r="I49" i="14"/>
  <c r="J42" i="14"/>
  <c r="J46" i="14"/>
  <c r="J44" i="14"/>
  <c r="J48" i="14" s="1"/>
  <c r="K10" i="14"/>
  <c r="K41" i="14"/>
  <c r="L7" i="14"/>
  <c r="J22" i="6"/>
  <c r="J9" i="8"/>
  <c r="J10" i="8" s="1"/>
  <c r="J34" i="8" s="1"/>
  <c r="L44" i="7"/>
  <c r="L14" i="6"/>
  <c r="K14" i="6"/>
  <c r="H10" i="11"/>
  <c r="L8" i="7"/>
  <c r="L7" i="8"/>
  <c r="L8" i="8" s="1"/>
  <c r="L33" i="8" s="1"/>
  <c r="I27" i="8" l="1"/>
  <c r="I7" i="12"/>
  <c r="J27" i="8"/>
  <c r="J35" i="7"/>
  <c r="J22" i="8" s="1"/>
  <c r="K14" i="7"/>
  <c r="J7" i="12"/>
  <c r="K30" i="7"/>
  <c r="L9" i="8"/>
  <c r="L22" i="6"/>
  <c r="J47" i="14"/>
  <c r="J49" i="14"/>
  <c r="K46" i="14"/>
  <c r="K42" i="14"/>
  <c r="K44" i="14"/>
  <c r="K48" i="14" s="1"/>
  <c r="L41" i="14"/>
  <c r="L10" i="14"/>
  <c r="C29" i="14" s="1"/>
  <c r="L8" i="14"/>
  <c r="L11" i="14" s="1"/>
  <c r="C30" i="14" s="1"/>
  <c r="K9" i="8"/>
  <c r="K10" i="8" s="1"/>
  <c r="K22" i="6"/>
  <c r="L14" i="7"/>
  <c r="L15" i="7"/>
  <c r="L30" i="7" s="1"/>
  <c r="K29" i="7" l="1"/>
  <c r="I28" i="8"/>
  <c r="I13" i="12"/>
  <c r="J28" i="8"/>
  <c r="L29" i="7"/>
  <c r="K35" i="7"/>
  <c r="K22" i="8" s="1"/>
  <c r="J13" i="12"/>
  <c r="L10" i="8"/>
  <c r="L34" i="8" s="1"/>
  <c r="K49" i="14"/>
  <c r="K47" i="14"/>
  <c r="L44" i="14"/>
  <c r="L48" i="14" s="1"/>
  <c r="L46" i="14"/>
  <c r="L42" i="14"/>
  <c r="K27" i="8"/>
  <c r="K7" i="12"/>
  <c r="K13" i="12" s="1"/>
  <c r="K34" i="8"/>
  <c r="C31" i="14"/>
  <c r="C34" i="14" s="1"/>
  <c r="C36" i="14" s="1"/>
  <c r="C16" i="14" s="1"/>
  <c r="AC65" i="3"/>
  <c r="L35" i="7" l="1"/>
  <c r="L22" i="8" s="1"/>
  <c r="I7" i="11"/>
  <c r="I10" i="11" s="1"/>
  <c r="I8" i="12"/>
  <c r="J8" i="12"/>
  <c r="J7" i="11"/>
  <c r="J10" i="11" s="1"/>
  <c r="L7" i="12"/>
  <c r="L27" i="8"/>
  <c r="L47" i="14"/>
  <c r="L49" i="14"/>
  <c r="K28" i="8"/>
  <c r="I14" i="12" l="1"/>
  <c r="J14" i="12"/>
  <c r="L13" i="12"/>
  <c r="L28" i="8"/>
  <c r="C38" i="12"/>
  <c r="K7" i="11"/>
  <c r="K10" i="11" s="1"/>
  <c r="K8" i="12"/>
  <c r="L8" i="12" l="1"/>
  <c r="C41" i="12"/>
  <c r="C42" i="12" s="1"/>
  <c r="C44" i="12" s="1"/>
  <c r="C6" i="13" s="1"/>
  <c r="I4" i="1" s="1"/>
  <c r="L7" i="11"/>
  <c r="K14" i="12"/>
  <c r="L8" i="11" l="1"/>
  <c r="L11" i="11" s="1"/>
  <c r="C20" i="11" s="1"/>
  <c r="L10" i="11"/>
  <c r="C19" i="11" s="1"/>
  <c r="L14" i="12"/>
  <c r="C55" i="12"/>
  <c r="C58" i="12" s="1"/>
  <c r="C59" i="12" s="1"/>
  <c r="C61" i="12" s="1"/>
  <c r="C21" i="11" l="1"/>
  <c r="C24" i="11" s="1"/>
  <c r="C26" i="11" s="1"/>
  <c r="C5" i="13" s="1"/>
  <c r="C8" i="13"/>
  <c r="I6" i="1"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<sst xmlns="http://schemas.openxmlformats.org/spreadsheetml/2006/main" count="719" uniqueCount="397">
  <si>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</si>
  <si>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</si>
  <si>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</si>
  <si>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</si>
  <si>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</si>
  <si>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</si>
  <si>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</si>
  <si>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</si>
  <si>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</si>
  <si>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</si>
  <si>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</si>
  <si>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</si>
  <si>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</si>
  <si>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</si>
  <si>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</si>
  <si>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</si>
  <si>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</si>
  <si>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</si>
  <si>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</si>
  <si>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</si>
  <si>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</si>
  <si>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</si>
  <si>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</si>
  <si>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</si>
  <si>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</si>
  <si>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</si>
  <si>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</si>
  <si>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</si>
  <si>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</si>
  <si>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</si>
  <si>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</si>
  <si>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</si>
  <si>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</si>
  <si>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</si>
  <si>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</si>
  <si>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</si>
  <si>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</si>
  <si>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</si>
  <si>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</si>
  <si>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</si>
  <si>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</si>
  <si>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</si>
  <si>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</si>
  <si>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</si>
  <si>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</si>
  <si>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</si>
  <si>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</si>
  <si>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</si>
  <si>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</si>
  <si>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</si>
  <si>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</si>
  <si>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</si>
  <si>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</si>
  <si>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</si>
  <si>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</si>
  <si>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</si>
  <si>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</si>
  <si>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</si>
  <si>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</si>
  <si>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</si>
  <si>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</si>
  <si>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</si>
  <si>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</si>
  <si>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</si>
  <si>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</si>
  <si>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</si>
  <si>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</si>
  <si>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</si>
  <si>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</si>
  <si>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</si>
  <si>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</si>
  <si>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</si>
  <si>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</si>
  <si>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</si>
  <si>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</si>
  <si>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</si>
  <si>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</si>
  <si>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</si>
  <si>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</si>
  <si>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</si>
  <si>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</si>
  <si>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</si>
  <si>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</si>
  <si>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</si>
  <si>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</si>
  <si>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</si>
  <si>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</si>
  <si>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</si>
  <si>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</si>
  <si>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</si>
  <si>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</si>
  <si>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</si>
  <si>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</si>
  <si>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</si>
  <si>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</si>
  <si>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</si>
  <si>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</si>
  <si>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</si>
  <si>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</si>
  <si>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</si>
  <si>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</si>
  <si>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</si>
  <si>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</si>
  <si>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</si>
  <si>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</si>
  <si>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</si>
  <si>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</si>
  <si>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</si>
  <si>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</si>
  <si>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</si>
  <si>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</si>
  <si>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</si>
  <si>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</si>
  <si>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</si>
  <si>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</si>
  <si>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</si>
  <si>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</si>
  <si>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</si>
  <si>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</si>
  <si>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</si>
  <si>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</si>
  <si>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</si>
  <si>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</si>
  <si>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</si>
  <si>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</si>
  <si>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</si>
  <si>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</si>
  <si>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</si>
  <si>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</si>
  <si>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</si>
  <si>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</si>
  <si>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</si>
  <si>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</si>
  <si>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</si>
  <si>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</si>
  <si>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</si>
  <si>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</si>
  <si>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</si>
  <si>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</si>
  <si>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</si>
  <si>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</si>
  <si>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</si>
  <si>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</si>
  <si>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</si>
  <si>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</si>
  <si>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</si>
  <si>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</si>
  <si>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</si>
  <si>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</si>
  <si>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</si>
  <si>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</si>
  <si>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</si>
  <si>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</si>
  <si>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</si>
  <si>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</si>
  <si>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</si>
  <si>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</si>
  <si>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</si>
  <si>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</si>
  <si>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</si>
  <si>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</si>
  <si>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</si>
  <si>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</si>
  <si>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</si>
  <si>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</si>
  <si>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</si>
  <si>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</si>
  <si>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</si>
  <si>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</si>
  <si>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</si>
  <si>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</si>
  <si>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</si>
  <si>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</si>
  <si>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</si>
  <si>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</si>
  <si>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</si>
  <si>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</si>
  <si>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</si>
  <si>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</si>
  <si>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</si>
  <si>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</si>
  <si>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</si>
  <si>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</si>
  <si>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</si>
  <si>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</si>
  <si>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</si>
  <si>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</si>
  <si>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</si>
  <si>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</si>
  <si>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</si>
  <si>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</si>
  <si>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</si>
  <si>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</si>
  <si>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</si>
  <si>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</si>
  <si>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</si>
  <si>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</si>
  <si>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</si>
  <si>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</si>
  <si>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</si>
  <si>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</si>
  <si>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</si>
  <si>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</si>
  <si>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</si>
  <si>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</si>
  <si>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</si>
  <si>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</si>
  <si>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</si>
  <si>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</si>
  <si>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</si>
  <si>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</si>
  <si>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</si>
  <si>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</si>
  <si>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</si>
  <si>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</si>
  <si>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</si>
  <si>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</si>
  <si>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</si>
  <si>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</si>
  <si>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</si>
  <si>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</si>
  <si>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</si>
  <si>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</si>
  <si>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</si>
  <si>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</si>
  <si>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</si>
  <si>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</si>
  <si>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</si>
  <si>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</si>
  <si>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</si>
  <si>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</si>
  <si>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</si>
  <si>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</si>
  <si>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</si>
  <si>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</si>
  <si>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</si>
  <si>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</si>
  <si>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</si>
  <si>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</si>
  <si>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</si>
  <si>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</si>
  <si>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</si>
  <si>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</si>
  <si>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</si>
  <si>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</si>
  <si>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</si>
  <si>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</si>
  <si>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</si>
  <si>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</si>
  <si>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</si>
  <si>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</si>
  <si>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</si>
  <si>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</si>
  <si>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</si>
  <si>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</si>
  <si>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</si>
  <si>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</si>
  <si>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</si>
  <si>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</si>
  <si>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</si>
  <si>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</si>
  <si>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</si>
  <si>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</si>
  <si>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</si>
  <si>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</si>
  <si>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</si>
  <si>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</si>
  <si>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</si>
  <si>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</si>
  <si>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</si>
  <si>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</si>
  <si>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</si>
  <si>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</si>
  <si>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</si>
  <si>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</si>
  <si>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</si>
  <si>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</si>
  <si>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</si>
  <si>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</si>
  <si>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</si>
  <si>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</si>
  <si>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</si>
  <si>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</si>
  <si>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</si>
  <si>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</si>
  <si>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</si>
  <si>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</si>
  <si>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</si>
  <si>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</si>
  <si>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</si>
  <si>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</si>
  <si>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</si>
  <si>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</si>
  <si>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</si>
  <si>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</si>
  <si>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</si>
  <si>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</si>
  <si>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</si>
  <si>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</si>
  <si>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</si>
  <si>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</si>
  <si>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</si>
  <si>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</si>
  <si>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</si>
  <si>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</si>
  <si>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</si>
  <si>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</si>
  <si>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</si>
  <si>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</si>
  <si>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</si>
  <si>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</si>
  <si>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</si>
  <si>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</si>
  <si>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</si>
  <si>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</si>
  <si>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</si>
  <si>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</si>
  <si>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</si>
  <si>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</si>
  <si>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</si>
  <si>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</si>
  <si>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</si>
  <si>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</si>
  <si>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</si>
  <si>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</si>
  <si>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</si>
  <si>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</si>
  <si>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</si>
  <si>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</si>
  <si>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</si>
  <si>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</si>
  <si>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</si>
  <si>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</si>
  <si>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</si>
  <si>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</si>
  <si>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</si>
  <si>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</si>
  <si>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</si>
  <si>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</si>
  <si>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</si>
  <si>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</si>
  <si>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</si>
  <si>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</si>
  <si>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</si>
  <si>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</si>
  <si>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</si>
  <si>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</si>
  <si>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</si>
  <si>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</si>
  <si>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</si>
  <si>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</si>
  <si>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</si>
  <si>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</si>
  <si>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</si>
  <si>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</si>
  <si>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</si>
  <si>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</si>
  <si>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</si>
  <si>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</si>
  <si>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</si>
  <si>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</si>
  <si>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</si>
  <si>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</si>
  <si>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</si>
  <si>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</si>
  <si>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</si>
  <si>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</si>
  <si>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</si>
  <si>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</si>
  <si>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</si>
  <si>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</si>
  <si>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</si>
  <si>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</si>
  <si>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</si>
  <si>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</si>
  <si>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</si>
  <si>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</si>
  <si>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</si>
  <si>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</si>
  <si>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</si>
  <si>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</si>
  <si>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</si>
  <si>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</si>
  <si>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</si>
  <si>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</si>
  <si>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</si>
  <si>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</si>
  <si>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</si>
  <si>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</si>
  <si>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</si>
  <si>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</si>
  <si>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Capital intensity</t>
  </si>
  <si>
    <t>Common size growth rates</t>
  </si>
  <si>
    <t>Price 5y</t>
  </si>
  <si>
    <t>Revenue 5y</t>
  </si>
  <si>
    <t>EPS 5y</t>
  </si>
  <si>
    <t>Marketable securities and investments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</si>
</sst>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140.85499999999999</v>
    <v>2.1970999999999998</v>
    <v>-7.77</v>
    <v>-3.7322000000000001E-2</v>
    <v>-0.40039999999999998</v>
    <v>-1.9980000000000002E-3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207.22</v>
    <v>Semiconductors &amp; Semiconductor Equipment</v>
    <v>Stock</v>
    <v>46183.899640010939</v>
    <v>0</v>
    <v>199.92</v>
    <v>4850164000000</v>
    <v>NVIDIA CORPORATION</v>
    <v>NVIDIA CORPORATION</v>
    <v>204.43</v>
    <v>30.6922</v>
    <v>208.19</v>
    <v>200.42</v>
    <v>200.0196</v>
    <v>24200000000</v>
    <v>NVDA</v>
    <v>NVIDIA CORPORATION (XNAS:NVDA)</v>
    <v>160202862</v>
    <v>173838363</v>
    <v>1998</v>
  </rv>
  <rv s="2">
    <v>1</v>
  </rv>
  <rv s="0">
    <v>https://www.bing.com/financeapi/forcetrigger?t=a33knm&amp;q=10+Y+TSY+YLD+NDX&amp;form=skydnc</v>
    <v>Learn more on Bing</v>
  </rv>
  <rv s="3">
    <v>5</v>
    <v>10 Y TSY YLD NDX</v>
    <v>6</v>
    <v>7</v>
    <v>Finance</v>
    <v>8</v>
    <v>en-US</v>
    <v>a33knm</v>
    <v>268435456</v>
    <v>1</v>
    <v>Powered by Refinitiv</v>
    <v>46.87</v>
    <v>39.47</v>
    <v>-0.24</v>
    <v>-5.2719999999999998E-3</v>
    <v>US</v>
    <v>45.56</v>
    <v>Index</v>
    <v>3</v>
    <v>45.2</v>
    <v>10 Y TSY YLD NDX</v>
    <v>45.46</v>
    <v>45.52</v>
    <v>45.28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9"/>
  <sheetViews>
    <sheetView zoomScale="160" zoomScaleNormal="160" workbookViewId="0">
      <selection activeCell="E29" sqref="E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285</v>
      </c>
      <c r="F2" s="233"/>
      <c r="H2" s="232" t="s">
        <v>326</v>
      </c>
      <c r="I2" s="233"/>
    </row>
    <row r="3" spans="2:9" x14ac:dyDescent="0.2">
      <c r="B3" s="187" t="s">
        <v>11</v>
      </c>
      <c r="C3" s="219" t="e" vm="1">
        <v>#VALUE!</v>
      </c>
      <c r="D3" s="2"/>
      <c r="E3" s="187" t="s">
        <v>237</v>
      </c>
      <c r="F3" s="189">
        <f ca="1">Statement!AC155</f>
        <v>4871208.0999999996</v>
      </c>
      <c r="H3" s="187" t="str">
        <f>'AVG target price'!B5</f>
        <v>DCF price</v>
      </c>
      <c r="I3" s="213">
        <f ca="1">'AVG target price'!C5</f>
        <v>130.18726406227856</v>
      </c>
    </row>
    <row r="4" spans="2:9" x14ac:dyDescent="0.2">
      <c r="B4" s="187" t="s">
        <v>0</v>
      </c>
      <c r="C4" s="191" t="str" cm="1">
        <f t="array" aca="1" ref="C4" ca="1">_FV(C3,"Ticker symbol",TRUE)</f>
        <v>NVDA</v>
      </c>
      <c r="E4" s="188" t="s">
        <v>181</v>
      </c>
      <c r="F4" s="190">
        <f ca="1">Statement!AC156</f>
        <v>4799106.0999999996</v>
      </c>
      <c r="H4" s="187" t="str">
        <f>'AVG target price'!B6</f>
        <v>EV/EBIT price</v>
      </c>
      <c r="I4" s="213">
        <f ca="1">'AVG target price'!C6</f>
        <v>327.93509371975153</v>
      </c>
    </row>
    <row r="5" spans="2:9" x14ac:dyDescent="0.2">
      <c r="B5" s="187" t="s">
        <v>1</v>
      </c>
      <c r="C5" s="210" cm="1">
        <f t="array" aca="1" ref="C5" ca="1">_FV(C3,"Price",TRUE)</f>
        <v>200.42</v>
      </c>
      <c r="E5" s="187" t="s">
        <v>241</v>
      </c>
      <c r="F5" s="191">
        <f>Statement!AC25</f>
        <v>6.5299999999999994</v>
      </c>
      <c r="H5" s="187" t="str">
        <f>'AVG target price'!B7</f>
        <v>PS price</v>
      </c>
      <c r="I5" s="213">
        <f>'AVG target price'!C7</f>
        <v>304.38678708173404</v>
      </c>
    </row>
    <row r="6" spans="2:9" x14ac:dyDescent="0.2">
      <c r="B6" s="187" t="s">
        <v>2</v>
      </c>
      <c r="C6" s="210" cm="1">
        <f t="array" aca="1" ref="C6" ca="1">_FV(C3,"Price (Extended hours)",TRUE)</f>
        <v>200.0196</v>
      </c>
      <c r="E6" s="187" t="s">
        <v>235</v>
      </c>
      <c r="F6" s="192">
        <f ca="1">Statement!AC152</f>
        <v>30.69218989280245</v>
      </c>
      <c r="H6" s="187" t="str">
        <f>'AVG target price'!B8</f>
        <v>EV/FCFF price</v>
      </c>
      <c r="I6" s="213">
        <f ca="1">'AVG target price'!C8</f>
        <v>315.13076846974371</v>
      </c>
    </row>
    <row r="7" spans="2:9" x14ac:dyDescent="0.2">
      <c r="B7" s="187" t="s">
        <v>3</v>
      </c>
      <c r="C7" s="6" cm="1">
        <f t="array" aca="1" ref="C7" ca="1">_FV(C3,"Change")</f>
        <v>-7.77</v>
      </c>
      <c r="E7" s="188" t="s">
        <v>194</v>
      </c>
      <c r="F7" s="193">
        <f ca="1">Statement!AC153</f>
        <v>19.338647092007211</v>
      </c>
      <c r="H7" s="186" t="str">
        <f>'AVG target price'!B9</f>
        <v>AVG price</v>
      </c>
      <c r="I7" s="214">
        <f ca="1">'AVG target price'!C9</f>
        <v>269.40997833337696</v>
      </c>
    </row>
    <row r="8" spans="2:9" x14ac:dyDescent="0.2">
      <c r="B8" s="187" t="s">
        <v>4</v>
      </c>
      <c r="C8" s="6" cm="1">
        <f t="array" aca="1" ref="C8" ca="1">_FV(C3,"Change (extended hours)",TRUE)</f>
        <v>-0.40039999999999998</v>
      </c>
      <c r="E8" s="187" t="s">
        <v>263</v>
      </c>
      <c r="F8" s="194">
        <f ca="1">Statement!AC163</f>
        <v>2.3040896158798882E-2</v>
      </c>
      <c r="H8" s="186" t="str">
        <f>'AVG target price'!B11</f>
        <v>Upside/Downside</v>
      </c>
      <c r="I8" s="215">
        <f ca="1">'AVG target price'!C11</f>
        <v>0.34422701493552027</v>
      </c>
    </row>
    <row r="9" spans="2:9" x14ac:dyDescent="0.2">
      <c r="B9" s="187" t="s">
        <v>5</v>
      </c>
      <c r="C9" s="73" cm="1">
        <f t="array" aca="1" ref="C9" ca="1">_FV(C3,"Change (%)",TRUE)</f>
        <v>-3.7322000000000001E-2</v>
      </c>
      <c r="E9" s="187" t="s">
        <v>286</v>
      </c>
      <c r="F9" s="194">
        <f ca="1">Statement!AC164</f>
        <v>3.2581578684761997E-2</v>
      </c>
    </row>
    <row r="10" spans="2:9" x14ac:dyDescent="0.2">
      <c r="B10" s="187" t="s">
        <v>6</v>
      </c>
      <c r="C10" s="73" cm="1">
        <f t="array" aca="1" ref="C10" ca="1">_FV(C3,"Change % (extended hours)",TRUE)</f>
        <v>-1.9980000000000002E-3</v>
      </c>
      <c r="E10" s="187" t="s">
        <v>291</v>
      </c>
      <c r="F10" s="194">
        <f ca="1">Statement!AC166</f>
        <v>9.300362265369037E-3</v>
      </c>
    </row>
    <row r="11" spans="2:9" x14ac:dyDescent="0.2">
      <c r="B11" s="187" t="s">
        <v>7</v>
      </c>
      <c r="C11" s="211" cm="1">
        <f t="array" aca="1" ref="C11" ca="1">_FV(C3,"52 week high",TRUE)</f>
        <v>236.54</v>
      </c>
      <c r="E11" s="188" t="s">
        <v>287</v>
      </c>
      <c r="F11" s="195">
        <f ca="1">Statement!AC165</f>
        <v>1.9958088015168147E-4</v>
      </c>
    </row>
    <row r="12" spans="2:9" x14ac:dyDescent="0.2">
      <c r="B12" s="187" t="s">
        <v>8</v>
      </c>
      <c r="C12" s="211" cm="1">
        <f t="array" aca="1" ref="C12" ca="1">_FV(C3,"52 week low",TRUE)</f>
        <v>140.85499999999999</v>
      </c>
      <c r="E12" s="187" t="s">
        <v>94</v>
      </c>
      <c r="F12" s="194">
        <f>Statement!AC121</f>
        <v>0.61514063066049007</v>
      </c>
    </row>
    <row r="13" spans="2:9" x14ac:dyDescent="0.2">
      <c r="B13" s="187" t="s">
        <v>9</v>
      </c>
      <c r="C13" s="211" cm="1">
        <f t="array" aca="1" ref="C13" ca="1">_FV(C3,"Beta")</f>
        <v>2.1970999999999998</v>
      </c>
      <c r="E13" s="187" t="s">
        <v>96</v>
      </c>
      <c r="F13" s="194">
        <f>Statement!AC123</f>
        <v>0.81654337661274645</v>
      </c>
    </row>
    <row r="14" spans="2:9" x14ac:dyDescent="0.2">
      <c r="B14" s="188" t="s">
        <v>10</v>
      </c>
      <c r="C14" s="212" cm="1">
        <f t="array" aca="1" ref="C14" ca="1">_FV(C3,"Volume average",TRUE)</f>
        <v>173838363</v>
      </c>
      <c r="E14" s="188" t="s">
        <v>97</v>
      </c>
      <c r="F14" s="195">
        <f>Statement!AC142</f>
        <v>1.1082908941558067</v>
      </c>
    </row>
    <row r="15" spans="2:9" x14ac:dyDescent="0.2">
      <c r="E15" s="187" t="s">
        <v>288</v>
      </c>
      <c r="F15" s="194">
        <f ca="1">Statement!AC178</f>
        <v>1.4801666962247006E-2</v>
      </c>
    </row>
    <row r="16" spans="2:9" x14ac:dyDescent="0.2">
      <c r="E16" s="188" t="s">
        <v>293</v>
      </c>
      <c r="F16" s="193">
        <f>Statement!AC177</f>
        <v>2.9794214876033056</v>
      </c>
    </row>
    <row r="17" spans="2:9" x14ac:dyDescent="0.2">
      <c r="B17" s="234" t="s">
        <v>83</v>
      </c>
      <c r="C17" s="234"/>
      <c r="E17" s="186" t="s">
        <v>294</v>
      </c>
      <c r="F17" s="196">
        <f>Statement!AC173</f>
        <v>3.9374614276897757E-2</v>
      </c>
    </row>
    <row r="18" spans="2:9" x14ac:dyDescent="0.2">
      <c r="B18" s="186" t="s">
        <v>12</v>
      </c>
      <c r="C18" s="69" t="s">
        <v>344</v>
      </c>
      <c r="E18" s="187" t="s">
        <v>295</v>
      </c>
      <c r="F18" s="192">
        <f>Statement!AC146</f>
        <v>129.34693643390989</v>
      </c>
      <c r="I18" s="50"/>
    </row>
    <row r="19" spans="2:9" x14ac:dyDescent="0.2">
      <c r="B19" s="186" t="s">
        <v>13</v>
      </c>
      <c r="C19" s="70">
        <v>1000000</v>
      </c>
      <c r="E19" s="187" t="s">
        <v>256</v>
      </c>
      <c r="F19" s="192">
        <f>Statement!AC148</f>
        <v>-0.36885723932594616</v>
      </c>
    </row>
    <row r="20" spans="2:9" x14ac:dyDescent="0.2">
      <c r="B20" s="186" t="s">
        <v>84</v>
      </c>
      <c r="C20" s="69" t="s">
        <v>351</v>
      </c>
      <c r="E20" s="188" t="s">
        <v>296</v>
      </c>
      <c r="F20" s="193">
        <f>Statement!AC149</f>
        <v>2.7636951964269438</v>
      </c>
    </row>
    <row r="21" spans="2:9" x14ac:dyDescent="0.2">
      <c r="B21" s="186" t="s">
        <v>85</v>
      </c>
      <c r="C21" s="69" t="s">
        <v>86</v>
      </c>
      <c r="I21" s="50"/>
    </row>
    <row r="22" spans="2:9" x14ac:dyDescent="0.2">
      <c r="B22" s="186" t="s">
        <v>87</v>
      </c>
      <c r="C22" s="69" t="s">
        <v>351</v>
      </c>
    </row>
    <row r="25" spans="2:9" x14ac:dyDescent="0.2">
      <c r="B25" s="234" t="s">
        <v>99</v>
      </c>
      <c r="C25" s="234"/>
      <c r="E25" s="232" t="s">
        <v>341</v>
      </c>
      <c r="F25" s="233"/>
    </row>
    <row r="26" spans="2:9" x14ac:dyDescent="0.2">
      <c r="B26" s="186" t="s">
        <v>100</v>
      </c>
      <c r="C26" s="171">
        <v>0.21</v>
      </c>
      <c r="E26" s="187" t="e" vm="2">
        <v>#VALUE!</v>
      </c>
      <c r="F26" s="222" cm="1">
        <f t="array" aca="1" ref="F26" ca="1">_FV(E26,"Price")</f>
        <v>45.28</v>
      </c>
    </row>
    <row r="27" spans="2:9" x14ac:dyDescent="0.2">
      <c r="B27" s="186" t="s">
        <v>165</v>
      </c>
      <c r="C27" s="224">
        <v>5.0999999999999997E-2</v>
      </c>
      <c r="E27" s="188" t="s">
        <v>342</v>
      </c>
      <c r="F27" s="223">
        <f ca="1">F26/1000</f>
        <v>4.5280000000000001E-2</v>
      </c>
    </row>
    <row r="28" spans="2:9" x14ac:dyDescent="0.2">
      <c r="B28" s="186" t="s">
        <v>390</v>
      </c>
      <c r="C28" s="224">
        <v>0</v>
      </c>
    </row>
    <row r="29" spans="2:9" x14ac:dyDescent="0.2">
      <c r="B29" s="186" t="s">
        <v>389</v>
      </c>
      <c r="C29" s="224">
        <v>0.12</v>
      </c>
    </row>
    <row r="33" spans="2:8" x14ac:dyDescent="0.2">
      <c r="B33" s="231" t="s">
        <v>336</v>
      </c>
      <c r="C33" s="231"/>
      <c r="D33" s="231"/>
      <c r="E33" s="231"/>
      <c r="F33" s="231"/>
      <c r="G33" s="231"/>
      <c r="H33" s="231"/>
    </row>
    <row r="35" spans="2:8" x14ac:dyDescent="0.2">
      <c r="B35" s="16" t="s">
        <v>337</v>
      </c>
      <c r="C35" s="1" t="s">
        <v>381</v>
      </c>
    </row>
    <row r="36" spans="2:8" x14ac:dyDescent="0.2">
      <c r="B36" s="16" t="s">
        <v>338</v>
      </c>
      <c r="C36" s="1" t="s">
        <v>380</v>
      </c>
    </row>
    <row r="39" spans="2:8" ht="6" customHeight="1" x14ac:dyDescent="0.2">
      <c r="B39" s="231"/>
      <c r="C39" s="231"/>
      <c r="D39" s="231"/>
      <c r="E39" s="231"/>
      <c r="F39" s="231"/>
      <c r="G39" s="231"/>
      <c r="H39" s="231"/>
    </row>
    <row r="42" spans="2:8" x14ac:dyDescent="0.2">
      <c r="B42" s="231" t="s">
        <v>339</v>
      </c>
      <c r="C42" s="231"/>
      <c r="D42" s="231"/>
      <c r="E42" s="231"/>
      <c r="F42" s="231"/>
      <c r="G42" s="231"/>
      <c r="H42" s="231"/>
    </row>
    <row r="44" spans="2:8" x14ac:dyDescent="0.2">
      <c r="B44" s="41" t="s">
        <v>340</v>
      </c>
      <c r="C44" s="41" t="s">
        <v>327</v>
      </c>
      <c r="D44" s="41" t="s">
        <v>328</v>
      </c>
      <c r="E44" s="220"/>
    </row>
    <row r="49" spans="2:8" ht="5" customHeight="1" x14ac:dyDescent="0.2">
      <c r="B49" s="231"/>
      <c r="C49" s="231"/>
      <c r="D49" s="231"/>
      <c r="E49" s="231"/>
      <c r="F49" s="231"/>
      <c r="G49" s="231"/>
      <c r="H49" s="231"/>
    </row>
  </sheetData>
  <mergeCells count="10">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tabSelected="1" zoomScale="170" zoomScaleNormal="150" workbookViewId="0">
      <pane xSplit="2" ySplit="3" topLeftCell="N28" activePane="bottomRight" state="frozen"/>
      <selection pane="topRight" activeCell="C1" sqref="C1"/>
      <selection pane="bottomLeft" activeCell="A4" sqref="A4"/>
      <selection pane="bottomRight" activeCell="T105" sqref="T105:AA105"/>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350</v>
      </c>
      <c r="N2" s="10" t="s">
        <v>349</v>
      </c>
      <c r="O2" s="10" t="s">
        <v>347</v>
      </c>
      <c r="P2" s="10" t="s">
        <v>346</v>
      </c>
      <c r="Q2" s="10" t="s">
        <v>345</v>
      </c>
      <c r="R2" s="7"/>
      <c r="S2" s="7"/>
      <c r="T2" s="10" t="s">
        <v>363</v>
      </c>
      <c r="U2" s="10" t="s">
        <v>359</v>
      </c>
      <c r="V2" s="10" t="s">
        <v>346</v>
      </c>
      <c r="W2" s="10" t="s">
        <v>353</v>
      </c>
      <c r="X2" s="10" t="s">
        <v>361</v>
      </c>
      <c r="Y2" s="10" t="s">
        <v>357</v>
      </c>
      <c r="Z2" s="10" t="s">
        <v>345</v>
      </c>
      <c r="AA2" s="10" t="s">
        <v>352</v>
      </c>
      <c r="AB2" s="7"/>
      <c r="AD2" s="7"/>
      <c r="AE2" s="7"/>
    </row>
    <row r="3" spans="1:31" s="13" customFormat="1" x14ac:dyDescent="0.2">
      <c r="A3" s="11"/>
      <c r="B3" s="12" t="s">
        <v>16</v>
      </c>
      <c r="M3" s="13">
        <v>2022</v>
      </c>
      <c r="N3" s="13">
        <v>2023</v>
      </c>
      <c r="O3" s="13">
        <v>2024</v>
      </c>
      <c r="P3" s="13">
        <v>2025</v>
      </c>
      <c r="Q3" s="13">
        <v>2026</v>
      </c>
      <c r="R3" s="11"/>
      <c r="S3" s="11"/>
      <c r="T3" s="10" t="s">
        <v>364</v>
      </c>
      <c r="U3" s="10" t="s">
        <v>360</v>
      </c>
      <c r="V3" s="10" t="s">
        <v>356</v>
      </c>
      <c r="W3" s="10" t="s">
        <v>354</v>
      </c>
      <c r="X3" s="10" t="s">
        <v>362</v>
      </c>
      <c r="Y3" s="10" t="s">
        <v>358</v>
      </c>
      <c r="Z3" s="10" t="s">
        <v>355</v>
      </c>
      <c r="AA3" s="10" t="s">
        <v>328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348</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396</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162</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162</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334</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282</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232</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233</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234</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273</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274</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348</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171</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162</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155</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297</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330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200.42</v>
      </c>
    </row>
    <row r="115" spans="1:31" x14ac:dyDescent="0.2">
      <c r="B115" s="20" t="s">
        <v>343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200.42</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226</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227</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228</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229</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179</v>
      </c>
      <c r="C130" s="49"/>
      <c r="D130" s="49"/>
      <c r="E130" s="49"/>
      <c r="F130" s="49"/>
      <c r="G130" s="49"/>
      <c r="H130" s="49"/>
      <c r="I130" s="49"/>
      <c r="J130" s="49"/>
      <c r="K130" s="49"/>
      <c r="L130" s="49"/>
      <c r="M130" s="49"/>
      <c r="N130" s="49"/>
      <c r="O130" s="49"/>
      <c r="P130" s="49"/>
      <c r="Q130" s="49"/>
      <c r="T130" s="173" t="str">
        <f t="shared" ref="T130:AA130" si="71">IF(T129&gt;T128, "BEAT", IF(T129&lt;T127, "MISSED", "MET"))</f>
        <v>BEAT</v>
      </c>
      <c r="U130" s="173" t="str">
        <f t="shared" si="71"/>
        <v>BEAT</v>
      </c>
      <c r="V130" s="173" t="str">
        <f t="shared" si="71"/>
        <v>BEAT</v>
      </c>
      <c r="W130" s="173" t="str">
        <f t="shared" si="71"/>
        <v>BEAT</v>
      </c>
      <c r="X130" s="173" t="str">
        <f t="shared" si="71"/>
        <v>BEAT</v>
      </c>
      <c r="Y130" s="173" t="str">
        <f t="shared" si="71"/>
        <v>BEAT</v>
      </c>
      <c r="Z130" s="173" t="str">
        <f t="shared" si="71"/>
        <v>BEAT</v>
      </c>
      <c r="AA130" s="173" t="str">
        <f t="shared" si="71"/>
        <v>MISSED</v>
      </c>
      <c r="AC130" s="49"/>
    </row>
    <row r="131" spans="2:29" x14ac:dyDescent="0.2">
      <c r="B131" s="20" t="s">
        <v>365</v>
      </c>
      <c r="C131" s="49"/>
      <c r="D131" s="49"/>
      <c r="E131" s="49"/>
      <c r="F131" s="49"/>
      <c r="G131" s="49"/>
      <c r="H131" s="49"/>
      <c r="I131" s="49"/>
      <c r="J131" s="49"/>
      <c r="K131" s="49"/>
      <c r="L131" s="49"/>
      <c r="M131" s="49"/>
      <c r="N131" s="49"/>
      <c r="O131" s="49"/>
      <c r="P131" s="49"/>
      <c r="Q131" s="49"/>
      <c r="T131" s="225">
        <v>0.73899999999999999</v>
      </c>
      <c r="U131" s="225">
        <v>0.72499999999999998</v>
      </c>
      <c r="V131" s="225">
        <v>0.70099999999999996</v>
      </c>
      <c r="W131" s="225">
        <v>0.71299999999999997</v>
      </c>
      <c r="X131" s="225">
        <v>0.72799999999999998</v>
      </c>
      <c r="Y131" s="225">
        <v>0.74299999999999999</v>
      </c>
      <c r="Z131" s="225">
        <v>0.745</v>
      </c>
      <c r="AA131" s="225">
        <v>0.745</v>
      </c>
      <c r="AC131" s="49"/>
    </row>
    <row r="132" spans="2:29" x14ac:dyDescent="0.2">
      <c r="B132" s="20" t="s">
        <v>366</v>
      </c>
      <c r="C132" s="49"/>
      <c r="D132" s="49"/>
      <c r="E132" s="49"/>
      <c r="F132" s="49"/>
      <c r="G132" s="49"/>
      <c r="H132" s="49"/>
      <c r="I132" s="49"/>
      <c r="J132" s="49"/>
      <c r="K132" s="49"/>
      <c r="L132" s="49"/>
      <c r="M132" s="49"/>
      <c r="N132" s="49"/>
      <c r="O132" s="49"/>
      <c r="P132" s="49"/>
      <c r="Q132" s="49"/>
      <c r="T132" s="225">
        <v>0.749</v>
      </c>
      <c r="U132" s="225">
        <v>0.73499999999999999</v>
      </c>
      <c r="V132" s="225">
        <v>0.71099999999999997</v>
      </c>
      <c r="W132" s="225">
        <v>0.72299999999999998</v>
      </c>
      <c r="X132" s="225">
        <v>0.73799999999999999</v>
      </c>
      <c r="Y132" s="225">
        <v>0.754</v>
      </c>
      <c r="Z132" s="225">
        <v>0.754</v>
      </c>
      <c r="AA132" s="225">
        <v>0.754</v>
      </c>
      <c r="AC132" s="49"/>
    </row>
    <row r="133" spans="2:29" x14ac:dyDescent="0.2">
      <c r="B133" s="20" t="s">
        <v>367</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179</v>
      </c>
      <c r="C134" s="49"/>
      <c r="D134" s="49"/>
      <c r="E134" s="49"/>
      <c r="F134" s="49"/>
      <c r="G134" s="49"/>
      <c r="H134" s="49"/>
      <c r="I134" s="49"/>
      <c r="J134" s="49"/>
      <c r="K134" s="49"/>
      <c r="L134" s="49"/>
      <c r="M134" s="49"/>
      <c r="N134" s="49"/>
      <c r="O134" s="49"/>
      <c r="P134" s="49"/>
      <c r="Q134" s="49"/>
      <c r="T134" s="173" t="str">
        <f t="shared" ref="T134:AA134" si="73">IF(T133&gt;T132, "BEAT", IF(T133&lt;T131, "MISSED", "MET"))</f>
        <v>MET</v>
      </c>
      <c r="U134" s="173" t="str">
        <f t="shared" si="73"/>
        <v>MET</v>
      </c>
      <c r="V134" s="173" t="str">
        <f t="shared" si="73"/>
        <v>MISSED</v>
      </c>
      <c r="W134" s="173" t="str">
        <f t="shared" si="73"/>
        <v>BEAT</v>
      </c>
      <c r="X134" s="173" t="str">
        <f t="shared" si="73"/>
        <v>MET</v>
      </c>
      <c r="Y134" s="173" t="str">
        <f t="shared" si="73"/>
        <v>MET</v>
      </c>
      <c r="Z134" s="173" t="str">
        <f t="shared" si="73"/>
        <v>MET</v>
      </c>
      <c r="AA134" s="173" t="str">
        <f t="shared" si="73"/>
        <v>MISSED</v>
      </c>
      <c r="AC134" s="49"/>
    </row>
    <row r="135" spans="2:29" x14ac:dyDescent="0.2">
      <c r="B135" s="20" t="s">
        <v>368</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369</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370</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179</v>
      </c>
      <c r="C138" s="49"/>
      <c r="D138" s="49"/>
      <c r="E138" s="49"/>
      <c r="F138" s="49"/>
      <c r="G138" s="49"/>
      <c r="H138" s="49"/>
      <c r="I138" s="49"/>
      <c r="J138" s="49"/>
      <c r="K138" s="49"/>
      <c r="L138" s="49"/>
      <c r="M138" s="49"/>
      <c r="N138" s="49"/>
      <c r="O138" s="49"/>
      <c r="P138" s="49"/>
      <c r="Q138" s="49"/>
      <c r="T138" s="173" t="str">
        <f t="shared" ref="T138:AA138" si="75">IF(T137&gt;T136, "BEAT", IF(T137&lt;T135, "MISSED", "MET"))</f>
        <v>MISSED</v>
      </c>
      <c r="U138" s="173" t="str">
        <f t="shared" si="75"/>
        <v>MISSED</v>
      </c>
      <c r="V138" s="173" t="str">
        <f t="shared" si="75"/>
        <v>MISSED</v>
      </c>
      <c r="W138" s="173" t="str">
        <f t="shared" si="75"/>
        <v>MISSED</v>
      </c>
      <c r="X138" s="173" t="str">
        <f t="shared" si="75"/>
        <v>MISSED</v>
      </c>
      <c r="Y138" s="173" t="str">
        <f t="shared" si="75"/>
        <v>BEAT</v>
      </c>
      <c r="Z138" s="173" t="str">
        <f t="shared" si="75"/>
        <v>MISSED</v>
      </c>
      <c r="AA138" s="173" t="str">
        <f t="shared" si="75"/>
        <v>MISSED</v>
      </c>
      <c r="AC138" s="49"/>
    </row>
    <row r="140" spans="2:29" x14ac:dyDescent="0.2">
      <c r="B140" s="1"/>
    </row>
    <row r="141" spans="2:29" ht="17" thickBot="1" x14ac:dyDescent="0.25">
      <c r="B141" s="14" t="s">
        <v>246</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249</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253</v>
      </c>
      <c r="M148" s="181">
        <f>(M106-M105)/M48</f>
        <v>-0.38561551179918835</v>
      </c>
      <c r="N148" s="181">
        <f>(N106-N105)/N48</f>
        <v>-0.10601330256549478</v>
      </c>
      <c r="O148" s="181">
        <f>(O106-O105)/O48</f>
        <v>-0.37868211643166272</v>
      </c>
      <c r="P148" s="181">
        <f>(P106-P105)/P48</f>
        <v>-0.43802236312982967</v>
      </c>
      <c r="Q148" s="181">
        <f>(Q106-Q105)/Q48</f>
        <v>-0.34386781357085183</v>
      </c>
      <c r="T148" s="181">
        <f t="shared" ref="T148:AA148" si="90">(T106-T105)/T48</f>
        <v>-0.45289475041697475</v>
      </c>
      <c r="U148" s="181">
        <f t="shared" si="90"/>
        <v>-0.45562148135783548</v>
      </c>
      <c r="V148" s="181">
        <f t="shared" si="90"/>
        <v>-0.43802236312982967</v>
      </c>
      <c r="W148" s="181">
        <f t="shared" si="90"/>
        <v>-0.53942487744951872</v>
      </c>
      <c r="X148" s="181">
        <f t="shared" si="90"/>
        <v>-0.48261777072035633</v>
      </c>
      <c r="Y148" s="181">
        <f t="shared" si="90"/>
        <v>-0.43853923984625348</v>
      </c>
      <c r="Z148" s="181">
        <f t="shared" si="90"/>
        <v>-0.3432320573706395</v>
      </c>
      <c r="AA148" s="181">
        <f t="shared" si="90"/>
        <v>-0.36885723932594616</v>
      </c>
      <c r="AC148" s="181">
        <f>(AC106-AC105)/AC48</f>
        <v>-0.36885723932594616</v>
      </c>
    </row>
    <row r="149" spans="2:29" x14ac:dyDescent="0.2">
      <c r="B149" s="20" t="s">
        <v>250</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251</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257</v>
      </c>
      <c r="M151" s="183">
        <f>IF(M12&gt;=0,"N/A",IF(M11&lt;=0,"N/A",M11/-M12))</f>
        <v>48.507246376811594</v>
      </c>
      <c r="N151" s="183" t="str">
        <f>IF(N12&gt;=0,"N/A",IF(N11&lt;=0,"N/A",N11/-N12))</f>
        <v>N/A</v>
      </c>
      <c r="O151" s="183" t="str">
        <f>IF(O12&gt;=0,"N/A",IF(O11&lt;=0,"N/A",O11/-O12))</f>
        <v>N/A</v>
      </c>
      <c r="P151" s="183" t="str">
        <f>IF(P12&gt;=0,"N/A",IF(P11&lt;=0,"N/A",P11/-P12))</f>
        <v>N/A</v>
      </c>
      <c r="Q151" s="183" t="str">
        <f>IF(Q12&gt;=0,"N/A",IF(Q11&lt;=0,"N/A",Q11/-Q12))</f>
        <v>N/A</v>
      </c>
      <c r="T151" s="183" t="str">
        <f t="shared" ref="T151:AA151" si="93">IF(T12&gt;=0,"N/A",IF(T11&lt;=0,"N/A",T11/-T12))</f>
        <v>N/A</v>
      </c>
      <c r="U151" s="183" t="str">
        <f t="shared" si="93"/>
        <v>N/A</v>
      </c>
      <c r="V151" s="183" t="str">
        <f t="shared" si="93"/>
        <v>N/A</v>
      </c>
      <c r="W151" s="183" t="str">
        <f t="shared" si="93"/>
        <v>N/A</v>
      </c>
      <c r="X151" s="183" t="str">
        <f t="shared" si="93"/>
        <v>N/A</v>
      </c>
      <c r="Y151" s="183" t="str">
        <f t="shared" si="93"/>
        <v>N/A</v>
      </c>
      <c r="Z151" s="183" t="str">
        <f t="shared" si="93"/>
        <v>N/A</v>
      </c>
      <c r="AA151" s="183" t="str">
        <f t="shared" si="93"/>
        <v>N/A</v>
      </c>
      <c r="AC151" s="183" t="str">
        <f>IF(AC12&gt;=0,"N/A",IF(AC11&lt;=0,"N/A",AC11/-AC12))</f>
        <v>N/A</v>
      </c>
    </row>
    <row r="152" spans="2:29" x14ac:dyDescent="0.2">
      <c r="B152" s="20" t="s">
        <v>235</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30.69218989280245</v>
      </c>
    </row>
    <row r="153" spans="2:29" x14ac:dyDescent="0.2">
      <c r="B153" s="20" t="s">
        <v>194</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19.338647092007211</v>
      </c>
    </row>
    <row r="154" spans="2:29" x14ac:dyDescent="0.2">
      <c r="B154" s="20" t="s">
        <v>236</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24.812322866468175</v>
      </c>
    </row>
    <row r="155" spans="2:29" x14ac:dyDescent="0.2">
      <c r="B155" s="20" t="s">
        <v>237</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4871208.0999999996</v>
      </c>
    </row>
    <row r="156" spans="2:29" x14ac:dyDescent="0.2">
      <c r="B156" s="20" t="s">
        <v>181</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4799106.0999999996</v>
      </c>
    </row>
    <row r="157" spans="2:29" x14ac:dyDescent="0.2">
      <c r="B157" s="20" t="s">
        <v>258</v>
      </c>
      <c r="M157" s="185">
        <f>M156/M5</f>
        <v>21.250263803225085</v>
      </c>
      <c r="N157" s="185">
        <f>N156/N5</f>
        <v>18.707681471046193</v>
      </c>
      <c r="O157" s="185">
        <f>O156/O5</f>
        <v>25.02761728111355</v>
      </c>
      <c r="P157" s="185">
        <f>P156/P5</f>
        <v>26.672593086431103</v>
      </c>
      <c r="Q157" s="185">
        <f>Q156/Q5</f>
        <v>21.003166881234428</v>
      </c>
      <c r="T157" s="49"/>
      <c r="U157" s="49"/>
      <c r="V157" s="49"/>
      <c r="W157" s="49"/>
      <c r="X157" s="49"/>
      <c r="Y157" s="49"/>
      <c r="Z157" s="49"/>
      <c r="AA157" s="49"/>
      <c r="AC157" s="185">
        <f ca="1">AC156/AC5</f>
        <v>18.9320571539029</v>
      </c>
    </row>
    <row r="158" spans="2:29" x14ac:dyDescent="0.2">
      <c r="B158" s="20" t="s">
        <v>197</v>
      </c>
      <c r="M158" s="185">
        <f>M156/M11</f>
        <v>56.959426351956971</v>
      </c>
      <c r="N158" s="185">
        <f>N156/N11</f>
        <v>119.46519886363636</v>
      </c>
      <c r="O158" s="185">
        <f>O156/O11</f>
        <v>46.243251850054584</v>
      </c>
      <c r="P158" s="185">
        <f>P156/P11</f>
        <v>42.732537536984516</v>
      </c>
      <c r="Q158" s="185">
        <f>Q156/Q11</f>
        <v>34.784003389908499</v>
      </c>
      <c r="T158" s="49"/>
      <c r="U158" s="49"/>
      <c r="V158" s="49"/>
      <c r="W158" s="49"/>
      <c r="X158" s="49"/>
      <c r="Y158" s="49"/>
      <c r="Z158" s="49"/>
      <c r="AA158" s="49"/>
      <c r="AC158" s="185">
        <f ca="1">AC156/AC11</f>
        <v>29.572086760945247</v>
      </c>
    </row>
    <row r="159" spans="2:29" x14ac:dyDescent="0.2">
      <c r="B159" s="20" t="s">
        <v>259</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260</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261</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43.401089658490513</v>
      </c>
    </row>
    <row r="162" spans="2:29" x14ac:dyDescent="0.2">
      <c r="B162" s="20" t="s">
        <v>262</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37.843045599226201</v>
      </c>
    </row>
    <row r="163" spans="2:29" x14ac:dyDescent="0.2">
      <c r="B163" s="20" t="s">
        <v>263</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2.3040896158798882E-2</v>
      </c>
    </row>
    <row r="164" spans="2:29" x14ac:dyDescent="0.2">
      <c r="B164" s="20" t="s">
        <v>264</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3.2581578684761997E-2</v>
      </c>
    </row>
    <row r="165" spans="2:29" x14ac:dyDescent="0.2">
      <c r="B165" s="20" t="s">
        <v>265</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1.9958088015168147E-4</v>
      </c>
    </row>
    <row r="166" spans="2:29" x14ac:dyDescent="0.2">
      <c r="B166" s="20" t="s">
        <v>290</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9.300362265369037E-3</v>
      </c>
    </row>
    <row r="167" spans="2:29" x14ac:dyDescent="0.2">
      <c r="B167" s="20" t="s">
        <v>292</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9.5001073758273647E-3</v>
      </c>
    </row>
    <row r="168" spans="2:29" x14ac:dyDescent="0.2">
      <c r="B168" s="20" t="s">
        <v>385</v>
      </c>
      <c r="M168" s="228">
        <f>M160/M5</f>
        <v>0.24838741111758303</v>
      </c>
      <c r="N168" s="228">
        <f>N160/N5</f>
        <v>6.4061689033884484E-2</v>
      </c>
      <c r="O168" s="228">
        <f>O160/O5</f>
        <v>0.42238462291779383</v>
      </c>
      <c r="P168" s="228">
        <f>P160/P5</f>
        <v>0.45896309457389761</v>
      </c>
      <c r="Q168" s="228">
        <f>Q160/Q5</f>
        <v>0.42373919358213857</v>
      </c>
      <c r="T168" s="49"/>
      <c r="U168" s="49"/>
      <c r="V168" s="49"/>
      <c r="W168" s="49"/>
      <c r="X168" s="49"/>
      <c r="Y168" s="49"/>
      <c r="Z168" s="49"/>
      <c r="AA168" s="49"/>
      <c r="AC168" s="155">
        <f>AC160/AC5</f>
        <v>0.50027836962176253</v>
      </c>
    </row>
    <row r="169" spans="2:29" x14ac:dyDescent="0.2">
      <c r="B169" s="20" t="s">
        <v>386</v>
      </c>
      <c r="M169" s="228">
        <f>M159/M5</f>
        <v>0.22768819201902354</v>
      </c>
      <c r="N169" s="228">
        <f>N159/N5</f>
        <v>4.0742937643656857E-2</v>
      </c>
      <c r="O169" s="228">
        <f>O159/O5</f>
        <v>0.38527953776960705</v>
      </c>
      <c r="P169" s="228">
        <f>P159/P5</f>
        <v>0.43001754829612943</v>
      </c>
      <c r="Q169" s="228">
        <f>Q159/Q5</f>
        <v>0.41812927784827125</v>
      </c>
      <c r="T169" s="49"/>
      <c r="U169" s="49"/>
      <c r="V169" s="49"/>
      <c r="W169" s="49"/>
      <c r="X169" s="49"/>
      <c r="Y169" s="49"/>
      <c r="Z169" s="49"/>
      <c r="AA169" s="49"/>
      <c r="AC169" s="155">
        <f>AC159/AC5</f>
        <v>0.4427652263788458</v>
      </c>
    </row>
    <row r="170" spans="2:29" x14ac:dyDescent="0.2">
      <c r="B170" s="20" t="s">
        <v>268</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270</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281</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275</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276</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278</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279</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284</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289</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1.4801666962247006E-2</v>
      </c>
    </row>
    <row r="179" spans="1:31" x14ac:dyDescent="0.2">
      <c r="B179" s="20" t="s">
        <v>298</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299</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300</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391</v>
      </c>
      <c r="M182" s="72">
        <f>M36/M5</f>
        <v>1.641784944638478</v>
      </c>
      <c r="N182" s="72">
        <f>N36/N5</f>
        <v>1.5267294431674947</v>
      </c>
      <c r="O182" s="72">
        <f>O36/O5</f>
        <v>1.0788877581169365</v>
      </c>
      <c r="P182" s="72">
        <f>P36/P5</f>
        <v>0.85519973639240754</v>
      </c>
      <c r="Q182" s="72">
        <f>Q36/Q5</f>
        <v>0.95769619057322009</v>
      </c>
      <c r="T182" s="49"/>
      <c r="U182" s="49"/>
      <c r="V182" s="49"/>
      <c r="W182" s="49"/>
      <c r="X182" s="49"/>
      <c r="Y182" s="49"/>
      <c r="Z182" s="49"/>
      <c r="AA182" s="49"/>
      <c r="AC182" s="72">
        <f>AC36/AC5</f>
        <v>1.0236024158648631</v>
      </c>
    </row>
    <row r="184" spans="1:31" x14ac:dyDescent="0.2">
      <c r="B184" s="1"/>
    </row>
    <row r="185" spans="1:31" s="15" customFormat="1" ht="17" thickBot="1" x14ac:dyDescent="0.25">
      <c r="A185" s="11"/>
      <c r="B185" s="14" t="s">
        <v>79</v>
      </c>
      <c r="R185" s="1"/>
      <c r="S185" s="1"/>
      <c r="AB185" s="1"/>
      <c r="AD185" s="1"/>
      <c r="AE185" s="1"/>
    </row>
    <row r="186" spans="1:31" x14ac:dyDescent="0.2">
      <c r="B186" s="226" t="s">
        <v>371</v>
      </c>
      <c r="C186" s="62"/>
      <c r="D186" s="62"/>
      <c r="E186" s="62"/>
      <c r="F186" s="62"/>
      <c r="G186" s="62"/>
      <c r="H186" s="62"/>
      <c r="I186" s="62"/>
      <c r="J186" s="62"/>
      <c r="K186" s="62"/>
      <c r="L186" s="62"/>
      <c r="M186" s="62">
        <v>0</v>
      </c>
      <c r="N186" s="62">
        <v>0</v>
      </c>
      <c r="O186" s="62">
        <v>0</v>
      </c>
      <c r="P186" s="62">
        <v>53796</v>
      </c>
      <c r="Q186" s="62">
        <v>105636</v>
      </c>
      <c r="T186" s="62">
        <v>10622</v>
      </c>
      <c r="U186" s="62">
        <v>13390</v>
      </c>
      <c r="V186" s="62">
        <v>19094</v>
      </c>
      <c r="W186" s="62">
        <v>17599</v>
      </c>
      <c r="X186" s="62">
        <v>23883</v>
      </c>
      <c r="Y186" s="62">
        <v>30340</v>
      </c>
      <c r="Z186" s="62">
        <v>33814</v>
      </c>
      <c r="AA186" s="62">
        <v>37869</v>
      </c>
      <c r="AC186" s="62">
        <f>SUM(X186:AA186)</f>
        <v>125906</v>
      </c>
    </row>
    <row r="187" spans="1:31" x14ac:dyDescent="0.2">
      <c r="B187" s="226" t="s">
        <v>372</v>
      </c>
      <c r="C187" s="62"/>
      <c r="D187" s="62"/>
      <c r="E187" s="62"/>
      <c r="F187" s="62"/>
      <c r="G187" s="62"/>
      <c r="H187" s="62"/>
      <c r="I187" s="62"/>
      <c r="J187" s="62"/>
      <c r="K187" s="62"/>
      <c r="L187" s="62"/>
      <c r="M187" s="62">
        <v>0</v>
      </c>
      <c r="N187" s="62">
        <v>0</v>
      </c>
      <c r="O187" s="62">
        <v>0</v>
      </c>
      <c r="P187" s="62">
        <v>61390</v>
      </c>
      <c r="Q187" s="62">
        <v>88101</v>
      </c>
      <c r="T187" s="62">
        <v>15650</v>
      </c>
      <c r="U187" s="62">
        <v>17381</v>
      </c>
      <c r="V187" s="62">
        <v>16486</v>
      </c>
      <c r="W187" s="62">
        <v>21513</v>
      </c>
      <c r="X187" s="62">
        <v>17213</v>
      </c>
      <c r="Y187" s="62">
        <v>20875</v>
      </c>
      <c r="Z187" s="62">
        <v>28500</v>
      </c>
      <c r="AA187" s="62">
        <v>37377</v>
      </c>
      <c r="AC187" s="62">
        <f t="shared" ref="AC187:AC189" si="107">SUM(X187:AA187)</f>
        <v>103965</v>
      </c>
    </row>
    <row r="188" spans="1:31" x14ac:dyDescent="0.2">
      <c r="B188" s="20" t="s">
        <v>373</v>
      </c>
      <c r="C188" s="62"/>
      <c r="D188" s="62"/>
      <c r="E188" s="62"/>
      <c r="F188" s="62"/>
      <c r="G188" s="62"/>
      <c r="H188" s="62"/>
      <c r="I188" s="62"/>
      <c r="J188" s="62"/>
      <c r="K188" s="62"/>
      <c r="L188" s="62"/>
      <c r="M188" s="62">
        <v>0</v>
      </c>
      <c r="N188" s="62">
        <v>0</v>
      </c>
      <c r="O188" s="62">
        <v>0</v>
      </c>
      <c r="P188" s="62">
        <v>115186</v>
      </c>
      <c r="Q188" s="62">
        <v>193737</v>
      </c>
      <c r="T188" s="62">
        <v>26272</v>
      </c>
      <c r="U188" s="62">
        <v>30771</v>
      </c>
      <c r="V188" s="62">
        <v>35580</v>
      </c>
      <c r="W188" s="62">
        <v>39112</v>
      </c>
      <c r="X188" s="62">
        <v>41096</v>
      </c>
      <c r="Y188" s="62">
        <v>51215</v>
      </c>
      <c r="Z188" s="62">
        <v>62314</v>
      </c>
      <c r="AA188" s="62">
        <v>75246</v>
      </c>
      <c r="AC188" s="62">
        <f t="shared" si="107"/>
        <v>229871</v>
      </c>
    </row>
    <row r="189" spans="1:31" x14ac:dyDescent="0.2">
      <c r="B189" s="20" t="s">
        <v>374</v>
      </c>
      <c r="C189" s="21"/>
      <c r="D189" s="21"/>
      <c r="E189" s="21"/>
      <c r="F189" s="21"/>
      <c r="G189" s="21"/>
      <c r="H189" s="21"/>
      <c r="I189" s="62"/>
      <c r="J189" s="62"/>
      <c r="K189" s="62"/>
      <c r="L189" s="62"/>
      <c r="M189" s="62">
        <v>0</v>
      </c>
      <c r="N189" s="62">
        <v>0</v>
      </c>
      <c r="O189" s="62">
        <v>0</v>
      </c>
      <c r="P189" s="62">
        <v>15311</v>
      </c>
      <c r="Q189" s="62">
        <v>22201</v>
      </c>
      <c r="R189" s="62"/>
      <c r="S189" s="62"/>
      <c r="T189" s="62">
        <v>3768</v>
      </c>
      <c r="U189" s="62">
        <v>4311</v>
      </c>
      <c r="V189" s="62">
        <v>3751</v>
      </c>
      <c r="W189" s="62">
        <v>4950</v>
      </c>
      <c r="X189" s="62">
        <v>5647</v>
      </c>
      <c r="Y189" s="62">
        <v>5791</v>
      </c>
      <c r="Z189" s="62">
        <v>5813</v>
      </c>
      <c r="AA189" s="62">
        <v>6369</v>
      </c>
      <c r="AC189" s="62">
        <f t="shared" si="107"/>
        <v>23620</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309</v>
      </c>
      <c r="C192" s="172"/>
      <c r="D192" s="172"/>
      <c r="E192" s="172"/>
      <c r="F192" s="172"/>
      <c r="G192" s="172"/>
      <c r="H192" s="172"/>
      <c r="I192" s="172"/>
      <c r="J192" s="172"/>
      <c r="K192" s="172"/>
      <c r="L192" s="172"/>
      <c r="M192" s="172"/>
      <c r="N192" s="172"/>
      <c r="O192" s="172"/>
      <c r="P192" s="172"/>
      <c r="Q192" s="172"/>
      <c r="T192" s="172"/>
      <c r="U192" s="172"/>
      <c r="V192" s="172"/>
      <c r="W192" s="172"/>
      <c r="X192" s="172"/>
      <c r="Y192" s="172"/>
      <c r="Z192" s="172"/>
      <c r="AA192" s="172"/>
      <c r="AC192" s="172"/>
    </row>
    <row r="193" spans="2:29" x14ac:dyDescent="0.2">
      <c r="B193" s="226" t="s">
        <v>371</v>
      </c>
      <c r="C193" s="81"/>
      <c r="D193" s="81"/>
      <c r="E193" s="81"/>
      <c r="F193" s="81"/>
      <c r="G193" s="81"/>
      <c r="H193" s="81"/>
      <c r="I193" s="81"/>
      <c r="J193" s="81"/>
      <c r="K193" s="81"/>
      <c r="L193" s="81"/>
      <c r="M193" s="81">
        <f t="shared" ref="M193:Q196" si="108">IF(L186=0,
IF(M186=0,0,IF(M186&gt;0,1,-1)),
(M186-L186)/ABS(L186)
)</f>
        <v>0</v>
      </c>
      <c r="N193" s="81">
        <f t="shared" si="108"/>
        <v>0</v>
      </c>
      <c r="O193" s="81">
        <f t="shared" si="108"/>
        <v>0</v>
      </c>
      <c r="P193" s="81">
        <f t="shared" si="108"/>
        <v>1</v>
      </c>
      <c r="Q193" s="81">
        <f t="shared" si="108"/>
        <v>0.96364041936203437</v>
      </c>
      <c r="T193" s="81">
        <f t="shared" ref="T193:AA196" si="109">IF(S186=0,
IF(T186=0,0,IF(T186&gt;0,1,-1)),
(T186-S186)/ABS(S186)
)</f>
        <v>1</v>
      </c>
      <c r="U193" s="81">
        <f t="shared" si="109"/>
        <v>0.26059122575786103</v>
      </c>
      <c r="V193" s="81">
        <f t="shared" si="109"/>
        <v>0.42598954443614639</v>
      </c>
      <c r="W193" s="81">
        <f t="shared" si="109"/>
        <v>-7.8296847177123707E-2</v>
      </c>
      <c r="X193" s="81">
        <f t="shared" si="109"/>
        <v>0.35706574237172567</v>
      </c>
      <c r="Y193" s="81">
        <f t="shared" si="109"/>
        <v>0.27035967005820039</v>
      </c>
      <c r="Z193" s="81">
        <f t="shared" si="109"/>
        <v>0.11450230718523402</v>
      </c>
      <c r="AA193" s="81">
        <f t="shared" si="109"/>
        <v>0.11992074288756137</v>
      </c>
      <c r="AC193" s="49"/>
    </row>
    <row r="194" spans="2:29" x14ac:dyDescent="0.2">
      <c r="B194" s="226" t="s">
        <v>372</v>
      </c>
      <c r="M194" s="81">
        <f t="shared" si="108"/>
        <v>0</v>
      </c>
      <c r="N194" s="81">
        <f t="shared" si="108"/>
        <v>0</v>
      </c>
      <c r="O194" s="81">
        <f t="shared" si="108"/>
        <v>0</v>
      </c>
      <c r="P194" s="81">
        <f t="shared" si="108"/>
        <v>1</v>
      </c>
      <c r="Q194" s="81">
        <f t="shared" si="108"/>
        <v>0.43510343704186349</v>
      </c>
      <c r="T194" s="81">
        <f t="shared" si="109"/>
        <v>1</v>
      </c>
      <c r="U194" s="81">
        <f t="shared" si="109"/>
        <v>0.11060702875399361</v>
      </c>
      <c r="V194" s="81">
        <f t="shared" si="109"/>
        <v>-5.1493009608192856E-2</v>
      </c>
      <c r="W194" s="81">
        <f t="shared" si="109"/>
        <v>0.304925391241053</v>
      </c>
      <c r="X194" s="81">
        <f t="shared" si="109"/>
        <v>-0.19987914284386185</v>
      </c>
      <c r="Y194" s="81">
        <f t="shared" si="109"/>
        <v>0.21274618021262998</v>
      </c>
      <c r="Z194" s="81">
        <f t="shared" si="109"/>
        <v>0.3652694610778443</v>
      </c>
      <c r="AA194" s="81">
        <f t="shared" si="109"/>
        <v>0.31147368421052629</v>
      </c>
      <c r="AC194" s="49"/>
    </row>
    <row r="195" spans="2:29" x14ac:dyDescent="0.2">
      <c r="B195" s="20" t="s">
        <v>373</v>
      </c>
      <c r="M195" s="81">
        <f t="shared" si="108"/>
        <v>0</v>
      </c>
      <c r="N195" s="81">
        <f t="shared" si="108"/>
        <v>0</v>
      </c>
      <c r="O195" s="81">
        <f t="shared" si="108"/>
        <v>0</v>
      </c>
      <c r="P195" s="81">
        <f t="shared" si="108"/>
        <v>1</v>
      </c>
      <c r="Q195" s="81">
        <f t="shared" si="108"/>
        <v>0.68194919521469621</v>
      </c>
      <c r="T195" s="81">
        <f t="shared" si="109"/>
        <v>1</v>
      </c>
      <c r="U195" s="81">
        <f t="shared" si="109"/>
        <v>0.17124695493300854</v>
      </c>
      <c r="V195" s="81">
        <f t="shared" si="109"/>
        <v>0.15628351369796237</v>
      </c>
      <c r="W195" s="81">
        <f t="shared" si="109"/>
        <v>9.9269252388982571E-2</v>
      </c>
      <c r="X195" s="81">
        <f t="shared" si="109"/>
        <v>5.0726119860912251E-2</v>
      </c>
      <c r="Y195" s="81">
        <f t="shared" si="109"/>
        <v>0.24622834339108429</v>
      </c>
      <c r="Z195" s="81">
        <f t="shared" si="109"/>
        <v>0.21671385336327248</v>
      </c>
      <c r="AA195" s="81">
        <f t="shared" si="109"/>
        <v>0.20752960811374652</v>
      </c>
      <c r="AC195" s="49"/>
    </row>
    <row r="196" spans="2:29" x14ac:dyDescent="0.2">
      <c r="B196" s="20" t="s">
        <v>374</v>
      </c>
      <c r="M196" s="81">
        <f t="shared" si="108"/>
        <v>0</v>
      </c>
      <c r="N196" s="81">
        <f t="shared" si="108"/>
        <v>0</v>
      </c>
      <c r="O196" s="81">
        <f t="shared" si="108"/>
        <v>0</v>
      </c>
      <c r="P196" s="81">
        <f t="shared" si="108"/>
        <v>1</v>
      </c>
      <c r="Q196" s="81">
        <f t="shared" si="108"/>
        <v>0.4500032656260205</v>
      </c>
      <c r="T196" s="81">
        <f t="shared" si="109"/>
        <v>1</v>
      </c>
      <c r="U196" s="81">
        <f t="shared" si="109"/>
        <v>0.14410828025477707</v>
      </c>
      <c r="V196" s="81">
        <f t="shared" si="109"/>
        <v>-0.12990025516121551</v>
      </c>
      <c r="W196" s="81">
        <f t="shared" si="109"/>
        <v>0.31964809384164222</v>
      </c>
      <c r="X196" s="81">
        <f t="shared" si="109"/>
        <v>0.1408080808080808</v>
      </c>
      <c r="Y196" s="81">
        <f t="shared" si="109"/>
        <v>2.5500265627766958E-2</v>
      </c>
      <c r="Z196" s="81">
        <f t="shared" si="109"/>
        <v>3.7989984458642722E-3</v>
      </c>
      <c r="AA196" s="81">
        <f t="shared" si="109"/>
        <v>9.5647686220540165E-2</v>
      </c>
      <c r="AC196" s="49"/>
    </row>
    <row r="198" spans="2:29" x14ac:dyDescent="0.2">
      <c r="B198" s="1"/>
    </row>
    <row r="199" spans="2:29" ht="17" thickBot="1" x14ac:dyDescent="0.25">
      <c r="B199" s="14" t="s">
        <v>310</v>
      </c>
      <c r="C199" s="172"/>
      <c r="D199" s="172"/>
      <c r="E199" s="172"/>
      <c r="F199" s="172"/>
      <c r="G199" s="172"/>
      <c r="H199" s="172"/>
      <c r="I199" s="172"/>
      <c r="J199" s="172"/>
      <c r="K199" s="172"/>
      <c r="L199" s="172"/>
      <c r="M199" s="172"/>
      <c r="N199" s="172"/>
      <c r="O199" s="172"/>
      <c r="P199" s="172"/>
      <c r="Q199" s="172"/>
      <c r="T199" s="172"/>
      <c r="U199" s="172"/>
      <c r="V199" s="172"/>
      <c r="W199" s="172"/>
      <c r="X199" s="172"/>
      <c r="Y199" s="172"/>
      <c r="Z199" s="172"/>
      <c r="AA199" s="172"/>
      <c r="AC199" s="172"/>
    </row>
    <row r="200" spans="2:29" x14ac:dyDescent="0.2">
      <c r="B200" s="20" t="s">
        <v>282</v>
      </c>
      <c r="C200" s="81"/>
      <c r="D200" s="81"/>
      <c r="E200" s="81"/>
      <c r="F200" s="81"/>
      <c r="G200" s="81"/>
      <c r="H200" s="81"/>
      <c r="I200" s="81"/>
      <c r="J200" s="81"/>
      <c r="K200" s="81"/>
      <c r="L200" s="81"/>
      <c r="M200" s="81">
        <f>IF(L63=0,
IF(M63=0,0,IF(M63&gt;0,1,-1)),
(M63-L63)/L63
)</f>
        <v>-1</v>
      </c>
      <c r="N200" s="81">
        <f>IF(M63=0,
IF(N63=0,0,IF(N63&gt;0,1,-1)),
(N63-M63)/M63
)</f>
        <v>-2.5062656641604009E-3</v>
      </c>
      <c r="O200" s="81">
        <f>IF(N63=0,
IF(O63=0,0,IF(O63&gt;0,1,-1)),
(O63-N63)/N63
)</f>
        <v>-7.537688442211055E-3</v>
      </c>
      <c r="P200" s="81">
        <f>IF(O63=0,
IF(P63=0,0,IF(P63&gt;0,1,-1)),
(P63-O63)/O63
)</f>
        <v>1.1113924050632911</v>
      </c>
      <c r="Q200" s="81">
        <f>IF(P63=0,
IF(Q63=0,0,IF(Q63&gt;0,1,-1)),
(Q63-P63)/P63
)</f>
        <v>0.16786570743405277</v>
      </c>
      <c r="T200" s="49"/>
      <c r="U200" s="49"/>
      <c r="V200" s="49"/>
      <c r="W200" s="49"/>
      <c r="X200" s="49"/>
      <c r="Y200" s="49"/>
      <c r="Z200" s="49"/>
      <c r="AA200" s="49"/>
      <c r="AC200" s="49"/>
    </row>
    <row r="202" spans="2:29" x14ac:dyDescent="0.2">
      <c r="B202" s="1"/>
    </row>
    <row r="203" spans="2:29" ht="17" thickBot="1" x14ac:dyDescent="0.25">
      <c r="B203" s="14" t="s">
        <v>392</v>
      </c>
      <c r="C203" s="172"/>
      <c r="D203" s="172"/>
      <c r="E203" s="172"/>
      <c r="F203" s="172"/>
      <c r="G203" s="172"/>
      <c r="H203" s="172"/>
      <c r="I203" s="172"/>
      <c r="J203" s="172"/>
      <c r="K203" s="172"/>
      <c r="L203" s="172"/>
      <c r="M203" s="172"/>
      <c r="N203" s="172"/>
      <c r="O203" s="172"/>
      <c r="P203" s="172"/>
      <c r="Q203" s="172"/>
      <c r="T203" s="172"/>
      <c r="U203" s="172"/>
      <c r="V203" s="172"/>
      <c r="W203" s="172"/>
      <c r="X203" s="172"/>
      <c r="Y203" s="172"/>
      <c r="Z203" s="172"/>
      <c r="AA203" s="172"/>
      <c r="AC203" s="172"/>
    </row>
    <row r="204" spans="2:29" x14ac:dyDescent="0.2">
      <c r="B204" s="20" t="s">
        <v>393</v>
      </c>
      <c r="M204" s="144">
        <v>100</v>
      </c>
      <c r="N204" s="144">
        <f>100*(1+((N115-$M115)/ABS($M115)))</f>
        <v>89.141856392294216</v>
      </c>
      <c r="O204" s="144">
        <f t="shared" ref="O204:Q204" si="110">100*(1+((O115-$M115)/ABS($M115)))</f>
        <v>267.20665499124345</v>
      </c>
      <c r="P204" s="144">
        <f t="shared" si="110"/>
        <v>624.43082311733804</v>
      </c>
      <c r="Q204" s="144">
        <f t="shared" si="110"/>
        <v>821.67250437828375</v>
      </c>
      <c r="T204" s="49"/>
      <c r="U204" s="49"/>
      <c r="V204" s="49"/>
      <c r="W204" s="49"/>
      <c r="X204" s="49"/>
      <c r="Y204" s="49"/>
      <c r="Z204" s="49"/>
      <c r="AA204" s="49"/>
      <c r="AC204" s="49"/>
    </row>
    <row r="205" spans="2:29" x14ac:dyDescent="0.2">
      <c r="B205" s="20" t="s">
        <v>394</v>
      </c>
      <c r="M205" s="144">
        <v>100</v>
      </c>
      <c r="N205" s="144">
        <f>100*(1+((N5-$M5)/ABS($M5)))</f>
        <v>100.2229323028907</v>
      </c>
      <c r="O205" s="144">
        <f t="shared" ref="O205:Q205" si="111">100*(1+((O5-$M5)/ABS($M5)))</f>
        <v>226.35802927844244</v>
      </c>
      <c r="P205" s="144">
        <f t="shared" si="111"/>
        <v>484.86661217210371</v>
      </c>
      <c r="Q205" s="144">
        <f t="shared" si="111"/>
        <v>802.32592702682621</v>
      </c>
      <c r="T205" s="49"/>
      <c r="U205" s="49"/>
      <c r="V205" s="49"/>
      <c r="W205" s="49"/>
      <c r="X205" s="49"/>
      <c r="Y205" s="49"/>
      <c r="Z205" s="49"/>
      <c r="AA205" s="49"/>
      <c r="AC205" s="49"/>
    </row>
    <row r="206" spans="2:29" x14ac:dyDescent="0.2">
      <c r="B206" s="20" t="s">
        <v>395</v>
      </c>
      <c r="M206" s="144">
        <v>100</v>
      </c>
      <c r="N206" s="144">
        <f>100*(1+((N25-$M25)/ABS($M25)))</f>
        <v>45.194805194805184</v>
      </c>
      <c r="O206" s="144">
        <f t="shared" ref="O206:Q206" si="112">100*(1+((O25-$M25)/ABS($M25)))</f>
        <v>309.87012987012992</v>
      </c>
      <c r="P206" s="144">
        <f t="shared" si="112"/>
        <v>763.63636363636363</v>
      </c>
      <c r="Q206" s="144">
        <f t="shared" si="112"/>
        <v>1272.7272727272727</v>
      </c>
      <c r="T206" s="49"/>
      <c r="U206" s="49"/>
      <c r="V206" s="49"/>
      <c r="W206" s="49"/>
      <c r="X206" s="49"/>
      <c r="Y206" s="49"/>
      <c r="Z206" s="49"/>
      <c r="AA206" s="49"/>
      <c r="AC206" s="49"/>
    </row>
    <row r="208" spans="2:29" x14ac:dyDescent="0.2">
      <c r="B208" s="1"/>
    </row>
    <row r="209" spans="1:31" s="15" customFormat="1" ht="17" thickBot="1" x14ac:dyDescent="0.25">
      <c r="A209" s="11"/>
      <c r="B209" s="14" t="s">
        <v>102</v>
      </c>
      <c r="R209" s="1"/>
      <c r="S209" s="1"/>
      <c r="AB209" s="1"/>
      <c r="AD209" s="1"/>
      <c r="AE209" s="1"/>
    </row>
    <row r="211" spans="1:31" x14ac:dyDescent="0.2">
      <c r="B211"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E46" sqref="E46"/>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272</v>
      </c>
    </row>
    <row r="4" spans="2:7" x14ac:dyDescent="0.2">
      <c r="B4" s="231" t="s">
        <v>231</v>
      </c>
      <c r="C4" s="231"/>
      <c r="E4" s="231" t="s">
        <v>238</v>
      </c>
      <c r="F4" s="231"/>
      <c r="G4" s="231"/>
    </row>
    <row r="5" spans="2:7" x14ac:dyDescent="0.2">
      <c r="B5" s="20" t="s">
        <v>1</v>
      </c>
      <c r="C5" s="174">
        <f ca="1">Overview!C5</f>
        <v>200.42</v>
      </c>
      <c r="E5" s="12"/>
      <c r="F5" s="133" t="s">
        <v>239</v>
      </c>
      <c r="G5" s="133" t="s">
        <v>240</v>
      </c>
    </row>
    <row r="6" spans="2:7" x14ac:dyDescent="0.2">
      <c r="B6" s="20" t="s">
        <v>237</v>
      </c>
      <c r="C6" s="175">
        <f ca="1">Statement!AC155</f>
        <v>4871208.0999999996</v>
      </c>
      <c r="E6" s="20" t="s">
        <v>19</v>
      </c>
      <c r="F6" s="180">
        <f>IF(Statement!M5&lt;=0,"N/A",_xlfn.RRI(4,Statement!M5,Statement!Q5))</f>
        <v>0.68301391480282692</v>
      </c>
      <c r="G6" s="180" t="str">
        <f>IF(Statement!H5&lt;=0,"N/A",_xlfn.RRI(9,Statement!H5,Statement!Q5))</f>
        <v>N/A</v>
      </c>
    </row>
    <row r="7" spans="2:7" x14ac:dyDescent="0.2">
      <c r="B7" s="20" t="s">
        <v>181</v>
      </c>
      <c r="C7" s="175">
        <f ca="1">Statement!AC156</f>
        <v>4799106.0999999996</v>
      </c>
      <c r="E7" s="20" t="s">
        <v>29</v>
      </c>
      <c r="F7" s="180">
        <f>IF(OR(Statement!M17&lt;=0, Statement!Q17&lt;=0), "N/A", _xlfn.RRI(4, Statement!M17, Statement!Q17))</f>
        <v>0.87319285132860491</v>
      </c>
      <c r="G7" s="180" t="str">
        <f>IF(OR(Statement!H17&lt;=0, Statement!Q17&lt;=0), "N/A", _xlfn.RRI(9, Statement!H17, Statement!Q17))</f>
        <v>N/A</v>
      </c>
    </row>
    <row r="8" spans="2:7" x14ac:dyDescent="0.2">
      <c r="B8" s="20" t="s">
        <v>235</v>
      </c>
      <c r="C8" s="176">
        <f ca="1">Statement!AC152</f>
        <v>30.69218989280245</v>
      </c>
      <c r="E8" s="20" t="s">
        <v>241</v>
      </c>
      <c r="F8" s="180">
        <f>IF(OR(Statement!M25&lt;=0, Statement!Q25&lt;=0), "N/A", _xlfn.RRI(4, Statement!M25, Statement!Q25))</f>
        <v>0.88879070838020025</v>
      </c>
      <c r="G8" s="180" t="str">
        <f>IF(OR(Statement!H25&lt;=0, Statement!Q25&lt;=0), "N/A", _xlfn.RRI(9, Statement!H25, Statement!Q25))</f>
        <v>N/A</v>
      </c>
    </row>
    <row r="9" spans="2:7" x14ac:dyDescent="0.2">
      <c r="B9" s="20" t="s">
        <v>194</v>
      </c>
      <c r="C9" s="176">
        <f ca="1">Statement!AC153</f>
        <v>19.338647092007211</v>
      </c>
      <c r="E9" s="20" t="s">
        <v>242</v>
      </c>
      <c r="F9" s="180">
        <f>IF(Statement!M81&lt;=0,"N/A",_xlfn.RRI(4,Statement!M81,Statement!Q81))</f>
        <v>0.25743342968293548</v>
      </c>
      <c r="G9" s="180" t="str">
        <f>IF(Statement!H81&lt;=0,"N/A",_xlfn.RRI(9,Statement!H81,Statement!Q81))</f>
        <v>N/A</v>
      </c>
    </row>
    <row r="10" spans="2:7" x14ac:dyDescent="0.2">
      <c r="B10" s="20" t="s">
        <v>236</v>
      </c>
      <c r="C10" s="176">
        <f ca="1">Statement!AC154</f>
        <v>24.812322866468175</v>
      </c>
      <c r="E10" s="20" t="s">
        <v>1</v>
      </c>
      <c r="F10" s="180">
        <f>IF(Statement!M115&lt;=0,"N/A",_xlfn.RRI(4,Statement!M115,Statement!Q115))</f>
        <v>0.69306911979142294</v>
      </c>
      <c r="G10" s="180" t="str">
        <f>IF(Statement!H115&lt;=0,"N/A",_xlfn.RRI(9,Statement!H115,Statement!Q115))</f>
        <v>N/A</v>
      </c>
    </row>
    <row r="11" spans="2:7" x14ac:dyDescent="0.2">
      <c r="B11" s="20" t="s">
        <v>258</v>
      </c>
      <c r="C11" s="176">
        <f ca="1">Statement!AC157</f>
        <v>18.9320571539029</v>
      </c>
    </row>
    <row r="12" spans="2:7" x14ac:dyDescent="0.2">
      <c r="B12" s="20" t="s">
        <v>197</v>
      </c>
      <c r="C12" s="176">
        <f ca="1">Statement!AC158</f>
        <v>29.572086760945247</v>
      </c>
    </row>
    <row r="15" spans="2:7" x14ac:dyDescent="0.2">
      <c r="B15" s="231" t="s">
        <v>75</v>
      </c>
      <c r="C15" s="231"/>
      <c r="E15" s="231" t="s">
        <v>244</v>
      </c>
      <c r="F15" s="231"/>
    </row>
    <row r="16" spans="2:7" x14ac:dyDescent="0.2">
      <c r="B16" s="20" t="s">
        <v>76</v>
      </c>
      <c r="C16" s="177">
        <f>Statement!AC99</f>
        <v>0.74145433171197395</v>
      </c>
      <c r="E16" s="20" t="s">
        <v>29</v>
      </c>
      <c r="F16" s="175">
        <f>Statement!AC17</f>
        <v>159613</v>
      </c>
    </row>
    <row r="17" spans="2:6" x14ac:dyDescent="0.2">
      <c r="B17" s="20" t="s">
        <v>77</v>
      </c>
      <c r="C17" s="177">
        <f>Statement!AC100</f>
        <v>0.64020024379563767</v>
      </c>
      <c r="E17" s="20" t="s">
        <v>245</v>
      </c>
      <c r="F17" s="175">
        <f>Statement!AC58</f>
        <v>125649</v>
      </c>
    </row>
    <row r="18" spans="2:6" x14ac:dyDescent="0.2">
      <c r="B18" s="20" t="s">
        <v>78</v>
      </c>
      <c r="C18" s="177">
        <f>Statement!AC101</f>
        <v>0.62965943564071303</v>
      </c>
      <c r="E18" s="20" t="s">
        <v>252</v>
      </c>
      <c r="F18" s="179">
        <f>IF(OR(F16&lt;=0, F17&lt;=0),"N/A",F16-F17)</f>
        <v>33964</v>
      </c>
    </row>
    <row r="21" spans="2:6" x14ac:dyDescent="0.2">
      <c r="B21" s="231" t="s">
        <v>243</v>
      </c>
      <c r="C21" s="231"/>
      <c r="E21" s="231" t="s">
        <v>247</v>
      </c>
      <c r="F21" s="231"/>
    </row>
    <row r="22" spans="2:6" x14ac:dyDescent="0.2">
      <c r="B22" s="20" t="s">
        <v>92</v>
      </c>
      <c r="C22" s="177">
        <f>Statement!AC119</f>
        <v>0.62965943564071303</v>
      </c>
      <c r="E22" s="20" t="s">
        <v>94</v>
      </c>
      <c r="F22" s="177">
        <f>C24</f>
        <v>0.61514063066049007</v>
      </c>
    </row>
    <row r="23" spans="2:6" x14ac:dyDescent="0.2">
      <c r="B23" s="20" t="s">
        <v>93</v>
      </c>
      <c r="C23" s="176">
        <f>Statement!AC120</f>
        <v>0.97694181305256023</v>
      </c>
      <c r="E23" s="20" t="s">
        <v>96</v>
      </c>
      <c r="F23" s="177">
        <f>C26</f>
        <v>0.81654337661274645</v>
      </c>
    </row>
    <row r="24" spans="2:6" x14ac:dyDescent="0.2">
      <c r="B24" s="32" t="s">
        <v>94</v>
      </c>
      <c r="C24" s="178">
        <f>Statement!AC121</f>
        <v>0.61514063066049007</v>
      </c>
      <c r="E24" s="20" t="s">
        <v>97</v>
      </c>
      <c r="F24" s="177">
        <f>Statement!AC142</f>
        <v>1.1082908941558067</v>
      </c>
    </row>
    <row r="25" spans="2:6" x14ac:dyDescent="0.2">
      <c r="B25" s="20" t="s">
        <v>95</v>
      </c>
      <c r="C25" s="176">
        <f>Statement!AC122</f>
        <v>1.3274092718213164</v>
      </c>
    </row>
    <row r="26" spans="2:6" x14ac:dyDescent="0.2">
      <c r="B26" s="32" t="s">
        <v>96</v>
      </c>
      <c r="C26" s="178">
        <f>Statement!AC123</f>
        <v>0.81654337661274645</v>
      </c>
    </row>
    <row r="29" spans="2:6" x14ac:dyDescent="0.2">
      <c r="B29" s="231" t="s">
        <v>248</v>
      </c>
      <c r="C29" s="231"/>
      <c r="E29" s="231" t="s">
        <v>254</v>
      </c>
      <c r="F29" s="231"/>
    </row>
    <row r="30" spans="2:6" x14ac:dyDescent="0.2">
      <c r="B30" s="20" t="s">
        <v>131</v>
      </c>
      <c r="C30" s="176">
        <f>Statement!AC143</f>
        <v>58.61805744582648</v>
      </c>
      <c r="E30" s="20" t="s">
        <v>255</v>
      </c>
      <c r="F30" s="182">
        <f>Statement!AC147</f>
        <v>4.3330570817602339E-2</v>
      </c>
    </row>
    <row r="31" spans="2:6" x14ac:dyDescent="0.2">
      <c r="B31" s="20" t="s">
        <v>132</v>
      </c>
      <c r="C31" s="176">
        <f>Statement!AC144</f>
        <v>143.6687315949282</v>
      </c>
      <c r="E31" s="20" t="s">
        <v>256</v>
      </c>
      <c r="F31" s="182">
        <f>Statement!AC148</f>
        <v>-0.36885723932594616</v>
      </c>
    </row>
    <row r="32" spans="2:6" x14ac:dyDescent="0.2">
      <c r="B32" s="20" t="s">
        <v>133</v>
      </c>
      <c r="C32" s="176">
        <f>Statement!AC145</f>
        <v>72.939852606844781</v>
      </c>
      <c r="E32" s="20" t="s">
        <v>251</v>
      </c>
      <c r="F32" s="182">
        <f>Statement!AC150</f>
        <v>3.440775681341719</v>
      </c>
    </row>
    <row r="33" spans="2:6" x14ac:dyDescent="0.2">
      <c r="B33" s="20" t="s">
        <v>134</v>
      </c>
      <c r="C33" s="176">
        <f>Statement!AC146</f>
        <v>129.34693643390989</v>
      </c>
      <c r="E33" s="20" t="s">
        <v>250</v>
      </c>
      <c r="F33" s="182">
        <f>Statement!AC149</f>
        <v>2.7636951964269438</v>
      </c>
    </row>
    <row r="34" spans="2:6" x14ac:dyDescent="0.2">
      <c r="E34" s="20" t="s">
        <v>257</v>
      </c>
      <c r="F34" s="184" t="str">
        <f>Statement!AC151</f>
        <v>N/A</v>
      </c>
    </row>
    <row r="37" spans="2:6" x14ac:dyDescent="0.2">
      <c r="B37" s="231" t="s">
        <v>266</v>
      </c>
      <c r="C37" s="231"/>
      <c r="E37" s="231" t="s">
        <v>269</v>
      </c>
      <c r="F37" s="231"/>
    </row>
    <row r="38" spans="2:6" x14ac:dyDescent="0.2">
      <c r="B38" s="20" t="s">
        <v>264</v>
      </c>
      <c r="C38" s="177">
        <f ca="1">Statement!AC164</f>
        <v>3.2581578684761997E-2</v>
      </c>
      <c r="E38" s="20" t="s">
        <v>268</v>
      </c>
      <c r="F38" s="177">
        <f>Statement!AC170</f>
        <v>8.6691554478469674E-3</v>
      </c>
    </row>
    <row r="39" spans="2:6" x14ac:dyDescent="0.2">
      <c r="B39" s="54" t="s">
        <v>267</v>
      </c>
      <c r="C39" s="217">
        <f ca="1">Statement!AC163</f>
        <v>2.3040896158798882E-2</v>
      </c>
      <c r="E39" s="20" t="s">
        <v>270</v>
      </c>
      <c r="F39" s="177">
        <f>Statement!AC171</f>
        <v>0.40364585653572349</v>
      </c>
    </row>
    <row r="40" spans="2:6" x14ac:dyDescent="0.2">
      <c r="B40" s="20" t="s">
        <v>265</v>
      </c>
      <c r="C40" s="177">
        <f ca="1">Statement!AC165</f>
        <v>1.9958088015168147E-4</v>
      </c>
      <c r="E40" s="20" t="s">
        <v>271</v>
      </c>
      <c r="F40" s="177">
        <f>Statement!AC172</f>
        <v>0.41231501198357046</v>
      </c>
    </row>
    <row r="41" spans="2:6" x14ac:dyDescent="0.2">
      <c r="B41" s="20" t="s">
        <v>290</v>
      </c>
      <c r="C41" s="177">
        <f ca="1">Statement!AC166</f>
        <v>9.300362265369037E-3</v>
      </c>
    </row>
    <row r="42" spans="2:6" x14ac:dyDescent="0.2">
      <c r="B42" s="20" t="s">
        <v>292</v>
      </c>
      <c r="C42" s="177">
        <f ca="1">Statement!AC167</f>
        <v>9.5001073758273647E-3</v>
      </c>
    </row>
    <row r="45" spans="2:6" x14ac:dyDescent="0.2">
      <c r="B45" s="231" t="s">
        <v>277</v>
      </c>
      <c r="C45" s="231"/>
      <c r="E45" s="231" t="s">
        <v>283</v>
      </c>
      <c r="F45" s="231"/>
    </row>
    <row r="46" spans="2:6" x14ac:dyDescent="0.2">
      <c r="B46" s="20" t="s">
        <v>275</v>
      </c>
      <c r="C46" s="177">
        <f>Statement!AC173</f>
        <v>3.9374614276897757E-2</v>
      </c>
      <c r="E46" s="20" t="s">
        <v>276</v>
      </c>
      <c r="F46" s="176">
        <f>Statement!AC174</f>
        <v>3.3294214876033057</v>
      </c>
    </row>
    <row r="47" spans="2:6" x14ac:dyDescent="0.2">
      <c r="E47" s="20" t="s">
        <v>284</v>
      </c>
      <c r="F47" s="176">
        <f>Statement!AC177</f>
        <v>2.9794214876033056</v>
      </c>
    </row>
    <row r="48" spans="2:6" x14ac:dyDescent="0.2">
      <c r="E48" s="20" t="s">
        <v>289</v>
      </c>
      <c r="F48" s="177">
        <f ca="1">Statement!AC178</f>
        <v>1.4801666962247006E-2</v>
      </c>
    </row>
    <row r="51" spans="2:6" x14ac:dyDescent="0.2">
      <c r="B51" s="231" t="s">
        <v>280</v>
      </c>
      <c r="C51" s="231"/>
      <c r="E51" s="231" t="s">
        <v>301</v>
      </c>
      <c r="F51" s="231"/>
    </row>
    <row r="52" spans="2:6" x14ac:dyDescent="0.2">
      <c r="B52" s="20" t="s">
        <v>278</v>
      </c>
      <c r="C52" s="177">
        <f>Statement!AC175</f>
        <v>5.4437361220542942E-2</v>
      </c>
      <c r="E52" s="20" t="s">
        <v>302</v>
      </c>
      <c r="F52" s="177">
        <f>Statement!AC179</f>
        <v>2.5925969758295166E-2</v>
      </c>
    </row>
    <row r="53" spans="2:6" x14ac:dyDescent="0.2">
      <c r="B53" s="20" t="s">
        <v>279</v>
      </c>
      <c r="C53" s="177">
        <f>Statement!AC176</f>
        <v>2.6983206504372935E-2</v>
      </c>
      <c r="E53" s="20" t="s">
        <v>299</v>
      </c>
      <c r="F53" s="177">
        <f>Statement!AC180</f>
        <v>5.2304435371550904E-2</v>
      </c>
    </row>
    <row r="54" spans="2:6" x14ac:dyDescent="0.2">
      <c r="E54" s="20" t="s">
        <v>300</v>
      </c>
      <c r="F54" s="177">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68"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231</v>
      </c>
      <c r="C5" s="14"/>
      <c r="D5" s="14"/>
      <c r="E5" s="14"/>
      <c r="F5" s="14"/>
      <c r="G5" s="14"/>
      <c r="I5" s="14"/>
    </row>
    <row r="6" spans="2:9" x14ac:dyDescent="0.2">
      <c r="B6" s="20" t="s">
        <v>1</v>
      </c>
      <c r="C6" s="174">
        <f>Statement!M114</f>
        <v>228.4</v>
      </c>
      <c r="D6" s="174">
        <f>Statement!N114</f>
        <v>203.6</v>
      </c>
      <c r="E6" s="174">
        <f>Statement!O114</f>
        <v>610.29999999999995</v>
      </c>
      <c r="F6" s="174">
        <f>Statement!P114</f>
        <v>142.62</v>
      </c>
      <c r="G6" s="174">
        <f>Statement!Q114</f>
        <v>187.67</v>
      </c>
      <c r="I6" s="174">
        <f ca="1">Statement!AC114</f>
        <v>200.42</v>
      </c>
    </row>
    <row r="7" spans="2:9" x14ac:dyDescent="0.2">
      <c r="B7" s="20" t="s">
        <v>237</v>
      </c>
      <c r="C7" s="175">
        <f>Statement!M155</f>
        <v>582191.6</v>
      </c>
      <c r="D7" s="175">
        <f>Statement!N155</f>
        <v>506964</v>
      </c>
      <c r="E7" s="175">
        <f>Statement!O155</f>
        <v>1541007.4999999998</v>
      </c>
      <c r="F7" s="175">
        <f>Statement!P155</f>
        <v>3515440.38</v>
      </c>
      <c r="G7" s="175">
        <f>Statement!Q155</f>
        <v>4589469.8499999996</v>
      </c>
      <c r="I7" s="175">
        <f ca="1">Statement!AC155</f>
        <v>4871208.0999999996</v>
      </c>
    </row>
    <row r="8" spans="2:9" x14ac:dyDescent="0.2">
      <c r="B8" s="20" t="s">
        <v>181</v>
      </c>
      <c r="C8" s="175">
        <f>Statement!M156</f>
        <v>571929.59999999998</v>
      </c>
      <c r="D8" s="175">
        <f>Statement!N156</f>
        <v>504621</v>
      </c>
      <c r="E8" s="175">
        <f>Statement!O156</f>
        <v>1524732.4999999998</v>
      </c>
      <c r="F8" s="175">
        <f>Statement!P156</f>
        <v>3480693.38</v>
      </c>
      <c r="G8" s="175">
        <f>Statement!Q156</f>
        <v>4535381.8499999996</v>
      </c>
      <c r="I8" s="175">
        <f ca="1">Statement!AC156</f>
        <v>4799106.0999999996</v>
      </c>
    </row>
    <row r="9" spans="2:9" x14ac:dyDescent="0.2">
      <c r="B9" s="20" t="s">
        <v>235</v>
      </c>
      <c r="C9" s="176">
        <f>Statement!M152</f>
        <v>59.324675324675326</v>
      </c>
      <c r="D9" s="176">
        <f>Statement!N152</f>
        <v>117.01149425287356</v>
      </c>
      <c r="E9" s="176">
        <f>Statement!O152</f>
        <v>51.156747694886832</v>
      </c>
      <c r="F9" s="176">
        <f>Statement!P152</f>
        <v>48.510204081632658</v>
      </c>
      <c r="G9" s="176">
        <f>Statement!Q152</f>
        <v>38.299999999999997</v>
      </c>
      <c r="I9" s="176">
        <f ca="1">Statement!AC152</f>
        <v>30.69218989280245</v>
      </c>
    </row>
    <row r="10" spans="2:9" x14ac:dyDescent="0.2">
      <c r="B10" s="20" t="s">
        <v>194</v>
      </c>
      <c r="C10" s="176">
        <f>Statement!M153</f>
        <v>21.512744296648584</v>
      </c>
      <c r="D10" s="176">
        <f>Statement!N153</f>
        <v>18.922859049455031</v>
      </c>
      <c r="E10" s="176">
        <f>Statement!O153</f>
        <v>24.984212599717669</v>
      </c>
      <c r="F10" s="176">
        <f>Statement!P153</f>
        <v>27.108259040437712</v>
      </c>
      <c r="G10" s="176">
        <f>Statement!Q153</f>
        <v>21.304922616677011</v>
      </c>
      <c r="I10" s="176">
        <f ca="1">Statement!AC153</f>
        <v>19.338647092007211</v>
      </c>
    </row>
    <row r="11" spans="2:9" x14ac:dyDescent="0.2">
      <c r="B11" s="20" t="s">
        <v>236</v>
      </c>
      <c r="C11" s="176">
        <f>Statement!M154</f>
        <v>21.542311739065084</v>
      </c>
      <c r="D11" s="176">
        <f>Statement!N154</f>
        <v>22.754264512917967</v>
      </c>
      <c r="E11" s="176">
        <f>Statement!O154</f>
        <v>35.500721299269394</v>
      </c>
      <c r="F11" s="176">
        <f>Statement!P154</f>
        <v>43.868140733924143</v>
      </c>
      <c r="G11" s="176">
        <f>Statement!Q154</f>
        <v>28.992904960805632</v>
      </c>
      <c r="I11" s="176">
        <f ca="1">Statement!AC154</f>
        <v>24.812322866468175</v>
      </c>
    </row>
    <row r="12" spans="2:9" x14ac:dyDescent="0.2">
      <c r="B12" s="20" t="s">
        <v>258</v>
      </c>
      <c r="C12" s="176">
        <f>Statement!M157</f>
        <v>21.250263803225085</v>
      </c>
      <c r="D12" s="176">
        <f>Statement!N157</f>
        <v>18.707681471046193</v>
      </c>
      <c r="E12" s="176">
        <f>Statement!O157</f>
        <v>25.02761728111355</v>
      </c>
      <c r="F12" s="176">
        <f>Statement!P157</f>
        <v>26.672593086431103</v>
      </c>
      <c r="G12" s="176">
        <f>Statement!Q157</f>
        <v>21.003166881234428</v>
      </c>
      <c r="I12" s="176">
        <f ca="1">Statement!AC157</f>
        <v>18.9320571539029</v>
      </c>
    </row>
    <row r="13" spans="2:9" x14ac:dyDescent="0.2">
      <c r="B13" s="20" t="s">
        <v>197</v>
      </c>
      <c r="C13" s="176">
        <f>Statement!M158</f>
        <v>56.959426351956971</v>
      </c>
      <c r="D13" s="176">
        <f>Statement!N158</f>
        <v>119.46519886363636</v>
      </c>
      <c r="E13" s="176">
        <f>Statement!O158</f>
        <v>46.243251850054584</v>
      </c>
      <c r="F13" s="176">
        <f>Statement!P158</f>
        <v>42.732537536984516</v>
      </c>
      <c r="G13" s="176">
        <f>Statement!Q158</f>
        <v>34.784003389908499</v>
      </c>
      <c r="I13" s="176">
        <f ca="1">Statement!AC158</f>
        <v>29.572086760945247</v>
      </c>
    </row>
    <row r="15" spans="2:9" ht="17" thickBot="1" x14ac:dyDescent="0.25">
      <c r="B15" s="14" t="s">
        <v>75</v>
      </c>
      <c r="C15" s="14"/>
      <c r="D15" s="14"/>
      <c r="E15" s="14"/>
      <c r="F15" s="14"/>
      <c r="G15" s="14"/>
      <c r="I15" s="14"/>
    </row>
    <row r="16" spans="2:9" x14ac:dyDescent="0.2">
      <c r="B16" s="20" t="s">
        <v>76</v>
      </c>
      <c r="C16" s="177">
        <f>Statement!M99</f>
        <v>0.64929033216913135</v>
      </c>
      <c r="D16" s="177">
        <f>Statement!N99</f>
        <v>0.56928894490991322</v>
      </c>
      <c r="E16" s="177">
        <f>Statement!O99</f>
        <v>0.72717573290436954</v>
      </c>
      <c r="F16" s="177">
        <f>Statement!P99</f>
        <v>0.74988697058169917</v>
      </c>
      <c r="G16" s="177">
        <f>Statement!Q99</f>
        <v>0.71068084357547079</v>
      </c>
      <c r="I16" s="177">
        <f>Statement!AC99</f>
        <v>0.74145433171197395</v>
      </c>
    </row>
    <row r="17" spans="2:9" x14ac:dyDescent="0.2">
      <c r="B17" s="20" t="s">
        <v>77</v>
      </c>
      <c r="C17" s="177">
        <f>Statement!M100</f>
        <v>0.37307720888756779</v>
      </c>
      <c r="D17" s="177">
        <f>Statement!N100</f>
        <v>0.1565952398606065</v>
      </c>
      <c r="E17" s="177">
        <f>Statement!O100</f>
        <v>0.54121663766783756</v>
      </c>
      <c r="F17" s="177">
        <f>Statement!P100</f>
        <v>0.62417526839697468</v>
      </c>
      <c r="G17" s="177">
        <f>Statement!Q100</f>
        <v>0.60381683631412719</v>
      </c>
      <c r="I17" s="177">
        <f>Statement!AC100</f>
        <v>0.64020024379563767</v>
      </c>
    </row>
    <row r="18" spans="2:9" x14ac:dyDescent="0.2">
      <c r="B18" s="20" t="s">
        <v>78</v>
      </c>
      <c r="C18" s="177">
        <f>Statement!M101</f>
        <v>0.36233930296499961</v>
      </c>
      <c r="D18" s="177">
        <f>Statement!N101</f>
        <v>0.16193371394676356</v>
      </c>
      <c r="E18" s="177">
        <f>Statement!O101</f>
        <v>0.4884934834706674</v>
      </c>
      <c r="F18" s="177">
        <f>Statement!P101</f>
        <v>0.55848027157712443</v>
      </c>
      <c r="G18" s="177">
        <f>Statement!Q101</f>
        <v>0.55602534060702613</v>
      </c>
      <c r="I18" s="177">
        <f>Statement!AC101</f>
        <v>0.62965943564071303</v>
      </c>
    </row>
    <row r="20" spans="2:9" ht="17" thickBot="1" x14ac:dyDescent="0.25">
      <c r="B20" s="14" t="s">
        <v>244</v>
      </c>
      <c r="C20" s="14"/>
      <c r="D20" s="14"/>
      <c r="E20" s="14"/>
      <c r="F20" s="14"/>
      <c r="G20" s="14"/>
      <c r="I20" s="14"/>
    </row>
    <row r="21" spans="2:9" x14ac:dyDescent="0.2">
      <c r="B21" s="20" t="s">
        <v>29</v>
      </c>
      <c r="C21" s="179">
        <f>Statement!M17</f>
        <v>9752</v>
      </c>
      <c r="D21" s="179">
        <f>Statement!N17</f>
        <v>4368</v>
      </c>
      <c r="E21" s="179">
        <f>Statement!O17</f>
        <v>29760</v>
      </c>
      <c r="F21" s="179">
        <f>Statement!P17</f>
        <v>72880</v>
      </c>
      <c r="G21" s="179">
        <f>Statement!Q17</f>
        <v>120067</v>
      </c>
      <c r="I21" s="179">
        <f>Statement!AC17</f>
        <v>159613</v>
      </c>
    </row>
    <row r="22" spans="2:9" x14ac:dyDescent="0.2">
      <c r="B22" s="20" t="s">
        <v>245</v>
      </c>
      <c r="C22" s="179">
        <f>Statement!M58</f>
        <v>9108</v>
      </c>
      <c r="D22" s="179">
        <f>Statement!N58</f>
        <v>5641</v>
      </c>
      <c r="E22" s="179">
        <f>Statement!O58</f>
        <v>28090</v>
      </c>
      <c r="F22" s="179">
        <f>Statement!P58</f>
        <v>64089</v>
      </c>
      <c r="G22" s="179">
        <f>Statement!Q58</f>
        <v>102718</v>
      </c>
      <c r="I22" s="179">
        <f>Statement!AC58</f>
        <v>125649</v>
      </c>
    </row>
    <row r="23" spans="2:9" x14ac:dyDescent="0.2">
      <c r="B23" s="20" t="s">
        <v>252</v>
      </c>
      <c r="C23" s="197">
        <f>IF(OR(C21&lt;=0, C22&lt;=0),"N/A",C21-C22)</f>
        <v>644</v>
      </c>
      <c r="D23" s="197">
        <f t="shared" ref="D23:I23" si="0">IF(OR(D21&lt;=0, D22&lt;=0),"N/A",D21-D22)</f>
        <v>-1273</v>
      </c>
      <c r="E23" s="197">
        <f t="shared" si="0"/>
        <v>1670</v>
      </c>
      <c r="F23" s="197">
        <f t="shared" si="0"/>
        <v>8791</v>
      </c>
      <c r="G23" s="197">
        <f t="shared" si="0"/>
        <v>17349</v>
      </c>
      <c r="I23" s="197">
        <f t="shared" si="0"/>
        <v>33964</v>
      </c>
    </row>
    <row r="25" spans="2:9" ht="17" thickBot="1" x14ac:dyDescent="0.25">
      <c r="B25" s="14" t="s">
        <v>243</v>
      </c>
      <c r="C25" s="14"/>
      <c r="D25" s="14"/>
      <c r="E25" s="14"/>
      <c r="F25" s="14"/>
      <c r="G25" s="14"/>
      <c r="I25" s="14"/>
    </row>
    <row r="26" spans="2:9" x14ac:dyDescent="0.2">
      <c r="B26" s="20" t="s">
        <v>92</v>
      </c>
      <c r="C26" s="177">
        <f>Statement!M119</f>
        <v>0.36233930296499961</v>
      </c>
      <c r="D26" s="177">
        <f>Statement!N119</f>
        <v>0.16193371394676356</v>
      </c>
      <c r="E26" s="177">
        <f>Statement!O119</f>
        <v>0.4884934834706674</v>
      </c>
      <c r="F26" s="177">
        <f>Statement!P119</f>
        <v>0.55848027157712443</v>
      </c>
      <c r="G26" s="177">
        <f>Statement!Q119</f>
        <v>0.55602534060702613</v>
      </c>
      <c r="I26" s="177">
        <f>Statement!AC119</f>
        <v>0.62965943564071303</v>
      </c>
    </row>
    <row r="27" spans="2:9" x14ac:dyDescent="0.2">
      <c r="B27" s="20" t="s">
        <v>93</v>
      </c>
      <c r="C27" s="216">
        <f>Statement!M120</f>
        <v>0.60909317219996828</v>
      </c>
      <c r="D27" s="216">
        <f>Statement!N120</f>
        <v>0.65499490068476518</v>
      </c>
      <c r="E27" s="216">
        <f>Statement!O120</f>
        <v>0.92688047711781885</v>
      </c>
      <c r="F27" s="216">
        <f>Statement!P120</f>
        <v>1.169317479234057</v>
      </c>
      <c r="G27" s="216">
        <f>Statement!Q120</f>
        <v>1.0441724733200195</v>
      </c>
      <c r="I27" s="216">
        <f>Statement!AC120</f>
        <v>0.97694181305256023</v>
      </c>
    </row>
    <row r="28" spans="2:9" x14ac:dyDescent="0.2">
      <c r="B28" s="32" t="s">
        <v>94</v>
      </c>
      <c r="C28" s="178">
        <f>Statement!M121</f>
        <v>0.22069839545567699</v>
      </c>
      <c r="D28" s="178">
        <f>Statement!N121</f>
        <v>0.10606575688407557</v>
      </c>
      <c r="E28" s="178">
        <f>Statement!O121</f>
        <v>0.45277507302823755</v>
      </c>
      <c r="F28" s="178">
        <f>Statement!P121</f>
        <v>0.65304074336251472</v>
      </c>
      <c r="G28" s="178">
        <f>Statement!Q121</f>
        <v>0.5805863551302447</v>
      </c>
      <c r="I28" s="178">
        <f>Statement!AC121</f>
        <v>0.61514063066049007</v>
      </c>
    </row>
    <row r="29" spans="2:9" x14ac:dyDescent="0.2">
      <c r="B29" s="20" t="s">
        <v>95</v>
      </c>
      <c r="C29" s="216">
        <f>Statement!M122</f>
        <v>1.6604163535247256</v>
      </c>
      <c r="D29" s="216">
        <f>Statement!N122</f>
        <v>1.8633545993393965</v>
      </c>
      <c r="E29" s="216">
        <f>Statement!O122</f>
        <v>1.5293405928614641</v>
      </c>
      <c r="F29" s="216">
        <f>Statement!P122</f>
        <v>1.4068476054811099</v>
      </c>
      <c r="G29" s="216">
        <f>Statement!Q122</f>
        <v>1.3147628947251309</v>
      </c>
      <c r="I29" s="216">
        <f>Statement!AC122</f>
        <v>1.3274092718213164</v>
      </c>
    </row>
    <row r="30" spans="2:9" x14ac:dyDescent="0.2">
      <c r="B30" s="32" t="s">
        <v>96</v>
      </c>
      <c r="C30" s="178">
        <f>Statement!M123</f>
        <v>0.36645122501127303</v>
      </c>
      <c r="D30" s="178">
        <f>Statement!N123</f>
        <v>0.19763811592235647</v>
      </c>
      <c r="E30" s="178">
        <f>Statement!O123</f>
        <v>0.69244729861789756</v>
      </c>
      <c r="F30" s="178">
        <f>Statement!P123</f>
        <v>0.91872880608115781</v>
      </c>
      <c r="G30" s="178">
        <f>Statement!Q123</f>
        <v>0.76333339690895341</v>
      </c>
      <c r="I30" s="178">
        <f>Statement!AC123</f>
        <v>0.81654337661274645</v>
      </c>
    </row>
    <row r="32" spans="2:9" ht="17" thickBot="1" x14ac:dyDescent="0.25">
      <c r="B32" s="14" t="s">
        <v>303</v>
      </c>
      <c r="C32" s="14"/>
      <c r="D32" s="14"/>
      <c r="E32" s="14"/>
      <c r="F32" s="14"/>
      <c r="G32" s="14"/>
      <c r="I32" s="14"/>
    </row>
    <row r="33" spans="2:9" x14ac:dyDescent="0.2">
      <c r="B33" s="20" t="s">
        <v>94</v>
      </c>
      <c r="C33" s="177">
        <f>C28</f>
        <v>0.22069839545567699</v>
      </c>
      <c r="D33" s="177">
        <f t="shared" ref="D33:G33" si="1">D28</f>
        <v>0.10606575688407557</v>
      </c>
      <c r="E33" s="177">
        <f t="shared" si="1"/>
        <v>0.45277507302823755</v>
      </c>
      <c r="F33" s="177">
        <f t="shared" si="1"/>
        <v>0.65304074336251472</v>
      </c>
      <c r="G33" s="177">
        <f t="shared" si="1"/>
        <v>0.5805863551302447</v>
      </c>
      <c r="I33" s="177">
        <f>I28</f>
        <v>0.61514063066049007</v>
      </c>
    </row>
    <row r="34" spans="2:9" x14ac:dyDescent="0.2">
      <c r="B34" s="20" t="s">
        <v>96</v>
      </c>
      <c r="C34" s="177">
        <f>C30</f>
        <v>0.36645122501127303</v>
      </c>
      <c r="D34" s="177">
        <f t="shared" ref="D34:G34" si="2">D30</f>
        <v>0.19763811592235647</v>
      </c>
      <c r="E34" s="177">
        <f t="shared" si="2"/>
        <v>0.69244729861789756</v>
      </c>
      <c r="F34" s="177">
        <f t="shared" si="2"/>
        <v>0.91872880608115781</v>
      </c>
      <c r="G34" s="177">
        <f t="shared" si="2"/>
        <v>0.76333339690895341</v>
      </c>
      <c r="I34" s="177">
        <f>I30</f>
        <v>0.81654337661274645</v>
      </c>
    </row>
    <row r="35" spans="2:9" x14ac:dyDescent="0.2">
      <c r="B35" s="20" t="s">
        <v>97</v>
      </c>
      <c r="C35" s="177">
        <f>Statement!M142</f>
        <v>0.60245252494303547</v>
      </c>
      <c r="D35" s="177">
        <f>Statement!N142</f>
        <v>0.21378682052839357</v>
      </c>
      <c r="E35" s="177">
        <f>Statement!O142</f>
        <v>1.0866013555554745</v>
      </c>
      <c r="F35" s="177">
        <f>Statement!P142</f>
        <v>1.5847534085376831</v>
      </c>
      <c r="G35" s="177">
        <f>Statement!Q142</f>
        <v>1.0723937210768841</v>
      </c>
      <c r="I35" s="177">
        <f>Statement!AC142</f>
        <v>1.1082908941558067</v>
      </c>
    </row>
    <row r="37" spans="2:9" ht="17" thickBot="1" x14ac:dyDescent="0.25">
      <c r="B37" s="14" t="s">
        <v>248</v>
      </c>
      <c r="C37" s="14"/>
      <c r="D37" s="14"/>
      <c r="E37" s="14"/>
      <c r="F37" s="14"/>
      <c r="G37" s="14"/>
      <c r="I37" s="14"/>
    </row>
    <row r="38" spans="2:9" x14ac:dyDescent="0.2">
      <c r="B38" s="20" t="s">
        <v>131</v>
      </c>
      <c r="C38" s="176">
        <f>Statement!M143</f>
        <v>63.061975180203611</v>
      </c>
      <c r="D38" s="176">
        <f>Statement!N143</f>
        <v>51.785237636242307</v>
      </c>
      <c r="E38" s="176">
        <f>Statement!O143</f>
        <v>59.906683956534586</v>
      </c>
      <c r="F38" s="176">
        <f>Statement!P143</f>
        <v>64.512785734537957</v>
      </c>
      <c r="G38" s="176">
        <f>Statement!Q143</f>
        <v>65.01907955061175</v>
      </c>
      <c r="I38" s="176">
        <f>Statement!AC143</f>
        <v>58.61805744582648</v>
      </c>
    </row>
    <row r="39" spans="2:9" x14ac:dyDescent="0.2">
      <c r="B39" s="20" t="s">
        <v>132</v>
      </c>
      <c r="C39" s="176">
        <f>Statement!M144</f>
        <v>100.73365822650703</v>
      </c>
      <c r="D39" s="176">
        <f>Statement!N144</f>
        <v>162.079101394388</v>
      </c>
      <c r="E39" s="176">
        <f>Statement!O144</f>
        <v>115.99362252572048</v>
      </c>
      <c r="F39" s="176">
        <f>Statement!P144</f>
        <v>112.72404179049603</v>
      </c>
      <c r="G39" s="176">
        <f>Statement!Q144</f>
        <v>125.043537414966</v>
      </c>
      <c r="I39" s="176">
        <f>Statement!AC144</f>
        <v>143.6687315949282</v>
      </c>
    </row>
    <row r="40" spans="2:9" x14ac:dyDescent="0.2">
      <c r="B40" s="20" t="s">
        <v>133</v>
      </c>
      <c r="C40" s="176">
        <f>Statement!M145</f>
        <v>68.947452060599645</v>
      </c>
      <c r="D40" s="176">
        <f>Statement!N145</f>
        <v>37.480203133069374</v>
      </c>
      <c r="E40" s="176">
        <f>Statement!O145</f>
        <v>59.270501173214605</v>
      </c>
      <c r="F40" s="176">
        <f>Statement!P145</f>
        <v>70.564355525598216</v>
      </c>
      <c r="G40" s="176">
        <f>Statement!Q145</f>
        <v>57.325010004001605</v>
      </c>
      <c r="I40" s="176">
        <f>Statement!AC145</f>
        <v>72.939852606844781</v>
      </c>
    </row>
    <row r="41" spans="2:9" x14ac:dyDescent="0.2">
      <c r="B41" s="20" t="s">
        <v>134</v>
      </c>
      <c r="C41" s="176">
        <f>Statement!M146</f>
        <v>94.848181346110991</v>
      </c>
      <c r="D41" s="176">
        <f>Statement!N146</f>
        <v>176.38413589756092</v>
      </c>
      <c r="E41" s="176">
        <f>Statement!O146</f>
        <v>116.62980530904048</v>
      </c>
      <c r="F41" s="176">
        <f>Statement!P146</f>
        <v>106.67247199943577</v>
      </c>
      <c r="G41" s="176">
        <f>Statement!Q146</f>
        <v>132.73760696157615</v>
      </c>
      <c r="I41" s="176">
        <f>Statement!AC146</f>
        <v>129.34693643390989</v>
      </c>
    </row>
    <row r="43" spans="2:9" ht="17" thickBot="1" x14ac:dyDescent="0.25">
      <c r="B43" s="14" t="s">
        <v>254</v>
      </c>
      <c r="C43" s="14"/>
      <c r="D43" s="14"/>
      <c r="E43" s="14"/>
      <c r="F43" s="14"/>
      <c r="G43" s="14"/>
      <c r="I43" s="14"/>
    </row>
    <row r="44" spans="2:9" x14ac:dyDescent="0.2">
      <c r="B44" s="20" t="s">
        <v>255</v>
      </c>
      <c r="C44" s="182">
        <f>Statement!M147</f>
        <v>0.41131820231474525</v>
      </c>
      <c r="D44" s="182">
        <f>Statement!N147</f>
        <v>0.49558843491244742</v>
      </c>
      <c r="E44" s="182">
        <f>Statement!O147</f>
        <v>0.22590627763041557</v>
      </c>
      <c r="F44" s="182">
        <f>Statement!P147</f>
        <v>0.10668498745698186</v>
      </c>
      <c r="G44" s="182">
        <f>Statement!Q147</f>
        <v>5.3835835033981171E-2</v>
      </c>
      <c r="I44" s="182">
        <f>Statement!AC147</f>
        <v>4.3330570817602339E-2</v>
      </c>
    </row>
    <row r="45" spans="2:9" x14ac:dyDescent="0.2">
      <c r="B45" s="20" t="s">
        <v>256</v>
      </c>
      <c r="C45" s="182">
        <f>Statement!M148</f>
        <v>-0.38561551179918835</v>
      </c>
      <c r="D45" s="182">
        <f>Statement!N148</f>
        <v>-0.10601330256549478</v>
      </c>
      <c r="E45" s="182">
        <f>Statement!O148</f>
        <v>-0.37868211643166272</v>
      </c>
      <c r="F45" s="182">
        <f>Statement!P148</f>
        <v>-0.43802236312982967</v>
      </c>
      <c r="G45" s="182">
        <f>Statement!Q148</f>
        <v>-0.34386781357085183</v>
      </c>
      <c r="I45" s="182">
        <f>Statement!AC148</f>
        <v>-0.36885723932594616</v>
      </c>
    </row>
    <row r="46" spans="2:9" x14ac:dyDescent="0.2">
      <c r="B46" s="20" t="s">
        <v>250</v>
      </c>
      <c r="C46" s="182">
        <f>Statement!M149</f>
        <v>5.9649365628604381</v>
      </c>
      <c r="D46" s="182">
        <f>Statement!N149</f>
        <v>2.6090202651226573</v>
      </c>
      <c r="E46" s="182">
        <f>Statement!O149</f>
        <v>3.3847239206095381</v>
      </c>
      <c r="F46" s="182">
        <f>Statement!P149</f>
        <v>3.672355516152269</v>
      </c>
      <c r="G46" s="182">
        <f>Statement!Q149</f>
        <v>3.1409383453036099</v>
      </c>
      <c r="I46" s="182">
        <f>Statement!AC149</f>
        <v>2.7636951964269438</v>
      </c>
    </row>
    <row r="47" spans="2:9" x14ac:dyDescent="0.2">
      <c r="B47" s="20" t="s">
        <v>251</v>
      </c>
      <c r="C47" s="182">
        <f>Statement!M150</f>
        <v>6.6502883506343711</v>
      </c>
      <c r="D47" s="182">
        <f>Statement!N150</f>
        <v>3.5156178576870332</v>
      </c>
      <c r="E47" s="182">
        <f>Statement!O150</f>
        <v>4.1712915059730973</v>
      </c>
      <c r="F47" s="182">
        <f>Statement!P150</f>
        <v>4.4398514988640772</v>
      </c>
      <c r="G47" s="182">
        <f>Statement!Q150</f>
        <v>3.9052638124553058</v>
      </c>
      <c r="I47" s="182">
        <f>Statement!AC150</f>
        <v>3.440775681341719</v>
      </c>
    </row>
    <row r="48" spans="2:9" x14ac:dyDescent="0.2">
      <c r="B48" s="20" t="s">
        <v>257</v>
      </c>
      <c r="C48" s="184">
        <f>Statement!M151</f>
        <v>48.507246376811594</v>
      </c>
      <c r="D48" s="184" t="str">
        <f>Statement!N151</f>
        <v>N/A</v>
      </c>
      <c r="E48" s="184" t="str">
        <f>Statement!O151</f>
        <v>N/A</v>
      </c>
      <c r="F48" s="184" t="str">
        <f>Statement!P151</f>
        <v>N/A</v>
      </c>
      <c r="G48" s="184" t="str">
        <f>Statement!Q151</f>
        <v>N/A</v>
      </c>
      <c r="I48" s="184" t="str">
        <f>Statement!AC151</f>
        <v>N/A</v>
      </c>
    </row>
    <row r="50" spans="2:9" ht="17" thickBot="1" x14ac:dyDescent="0.25">
      <c r="B50" s="14" t="s">
        <v>266</v>
      </c>
      <c r="C50" s="14"/>
      <c r="D50" s="14"/>
      <c r="E50" s="14"/>
      <c r="F50" s="14"/>
      <c r="G50" s="14"/>
      <c r="I50" s="14"/>
    </row>
    <row r="51" spans="2:9" x14ac:dyDescent="0.2">
      <c r="B51" s="20" t="s">
        <v>264</v>
      </c>
      <c r="C51" s="177">
        <f>Statement!M164</f>
        <v>1.6856392294220666E-2</v>
      </c>
      <c r="D51" s="177">
        <f>Statement!N164</f>
        <v>8.546168958742632E-3</v>
      </c>
      <c r="E51" s="177">
        <f>Statement!O164</f>
        <v>1.9547763395051616E-2</v>
      </c>
      <c r="F51" s="177">
        <f>Statement!P164</f>
        <v>2.061421960454354E-2</v>
      </c>
      <c r="G51" s="177">
        <f>Statement!Q164</f>
        <v>2.6109660574412535E-2</v>
      </c>
      <c r="I51" s="177">
        <f ca="1">Statement!AC164</f>
        <v>3.2581578684761997E-2</v>
      </c>
    </row>
    <row r="52" spans="2:9" x14ac:dyDescent="0.2">
      <c r="B52" s="20" t="s">
        <v>267</v>
      </c>
      <c r="C52" s="177">
        <f>Statement!M163</f>
        <v>1.0525744445642981E-2</v>
      </c>
      <c r="D52" s="177">
        <f>Statement!N163</f>
        <v>2.1678067870696933E-3</v>
      </c>
      <c r="E52" s="177">
        <f>Statement!O163</f>
        <v>1.5231593616513875E-2</v>
      </c>
      <c r="F52" s="177">
        <f>Statement!P163</f>
        <v>1.5962722712993357E-2</v>
      </c>
      <c r="G52" s="177">
        <f>Statement!Q163</f>
        <v>1.9673296252289359E-2</v>
      </c>
      <c r="I52" s="177">
        <f ca="1">Statement!AC163</f>
        <v>2.3040896158798882E-2</v>
      </c>
    </row>
    <row r="53" spans="2:9" x14ac:dyDescent="0.2">
      <c r="B53" s="20" t="s">
        <v>265</v>
      </c>
      <c r="C53" s="177">
        <f>Statement!M165</f>
        <v>7.0052539404553418E-4</v>
      </c>
      <c r="D53" s="177">
        <f>Statement!N165</f>
        <v>7.8585461689587434E-4</v>
      </c>
      <c r="E53" s="177">
        <f>Statement!O165</f>
        <v>2.6216614779616586E-4</v>
      </c>
      <c r="F53" s="177">
        <f>Statement!P165</f>
        <v>2.3839573692329268E-4</v>
      </c>
      <c r="G53" s="177">
        <f>Statement!Q165</f>
        <v>2.1314008632173498E-4</v>
      </c>
      <c r="I53" s="177">
        <f ca="1">Statement!AC165</f>
        <v>1.9958088015168147E-4</v>
      </c>
    </row>
    <row r="54" spans="2:9" x14ac:dyDescent="0.2">
      <c r="B54" s="20" t="s">
        <v>290</v>
      </c>
      <c r="C54" s="177">
        <f>Statement!M166</f>
        <v>0</v>
      </c>
      <c r="D54" s="177">
        <f>Statement!N166</f>
        <v>1.9802195027654824E-2</v>
      </c>
      <c r="E54" s="177">
        <f>Statement!O166</f>
        <v>6.1862125914377451E-3</v>
      </c>
      <c r="F54" s="177">
        <f>Statement!P166</f>
        <v>9.5879879493220143E-3</v>
      </c>
      <c r="G54" s="177">
        <f>Statement!Q166</f>
        <v>8.7343421593672754E-3</v>
      </c>
      <c r="I54" s="177">
        <f ca="1">Statement!AC166</f>
        <v>9.300362265369037E-3</v>
      </c>
    </row>
    <row r="55" spans="2:9" x14ac:dyDescent="0.2">
      <c r="B55" s="20" t="s">
        <v>292</v>
      </c>
      <c r="C55" s="177">
        <f>Statement!M167</f>
        <v>6.853413893295609E-4</v>
      </c>
      <c r="D55" s="177">
        <f>Statement!N167</f>
        <v>2.0587260633891165E-2</v>
      </c>
      <c r="E55" s="177">
        <f>Statement!O167</f>
        <v>6.4425384042582539E-3</v>
      </c>
      <c r="F55" s="177">
        <f>Statement!P167</f>
        <v>9.8252270743957263E-3</v>
      </c>
      <c r="G55" s="177">
        <f>Statement!Q167</f>
        <v>8.946567107309792E-3</v>
      </c>
      <c r="I55" s="177">
        <f ca="1">Statement!AC167</f>
        <v>9.5001073758273647E-3</v>
      </c>
    </row>
    <row r="57" spans="2:9" ht="17" thickBot="1" x14ac:dyDescent="0.25">
      <c r="B57" s="14" t="s">
        <v>269</v>
      </c>
      <c r="C57" s="14"/>
      <c r="D57" s="14"/>
      <c r="E57" s="14"/>
      <c r="F57" s="14"/>
      <c r="G57" s="14"/>
      <c r="I57" s="14"/>
    </row>
    <row r="58" spans="2:9" x14ac:dyDescent="0.2">
      <c r="B58" s="20" t="s">
        <v>268</v>
      </c>
      <c r="C58" s="177">
        <f>Statement!M170</f>
        <v>6.5110966057441252E-2</v>
      </c>
      <c r="D58" s="177">
        <f>Statement!N170</f>
        <v>0.36214740673339402</v>
      </c>
      <c r="E58" s="177">
        <f>Statement!O170</f>
        <v>1.6828561690524879E-2</v>
      </c>
      <c r="F58" s="177">
        <f>Statement!P170</f>
        <v>1.4862071423479934E-2</v>
      </c>
      <c r="G58" s="177">
        <f>Statement!Q170</f>
        <v>1.0787462620445233E-2</v>
      </c>
      <c r="I58" s="177">
        <f>Statement!AC170</f>
        <v>8.6691554478469674E-3</v>
      </c>
    </row>
    <row r="59" spans="2:9" x14ac:dyDescent="0.2">
      <c r="B59" s="20" t="s">
        <v>270</v>
      </c>
      <c r="C59" s="177">
        <f>Statement!M171</f>
        <v>0</v>
      </c>
      <c r="D59" s="177">
        <f>Statement!N171</f>
        <v>9.1346678798908094</v>
      </c>
      <c r="E59" s="177">
        <f>Statement!O171</f>
        <v>0.40614349011588274</v>
      </c>
      <c r="F59" s="177">
        <f>Statement!P171</f>
        <v>0.60064865635469389</v>
      </c>
      <c r="G59" s="177">
        <f>Statement!Q171</f>
        <v>0.44396943183076754</v>
      </c>
      <c r="I59" s="177">
        <f>Statement!AC171</f>
        <v>0.40364585653572349</v>
      </c>
    </row>
    <row r="60" spans="2:9" x14ac:dyDescent="0.2">
      <c r="B60" s="20" t="s">
        <v>271</v>
      </c>
      <c r="C60" s="177">
        <f>Statement!M172</f>
        <v>6.5110966057441252E-2</v>
      </c>
      <c r="D60" s="177">
        <f>Statement!N172</f>
        <v>9.4968152866242033</v>
      </c>
      <c r="E60" s="177">
        <f>Statement!O172</f>
        <v>0.42297205180640762</v>
      </c>
      <c r="F60" s="177">
        <f>Statement!P172</f>
        <v>0.61551072777817373</v>
      </c>
      <c r="G60" s="177">
        <f>Statement!Q172</f>
        <v>0.45475689445121276</v>
      </c>
      <c r="I60" s="177">
        <f>Statement!AC172</f>
        <v>0.41231501198357046</v>
      </c>
    </row>
    <row r="62" spans="2:9" ht="17" thickBot="1" x14ac:dyDescent="0.25">
      <c r="B62" s="14" t="s">
        <v>277</v>
      </c>
      <c r="C62" s="14"/>
      <c r="D62" s="14"/>
      <c r="E62" s="14"/>
      <c r="F62" s="14"/>
      <c r="G62" s="14"/>
      <c r="I62" s="14"/>
    </row>
    <row r="63" spans="2:9" x14ac:dyDescent="0.2">
      <c r="B63" s="20" t="s">
        <v>275</v>
      </c>
      <c r="C63" s="177">
        <f>Statement!M173</f>
        <v>3.9623381718320909E-2</v>
      </c>
      <c r="D63" s="177">
        <f>Statement!N173</f>
        <v>3.9759036144578312E-2</v>
      </c>
      <c r="E63" s="177">
        <f>Statement!O173</f>
        <v>4.118811881188119E-2</v>
      </c>
      <c r="F63" s="177">
        <f>Statement!P173</f>
        <v>4.1380989086778369E-2</v>
      </c>
      <c r="G63" s="177">
        <f>Statement!Q173</f>
        <v>3.9133101615211614E-2</v>
      </c>
      <c r="I63" s="177">
        <f>Statement!AC173</f>
        <v>3.9374614276897757E-2</v>
      </c>
    </row>
    <row r="65" spans="2:9" ht="17" thickBot="1" x14ac:dyDescent="0.25">
      <c r="B65" s="14" t="s">
        <v>283</v>
      </c>
      <c r="C65" s="14"/>
      <c r="D65" s="14"/>
      <c r="E65" s="14"/>
      <c r="F65" s="14"/>
      <c r="G65" s="14"/>
      <c r="I65" s="14"/>
    </row>
    <row r="66" spans="2:9" x14ac:dyDescent="0.2">
      <c r="B66" s="20" t="s">
        <v>276</v>
      </c>
      <c r="C66" s="176">
        <f>Statement!M174</f>
        <v>0.84494023904382465</v>
      </c>
      <c r="D66" s="176">
        <f>Statement!N174</f>
        <v>0.53829959514170045</v>
      </c>
      <c r="E66" s="176">
        <f>Statement!O174</f>
        <v>1.0393600000000001</v>
      </c>
      <c r="F66" s="176">
        <f>Statement!P174</f>
        <v>1.7709016393442623</v>
      </c>
      <c r="G66" s="176">
        <f>Statement!Q174</f>
        <v>2.5743209876543212</v>
      </c>
      <c r="I66" s="176">
        <f>Statement!AC174</f>
        <v>3.3294214876033057</v>
      </c>
    </row>
    <row r="67" spans="2:9" x14ac:dyDescent="0.2">
      <c r="B67" s="20" t="s">
        <v>284</v>
      </c>
      <c r="C67" s="176">
        <f>Statement!M177</f>
        <v>0.40884462151394424</v>
      </c>
      <c r="D67" s="176">
        <f>Statement!N177</f>
        <v>9.4858299595141707E-2</v>
      </c>
      <c r="E67" s="176">
        <f>Statement!O177</f>
        <v>0.65100000000000002</v>
      </c>
      <c r="F67" s="176">
        <f>Statement!P177</f>
        <v>1.4240573770491802</v>
      </c>
      <c r="G67" s="176">
        <f>Statement!Q177</f>
        <v>2.2258436213991768</v>
      </c>
      <c r="I67" s="176">
        <f>Statement!AC177</f>
        <v>2.9794214876033056</v>
      </c>
    </row>
    <row r="68" spans="2:9" x14ac:dyDescent="0.2">
      <c r="B68" s="20" t="s">
        <v>289</v>
      </c>
      <c r="C68" s="198">
        <f>Statement!M178</f>
        <v>1.7626499592230463E-2</v>
      </c>
      <c r="D68" s="198">
        <f>Statement!N178</f>
        <v>4.6216299382204652E-3</v>
      </c>
      <c r="E68" s="198">
        <f>Statement!O178</f>
        <v>1.0561272414313365E-2</v>
      </c>
      <c r="F68" s="198">
        <f>Statement!P178</f>
        <v>9.8841101665902813E-3</v>
      </c>
      <c r="G68" s="198">
        <f>Statement!Q178</f>
        <v>1.1785239203608671E-2</v>
      </c>
      <c r="I68" s="198">
        <f ca="1">Statement!AC178</f>
        <v>1.4801666962247006E-2</v>
      </c>
    </row>
    <row r="70" spans="2:9" ht="17" thickBot="1" x14ac:dyDescent="0.25">
      <c r="B70" s="14" t="s">
        <v>304</v>
      </c>
      <c r="C70" s="14"/>
      <c r="D70" s="14"/>
      <c r="E70" s="14"/>
      <c r="F70" s="14"/>
      <c r="G70" s="14"/>
      <c r="I70" s="14"/>
    </row>
    <row r="71" spans="2:9" x14ac:dyDescent="0.2">
      <c r="B71" s="20" t="s">
        <v>278</v>
      </c>
      <c r="C71" s="177">
        <f>Statement!M175</f>
        <v>0.22002635046113306</v>
      </c>
      <c r="D71" s="177">
        <f>Statement!N175</f>
        <v>0.48023400106364122</v>
      </c>
      <c r="E71" s="177">
        <f>Statement!O175</f>
        <v>0.1263438946244215</v>
      </c>
      <c r="F71" s="177">
        <f>Statement!P175</f>
        <v>7.3912839956934887E-2</v>
      </c>
      <c r="G71" s="177">
        <f>Statement!Q175</f>
        <v>6.217021359450145E-2</v>
      </c>
      <c r="I71" s="177">
        <f>Statement!AC175</f>
        <v>5.4437361220542942E-2</v>
      </c>
    </row>
    <row r="72" spans="2:9" x14ac:dyDescent="0.2">
      <c r="B72" s="20" t="s">
        <v>279</v>
      </c>
      <c r="C72" s="177">
        <f>Statement!M176</f>
        <v>7.4459389165490081E-2</v>
      </c>
      <c r="D72" s="177">
        <f>Statement!N176</f>
        <v>0.10043004374582931</v>
      </c>
      <c r="E72" s="177">
        <f>Statement!O176</f>
        <v>5.8254817635665278E-2</v>
      </c>
      <c r="F72" s="177">
        <f>Statement!P176</f>
        <v>3.629968505023104E-2</v>
      </c>
      <c r="G72" s="177">
        <f>Statement!Q176</f>
        <v>2.9573303448211987E-2</v>
      </c>
      <c r="I72" s="177">
        <f>Statement!AC176</f>
        <v>2.6983206504372935E-2</v>
      </c>
    </row>
    <row r="74" spans="2:9" ht="17" thickBot="1" x14ac:dyDescent="0.25">
      <c r="B74" s="14" t="s">
        <v>305</v>
      </c>
      <c r="C74" s="14"/>
      <c r="D74" s="14"/>
      <c r="E74" s="14"/>
      <c r="F74" s="14"/>
      <c r="G74" s="14"/>
      <c r="I74" s="14"/>
    </row>
    <row r="75" spans="2:9" x14ac:dyDescent="0.2">
      <c r="B75" s="20" t="s">
        <v>302</v>
      </c>
      <c r="C75" s="177">
        <f>Statement!M179</f>
        <v>3.6263654603552055E-2</v>
      </c>
      <c r="D75" s="177">
        <f>Statement!N179</f>
        <v>6.7954326388373995E-2</v>
      </c>
      <c r="E75" s="177">
        <f>Statement!O179</f>
        <v>1.7547027346442992E-2</v>
      </c>
      <c r="F75" s="177">
        <f>Statement!P179</f>
        <v>2.4797504923484832E-2</v>
      </c>
      <c r="G75" s="177">
        <f>Statement!Q179</f>
        <v>2.7980253591308617E-2</v>
      </c>
      <c r="I75" s="177">
        <f>Statement!AC179</f>
        <v>2.5925969758295166E-2</v>
      </c>
    </row>
    <row r="76" spans="2:9" x14ac:dyDescent="0.2">
      <c r="B76" s="20" t="s">
        <v>299</v>
      </c>
      <c r="C76" s="177">
        <f>Statement!M180</f>
        <v>0.10715854194115064</v>
      </c>
      <c r="D76" s="177">
        <f>Statement!N180</f>
        <v>0.32494238610175502</v>
      </c>
      <c r="E76" s="177">
        <f>Statement!O180</f>
        <v>3.8056247775008899E-2</v>
      </c>
      <c r="F76" s="177">
        <f>Statement!P180</f>
        <v>5.0492284167329808E-2</v>
      </c>
      <c r="G76" s="177">
        <f>Statement!Q180</f>
        <v>5.8821238731283712E-2</v>
      </c>
      <c r="I76" s="177">
        <f>Statement!AC180</f>
        <v>5.2304435371550904E-2</v>
      </c>
    </row>
    <row r="77" spans="2:9" x14ac:dyDescent="0.2">
      <c r="B77" s="20" t="s">
        <v>300</v>
      </c>
      <c r="C77" s="177">
        <f>Statement!M181</f>
        <v>0.83134582623509368</v>
      </c>
      <c r="D77" s="177">
        <f>Statement!N181</f>
        <v>1.1871761658031088</v>
      </c>
      <c r="E77" s="177">
        <f>Statement!O181</f>
        <v>0.70888594164456231</v>
      </c>
      <c r="F77" s="177">
        <f>Statement!P181</f>
        <v>1.7360515021459229</v>
      </c>
      <c r="G77" s="177">
        <f>Statement!Q181</f>
        <v>2.1252198381990857</v>
      </c>
      <c r="I77" s="177">
        <f>Statement!AC181</f>
        <v>2.0359355638166048</v>
      </c>
    </row>
    <row r="79" spans="2:9" ht="17" thickBot="1" x14ac:dyDescent="0.25">
      <c r="B79" s="14" t="s">
        <v>114</v>
      </c>
      <c r="C79" s="14"/>
      <c r="D79" s="14"/>
      <c r="E79" s="14"/>
      <c r="F79" s="14"/>
      <c r="G79" s="14"/>
      <c r="I79" s="14"/>
    </row>
    <row r="80" spans="2:9" x14ac:dyDescent="0.2">
      <c r="B80" s="20" t="s">
        <v>19</v>
      </c>
      <c r="C80" s="177">
        <f>Statement!M88</f>
        <v>1</v>
      </c>
      <c r="D80" s="177">
        <f>Statement!N88</f>
        <v>2.2293230289068887E-3</v>
      </c>
      <c r="E80" s="177">
        <f>Statement!O88</f>
        <v>1.2585452658115222</v>
      </c>
      <c r="F80" s="177">
        <f>Statement!P88</f>
        <v>1.1420340763599357</v>
      </c>
      <c r="G80" s="177">
        <f>Statement!Q88</f>
        <v>0.65473535790094795</v>
      </c>
      <c r="I80" s="199"/>
    </row>
    <row r="81" spans="2:9" x14ac:dyDescent="0.2">
      <c r="B81" s="20" t="s">
        <v>20</v>
      </c>
      <c r="C81" s="177">
        <f>Statement!M89</f>
        <v>1</v>
      </c>
      <c r="D81" s="177">
        <f>Statement!N89</f>
        <v>0.23085072571246953</v>
      </c>
      <c r="E81" s="177">
        <f>Statement!O89</f>
        <v>0.43062489240833191</v>
      </c>
      <c r="F81" s="177">
        <f>Statement!P89</f>
        <v>0.9637205944287347</v>
      </c>
      <c r="G81" s="177">
        <f>Statement!Q89</f>
        <v>0.91412114341738415</v>
      </c>
      <c r="I81" s="199"/>
    </row>
    <row r="82" spans="2:9" x14ac:dyDescent="0.2">
      <c r="B82" s="20" t="s">
        <v>21</v>
      </c>
      <c r="C82" s="177">
        <f>Statement!M90</f>
        <v>1</v>
      </c>
      <c r="D82" s="177">
        <f>Statement!N90</f>
        <v>-0.12125894134477826</v>
      </c>
      <c r="E82" s="177">
        <f>Statement!O90</f>
        <v>1.8849309716071894</v>
      </c>
      <c r="F82" s="177">
        <f>Statement!P90</f>
        <v>1.208934335568046</v>
      </c>
      <c r="G82" s="177">
        <f>Statement!Q90</f>
        <v>0.56822130025138462</v>
      </c>
      <c r="I82" s="199"/>
    </row>
    <row r="83" spans="2:9" x14ac:dyDescent="0.2">
      <c r="B83" s="20" t="s">
        <v>23</v>
      </c>
      <c r="C83" s="177">
        <f>Statement!M93</f>
        <v>1</v>
      </c>
      <c r="D83" s="177">
        <f>Statement!N93</f>
        <v>0.49744417541027708</v>
      </c>
      <c r="E83" s="177">
        <f>Statement!O93</f>
        <v>1.7696730147323033E-2</v>
      </c>
      <c r="F83" s="177">
        <f>Statement!P93</f>
        <v>0.44805366757878012</v>
      </c>
      <c r="G83" s="177">
        <f>Statement!Q93</f>
        <v>0.40664431575739102</v>
      </c>
      <c r="I83" s="199"/>
    </row>
    <row r="84" spans="2:9" x14ac:dyDescent="0.2">
      <c r="B84" s="20" t="s">
        <v>306</v>
      </c>
      <c r="C84" s="177">
        <f>Statement!M94</f>
        <v>1</v>
      </c>
      <c r="D84" s="177">
        <f>Statement!N94</f>
        <v>-0.57932476844935765</v>
      </c>
      <c r="E84" s="177">
        <f>Statement!O94</f>
        <v>6.8058712121212119</v>
      </c>
      <c r="F84" s="177">
        <f>Statement!P94</f>
        <v>1.470368797767803</v>
      </c>
      <c r="G84" s="177">
        <f>Statement!Q94</f>
        <v>0.60076363055995485</v>
      </c>
      <c r="I84" s="199"/>
    </row>
    <row r="85" spans="2:9" x14ac:dyDescent="0.2">
      <c r="B85" s="20" t="s">
        <v>307</v>
      </c>
      <c r="C85" s="177">
        <f>Statement!M96</f>
        <v>1</v>
      </c>
      <c r="D85" s="177">
        <f>Statement!N96</f>
        <v>-0.55209187858900743</v>
      </c>
      <c r="E85" s="177">
        <f>Statement!O96</f>
        <v>5.813186813186813</v>
      </c>
      <c r="F85" s="177">
        <f>Statement!P96</f>
        <v>1.4489247311827957</v>
      </c>
      <c r="G85" s="177">
        <f>Statement!Q96</f>
        <v>0.6474615806805708</v>
      </c>
      <c r="I85" s="199"/>
    </row>
    <row r="88" spans="2:9" ht="17" thickBot="1" x14ac:dyDescent="0.25">
      <c r="B88" s="14" t="s">
        <v>308</v>
      </c>
      <c r="C88" s="14"/>
      <c r="D88" s="14"/>
      <c r="E88" s="14"/>
      <c r="F88" s="14"/>
      <c r="G88" s="14"/>
      <c r="I88" s="14"/>
    </row>
    <row r="89" spans="2:9" x14ac:dyDescent="0.2">
      <c r="B89" s="226" t="s">
        <v>371</v>
      </c>
      <c r="C89" s="177">
        <f>Statement!M193</f>
        <v>0</v>
      </c>
      <c r="D89" s="177">
        <f>Statement!N193</f>
        <v>0</v>
      </c>
      <c r="E89" s="177">
        <f>Statement!O193</f>
        <v>0</v>
      </c>
      <c r="F89" s="177">
        <f>Statement!P193</f>
        <v>1</v>
      </c>
      <c r="G89" s="177">
        <f>Statement!Q193</f>
        <v>0.96364041936203437</v>
      </c>
      <c r="I89" s="199"/>
    </row>
    <row r="90" spans="2:9" x14ac:dyDescent="0.2">
      <c r="B90" s="226" t="s">
        <v>372</v>
      </c>
      <c r="C90" s="177">
        <f>Statement!M194</f>
        <v>0</v>
      </c>
      <c r="D90" s="177">
        <f>Statement!N194</f>
        <v>0</v>
      </c>
      <c r="E90" s="177">
        <f>Statement!O194</f>
        <v>0</v>
      </c>
      <c r="F90" s="177">
        <f>Statement!P194</f>
        <v>1</v>
      </c>
      <c r="G90" s="177">
        <f>Statement!Q194</f>
        <v>0.43510343704186349</v>
      </c>
      <c r="I90" s="199"/>
    </row>
    <row r="91" spans="2:9" x14ac:dyDescent="0.2">
      <c r="B91" s="20" t="s">
        <v>373</v>
      </c>
      <c r="C91" s="177">
        <f>Statement!M195</f>
        <v>0</v>
      </c>
      <c r="D91" s="177">
        <f>Statement!N195</f>
        <v>0</v>
      </c>
      <c r="E91" s="177">
        <f>Statement!O195</f>
        <v>0</v>
      </c>
      <c r="F91" s="177">
        <f>Statement!P195</f>
        <v>1</v>
      </c>
      <c r="G91" s="177">
        <f>Statement!Q195</f>
        <v>0.68194919521469621</v>
      </c>
      <c r="I91" s="199"/>
    </row>
    <row r="92" spans="2:9" x14ac:dyDescent="0.2">
      <c r="B92" s="20" t="s">
        <v>374</v>
      </c>
      <c r="C92" s="177">
        <f>Statement!M196</f>
        <v>0</v>
      </c>
      <c r="D92" s="177">
        <f>Statement!N196</f>
        <v>0</v>
      </c>
      <c r="E92" s="177">
        <f>Statement!O196</f>
        <v>0</v>
      </c>
      <c r="F92" s="177">
        <f>Statement!P196</f>
        <v>1</v>
      </c>
      <c r="G92" s="177">
        <f>Statement!Q196</f>
        <v>0.4500032656260205</v>
      </c>
      <c r="I92" s="199"/>
    </row>
    <row r="94" spans="2:9" ht="17" thickBot="1" x14ac:dyDescent="0.25">
      <c r="B94" s="14" t="s">
        <v>310</v>
      </c>
      <c r="C94" s="14"/>
      <c r="D94" s="14"/>
      <c r="E94" s="14"/>
      <c r="F94" s="14"/>
      <c r="G94" s="14"/>
      <c r="I94" s="14"/>
    </row>
    <row r="95" spans="2:9" x14ac:dyDescent="0.2">
      <c r="B95" s="20" t="s">
        <v>282</v>
      </c>
      <c r="C95" s="177">
        <f>Statement!M199</f>
        <v>0</v>
      </c>
      <c r="D95" s="177">
        <f>Statement!N200</f>
        <v>-2.5062656641604009E-3</v>
      </c>
      <c r="E95" s="177">
        <f>Statement!O200</f>
        <v>-7.537688442211055E-3</v>
      </c>
      <c r="F95" s="177">
        <f>Statement!P200</f>
        <v>1.1113924050632911</v>
      </c>
      <c r="G95" s="177">
        <f>Statement!Q200</f>
        <v>0.16786570743405277</v>
      </c>
      <c r="I95"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6" zoomScale="180" workbookViewId="0">
      <selection activeCell="F30" sqref="F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7" t="s">
        <v>311</v>
      </c>
      <c r="D3" s="238"/>
      <c r="F3" s="239" t="s">
        <v>312</v>
      </c>
      <c r="G3" s="238"/>
    </row>
    <row r="4" spans="2:7" x14ac:dyDescent="0.2">
      <c r="B4" s="8"/>
      <c r="C4" s="10" t="str">
        <f>Statement!Z2</f>
        <v>25.01.2026</v>
      </c>
      <c r="D4" s="205" t="str">
        <f>Statement!AA2</f>
        <v>26.04.2026</v>
      </c>
      <c r="F4" s="206" t="str">
        <f>Statement!W2</f>
        <v>27.04.2025</v>
      </c>
      <c r="G4" s="205" t="str">
        <f>Statement!AA2</f>
        <v>26.04.2026</v>
      </c>
    </row>
    <row r="5" spans="2:7" x14ac:dyDescent="0.2">
      <c r="B5" s="8" t="s">
        <v>317</v>
      </c>
      <c r="C5" s="10" t="str">
        <f>Statement!Z3</f>
        <v>Q4 2026</v>
      </c>
      <c r="D5" s="205" t="str">
        <f>Statement!AA3</f>
        <v>Q1 2027</v>
      </c>
      <c r="F5" s="206" t="str">
        <f>Statement!W3</f>
        <v>Q1 2026</v>
      </c>
      <c r="G5" s="205" t="str">
        <f>Statement!AA3</f>
        <v>Q1 2027</v>
      </c>
    </row>
    <row r="6" spans="2:7" x14ac:dyDescent="0.2">
      <c r="B6" s="207" t="s">
        <v>19</v>
      </c>
      <c r="C6" s="201">
        <f>Statement!Z5</f>
        <v>68127</v>
      </c>
      <c r="D6" s="200">
        <f>Statement!AA5</f>
        <v>81615</v>
      </c>
      <c r="F6" s="201">
        <f>Statement!W5</f>
        <v>44062</v>
      </c>
      <c r="G6" s="200">
        <f>Statement!AA5</f>
        <v>81615</v>
      </c>
    </row>
    <row r="7" spans="2:7" x14ac:dyDescent="0.2">
      <c r="B7" s="208" t="s">
        <v>313</v>
      </c>
      <c r="C7" s="235">
        <f>Statement!AA88</f>
        <v>0.19798317847549429</v>
      </c>
      <c r="D7" s="236"/>
      <c r="F7" s="235">
        <f>IF(F6=0,
IF(G6=0,0,IF(G6&gt;0,1,-1)),
(G6-F6)/ABS(F6)
)</f>
        <v>0.85227633788752211</v>
      </c>
      <c r="G7" s="236"/>
    </row>
    <row r="8" spans="2:7" x14ac:dyDescent="0.2">
      <c r="B8" s="209" t="s">
        <v>20</v>
      </c>
      <c r="C8" s="202">
        <f>Statement!Z6</f>
        <v>17034</v>
      </c>
      <c r="D8" s="200">
        <f>Statement!AA6</f>
        <v>20458</v>
      </c>
      <c r="F8" s="202">
        <f>Statement!W6</f>
        <v>17394</v>
      </c>
      <c r="G8" s="200">
        <f>Statement!AA6</f>
        <v>20458</v>
      </c>
    </row>
    <row r="9" spans="2:7" x14ac:dyDescent="0.2">
      <c r="B9" s="208" t="s">
        <v>313</v>
      </c>
      <c r="C9" s="235">
        <f>Statement!AA89</f>
        <v>0.20100974521545145</v>
      </c>
      <c r="D9" s="236"/>
      <c r="F9" s="235">
        <f>IF(F8=0,
IF(G8=0,0,IF(G8&gt;0,1,-1)),
(G8-F8)/ABS(F8)
)</f>
        <v>0.17615269633206854</v>
      </c>
      <c r="G9" s="236"/>
    </row>
    <row r="10" spans="2:7" x14ac:dyDescent="0.2">
      <c r="B10" s="209" t="s">
        <v>21</v>
      </c>
      <c r="C10" s="202">
        <f>Statement!Z7</f>
        <v>51093</v>
      </c>
      <c r="D10" s="200">
        <f>Statement!AA7</f>
        <v>61157</v>
      </c>
      <c r="F10" s="202">
        <f>Statement!W7</f>
        <v>26668</v>
      </c>
      <c r="G10" s="200">
        <f>Statement!AA7</f>
        <v>61157</v>
      </c>
    </row>
    <row r="11" spans="2:7" x14ac:dyDescent="0.2">
      <c r="B11" s="208" t="s">
        <v>313</v>
      </c>
      <c r="C11" s="235">
        <f>Statement!AA90</f>
        <v>0.19697414518622902</v>
      </c>
      <c r="D11" s="236"/>
      <c r="F11" s="235">
        <f>IF(F10=0,
IF(G10=0,0,IF(G10&gt;0,1,-1)),
(G10-F10)/ABS(F10)
)</f>
        <v>1.293272836358182</v>
      </c>
      <c r="G11" s="236"/>
    </row>
    <row r="12" spans="2:7" x14ac:dyDescent="0.2">
      <c r="B12" s="209" t="s">
        <v>23</v>
      </c>
      <c r="C12" s="202">
        <f>Statement!Z10</f>
        <v>6794</v>
      </c>
      <c r="D12" s="200">
        <f>Statement!AA10</f>
        <v>7621</v>
      </c>
      <c r="F12" s="202">
        <f>Statement!W10</f>
        <v>5030</v>
      </c>
      <c r="G12" s="200">
        <f>Statement!AA10</f>
        <v>7621</v>
      </c>
    </row>
    <row r="13" spans="2:7" x14ac:dyDescent="0.2">
      <c r="B13" s="208" t="s">
        <v>313</v>
      </c>
      <c r="C13" s="235">
        <f>Statement!AA93</f>
        <v>0.12172505151604357</v>
      </c>
      <c r="D13" s="236"/>
      <c r="F13" s="235">
        <f>IF(F12=0,
IF(G12=0,0,IF(G12&gt;0,1,-1)),
(G12-F12)/ABS(F12)
)</f>
        <v>0.51510934393638175</v>
      </c>
      <c r="G13" s="236"/>
    </row>
    <row r="14" spans="2:7" x14ac:dyDescent="0.2">
      <c r="B14" s="209" t="s">
        <v>314</v>
      </c>
      <c r="C14" s="202">
        <f>Statement!Z11</f>
        <v>44299</v>
      </c>
      <c r="D14" s="200">
        <f>Statement!AA11</f>
        <v>53536</v>
      </c>
      <c r="F14" s="202">
        <f>Statement!W11</f>
        <v>21638</v>
      </c>
      <c r="G14" s="200">
        <f>Statement!AA11</f>
        <v>53536</v>
      </c>
    </row>
    <row r="15" spans="2:7" x14ac:dyDescent="0.2">
      <c r="B15" s="208" t="s">
        <v>313</v>
      </c>
      <c r="C15" s="235">
        <f>Statement!AA94</f>
        <v>0.20851486489537011</v>
      </c>
      <c r="D15" s="236"/>
      <c r="F15" s="235">
        <f>IF(F14=0,
IF(G14=0,0,IF(G14&gt;0,1,-1)),
(G14-F14)/ABS(F14)
)</f>
        <v>1.4741658193918108</v>
      </c>
      <c r="G15" s="236"/>
    </row>
    <row r="16" spans="2:7" x14ac:dyDescent="0.2">
      <c r="B16" s="209" t="s">
        <v>29</v>
      </c>
      <c r="C16" s="202">
        <f>Statement!Z17</f>
        <v>42960</v>
      </c>
      <c r="D16" s="200">
        <f>Statement!AA17</f>
        <v>58321</v>
      </c>
      <c r="F16" s="202">
        <f>Statement!W17</f>
        <v>18775</v>
      </c>
      <c r="G16" s="200">
        <f>Statement!AA17</f>
        <v>58321</v>
      </c>
    </row>
    <row r="17" spans="2:7" x14ac:dyDescent="0.2">
      <c r="B17" s="208" t="s">
        <v>313</v>
      </c>
      <c r="C17" s="235">
        <f>Statement!AA96</f>
        <v>0.35756517690875234</v>
      </c>
      <c r="D17" s="236"/>
      <c r="F17" s="235">
        <f>IF(F16=0,
IF(G16=0,0,IF(G16&gt;0,1,-1)),
(G16-F16)/ABS(F16)
)</f>
        <v>2.1063115845539282</v>
      </c>
      <c r="G17" s="236"/>
    </row>
    <row r="18" spans="2:7" x14ac:dyDescent="0.2">
      <c r="B18" s="209" t="s">
        <v>315</v>
      </c>
      <c r="C18" s="202">
        <f>Statement!Z21</f>
        <v>24432</v>
      </c>
      <c r="D18" s="200">
        <f>Statement!AA21</f>
        <v>24391</v>
      </c>
      <c r="F18" s="202">
        <f>Statement!W21</f>
        <v>24611</v>
      </c>
      <c r="G18" s="200">
        <f>Statement!AA21</f>
        <v>24391</v>
      </c>
    </row>
    <row r="19" spans="2:7" x14ac:dyDescent="0.2">
      <c r="B19" s="208" t="s">
        <v>313</v>
      </c>
      <c r="C19" s="235">
        <f>IF(C18=0,
IF(D18=0,0,IF(D18&gt;0,1,-1)),
(D18-C18)/ABS(C18)
)</f>
        <v>-1.6781270464963983E-3</v>
      </c>
      <c r="D19" s="236"/>
      <c r="F19" s="235">
        <f>IF(F18=0,
IF(G18=0,0,IF(G18&gt;0,1,-1)),
(G18-F18)/ABS(F18)
)</f>
        <v>-8.9390922758116297E-3</v>
      </c>
      <c r="G19" s="236"/>
    </row>
    <row r="20" spans="2:7" x14ac:dyDescent="0.2">
      <c r="B20" s="209" t="s">
        <v>36</v>
      </c>
      <c r="C20" s="203">
        <f>Statement!Z25</f>
        <v>1.76</v>
      </c>
      <c r="D20" s="204">
        <f>Statement!AA25</f>
        <v>2.39</v>
      </c>
      <c r="F20" s="203">
        <f>Statement!W25</f>
        <v>0.76</v>
      </c>
      <c r="G20" s="204">
        <f>Statement!AA25</f>
        <v>2.39</v>
      </c>
    </row>
    <row r="21" spans="2:7" x14ac:dyDescent="0.2">
      <c r="B21" s="208" t="s">
        <v>313</v>
      </c>
      <c r="C21" s="235">
        <f>IF(C20=0,
IF(D20=0,0,IF(D20&gt;0,1,-1)),
(D20-C20)/ABS(C20)
)</f>
        <v>0.35795454545454553</v>
      </c>
      <c r="D21" s="236"/>
      <c r="F21" s="235">
        <f>IF(F20=0,
IF(G20=0,0,IF(G20&gt;0,1,-1)),
(G20-F20)/ABS(F20)
)</f>
        <v>2.1447368421052633</v>
      </c>
      <c r="G21" s="236"/>
    </row>
    <row r="23" spans="2:7" x14ac:dyDescent="0.2">
      <c r="B23" s="8" t="s">
        <v>316</v>
      </c>
      <c r="C23" s="10" t="str">
        <f>C5</f>
        <v>Q4 2026</v>
      </c>
      <c r="D23" s="205" t="str">
        <f>D5</f>
        <v>Q1 2027</v>
      </c>
      <c r="F23" s="206" t="str">
        <f>F5</f>
        <v>Q1 2026</v>
      </c>
      <c r="G23" s="205" t="str">
        <f>G5</f>
        <v>Q1 2027</v>
      </c>
    </row>
    <row r="24" spans="2:7" x14ac:dyDescent="0.2">
      <c r="B24" s="226" t="s">
        <v>371</v>
      </c>
      <c r="C24" s="202">
        <f>Statement!Z186</f>
        <v>33814</v>
      </c>
      <c r="D24" s="200">
        <f>Statement!AA186</f>
        <v>37869</v>
      </c>
      <c r="F24" s="202">
        <f>Statement!W186</f>
        <v>17599</v>
      </c>
      <c r="G24" s="200">
        <f>Statement!AA186</f>
        <v>37869</v>
      </c>
    </row>
    <row r="25" spans="2:7" x14ac:dyDescent="0.2">
      <c r="B25" s="208" t="s">
        <v>313</v>
      </c>
      <c r="C25" s="235">
        <f>IF(C24=0,
IF(D24=0,0,IF(D24&gt;0,1,-1)),
(D24-C24)/ABS(C24)
)</f>
        <v>0.11992074288756137</v>
      </c>
      <c r="D25" s="236"/>
      <c r="F25" s="235">
        <f>IF(F24=0,
IF(G24=0,0,IF(G24&gt;0,1,-1)),
(G24-F24)/ABS(F24)
)</f>
        <v>1.1517699869310756</v>
      </c>
      <c r="G25" s="236"/>
    </row>
    <row r="26" spans="2:7" x14ac:dyDescent="0.2">
      <c r="B26" s="226" t="s">
        <v>372</v>
      </c>
      <c r="C26" s="202">
        <f>Statement!Z187</f>
        <v>28500</v>
      </c>
      <c r="D26" s="200">
        <f>Statement!AA187</f>
        <v>37377</v>
      </c>
      <c r="F26" s="202">
        <f>Statement!W187</f>
        <v>21513</v>
      </c>
      <c r="G26" s="200">
        <f>Statement!AA187</f>
        <v>37377</v>
      </c>
    </row>
    <row r="27" spans="2:7" x14ac:dyDescent="0.2">
      <c r="B27" s="208" t="s">
        <v>313</v>
      </c>
      <c r="C27" s="235">
        <f>IF(C26=0,
IF(D26=0,0,IF(D26&gt;0,1,-1)),
(D26-C26)/ABS(C26)
)</f>
        <v>0.31147368421052629</v>
      </c>
      <c r="D27" s="236"/>
      <c r="F27" s="235">
        <f>IF(F26=0,
IF(G26=0,0,IF(G26&gt;0,1,-1)),
(G26-F26)/ABS(F26)
)</f>
        <v>0.73741458652907543</v>
      </c>
      <c r="G27" s="236"/>
    </row>
    <row r="28" spans="2:7" x14ac:dyDescent="0.2">
      <c r="B28" s="20" t="s">
        <v>373</v>
      </c>
      <c r="C28" s="202">
        <f>Statement!Z188</f>
        <v>62314</v>
      </c>
      <c r="D28" s="200">
        <f>Statement!AA188</f>
        <v>75246</v>
      </c>
      <c r="F28" s="202">
        <f>Statement!W188</f>
        <v>39112</v>
      </c>
      <c r="G28" s="200">
        <f>Statement!AA188</f>
        <v>75246</v>
      </c>
    </row>
    <row r="29" spans="2:7" x14ac:dyDescent="0.2">
      <c r="B29" s="208" t="s">
        <v>313</v>
      </c>
      <c r="C29" s="235">
        <f>IF(C28=0,
IF(D28=0,0,IF(D28&gt;0,1,-1)),
(D28-C28)/ABS(C28)
)</f>
        <v>0.20752960811374652</v>
      </c>
      <c r="D29" s="236"/>
      <c r="F29" s="235">
        <f>IF(F28=0,
IF(G28=0,0,IF(G28&gt;0,1,-1)),
(G28-F28)/ABS(F28)
)</f>
        <v>0.92385968500715898</v>
      </c>
      <c r="G29" s="236"/>
    </row>
    <row r="30" spans="2:7" x14ac:dyDescent="0.2">
      <c r="B30" s="20" t="s">
        <v>374</v>
      </c>
      <c r="C30" s="202">
        <f>Statement!Z189</f>
        <v>5813</v>
      </c>
      <c r="D30" s="202">
        <f>Statement!AA189</f>
        <v>6369</v>
      </c>
      <c r="F30" s="202">
        <f>Statement!W189</f>
        <v>4950</v>
      </c>
      <c r="G30" s="202">
        <f>Statement!AA189</f>
        <v>6369</v>
      </c>
    </row>
    <row r="31" spans="2:7" x14ac:dyDescent="0.2">
      <c r="B31" s="208" t="s">
        <v>313</v>
      </c>
      <c r="C31" s="235">
        <f>IF(C30=0,
IF(D30=0,0,IF(D30&gt;0,1,-1)),
(D30-C30)/ABS(C30)
)</f>
        <v>9.5647686220540165E-2</v>
      </c>
      <c r="D31" s="236"/>
      <c r="F31" s="235">
        <f>IF(F30=0,
IF(G30=0,0,IF(G30&gt;0,1,-1)),
(G30-F30)/ABS(F30)
)</f>
        <v>0.28666666666666668</v>
      </c>
      <c r="G31" s="236"/>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M27" sqref="M2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259</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260</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375</v>
      </c>
      <c r="C65" s="64">
        <f>Statement!H186</f>
        <v>0</v>
      </c>
      <c r="D65" s="64">
        <f>Statement!I186</f>
        <v>0</v>
      </c>
      <c r="E65" s="64">
        <f>Statement!J186</f>
        <v>0</v>
      </c>
      <c r="F65" s="64">
        <f>Statement!K186</f>
        <v>0</v>
      </c>
      <c r="G65" s="64">
        <f>Statement!L186</f>
        <v>0</v>
      </c>
      <c r="H65" s="64">
        <f>Statement!M186</f>
        <v>0</v>
      </c>
      <c r="I65" s="64">
        <f>Statement!N186</f>
        <v>0</v>
      </c>
      <c r="J65" s="64">
        <f>Statement!O186</f>
        <v>0</v>
      </c>
      <c r="K65" s="64">
        <f>Statement!P186</f>
        <v>53796</v>
      </c>
      <c r="L65" s="64">
        <f>Statement!Q186</f>
        <v>105636</v>
      </c>
    </row>
    <row r="66" spans="2:12" x14ac:dyDescent="0.2">
      <c r="B66" s="20" t="s">
        <v>376</v>
      </c>
      <c r="C66" s="64">
        <f>Statement!H187</f>
        <v>0</v>
      </c>
      <c r="D66" s="64">
        <f>Statement!I187</f>
        <v>0</v>
      </c>
      <c r="E66" s="64">
        <f>Statement!J187</f>
        <v>0</v>
      </c>
      <c r="F66" s="64">
        <f>Statement!K187</f>
        <v>0</v>
      </c>
      <c r="G66" s="64">
        <f>Statement!L187</f>
        <v>0</v>
      </c>
      <c r="H66" s="64">
        <f>Statement!M187</f>
        <v>0</v>
      </c>
      <c r="I66" s="64">
        <f>Statement!N187</f>
        <v>0</v>
      </c>
      <c r="J66" s="64">
        <f>Statement!O187</f>
        <v>0</v>
      </c>
      <c r="K66" s="64">
        <f>Statement!P187</f>
        <v>61390</v>
      </c>
      <c r="L66" s="64">
        <f>Statement!Q187</f>
        <v>88101</v>
      </c>
    </row>
    <row r="67" spans="2:12" x14ac:dyDescent="0.2">
      <c r="B67" s="20" t="s">
        <v>377</v>
      </c>
      <c r="C67" s="64">
        <f>Statement!H189</f>
        <v>0</v>
      </c>
      <c r="D67" s="64">
        <f>Statement!I189</f>
        <v>0</v>
      </c>
      <c r="E67" s="64">
        <f>Statement!J189</f>
        <v>0</v>
      </c>
      <c r="F67" s="64">
        <f>Statement!K189</f>
        <v>0</v>
      </c>
      <c r="G67" s="64">
        <f>Statement!L189</f>
        <v>0</v>
      </c>
      <c r="H67" s="64">
        <f>Statement!M189</f>
        <v>0</v>
      </c>
      <c r="I67" s="64">
        <f>Statement!N189</f>
        <v>0</v>
      </c>
      <c r="J67" s="64">
        <f>Statement!O189</f>
        <v>0</v>
      </c>
      <c r="K67" s="64">
        <f>Statement!P189</f>
        <v>15311</v>
      </c>
      <c r="L67" s="64">
        <f>Statement!Q189</f>
        <v>22201</v>
      </c>
    </row>
    <row r="68" spans="2:12" x14ac:dyDescent="0.2">
      <c r="B68" s="20" t="s">
        <v>94</v>
      </c>
      <c r="C68" s="221">
        <f>Statement!H121</f>
        <v>0</v>
      </c>
      <c r="D68" s="221">
        <f>Statement!I121</f>
        <v>0</v>
      </c>
      <c r="E68" s="221">
        <f>Statement!J121</f>
        <v>0</v>
      </c>
      <c r="F68" s="221">
        <f>Statement!K121</f>
        <v>0</v>
      </c>
      <c r="G68" s="221">
        <f>Statement!L121</f>
        <v>0</v>
      </c>
      <c r="H68" s="221">
        <f>Statement!M121</f>
        <v>0.22069839545567699</v>
      </c>
      <c r="I68" s="221">
        <f>Statement!N121</f>
        <v>0.10606575688407557</v>
      </c>
      <c r="J68" s="221">
        <f>Statement!O121</f>
        <v>0.45277507302823755</v>
      </c>
      <c r="K68" s="221">
        <f>Statement!P121</f>
        <v>0.65304074336251472</v>
      </c>
      <c r="L68" s="221">
        <f>Statement!Q121</f>
        <v>0.5805863551302447</v>
      </c>
    </row>
    <row r="69" spans="2:12" x14ac:dyDescent="0.2">
      <c r="B69" s="20" t="s">
        <v>96</v>
      </c>
      <c r="C69" s="221">
        <f>Statement!H123</f>
        <v>0</v>
      </c>
      <c r="D69" s="221">
        <f>Statement!I123</f>
        <v>0</v>
      </c>
      <c r="E69" s="221">
        <f>Statement!J123</f>
        <v>0</v>
      </c>
      <c r="F69" s="221">
        <f>Statement!K123</f>
        <v>0</v>
      </c>
      <c r="G69" s="221">
        <f>Statement!L123</f>
        <v>0</v>
      </c>
      <c r="H69" s="221">
        <f>Statement!M123</f>
        <v>0.36645122501127303</v>
      </c>
      <c r="I69" s="221">
        <f>Statement!N123</f>
        <v>0.19763811592235647</v>
      </c>
      <c r="J69" s="221">
        <f>Statement!O123</f>
        <v>0.69244729861789756</v>
      </c>
      <c r="K69" s="221">
        <f>Statement!P123</f>
        <v>0.91872880608115781</v>
      </c>
      <c r="L69" s="221">
        <f>Statement!Q123</f>
        <v>0.76333339690895341</v>
      </c>
    </row>
    <row r="70" spans="2:12" x14ac:dyDescent="0.2">
      <c r="B70" s="20" t="s">
        <v>97</v>
      </c>
      <c r="C70" s="221">
        <f>Statement!H142</f>
        <v>0</v>
      </c>
      <c r="D70" s="221">
        <f>Statement!I142</f>
        <v>0</v>
      </c>
      <c r="E70" s="221">
        <f>Statement!J142</f>
        <v>0</v>
      </c>
      <c r="F70" s="221">
        <f>Statement!K142</f>
        <v>0</v>
      </c>
      <c r="G70" s="221">
        <f>Statement!L142</f>
        <v>0</v>
      </c>
      <c r="H70" s="221">
        <f>Statement!M142</f>
        <v>0.60245252494303547</v>
      </c>
      <c r="I70" s="221">
        <f>Statement!N142</f>
        <v>0.21378682052839357</v>
      </c>
      <c r="J70" s="221">
        <f>Statement!O142</f>
        <v>1.0866013555554745</v>
      </c>
      <c r="K70" s="221">
        <f>Statement!P142</f>
        <v>1.5847534085376831</v>
      </c>
      <c r="L70" s="221">
        <f>Statement!Q142</f>
        <v>1.0723937210768841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375</v>
      </c>
      <c r="C63" s="64">
        <f>Statement!T186</f>
        <v>10622</v>
      </c>
      <c r="D63" s="64">
        <f>Statement!U186</f>
        <v>13390</v>
      </c>
      <c r="E63" s="64">
        <f>Statement!V186</f>
        <v>19094</v>
      </c>
      <c r="F63" s="64">
        <f>Statement!W186</f>
        <v>17599</v>
      </c>
      <c r="G63" s="64">
        <f>Statement!X186</f>
        <v>23883</v>
      </c>
      <c r="H63" s="64">
        <f>Statement!Y186</f>
        <v>30340</v>
      </c>
      <c r="I63" s="64">
        <f>Statement!Z186</f>
        <v>33814</v>
      </c>
      <c r="J63" s="64">
        <f>Statement!AA186</f>
        <v>37869</v>
      </c>
    </row>
    <row r="64" spans="2:10" x14ac:dyDescent="0.2">
      <c r="B64" s="20" t="s">
        <v>378</v>
      </c>
      <c r="C64" s="64">
        <f>Statement!T187</f>
        <v>15650</v>
      </c>
      <c r="D64" s="64">
        <f>Statement!U187</f>
        <v>17381</v>
      </c>
      <c r="E64" s="64">
        <f>Statement!V187</f>
        <v>16486</v>
      </c>
      <c r="F64" s="64">
        <f>Statement!W187</f>
        <v>21513</v>
      </c>
      <c r="G64" s="64">
        <f>Statement!X187</f>
        <v>17213</v>
      </c>
      <c r="H64" s="64">
        <f>Statement!Y187</f>
        <v>20875</v>
      </c>
      <c r="I64" s="64">
        <f>Statement!Z187</f>
        <v>28500</v>
      </c>
      <c r="J64" s="64">
        <f>Statement!AA187</f>
        <v>37377</v>
      </c>
    </row>
    <row r="65" spans="2:10" x14ac:dyDescent="0.2">
      <c r="B65" s="20" t="s">
        <v>379</v>
      </c>
      <c r="C65" s="64">
        <f>Statement!T189</f>
        <v>3768</v>
      </c>
      <c r="D65" s="64">
        <f>Statement!U189</f>
        <v>4311</v>
      </c>
      <c r="E65" s="64">
        <f>Statement!V189</f>
        <v>3751</v>
      </c>
      <c r="F65" s="64">
        <f>Statement!W189</f>
        <v>4950</v>
      </c>
      <c r="G65" s="64">
        <f>Statement!X189</f>
        <v>5647</v>
      </c>
      <c r="H65" s="64">
        <f>Statement!Y189</f>
        <v>5791</v>
      </c>
      <c r="I65" s="64">
        <f>Statement!Z189</f>
        <v>5813</v>
      </c>
      <c r="J65" s="64">
        <f>Statement!AA189</f>
        <v>6369</v>
      </c>
    </row>
    <row r="66" spans="2:10" x14ac:dyDescent="0.2">
      <c r="B66" s="20" t="s">
        <v>259</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84" zoomScaleNormal="75" workbookViewId="0">
      <selection activeCell="J9" sqref="J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1" t="s">
        <v>105</v>
      </c>
      <c r="D2" s="231"/>
      <c r="E2" s="231"/>
      <c r="F2" s="231"/>
      <c r="G2" s="243"/>
      <c r="H2" s="244" t="s">
        <v>106</v>
      </c>
      <c r="I2" s="231"/>
      <c r="J2" s="231"/>
      <c r="K2" s="231"/>
      <c r="L2" s="231"/>
      <c r="O2" s="5"/>
      <c r="S2" s="231" t="s">
        <v>105</v>
      </c>
      <c r="T2" s="231"/>
      <c r="U2" s="231"/>
      <c r="V2" s="231"/>
      <c r="W2" s="231"/>
      <c r="X2" s="231"/>
      <c r="Y2" s="231"/>
      <c r="Z2" s="231"/>
      <c r="AA2" s="231" t="s">
        <v>106</v>
      </c>
      <c r="AB2" s="231"/>
      <c r="AC2" s="231"/>
      <c r="AE2" s="85" t="s">
        <v>107</v>
      </c>
    </row>
    <row r="3" spans="1:31" ht="10" customHeight="1" x14ac:dyDescent="0.2">
      <c r="O3" s="5"/>
    </row>
    <row r="4" spans="1:31" ht="16" customHeight="1" x14ac:dyDescent="0.2">
      <c r="A4" s="86"/>
      <c r="B4" s="60"/>
      <c r="C4" s="240" t="s">
        <v>108</v>
      </c>
      <c r="D4" s="240"/>
      <c r="E4" s="240"/>
      <c r="F4" s="240"/>
      <c r="G4" s="240"/>
      <c r="H4" s="240"/>
      <c r="I4" s="240"/>
      <c r="J4" s="240"/>
      <c r="K4" s="240"/>
      <c r="L4" s="240"/>
      <c r="O4" s="5"/>
      <c r="S4" s="241" t="s">
        <v>108</v>
      </c>
      <c r="T4" s="242"/>
      <c r="U4" s="242"/>
      <c r="V4" s="242"/>
      <c r="W4" s="242"/>
      <c r="X4" s="242"/>
      <c r="Y4" s="242"/>
      <c r="Z4" s="242"/>
      <c r="AA4" s="242"/>
      <c r="AB4" s="242"/>
      <c r="AC4" s="242"/>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7" t="str">
        <f>Statement!B186</f>
        <v>HyperScale</v>
      </c>
      <c r="C6" s="88">
        <f>Statement!M186</f>
        <v>0</v>
      </c>
      <c r="D6" s="88">
        <f>Statement!N186</f>
        <v>0</v>
      </c>
      <c r="E6" s="88">
        <f>Statement!O186</f>
        <v>0</v>
      </c>
      <c r="F6" s="88">
        <f>Statement!P186</f>
        <v>53796</v>
      </c>
      <c r="G6" s="89">
        <f>Statement!Q186</f>
        <v>105636</v>
      </c>
      <c r="H6" s="64">
        <f t="shared" ref="H6:L7" si="1">G6+G6*H14</f>
        <v>179581.2</v>
      </c>
      <c r="I6" s="64">
        <f t="shared" si="1"/>
        <v>296308.98000000004</v>
      </c>
      <c r="J6" s="64">
        <f t="shared" si="1"/>
        <v>459278.91900000011</v>
      </c>
      <c r="K6" s="64">
        <f t="shared" si="1"/>
        <v>665954.43255000014</v>
      </c>
      <c r="L6" s="64">
        <f t="shared" si="1"/>
        <v>899038.4839425002</v>
      </c>
      <c r="N6" s="90" t="s">
        <v>382</v>
      </c>
      <c r="O6" s="5"/>
      <c r="Q6" s="90" t="s">
        <v>382</v>
      </c>
      <c r="R6" s="227" t="str">
        <f>B6</f>
        <v>HyperScale</v>
      </c>
      <c r="S6" s="88">
        <f>Statement!T186</f>
        <v>10622</v>
      </c>
      <c r="T6" s="88">
        <f>Statement!U186</f>
        <v>13390</v>
      </c>
      <c r="U6" s="88">
        <f>Statement!V186</f>
        <v>19094</v>
      </c>
      <c r="V6" s="88">
        <f>Statement!W186</f>
        <v>17599</v>
      </c>
      <c r="W6" s="88">
        <f>Statement!X186</f>
        <v>23883</v>
      </c>
      <c r="X6" s="88">
        <f>Statement!Y186</f>
        <v>30340</v>
      </c>
      <c r="Y6" s="88">
        <f>Statement!Z186</f>
        <v>33814</v>
      </c>
      <c r="Z6" s="89">
        <f>Statement!AA186</f>
        <v>37869</v>
      </c>
      <c r="AA6" s="64">
        <f>Z6+Z6*AA14</f>
        <v>41655.9</v>
      </c>
      <c r="AB6" s="64"/>
      <c r="AC6" s="64"/>
      <c r="AE6" s="64">
        <f>SUM(X6:AA6)</f>
        <v>143678.9</v>
      </c>
    </row>
    <row r="7" spans="1:31" x14ac:dyDescent="0.2">
      <c r="B7" s="227" t="str">
        <f>Statement!B187</f>
        <v>AI Clouds</v>
      </c>
      <c r="C7" s="88">
        <f>Statement!M187</f>
        <v>0</v>
      </c>
      <c r="D7" s="88">
        <f>Statement!N187</f>
        <v>0</v>
      </c>
      <c r="E7" s="88">
        <f>Statement!O187</f>
        <v>0</v>
      </c>
      <c r="F7" s="88">
        <f>Statement!P187</f>
        <v>61390</v>
      </c>
      <c r="G7" s="89">
        <f>Statement!Q187</f>
        <v>88101</v>
      </c>
      <c r="H7" s="64">
        <f t="shared" si="1"/>
        <v>118936.35</v>
      </c>
      <c r="I7" s="64">
        <f t="shared" si="1"/>
        <v>158185.3455</v>
      </c>
      <c r="J7" s="64">
        <f t="shared" si="1"/>
        <v>205640.94915</v>
      </c>
      <c r="K7" s="64">
        <f t="shared" si="1"/>
        <v>246769.13897999999</v>
      </c>
      <c r="L7" s="64">
        <f t="shared" si="1"/>
        <v>276381.4356576</v>
      </c>
      <c r="N7" s="90" t="s">
        <v>383</v>
      </c>
      <c r="O7" s="5"/>
      <c r="Q7" s="90" t="s">
        <v>383</v>
      </c>
      <c r="R7" s="227" t="str">
        <f t="shared" ref="R7:R9" si="2">B7</f>
        <v>AI Clouds</v>
      </c>
      <c r="S7" s="88">
        <f>Statement!T187</f>
        <v>15650</v>
      </c>
      <c r="T7" s="88">
        <f>Statement!U187</f>
        <v>17381</v>
      </c>
      <c r="U7" s="88">
        <f>Statement!V187</f>
        <v>16486</v>
      </c>
      <c r="V7" s="88">
        <f>Statement!W187</f>
        <v>21513</v>
      </c>
      <c r="W7" s="88">
        <f>Statement!X187</f>
        <v>17213</v>
      </c>
      <c r="X7" s="88">
        <f>Statement!Y187</f>
        <v>20875</v>
      </c>
      <c r="Y7" s="88">
        <f>Statement!Z187</f>
        <v>28500</v>
      </c>
      <c r="Z7" s="89">
        <f>Statement!AA187</f>
        <v>37377</v>
      </c>
      <c r="AA7" s="64">
        <f>Z7+Z7*AA15</f>
        <v>44104.86</v>
      </c>
      <c r="AB7" s="64"/>
      <c r="AC7" s="64"/>
      <c r="AE7" s="64">
        <f t="shared" ref="AE7:AE9" si="3">SUM(X7:AA7)</f>
        <v>130856.86</v>
      </c>
    </row>
    <row r="8" spans="1:31" x14ac:dyDescent="0.2">
      <c r="B8" s="1" t="str">
        <f>Statement!B188</f>
        <v>Data Center</v>
      </c>
      <c r="C8" s="88">
        <f>Statement!M188</f>
        <v>0</v>
      </c>
      <c r="D8" s="88">
        <f>Statement!N188</f>
        <v>0</v>
      </c>
      <c r="E8" s="88">
        <f>Statement!O188</f>
        <v>0</v>
      </c>
      <c r="F8" s="88">
        <f>Statement!P188</f>
        <v>115186</v>
      </c>
      <c r="G8" s="89">
        <f>Statement!Q188</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Statement!T188</f>
        <v>26272</v>
      </c>
      <c r="T8" s="88">
        <f>Statement!U188</f>
        <v>30771</v>
      </c>
      <c r="U8" s="88">
        <f>Statement!V188</f>
        <v>35580</v>
      </c>
      <c r="V8" s="88">
        <f>Statement!W188</f>
        <v>39112</v>
      </c>
      <c r="W8" s="88">
        <f>Statement!X188</f>
        <v>41096</v>
      </c>
      <c r="X8" s="88">
        <f>Statement!Y188</f>
        <v>51215</v>
      </c>
      <c r="Y8" s="88">
        <f>Statement!Z188</f>
        <v>62314</v>
      </c>
      <c r="Z8" s="89">
        <f>Statement!AA188</f>
        <v>75246</v>
      </c>
      <c r="AA8" s="64">
        <f>SUM(AA6:AA7)</f>
        <v>85760.760000000009</v>
      </c>
      <c r="AB8" s="64"/>
      <c r="AC8" s="64"/>
      <c r="AE8" s="64">
        <f t="shared" si="3"/>
        <v>274535.76</v>
      </c>
    </row>
    <row r="9" spans="1:31" x14ac:dyDescent="0.2">
      <c r="B9" s="1" t="str">
        <f>Statement!B189</f>
        <v>Edge Computing</v>
      </c>
      <c r="C9" s="88">
        <f>Statement!M189</f>
        <v>0</v>
      </c>
      <c r="D9" s="88">
        <f>Statement!N189</f>
        <v>0</v>
      </c>
      <c r="E9" s="88">
        <f>Statement!O189</f>
        <v>0</v>
      </c>
      <c r="F9" s="88">
        <f>Statement!P189</f>
        <v>15311</v>
      </c>
      <c r="G9" s="89">
        <f>Statement!Q189</f>
        <v>22201</v>
      </c>
      <c r="H9" s="64">
        <f>G9+G9*H17</f>
        <v>29971.35</v>
      </c>
      <c r="I9" s="64">
        <f>H9+H9*I17</f>
        <v>41959.89</v>
      </c>
      <c r="J9" s="64">
        <f>I9+I9*J17</f>
        <v>56645.851499999997</v>
      </c>
      <c r="K9" s="64">
        <f>J9+J9*K17</f>
        <v>70807.314375000002</v>
      </c>
      <c r="L9" s="64">
        <f>K9+K9*L17</f>
        <v>81428.411531250007</v>
      </c>
      <c r="N9" s="90" t="s">
        <v>384</v>
      </c>
      <c r="O9" s="5"/>
      <c r="Q9" s="90" t="s">
        <v>384</v>
      </c>
      <c r="R9" s="1" t="str">
        <f t="shared" si="2"/>
        <v>Edge Computing</v>
      </c>
      <c r="S9" s="88">
        <f>Statement!T189</f>
        <v>3768</v>
      </c>
      <c r="T9" s="88">
        <f>Statement!U189</f>
        <v>4311</v>
      </c>
      <c r="U9" s="88">
        <f>Statement!V189</f>
        <v>3751</v>
      </c>
      <c r="V9" s="88">
        <f>Statement!W189</f>
        <v>4950</v>
      </c>
      <c r="W9" s="88">
        <f>Statement!X189</f>
        <v>5647</v>
      </c>
      <c r="X9" s="88">
        <f>Statement!Y189</f>
        <v>5791</v>
      </c>
      <c r="Y9" s="88">
        <f>Statement!Z189</f>
        <v>5813</v>
      </c>
      <c r="Z9" s="89">
        <f>Statement!AA189</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0" t="s">
        <v>114</v>
      </c>
      <c r="D12" s="240"/>
      <c r="E12" s="240"/>
      <c r="F12" s="240"/>
      <c r="G12" s="240"/>
      <c r="H12" s="240"/>
      <c r="I12" s="240"/>
      <c r="J12" s="240"/>
      <c r="K12" s="240"/>
      <c r="L12" s="240"/>
      <c r="O12" s="5"/>
      <c r="Q12" s="91"/>
      <c r="S12" s="241" t="s">
        <v>114</v>
      </c>
      <c r="T12" s="242"/>
      <c r="U12" s="242"/>
      <c r="V12" s="242"/>
      <c r="W12" s="242"/>
      <c r="X12" s="242"/>
      <c r="Y12" s="242"/>
      <c r="Z12" s="242"/>
      <c r="AA12" s="242"/>
      <c r="AB12" s="242"/>
      <c r="AC12" s="242"/>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7"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7"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7"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7"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B13"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1" t="s">
        <v>105</v>
      </c>
      <c r="D2" s="231"/>
      <c r="E2" s="231"/>
      <c r="F2" s="231"/>
      <c r="G2" s="243"/>
      <c r="H2" s="244" t="s">
        <v>106</v>
      </c>
      <c r="I2" s="231"/>
      <c r="J2" s="231"/>
      <c r="K2" s="231"/>
      <c r="L2" s="231"/>
      <c r="P2" s="231" t="s">
        <v>105</v>
      </c>
      <c r="Q2" s="231"/>
      <c r="R2" s="231"/>
      <c r="S2" s="231"/>
      <c r="T2" s="231"/>
      <c r="U2" s="231"/>
      <c r="V2" s="231"/>
      <c r="W2" s="231"/>
      <c r="X2" s="231" t="s">
        <v>106</v>
      </c>
      <c r="Y2" s="231"/>
      <c r="Z2" s="231"/>
      <c r="AB2" s="85" t="s">
        <v>107</v>
      </c>
    </row>
    <row r="3" spans="1:28" ht="10" customHeight="1" x14ac:dyDescent="0.2"/>
    <row r="4" spans="1:28" ht="16" customHeight="1" x14ac:dyDescent="0.2">
      <c r="A4" s="86"/>
      <c r="B4" s="60"/>
      <c r="C4" s="240" t="s">
        <v>108</v>
      </c>
      <c r="D4" s="240"/>
      <c r="E4" s="240"/>
      <c r="F4" s="240"/>
      <c r="G4" s="240"/>
      <c r="H4" s="240"/>
      <c r="I4" s="240"/>
      <c r="J4" s="240"/>
      <c r="K4" s="240"/>
      <c r="L4" s="240"/>
      <c r="P4" s="242" t="s">
        <v>108</v>
      </c>
      <c r="Q4" s="242"/>
      <c r="R4" s="242"/>
      <c r="S4" s="242"/>
      <c r="T4" s="242"/>
      <c r="U4" s="242"/>
      <c r="V4" s="242"/>
      <c r="W4" s="242"/>
      <c r="X4" s="242"/>
      <c r="Y4" s="242"/>
      <c r="Z4" s="242"/>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0" t="s">
        <v>117</v>
      </c>
      <c r="D9" s="240"/>
      <c r="E9" s="240"/>
      <c r="F9" s="240"/>
      <c r="G9" s="240"/>
      <c r="H9" s="240"/>
      <c r="I9" s="240"/>
      <c r="J9" s="240"/>
      <c r="K9" s="240"/>
      <c r="L9" s="240"/>
      <c r="N9" s="91"/>
      <c r="P9" s="242" t="s">
        <v>118</v>
      </c>
      <c r="Q9" s="242"/>
      <c r="R9" s="242"/>
      <c r="S9" s="242"/>
      <c r="T9" s="242"/>
      <c r="U9" s="242"/>
      <c r="V9" s="242"/>
      <c r="W9" s="242"/>
      <c r="X9" s="242"/>
      <c r="Y9" s="242"/>
      <c r="Z9" s="242"/>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0" t="s">
        <v>120</v>
      </c>
      <c r="D17" s="240"/>
      <c r="E17" s="240"/>
      <c r="F17" s="240"/>
      <c r="G17" s="240"/>
      <c r="H17" s="240"/>
      <c r="I17" s="240"/>
      <c r="J17" s="240"/>
      <c r="K17" s="240"/>
      <c r="L17" s="240"/>
      <c r="P17" s="242" t="s">
        <v>120</v>
      </c>
      <c r="Q17" s="242"/>
      <c r="R17" s="242"/>
      <c r="S17" s="242"/>
      <c r="T17" s="242"/>
      <c r="U17" s="242"/>
      <c r="V17" s="242"/>
      <c r="W17" s="242"/>
      <c r="X17" s="242"/>
      <c r="Y17" s="242"/>
      <c r="Z17" s="242"/>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41"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1" t="s">
        <v>105</v>
      </c>
      <c r="D3" s="231"/>
      <c r="E3" s="231"/>
      <c r="F3" s="231"/>
      <c r="G3" s="243"/>
      <c r="H3" s="244" t="s">
        <v>106</v>
      </c>
      <c r="I3" s="231"/>
      <c r="J3" s="231"/>
      <c r="K3" s="231"/>
      <c r="L3" s="231"/>
      <c r="P3" s="245"/>
      <c r="Q3" s="245"/>
      <c r="R3" s="245"/>
      <c r="S3" s="245"/>
      <c r="T3" s="245"/>
      <c r="U3" s="245"/>
      <c r="V3" s="245"/>
      <c r="W3" s="245"/>
      <c r="X3" s="245"/>
      <c r="Y3" s="245"/>
      <c r="Z3" s="245"/>
      <c r="AB3" s="110"/>
    </row>
    <row r="4" spans="1:28" ht="10" customHeight="1" x14ac:dyDescent="0.2"/>
    <row r="5" spans="1:28" ht="16" customHeight="1" x14ac:dyDescent="0.2">
      <c r="A5" s="86"/>
      <c r="B5" s="60"/>
      <c r="C5" s="240" t="s">
        <v>108</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0" t="s">
        <v>124</v>
      </c>
      <c r="D11" s="240"/>
      <c r="E11" s="240"/>
      <c r="F11" s="240"/>
      <c r="G11" s="240"/>
      <c r="H11" s="240"/>
      <c r="I11" s="240"/>
      <c r="J11" s="240"/>
      <c r="K11" s="240"/>
      <c r="L11" s="240"/>
      <c r="N11" s="91"/>
      <c r="P11" s="245"/>
      <c r="Q11" s="245"/>
      <c r="R11" s="245"/>
      <c r="S11" s="245"/>
      <c r="T11" s="245"/>
      <c r="U11" s="245"/>
      <c r="V11" s="245"/>
      <c r="W11" s="245"/>
      <c r="X11" s="245"/>
      <c r="Y11" s="245"/>
      <c r="Z11" s="245"/>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0" t="s">
        <v>129</v>
      </c>
      <c r="D18" s="240"/>
      <c r="E18" s="240"/>
      <c r="F18" s="240"/>
      <c r="G18" s="240"/>
      <c r="H18" s="240"/>
      <c r="I18" s="240"/>
      <c r="J18" s="240"/>
      <c r="K18" s="240"/>
      <c r="L18" s="240"/>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5"/>
      <c r="C25" s="245"/>
    </row>
    <row r="26" spans="2:12" x14ac:dyDescent="0.2">
      <c r="B26" s="110"/>
      <c r="C26" s="240" t="s">
        <v>135</v>
      </c>
      <c r="D26" s="240"/>
      <c r="E26" s="240"/>
      <c r="F26" s="240"/>
      <c r="G26" s="240"/>
      <c r="H26" s="240"/>
      <c r="I26" s="240"/>
      <c r="J26" s="240"/>
      <c r="K26" s="240"/>
      <c r="L26" s="240"/>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0" t="s">
        <v>139</v>
      </c>
      <c r="D33" s="240"/>
      <c r="E33" s="240"/>
      <c r="F33" s="240"/>
      <c r="G33" s="240"/>
      <c r="H33" s="240"/>
      <c r="I33" s="240"/>
      <c r="J33" s="240"/>
      <c r="K33" s="240"/>
      <c r="L33" s="240"/>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0" t="s">
        <v>142</v>
      </c>
      <c r="D40" s="240"/>
      <c r="E40" s="240"/>
      <c r="F40" s="240"/>
      <c r="G40" s="240"/>
      <c r="H40" s="240"/>
      <c r="I40" s="240"/>
      <c r="J40" s="240"/>
      <c r="K40" s="240"/>
      <c r="L40" s="240"/>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-Statement!M59</f>
        <v>976</v>
      </c>
      <c r="D45" s="115">
        <f>-Statement!N59</f>
        <v>1833</v>
      </c>
      <c r="E45" s="115">
        <f>-Statement!O59</f>
        <v>1069</v>
      </c>
      <c r="F45" s="115">
        <f>-Statement!P59</f>
        <v>3236</v>
      </c>
      <c r="G45" s="116">
        <f>-Statement!Q59</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I35" sqref="I3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1" t="s">
        <v>105</v>
      </c>
      <c r="D2" s="231"/>
      <c r="E2" s="231"/>
      <c r="F2" s="231"/>
      <c r="G2" s="243"/>
      <c r="H2" s="244" t="s">
        <v>106</v>
      </c>
      <c r="I2" s="231"/>
      <c r="J2" s="231"/>
      <c r="K2" s="231"/>
      <c r="L2" s="231"/>
      <c r="S2" s="245"/>
      <c r="T2" s="245"/>
      <c r="U2" s="245"/>
      <c r="V2" s="245"/>
      <c r="W2" s="245"/>
      <c r="X2" s="245"/>
      <c r="Y2" s="245"/>
      <c r="Z2" s="245"/>
      <c r="AA2" s="245"/>
      <c r="AB2" s="245"/>
      <c r="AC2" s="245"/>
      <c r="AE2" s="110"/>
    </row>
    <row r="3" spans="1:31" ht="10" customHeight="1" x14ac:dyDescent="0.2"/>
    <row r="4" spans="1:31" ht="16" customHeight="1" x14ac:dyDescent="0.2">
      <c r="A4" s="86"/>
      <c r="B4" s="60"/>
      <c r="C4" s="240" t="s">
        <v>18</v>
      </c>
      <c r="D4" s="240"/>
      <c r="E4" s="240"/>
      <c r="F4" s="240"/>
      <c r="G4" s="240"/>
      <c r="H4" s="240"/>
      <c r="I4" s="240"/>
      <c r="J4" s="240"/>
      <c r="K4" s="240"/>
      <c r="L4" s="240"/>
      <c r="S4" s="245"/>
      <c r="T4" s="245"/>
      <c r="U4" s="245"/>
      <c r="V4" s="245"/>
      <c r="W4" s="245"/>
      <c r="X4" s="245"/>
      <c r="Y4" s="245"/>
      <c r="Z4" s="245"/>
      <c r="AA4" s="245"/>
      <c r="AB4" s="245"/>
      <c r="AC4" s="245"/>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0" t="s">
        <v>150</v>
      </c>
      <c r="D13" s="240"/>
      <c r="E13" s="240"/>
      <c r="F13" s="240"/>
      <c r="G13" s="240"/>
      <c r="H13" s="240"/>
      <c r="I13" s="240"/>
      <c r="J13" s="240"/>
      <c r="K13" s="240"/>
      <c r="L13" s="24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156</v>
      </c>
    </row>
    <row r="18" spans="2:14" x14ac:dyDescent="0.2">
      <c r="C18" s="240" t="s">
        <v>151</v>
      </c>
      <c r="D18" s="240"/>
      <c r="E18" s="240"/>
      <c r="F18" s="240"/>
      <c r="G18" s="240"/>
      <c r="H18" s="240"/>
      <c r="I18" s="240"/>
      <c r="J18" s="240"/>
      <c r="K18" s="240"/>
      <c r="L18" s="240"/>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0" t="s">
        <v>154</v>
      </c>
      <c r="D25" s="240"/>
      <c r="E25" s="240"/>
      <c r="F25" s="240"/>
      <c r="G25" s="240"/>
      <c r="H25" s="240"/>
      <c r="I25" s="240"/>
      <c r="J25" s="240"/>
      <c r="K25" s="240"/>
      <c r="L25" s="240"/>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155</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260</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0" t="s">
        <v>75</v>
      </c>
      <c r="D31" s="240"/>
      <c r="E31" s="240"/>
      <c r="F31" s="240"/>
      <c r="G31" s="240"/>
      <c r="H31" s="240"/>
      <c r="I31" s="240"/>
      <c r="J31" s="240"/>
      <c r="K31" s="240"/>
      <c r="L31" s="240"/>
    </row>
    <row r="32" spans="2:14" x14ac:dyDescent="0.2">
      <c r="B32" s="16" t="s">
        <v>335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8">
        <f>H8/H6</f>
        <v>0.74</v>
      </c>
      <c r="I33" s="218">
        <f t="shared" ref="I33:L33" si="9">I8/I6</f>
        <v>0.74</v>
      </c>
      <c r="J33" s="218">
        <f t="shared" si="9"/>
        <v>0.73999999999999988</v>
      </c>
      <c r="K33" s="218">
        <f t="shared" si="9"/>
        <v>0.74</v>
      </c>
      <c r="L33" s="218">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8">
        <f>H10/H6</f>
        <v>0.61699999999999999</v>
      </c>
      <c r="I34" s="218">
        <f t="shared" ref="I34:L34" si="10">I10/I6</f>
        <v>0.61699999999999999</v>
      </c>
      <c r="J34" s="218">
        <f t="shared" si="10"/>
        <v>0.61699999999999988</v>
      </c>
      <c r="K34" s="218">
        <f t="shared" si="10"/>
        <v>0.61699999999999999</v>
      </c>
      <c r="L34" s="218">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4" zoomScale="187" zoomScaleNormal="100" workbookViewId="0">
      <selection activeCell="C5" sqref="C5"/>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158</v>
      </c>
    </row>
    <row r="2" spans="1:3" s="83" customFormat="1" ht="18" customHeight="1" x14ac:dyDescent="0.2">
      <c r="A2" s="4"/>
      <c r="B2" s="82"/>
    </row>
    <row r="3" spans="1:3" ht="17" customHeight="1" x14ac:dyDescent="0.2"/>
    <row r="4" spans="1:3" ht="17" customHeight="1" x14ac:dyDescent="0.2">
      <c r="B4" s="231" t="s">
        <v>159</v>
      </c>
      <c r="C4" s="231"/>
    </row>
    <row r="5" spans="1:3" ht="17" customHeight="1" x14ac:dyDescent="0.2">
      <c r="B5" s="1" t="s">
        <v>160</v>
      </c>
      <c r="C5" s="137">
        <f>Statement!AC77</f>
        <v>24305</v>
      </c>
    </row>
    <row r="6" spans="1:3" ht="17" customHeight="1" x14ac:dyDescent="0.2">
      <c r="B6" s="1" t="s">
        <v>1</v>
      </c>
      <c r="C6" s="134">
        <f ca="1">Overview!C5</f>
        <v>200.42</v>
      </c>
    </row>
    <row r="7" spans="1:3" ht="17" customHeight="1" x14ac:dyDescent="0.2">
      <c r="B7" s="1" t="s">
        <v>161</v>
      </c>
      <c r="C7" s="135">
        <f ca="1">C5*C6</f>
        <v>4871208.0999999996</v>
      </c>
    </row>
    <row r="8" spans="1:3" ht="17" customHeight="1" x14ac:dyDescent="0.2">
      <c r="B8" s="1" t="s">
        <v>162</v>
      </c>
      <c r="C8" s="113">
        <f>Statement!AC106</f>
        <v>8470</v>
      </c>
    </row>
    <row r="9" spans="1:3" ht="17" customHeight="1" x14ac:dyDescent="0.2">
      <c r="B9" s="1" t="s">
        <v>163</v>
      </c>
      <c r="C9" s="136">
        <f ca="1">Overview!F27</f>
        <v>4.5280000000000001E-2</v>
      </c>
    </row>
    <row r="10" spans="1:3" ht="17" customHeight="1" x14ac:dyDescent="0.2">
      <c r="B10" s="1" t="s">
        <v>9</v>
      </c>
      <c r="C10" s="134">
        <f ca="1">Overview!C13</f>
        <v>2.1970999999999998</v>
      </c>
    </row>
    <row r="11" spans="1:3" ht="17" customHeight="1" x14ac:dyDescent="0.2">
      <c r="B11" s="1" t="s">
        <v>164</v>
      </c>
      <c r="C11" s="136">
        <f>[1]Sheet1!$C$12</f>
        <v>4.4999999999999998E-2</v>
      </c>
    </row>
    <row r="12" spans="1:3" ht="17" customHeight="1" x14ac:dyDescent="0.2">
      <c r="B12" s="1" t="s">
        <v>71</v>
      </c>
      <c r="C12" s="136">
        <f>Overview!C26</f>
        <v>0.21</v>
      </c>
    </row>
    <row r="13" spans="1:3" ht="17" customHeight="1" x14ac:dyDescent="0.2">
      <c r="B13" s="1" t="s">
        <v>165</v>
      </c>
      <c r="C13" s="136">
        <f>Overview!C27</f>
        <v>5.0999999999999997E-2</v>
      </c>
    </row>
    <row r="14" spans="1:3" ht="17" customHeight="1" x14ac:dyDescent="0.2"/>
    <row r="15" spans="1:3" ht="17" customHeight="1" x14ac:dyDescent="0.2">
      <c r="B15" s="231" t="s">
        <v>166</v>
      </c>
      <c r="C15" s="231"/>
    </row>
    <row r="16" spans="1:3" ht="17" customHeight="1" x14ac:dyDescent="0.2">
      <c r="B16" s="1" t="s">
        <v>167</v>
      </c>
      <c r="C16" s="46">
        <f ca="1">C8/(C8+C7)</f>
        <v>1.7357702345160843E-3</v>
      </c>
    </row>
    <row r="17" spans="2:3" ht="17" customHeight="1" x14ac:dyDescent="0.2">
      <c r="B17" s="1" t="s">
        <v>168</v>
      </c>
      <c r="C17" s="46">
        <f ca="1">C7/(C8+C7)</f>
        <v>0.9982642297654839</v>
      </c>
    </row>
    <row r="18" spans="2:3" ht="17" customHeight="1" x14ac:dyDescent="0.2">
      <c r="B18" s="1" t="s">
        <v>169</v>
      </c>
      <c r="C18" s="46">
        <f>C13*(1-C12)</f>
        <v>4.0289999999999999E-2</v>
      </c>
    </row>
    <row r="19" spans="2:3" ht="17" customHeight="1" x14ac:dyDescent="0.2">
      <c r="B19" s="1" t="s">
        <v>170</v>
      </c>
      <c r="C19" s="46">
        <f ca="1">C9+C10*C11</f>
        <v>0.14414949999999999</v>
      </c>
    </row>
    <row r="20" spans="2:3" ht="17" customHeight="1" x14ac:dyDescent="0.2">
      <c r="B20" s="1" t="s">
        <v>158</v>
      </c>
      <c r="C20" s="46">
        <f ca="1">(C17*C19)+(C16*C18)</f>
        <v>0.14396922377132826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172</v>
      </c>
    </row>
    <row r="2" spans="1:28" s="83" customFormat="1" ht="18" customHeight="1" x14ac:dyDescent="0.2">
      <c r="A2" s="4"/>
      <c r="B2" s="82"/>
    </row>
    <row r="3" spans="1:28" x14ac:dyDescent="0.2">
      <c r="A3" s="4"/>
      <c r="C3" s="231" t="s">
        <v>105</v>
      </c>
      <c r="D3" s="231"/>
      <c r="E3" s="231"/>
      <c r="F3" s="231"/>
      <c r="G3" s="243"/>
      <c r="H3" s="244" t="s">
        <v>106</v>
      </c>
      <c r="I3" s="231"/>
      <c r="J3" s="231"/>
      <c r="K3" s="231"/>
      <c r="L3" s="231"/>
      <c r="P3" s="245"/>
      <c r="Q3" s="245"/>
      <c r="R3" s="245"/>
      <c r="S3" s="245"/>
      <c r="T3" s="245"/>
      <c r="U3" s="245"/>
      <c r="V3" s="245"/>
      <c r="W3" s="245"/>
      <c r="X3" s="245"/>
      <c r="Y3" s="245"/>
      <c r="Z3" s="245"/>
      <c r="AB3" s="110"/>
    </row>
    <row r="4" spans="1:28" ht="10" customHeight="1" x14ac:dyDescent="0.2"/>
    <row r="5" spans="1:28" ht="16" customHeight="1" x14ac:dyDescent="0.2">
      <c r="A5" s="86"/>
      <c r="B5" s="60"/>
      <c r="C5" s="240" t="s">
        <v>173</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260</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174</v>
      </c>
      <c r="C8" s="127">
        <v>0</v>
      </c>
      <c r="D8" s="127">
        <v>0</v>
      </c>
      <c r="E8" s="127">
        <v>0</v>
      </c>
      <c r="F8" s="127">
        <v>0</v>
      </c>
      <c r="G8" s="132">
        <v>0</v>
      </c>
      <c r="H8" s="127">
        <v>0</v>
      </c>
      <c r="I8" s="127">
        <v>0</v>
      </c>
      <c r="J8" s="127">
        <v>0</v>
      </c>
      <c r="K8" s="127">
        <v>0</v>
      </c>
      <c r="L8" s="127">
        <f ca="1">L7*(1+C14)/(C15-C14)</f>
        <v>4279059.7048112862</v>
      </c>
      <c r="N8" s="91"/>
      <c r="O8" s="16"/>
      <c r="P8" s="92"/>
      <c r="Q8" s="92"/>
      <c r="R8" s="92"/>
      <c r="S8" s="92"/>
      <c r="T8" s="92"/>
      <c r="U8" s="92"/>
      <c r="V8" s="92"/>
      <c r="W8" s="92"/>
      <c r="X8" s="94"/>
      <c r="Y8" s="94"/>
      <c r="Z8" s="94"/>
      <c r="AB8" s="94"/>
    </row>
    <row r="9" spans="1:28" x14ac:dyDescent="0.2">
      <c r="B9" s="1" t="s">
        <v>175</v>
      </c>
      <c r="C9" s="138"/>
      <c r="D9" s="138"/>
      <c r="E9" s="138"/>
      <c r="F9" s="138"/>
      <c r="G9" s="139"/>
      <c r="H9" s="140">
        <v>1</v>
      </c>
      <c r="I9" s="140">
        <v>2</v>
      </c>
      <c r="J9" s="140">
        <v>3</v>
      </c>
      <c r="K9" s="140">
        <v>4</v>
      </c>
      <c r="L9" s="140">
        <v>5</v>
      </c>
      <c r="N9" s="91"/>
    </row>
    <row r="10" spans="1:28" x14ac:dyDescent="0.2">
      <c r="B10" s="1" t="s">
        <v>318</v>
      </c>
      <c r="C10" s="138"/>
      <c r="D10" s="138"/>
      <c r="E10" s="138"/>
      <c r="F10" s="138"/>
      <c r="G10" s="139"/>
      <c r="H10" s="127">
        <f ca="1">H7/(1+$C$15)^H9</f>
        <v>111486.51048565308</v>
      </c>
      <c r="I10" s="127">
        <f t="shared" ref="I10:L10" ca="1" si="0">I7/(1+$C$15)^I9</f>
        <v>140574.93549478284</v>
      </c>
      <c r="J10" s="127">
        <f t="shared" ca="1" si="0"/>
        <v>181189.24632581943</v>
      </c>
      <c r="K10" s="127">
        <f t="shared" ca="1" si="0"/>
        <v>221222.51287948817</v>
      </c>
      <c r="L10" s="127">
        <f t="shared" ca="1" si="0"/>
        <v>253505.51092190403</v>
      </c>
      <c r="N10" s="91"/>
    </row>
    <row r="11" spans="1:28" x14ac:dyDescent="0.2">
      <c r="B11" s="1" t="s">
        <v>176</v>
      </c>
      <c r="C11" s="138"/>
      <c r="D11" s="138"/>
      <c r="E11" s="138"/>
      <c r="F11" s="138"/>
      <c r="G11" s="139"/>
      <c r="H11" s="138"/>
      <c r="I11" s="138"/>
      <c r="J11" s="138"/>
      <c r="K11" s="138"/>
      <c r="L11" s="127">
        <f ca="1">L8/(1+C15)^L9</f>
        <v>2184120.7369260327</v>
      </c>
    </row>
    <row r="13" spans="1:28" x14ac:dyDescent="0.2">
      <c r="B13" s="231" t="s">
        <v>177</v>
      </c>
      <c r="C13" s="231"/>
    </row>
    <row r="14" spans="1:28" x14ac:dyDescent="0.2">
      <c r="B14" s="1" t="s">
        <v>178</v>
      </c>
      <c r="C14" s="141">
        <v>2.5000000000000001E-2</v>
      </c>
    </row>
    <row r="15" spans="1:28" x14ac:dyDescent="0.2">
      <c r="B15" s="1" t="s">
        <v>158</v>
      </c>
      <c r="C15" s="136">
        <f ca="1">IF(Overview!C28&gt;0,Overview!C28,WACC!C20)</f>
        <v>0.14396922377132826</v>
      </c>
    </row>
    <row r="18" spans="2:3" x14ac:dyDescent="0.2">
      <c r="B18" s="231" t="s">
        <v>179</v>
      </c>
      <c r="C18" s="231"/>
    </row>
    <row r="19" spans="2:3" x14ac:dyDescent="0.2">
      <c r="B19" s="1" t="s">
        <v>180</v>
      </c>
      <c r="C19" s="64">
        <f ca="1">SUM(H10:L10)</f>
        <v>907978.71610764752</v>
      </c>
    </row>
    <row r="20" spans="2:3" x14ac:dyDescent="0.2">
      <c r="B20" s="1" t="s">
        <v>176</v>
      </c>
      <c r="C20" s="64">
        <f ca="1">L11</f>
        <v>2184120.7369260327</v>
      </c>
    </row>
    <row r="21" spans="2:3" x14ac:dyDescent="0.2">
      <c r="B21" s="16" t="s">
        <v>181</v>
      </c>
      <c r="C21" s="94">
        <f ca="1">C19+C20</f>
        <v>3092099.4530336801</v>
      </c>
    </row>
    <row r="22" spans="2:3" x14ac:dyDescent="0.2">
      <c r="B22" s="1" t="s">
        <v>182</v>
      </c>
      <c r="C22" s="137">
        <f>Statement!AC105</f>
        <v>80572</v>
      </c>
    </row>
    <row r="23" spans="2:3" x14ac:dyDescent="0.2">
      <c r="B23" s="1" t="s">
        <v>183</v>
      </c>
      <c r="C23" s="137">
        <f>Statement!AC106</f>
        <v>8470</v>
      </c>
    </row>
    <row r="24" spans="2:3" x14ac:dyDescent="0.2">
      <c r="B24" s="16" t="s">
        <v>184</v>
      </c>
      <c r="C24" s="94">
        <f ca="1">C21+C22-C23</f>
        <v>3164201.4530336801</v>
      </c>
    </row>
    <row r="25" spans="2:3" x14ac:dyDescent="0.2">
      <c r="B25" s="1" t="s">
        <v>67</v>
      </c>
      <c r="C25" s="137">
        <f>Statement!AC77</f>
        <v>24305</v>
      </c>
    </row>
    <row r="26" spans="2:3" x14ac:dyDescent="0.2">
      <c r="B26" s="142" t="s">
        <v>185</v>
      </c>
      <c r="C26" s="143">
        <f ca="1">C24/C25</f>
        <v>130.18726406227856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40" zoomScale="192" zoomScaleNormal="100" workbookViewId="0">
      <selection activeCell="C55" sqref="C5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186</v>
      </c>
    </row>
    <row r="2" spans="1:14" x14ac:dyDescent="0.2">
      <c r="A2" s="4"/>
      <c r="C2" s="231" t="s">
        <v>105</v>
      </c>
      <c r="D2" s="231"/>
      <c r="E2" s="231"/>
      <c r="F2" s="231"/>
      <c r="G2" s="243"/>
      <c r="H2" s="244" t="s">
        <v>106</v>
      </c>
      <c r="I2" s="231"/>
      <c r="J2" s="231"/>
      <c r="K2" s="231"/>
      <c r="L2" s="231"/>
    </row>
    <row r="3" spans="1:14" ht="10" customHeight="1" x14ac:dyDescent="0.2"/>
    <row r="4" spans="1:14" ht="16" customHeight="1" x14ac:dyDescent="0.2">
      <c r="A4" s="86"/>
      <c r="B4" s="60"/>
      <c r="C4" s="240" t="s">
        <v>187</v>
      </c>
      <c r="D4" s="240"/>
      <c r="E4" s="240"/>
      <c r="F4" s="240"/>
      <c r="G4" s="240"/>
      <c r="H4" s="240"/>
      <c r="I4" s="240"/>
      <c r="J4" s="240"/>
      <c r="K4" s="240"/>
      <c r="L4" s="240"/>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260</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0" t="s">
        <v>114</v>
      </c>
      <c r="D10" s="240"/>
      <c r="E10" s="240"/>
      <c r="F10" s="240"/>
      <c r="G10" s="240"/>
      <c r="H10" s="240"/>
      <c r="I10" s="240"/>
      <c r="J10" s="240"/>
      <c r="K10" s="240"/>
      <c r="L10" s="240"/>
      <c r="N10" s="91"/>
    </row>
    <row r="11" spans="1:14" x14ac:dyDescent="0.2">
      <c r="B11" s="16" t="s">
        <v>188</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260</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0" t="s">
        <v>189</v>
      </c>
      <c r="D16" s="240"/>
      <c r="E16" s="240"/>
      <c r="F16" s="240"/>
      <c r="G16" s="240"/>
      <c r="H16" s="240"/>
      <c r="I16" s="240"/>
      <c r="J16" s="240"/>
      <c r="K16" s="240"/>
      <c r="L16" s="240"/>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190</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191</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0" t="s">
        <v>192</v>
      </c>
      <c r="D21" s="240"/>
      <c r="E21" s="240"/>
      <c r="F21" s="240"/>
      <c r="G21" s="240"/>
      <c r="H21" s="240"/>
      <c r="I21" s="240"/>
      <c r="J21" s="240"/>
      <c r="K21" s="240"/>
      <c r="L21" s="240"/>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0" t="s">
        <v>193</v>
      </c>
      <c r="D26" s="240"/>
      <c r="E26" s="240"/>
      <c r="F26" s="240"/>
      <c r="G26" s="240"/>
      <c r="H26" s="240"/>
      <c r="I26" s="240"/>
      <c r="J26" s="240"/>
      <c r="K26" s="240"/>
      <c r="L26" s="240"/>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194</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195</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162</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171</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196</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197</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319</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1" t="s">
        <v>198</v>
      </c>
      <c r="C37" s="231"/>
      <c r="N37" s="91"/>
    </row>
    <row r="38" spans="2:14" x14ac:dyDescent="0.2">
      <c r="B38" s="1" t="s">
        <v>199</v>
      </c>
      <c r="C38" s="64">
        <f>L7</f>
        <v>775475.42030804313</v>
      </c>
    </row>
    <row r="39" spans="2:14" x14ac:dyDescent="0.2">
      <c r="B39" s="1" t="s">
        <v>158</v>
      </c>
      <c r="C39" s="136">
        <f ca="1">IF(Overview!C28&gt;0,Overview!C28,WACC!C20)</f>
        <v>0.14396922377132826</v>
      </c>
    </row>
    <row r="40" spans="2:14" x14ac:dyDescent="0.2">
      <c r="B40" s="39" t="s">
        <v>200</v>
      </c>
      <c r="C40" s="105">
        <v>20</v>
      </c>
    </row>
    <row r="41" spans="2:14" x14ac:dyDescent="0.2">
      <c r="B41" s="1" t="s">
        <v>196</v>
      </c>
      <c r="C41" s="24">
        <f>(C38*C40)</f>
        <v>15509508.406160863</v>
      </c>
    </row>
    <row r="42" spans="2:14" x14ac:dyDescent="0.2">
      <c r="B42" s="1" t="s">
        <v>387</v>
      </c>
      <c r="C42" s="24">
        <f ca="1">C41/(1+C39)^5-G30+G31</f>
        <v>7970462.4528585616</v>
      </c>
    </row>
    <row r="43" spans="2:14" x14ac:dyDescent="0.2">
      <c r="B43" s="1" t="s">
        <v>67</v>
      </c>
      <c r="C43" s="88">
        <f>Statement!AC77</f>
        <v>24305</v>
      </c>
    </row>
    <row r="44" spans="2:14" x14ac:dyDescent="0.2">
      <c r="B44" s="142" t="s">
        <v>202</v>
      </c>
      <c r="C44" s="143">
        <f ca="1">C42/C43</f>
        <v>327.93509371975153</v>
      </c>
    </row>
    <row r="46" spans="2:14" x14ac:dyDescent="0.2">
      <c r="B46" s="231" t="s">
        <v>203</v>
      </c>
      <c r="C46" s="231"/>
    </row>
    <row r="47" spans="2:14" x14ac:dyDescent="0.2">
      <c r="B47" s="1" t="s">
        <v>204</v>
      </c>
      <c r="C47" s="64">
        <f>L6</f>
        <v>1256848.3311313502</v>
      </c>
    </row>
    <row r="48" spans="2:14" x14ac:dyDescent="0.2">
      <c r="B48" s="1" t="s">
        <v>389</v>
      </c>
      <c r="C48" s="136">
        <f>Overview!C29</f>
        <v>0.12</v>
      </c>
    </row>
    <row r="49" spans="2:3" x14ac:dyDescent="0.2">
      <c r="B49" s="39" t="s">
        <v>205</v>
      </c>
      <c r="C49" s="105">
        <v>10</v>
      </c>
    </row>
    <row r="50" spans="2:3" x14ac:dyDescent="0.2">
      <c r="B50" s="1" t="s">
        <v>201</v>
      </c>
      <c r="C50" s="24">
        <f>L18</f>
        <v>23429.712685180726</v>
      </c>
    </row>
    <row r="51" spans="2:3" x14ac:dyDescent="0.2">
      <c r="B51" s="1" t="s">
        <v>185</v>
      </c>
      <c r="C51" s="24">
        <f>(C47*C49)/C50</f>
        <v>536.4335226894633</v>
      </c>
    </row>
    <row r="52" spans="2:3" x14ac:dyDescent="0.2">
      <c r="B52" s="142" t="s">
        <v>202</v>
      </c>
      <c r="C52" s="143">
        <f>C51/(1+C48)^5</f>
        <v>304.38678708173404</v>
      </c>
    </row>
    <row r="54" spans="2:3" x14ac:dyDescent="0.2">
      <c r="B54" s="231" t="s">
        <v>320</v>
      </c>
      <c r="C54" s="231"/>
    </row>
    <row r="55" spans="2:3" x14ac:dyDescent="0.2">
      <c r="B55" s="1" t="s">
        <v>206</v>
      </c>
      <c r="C55" s="64">
        <f>L8</f>
        <v>496659.91370982229</v>
      </c>
    </row>
    <row r="56" spans="2:3" x14ac:dyDescent="0.2">
      <c r="B56" s="1" t="s">
        <v>158</v>
      </c>
      <c r="C56" s="136">
        <f ca="1">IF(Overview!C28&gt;0,Overview!C28,WACC!C20)</f>
        <v>0.14396922377132826</v>
      </c>
    </row>
    <row r="57" spans="2:3" x14ac:dyDescent="0.2">
      <c r="B57" s="39" t="s">
        <v>388</v>
      </c>
      <c r="C57" s="105">
        <v>30</v>
      </c>
    </row>
    <row r="58" spans="2:3" x14ac:dyDescent="0.2">
      <c r="B58" s="1" t="s">
        <v>196</v>
      </c>
      <c r="C58" s="24">
        <f>(C55*C57)</f>
        <v>14899797.411294669</v>
      </c>
    </row>
    <row r="59" spans="2:3" x14ac:dyDescent="0.2">
      <c r="B59" s="1" t="s">
        <v>387</v>
      </c>
      <c r="C59" s="24">
        <f ca="1">C58/(1+C56)^5-G30+G31</f>
        <v>7659253.3276571212</v>
      </c>
    </row>
    <row r="60" spans="2:3" x14ac:dyDescent="0.2">
      <c r="B60" s="1" t="s">
        <v>67</v>
      </c>
      <c r="C60" s="88">
        <f>Statement!AC77</f>
        <v>24305</v>
      </c>
    </row>
    <row r="61" spans="2:3" x14ac:dyDescent="0.2">
      <c r="B61" s="142" t="s">
        <v>202</v>
      </c>
      <c r="C61" s="143">
        <f ca="1">C59/C60</f>
        <v>315.13076846974371</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207</v>
      </c>
    </row>
    <row r="2" spans="1:14" x14ac:dyDescent="0.2">
      <c r="N2" s="91"/>
    </row>
    <row r="3" spans="1:14" x14ac:dyDescent="0.2">
      <c r="N3" s="91"/>
    </row>
    <row r="4" spans="1:14" x14ac:dyDescent="0.2">
      <c r="B4" s="231" t="s">
        <v>208</v>
      </c>
      <c r="C4" s="231"/>
      <c r="N4" s="91"/>
    </row>
    <row r="5" spans="1:14" x14ac:dyDescent="0.2">
      <c r="B5" s="1" t="s">
        <v>209</v>
      </c>
      <c r="C5" s="134">
        <f ca="1">DCF!C26</f>
        <v>130.18726406227856</v>
      </c>
    </row>
    <row r="6" spans="1:14" x14ac:dyDescent="0.2">
      <c r="B6" s="1" t="s">
        <v>210</v>
      </c>
      <c r="C6" s="134">
        <f ca="1">Multiples!C44</f>
        <v>327.93509371975153</v>
      </c>
    </row>
    <row r="7" spans="1:14" x14ac:dyDescent="0.2">
      <c r="B7" s="1" t="s">
        <v>211</v>
      </c>
      <c r="C7" s="134">
        <f>Multiples!C52</f>
        <v>304.38678708173404</v>
      </c>
    </row>
    <row r="8" spans="1:14" x14ac:dyDescent="0.2">
      <c r="B8" s="1" t="s">
        <v>321</v>
      </c>
      <c r="C8" s="134">
        <f ca="1">Multiples!C61</f>
        <v>315.13076846974371</v>
      </c>
    </row>
    <row r="9" spans="1:14" x14ac:dyDescent="0.2">
      <c r="B9" s="142" t="s">
        <v>212</v>
      </c>
      <c r="C9" s="143">
        <f ca="1">AVERAGE(C5:C8)</f>
        <v>269.40997833337696</v>
      </c>
    </row>
    <row r="10" spans="1:14" x14ac:dyDescent="0.2">
      <c r="B10" s="1" t="s">
        <v>213</v>
      </c>
      <c r="C10" s="134">
        <f ca="1">Overview!C5</f>
        <v>200.42</v>
      </c>
    </row>
    <row r="11" spans="1:14" x14ac:dyDescent="0.2">
      <c r="B11" s="1" t="s">
        <v>214</v>
      </c>
      <c r="C11" s="155">
        <f ca="1">(C9-C10)/C10</f>
        <v>0.34422701493552027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C25" sqref="C2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215</v>
      </c>
    </row>
    <row r="2" spans="1:28" s="83" customFormat="1" ht="18" customHeight="1" x14ac:dyDescent="0.2">
      <c r="A2" s="4"/>
      <c r="B2" s="82"/>
    </row>
    <row r="3" spans="1:28" x14ac:dyDescent="0.2">
      <c r="A3" s="4"/>
      <c r="C3" s="231" t="s">
        <v>105</v>
      </c>
      <c r="D3" s="231"/>
      <c r="E3" s="231"/>
      <c r="F3" s="231"/>
      <c r="G3" s="243"/>
      <c r="H3" s="244" t="s">
        <v>106</v>
      </c>
      <c r="I3" s="231"/>
      <c r="J3" s="231"/>
      <c r="K3" s="231"/>
      <c r="L3" s="231"/>
      <c r="P3" s="245"/>
      <c r="Q3" s="245"/>
      <c r="R3" s="245"/>
      <c r="S3" s="245"/>
      <c r="T3" s="245"/>
      <c r="U3" s="245"/>
      <c r="V3" s="245"/>
      <c r="W3" s="245"/>
      <c r="X3" s="245"/>
      <c r="Y3" s="245"/>
      <c r="Z3" s="245"/>
      <c r="AB3" s="110"/>
    </row>
    <row r="4" spans="1:28" ht="10" customHeight="1" x14ac:dyDescent="0.2"/>
    <row r="5" spans="1:28" ht="16" customHeight="1" x14ac:dyDescent="0.2">
      <c r="A5" s="86"/>
      <c r="B5" s="60"/>
      <c r="C5" s="240" t="s">
        <v>173</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260</v>
      </c>
      <c r="C7" s="113">
        <f>'FCF &amp; Other'!C28</f>
        <v>6685.0987828186298</v>
      </c>
      <c r="D7" s="113">
        <f>'FCF &amp; Other'!D28</f>
        <v>1728</v>
      </c>
      <c r="E7" s="113">
        <f>'FCF &amp; Other'!E28</f>
        <v>25732.515997397837</v>
      </c>
      <c r="F7" s="113">
        <f>'FCF &amp; Other'!F28</f>
        <v>59893.306952609913</v>
      </c>
      <c r="G7" s="113">
        <f>'FCF &amp; Other'!G28</f>
        <v>91501.393983739836</v>
      </c>
      <c r="H7" s="127">
        <f>G7*(1+$C$17)</f>
        <v>142742.17461463416</v>
      </c>
      <c r="I7" s="127">
        <f t="shared" ref="I7:L7" si="0">H7*(1+$C$17)</f>
        <v>222677.7923988293</v>
      </c>
      <c r="J7" s="127">
        <f t="shared" si="0"/>
        <v>347377.35614217375</v>
      </c>
      <c r="K7" s="127">
        <f t="shared" si="0"/>
        <v>541908.67558179109</v>
      </c>
      <c r="L7" s="127">
        <f t="shared" si="0"/>
        <v>845377.53390759416</v>
      </c>
      <c r="N7" s="91"/>
      <c r="O7" s="16"/>
      <c r="P7" s="92"/>
      <c r="Q7" s="92"/>
      <c r="R7" s="92"/>
      <c r="S7" s="92"/>
      <c r="T7" s="92"/>
      <c r="U7" s="92"/>
      <c r="V7" s="92"/>
      <c r="W7" s="92"/>
      <c r="X7" s="94"/>
      <c r="Y7" s="94"/>
      <c r="Z7" s="94"/>
      <c r="AB7" s="94"/>
    </row>
    <row r="8" spans="1:28" x14ac:dyDescent="0.2">
      <c r="B8" s="39" t="s">
        <v>174</v>
      </c>
      <c r="C8" s="138"/>
      <c r="D8" s="138"/>
      <c r="E8" s="138"/>
      <c r="F8" s="138"/>
      <c r="G8" s="139"/>
      <c r="H8" s="138"/>
      <c r="I8" s="138"/>
      <c r="J8" s="138"/>
      <c r="K8" s="138"/>
      <c r="L8" s="127">
        <f ca="1">L7*(1+C20)/(C21-C20)</f>
        <v>7283496.8976582875</v>
      </c>
      <c r="N8" s="91"/>
      <c r="O8" s="16"/>
      <c r="P8" s="92"/>
      <c r="Q8" s="92"/>
      <c r="R8" s="92"/>
      <c r="S8" s="92"/>
      <c r="T8" s="92"/>
      <c r="U8" s="92"/>
      <c r="V8" s="92"/>
      <c r="W8" s="92"/>
      <c r="X8" s="94"/>
      <c r="Y8" s="94"/>
      <c r="Z8" s="94"/>
      <c r="AB8" s="94"/>
    </row>
    <row r="9" spans="1:28" x14ac:dyDescent="0.2">
      <c r="B9" s="1" t="s">
        <v>175</v>
      </c>
      <c r="C9" s="138"/>
      <c r="D9" s="138"/>
      <c r="E9" s="138"/>
      <c r="F9" s="138"/>
      <c r="G9" s="139"/>
      <c r="H9" s="140">
        <v>1</v>
      </c>
      <c r="I9" s="140">
        <v>2</v>
      </c>
      <c r="J9" s="140">
        <v>3</v>
      </c>
      <c r="K9" s="140">
        <v>4</v>
      </c>
      <c r="L9" s="140">
        <v>5</v>
      </c>
      <c r="N9" s="91"/>
    </row>
    <row r="10" spans="1:28" x14ac:dyDescent="0.2">
      <c r="B10" s="1" t="s">
        <v>318</v>
      </c>
      <c r="C10" s="138"/>
      <c r="D10" s="138"/>
      <c r="E10" s="138"/>
      <c r="F10" s="138"/>
      <c r="G10" s="139"/>
      <c r="H10" s="127">
        <f ca="1">H7/(1+$C$21)^H9</f>
        <v>124777.98497415465</v>
      </c>
      <c r="I10" s="127">
        <f t="shared" ref="I10:L10" ca="1" si="1">I7/(1+$C$21)^I9</f>
        <v>170156.37528950794</v>
      </c>
      <c r="J10" s="127">
        <f t="shared" ca="1" si="1"/>
        <v>232037.66319564282</v>
      </c>
      <c r="K10" s="127">
        <f t="shared" ca="1" si="1"/>
        <v>316423.50778621982</v>
      </c>
      <c r="L10" s="127">
        <f t="shared" ca="1" si="1"/>
        <v>431498.20981999981</v>
      </c>
      <c r="N10" s="91"/>
    </row>
    <row r="11" spans="1:28" x14ac:dyDescent="0.2">
      <c r="B11" s="1" t="s">
        <v>176</v>
      </c>
      <c r="C11" s="138"/>
      <c r="D11" s="138"/>
      <c r="E11" s="138"/>
      <c r="F11" s="138"/>
      <c r="G11" s="139"/>
      <c r="H11" s="138"/>
      <c r="I11" s="138"/>
      <c r="J11" s="138"/>
      <c r="K11" s="138"/>
      <c r="L11" s="127">
        <f ca="1">L8/(1+C21)^L9</f>
        <v>3717647.733128198</v>
      </c>
    </row>
    <row r="13" spans="1:28" ht="17" thickBot="1" x14ac:dyDescent="0.25"/>
    <row r="14" spans="1:28" x14ac:dyDescent="0.2">
      <c r="B14" s="246" t="s">
        <v>216</v>
      </c>
      <c r="C14" s="247"/>
    </row>
    <row r="15" spans="1:28" x14ac:dyDescent="0.2">
      <c r="B15" s="156" t="s">
        <v>217</v>
      </c>
      <c r="C15" s="157">
        <f ca="1">Overview!C5</f>
        <v>200.42</v>
      </c>
    </row>
    <row r="16" spans="1:28" x14ac:dyDescent="0.2">
      <c r="B16" s="156" t="s">
        <v>218</v>
      </c>
      <c r="C16" s="157">
        <f ca="1">C36</f>
        <v>209.28278818982326</v>
      </c>
    </row>
    <row r="17" spans="2:9" ht="17" thickBot="1" x14ac:dyDescent="0.25">
      <c r="B17" s="158" t="s">
        <v>322</v>
      </c>
      <c r="C17" s="159">
        <v>0.56000000000000005</v>
      </c>
      <c r="E17" s="248" t="s">
        <v>219</v>
      </c>
      <c r="F17" s="248"/>
      <c r="G17" s="248"/>
      <c r="H17" s="248"/>
      <c r="I17" s="248"/>
    </row>
    <row r="18" spans="2:9" ht="17" thickBot="1" x14ac:dyDescent="0.25"/>
    <row r="19" spans="2:9" x14ac:dyDescent="0.2">
      <c r="B19" s="246" t="s">
        <v>177</v>
      </c>
      <c r="C19" s="247"/>
    </row>
    <row r="20" spans="2:9" x14ac:dyDescent="0.2">
      <c r="B20" s="160" t="s">
        <v>178</v>
      </c>
      <c r="C20" s="161">
        <v>2.5000000000000001E-2</v>
      </c>
    </row>
    <row r="21" spans="2:9" x14ac:dyDescent="0.2">
      <c r="B21" s="160" t="s">
        <v>158</v>
      </c>
      <c r="C21" s="229">
        <f ca="1">IF(Overview!C28&gt;0,Overview!C28,WACC!C20)</f>
        <v>0.14396922377132826</v>
      </c>
    </row>
    <row r="22" spans="2:9" x14ac:dyDescent="0.2">
      <c r="B22" s="160" t="s">
        <v>67</v>
      </c>
      <c r="C22" s="230">
        <f>Statement!AC74</f>
        <v>24200</v>
      </c>
    </row>
    <row r="23" spans="2:9" x14ac:dyDescent="0.2">
      <c r="B23" s="160" t="s">
        <v>220</v>
      </c>
      <c r="C23" s="162">
        <f ca="1">C15*C22</f>
        <v>4850164</v>
      </c>
    </row>
    <row r="24" spans="2:9" x14ac:dyDescent="0.2">
      <c r="B24" s="160" t="s">
        <v>171</v>
      </c>
      <c r="C24" s="230">
        <f>Statement!AC105</f>
        <v>80572</v>
      </c>
    </row>
    <row r="25" spans="2:9" x14ac:dyDescent="0.2">
      <c r="B25" s="160" t="s">
        <v>162</v>
      </c>
      <c r="C25" s="230">
        <f>Statement!AC106</f>
        <v>8470</v>
      </c>
    </row>
    <row r="26" spans="2:9" ht="17" thickBot="1" x14ac:dyDescent="0.25">
      <c r="B26" s="158" t="s">
        <v>221</v>
      </c>
      <c r="C26" s="163">
        <f ca="1">C23+C25-C24</f>
        <v>4778062</v>
      </c>
    </row>
    <row r="27" spans="2:9" ht="17" thickBot="1" x14ac:dyDescent="0.25"/>
    <row r="28" spans="2:9" x14ac:dyDescent="0.2">
      <c r="B28" s="246" t="s">
        <v>179</v>
      </c>
      <c r="C28" s="247"/>
    </row>
    <row r="29" spans="2:9" x14ac:dyDescent="0.2">
      <c r="B29" s="160" t="s">
        <v>180</v>
      </c>
      <c r="C29" s="162">
        <f ca="1">SUM(H10:L10)</f>
        <v>1274893.741065525</v>
      </c>
    </row>
    <row r="30" spans="2:9" x14ac:dyDescent="0.2">
      <c r="B30" s="160" t="s">
        <v>176</v>
      </c>
      <c r="C30" s="162">
        <f ca="1">L11</f>
        <v>3717647.733128198</v>
      </c>
    </row>
    <row r="31" spans="2:9" x14ac:dyDescent="0.2">
      <c r="B31" s="164" t="s">
        <v>181</v>
      </c>
      <c r="C31" s="165">
        <f ca="1">C29+C30</f>
        <v>4992541.4741937229</v>
      </c>
    </row>
    <row r="32" spans="2:9" x14ac:dyDescent="0.2">
      <c r="B32" s="160" t="s">
        <v>182</v>
      </c>
      <c r="C32" s="166">
        <f>C24</f>
        <v>80572</v>
      </c>
    </row>
    <row r="33" spans="2:12" x14ac:dyDescent="0.2">
      <c r="B33" s="160" t="s">
        <v>183</v>
      </c>
      <c r="C33" s="166">
        <f>C25</f>
        <v>8470</v>
      </c>
    </row>
    <row r="34" spans="2:12" x14ac:dyDescent="0.2">
      <c r="B34" s="164" t="s">
        <v>184</v>
      </c>
      <c r="C34" s="165">
        <f ca="1">C31+C32-C33</f>
        <v>5064643.4741937229</v>
      </c>
    </row>
    <row r="35" spans="2:12" x14ac:dyDescent="0.2">
      <c r="B35" s="160" t="s">
        <v>67</v>
      </c>
      <c r="C35" s="162">
        <f>C22</f>
        <v>24200</v>
      </c>
    </row>
    <row r="36" spans="2:12" ht="17" thickBot="1" x14ac:dyDescent="0.25">
      <c r="B36" s="167" t="s">
        <v>185</v>
      </c>
      <c r="C36" s="168">
        <f ca="1">C34/C35</f>
        <v>209.28278818982326</v>
      </c>
    </row>
    <row r="39" spans="2:12" x14ac:dyDescent="0.2">
      <c r="C39" s="240" t="s">
        <v>222</v>
      </c>
      <c r="D39" s="240"/>
      <c r="E39" s="240"/>
      <c r="F39" s="240"/>
      <c r="G39" s="240"/>
      <c r="H39" s="240"/>
      <c r="I39" s="240"/>
      <c r="J39" s="240"/>
      <c r="K39" s="240"/>
      <c r="L39" s="240"/>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260</v>
      </c>
      <c r="C41" s="113">
        <f>C7</f>
        <v>6685.0987828186298</v>
      </c>
      <c r="D41" s="113">
        <f t="shared" si="2"/>
        <v>1728</v>
      </c>
      <c r="E41" s="113">
        <f t="shared" si="2"/>
        <v>25732.515997397837</v>
      </c>
      <c r="F41" s="113">
        <f t="shared" si="2"/>
        <v>59893.306952609913</v>
      </c>
      <c r="G41" s="114">
        <f t="shared" si="2"/>
        <v>91501.393983739836</v>
      </c>
      <c r="H41" s="144">
        <f t="shared" si="2"/>
        <v>142742.17461463416</v>
      </c>
      <c r="I41" s="144">
        <f t="shared" si="2"/>
        <v>222677.7923988293</v>
      </c>
      <c r="J41" s="144">
        <f t="shared" si="2"/>
        <v>347377.35614217375</v>
      </c>
      <c r="K41" s="144">
        <f t="shared" si="2"/>
        <v>541908.67558179109</v>
      </c>
      <c r="L41" s="144">
        <f t="shared" si="2"/>
        <v>845377.53390759416</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129765.61328603105</v>
      </c>
      <c r="I42" s="144">
        <f t="shared" ref="I42:L42" si="3">I41/I43</f>
        <v>202434.35672620844</v>
      </c>
      <c r="J42" s="144">
        <f t="shared" si="3"/>
        <v>315797.5964928852</v>
      </c>
      <c r="K42" s="144">
        <f t="shared" si="3"/>
        <v>492644.25052890094</v>
      </c>
      <c r="L42" s="144">
        <f t="shared" si="3"/>
        <v>768525.03082508559</v>
      </c>
    </row>
    <row r="43" spans="2:12" x14ac:dyDescent="0.2">
      <c r="B43" s="123" t="s">
        <v>323</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14274217.461463416</v>
      </c>
      <c r="I44" s="144">
        <f t="shared" ref="I44:L44" si="5">I41/I45</f>
        <v>11133889.619941466</v>
      </c>
      <c r="J44" s="144">
        <f t="shared" si="5"/>
        <v>8270889.4319565175</v>
      </c>
      <c r="K44" s="144">
        <f t="shared" si="5"/>
        <v>7741552.5083113005</v>
      </c>
      <c r="L44" s="144">
        <f t="shared" si="5"/>
        <v>5635850.2260506283</v>
      </c>
    </row>
    <row r="45" spans="2:12" x14ac:dyDescent="0.2">
      <c r="B45" s="123" t="s">
        <v>324</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325</v>
      </c>
      <c r="C46" s="138"/>
      <c r="D46" s="95">
        <f>D41/C41-1</f>
        <v>-0.74151466475841277</v>
      </c>
      <c r="E46" s="95">
        <f t="shared" ref="E46:L47" si="7">E41/D41-1</f>
        <v>13.891502313308933</v>
      </c>
      <c r="F46" s="95">
        <f t="shared" si="7"/>
        <v>1.3275340413143639</v>
      </c>
      <c r="G46" s="96">
        <f t="shared" si="7"/>
        <v>0.5277398867980283</v>
      </c>
      <c r="H46" s="170">
        <f t="shared" si="7"/>
        <v>0.56000000000000028</v>
      </c>
      <c r="I46" s="170">
        <f t="shared" si="7"/>
        <v>0.56000000000000005</v>
      </c>
      <c r="J46" s="170">
        <f t="shared" si="7"/>
        <v>0.56000000000000028</v>
      </c>
      <c r="K46" s="170">
        <f t="shared" si="7"/>
        <v>0.56000000000000005</v>
      </c>
      <c r="L46" s="170">
        <f t="shared" si="7"/>
        <v>0.56000000000000005</v>
      </c>
    </row>
    <row r="47" spans="2:12" x14ac:dyDescent="0.2">
      <c r="B47" s="123" t="s">
        <v>223</v>
      </c>
      <c r="C47" s="138"/>
      <c r="D47" s="95">
        <f>D42/C42-1</f>
        <v>-0.57932476844935765</v>
      </c>
      <c r="E47" s="95">
        <f t="shared" si="7"/>
        <v>6.8058712121212119</v>
      </c>
      <c r="F47" s="95">
        <f t="shared" si="7"/>
        <v>1.470368797767803</v>
      </c>
      <c r="G47" s="96">
        <f t="shared" si="7"/>
        <v>0.60076363055995485</v>
      </c>
      <c r="H47" s="170">
        <f t="shared" si="7"/>
        <v>-4.7657106457619225E-3</v>
      </c>
      <c r="I47" s="170">
        <f t="shared" si="7"/>
        <v>0.56000000000000005</v>
      </c>
      <c r="J47" s="170">
        <f t="shared" si="7"/>
        <v>0.56000000000000028</v>
      </c>
      <c r="K47" s="170">
        <f t="shared" si="7"/>
        <v>0.56000000000000005</v>
      </c>
      <c r="L47" s="170">
        <f t="shared" si="7"/>
        <v>0.56000000000000028</v>
      </c>
    </row>
    <row r="48" spans="2:12" x14ac:dyDescent="0.2">
      <c r="B48" s="123" t="s">
        <v>224</v>
      </c>
      <c r="C48" s="138"/>
      <c r="D48" s="95">
        <f>D44/C44-1</f>
        <v>2.2293230289069932E-3</v>
      </c>
      <c r="E48" s="95">
        <f t="shared" ref="E48:L48" si="8">E44/D44-1</f>
        <v>1.2585452658115224</v>
      </c>
      <c r="F48" s="95">
        <f t="shared" si="8"/>
        <v>1.1420340763599355</v>
      </c>
      <c r="G48" s="96">
        <f t="shared" si="8"/>
        <v>0.65473535790094783</v>
      </c>
      <c r="H48" s="170">
        <f t="shared" si="8"/>
        <v>65.103314198813621</v>
      </c>
      <c r="I48" s="170">
        <f t="shared" si="8"/>
        <v>-0.21999999999999997</v>
      </c>
      <c r="J48" s="170">
        <f t="shared" si="8"/>
        <v>-0.25714285714285712</v>
      </c>
      <c r="K48" s="170">
        <f t="shared" si="8"/>
        <v>-6.3999999999999946E-2</v>
      </c>
      <c r="L48" s="170">
        <f t="shared" si="8"/>
        <v>-0.2719999999999998</v>
      </c>
    </row>
    <row r="49" spans="2:12" x14ac:dyDescent="0.2">
      <c r="B49" s="123" t="s">
        <v>225</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2026-06-10T21:35:38Z</dcterms:modified>
</cp:coreProperties>
</file>