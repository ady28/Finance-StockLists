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AEB880D-5739-184D-A679-75D587E12678}" xr6:coauthVersionLast="47" xr6:coauthVersionMax="47" xr10:uidLastSave="{00000000-0000-0000-0000-000000000000}"/>
  <bookViews>
    <workbookView xWindow="0" yWindow="0" windowWidth="25600" windowHeight="14400" firstSheet="8"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7" i="12" l="1"/>
  <c r="C67" i="12"/>
  <c r="C64" i="12"/>
  <c r="C63" i="12"/>
  <c r="C44" i="12"/>
  <c r="C4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2" i="3"/>
  <c r="Q182" i="3"/>
  <c r="P182" i="3"/>
  <c r="O182" i="3"/>
  <c r="N182" i="3"/>
  <c r="M182" i="3"/>
  <c r="AC185" i="3"/>
  <c r="Q185" i="3"/>
  <c r="P185" i="3"/>
  <c r="O185" i="3"/>
  <c r="N185" i="3"/>
  <c r="M185" i="3"/>
  <c r="AC33" i="3"/>
  <c r="Q208" i="3"/>
  <c r="P208" i="3"/>
  <c r="O208" i="3"/>
  <c r="N208" i="3"/>
  <c r="C51" i="12"/>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Z199" i="3"/>
  <c r="Y199" i="3"/>
  <c r="X199" i="3"/>
  <c r="W199" i="3"/>
  <c r="V199" i="3"/>
  <c r="U199" i="3"/>
  <c r="T199" i="3"/>
  <c r="Q199" i="3"/>
  <c r="P199" i="3"/>
  <c r="O199" i="3"/>
  <c r="N199" i="3"/>
  <c r="M199" i="3"/>
  <c r="AC192"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8" i="3"/>
  <c r="Y198" i="3"/>
  <c r="X198" i="3"/>
  <c r="W198" i="3"/>
  <c r="V198" i="3"/>
  <c r="U198" i="3"/>
  <c r="T198" i="3"/>
  <c r="Z197" i="3"/>
  <c r="Y197" i="3"/>
  <c r="X197" i="3"/>
  <c r="W197" i="3"/>
  <c r="V197" i="3"/>
  <c r="U197" i="3"/>
  <c r="T197" i="3"/>
  <c r="Z196" i="3"/>
  <c r="Y196" i="3"/>
  <c r="X196" i="3"/>
  <c r="W196" i="3"/>
  <c r="V196" i="3"/>
  <c r="U196" i="3"/>
  <c r="T196"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Q183" i="3" l="1"/>
  <c r="P183" i="3"/>
  <c r="O183" i="3"/>
  <c r="N183" i="3"/>
  <c r="M183" i="3"/>
  <c r="AA105" i="3"/>
  <c r="Z105" i="3"/>
  <c r="Y105" i="3"/>
  <c r="X105" i="3"/>
  <c r="W105" i="3"/>
  <c r="V105" i="3"/>
  <c r="U105" i="3"/>
  <c r="T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8" i="3"/>
  <c r="F8" i="5"/>
  <c r="K66" i="19"/>
  <c r="P197" i="3"/>
  <c r="F7" i="5"/>
  <c r="K65" i="19"/>
  <c r="P196" i="3"/>
  <c r="F6" i="5"/>
  <c r="Q198" i="3"/>
  <c r="G8" i="5"/>
  <c r="L66" i="19"/>
  <c r="Q197" i="3"/>
  <c r="G7" i="5"/>
  <c r="H7" i="5" s="1"/>
  <c r="I7" i="5" s="1"/>
  <c r="J7" i="5" s="1"/>
  <c r="K7" i="5" s="1"/>
  <c r="L7" i="5" s="1"/>
  <c r="L65" i="19"/>
  <c r="Q196"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Q184" i="3" l="1"/>
  <c r="P184" i="3"/>
  <c r="O184" i="3"/>
  <c r="N184" i="3"/>
  <c r="M184" i="3"/>
  <c r="AC183" i="3"/>
  <c r="E48" i="17"/>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184" i="3" l="1"/>
  <c r="H6" i="12"/>
  <c r="H6" i="8"/>
  <c r="H6" i="6"/>
  <c r="H11" i="6" s="1"/>
  <c r="C22" i="11"/>
  <c r="C24" i="14"/>
  <c r="C25" i="11"/>
  <c r="C46" i="12"/>
  <c r="C66"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3"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9"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50" i="12"/>
  <c r="C54" i="12" s="1"/>
  <c r="C55"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I14" i="12"/>
  <c r="J14" i="12"/>
  <c r="L13" i="12"/>
  <c r="L28" i="8"/>
  <c r="C38" i="12"/>
  <c r="K7" i="11"/>
  <c r="K10" i="11" s="1"/>
  <c r="K8" i="12" l="1"/>
  <c r="L8" i="12"/>
  <c r="C41" i="12"/>
  <c r="C42" i="12" s="1"/>
  <c r="L7" i="11"/>
  <c r="C6" i="13" l="1"/>
  <c r="I4" i="1" s="1"/>
  <c r="C45" i="12"/>
  <c r="K14" i="12"/>
  <c r="L8" i="11"/>
  <c r="L11" i="11" s="1"/>
  <c r="C20" i="11" s="1"/>
  <c r="L10" i="11"/>
  <c r="C19" i="11" s="1"/>
  <c r="L14" i="12"/>
  <c r="C58" i="12"/>
  <c r="C61" i="12" s="1"/>
  <c r="C62" i="12" s="1"/>
  <c r="C8" i="13" l="1"/>
  <c r="I6" i="1" s="1"/>
  <c r="C65" i="12"/>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<sst xmlns="http://schemas.openxmlformats.org/spreadsheetml/2006/main" count="735" uniqueCount="399">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</sst>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https://www.bing.com/financeapi/forcetrigger?t=a1yv52&amp;q=XNAS%3aNVDA&amp;form=skydnc</v>
    <v>Learn more on Bing</v>
  </rv>
  <rv s="1">
    <v>0</v>
    <v>NVIDIA CORPORATION (XNAS:NVDA)</v>
    <v>2</v>
    <v>3</v>
    <v>Finance</v>
    <v>4</v>
    <v>en-US</v>
    <v>a1yv52</v>
    <v>268435456</v>
    <v>1</v>
    <v>Powered by Refinitiv</v>
    <v>236.54</v>
    <v>157.34200000000001</v>
    <v>2.2239</v>
    <v>2.0994999999999999</v>
    <v>1.0736000000000001E-2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198.41</v>
    <v>Semiconductors &amp; Semiconductor Equipment</v>
    <v>Stock</v>
    <v>46210.766732164062</v>
    <v>0</v>
    <v>191.15</v>
    <v>4783117900000</v>
    <v>NVIDIA CORPORATION</v>
    <v>NVIDIA CORPORATION</v>
    <v>192.27</v>
    <v>30.267900000000001</v>
    <v>195.55</v>
    <v>197.64949999999999</v>
    <v>24200000000</v>
    <v>NVDA</v>
    <v>NVIDIA CORPORATION (XNAS:NVDA)</v>
    <v>84756134</v>
    <v>164489929</v>
    <v>1998</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-0.06</v>
    <v>-1.338E-3</v>
    <v>US</v>
    <v>44.91</v>
    <v>Index</v>
    <v>6</v>
    <v>44.57</v>
    <v>10 Y TSY YLD NDX</v>
    <v>44.57</v>
    <v>44.85</v>
    <v>44.79</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284</v>
      </c>
      <c r="F2" s="234"/>
      <c r="H2" s="233" t="s">
        <v>325</v>
      </c>
      <c r="I2" s="234"/>
    </row>
    <row r="3" spans="2:9" x14ac:dyDescent="0.2">
      <c r="B3" s="186" t="s">
        <v>11</v>
      </c>
      <c r="C3" s="218" t="e" vm="1">
        <v>#VALUE!</v>
      </c>
      <c r="D3" s="2"/>
      <c r="E3" s="186" t="s">
        <v>236</v>
      </c>
      <c r="F3" s="188">
        <f ca="1">Statement!AC155</f>
        <v>4803871.0975000001</v>
      </c>
      <c r="H3" s="186" t="str">
        <f>'AVG target price'!B5</f>
        <v>DCF price</v>
      </c>
      <c r="I3" s="212">
        <f>'AVG target price'!C5</f>
        <v>168.2356845632454</v>
      </c>
    </row>
    <row r="4" spans="2:9" x14ac:dyDescent="0.2">
      <c r="B4" s="186" t="s">
        <v>0</v>
      </c>
      <c r="C4" s="190" t="str" cm="1">
        <f t="array" aca="1" ref="C4" ca="1">_FV(C3,"Ticker symbol",TRUE)</f>
        <v>NVDA</v>
      </c>
      <c r="E4" s="187" t="s">
        <v>180</v>
      </c>
      <c r="F4" s="189">
        <f ca="1">Statement!AC156</f>
        <v>4731769.0975000001</v>
      </c>
      <c r="H4" s="186" t="str">
        <f>'AVG target price'!B6</f>
        <v>EV/EBIT price</v>
      </c>
      <c r="I4" s="212">
        <f>'AVG target price'!C6</f>
        <v>367.27840315363267</v>
      </c>
    </row>
    <row r="5" spans="2:9" x14ac:dyDescent="0.2">
      <c r="B5" s="186" t="s">
        <v>1</v>
      </c>
      <c r="C5" s="209" cm="1">
        <f t="array" aca="1" ref="C5" ca="1">_FV(C3,"Price",TRUE)</f>
        <v>197.64949999999999</v>
      </c>
      <c r="E5" s="186" t="s">
        <v>240</v>
      </c>
      <c r="F5" s="190">
        <f>Statement!AC25</f>
        <v>6.5299999999999994</v>
      </c>
      <c r="H5" s="186" t="str">
        <f>'AVG target price'!B7</f>
        <v>PS price</v>
      </c>
      <c r="I5" s="212">
        <f>'AVG target price'!C7</f>
        <v>304.38678708173404</v>
      </c>
    </row>
    <row r="6" spans="2:9" x14ac:dyDescent="0.2">
      <c r="B6" s="186" t="s">
        <v>2</v>
      </c>
      <c r="C6" s="209" t="e" cm="1" vm="2">
        <f t="array" ref="C6">_FV(C3,"Price (Extended hours)",TRUE)</f>
        <v>#VALUE!</v>
      </c>
      <c r="E6" s="186" t="s">
        <v>234</v>
      </c>
      <c r="F6" s="191">
        <f ca="1">Statement!AC152</f>
        <v>30.267917304747321</v>
      </c>
      <c r="H6" s="186" t="str">
        <f>'AVG target price'!B8</f>
        <v>EV/FCFF price</v>
      </c>
      <c r="I6" s="212">
        <f>'AVG target price'!C8</f>
        <v>353.04403192491492</v>
      </c>
    </row>
    <row r="7" spans="2:9" x14ac:dyDescent="0.2">
      <c r="B7" s="186" t="s">
        <v>3</v>
      </c>
      <c r="C7" s="6" cm="1">
        <f t="array" aca="1" ref="C7" ca="1">_FV(C3,"Change")</f>
        <v>2.0994999999999999</v>
      </c>
      <c r="E7" s="187" t="s">
        <v>193</v>
      </c>
      <c r="F7" s="192">
        <f ca="1">Statement!AC153</f>
        <v>19.071319870330704</v>
      </c>
      <c r="H7" s="185" t="str">
        <f>'AVG target price'!B9</f>
        <v>AVG price</v>
      </c>
      <c r="I7" s="213">
        <f>'AVG target price'!C9</f>
        <v>298.23622668088177</v>
      </c>
    </row>
    <row r="8" spans="2:9" x14ac:dyDescent="0.2">
      <c r="B8" s="186" t="s">
        <v>4</v>
      </c>
      <c r="C8" s="6" t="e" cm="1" vm="3">
        <f t="array" ref="C8">_FV(C3,"Change (extended hours)",TRUE)</f>
        <v>#VALUE!</v>
      </c>
      <c r="E8" s="186" t="s">
        <v>262</v>
      </c>
      <c r="F8" s="193">
        <f ca="1">Statement!AC163</f>
        <v>2.3363865874421498E-2</v>
      </c>
      <c r="H8" s="185" t="str">
        <f>'AVG target price'!B11</f>
        <v>Upside/Downside</v>
      </c>
      <c r="I8" s="214">
        <f ca="1">'AVG target price'!C11</f>
        <v>0.50891465286217163</v>
      </c>
    </row>
    <row r="9" spans="2:9" x14ac:dyDescent="0.2">
      <c r="B9" s="186" t="s">
        <v>5</v>
      </c>
      <c r="C9" s="73" cm="1">
        <f t="array" aca="1" ref="C9" ca="1">_FV(C3,"Change (%)",TRUE)</f>
        <v>1.0736000000000001E-2</v>
      </c>
      <c r="E9" s="186" t="s">
        <v>285</v>
      </c>
      <c r="F9" s="193">
        <f ca="1">Statement!AC164</f>
        <v>3.303828241407137E-2</v>
      </c>
    </row>
    <row r="10" spans="2:9" x14ac:dyDescent="0.2">
      <c r="B10" s="186" t="s">
        <v>6</v>
      </c>
      <c r="C10" s="73" t="e" cm="1" vm="4">
        <f t="array" ref="C10">_FV(C3,"Change % (extended hours)",TRUE)</f>
        <v>#VALUE!</v>
      </c>
      <c r="E10" s="186" t="s">
        <v>290</v>
      </c>
      <c r="F10" s="193">
        <f ca="1">Statement!AC166</f>
        <v>9.4307276528666269E-3</v>
      </c>
    </row>
    <row r="11" spans="2:9" x14ac:dyDescent="0.2">
      <c r="B11" s="186" t="s">
        <v>7</v>
      </c>
      <c r="C11" s="210" cm="1">
        <f t="array" aca="1" ref="C11" ca="1">_FV(C3,"52 week high",TRUE)</f>
        <v>236.54</v>
      </c>
      <c r="E11" s="187" t="s">
        <v>286</v>
      </c>
      <c r="F11" s="194">
        <f ca="1">Statement!AC165</f>
        <v>2.0237845276613401E-4</v>
      </c>
    </row>
    <row r="12" spans="2:9" x14ac:dyDescent="0.2">
      <c r="B12" s="186" t="s">
        <v>8</v>
      </c>
      <c r="C12" s="210" cm="1">
        <f t="array" aca="1" ref="C12" ca="1">_FV(C3,"52 week low",TRUE)</f>
        <v>157.34200000000001</v>
      </c>
      <c r="E12" s="186" t="s">
        <v>94</v>
      </c>
      <c r="F12" s="193">
        <f>Statement!AC121</f>
        <v>0.61514063066049007</v>
      </c>
    </row>
    <row r="13" spans="2:9" x14ac:dyDescent="0.2">
      <c r="B13" s="186" t="s">
        <v>9</v>
      </c>
      <c r="C13" s="210" cm="1">
        <f t="array" aca="1" ref="C13" ca="1">_FV(C3,"Beta")</f>
        <v>2.2239</v>
      </c>
      <c r="E13" s="186" t="s">
        <v>96</v>
      </c>
      <c r="F13" s="193">
        <f>Statement!AC123</f>
        <v>0.81654337661274645</v>
      </c>
    </row>
    <row r="14" spans="2:9" x14ac:dyDescent="0.2">
      <c r="B14" s="187" t="s">
        <v>10</v>
      </c>
      <c r="C14" s="211" cm="1">
        <f t="array" aca="1" ref="C14" ca="1">_FV(C3,"Volume average",TRUE)</f>
        <v>164489929</v>
      </c>
      <c r="E14" s="187" t="s">
        <v>97</v>
      </c>
      <c r="F14" s="194">
        <f>Statement!AC142</f>
        <v>1.1082908941558067</v>
      </c>
    </row>
    <row r="15" spans="2:9" x14ac:dyDescent="0.2">
      <c r="E15" s="186" t="s">
        <v>287</v>
      </c>
      <c r="F15" s="193">
        <f ca="1">Statement!AC178</f>
        <v>1.5009145444706638E-2</v>
      </c>
    </row>
    <row r="16" spans="2:9" x14ac:dyDescent="0.2">
      <c r="E16" s="187" t="s">
        <v>292</v>
      </c>
      <c r="F16" s="192">
        <f>Statement!AC177</f>
        <v>2.9794214876033056</v>
      </c>
    </row>
    <row r="17" spans="2:9" x14ac:dyDescent="0.2">
      <c r="B17" s="235" t="s">
        <v>83</v>
      </c>
      <c r="C17" s="235"/>
      <c r="E17" s="185" t="s">
        <v>293</v>
      </c>
      <c r="F17" s="195">
        <f>Statement!AC173</f>
        <v>3.9374614276897757E-2</v>
      </c>
    </row>
    <row r="18" spans="2:9" x14ac:dyDescent="0.2">
      <c r="B18" s="185" t="s">
        <v>12</v>
      </c>
      <c r="C18" s="69" t="s">
        <v>343</v>
      </c>
      <c r="E18" s="186" t="s">
        <v>294</v>
      </c>
      <c r="F18" s="191">
        <f>Statement!AC146</f>
        <v>129.34693643390989</v>
      </c>
      <c r="I18" s="50"/>
    </row>
    <row r="19" spans="2:9" x14ac:dyDescent="0.2">
      <c r="B19" s="185" t="s">
        <v>13</v>
      </c>
      <c r="C19" s="70">
        <v>1000000</v>
      </c>
      <c r="E19" s="186" t="s">
        <v>255</v>
      </c>
      <c r="F19" s="191">
        <f>Statement!AC148</f>
        <v>-0.36885723932594616</v>
      </c>
    </row>
    <row r="20" spans="2:9" x14ac:dyDescent="0.2">
      <c r="B20" s="185" t="s">
        <v>84</v>
      </c>
      <c r="C20" s="69" t="s">
        <v>350</v>
      </c>
      <c r="E20" s="187" t="s">
        <v>295</v>
      </c>
      <c r="F20" s="192">
        <f>Statement!AC149</f>
        <v>2.7636951964269438</v>
      </c>
    </row>
    <row r="21" spans="2:9" x14ac:dyDescent="0.2">
      <c r="B21" s="185" t="s">
        <v>85</v>
      </c>
      <c r="C21" s="69" t="s">
        <v>86</v>
      </c>
      <c r="I21" s="50"/>
    </row>
    <row r="22" spans="2:9" x14ac:dyDescent="0.2">
      <c r="B22" s="185" t="s">
        <v>87</v>
      </c>
      <c r="C22" s="69" t="s">
        <v>350</v>
      </c>
    </row>
    <row r="25" spans="2:9" x14ac:dyDescent="0.2">
      <c r="B25" s="235" t="s">
        <v>99</v>
      </c>
      <c r="C25" s="235"/>
      <c r="E25" s="233" t="s">
        <v>340</v>
      </c>
      <c r="F25" s="234"/>
    </row>
    <row r="26" spans="2:9" x14ac:dyDescent="0.2">
      <c r="B26" s="185" t="s">
        <v>100</v>
      </c>
      <c r="C26" s="171">
        <v>0.21</v>
      </c>
      <c r="E26" s="186" t="e" vm="5">
        <v>#VALUE!</v>
      </c>
      <c r="F26" s="220" cm="1">
        <f t="array" aca="1" ref="F26" ca="1">_FV(E26,"Price")</f>
        <v>44.79</v>
      </c>
    </row>
    <row r="27" spans="2:9" x14ac:dyDescent="0.2">
      <c r="B27" s="185" t="s">
        <v>164</v>
      </c>
      <c r="C27" s="222">
        <v>5.0999999999999997E-2</v>
      </c>
      <c r="E27" s="187" t="s">
        <v>341</v>
      </c>
      <c r="F27" s="221">
        <f ca="1">F26/1000</f>
        <v>4.4789999999999996E-2</v>
      </c>
    </row>
    <row r="28" spans="2:9" x14ac:dyDescent="0.2">
      <c r="B28" s="185" t="s">
        <v>389</v>
      </c>
      <c r="C28" s="222">
        <v>0.12</v>
      </c>
    </row>
    <row r="29" spans="2:9" x14ac:dyDescent="0.2">
      <c r="B29" s="185" t="s">
        <v>388</v>
      </c>
      <c r="C29" s="222">
        <v>0.12</v>
      </c>
    </row>
    <row r="33" spans="2:8" x14ac:dyDescent="0.2">
      <c r="B33" s="232" t="s">
        <v>335</v>
      </c>
      <c r="C33" s="232"/>
      <c r="D33" s="232"/>
      <c r="E33" s="232"/>
      <c r="F33" s="232"/>
      <c r="G33" s="232"/>
      <c r="H33" s="232"/>
    </row>
    <row r="35" spans="2:8" x14ac:dyDescent="0.2">
      <c r="B35" s="16" t="s">
        <v>336</v>
      </c>
      <c r="C35" s="1" t="s">
        <v>380</v>
      </c>
    </row>
    <row r="36" spans="2:8" x14ac:dyDescent="0.2">
      <c r="B36" s="16" t="s">
        <v>337</v>
      </c>
      <c r="C36" s="1" t="s">
        <v>379</v>
      </c>
    </row>
    <row r="39" spans="2:8" ht="6" customHeight="1" x14ac:dyDescent="0.2">
      <c r="B39" s="232"/>
      <c r="C39" s="232"/>
      <c r="D39" s="232"/>
      <c r="E39" s="232"/>
      <c r="F39" s="232"/>
      <c r="G39" s="232"/>
      <c r="H39" s="232"/>
    </row>
    <row r="42" spans="2:8" x14ac:dyDescent="0.2">
      <c r="B42" s="232" t="s">
        <v>338</v>
      </c>
      <c r="C42" s="232"/>
      <c r="D42" s="232"/>
      <c r="E42" s="232"/>
      <c r="F42" s="232"/>
      <c r="G42" s="232"/>
      <c r="H42" s="232"/>
    </row>
    <row r="44" spans="2:8" x14ac:dyDescent="0.2">
      <c r="B44" s="41" t="s">
        <v>339</v>
      </c>
      <c r="C44" s="41" t="s">
        <v>326</v>
      </c>
      <c r="D44" s="41"/>
      <c r="E44" s="41" t="s">
        <v>327</v>
      </c>
    </row>
    <row r="49" spans="2:8" ht="5" customHeight="1" x14ac:dyDescent="0.2">
      <c r="B49" s="232"/>
      <c r="C49" s="232"/>
      <c r="D49" s="232"/>
      <c r="E49" s="232"/>
      <c r="F49" s="232"/>
      <c r="G49" s="232"/>
      <c r="H49" s="232"/>
    </row>
    <row r="52" spans="2:8" x14ac:dyDescent="0.2">
      <c r="B52" s="232" t="s">
        <v>101</v>
      </c>
      <c r="C52" s="232"/>
      <c r="D52" s="232"/>
      <c r="E52" s="232"/>
      <c r="F52" s="232"/>
      <c r="G52" s="232"/>
      <c r="H52" s="232"/>
    </row>
    <row r="54" spans="2:8" x14ac:dyDescent="0.2">
      <c r="B54" s="41" t="s">
        <v>339</v>
      </c>
      <c r="C54" s="41" t="s">
        <v>326</v>
      </c>
      <c r="D54" s="41"/>
      <c r="E54" s="41" t="s">
        <v>327</v>
      </c>
    </row>
    <row r="59" spans="2:8" ht="5" customHeight="1" x14ac:dyDescent="0.2">
      <c r="B59" s="232"/>
      <c r="C59" s="232"/>
      <c r="D59" s="232"/>
      <c r="E59" s="232"/>
      <c r="F59" s="232"/>
      <c r="G59" s="232"/>
      <c r="H59" s="232"/>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L102"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349</v>
      </c>
      <c r="N2" s="10" t="s">
        <v>348</v>
      </c>
      <c r="O2" s="10" t="s">
        <v>346</v>
      </c>
      <c r="P2" s="10" t="s">
        <v>345</v>
      </c>
      <c r="Q2" s="10" t="s">
        <v>344</v>
      </c>
      <c r="R2" s="7"/>
      <c r="S2" s="7"/>
      <c r="T2" s="10" t="s">
        <v>362</v>
      </c>
      <c r="U2" s="10" t="s">
        <v>358</v>
      </c>
      <c r="V2" s="10" t="s">
        <v>345</v>
      </c>
      <c r="W2" s="10" t="s">
        <v>352</v>
      </c>
      <c r="X2" s="10" t="s">
        <v>360</v>
      </c>
      <c r="Y2" s="10" t="s">
        <v>356</v>
      </c>
      <c r="Z2" s="10" t="s">
        <v>344</v>
      </c>
      <c r="AA2" s="10" t="s">
        <v>351</v>
      </c>
      <c r="AB2" s="7"/>
      <c r="AD2" s="7"/>
      <c r="AE2" s="7"/>
    </row>
    <row r="3" spans="1:31" s="13" customFormat="1" x14ac:dyDescent="0.2">
      <c r="A3" s="11"/>
      <c r="B3" s="12" t="s">
        <v>16</v>
      </c>
      <c r="M3" s="13">
        <v>2022</v>
      </c>
      <c r="N3" s="13">
        <v>2023</v>
      </c>
      <c r="O3" s="13">
        <v>2024</v>
      </c>
      <c r="P3" s="13">
        <v>2025</v>
      </c>
      <c r="Q3" s="13">
        <v>2026</v>
      </c>
      <c r="R3" s="11"/>
      <c r="S3" s="11"/>
      <c r="T3" s="10" t="s">
        <v>363</v>
      </c>
      <c r="U3" s="10" t="s">
        <v>359</v>
      </c>
      <c r="V3" s="10" t="s">
        <v>355</v>
      </c>
      <c r="W3" s="10" t="s">
        <v>353</v>
      </c>
      <c r="X3" s="10" t="s">
        <v>361</v>
      </c>
      <c r="Y3" s="10" t="s">
        <v>357</v>
      </c>
      <c r="Z3" s="10" t="s">
        <v>354</v>
      </c>
      <c r="AA3" s="10" t="s">
        <v>327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347</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394</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333</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232</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233</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347</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170</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329</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330</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8"/>
      <c r="U114" s="68"/>
      <c r="V114" s="68"/>
      <c r="W114" s="68"/>
      <c r="X114" s="68"/>
      <c r="Y114" s="68"/>
      <c r="Z114" s="68"/>
      <c r="AA114" s="68"/>
      <c r="AC114" s="63">
        <f ca="1">Overview!C5</f>
        <v>197.64949999999999</v>
      </c>
    </row>
    <row r="115" spans="1:31" x14ac:dyDescent="0.2">
      <c r="B115" s="20" t="s">
        <v>342</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8"/>
      <c r="U115" s="68"/>
      <c r="V115" s="68"/>
      <c r="W115" s="68"/>
      <c r="X115" s="68"/>
      <c r="Y115" s="68"/>
      <c r="Z115" s="68"/>
      <c r="AA115" s="68"/>
      <c r="AC115" s="65">
        <f ca="1">AC114/AC84</f>
        <v>197.64949999999999</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8">M119*M120</f>
        <v>0.22069839545567699</v>
      </c>
      <c r="N121" s="76">
        <f t="shared" si="68"/>
        <v>0.10606575688407557</v>
      </c>
      <c r="O121" s="76">
        <f t="shared" si="68"/>
        <v>0.45277507302823755</v>
      </c>
      <c r="P121" s="76">
        <f t="shared" si="68"/>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69">M121*M122</f>
        <v>0.36645122501127303</v>
      </c>
      <c r="N123" s="76">
        <f t="shared" si="69"/>
        <v>0.19763811592235647</v>
      </c>
      <c r="O123" s="76">
        <f t="shared" si="69"/>
        <v>0.69244729861789756</v>
      </c>
      <c r="P123" s="76">
        <f t="shared" si="69"/>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227</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AA129" si="70">U5</f>
        <v>35082</v>
      </c>
      <c r="U129" s="25">
        <f t="shared" si="70"/>
        <v>39331</v>
      </c>
      <c r="V129" s="25">
        <f t="shared" si="70"/>
        <v>44062</v>
      </c>
      <c r="W129" s="25">
        <f t="shared" si="70"/>
        <v>46743</v>
      </c>
      <c r="X129" s="25">
        <f t="shared" si="70"/>
        <v>57006</v>
      </c>
      <c r="Y129" s="25">
        <f t="shared" si="70"/>
        <v>68127</v>
      </c>
      <c r="Z129" s="25">
        <f t="shared" si="70"/>
        <v>81615</v>
      </c>
      <c r="AA129" s="25">
        <f t="shared" si="70"/>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AA130" si="71">IF(T129&gt;T128, "BEAT", IF(T129&lt;T127, "MISSED", "MET"))</f>
        <v>BEAT</v>
      </c>
      <c r="U130" s="229" t="str">
        <f t="shared" si="71"/>
        <v>BEAT</v>
      </c>
      <c r="V130" s="229" t="str">
        <f t="shared" si="71"/>
        <v>BEAT</v>
      </c>
      <c r="W130" s="229" t="str">
        <f t="shared" si="71"/>
        <v>BEAT</v>
      </c>
      <c r="X130" s="229" t="str">
        <f t="shared" si="71"/>
        <v>BEAT</v>
      </c>
      <c r="Y130" s="229" t="str">
        <f t="shared" si="71"/>
        <v>BEAT</v>
      </c>
      <c r="Z130" s="229" t="str">
        <f t="shared" si="71"/>
        <v>BEAT</v>
      </c>
      <c r="AA130" s="229" t="str">
        <f t="shared" si="71"/>
        <v>MISSED</v>
      </c>
      <c r="AC130" s="49"/>
    </row>
    <row r="131" spans="2:29" x14ac:dyDescent="0.2">
      <c r="B131" s="20" t="s">
        <v>364</v>
      </c>
      <c r="C131" s="49"/>
      <c r="D131" s="49"/>
      <c r="E131" s="49"/>
      <c r="F131" s="49"/>
      <c r="G131" s="49"/>
      <c r="H131" s="49"/>
      <c r="I131" s="49"/>
      <c r="J131" s="49"/>
      <c r="K131" s="49"/>
      <c r="L131" s="49"/>
      <c r="M131" s="49"/>
      <c r="N131" s="49"/>
      <c r="O131" s="49"/>
      <c r="P131" s="49"/>
      <c r="Q131" s="49"/>
      <c r="T131" s="223">
        <v>0.73899999999999999</v>
      </c>
      <c r="U131" s="223">
        <v>0.72499999999999998</v>
      </c>
      <c r="V131" s="223">
        <v>0.70099999999999996</v>
      </c>
      <c r="W131" s="223">
        <v>0.71299999999999997</v>
      </c>
      <c r="X131" s="223">
        <v>0.72799999999999998</v>
      </c>
      <c r="Y131" s="223">
        <v>0.74299999999999999</v>
      </c>
      <c r="Z131" s="223">
        <v>0.745</v>
      </c>
      <c r="AA131" s="223">
        <v>0.745</v>
      </c>
      <c r="AC131" s="49"/>
    </row>
    <row r="132" spans="2:29" x14ac:dyDescent="0.2">
      <c r="B132" s="20" t="s">
        <v>365</v>
      </c>
      <c r="C132" s="49"/>
      <c r="D132" s="49"/>
      <c r="E132" s="49"/>
      <c r="F132" s="49"/>
      <c r="G132" s="49"/>
      <c r="H132" s="49"/>
      <c r="I132" s="49"/>
      <c r="J132" s="49"/>
      <c r="K132" s="49"/>
      <c r="L132" s="49"/>
      <c r="M132" s="49"/>
      <c r="N132" s="49"/>
      <c r="O132" s="49"/>
      <c r="P132" s="49"/>
      <c r="Q132" s="49"/>
      <c r="T132" s="223">
        <v>0.749</v>
      </c>
      <c r="U132" s="223">
        <v>0.73499999999999999</v>
      </c>
      <c r="V132" s="223">
        <v>0.71099999999999997</v>
      </c>
      <c r="W132" s="223">
        <v>0.72299999999999998</v>
      </c>
      <c r="X132" s="223">
        <v>0.73799999999999999</v>
      </c>
      <c r="Y132" s="223">
        <v>0.754</v>
      </c>
      <c r="Z132" s="223">
        <v>0.754</v>
      </c>
      <c r="AA132" s="223">
        <v>0.754</v>
      </c>
      <c r="AC132" s="49"/>
    </row>
    <row r="133" spans="2:29" x14ac:dyDescent="0.2">
      <c r="B133" s="20" t="s">
        <v>366</v>
      </c>
      <c r="C133" s="49"/>
      <c r="D133" s="49"/>
      <c r="E133" s="49"/>
      <c r="F133" s="49"/>
      <c r="G133" s="49"/>
      <c r="H133" s="49"/>
      <c r="I133" s="49"/>
      <c r="J133" s="49"/>
      <c r="K133" s="49"/>
      <c r="L133" s="49"/>
      <c r="M133" s="49"/>
      <c r="N133" s="49"/>
      <c r="O133" s="49"/>
      <c r="P133" s="49"/>
      <c r="Q133" s="49"/>
      <c r="T133" s="81">
        <f t="shared" ref="T133:AA133" si="72">U99</f>
        <v>0.74556752750698363</v>
      </c>
      <c r="U133" s="81">
        <f t="shared" si="72"/>
        <v>0.73028908494571709</v>
      </c>
      <c r="V133" s="81">
        <f t="shared" si="72"/>
        <v>0.60523807362353044</v>
      </c>
      <c r="W133" s="81">
        <f t="shared" si="72"/>
        <v>0.72423678411740799</v>
      </c>
      <c r="X133" s="81">
        <f t="shared" si="72"/>
        <v>0.7341157071185489</v>
      </c>
      <c r="Y133" s="81">
        <f t="shared" si="72"/>
        <v>0.74996697344665109</v>
      </c>
      <c r="Z133" s="81">
        <f t="shared" si="72"/>
        <v>0.74933529375727503</v>
      </c>
      <c r="AA133" s="81">
        <f t="shared" si="72"/>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AA134" si="73">IF(T133&gt;T132, "BEAT", IF(T133&lt;T131, "MISSED", "MET"))</f>
        <v>MET</v>
      </c>
      <c r="U134" s="229" t="str">
        <f t="shared" si="73"/>
        <v>MET</v>
      </c>
      <c r="V134" s="229" t="str">
        <f t="shared" si="73"/>
        <v>MISSED</v>
      </c>
      <c r="W134" s="229" t="str">
        <f t="shared" si="73"/>
        <v>BEAT</v>
      </c>
      <c r="X134" s="229" t="str">
        <f t="shared" si="73"/>
        <v>MET</v>
      </c>
      <c r="Y134" s="229" t="str">
        <f t="shared" si="73"/>
        <v>MET</v>
      </c>
      <c r="Z134" s="229" t="str">
        <f t="shared" si="73"/>
        <v>MET</v>
      </c>
      <c r="AA134" s="229" t="str">
        <f t="shared" si="73"/>
        <v>MISSED</v>
      </c>
      <c r="AC134" s="49"/>
    </row>
    <row r="135" spans="2:29" x14ac:dyDescent="0.2">
      <c r="B135" s="20" t="s">
        <v>367</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368</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369</v>
      </c>
      <c r="C137" s="49"/>
      <c r="D137" s="49"/>
      <c r="E137" s="49"/>
      <c r="F137" s="49"/>
      <c r="G137" s="49"/>
      <c r="H137" s="49"/>
      <c r="I137" s="49"/>
      <c r="J137" s="49"/>
      <c r="K137" s="49"/>
      <c r="L137" s="49"/>
      <c r="M137" s="49"/>
      <c r="N137" s="49"/>
      <c r="O137" s="49"/>
      <c r="P137" s="49"/>
      <c r="Q137" s="49"/>
      <c r="T137" s="25">
        <f t="shared" ref="T137:AA137" si="74">U10</f>
        <v>4287</v>
      </c>
      <c r="U137" s="25">
        <f t="shared" si="74"/>
        <v>4689</v>
      </c>
      <c r="V137" s="25">
        <f t="shared" si="74"/>
        <v>5030</v>
      </c>
      <c r="W137" s="25">
        <f t="shared" si="74"/>
        <v>5413</v>
      </c>
      <c r="X137" s="25">
        <f t="shared" si="74"/>
        <v>5839</v>
      </c>
      <c r="Y137" s="25">
        <f t="shared" si="74"/>
        <v>6794</v>
      </c>
      <c r="Z137" s="25">
        <f t="shared" si="74"/>
        <v>7621</v>
      </c>
      <c r="AA137" s="25">
        <f t="shared" si="74"/>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AA138" si="75">IF(T137&gt;T136, "BEAT", IF(T137&lt;T135, "MISSED", "MET"))</f>
        <v>MISSED</v>
      </c>
      <c r="U138" s="229" t="str">
        <f t="shared" si="75"/>
        <v>MISSED</v>
      </c>
      <c r="V138" s="229" t="str">
        <f t="shared" si="75"/>
        <v>MISSED</v>
      </c>
      <c r="W138" s="229" t="str">
        <f t="shared" si="75"/>
        <v>MISSED</v>
      </c>
      <c r="X138" s="229" t="str">
        <f t="shared" si="75"/>
        <v>MISSED</v>
      </c>
      <c r="Y138" s="229" t="str">
        <f t="shared" si="75"/>
        <v>BEAT</v>
      </c>
      <c r="Z138" s="229" t="str">
        <f t="shared" si="75"/>
        <v>MISSED</v>
      </c>
      <c r="AA138" s="229" t="str">
        <f t="shared" si="75"/>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6">M29/M5*365</f>
        <v>63.061975180203611</v>
      </c>
      <c r="N143" s="119">
        <f t="shared" si="76"/>
        <v>51.785237636242307</v>
      </c>
      <c r="O143" s="119">
        <f t="shared" si="76"/>
        <v>59.906683956534586</v>
      </c>
      <c r="P143" s="119">
        <f t="shared" si="76"/>
        <v>64.512785734537957</v>
      </c>
      <c r="Q143" s="119">
        <f t="shared" si="76"/>
        <v>65.01907955061175</v>
      </c>
      <c r="T143" s="119">
        <f t="shared" ref="T143:AA143" si="77">T29/T5*90</f>
        <v>42.339547270306255</v>
      </c>
      <c r="U143" s="119">
        <f t="shared" si="77"/>
        <v>45.389943560800411</v>
      </c>
      <c r="V143" s="119">
        <f t="shared" si="77"/>
        <v>52.778978413973704</v>
      </c>
      <c r="W143" s="119">
        <f t="shared" si="77"/>
        <v>45.206300213335751</v>
      </c>
      <c r="X143" s="119">
        <f t="shared" si="77"/>
        <v>53.542134651177712</v>
      </c>
      <c r="Y143" s="119">
        <f t="shared" si="77"/>
        <v>52.71708241237765</v>
      </c>
      <c r="Z143" s="119">
        <f t="shared" si="77"/>
        <v>50.815976044739969</v>
      </c>
      <c r="AA143" s="119">
        <f t="shared" si="77"/>
        <v>44.892482999448632</v>
      </c>
      <c r="AC143" s="119">
        <f>AC29/AC5*365</f>
        <v>58.61805744582648</v>
      </c>
    </row>
    <row r="144" spans="2:29" x14ac:dyDescent="0.2">
      <c r="B144" s="20" t="s">
        <v>132</v>
      </c>
      <c r="M144" s="119">
        <f t="shared" si="76"/>
        <v>100.73365822650703</v>
      </c>
      <c r="N144" s="119">
        <f t="shared" si="76"/>
        <v>162.079101394388</v>
      </c>
      <c r="O144" s="119">
        <f t="shared" si="76"/>
        <v>115.99362252572048</v>
      </c>
      <c r="P144" s="119">
        <f t="shared" si="76"/>
        <v>112.72404179049603</v>
      </c>
      <c r="Q144" s="119">
        <f t="shared" si="76"/>
        <v>125.043537414966</v>
      </c>
      <c r="T144" s="119">
        <f t="shared" ref="T144:AA144" si="78">T30/T6*365</f>
        <v>326.32935976426467</v>
      </c>
      <c r="U144" s="119">
        <f t="shared" si="78"/>
        <v>312.98565987004258</v>
      </c>
      <c r="V144" s="119">
        <f t="shared" si="78"/>
        <v>346.83257918552033</v>
      </c>
      <c r="W144" s="119">
        <f t="shared" si="78"/>
        <v>237.81447625618031</v>
      </c>
      <c r="X144" s="119">
        <f t="shared" si="78"/>
        <v>423.67183863460048</v>
      </c>
      <c r="Y144" s="119">
        <f t="shared" si="78"/>
        <v>476.42409447779909</v>
      </c>
      <c r="Z144" s="119">
        <f t="shared" si="78"/>
        <v>458.61776447105791</v>
      </c>
      <c r="AA144" s="119">
        <f t="shared" si="78"/>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79">T37/T6*90</f>
        <v>44.361103669970532</v>
      </c>
      <c r="U145" s="119">
        <f t="shared" si="79"/>
        <v>53.973784449921581</v>
      </c>
      <c r="V145" s="119">
        <f t="shared" si="79"/>
        <v>53.53506787330317</v>
      </c>
      <c r="W145" s="119">
        <f t="shared" si="79"/>
        <v>37.932045532942396</v>
      </c>
      <c r="X145" s="119">
        <f t="shared" si="79"/>
        <v>63.286268425135759</v>
      </c>
      <c r="Y145" s="119">
        <f t="shared" si="79"/>
        <v>51.208022695784123</v>
      </c>
      <c r="Z145" s="119">
        <f t="shared" si="79"/>
        <v>51.842197957027118</v>
      </c>
      <c r="AA145" s="119">
        <f t="shared" si="79"/>
        <v>57.617069117215763</v>
      </c>
      <c r="AC145" s="119">
        <f>AC37/AC6*365</f>
        <v>72.939852606844781</v>
      </c>
    </row>
    <row r="146" spans="2:29" x14ac:dyDescent="0.2">
      <c r="B146" s="20" t="s">
        <v>134</v>
      </c>
      <c r="M146" s="119">
        <f>M143+M144-M145</f>
        <v>94.848181346110991</v>
      </c>
      <c r="N146" s="119">
        <f t="shared" ref="N146:Q146" si="80">N143+N144-N145</f>
        <v>176.38413589756092</v>
      </c>
      <c r="O146" s="119">
        <f t="shared" si="80"/>
        <v>116.62980530904048</v>
      </c>
      <c r="P146" s="119">
        <f t="shared" si="80"/>
        <v>106.67247199943577</v>
      </c>
      <c r="Q146" s="119">
        <f t="shared" si="80"/>
        <v>132.73760696157615</v>
      </c>
      <c r="T146" s="119">
        <f t="shared" ref="T146" si="81">T143+T144-T145</f>
        <v>324.30780336460037</v>
      </c>
      <c r="U146" s="119">
        <f t="shared" ref="U146" si="82">U143+U144-U145</f>
        <v>304.40181898092141</v>
      </c>
      <c r="V146" s="119">
        <f t="shared" ref="V146" si="83">V143+V144-V145</f>
        <v>346.07648972619091</v>
      </c>
      <c r="W146" s="119">
        <f t="shared" ref="W146" si="84">W143+W144-W145</f>
        <v>245.08873093657368</v>
      </c>
      <c r="X146" s="119">
        <f t="shared" ref="X146" si="85">X143+X144-X145</f>
        <v>413.92770486064245</v>
      </c>
      <c r="Y146" s="119">
        <f t="shared" ref="Y146" si="86">Y143+Y144-Y145</f>
        <v>477.93315419439267</v>
      </c>
      <c r="Z146" s="119">
        <f t="shared" ref="Z146:AA146" si="87">Z143+Z144-Z145</f>
        <v>457.59154255877075</v>
      </c>
      <c r="AA146" s="119">
        <f t="shared" si="87"/>
        <v>447.53081519223383</v>
      </c>
      <c r="AC146" s="119">
        <f t="shared" ref="AC146" si="88">AC143+AC144-AC145</f>
        <v>129.34693643390989</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AA147" si="89">T106/T48</f>
        <v>0.14548549615695444</v>
      </c>
      <c r="U147" s="119">
        <f t="shared" si="89"/>
        <v>0.12840862532056632</v>
      </c>
      <c r="V147" s="119">
        <f t="shared" si="89"/>
        <v>0.10668498745698186</v>
      </c>
      <c r="W147" s="119">
        <f t="shared" si="89"/>
        <v>0.10095058621471083</v>
      </c>
      <c r="X147" s="119">
        <f t="shared" si="89"/>
        <v>8.4549240494951619E-2</v>
      </c>
      <c r="Y147" s="119">
        <f t="shared" si="89"/>
        <v>7.1212898559257179E-2</v>
      </c>
      <c r="Z147" s="119">
        <f t="shared" si="89"/>
        <v>5.4471591234193512E-2</v>
      </c>
      <c r="AA147" s="119">
        <f t="shared" si="89"/>
        <v>4.3330570817602339E-2</v>
      </c>
      <c r="AC147" s="119">
        <f>AC106/AC48</f>
        <v>4.3330570817602339E-2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AA148" si="90">(T106-T105)/T48</f>
        <v>-0.45289475041697475</v>
      </c>
      <c r="U148" s="180">
        <f t="shared" si="90"/>
        <v>-0.45562148135783548</v>
      </c>
      <c r="V148" s="180">
        <f t="shared" si="90"/>
        <v>-0.43802236312982967</v>
      </c>
      <c r="W148" s="180">
        <f t="shared" si="90"/>
        <v>-0.53942487744951872</v>
      </c>
      <c r="X148" s="180">
        <f t="shared" si="90"/>
        <v>-0.48261777072035633</v>
      </c>
      <c r="Y148" s="180">
        <f t="shared" si="90"/>
        <v>-0.43853923984625348</v>
      </c>
      <c r="Z148" s="180">
        <f t="shared" si="90"/>
        <v>-0.3432320573706395</v>
      </c>
      <c r="AA148" s="180">
        <f t="shared" si="90"/>
        <v>-0.36885723932594616</v>
      </c>
      <c r="AC148" s="180">
        <f>(AC106-AC105)/AC48</f>
        <v>-0.36885723932594616</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1">(T105+T29)/T39</f>
        <v>3.5028992769704344</v>
      </c>
      <c r="U149" s="119">
        <f t="shared" si="91"/>
        <v>3.4091874506948239</v>
      </c>
      <c r="V149" s="119">
        <f t="shared" si="91"/>
        <v>3.672355516152269</v>
      </c>
      <c r="W149" s="119">
        <f t="shared" si="91"/>
        <v>2.8567176550372992</v>
      </c>
      <c r="X149" s="119">
        <f t="shared" si="91"/>
        <v>3.4876118233911861</v>
      </c>
      <c r="Y149" s="119">
        <f t="shared" si="91"/>
        <v>3.6049472674976029</v>
      </c>
      <c r="Z149" s="119">
        <f t="shared" si="91"/>
        <v>3.1409383453036099</v>
      </c>
      <c r="AA149" s="119">
        <f t="shared" si="91"/>
        <v>2.7636951964269438</v>
      </c>
      <c r="AC149" s="119">
        <f>(AC105+AC29)/AC39</f>
        <v>2.7636951964269438</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AA150" si="92">T31/T39</f>
        <v>4.2689526809363594</v>
      </c>
      <c r="U150" s="119">
        <f t="shared" si="92"/>
        <v>4.1046179986649678</v>
      </c>
      <c r="V150" s="119">
        <f t="shared" si="92"/>
        <v>4.4398514988640772</v>
      </c>
      <c r="W150" s="119">
        <f t="shared" si="92"/>
        <v>3.3884032853590536</v>
      </c>
      <c r="X150" s="119">
        <f t="shared" si="92"/>
        <v>4.2140000824504265</v>
      </c>
      <c r="Y150" s="119">
        <f t="shared" si="92"/>
        <v>4.4675743048897409</v>
      </c>
      <c r="Z150" s="119">
        <f t="shared" si="92"/>
        <v>3.9052638124553058</v>
      </c>
      <c r="AA150" s="119">
        <f t="shared" si="92"/>
        <v>3.440775681341719</v>
      </c>
      <c r="AC150" s="119">
        <f>AC31/AC39</f>
        <v>3.440775681341719</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AA151" si="93">IF(T12&gt;=0,"N/A",IF(T11&lt;=0,"N/A",T11/-T12))</f>
        <v>N/A</v>
      </c>
      <c r="U151" s="182" t="str">
        <f t="shared" si="93"/>
        <v>N/A</v>
      </c>
      <c r="V151" s="182" t="str">
        <f t="shared" si="93"/>
        <v>N/A</v>
      </c>
      <c r="W151" s="182" t="str">
        <f t="shared" si="93"/>
        <v>N/A</v>
      </c>
      <c r="X151" s="182" t="str">
        <f t="shared" si="93"/>
        <v>N/A</v>
      </c>
      <c r="Y151" s="182" t="str">
        <f t="shared" si="93"/>
        <v>N/A</v>
      </c>
      <c r="Z151" s="182" t="str">
        <f t="shared" si="93"/>
        <v>N/A</v>
      </c>
      <c r="AA151" s="182" t="str">
        <f t="shared" si="93"/>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30.267917304747321</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19.071319870330704</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49"/>
      <c r="U154" s="49"/>
      <c r="V154" s="49"/>
      <c r="W154" s="49"/>
      <c r="X154" s="49"/>
      <c r="Y154" s="49"/>
      <c r="Z154" s="49"/>
      <c r="AA154" s="49"/>
      <c r="AC154" s="72">
        <f ca="1">AC115/(Statement!AC48/Statement!AC74)</f>
        <v>24.469330448039127</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49"/>
      <c r="U155" s="49"/>
      <c r="V155" s="49"/>
      <c r="W155" s="49"/>
      <c r="X155" s="49"/>
      <c r="Y155" s="49"/>
      <c r="Z155" s="49"/>
      <c r="AA155" s="49"/>
      <c r="AC155" s="144">
        <f ca="1">Statement!AC115*Statement!AC77</f>
        <v>4803871.0975000001</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49"/>
      <c r="U156" s="49"/>
      <c r="V156" s="49"/>
      <c r="W156" s="49"/>
      <c r="X156" s="49"/>
      <c r="Y156" s="49"/>
      <c r="Z156" s="49"/>
      <c r="AA156" s="49"/>
      <c r="AC156" s="144">
        <f ca="1">AC155+AC106-AC105+AC47+AC44</f>
        <v>4731769.0975000001</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18.666418521762115</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29.157156222078441</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AA159" si="94">T58-T53+T108+T64</f>
        <v>12358</v>
      </c>
      <c r="U159" s="64">
        <f t="shared" si="94"/>
        <v>15564</v>
      </c>
      <c r="V159" s="64">
        <f t="shared" si="94"/>
        <v>14230</v>
      </c>
      <c r="W159" s="64">
        <f t="shared" si="94"/>
        <v>24713</v>
      </c>
      <c r="X159" s="64">
        <f t="shared" si="94"/>
        <v>11847</v>
      </c>
      <c r="Y159" s="64">
        <f t="shared" si="94"/>
        <v>20458</v>
      </c>
      <c r="Z159" s="64">
        <f t="shared" si="94"/>
        <v>33273</v>
      </c>
      <c r="AA159" s="64">
        <f t="shared" si="94"/>
        <v>46659</v>
      </c>
      <c r="AC159" s="64">
        <f>AC58-AC53+AC108+AC64</f>
        <v>112237</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260</v>
      </c>
      <c r="M161" s="72">
        <f>M155/M159</f>
        <v>95.00515665796344</v>
      </c>
      <c r="N161" s="72">
        <f t="shared" ref="N161:Q161" si="95">N155/N159</f>
        <v>461.29572338489538</v>
      </c>
      <c r="O161" s="72">
        <f t="shared" si="95"/>
        <v>65.653012099522826</v>
      </c>
      <c r="P161" s="72">
        <f t="shared" si="95"/>
        <v>62.645954451493331</v>
      </c>
      <c r="Q161" s="72">
        <f t="shared" si="95"/>
        <v>50.830322848598954</v>
      </c>
      <c r="T161" s="49"/>
      <c r="U161" s="49"/>
      <c r="V161" s="49"/>
      <c r="W161" s="49"/>
      <c r="X161" s="49"/>
      <c r="Y161" s="49"/>
      <c r="Z161" s="49"/>
      <c r="AA161" s="49"/>
      <c r="AC161" s="72">
        <f t="shared" ref="AC161:AC162" ca="1" si="96">AC155/AC159</f>
        <v>42.801135966748937</v>
      </c>
    </row>
    <row r="162" spans="2:29" x14ac:dyDescent="0.2">
      <c r="B162" s="20" t="s">
        <v>261</v>
      </c>
      <c r="M162" s="72">
        <f>M156/M160</f>
        <v>85.552901846404438</v>
      </c>
      <c r="N162" s="72">
        <f t="shared" ref="N162:Q162" si="97">N156/N160</f>
        <v>292.02604166666669</v>
      </c>
      <c r="O162" s="72">
        <f t="shared" si="97"/>
        <v>59.253144937486333</v>
      </c>
      <c r="P162" s="72">
        <f t="shared" si="97"/>
        <v>58.114897258120507</v>
      </c>
      <c r="Q162" s="72">
        <f t="shared" si="97"/>
        <v>49.56625962229554</v>
      </c>
      <c r="T162" s="49"/>
      <c r="U162" s="49"/>
      <c r="V162" s="49"/>
      <c r="W162" s="49"/>
      <c r="X162" s="49"/>
      <c r="Y162" s="49"/>
      <c r="Z162" s="49"/>
      <c r="AA162" s="49"/>
      <c r="AC162" s="72">
        <f t="shared" ca="1" si="96"/>
        <v>37.312063953264534</v>
      </c>
    </row>
    <row r="163" spans="2:29" x14ac:dyDescent="0.2">
      <c r="B163" s="20" t="s">
        <v>262</v>
      </c>
      <c r="M163" s="74">
        <f>M159/M155</f>
        <v>1.0525744445642981E-2</v>
      </c>
      <c r="N163" s="74">
        <f t="shared" ref="N163:Q163" si="98">N159/N155</f>
        <v>2.1678067870696933E-3</v>
      </c>
      <c r="O163" s="74">
        <f t="shared" si="98"/>
        <v>1.5231593616513875E-2</v>
      </c>
      <c r="P163" s="74">
        <f t="shared" si="98"/>
        <v>1.5962722712993357E-2</v>
      </c>
      <c r="Q163" s="74">
        <f t="shared" si="98"/>
        <v>1.9673296252289359E-2</v>
      </c>
      <c r="T163" s="49"/>
      <c r="U163" s="49"/>
      <c r="V163" s="49"/>
      <c r="W163" s="49"/>
      <c r="X163" s="49"/>
      <c r="Y163" s="49"/>
      <c r="Z163" s="49"/>
      <c r="AA163" s="49"/>
      <c r="AC163" s="74">
        <f t="shared" ref="AC163" ca="1" si="99">AC159/AC155</f>
        <v>2.3363865874421498E-2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3.303828241407137E-2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2.0237845276613401E-4</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9.4307276528666269E-3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9.6332726379946328E-3</v>
      </c>
    </row>
    <row r="168" spans="2:29" x14ac:dyDescent="0.2">
      <c r="B168" s="20" t="s">
        <v>384</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0.50027836962176253</v>
      </c>
    </row>
    <row r="169" spans="2:29" x14ac:dyDescent="0.2">
      <c r="B169" s="20" t="s">
        <v>385</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0.4427652263788458</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AA174" si="100">T105/T74</f>
        <v>1.4186710150835711</v>
      </c>
      <c r="U174" s="72">
        <f t="shared" si="100"/>
        <v>1.5715394038383013</v>
      </c>
      <c r="V174" s="72">
        <f t="shared" si="100"/>
        <v>1.7709016393442623</v>
      </c>
      <c r="W174" s="72">
        <f t="shared" si="100"/>
        <v>2.2004508196721311</v>
      </c>
      <c r="X174" s="72">
        <f t="shared" si="100"/>
        <v>2.3370781893004113</v>
      </c>
      <c r="Y174" s="72">
        <f t="shared" si="100"/>
        <v>2.494156378600823</v>
      </c>
      <c r="Z174" s="72">
        <f t="shared" si="100"/>
        <v>2.5743209876543212</v>
      </c>
      <c r="AA174" s="72">
        <f t="shared" si="100"/>
        <v>3.3294214876033057</v>
      </c>
      <c r="AC174" s="72">
        <f>AC105/AC74</f>
        <v>3.3294214876033057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AA175" si="101">T53/T58</f>
        <v>7.9646628476775491E-2</v>
      </c>
      <c r="U175" s="155">
        <f t="shared" si="101"/>
        <v>7.1019343127800783E-2</v>
      </c>
      <c r="V175" s="155">
        <f t="shared" si="101"/>
        <v>7.944431080105846E-2</v>
      </c>
      <c r="W175" s="155">
        <f t="shared" si="101"/>
        <v>5.3768147661778655E-2</v>
      </c>
      <c r="X175" s="155">
        <f t="shared" si="101"/>
        <v>0.10569476082004556</v>
      </c>
      <c r="Y175" s="155">
        <f t="shared" si="101"/>
        <v>6.9684210526315793E-2</v>
      </c>
      <c r="Z175" s="155">
        <f t="shared" si="101"/>
        <v>4.5122962144238742E-2</v>
      </c>
      <c r="AA175" s="155">
        <f t="shared" si="101"/>
        <v>3.829651994279358E-2</v>
      </c>
      <c r="AC175" s="155">
        <f>AC53/AC58</f>
        <v>5.4437361220542942E-2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AA176" si="102">T53/T5</f>
        <v>3.8415446071904127E-2</v>
      </c>
      <c r="U176" s="155">
        <f t="shared" si="102"/>
        <v>3.5687817114189613E-2</v>
      </c>
      <c r="V176" s="155">
        <f t="shared" si="102"/>
        <v>3.3586738196333683E-2</v>
      </c>
      <c r="W176" s="155">
        <f t="shared" si="102"/>
        <v>3.3452861876446825E-2</v>
      </c>
      <c r="X176" s="155">
        <f t="shared" si="102"/>
        <v>3.4743170100335882E-2</v>
      </c>
      <c r="Y176" s="155">
        <f t="shared" si="102"/>
        <v>2.9032031715959722E-2</v>
      </c>
      <c r="Z176" s="155">
        <f t="shared" si="102"/>
        <v>2.3969938497218429E-2</v>
      </c>
      <c r="AA176" s="155">
        <f t="shared" si="102"/>
        <v>2.3623108497212521E-2</v>
      </c>
      <c r="AC176" s="155">
        <f>AC53/AC5</f>
        <v>2.6983206504372935E-2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3">(T105-T106)/T74</f>
        <v>1.0737464329392581</v>
      </c>
      <c r="U177" s="72">
        <f t="shared" si="103"/>
        <v>1.2260106165781952</v>
      </c>
      <c r="V177" s="72">
        <f t="shared" si="103"/>
        <v>1.4240573770491802</v>
      </c>
      <c r="W177" s="72">
        <f t="shared" si="103"/>
        <v>1.8535655737704917</v>
      </c>
      <c r="X177" s="72">
        <f t="shared" si="103"/>
        <v>1.9886831275720165</v>
      </c>
      <c r="Y177" s="72">
        <f t="shared" si="103"/>
        <v>2.1457201646090533</v>
      </c>
      <c r="Z177" s="72">
        <f t="shared" si="103"/>
        <v>2.2217283950617284</v>
      </c>
      <c r="AA177" s="72">
        <f t="shared" si="103"/>
        <v>2.9794214876033056</v>
      </c>
      <c r="AC177" s="72">
        <f>(AC105-AC106)/AC74</f>
        <v>2.9794214876033056</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1.5009145444706638E-2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AA179" si="104">-T108/T5</f>
        <v>3.2523302263648468E-2</v>
      </c>
      <c r="U179" s="155">
        <f t="shared" si="104"/>
        <v>2.3174277407217378E-2</v>
      </c>
      <c r="V179" s="155">
        <f t="shared" si="104"/>
        <v>2.7382980346291729E-2</v>
      </c>
      <c r="W179" s="155">
        <f t="shared" si="104"/>
        <v>2.7847124506377378E-2</v>
      </c>
      <c r="X179" s="155">
        <f t="shared" si="104"/>
        <v>4.05194360652932E-2</v>
      </c>
      <c r="Y179" s="155">
        <f t="shared" si="104"/>
        <v>2.871627547977406E-2</v>
      </c>
      <c r="Z179" s="155">
        <f t="shared" si="104"/>
        <v>1.8847153111101324E-2</v>
      </c>
      <c r="AA179" s="155">
        <f t="shared" si="104"/>
        <v>2.1527905409544815E-2</v>
      </c>
      <c r="AC179" s="155">
        <f>-AC108/AC5</f>
        <v>2.5925969758295166E-2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AA180" si="105">-(T108/T58)</f>
        <v>6.7430464490302988E-2</v>
      </c>
      <c r="U180" s="155">
        <f t="shared" si="105"/>
        <v>4.6117193261103862E-2</v>
      </c>
      <c r="V180" s="155">
        <f t="shared" si="105"/>
        <v>6.4770267019485211E-2</v>
      </c>
      <c r="W180" s="155">
        <f t="shared" si="105"/>
        <v>4.4758152768658348E-2</v>
      </c>
      <c r="X180" s="155">
        <f t="shared" si="105"/>
        <v>0.12326716563618614</v>
      </c>
      <c r="Y180" s="155">
        <f t="shared" si="105"/>
        <v>6.8926315789473683E-2</v>
      </c>
      <c r="Z180" s="155">
        <f t="shared" si="105"/>
        <v>3.5479414202818457E-2</v>
      </c>
      <c r="AA180" s="155">
        <f t="shared" si="105"/>
        <v>3.4899888765294769E-2</v>
      </c>
      <c r="AC180" s="155">
        <f>-(AC108/AC58)</f>
        <v>5.2304435371550904E-2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AA181" si="106">-T108/T52</f>
        <v>2.25635103926097</v>
      </c>
      <c r="U181" s="155">
        <f t="shared" si="106"/>
        <v>1.7008368200836821</v>
      </c>
      <c r="V181" s="155">
        <f t="shared" si="106"/>
        <v>1.9834254143646408</v>
      </c>
      <c r="W181" s="155">
        <f t="shared" si="106"/>
        <v>2.0081833060556464</v>
      </c>
      <c r="X181" s="155">
        <f t="shared" si="106"/>
        <v>2.8353293413173652</v>
      </c>
      <c r="Y181" s="155">
        <f t="shared" si="106"/>
        <v>2.1768617021276597</v>
      </c>
      <c r="Z181" s="155">
        <f t="shared" si="106"/>
        <v>1.5832305795314427</v>
      </c>
      <c r="AA181" s="155">
        <f t="shared" si="106"/>
        <v>1.7622868605817452</v>
      </c>
      <c r="AC181" s="155">
        <f>-AC108/AC52</f>
        <v>2.0359355638166048</v>
      </c>
    </row>
    <row r="182" spans="1:31" x14ac:dyDescent="0.2">
      <c r="B182" s="20" t="s">
        <v>398</v>
      </c>
      <c r="M182" s="72">
        <f>M5/M36</f>
        <v>0.60909317219996828</v>
      </c>
      <c r="N182" s="72">
        <f t="shared" ref="N182:Q182" si="107">N5/N36</f>
        <v>0.65499490068476518</v>
      </c>
      <c r="O182" s="72">
        <f t="shared" si="107"/>
        <v>0.92688047711781885</v>
      </c>
      <c r="P182" s="72">
        <f t="shared" si="107"/>
        <v>1.169317479234057</v>
      </c>
      <c r="Q182" s="72">
        <f t="shared" si="107"/>
        <v>1.0441724733200195</v>
      </c>
      <c r="T182" s="49"/>
      <c r="U182" s="49"/>
      <c r="V182" s="49"/>
      <c r="W182" s="49"/>
      <c r="X182" s="49"/>
      <c r="Y182" s="49"/>
      <c r="Z182" s="49"/>
      <c r="AA182" s="49"/>
      <c r="AC182" s="72">
        <f t="shared" ref="AC182" si="108">AC5/AC36</f>
        <v>0.97694181305256023</v>
      </c>
    </row>
    <row r="183" spans="1:31" x14ac:dyDescent="0.2">
      <c r="B183" s="20" t="s">
        <v>395</v>
      </c>
      <c r="M183" s="72">
        <f>IF(AND(M11&gt;0,M106&gt;0),M106/M11,"N/A")</f>
        <v>1.0901304650931183</v>
      </c>
      <c r="N183" s="72">
        <f t="shared" ref="N183:Q183" si="109">IF(AND(N11&gt;0,N106&gt;0),N106/N11,"N/A")</f>
        <v>2.5930397727272729</v>
      </c>
      <c r="O183" s="72">
        <f t="shared" si="109"/>
        <v>0.29446196773019534</v>
      </c>
      <c r="P183" s="72">
        <f t="shared" si="109"/>
        <v>0.103900408824721</v>
      </c>
      <c r="Q183" s="72">
        <f t="shared" si="109"/>
        <v>6.4945124897420756E-2</v>
      </c>
      <c r="T183" s="49"/>
      <c r="U183" s="49"/>
      <c r="V183" s="49"/>
      <c r="W183" s="49"/>
      <c r="X183" s="49"/>
      <c r="Y183" s="49"/>
      <c r="Z183" s="49"/>
      <c r="AA183" s="49"/>
      <c r="AC183" s="72">
        <f t="shared" ref="AC183" si="110">IF(AND(AC11&gt;0,AC106&gt;0),AC106/AC11,"N/A")</f>
        <v>5.2192131127337706E-2</v>
      </c>
    </row>
    <row r="184" spans="1:31" x14ac:dyDescent="0.2">
      <c r="B184" s="20" t="s">
        <v>396</v>
      </c>
      <c r="M184" s="230">
        <f>IF(AND(M11&gt;0,M106&gt;0),(M106-M105)/M11,"N/A")</f>
        <v>-1.0220097599840654</v>
      </c>
      <c r="N184" s="230">
        <f t="shared" ref="N184:Q184" si="111">IF(AND(N11&gt;0,N106&gt;0),(N106-N105)/N11,"N/A")</f>
        <v>-0.5546875</v>
      </c>
      <c r="O184" s="230">
        <f t="shared" si="111"/>
        <v>-0.49360063083828704</v>
      </c>
      <c r="P184" s="230">
        <f t="shared" si="111"/>
        <v>-0.42658956698955225</v>
      </c>
      <c r="Q184" s="230">
        <f t="shared" si="111"/>
        <v>-0.41482663148933557</v>
      </c>
      <c r="T184" s="49"/>
      <c r="U184" s="49"/>
      <c r="V184" s="49"/>
      <c r="W184" s="49"/>
      <c r="X184" s="49"/>
      <c r="Y184" s="49"/>
      <c r="Z184" s="49"/>
      <c r="AA184" s="49"/>
      <c r="AC184" s="230">
        <f t="shared" ref="AC184" si="112">IF(AND(AC11&gt;0,AC106&gt;0),(AC106-AC105)/AC11,"N/A")</f>
        <v>-0.44429244847028376</v>
      </c>
    </row>
    <row r="185" spans="1:31" x14ac:dyDescent="0.2">
      <c r="B185" s="20" t="s">
        <v>397</v>
      </c>
      <c r="M185" s="230">
        <f>M5/(M106+M110-M105)</f>
        <v>1.6461162079510703</v>
      </c>
      <c r="N185" s="230">
        <f t="shared" ref="N185:Q185" si="113">N5/(N106+N110-N105)</f>
        <v>1.3652191517360057</v>
      </c>
      <c r="O185" s="230">
        <f t="shared" si="113"/>
        <v>2.2814665018911731</v>
      </c>
      <c r="P185" s="230">
        <f t="shared" si="113"/>
        <v>2.9272543741588155</v>
      </c>
      <c r="Q185" s="230">
        <f t="shared" si="113"/>
        <v>2.0923211084734268</v>
      </c>
      <c r="T185" s="49"/>
      <c r="U185" s="49"/>
      <c r="V185" s="49"/>
      <c r="W185" s="49"/>
      <c r="X185" s="49"/>
      <c r="Y185" s="49"/>
      <c r="Z185" s="49"/>
      <c r="AA185" s="49"/>
      <c r="AC185" s="230">
        <f t="shared" ref="AC185" si="114">AC5/(AC106+AC110-AC105)</f>
        <v>2.0546882598968974</v>
      </c>
    </row>
    <row r="187" spans="1:31" x14ac:dyDescent="0.2">
      <c r="B187" s="1"/>
    </row>
    <row r="188" spans="1:31" s="15" customFormat="1" ht="17" thickBot="1" x14ac:dyDescent="0.25">
      <c r="A188" s="11"/>
      <c r="B188" s="14" t="s">
        <v>79</v>
      </c>
      <c r="R188" s="1"/>
      <c r="S188" s="1"/>
      <c r="AB188" s="1"/>
      <c r="AD188" s="1"/>
      <c r="AE188" s="1"/>
    </row>
    <row r="189" spans="1:31" x14ac:dyDescent="0.2">
      <c r="B189" s="224" t="s">
        <v>370</v>
      </c>
      <c r="C189" s="62"/>
      <c r="D189" s="62"/>
      <c r="E189" s="62"/>
      <c r="F189" s="62"/>
      <c r="G189" s="62"/>
      <c r="H189" s="62"/>
      <c r="I189" s="62"/>
      <c r="J189" s="62"/>
      <c r="K189" s="62"/>
      <c r="L189" s="62"/>
      <c r="M189" s="62">
        <v>0</v>
      </c>
      <c r="N189" s="62">
        <v>0</v>
      </c>
      <c r="O189" s="62">
        <v>0</v>
      </c>
      <c r="P189" s="62">
        <v>53796</v>
      </c>
      <c r="Q189" s="62">
        <v>105636</v>
      </c>
      <c r="T189" s="62">
        <v>10622</v>
      </c>
      <c r="U189" s="62">
        <v>13390</v>
      </c>
      <c r="V189" s="62">
        <v>19094</v>
      </c>
      <c r="W189" s="62">
        <v>17599</v>
      </c>
      <c r="X189" s="62">
        <v>23883</v>
      </c>
      <c r="Y189" s="62">
        <v>30340</v>
      </c>
      <c r="Z189" s="62">
        <v>33814</v>
      </c>
      <c r="AA189" s="62">
        <v>37869</v>
      </c>
      <c r="AC189" s="62">
        <f>SUM(X189:AA189)</f>
        <v>125906</v>
      </c>
    </row>
    <row r="190" spans="1:31" x14ac:dyDescent="0.2">
      <c r="B190" s="224" t="s">
        <v>371</v>
      </c>
      <c r="C190" s="62"/>
      <c r="D190" s="62"/>
      <c r="E190" s="62"/>
      <c r="F190" s="62"/>
      <c r="G190" s="62"/>
      <c r="H190" s="62"/>
      <c r="I190" s="62"/>
      <c r="J190" s="62"/>
      <c r="K190" s="62"/>
      <c r="L190" s="62"/>
      <c r="M190" s="62">
        <v>0</v>
      </c>
      <c r="N190" s="62">
        <v>0</v>
      </c>
      <c r="O190" s="62">
        <v>0</v>
      </c>
      <c r="P190" s="62">
        <v>61390</v>
      </c>
      <c r="Q190" s="62">
        <v>88101</v>
      </c>
      <c r="T190" s="62">
        <v>15650</v>
      </c>
      <c r="U190" s="62">
        <v>17381</v>
      </c>
      <c r="V190" s="62">
        <v>16486</v>
      </c>
      <c r="W190" s="62">
        <v>21513</v>
      </c>
      <c r="X190" s="62">
        <v>17213</v>
      </c>
      <c r="Y190" s="62">
        <v>20875</v>
      </c>
      <c r="Z190" s="62">
        <v>28500</v>
      </c>
      <c r="AA190" s="62">
        <v>37377</v>
      </c>
      <c r="AC190" s="62">
        <f t="shared" ref="AC190:AC192" si="115">SUM(X190:AA190)</f>
        <v>103965</v>
      </c>
    </row>
    <row r="191" spans="1:31" x14ac:dyDescent="0.2">
      <c r="B191" s="20" t="s">
        <v>372</v>
      </c>
      <c r="C191" s="62"/>
      <c r="D191" s="62"/>
      <c r="E191" s="62"/>
      <c r="F191" s="62"/>
      <c r="G191" s="62"/>
      <c r="H191" s="62"/>
      <c r="I191" s="62"/>
      <c r="J191" s="62"/>
      <c r="K191" s="62"/>
      <c r="L191" s="62"/>
      <c r="M191" s="62">
        <v>0</v>
      </c>
      <c r="N191" s="62">
        <v>0</v>
      </c>
      <c r="O191" s="62">
        <v>0</v>
      </c>
      <c r="P191" s="62">
        <v>115186</v>
      </c>
      <c r="Q191" s="62">
        <v>193737</v>
      </c>
      <c r="T191" s="62">
        <v>26272</v>
      </c>
      <c r="U191" s="62">
        <v>30771</v>
      </c>
      <c r="V191" s="62">
        <v>35580</v>
      </c>
      <c r="W191" s="62">
        <v>39112</v>
      </c>
      <c r="X191" s="62">
        <v>41096</v>
      </c>
      <c r="Y191" s="62">
        <v>51215</v>
      </c>
      <c r="Z191" s="62">
        <v>62314</v>
      </c>
      <c r="AA191" s="62">
        <v>75246</v>
      </c>
      <c r="AC191" s="62">
        <f t="shared" si="115"/>
        <v>229871</v>
      </c>
    </row>
    <row r="192" spans="1:31" x14ac:dyDescent="0.2">
      <c r="B192" s="20" t="s">
        <v>373</v>
      </c>
      <c r="C192" s="21"/>
      <c r="D192" s="21"/>
      <c r="E192" s="21"/>
      <c r="F192" s="21"/>
      <c r="G192" s="21"/>
      <c r="H192" s="21"/>
      <c r="I192" s="62"/>
      <c r="J192" s="62"/>
      <c r="K192" s="62"/>
      <c r="L192" s="62"/>
      <c r="M192" s="62">
        <v>0</v>
      </c>
      <c r="N192" s="62">
        <v>0</v>
      </c>
      <c r="O192" s="62">
        <v>0</v>
      </c>
      <c r="P192" s="62">
        <v>15311</v>
      </c>
      <c r="Q192" s="62">
        <v>22201</v>
      </c>
      <c r="R192" s="62"/>
      <c r="S192" s="62"/>
      <c r="T192" s="62">
        <v>3768</v>
      </c>
      <c r="U192" s="62">
        <v>4311</v>
      </c>
      <c r="V192" s="62">
        <v>3751</v>
      </c>
      <c r="W192" s="62">
        <v>4950</v>
      </c>
      <c r="X192" s="62">
        <v>5647</v>
      </c>
      <c r="Y192" s="62">
        <v>5791</v>
      </c>
      <c r="Z192" s="62">
        <v>5813</v>
      </c>
      <c r="AA192" s="62">
        <v>6369</v>
      </c>
      <c r="AC192" s="62">
        <f t="shared" si="115"/>
        <v>23620</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370</v>
      </c>
      <c r="C196" s="81"/>
      <c r="D196" s="81"/>
      <c r="E196" s="81"/>
      <c r="F196" s="81"/>
      <c r="G196" s="81"/>
      <c r="H196" s="81"/>
      <c r="I196" s="81"/>
      <c r="J196" s="81"/>
      <c r="K196" s="81"/>
      <c r="L196" s="81"/>
      <c r="M196" s="81">
        <f t="shared" ref="M196:Q199" si="116">IF(L189=0,
IF(M189=0,0,IF(M189&gt;0,1,-1)),
(M189-L189)/ABS(L189)
)</f>
        <v>0</v>
      </c>
      <c r="N196" s="81">
        <f t="shared" si="116"/>
        <v>0</v>
      </c>
      <c r="O196" s="81">
        <f t="shared" si="116"/>
        <v>0</v>
      </c>
      <c r="P196" s="81">
        <f t="shared" si="116"/>
        <v>1</v>
      </c>
      <c r="Q196" s="81">
        <f t="shared" si="116"/>
        <v>0.96364041936203437</v>
      </c>
      <c r="T196" s="81">
        <f t="shared" ref="T196:AA199" si="117">IF(S189=0,
IF(T189=0,0,IF(T189&gt;0,1,-1)),
(T189-S189)/ABS(S189)
)</f>
        <v>1</v>
      </c>
      <c r="U196" s="81">
        <f t="shared" si="117"/>
        <v>0.26059122575786103</v>
      </c>
      <c r="V196" s="81">
        <f t="shared" si="117"/>
        <v>0.42598954443614639</v>
      </c>
      <c r="W196" s="81">
        <f t="shared" si="117"/>
        <v>-7.8296847177123707E-2</v>
      </c>
      <c r="X196" s="81">
        <f t="shared" si="117"/>
        <v>0.35706574237172567</v>
      </c>
      <c r="Y196" s="81">
        <f t="shared" si="117"/>
        <v>0.27035967005820039</v>
      </c>
      <c r="Z196" s="81">
        <f t="shared" si="117"/>
        <v>0.11450230718523402</v>
      </c>
      <c r="AA196" s="81">
        <f t="shared" si="117"/>
        <v>0.11992074288756137</v>
      </c>
      <c r="AC196" s="49"/>
    </row>
    <row r="197" spans="2:29" x14ac:dyDescent="0.2">
      <c r="B197" s="224" t="s">
        <v>371</v>
      </c>
      <c r="M197" s="81">
        <f t="shared" si="116"/>
        <v>0</v>
      </c>
      <c r="N197" s="81">
        <f t="shared" si="116"/>
        <v>0</v>
      </c>
      <c r="O197" s="81">
        <f t="shared" si="116"/>
        <v>0</v>
      </c>
      <c r="P197" s="81">
        <f t="shared" si="116"/>
        <v>1</v>
      </c>
      <c r="Q197" s="81">
        <f t="shared" si="116"/>
        <v>0.43510343704186349</v>
      </c>
      <c r="T197" s="81">
        <f t="shared" si="117"/>
        <v>1</v>
      </c>
      <c r="U197" s="81">
        <f t="shared" si="117"/>
        <v>0.11060702875399361</v>
      </c>
      <c r="V197" s="81">
        <f t="shared" si="117"/>
        <v>-5.1493009608192856E-2</v>
      </c>
      <c r="W197" s="81">
        <f t="shared" si="117"/>
        <v>0.304925391241053</v>
      </c>
      <c r="X197" s="81">
        <f t="shared" si="117"/>
        <v>-0.19987914284386185</v>
      </c>
      <c r="Y197" s="81">
        <f t="shared" si="117"/>
        <v>0.21274618021262998</v>
      </c>
      <c r="Z197" s="81">
        <f t="shared" si="117"/>
        <v>0.3652694610778443</v>
      </c>
      <c r="AA197" s="81">
        <f t="shared" si="117"/>
        <v>0.31147368421052629</v>
      </c>
      <c r="AC197" s="49"/>
    </row>
    <row r="198" spans="2:29" x14ac:dyDescent="0.2">
      <c r="B198" s="20" t="s">
        <v>372</v>
      </c>
      <c r="M198" s="81">
        <f t="shared" si="116"/>
        <v>0</v>
      </c>
      <c r="N198" s="81">
        <f t="shared" si="116"/>
        <v>0</v>
      </c>
      <c r="O198" s="81">
        <f t="shared" si="116"/>
        <v>0</v>
      </c>
      <c r="P198" s="81">
        <f t="shared" si="116"/>
        <v>1</v>
      </c>
      <c r="Q198" s="81">
        <f t="shared" si="116"/>
        <v>0.68194919521469621</v>
      </c>
      <c r="T198" s="81">
        <f t="shared" si="117"/>
        <v>1</v>
      </c>
      <c r="U198" s="81">
        <f t="shared" si="117"/>
        <v>0.17124695493300854</v>
      </c>
      <c r="V198" s="81">
        <f t="shared" si="117"/>
        <v>0.15628351369796237</v>
      </c>
      <c r="W198" s="81">
        <f t="shared" si="117"/>
        <v>9.9269252388982571E-2</v>
      </c>
      <c r="X198" s="81">
        <f t="shared" si="117"/>
        <v>5.0726119860912251E-2</v>
      </c>
      <c r="Y198" s="81">
        <f t="shared" si="117"/>
        <v>0.24622834339108429</v>
      </c>
      <c r="Z198" s="81">
        <f t="shared" si="117"/>
        <v>0.21671385336327248</v>
      </c>
      <c r="AA198" s="81">
        <f t="shared" si="117"/>
        <v>0.20752960811374652</v>
      </c>
      <c r="AC198" s="49"/>
    </row>
    <row r="199" spans="2:29" x14ac:dyDescent="0.2">
      <c r="B199" s="20" t="s">
        <v>373</v>
      </c>
      <c r="M199" s="81">
        <f t="shared" si="116"/>
        <v>0</v>
      </c>
      <c r="N199" s="81">
        <f t="shared" si="116"/>
        <v>0</v>
      </c>
      <c r="O199" s="81">
        <f t="shared" si="116"/>
        <v>0</v>
      </c>
      <c r="P199" s="81">
        <f t="shared" si="116"/>
        <v>1</v>
      </c>
      <c r="Q199" s="81">
        <f t="shared" si="116"/>
        <v>0.4500032656260205</v>
      </c>
      <c r="T199" s="81">
        <f t="shared" si="117"/>
        <v>1</v>
      </c>
      <c r="U199" s="81">
        <f t="shared" si="117"/>
        <v>0.14410828025477707</v>
      </c>
      <c r="V199" s="81">
        <f t="shared" si="117"/>
        <v>-0.12990025516121551</v>
      </c>
      <c r="W199" s="81">
        <f t="shared" si="117"/>
        <v>0.31964809384164222</v>
      </c>
      <c r="X199" s="81">
        <f t="shared" si="117"/>
        <v>0.1408080808080808</v>
      </c>
      <c r="Y199" s="81">
        <f t="shared" si="117"/>
        <v>2.5500265627766958E-2</v>
      </c>
      <c r="Z199" s="81">
        <f t="shared" si="117"/>
        <v>3.7989984458642722E-3</v>
      </c>
      <c r="AA199" s="81">
        <f t="shared" si="117"/>
        <v>9.5647686220540165E-2</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390</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391</v>
      </c>
      <c r="M207" s="144">
        <v>100</v>
      </c>
      <c r="N207" s="144">
        <f>100*(1+((N115-$M115)/ABS($M115)))</f>
        <v>89.141856392294216</v>
      </c>
      <c r="O207" s="144">
        <f t="shared" ref="O207:Q207" si="118">100*(1+((O115-$M115)/ABS($M115)))</f>
        <v>267.20665499124345</v>
      </c>
      <c r="P207" s="144">
        <f t="shared" si="118"/>
        <v>624.43082311733804</v>
      </c>
      <c r="Q207" s="144">
        <f t="shared" si="118"/>
        <v>821.67250437828375</v>
      </c>
      <c r="T207" s="49"/>
      <c r="U207" s="49"/>
      <c r="V207" s="49"/>
      <c r="W207" s="49"/>
      <c r="X207" s="49"/>
      <c r="Y207" s="49"/>
      <c r="Z207" s="49"/>
      <c r="AA207" s="49"/>
      <c r="AC207" s="49"/>
    </row>
    <row r="208" spans="2:29" x14ac:dyDescent="0.2">
      <c r="B208" s="20" t="s">
        <v>392</v>
      </c>
      <c r="M208" s="144">
        <v>100</v>
      </c>
      <c r="N208" s="144">
        <f>100*(1+((N5-$M5)/ABS($M5)))</f>
        <v>100.2229323028907</v>
      </c>
      <c r="O208" s="144">
        <f t="shared" ref="O208:Q208" si="119">100*(1+((O5-$M5)/ABS($M5)))</f>
        <v>226.35802927844244</v>
      </c>
      <c r="P208" s="144">
        <f t="shared" si="119"/>
        <v>484.86661217210371</v>
      </c>
      <c r="Q208" s="144">
        <f t="shared" si="119"/>
        <v>802.32592702682621</v>
      </c>
      <c r="T208" s="49"/>
      <c r="U208" s="49"/>
      <c r="V208" s="49"/>
      <c r="W208" s="49"/>
      <c r="X208" s="49"/>
      <c r="Y208" s="49"/>
      <c r="Z208" s="49"/>
      <c r="AA208" s="49"/>
      <c r="AC208" s="49"/>
    </row>
    <row r="209" spans="1:31" x14ac:dyDescent="0.2">
      <c r="B209" s="20" t="s">
        <v>393</v>
      </c>
      <c r="M209" s="144">
        <v>100</v>
      </c>
      <c r="N209" s="144">
        <f>100*(1+((N25-$M25)/ABS($M25)))</f>
        <v>45.194805194805184</v>
      </c>
      <c r="O209" s="144">
        <f t="shared" ref="O209:Q209" si="120">100*(1+((O25-$M25)/ABS($M25)))</f>
        <v>309.87012987012992</v>
      </c>
      <c r="P209" s="144">
        <f t="shared" si="120"/>
        <v>763.63636363636363</v>
      </c>
      <c r="Q209" s="144">
        <f t="shared" si="120"/>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2" t="s">
        <v>230</v>
      </c>
      <c r="C4" s="232"/>
      <c r="E4" s="232" t="s">
        <v>237</v>
      </c>
      <c r="F4" s="232"/>
      <c r="G4" s="232"/>
    </row>
    <row r="5" spans="2:7" x14ac:dyDescent="0.2">
      <c r="B5" s="20" t="s">
        <v>1</v>
      </c>
      <c r="C5" s="173">
        <f ca="1">Overview!C5</f>
        <v>197.64949999999999</v>
      </c>
      <c r="E5" s="12"/>
      <c r="F5" s="133" t="s">
        <v>238</v>
      </c>
      <c r="G5" s="133" t="s">
        <v>239</v>
      </c>
    </row>
    <row r="6" spans="2:7" x14ac:dyDescent="0.2">
      <c r="B6" s="20" t="s">
        <v>236</v>
      </c>
      <c r="C6" s="174">
        <f ca="1">Statement!AC155</f>
        <v>4803871.0975000001</v>
      </c>
      <c r="E6" s="20" t="s">
        <v>19</v>
      </c>
      <c r="F6" s="179">
        <f>IF(Statement!M5&lt;=0,"N/A",_xlfn.RRI(4,Statement!M5,Statement!Q5))</f>
        <v>0.68301391480282692</v>
      </c>
      <c r="G6" s="179" t="str">
        <f>IF(Statement!H5&lt;=0,"N/A",_xlfn.RRI(9,Statement!H5,Statement!Q5))</f>
        <v>N/A</v>
      </c>
    </row>
    <row r="7" spans="2:7" x14ac:dyDescent="0.2">
      <c r="B7" s="20" t="s">
        <v>180</v>
      </c>
      <c r="C7" s="174">
        <f ca="1">Statement!AC156</f>
        <v>4731769.0975000001</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30.267917304747321</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19.071319870330704</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24.469330448039127</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18.666418521762115</v>
      </c>
    </row>
    <row r="12" spans="2:7" x14ac:dyDescent="0.2">
      <c r="B12" s="20" t="s">
        <v>196</v>
      </c>
      <c r="C12" s="175">
        <f ca="1">Statement!AC158</f>
        <v>29.157156222078441</v>
      </c>
    </row>
    <row r="15" spans="2:7" x14ac:dyDescent="0.2">
      <c r="B15" s="232" t="s">
        <v>75</v>
      </c>
      <c r="C15" s="232"/>
      <c r="E15" s="232" t="s">
        <v>243</v>
      </c>
      <c r="F15" s="232"/>
    </row>
    <row r="16" spans="2:7" x14ac:dyDescent="0.2">
      <c r="B16" s="20" t="s">
        <v>76</v>
      </c>
      <c r="C16" s="176">
        <f>Statement!AC99</f>
        <v>0.74145433171197395</v>
      </c>
      <c r="E16" s="20" t="s">
        <v>29</v>
      </c>
      <c r="F16" s="174">
        <f>Statement!AC17</f>
        <v>159613</v>
      </c>
    </row>
    <row r="17" spans="2:6" x14ac:dyDescent="0.2">
      <c r="B17" s="20" t="s">
        <v>77</v>
      </c>
      <c r="C17" s="176">
        <f>Statement!AC100</f>
        <v>0.64020024379563767</v>
      </c>
      <c r="E17" s="20" t="s">
        <v>244</v>
      </c>
      <c r="F17" s="174">
        <f>Statement!AC58</f>
        <v>125649</v>
      </c>
    </row>
    <row r="18" spans="2:6" x14ac:dyDescent="0.2">
      <c r="B18" s="20" t="s">
        <v>78</v>
      </c>
      <c r="C18" s="176">
        <f>Statement!AC101</f>
        <v>0.62965943564071303</v>
      </c>
      <c r="E18" s="20" t="s">
        <v>251</v>
      </c>
      <c r="F18" s="178">
        <f>IF(OR(F16&lt;=0, F17&lt;=0),"N/A",F16-F17)</f>
        <v>33964</v>
      </c>
    </row>
    <row r="21" spans="2:6" x14ac:dyDescent="0.2">
      <c r="B21" s="232" t="s">
        <v>242</v>
      </c>
      <c r="C21" s="232"/>
      <c r="E21" s="232" t="s">
        <v>246</v>
      </c>
      <c r="F21" s="232"/>
    </row>
    <row r="22" spans="2:6" x14ac:dyDescent="0.2">
      <c r="B22" s="20" t="s">
        <v>92</v>
      </c>
      <c r="C22" s="176">
        <f>Statement!AC119</f>
        <v>0.62965943564071303</v>
      </c>
      <c r="E22" s="20" t="s">
        <v>94</v>
      </c>
      <c r="F22" s="176">
        <f>C24</f>
        <v>0.61514063066049007</v>
      </c>
    </row>
    <row r="23" spans="2:6" x14ac:dyDescent="0.2">
      <c r="B23" s="20" t="s">
        <v>93</v>
      </c>
      <c r="C23" s="175">
        <f>Statement!AC120</f>
        <v>0.97694181305256023</v>
      </c>
      <c r="E23" s="20" t="s">
        <v>96</v>
      </c>
      <c r="F23" s="176">
        <f>C26</f>
        <v>0.81654337661274645</v>
      </c>
    </row>
    <row r="24" spans="2:6" x14ac:dyDescent="0.2">
      <c r="B24" s="32" t="s">
        <v>94</v>
      </c>
      <c r="C24" s="177">
        <f>Statement!AC121</f>
        <v>0.61514063066049007</v>
      </c>
      <c r="E24" s="20" t="s">
        <v>97</v>
      </c>
      <c r="F24" s="176">
        <f>Statement!AC142</f>
        <v>1.1082908941558067</v>
      </c>
    </row>
    <row r="25" spans="2:6" x14ac:dyDescent="0.2">
      <c r="B25" s="20" t="s">
        <v>95</v>
      </c>
      <c r="C25" s="175">
        <f>Statement!AC122</f>
        <v>1.3274092718213164</v>
      </c>
    </row>
    <row r="26" spans="2:6" x14ac:dyDescent="0.2">
      <c r="B26" s="32" t="s">
        <v>96</v>
      </c>
      <c r="C26" s="177">
        <f>Statement!AC123</f>
        <v>0.81654337661274645</v>
      </c>
    </row>
    <row r="29" spans="2:6" x14ac:dyDescent="0.2">
      <c r="B29" s="232" t="s">
        <v>247</v>
      </c>
      <c r="C29" s="232"/>
      <c r="E29" s="232" t="s">
        <v>253</v>
      </c>
      <c r="F29" s="232"/>
    </row>
    <row r="30" spans="2:6" x14ac:dyDescent="0.2">
      <c r="B30" s="20" t="s">
        <v>131</v>
      </c>
      <c r="C30" s="175">
        <f>Statement!AC143</f>
        <v>58.61805744582648</v>
      </c>
      <c r="E30" s="20" t="s">
        <v>254</v>
      </c>
      <c r="F30" s="181">
        <f>Statement!AC147</f>
        <v>4.3330570817602339E-2</v>
      </c>
    </row>
    <row r="31" spans="2:6" x14ac:dyDescent="0.2">
      <c r="B31" s="20" t="s">
        <v>132</v>
      </c>
      <c r="C31" s="175">
        <f>Statement!AC144</f>
        <v>143.6687315949282</v>
      </c>
      <c r="E31" s="20" t="s">
        <v>255</v>
      </c>
      <c r="F31" s="181">
        <f>Statement!AC148</f>
        <v>-0.36885723932594616</v>
      </c>
    </row>
    <row r="32" spans="2:6" x14ac:dyDescent="0.2">
      <c r="B32" s="20" t="s">
        <v>133</v>
      </c>
      <c r="C32" s="175">
        <f>Statement!AC145</f>
        <v>72.939852606844781</v>
      </c>
      <c r="E32" s="20" t="s">
        <v>250</v>
      </c>
      <c r="F32" s="181">
        <f>Statement!AC150</f>
        <v>3.440775681341719</v>
      </c>
    </row>
    <row r="33" spans="2:6" x14ac:dyDescent="0.2">
      <c r="B33" s="20" t="s">
        <v>134</v>
      </c>
      <c r="C33" s="175">
        <f>Statement!AC146</f>
        <v>129.34693643390989</v>
      </c>
      <c r="E33" s="20" t="s">
        <v>249</v>
      </c>
      <c r="F33" s="181">
        <f>Statement!AC149</f>
        <v>2.7636951964269438</v>
      </c>
    </row>
    <row r="34" spans="2:6" x14ac:dyDescent="0.2">
      <c r="E34" s="20" t="s">
        <v>256</v>
      </c>
      <c r="F34" s="183" t="str">
        <f>Statement!AC151</f>
        <v>N/A</v>
      </c>
    </row>
    <row r="37" spans="2:6" x14ac:dyDescent="0.2">
      <c r="B37" s="232" t="s">
        <v>265</v>
      </c>
      <c r="C37" s="232"/>
      <c r="E37" s="232" t="s">
        <v>268</v>
      </c>
      <c r="F37" s="232"/>
    </row>
    <row r="38" spans="2:6" x14ac:dyDescent="0.2">
      <c r="B38" s="20" t="s">
        <v>263</v>
      </c>
      <c r="C38" s="176">
        <f ca="1">Statement!AC164</f>
        <v>3.303828241407137E-2</v>
      </c>
      <c r="E38" s="20" t="s">
        <v>267</v>
      </c>
      <c r="F38" s="176">
        <f>Statement!AC170</f>
        <v>8.6691554478469674E-3</v>
      </c>
    </row>
    <row r="39" spans="2:6" x14ac:dyDescent="0.2">
      <c r="B39" s="54" t="s">
        <v>266</v>
      </c>
      <c r="C39" s="216">
        <f ca="1">Statement!AC163</f>
        <v>2.3363865874421498E-2</v>
      </c>
      <c r="E39" s="20" t="s">
        <v>269</v>
      </c>
      <c r="F39" s="176">
        <f>Statement!AC171</f>
        <v>0.40364585653572349</v>
      </c>
    </row>
    <row r="40" spans="2:6" x14ac:dyDescent="0.2">
      <c r="B40" s="20" t="s">
        <v>264</v>
      </c>
      <c r="C40" s="176">
        <f ca="1">Statement!AC165</f>
        <v>2.0237845276613401E-4</v>
      </c>
      <c r="E40" s="20" t="s">
        <v>270</v>
      </c>
      <c r="F40" s="176">
        <f>Statement!AC172</f>
        <v>0.41231501198357046</v>
      </c>
    </row>
    <row r="41" spans="2:6" x14ac:dyDescent="0.2">
      <c r="B41" s="20" t="s">
        <v>289</v>
      </c>
      <c r="C41" s="176">
        <f ca="1">Statement!AC166</f>
        <v>9.4307276528666269E-3</v>
      </c>
    </row>
    <row r="42" spans="2:6" x14ac:dyDescent="0.2">
      <c r="B42" s="20" t="s">
        <v>291</v>
      </c>
      <c r="C42" s="176">
        <f ca="1">Statement!AC167</f>
        <v>9.6332726379946328E-3</v>
      </c>
    </row>
    <row r="45" spans="2:6" x14ac:dyDescent="0.2">
      <c r="B45" s="232" t="s">
        <v>276</v>
      </c>
      <c r="C45" s="232"/>
      <c r="E45" s="232" t="s">
        <v>282</v>
      </c>
      <c r="F45" s="232"/>
    </row>
    <row r="46" spans="2:6" x14ac:dyDescent="0.2">
      <c r="B46" s="20" t="s">
        <v>274</v>
      </c>
      <c r="C46" s="176">
        <f>Statement!AC173</f>
        <v>3.9374614276897757E-2</v>
      </c>
      <c r="E46" s="20" t="s">
        <v>275</v>
      </c>
      <c r="F46" s="175">
        <f>Statement!AC174</f>
        <v>3.3294214876033057</v>
      </c>
    </row>
    <row r="47" spans="2:6" x14ac:dyDescent="0.2">
      <c r="E47" s="20" t="s">
        <v>283</v>
      </c>
      <c r="F47" s="175">
        <f>Statement!AC177</f>
        <v>2.9794214876033056</v>
      </c>
    </row>
    <row r="48" spans="2:6" x14ac:dyDescent="0.2">
      <c r="E48" s="20" t="s">
        <v>288</v>
      </c>
      <c r="F48" s="176">
        <f ca="1">Statement!AC178</f>
        <v>1.5009145444706638E-2</v>
      </c>
    </row>
    <row r="51" spans="2:6" x14ac:dyDescent="0.2">
      <c r="B51" s="232" t="s">
        <v>279</v>
      </c>
      <c r="C51" s="232"/>
      <c r="E51" s="232" t="s">
        <v>300</v>
      </c>
      <c r="F51" s="232"/>
    </row>
    <row r="52" spans="2:6" x14ac:dyDescent="0.2">
      <c r="B52" s="20" t="s">
        <v>277</v>
      </c>
      <c r="C52" s="176">
        <f>Statement!AC175</f>
        <v>5.4437361220542942E-2</v>
      </c>
      <c r="E52" s="20" t="s">
        <v>301</v>
      </c>
      <c r="F52" s="176">
        <f>Statement!AC179</f>
        <v>2.5925969758295166E-2</v>
      </c>
    </row>
    <row r="53" spans="2:6" x14ac:dyDescent="0.2">
      <c r="B53" s="20" t="s">
        <v>278</v>
      </c>
      <c r="C53" s="176">
        <f>Statement!AC176</f>
        <v>2.6983206504372935E-2</v>
      </c>
      <c r="E53" s="20" t="s">
        <v>298</v>
      </c>
      <c r="F53" s="176">
        <f>Statement!AC180</f>
        <v>5.2304435371550904E-2</v>
      </c>
    </row>
    <row r="54" spans="2:6" x14ac:dyDescent="0.2">
      <c r="E54" s="20" t="s">
        <v>299</v>
      </c>
      <c r="F54" s="176">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32"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197.64949999999999</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4803871.0975000001</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4731769.0975000001</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30.267917304747321</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19.071319870330704</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24.469330448039127</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18.666418521762115</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29.157156222078441</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0.74145433171197395</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0.64020024379563767</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0.62965943564071303</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159613</v>
      </c>
    </row>
    <row r="22" spans="2:9" x14ac:dyDescent="0.2">
      <c r="B22" s="20" t="s">
        <v>244</v>
      </c>
      <c r="C22" s="178">
        <f>Statement!M58</f>
        <v>9108</v>
      </c>
      <c r="D22" s="178">
        <f>Statement!N58</f>
        <v>5641</v>
      </c>
      <c r="E22" s="178">
        <f>Statement!O58</f>
        <v>28090</v>
      </c>
      <c r="F22" s="178">
        <f>Statement!P58</f>
        <v>64089</v>
      </c>
      <c r="G22" s="178">
        <f>Statement!Q58</f>
        <v>102718</v>
      </c>
      <c r="I22" s="178">
        <f>Statement!AC58</f>
        <v>125649</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33964</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0.62965943564071303</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0.97694181305256023</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0.61514063066049007</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1.3274092718213164</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0.81654337661274645</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0.61514063066049007</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0.81654337661274645</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1.1082908941558067</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58.61805744582648</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143.6687315949282</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72.939852606844781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129.34693643390989</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4.3330570817602339E-2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-0.36885723932594616</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2.7636951964269438</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3.440775681341719</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3.303828241407137E-2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2.3363865874421498E-2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2.0237845276613401E-4</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9.4307276528666269E-3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9.6332726379946328E-3</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8.6691554478469674E-3</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0.40364585653572349</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0.41231501198357046</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3.9374614276897757E-2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3.3294214876033057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2.9794214876033056</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1.5009145444706638E-2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5.4437361220542942E-2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2.6983206504372935E-2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2.5925969758295166E-2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5.2304435371550904E-2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2.0359355638166048</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370</v>
      </c>
      <c r="C89" s="176">
        <f>Statement!M196</f>
        <v>0</v>
      </c>
      <c r="D89" s="176">
        <f>Statement!N196</f>
        <v>0</v>
      </c>
      <c r="E89" s="176">
        <f>Statement!O196</f>
        <v>0</v>
      </c>
      <c r="F89" s="176">
        <f>Statement!P196</f>
        <v>1</v>
      </c>
      <c r="G89" s="176">
        <f>Statement!Q196</f>
        <v>0.96364041936203437</v>
      </c>
      <c r="I89" s="198"/>
    </row>
    <row r="90" spans="2:9" x14ac:dyDescent="0.2">
      <c r="B90" s="224" t="s">
        <v>371</v>
      </c>
      <c r="C90" s="176">
        <f>Statement!M197</f>
        <v>0</v>
      </c>
      <c r="D90" s="176">
        <f>Statement!N197</f>
        <v>0</v>
      </c>
      <c r="E90" s="176">
        <f>Statement!O197</f>
        <v>0</v>
      </c>
      <c r="F90" s="176">
        <f>Statement!P197</f>
        <v>1</v>
      </c>
      <c r="G90" s="176">
        <f>Statement!Q197</f>
        <v>0.43510343704186349</v>
      </c>
      <c r="I90" s="198"/>
    </row>
    <row r="91" spans="2:9" x14ac:dyDescent="0.2">
      <c r="B91" s="20" t="s">
        <v>372</v>
      </c>
      <c r="C91" s="176">
        <f>Statement!M198</f>
        <v>0</v>
      </c>
      <c r="D91" s="176">
        <f>Statement!N198</f>
        <v>0</v>
      </c>
      <c r="E91" s="176">
        <f>Statement!O198</f>
        <v>0</v>
      </c>
      <c r="F91" s="176">
        <f>Statement!P198</f>
        <v>1</v>
      </c>
      <c r="G91" s="176">
        <f>Statement!Q198</f>
        <v>0.68194919521469621</v>
      </c>
      <c r="I91" s="198"/>
    </row>
    <row r="92" spans="2:9" x14ac:dyDescent="0.2">
      <c r="B92" s="20" t="s">
        <v>373</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1"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310</v>
      </c>
      <c r="D3" s="239"/>
      <c r="F3" s="240" t="s">
        <v>311</v>
      </c>
      <c r="G3" s="239"/>
    </row>
    <row r="4" spans="2:7" x14ac:dyDescent="0.2">
      <c r="B4" s="8"/>
      <c r="C4" s="10" t="str">
        <f>Statement!Z2</f>
        <v>25.01.2026</v>
      </c>
      <c r="D4" s="204" t="str">
        <f>Statement!AA2</f>
        <v>26.04.2026</v>
      </c>
      <c r="F4" s="205" t="str">
        <f>Statement!W2</f>
        <v>27.04.2025</v>
      </c>
      <c r="G4" s="204" t="str">
        <f>Statement!AA2</f>
        <v>26.04.2026</v>
      </c>
    </row>
    <row r="5" spans="2:7" x14ac:dyDescent="0.2">
      <c r="B5" s="8" t="s">
        <v>316</v>
      </c>
      <c r="C5" s="10" t="str">
        <f>Statement!Z3</f>
        <v>Q4 2026</v>
      </c>
      <c r="D5" s="204" t="str">
        <f>Statement!AA3</f>
        <v>Q1 2027</v>
      </c>
      <c r="F5" s="205" t="str">
        <f>Statement!W3</f>
        <v>Q1 2026</v>
      </c>
      <c r="G5" s="204" t="str">
        <f>Statement!AA3</f>
        <v>Q1 2027</v>
      </c>
    </row>
    <row r="6" spans="2:7" x14ac:dyDescent="0.2">
      <c r="B6" s="206" t="s">
        <v>19</v>
      </c>
      <c r="C6" s="200">
        <f>Statement!Z5</f>
        <v>68127</v>
      </c>
      <c r="D6" s="199">
        <f>Statement!AA5</f>
        <v>81615</v>
      </c>
      <c r="F6" s="200">
        <f>Statement!W5</f>
        <v>44062</v>
      </c>
      <c r="G6" s="199">
        <f>Statement!AA5</f>
        <v>81615</v>
      </c>
    </row>
    <row r="7" spans="2:7" x14ac:dyDescent="0.2">
      <c r="B7" s="207" t="s">
        <v>312</v>
      </c>
      <c r="C7" s="236">
        <f>Statement!AA88</f>
        <v>0.19798317847549429</v>
      </c>
      <c r="D7" s="237"/>
      <c r="F7" s="236">
        <f>IF(F6=0,
IF(G6=0,0,IF(G6&gt;0,1,-1)),
(G6-F6)/ABS(F6)
)</f>
        <v>0.85227633788752211</v>
      </c>
      <c r="G7" s="237"/>
    </row>
    <row r="8" spans="2:7" x14ac:dyDescent="0.2">
      <c r="B8" s="208" t="s">
        <v>20</v>
      </c>
      <c r="C8" s="201">
        <f>Statement!Z6</f>
        <v>17034</v>
      </c>
      <c r="D8" s="199">
        <f>Statement!AA6</f>
        <v>20458</v>
      </c>
      <c r="F8" s="201">
        <f>Statement!W6</f>
        <v>17394</v>
      </c>
      <c r="G8" s="199">
        <f>Statement!AA6</f>
        <v>20458</v>
      </c>
    </row>
    <row r="9" spans="2:7" x14ac:dyDescent="0.2">
      <c r="B9" s="207" t="s">
        <v>312</v>
      </c>
      <c r="C9" s="236">
        <f>Statement!AA89</f>
        <v>0.20100974521545145</v>
      </c>
      <c r="D9" s="237"/>
      <c r="F9" s="236">
        <f>IF(F8=0,
IF(G8=0,0,IF(G8&gt;0,1,-1)),
(G8-F8)/ABS(F8)
)</f>
        <v>0.17615269633206854</v>
      </c>
      <c r="G9" s="237"/>
    </row>
    <row r="10" spans="2:7" x14ac:dyDescent="0.2">
      <c r="B10" s="208" t="s">
        <v>21</v>
      </c>
      <c r="C10" s="201">
        <f>Statement!Z7</f>
        <v>51093</v>
      </c>
      <c r="D10" s="199">
        <f>Statement!AA7</f>
        <v>61157</v>
      </c>
      <c r="F10" s="201">
        <f>Statement!W7</f>
        <v>26668</v>
      </c>
      <c r="G10" s="199">
        <f>Statement!AA7</f>
        <v>61157</v>
      </c>
    </row>
    <row r="11" spans="2:7" x14ac:dyDescent="0.2">
      <c r="B11" s="207" t="s">
        <v>312</v>
      </c>
      <c r="C11" s="236">
        <f>Statement!AA90</f>
        <v>0.19697414518622902</v>
      </c>
      <c r="D11" s="237"/>
      <c r="F11" s="236">
        <f>IF(F10=0,
IF(G10=0,0,IF(G10&gt;0,1,-1)),
(G10-F10)/ABS(F10)
)</f>
        <v>1.293272836358182</v>
      </c>
      <c r="G11" s="237"/>
    </row>
    <row r="12" spans="2:7" x14ac:dyDescent="0.2">
      <c r="B12" s="208" t="s">
        <v>23</v>
      </c>
      <c r="C12" s="201">
        <f>Statement!Z10</f>
        <v>6794</v>
      </c>
      <c r="D12" s="199">
        <f>Statement!AA10</f>
        <v>7621</v>
      </c>
      <c r="F12" s="201">
        <f>Statement!W10</f>
        <v>5030</v>
      </c>
      <c r="G12" s="199">
        <f>Statement!AA10</f>
        <v>7621</v>
      </c>
    </row>
    <row r="13" spans="2:7" x14ac:dyDescent="0.2">
      <c r="B13" s="207" t="s">
        <v>312</v>
      </c>
      <c r="C13" s="236">
        <f>Statement!AA93</f>
        <v>0.12172505151604357</v>
      </c>
      <c r="D13" s="237"/>
      <c r="F13" s="236">
        <f>IF(F12=0,
IF(G12=0,0,IF(G12&gt;0,1,-1)),
(G12-F12)/ABS(F12)
)</f>
        <v>0.51510934393638175</v>
      </c>
      <c r="G13" s="237"/>
    </row>
    <row r="14" spans="2:7" x14ac:dyDescent="0.2">
      <c r="B14" s="208" t="s">
        <v>313</v>
      </c>
      <c r="C14" s="201">
        <f>Statement!Z11</f>
        <v>44299</v>
      </c>
      <c r="D14" s="199">
        <f>Statement!AA11</f>
        <v>53536</v>
      </c>
      <c r="F14" s="201">
        <f>Statement!W11</f>
        <v>21638</v>
      </c>
      <c r="G14" s="199">
        <f>Statement!AA11</f>
        <v>53536</v>
      </c>
    </row>
    <row r="15" spans="2:7" x14ac:dyDescent="0.2">
      <c r="B15" s="207" t="s">
        <v>312</v>
      </c>
      <c r="C15" s="236">
        <f>Statement!AA94</f>
        <v>0.20851486489537011</v>
      </c>
      <c r="D15" s="237"/>
      <c r="F15" s="236">
        <f>IF(F14=0,
IF(G14=0,0,IF(G14&gt;0,1,-1)),
(G14-F14)/ABS(F14)
)</f>
        <v>1.4741658193918108</v>
      </c>
      <c r="G15" s="237"/>
    </row>
    <row r="16" spans="2:7" x14ac:dyDescent="0.2">
      <c r="B16" s="208" t="s">
        <v>29</v>
      </c>
      <c r="C16" s="201">
        <f>Statement!Z17</f>
        <v>42960</v>
      </c>
      <c r="D16" s="199">
        <f>Statement!AA17</f>
        <v>58321</v>
      </c>
      <c r="F16" s="201">
        <f>Statement!W17</f>
        <v>18775</v>
      </c>
      <c r="G16" s="199">
        <f>Statement!AA17</f>
        <v>58321</v>
      </c>
    </row>
    <row r="17" spans="2:7" x14ac:dyDescent="0.2">
      <c r="B17" s="207" t="s">
        <v>312</v>
      </c>
      <c r="C17" s="236">
        <f>Statement!AA96</f>
        <v>0.35756517690875234</v>
      </c>
      <c r="D17" s="237"/>
      <c r="F17" s="236">
        <f>IF(F16=0,
IF(G16=0,0,IF(G16&gt;0,1,-1)),
(G16-F16)/ABS(F16)
)</f>
        <v>2.1063115845539282</v>
      </c>
      <c r="G17" s="237"/>
    </row>
    <row r="18" spans="2:7" x14ac:dyDescent="0.2">
      <c r="B18" s="208" t="s">
        <v>314</v>
      </c>
      <c r="C18" s="201">
        <f>Statement!Z21</f>
        <v>24432</v>
      </c>
      <c r="D18" s="199">
        <f>Statement!AA21</f>
        <v>24391</v>
      </c>
      <c r="F18" s="201">
        <f>Statement!W21</f>
        <v>24611</v>
      </c>
      <c r="G18" s="199">
        <f>Statement!AA21</f>
        <v>24391</v>
      </c>
    </row>
    <row r="19" spans="2:7" x14ac:dyDescent="0.2">
      <c r="B19" s="207" t="s">
        <v>312</v>
      </c>
      <c r="C19" s="236">
        <f>IF(C18=0,
IF(D18=0,0,IF(D18&gt;0,1,-1)),
(D18-C18)/ABS(C18)
)</f>
        <v>-1.6781270464963983E-3</v>
      </c>
      <c r="D19" s="237"/>
      <c r="F19" s="236">
        <f>IF(F18=0,
IF(G18=0,0,IF(G18&gt;0,1,-1)),
(G18-F18)/ABS(F18)
)</f>
        <v>-8.9390922758116297E-3</v>
      </c>
      <c r="G19" s="237"/>
    </row>
    <row r="20" spans="2:7" x14ac:dyDescent="0.2">
      <c r="B20" s="208" t="s">
        <v>36</v>
      </c>
      <c r="C20" s="202">
        <f>Statement!Z25</f>
        <v>1.76</v>
      </c>
      <c r="D20" s="203">
        <f>Statement!AA25</f>
        <v>2.39</v>
      </c>
      <c r="F20" s="202">
        <f>Statement!W25</f>
        <v>0.76</v>
      </c>
      <c r="G20" s="203">
        <f>Statement!AA25</f>
        <v>2.39</v>
      </c>
    </row>
    <row r="21" spans="2:7" x14ac:dyDescent="0.2">
      <c r="B21" s="207" t="s">
        <v>312</v>
      </c>
      <c r="C21" s="236">
        <f>IF(C20=0,
IF(D20=0,0,IF(D20&gt;0,1,-1)),
(D20-C20)/ABS(C20)
)</f>
        <v>0.35795454545454553</v>
      </c>
      <c r="D21" s="237"/>
      <c r="F21" s="236">
        <f>IF(F20=0,
IF(G20=0,0,IF(G20&gt;0,1,-1)),
(G20-F20)/ABS(F20)
)</f>
        <v>2.1447368421052633</v>
      </c>
      <c r="G21" s="237"/>
    </row>
    <row r="23" spans="2:7" x14ac:dyDescent="0.2">
      <c r="B23" s="8" t="s">
        <v>315</v>
      </c>
      <c r="C23" s="10" t="str">
        <f>C5</f>
        <v>Q4 2026</v>
      </c>
      <c r="D23" s="204" t="str">
        <f>D5</f>
        <v>Q1 2027</v>
      </c>
      <c r="F23" s="205" t="str">
        <f>F5</f>
        <v>Q1 2026</v>
      </c>
      <c r="G23" s="204" t="str">
        <f>G5</f>
        <v>Q1 2027</v>
      </c>
    </row>
    <row r="24" spans="2:7" x14ac:dyDescent="0.2">
      <c r="B24" s="224" t="s">
        <v>370</v>
      </c>
      <c r="C24" s="201">
        <f>Statement!Z189</f>
        <v>33814</v>
      </c>
      <c r="D24" s="199">
        <f>Statement!AA189</f>
        <v>37869</v>
      </c>
      <c r="F24" s="201">
        <f>Statement!W189</f>
        <v>17599</v>
      </c>
      <c r="G24" s="199">
        <f>Statement!AA189</f>
        <v>37869</v>
      </c>
    </row>
    <row r="25" spans="2:7" x14ac:dyDescent="0.2">
      <c r="B25" s="207" t="s">
        <v>312</v>
      </c>
      <c r="C25" s="236">
        <f>IF(C24=0,
IF(D24=0,0,IF(D24&gt;0,1,-1)),
(D24-C24)/ABS(C24)
)</f>
        <v>0.11992074288756137</v>
      </c>
      <c r="D25" s="237"/>
      <c r="F25" s="236">
        <f>IF(F24=0,
IF(G24=0,0,IF(G24&gt;0,1,-1)),
(G24-F24)/ABS(F24)
)</f>
        <v>1.1517699869310756</v>
      </c>
      <c r="G25" s="237"/>
    </row>
    <row r="26" spans="2:7" x14ac:dyDescent="0.2">
      <c r="B26" s="224" t="s">
        <v>371</v>
      </c>
      <c r="C26" s="201">
        <f>Statement!Z190</f>
        <v>28500</v>
      </c>
      <c r="D26" s="199">
        <f>Statement!AA190</f>
        <v>37377</v>
      </c>
      <c r="F26" s="201">
        <f>Statement!W190</f>
        <v>21513</v>
      </c>
      <c r="G26" s="199">
        <f>Statement!AA190</f>
        <v>37377</v>
      </c>
    </row>
    <row r="27" spans="2:7" x14ac:dyDescent="0.2">
      <c r="B27" s="207" t="s">
        <v>312</v>
      </c>
      <c r="C27" s="236">
        <f>IF(C26=0,
IF(D26=0,0,IF(D26&gt;0,1,-1)),
(D26-C26)/ABS(C26)
)</f>
        <v>0.31147368421052629</v>
      </c>
      <c r="D27" s="237"/>
      <c r="F27" s="236">
        <f>IF(F26=0,
IF(G26=0,0,IF(G26&gt;0,1,-1)),
(G26-F26)/ABS(F26)
)</f>
        <v>0.73741458652907543</v>
      </c>
      <c r="G27" s="237"/>
    </row>
    <row r="28" spans="2:7" x14ac:dyDescent="0.2">
      <c r="B28" s="20" t="s">
        <v>372</v>
      </c>
      <c r="C28" s="201">
        <f>Statement!Z191</f>
        <v>62314</v>
      </c>
      <c r="D28" s="199">
        <f>Statement!AA191</f>
        <v>75246</v>
      </c>
      <c r="F28" s="201">
        <f>Statement!W191</f>
        <v>39112</v>
      </c>
      <c r="G28" s="199">
        <f>Statement!AA191</f>
        <v>75246</v>
      </c>
    </row>
    <row r="29" spans="2:7" x14ac:dyDescent="0.2">
      <c r="B29" s="207" t="s">
        <v>312</v>
      </c>
      <c r="C29" s="236">
        <f>IF(C28=0,
IF(D28=0,0,IF(D28&gt;0,1,-1)),
(D28-C28)/ABS(C28)
)</f>
        <v>0.20752960811374652</v>
      </c>
      <c r="D29" s="237"/>
      <c r="F29" s="236">
        <f>IF(F28=0,
IF(G28=0,0,IF(G28&gt;0,1,-1)),
(G28-F28)/ABS(F28)
)</f>
        <v>0.92385968500715898</v>
      </c>
      <c r="G29" s="237"/>
    </row>
    <row r="30" spans="2:7" x14ac:dyDescent="0.2">
      <c r="B30" s="20" t="s">
        <v>373</v>
      </c>
      <c r="C30" s="201">
        <f>Statement!Z192</f>
        <v>5813</v>
      </c>
      <c r="D30" s="201">
        <f>Statement!AA192</f>
        <v>6369</v>
      </c>
      <c r="F30" s="201">
        <f>Statement!W192</f>
        <v>4950</v>
      </c>
      <c r="G30" s="201">
        <f>Statement!AA192</f>
        <v>6369</v>
      </c>
    </row>
    <row r="31" spans="2:7" x14ac:dyDescent="0.2">
      <c r="B31" s="207" t="s">
        <v>312</v>
      </c>
      <c r="C31" s="236">
        <f>IF(C30=0,
IF(D30=0,0,IF(D30&gt;0,1,-1)),
(D30-C30)/ABS(C30)
)</f>
        <v>9.5647686220540165E-2</v>
      </c>
      <c r="D31" s="237"/>
      <c r="F31" s="236">
        <f>IF(F30=0,
IF(G30=0,0,IF(G30&gt;0,1,-1)),
(G30-F30)/ABS(F30)
)</f>
        <v>0.28666666666666668</v>
      </c>
      <c r="G31" s="237"/>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6"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374</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375</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376</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391</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392</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393</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6"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374</v>
      </c>
      <c r="C63" s="64">
        <f>Statement!T189</f>
        <v>10622</v>
      </c>
      <c r="D63" s="64">
        <f>Statement!U189</f>
        <v>13390</v>
      </c>
      <c r="E63" s="64">
        <f>Statement!V189</f>
        <v>19094</v>
      </c>
      <c r="F63" s="64">
        <f>Statement!W189</f>
        <v>17599</v>
      </c>
      <c r="G63" s="64">
        <f>Statement!X189</f>
        <v>23883</v>
      </c>
      <c r="H63" s="64">
        <f>Statement!Y189</f>
        <v>30340</v>
      </c>
      <c r="I63" s="64">
        <f>Statement!Z189</f>
        <v>33814</v>
      </c>
      <c r="J63" s="64">
        <f>Statement!AA189</f>
        <v>37869</v>
      </c>
    </row>
    <row r="64" spans="2:10" x14ac:dyDescent="0.2">
      <c r="B64" s="20" t="s">
        <v>377</v>
      </c>
      <c r="C64" s="64">
        <f>Statement!T190</f>
        <v>15650</v>
      </c>
      <c r="D64" s="64">
        <f>Statement!U190</f>
        <v>17381</v>
      </c>
      <c r="E64" s="64">
        <f>Statement!V190</f>
        <v>16486</v>
      </c>
      <c r="F64" s="64">
        <f>Statement!W190</f>
        <v>21513</v>
      </c>
      <c r="G64" s="64">
        <f>Statement!X190</f>
        <v>17213</v>
      </c>
      <c r="H64" s="64">
        <f>Statement!Y190</f>
        <v>20875</v>
      </c>
      <c r="I64" s="64">
        <f>Statement!Z190</f>
        <v>28500</v>
      </c>
      <c r="J64" s="64">
        <f>Statement!AA190</f>
        <v>37377</v>
      </c>
    </row>
    <row r="65" spans="2:10" x14ac:dyDescent="0.2">
      <c r="B65" s="20" t="s">
        <v>378</v>
      </c>
      <c r="C65" s="64">
        <f>Statement!T192</f>
        <v>3768</v>
      </c>
      <c r="D65" s="64">
        <f>Statement!U192</f>
        <v>4311</v>
      </c>
      <c r="E65" s="64">
        <f>Statement!V192</f>
        <v>3751</v>
      </c>
      <c r="F65" s="64">
        <f>Statement!W192</f>
        <v>4950</v>
      </c>
      <c r="G65" s="64">
        <f>Statement!X192</f>
        <v>5647</v>
      </c>
      <c r="H65" s="64">
        <f>Statement!Y192</f>
        <v>5791</v>
      </c>
      <c r="I65" s="64">
        <f>Statement!Z192</f>
        <v>5813</v>
      </c>
      <c r="J65" s="64">
        <f>Statement!AA192</f>
        <v>6369</v>
      </c>
    </row>
    <row r="66" spans="2:10" x14ac:dyDescent="0.2">
      <c r="B66" s="20" t="s">
        <v>258</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D1" zoomScale="184" zoomScaleNormal="75" workbookViewId="0">
      <selection activeCell="L9" sqref="L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2" t="s">
        <v>105</v>
      </c>
      <c r="D2" s="232"/>
      <c r="E2" s="232"/>
      <c r="F2" s="232"/>
      <c r="G2" s="244"/>
      <c r="H2" s="245" t="s">
        <v>106</v>
      </c>
      <c r="I2" s="232"/>
      <c r="J2" s="232"/>
      <c r="K2" s="232"/>
      <c r="L2" s="232"/>
      <c r="O2" s="5"/>
      <c r="S2" s="232" t="s">
        <v>105</v>
      </c>
      <c r="T2" s="232"/>
      <c r="U2" s="232"/>
      <c r="V2" s="232"/>
      <c r="W2" s="232"/>
      <c r="X2" s="232"/>
      <c r="Y2" s="232"/>
      <c r="Z2" s="232"/>
      <c r="AA2" s="232" t="s">
        <v>106</v>
      </c>
      <c r="AB2" s="232"/>
      <c r="AC2" s="232"/>
      <c r="AE2" s="85" t="s">
        <v>107</v>
      </c>
    </row>
    <row r="3" spans="1:31" ht="10" customHeight="1" x14ac:dyDescent="0.2">
      <c r="O3" s="5"/>
    </row>
    <row r="4" spans="1:31" ht="16" customHeight="1" x14ac:dyDescent="0.2">
      <c r="A4" s="86"/>
      <c r="B4" s="60"/>
      <c r="C4" s="241" t="s">
        <v>108</v>
      </c>
      <c r="D4" s="241"/>
      <c r="E4" s="241"/>
      <c r="F4" s="241"/>
      <c r="G4" s="241"/>
      <c r="H4" s="241"/>
      <c r="I4" s="241"/>
      <c r="J4" s="241"/>
      <c r="K4" s="241"/>
      <c r="L4" s="241"/>
      <c r="O4" s="5"/>
      <c r="S4" s="242" t="s">
        <v>108</v>
      </c>
      <c r="T4" s="243"/>
      <c r="U4" s="243"/>
      <c r="V4" s="243"/>
      <c r="W4" s="243"/>
      <c r="X4" s="243"/>
      <c r="Y4" s="243"/>
      <c r="Z4" s="243"/>
      <c r="AA4" s="243"/>
      <c r="AB4" s="243"/>
      <c r="AC4" s="243"/>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179581.2</v>
      </c>
      <c r="I6" s="64">
        <f t="shared" si="1"/>
        <v>296308.98000000004</v>
      </c>
      <c r="J6" s="64">
        <f t="shared" si="1"/>
        <v>459278.91900000011</v>
      </c>
      <c r="K6" s="64">
        <f t="shared" si="1"/>
        <v>665954.43255000014</v>
      </c>
      <c r="L6" s="64">
        <f t="shared" si="1"/>
        <v>899038.4839425002</v>
      </c>
      <c r="N6" s="90" t="s">
        <v>381</v>
      </c>
      <c r="O6" s="5"/>
      <c r="Q6" s="90" t="s">
        <v>381</v>
      </c>
      <c r="R6" s="225" t="str">
        <f>B6</f>
        <v>HyperScale</v>
      </c>
      <c r="S6" s="88">
        <f>Statement!T189</f>
        <v>10622</v>
      </c>
      <c r="T6" s="88">
        <f>Statement!U189</f>
        <v>13390</v>
      </c>
      <c r="U6" s="88">
        <f>Statement!V189</f>
        <v>19094</v>
      </c>
      <c r="V6" s="88">
        <f>Statement!W189</f>
        <v>17599</v>
      </c>
      <c r="W6" s="88">
        <f>Statement!X189</f>
        <v>23883</v>
      </c>
      <c r="X6" s="88">
        <f>Statement!Y189</f>
        <v>30340</v>
      </c>
      <c r="Y6" s="88">
        <f>Statement!Z189</f>
        <v>33814</v>
      </c>
      <c r="Z6" s="89">
        <f>Statement!AA189</f>
        <v>37869</v>
      </c>
      <c r="AA6" s="64">
        <f>Z6+Z6*AA14</f>
        <v>41655.9</v>
      </c>
      <c r="AB6" s="64"/>
      <c r="AC6" s="64"/>
      <c r="AE6" s="64">
        <f>SUM(X6:AA6)</f>
        <v>143678.9</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118936.35</v>
      </c>
      <c r="I7" s="64">
        <f t="shared" si="1"/>
        <v>158185.3455</v>
      </c>
      <c r="J7" s="64">
        <f t="shared" si="1"/>
        <v>205640.94915</v>
      </c>
      <c r="K7" s="64">
        <f t="shared" si="1"/>
        <v>246769.13897999999</v>
      </c>
      <c r="L7" s="64">
        <f t="shared" si="1"/>
        <v>276381.4356576</v>
      </c>
      <c r="N7" s="90" t="s">
        <v>382</v>
      </c>
      <c r="O7" s="5"/>
      <c r="Q7" s="90" t="s">
        <v>382</v>
      </c>
      <c r="R7" s="225" t="str">
        <f t="shared" ref="R7:R9" si="2">B7</f>
        <v>AI Clouds</v>
      </c>
      <c r="S7" s="88">
        <f>Statement!T190</f>
        <v>15650</v>
      </c>
      <c r="T7" s="88">
        <f>Statement!U190</f>
        <v>17381</v>
      </c>
      <c r="U7" s="88">
        <f>Statement!V190</f>
        <v>16486</v>
      </c>
      <c r="V7" s="88">
        <f>Statement!W190</f>
        <v>21513</v>
      </c>
      <c r="W7" s="88">
        <f>Statement!X190</f>
        <v>17213</v>
      </c>
      <c r="X7" s="88">
        <f>Statement!Y190</f>
        <v>20875</v>
      </c>
      <c r="Y7" s="88">
        <f>Statement!Z190</f>
        <v>28500</v>
      </c>
      <c r="Z7" s="89">
        <f>Statement!AA190</f>
        <v>37377</v>
      </c>
      <c r="AA7" s="64">
        <f>Z7+Z7*AA15</f>
        <v>44104.86</v>
      </c>
      <c r="AB7" s="64"/>
      <c r="AC7" s="64"/>
      <c r="AE7" s="64">
        <f t="shared" ref="AE7:AE9" si="3">SUM(X7:AA7)</f>
        <v>130856.86</v>
      </c>
    </row>
    <row r="8" spans="1:31" x14ac:dyDescent="0.2">
      <c r="B8" s="1" t="str">
        <f>Statement!B191</f>
        <v>Data Center</v>
      </c>
      <c r="C8" s="88">
        <f>Statement!M191</f>
        <v>0</v>
      </c>
      <c r="D8" s="88">
        <f>Statement!N191</f>
        <v>0</v>
      </c>
      <c r="E8" s="88">
        <f>Statement!O191</f>
        <v>0</v>
      </c>
      <c r="F8" s="88">
        <f>Statement!P191</f>
        <v>115186</v>
      </c>
      <c r="G8" s="89">
        <f>Statement!Q191</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Statement!T191</f>
        <v>26272</v>
      </c>
      <c r="T8" s="88">
        <f>Statement!U191</f>
        <v>30771</v>
      </c>
      <c r="U8" s="88">
        <f>Statement!V191</f>
        <v>35580</v>
      </c>
      <c r="V8" s="88">
        <f>Statement!W191</f>
        <v>39112</v>
      </c>
      <c r="W8" s="88">
        <f>Statement!X191</f>
        <v>41096</v>
      </c>
      <c r="X8" s="88">
        <f>Statement!Y191</f>
        <v>51215</v>
      </c>
      <c r="Y8" s="88">
        <f>Statement!Z191</f>
        <v>62314</v>
      </c>
      <c r="Z8" s="89">
        <f>Statement!AA191</f>
        <v>75246</v>
      </c>
      <c r="AA8" s="64">
        <f>SUM(AA6:AA7)</f>
        <v>85760.760000000009</v>
      </c>
      <c r="AB8" s="64"/>
      <c r="AC8" s="64"/>
      <c r="AE8" s="64">
        <f t="shared" si="3"/>
        <v>274535.76</v>
      </c>
    </row>
    <row r="9" spans="1:31" x14ac:dyDescent="0.2">
      <c r="B9" s="1" t="str">
        <f>Statement!B192</f>
        <v>Edge Computing</v>
      </c>
      <c r="C9" s="88">
        <f>Statement!M192</f>
        <v>0</v>
      </c>
      <c r="D9" s="88">
        <f>Statement!N192</f>
        <v>0</v>
      </c>
      <c r="E9" s="88">
        <f>Statement!O192</f>
        <v>0</v>
      </c>
      <c r="F9" s="88">
        <f>Statement!P192</f>
        <v>15311</v>
      </c>
      <c r="G9" s="89">
        <f>Statement!Q192</f>
        <v>22201</v>
      </c>
      <c r="H9" s="64">
        <f>G9+G9*H17</f>
        <v>29971.35</v>
      </c>
      <c r="I9" s="64">
        <f>H9+H9*I17</f>
        <v>41959.89</v>
      </c>
      <c r="J9" s="64">
        <f>I9+I9*J17</f>
        <v>56645.851499999997</v>
      </c>
      <c r="K9" s="64">
        <f>J9+J9*K17</f>
        <v>70807.314375000002</v>
      </c>
      <c r="L9" s="64">
        <f>K9+K9*L17</f>
        <v>81428.411531250007</v>
      </c>
      <c r="N9" s="90" t="s">
        <v>383</v>
      </c>
      <c r="O9" s="5"/>
      <c r="Q9" s="90" t="s">
        <v>383</v>
      </c>
      <c r="R9" s="1" t="str">
        <f t="shared" si="2"/>
        <v>Edge Computing</v>
      </c>
      <c r="S9" s="88">
        <f>Statement!T192</f>
        <v>3768</v>
      </c>
      <c r="T9" s="88">
        <f>Statement!U192</f>
        <v>4311</v>
      </c>
      <c r="U9" s="88">
        <f>Statement!V192</f>
        <v>3751</v>
      </c>
      <c r="V9" s="88">
        <f>Statement!W192</f>
        <v>4950</v>
      </c>
      <c r="W9" s="88">
        <f>Statement!X192</f>
        <v>5647</v>
      </c>
      <c r="X9" s="88">
        <f>Statement!Y192</f>
        <v>5791</v>
      </c>
      <c r="Y9" s="88">
        <f>Statement!Z192</f>
        <v>5813</v>
      </c>
      <c r="Z9" s="89">
        <f>Statement!AA192</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1" t="s">
        <v>114</v>
      </c>
      <c r="D12" s="241"/>
      <c r="E12" s="241"/>
      <c r="F12" s="241"/>
      <c r="G12" s="241"/>
      <c r="H12" s="241"/>
      <c r="I12" s="241"/>
      <c r="J12" s="241"/>
      <c r="K12" s="241"/>
      <c r="L12" s="241"/>
      <c r="O12" s="5"/>
      <c r="Q12" s="91"/>
      <c r="S12" s="242" t="s">
        <v>114</v>
      </c>
      <c r="T12" s="243"/>
      <c r="U12" s="243"/>
      <c r="V12" s="243"/>
      <c r="W12" s="243"/>
      <c r="X12" s="243"/>
      <c r="Y12" s="243"/>
      <c r="Z12" s="243"/>
      <c r="AA12" s="243"/>
      <c r="AB12" s="243"/>
      <c r="AC12" s="243"/>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5"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5"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4" zoomScale="178" zoomScaleNormal="100" workbookViewId="0">
      <selection activeCell="B18" sqref="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2" t="s">
        <v>105</v>
      </c>
      <c r="D2" s="232"/>
      <c r="E2" s="232"/>
      <c r="F2" s="232"/>
      <c r="G2" s="244"/>
      <c r="H2" s="245" t="s">
        <v>106</v>
      </c>
      <c r="I2" s="232"/>
      <c r="J2" s="232"/>
      <c r="K2" s="232"/>
      <c r="L2" s="232"/>
      <c r="P2" s="232" t="s">
        <v>105</v>
      </c>
      <c r="Q2" s="232"/>
      <c r="R2" s="232"/>
      <c r="S2" s="232"/>
      <c r="T2" s="232"/>
      <c r="U2" s="232"/>
      <c r="V2" s="232"/>
      <c r="W2" s="232"/>
      <c r="X2" s="232" t="s">
        <v>106</v>
      </c>
      <c r="Y2" s="232"/>
      <c r="Z2" s="232"/>
      <c r="AB2" s="85" t="s">
        <v>107</v>
      </c>
    </row>
    <row r="3" spans="1:28" ht="10" customHeight="1" x14ac:dyDescent="0.2"/>
    <row r="4" spans="1:28" ht="16" customHeight="1" x14ac:dyDescent="0.2">
      <c r="A4" s="86"/>
      <c r="B4" s="60"/>
      <c r="C4" s="241" t="s">
        <v>108</v>
      </c>
      <c r="D4" s="241"/>
      <c r="E4" s="241"/>
      <c r="F4" s="241"/>
      <c r="G4" s="241"/>
      <c r="H4" s="241"/>
      <c r="I4" s="241"/>
      <c r="J4" s="241"/>
      <c r="K4" s="241"/>
      <c r="L4" s="241"/>
      <c r="P4" s="243" t="s">
        <v>108</v>
      </c>
      <c r="Q4" s="243"/>
      <c r="R4" s="243"/>
      <c r="S4" s="243"/>
      <c r="T4" s="243"/>
      <c r="U4" s="243"/>
      <c r="V4" s="243"/>
      <c r="W4" s="243"/>
      <c r="X4" s="243"/>
      <c r="Y4" s="243"/>
      <c r="Z4" s="243"/>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1" t="s">
        <v>117</v>
      </c>
      <c r="D9" s="241"/>
      <c r="E9" s="241"/>
      <c r="F9" s="241"/>
      <c r="G9" s="241"/>
      <c r="H9" s="241"/>
      <c r="I9" s="241"/>
      <c r="J9" s="241"/>
      <c r="K9" s="241"/>
      <c r="L9" s="241"/>
      <c r="N9" s="91"/>
      <c r="P9" s="243" t="s">
        <v>118</v>
      </c>
      <c r="Q9" s="243"/>
      <c r="R9" s="243"/>
      <c r="S9" s="243"/>
      <c r="T9" s="243"/>
      <c r="U9" s="243"/>
      <c r="V9" s="243"/>
      <c r="W9" s="243"/>
      <c r="X9" s="243"/>
      <c r="Y9" s="243"/>
      <c r="Z9" s="243"/>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1" t="s">
        <v>120</v>
      </c>
      <c r="D17" s="241"/>
      <c r="E17" s="241"/>
      <c r="F17" s="241"/>
      <c r="G17" s="241"/>
      <c r="H17" s="241"/>
      <c r="I17" s="241"/>
      <c r="J17" s="241"/>
      <c r="K17" s="241"/>
      <c r="L17" s="241"/>
      <c r="P17" s="243" t="s">
        <v>120</v>
      </c>
      <c r="Q17" s="243"/>
      <c r="R17" s="243"/>
      <c r="S17" s="243"/>
      <c r="T17" s="243"/>
      <c r="U17" s="243"/>
      <c r="V17" s="243"/>
      <c r="W17" s="243"/>
      <c r="X17" s="243"/>
      <c r="Y17" s="243"/>
      <c r="Z17" s="243"/>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C45" sqref="C45:G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2" t="s">
        <v>105</v>
      </c>
      <c r="D3" s="232"/>
      <c r="E3" s="232"/>
      <c r="F3" s="232"/>
      <c r="G3" s="244"/>
      <c r="H3" s="245" t="s">
        <v>106</v>
      </c>
      <c r="I3" s="232"/>
      <c r="J3" s="232"/>
      <c r="K3" s="232"/>
      <c r="L3" s="232"/>
      <c r="P3" s="246"/>
      <c r="Q3" s="246"/>
      <c r="R3" s="246"/>
      <c r="S3" s="246"/>
      <c r="T3" s="246"/>
      <c r="U3" s="246"/>
      <c r="V3" s="246"/>
      <c r="W3" s="246"/>
      <c r="X3" s="246"/>
      <c r="Y3" s="246"/>
      <c r="Z3" s="246"/>
      <c r="AB3" s="110"/>
    </row>
    <row r="4" spans="1:28" ht="10" customHeight="1" x14ac:dyDescent="0.2"/>
    <row r="5" spans="1:28" ht="16" customHeight="1" x14ac:dyDescent="0.2">
      <c r="A5" s="86"/>
      <c r="B5" s="60"/>
      <c r="C5" s="241" t="s">
        <v>108</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124</v>
      </c>
      <c r="D11" s="241"/>
      <c r="E11" s="241"/>
      <c r="F11" s="241"/>
      <c r="G11" s="241"/>
      <c r="H11" s="241"/>
      <c r="I11" s="241"/>
      <c r="J11" s="241"/>
      <c r="K11" s="241"/>
      <c r="L11" s="241"/>
      <c r="N11" s="91"/>
      <c r="P11" s="246"/>
      <c r="Q11" s="246"/>
      <c r="R11" s="246"/>
      <c r="S11" s="246"/>
      <c r="T11" s="246"/>
      <c r="U11" s="246"/>
      <c r="V11" s="246"/>
      <c r="W11" s="246"/>
      <c r="X11" s="246"/>
      <c r="Y11" s="246"/>
      <c r="Z11" s="246"/>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1" t="s">
        <v>129</v>
      </c>
      <c r="D18" s="241"/>
      <c r="E18" s="241"/>
      <c r="F18" s="241"/>
      <c r="G18" s="241"/>
      <c r="H18" s="241"/>
      <c r="I18" s="241"/>
      <c r="J18" s="241"/>
      <c r="K18" s="241"/>
      <c r="L18" s="241"/>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46"/>
      <c r="C25" s="246"/>
    </row>
    <row r="26" spans="2:12" x14ac:dyDescent="0.2">
      <c r="B26" s="110"/>
      <c r="C26" s="241" t="s">
        <v>135</v>
      </c>
      <c r="D26" s="241"/>
      <c r="E26" s="241"/>
      <c r="F26" s="241"/>
      <c r="G26" s="241"/>
      <c r="H26" s="241"/>
      <c r="I26" s="241"/>
      <c r="J26" s="241"/>
      <c r="K26" s="241"/>
      <c r="L26" s="241"/>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1" t="s">
        <v>139</v>
      </c>
      <c r="D33" s="241"/>
      <c r="E33" s="241"/>
      <c r="F33" s="241"/>
      <c r="G33" s="241"/>
      <c r="H33" s="241"/>
      <c r="I33" s="241"/>
      <c r="J33" s="241"/>
      <c r="K33" s="241"/>
      <c r="L33" s="241"/>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1" t="s">
        <v>142</v>
      </c>
      <c r="D40" s="241"/>
      <c r="E40" s="241"/>
      <c r="F40" s="241"/>
      <c r="G40" s="241"/>
      <c r="H40" s="241"/>
      <c r="I40" s="241"/>
      <c r="J40" s="241"/>
      <c r="K40" s="241"/>
      <c r="L40" s="241"/>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-Statement!M108</f>
        <v>976</v>
      </c>
      <c r="D45" s="115">
        <f>-Statement!N108</f>
        <v>1833</v>
      </c>
      <c r="E45" s="115">
        <f>-Statement!O108</f>
        <v>1069</v>
      </c>
      <c r="F45" s="115">
        <f>-Statement!P108</f>
        <v>3236</v>
      </c>
      <c r="G45" s="116">
        <f>-Statement!Q108</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19"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2" t="s">
        <v>105</v>
      </c>
      <c r="D2" s="232"/>
      <c r="E2" s="232"/>
      <c r="F2" s="232"/>
      <c r="G2" s="244"/>
      <c r="H2" s="245" t="s">
        <v>106</v>
      </c>
      <c r="I2" s="232"/>
      <c r="J2" s="232"/>
      <c r="K2" s="232"/>
      <c r="L2" s="232"/>
      <c r="S2" s="246"/>
      <c r="T2" s="246"/>
      <c r="U2" s="246"/>
      <c r="V2" s="246"/>
      <c r="W2" s="246"/>
      <c r="X2" s="246"/>
      <c r="Y2" s="246"/>
      <c r="Z2" s="246"/>
      <c r="AA2" s="246"/>
      <c r="AB2" s="246"/>
      <c r="AC2" s="246"/>
      <c r="AE2" s="110"/>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1" t="s">
        <v>150</v>
      </c>
      <c r="D13" s="241"/>
      <c r="E13" s="241"/>
      <c r="F13" s="241"/>
      <c r="G13" s="241"/>
      <c r="H13" s="241"/>
      <c r="I13" s="241"/>
      <c r="J13" s="241"/>
      <c r="K13" s="241"/>
      <c r="L13" s="24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1" t="s">
        <v>151</v>
      </c>
      <c r="D18" s="241"/>
      <c r="E18" s="241"/>
      <c r="F18" s="241"/>
      <c r="G18" s="241"/>
      <c r="H18" s="241"/>
      <c r="I18" s="241"/>
      <c r="J18" s="241"/>
      <c r="K18" s="241"/>
      <c r="L18" s="241"/>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1" t="s">
        <v>259</v>
      </c>
      <c r="D25" s="241"/>
      <c r="E25" s="241"/>
      <c r="F25" s="241"/>
      <c r="G25" s="241"/>
      <c r="H25" s="241"/>
      <c r="I25" s="241"/>
      <c r="J25" s="241"/>
      <c r="K25" s="241"/>
      <c r="L25" s="241"/>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1" t="s">
        <v>75</v>
      </c>
      <c r="D31" s="241"/>
      <c r="E31" s="241"/>
      <c r="F31" s="241"/>
      <c r="G31" s="241"/>
      <c r="H31" s="241"/>
      <c r="I31" s="241"/>
      <c r="J31" s="241"/>
      <c r="K31" s="241"/>
      <c r="L31" s="241"/>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0.74</v>
      </c>
      <c r="I33" s="217">
        <f t="shared" ref="I33:L33" si="9">I8/I6</f>
        <v>0.74</v>
      </c>
      <c r="J33" s="217">
        <f t="shared" si="9"/>
        <v>0.73999999999999988</v>
      </c>
      <c r="K33" s="217">
        <f t="shared" si="9"/>
        <v>0.74</v>
      </c>
      <c r="L33" s="217">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0.61699999999999999</v>
      </c>
      <c r="I34" s="217">
        <f t="shared" ref="I34:L34" si="10">I10/I6</f>
        <v>0.61699999999999999</v>
      </c>
      <c r="J34" s="217">
        <f t="shared" si="10"/>
        <v>0.61699999999999988</v>
      </c>
      <c r="K34" s="217">
        <f t="shared" si="10"/>
        <v>0.61699999999999999</v>
      </c>
      <c r="L34" s="217">
        <f t="shared" si="10"/>
        <v>0.61699999999999999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2" t="s">
        <v>158</v>
      </c>
      <c r="C4" s="232"/>
    </row>
    <row r="5" spans="1:3" ht="17" customHeight="1" x14ac:dyDescent="0.2">
      <c r="B5" s="1" t="s">
        <v>159</v>
      </c>
      <c r="C5" s="137">
        <f>Statement!AC77</f>
        <v>24305</v>
      </c>
    </row>
    <row r="6" spans="1:3" ht="17" customHeight="1" x14ac:dyDescent="0.2">
      <c r="B6" s="1" t="s">
        <v>1</v>
      </c>
      <c r="C6" s="134">
        <f ca="1">Overview!C5</f>
        <v>197.64949999999999</v>
      </c>
    </row>
    <row r="7" spans="1:3" ht="17" customHeight="1" x14ac:dyDescent="0.2">
      <c r="B7" s="1" t="s">
        <v>160</v>
      </c>
      <c r="C7" s="135">
        <f ca="1">C5*C6</f>
        <v>4803871.0975000001</v>
      </c>
    </row>
    <row r="8" spans="1:3" ht="17" customHeight="1" x14ac:dyDescent="0.2">
      <c r="B8" s="1" t="s">
        <v>161</v>
      </c>
      <c r="C8" s="113">
        <f>Statement!AC106</f>
        <v>8470</v>
      </c>
    </row>
    <row r="9" spans="1:3" ht="17" customHeight="1" x14ac:dyDescent="0.2">
      <c r="B9" s="1" t="s">
        <v>162</v>
      </c>
      <c r="C9" s="136">
        <f ca="1">Overview!F27</f>
        <v>4.4789999999999996E-2</v>
      </c>
    </row>
    <row r="10" spans="1:3" ht="17" customHeight="1" x14ac:dyDescent="0.2">
      <c r="B10" s="1" t="s">
        <v>9</v>
      </c>
      <c r="C10" s="134">
        <f ca="1">Overview!C13</f>
        <v>2.2239</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5.0999999999999997E-2</v>
      </c>
    </row>
    <row r="14" spans="1:3" ht="17" customHeight="1" x14ac:dyDescent="0.2"/>
    <row r="15" spans="1:3" ht="17" customHeight="1" x14ac:dyDescent="0.2">
      <c r="B15" s="232" t="s">
        <v>165</v>
      </c>
      <c r="C15" s="232"/>
    </row>
    <row r="16" spans="1:3" ht="17" customHeight="1" x14ac:dyDescent="0.2">
      <c r="B16" s="1" t="s">
        <v>166</v>
      </c>
      <c r="C16" s="46">
        <f ca="1">C8/(C8+C7)</f>
        <v>1.760058114833162E-3</v>
      </c>
    </row>
    <row r="17" spans="2:3" ht="17" customHeight="1" x14ac:dyDescent="0.2">
      <c r="B17" s="1" t="s">
        <v>167</v>
      </c>
      <c r="C17" s="46">
        <f ca="1">C7/(C8+C7)</f>
        <v>0.99823994188516685</v>
      </c>
    </row>
    <row r="18" spans="2:3" ht="17" customHeight="1" x14ac:dyDescent="0.2">
      <c r="B18" s="1" t="s">
        <v>168</v>
      </c>
      <c r="C18" s="46">
        <f>C13*(1-C12)</f>
        <v>4.0289999999999999E-2</v>
      </c>
    </row>
    <row r="19" spans="2:3" ht="17" customHeight="1" x14ac:dyDescent="0.2">
      <c r="B19" s="1" t="s">
        <v>169</v>
      </c>
      <c r="C19" s="46">
        <f ca="1">C9+C10*C11</f>
        <v>0.14486549999999998</v>
      </c>
    </row>
    <row r="20" spans="2:3" ht="17" customHeight="1" x14ac:dyDescent="0.2">
      <c r="B20" s="1" t="s">
        <v>157</v>
      </c>
      <c r="C20" s="46">
        <f ca="1">(C17*C19)+(C16*C18)</f>
        <v>0.14468144104261224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2" t="s">
        <v>105</v>
      </c>
      <c r="D3" s="232"/>
      <c r="E3" s="232"/>
      <c r="F3" s="232"/>
      <c r="G3" s="244"/>
      <c r="H3" s="245" t="s">
        <v>106</v>
      </c>
      <c r="I3" s="232"/>
      <c r="J3" s="232"/>
      <c r="K3" s="232"/>
      <c r="L3" s="232"/>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5358699.0689743981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113872.44362611305</v>
      </c>
      <c r="I10" s="127">
        <f t="shared" ref="I10:L10" si="0">I7/(1+$C$15)^I9</f>
        <v>146656.23420489239</v>
      </c>
      <c r="J10" s="127">
        <f t="shared" si="0"/>
        <v>193072.92356242973</v>
      </c>
      <c r="K10" s="127">
        <f t="shared" si="0"/>
        <v>240776.77526808169</v>
      </c>
      <c r="L10" s="127">
        <f t="shared" si="0"/>
        <v>281818.17319783528</v>
      </c>
      <c r="N10" s="91"/>
    </row>
    <row r="11" spans="1:28" x14ac:dyDescent="0.2">
      <c r="B11" s="1" t="s">
        <v>175</v>
      </c>
      <c r="C11" s="138"/>
      <c r="D11" s="138"/>
      <c r="E11" s="138"/>
      <c r="F11" s="138"/>
      <c r="G11" s="139"/>
      <c r="H11" s="138"/>
      <c r="I11" s="138"/>
      <c r="J11" s="138"/>
      <c r="K11" s="138"/>
      <c r="L11" s="127">
        <f>L8/(1+C15)^L9</f>
        <v>3040669.7634503278</v>
      </c>
    </row>
    <row r="13" spans="1:28" x14ac:dyDescent="0.2">
      <c r="B13" s="232" t="s">
        <v>176</v>
      </c>
      <c r="C13" s="232"/>
    </row>
    <row r="14" spans="1:28" x14ac:dyDescent="0.2">
      <c r="B14" s="1" t="s">
        <v>177</v>
      </c>
      <c r="C14" s="141">
        <v>2.5000000000000001E-2</v>
      </c>
    </row>
    <row r="15" spans="1:28" x14ac:dyDescent="0.2">
      <c r="B15" s="1" t="s">
        <v>157</v>
      </c>
      <c r="C15" s="136">
        <f>IF(Overview!C28&gt;0,Overview!C28,WACC!C20)</f>
        <v>0.12</v>
      </c>
    </row>
    <row r="18" spans="2:3" x14ac:dyDescent="0.2">
      <c r="B18" s="232" t="s">
        <v>178</v>
      </c>
      <c r="C18" s="232"/>
    </row>
    <row r="19" spans="2:3" x14ac:dyDescent="0.2">
      <c r="B19" s="1" t="s">
        <v>179</v>
      </c>
      <c r="C19" s="64">
        <f>SUM(H10:L10)</f>
        <v>976196.54985935218</v>
      </c>
    </row>
    <row r="20" spans="2:3" x14ac:dyDescent="0.2">
      <c r="B20" s="1" t="s">
        <v>175</v>
      </c>
      <c r="C20" s="64">
        <f>L11</f>
        <v>3040669.7634503278</v>
      </c>
    </row>
    <row r="21" spans="2:3" x14ac:dyDescent="0.2">
      <c r="B21" s="16" t="s">
        <v>180</v>
      </c>
      <c r="C21" s="94">
        <f>C19+C20</f>
        <v>4016866.3133096797</v>
      </c>
    </row>
    <row r="22" spans="2:3" x14ac:dyDescent="0.2">
      <c r="B22" s="1" t="s">
        <v>181</v>
      </c>
      <c r="C22" s="137">
        <f>Statement!AC105</f>
        <v>80572</v>
      </c>
    </row>
    <row r="23" spans="2:3" x14ac:dyDescent="0.2">
      <c r="B23" s="1" t="s">
        <v>182</v>
      </c>
      <c r="C23" s="137">
        <f>Statement!AC106</f>
        <v>8470</v>
      </c>
    </row>
    <row r="24" spans="2:3" x14ac:dyDescent="0.2">
      <c r="B24" s="16" t="s">
        <v>183</v>
      </c>
      <c r="C24" s="94">
        <f>C21+C22-C23</f>
        <v>4088968.3133096797</v>
      </c>
    </row>
    <row r="25" spans="2:3" x14ac:dyDescent="0.2">
      <c r="B25" s="1" t="s">
        <v>67</v>
      </c>
      <c r="C25" s="137">
        <f>Statement!AC77</f>
        <v>24305</v>
      </c>
    </row>
    <row r="26" spans="2:3" x14ac:dyDescent="0.2">
      <c r="B26" s="142" t="s">
        <v>184</v>
      </c>
      <c r="C26" s="143">
        <f>C24/C25</f>
        <v>168.2356845632454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abSelected="1" topLeftCell="A39" zoomScale="192" zoomScaleNormal="100" workbookViewId="0">
      <selection activeCell="C47" sqref="C4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2" t="s">
        <v>105</v>
      </c>
      <c r="D2" s="232"/>
      <c r="E2" s="232"/>
      <c r="F2" s="232"/>
      <c r="G2" s="244"/>
      <c r="H2" s="245" t="s">
        <v>106</v>
      </c>
      <c r="I2" s="232"/>
      <c r="J2" s="232"/>
      <c r="K2" s="232"/>
      <c r="L2" s="232"/>
    </row>
    <row r="3" spans="1:14" ht="10" customHeight="1" x14ac:dyDescent="0.2"/>
    <row r="4" spans="1:14" ht="16" customHeight="1" x14ac:dyDescent="0.2">
      <c r="A4" s="86"/>
      <c r="B4" s="60"/>
      <c r="C4" s="241" t="s">
        <v>186</v>
      </c>
      <c r="D4" s="241"/>
      <c r="E4" s="241"/>
      <c r="F4" s="241"/>
      <c r="G4" s="241"/>
      <c r="H4" s="241"/>
      <c r="I4" s="241"/>
      <c r="J4" s="241"/>
      <c r="K4" s="241"/>
      <c r="L4" s="241"/>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1" t="s">
        <v>114</v>
      </c>
      <c r="D10" s="241"/>
      <c r="E10" s="241"/>
      <c r="F10" s="241"/>
      <c r="G10" s="241"/>
      <c r="H10" s="241"/>
      <c r="I10" s="241"/>
      <c r="J10" s="241"/>
      <c r="K10" s="241"/>
      <c r="L10" s="241"/>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1" t="s">
        <v>188</v>
      </c>
      <c r="D16" s="241"/>
      <c r="E16" s="241"/>
      <c r="F16" s="241"/>
      <c r="G16" s="241"/>
      <c r="H16" s="241"/>
      <c r="I16" s="241"/>
      <c r="J16" s="241"/>
      <c r="K16" s="241"/>
      <c r="L16" s="241"/>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1" t="s">
        <v>191</v>
      </c>
      <c r="D21" s="241"/>
      <c r="E21" s="241"/>
      <c r="F21" s="241"/>
      <c r="G21" s="241"/>
      <c r="H21" s="241"/>
      <c r="I21" s="241"/>
      <c r="J21" s="241"/>
      <c r="K21" s="241"/>
      <c r="L21" s="241"/>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1" t="s">
        <v>192</v>
      </c>
      <c r="D26" s="241"/>
      <c r="E26" s="241"/>
      <c r="F26" s="241"/>
      <c r="G26" s="241"/>
      <c r="H26" s="241"/>
      <c r="I26" s="241"/>
      <c r="J26" s="241"/>
      <c r="K26" s="241"/>
      <c r="L26" s="241"/>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2" t="s">
        <v>197</v>
      </c>
      <c r="C37" s="232"/>
      <c r="N37" s="91"/>
    </row>
    <row r="38" spans="2:14" x14ac:dyDescent="0.2">
      <c r="B38" s="1" t="s">
        <v>198</v>
      </c>
      <c r="C38" s="64">
        <f>L7</f>
        <v>775475.42030804313</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15509508.406160863</v>
      </c>
    </row>
    <row r="42" spans="2:14" x14ac:dyDescent="0.2">
      <c r="B42" s="1" t="s">
        <v>386</v>
      </c>
      <c r="C42" s="24">
        <f>C41/(1+C39)^5-G30+G31</f>
        <v>8854599.588649042</v>
      </c>
    </row>
    <row r="43" spans="2:14" x14ac:dyDescent="0.2">
      <c r="B43" s="1" t="s">
        <v>181</v>
      </c>
      <c r="C43" s="137">
        <f>Statement!AC105</f>
        <v>80572</v>
      </c>
    </row>
    <row r="44" spans="2:14" x14ac:dyDescent="0.2">
      <c r="B44" s="1" t="s">
        <v>182</v>
      </c>
      <c r="C44" s="137">
        <f>Statement!AC106</f>
        <v>8470</v>
      </c>
    </row>
    <row r="45" spans="2:14" x14ac:dyDescent="0.2">
      <c r="B45" s="1" t="s">
        <v>183</v>
      </c>
      <c r="C45" s="24">
        <f>C42+C43-C44</f>
        <v>8926701.588649042</v>
      </c>
    </row>
    <row r="46" spans="2:14" x14ac:dyDescent="0.2">
      <c r="B46" s="1" t="s">
        <v>67</v>
      </c>
      <c r="C46" s="88">
        <f>Statement!AC77</f>
        <v>24305</v>
      </c>
    </row>
    <row r="47" spans="2:14" x14ac:dyDescent="0.2">
      <c r="B47" s="142" t="s">
        <v>201</v>
      </c>
      <c r="C47" s="143">
        <f>C45/C46</f>
        <v>367.27840315363267</v>
      </c>
    </row>
    <row r="49" spans="2:3" x14ac:dyDescent="0.2">
      <c r="B49" s="232" t="s">
        <v>202</v>
      </c>
      <c r="C49" s="232"/>
    </row>
    <row r="50" spans="2:3" x14ac:dyDescent="0.2">
      <c r="B50" s="1" t="s">
        <v>203</v>
      </c>
      <c r="C50" s="64">
        <f>L6</f>
        <v>1256848.3311313502</v>
      </c>
    </row>
    <row r="51" spans="2:3" x14ac:dyDescent="0.2">
      <c r="B51" s="1" t="s">
        <v>388</v>
      </c>
      <c r="C51" s="136">
        <f>Overview!C29</f>
        <v>0.12</v>
      </c>
    </row>
    <row r="52" spans="2:3" x14ac:dyDescent="0.2">
      <c r="B52" s="39" t="s">
        <v>204</v>
      </c>
      <c r="C52" s="105">
        <v>10</v>
      </c>
    </row>
    <row r="53" spans="2:3" x14ac:dyDescent="0.2">
      <c r="B53" s="1" t="s">
        <v>200</v>
      </c>
      <c r="C53" s="24">
        <f>L18</f>
        <v>23429.712685180726</v>
      </c>
    </row>
    <row r="54" spans="2:3" x14ac:dyDescent="0.2">
      <c r="B54" s="1" t="s">
        <v>184</v>
      </c>
      <c r="C54" s="24">
        <f>(C50*C52)/C53</f>
        <v>536.4335226894633</v>
      </c>
    </row>
    <row r="55" spans="2:3" x14ac:dyDescent="0.2">
      <c r="B55" s="142" t="s">
        <v>201</v>
      </c>
      <c r="C55" s="143">
        <f>C54/(1+C51)^5</f>
        <v>304.38678708173404</v>
      </c>
    </row>
    <row r="57" spans="2:3" x14ac:dyDescent="0.2">
      <c r="B57" s="232" t="s">
        <v>319</v>
      </c>
      <c r="C57" s="232"/>
    </row>
    <row r="58" spans="2:3" x14ac:dyDescent="0.2">
      <c r="B58" s="1" t="s">
        <v>205</v>
      </c>
      <c r="C58" s="64">
        <f>L8</f>
        <v>496659.91370982229</v>
      </c>
    </row>
    <row r="59" spans="2:3" x14ac:dyDescent="0.2">
      <c r="B59" s="1" t="s">
        <v>157</v>
      </c>
      <c r="C59" s="136">
        <f>IF(Overview!C28&gt;0,Overview!C28,WACC!C20)</f>
        <v>0.12</v>
      </c>
    </row>
    <row r="60" spans="2:3" x14ac:dyDescent="0.2">
      <c r="B60" s="39" t="s">
        <v>387</v>
      </c>
      <c r="C60" s="105">
        <v>30</v>
      </c>
    </row>
    <row r="61" spans="2:3" x14ac:dyDescent="0.2">
      <c r="B61" s="1" t="s">
        <v>195</v>
      </c>
      <c r="C61" s="24">
        <f>(C58*C60)</f>
        <v>14899797.411294669</v>
      </c>
    </row>
    <row r="62" spans="2:3" x14ac:dyDescent="0.2">
      <c r="B62" s="1" t="s">
        <v>386</v>
      </c>
      <c r="C62" s="24">
        <f>C61/(1+C59)^5-G30+G31</f>
        <v>8508633.1959350575</v>
      </c>
    </row>
    <row r="63" spans="2:3" x14ac:dyDescent="0.2">
      <c r="B63" s="1" t="s">
        <v>181</v>
      </c>
      <c r="C63" s="137">
        <f>Statement!AC105</f>
        <v>80572</v>
      </c>
    </row>
    <row r="64" spans="2:3" x14ac:dyDescent="0.2">
      <c r="B64" s="1" t="s">
        <v>182</v>
      </c>
      <c r="C64" s="137">
        <f>Statement!AC106</f>
        <v>8470</v>
      </c>
    </row>
    <row r="65" spans="2:3" x14ac:dyDescent="0.2">
      <c r="B65" s="1" t="s">
        <v>183</v>
      </c>
      <c r="C65" s="24">
        <f>C62+C63-C64</f>
        <v>8580735.1959350575</v>
      </c>
    </row>
    <row r="66" spans="2:3" x14ac:dyDescent="0.2">
      <c r="B66" s="1" t="s">
        <v>67</v>
      </c>
      <c r="C66" s="88">
        <f>Statement!AC77</f>
        <v>24305</v>
      </c>
    </row>
    <row r="67" spans="2:3" x14ac:dyDescent="0.2">
      <c r="B67" s="142" t="s">
        <v>201</v>
      </c>
      <c r="C67" s="143">
        <f>C65/C66</f>
        <v>353.04403192491492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2" t="s">
        <v>207</v>
      </c>
      <c r="C4" s="232"/>
      <c r="N4" s="91"/>
    </row>
    <row r="5" spans="1:14" x14ac:dyDescent="0.2">
      <c r="B5" s="1" t="s">
        <v>208</v>
      </c>
      <c r="C5" s="134">
        <f>DCF!C26</f>
        <v>168.2356845632454</v>
      </c>
    </row>
    <row r="6" spans="1:14" x14ac:dyDescent="0.2">
      <c r="B6" s="1" t="s">
        <v>209</v>
      </c>
      <c r="C6" s="134">
        <f>Multiples!C47</f>
        <v>367.27840315363267</v>
      </c>
    </row>
    <row r="7" spans="1:14" x14ac:dyDescent="0.2">
      <c r="B7" s="1" t="s">
        <v>210</v>
      </c>
      <c r="C7" s="134">
        <f>Multiples!C55</f>
        <v>304.38678708173404</v>
      </c>
    </row>
    <row r="8" spans="1:14" x14ac:dyDescent="0.2">
      <c r="B8" s="1" t="s">
        <v>320</v>
      </c>
      <c r="C8" s="134">
        <f>Multiples!C67</f>
        <v>353.04403192491492</v>
      </c>
    </row>
    <row r="9" spans="1:14" x14ac:dyDescent="0.2">
      <c r="B9" s="142" t="s">
        <v>211</v>
      </c>
      <c r="C9" s="143">
        <f>AVERAGE(C5:C8)</f>
        <v>298.23622668088177</v>
      </c>
    </row>
    <row r="10" spans="1:14" x14ac:dyDescent="0.2">
      <c r="B10" s="1" t="s">
        <v>212</v>
      </c>
      <c r="C10" s="134">
        <f ca="1">Overview!C5</f>
        <v>197.64949999999999</v>
      </c>
    </row>
    <row r="11" spans="1:14" x14ac:dyDescent="0.2">
      <c r="B11" s="1" t="s">
        <v>213</v>
      </c>
      <c r="C11" s="155">
        <f ca="1">(C9-C10)/C10</f>
        <v>0.50891465286217163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E23" sqref="E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2" t="s">
        <v>105</v>
      </c>
      <c r="D3" s="232"/>
      <c r="E3" s="232"/>
      <c r="F3" s="232"/>
      <c r="G3" s="244"/>
      <c r="H3" s="245" t="s">
        <v>106</v>
      </c>
      <c r="I3" s="232"/>
      <c r="J3" s="232"/>
      <c r="K3" s="232"/>
      <c r="L3" s="232"/>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141827.16067479676</v>
      </c>
      <c r="I7" s="127">
        <f t="shared" ref="I7:L7" si="0">H7*(1+$C$17)</f>
        <v>219832.09904593497</v>
      </c>
      <c r="J7" s="127">
        <f t="shared" si="0"/>
        <v>340739.75352119922</v>
      </c>
      <c r="K7" s="127">
        <f t="shared" si="0"/>
        <v>528146.61795785883</v>
      </c>
      <c r="L7" s="127">
        <f t="shared" si="0"/>
        <v>818627.25783468119</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8832557.2555847168</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126631.39345963995</v>
      </c>
      <c r="I10" s="127">
        <f t="shared" ref="I10:L10" si="1">I7/(1+$C$21)^I9</f>
        <v>175248.80344860884</v>
      </c>
      <c r="J10" s="127">
        <f t="shared" si="1"/>
        <v>242531.82620119973</v>
      </c>
      <c r="K10" s="127">
        <f t="shared" si="1"/>
        <v>335646.72376058897</v>
      </c>
      <c r="L10" s="127">
        <f t="shared" si="1"/>
        <v>464511.09091867215</v>
      </c>
      <c r="N10" s="91"/>
    </row>
    <row r="11" spans="1:28" x14ac:dyDescent="0.2">
      <c r="B11" s="1" t="s">
        <v>175</v>
      </c>
      <c r="C11" s="138"/>
      <c r="D11" s="138"/>
      <c r="E11" s="138"/>
      <c r="F11" s="138"/>
      <c r="G11" s="139"/>
      <c r="H11" s="138"/>
      <c r="I11" s="138"/>
      <c r="J11" s="138"/>
      <c r="K11" s="138"/>
      <c r="L11" s="127">
        <f>L8/(1+C21)^L9</f>
        <v>5011830.1914909361</v>
      </c>
    </row>
    <row r="13" spans="1:28" ht="17" thickBot="1" x14ac:dyDescent="0.25"/>
    <row r="14" spans="1:28" x14ac:dyDescent="0.2">
      <c r="B14" s="247" t="s">
        <v>215</v>
      </c>
      <c r="C14" s="248"/>
    </row>
    <row r="15" spans="1:28" x14ac:dyDescent="0.2">
      <c r="B15" s="156" t="s">
        <v>216</v>
      </c>
      <c r="C15" s="157">
        <f ca="1">Overview!C5</f>
        <v>197.64949999999999</v>
      </c>
    </row>
    <row r="16" spans="1:28" x14ac:dyDescent="0.2">
      <c r="B16" s="156" t="s">
        <v>217</v>
      </c>
      <c r="C16" s="157">
        <f>C36</f>
        <v>265.64057972229938</v>
      </c>
    </row>
    <row r="17" spans="2:9" ht="17" thickBot="1" x14ac:dyDescent="0.25">
      <c r="B17" s="158" t="s">
        <v>321</v>
      </c>
      <c r="C17" s="159">
        <v>0.55000000000000004</v>
      </c>
      <c r="E17" s="249" t="s">
        <v>218</v>
      </c>
      <c r="F17" s="249"/>
      <c r="G17" s="249"/>
      <c r="H17" s="249"/>
      <c r="I17" s="249"/>
    </row>
    <row r="18" spans="2:9" ht="17" thickBot="1" x14ac:dyDescent="0.25"/>
    <row r="19" spans="2:9" x14ac:dyDescent="0.2">
      <c r="B19" s="247" t="s">
        <v>176</v>
      </c>
      <c r="C19" s="248"/>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24200</v>
      </c>
    </row>
    <row r="23" spans="2:9" x14ac:dyDescent="0.2">
      <c r="B23" s="160" t="s">
        <v>219</v>
      </c>
      <c r="C23" s="162">
        <f ca="1">C15*C22</f>
        <v>4783117.8999999994</v>
      </c>
    </row>
    <row r="24" spans="2:9" x14ac:dyDescent="0.2">
      <c r="B24" s="160" t="s">
        <v>170</v>
      </c>
      <c r="C24" s="228">
        <f>Statement!AC105</f>
        <v>80572</v>
      </c>
    </row>
    <row r="25" spans="2:9" x14ac:dyDescent="0.2">
      <c r="B25" s="160" t="s">
        <v>161</v>
      </c>
      <c r="C25" s="228">
        <f>Statement!AC106</f>
        <v>8470</v>
      </c>
    </row>
    <row r="26" spans="2:9" ht="17" thickBot="1" x14ac:dyDescent="0.25">
      <c r="B26" s="158" t="s">
        <v>220</v>
      </c>
      <c r="C26" s="163">
        <f ca="1">C23+C25-C24</f>
        <v>4711015.8999999994</v>
      </c>
    </row>
    <row r="27" spans="2:9" ht="17" thickBot="1" x14ac:dyDescent="0.25"/>
    <row r="28" spans="2:9" x14ac:dyDescent="0.2">
      <c r="B28" s="247" t="s">
        <v>178</v>
      </c>
      <c r="C28" s="248"/>
    </row>
    <row r="29" spans="2:9" x14ac:dyDescent="0.2">
      <c r="B29" s="160" t="s">
        <v>179</v>
      </c>
      <c r="C29" s="162">
        <f>SUM(H10:L10)</f>
        <v>1344569.8377887099</v>
      </c>
    </row>
    <row r="30" spans="2:9" x14ac:dyDescent="0.2">
      <c r="B30" s="160" t="s">
        <v>175</v>
      </c>
      <c r="C30" s="162">
        <f>L11</f>
        <v>5011830.1914909361</v>
      </c>
    </row>
    <row r="31" spans="2:9" x14ac:dyDescent="0.2">
      <c r="B31" s="164" t="s">
        <v>180</v>
      </c>
      <c r="C31" s="165">
        <f>C29+C30</f>
        <v>6356400.0292796455</v>
      </c>
    </row>
    <row r="32" spans="2:9" x14ac:dyDescent="0.2">
      <c r="B32" s="160" t="s">
        <v>181</v>
      </c>
      <c r="C32" s="166">
        <f>C24</f>
        <v>80572</v>
      </c>
    </row>
    <row r="33" spans="2:12" x14ac:dyDescent="0.2">
      <c r="B33" s="160" t="s">
        <v>182</v>
      </c>
      <c r="C33" s="166">
        <f>C25</f>
        <v>8470</v>
      </c>
    </row>
    <row r="34" spans="2:12" x14ac:dyDescent="0.2">
      <c r="B34" s="164" t="s">
        <v>183</v>
      </c>
      <c r="C34" s="165">
        <f>C31+C32-C33</f>
        <v>6428502.0292796455</v>
      </c>
    </row>
    <row r="35" spans="2:12" x14ac:dyDescent="0.2">
      <c r="B35" s="160" t="s">
        <v>67</v>
      </c>
      <c r="C35" s="162">
        <f>C22</f>
        <v>24200</v>
      </c>
    </row>
    <row r="36" spans="2:12" ht="17" thickBot="1" x14ac:dyDescent="0.25">
      <c r="B36" s="167" t="s">
        <v>184</v>
      </c>
      <c r="C36" s="168">
        <f>C34/C35</f>
        <v>265.64057972229938</v>
      </c>
    </row>
    <row r="39" spans="2:12" x14ac:dyDescent="0.2">
      <c r="C39" s="241" t="s">
        <v>221</v>
      </c>
      <c r="D39" s="241"/>
      <c r="E39" s="241"/>
      <c r="F39" s="241"/>
      <c r="G39" s="241"/>
      <c r="H39" s="241"/>
      <c r="I39" s="241"/>
      <c r="J39" s="241"/>
      <c r="K39" s="241"/>
      <c r="L39" s="241"/>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141827.16067479676</v>
      </c>
      <c r="I41" s="144">
        <f t="shared" si="2"/>
        <v>219832.09904593497</v>
      </c>
      <c r="J41" s="144">
        <f t="shared" si="2"/>
        <v>340739.75352119922</v>
      </c>
      <c r="K41" s="144">
        <f t="shared" si="2"/>
        <v>528146.61795785883</v>
      </c>
      <c r="L41" s="144">
        <f t="shared" si="2"/>
        <v>818627.25783468119</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128933.7824316334</v>
      </c>
      <c r="I42" s="144">
        <f t="shared" ref="I42:L42" si="3">I41/I43</f>
        <v>199847.36276903178</v>
      </c>
      <c r="J42" s="144">
        <f t="shared" si="3"/>
        <v>309763.41229199927</v>
      </c>
      <c r="K42" s="144">
        <f t="shared" si="3"/>
        <v>480133.28905259888</v>
      </c>
      <c r="L42" s="144">
        <f t="shared" si="3"/>
        <v>744206.59803152829</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14182716.067479676</v>
      </c>
      <c r="I44" s="144">
        <f t="shared" ref="I44:L44" si="5">I41/I45</f>
        <v>10991604.952296749</v>
      </c>
      <c r="J44" s="144">
        <f t="shared" si="5"/>
        <v>8112851.2743142666</v>
      </c>
      <c r="K44" s="144">
        <f t="shared" si="5"/>
        <v>7544951.6851122687</v>
      </c>
      <c r="L44" s="144">
        <f t="shared" si="5"/>
        <v>5457515.0522312084</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0.55000000000000027</v>
      </c>
      <c r="I46" s="170">
        <f t="shared" si="7"/>
        <v>0.55000000000000004</v>
      </c>
      <c r="J46" s="170">
        <f t="shared" si="7"/>
        <v>0.55000000000000004</v>
      </c>
      <c r="K46" s="170">
        <f t="shared" si="7"/>
        <v>0.55000000000000004</v>
      </c>
      <c r="L46" s="170">
        <f t="shared" si="7"/>
        <v>0.55000000000000004</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-1.1145417628801946E-2</v>
      </c>
      <c r="I47" s="170">
        <f t="shared" si="7"/>
        <v>0.55000000000000004</v>
      </c>
      <c r="J47" s="170">
        <f t="shared" si="7"/>
        <v>0.55000000000000004</v>
      </c>
      <c r="K47" s="170">
        <f t="shared" si="7"/>
        <v>0.55000000000000004</v>
      </c>
      <c r="L47" s="170">
        <f t="shared" si="7"/>
        <v>0.55000000000000004</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64.679575005231484</v>
      </c>
      <c r="I48" s="170">
        <f t="shared" si="8"/>
        <v>-0.22499999999999998</v>
      </c>
      <c r="J48" s="170">
        <f t="shared" si="8"/>
        <v>-0.26190476190476197</v>
      </c>
      <c r="K48" s="170">
        <f t="shared" si="8"/>
        <v>-6.9999999999999951E-2</v>
      </c>
      <c r="L48" s="170">
        <f t="shared" si="8"/>
        <v>-0.27666666666666662</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2026-07-07T18:24:25Z</dcterms:modified>
</cp:coreProperties>
</file>