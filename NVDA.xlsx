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D7E46E1-F746-BF43-B2DD-6B4DBF842FD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 i="19" l="1"/>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C44" i="12" s="1"/>
  <c r="C6" i="13" s="1"/>
  <c r="I4" i="1" s="1"/>
  <c r="L7" i="11"/>
  <c r="K14" i="12" l="1"/>
  <c r="L8" i="1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<sst xmlns="http://schemas.openxmlformats.org/spreadsheetml/2006/main" count="729" uniqueCount="399">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</sst>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149.26</v>
    <v>2.2078000000000002</v>
    <v>-3.26</v>
    <v>-1.6382000000000001E-2</v>
    <v>-0.23</v>
    <v>-1.1749999999999998E-3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200.8</v>
    <v>Semiconductors &amp; Semiconductor Equipment</v>
    <v>Stock</v>
    <v>46198.912182881249</v>
    <v>0</v>
    <v>192.13</v>
    <v>4736908000000</v>
    <v>NVIDIA CORPORATION</v>
    <v>NVIDIA CORPORATION</v>
    <v>200.08</v>
    <v>29.9755</v>
    <v>199</v>
    <v>195.74</v>
    <v>195.51</v>
    <v>24200000000</v>
    <v>NVDA</v>
    <v>NVIDIA CORPORATION (XNAS:NVDA)</v>
    <v>149444373</v>
    <v>170660038</v>
    <v>1998</v>
  </rv>
  <rv s="2">
    <v>1</v>
  </rv>
  <rv s="0">
    <v>https://www.bing.com/financeapi/forcetrigger?t=a33knm&amp;q=10+Y+TSY+YLD+NDX&amp;form=skydnc</v>
    <v>Learn more on Bing</v>
  </rv>
  <rv s="3">
    <v>5</v>
    <v>10 Y TSY YLD NDX</v>
    <v>6</v>
    <v>7</v>
    <v>Finance</v>
    <v>8</v>
    <v>en-US</v>
    <v>a33knm</v>
    <v>268435456</v>
    <v>1</v>
    <v>Powered by Refinitiv</v>
    <v>46.87</v>
    <v>39.47</v>
    <v>-0.1</v>
    <v>-2.2720000000000001E-3</v>
    <v>US</v>
    <v>44.14</v>
    <v>Index</v>
    <v>3</v>
    <v>43.63</v>
    <v>10 Y TSY YLD NDX</v>
    <v>44.12</v>
    <v>44.02</v>
    <v>43.92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284</v>
      </c>
      <c r="F2" s="233"/>
      <c r="H2" s="232" t="s">
        <v>325</v>
      </c>
      <c r="I2" s="233"/>
    </row>
    <row r="3" spans="2:9" x14ac:dyDescent="0.2">
      <c r="B3" s="186" t="s">
        <v>11</v>
      </c>
      <c r="C3" s="218" t="e" vm="1">
        <v>#VALUE!</v>
      </c>
      <c r="D3" s="2"/>
      <c r="E3" s="186" t="s">
        <v>236</v>
      </c>
      <c r="F3" s="188">
        <f ca="1">Statement!AC155</f>
        <v>4757460.7</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4685358.7</v>
      </c>
      <c r="H4" s="186" t="str">
        <f>'AVG target price'!B6</f>
        <v>EV/EBIT price</v>
      </c>
      <c r="I4" s="212">
        <f>'AVG target price'!C6</f>
        <v>364.31185306105914</v>
      </c>
    </row>
    <row r="5" spans="2:9" x14ac:dyDescent="0.2">
      <c r="B5" s="186" t="s">
        <v>1</v>
      </c>
      <c r="C5" s="209" cm="1">
        <f t="array" aca="1" ref="C5" ca="1">_FV(C3,"Price",TRUE)</f>
        <v>195.74</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195.51</v>
      </c>
      <c r="E6" s="186" t="s">
        <v>234</v>
      </c>
      <c r="F6" s="191">
        <f ca="1">Statement!AC152</f>
        <v>29.975497702909653</v>
      </c>
      <c r="H6" s="186" t="str">
        <f>'AVG target price'!B8</f>
        <v>EV/FCFF price</v>
      </c>
      <c r="I6" s="212">
        <f>'AVG target price'!C8</f>
        <v>350.07748183234139</v>
      </c>
    </row>
    <row r="7" spans="2:9" x14ac:dyDescent="0.2">
      <c r="B7" s="186" t="s">
        <v>3</v>
      </c>
      <c r="C7" s="6" cm="1">
        <f t="array" aca="1" ref="C7" ca="1">_FV(C3,"Change")</f>
        <v>-3.26</v>
      </c>
      <c r="E7" s="187" t="s">
        <v>193</v>
      </c>
      <c r="F7" s="192">
        <f ca="1">Statement!AC153</f>
        <v>18.887071059722043</v>
      </c>
      <c r="H7" s="185" t="str">
        <f>'AVG target price'!B9</f>
        <v>AVG price</v>
      </c>
      <c r="I7" s="213">
        <f>'AVG target price'!C9</f>
        <v>296.75295163459498</v>
      </c>
    </row>
    <row r="8" spans="2:9" x14ac:dyDescent="0.2">
      <c r="B8" s="186" t="s">
        <v>4</v>
      </c>
      <c r="C8" s="6" cm="1">
        <f t="array" aca="1" ref="C8" ca="1">_FV(C3,"Change (extended hours)",TRUE)</f>
        <v>-0.23</v>
      </c>
      <c r="E8" s="186" t="s">
        <v>262</v>
      </c>
      <c r="F8" s="193">
        <f ca="1">Statement!AC163</f>
        <v>2.3591787106092121E-2</v>
      </c>
      <c r="H8" s="185" t="str">
        <f>'AVG target price'!B11</f>
        <v>Upside/Downside</v>
      </c>
      <c r="I8" s="214">
        <f ca="1">'AVG target price'!C11</f>
        <v>0.51605676731682315</v>
      </c>
    </row>
    <row r="9" spans="2:9" x14ac:dyDescent="0.2">
      <c r="B9" s="186" t="s">
        <v>5</v>
      </c>
      <c r="C9" s="73" cm="1">
        <f t="array" aca="1" ref="C9" ca="1">_FV(C3,"Change (%)",TRUE)</f>
        <v>-1.6382000000000001E-2</v>
      </c>
      <c r="E9" s="186" t="s">
        <v>285</v>
      </c>
      <c r="F9" s="193">
        <f ca="1">Statement!AC164</f>
        <v>3.3360580361704299E-2</v>
      </c>
    </row>
    <row r="10" spans="2:9" x14ac:dyDescent="0.2">
      <c r="B10" s="186" t="s">
        <v>6</v>
      </c>
      <c r="C10" s="73" cm="1">
        <f t="array" aca="1" ref="C10" ca="1">_FV(C3,"Change % (extended hours)",TRUE)</f>
        <v>-1.1749999999999998E-3</v>
      </c>
      <c r="E10" s="186" t="s">
        <v>290</v>
      </c>
      <c r="F10" s="193">
        <f ca="1">Statement!AC166</f>
        <v>9.5227271136469928E-3</v>
      </c>
    </row>
    <row r="11" spans="2:9" x14ac:dyDescent="0.2">
      <c r="B11" s="186" t="s">
        <v>7</v>
      </c>
      <c r="C11" s="210" cm="1">
        <f t="array" aca="1" ref="C11" ca="1">_FV(C3,"52 week high",TRUE)</f>
        <v>236.54</v>
      </c>
      <c r="E11" s="187" t="s">
        <v>286</v>
      </c>
      <c r="F11" s="194">
        <f ca="1">Statement!AC165</f>
        <v>2.0435271278226218E-4</v>
      </c>
    </row>
    <row r="12" spans="2:9" x14ac:dyDescent="0.2">
      <c r="B12" s="186" t="s">
        <v>8</v>
      </c>
      <c r="C12" s="210" cm="1">
        <f t="array" aca="1" ref="C12" ca="1">_FV(C3,"52 week low",TRUE)</f>
        <v>149.26</v>
      </c>
      <c r="E12" s="186" t="s">
        <v>94</v>
      </c>
      <c r="F12" s="193">
        <f>Statement!AC121</f>
        <v>0.61514063066049007</v>
      </c>
    </row>
    <row r="13" spans="2:9" x14ac:dyDescent="0.2">
      <c r="B13" s="186" t="s">
        <v>9</v>
      </c>
      <c r="C13" s="210" cm="1">
        <f t="array" aca="1" ref="C13" ca="1">_FV(C3,"Beta")</f>
        <v>2.2078000000000002</v>
      </c>
      <c r="E13" s="186" t="s">
        <v>96</v>
      </c>
      <c r="F13" s="193">
        <f>Statement!AC123</f>
        <v>0.81654337661274645</v>
      </c>
    </row>
    <row r="14" spans="2:9" x14ac:dyDescent="0.2">
      <c r="B14" s="187" t="s">
        <v>10</v>
      </c>
      <c r="C14" s="211" cm="1">
        <f t="array" aca="1" ref="C14" ca="1">_FV(C3,"Volume average",TRUE)</f>
        <v>170660038</v>
      </c>
      <c r="E14" s="187" t="s">
        <v>97</v>
      </c>
      <c r="F14" s="194">
        <f>Statement!AC142</f>
        <v>1.1082908941558067</v>
      </c>
    </row>
    <row r="15" spans="2:9" x14ac:dyDescent="0.2">
      <c r="E15" s="186" t="s">
        <v>287</v>
      </c>
      <c r="F15" s="193">
        <f ca="1">Statement!AC178</f>
        <v>1.5155563975546871E-2</v>
      </c>
    </row>
    <row r="16" spans="2:9" x14ac:dyDescent="0.2">
      <c r="E16" s="187" t="s">
        <v>292</v>
      </c>
      <c r="F16" s="192">
        <f>Statement!AC177</f>
        <v>2.9794214876033056</v>
      </c>
    </row>
    <row r="17" spans="2:9" x14ac:dyDescent="0.2">
      <c r="B17" s="234" t="s">
        <v>83</v>
      </c>
      <c r="C17" s="234"/>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4" t="s">
        <v>99</v>
      </c>
      <c r="C25" s="234"/>
      <c r="E25" s="232" t="s">
        <v>340</v>
      </c>
      <c r="F25" s="233"/>
    </row>
    <row r="26" spans="2:9" x14ac:dyDescent="0.2">
      <c r="B26" s="185" t="s">
        <v>100</v>
      </c>
      <c r="C26" s="171">
        <v>0.21</v>
      </c>
      <c r="E26" s="186" t="e" vm="2">
        <v>#VALUE!</v>
      </c>
      <c r="F26" s="220" cm="1">
        <f t="array" aca="1" ref="F26" ca="1">_FV(E26,"Price")</f>
        <v>43.92</v>
      </c>
    </row>
    <row r="27" spans="2:9" x14ac:dyDescent="0.2">
      <c r="B27" s="185" t="s">
        <v>164</v>
      </c>
      <c r="C27" s="222">
        <v>5.0999999999999997E-2</v>
      </c>
      <c r="E27" s="187" t="s">
        <v>341</v>
      </c>
      <c r="F27" s="221">
        <f ca="1">F26/1000</f>
        <v>4.3920000000000001E-2</v>
      </c>
    </row>
    <row r="28" spans="2:9" x14ac:dyDescent="0.2">
      <c r="B28" s="185" t="s">
        <v>389</v>
      </c>
      <c r="C28" s="222">
        <v>0.12</v>
      </c>
    </row>
    <row r="29" spans="2:9" x14ac:dyDescent="0.2">
      <c r="B29" s="185" t="s">
        <v>388</v>
      </c>
      <c r="C29" s="222">
        <v>0.12</v>
      </c>
    </row>
    <row r="33" spans="2:8" x14ac:dyDescent="0.2">
      <c r="B33" s="235" t="s">
        <v>335</v>
      </c>
      <c r="C33" s="235"/>
      <c r="D33" s="235"/>
      <c r="E33" s="235"/>
      <c r="F33" s="235"/>
      <c r="G33" s="235"/>
      <c r="H33" s="235"/>
    </row>
    <row r="35" spans="2:8" x14ac:dyDescent="0.2">
      <c r="B35" s="16" t="s">
        <v>336</v>
      </c>
      <c r="C35" s="1" t="s">
        <v>380</v>
      </c>
    </row>
    <row r="36" spans="2:8" x14ac:dyDescent="0.2">
      <c r="B36" s="16" t="s">
        <v>337</v>
      </c>
      <c r="C36" s="1" t="s">
        <v>379</v>
      </c>
    </row>
    <row r="39" spans="2:8" ht="6" customHeight="1" x14ac:dyDescent="0.2">
      <c r="B39" s="235"/>
      <c r="C39" s="235"/>
      <c r="D39" s="235"/>
      <c r="E39" s="235"/>
      <c r="F39" s="235"/>
      <c r="G39" s="235"/>
      <c r="H39" s="235"/>
    </row>
    <row r="42" spans="2:8" x14ac:dyDescent="0.2">
      <c r="B42" s="235" t="s">
        <v>338</v>
      </c>
      <c r="C42" s="235"/>
      <c r="D42" s="235"/>
      <c r="E42" s="235"/>
      <c r="F42" s="235"/>
      <c r="G42" s="235"/>
      <c r="H42" s="235"/>
    </row>
    <row r="44" spans="2:8" x14ac:dyDescent="0.2">
      <c r="B44" s="41" t="s">
        <v>339</v>
      </c>
      <c r="C44" s="41" t="s">
        <v>326</v>
      </c>
      <c r="D44" s="41"/>
      <c r="E44" s="41" t="s">
        <v>327</v>
      </c>
    </row>
    <row r="49" spans="2:8" ht="5" customHeight="1" x14ac:dyDescent="0.2">
      <c r="B49" s="235"/>
      <c r="C49" s="235"/>
      <c r="D49" s="235"/>
      <c r="E49" s="235"/>
      <c r="F49" s="235"/>
      <c r="G49" s="235"/>
      <c r="H49" s="235"/>
    </row>
    <row r="52" spans="2:8" x14ac:dyDescent="0.2">
      <c r="B52" s="235" t="s">
        <v>101</v>
      </c>
      <c r="C52" s="235"/>
      <c r="D52" s="235"/>
      <c r="E52" s="235"/>
      <c r="F52" s="235"/>
      <c r="G52" s="235"/>
      <c r="H52" s="235"/>
    </row>
    <row r="54" spans="2:8" x14ac:dyDescent="0.2">
      <c r="B54" s="41" t="s">
        <v>339</v>
      </c>
      <c r="C54" s="41" t="s">
        <v>326</v>
      </c>
      <c r="D54" s="41"/>
      <c r="E54" s="41" t="s">
        <v>327</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N18"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195.74</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195.74</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29.975497702909653</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18.887071059722043</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24.232931233821382</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4757460.7</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4685358.7</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18.483333530578996</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28.871175401300182</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42.387632420681236</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36.946097718662905</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2.3591787106092121E-2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3.3360580361704299E-2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2.0435271278226218E-4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9.5227271136469928E-3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9.7272479833622159E-3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1.5155563975546871E-2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5" t="s">
        <v>230</v>
      </c>
      <c r="C4" s="235"/>
      <c r="E4" s="235" t="s">
        <v>237</v>
      </c>
      <c r="F4" s="235"/>
      <c r="G4" s="235"/>
    </row>
    <row r="5" spans="2:7" x14ac:dyDescent="0.2">
      <c r="B5" s="20" t="s">
        <v>1</v>
      </c>
      <c r="C5" s="173">
        <f ca="1">Overview!C5</f>
        <v>195.74</v>
      </c>
      <c r="E5" s="12"/>
      <c r="F5" s="133" t="s">
        <v>238</v>
      </c>
      <c r="G5" s="133" t="s">
        <v>239</v>
      </c>
    </row>
    <row r="6" spans="2:7" x14ac:dyDescent="0.2">
      <c r="B6" s="20" t="s">
        <v>236</v>
      </c>
      <c r="C6" s="174">
        <f ca="1">Statement!AC155</f>
        <v>4757460.7</v>
      </c>
      <c r="E6" s="20" t="s">
        <v>19</v>
      </c>
      <c r="F6" s="179">
        <f>IF(Statement!M5&lt;=0,"N/A",_xlfn.RRI(4,Statement!M5,Statement!Q5))</f>
        <v>0.68301391480282692</v>
      </c>
      <c r="G6" s="179" t="str">
        <f>IF(Statement!H5&lt;=0,"N/A",_xlfn.RRI(9,Statement!H5,Statement!Q5))</f>
        <v>N/A</v>
      </c>
    </row>
    <row r="7" spans="2:7" x14ac:dyDescent="0.2">
      <c r="B7" s="20" t="s">
        <v>180</v>
      </c>
      <c r="C7" s="174">
        <f ca="1">Statement!AC156</f>
        <v>4685358.7</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29.975497702909653</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18.887071059722043</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24.232931233821382</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18.483333530578996</v>
      </c>
    </row>
    <row r="12" spans="2:7" x14ac:dyDescent="0.2">
      <c r="B12" s="20" t="s">
        <v>196</v>
      </c>
      <c r="C12" s="175">
        <f ca="1">Statement!AC158</f>
        <v>28.871175401300182</v>
      </c>
    </row>
    <row r="15" spans="2:7" x14ac:dyDescent="0.2">
      <c r="B15" s="235" t="s">
        <v>75</v>
      </c>
      <c r="C15" s="235"/>
      <c r="E15" s="235" t="s">
        <v>243</v>
      </c>
      <c r="F15" s="235"/>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5" t="s">
        <v>242</v>
      </c>
      <c r="C21" s="235"/>
      <c r="E21" s="235" t="s">
        <v>246</v>
      </c>
      <c r="F21" s="235"/>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5" t="s">
        <v>247</v>
      </c>
      <c r="C29" s="235"/>
      <c r="E29" s="235" t="s">
        <v>253</v>
      </c>
      <c r="F29" s="235"/>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5" t="s">
        <v>265</v>
      </c>
      <c r="C37" s="235"/>
      <c r="E37" s="235" t="s">
        <v>268</v>
      </c>
      <c r="F37" s="235"/>
    </row>
    <row r="38" spans="2:6" x14ac:dyDescent="0.2">
      <c r="B38" s="20" t="s">
        <v>263</v>
      </c>
      <c r="C38" s="176">
        <f ca="1">Statement!AC164</f>
        <v>3.3360580361704299E-2</v>
      </c>
      <c r="E38" s="20" t="s">
        <v>267</v>
      </c>
      <c r="F38" s="176">
        <f>Statement!AC170</f>
        <v>8.6691554478469674E-3</v>
      </c>
    </row>
    <row r="39" spans="2:6" x14ac:dyDescent="0.2">
      <c r="B39" s="54" t="s">
        <v>266</v>
      </c>
      <c r="C39" s="216">
        <f ca="1">Statement!AC163</f>
        <v>2.3591787106092121E-2</v>
      </c>
      <c r="E39" s="20" t="s">
        <v>269</v>
      </c>
      <c r="F39" s="176">
        <f>Statement!AC171</f>
        <v>0.40364585653572349</v>
      </c>
    </row>
    <row r="40" spans="2:6" x14ac:dyDescent="0.2">
      <c r="B40" s="20" t="s">
        <v>264</v>
      </c>
      <c r="C40" s="176">
        <f ca="1">Statement!AC165</f>
        <v>2.0435271278226218E-4</v>
      </c>
      <c r="E40" s="20" t="s">
        <v>270</v>
      </c>
      <c r="F40" s="176">
        <f>Statement!AC172</f>
        <v>0.41231501198357046</v>
      </c>
    </row>
    <row r="41" spans="2:6" x14ac:dyDescent="0.2">
      <c r="B41" s="20" t="s">
        <v>289</v>
      </c>
      <c r="C41" s="176">
        <f ca="1">Statement!AC166</f>
        <v>9.5227271136469928E-3</v>
      </c>
    </row>
    <row r="42" spans="2:6" x14ac:dyDescent="0.2">
      <c r="B42" s="20" t="s">
        <v>291</v>
      </c>
      <c r="C42" s="176">
        <f ca="1">Statement!AC167</f>
        <v>9.7272479833622159E-3</v>
      </c>
    </row>
    <row r="45" spans="2:6" x14ac:dyDescent="0.2">
      <c r="B45" s="235" t="s">
        <v>276</v>
      </c>
      <c r="C45" s="235"/>
      <c r="E45" s="235" t="s">
        <v>282</v>
      </c>
      <c r="F45" s="235"/>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1.5155563975546871E-2</v>
      </c>
    </row>
    <row r="51" spans="2:6" x14ac:dyDescent="0.2">
      <c r="B51" s="235" t="s">
        <v>279</v>
      </c>
      <c r="C51" s="235"/>
      <c r="E51" s="235" t="s">
        <v>300</v>
      </c>
      <c r="F51" s="235"/>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195.74</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4757460.7</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4685358.7</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29.975497702909653</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18.887071059722043</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24.232931233821382</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18.483333530578996</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28.871175401300182</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3.3360580361704299E-2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2.3591787106092121E-2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2.0435271278226218E-4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9.5227271136469928E-3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9.7272479833622159E-3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1.5155563975546871E-2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6">
        <f>Statement!AA88</f>
        <v>0.19798317847549429</v>
      </c>
      <c r="D7" s="237"/>
      <c r="F7" s="236">
        <f>IF(F6=0,
IF(G6=0,0,IF(G6&gt;0,1,-1)),
(G6-F6)/ABS(F6)
)</f>
        <v>0.85227633788752211</v>
      </c>
      <c r="G7" s="237"/>
    </row>
    <row r="8" spans="2:7" x14ac:dyDescent="0.2">
      <c r="B8" s="208" t="s">
        <v>20</v>
      </c>
      <c r="C8" s="201">
        <f>Statement!Z6</f>
        <v>17034</v>
      </c>
      <c r="D8" s="199">
        <f>Statement!AA6</f>
        <v>20458</v>
      </c>
      <c r="F8" s="201">
        <f>Statement!W6</f>
        <v>17394</v>
      </c>
      <c r="G8" s="199">
        <f>Statement!AA6</f>
        <v>20458</v>
      </c>
    </row>
    <row r="9" spans="2:7" x14ac:dyDescent="0.2">
      <c r="B9" s="207" t="s">
        <v>312</v>
      </c>
      <c r="C9" s="236">
        <f>Statement!AA89</f>
        <v>0.20100974521545145</v>
      </c>
      <c r="D9" s="237"/>
      <c r="F9" s="236">
        <f>IF(F8=0,
IF(G8=0,0,IF(G8&gt;0,1,-1)),
(G8-F8)/ABS(F8)
)</f>
        <v>0.17615269633206854</v>
      </c>
      <c r="G9" s="237"/>
    </row>
    <row r="10" spans="2:7" x14ac:dyDescent="0.2">
      <c r="B10" s="208" t="s">
        <v>21</v>
      </c>
      <c r="C10" s="201">
        <f>Statement!Z7</f>
        <v>51093</v>
      </c>
      <c r="D10" s="199">
        <f>Statement!AA7</f>
        <v>61157</v>
      </c>
      <c r="F10" s="201">
        <f>Statement!W7</f>
        <v>26668</v>
      </c>
      <c r="G10" s="199">
        <f>Statement!AA7</f>
        <v>61157</v>
      </c>
    </row>
    <row r="11" spans="2:7" x14ac:dyDescent="0.2">
      <c r="B11" s="207" t="s">
        <v>312</v>
      </c>
      <c r="C11" s="236">
        <f>Statement!AA90</f>
        <v>0.19697414518622902</v>
      </c>
      <c r="D11" s="237"/>
      <c r="F11" s="236">
        <f>IF(F10=0,
IF(G10=0,0,IF(G10&gt;0,1,-1)),
(G10-F10)/ABS(F10)
)</f>
        <v>1.293272836358182</v>
      </c>
      <c r="G11" s="237"/>
    </row>
    <row r="12" spans="2:7" x14ac:dyDescent="0.2">
      <c r="B12" s="208" t="s">
        <v>23</v>
      </c>
      <c r="C12" s="201">
        <f>Statement!Z10</f>
        <v>6794</v>
      </c>
      <c r="D12" s="199">
        <f>Statement!AA10</f>
        <v>7621</v>
      </c>
      <c r="F12" s="201">
        <f>Statement!W10</f>
        <v>5030</v>
      </c>
      <c r="G12" s="199">
        <f>Statement!AA10</f>
        <v>7621</v>
      </c>
    </row>
    <row r="13" spans="2:7" x14ac:dyDescent="0.2">
      <c r="B13" s="207" t="s">
        <v>312</v>
      </c>
      <c r="C13" s="236">
        <f>Statement!AA93</f>
        <v>0.12172505151604357</v>
      </c>
      <c r="D13" s="237"/>
      <c r="F13" s="236">
        <f>IF(F12=0,
IF(G12=0,0,IF(G12&gt;0,1,-1)),
(G12-F12)/ABS(F12)
)</f>
        <v>0.51510934393638175</v>
      </c>
      <c r="G13" s="237"/>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6">
        <f>Statement!AA94</f>
        <v>0.20851486489537011</v>
      </c>
      <c r="D15" s="237"/>
      <c r="F15" s="236">
        <f>IF(F14=0,
IF(G14=0,0,IF(G14&gt;0,1,-1)),
(G14-F14)/ABS(F14)
)</f>
        <v>1.4741658193918108</v>
      </c>
      <c r="G15" s="237"/>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6">
        <f>Statement!AA96</f>
        <v>0.35756517690875234</v>
      </c>
      <c r="D17" s="237"/>
      <c r="F17" s="236">
        <f>IF(F16=0,
IF(G16=0,0,IF(G16&gt;0,1,-1)),
(G16-F16)/ABS(F16)
)</f>
        <v>2.1063115845539282</v>
      </c>
      <c r="G17" s="237"/>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6">
        <f>IF(C18=0,
IF(D18=0,0,IF(D18&gt;0,1,-1)),
(D18-C18)/ABS(C18)
)</f>
        <v>-1.6781270464963983E-3</v>
      </c>
      <c r="D19" s="237"/>
      <c r="F19" s="236">
        <f>IF(F18=0,
IF(G18=0,0,IF(G18&gt;0,1,-1)),
(G18-F18)/ABS(F18)
)</f>
        <v>-8.9390922758116297E-3</v>
      </c>
      <c r="G19" s="237"/>
    </row>
    <row r="20" spans="2:7" x14ac:dyDescent="0.2">
      <c r="B20" s="208" t="s">
        <v>36</v>
      </c>
      <c r="C20" s="202">
        <f>Statement!Z25</f>
        <v>1.76</v>
      </c>
      <c r="D20" s="203">
        <f>Statement!AA25</f>
        <v>2.39</v>
      </c>
      <c r="F20" s="202">
        <f>Statement!W25</f>
        <v>0.76</v>
      </c>
      <c r="G20" s="203">
        <f>Statement!AA25</f>
        <v>2.39</v>
      </c>
    </row>
    <row r="21" spans="2:7" x14ac:dyDescent="0.2">
      <c r="B21" s="207" t="s">
        <v>312</v>
      </c>
      <c r="C21" s="236">
        <f>IF(C20=0,
IF(D20=0,0,IF(D20&gt;0,1,-1)),
(D20-C20)/ABS(C20)
)</f>
        <v>0.35795454545454553</v>
      </c>
      <c r="D21" s="237"/>
      <c r="F21" s="236">
        <f>IF(F20=0,
IF(G20=0,0,IF(G20&gt;0,1,-1)),
(G20-F20)/ABS(F20)
)</f>
        <v>2.1447368421052633</v>
      </c>
      <c r="G21" s="237"/>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6">
        <f>IF(C24=0,
IF(D24=0,0,IF(D24&gt;0,1,-1)),
(D24-C24)/ABS(C24)
)</f>
        <v>0.11992074288756137</v>
      </c>
      <c r="D25" s="237"/>
      <c r="F25" s="236">
        <f>IF(F24=0,
IF(G24=0,0,IF(G24&gt;0,1,-1)),
(G24-F24)/ABS(F24)
)</f>
        <v>1.1517699869310756</v>
      </c>
      <c r="G25" s="237"/>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6">
        <f>IF(C26=0,
IF(D26=0,0,IF(D26&gt;0,1,-1)),
(D26-C26)/ABS(C26)
)</f>
        <v>0.31147368421052629</v>
      </c>
      <c r="D27" s="237"/>
      <c r="F27" s="236">
        <f>IF(F26=0,
IF(G26=0,0,IF(G26&gt;0,1,-1)),
(G26-F26)/ABS(F26)
)</f>
        <v>0.73741458652907543</v>
      </c>
      <c r="G27" s="237"/>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6">
        <f>IF(C28=0,
IF(D28=0,0,IF(D28&gt;0,1,-1)),
(D28-C28)/ABS(C28)
)</f>
        <v>0.20752960811374652</v>
      </c>
      <c r="D29" s="237"/>
      <c r="F29" s="236">
        <f>IF(F28=0,
IF(G28=0,0,IF(G28&gt;0,1,-1)),
(G28-F28)/ABS(F28)
)</f>
        <v>0.92385968500715898</v>
      </c>
      <c r="G29" s="237"/>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6">
        <f>IF(C30=0,
IF(D30=0,0,IF(D30&gt;0,1,-1)),
(D30-C30)/ABS(C30)
)</f>
        <v>9.5647686220540165E-2</v>
      </c>
      <c r="D31" s="237"/>
      <c r="F31" s="236">
        <f>IF(F30=0,
IF(G30=0,0,IF(G30&gt;0,1,-1)),
(G30-F30)/ABS(F30)
)</f>
        <v>0.28666666666666668</v>
      </c>
      <c r="G31" s="23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5" t="s">
        <v>105</v>
      </c>
      <c r="D2" s="235"/>
      <c r="E2" s="235"/>
      <c r="F2" s="235"/>
      <c r="G2" s="244"/>
      <c r="H2" s="245" t="s">
        <v>106</v>
      </c>
      <c r="I2" s="235"/>
      <c r="J2" s="235"/>
      <c r="K2" s="235"/>
      <c r="L2" s="235"/>
      <c r="O2" s="5"/>
      <c r="S2" s="235" t="s">
        <v>105</v>
      </c>
      <c r="T2" s="235"/>
      <c r="U2" s="235"/>
      <c r="V2" s="235"/>
      <c r="W2" s="235"/>
      <c r="X2" s="235"/>
      <c r="Y2" s="235"/>
      <c r="Z2" s="235"/>
      <c r="AA2" s="235" t="s">
        <v>106</v>
      </c>
      <c r="AB2" s="235"/>
      <c r="AC2" s="235"/>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5" t="s">
        <v>105</v>
      </c>
      <c r="D2" s="235"/>
      <c r="E2" s="235"/>
      <c r="F2" s="235"/>
      <c r="G2" s="244"/>
      <c r="H2" s="245" t="s">
        <v>106</v>
      </c>
      <c r="I2" s="235"/>
      <c r="J2" s="235"/>
      <c r="K2" s="235"/>
      <c r="L2" s="235"/>
      <c r="P2" s="235" t="s">
        <v>105</v>
      </c>
      <c r="Q2" s="235"/>
      <c r="R2" s="235"/>
      <c r="S2" s="235"/>
      <c r="T2" s="235"/>
      <c r="U2" s="235"/>
      <c r="V2" s="235"/>
      <c r="W2" s="235"/>
      <c r="X2" s="235" t="s">
        <v>106</v>
      </c>
      <c r="Y2" s="235"/>
      <c r="Z2" s="235"/>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8" zoomScale="189" zoomScaleNormal="100" workbookViewId="0">
      <selection activeCell="H35" sqref="H3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5" t="s">
        <v>105</v>
      </c>
      <c r="D2" s="235"/>
      <c r="E2" s="235"/>
      <c r="F2" s="235"/>
      <c r="G2" s="244"/>
      <c r="H2" s="245" t="s">
        <v>106</v>
      </c>
      <c r="I2" s="235"/>
      <c r="J2" s="235"/>
      <c r="K2" s="235"/>
      <c r="L2" s="235"/>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5" t="s">
        <v>158</v>
      </c>
      <c r="C4" s="235"/>
    </row>
    <row r="5" spans="1:3" ht="17" customHeight="1" x14ac:dyDescent="0.2">
      <c r="B5" s="1" t="s">
        <v>159</v>
      </c>
      <c r="C5" s="137">
        <f>Statement!AC77</f>
        <v>24305</v>
      </c>
    </row>
    <row r="6" spans="1:3" ht="17" customHeight="1" x14ac:dyDescent="0.2">
      <c r="B6" s="1" t="s">
        <v>1</v>
      </c>
      <c r="C6" s="134">
        <f ca="1">Overview!C5</f>
        <v>195.74</v>
      </c>
    </row>
    <row r="7" spans="1:3" ht="17" customHeight="1" x14ac:dyDescent="0.2">
      <c r="B7" s="1" t="s">
        <v>160</v>
      </c>
      <c r="C7" s="135">
        <f ca="1">C5*C6</f>
        <v>4757460.7</v>
      </c>
    </row>
    <row r="8" spans="1:3" ht="17" customHeight="1" x14ac:dyDescent="0.2">
      <c r="B8" s="1" t="s">
        <v>161</v>
      </c>
      <c r="C8" s="113">
        <f>Statement!AC106</f>
        <v>8470</v>
      </c>
    </row>
    <row r="9" spans="1:3" ht="17" customHeight="1" x14ac:dyDescent="0.2">
      <c r="B9" s="1" t="s">
        <v>162</v>
      </c>
      <c r="C9" s="136">
        <f ca="1">Overview!F27</f>
        <v>4.3920000000000001E-2</v>
      </c>
    </row>
    <row r="10" spans="1:3" ht="17" customHeight="1" x14ac:dyDescent="0.2">
      <c r="B10" s="1" t="s">
        <v>9</v>
      </c>
      <c r="C10" s="134">
        <f ca="1">Overview!C13</f>
        <v>2.2078000000000002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5" t="s">
        <v>165</v>
      </c>
      <c r="C15" s="235"/>
    </row>
    <row r="16" spans="1:3" ht="17" customHeight="1" x14ac:dyDescent="0.2">
      <c r="B16" s="1" t="s">
        <v>166</v>
      </c>
      <c r="C16" s="46">
        <f ca="1">C8/(C8+C7)</f>
        <v>1.7771974737274296E-3</v>
      </c>
    </row>
    <row r="17" spans="2:3" ht="17" customHeight="1" x14ac:dyDescent="0.2">
      <c r="B17" s="1" t="s">
        <v>167</v>
      </c>
      <c r="C17" s="46">
        <f ca="1">C7/(C8+C7)</f>
        <v>0.9982228025262726</v>
      </c>
    </row>
    <row r="18" spans="2:3" ht="17" customHeight="1" x14ac:dyDescent="0.2">
      <c r="B18" s="1" t="s">
        <v>168</v>
      </c>
      <c r="C18" s="46">
        <f>C13*(1-C12)</f>
        <v>4.0289999999999999E-2</v>
      </c>
    </row>
    <row r="19" spans="2:3" ht="17" customHeight="1" x14ac:dyDescent="0.2">
      <c r="B19" s="1" t="s">
        <v>169</v>
      </c>
      <c r="C19" s="46">
        <f ca="1">C9+C10*C11</f>
        <v>0.14327100000000001</v>
      </c>
    </row>
    <row r="20" spans="2:3" ht="17" customHeight="1" x14ac:dyDescent="0.2">
      <c r="B20" s="1" t="s">
        <v>157</v>
      </c>
      <c r="C20" s="46">
        <f ca="1">(C17*C19)+(C16*C18)</f>
        <v>0.14308798242695808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5" t="s">
        <v>176</v>
      </c>
      <c r="C13" s="235"/>
    </row>
    <row r="14" spans="1:28" x14ac:dyDescent="0.2">
      <c r="B14" s="1" t="s">
        <v>177</v>
      </c>
      <c r="C14" s="141">
        <v>2.5000000000000001E-2</v>
      </c>
    </row>
    <row r="15" spans="1:28" x14ac:dyDescent="0.2">
      <c r="B15" s="1" t="s">
        <v>157</v>
      </c>
      <c r="C15" s="136">
        <f>IF(Overview!C28&gt;0,Overview!C28,WACC!C20)</f>
        <v>0.12</v>
      </c>
    </row>
    <row r="18" spans="2:3" x14ac:dyDescent="0.2">
      <c r="B18" s="235" t="s">
        <v>178</v>
      </c>
      <c r="C18" s="235"/>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5" t="s">
        <v>105</v>
      </c>
      <c r="D2" s="235"/>
      <c r="E2" s="235"/>
      <c r="F2" s="235"/>
      <c r="G2" s="244"/>
      <c r="H2" s="245" t="s">
        <v>106</v>
      </c>
      <c r="I2" s="235"/>
      <c r="J2" s="235"/>
      <c r="K2" s="235"/>
      <c r="L2" s="235"/>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5" t="s">
        <v>197</v>
      </c>
      <c r="C37" s="235"/>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67</v>
      </c>
      <c r="C43" s="88">
        <f>Statement!AC77</f>
        <v>24305</v>
      </c>
    </row>
    <row r="44" spans="2:14" x14ac:dyDescent="0.2">
      <c r="B44" s="142" t="s">
        <v>201</v>
      </c>
      <c r="C44" s="143">
        <f>C42/C43</f>
        <v>364.31185306105914</v>
      </c>
    </row>
    <row r="46" spans="2:14" x14ac:dyDescent="0.2">
      <c r="B46" s="235" t="s">
        <v>202</v>
      </c>
      <c r="C46" s="235"/>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5" t="s">
        <v>319</v>
      </c>
      <c r="C54" s="235"/>
    </row>
    <row r="55" spans="2:3" x14ac:dyDescent="0.2">
      <c r="B55" s="1" t="s">
        <v>205</v>
      </c>
      <c r="C55" s="64">
        <f>L8</f>
        <v>496659.91370982229</v>
      </c>
    </row>
    <row r="56" spans="2:3" x14ac:dyDescent="0.2">
      <c r="B56" s="1" t="s">
        <v>157</v>
      </c>
      <c r="C56" s="136">
        <f>IF(Overview!C28&gt;0,Overview!C28,WACC!C20)</f>
        <v>0.12</v>
      </c>
    </row>
    <row r="57" spans="2:3" x14ac:dyDescent="0.2">
      <c r="B57" s="39" t="s">
        <v>387</v>
      </c>
      <c r="C57" s="105">
        <v>30</v>
      </c>
    </row>
    <row r="58" spans="2:3" x14ac:dyDescent="0.2">
      <c r="B58" s="1" t="s">
        <v>195</v>
      </c>
      <c r="C58" s="24">
        <f>(C55*C57)</f>
        <v>14899797.411294669</v>
      </c>
    </row>
    <row r="59" spans="2:3" x14ac:dyDescent="0.2">
      <c r="B59" s="1" t="s">
        <v>386</v>
      </c>
      <c r="C59" s="24">
        <f>C58/(1+C56)^5-G30+G31</f>
        <v>8508633.1959350575</v>
      </c>
    </row>
    <row r="60" spans="2:3" x14ac:dyDescent="0.2">
      <c r="B60" s="1" t="s">
        <v>67</v>
      </c>
      <c r="C60" s="88">
        <f>Statement!AC77</f>
        <v>24305</v>
      </c>
    </row>
    <row r="61" spans="2:3" x14ac:dyDescent="0.2">
      <c r="B61" s="142" t="s">
        <v>201</v>
      </c>
      <c r="C61" s="143">
        <f>C59/C60</f>
        <v>350.07748183234139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5" t="s">
        <v>207</v>
      </c>
      <c r="C4" s="235"/>
      <c r="N4" s="91"/>
    </row>
    <row r="5" spans="1:14" x14ac:dyDescent="0.2">
      <c r="B5" s="1" t="s">
        <v>208</v>
      </c>
      <c r="C5" s="134">
        <f>DCF!C26</f>
        <v>168.2356845632454</v>
      </c>
    </row>
    <row r="6" spans="1:14" x14ac:dyDescent="0.2">
      <c r="B6" s="1" t="s">
        <v>209</v>
      </c>
      <c r="C6" s="134">
        <f>Multiples!C44</f>
        <v>364.31185306105914</v>
      </c>
    </row>
    <row r="7" spans="1:14" x14ac:dyDescent="0.2">
      <c r="B7" s="1" t="s">
        <v>210</v>
      </c>
      <c r="C7" s="134">
        <f>Multiples!C52</f>
        <v>304.38678708173404</v>
      </c>
    </row>
    <row r="8" spans="1:14" x14ac:dyDescent="0.2">
      <c r="B8" s="1" t="s">
        <v>320</v>
      </c>
      <c r="C8" s="134">
        <f>Multiples!C61</f>
        <v>350.07748183234139</v>
      </c>
    </row>
    <row r="9" spans="1:14" x14ac:dyDescent="0.2">
      <c r="B9" s="142" t="s">
        <v>211</v>
      </c>
      <c r="C9" s="143">
        <f>AVERAGE(C5:C8)</f>
        <v>296.75295163459498</v>
      </c>
    </row>
    <row r="10" spans="1:14" x14ac:dyDescent="0.2">
      <c r="B10" s="1" t="s">
        <v>212</v>
      </c>
      <c r="C10" s="134">
        <f ca="1">Overview!C5</f>
        <v>195.74</v>
      </c>
    </row>
    <row r="11" spans="1:14" x14ac:dyDescent="0.2">
      <c r="B11" s="1" t="s">
        <v>213</v>
      </c>
      <c r="C11" s="155">
        <f ca="1">(C9-C10)/C10</f>
        <v>0.51605676731682315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5" t="s">
        <v>105</v>
      </c>
      <c r="D3" s="235"/>
      <c r="E3" s="235"/>
      <c r="F3" s="235"/>
      <c r="G3" s="244"/>
      <c r="H3" s="245" t="s">
        <v>106</v>
      </c>
      <c r="I3" s="235"/>
      <c r="J3" s="235"/>
      <c r="K3" s="235"/>
      <c r="L3" s="235"/>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195.74</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4736908</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4664806</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2026-06-25T21:53:43Z</dcterms:modified>
</cp:coreProperties>
</file>