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2ED4094-7786-8144-A094-8E98E9598FCD}"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8" i="3" l="1"/>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AA108" i="3" l="1"/>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0" i="12"/>
  <c r="F30"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0" i="12"/>
  <c r="E35" i="7"/>
  <c r="F35" i="7"/>
  <c r="D35" i="7"/>
  <c r="C35" i="7"/>
  <c r="AC82" i="3"/>
  <c r="AC104" i="3" s="1"/>
  <c r="AA147" i="3"/>
  <c r="Q147" i="3"/>
  <c r="N147" i="3"/>
  <c r="P147" i="3"/>
  <c r="O147" i="3"/>
  <c r="M147" i="3"/>
  <c r="C30"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54" i="3"/>
  <c r="AA159" i="3"/>
  <c r="J66" i="20" s="1"/>
  <c r="AA179" i="3"/>
  <c r="AA181" i="3"/>
  <c r="AA180" i="3"/>
  <c r="C64" i="12"/>
  <c r="C44" i="12"/>
  <c r="Q184" i="3"/>
  <c r="P184" i="3"/>
  <c r="O184" i="3"/>
  <c r="N184" i="3"/>
  <c r="M184" i="3"/>
  <c r="AC183" i="3"/>
  <c r="E48" i="17"/>
  <c r="C23" i="11"/>
  <c r="C25" i="14"/>
  <c r="H8" i="5"/>
  <c r="H10" i="5" s="1"/>
  <c r="H7" i="7" s="1"/>
  <c r="I6" i="5"/>
  <c r="H6" i="14"/>
  <c r="H40" i="14" s="1"/>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3" i="12"/>
  <c r="C63" i="12"/>
  <c r="AC185" i="3"/>
  <c r="AC184" i="3"/>
  <c r="H6" i="12"/>
  <c r="H6" i="8"/>
  <c r="H6" i="6"/>
  <c r="C22" i="11"/>
  <c r="C24" i="14"/>
  <c r="C25" i="11"/>
  <c r="C46" i="12"/>
  <c r="C66" i="12"/>
  <c r="I8" i="5"/>
  <c r="J6" i="5"/>
  <c r="H16" i="5"/>
  <c r="I6" i="14"/>
  <c r="I40" i="14" s="1"/>
  <c r="I5" i="12"/>
  <c r="I6" i="11"/>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11" i="6" l="1"/>
  <c r="H12" i="6"/>
  <c r="H13" i="6"/>
  <c r="C5" i="10"/>
  <c r="C7" i="10" s="1"/>
  <c r="AC155" i="3"/>
  <c r="AC173" i="3"/>
  <c r="H28" i="7"/>
  <c r="C32" i="14"/>
  <c r="I16" i="5"/>
  <c r="I10" i="5"/>
  <c r="J8" i="5"/>
  <c r="K6" i="5"/>
  <c r="J6" i="14"/>
  <c r="J40" i="14" s="1"/>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42" i="14"/>
  <c r="D42" i="14"/>
  <c r="G7" i="12"/>
  <c r="D7" i="12"/>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H7" i="8" l="1"/>
  <c r="H8" i="8" s="1"/>
  <c r="H33" i="8" s="1"/>
  <c r="H8" i="7"/>
  <c r="H14" i="6"/>
  <c r="C17" i="10"/>
  <c r="C16" i="10"/>
  <c r="C20" i="10" s="1"/>
  <c r="C21" i="14" s="1"/>
  <c r="AC156" i="3"/>
  <c r="I7" i="17"/>
  <c r="AC166" i="3"/>
  <c r="AC167" i="3"/>
  <c r="AC178" i="3"/>
  <c r="F3" i="1"/>
  <c r="C6" i="16"/>
  <c r="AC163" i="3"/>
  <c r="AC161" i="3"/>
  <c r="I63" i="17"/>
  <c r="C46" i="16"/>
  <c r="F17" i="1"/>
  <c r="C15" i="11"/>
  <c r="C59" i="12"/>
  <c r="C39" i="12"/>
  <c r="I7" i="7"/>
  <c r="I6" i="6"/>
  <c r="I6" i="12"/>
  <c r="I12" i="12" s="1"/>
  <c r="I6" i="8"/>
  <c r="J16" i="5"/>
  <c r="J10" i="5"/>
  <c r="K8" i="5"/>
  <c r="L6" i="5"/>
  <c r="L8" i="5" s="1"/>
  <c r="G41" i="14"/>
  <c r="G45" i="14" s="1"/>
  <c r="H7" i="14"/>
  <c r="K6" i="14"/>
  <c r="K40" i="14" s="1"/>
  <c r="K5" i="12"/>
  <c r="K6" i="11"/>
  <c r="AB14" i="6"/>
  <c r="X22" i="6"/>
  <c r="F13" i="12"/>
  <c r="J26" i="8"/>
  <c r="F13" i="1"/>
  <c r="C26" i="16"/>
  <c r="F23" i="16" s="1"/>
  <c r="J19" i="8"/>
  <c r="J14" i="8"/>
  <c r="K5" i="8"/>
  <c r="K32" i="8" s="1"/>
  <c r="G13" i="12"/>
  <c r="E13" i="12"/>
  <c r="C33" i="12"/>
  <c r="D13" i="12"/>
  <c r="D7" i="11"/>
  <c r="D8" i="12"/>
  <c r="G7" i="11"/>
  <c r="G8" i="12"/>
  <c r="G49" i="14"/>
  <c r="K5" i="6"/>
  <c r="J18" i="6"/>
  <c r="J10" i="6"/>
  <c r="G33" i="12"/>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H14" i="7" l="1"/>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2" i="12" s="1"/>
  <c r="J18" i="5"/>
  <c r="K10" i="5"/>
  <c r="K16" i="5"/>
  <c r="L10" i="5"/>
  <c r="L16" i="5"/>
  <c r="I7" i="14"/>
  <c r="H41" i="14"/>
  <c r="G43" i="14"/>
  <c r="L6" i="14"/>
  <c r="L40" i="14" s="1"/>
  <c r="L5" i="12"/>
  <c r="L6" i="11"/>
  <c r="F14" i="12"/>
  <c r="K26" i="8"/>
  <c r="K19" i="8"/>
  <c r="K14" i="8"/>
  <c r="L5" i="8"/>
  <c r="L32" i="8" s="1"/>
  <c r="E14" i="12"/>
  <c r="G14" i="12"/>
  <c r="C34" i="12"/>
  <c r="D14" i="12"/>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K7" i="11" s="1"/>
  <c r="K10" i="11" s="1"/>
  <c r="I14" i="12"/>
  <c r="J14" i="12"/>
  <c r="L13" i="12"/>
  <c r="L28" i="8"/>
  <c r="C38" i="12"/>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<sst xmlns="http://schemas.openxmlformats.org/spreadsheetml/2006/main" count="765" uniqueCount="415">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</sst>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164.27</v>
    <v>2.2185000000000001</v>
    <v>2.0600999999999998</v>
    <v>9.0600000000000003E-3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229.98</v>
    <v>Semiconductors &amp; Semiconductor Equipment</v>
    <v>Stock</v>
    <v>46287.767407418753</v>
    <v>0</v>
    <v>226.5</v>
    <v>5529506410000</v>
    <v>NVIDIA CORPORATION</v>
    <v>NVIDIA CORPORATION</v>
    <v>226.94</v>
    <v>29.003799999999998</v>
    <v>227.38</v>
    <v>229.4401</v>
    <v>24100000000</v>
    <v>NVDA</v>
    <v>NVIDIA CORPORATION (XNAS:NVDA)</v>
    <v>55208372</v>
    <v>127595005</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opLeftCell="A1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284</v>
      </c>
      <c r="F2" s="239"/>
      <c r="H2" s="238" t="s">
        <v>325</v>
      </c>
      <c r="I2" s="239"/>
    </row>
    <row r="3" spans="2:9" x14ac:dyDescent="0.2">
      <c r="B3" s="186" t="s">
        <v>11</v>
      </c>
      <c r="C3" s="218" t="e" vm="1">
        <v>#VALUE!</v>
      </c>
      <c r="D3" s="2"/>
      <c r="E3" s="186" t="s">
        <v>236</v>
      </c>
      <c r="F3" s="188">
        <f ca="1">Statement!AC155</f>
        <v>5551303.2194999997</v>
      </c>
      <c r="H3" s="186" t="str">
        <f>'AVG target price'!B5</f>
        <v>DCF price</v>
      </c>
      <c r="I3" s="212">
        <f>'AVG target price'!C5</f>
        <v>205.87576455664953</v>
      </c>
    </row>
    <row r="4" spans="2:9" x14ac:dyDescent="0.2">
      <c r="B4" s="186" t="s">
        <v>0</v>
      </c>
      <c r="C4" s="190" t="str" cm="1">
        <f t="array" aca="1" ref="C4" ca="1">_FV(C3,"Ticker symbol",TRUE)</f>
        <v>NVDA</v>
      </c>
      <c r="E4" s="187" t="s">
        <v>180</v>
      </c>
      <c r="F4" s="189">
        <f ca="1">Statement!AC156</f>
        <v>5485200.2194999997</v>
      </c>
      <c r="H4" s="186" t="str">
        <f>'AVG target price'!B6</f>
        <v>EV/EBIT price</v>
      </c>
      <c r="I4" s="212">
        <f>'AVG target price'!C6</f>
        <v>400.40352238327841</v>
      </c>
    </row>
    <row r="5" spans="2:9" x14ac:dyDescent="0.2">
      <c r="B5" s="186" t="s">
        <v>1</v>
      </c>
      <c r="C5" s="209" cm="1">
        <f t="array" aca="1" ref="C5" ca="1">_FV(C3,"Price",TRUE)</f>
        <v>229.4401</v>
      </c>
      <c r="E5" s="186" t="s">
        <v>240</v>
      </c>
      <c r="F5" s="190">
        <f>Statement!AC25</f>
        <v>7.91</v>
      </c>
      <c r="H5" s="186" t="str">
        <f>'AVG target price'!B7</f>
        <v>PS price</v>
      </c>
      <c r="I5" s="212">
        <f>'AVG target price'!C7</f>
        <v>310.77023855090073</v>
      </c>
    </row>
    <row r="6" spans="2:9" x14ac:dyDescent="0.2">
      <c r="B6" s="186" t="s">
        <v>2</v>
      </c>
      <c r="C6" s="209" t="e" cm="1" vm="2">
        <f t="array" ref="C6">_FV(C3,"Price (Extended hours)",TRUE)</f>
        <v>#VALUE!</v>
      </c>
      <c r="E6" s="186" t="s">
        <v>234</v>
      </c>
      <c r="F6" s="191">
        <f ca="1">Statement!AC152</f>
        <v>29.006333754740833</v>
      </c>
      <c r="H6" s="186" t="str">
        <f>'AVG target price'!B8</f>
        <v>EV/FCFF price</v>
      </c>
      <c r="I6" s="212">
        <f>'AVG target price'!C8</f>
        <v>417.53203962582239</v>
      </c>
    </row>
    <row r="7" spans="2:9" x14ac:dyDescent="0.2">
      <c r="B7" s="186" t="s">
        <v>3</v>
      </c>
      <c r="C7" s="6" cm="1">
        <f t="array" aca="1" ref="C7" ca="1">_FV(C3,"Change")</f>
        <v>2.0600999999999998</v>
      </c>
      <c r="E7" s="187" t="s">
        <v>193</v>
      </c>
      <c r="F7" s="192">
        <f ca="1">Statement!AC153</f>
        <v>18.476551065538057</v>
      </c>
      <c r="H7" s="185" t="str">
        <f>'AVG target price'!B9</f>
        <v>AVG price</v>
      </c>
      <c r="I7" s="213">
        <f>'AVG target price'!C9</f>
        <v>333.64539127916277</v>
      </c>
    </row>
    <row r="8" spans="2:9" x14ac:dyDescent="0.2">
      <c r="B8" s="186" t="s">
        <v>4</v>
      </c>
      <c r="C8" s="6" t="e" cm="1" vm="3">
        <f t="array" ref="C8">_FV(C3,"Change (extended hours)",TRUE)</f>
        <v>#VALUE!</v>
      </c>
      <c r="E8" s="186" t="s">
        <v>262</v>
      </c>
      <c r="F8" s="193">
        <f ca="1">Statement!AC163</f>
        <v>2.1574033207068632E-2</v>
      </c>
      <c r="H8" s="185" t="str">
        <f>'AVG target price'!B11</f>
        <v>Upside/Downside</v>
      </c>
      <c r="I8" s="214">
        <f ca="1">'AVG target price'!C11</f>
        <v>0.45417209667866587</v>
      </c>
    </row>
    <row r="9" spans="2:9" x14ac:dyDescent="0.2">
      <c r="B9" s="186" t="s">
        <v>5</v>
      </c>
      <c r="C9" s="73" cm="1">
        <f t="array" aca="1" ref="C9" ca="1">_FV(C3,"Change (%)",TRUE)</f>
        <v>9.0600000000000003E-3</v>
      </c>
      <c r="E9" s="186" t="s">
        <v>285</v>
      </c>
      <c r="F9" s="193">
        <f ca="1">Statement!AC164</f>
        <v>3.4475229046709792E-2</v>
      </c>
    </row>
    <row r="10" spans="2:9" x14ac:dyDescent="0.2">
      <c r="B10" s="186" t="s">
        <v>6</v>
      </c>
      <c r="C10" s="73" t="e" cm="1" vm="4">
        <f t="array" ref="C10">_FV(C3,"Change % (extended hours)",TRUE)</f>
        <v>#VALUE!</v>
      </c>
      <c r="E10" s="186" t="s">
        <v>290</v>
      </c>
      <c r="F10" s="193">
        <f ca="1">Statement!AC166</f>
        <v>9.9643268999783027E-3</v>
      </c>
      <c r="H10" s="185" t="s">
        <v>406</v>
      </c>
      <c r="I10" s="213">
        <f>DDM!C26</f>
        <v>1.6842105263157894</v>
      </c>
    </row>
    <row r="11" spans="2:9" x14ac:dyDescent="0.2">
      <c r="B11" s="186" t="s">
        <v>7</v>
      </c>
      <c r="C11" s="210" cm="1">
        <f t="array" aca="1" ref="C11" ca="1">_FV(C3,"52 week high",TRUE)</f>
        <v>236.54</v>
      </c>
      <c r="E11" s="187" t="s">
        <v>286</v>
      </c>
      <c r="F11" s="194">
        <f ca="1">Statement!AC165</f>
        <v>1.2203620901490193E-3</v>
      </c>
    </row>
    <row r="12" spans="2:9" x14ac:dyDescent="0.2">
      <c r="B12" s="186" t="s">
        <v>8</v>
      </c>
      <c r="C12" s="210" cm="1">
        <f t="array" aca="1" ref="C12" ca="1">_FV(C3,"52 week low",TRUE)</f>
        <v>164.27</v>
      </c>
      <c r="E12" s="186" t="s">
        <v>94</v>
      </c>
      <c r="F12" s="193">
        <f>Statement!AC121</f>
        <v>0.60223497527101955</v>
      </c>
    </row>
    <row r="13" spans="2:9" x14ac:dyDescent="0.2">
      <c r="B13" s="186" t="s">
        <v>9</v>
      </c>
      <c r="C13" s="210" cm="1">
        <f t="array" aca="1" ref="C13" ca="1">_FV(C3,"Beta")</f>
        <v>2.2185000000000001</v>
      </c>
      <c r="E13" s="186" t="s">
        <v>96</v>
      </c>
      <c r="F13" s="193">
        <f>Statement!AC123</f>
        <v>0.84232522796352571</v>
      </c>
    </row>
    <row r="14" spans="2:9" x14ac:dyDescent="0.2">
      <c r="B14" s="187" t="s">
        <v>10</v>
      </c>
      <c r="C14" s="211" cm="1">
        <f t="array" aca="1" ref="C14" ca="1">_FV(C3,"Volume average",TRUE)</f>
        <v>127595005</v>
      </c>
      <c r="E14" s="187" t="s">
        <v>97</v>
      </c>
      <c r="F14" s="194">
        <f>Statement!AC142</f>
        <v>1.0183873919662139</v>
      </c>
    </row>
    <row r="15" spans="2:9" x14ac:dyDescent="0.2">
      <c r="E15" s="186" t="s">
        <v>287</v>
      </c>
      <c r="F15" s="193">
        <f ca="1">Statement!AC178</f>
        <v>1.1907654362637E-2</v>
      </c>
    </row>
    <row r="16" spans="2:9" x14ac:dyDescent="0.2">
      <c r="E16" s="187" t="s">
        <v>292</v>
      </c>
      <c r="F16" s="192">
        <f>Statement!AC177</f>
        <v>2.742863070539419</v>
      </c>
    </row>
    <row r="17" spans="2:9" x14ac:dyDescent="0.2">
      <c r="B17" s="240" t="s">
        <v>83</v>
      </c>
      <c r="C17" s="240"/>
      <c r="E17" s="185" t="s">
        <v>293</v>
      </c>
      <c r="F17" s="195">
        <f>Statement!AC173</f>
        <v>3.9553626782393055E-2</v>
      </c>
    </row>
    <row r="18" spans="2:9" x14ac:dyDescent="0.2">
      <c r="B18" s="185" t="s">
        <v>12</v>
      </c>
      <c r="C18" s="69" t="s">
        <v>342</v>
      </c>
      <c r="E18" s="186" t="s">
        <v>294</v>
      </c>
      <c r="F18" s="191">
        <f>Statement!AC146</f>
        <v>154.53760182273862</v>
      </c>
      <c r="I18" s="50"/>
    </row>
    <row r="19" spans="2:9" x14ac:dyDescent="0.2">
      <c r="B19" s="185" t="s">
        <v>13</v>
      </c>
      <c r="C19" s="70">
        <v>1000000</v>
      </c>
      <c r="E19" s="186" t="s">
        <v>255</v>
      </c>
      <c r="F19" s="191">
        <f>Statement!AC148</f>
        <v>-0.28867955839709325</v>
      </c>
    </row>
    <row r="20" spans="2:9" x14ac:dyDescent="0.2">
      <c r="B20" s="185" t="s">
        <v>84</v>
      </c>
      <c r="C20" s="69" t="s">
        <v>349</v>
      </c>
      <c r="E20" s="187" t="s">
        <v>295</v>
      </c>
      <c r="F20" s="192">
        <f>Statement!AC149</f>
        <v>3.7757270043469164</v>
      </c>
    </row>
    <row r="21" spans="2:9" x14ac:dyDescent="0.2">
      <c r="B21" s="185" t="s">
        <v>85</v>
      </c>
      <c r="C21" s="69" t="s">
        <v>86</v>
      </c>
      <c r="I21" s="50"/>
    </row>
    <row r="22" spans="2:9" x14ac:dyDescent="0.2">
      <c r="B22" s="185" t="s">
        <v>87</v>
      </c>
      <c r="C22" s="69" t="s">
        <v>349</v>
      </c>
    </row>
    <row r="25" spans="2:9" x14ac:dyDescent="0.2">
      <c r="B25" s="240" t="s">
        <v>99</v>
      </c>
      <c r="C25" s="240"/>
      <c r="E25" s="238" t="s">
        <v>339</v>
      </c>
      <c r="F25" s="239"/>
    </row>
    <row r="26" spans="2:9" x14ac:dyDescent="0.2">
      <c r="B26" s="185" t="s">
        <v>100</v>
      </c>
      <c r="C26" s="171">
        <v>0.21</v>
      </c>
      <c r="E26" s="186" t="e" vm="5">
        <v>#VALUE!</v>
      </c>
      <c r="F26" s="220" cm="1">
        <f t="array" aca="1" ref="F26" ca="1">_FV(E26,"Price")</f>
        <v>49.63</v>
      </c>
    </row>
    <row r="27" spans="2:9" x14ac:dyDescent="0.2">
      <c r="B27" s="185" t="s">
        <v>164</v>
      </c>
      <c r="C27" s="222">
        <v>0.05</v>
      </c>
      <c r="E27" s="187" t="s">
        <v>340</v>
      </c>
      <c r="F27" s="221">
        <f ca="1">F26/1000</f>
        <v>4.9630000000000001E-2</v>
      </c>
    </row>
    <row r="28" spans="2:9" x14ac:dyDescent="0.2">
      <c r="B28" s="185" t="s">
        <v>386</v>
      </c>
      <c r="C28" s="222">
        <v>0.12</v>
      </c>
    </row>
    <row r="29" spans="2:9" x14ac:dyDescent="0.2">
      <c r="B29" s="185" t="s">
        <v>396</v>
      </c>
      <c r="C29" s="222">
        <v>0.12</v>
      </c>
    </row>
    <row r="33" spans="2:8" x14ac:dyDescent="0.2">
      <c r="B33" s="237" t="s">
        <v>334</v>
      </c>
      <c r="C33" s="237"/>
      <c r="D33" s="237"/>
      <c r="E33" s="237"/>
      <c r="F33" s="237"/>
      <c r="G33" s="237"/>
      <c r="H33" s="237"/>
    </row>
    <row r="35" spans="2:8" x14ac:dyDescent="0.2">
      <c r="B35" s="16" t="s">
        <v>335</v>
      </c>
      <c r="C35" s="1" t="s">
        <v>377</v>
      </c>
    </row>
    <row r="36" spans="2:8" x14ac:dyDescent="0.2">
      <c r="B36" s="16" t="s">
        <v>336</v>
      </c>
      <c r="C36" s="1" t="s">
        <v>376</v>
      </c>
    </row>
    <row r="39" spans="2:8" ht="6" customHeight="1" x14ac:dyDescent="0.2">
      <c r="B39" s="237"/>
      <c r="C39" s="237"/>
      <c r="D39" s="237"/>
      <c r="E39" s="237"/>
      <c r="F39" s="237"/>
      <c r="G39" s="237"/>
      <c r="H39" s="237"/>
    </row>
    <row r="42" spans="2:8" x14ac:dyDescent="0.2">
      <c r="B42" s="237" t="s">
        <v>337</v>
      </c>
      <c r="C42" s="237"/>
      <c r="D42" s="237"/>
      <c r="E42" s="237"/>
      <c r="F42" s="237"/>
      <c r="G42" s="237"/>
      <c r="H42" s="237"/>
    </row>
    <row r="44" spans="2:8" x14ac:dyDescent="0.2">
      <c r="B44" s="41" t="s">
        <v>338</v>
      </c>
      <c r="C44" s="41" t="s">
        <v>409</v>
      </c>
      <c r="D44" s="41"/>
      <c r="E44" s="41" t="s">
        <v>407</v>
      </c>
    </row>
    <row r="45" spans="2:8" x14ac:dyDescent="0.2">
      <c r="B45" s="1" t="s">
        <v>410</v>
      </c>
      <c r="C45" s="1" t="s">
        <v>411</v>
      </c>
    </row>
    <row r="46" spans="2:8" x14ac:dyDescent="0.2">
      <c r="B46" s="1" t="s">
        <v>410</v>
      </c>
      <c r="C46" s="1" t="s">
        <v>412</v>
      </c>
    </row>
    <row r="47" spans="2:8" x14ac:dyDescent="0.2">
      <c r="B47" s="1" t="s">
        <v>410</v>
      </c>
      <c r="C47" s="1" t="s">
        <v>413</v>
      </c>
    </row>
    <row r="48" spans="2:8" x14ac:dyDescent="0.2">
      <c r="B48" s="1" t="s">
        <v>410</v>
      </c>
      <c r="C48" s="1" t="s">
        <v>414</v>
      </c>
    </row>
    <row r="51" spans="2:8" ht="5" customHeight="1" x14ac:dyDescent="0.2">
      <c r="B51" s="237"/>
      <c r="C51" s="237"/>
      <c r="D51" s="237"/>
      <c r="E51" s="237"/>
      <c r="F51" s="237"/>
      <c r="G51" s="237"/>
      <c r="H51" s="237"/>
    </row>
    <row r="54" spans="2:8" x14ac:dyDescent="0.2">
      <c r="B54" s="237" t="s">
        <v>101</v>
      </c>
      <c r="C54" s="237"/>
      <c r="D54" s="237"/>
      <c r="E54" s="237"/>
      <c r="F54" s="237"/>
      <c r="G54" s="237"/>
      <c r="H54" s="237"/>
    </row>
    <row r="56" spans="2:8" x14ac:dyDescent="0.2">
      <c r="B56" s="41" t="s">
        <v>338</v>
      </c>
      <c r="C56" s="41" t="s">
        <v>409</v>
      </c>
      <c r="D56" s="41"/>
      <c r="E56" s="41" t="s">
        <v>407</v>
      </c>
    </row>
    <row r="61" spans="2:8" ht="5" customHeight="1" x14ac:dyDescent="0.2">
      <c r="B61" s="237"/>
      <c r="C61" s="237"/>
      <c r="D61" s="237"/>
      <c r="E61" s="237"/>
      <c r="F61" s="237"/>
      <c r="G61" s="237"/>
      <c r="H61" s="237"/>
    </row>
  </sheetData>
  <mergeCells count="12">
    <mergeCell ref="B2:C2"/>
    <mergeCell ref="B17:C17"/>
    <mergeCell ref="B25:C25"/>
    <mergeCell ref="E2:F2"/>
    <mergeCell ref="H2:I2"/>
    <mergeCell ref="E25:F25"/>
    <mergeCell ref="B54:H54"/>
    <mergeCell ref="B61:H61"/>
    <mergeCell ref="B33:H33"/>
    <mergeCell ref="B39:H39"/>
    <mergeCell ref="B42:H42"/>
    <mergeCell ref="B51:H5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348</v>
      </c>
      <c r="N2" s="10" t="s">
        <v>347</v>
      </c>
      <c r="O2" s="10" t="s">
        <v>345</v>
      </c>
      <c r="P2" s="10" t="s">
        <v>344</v>
      </c>
      <c r="Q2" s="10" t="s">
        <v>343</v>
      </c>
      <c r="R2" s="7"/>
      <c r="S2" s="7"/>
      <c r="T2" s="10" t="s">
        <v>357</v>
      </c>
      <c r="U2" s="10" t="s">
        <v>344</v>
      </c>
      <c r="V2" s="10" t="s">
        <v>351</v>
      </c>
      <c r="W2" s="10" t="s">
        <v>359</v>
      </c>
      <c r="X2" s="10" t="s">
        <v>355</v>
      </c>
      <c r="Y2" s="10" t="s">
        <v>343</v>
      </c>
      <c r="Z2" s="10" t="s">
        <v>350</v>
      </c>
      <c r="AA2" s="10" t="s">
        <v>408</v>
      </c>
      <c r="AB2" s="7"/>
      <c r="AD2" s="7"/>
      <c r="AE2" s="7"/>
    </row>
    <row r="3" spans="1:31" s="13" customFormat="1" x14ac:dyDescent="0.2">
      <c r="A3" s="11"/>
      <c r="B3" s="12" t="s">
        <v>16</v>
      </c>
      <c r="M3" s="13">
        <v>2022</v>
      </c>
      <c r="N3" s="13">
        <v>2023</v>
      </c>
      <c r="O3" s="13">
        <v>2024</v>
      </c>
      <c r="P3" s="13">
        <v>2025</v>
      </c>
      <c r="Q3" s="13">
        <v>2026</v>
      </c>
      <c r="R3" s="11"/>
      <c r="S3" s="11"/>
      <c r="T3" s="10" t="s">
        <v>358</v>
      </c>
      <c r="U3" s="10" t="s">
        <v>354</v>
      </c>
      <c r="V3" s="10" t="s">
        <v>352</v>
      </c>
      <c r="W3" s="10" t="s">
        <v>360</v>
      </c>
      <c r="X3" s="10" t="s">
        <v>356</v>
      </c>
      <c r="Y3" s="10" t="s">
        <v>353</v>
      </c>
      <c r="Z3" s="10" t="s">
        <v>326</v>
      </c>
      <c r="AA3" s="10" t="s">
        <v>407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346</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327</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391</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332</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327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330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232</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233</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346</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328</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329</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229.4401</v>
      </c>
    </row>
    <row r="115" spans="1:31" x14ac:dyDescent="0.2">
      <c r="B115" s="20" t="s">
        <v>341</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229.4401</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227</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Z130" si="116">IF(T129&gt;T128, "BEAT", IF(T129&lt;T127, "MISSED", "MET"))</f>
        <v>BEAT</v>
      </c>
      <c r="U130" s="229" t="str">
        <f t="shared" si="116"/>
        <v>BEAT</v>
      </c>
      <c r="V130" s="229" t="str">
        <f t="shared" si="116"/>
        <v>BEAT</v>
      </c>
      <c r="W130" s="229" t="str">
        <f t="shared" si="116"/>
        <v>BEAT</v>
      </c>
      <c r="X130" s="229" t="str">
        <f t="shared" si="116"/>
        <v>BEAT</v>
      </c>
      <c r="Y130" s="229" t="str">
        <f t="shared" si="116"/>
        <v>BEAT</v>
      </c>
      <c r="Z130" s="229" t="str">
        <f t="shared" si="116"/>
        <v>BEAT</v>
      </c>
      <c r="AA130" s="229" t="str">
        <f t="shared" ref="AA130" si="117">IF(AA129&gt;AA128, "BEAT", IF(AA129&lt;AA127, "MISSED", "MET"))</f>
        <v>MISSED</v>
      </c>
      <c r="AC130" s="49"/>
    </row>
    <row r="131" spans="2:29" x14ac:dyDescent="0.2">
      <c r="B131" s="20" t="s">
        <v>361</v>
      </c>
      <c r="C131" s="49"/>
      <c r="D131" s="49"/>
      <c r="E131" s="49"/>
      <c r="F131" s="49"/>
      <c r="G131" s="49"/>
      <c r="H131" s="49"/>
      <c r="I131" s="49"/>
      <c r="J131" s="49"/>
      <c r="K131" s="49"/>
      <c r="L131" s="49"/>
      <c r="M131" s="49"/>
      <c r="N131" s="49"/>
      <c r="O131" s="49"/>
      <c r="P131" s="49"/>
      <c r="Q131" s="49"/>
      <c r="T131" s="223">
        <v>0.72499999999999998</v>
      </c>
      <c r="U131" s="223">
        <v>0.70099999999999996</v>
      </c>
      <c r="V131" s="223">
        <v>0.71299999999999997</v>
      </c>
      <c r="W131" s="223">
        <v>0.72799999999999998</v>
      </c>
      <c r="X131" s="223">
        <v>0.74299999999999999</v>
      </c>
      <c r="Y131" s="223">
        <v>0.745</v>
      </c>
      <c r="Z131" s="223">
        <v>0.745</v>
      </c>
      <c r="AA131" s="223">
        <v>0.73499999999999999</v>
      </c>
      <c r="AC131" s="49"/>
    </row>
    <row r="132" spans="2:29" x14ac:dyDescent="0.2">
      <c r="B132" s="20" t="s">
        <v>362</v>
      </c>
      <c r="C132" s="49"/>
      <c r="D132" s="49"/>
      <c r="E132" s="49"/>
      <c r="F132" s="49"/>
      <c r="G132" s="49"/>
      <c r="H132" s="49"/>
      <c r="I132" s="49"/>
      <c r="J132" s="49"/>
      <c r="K132" s="49"/>
      <c r="L132" s="49"/>
      <c r="M132" s="49"/>
      <c r="N132" s="49"/>
      <c r="O132" s="49"/>
      <c r="P132" s="49"/>
      <c r="Q132" s="49"/>
      <c r="T132" s="223">
        <v>0.73499999999999999</v>
      </c>
      <c r="U132" s="223">
        <v>0.71099999999999997</v>
      </c>
      <c r="V132" s="223">
        <v>0.72299999999999998</v>
      </c>
      <c r="W132" s="223">
        <v>0.73799999999999999</v>
      </c>
      <c r="X132" s="223">
        <v>0.754</v>
      </c>
      <c r="Y132" s="223">
        <v>0.754</v>
      </c>
      <c r="Z132" s="223">
        <v>0.754</v>
      </c>
      <c r="AA132" s="223">
        <v>0.745</v>
      </c>
      <c r="AC132" s="49"/>
    </row>
    <row r="133" spans="2:29" x14ac:dyDescent="0.2">
      <c r="B133" s="20" t="s">
        <v>363</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Z134" si="126">IF(T133&gt;T132, "BEAT", IF(T133&lt;T131, "MISSED", "MET"))</f>
        <v>MET</v>
      </c>
      <c r="U134" s="229" t="str">
        <f t="shared" si="126"/>
        <v>MISSED</v>
      </c>
      <c r="V134" s="229" t="str">
        <f t="shared" si="126"/>
        <v>BEAT</v>
      </c>
      <c r="W134" s="229" t="str">
        <f t="shared" si="126"/>
        <v>MET</v>
      </c>
      <c r="X134" s="229" t="str">
        <f t="shared" si="126"/>
        <v>MET</v>
      </c>
      <c r="Y134" s="229" t="str">
        <f t="shared" si="126"/>
        <v>MET</v>
      </c>
      <c r="Z134" s="229" t="str">
        <f t="shared" si="126"/>
        <v>MET</v>
      </c>
      <c r="AA134" s="229" t="str">
        <f t="shared" ref="AA134" si="127">IF(AA133&gt;AA132, "BEAT", IF(AA133&lt;AA131, "MISSED", "MET"))</f>
        <v>MISSED</v>
      </c>
      <c r="AC134" s="49"/>
    </row>
    <row r="135" spans="2:29" x14ac:dyDescent="0.2">
      <c r="B135" s="20" t="s">
        <v>364</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365</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366</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Z138" si="136">IF(T137&gt;T136, "BEAT", IF(T137&lt;T135, "MISSED", "MET"))</f>
        <v>MISSED</v>
      </c>
      <c r="U138" s="229" t="str">
        <f t="shared" si="136"/>
        <v>MISSED</v>
      </c>
      <c r="V138" s="229" t="str">
        <f t="shared" si="136"/>
        <v>MISSED</v>
      </c>
      <c r="W138" s="229" t="str">
        <f t="shared" si="136"/>
        <v>MISSED</v>
      </c>
      <c r="X138" s="229" t="str">
        <f t="shared" si="136"/>
        <v>BEAT</v>
      </c>
      <c r="Y138" s="229" t="str">
        <f t="shared" si="136"/>
        <v>MISSED</v>
      </c>
      <c r="Z138" s="229" t="str">
        <f t="shared" si="136"/>
        <v>MISSED</v>
      </c>
      <c r="AA138" s="229" t="str">
        <f t="shared" ref="AA138" si="137">IF(AA137&gt;AA136, "BEAT", IF(AA137&lt;AA135, "MISSED", "MET"))</f>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Z148" si="155">(T106-T105)/T48</f>
        <v>-0.45562148135783548</v>
      </c>
      <c r="U148" s="180">
        <f t="shared" si="155"/>
        <v>-0.43802236312982967</v>
      </c>
      <c r="V148" s="180">
        <f t="shared" si="155"/>
        <v>-0.53942487744951872</v>
      </c>
      <c r="W148" s="180">
        <f t="shared" si="155"/>
        <v>-0.48261777072035633</v>
      </c>
      <c r="X148" s="180">
        <f t="shared" si="155"/>
        <v>-0.43853923984625348</v>
      </c>
      <c r="Y148" s="180">
        <f t="shared" si="155"/>
        <v>-0.3432320573706395</v>
      </c>
      <c r="Z148" s="180">
        <f t="shared" si="155"/>
        <v>-0.36885723932594616</v>
      </c>
      <c r="AA148" s="180">
        <f t="shared" ref="AA148" si="156">(AA106-AA105)/AA48</f>
        <v>-0.28867955839709325</v>
      </c>
      <c r="AC148" s="180">
        <f>(AC106-AC105)/AC48</f>
        <v>-0.28867955839709325</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Z151" si="161">IF(T12&gt;=0,"N/A",IF(T11&lt;=0,"N/A",T11/-T12))</f>
        <v>N/A</v>
      </c>
      <c r="U151" s="182" t="str">
        <f t="shared" si="161"/>
        <v>N/A</v>
      </c>
      <c r="V151" s="182" t="str">
        <f t="shared" si="161"/>
        <v>N/A</v>
      </c>
      <c r="W151" s="182" t="str">
        <f t="shared" si="161"/>
        <v>N/A</v>
      </c>
      <c r="X151" s="182" t="str">
        <f t="shared" si="161"/>
        <v>N/A</v>
      </c>
      <c r="Y151" s="182" t="str">
        <f t="shared" si="161"/>
        <v>N/A</v>
      </c>
      <c r="Z151" s="182" t="str">
        <f t="shared" si="161"/>
        <v>N/A</v>
      </c>
      <c r="AA151" s="182" t="str">
        <f t="shared" ref="AA151" si="162">IF(AA12&gt;=0,"N/A",IF(AA11&lt;=0,"N/A",AA11/-AA12))</f>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29.006333754740833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18.476551065538057</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24.148003397617302</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144">
        <f>Statement!T115*Statement!T77</f>
        <v>3494984.92</v>
      </c>
      <c r="U155" s="144">
        <f>Statement!U115*Statement!U77</f>
        <v>3515440.38</v>
      </c>
      <c r="V155" s="144">
        <f>Statement!V115*Statement!V77</f>
        <v>2723584.5</v>
      </c>
      <c r="W155" s="144">
        <f>Statement!W115*Statement!W77</f>
        <v>4239223.82</v>
      </c>
      <c r="X155" s="144">
        <f>Statement!X115*Statement!X77</f>
        <v>4549305.12</v>
      </c>
      <c r="Y155" s="144">
        <f>Statement!Y115*Statement!Y77</f>
        <v>4589469.8499999996</v>
      </c>
      <c r="Z155" s="144">
        <f>Statement!Z115*Statement!Z77</f>
        <v>5062002.3500000006</v>
      </c>
      <c r="AA155" s="144">
        <f>Statement!AA115*Statement!AA77</f>
        <v>5004493.8</v>
      </c>
      <c r="AC155" s="144">
        <f ca="1">Statement!AC115*Statement!AC77</f>
        <v>5551303.2194999997</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144">
        <f t="shared" ref="T156:Z156" si="163">T155+T106-T105+T47+T44</f>
        <v>3464959.92</v>
      </c>
      <c r="U156" s="144">
        <f t="shared" si="163"/>
        <v>3480693.38</v>
      </c>
      <c r="V156" s="144">
        <f t="shared" si="163"/>
        <v>2678357.5</v>
      </c>
      <c r="W156" s="144">
        <f t="shared" si="163"/>
        <v>4190898.8200000003</v>
      </c>
      <c r="X156" s="144">
        <f t="shared" si="163"/>
        <v>4497164.12</v>
      </c>
      <c r="Y156" s="144">
        <f t="shared" si="163"/>
        <v>4535481.8499999996</v>
      </c>
      <c r="Z156" s="144">
        <f t="shared" si="163"/>
        <v>4989900.3500000006</v>
      </c>
      <c r="AA156" s="144">
        <f t="shared" ref="AA156" si="164">AA155+AA106-AA105+AA47+AA44</f>
        <v>4938390.8</v>
      </c>
      <c r="AC156" s="144">
        <f ca="1">AC155+AC106-AC105+AC47+AC44</f>
        <v>5485200.2194999997</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18.104823330109681</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27.762060844016823</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260</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46.35201913346247</v>
      </c>
    </row>
    <row r="162" spans="2:29" x14ac:dyDescent="0.2">
      <c r="B162" s="20" t="s">
        <v>261</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39.716182286601416</v>
      </c>
    </row>
    <row r="163" spans="2:29" x14ac:dyDescent="0.2">
      <c r="B163" s="20" t="s">
        <v>262</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2.1574033207068632E-2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3.4475229046709792E-2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1.2203620901490193E-3</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9.9643268999783027E-3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1.1184941183161037E-2</v>
      </c>
    </row>
    <row r="168" spans="2:29" x14ac:dyDescent="0.2">
      <c r="B168" s="20" t="s">
        <v>381</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0.45585507689185656</v>
      </c>
    </row>
    <row r="169" spans="2:29" x14ac:dyDescent="0.2">
      <c r="B169" s="20" t="s">
        <v>382</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0.39530116942657501</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5.6577936608663705E-2</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0.46186667111986907</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0.51844460772853274</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3.9553626782393055E-2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Z175" si="174">T53/T58</f>
        <v>7.1019343127800783E-2</v>
      </c>
      <c r="U175" s="155">
        <f t="shared" si="174"/>
        <v>7.944431080105846E-2</v>
      </c>
      <c r="V175" s="155">
        <f t="shared" si="174"/>
        <v>5.3768147661778655E-2</v>
      </c>
      <c r="W175" s="155">
        <f t="shared" si="174"/>
        <v>0.10569476082004556</v>
      </c>
      <c r="X175" s="155">
        <f t="shared" si="174"/>
        <v>6.9684210526315793E-2</v>
      </c>
      <c r="Y175" s="155">
        <f t="shared" si="174"/>
        <v>4.5122962144238742E-2</v>
      </c>
      <c r="Z175" s="155">
        <f t="shared" si="174"/>
        <v>3.829651994279358E-2</v>
      </c>
      <c r="AA175" s="155">
        <f t="shared" ref="AA175" si="175">AA53/AA58</f>
        <v>8.4146696016945632E-2</v>
      </c>
      <c r="AC175" s="155">
        <f>AC53/AC58</f>
        <v>5.3899569071382318E-2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Z176" si="176">T53/T5</f>
        <v>3.5687817114189613E-2</v>
      </c>
      <c r="U176" s="155">
        <f t="shared" si="176"/>
        <v>3.3586738196333683E-2</v>
      </c>
      <c r="V176" s="155">
        <f t="shared" si="176"/>
        <v>3.3452861876446825E-2</v>
      </c>
      <c r="W176" s="155">
        <f t="shared" si="176"/>
        <v>3.4743170100335882E-2</v>
      </c>
      <c r="X176" s="155">
        <f t="shared" si="176"/>
        <v>2.9032031715959722E-2</v>
      </c>
      <c r="Y176" s="155">
        <f t="shared" si="176"/>
        <v>2.3969938497218429E-2</v>
      </c>
      <c r="Z176" s="155">
        <f t="shared" si="176"/>
        <v>2.3623108497212521E-2</v>
      </c>
      <c r="AA176" s="155">
        <f t="shared" ref="AA176" si="177">AA53/AA5</f>
        <v>2.1055694702819552E-2</v>
      </c>
      <c r="AC176" s="155">
        <f>AC53/AC5</f>
        <v>2.3903435665035038E-2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1.1907654362637E-2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Z179" si="180">-T108/T5</f>
        <v>2.3174277407217378E-2</v>
      </c>
      <c r="U179" s="155">
        <f t="shared" si="180"/>
        <v>2.7382980346291729E-2</v>
      </c>
      <c r="V179" s="155">
        <f t="shared" si="180"/>
        <v>2.7847124506377378E-2</v>
      </c>
      <c r="W179" s="155">
        <f t="shared" si="180"/>
        <v>4.05194360652932E-2</v>
      </c>
      <c r="X179" s="155">
        <f t="shared" si="180"/>
        <v>2.871627547977406E-2</v>
      </c>
      <c r="Y179" s="155">
        <f t="shared" si="180"/>
        <v>1.8847153111101324E-2</v>
      </c>
      <c r="Z179" s="155">
        <f t="shared" si="180"/>
        <v>2.1527905409544815E-2</v>
      </c>
      <c r="AA179" s="155">
        <f t="shared" ref="AA179" si="181">-AA108/AA5</f>
        <v>2.7821369555502438E-2</v>
      </c>
      <c r="AC179" s="155">
        <f>-AC108/AC5</f>
        <v>2.4276411117969163E-2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Z180" si="182">-(T108/T58)</f>
        <v>4.6117193261103862E-2</v>
      </c>
      <c r="U180" s="155">
        <f t="shared" si="182"/>
        <v>6.4770267019485211E-2</v>
      </c>
      <c r="V180" s="155">
        <f t="shared" si="182"/>
        <v>4.4758152768658348E-2</v>
      </c>
      <c r="W180" s="155">
        <f t="shared" si="182"/>
        <v>0.12326716563618614</v>
      </c>
      <c r="X180" s="155">
        <f t="shared" si="182"/>
        <v>6.8926315789473683E-2</v>
      </c>
      <c r="Y180" s="155">
        <f t="shared" si="182"/>
        <v>3.5479414202818457E-2</v>
      </c>
      <c r="Z180" s="155">
        <f t="shared" si="182"/>
        <v>3.4899888765294769E-2</v>
      </c>
      <c r="AA180" s="155">
        <f t="shared" ref="AA180" si="183">-(AA108/AA58)</f>
        <v>0.11118494829090003</v>
      </c>
      <c r="AC180" s="155">
        <f>-(AC108/AC58)</f>
        <v>5.4740586926265808E-2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Z181" si="184">-T108/T52</f>
        <v>1.7008368200836821</v>
      </c>
      <c r="U181" s="155">
        <f t="shared" si="184"/>
        <v>1.9834254143646408</v>
      </c>
      <c r="V181" s="155">
        <f t="shared" si="184"/>
        <v>2.0081833060556464</v>
      </c>
      <c r="W181" s="155">
        <f t="shared" si="184"/>
        <v>2.8353293413173652</v>
      </c>
      <c r="X181" s="155">
        <f t="shared" si="184"/>
        <v>2.1768617021276597</v>
      </c>
      <c r="Y181" s="155">
        <f t="shared" si="184"/>
        <v>1.5832305795314427</v>
      </c>
      <c r="Z181" s="155">
        <f t="shared" si="184"/>
        <v>1.7622868605817452</v>
      </c>
      <c r="AA181" s="155">
        <f t="shared" ref="AA181" si="185">-AA108/AA52</f>
        <v>2.3753327417923691</v>
      </c>
      <c r="AC181" s="155">
        <f>-AC108/AC52</f>
        <v>1.9948467588825602</v>
      </c>
    </row>
    <row r="182" spans="1:31" x14ac:dyDescent="0.2">
      <c r="B182" s="20" t="s">
        <v>395</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392</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393</v>
      </c>
      <c r="M184" s="230">
        <f>IF(AND(M11&gt;0,M106&gt;0),(M106-M105)/M11,"N/A")</f>
        <v>-1.0220097599840654</v>
      </c>
      <c r="N184" s="230">
        <f t="shared" ref="N184:Q184" si="190">IF(AND(N11&gt;0,N106&gt;0),(N106-N105)/N11,"N/A")</f>
        <v>-0.5546875</v>
      </c>
      <c r="O184" s="230">
        <f t="shared" si="190"/>
        <v>-0.49360063083828704</v>
      </c>
      <c r="P184" s="230">
        <f t="shared" si="190"/>
        <v>-0.42658956698955225</v>
      </c>
      <c r="Q184" s="230">
        <f t="shared" si="190"/>
        <v>-0.41482663148933557</v>
      </c>
      <c r="T184" s="49"/>
      <c r="U184" s="49"/>
      <c r="V184" s="49"/>
      <c r="W184" s="49"/>
      <c r="X184" s="49"/>
      <c r="Y184" s="49"/>
      <c r="Z184" s="49"/>
      <c r="AA184" s="49"/>
      <c r="AC184" s="230">
        <f t="shared" ref="AC184" si="191">IF(AND(AC11&gt;0,AC106&gt;0),(AC106-AC105)/AC11,"N/A")</f>
        <v>-0.33456490821392959</v>
      </c>
    </row>
    <row r="185" spans="1:31" x14ac:dyDescent="0.2">
      <c r="B185" s="20" t="s">
        <v>394</v>
      </c>
      <c r="M185" s="230">
        <f>M5/(M106+M110-M105)</f>
        <v>1.6461162079510703</v>
      </c>
      <c r="N185" s="230">
        <f t="shared" ref="N185:Q185" si="192">N5/(N106+N110-N105)</f>
        <v>1.3652191517360057</v>
      </c>
      <c r="O185" s="230">
        <f t="shared" si="192"/>
        <v>2.2814665018911731</v>
      </c>
      <c r="P185" s="230">
        <f t="shared" si="192"/>
        <v>2.9272543741588155</v>
      </c>
      <c r="Q185" s="230">
        <f t="shared" si="192"/>
        <v>2.0923211084734268</v>
      </c>
      <c r="T185" s="49"/>
      <c r="U185" s="49"/>
      <c r="V185" s="49"/>
      <c r="W185" s="49"/>
      <c r="X185" s="49"/>
      <c r="Y185" s="49"/>
      <c r="Z185" s="49"/>
      <c r="AA185" s="49"/>
      <c r="AC185" s="230">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4" t="s">
        <v>367</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4" t="s">
        <v>368</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369</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370</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367</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4" t="s">
        <v>368</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369</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370</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387</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388</v>
      </c>
      <c r="M207" s="144">
        <v>100</v>
      </c>
      <c r="N207" s="144">
        <f>100*(1+((N115-$M115)/ABS($M115)))</f>
        <v>89.141856392294216</v>
      </c>
      <c r="O207" s="144">
        <f t="shared" ref="O207:Q207" si="204">100*(1+((O115-$M115)/ABS($M115)))</f>
        <v>267.20665499124345</v>
      </c>
      <c r="P207" s="144">
        <f t="shared" si="204"/>
        <v>624.43082311733804</v>
      </c>
      <c r="Q207" s="144">
        <f t="shared" si="204"/>
        <v>821.67250437828375</v>
      </c>
      <c r="T207" s="49"/>
      <c r="U207" s="49"/>
      <c r="V207" s="49"/>
      <c r="W207" s="49"/>
      <c r="X207" s="49"/>
      <c r="Y207" s="49"/>
      <c r="Z207" s="49"/>
      <c r="AA207" s="49"/>
      <c r="AC207" s="49"/>
    </row>
    <row r="208" spans="2:29" x14ac:dyDescent="0.2">
      <c r="B208" s="20" t="s">
        <v>389</v>
      </c>
      <c r="M208" s="144">
        <v>100</v>
      </c>
      <c r="N208" s="144">
        <f>100*(1+((N5-$M5)/ABS($M5)))</f>
        <v>100.2229323028907</v>
      </c>
      <c r="O208" s="144">
        <f t="shared" ref="O208:Q208" si="205">100*(1+((O5-$M5)/ABS($M5)))</f>
        <v>226.35802927844244</v>
      </c>
      <c r="P208" s="144">
        <f t="shared" si="205"/>
        <v>484.86661217210371</v>
      </c>
      <c r="Q208" s="144">
        <f t="shared" si="205"/>
        <v>802.32592702682621</v>
      </c>
      <c r="T208" s="49"/>
      <c r="U208" s="49"/>
      <c r="V208" s="49"/>
      <c r="W208" s="49"/>
      <c r="X208" s="49"/>
      <c r="Y208" s="49"/>
      <c r="Z208" s="49"/>
      <c r="AA208" s="49"/>
      <c r="AC208" s="49"/>
    </row>
    <row r="209" spans="1:31" x14ac:dyDescent="0.2">
      <c r="B209" s="20" t="s">
        <v>390</v>
      </c>
      <c r="M209" s="144">
        <v>100</v>
      </c>
      <c r="N209" s="144">
        <f>100*(1+((N25-$M25)/ABS($M25)))</f>
        <v>45.194805194805184</v>
      </c>
      <c r="O209" s="144">
        <f t="shared" ref="O209:Q209" si="206">100*(1+((O25-$M25)/ABS($M25)))</f>
        <v>309.87012987012992</v>
      </c>
      <c r="P209" s="144">
        <f t="shared" si="206"/>
        <v>763.63636363636363</v>
      </c>
      <c r="Q209" s="144">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7" t="s">
        <v>230</v>
      </c>
      <c r="C4" s="237"/>
      <c r="E4" s="237" t="s">
        <v>237</v>
      </c>
      <c r="F4" s="237"/>
      <c r="G4" s="237"/>
    </row>
    <row r="5" spans="2:7" x14ac:dyDescent="0.2">
      <c r="B5" s="20" t="s">
        <v>1</v>
      </c>
      <c r="C5" s="173">
        <f ca="1">Overview!C5</f>
        <v>229.4401</v>
      </c>
      <c r="E5" s="12"/>
      <c r="F5" s="133" t="s">
        <v>238</v>
      </c>
      <c r="G5" s="133" t="s">
        <v>239</v>
      </c>
    </row>
    <row r="6" spans="2:7" x14ac:dyDescent="0.2">
      <c r="B6" s="20" t="s">
        <v>236</v>
      </c>
      <c r="C6" s="174">
        <f ca="1">Statement!AC155</f>
        <v>5551303.2194999997</v>
      </c>
      <c r="E6" s="20" t="s">
        <v>19</v>
      </c>
      <c r="F6" s="179">
        <f>IF(Statement!M5&lt;=0,"N/A",_xlfn.RRI(4,Statement!M5,Statement!Q5))</f>
        <v>0.68301391480282692</v>
      </c>
      <c r="G6" s="179" t="str">
        <f>IF(Statement!H5&lt;=0,"N/A",_xlfn.RRI(9,Statement!H5,Statement!Q5))</f>
        <v>N/A</v>
      </c>
    </row>
    <row r="7" spans="2:7" x14ac:dyDescent="0.2">
      <c r="B7" s="20" t="s">
        <v>180</v>
      </c>
      <c r="C7" s="174">
        <f ca="1">Statement!AC156</f>
        <v>5485200.2194999997</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29.006333754740833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18.476551065538057</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24.148003397617302</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18.104823330109681</v>
      </c>
    </row>
    <row r="12" spans="2:7" x14ac:dyDescent="0.2">
      <c r="B12" s="20" t="s">
        <v>196</v>
      </c>
      <c r="C12" s="175">
        <f ca="1">Statement!AC158</f>
        <v>27.762060844016823</v>
      </c>
    </row>
    <row r="15" spans="2:7" x14ac:dyDescent="0.2">
      <c r="B15" s="237" t="s">
        <v>75</v>
      </c>
      <c r="C15" s="237"/>
      <c r="E15" s="237" t="s">
        <v>243</v>
      </c>
      <c r="F15" s="237"/>
    </row>
    <row r="16" spans="2:7" x14ac:dyDescent="0.2">
      <c r="B16" s="20" t="s">
        <v>76</v>
      </c>
      <c r="C16" s="176">
        <f>Statement!AC99</f>
        <v>0.74674636679000161</v>
      </c>
      <c r="E16" s="20" t="s">
        <v>29</v>
      </c>
      <c r="F16" s="174">
        <f>Statement!AC17</f>
        <v>192879</v>
      </c>
    </row>
    <row r="17" spans="2:6" x14ac:dyDescent="0.2">
      <c r="B17" s="20" t="s">
        <v>77</v>
      </c>
      <c r="C17" s="176">
        <f>Statement!AC100</f>
        <v>0.65214262845373616</v>
      </c>
      <c r="E17" s="20" t="s">
        <v>244</v>
      </c>
      <c r="F17" s="174">
        <f>Statement!AC58</f>
        <v>134361</v>
      </c>
    </row>
    <row r="18" spans="2:6" x14ac:dyDescent="0.2">
      <c r="B18" s="20" t="s">
        <v>78</v>
      </c>
      <c r="C18" s="176">
        <f>Statement!AC101</f>
        <v>0.63662949014585646</v>
      </c>
      <c r="E18" s="20" t="s">
        <v>251</v>
      </c>
      <c r="F18" s="178">
        <f>IF(OR(F16&lt;=0, F17&lt;=0),"N/A",F16-F17)</f>
        <v>58518</v>
      </c>
    </row>
    <row r="21" spans="2:6" x14ac:dyDescent="0.2">
      <c r="B21" s="237" t="s">
        <v>242</v>
      </c>
      <c r="C21" s="237"/>
      <c r="E21" s="237" t="s">
        <v>246</v>
      </c>
      <c r="F21" s="237"/>
    </row>
    <row r="22" spans="2:6" x14ac:dyDescent="0.2">
      <c r="B22" s="20" t="s">
        <v>92</v>
      </c>
      <c r="C22" s="176">
        <f>Statement!AC119</f>
        <v>0.63662949014585646</v>
      </c>
      <c r="E22" s="20" t="s">
        <v>94</v>
      </c>
      <c r="F22" s="176">
        <f>C24</f>
        <v>0.60223497527101955</v>
      </c>
    </row>
    <row r="23" spans="2:6" x14ac:dyDescent="0.2">
      <c r="B23" s="20" t="s">
        <v>93</v>
      </c>
      <c r="C23" s="175">
        <f>Statement!AC120</f>
        <v>0.94597404705999899</v>
      </c>
      <c r="E23" s="20" t="s">
        <v>96</v>
      </c>
      <c r="F23" s="176">
        <f>C26</f>
        <v>0.84232522796352571</v>
      </c>
    </row>
    <row r="24" spans="2:6" x14ac:dyDescent="0.2">
      <c r="B24" s="32" t="s">
        <v>94</v>
      </c>
      <c r="C24" s="177">
        <f>Statement!AC121</f>
        <v>0.60223497527101955</v>
      </c>
      <c r="E24" s="20" t="s">
        <v>97</v>
      </c>
      <c r="F24" s="176">
        <f>Statement!AC142</f>
        <v>1.0183873919662139</v>
      </c>
    </row>
    <row r="25" spans="2:6" x14ac:dyDescent="0.2">
      <c r="B25" s="20" t="s">
        <v>95</v>
      </c>
      <c r="C25" s="175">
        <f>Statement!AC122</f>
        <v>1.3986654089368689</v>
      </c>
    </row>
    <row r="26" spans="2:6" x14ac:dyDescent="0.2">
      <c r="B26" s="32" t="s">
        <v>96</v>
      </c>
      <c r="C26" s="177">
        <f>Statement!AC123</f>
        <v>0.84232522796352571</v>
      </c>
    </row>
    <row r="29" spans="2:6" x14ac:dyDescent="0.2">
      <c r="B29" s="237" t="s">
        <v>247</v>
      </c>
      <c r="C29" s="237"/>
      <c r="E29" s="237" t="s">
        <v>253</v>
      </c>
      <c r="F29" s="237"/>
    </row>
    <row r="30" spans="2:6" x14ac:dyDescent="0.2">
      <c r="B30" s="20" t="s">
        <v>131</v>
      </c>
      <c r="C30" s="175">
        <f>Statement!AC143</f>
        <v>75.969934217692241</v>
      </c>
      <c r="E30" s="20" t="s">
        <v>254</v>
      </c>
      <c r="F30" s="181">
        <f>Statement!AC147</f>
        <v>0.1452765258708032</v>
      </c>
    </row>
    <row r="31" spans="2:6" x14ac:dyDescent="0.2">
      <c r="B31" s="20" t="s">
        <v>132</v>
      </c>
      <c r="C31" s="175">
        <f>Statement!AC144</f>
        <v>150.20429308726929</v>
      </c>
      <c r="E31" s="20" t="s">
        <v>255</v>
      </c>
      <c r="F31" s="181">
        <f>Statement!AC148</f>
        <v>-0.28867955839709325</v>
      </c>
    </row>
    <row r="32" spans="2:6" x14ac:dyDescent="0.2">
      <c r="B32" s="20" t="s">
        <v>133</v>
      </c>
      <c r="C32" s="175">
        <f>Statement!AC145</f>
        <v>71.636625482222911</v>
      </c>
      <c r="E32" s="20" t="s">
        <v>250</v>
      </c>
      <c r="F32" s="181">
        <f>Statement!AC150</f>
        <v>4.5889490690160164</v>
      </c>
    </row>
    <row r="33" spans="2:6" x14ac:dyDescent="0.2">
      <c r="B33" s="20" t="s">
        <v>134</v>
      </c>
      <c r="C33" s="175">
        <f>Statement!AC146</f>
        <v>154.53760182273862</v>
      </c>
      <c r="E33" s="20" t="s">
        <v>249</v>
      </c>
      <c r="F33" s="181">
        <f>Statement!AC149</f>
        <v>3.7757270043469164</v>
      </c>
    </row>
    <row r="34" spans="2:6" x14ac:dyDescent="0.2">
      <c r="E34" s="20" t="s">
        <v>256</v>
      </c>
      <c r="F34" s="183" t="str">
        <f>Statement!AC151</f>
        <v>N/A</v>
      </c>
    </row>
    <row r="37" spans="2:6" x14ac:dyDescent="0.2">
      <c r="B37" s="237" t="s">
        <v>265</v>
      </c>
      <c r="C37" s="237"/>
      <c r="E37" s="237" t="s">
        <v>268</v>
      </c>
      <c r="F37" s="237"/>
    </row>
    <row r="38" spans="2:6" x14ac:dyDescent="0.2">
      <c r="B38" s="20" t="s">
        <v>263</v>
      </c>
      <c r="C38" s="176">
        <f ca="1">Statement!AC164</f>
        <v>3.4475229046709792E-2</v>
      </c>
      <c r="E38" s="20" t="s">
        <v>267</v>
      </c>
      <c r="F38" s="176">
        <f>Statement!AC170</f>
        <v>5.6577936608663705E-2</v>
      </c>
    </row>
    <row r="39" spans="2:6" x14ac:dyDescent="0.2">
      <c r="B39" s="54" t="s">
        <v>266</v>
      </c>
      <c r="C39" s="216">
        <f ca="1">Statement!AC163</f>
        <v>2.1574033207068632E-2</v>
      </c>
      <c r="E39" s="20" t="s">
        <v>269</v>
      </c>
      <c r="F39" s="176">
        <f>Statement!AC171</f>
        <v>0.46186667111986907</v>
      </c>
    </row>
    <row r="40" spans="2:6" x14ac:dyDescent="0.2">
      <c r="B40" s="20" t="s">
        <v>264</v>
      </c>
      <c r="C40" s="176">
        <f ca="1">Statement!AC165</f>
        <v>1.2203620901490193E-3</v>
      </c>
      <c r="E40" s="20" t="s">
        <v>270</v>
      </c>
      <c r="F40" s="176">
        <f>Statement!AC172</f>
        <v>0.51844460772853274</v>
      </c>
    </row>
    <row r="41" spans="2:6" x14ac:dyDescent="0.2">
      <c r="B41" s="20" t="s">
        <v>289</v>
      </c>
      <c r="C41" s="176">
        <f ca="1">Statement!AC166</f>
        <v>9.9643268999783027E-3</v>
      </c>
    </row>
    <row r="42" spans="2:6" x14ac:dyDescent="0.2">
      <c r="B42" s="20" t="s">
        <v>291</v>
      </c>
      <c r="C42" s="176">
        <f ca="1">Statement!AC167</f>
        <v>1.1184941183161037E-2</v>
      </c>
    </row>
    <row r="45" spans="2:6" x14ac:dyDescent="0.2">
      <c r="B45" s="237" t="s">
        <v>276</v>
      </c>
      <c r="C45" s="237"/>
      <c r="E45" s="237" t="s">
        <v>282</v>
      </c>
      <c r="F45" s="237"/>
    </row>
    <row r="46" spans="2:6" x14ac:dyDescent="0.2">
      <c r="B46" s="20" t="s">
        <v>274</v>
      </c>
      <c r="C46" s="176">
        <f>Statement!AC173</f>
        <v>3.9553626782393055E-2</v>
      </c>
      <c r="E46" s="20" t="s">
        <v>275</v>
      </c>
      <c r="F46" s="175">
        <f>Statement!AC174</f>
        <v>4.1231950207468877</v>
      </c>
    </row>
    <row r="47" spans="2:6" x14ac:dyDescent="0.2">
      <c r="E47" s="20" t="s">
        <v>283</v>
      </c>
      <c r="F47" s="175">
        <f>Statement!AC177</f>
        <v>2.742863070539419</v>
      </c>
    </row>
    <row r="48" spans="2:6" x14ac:dyDescent="0.2">
      <c r="E48" s="20" t="s">
        <v>288</v>
      </c>
      <c r="F48" s="176">
        <f ca="1">Statement!AC178</f>
        <v>1.1907654362637E-2</v>
      </c>
    </row>
    <row r="51" spans="2:6" x14ac:dyDescent="0.2">
      <c r="B51" s="237" t="s">
        <v>279</v>
      </c>
      <c r="C51" s="237"/>
      <c r="E51" s="237" t="s">
        <v>300</v>
      </c>
      <c r="F51" s="237"/>
    </row>
    <row r="52" spans="2:6" x14ac:dyDescent="0.2">
      <c r="B52" s="20" t="s">
        <v>277</v>
      </c>
      <c r="C52" s="176">
        <f>Statement!AC175</f>
        <v>5.3899569071382318E-2</v>
      </c>
      <c r="E52" s="20" t="s">
        <v>301</v>
      </c>
      <c r="F52" s="176">
        <f>Statement!AC179</f>
        <v>2.4276411117969163E-2</v>
      </c>
    </row>
    <row r="53" spans="2:6" x14ac:dyDescent="0.2">
      <c r="B53" s="20" t="s">
        <v>278</v>
      </c>
      <c r="C53" s="176">
        <f>Statement!AC176</f>
        <v>2.3903435665035038E-2</v>
      </c>
      <c r="E53" s="20" t="s">
        <v>298</v>
      </c>
      <c r="F53" s="176">
        <f>Statement!AC180</f>
        <v>5.4740586926265808E-2</v>
      </c>
    </row>
    <row r="54" spans="2:6" x14ac:dyDescent="0.2">
      <c r="E54" s="20" t="s">
        <v>299</v>
      </c>
      <c r="F54" s="176">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229.4401</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5551303.2194999997</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5485200.2194999997</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29.006333754740833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18.476551065538057</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24.148003397617302</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18.104823330109681</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27.762060844016823</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0.74674636679000161</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0.65214262845373616</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0.63662949014585646</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192879</v>
      </c>
    </row>
    <row r="22" spans="2:9" x14ac:dyDescent="0.2">
      <c r="B22" s="20" t="s">
        <v>244</v>
      </c>
      <c r="C22" s="178">
        <f>Statement!M58</f>
        <v>9108</v>
      </c>
      <c r="D22" s="178">
        <f>Statement!N58</f>
        <v>5641</v>
      </c>
      <c r="E22" s="178">
        <f>Statement!O58</f>
        <v>28090</v>
      </c>
      <c r="F22" s="178">
        <f>Statement!P58</f>
        <v>64089</v>
      </c>
      <c r="G22" s="178">
        <f>Statement!Q58</f>
        <v>102718</v>
      </c>
      <c r="I22" s="178">
        <f>Statement!AC58</f>
        <v>134361</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58518</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0.63662949014585646</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0.94597404705999899</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0.60223497527101955</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1.3986654089368689</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0.84232522796352571</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0.60223497527101955</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0.84232522796352571</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1.0183873919662139</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75.969934217692241</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150.20429308726929</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71.636625482222911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154.53760182273862</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0.1452765258708032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-0.28867955839709325</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3.7757270043469164</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4.5889490690160164</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3.4475229046709792E-2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2.1574033207068632E-2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1.2203620901490193E-3</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9.9643268999783027E-3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1.1184941183161037E-2</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5.6577936608663705E-2</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0.46186667111986907</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0.51844460772853274</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3.9553626782393055E-2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4.1231950207468877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2.742863070539419</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1.1907654362637E-2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5.3899569071382318E-2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2.3903435665035038E-2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2.4276411117969163E-2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5.4740586926265808E-2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1.9948467588825602</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367</v>
      </c>
      <c r="C89" s="176">
        <f>Statement!M196</f>
        <v>0</v>
      </c>
      <c r="D89" s="176">
        <f>Statement!N196</f>
        <v>0</v>
      </c>
      <c r="E89" s="176">
        <f>Statement!O196</f>
        <v>0</v>
      </c>
      <c r="F89" s="176">
        <f>Statement!P196</f>
        <v>1</v>
      </c>
      <c r="G89" s="176">
        <f>Statement!Q196</f>
        <v>0.96364041936203437</v>
      </c>
      <c r="I89" s="198"/>
    </row>
    <row r="90" spans="2:9" x14ac:dyDescent="0.2">
      <c r="B90" s="224" t="s">
        <v>368</v>
      </c>
      <c r="C90" s="176">
        <f>Statement!M197</f>
        <v>0</v>
      </c>
      <c r="D90" s="176">
        <f>Statement!N197</f>
        <v>0</v>
      </c>
      <c r="E90" s="176">
        <f>Statement!O197</f>
        <v>0</v>
      </c>
      <c r="F90" s="176">
        <f>Statement!P197</f>
        <v>1</v>
      </c>
      <c r="G90" s="176">
        <f>Statement!Q197</f>
        <v>0.43510343704186349</v>
      </c>
      <c r="I90" s="198"/>
    </row>
    <row r="91" spans="2:9" x14ac:dyDescent="0.2">
      <c r="B91" s="20" t="s">
        <v>369</v>
      </c>
      <c r="C91" s="176">
        <f>Statement!M198</f>
        <v>0</v>
      </c>
      <c r="D91" s="176">
        <f>Statement!N198</f>
        <v>0</v>
      </c>
      <c r="E91" s="176">
        <f>Statement!O198</f>
        <v>0</v>
      </c>
      <c r="F91" s="176">
        <f>Statement!P198</f>
        <v>1</v>
      </c>
      <c r="G91" s="176">
        <f>Statement!Q198</f>
        <v>0.68194919521469621</v>
      </c>
      <c r="I91" s="198"/>
    </row>
    <row r="92" spans="2:9" x14ac:dyDescent="0.2">
      <c r="B92" s="20" t="s">
        <v>370</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26.04.2026</v>
      </c>
      <c r="D4" s="204" t="str">
        <f>Statement!AA2</f>
        <v>26.07.2026</v>
      </c>
      <c r="F4" s="205" t="str">
        <f>Statement!W2</f>
        <v>27.07.2025</v>
      </c>
      <c r="G4" s="204" t="str">
        <f>Statement!AA2</f>
        <v>26.07.2026</v>
      </c>
    </row>
    <row r="5" spans="2:7" x14ac:dyDescent="0.2">
      <c r="B5" s="8" t="s">
        <v>316</v>
      </c>
      <c r="C5" s="10" t="str">
        <f>Statement!Z3</f>
        <v>Q1 2027</v>
      </c>
      <c r="D5" s="204" t="str">
        <f>Statement!AA3</f>
        <v>Q2 2027</v>
      </c>
      <c r="F5" s="205" t="str">
        <f>Statement!W3</f>
        <v>Q2 2026</v>
      </c>
      <c r="G5" s="204" t="str">
        <f>Statement!AA3</f>
        <v>Q2 2027</v>
      </c>
    </row>
    <row r="6" spans="2:7" x14ac:dyDescent="0.2">
      <c r="B6" s="206" t="s">
        <v>19</v>
      </c>
      <c r="C6" s="200">
        <f>Statement!Z5</f>
        <v>81615</v>
      </c>
      <c r="D6" s="199">
        <f>Statement!AA5</f>
        <v>96221</v>
      </c>
      <c r="F6" s="200">
        <f>Statement!W5</f>
        <v>46743</v>
      </c>
      <c r="G6" s="199">
        <f>Statement!AA5</f>
        <v>96221</v>
      </c>
    </row>
    <row r="7" spans="2:7" x14ac:dyDescent="0.2">
      <c r="B7" s="207" t="s">
        <v>312</v>
      </c>
      <c r="C7" s="244">
        <f>Statement!AA88</f>
        <v>0.17896220057587453</v>
      </c>
      <c r="D7" s="245"/>
      <c r="F7" s="244">
        <f>IF(F6=0,
IF(G6=0,0,IF(G6&gt;0,1,-1)),
(G6-F6)/ABS(F6)
)</f>
        <v>1.0585114348672529</v>
      </c>
      <c r="G7" s="245"/>
    </row>
    <row r="8" spans="2:7" x14ac:dyDescent="0.2">
      <c r="B8" s="208" t="s">
        <v>20</v>
      </c>
      <c r="C8" s="201">
        <f>Statement!Z6</f>
        <v>20458</v>
      </c>
      <c r="D8" s="199">
        <f>Statement!AA6</f>
        <v>24079</v>
      </c>
      <c r="F8" s="201">
        <f>Statement!W6</f>
        <v>12890</v>
      </c>
      <c r="G8" s="199">
        <f>Statement!AA6</f>
        <v>24079</v>
      </c>
    </row>
    <row r="9" spans="2:7" x14ac:dyDescent="0.2">
      <c r="B9" s="207" t="s">
        <v>312</v>
      </c>
      <c r="C9" s="244">
        <f>Statement!AA89</f>
        <v>0.17699677387818946</v>
      </c>
      <c r="D9" s="245"/>
      <c r="F9" s="244">
        <f>IF(F8=0,
IF(G8=0,0,IF(G8&gt;0,1,-1)),
(G8-F8)/ABS(F8)
)</f>
        <v>0.86803723816912337</v>
      </c>
      <c r="G9" s="245"/>
    </row>
    <row r="10" spans="2:7" x14ac:dyDescent="0.2">
      <c r="B10" s="208" t="s">
        <v>21</v>
      </c>
      <c r="C10" s="201">
        <f>Statement!Z7</f>
        <v>61157</v>
      </c>
      <c r="D10" s="199">
        <f>Statement!AA7</f>
        <v>72142</v>
      </c>
      <c r="F10" s="201">
        <f>Statement!W7</f>
        <v>33853</v>
      </c>
      <c r="G10" s="199">
        <f>Statement!AA7</f>
        <v>72142</v>
      </c>
    </row>
    <row r="11" spans="2:7" x14ac:dyDescent="0.2">
      <c r="B11" s="207" t="s">
        <v>312</v>
      </c>
      <c r="C11" s="244">
        <f>Statement!AA90</f>
        <v>0.17961966741337868</v>
      </c>
      <c r="D11" s="245"/>
      <c r="F11" s="244">
        <f>IF(F10=0,
IF(G10=0,0,IF(G10&gt;0,1,-1)),
(G10-F10)/ABS(F10)
)</f>
        <v>1.1310371311257497</v>
      </c>
      <c r="G11" s="245"/>
    </row>
    <row r="12" spans="2:7" x14ac:dyDescent="0.2">
      <c r="B12" s="208" t="s">
        <v>23</v>
      </c>
      <c r="C12" s="201">
        <f>Statement!Z10</f>
        <v>7621</v>
      </c>
      <c r="D12" s="199">
        <f>Statement!AA10</f>
        <v>8408</v>
      </c>
      <c r="F12" s="201">
        <f>Statement!W10</f>
        <v>5413</v>
      </c>
      <c r="G12" s="199">
        <f>Statement!AA10</f>
        <v>8408</v>
      </c>
    </row>
    <row r="13" spans="2:7" x14ac:dyDescent="0.2">
      <c r="B13" s="207" t="s">
        <v>312</v>
      </c>
      <c r="C13" s="244">
        <f>Statement!AA93</f>
        <v>0.10326728775751214</v>
      </c>
      <c r="D13" s="245"/>
      <c r="F13" s="244">
        <f>IF(F12=0,
IF(G12=0,0,IF(G12&gt;0,1,-1)),
(G12-F12)/ABS(F12)
)</f>
        <v>0.55329761684832812</v>
      </c>
      <c r="G13" s="245"/>
    </row>
    <row r="14" spans="2:7" x14ac:dyDescent="0.2">
      <c r="B14" s="208" t="s">
        <v>313</v>
      </c>
      <c r="C14" s="201">
        <f>Statement!Z11</f>
        <v>53536</v>
      </c>
      <c r="D14" s="199">
        <f>Statement!AA11</f>
        <v>63734</v>
      </c>
      <c r="F14" s="201">
        <f>Statement!W11</f>
        <v>28440</v>
      </c>
      <c r="G14" s="199">
        <f>Statement!AA11</f>
        <v>63734</v>
      </c>
    </row>
    <row r="15" spans="2:7" x14ac:dyDescent="0.2">
      <c r="B15" s="207" t="s">
        <v>312</v>
      </c>
      <c r="C15" s="244">
        <f>Statement!AA94</f>
        <v>0.19048864315600716</v>
      </c>
      <c r="D15" s="245"/>
      <c r="F15" s="244">
        <f>IF(F14=0,
IF(G14=0,0,IF(G14&gt;0,1,-1)),
(G14-F14)/ABS(F14)
)</f>
        <v>1.240998593530239</v>
      </c>
      <c r="G15" s="245"/>
    </row>
    <row r="16" spans="2:7" x14ac:dyDescent="0.2">
      <c r="B16" s="208" t="s">
        <v>29</v>
      </c>
      <c r="C16" s="201">
        <f>Statement!Z17</f>
        <v>58321</v>
      </c>
      <c r="D16" s="199">
        <f>Statement!AA17</f>
        <v>59688</v>
      </c>
      <c r="F16" s="201">
        <f>Statement!W17</f>
        <v>26422</v>
      </c>
      <c r="G16" s="199">
        <f>Statement!AA17</f>
        <v>59688</v>
      </c>
    </row>
    <row r="17" spans="2:7" x14ac:dyDescent="0.2">
      <c r="B17" s="207" t="s">
        <v>312</v>
      </c>
      <c r="C17" s="244">
        <f>Statement!AA96</f>
        <v>2.3439241439618664E-2</v>
      </c>
      <c r="D17" s="245"/>
      <c r="F17" s="244">
        <f>IF(F16=0,
IF(G16=0,0,IF(G16&gt;0,1,-1)),
(G16-F16)/ABS(F16)
)</f>
        <v>1.2590265687684505</v>
      </c>
      <c r="G17" s="245"/>
    </row>
    <row r="18" spans="2:7" x14ac:dyDescent="0.2">
      <c r="B18" s="208" t="s">
        <v>314</v>
      </c>
      <c r="C18" s="201">
        <f>Statement!Z21</f>
        <v>24391</v>
      </c>
      <c r="D18" s="199">
        <f>Statement!AA21</f>
        <v>24285</v>
      </c>
      <c r="F18" s="201">
        <f>Statement!W21</f>
        <v>24532</v>
      </c>
      <c r="G18" s="199">
        <f>Statement!AA21</f>
        <v>24285</v>
      </c>
    </row>
    <row r="19" spans="2:7" x14ac:dyDescent="0.2">
      <c r="B19" s="207" t="s">
        <v>312</v>
      </c>
      <c r="C19" s="244">
        <f>IF(C18=0,
IF(D18=0,0,IF(D18&gt;0,1,-1)),
(D18-C18)/ABS(C18)
)</f>
        <v>-4.3458652781763769E-3</v>
      </c>
      <c r="D19" s="245"/>
      <c r="F19" s="244">
        <f>IF(F18=0,
IF(G18=0,0,IF(G18&gt;0,1,-1)),
(G18-F18)/ABS(F18)
)</f>
        <v>-1.0068481982716452E-2</v>
      </c>
      <c r="G19" s="245"/>
    </row>
    <row r="20" spans="2:7" x14ac:dyDescent="0.2">
      <c r="B20" s="208" t="s">
        <v>36</v>
      </c>
      <c r="C20" s="202">
        <f>Statement!Z25</f>
        <v>2.39</v>
      </c>
      <c r="D20" s="203">
        <f>Statement!AA25</f>
        <v>2.46</v>
      </c>
      <c r="F20" s="202">
        <f>Statement!W25</f>
        <v>1.08</v>
      </c>
      <c r="G20" s="203">
        <f>Statement!AA25</f>
        <v>2.46</v>
      </c>
    </row>
    <row r="21" spans="2:7" x14ac:dyDescent="0.2">
      <c r="B21" s="207" t="s">
        <v>312</v>
      </c>
      <c r="C21" s="244">
        <f>IF(C20=0,
IF(D20=0,0,IF(D20&gt;0,1,-1)),
(D20-C20)/ABS(C20)
)</f>
        <v>2.9288702928870224E-2</v>
      </c>
      <c r="D21" s="245"/>
      <c r="F21" s="244">
        <f>IF(F20=0,
IF(G20=0,0,IF(G20&gt;0,1,-1)),
(G20-F20)/ABS(F20)
)</f>
        <v>1.2777777777777777</v>
      </c>
      <c r="G21" s="245"/>
    </row>
    <row r="23" spans="2:7" x14ac:dyDescent="0.2">
      <c r="B23" s="8" t="s">
        <v>315</v>
      </c>
      <c r="C23" s="10" t="str">
        <f>C5</f>
        <v>Q1 2027</v>
      </c>
      <c r="D23" s="204" t="str">
        <f>D5</f>
        <v>Q2 2027</v>
      </c>
      <c r="F23" s="205" t="str">
        <f>F5</f>
        <v>Q2 2026</v>
      </c>
      <c r="G23" s="204" t="str">
        <f>G5</f>
        <v>Q2 2027</v>
      </c>
    </row>
    <row r="24" spans="2:7" x14ac:dyDescent="0.2">
      <c r="B24" s="224" t="s">
        <v>367</v>
      </c>
      <c r="C24" s="201">
        <f>Statement!Z189</f>
        <v>37869</v>
      </c>
      <c r="D24" s="199">
        <f>Statement!AA189</f>
        <v>48710</v>
      </c>
      <c r="F24" s="201">
        <f>Statement!W189</f>
        <v>23883</v>
      </c>
      <c r="G24" s="199">
        <f>Statement!AA189</f>
        <v>48710</v>
      </c>
    </row>
    <row r="25" spans="2:7" x14ac:dyDescent="0.2">
      <c r="B25" s="207" t="s">
        <v>312</v>
      </c>
      <c r="C25" s="244">
        <f>IF(C24=0,
IF(D24=0,0,IF(D24&gt;0,1,-1)),
(D24-C24)/ABS(C24)
)</f>
        <v>0.28627637381499377</v>
      </c>
      <c r="D25" s="245"/>
      <c r="F25" s="244">
        <f>IF(F24=0,
IF(G24=0,0,IF(G24&gt;0,1,-1)),
(G24-F24)/ABS(F24)
)</f>
        <v>1.0395260226939664</v>
      </c>
      <c r="G25" s="245"/>
    </row>
    <row r="26" spans="2:7" x14ac:dyDescent="0.2">
      <c r="B26" s="224" t="s">
        <v>368</v>
      </c>
      <c r="C26" s="201">
        <f>Statement!Z190</f>
        <v>37377</v>
      </c>
      <c r="D26" s="199">
        <f>Statement!AA190</f>
        <v>40313</v>
      </c>
      <c r="F26" s="201">
        <f>Statement!W190</f>
        <v>17213</v>
      </c>
      <c r="G26" s="199">
        <f>Statement!AA190</f>
        <v>40313</v>
      </c>
    </row>
    <row r="27" spans="2:7" x14ac:dyDescent="0.2">
      <c r="B27" s="207" t="s">
        <v>312</v>
      </c>
      <c r="C27" s="244">
        <f>IF(C26=0,
IF(D26=0,0,IF(D26&gt;0,1,-1)),
(D26-C26)/ABS(C26)
)</f>
        <v>7.8550980549535812E-2</v>
      </c>
      <c r="D27" s="245"/>
      <c r="F27" s="244">
        <f>IF(F26=0,
IF(G26=0,0,IF(G26&gt;0,1,-1)),
(G26-F26)/ABS(F26)
)</f>
        <v>1.3420089467263114</v>
      </c>
      <c r="G27" s="245"/>
    </row>
    <row r="28" spans="2:7" x14ac:dyDescent="0.2">
      <c r="B28" s="20" t="s">
        <v>369</v>
      </c>
      <c r="C28" s="201">
        <f>Statement!Z191</f>
        <v>75246</v>
      </c>
      <c r="D28" s="199">
        <f>Statement!AA191</f>
        <v>89023</v>
      </c>
      <c r="F28" s="201">
        <f>Statement!W191</f>
        <v>41096</v>
      </c>
      <c r="G28" s="199">
        <f>Statement!AA191</f>
        <v>89023</v>
      </c>
    </row>
    <row r="29" spans="2:7" x14ac:dyDescent="0.2">
      <c r="B29" s="207" t="s">
        <v>312</v>
      </c>
      <c r="C29" s="244">
        <f>IF(C28=0,
IF(D28=0,0,IF(D28&gt;0,1,-1)),
(D28-C28)/ABS(C28)
)</f>
        <v>0.18309278898546102</v>
      </c>
      <c r="D29" s="245"/>
      <c r="F29" s="244">
        <f>IF(F28=0,
IF(G28=0,0,IF(G28&gt;0,1,-1)),
(G28-F28)/ABS(F28)
)</f>
        <v>1.166220556745182</v>
      </c>
      <c r="G29" s="245"/>
    </row>
    <row r="30" spans="2:7" x14ac:dyDescent="0.2">
      <c r="B30" s="20" t="s">
        <v>370</v>
      </c>
      <c r="C30" s="201">
        <f>Statement!Z192</f>
        <v>6369</v>
      </c>
      <c r="D30" s="201">
        <f>Statement!AA192</f>
        <v>7198</v>
      </c>
      <c r="F30" s="201">
        <f>Statement!W192</f>
        <v>5647</v>
      </c>
      <c r="G30" s="201">
        <f>Statement!AA192</f>
        <v>7198</v>
      </c>
    </row>
    <row r="31" spans="2:7" x14ac:dyDescent="0.2">
      <c r="B31" s="207" t="s">
        <v>312</v>
      </c>
      <c r="C31" s="244">
        <f>IF(C30=0,
IF(D30=0,0,IF(D30&gt;0,1,-1)),
(D30-C30)/ABS(C30)
)</f>
        <v>0.13016172083529595</v>
      </c>
      <c r="D31" s="245"/>
      <c r="F31" s="244">
        <f>IF(F30=0,
IF(G30=0,0,IF(G30&gt;0,1,-1)),
(G30-F30)/ABS(F30)
)</f>
        <v>0.27465911103240659</v>
      </c>
      <c r="G31" s="245"/>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371</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372</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373</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388</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389</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390</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371</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374</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375</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258</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7" t="s">
        <v>105</v>
      </c>
      <c r="D2" s="237"/>
      <c r="E2" s="237"/>
      <c r="F2" s="237"/>
      <c r="G2" s="249"/>
      <c r="H2" s="250" t="s">
        <v>106</v>
      </c>
      <c r="I2" s="237"/>
      <c r="J2" s="237"/>
      <c r="K2" s="237"/>
      <c r="L2" s="237"/>
      <c r="O2" s="5"/>
      <c r="S2" s="237" t="s">
        <v>105</v>
      </c>
      <c r="T2" s="237"/>
      <c r="U2" s="237"/>
      <c r="V2" s="237"/>
      <c r="W2" s="237"/>
      <c r="X2" s="237"/>
      <c r="Y2" s="237"/>
      <c r="Z2" s="237"/>
      <c r="AA2" s="237" t="s">
        <v>106</v>
      </c>
      <c r="AB2" s="237"/>
      <c r="AC2" s="237"/>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378</v>
      </c>
      <c r="O6" s="5"/>
      <c r="Q6" s="90" t="s">
        <v>378</v>
      </c>
      <c r="R6" s="225"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379</v>
      </c>
      <c r="O7" s="5"/>
      <c r="Q7" s="90" t="s">
        <v>379</v>
      </c>
      <c r="R7" s="225"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380</v>
      </c>
      <c r="O9" s="5"/>
      <c r="Q9" s="90" t="s">
        <v>380</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5"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5"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7" t="s">
        <v>105</v>
      </c>
      <c r="D2" s="237"/>
      <c r="E2" s="237"/>
      <c r="F2" s="237"/>
      <c r="G2" s="249"/>
      <c r="H2" s="250" t="s">
        <v>106</v>
      </c>
      <c r="I2" s="237"/>
      <c r="J2" s="237"/>
      <c r="K2" s="237"/>
      <c r="L2" s="237"/>
      <c r="P2" s="237" t="s">
        <v>105</v>
      </c>
      <c r="Q2" s="237"/>
      <c r="R2" s="237"/>
      <c r="S2" s="237"/>
      <c r="T2" s="237"/>
      <c r="U2" s="237"/>
      <c r="V2" s="237"/>
      <c r="W2" s="237"/>
      <c r="X2" s="237" t="s">
        <v>106</v>
      </c>
      <c r="Y2" s="237"/>
      <c r="Z2" s="237"/>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7" t="s">
        <v>105</v>
      </c>
      <c r="D2" s="237"/>
      <c r="E2" s="237"/>
      <c r="F2" s="237"/>
      <c r="G2" s="249"/>
      <c r="H2" s="250" t="s">
        <v>106</v>
      </c>
      <c r="I2" s="237"/>
      <c r="J2" s="237"/>
      <c r="K2" s="237"/>
      <c r="L2" s="237"/>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6" t="s">
        <v>75</v>
      </c>
      <c r="D31" s="246"/>
      <c r="E31" s="246"/>
      <c r="F31" s="246"/>
      <c r="G31" s="246"/>
      <c r="H31" s="246"/>
      <c r="I31" s="246"/>
      <c r="J31" s="246"/>
      <c r="K31" s="246"/>
      <c r="L31" s="246"/>
    </row>
    <row r="32" spans="2:14" x14ac:dyDescent="0.2">
      <c r="B32" s="16" t="s">
        <v>333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0.72</v>
      </c>
      <c r="I33" s="217">
        <f t="shared" ref="I33:L33" si="9">I8/I6</f>
        <v>0.72999999999999987</v>
      </c>
      <c r="J33" s="217">
        <f t="shared" si="9"/>
        <v>0.73</v>
      </c>
      <c r="K33" s="217">
        <f t="shared" si="9"/>
        <v>0.75</v>
      </c>
      <c r="L33" s="217">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0.59</v>
      </c>
      <c r="I34" s="217">
        <f t="shared" ref="I34:L34" si="10">I10/I6</f>
        <v>0.61499999999999999</v>
      </c>
      <c r="J34" s="217">
        <f t="shared" si="10"/>
        <v>0.61499999999999999</v>
      </c>
      <c r="K34" s="217">
        <f t="shared" si="10"/>
        <v>0.64700000000000002</v>
      </c>
      <c r="L34" s="217">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7" t="s">
        <v>158</v>
      </c>
      <c r="C4" s="237"/>
    </row>
    <row r="5" spans="1:3" ht="17" customHeight="1" x14ac:dyDescent="0.2">
      <c r="B5" s="1" t="s">
        <v>159</v>
      </c>
      <c r="C5" s="137">
        <f>Statement!AC77</f>
        <v>24195</v>
      </c>
    </row>
    <row r="6" spans="1:3" ht="17" customHeight="1" x14ac:dyDescent="0.2">
      <c r="B6" s="1" t="s">
        <v>1</v>
      </c>
      <c r="C6" s="134">
        <f ca="1">Overview!C5</f>
        <v>229.4401</v>
      </c>
    </row>
    <row r="7" spans="1:3" ht="17" customHeight="1" x14ac:dyDescent="0.2">
      <c r="B7" s="1" t="s">
        <v>160</v>
      </c>
      <c r="C7" s="135">
        <f ca="1">C5*C6</f>
        <v>5551303.2194999997</v>
      </c>
    </row>
    <row r="8" spans="1:3" ht="17" customHeight="1" x14ac:dyDescent="0.2">
      <c r="B8" s="1" t="s">
        <v>161</v>
      </c>
      <c r="C8" s="113">
        <f>Statement!AC106</f>
        <v>33266</v>
      </c>
    </row>
    <row r="9" spans="1:3" ht="17" customHeight="1" x14ac:dyDescent="0.2">
      <c r="B9" s="1" t="s">
        <v>162</v>
      </c>
      <c r="C9" s="136">
        <f ca="1">Overview!F27</f>
        <v>4.9630000000000001E-2</v>
      </c>
    </row>
    <row r="10" spans="1:3" ht="17" customHeight="1" x14ac:dyDescent="0.2">
      <c r="B10" s="1" t="s">
        <v>9</v>
      </c>
      <c r="C10" s="134">
        <f ca="1">Overview!C13</f>
        <v>2.2185000000000001</v>
      </c>
    </row>
    <row r="11" spans="1:3" ht="17" customHeight="1" x14ac:dyDescent="0.2">
      <c r="B11" s="1" t="s">
        <v>163</v>
      </c>
      <c r="C11" s="136">
        <f>[1]Sheet1!$C$12</f>
        <v>4.3999999999999997E-2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7" t="s">
        <v>165</v>
      </c>
      <c r="C15" s="237"/>
    </row>
    <row r="16" spans="1:3" ht="17" customHeight="1" x14ac:dyDescent="0.2">
      <c r="B16" s="1" t="s">
        <v>166</v>
      </c>
      <c r="C16" s="46">
        <f ca="1">C8/(C8+C7)</f>
        <v>5.9567710046180408E-3</v>
      </c>
    </row>
    <row r="17" spans="2:3" ht="17" customHeight="1" x14ac:dyDescent="0.2">
      <c r="B17" s="1" t="s">
        <v>167</v>
      </c>
      <c r="C17" s="46">
        <f ca="1">C7/(C8+C7)</f>
        <v>0.994043228995382</v>
      </c>
    </row>
    <row r="18" spans="2:3" ht="17" customHeight="1" x14ac:dyDescent="0.2">
      <c r="B18" s="1" t="s">
        <v>168</v>
      </c>
      <c r="C18" s="46">
        <f>C13*(1-C12)</f>
        <v>3.9500000000000007E-2</v>
      </c>
    </row>
    <row r="19" spans="2:3" ht="17" customHeight="1" x14ac:dyDescent="0.2">
      <c r="B19" s="1" t="s">
        <v>169</v>
      </c>
      <c r="C19" s="46">
        <f ca="1">C9+C10*C11</f>
        <v>0.14724400000000001</v>
      </c>
    </row>
    <row r="20" spans="2:3" ht="17" customHeight="1" x14ac:dyDescent="0.2">
      <c r="B20" s="1" t="s">
        <v>157</v>
      </c>
      <c r="C20" s="46">
        <f ca="1">(C17*C19)+(C16*C18)</f>
        <v>0.14660219366487845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7" t="s">
        <v>176</v>
      </c>
      <c r="C13" s="237"/>
    </row>
    <row r="14" spans="1:28" x14ac:dyDescent="0.2">
      <c r="B14" s="1" t="s">
        <v>177</v>
      </c>
      <c r="C14" s="141">
        <v>2.5000000000000001E-2</v>
      </c>
    </row>
    <row r="15" spans="1:28" x14ac:dyDescent="0.2">
      <c r="B15" s="1" t="s">
        <v>157</v>
      </c>
      <c r="C15" s="136">
        <f>IF(Overview!C28&gt;0,Overview!C28,WACC!C20)</f>
        <v>0.12</v>
      </c>
    </row>
    <row r="18" spans="2:3" x14ac:dyDescent="0.2">
      <c r="B18" s="237" t="s">
        <v>178</v>
      </c>
      <c r="C18" s="237"/>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142" t="s">
        <v>184</v>
      </c>
      <c r="C26" s="143">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9"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0.82213621502468304</v>
      </c>
      <c r="I12" s="95">
        <f t="shared" si="1"/>
        <v>0.68965704238802383</v>
      </c>
      <c r="J12" s="95">
        <f t="shared" si="1"/>
        <v>0.48508989908066097</v>
      </c>
      <c r="K12" s="95">
        <f t="shared" si="1"/>
        <v>0.19956009314326034</v>
      </c>
      <c r="L12" s="95">
        <f t="shared" si="1"/>
        <v>8.3460958943768593E-2</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0.78044119045610361</v>
      </c>
      <c r="I13" s="95">
        <f t="shared" si="2"/>
        <v>0.76125267977734701</v>
      </c>
      <c r="J13" s="95">
        <f t="shared" si="2"/>
        <v>0.48508989908066102</v>
      </c>
      <c r="K13" s="95">
        <f t="shared" si="2"/>
        <v>0.26197622807103976</v>
      </c>
      <c r="L13" s="95">
        <f t="shared" si="2"/>
        <v>0.10020687793826268</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0.56456327062722933</v>
      </c>
      <c r="I14" s="95">
        <f t="shared" si="3"/>
        <v>0.90648521617377487</v>
      </c>
      <c r="J14" s="95">
        <f t="shared" si="3"/>
        <v>0.61737939463649294</v>
      </c>
      <c r="K14" s="95">
        <f t="shared" si="3"/>
        <v>0.18595197648115833</v>
      </c>
      <c r="L14" s="95">
        <f t="shared" si="3"/>
        <v>0.12009017681780296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7" t="s">
        <v>197</v>
      </c>
      <c r="C37" s="237"/>
      <c r="N37" s="91"/>
    </row>
    <row r="38" spans="2:14" x14ac:dyDescent="0.2">
      <c r="B38" s="1" t="s">
        <v>198</v>
      </c>
      <c r="C38" s="64">
        <f>L7</f>
        <v>843066.5668746751</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16861331.337493502</v>
      </c>
    </row>
    <row r="42" spans="2:14" x14ac:dyDescent="0.2">
      <c r="B42" s="1" t="s">
        <v>383</v>
      </c>
      <c r="C42" s="24">
        <f>C41/(1+C39)^5-G30+G31</f>
        <v>9621660.2240634207</v>
      </c>
    </row>
    <row r="43" spans="2:14" x14ac:dyDescent="0.2">
      <c r="B43" s="1" t="s">
        <v>181</v>
      </c>
      <c r="C43" s="137">
        <f>Statement!AC105</f>
        <v>99369</v>
      </c>
    </row>
    <row r="44" spans="2:14" x14ac:dyDescent="0.2">
      <c r="B44" s="1" t="s">
        <v>182</v>
      </c>
      <c r="C44" s="137">
        <f>Statement!AC106</f>
        <v>33266</v>
      </c>
    </row>
    <row r="45" spans="2:14" x14ac:dyDescent="0.2">
      <c r="B45" s="1" t="s">
        <v>183</v>
      </c>
      <c r="C45" s="24">
        <f>C42+C43-C44</f>
        <v>9687763.2240634207</v>
      </c>
    </row>
    <row r="46" spans="2:14" x14ac:dyDescent="0.2">
      <c r="B46" s="1" t="s">
        <v>67</v>
      </c>
      <c r="C46" s="88">
        <f>Statement!AC77</f>
        <v>24195</v>
      </c>
    </row>
    <row r="47" spans="2:14" x14ac:dyDescent="0.2">
      <c r="B47" s="142" t="s">
        <v>201</v>
      </c>
      <c r="C47" s="143">
        <f>C45/C46</f>
        <v>400.40352238327841</v>
      </c>
    </row>
    <row r="49" spans="2:3" x14ac:dyDescent="0.2">
      <c r="B49" s="237" t="s">
        <v>202</v>
      </c>
      <c r="C49" s="237"/>
    </row>
    <row r="50" spans="2:3" x14ac:dyDescent="0.2">
      <c r="B50" s="1" t="s">
        <v>203</v>
      </c>
      <c r="C50" s="64">
        <f>L6</f>
        <v>1283206.3422750002</v>
      </c>
    </row>
    <row r="51" spans="2:3" x14ac:dyDescent="0.2">
      <c r="B51" s="1" t="s">
        <v>385</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547.68334529626009</v>
      </c>
    </row>
    <row r="55" spans="2:3" x14ac:dyDescent="0.2">
      <c r="B55" s="142" t="s">
        <v>201</v>
      </c>
      <c r="C55" s="143">
        <f>C54/(1+C51)^5</f>
        <v>310.77023855090073</v>
      </c>
    </row>
    <row r="57" spans="2:3" x14ac:dyDescent="0.2">
      <c r="B57" s="237" t="s">
        <v>319</v>
      </c>
      <c r="C57" s="237"/>
    </row>
    <row r="58" spans="2:3" x14ac:dyDescent="0.2">
      <c r="B58" s="1" t="s">
        <v>205</v>
      </c>
      <c r="C58" s="64">
        <f>L8</f>
        <v>586389.6287922078</v>
      </c>
    </row>
    <row r="59" spans="2:3" x14ac:dyDescent="0.2">
      <c r="B59" s="1" t="s">
        <v>157</v>
      </c>
      <c r="C59" s="136">
        <f>IF(Overview!C28&gt;0,Overview!C28,WACC!C20)</f>
        <v>0.12</v>
      </c>
    </row>
    <row r="60" spans="2:3" x14ac:dyDescent="0.2">
      <c r="B60" s="39" t="s">
        <v>384</v>
      </c>
      <c r="C60" s="105">
        <v>30</v>
      </c>
    </row>
    <row r="61" spans="2:3" x14ac:dyDescent="0.2">
      <c r="B61" s="1" t="s">
        <v>195</v>
      </c>
      <c r="C61" s="24">
        <f>(C58*C60)</f>
        <v>17591688.863766234</v>
      </c>
    </row>
    <row r="62" spans="2:3" x14ac:dyDescent="0.2">
      <c r="B62" s="1" t="s">
        <v>383</v>
      </c>
      <c r="C62" s="24">
        <f>C61/(1+C59)^5-G30+G31</f>
        <v>10036084.698746772</v>
      </c>
    </row>
    <row r="63" spans="2:3" x14ac:dyDescent="0.2">
      <c r="B63" s="1" t="s">
        <v>181</v>
      </c>
      <c r="C63" s="137">
        <f>Statement!AC105</f>
        <v>99369</v>
      </c>
    </row>
    <row r="64" spans="2:3" x14ac:dyDescent="0.2">
      <c r="B64" s="1" t="s">
        <v>182</v>
      </c>
      <c r="C64" s="137">
        <f>Statement!AC106</f>
        <v>33266</v>
      </c>
    </row>
    <row r="65" spans="2:3" x14ac:dyDescent="0.2">
      <c r="B65" s="1" t="s">
        <v>183</v>
      </c>
      <c r="C65" s="24">
        <f>C62+C63-C64</f>
        <v>10102187.698746772</v>
      </c>
    </row>
    <row r="66" spans="2:3" x14ac:dyDescent="0.2">
      <c r="B66" s="1" t="s">
        <v>67</v>
      </c>
      <c r="C66" s="88">
        <f>Statement!AC77</f>
        <v>24195</v>
      </c>
    </row>
    <row r="67" spans="2:3" x14ac:dyDescent="0.2">
      <c r="B67" s="142" t="s">
        <v>201</v>
      </c>
      <c r="C67" s="143">
        <f>C65/C66</f>
        <v>417.53203962582239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7" t="s">
        <v>207</v>
      </c>
      <c r="C4" s="237"/>
      <c r="N4" s="91"/>
    </row>
    <row r="5" spans="1:14" x14ac:dyDescent="0.2">
      <c r="B5" s="1" t="s">
        <v>208</v>
      </c>
      <c r="C5" s="134">
        <f>DCF!C26</f>
        <v>205.87576455664953</v>
      </c>
    </row>
    <row r="6" spans="1:14" x14ac:dyDescent="0.2">
      <c r="B6" s="1" t="s">
        <v>209</v>
      </c>
      <c r="C6" s="134">
        <f>Multiples!C47</f>
        <v>400.40352238327841</v>
      </c>
    </row>
    <row r="7" spans="1:14" x14ac:dyDescent="0.2">
      <c r="B7" s="1" t="s">
        <v>210</v>
      </c>
      <c r="C7" s="134">
        <f>Multiples!C55</f>
        <v>310.77023855090073</v>
      </c>
    </row>
    <row r="8" spans="1:14" x14ac:dyDescent="0.2">
      <c r="B8" s="1" t="s">
        <v>320</v>
      </c>
      <c r="C8" s="134">
        <f>Multiples!C67</f>
        <v>417.53203962582239</v>
      </c>
    </row>
    <row r="9" spans="1:14" x14ac:dyDescent="0.2">
      <c r="B9" s="142" t="s">
        <v>211</v>
      </c>
      <c r="C9" s="143">
        <f>AVERAGE(C5:C8)</f>
        <v>333.64539127916277</v>
      </c>
    </row>
    <row r="10" spans="1:14" x14ac:dyDescent="0.2">
      <c r="B10" s="1" t="s">
        <v>212</v>
      </c>
      <c r="C10" s="134">
        <f ca="1">Overview!C5</f>
        <v>229.4401</v>
      </c>
    </row>
    <row r="11" spans="1:14" x14ac:dyDescent="0.2">
      <c r="B11" s="1" t="s">
        <v>213</v>
      </c>
      <c r="C11" s="155">
        <f ca="1">(C9-C10)/C10</f>
        <v>0.45417209667866587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397</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398</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399</v>
      </c>
      <c r="D14" s="246"/>
      <c r="E14" s="246"/>
      <c r="F14" s="246"/>
      <c r="G14" s="246"/>
      <c r="H14" s="246"/>
      <c r="I14" s="246"/>
      <c r="J14" s="246"/>
      <c r="K14" s="246"/>
      <c r="L14" s="246"/>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400</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7" t="s">
        <v>401</v>
      </c>
      <c r="C20" s="237"/>
      <c r="N20" s="91"/>
    </row>
    <row r="21" spans="2:14" x14ac:dyDescent="0.2">
      <c r="B21" s="1" t="s">
        <v>402</v>
      </c>
      <c r="C21" s="234">
        <f>G7</f>
        <v>0.04</v>
      </c>
    </row>
    <row r="22" spans="2:14" x14ac:dyDescent="0.2">
      <c r="B22" s="1" t="s">
        <v>403</v>
      </c>
      <c r="C22" s="235">
        <v>3</v>
      </c>
    </row>
    <row r="23" spans="2:14" x14ac:dyDescent="0.2">
      <c r="B23" s="39" t="s">
        <v>404</v>
      </c>
      <c r="C23" s="236">
        <f>C21*(1+C22)</f>
        <v>0.16</v>
      </c>
    </row>
    <row r="24" spans="2:14" x14ac:dyDescent="0.2">
      <c r="B24" s="1" t="s">
        <v>385</v>
      </c>
      <c r="C24" s="136">
        <f>IF(Overview!C29&gt;0,Overview!C29,WACC!C19)</f>
        <v>0.12</v>
      </c>
    </row>
    <row r="25" spans="2:14" x14ac:dyDescent="0.2">
      <c r="B25" s="39" t="s">
        <v>405</v>
      </c>
      <c r="C25" s="235">
        <v>2.5000000000000001E-2</v>
      </c>
    </row>
    <row r="26" spans="2:14" x14ac:dyDescent="0.2">
      <c r="B26" s="142" t="s">
        <v>201</v>
      </c>
      <c r="C26" s="143">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3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136337.07703577235</v>
      </c>
      <c r="I7" s="127">
        <f t="shared" ref="I7:L7" si="0">H7*(1+$C$17)</f>
        <v>203142.24478330079</v>
      </c>
      <c r="J7" s="127">
        <f t="shared" si="0"/>
        <v>302681.94472711819</v>
      </c>
      <c r="K7" s="127">
        <f t="shared" si="0"/>
        <v>450996.09764340607</v>
      </c>
      <c r="L7" s="127">
        <f t="shared" si="0"/>
        <v>671984.18548867502</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7250355.6855357029</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121729.53306765387</v>
      </c>
      <c r="I10" s="127">
        <f t="shared" ref="I10:L10" si="1">I7/(1+$C$21)^I9</f>
        <v>161943.75381321809</v>
      </c>
      <c r="J10" s="127">
        <f t="shared" si="1"/>
        <v>215443.02962651331</v>
      </c>
      <c r="K10" s="127">
        <f t="shared" si="1"/>
        <v>286616.17334241502</v>
      </c>
      <c r="L10" s="127">
        <f t="shared" si="1"/>
        <v>381301.87346446281</v>
      </c>
      <c r="N10" s="91"/>
    </row>
    <row r="11" spans="1:28" x14ac:dyDescent="0.2">
      <c r="B11" s="1" t="s">
        <v>175</v>
      </c>
      <c r="C11" s="138"/>
      <c r="D11" s="138"/>
      <c r="E11" s="138"/>
      <c r="F11" s="138"/>
      <c r="G11" s="139"/>
      <c r="H11" s="138"/>
      <c r="I11" s="138"/>
      <c r="J11" s="138"/>
      <c r="K11" s="138"/>
      <c r="L11" s="127">
        <f>L8/(1+C21)^L9</f>
        <v>4114046.5294849928</v>
      </c>
    </row>
    <row r="13" spans="1:28" ht="17" thickBot="1" x14ac:dyDescent="0.25"/>
    <row r="14" spans="1:28" x14ac:dyDescent="0.2">
      <c r="B14" s="252" t="s">
        <v>215</v>
      </c>
      <c r="C14" s="253"/>
    </row>
    <row r="15" spans="1:28" x14ac:dyDescent="0.2">
      <c r="B15" s="156" t="s">
        <v>216</v>
      </c>
      <c r="C15" s="157">
        <f ca="1">Overview!C5</f>
        <v>229.4401</v>
      </c>
    </row>
    <row r="16" spans="1:28" x14ac:dyDescent="0.2">
      <c r="B16" s="156" t="s">
        <v>217</v>
      </c>
      <c r="C16" s="157">
        <f>C36</f>
        <v>221.87485032362059</v>
      </c>
    </row>
    <row r="17" spans="2:9" ht="17" thickBot="1" x14ac:dyDescent="0.25">
      <c r="B17" s="158" t="s">
        <v>321</v>
      </c>
      <c r="C17" s="159">
        <v>0.49</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24100</v>
      </c>
    </row>
    <row r="23" spans="2:9" x14ac:dyDescent="0.2">
      <c r="B23" s="160" t="s">
        <v>219</v>
      </c>
      <c r="C23" s="162">
        <f ca="1">C15*C22</f>
        <v>5529506.4100000001</v>
      </c>
    </row>
    <row r="24" spans="2:9" x14ac:dyDescent="0.2">
      <c r="B24" s="160" t="s">
        <v>170</v>
      </c>
      <c r="C24" s="228">
        <f>Statement!AC105</f>
        <v>99369</v>
      </c>
    </row>
    <row r="25" spans="2:9" x14ac:dyDescent="0.2">
      <c r="B25" s="160" t="s">
        <v>161</v>
      </c>
      <c r="C25" s="228">
        <f>Statement!AC106</f>
        <v>33266</v>
      </c>
    </row>
    <row r="26" spans="2:9" ht="17" thickBot="1" x14ac:dyDescent="0.25">
      <c r="B26" s="158" t="s">
        <v>220</v>
      </c>
      <c r="C26" s="163">
        <f ca="1">C23+C25-C24</f>
        <v>5463403.4100000001</v>
      </c>
    </row>
    <row r="27" spans="2:9" ht="17" thickBot="1" x14ac:dyDescent="0.25"/>
    <row r="28" spans="2:9" x14ac:dyDescent="0.2">
      <c r="B28" s="252" t="s">
        <v>178</v>
      </c>
      <c r="C28" s="253"/>
    </row>
    <row r="29" spans="2:9" x14ac:dyDescent="0.2">
      <c r="B29" s="160" t="s">
        <v>179</v>
      </c>
      <c r="C29" s="162">
        <f>SUM(H10:L10)</f>
        <v>1167034.3633142631</v>
      </c>
    </row>
    <row r="30" spans="2:9" x14ac:dyDescent="0.2">
      <c r="B30" s="160" t="s">
        <v>175</v>
      </c>
      <c r="C30" s="162">
        <f>L11</f>
        <v>4114046.5294849928</v>
      </c>
    </row>
    <row r="31" spans="2:9" x14ac:dyDescent="0.2">
      <c r="B31" s="164" t="s">
        <v>180</v>
      </c>
      <c r="C31" s="165">
        <f>C29+C30</f>
        <v>5281080.8927992564</v>
      </c>
    </row>
    <row r="32" spans="2:9" x14ac:dyDescent="0.2">
      <c r="B32" s="160" t="s">
        <v>181</v>
      </c>
      <c r="C32" s="166">
        <f>C24</f>
        <v>99369</v>
      </c>
    </row>
    <row r="33" spans="2:12" x14ac:dyDescent="0.2">
      <c r="B33" s="160" t="s">
        <v>182</v>
      </c>
      <c r="C33" s="166">
        <f>C25</f>
        <v>33266</v>
      </c>
    </row>
    <row r="34" spans="2:12" x14ac:dyDescent="0.2">
      <c r="B34" s="164" t="s">
        <v>183</v>
      </c>
      <c r="C34" s="165">
        <f>C31+C32-C33</f>
        <v>5347183.8927992564</v>
      </c>
    </row>
    <row r="35" spans="2:12" x14ac:dyDescent="0.2">
      <c r="B35" s="160" t="s">
        <v>67</v>
      </c>
      <c r="C35" s="162">
        <f>C22</f>
        <v>24100</v>
      </c>
    </row>
    <row r="36" spans="2:12" ht="17" thickBot="1" x14ac:dyDescent="0.25">
      <c r="B36" s="167" t="s">
        <v>184</v>
      </c>
      <c r="C36" s="168">
        <f>C34/C35</f>
        <v>221.87485032362059</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136337.07703577235</v>
      </c>
      <c r="I41" s="144">
        <f t="shared" si="2"/>
        <v>203142.24478330079</v>
      </c>
      <c r="J41" s="144">
        <f t="shared" si="2"/>
        <v>302681.94472711819</v>
      </c>
      <c r="K41" s="144">
        <f t="shared" si="2"/>
        <v>450996.09764340607</v>
      </c>
      <c r="L41" s="144">
        <f t="shared" si="2"/>
        <v>671984.18548867502</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123942.79730524759</v>
      </c>
      <c r="I42" s="144">
        <f t="shared" ref="I42:L42" si="3">I41/I43</f>
        <v>184674.76798481887</v>
      </c>
      <c r="J42" s="144">
        <f t="shared" si="3"/>
        <v>275165.40429738013</v>
      </c>
      <c r="K42" s="144">
        <f t="shared" si="3"/>
        <v>409996.45240309642</v>
      </c>
      <c r="L42" s="144">
        <f t="shared" si="3"/>
        <v>610894.71408061357</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13633707.703577235</v>
      </c>
      <c r="I44" s="144">
        <f t="shared" ref="I44:L44" si="5">I41/I45</f>
        <v>10157112.23916504</v>
      </c>
      <c r="J44" s="144">
        <f t="shared" si="5"/>
        <v>7206712.9696932901</v>
      </c>
      <c r="K44" s="144">
        <f t="shared" si="5"/>
        <v>6442801.3949058</v>
      </c>
      <c r="L44" s="144">
        <f t="shared" si="5"/>
        <v>4479894.5699245008</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0.49</v>
      </c>
      <c r="I46" s="170">
        <f t="shared" si="7"/>
        <v>0.49</v>
      </c>
      <c r="J46" s="170">
        <f t="shared" si="7"/>
        <v>0.49</v>
      </c>
      <c r="K46" s="170">
        <f t="shared" si="7"/>
        <v>0.49</v>
      </c>
      <c r="L46" s="170">
        <f t="shared" si="7"/>
        <v>0.49</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-4.9423659527041863E-2</v>
      </c>
      <c r="I47" s="170">
        <f t="shared" si="7"/>
        <v>0.48999999999999977</v>
      </c>
      <c r="J47" s="170">
        <f t="shared" si="7"/>
        <v>0.49</v>
      </c>
      <c r="K47" s="170">
        <f t="shared" si="7"/>
        <v>0.49000000000000021</v>
      </c>
      <c r="L47" s="170">
        <f t="shared" si="7"/>
        <v>0.48999999999999977</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62.137139843738645</v>
      </c>
      <c r="I48" s="170">
        <f t="shared" si="8"/>
        <v>-0.255</v>
      </c>
      <c r="J48" s="170">
        <f t="shared" si="8"/>
        <v>-0.29047619047619044</v>
      </c>
      <c r="K48" s="170">
        <f t="shared" si="8"/>
        <v>-0.10600000000000021</v>
      </c>
      <c r="L48" s="170">
        <f t="shared" si="8"/>
        <v>-0.30466666666666653</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1.8181818181818177E-2</v>
      </c>
      <c r="J49" s="170">
        <f t="shared" si="9"/>
        <v>3.8181818181818178E-2</v>
      </c>
      <c r="K49" s="170">
        <f t="shared" si="9"/>
        <v>6.3636363636363644E-2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2026-09-22T18:25:18Z</dcterms:modified>
</cp:coreProperties>
</file>