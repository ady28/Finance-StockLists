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13E8DA7-5403-4047-B6A4-884769E863BC}"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I3" i="1" l="1"/>
  <c r="C12"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<sst xmlns="http://schemas.openxmlformats.org/spreadsheetml/2006/main" count="772" uniqueCount="415">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</sst>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15" fillId="5" borderId="12"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164.27</v>
    <v>2.2191000000000001</v>
    <v>0.49</v>
    <v>2.1819999999999999E-3</v>
    <v>-7.0000000000000007E-2</v>
    <v>-3.1099999999999997E-4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226.94</v>
    <v>Semiconductors &amp; Semiconductor Equipment</v>
    <v>Stock</v>
    <v>46290.999978205466</v>
    <v>0</v>
    <v>223.13290000000001</v>
    <v>5424187000000</v>
    <v>NVIDIA CORPORATION</v>
    <v>NVIDIA CORPORATION</v>
    <v>225.13</v>
    <v>28.389299999999999</v>
    <v>224.58</v>
    <v>225.07</v>
    <v>225</v>
    <v>24100000000</v>
    <v>NVDA</v>
    <v>NVIDIA CORPORATION (XNAS:NVDA)</v>
    <v>89947712</v>
    <v>126361390</v>
    <v>1998</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opLeftCell="A16" zoomScale="160" zoomScaleNormal="160" workbookViewId="0">
      <selection activeCell="C48" sqref="C4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279</v>
      </c>
      <c r="F2" s="240"/>
      <c r="H2" s="239" t="s">
        <v>317</v>
      </c>
      <c r="I2" s="240"/>
    </row>
    <row r="3" spans="2:9" x14ac:dyDescent="0.2">
      <c r="B3" s="182" t="s">
        <v>11</v>
      </c>
      <c r="C3" s="214" t="e" vm="1">
        <v>#VALUE!</v>
      </c>
      <c r="D3" s="2"/>
      <c r="E3" s="182" t="s">
        <v>231</v>
      </c>
      <c r="F3" s="184">
        <f ca="1">Statement!AC155</f>
        <v>5445568.6499999994</v>
      </c>
      <c r="H3" s="182" t="str">
        <f>'AVG target price'!B5</f>
        <v>DCF price</v>
      </c>
      <c r="I3" s="208">
        <f>'AVG target price'!C5</f>
        <v>205.87576455664953</v>
      </c>
    </row>
    <row r="4" spans="2:9" x14ac:dyDescent="0.2">
      <c r="B4" s="182" t="s">
        <v>0</v>
      </c>
      <c r="C4" s="186" t="str" cm="1">
        <f t="array" aca="1" ref="C4" ca="1">_FV(C3,"Ticker symbol",TRUE)</f>
        <v>NVDA</v>
      </c>
      <c r="E4" s="183" t="s">
        <v>180</v>
      </c>
      <c r="F4" s="185">
        <f ca="1">Statement!AC156</f>
        <v>5379465.6499999994</v>
      </c>
      <c r="H4" s="182" t="str">
        <f>'AVG target price'!B6</f>
        <v>EV/EBIT price</v>
      </c>
      <c r="I4" s="208">
        <f>'AVG target price'!C6</f>
        <v>439.18110219686605</v>
      </c>
    </row>
    <row r="5" spans="2:9" x14ac:dyDescent="0.2">
      <c r="B5" s="182" t="s">
        <v>1</v>
      </c>
      <c r="C5" s="205" cm="1">
        <f t="array" aca="1" ref="C5" ca="1">_FV(C3,"Price",TRUE)</f>
        <v>225.07</v>
      </c>
      <c r="E5" s="182" t="s">
        <v>235</v>
      </c>
      <c r="F5" s="186">
        <f>Statement!AC25</f>
        <v>7.91</v>
      </c>
      <c r="H5" s="182" t="str">
        <f>'AVG target price'!B7</f>
        <v>PS price</v>
      </c>
      <c r="I5" s="208">
        <f>'AVG target price'!C7</f>
        <v>372.92428626108091</v>
      </c>
    </row>
    <row r="6" spans="2:9" x14ac:dyDescent="0.2">
      <c r="B6" s="182" t="s">
        <v>2</v>
      </c>
      <c r="C6" s="205" cm="1">
        <f t="array" aca="1" ref="C6" ca="1">_FV(C3,"Price (Extended hours)",TRUE)</f>
        <v>225</v>
      </c>
      <c r="E6" s="182" t="s">
        <v>229</v>
      </c>
      <c r="F6" s="187">
        <f ca="1">Statement!AC152</f>
        <v>28.453855878634638</v>
      </c>
      <c r="H6" s="182" t="str">
        <f>'AVG target price'!B8</f>
        <v>EV/FCFF price</v>
      </c>
      <c r="I6" s="208">
        <f>'AVG target price'!C8</f>
        <v>456.30961943941008</v>
      </c>
    </row>
    <row r="7" spans="2:9" x14ac:dyDescent="0.2">
      <c r="B7" s="182" t="s">
        <v>3</v>
      </c>
      <c r="C7" s="6" cm="1">
        <f t="array" aca="1" ref="C7" ca="1">_FV(C3,"Change")</f>
        <v>0.49</v>
      </c>
      <c r="E7" s="183" t="s">
        <v>193</v>
      </c>
      <c r="F7" s="188">
        <f ca="1">Statement!AC153</f>
        <v>18.12463186827695</v>
      </c>
      <c r="H7" s="181" t="str">
        <f>'AVG target price'!B10</f>
        <v>AVG price</v>
      </c>
      <c r="I7" s="209">
        <f>'AVG target price'!C10</f>
        <v>375.83292964279934</v>
      </c>
    </row>
    <row r="8" spans="2:9" x14ac:dyDescent="0.2">
      <c r="B8" s="182" t="s">
        <v>4</v>
      </c>
      <c r="C8" s="6" cm="1">
        <f t="array" aca="1" ref="C8" ca="1">_FV(C3,"Change (extended hours)",TRUE)</f>
        <v>-7.0000000000000007E-2</v>
      </c>
      <c r="E8" s="182" t="s">
        <v>257</v>
      </c>
      <c r="F8" s="189">
        <f ca="1">Statement!AC163</f>
        <v>2.1992928139837151E-2</v>
      </c>
      <c r="H8" s="181" t="str">
        <f>'AVG target price'!B12</f>
        <v>Upside/Downside</v>
      </c>
      <c r="I8" s="210">
        <f ca="1">'AVG target price'!C12</f>
        <v>0.66984906759141316</v>
      </c>
    </row>
    <row r="9" spans="2:9" x14ac:dyDescent="0.2">
      <c r="B9" s="182" t="s">
        <v>5</v>
      </c>
      <c r="C9" s="73" cm="1">
        <f t="array" aca="1" ref="C9" ca="1">_FV(C3,"Change (%)",TRUE)</f>
        <v>2.1819999999999999E-3</v>
      </c>
      <c r="E9" s="182" t="s">
        <v>280</v>
      </c>
      <c r="F9" s="189">
        <f ca="1">Statement!AC164</f>
        <v>3.5144621673257208E-2</v>
      </c>
    </row>
    <row r="10" spans="2:9" x14ac:dyDescent="0.2">
      <c r="B10" s="182" t="s">
        <v>6</v>
      </c>
      <c r="C10" s="73" cm="1">
        <f t="array" aca="1" ref="C10" ca="1">_FV(C3,"Change % (extended hours)",TRUE)</f>
        <v>-3.1099999999999997E-4</v>
      </c>
      <c r="E10" s="182" t="s">
        <v>285</v>
      </c>
      <c r="F10" s="189">
        <f ca="1">Statement!AC166</f>
        <v>1.015780050812508E-2</v>
      </c>
      <c r="H10" s="181" t="s">
        <v>397</v>
      </c>
      <c r="I10" s="209">
        <f>DDM!C26</f>
        <v>1.6842105263157894</v>
      </c>
    </row>
    <row r="11" spans="2:9" x14ac:dyDescent="0.2">
      <c r="B11" s="182" t="s">
        <v>7</v>
      </c>
      <c r="C11" s="206" cm="1">
        <f t="array" aca="1" ref="C11" ca="1">_FV(C3,"52 week high",TRUE)</f>
        <v>236.54</v>
      </c>
      <c r="E11" s="183" t="s">
        <v>281</v>
      </c>
      <c r="F11" s="190">
        <f ca="1">Statement!AC165</f>
        <v>1.2440574043630873E-3</v>
      </c>
    </row>
    <row r="12" spans="2:9" x14ac:dyDescent="0.2">
      <c r="B12" s="182" t="s">
        <v>8</v>
      </c>
      <c r="C12" s="206" cm="1">
        <f t="array" aca="1" ref="C12" ca="1">_FV(C3,"52 week low",TRUE)</f>
        <v>164.27</v>
      </c>
      <c r="E12" s="182" t="s">
        <v>94</v>
      </c>
      <c r="F12" s="189">
        <f>Statement!AC121</f>
        <v>0.60223497527101955</v>
      </c>
    </row>
    <row r="13" spans="2:9" x14ac:dyDescent="0.2">
      <c r="B13" s="182" t="s">
        <v>9</v>
      </c>
      <c r="C13" s="206" cm="1">
        <f t="array" aca="1" ref="C13" ca="1">_FV(C3,"Beta")</f>
        <v>2.2191000000000001</v>
      </c>
      <c r="E13" s="182" t="s">
        <v>96</v>
      </c>
      <c r="F13" s="189">
        <f>Statement!AC123</f>
        <v>0.84232522796352571</v>
      </c>
    </row>
    <row r="14" spans="2:9" x14ac:dyDescent="0.2">
      <c r="B14" s="183" t="s">
        <v>10</v>
      </c>
      <c r="C14" s="207" cm="1">
        <f t="array" aca="1" ref="C14" ca="1">_FV(C3,"Volume average",TRUE)</f>
        <v>126361390</v>
      </c>
      <c r="E14" s="183" t="s">
        <v>97</v>
      </c>
      <c r="F14" s="190">
        <f>Statement!AC142</f>
        <v>1.0183873919662139</v>
      </c>
    </row>
    <row r="15" spans="2:9" x14ac:dyDescent="0.2">
      <c r="E15" s="182" t="s">
        <v>282</v>
      </c>
      <c r="F15" s="189">
        <f ca="1">Statement!AC178</f>
        <v>1.2138860833202425E-2</v>
      </c>
    </row>
    <row r="16" spans="2:9" x14ac:dyDescent="0.2">
      <c r="E16" s="183" t="s">
        <v>287</v>
      </c>
      <c r="F16" s="188">
        <f>Statement!AC177</f>
        <v>2.742863070539419</v>
      </c>
    </row>
    <row r="17" spans="2:9" x14ac:dyDescent="0.2">
      <c r="B17" s="241" t="s">
        <v>83</v>
      </c>
      <c r="C17" s="241"/>
      <c r="E17" s="181" t="s">
        <v>288</v>
      </c>
      <c r="F17" s="191">
        <f>Statement!AC173</f>
        <v>3.9553626782393055E-2</v>
      </c>
    </row>
    <row r="18" spans="2:9" x14ac:dyDescent="0.2">
      <c r="B18" s="181" t="s">
        <v>12</v>
      </c>
      <c r="C18" s="69" t="s">
        <v>334</v>
      </c>
      <c r="E18" s="182" t="s">
        <v>289</v>
      </c>
      <c r="F18" s="187">
        <f>Statement!AC146</f>
        <v>154.53760182273862</v>
      </c>
      <c r="I18" s="50"/>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41" t="s">
        <v>99</v>
      </c>
      <c r="C25" s="241"/>
      <c r="E25" s="239" t="s">
        <v>331</v>
      </c>
      <c r="F25" s="240"/>
    </row>
    <row r="26" spans="2:9" x14ac:dyDescent="0.2">
      <c r="B26" s="181" t="s">
        <v>100</v>
      </c>
      <c r="C26" s="167">
        <v>0.21</v>
      </c>
      <c r="E26" s="182" t="e" vm="2">
        <v>#VALUE!</v>
      </c>
      <c r="F26" s="216" cm="1">
        <f t="array" aca="1" ref="F26" ca="1">_FV(E26,"Price")</f>
        <v>51.84</v>
      </c>
    </row>
    <row r="27" spans="2:9" x14ac:dyDescent="0.2">
      <c r="B27" s="181" t="s">
        <v>164</v>
      </c>
      <c r="C27" s="218">
        <v>0.05</v>
      </c>
      <c r="E27" s="183" t="s">
        <v>332</v>
      </c>
      <c r="F27" s="217">
        <f ca="1">F26/1000</f>
        <v>5.1840000000000004E-2</v>
      </c>
    </row>
    <row r="28" spans="2:9" x14ac:dyDescent="0.2">
      <c r="B28" s="181" t="s">
        <v>377</v>
      </c>
      <c r="C28" s="218">
        <v>0.12</v>
      </c>
    </row>
    <row r="29" spans="2:9" x14ac:dyDescent="0.2">
      <c r="B29" s="181" t="s">
        <v>387</v>
      </c>
      <c r="C29" s="218">
        <v>0.12</v>
      </c>
    </row>
    <row r="33" spans="2:8" x14ac:dyDescent="0.2">
      <c r="B33" s="235" t="s">
        <v>326</v>
      </c>
      <c r="C33" s="235"/>
      <c r="D33" s="235"/>
      <c r="E33" s="235"/>
      <c r="F33" s="235"/>
      <c r="G33" s="235"/>
      <c r="H33" s="235"/>
    </row>
    <row r="35" spans="2:8" x14ac:dyDescent="0.2">
      <c r="B35" s="16" t="s">
        <v>327</v>
      </c>
      <c r="C35" s="1" t="s">
        <v>369</v>
      </c>
    </row>
    <row r="36" spans="2:8" x14ac:dyDescent="0.2">
      <c r="B36" s="16" t="s">
        <v>328</v>
      </c>
      <c r="C36" s="1" t="s">
        <v>368</v>
      </c>
    </row>
    <row r="39" spans="2:8" ht="6" customHeight="1" x14ac:dyDescent="0.2">
      <c r="B39" s="235"/>
      <c r="C39" s="235"/>
      <c r="D39" s="235"/>
      <c r="E39" s="235"/>
      <c r="F39" s="235"/>
      <c r="G39" s="235"/>
      <c r="H39" s="235"/>
    </row>
    <row r="42" spans="2:8" x14ac:dyDescent="0.2">
      <c r="B42" s="235" t="s">
        <v>329</v>
      </c>
      <c r="C42" s="235"/>
      <c r="D42" s="235"/>
      <c r="E42" s="235"/>
      <c r="F42" s="235"/>
      <c r="G42" s="235"/>
      <c r="H42" s="235"/>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235"/>
      <c r="C51" s="235"/>
      <c r="D51" s="235"/>
      <c r="E51" s="235"/>
      <c r="F51" s="235"/>
      <c r="G51" s="235"/>
      <c r="H51" s="235"/>
    </row>
    <row r="54" spans="2:8" x14ac:dyDescent="0.2">
      <c r="B54" s="235" t="s">
        <v>101</v>
      </c>
      <c r="C54" s="235"/>
      <c r="D54" s="235"/>
      <c r="E54" s="235"/>
      <c r="F54" s="235"/>
      <c r="G54" s="235"/>
      <c r="H54" s="235"/>
    </row>
    <row r="56" spans="2:8" x14ac:dyDescent="0.2">
      <c r="B56" s="41" t="s">
        <v>330</v>
      </c>
      <c r="C56" s="41" t="s">
        <v>400</v>
      </c>
      <c r="D56" s="41"/>
      <c r="E56" s="41" t="s">
        <v>398</v>
      </c>
    </row>
    <row r="61" spans="2:8" ht="5" customHeight="1" x14ac:dyDescent="0.2">
      <c r="B61" s="235"/>
      <c r="C61" s="235"/>
      <c r="D61" s="235"/>
      <c r="E61" s="235"/>
      <c r="F61" s="235"/>
      <c r="G61" s="235"/>
      <c r="H61" s="235"/>
    </row>
  </sheetData>
  <mergeCells count="12">
    <mergeCell ref="B2:C2"/>
    <mergeCell ref="B17:C17"/>
    <mergeCell ref="B25:C25"/>
    <mergeCell ref="E2:F2"/>
    <mergeCell ref="H2:I2"/>
    <mergeCell ref="E25:F25"/>
    <mergeCell ref="B54:H54"/>
    <mergeCell ref="B61:H61"/>
    <mergeCell ref="B33:H33"/>
    <mergeCell ref="B39:H39"/>
    <mergeCell ref="B42:H42"/>
    <mergeCell ref="B51:H51"/>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48"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225.07</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225.07</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28.453855878634638</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18.12463186827695</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23.688061174579886</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5445568.6499999994</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5379465.6499999994</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17.755828649135719</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27.226909995495468</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45.469161434153833</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38.950599761221852</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2.1992928139837151E-2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3.5144621673257208E-2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1.2440574043630873E-3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1.015780050812508E-2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1.1402115002259683E-2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0.45585507689185656</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1.2138860833202425E-2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5" t="s">
        <v>225</v>
      </c>
      <c r="C4" s="235"/>
      <c r="E4" s="235" t="s">
        <v>232</v>
      </c>
      <c r="F4" s="235"/>
      <c r="G4" s="235"/>
    </row>
    <row r="5" spans="2:7" x14ac:dyDescent="0.2">
      <c r="B5" s="20" t="s">
        <v>1</v>
      </c>
      <c r="C5" s="169">
        <f ca="1">Overview!C5</f>
        <v>225.07</v>
      </c>
      <c r="E5" s="12"/>
      <c r="F5" s="133" t="s">
        <v>233</v>
      </c>
      <c r="G5" s="133" t="s">
        <v>234</v>
      </c>
    </row>
    <row r="6" spans="2:7" x14ac:dyDescent="0.2">
      <c r="B6" s="20" t="s">
        <v>231</v>
      </c>
      <c r="C6" s="170">
        <f ca="1">Statement!AC155</f>
        <v>5445568.6499999994</v>
      </c>
      <c r="E6" s="20" t="s">
        <v>19</v>
      </c>
      <c r="F6" s="175">
        <f>IF(Statement!M5&lt;=0,"N/A",_xlfn.RRI(4,Statement!M5,Statement!Q5))</f>
        <v>0.68301391480282692</v>
      </c>
      <c r="G6" s="175" t="str">
        <f>IF(Statement!H5&lt;=0,"N/A",_xlfn.RRI(9,Statement!H5,Statement!Q5))</f>
        <v>N/A</v>
      </c>
    </row>
    <row r="7" spans="2:7" x14ac:dyDescent="0.2">
      <c r="B7" s="20" t="s">
        <v>180</v>
      </c>
      <c r="C7" s="170">
        <f ca="1">Statement!AC156</f>
        <v>5379465.6499999994</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28.453855878634638</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18.12463186827695</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23.688061174579886</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17.755828649135719</v>
      </c>
    </row>
    <row r="12" spans="2:7" x14ac:dyDescent="0.2">
      <c r="B12" s="20" t="s">
        <v>196</v>
      </c>
      <c r="C12" s="171">
        <f ca="1">Statement!AC158</f>
        <v>27.226909995495468</v>
      </c>
    </row>
    <row r="15" spans="2:7" x14ac:dyDescent="0.2">
      <c r="B15" s="235" t="s">
        <v>75</v>
      </c>
      <c r="C15" s="235"/>
      <c r="E15" s="235" t="s">
        <v>238</v>
      </c>
      <c r="F15" s="235"/>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35" t="s">
        <v>237</v>
      </c>
      <c r="C21" s="235"/>
      <c r="E21" s="235" t="s">
        <v>241</v>
      </c>
      <c r="F21" s="235"/>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35" t="s">
        <v>242</v>
      </c>
      <c r="C29" s="235"/>
      <c r="E29" s="235" t="s">
        <v>248</v>
      </c>
      <c r="F29" s="235"/>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35" t="s">
        <v>260</v>
      </c>
      <c r="C37" s="235"/>
      <c r="E37" s="235" t="s">
        <v>263</v>
      </c>
      <c r="F37" s="235"/>
    </row>
    <row r="38" spans="2:6" x14ac:dyDescent="0.2">
      <c r="B38" s="20" t="s">
        <v>258</v>
      </c>
      <c r="C38" s="172">
        <f ca="1">Statement!AC164</f>
        <v>3.5144621673257208E-2</v>
      </c>
      <c r="E38" s="20" t="s">
        <v>262</v>
      </c>
      <c r="F38" s="172">
        <f>Statement!AC170</f>
        <v>5.6577936608663705E-2</v>
      </c>
    </row>
    <row r="39" spans="2:6" x14ac:dyDescent="0.2">
      <c r="B39" s="54" t="s">
        <v>261</v>
      </c>
      <c r="C39" s="212">
        <f ca="1">Statement!AC163</f>
        <v>2.1992928139837151E-2</v>
      </c>
      <c r="E39" s="20" t="s">
        <v>264</v>
      </c>
      <c r="F39" s="172">
        <f>Statement!AC171</f>
        <v>0.46186667111986907</v>
      </c>
    </row>
    <row r="40" spans="2:6" x14ac:dyDescent="0.2">
      <c r="B40" s="20" t="s">
        <v>259</v>
      </c>
      <c r="C40" s="172">
        <f ca="1">Statement!AC165</f>
        <v>1.2440574043630873E-3</v>
      </c>
      <c r="E40" s="20" t="s">
        <v>265</v>
      </c>
      <c r="F40" s="172">
        <f>Statement!AC172</f>
        <v>0.51844460772853274</v>
      </c>
    </row>
    <row r="41" spans="2:6" x14ac:dyDescent="0.2">
      <c r="B41" s="20" t="s">
        <v>284</v>
      </c>
      <c r="C41" s="172">
        <f ca="1">Statement!AC166</f>
        <v>1.015780050812508E-2</v>
      </c>
    </row>
    <row r="42" spans="2:6" x14ac:dyDescent="0.2">
      <c r="B42" s="20" t="s">
        <v>286</v>
      </c>
      <c r="C42" s="172">
        <f ca="1">Statement!AC167</f>
        <v>1.1402115002259683E-2</v>
      </c>
    </row>
    <row r="45" spans="2:6" x14ac:dyDescent="0.2">
      <c r="B45" s="235" t="s">
        <v>271</v>
      </c>
      <c r="C45" s="235"/>
      <c r="E45" s="235" t="s">
        <v>277</v>
      </c>
      <c r="F45" s="235"/>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1.2138860833202425E-2</v>
      </c>
    </row>
    <row r="51" spans="2:6" x14ac:dyDescent="0.2">
      <c r="B51" s="235" t="s">
        <v>274</v>
      </c>
      <c r="C51" s="235"/>
      <c r="E51" s="235" t="s">
        <v>295</v>
      </c>
      <c r="F51" s="235"/>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225.07</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5445568.6499999994</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5379465.6499999994</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28.453855878634638</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18.12463186827695</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23.688061174579886</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17.755828649135719</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27.226909995495468</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3.5144621673257208E-2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2.1992928139837151E-2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1.2440574043630873E-3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1.015780050812508E-2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1.1402115002259683E-2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1.2138860833202425E-2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2" t="s">
        <v>305</v>
      </c>
      <c r="D3" s="243"/>
      <c r="F3" s="244" t="s">
        <v>306</v>
      </c>
      <c r="G3" s="243"/>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5">
        <f>Statement!AA88</f>
        <v>0.17896220057587453</v>
      </c>
      <c r="D7" s="246"/>
      <c r="F7" s="245">
        <f>IF(F6=0,
IF(G6=0,0,IF(G6&gt;0,1,-1)),
(G6-F6)/ABS(F6)
)</f>
        <v>1.0585114348672529</v>
      </c>
      <c r="G7" s="246"/>
    </row>
    <row r="8" spans="2:7" x14ac:dyDescent="0.2">
      <c r="B8" s="204" t="s">
        <v>20</v>
      </c>
      <c r="C8" s="197">
        <f>Statement!Z6</f>
        <v>20458</v>
      </c>
      <c r="D8" s="195">
        <f>Statement!AA6</f>
        <v>24079</v>
      </c>
      <c r="F8" s="197">
        <f>Statement!W6</f>
        <v>12890</v>
      </c>
      <c r="G8" s="195">
        <f>Statement!AA6</f>
        <v>24079</v>
      </c>
    </row>
    <row r="9" spans="2:7" x14ac:dyDescent="0.2">
      <c r="B9" s="203" t="s">
        <v>307</v>
      </c>
      <c r="C9" s="245">
        <f>Statement!AA89</f>
        <v>0.17699677387818946</v>
      </c>
      <c r="D9" s="246"/>
      <c r="F9" s="245">
        <f>IF(F8=0,
IF(G8=0,0,IF(G8&gt;0,1,-1)),
(G8-F8)/ABS(F8)
)</f>
        <v>0.86803723816912337</v>
      </c>
      <c r="G9" s="246"/>
    </row>
    <row r="10" spans="2:7" x14ac:dyDescent="0.2">
      <c r="B10" s="204" t="s">
        <v>21</v>
      </c>
      <c r="C10" s="197">
        <f>Statement!Z7</f>
        <v>61157</v>
      </c>
      <c r="D10" s="195">
        <f>Statement!AA7</f>
        <v>72142</v>
      </c>
      <c r="F10" s="197">
        <f>Statement!W7</f>
        <v>33853</v>
      </c>
      <c r="G10" s="195">
        <f>Statement!AA7</f>
        <v>72142</v>
      </c>
    </row>
    <row r="11" spans="2:7" x14ac:dyDescent="0.2">
      <c r="B11" s="203" t="s">
        <v>307</v>
      </c>
      <c r="C11" s="245">
        <f>Statement!AA90</f>
        <v>0.17961966741337868</v>
      </c>
      <c r="D11" s="246"/>
      <c r="F11" s="245">
        <f>IF(F10=0,
IF(G10=0,0,IF(G10&gt;0,1,-1)),
(G10-F10)/ABS(F10)
)</f>
        <v>1.1310371311257497</v>
      </c>
      <c r="G11" s="246"/>
    </row>
    <row r="12" spans="2:7" x14ac:dyDescent="0.2">
      <c r="B12" s="204" t="s">
        <v>23</v>
      </c>
      <c r="C12" s="197">
        <f>Statement!Z10</f>
        <v>7621</v>
      </c>
      <c r="D12" s="195">
        <f>Statement!AA10</f>
        <v>8408</v>
      </c>
      <c r="F12" s="197">
        <f>Statement!W10</f>
        <v>5413</v>
      </c>
      <c r="G12" s="195">
        <f>Statement!AA10</f>
        <v>8408</v>
      </c>
    </row>
    <row r="13" spans="2:7" x14ac:dyDescent="0.2">
      <c r="B13" s="203" t="s">
        <v>307</v>
      </c>
      <c r="C13" s="245">
        <f>Statement!AA93</f>
        <v>0.10326728775751214</v>
      </c>
      <c r="D13" s="246"/>
      <c r="F13" s="245">
        <f>IF(F12=0,
IF(G12=0,0,IF(G12&gt;0,1,-1)),
(G12-F12)/ABS(F12)
)</f>
        <v>0.55329761684832812</v>
      </c>
      <c r="G13" s="246"/>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5">
        <f>Statement!AA94</f>
        <v>0.19048864315600716</v>
      </c>
      <c r="D15" s="246"/>
      <c r="F15" s="245">
        <f>IF(F14=0,
IF(G14=0,0,IF(G14&gt;0,1,-1)),
(G14-F14)/ABS(F14)
)</f>
        <v>1.240998593530239</v>
      </c>
      <c r="G15" s="246"/>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5">
        <f>Statement!AA96</f>
        <v>2.3439241439618664E-2</v>
      </c>
      <c r="D17" s="246"/>
      <c r="F17" s="245">
        <f>IF(F16=0,
IF(G16=0,0,IF(G16&gt;0,1,-1)),
(G16-F16)/ABS(F16)
)</f>
        <v>1.2590265687684505</v>
      </c>
      <c r="G17" s="246"/>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5">
        <f>IF(C18=0,
IF(D18=0,0,IF(D18&gt;0,1,-1)),
(D18-C18)/ABS(C18)
)</f>
        <v>-4.3458652781763769E-3</v>
      </c>
      <c r="D19" s="246"/>
      <c r="F19" s="245">
        <f>IF(F18=0,
IF(G18=0,0,IF(G18&gt;0,1,-1)),
(G18-F18)/ABS(F18)
)</f>
        <v>-1.0068481982716452E-2</v>
      </c>
      <c r="G19" s="246"/>
    </row>
    <row r="20" spans="2:7" x14ac:dyDescent="0.2">
      <c r="B20" s="204" t="s">
        <v>36</v>
      </c>
      <c r="C20" s="198">
        <f>Statement!Z25</f>
        <v>2.39</v>
      </c>
      <c r="D20" s="199">
        <f>Statement!AA25</f>
        <v>2.46</v>
      </c>
      <c r="F20" s="198">
        <f>Statement!W25</f>
        <v>1.08</v>
      </c>
      <c r="G20" s="199">
        <f>Statement!AA25</f>
        <v>2.46</v>
      </c>
    </row>
    <row r="21" spans="2:7" x14ac:dyDescent="0.2">
      <c r="B21" s="203" t="s">
        <v>307</v>
      </c>
      <c r="C21" s="245">
        <f>IF(C20=0,
IF(D20=0,0,IF(D20&gt;0,1,-1)),
(D20-C20)/ABS(C20)
)</f>
        <v>2.9288702928870224E-2</v>
      </c>
      <c r="D21" s="246"/>
      <c r="F21" s="245">
        <f>IF(F20=0,
IF(G20=0,0,IF(G20&gt;0,1,-1)),
(G20-F20)/ABS(F20)
)</f>
        <v>1.2777777777777777</v>
      </c>
      <c r="G21" s="246"/>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5">
        <f>IF(C24=0,
IF(D24=0,0,IF(D24&gt;0,1,-1)),
(D24-C24)/ABS(C24)
)</f>
        <v>0.28627637381499377</v>
      </c>
      <c r="D25" s="246"/>
      <c r="F25" s="245">
        <f>IF(F24=0,
IF(G24=0,0,IF(G24&gt;0,1,-1)),
(G24-F24)/ABS(F24)
)</f>
        <v>1.0395260226939664</v>
      </c>
      <c r="G25" s="246"/>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5">
        <f>IF(C26=0,
IF(D26=0,0,IF(D26&gt;0,1,-1)),
(D26-C26)/ABS(C26)
)</f>
        <v>7.8550980549535812E-2</v>
      </c>
      <c r="D27" s="246"/>
      <c r="F27" s="245">
        <f>IF(F26=0,
IF(G26=0,0,IF(G26&gt;0,1,-1)),
(G26-F26)/ABS(F26)
)</f>
        <v>1.3420089467263114</v>
      </c>
      <c r="G27" s="246"/>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5">
        <f>IF(C28=0,
IF(D28=0,0,IF(D28&gt;0,1,-1)),
(D28-C28)/ABS(C28)
)</f>
        <v>0.18309278898546102</v>
      </c>
      <c r="D29" s="246"/>
      <c r="F29" s="245">
        <f>IF(F28=0,
IF(G28=0,0,IF(G28&gt;0,1,-1)),
(G28-F28)/ABS(F28)
)</f>
        <v>1.166220556745182</v>
      </c>
      <c r="G29" s="246"/>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5">
        <f>IF(C30=0,
IF(D30=0,0,IF(D30&gt;0,1,-1)),
(D30-C30)/ABS(C30)
)</f>
        <v>0.13016172083529595</v>
      </c>
      <c r="D31" s="246"/>
      <c r="F31" s="245">
        <f>IF(F30=0,
IF(G30=0,0,IF(G30&gt;0,1,-1)),
(G30-F30)/ABS(F30)
)</f>
        <v>0.27465911103240659</v>
      </c>
      <c r="G31" s="246"/>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37"/>
      <c r="H2" s="238"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36" t="s">
        <v>108</v>
      </c>
      <c r="D4" s="236"/>
      <c r="E4" s="236"/>
      <c r="F4" s="236"/>
      <c r="G4" s="236"/>
      <c r="H4" s="236"/>
      <c r="I4" s="236"/>
      <c r="J4" s="236"/>
      <c r="K4" s="236"/>
      <c r="L4" s="236"/>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36" t="s">
        <v>114</v>
      </c>
      <c r="D12" s="236"/>
      <c r="E12" s="236"/>
      <c r="F12" s="236"/>
      <c r="G12" s="236"/>
      <c r="H12" s="236"/>
      <c r="I12" s="236"/>
      <c r="J12" s="236"/>
      <c r="K12" s="236"/>
      <c r="L12" s="236"/>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37"/>
      <c r="H2" s="238"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36" t="s">
        <v>108</v>
      </c>
      <c r="D4" s="236"/>
      <c r="E4" s="236"/>
      <c r="F4" s="236"/>
      <c r="G4" s="236"/>
      <c r="H4" s="236"/>
      <c r="I4" s="236"/>
      <c r="J4" s="236"/>
      <c r="K4" s="236"/>
      <c r="L4" s="236"/>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36" t="s">
        <v>117</v>
      </c>
      <c r="D9" s="236"/>
      <c r="E9" s="236"/>
      <c r="F9" s="236"/>
      <c r="G9" s="236"/>
      <c r="H9" s="236"/>
      <c r="I9" s="236"/>
      <c r="J9" s="236"/>
      <c r="K9" s="236"/>
      <c r="L9" s="236"/>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36" t="s">
        <v>120</v>
      </c>
      <c r="D17" s="236"/>
      <c r="E17" s="236"/>
      <c r="F17" s="236"/>
      <c r="G17" s="236"/>
      <c r="H17" s="236"/>
      <c r="I17" s="236"/>
      <c r="J17" s="236"/>
      <c r="K17" s="236"/>
      <c r="L17" s="236"/>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37"/>
      <c r="H3" s="238" t="s">
        <v>106</v>
      </c>
      <c r="I3" s="235"/>
      <c r="J3" s="235"/>
      <c r="K3" s="235"/>
      <c r="L3" s="235"/>
      <c r="P3" s="249"/>
      <c r="Q3" s="249"/>
      <c r="R3" s="249"/>
      <c r="S3" s="249"/>
      <c r="T3" s="249"/>
      <c r="U3" s="249"/>
      <c r="V3" s="249"/>
      <c r="W3" s="249"/>
      <c r="X3" s="249"/>
      <c r="Y3" s="249"/>
      <c r="Z3" s="249"/>
      <c r="AB3" s="110"/>
    </row>
    <row r="4" spans="1:28" ht="10" customHeight="1" x14ac:dyDescent="0.2"/>
    <row r="5" spans="1:28" ht="16" customHeight="1" x14ac:dyDescent="0.2">
      <c r="A5" s="86"/>
      <c r="B5" s="60"/>
      <c r="C5" s="236" t="s">
        <v>108</v>
      </c>
      <c r="D5" s="236"/>
      <c r="E5" s="236"/>
      <c r="F5" s="236"/>
      <c r="G5" s="236"/>
      <c r="H5" s="236"/>
      <c r="I5" s="236"/>
      <c r="J5" s="236"/>
      <c r="K5" s="236"/>
      <c r="L5" s="236"/>
      <c r="P5" s="249"/>
      <c r="Q5" s="249"/>
      <c r="R5" s="249"/>
      <c r="S5" s="249"/>
      <c r="T5" s="249"/>
      <c r="U5" s="249"/>
      <c r="V5" s="249"/>
      <c r="W5" s="249"/>
      <c r="X5" s="249"/>
      <c r="Y5" s="249"/>
      <c r="Z5" s="249"/>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6" t="s">
        <v>124</v>
      </c>
      <c r="D11" s="236"/>
      <c r="E11" s="236"/>
      <c r="F11" s="236"/>
      <c r="G11" s="236"/>
      <c r="H11" s="236"/>
      <c r="I11" s="236"/>
      <c r="J11" s="236"/>
      <c r="K11" s="236"/>
      <c r="L11" s="236"/>
      <c r="N11" s="91"/>
      <c r="P11" s="249"/>
      <c r="Q11" s="249"/>
      <c r="R11" s="249"/>
      <c r="S11" s="249"/>
      <c r="T11" s="249"/>
      <c r="U11" s="249"/>
      <c r="V11" s="249"/>
      <c r="W11" s="249"/>
      <c r="X11" s="249"/>
      <c r="Y11" s="249"/>
      <c r="Z11" s="249"/>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36" t="s">
        <v>129</v>
      </c>
      <c r="D18" s="236"/>
      <c r="E18" s="236"/>
      <c r="F18" s="236"/>
      <c r="G18" s="236"/>
      <c r="H18" s="236"/>
      <c r="I18" s="236"/>
      <c r="J18" s="236"/>
      <c r="K18" s="236"/>
      <c r="L18" s="236"/>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49"/>
      <c r="C25" s="249"/>
    </row>
    <row r="26" spans="2:12" x14ac:dyDescent="0.2">
      <c r="B26" s="110"/>
      <c r="C26" s="236" t="s">
        <v>135</v>
      </c>
      <c r="D26" s="236"/>
      <c r="E26" s="236"/>
      <c r="F26" s="236"/>
      <c r="G26" s="236"/>
      <c r="H26" s="236"/>
      <c r="I26" s="236"/>
      <c r="J26" s="236"/>
      <c r="K26" s="236"/>
      <c r="L26" s="236"/>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36" t="s">
        <v>139</v>
      </c>
      <c r="D33" s="236"/>
      <c r="E33" s="236"/>
      <c r="F33" s="236"/>
      <c r="G33" s="236"/>
      <c r="H33" s="236"/>
      <c r="I33" s="236"/>
      <c r="J33" s="236"/>
      <c r="K33" s="236"/>
      <c r="L33" s="236"/>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36" t="s">
        <v>142</v>
      </c>
      <c r="D40" s="236"/>
      <c r="E40" s="236"/>
      <c r="F40" s="236"/>
      <c r="G40" s="236"/>
      <c r="H40" s="236"/>
      <c r="I40" s="236"/>
      <c r="J40" s="236"/>
      <c r="K40" s="236"/>
      <c r="L40" s="236"/>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37"/>
      <c r="H2" s="238" t="s">
        <v>106</v>
      </c>
      <c r="I2" s="235"/>
      <c r="J2" s="235"/>
      <c r="K2" s="235"/>
      <c r="L2" s="235"/>
      <c r="S2" s="249"/>
      <c r="T2" s="249"/>
      <c r="U2" s="249"/>
      <c r="V2" s="249"/>
      <c r="W2" s="249"/>
      <c r="X2" s="249"/>
      <c r="Y2" s="249"/>
      <c r="Z2" s="249"/>
      <c r="AA2" s="249"/>
      <c r="AB2" s="249"/>
      <c r="AC2" s="249"/>
      <c r="AE2" s="110"/>
    </row>
    <row r="3" spans="1:31" ht="10" customHeight="1" x14ac:dyDescent="0.2"/>
    <row r="4" spans="1:31" ht="16" customHeight="1" x14ac:dyDescent="0.2">
      <c r="A4" s="86"/>
      <c r="B4" s="60"/>
      <c r="C4" s="236" t="s">
        <v>18</v>
      </c>
      <c r="D4" s="236"/>
      <c r="E4" s="236"/>
      <c r="F4" s="236"/>
      <c r="G4" s="236"/>
      <c r="H4" s="236"/>
      <c r="I4" s="236"/>
      <c r="J4" s="236"/>
      <c r="K4" s="236"/>
      <c r="L4" s="236"/>
      <c r="S4" s="249"/>
      <c r="T4" s="249"/>
      <c r="U4" s="249"/>
      <c r="V4" s="249"/>
      <c r="W4" s="249"/>
      <c r="X4" s="249"/>
      <c r="Y4" s="249"/>
      <c r="Z4" s="249"/>
      <c r="AA4" s="249"/>
      <c r="AB4" s="249"/>
      <c r="AC4" s="249"/>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36" t="s">
        <v>150</v>
      </c>
      <c r="D13" s="236"/>
      <c r="E13" s="236"/>
      <c r="F13" s="236"/>
      <c r="G13" s="236"/>
      <c r="H13" s="236"/>
      <c r="I13" s="236"/>
      <c r="J13" s="236"/>
      <c r="K13" s="236"/>
      <c r="L13" s="23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36" t="s">
        <v>151</v>
      </c>
      <c r="D18" s="236"/>
      <c r="E18" s="236"/>
      <c r="F18" s="236"/>
      <c r="G18" s="236"/>
      <c r="H18" s="236"/>
      <c r="I18" s="236"/>
      <c r="J18" s="236"/>
      <c r="K18" s="236"/>
      <c r="L18" s="236"/>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36" t="s">
        <v>254</v>
      </c>
      <c r="D25" s="236"/>
      <c r="E25" s="236"/>
      <c r="F25" s="236"/>
      <c r="G25" s="236"/>
      <c r="H25" s="236"/>
      <c r="I25" s="236"/>
      <c r="J25" s="236"/>
      <c r="K25" s="236"/>
      <c r="L25" s="236"/>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36" t="s">
        <v>75</v>
      </c>
      <c r="D31" s="236"/>
      <c r="E31" s="236"/>
      <c r="F31" s="236"/>
      <c r="G31" s="236"/>
      <c r="H31" s="236"/>
      <c r="I31" s="236"/>
      <c r="J31" s="236"/>
      <c r="K31" s="236"/>
      <c r="L31" s="236"/>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3"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7">
        <f>Statement!AC77</f>
        <v>24195</v>
      </c>
    </row>
    <row r="6" spans="1:3" ht="17" customHeight="1" x14ac:dyDescent="0.2">
      <c r="B6" s="1" t="s">
        <v>1</v>
      </c>
      <c r="C6" s="134">
        <f ca="1">Overview!C5</f>
        <v>225.07</v>
      </c>
    </row>
    <row r="7" spans="1:3" ht="17" customHeight="1" x14ac:dyDescent="0.2">
      <c r="B7" s="1" t="s">
        <v>160</v>
      </c>
      <c r="C7" s="135">
        <f ca="1">C5*C6</f>
        <v>5445568.6499999994</v>
      </c>
    </row>
    <row r="8" spans="1:3" ht="17" customHeight="1" x14ac:dyDescent="0.2">
      <c r="B8" s="1" t="s">
        <v>161</v>
      </c>
      <c r="C8" s="113">
        <f>Statement!AC106</f>
        <v>33266</v>
      </c>
    </row>
    <row r="9" spans="1:3" ht="17" customHeight="1" x14ac:dyDescent="0.2">
      <c r="B9" s="1" t="s">
        <v>162</v>
      </c>
      <c r="C9" s="136">
        <f ca="1">Overview!F27</f>
        <v>5.1840000000000004E-2</v>
      </c>
    </row>
    <row r="10" spans="1:3" ht="17" customHeight="1" x14ac:dyDescent="0.2">
      <c r="B10" s="1" t="s">
        <v>9</v>
      </c>
      <c r="C10" s="134">
        <f ca="1">Overview!C13</f>
        <v>2.2191000000000001</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5" t="s">
        <v>165</v>
      </c>
      <c r="C15" s="235"/>
    </row>
    <row r="16" spans="1:3" ht="17" customHeight="1" x14ac:dyDescent="0.2">
      <c r="B16" s="1" t="s">
        <v>166</v>
      </c>
      <c r="C16" s="46">
        <f ca="1">C8/(C8+C7)</f>
        <v>6.0717291404295262E-3</v>
      </c>
    </row>
    <row r="17" spans="2:3" ht="17" customHeight="1" x14ac:dyDescent="0.2">
      <c r="B17" s="1" t="s">
        <v>167</v>
      </c>
      <c r="C17" s="46">
        <f ca="1">C7/(C8+C7)</f>
        <v>0.99392827085957047</v>
      </c>
    </row>
    <row r="18" spans="2:3" ht="17" customHeight="1" x14ac:dyDescent="0.2">
      <c r="B18" s="1" t="s">
        <v>168</v>
      </c>
      <c r="C18" s="46">
        <f>C13*(1-C12)</f>
        <v>3.9500000000000007E-2</v>
      </c>
    </row>
    <row r="19" spans="2:3" ht="17" customHeight="1" x14ac:dyDescent="0.2">
      <c r="B19" s="1" t="s">
        <v>169</v>
      </c>
      <c r="C19" s="46">
        <f ca="1">C9+C10*C11</f>
        <v>0.15169950000000001</v>
      </c>
    </row>
    <row r="20" spans="2:3" ht="17" customHeight="1" x14ac:dyDescent="0.2">
      <c r="B20" s="1" t="s">
        <v>157</v>
      </c>
      <c r="C20" s="46">
        <f ca="1">(C17*C19)+(C16*C18)</f>
        <v>0.15101825502630839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37"/>
      <c r="H3" s="238" t="s">
        <v>106</v>
      </c>
      <c r="I3" s="235"/>
      <c r="J3" s="235"/>
      <c r="K3" s="235"/>
      <c r="L3" s="235"/>
      <c r="P3" s="249"/>
      <c r="Q3" s="249"/>
      <c r="R3" s="249"/>
      <c r="S3" s="249"/>
      <c r="T3" s="249"/>
      <c r="U3" s="249"/>
      <c r="V3" s="249"/>
      <c r="W3" s="249"/>
      <c r="X3" s="249"/>
      <c r="Y3" s="249"/>
      <c r="Z3" s="249"/>
      <c r="AB3" s="110"/>
    </row>
    <row r="4" spans="1:28" ht="10" customHeight="1" x14ac:dyDescent="0.2"/>
    <row r="5" spans="1:28" ht="16" customHeight="1" x14ac:dyDescent="0.2">
      <c r="A5" s="86"/>
      <c r="B5" s="60"/>
      <c r="C5" s="236" t="s">
        <v>172</v>
      </c>
      <c r="D5" s="236"/>
      <c r="E5" s="236"/>
      <c r="F5" s="236"/>
      <c r="G5" s="236"/>
      <c r="H5" s="236"/>
      <c r="I5" s="236"/>
      <c r="J5" s="236"/>
      <c r="K5" s="236"/>
      <c r="L5" s="236"/>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5" t="s">
        <v>176</v>
      </c>
      <c r="C13" s="235"/>
    </row>
    <row r="14" spans="1:28" x14ac:dyDescent="0.2">
      <c r="B14" s="1" t="s">
        <v>177</v>
      </c>
      <c r="C14" s="141">
        <v>2.5000000000000001E-2</v>
      </c>
    </row>
    <row r="15" spans="1:28" x14ac:dyDescent="0.2">
      <c r="B15" s="1" t="s">
        <v>157</v>
      </c>
      <c r="C15" s="136">
        <f>IF(Overview!C28&gt;0,Overview!C28,WACC!C20)</f>
        <v>0.12</v>
      </c>
    </row>
    <row r="18" spans="2:3" x14ac:dyDescent="0.2">
      <c r="B18" s="235" t="s">
        <v>178</v>
      </c>
      <c r="C18" s="235"/>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37"/>
      <c r="H2" s="238" t="s">
        <v>106</v>
      </c>
      <c r="I2" s="235"/>
      <c r="J2" s="235"/>
      <c r="K2" s="235"/>
      <c r="L2" s="235"/>
    </row>
    <row r="3" spans="1:14" ht="10" customHeight="1" x14ac:dyDescent="0.2"/>
    <row r="4" spans="1:14" ht="16" customHeight="1" x14ac:dyDescent="0.2">
      <c r="A4" s="86"/>
      <c r="B4" s="60"/>
      <c r="C4" s="236" t="s">
        <v>186</v>
      </c>
      <c r="D4" s="236"/>
      <c r="E4" s="236"/>
      <c r="F4" s="236"/>
      <c r="G4" s="236"/>
      <c r="H4" s="236"/>
      <c r="I4" s="236"/>
      <c r="J4" s="236"/>
      <c r="K4" s="236"/>
      <c r="L4" s="236"/>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36" t="s">
        <v>114</v>
      </c>
      <c r="D11" s="236"/>
      <c r="E11" s="236"/>
      <c r="F11" s="236"/>
      <c r="G11" s="236"/>
      <c r="H11" s="236"/>
      <c r="I11" s="236"/>
      <c r="J11" s="236"/>
      <c r="K11" s="236"/>
      <c r="L11" s="236"/>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36" t="s">
        <v>188</v>
      </c>
      <c r="D17" s="236"/>
      <c r="E17" s="236"/>
      <c r="F17" s="236"/>
      <c r="G17" s="236"/>
      <c r="H17" s="236"/>
      <c r="I17" s="236"/>
      <c r="J17" s="236"/>
      <c r="K17" s="236"/>
      <c r="L17" s="236"/>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36" t="s">
        <v>191</v>
      </c>
      <c r="D22" s="236"/>
      <c r="E22" s="236"/>
      <c r="F22" s="236"/>
      <c r="G22" s="236"/>
      <c r="H22" s="236"/>
      <c r="I22" s="236"/>
      <c r="J22" s="236"/>
      <c r="K22" s="236"/>
      <c r="L22" s="236"/>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36" t="s">
        <v>192</v>
      </c>
      <c r="D27" s="236"/>
      <c r="E27" s="236"/>
      <c r="F27" s="236"/>
      <c r="G27" s="236"/>
      <c r="H27" s="236"/>
      <c r="I27" s="236"/>
      <c r="J27" s="236"/>
      <c r="K27" s="236"/>
      <c r="L27" s="236"/>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35" t="s">
        <v>197</v>
      </c>
      <c r="C39" s="235"/>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35" t="s">
        <v>202</v>
      </c>
      <c r="C52" s="235"/>
    </row>
    <row r="53" spans="2:3" x14ac:dyDescent="0.2">
      <c r="B53" s="1" t="s">
        <v>203</v>
      </c>
      <c r="C53" s="64">
        <f>L6</f>
        <v>1283206.3422750002</v>
      </c>
    </row>
    <row r="54" spans="2:3" x14ac:dyDescent="0.2">
      <c r="B54" s="1" t="s">
        <v>376</v>
      </c>
      <c r="C54" s="136">
        <f>IF(Overview!C29&gt;0,Overview!C29,WACC!C19)</f>
        <v>0.12</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372.92428626108091</v>
      </c>
    </row>
    <row r="60" spans="2:3" x14ac:dyDescent="0.2">
      <c r="B60" s="235" t="s">
        <v>314</v>
      </c>
      <c r="C60" s="235"/>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35" t="s">
        <v>411</v>
      </c>
      <c r="C73" s="235"/>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5" t="s">
        <v>206</v>
      </c>
      <c r="C4" s="235"/>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372.92428626108091</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375.83292964279934</v>
      </c>
    </row>
    <row r="11" spans="1:14" x14ac:dyDescent="0.2">
      <c r="B11" s="1" t="s">
        <v>211</v>
      </c>
      <c r="C11" s="134">
        <f ca="1">Overview!C5</f>
        <v>225.07</v>
      </c>
    </row>
    <row r="12" spans="1:14" x14ac:dyDescent="0.2">
      <c r="B12" s="1" t="s">
        <v>212</v>
      </c>
      <c r="C12" s="153">
        <f ca="1">(C10-C11)/C11</f>
        <v>0.66984906759141316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35" t="s">
        <v>105</v>
      </c>
      <c r="D2" s="235"/>
      <c r="E2" s="235"/>
      <c r="F2" s="235"/>
      <c r="G2" s="237"/>
      <c r="H2" s="238" t="s">
        <v>106</v>
      </c>
      <c r="I2" s="235"/>
      <c r="J2" s="235"/>
      <c r="K2" s="235"/>
      <c r="L2" s="235"/>
    </row>
    <row r="3" spans="1:14" ht="10" customHeight="1" x14ac:dyDescent="0.2"/>
    <row r="4" spans="1:14" ht="16" customHeight="1" x14ac:dyDescent="0.2">
      <c r="A4" s="86"/>
      <c r="B4" s="60"/>
      <c r="C4" s="236" t="s">
        <v>186</v>
      </c>
      <c r="D4" s="236"/>
      <c r="E4" s="236"/>
      <c r="F4" s="236"/>
      <c r="G4" s="236"/>
      <c r="H4" s="236"/>
      <c r="I4" s="236"/>
      <c r="J4" s="236"/>
      <c r="K4" s="236"/>
      <c r="L4" s="236"/>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36" t="s">
        <v>114</v>
      </c>
      <c r="D9" s="236"/>
      <c r="E9" s="236"/>
      <c r="F9" s="236"/>
      <c r="G9" s="236"/>
      <c r="H9" s="236"/>
      <c r="I9" s="236"/>
      <c r="J9" s="236"/>
      <c r="K9" s="236"/>
      <c r="L9" s="23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36" t="s">
        <v>390</v>
      </c>
      <c r="D14" s="236"/>
      <c r="E14" s="236"/>
      <c r="F14" s="236"/>
      <c r="G14" s="236"/>
      <c r="H14" s="236"/>
      <c r="I14" s="236"/>
      <c r="J14" s="236"/>
      <c r="K14" s="236"/>
      <c r="L14" s="236"/>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5" t="s">
        <v>392</v>
      </c>
      <c r="C20" s="235"/>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33" t="s">
        <v>201</v>
      </c>
      <c r="C26" s="234">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30" zoomScale="209" zoomScaleNormal="100" workbookViewId="0">
      <selection activeCell="B37" sqref="B3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5" t="s">
        <v>105</v>
      </c>
      <c r="D3" s="235"/>
      <c r="E3" s="235"/>
      <c r="F3" s="235"/>
      <c r="G3" s="237"/>
      <c r="H3" s="238" t="s">
        <v>106</v>
      </c>
      <c r="I3" s="235"/>
      <c r="J3" s="235"/>
      <c r="K3" s="235"/>
      <c r="L3" s="235"/>
      <c r="P3" s="249"/>
      <c r="Q3" s="249"/>
      <c r="R3" s="249"/>
      <c r="S3" s="249"/>
      <c r="T3" s="249"/>
      <c r="U3" s="249"/>
      <c r="V3" s="249"/>
      <c r="W3" s="249"/>
      <c r="X3" s="249"/>
      <c r="Y3" s="249"/>
      <c r="Z3" s="249"/>
      <c r="AB3" s="110"/>
    </row>
    <row r="4" spans="1:28" ht="10" customHeight="1" x14ac:dyDescent="0.2"/>
    <row r="5" spans="1:28" ht="16" customHeight="1" x14ac:dyDescent="0.2">
      <c r="A5" s="86"/>
      <c r="B5" s="60"/>
      <c r="C5" s="236" t="s">
        <v>172</v>
      </c>
      <c r="D5" s="236"/>
      <c r="E5" s="236"/>
      <c r="F5" s="236"/>
      <c r="G5" s="236"/>
      <c r="H5" s="236"/>
      <c r="I5" s="236"/>
      <c r="J5" s="236"/>
      <c r="K5" s="236"/>
      <c r="L5" s="236"/>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0" t="s">
        <v>214</v>
      </c>
      <c r="C14" s="251"/>
    </row>
    <row r="15" spans="1:28" x14ac:dyDescent="0.2">
      <c r="B15" s="154" t="s">
        <v>215</v>
      </c>
      <c r="C15" s="155">
        <f ca="1">Overview!C5</f>
        <v>225.07</v>
      </c>
    </row>
    <row r="16" spans="1:28" x14ac:dyDescent="0.2">
      <c r="B16" s="154" t="s">
        <v>216</v>
      </c>
      <c r="C16" s="155">
        <f>C36</f>
        <v>228.84689448777979</v>
      </c>
    </row>
    <row r="17" spans="2:9" ht="17" thickBot="1" x14ac:dyDescent="0.25">
      <c r="B17" s="156" t="s">
        <v>316</v>
      </c>
      <c r="C17" s="157">
        <v>0.5</v>
      </c>
      <c r="E17" s="252" t="s">
        <v>217</v>
      </c>
      <c r="F17" s="252"/>
      <c r="G17" s="252"/>
      <c r="H17" s="252"/>
      <c r="I17" s="252"/>
    </row>
    <row r="18" spans="2:9" ht="17" thickBot="1" x14ac:dyDescent="0.25"/>
    <row r="19" spans="2:9" x14ac:dyDescent="0.2">
      <c r="B19" s="250" t="s">
        <v>176</v>
      </c>
      <c r="C19" s="251"/>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5424187</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5358084</v>
      </c>
    </row>
    <row r="27" spans="2:9" ht="17" thickBot="1" x14ac:dyDescent="0.25"/>
    <row r="28" spans="2:9" x14ac:dyDescent="0.2">
      <c r="B28" s="250" t="s">
        <v>178</v>
      </c>
      <c r="C28" s="251"/>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2026-09-26T20:41:36Z</dcterms:modified>
</cp:coreProperties>
</file>